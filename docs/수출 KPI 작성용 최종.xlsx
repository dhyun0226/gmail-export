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24c9349073f764/Desktop/이지영/AMK/KPI 레포트/"/>
    </mc:Choice>
  </mc:AlternateContent>
  <xr:revisionPtr revIDLastSave="140" documentId="8_{E9685877-7A03-41FA-8D13-40A58E0F0EE2}" xr6:coauthVersionLast="47" xr6:coauthVersionMax="47" xr10:uidLastSave="{738B9D3D-FCF3-4B17-BDDF-F1959D1E8BF5}"/>
  <bookViews>
    <workbookView xWindow="-28920" yWindow="-120" windowWidth="29040" windowHeight="15720" firstSheet="2" activeTab="3" xr2:uid="{E29837AB-0A56-4E91-86B4-E15C1890FB44}"/>
  </bookViews>
  <sheets>
    <sheet name="Sheet1" sheetId="1" state="hidden" r:id="rId1"/>
    <sheet name="Import KPI raw data" sheetId="3" state="hidden" r:id="rId2"/>
    <sheet name="Export KPI (0527-0607)" sheetId="17" r:id="rId3"/>
    <sheet name="수출데이터" sheetId="19" r:id="rId4"/>
    <sheet name="수출코드" sheetId="28" r:id="rId5"/>
    <sheet name="Cycle time-Exception Code" sheetId="7" r:id="rId6"/>
    <sheet name="수리일시" sheetId="27" state="hidden" r:id="rId7"/>
  </sheets>
  <externalReferences>
    <externalReference r:id="rId8"/>
  </externalReferences>
  <definedNames>
    <definedName name="_xlnm._FilterDatabase" localSheetId="5" hidden="1">'Cycle time-Exception Code'!$A$1:$D$24</definedName>
    <definedName name="_xlnm._FilterDatabase" localSheetId="2" hidden="1">'Export KPI (0527-0607)'!$A$1:$Q$646</definedName>
    <definedName name="_xlnm._FilterDatabase" localSheetId="0" hidden="1">Sheet1!$A$1:$F$1702</definedName>
    <definedName name="_xlnm._FilterDatabase" localSheetId="3" hidden="1">수출데이터!$A$2:$GF$286</definedName>
    <definedName name="StartDate">'[1]Title + setup'!$C$8</definedName>
    <definedName name="Today">'[1]Action Plan'!$I$2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F281" i="19" l="1"/>
  <c r="GF282" i="19"/>
  <c r="GF283" i="19"/>
  <c r="GF284" i="19"/>
  <c r="GF285" i="19"/>
  <c r="GF286" i="19"/>
  <c r="GF287" i="19"/>
  <c r="GF288" i="19"/>
  <c r="GF289" i="19"/>
  <c r="GF290" i="19"/>
  <c r="GF291" i="19"/>
  <c r="GF292" i="19"/>
  <c r="GF293" i="19"/>
  <c r="GF294" i="19"/>
  <c r="GF295" i="19"/>
  <c r="GE281" i="19"/>
  <c r="GE282" i="19"/>
  <c r="GE283" i="19"/>
  <c r="GE284" i="19"/>
  <c r="GE285" i="19"/>
  <c r="GE286" i="19"/>
  <c r="GE287" i="19"/>
  <c r="GE288" i="19"/>
  <c r="GE289" i="19"/>
  <c r="GE290" i="19"/>
  <c r="GE291" i="19"/>
  <c r="GE292" i="19"/>
  <c r="GE293" i="19"/>
  <c r="GE294" i="19"/>
  <c r="GE295" i="19"/>
  <c r="GD281" i="19"/>
  <c r="GD282" i="19"/>
  <c r="GD283" i="19"/>
  <c r="GD284" i="19"/>
  <c r="GD285" i="19"/>
  <c r="GD286" i="19"/>
  <c r="GD287" i="19"/>
  <c r="GD288" i="19"/>
  <c r="GD289" i="19"/>
  <c r="GD290" i="19"/>
  <c r="GD291" i="19"/>
  <c r="GD292" i="19"/>
  <c r="GD293" i="19"/>
  <c r="GD294" i="19"/>
  <c r="GD295" i="19"/>
  <c r="GC281" i="19"/>
  <c r="GC282" i="19"/>
  <c r="GC283" i="19"/>
  <c r="GC284" i="19"/>
  <c r="GC285" i="19"/>
  <c r="GC286" i="19"/>
  <c r="GC287" i="19"/>
  <c r="GC288" i="19"/>
  <c r="GC289" i="19"/>
  <c r="GC290" i="19"/>
  <c r="GC291" i="19"/>
  <c r="GC292" i="19"/>
  <c r="GC293" i="19"/>
  <c r="GC294" i="19"/>
  <c r="GC295" i="19"/>
  <c r="GC279" i="19"/>
  <c r="GC280" i="19"/>
  <c r="GB281" i="19"/>
  <c r="GB282" i="19"/>
  <c r="GB283" i="19"/>
  <c r="GB284" i="19"/>
  <c r="GB285" i="19"/>
  <c r="GB286" i="19"/>
  <c r="GB287" i="19"/>
  <c r="GB288" i="19"/>
  <c r="GB289" i="19"/>
  <c r="GB290" i="19"/>
  <c r="GB291" i="19"/>
  <c r="GB292" i="19"/>
  <c r="GB293" i="19"/>
  <c r="GB294" i="19"/>
  <c r="GB295" i="19"/>
  <c r="GA281" i="19"/>
  <c r="GA282" i="19"/>
  <c r="GA283" i="19"/>
  <c r="GA284" i="19"/>
  <c r="GA285" i="19"/>
  <c r="GA286" i="19"/>
  <c r="GA287" i="19"/>
  <c r="GA288" i="19"/>
  <c r="GA289" i="19"/>
  <c r="GA290" i="19"/>
  <c r="GA291" i="19"/>
  <c r="GA292" i="19"/>
  <c r="GA293" i="19"/>
  <c r="GA294" i="19"/>
  <c r="GA295" i="19"/>
  <c r="GE250" i="19"/>
  <c r="GE251" i="19"/>
  <c r="GE252" i="19"/>
  <c r="GE253" i="19"/>
  <c r="GE254" i="19"/>
  <c r="GE255" i="19"/>
  <c r="GE256" i="19"/>
  <c r="GE257" i="19"/>
  <c r="GE258" i="19"/>
  <c r="GE259" i="19"/>
  <c r="GE260" i="19"/>
  <c r="GE261" i="19"/>
  <c r="GE262" i="19"/>
  <c r="GE263" i="19"/>
  <c r="GE264" i="19"/>
  <c r="GE265" i="19"/>
  <c r="GE266" i="19"/>
  <c r="GE267" i="19"/>
  <c r="GE268" i="19"/>
  <c r="GE269" i="19"/>
  <c r="GE270" i="19"/>
  <c r="GE271" i="19"/>
  <c r="GE272" i="19"/>
  <c r="GE273" i="19"/>
  <c r="GE274" i="19"/>
  <c r="GE275" i="19"/>
  <c r="GE276" i="19"/>
  <c r="GE277" i="19"/>
  <c r="GE278" i="19"/>
  <c r="GE279" i="19"/>
  <c r="GE280" i="19"/>
  <c r="GA3" i="19"/>
  <c r="GC3" i="19"/>
  <c r="GD3" i="19"/>
  <c r="GE3" i="19"/>
  <c r="GF3" i="19"/>
  <c r="GA4" i="19"/>
  <c r="GB4" i="19"/>
  <c r="GC4" i="19"/>
  <c r="GD4" i="19"/>
  <c r="GE4" i="19"/>
  <c r="GF4" i="19"/>
  <c r="GA5" i="19"/>
  <c r="GB5" i="19"/>
  <c r="GC5" i="19"/>
  <c r="GD5" i="19"/>
  <c r="GE5" i="19"/>
  <c r="GF5" i="19"/>
  <c r="GA6" i="19"/>
  <c r="GB6" i="19"/>
  <c r="GC6" i="19"/>
  <c r="GD6" i="19"/>
  <c r="GE6" i="19"/>
  <c r="GF6" i="19"/>
  <c r="GA7" i="19"/>
  <c r="GB7" i="19"/>
  <c r="GC7" i="19"/>
  <c r="GD7" i="19"/>
  <c r="GE7" i="19"/>
  <c r="GF7" i="19"/>
  <c r="GA8" i="19"/>
  <c r="GB8" i="19"/>
  <c r="GC8" i="19"/>
  <c r="GD8" i="19"/>
  <c r="GE8" i="19"/>
  <c r="GF8" i="19"/>
  <c r="GA9" i="19"/>
  <c r="GB9" i="19"/>
  <c r="GC9" i="19"/>
  <c r="GD9" i="19"/>
  <c r="GE9" i="19"/>
  <c r="GF9" i="19"/>
  <c r="GA10" i="19"/>
  <c r="GB10" i="19"/>
  <c r="GC10" i="19"/>
  <c r="GD10" i="19"/>
  <c r="GE10" i="19"/>
  <c r="GF10" i="19"/>
  <c r="GA11" i="19"/>
  <c r="GB11" i="19"/>
  <c r="GC11" i="19"/>
  <c r="GD11" i="19"/>
  <c r="GE11" i="19"/>
  <c r="GF11" i="19"/>
  <c r="GA12" i="19"/>
  <c r="GB12" i="19"/>
  <c r="GC12" i="19"/>
  <c r="GD12" i="19"/>
  <c r="GE12" i="19"/>
  <c r="GF12" i="19"/>
  <c r="GA13" i="19"/>
  <c r="GB13" i="19"/>
  <c r="GC13" i="19"/>
  <c r="GD13" i="19"/>
  <c r="GE13" i="19"/>
  <c r="GF13" i="19"/>
  <c r="GA14" i="19"/>
  <c r="GB14" i="19"/>
  <c r="GC14" i="19"/>
  <c r="GD14" i="19"/>
  <c r="GE14" i="19"/>
  <c r="GF14" i="19"/>
  <c r="GA15" i="19"/>
  <c r="GB15" i="19"/>
  <c r="GC15" i="19"/>
  <c r="GD15" i="19"/>
  <c r="GE15" i="19"/>
  <c r="GF15" i="19"/>
  <c r="GA16" i="19"/>
  <c r="GB16" i="19"/>
  <c r="GC16" i="19"/>
  <c r="GD16" i="19"/>
  <c r="GE16" i="19"/>
  <c r="GF16" i="19"/>
  <c r="GA17" i="19"/>
  <c r="GB17" i="19"/>
  <c r="GC17" i="19"/>
  <c r="GD17" i="19"/>
  <c r="GE17" i="19"/>
  <c r="GF17" i="19"/>
  <c r="GA18" i="19"/>
  <c r="GB18" i="19"/>
  <c r="GC18" i="19"/>
  <c r="GD18" i="19"/>
  <c r="GE18" i="19"/>
  <c r="GF18" i="19"/>
  <c r="GA19" i="19"/>
  <c r="GB19" i="19"/>
  <c r="GC19" i="19"/>
  <c r="GD19" i="19"/>
  <c r="GE19" i="19"/>
  <c r="GF19" i="19"/>
  <c r="GA20" i="19"/>
  <c r="GB20" i="19"/>
  <c r="GC20" i="19"/>
  <c r="GD20" i="19"/>
  <c r="GE20" i="19"/>
  <c r="GF20" i="19"/>
  <c r="GA21" i="19"/>
  <c r="GB21" i="19"/>
  <c r="GC21" i="19"/>
  <c r="GD21" i="19"/>
  <c r="GE21" i="19"/>
  <c r="GF21" i="19"/>
  <c r="GA22" i="19"/>
  <c r="GB22" i="19"/>
  <c r="GC22" i="19"/>
  <c r="GD22" i="19"/>
  <c r="GE22" i="19"/>
  <c r="GF22" i="19"/>
  <c r="GA23" i="19"/>
  <c r="GB23" i="19"/>
  <c r="GC23" i="19"/>
  <c r="GD23" i="19"/>
  <c r="GE23" i="19"/>
  <c r="GF23" i="19"/>
  <c r="GA24" i="19"/>
  <c r="GB24" i="19"/>
  <c r="GC24" i="19"/>
  <c r="GD24" i="19"/>
  <c r="GE24" i="19"/>
  <c r="GF24" i="19"/>
  <c r="GA25" i="19"/>
  <c r="GB25" i="19"/>
  <c r="GC25" i="19"/>
  <c r="GD25" i="19"/>
  <c r="GE25" i="19"/>
  <c r="GF25" i="19"/>
  <c r="GA26" i="19"/>
  <c r="GB26" i="19"/>
  <c r="GC26" i="19"/>
  <c r="GD26" i="19"/>
  <c r="GE26" i="19"/>
  <c r="GF26" i="19"/>
  <c r="GA27" i="19"/>
  <c r="GB27" i="19"/>
  <c r="GC27" i="19"/>
  <c r="GD27" i="19"/>
  <c r="GE27" i="19"/>
  <c r="GF27" i="19"/>
  <c r="GA28" i="19"/>
  <c r="GB28" i="19"/>
  <c r="GC28" i="19"/>
  <c r="GD28" i="19"/>
  <c r="GE28" i="19"/>
  <c r="GF28" i="19"/>
  <c r="GA29" i="19"/>
  <c r="GB29" i="19"/>
  <c r="GC29" i="19"/>
  <c r="GD29" i="19"/>
  <c r="GE29" i="19"/>
  <c r="GF29" i="19"/>
  <c r="GA30" i="19"/>
  <c r="GB30" i="19"/>
  <c r="GC30" i="19"/>
  <c r="GD30" i="19"/>
  <c r="GE30" i="19"/>
  <c r="GF30" i="19"/>
  <c r="GA31" i="19"/>
  <c r="GB31" i="19"/>
  <c r="GC31" i="19"/>
  <c r="GD31" i="19"/>
  <c r="GE31" i="19"/>
  <c r="GF31" i="19"/>
  <c r="GA32" i="19"/>
  <c r="GB32" i="19"/>
  <c r="GC32" i="19"/>
  <c r="GD32" i="19"/>
  <c r="GE32" i="19"/>
  <c r="GF32" i="19"/>
  <c r="GA33" i="19"/>
  <c r="GB33" i="19"/>
  <c r="GC33" i="19"/>
  <c r="GD33" i="19"/>
  <c r="GE33" i="19"/>
  <c r="GF33" i="19"/>
  <c r="GA34" i="19"/>
  <c r="GB34" i="19"/>
  <c r="GC34" i="19"/>
  <c r="GD34" i="19"/>
  <c r="GE34" i="19"/>
  <c r="GF34" i="19"/>
  <c r="GA35" i="19"/>
  <c r="GB35" i="19"/>
  <c r="GC35" i="19"/>
  <c r="GD35" i="19"/>
  <c r="GE35" i="19"/>
  <c r="GF35" i="19"/>
  <c r="GA36" i="19"/>
  <c r="GB36" i="19"/>
  <c r="GC36" i="19"/>
  <c r="GD36" i="19"/>
  <c r="GE36" i="19"/>
  <c r="GF36" i="19"/>
  <c r="GA37" i="19"/>
  <c r="GB37" i="19"/>
  <c r="GC37" i="19"/>
  <c r="GD37" i="19"/>
  <c r="GE37" i="19"/>
  <c r="GF37" i="19"/>
  <c r="GA38" i="19"/>
  <c r="GB38" i="19"/>
  <c r="GC38" i="19"/>
  <c r="GD38" i="19"/>
  <c r="GE38" i="19"/>
  <c r="GF38" i="19"/>
  <c r="GA39" i="19"/>
  <c r="GB39" i="19"/>
  <c r="GC39" i="19"/>
  <c r="GD39" i="19"/>
  <c r="GE39" i="19"/>
  <c r="GF39" i="19"/>
  <c r="GA40" i="19"/>
  <c r="GB40" i="19"/>
  <c r="GC40" i="19"/>
  <c r="GD40" i="19"/>
  <c r="GE40" i="19"/>
  <c r="GF40" i="19"/>
  <c r="GA41" i="19"/>
  <c r="GB41" i="19"/>
  <c r="GC41" i="19"/>
  <c r="GD41" i="19"/>
  <c r="GE41" i="19"/>
  <c r="GF41" i="19"/>
  <c r="GA42" i="19"/>
  <c r="GB42" i="19"/>
  <c r="GC42" i="19"/>
  <c r="GD42" i="19"/>
  <c r="GE42" i="19"/>
  <c r="GF42" i="19"/>
  <c r="GA43" i="19"/>
  <c r="GB43" i="19"/>
  <c r="GC43" i="19"/>
  <c r="GD43" i="19"/>
  <c r="GE43" i="19"/>
  <c r="GF43" i="19"/>
  <c r="GA44" i="19"/>
  <c r="GB44" i="19"/>
  <c r="GC44" i="19"/>
  <c r="GD44" i="19"/>
  <c r="GE44" i="19"/>
  <c r="GF44" i="19"/>
  <c r="GA45" i="19"/>
  <c r="GB45" i="19"/>
  <c r="GC45" i="19"/>
  <c r="GD45" i="19"/>
  <c r="GE45" i="19"/>
  <c r="GF45" i="19"/>
  <c r="GA46" i="19"/>
  <c r="GB46" i="19"/>
  <c r="GC46" i="19"/>
  <c r="GD46" i="19"/>
  <c r="GE46" i="19"/>
  <c r="GF46" i="19"/>
  <c r="GA47" i="19"/>
  <c r="GB47" i="19"/>
  <c r="GC47" i="19"/>
  <c r="GD47" i="19"/>
  <c r="GE47" i="19"/>
  <c r="GF47" i="19"/>
  <c r="GA48" i="19"/>
  <c r="GB48" i="19"/>
  <c r="GC48" i="19"/>
  <c r="GD48" i="19"/>
  <c r="GE48" i="19"/>
  <c r="GF48" i="19"/>
  <c r="GA49" i="19"/>
  <c r="GB49" i="19"/>
  <c r="GC49" i="19"/>
  <c r="GD49" i="19"/>
  <c r="GE49" i="19"/>
  <c r="GF49" i="19"/>
  <c r="GA50" i="19"/>
  <c r="GB50" i="19"/>
  <c r="GC50" i="19"/>
  <c r="GD50" i="19"/>
  <c r="GE50" i="19"/>
  <c r="GF50" i="19"/>
  <c r="GA51" i="19"/>
  <c r="GB51" i="19"/>
  <c r="GC51" i="19"/>
  <c r="GD51" i="19"/>
  <c r="GE51" i="19"/>
  <c r="GF51" i="19"/>
  <c r="GA52" i="19"/>
  <c r="GB52" i="19"/>
  <c r="GC52" i="19"/>
  <c r="GD52" i="19"/>
  <c r="GE52" i="19"/>
  <c r="GF52" i="19"/>
  <c r="GA53" i="19"/>
  <c r="GB53" i="19"/>
  <c r="GC53" i="19"/>
  <c r="GD53" i="19"/>
  <c r="GE53" i="19"/>
  <c r="GF53" i="19"/>
  <c r="GA54" i="19"/>
  <c r="GB54" i="19"/>
  <c r="GC54" i="19"/>
  <c r="GD54" i="19"/>
  <c r="GE54" i="19"/>
  <c r="GF54" i="19"/>
  <c r="GA55" i="19"/>
  <c r="GB55" i="19"/>
  <c r="GC55" i="19"/>
  <c r="GD55" i="19"/>
  <c r="GE55" i="19"/>
  <c r="GF55" i="19"/>
  <c r="GA56" i="19"/>
  <c r="GB56" i="19"/>
  <c r="GC56" i="19"/>
  <c r="GD56" i="19"/>
  <c r="GE56" i="19"/>
  <c r="GF56" i="19"/>
  <c r="GA57" i="19"/>
  <c r="GB57" i="19"/>
  <c r="GC57" i="19"/>
  <c r="GD57" i="19"/>
  <c r="GE57" i="19"/>
  <c r="GF57" i="19"/>
  <c r="GA58" i="19"/>
  <c r="GB58" i="19"/>
  <c r="GC58" i="19"/>
  <c r="GD58" i="19"/>
  <c r="GE58" i="19"/>
  <c r="GF58" i="19"/>
  <c r="GA59" i="19"/>
  <c r="GB59" i="19"/>
  <c r="GC59" i="19"/>
  <c r="GD59" i="19"/>
  <c r="GE59" i="19"/>
  <c r="GF59" i="19"/>
  <c r="GA60" i="19"/>
  <c r="GB60" i="19"/>
  <c r="GC60" i="19"/>
  <c r="GD60" i="19"/>
  <c r="GE60" i="19"/>
  <c r="GF60" i="19"/>
  <c r="GA61" i="19"/>
  <c r="GB61" i="19"/>
  <c r="GC61" i="19"/>
  <c r="GD61" i="19"/>
  <c r="GE61" i="19"/>
  <c r="GF61" i="19"/>
  <c r="GA62" i="19"/>
  <c r="GB62" i="19"/>
  <c r="GC62" i="19"/>
  <c r="GD62" i="19"/>
  <c r="GE62" i="19"/>
  <c r="GF62" i="19"/>
  <c r="GA63" i="19"/>
  <c r="GB63" i="19"/>
  <c r="GC63" i="19"/>
  <c r="GD63" i="19"/>
  <c r="GE63" i="19"/>
  <c r="GF63" i="19"/>
  <c r="GA64" i="19"/>
  <c r="GB64" i="19"/>
  <c r="GC64" i="19"/>
  <c r="GD64" i="19"/>
  <c r="GE64" i="19"/>
  <c r="GF64" i="19"/>
  <c r="GA65" i="19"/>
  <c r="GB65" i="19"/>
  <c r="GC65" i="19"/>
  <c r="GD65" i="19"/>
  <c r="GE65" i="19"/>
  <c r="GF65" i="19"/>
  <c r="GA66" i="19"/>
  <c r="GB66" i="19"/>
  <c r="GC66" i="19"/>
  <c r="GD66" i="19"/>
  <c r="GE66" i="19"/>
  <c r="GF66" i="19"/>
  <c r="GA67" i="19"/>
  <c r="GB67" i="19"/>
  <c r="GC67" i="19"/>
  <c r="GD67" i="19"/>
  <c r="GE67" i="19"/>
  <c r="GF67" i="19"/>
  <c r="GA68" i="19"/>
  <c r="GB68" i="19"/>
  <c r="GC68" i="19"/>
  <c r="GD68" i="19"/>
  <c r="GE68" i="19"/>
  <c r="GF68" i="19"/>
  <c r="GA69" i="19"/>
  <c r="GB69" i="19"/>
  <c r="GC69" i="19"/>
  <c r="GD69" i="19"/>
  <c r="GE69" i="19"/>
  <c r="GF69" i="19"/>
  <c r="GA70" i="19"/>
  <c r="GB70" i="19"/>
  <c r="GC70" i="19"/>
  <c r="GD70" i="19"/>
  <c r="GE70" i="19"/>
  <c r="GF70" i="19"/>
  <c r="GA71" i="19"/>
  <c r="GB71" i="19"/>
  <c r="GC71" i="19"/>
  <c r="GD71" i="19"/>
  <c r="GE71" i="19"/>
  <c r="GF71" i="19"/>
  <c r="GA72" i="19"/>
  <c r="GB72" i="19"/>
  <c r="GC72" i="19"/>
  <c r="GD72" i="19"/>
  <c r="GE72" i="19"/>
  <c r="GF72" i="19"/>
  <c r="GA73" i="19"/>
  <c r="GB73" i="19"/>
  <c r="GC73" i="19"/>
  <c r="GD73" i="19"/>
  <c r="GE73" i="19"/>
  <c r="GF73" i="19"/>
  <c r="GA74" i="19"/>
  <c r="GB74" i="19"/>
  <c r="GC74" i="19"/>
  <c r="GD74" i="19"/>
  <c r="GE74" i="19"/>
  <c r="GF74" i="19"/>
  <c r="GA75" i="19"/>
  <c r="GB75" i="19"/>
  <c r="GC75" i="19"/>
  <c r="GD75" i="19"/>
  <c r="GE75" i="19"/>
  <c r="GF75" i="19"/>
  <c r="GA76" i="19"/>
  <c r="GB76" i="19"/>
  <c r="GC76" i="19"/>
  <c r="GD76" i="19"/>
  <c r="GE76" i="19"/>
  <c r="GF76" i="19"/>
  <c r="GA77" i="19"/>
  <c r="GB77" i="19"/>
  <c r="GC77" i="19"/>
  <c r="GD77" i="19"/>
  <c r="GE77" i="19"/>
  <c r="GF77" i="19"/>
  <c r="GA78" i="19"/>
  <c r="GB78" i="19"/>
  <c r="GC78" i="19"/>
  <c r="GD78" i="19"/>
  <c r="GE78" i="19"/>
  <c r="GF78" i="19"/>
  <c r="GA79" i="19"/>
  <c r="GB79" i="19"/>
  <c r="GC79" i="19"/>
  <c r="GD79" i="19"/>
  <c r="GE79" i="19"/>
  <c r="GF79" i="19"/>
  <c r="GA80" i="19"/>
  <c r="GB80" i="19"/>
  <c r="GC80" i="19"/>
  <c r="GD80" i="19"/>
  <c r="GE80" i="19"/>
  <c r="GF80" i="19"/>
  <c r="GA81" i="19"/>
  <c r="GB81" i="19"/>
  <c r="GC81" i="19"/>
  <c r="GD81" i="19"/>
  <c r="GE81" i="19"/>
  <c r="GF81" i="19"/>
  <c r="GA82" i="19"/>
  <c r="GB82" i="19"/>
  <c r="GC82" i="19"/>
  <c r="GD82" i="19"/>
  <c r="GE82" i="19"/>
  <c r="GF82" i="19"/>
  <c r="GA83" i="19"/>
  <c r="GB83" i="19"/>
  <c r="GC83" i="19"/>
  <c r="GD83" i="19"/>
  <c r="GE83" i="19"/>
  <c r="GF83" i="19"/>
  <c r="GA84" i="19"/>
  <c r="GB84" i="19"/>
  <c r="GC84" i="19"/>
  <c r="GD84" i="19"/>
  <c r="GE84" i="19"/>
  <c r="GF84" i="19"/>
  <c r="GA85" i="19"/>
  <c r="GB85" i="19"/>
  <c r="GC85" i="19"/>
  <c r="GD85" i="19"/>
  <c r="GE85" i="19"/>
  <c r="GF85" i="19"/>
  <c r="GA86" i="19"/>
  <c r="GB86" i="19"/>
  <c r="GC86" i="19"/>
  <c r="GD86" i="19"/>
  <c r="GE86" i="19"/>
  <c r="GF86" i="19"/>
  <c r="GA87" i="19"/>
  <c r="GB87" i="19"/>
  <c r="GC87" i="19"/>
  <c r="GD87" i="19"/>
  <c r="GE87" i="19"/>
  <c r="GF87" i="19"/>
  <c r="GA88" i="19"/>
  <c r="GB88" i="19"/>
  <c r="GC88" i="19"/>
  <c r="GD88" i="19"/>
  <c r="GE88" i="19"/>
  <c r="GF88" i="19"/>
  <c r="GA89" i="19"/>
  <c r="GB89" i="19"/>
  <c r="GC89" i="19"/>
  <c r="GD89" i="19"/>
  <c r="GE89" i="19"/>
  <c r="GF89" i="19"/>
  <c r="GA90" i="19"/>
  <c r="GB90" i="19"/>
  <c r="GC90" i="19"/>
  <c r="GD90" i="19"/>
  <c r="GE90" i="19"/>
  <c r="GF90" i="19"/>
  <c r="GA91" i="19"/>
  <c r="GB91" i="19"/>
  <c r="GC91" i="19"/>
  <c r="GD91" i="19"/>
  <c r="GE91" i="19"/>
  <c r="GF91" i="19"/>
  <c r="GA92" i="19"/>
  <c r="GB92" i="19"/>
  <c r="GC92" i="19"/>
  <c r="GD92" i="19"/>
  <c r="GE92" i="19"/>
  <c r="GF92" i="19"/>
  <c r="GA93" i="19"/>
  <c r="GB93" i="19"/>
  <c r="GC93" i="19"/>
  <c r="GD93" i="19"/>
  <c r="GE93" i="19"/>
  <c r="GF93" i="19"/>
  <c r="GA94" i="19"/>
  <c r="GB94" i="19"/>
  <c r="GC94" i="19"/>
  <c r="GD94" i="19"/>
  <c r="GE94" i="19"/>
  <c r="GF94" i="19"/>
  <c r="GA95" i="19"/>
  <c r="GB95" i="19"/>
  <c r="GC95" i="19"/>
  <c r="GD95" i="19"/>
  <c r="GE95" i="19"/>
  <c r="GF95" i="19"/>
  <c r="GA96" i="19"/>
  <c r="GB96" i="19"/>
  <c r="GC96" i="19"/>
  <c r="GD96" i="19"/>
  <c r="GE96" i="19"/>
  <c r="GF96" i="19"/>
  <c r="GA97" i="19"/>
  <c r="GB97" i="19"/>
  <c r="GC97" i="19"/>
  <c r="GD97" i="19"/>
  <c r="GE97" i="19"/>
  <c r="GF97" i="19"/>
  <c r="GA98" i="19"/>
  <c r="GB98" i="19"/>
  <c r="GC98" i="19"/>
  <c r="GD98" i="19"/>
  <c r="GE98" i="19"/>
  <c r="GF98" i="19"/>
  <c r="GA99" i="19"/>
  <c r="GB99" i="19"/>
  <c r="GC99" i="19"/>
  <c r="GD99" i="19"/>
  <c r="GE99" i="19"/>
  <c r="GF99" i="19"/>
  <c r="GA100" i="19"/>
  <c r="GB100" i="19"/>
  <c r="GC100" i="19"/>
  <c r="GD100" i="19"/>
  <c r="GE100" i="19"/>
  <c r="GF100" i="19"/>
  <c r="GA101" i="19"/>
  <c r="GB101" i="19"/>
  <c r="GC101" i="19"/>
  <c r="GD101" i="19"/>
  <c r="GE101" i="19"/>
  <c r="GF101" i="19"/>
  <c r="GA102" i="19"/>
  <c r="GB102" i="19"/>
  <c r="GC102" i="19"/>
  <c r="GD102" i="19"/>
  <c r="GE102" i="19"/>
  <c r="GF102" i="19"/>
  <c r="GA103" i="19"/>
  <c r="GB103" i="19"/>
  <c r="GC103" i="19"/>
  <c r="GD103" i="19"/>
  <c r="GE103" i="19"/>
  <c r="GF103" i="19"/>
  <c r="GA104" i="19"/>
  <c r="GB104" i="19"/>
  <c r="GC104" i="19"/>
  <c r="GD104" i="19"/>
  <c r="GE104" i="19"/>
  <c r="GF104" i="19"/>
  <c r="GA105" i="19"/>
  <c r="GB105" i="19"/>
  <c r="GC105" i="19"/>
  <c r="GD105" i="19"/>
  <c r="GE105" i="19"/>
  <c r="GF105" i="19"/>
  <c r="GA106" i="19"/>
  <c r="GB106" i="19"/>
  <c r="GC106" i="19"/>
  <c r="GD106" i="19"/>
  <c r="GE106" i="19"/>
  <c r="GF106" i="19"/>
  <c r="GA107" i="19"/>
  <c r="GB107" i="19"/>
  <c r="GC107" i="19"/>
  <c r="GD107" i="19"/>
  <c r="GE107" i="19"/>
  <c r="GF107" i="19"/>
  <c r="GA108" i="19"/>
  <c r="GB108" i="19"/>
  <c r="GC108" i="19"/>
  <c r="GD108" i="19"/>
  <c r="GE108" i="19"/>
  <c r="GF108" i="19"/>
  <c r="GA109" i="19"/>
  <c r="GB109" i="19"/>
  <c r="GC109" i="19"/>
  <c r="GD109" i="19"/>
  <c r="GE109" i="19"/>
  <c r="GF109" i="19"/>
  <c r="GA110" i="19"/>
  <c r="GB110" i="19"/>
  <c r="GC110" i="19"/>
  <c r="GD110" i="19"/>
  <c r="GE110" i="19"/>
  <c r="GF110" i="19"/>
  <c r="GA111" i="19"/>
  <c r="GB111" i="19"/>
  <c r="GC111" i="19"/>
  <c r="GD111" i="19"/>
  <c r="GE111" i="19"/>
  <c r="GF111" i="19"/>
  <c r="GA112" i="19"/>
  <c r="GB112" i="19"/>
  <c r="GC112" i="19"/>
  <c r="GD112" i="19"/>
  <c r="GE112" i="19"/>
  <c r="GF112" i="19"/>
  <c r="GA113" i="19"/>
  <c r="GB113" i="19"/>
  <c r="GC113" i="19"/>
  <c r="GD113" i="19"/>
  <c r="GE113" i="19"/>
  <c r="GF113" i="19"/>
  <c r="GA114" i="19"/>
  <c r="GB114" i="19"/>
  <c r="GC114" i="19"/>
  <c r="GD114" i="19"/>
  <c r="GE114" i="19"/>
  <c r="GF114" i="19"/>
  <c r="GA115" i="19"/>
  <c r="GB115" i="19"/>
  <c r="GC115" i="19"/>
  <c r="GD115" i="19"/>
  <c r="GE115" i="19"/>
  <c r="GF115" i="19"/>
  <c r="GA116" i="19"/>
  <c r="GB116" i="19"/>
  <c r="GC116" i="19"/>
  <c r="GD116" i="19"/>
  <c r="GE116" i="19"/>
  <c r="GF116" i="19"/>
  <c r="GA117" i="19"/>
  <c r="GB117" i="19"/>
  <c r="GC117" i="19"/>
  <c r="GD117" i="19"/>
  <c r="GE117" i="19"/>
  <c r="GF117" i="19"/>
  <c r="GA118" i="19"/>
  <c r="GB118" i="19"/>
  <c r="GC118" i="19"/>
  <c r="GD118" i="19"/>
  <c r="GE118" i="19"/>
  <c r="GF118" i="19"/>
  <c r="GA119" i="19"/>
  <c r="GB119" i="19"/>
  <c r="GC119" i="19"/>
  <c r="GD119" i="19"/>
  <c r="GE119" i="19"/>
  <c r="GF119" i="19"/>
  <c r="GA120" i="19"/>
  <c r="GB120" i="19"/>
  <c r="GC120" i="19"/>
  <c r="GD120" i="19"/>
  <c r="GE120" i="19"/>
  <c r="GF120" i="19"/>
  <c r="GA121" i="19"/>
  <c r="GB121" i="19"/>
  <c r="GC121" i="19"/>
  <c r="GD121" i="19"/>
  <c r="GE121" i="19"/>
  <c r="GF121" i="19"/>
  <c r="GA122" i="19"/>
  <c r="GB122" i="19"/>
  <c r="GC122" i="19"/>
  <c r="GD122" i="19"/>
  <c r="GE122" i="19"/>
  <c r="GF122" i="19"/>
  <c r="GA123" i="19"/>
  <c r="GB123" i="19"/>
  <c r="GC123" i="19"/>
  <c r="GD123" i="19"/>
  <c r="GE123" i="19"/>
  <c r="GF123" i="19"/>
  <c r="GA124" i="19"/>
  <c r="GB124" i="19"/>
  <c r="GC124" i="19"/>
  <c r="GD124" i="19"/>
  <c r="GE124" i="19"/>
  <c r="GF124" i="19"/>
  <c r="GA125" i="19"/>
  <c r="GB125" i="19"/>
  <c r="GC125" i="19"/>
  <c r="GD125" i="19"/>
  <c r="GE125" i="19"/>
  <c r="GF125" i="19"/>
  <c r="GA126" i="19"/>
  <c r="GB126" i="19"/>
  <c r="GC126" i="19"/>
  <c r="GD126" i="19"/>
  <c r="GE126" i="19"/>
  <c r="GF126" i="19"/>
  <c r="GA127" i="19"/>
  <c r="GB127" i="19"/>
  <c r="GC127" i="19"/>
  <c r="GD127" i="19"/>
  <c r="GE127" i="19"/>
  <c r="GF127" i="19"/>
  <c r="GA128" i="19"/>
  <c r="GB128" i="19"/>
  <c r="GC128" i="19"/>
  <c r="GD128" i="19"/>
  <c r="GE128" i="19"/>
  <c r="GF128" i="19"/>
  <c r="GA129" i="19"/>
  <c r="GB129" i="19"/>
  <c r="GC129" i="19"/>
  <c r="GD129" i="19"/>
  <c r="GE129" i="19"/>
  <c r="GF129" i="19"/>
  <c r="GA130" i="19"/>
  <c r="GB130" i="19"/>
  <c r="GC130" i="19"/>
  <c r="GD130" i="19"/>
  <c r="GE130" i="19"/>
  <c r="GF130" i="19"/>
  <c r="GA131" i="19"/>
  <c r="GB131" i="19"/>
  <c r="GC131" i="19"/>
  <c r="GD131" i="19"/>
  <c r="GE131" i="19"/>
  <c r="GF131" i="19"/>
  <c r="GA132" i="19"/>
  <c r="GB132" i="19"/>
  <c r="GC132" i="19"/>
  <c r="GD132" i="19"/>
  <c r="GE132" i="19"/>
  <c r="GF132" i="19"/>
  <c r="GA133" i="19"/>
  <c r="GB133" i="19"/>
  <c r="GC133" i="19"/>
  <c r="GD133" i="19"/>
  <c r="GE133" i="19"/>
  <c r="GF133" i="19"/>
  <c r="GA134" i="19"/>
  <c r="GB134" i="19"/>
  <c r="GC134" i="19"/>
  <c r="GD134" i="19"/>
  <c r="GE134" i="19"/>
  <c r="GF134" i="19"/>
  <c r="GA135" i="19"/>
  <c r="GB135" i="19"/>
  <c r="GC135" i="19"/>
  <c r="GD135" i="19"/>
  <c r="GE135" i="19"/>
  <c r="GF135" i="19"/>
  <c r="GA136" i="19"/>
  <c r="GB136" i="19"/>
  <c r="GC136" i="19"/>
  <c r="GD136" i="19"/>
  <c r="GE136" i="19"/>
  <c r="GF136" i="19"/>
  <c r="GA137" i="19"/>
  <c r="GB137" i="19"/>
  <c r="GC137" i="19"/>
  <c r="GD137" i="19"/>
  <c r="GE137" i="19"/>
  <c r="GF137" i="19"/>
  <c r="GA138" i="19"/>
  <c r="GB138" i="19"/>
  <c r="GC138" i="19"/>
  <c r="GD138" i="19"/>
  <c r="GE138" i="19"/>
  <c r="GF138" i="19"/>
  <c r="GA139" i="19"/>
  <c r="GB139" i="19"/>
  <c r="GC139" i="19"/>
  <c r="GD139" i="19"/>
  <c r="GE139" i="19"/>
  <c r="GF139" i="19"/>
  <c r="GA140" i="19"/>
  <c r="GB140" i="19"/>
  <c r="GC140" i="19"/>
  <c r="GD140" i="19"/>
  <c r="GE140" i="19"/>
  <c r="GF140" i="19"/>
  <c r="GA141" i="19"/>
  <c r="GB141" i="19"/>
  <c r="GC141" i="19"/>
  <c r="GD141" i="19"/>
  <c r="GE141" i="19"/>
  <c r="GF141" i="19"/>
  <c r="GA142" i="19"/>
  <c r="GB142" i="19"/>
  <c r="GC142" i="19"/>
  <c r="GD142" i="19"/>
  <c r="GE142" i="19"/>
  <c r="GF142" i="19"/>
  <c r="GA143" i="19"/>
  <c r="GB143" i="19"/>
  <c r="GC143" i="19"/>
  <c r="GD143" i="19"/>
  <c r="GE143" i="19"/>
  <c r="GF143" i="19"/>
  <c r="GA144" i="19"/>
  <c r="GB144" i="19"/>
  <c r="GC144" i="19"/>
  <c r="GD144" i="19"/>
  <c r="GE144" i="19"/>
  <c r="GF144" i="19"/>
  <c r="GA145" i="19"/>
  <c r="GB145" i="19"/>
  <c r="GC145" i="19"/>
  <c r="GD145" i="19"/>
  <c r="GE145" i="19"/>
  <c r="GF145" i="19"/>
  <c r="GA146" i="19"/>
  <c r="GB146" i="19"/>
  <c r="GC146" i="19"/>
  <c r="GD146" i="19"/>
  <c r="GE146" i="19"/>
  <c r="GF146" i="19"/>
  <c r="GA147" i="19"/>
  <c r="GB147" i="19"/>
  <c r="GC147" i="19"/>
  <c r="GD147" i="19"/>
  <c r="GE147" i="19"/>
  <c r="GF147" i="19"/>
  <c r="GA148" i="19"/>
  <c r="GB148" i="19"/>
  <c r="GC148" i="19"/>
  <c r="GD148" i="19"/>
  <c r="GE148" i="19"/>
  <c r="GF148" i="19"/>
  <c r="GA149" i="19"/>
  <c r="GB149" i="19"/>
  <c r="GC149" i="19"/>
  <c r="GD149" i="19"/>
  <c r="GE149" i="19"/>
  <c r="GF149" i="19"/>
  <c r="GA150" i="19"/>
  <c r="GB150" i="19"/>
  <c r="GC150" i="19"/>
  <c r="GD150" i="19"/>
  <c r="GE150" i="19"/>
  <c r="GF150" i="19"/>
  <c r="GA151" i="19"/>
  <c r="GB151" i="19"/>
  <c r="GC151" i="19"/>
  <c r="GD151" i="19"/>
  <c r="GE151" i="19"/>
  <c r="GF151" i="19"/>
  <c r="GA152" i="19"/>
  <c r="GB152" i="19"/>
  <c r="GC152" i="19"/>
  <c r="GD152" i="19"/>
  <c r="GE152" i="19"/>
  <c r="GF152" i="19"/>
  <c r="GA153" i="19"/>
  <c r="GB153" i="19"/>
  <c r="GC153" i="19"/>
  <c r="GD153" i="19"/>
  <c r="GE153" i="19"/>
  <c r="GF153" i="19"/>
  <c r="GA154" i="19"/>
  <c r="GB154" i="19"/>
  <c r="GC154" i="19"/>
  <c r="GD154" i="19"/>
  <c r="GE154" i="19"/>
  <c r="GF154" i="19"/>
  <c r="GA155" i="19"/>
  <c r="GB155" i="19"/>
  <c r="GC155" i="19"/>
  <c r="GD155" i="19"/>
  <c r="GE155" i="19"/>
  <c r="GF155" i="19"/>
  <c r="GA156" i="19"/>
  <c r="GB156" i="19"/>
  <c r="GC156" i="19"/>
  <c r="GD156" i="19"/>
  <c r="GE156" i="19"/>
  <c r="GF156" i="19"/>
  <c r="GA157" i="19"/>
  <c r="GB157" i="19"/>
  <c r="GC157" i="19"/>
  <c r="GD157" i="19"/>
  <c r="GE157" i="19"/>
  <c r="GF157" i="19"/>
  <c r="GA158" i="19"/>
  <c r="GB158" i="19"/>
  <c r="GC158" i="19"/>
  <c r="GD158" i="19"/>
  <c r="GE158" i="19"/>
  <c r="GF158" i="19"/>
  <c r="GA159" i="19"/>
  <c r="GB159" i="19"/>
  <c r="GC159" i="19"/>
  <c r="GD159" i="19"/>
  <c r="GE159" i="19"/>
  <c r="GF159" i="19"/>
  <c r="GA160" i="19"/>
  <c r="GB160" i="19"/>
  <c r="GC160" i="19"/>
  <c r="GD160" i="19"/>
  <c r="GE160" i="19"/>
  <c r="GF160" i="19"/>
  <c r="GA161" i="19"/>
  <c r="GB161" i="19"/>
  <c r="GC161" i="19"/>
  <c r="GD161" i="19"/>
  <c r="GE161" i="19"/>
  <c r="GF161" i="19"/>
  <c r="GA162" i="19"/>
  <c r="GB162" i="19"/>
  <c r="GC162" i="19"/>
  <c r="GD162" i="19"/>
  <c r="GE162" i="19"/>
  <c r="GF162" i="19"/>
  <c r="GA163" i="19"/>
  <c r="GB163" i="19"/>
  <c r="GC163" i="19"/>
  <c r="GD163" i="19"/>
  <c r="GE163" i="19"/>
  <c r="GF163" i="19"/>
  <c r="GA164" i="19"/>
  <c r="GB164" i="19"/>
  <c r="GC164" i="19"/>
  <c r="GD164" i="19"/>
  <c r="GE164" i="19"/>
  <c r="GF164" i="19"/>
  <c r="GA165" i="19"/>
  <c r="GB165" i="19"/>
  <c r="GC165" i="19"/>
  <c r="GD165" i="19"/>
  <c r="GE165" i="19"/>
  <c r="GF165" i="19"/>
  <c r="GA166" i="19"/>
  <c r="GB166" i="19"/>
  <c r="GC166" i="19"/>
  <c r="GD166" i="19"/>
  <c r="GE166" i="19"/>
  <c r="GF166" i="19"/>
  <c r="GA167" i="19"/>
  <c r="GB167" i="19"/>
  <c r="GC167" i="19"/>
  <c r="GD167" i="19"/>
  <c r="GE167" i="19"/>
  <c r="GF167" i="19"/>
  <c r="GA168" i="19"/>
  <c r="GB168" i="19"/>
  <c r="GC168" i="19"/>
  <c r="GD168" i="19"/>
  <c r="GE168" i="19"/>
  <c r="GF168" i="19"/>
  <c r="GA169" i="19"/>
  <c r="GB169" i="19"/>
  <c r="GC169" i="19"/>
  <c r="GD169" i="19"/>
  <c r="GE169" i="19"/>
  <c r="GF169" i="19"/>
  <c r="GA170" i="19"/>
  <c r="GB170" i="19"/>
  <c r="GC170" i="19"/>
  <c r="GD170" i="19"/>
  <c r="GE170" i="19"/>
  <c r="GF170" i="19"/>
  <c r="GA171" i="19"/>
  <c r="GB171" i="19"/>
  <c r="GC171" i="19"/>
  <c r="GD171" i="19"/>
  <c r="GE171" i="19"/>
  <c r="GF171" i="19"/>
  <c r="GA172" i="19"/>
  <c r="GB172" i="19"/>
  <c r="GC172" i="19"/>
  <c r="GD172" i="19"/>
  <c r="GE172" i="19"/>
  <c r="GF172" i="19"/>
  <c r="GA173" i="19"/>
  <c r="GB173" i="19"/>
  <c r="GC173" i="19"/>
  <c r="GD173" i="19"/>
  <c r="GE173" i="19"/>
  <c r="GF173" i="19"/>
  <c r="GA174" i="19"/>
  <c r="GB174" i="19"/>
  <c r="GC174" i="19"/>
  <c r="GD174" i="19"/>
  <c r="GE174" i="19"/>
  <c r="GF174" i="19"/>
  <c r="GA175" i="19"/>
  <c r="GB175" i="19"/>
  <c r="GC175" i="19"/>
  <c r="GD175" i="19"/>
  <c r="GE175" i="19"/>
  <c r="GF175" i="19"/>
  <c r="GA176" i="19"/>
  <c r="GB176" i="19"/>
  <c r="GC176" i="19"/>
  <c r="GD176" i="19"/>
  <c r="GE176" i="19"/>
  <c r="GF176" i="19"/>
  <c r="GA177" i="19"/>
  <c r="GB177" i="19"/>
  <c r="GC177" i="19"/>
  <c r="GD177" i="19"/>
  <c r="GE177" i="19"/>
  <c r="GF177" i="19"/>
  <c r="GA178" i="19"/>
  <c r="GB178" i="19"/>
  <c r="GC178" i="19"/>
  <c r="GD178" i="19"/>
  <c r="GE178" i="19"/>
  <c r="GF178" i="19"/>
  <c r="GA179" i="19"/>
  <c r="GB179" i="19"/>
  <c r="GC179" i="19"/>
  <c r="GD179" i="19"/>
  <c r="GE179" i="19"/>
  <c r="GF179" i="19"/>
  <c r="GA180" i="19"/>
  <c r="GB180" i="19"/>
  <c r="GC180" i="19"/>
  <c r="GD180" i="19"/>
  <c r="GE180" i="19"/>
  <c r="GF180" i="19"/>
  <c r="GA181" i="19"/>
  <c r="GB181" i="19"/>
  <c r="GC181" i="19"/>
  <c r="GD181" i="19"/>
  <c r="GE181" i="19"/>
  <c r="GF181" i="19"/>
  <c r="GA182" i="19"/>
  <c r="GB182" i="19"/>
  <c r="GC182" i="19"/>
  <c r="GD182" i="19"/>
  <c r="GE182" i="19"/>
  <c r="GF182" i="19"/>
  <c r="GA183" i="19"/>
  <c r="GB183" i="19"/>
  <c r="GC183" i="19"/>
  <c r="GD183" i="19"/>
  <c r="GE183" i="19"/>
  <c r="GF183" i="19"/>
  <c r="GA184" i="19"/>
  <c r="GB184" i="19"/>
  <c r="GC184" i="19"/>
  <c r="GD184" i="19"/>
  <c r="GE184" i="19"/>
  <c r="GF184" i="19"/>
  <c r="GA185" i="19"/>
  <c r="GB185" i="19"/>
  <c r="GC185" i="19"/>
  <c r="GD185" i="19"/>
  <c r="GE185" i="19"/>
  <c r="GF185" i="19"/>
  <c r="GA186" i="19"/>
  <c r="GB186" i="19"/>
  <c r="GC186" i="19"/>
  <c r="GD186" i="19"/>
  <c r="GE186" i="19"/>
  <c r="GF186" i="19"/>
  <c r="GA187" i="19"/>
  <c r="GB187" i="19"/>
  <c r="GC187" i="19"/>
  <c r="GD187" i="19"/>
  <c r="GE187" i="19"/>
  <c r="GF187" i="19"/>
  <c r="GA188" i="19"/>
  <c r="GB188" i="19"/>
  <c r="GC188" i="19"/>
  <c r="GD188" i="19"/>
  <c r="GE188" i="19"/>
  <c r="GF188" i="19"/>
  <c r="GA189" i="19"/>
  <c r="GB189" i="19"/>
  <c r="GC189" i="19"/>
  <c r="GD189" i="19"/>
  <c r="GE189" i="19"/>
  <c r="GF189" i="19"/>
  <c r="GA190" i="19"/>
  <c r="GB190" i="19"/>
  <c r="GC190" i="19"/>
  <c r="GD190" i="19"/>
  <c r="GE190" i="19"/>
  <c r="GF190" i="19"/>
  <c r="GA191" i="19"/>
  <c r="GB191" i="19"/>
  <c r="GC191" i="19"/>
  <c r="GD191" i="19"/>
  <c r="GE191" i="19"/>
  <c r="GF191" i="19"/>
  <c r="GA192" i="19"/>
  <c r="GB192" i="19"/>
  <c r="GC192" i="19"/>
  <c r="GD192" i="19"/>
  <c r="GE192" i="19"/>
  <c r="GF192" i="19"/>
  <c r="GA193" i="19"/>
  <c r="GB193" i="19"/>
  <c r="GC193" i="19"/>
  <c r="GD193" i="19"/>
  <c r="GE193" i="19"/>
  <c r="GF193" i="19"/>
  <c r="GA194" i="19"/>
  <c r="GB194" i="19"/>
  <c r="GC194" i="19"/>
  <c r="GD194" i="19"/>
  <c r="GE194" i="19"/>
  <c r="GF194" i="19"/>
  <c r="GA195" i="19"/>
  <c r="GB195" i="19"/>
  <c r="GC195" i="19"/>
  <c r="GD195" i="19"/>
  <c r="GE195" i="19"/>
  <c r="GF195" i="19"/>
  <c r="GA196" i="19"/>
  <c r="GB196" i="19"/>
  <c r="GC196" i="19"/>
  <c r="GD196" i="19"/>
  <c r="GE196" i="19"/>
  <c r="GF196" i="19"/>
  <c r="GA197" i="19"/>
  <c r="GB197" i="19"/>
  <c r="GC197" i="19"/>
  <c r="GD197" i="19"/>
  <c r="GE197" i="19"/>
  <c r="GF197" i="19"/>
  <c r="GA198" i="19"/>
  <c r="GB198" i="19"/>
  <c r="GC198" i="19"/>
  <c r="GD198" i="19"/>
  <c r="GE198" i="19"/>
  <c r="GF198" i="19"/>
  <c r="GA199" i="19"/>
  <c r="GB199" i="19"/>
  <c r="GC199" i="19"/>
  <c r="GD199" i="19"/>
  <c r="GE199" i="19"/>
  <c r="GF199" i="19"/>
  <c r="GA200" i="19"/>
  <c r="GB200" i="19"/>
  <c r="GC200" i="19"/>
  <c r="GD200" i="19"/>
  <c r="GE200" i="19"/>
  <c r="GF200" i="19"/>
  <c r="GA201" i="19"/>
  <c r="GB201" i="19"/>
  <c r="GC201" i="19"/>
  <c r="GD201" i="19"/>
  <c r="GE201" i="19"/>
  <c r="GF201" i="19"/>
  <c r="GA202" i="19"/>
  <c r="GB202" i="19"/>
  <c r="GC202" i="19"/>
  <c r="GD202" i="19"/>
  <c r="GE202" i="19"/>
  <c r="GF202" i="19"/>
  <c r="GA203" i="19"/>
  <c r="GB203" i="19"/>
  <c r="GC203" i="19"/>
  <c r="GD203" i="19"/>
  <c r="GE203" i="19"/>
  <c r="GF203" i="19"/>
  <c r="GA204" i="19"/>
  <c r="GB204" i="19"/>
  <c r="GC204" i="19"/>
  <c r="GD204" i="19"/>
  <c r="GE204" i="19"/>
  <c r="GF204" i="19"/>
  <c r="GA205" i="19"/>
  <c r="GB205" i="19"/>
  <c r="GC205" i="19"/>
  <c r="GD205" i="19"/>
  <c r="GE205" i="19"/>
  <c r="GF205" i="19"/>
  <c r="GA206" i="19"/>
  <c r="GB206" i="19"/>
  <c r="GC206" i="19"/>
  <c r="GD206" i="19"/>
  <c r="GE206" i="19"/>
  <c r="GF206" i="19"/>
  <c r="GA207" i="19"/>
  <c r="GB207" i="19"/>
  <c r="GC207" i="19"/>
  <c r="GD207" i="19"/>
  <c r="GE207" i="19"/>
  <c r="GF207" i="19"/>
  <c r="GA208" i="19"/>
  <c r="GB208" i="19"/>
  <c r="GC208" i="19"/>
  <c r="GD208" i="19"/>
  <c r="GE208" i="19"/>
  <c r="GF208" i="19"/>
  <c r="GA209" i="19"/>
  <c r="GB209" i="19"/>
  <c r="GC209" i="19"/>
  <c r="GD209" i="19"/>
  <c r="GE209" i="19"/>
  <c r="GF209" i="19"/>
  <c r="GA210" i="19"/>
  <c r="GB210" i="19"/>
  <c r="GC210" i="19"/>
  <c r="GD210" i="19"/>
  <c r="GE210" i="19"/>
  <c r="GF210" i="19"/>
  <c r="GA211" i="19"/>
  <c r="GB211" i="19"/>
  <c r="GC211" i="19"/>
  <c r="GD211" i="19"/>
  <c r="GE211" i="19"/>
  <c r="GF211" i="19"/>
  <c r="GA212" i="19"/>
  <c r="GB212" i="19"/>
  <c r="GC212" i="19"/>
  <c r="GD212" i="19"/>
  <c r="GE212" i="19"/>
  <c r="GF212" i="19"/>
  <c r="GA213" i="19"/>
  <c r="GB213" i="19"/>
  <c r="GC213" i="19"/>
  <c r="GD213" i="19"/>
  <c r="GE213" i="19"/>
  <c r="GF213" i="19"/>
  <c r="GA214" i="19"/>
  <c r="GB214" i="19"/>
  <c r="GC214" i="19"/>
  <c r="GD214" i="19"/>
  <c r="GE214" i="19"/>
  <c r="GF214" i="19"/>
  <c r="GA215" i="19"/>
  <c r="GB215" i="19"/>
  <c r="GC215" i="19"/>
  <c r="GD215" i="19"/>
  <c r="GE215" i="19"/>
  <c r="GF215" i="19"/>
  <c r="GA216" i="19"/>
  <c r="GB216" i="19"/>
  <c r="GC216" i="19"/>
  <c r="GD216" i="19"/>
  <c r="GE216" i="19"/>
  <c r="GF216" i="19"/>
  <c r="GA217" i="19"/>
  <c r="GB217" i="19"/>
  <c r="GC217" i="19"/>
  <c r="GD217" i="19"/>
  <c r="GE217" i="19"/>
  <c r="GF217" i="19"/>
  <c r="GA218" i="19"/>
  <c r="GB218" i="19"/>
  <c r="GC218" i="19"/>
  <c r="GD218" i="19"/>
  <c r="GE218" i="19"/>
  <c r="GF218" i="19"/>
  <c r="GA219" i="19"/>
  <c r="GB219" i="19"/>
  <c r="GC219" i="19"/>
  <c r="GD219" i="19"/>
  <c r="GE219" i="19"/>
  <c r="GF219" i="19"/>
  <c r="GA220" i="19"/>
  <c r="GB220" i="19"/>
  <c r="GC220" i="19"/>
  <c r="GD220" i="19"/>
  <c r="GE220" i="19"/>
  <c r="GF220" i="19"/>
  <c r="GA221" i="19"/>
  <c r="GB221" i="19"/>
  <c r="GC221" i="19"/>
  <c r="GD221" i="19"/>
  <c r="GE221" i="19"/>
  <c r="GF221" i="19"/>
  <c r="GA222" i="19"/>
  <c r="GB222" i="19"/>
  <c r="GC222" i="19"/>
  <c r="GD222" i="19"/>
  <c r="GE222" i="19"/>
  <c r="GF222" i="19"/>
  <c r="GA223" i="19"/>
  <c r="GB223" i="19"/>
  <c r="GC223" i="19"/>
  <c r="GD223" i="19"/>
  <c r="GE223" i="19"/>
  <c r="GF223" i="19"/>
  <c r="GA224" i="19"/>
  <c r="GB224" i="19"/>
  <c r="GC224" i="19"/>
  <c r="GD224" i="19"/>
  <c r="GE224" i="19"/>
  <c r="GF224" i="19"/>
  <c r="GA225" i="19"/>
  <c r="GB225" i="19"/>
  <c r="GC225" i="19"/>
  <c r="GD225" i="19"/>
  <c r="GE225" i="19"/>
  <c r="GF225" i="19"/>
  <c r="GA226" i="19"/>
  <c r="GB226" i="19"/>
  <c r="GC226" i="19"/>
  <c r="GD226" i="19"/>
  <c r="GE226" i="19"/>
  <c r="GF226" i="19"/>
  <c r="GA227" i="19"/>
  <c r="GB227" i="19"/>
  <c r="GC227" i="19"/>
  <c r="GD227" i="19"/>
  <c r="GE227" i="19"/>
  <c r="GF227" i="19"/>
  <c r="GA228" i="19"/>
  <c r="GB228" i="19"/>
  <c r="GC228" i="19"/>
  <c r="GD228" i="19"/>
  <c r="GE228" i="19"/>
  <c r="GF228" i="19"/>
  <c r="GA229" i="19"/>
  <c r="GB229" i="19"/>
  <c r="GC229" i="19"/>
  <c r="GD229" i="19"/>
  <c r="GE229" i="19"/>
  <c r="GF229" i="19"/>
  <c r="GA230" i="19"/>
  <c r="GB230" i="19"/>
  <c r="GC230" i="19"/>
  <c r="GD230" i="19"/>
  <c r="GE230" i="19"/>
  <c r="GF230" i="19"/>
  <c r="GA231" i="19"/>
  <c r="GB231" i="19"/>
  <c r="GC231" i="19"/>
  <c r="GD231" i="19"/>
  <c r="GE231" i="19"/>
  <c r="GF231" i="19"/>
  <c r="GA232" i="19"/>
  <c r="GB232" i="19"/>
  <c r="GC232" i="19"/>
  <c r="GD232" i="19"/>
  <c r="GE232" i="19"/>
  <c r="GF232" i="19"/>
  <c r="GA233" i="19"/>
  <c r="GB233" i="19"/>
  <c r="GC233" i="19"/>
  <c r="GD233" i="19"/>
  <c r="GE233" i="19"/>
  <c r="GF233" i="19"/>
  <c r="GA234" i="19"/>
  <c r="GB234" i="19"/>
  <c r="GC234" i="19"/>
  <c r="GD234" i="19"/>
  <c r="GE234" i="19"/>
  <c r="GF234" i="19"/>
  <c r="GA235" i="19"/>
  <c r="GB235" i="19"/>
  <c r="GC235" i="19"/>
  <c r="GD235" i="19"/>
  <c r="GE235" i="19"/>
  <c r="GF235" i="19"/>
  <c r="GA236" i="19"/>
  <c r="GB236" i="19"/>
  <c r="GC236" i="19"/>
  <c r="GD236" i="19"/>
  <c r="GE236" i="19"/>
  <c r="GF236" i="19"/>
  <c r="GA237" i="19"/>
  <c r="GB237" i="19"/>
  <c r="GC237" i="19"/>
  <c r="GD237" i="19"/>
  <c r="GE237" i="19"/>
  <c r="GF237" i="19"/>
  <c r="GA238" i="19"/>
  <c r="GB238" i="19"/>
  <c r="GC238" i="19"/>
  <c r="GD238" i="19"/>
  <c r="GE238" i="19"/>
  <c r="GF238" i="19"/>
  <c r="GA239" i="19"/>
  <c r="GB239" i="19"/>
  <c r="GC239" i="19"/>
  <c r="GD239" i="19"/>
  <c r="GE239" i="19"/>
  <c r="GF239" i="19"/>
  <c r="GA240" i="19"/>
  <c r="GB240" i="19"/>
  <c r="GC240" i="19"/>
  <c r="GD240" i="19"/>
  <c r="GE240" i="19"/>
  <c r="GF240" i="19"/>
  <c r="GA241" i="19"/>
  <c r="GB241" i="19"/>
  <c r="GC241" i="19"/>
  <c r="GD241" i="19"/>
  <c r="GE241" i="19"/>
  <c r="GF241" i="19"/>
  <c r="GA242" i="19"/>
  <c r="GB242" i="19"/>
  <c r="GC242" i="19"/>
  <c r="GD242" i="19"/>
  <c r="GE242" i="19"/>
  <c r="GF242" i="19"/>
  <c r="GA243" i="19"/>
  <c r="GB243" i="19"/>
  <c r="GC243" i="19"/>
  <c r="GD243" i="19"/>
  <c r="GE243" i="19"/>
  <c r="GF243" i="19"/>
  <c r="GA244" i="19"/>
  <c r="GB244" i="19"/>
  <c r="GC244" i="19"/>
  <c r="GD244" i="19"/>
  <c r="GE244" i="19"/>
  <c r="GF244" i="19"/>
  <c r="GA245" i="19"/>
  <c r="GB245" i="19"/>
  <c r="GC245" i="19"/>
  <c r="GD245" i="19"/>
  <c r="GE245" i="19"/>
  <c r="GF245" i="19"/>
  <c r="GA246" i="19"/>
  <c r="GB246" i="19"/>
  <c r="GC246" i="19"/>
  <c r="GD246" i="19"/>
  <c r="GE246" i="19"/>
  <c r="GF246" i="19"/>
  <c r="GA247" i="19"/>
  <c r="GB247" i="19"/>
  <c r="GC247" i="19"/>
  <c r="GD247" i="19"/>
  <c r="GE247" i="19"/>
  <c r="GF247" i="19"/>
  <c r="GA248" i="19"/>
  <c r="GB248" i="19"/>
  <c r="GC248" i="19"/>
  <c r="GD248" i="19"/>
  <c r="GE248" i="19"/>
  <c r="GF248" i="19"/>
  <c r="GA249" i="19"/>
  <c r="GB249" i="19"/>
  <c r="GC249" i="19"/>
  <c r="GD249" i="19"/>
  <c r="GE249" i="19"/>
  <c r="GF249" i="19"/>
  <c r="GA250" i="19"/>
  <c r="GB250" i="19"/>
  <c r="GC250" i="19"/>
  <c r="GD250" i="19"/>
  <c r="GF250" i="19"/>
  <c r="GA251" i="19"/>
  <c r="GB251" i="19"/>
  <c r="GC251" i="19"/>
  <c r="GD251" i="19"/>
  <c r="GF251" i="19"/>
  <c r="GA252" i="19"/>
  <c r="GB252" i="19"/>
  <c r="GC252" i="19"/>
  <c r="GD252" i="19"/>
  <c r="GF252" i="19"/>
  <c r="GA253" i="19"/>
  <c r="GB253" i="19"/>
  <c r="GC253" i="19"/>
  <c r="GD253" i="19"/>
  <c r="GF253" i="19"/>
  <c r="GA254" i="19"/>
  <c r="GB254" i="19"/>
  <c r="GC254" i="19"/>
  <c r="GD254" i="19"/>
  <c r="GF254" i="19"/>
  <c r="GA255" i="19"/>
  <c r="GB255" i="19"/>
  <c r="GC255" i="19"/>
  <c r="GD255" i="19"/>
  <c r="GF255" i="19"/>
  <c r="GA256" i="19"/>
  <c r="GB256" i="19"/>
  <c r="GC256" i="19"/>
  <c r="GD256" i="19"/>
  <c r="GF256" i="19"/>
  <c r="GA257" i="19"/>
  <c r="GB257" i="19"/>
  <c r="GC257" i="19"/>
  <c r="GD257" i="19"/>
  <c r="GF257" i="19"/>
  <c r="GA258" i="19"/>
  <c r="GB258" i="19"/>
  <c r="GC258" i="19"/>
  <c r="GD258" i="19"/>
  <c r="GF258" i="19"/>
  <c r="GA259" i="19"/>
  <c r="GB259" i="19"/>
  <c r="GC259" i="19"/>
  <c r="GD259" i="19"/>
  <c r="GF259" i="19"/>
  <c r="GA260" i="19"/>
  <c r="GB260" i="19"/>
  <c r="GC260" i="19"/>
  <c r="GD260" i="19"/>
  <c r="GF260" i="19"/>
  <c r="GA261" i="19"/>
  <c r="GB261" i="19"/>
  <c r="GC261" i="19"/>
  <c r="GD261" i="19"/>
  <c r="GF261" i="19"/>
  <c r="GA262" i="19"/>
  <c r="GB262" i="19"/>
  <c r="GC262" i="19"/>
  <c r="GD262" i="19"/>
  <c r="GF262" i="19"/>
  <c r="GA263" i="19"/>
  <c r="GB263" i="19"/>
  <c r="GC263" i="19"/>
  <c r="GD263" i="19"/>
  <c r="GF263" i="19"/>
  <c r="GA264" i="19"/>
  <c r="GB264" i="19"/>
  <c r="GC264" i="19"/>
  <c r="GD264" i="19"/>
  <c r="GF264" i="19"/>
  <c r="GA265" i="19"/>
  <c r="GB265" i="19"/>
  <c r="GC265" i="19"/>
  <c r="GD265" i="19"/>
  <c r="GF265" i="19"/>
  <c r="GA266" i="19"/>
  <c r="GB266" i="19"/>
  <c r="GC266" i="19"/>
  <c r="GD266" i="19"/>
  <c r="GF266" i="19"/>
  <c r="GA267" i="19"/>
  <c r="GB267" i="19"/>
  <c r="GC267" i="19"/>
  <c r="GD267" i="19"/>
  <c r="GF267" i="19"/>
  <c r="GA268" i="19"/>
  <c r="GB268" i="19"/>
  <c r="GC268" i="19"/>
  <c r="GD268" i="19"/>
  <c r="GF268" i="19"/>
  <c r="GA269" i="19"/>
  <c r="GB269" i="19"/>
  <c r="GC269" i="19"/>
  <c r="GD269" i="19"/>
  <c r="GF269" i="19"/>
  <c r="GA270" i="19"/>
  <c r="GB270" i="19"/>
  <c r="GC270" i="19"/>
  <c r="GD270" i="19"/>
  <c r="GF270" i="19"/>
  <c r="GA271" i="19"/>
  <c r="GB271" i="19"/>
  <c r="GC271" i="19"/>
  <c r="GD271" i="19"/>
  <c r="GF271" i="19"/>
  <c r="GA272" i="19"/>
  <c r="GB272" i="19"/>
  <c r="GC272" i="19"/>
  <c r="GD272" i="19"/>
  <c r="GF272" i="19"/>
  <c r="GA273" i="19"/>
  <c r="GB273" i="19"/>
  <c r="GC273" i="19"/>
  <c r="GD273" i="19"/>
  <c r="GF273" i="19"/>
  <c r="GA274" i="19"/>
  <c r="GB274" i="19"/>
  <c r="GC274" i="19"/>
  <c r="GD274" i="19"/>
  <c r="GF274" i="19"/>
  <c r="GA275" i="19"/>
  <c r="GB275" i="19"/>
  <c r="GC275" i="19"/>
  <c r="GD275" i="19"/>
  <c r="GF275" i="19"/>
  <c r="GA276" i="19"/>
  <c r="GB276" i="19"/>
  <c r="GC276" i="19"/>
  <c r="GD276" i="19"/>
  <c r="GF276" i="19"/>
  <c r="GA277" i="19"/>
  <c r="GB277" i="19"/>
  <c r="GC277" i="19"/>
  <c r="GD277" i="19"/>
  <c r="GF277" i="19"/>
  <c r="GA278" i="19"/>
  <c r="GB278" i="19"/>
  <c r="GC278" i="19"/>
  <c r="GD278" i="19"/>
  <c r="GF278" i="19"/>
  <c r="GA279" i="19"/>
  <c r="GB279" i="19"/>
  <c r="GD279" i="19"/>
  <c r="GF279" i="19"/>
  <c r="GA280" i="19"/>
  <c r="GB280" i="19"/>
  <c r="GD280" i="19"/>
  <c r="GF280" i="19"/>
  <c r="J2" i="17" l="1"/>
  <c r="K2" i="17" s="1"/>
  <c r="J3" i="17"/>
  <c r="K3" i="17" s="1"/>
  <c r="J4" i="17"/>
  <c r="K4" i="17" s="1"/>
  <c r="J5" i="17"/>
  <c r="K5" i="17" s="1"/>
  <c r="J6" i="17"/>
  <c r="K6" i="17" s="1"/>
  <c r="J7" i="17"/>
  <c r="K7" i="17" s="1"/>
  <c r="J8" i="17"/>
  <c r="K8" i="17" s="1"/>
  <c r="J9" i="17"/>
  <c r="K9" i="17" s="1"/>
  <c r="J10" i="17"/>
  <c r="K10" i="17" s="1"/>
  <c r="J11" i="17"/>
  <c r="K11" i="17" s="1"/>
  <c r="J12" i="17"/>
  <c r="K12" i="17" s="1"/>
  <c r="J13" i="17"/>
  <c r="K13" i="17" s="1"/>
  <c r="J14" i="17"/>
  <c r="K14" i="17" s="1"/>
  <c r="J15" i="17"/>
  <c r="K15" i="17" s="1"/>
  <c r="J16" i="17"/>
  <c r="K16" i="17" s="1"/>
  <c r="J17" i="17"/>
  <c r="K17" i="17" s="1"/>
  <c r="J18" i="17"/>
  <c r="K18" i="17" s="1"/>
  <c r="J19" i="17"/>
  <c r="K19" i="17" s="1"/>
  <c r="J20" i="17"/>
  <c r="K20" i="17" s="1"/>
  <c r="J21" i="17"/>
  <c r="K21" i="17" s="1"/>
  <c r="J22" i="17"/>
  <c r="K22" i="17" s="1"/>
  <c r="J23" i="17"/>
  <c r="K23" i="17" s="1"/>
  <c r="J24" i="17"/>
  <c r="K24" i="17" s="1"/>
  <c r="J25" i="17"/>
  <c r="K25" i="17" s="1"/>
  <c r="J26" i="17"/>
  <c r="K26" i="17" s="1"/>
  <c r="J27" i="17"/>
  <c r="K27" i="17" s="1"/>
  <c r="J28" i="17"/>
  <c r="K28" i="17" s="1"/>
  <c r="J29" i="17"/>
  <c r="K29" i="17" s="1"/>
  <c r="J30" i="17"/>
  <c r="K30" i="17" s="1"/>
  <c r="J31" i="17"/>
  <c r="K31" i="17" s="1"/>
  <c r="J32" i="17"/>
  <c r="K32" i="17" s="1"/>
  <c r="J33" i="17"/>
  <c r="K33" i="17" s="1"/>
  <c r="J34" i="17"/>
  <c r="K34" i="17" s="1"/>
  <c r="J35" i="17"/>
  <c r="K35" i="17" s="1"/>
  <c r="J36" i="17"/>
  <c r="K36" i="17" s="1"/>
  <c r="J37" i="17"/>
  <c r="K37" i="17" s="1"/>
  <c r="J38" i="17"/>
  <c r="K38" i="17" s="1"/>
  <c r="J39" i="17"/>
  <c r="K39" i="17" s="1"/>
  <c r="J40" i="17"/>
  <c r="K40" i="17" s="1"/>
  <c r="J41" i="17"/>
  <c r="K41" i="17" s="1"/>
  <c r="J42" i="17"/>
  <c r="K42" i="17" s="1"/>
  <c r="J43" i="17"/>
  <c r="K43" i="17" s="1"/>
  <c r="J44" i="17"/>
  <c r="K44" i="17" s="1"/>
  <c r="J45" i="17"/>
  <c r="K45" i="17" s="1"/>
  <c r="J46" i="17"/>
  <c r="K46" i="17" s="1"/>
  <c r="J47" i="17"/>
  <c r="K47" i="17" s="1"/>
  <c r="J48" i="17"/>
  <c r="K48" i="17" s="1"/>
  <c r="J49" i="17"/>
  <c r="K49" i="17" s="1"/>
  <c r="J50" i="17"/>
  <c r="K50" i="17" s="1"/>
  <c r="J51" i="17"/>
  <c r="K51" i="17" s="1"/>
  <c r="J52" i="17"/>
  <c r="K52" i="17" s="1"/>
  <c r="J53" i="17"/>
  <c r="K53" i="17" s="1"/>
  <c r="J54" i="17"/>
  <c r="K54" i="17" s="1"/>
  <c r="J55" i="17"/>
  <c r="K55" i="17" s="1"/>
  <c r="J56" i="17"/>
  <c r="K56" i="17" s="1"/>
  <c r="J57" i="17"/>
  <c r="K57" i="17" s="1"/>
  <c r="J58" i="17"/>
  <c r="K58" i="17" s="1"/>
  <c r="J59" i="17"/>
  <c r="K59" i="17" s="1"/>
  <c r="J60" i="17"/>
  <c r="K60" i="17" s="1"/>
  <c r="J61" i="17"/>
  <c r="K61" i="17" s="1"/>
  <c r="J62" i="17"/>
  <c r="K62" i="17" s="1"/>
  <c r="J63" i="17"/>
  <c r="K63" i="17" s="1"/>
  <c r="J64" i="17"/>
  <c r="K64" i="17" s="1"/>
  <c r="J65" i="17"/>
  <c r="K65" i="17" s="1"/>
  <c r="J66" i="17"/>
  <c r="K66" i="17" s="1"/>
  <c r="J67" i="17"/>
  <c r="K67" i="17" s="1"/>
  <c r="J68" i="17"/>
  <c r="K68" i="17" s="1"/>
  <c r="J69" i="17"/>
  <c r="K69" i="17" s="1"/>
  <c r="J70" i="17"/>
  <c r="K70" i="17" s="1"/>
  <c r="J71" i="17"/>
  <c r="K71" i="17" s="1"/>
  <c r="J72" i="17"/>
  <c r="K72" i="17" s="1"/>
  <c r="J73" i="17"/>
  <c r="K73" i="17" s="1"/>
  <c r="J74" i="17"/>
  <c r="K74" i="17" s="1"/>
  <c r="J75" i="17"/>
  <c r="K75" i="17" s="1"/>
  <c r="J76" i="17"/>
  <c r="K76" i="17" s="1"/>
  <c r="J77" i="17"/>
  <c r="K77" i="17" s="1"/>
  <c r="J78" i="17"/>
  <c r="K78" i="17" s="1"/>
  <c r="J79" i="17"/>
  <c r="K79" i="17" s="1"/>
  <c r="J80" i="17"/>
  <c r="K80" i="17" s="1"/>
  <c r="J81" i="17"/>
  <c r="K81" i="17" s="1"/>
  <c r="J82" i="17"/>
  <c r="K82" i="17" s="1"/>
  <c r="J83" i="17"/>
  <c r="K83" i="17" s="1"/>
  <c r="J84" i="17"/>
  <c r="K84" i="17" s="1"/>
  <c r="J85" i="17"/>
  <c r="K85" i="17" s="1"/>
  <c r="J86" i="17"/>
  <c r="K86" i="17" s="1"/>
  <c r="J87" i="17"/>
  <c r="K87" i="17" s="1"/>
  <c r="J88" i="17"/>
  <c r="K88" i="17" s="1"/>
  <c r="J89" i="17"/>
  <c r="K89" i="17" s="1"/>
  <c r="J90" i="17"/>
  <c r="K90" i="17" s="1"/>
  <c r="J91" i="17"/>
  <c r="K91" i="17" s="1"/>
  <c r="J92" i="17"/>
  <c r="K92" i="17" s="1"/>
  <c r="J93" i="17"/>
  <c r="K93" i="17" s="1"/>
  <c r="J94" i="17"/>
  <c r="K94" i="17" s="1"/>
  <c r="J95" i="17"/>
  <c r="K95" i="17" s="1"/>
  <c r="J96" i="17"/>
  <c r="K96" i="17" s="1"/>
  <c r="J97" i="17"/>
  <c r="K97" i="17" s="1"/>
  <c r="J98" i="17"/>
  <c r="K98" i="17" s="1"/>
  <c r="J99" i="17"/>
  <c r="K99" i="17" s="1"/>
  <c r="J100" i="17"/>
  <c r="K100" i="17" s="1"/>
  <c r="J101" i="17"/>
  <c r="K101" i="17" s="1"/>
  <c r="J102" i="17"/>
  <c r="K102" i="17" s="1"/>
  <c r="J103" i="17"/>
  <c r="K103" i="17" s="1"/>
  <c r="J104" i="17"/>
  <c r="K104" i="17" s="1"/>
  <c r="J105" i="17"/>
  <c r="K105" i="17" s="1"/>
  <c r="J106" i="17"/>
  <c r="K106" i="17" s="1"/>
  <c r="J107" i="17"/>
  <c r="K107" i="17" s="1"/>
  <c r="J108" i="17"/>
  <c r="K108" i="17" s="1"/>
  <c r="J109" i="17"/>
  <c r="K109" i="17" s="1"/>
  <c r="J110" i="17"/>
  <c r="K110" i="17" s="1"/>
  <c r="J111" i="17"/>
  <c r="K111" i="17" s="1"/>
  <c r="J112" i="17"/>
  <c r="K112" i="17" s="1"/>
  <c r="J113" i="17"/>
  <c r="K113" i="17" s="1"/>
  <c r="J114" i="17"/>
  <c r="K114" i="17" s="1"/>
  <c r="J115" i="17"/>
  <c r="K115" i="17" s="1"/>
  <c r="J116" i="17"/>
  <c r="K116" i="17" s="1"/>
  <c r="J117" i="17"/>
  <c r="K117" i="17" s="1"/>
  <c r="J118" i="17"/>
  <c r="K118" i="17" s="1"/>
  <c r="J119" i="17"/>
  <c r="K119" i="17" s="1"/>
  <c r="J120" i="17"/>
  <c r="K120" i="17" s="1"/>
  <c r="J121" i="17"/>
  <c r="K121" i="17" s="1"/>
  <c r="J122" i="17"/>
  <c r="K122" i="17" s="1"/>
  <c r="J123" i="17"/>
  <c r="K123" i="17" s="1"/>
  <c r="J124" i="17"/>
  <c r="K124" i="17" s="1"/>
  <c r="J125" i="17"/>
  <c r="K125" i="17" s="1"/>
  <c r="J126" i="17"/>
  <c r="K126" i="17" s="1"/>
  <c r="J127" i="17"/>
  <c r="K127" i="17" s="1"/>
  <c r="J128" i="17"/>
  <c r="K128" i="17" s="1"/>
  <c r="J129" i="17"/>
  <c r="K129" i="17" s="1"/>
  <c r="J130" i="17"/>
  <c r="K130" i="17" s="1"/>
  <c r="J131" i="17"/>
  <c r="K131" i="17" s="1"/>
  <c r="J132" i="17"/>
  <c r="K132" i="17" s="1"/>
  <c r="J133" i="17"/>
  <c r="K133" i="17" s="1"/>
  <c r="J134" i="17"/>
  <c r="K134" i="17" s="1"/>
  <c r="J135" i="17"/>
  <c r="K135" i="17" s="1"/>
  <c r="J136" i="17"/>
  <c r="K136" i="17" s="1"/>
  <c r="J137" i="17"/>
  <c r="K137" i="17" s="1"/>
  <c r="J138" i="17"/>
  <c r="K138" i="17" s="1"/>
  <c r="J139" i="17"/>
  <c r="K139" i="17" s="1"/>
  <c r="J140" i="17"/>
  <c r="K140" i="17" s="1"/>
  <c r="J141" i="17"/>
  <c r="K141" i="17" s="1"/>
  <c r="J142" i="17"/>
  <c r="K142" i="17" s="1"/>
  <c r="J143" i="17"/>
  <c r="K143" i="17" s="1"/>
  <c r="J144" i="17"/>
  <c r="K144" i="17" s="1"/>
  <c r="J145" i="17"/>
  <c r="K145" i="17" s="1"/>
  <c r="J146" i="17"/>
  <c r="K146" i="17" s="1"/>
  <c r="J147" i="17"/>
  <c r="K147" i="17" s="1"/>
  <c r="J148" i="17"/>
  <c r="K148" i="17" s="1"/>
  <c r="J149" i="17"/>
  <c r="K149" i="17" s="1"/>
  <c r="J150" i="17"/>
  <c r="K150" i="17" s="1"/>
  <c r="J151" i="17"/>
  <c r="K151" i="17" s="1"/>
  <c r="J152" i="17"/>
  <c r="K152" i="17" s="1"/>
  <c r="J153" i="17"/>
  <c r="K153" i="17" s="1"/>
  <c r="J154" i="17"/>
  <c r="K154" i="17" s="1"/>
  <c r="J155" i="17"/>
  <c r="K155" i="17" s="1"/>
  <c r="J156" i="17"/>
  <c r="K156" i="17" s="1"/>
  <c r="J157" i="17"/>
  <c r="K157" i="17" s="1"/>
  <c r="J158" i="17"/>
  <c r="K158" i="17" s="1"/>
  <c r="J159" i="17"/>
  <c r="K159" i="17" s="1"/>
  <c r="J160" i="17"/>
  <c r="K160" i="17" s="1"/>
  <c r="J161" i="17"/>
  <c r="K161" i="17" s="1"/>
  <c r="J162" i="17"/>
  <c r="K162" i="17" s="1"/>
  <c r="J163" i="17"/>
  <c r="K163" i="17" s="1"/>
  <c r="J164" i="17"/>
  <c r="K164" i="17" s="1"/>
  <c r="J165" i="17"/>
  <c r="K165" i="17" s="1"/>
  <c r="J166" i="17"/>
  <c r="K166" i="17" s="1"/>
  <c r="J167" i="17"/>
  <c r="K167" i="17" s="1"/>
  <c r="J168" i="17"/>
  <c r="K168" i="17" s="1"/>
  <c r="J169" i="17"/>
  <c r="K169" i="17" s="1"/>
  <c r="J170" i="17"/>
  <c r="K170" i="17" s="1"/>
  <c r="J171" i="17"/>
  <c r="K171" i="17" s="1"/>
  <c r="J172" i="17"/>
  <c r="K172" i="17" s="1"/>
  <c r="J173" i="17"/>
  <c r="K173" i="17" s="1"/>
  <c r="J174" i="17"/>
  <c r="K174" i="17" s="1"/>
  <c r="J175" i="17"/>
  <c r="K175" i="17" s="1"/>
  <c r="J176" i="17"/>
  <c r="K176" i="17" s="1"/>
  <c r="J177" i="17"/>
  <c r="K177" i="17" s="1"/>
  <c r="J178" i="17"/>
  <c r="K178" i="17" s="1"/>
  <c r="J179" i="17"/>
  <c r="K179" i="17" s="1"/>
  <c r="J180" i="17"/>
  <c r="K180" i="17" s="1"/>
  <c r="J181" i="17"/>
  <c r="K181" i="17" s="1"/>
  <c r="J182" i="17"/>
  <c r="K182" i="17" s="1"/>
  <c r="J183" i="17"/>
  <c r="K183" i="17" s="1"/>
  <c r="J184" i="17"/>
  <c r="K184" i="17" s="1"/>
  <c r="J185" i="17"/>
  <c r="K185" i="17" s="1"/>
  <c r="J186" i="17"/>
  <c r="K186" i="17" s="1"/>
  <c r="J187" i="17"/>
  <c r="K187" i="17" s="1"/>
  <c r="J188" i="17"/>
  <c r="K188" i="17" s="1"/>
  <c r="J189" i="17"/>
  <c r="K189" i="17" s="1"/>
  <c r="J190" i="17"/>
  <c r="K190" i="17" s="1"/>
  <c r="J191" i="17"/>
  <c r="K191" i="17" s="1"/>
  <c r="J192" i="17"/>
  <c r="K192" i="17" s="1"/>
  <c r="J193" i="17"/>
  <c r="K193" i="17" s="1"/>
  <c r="J194" i="17"/>
  <c r="K194" i="17" s="1"/>
  <c r="J195" i="17"/>
  <c r="K195" i="17" s="1"/>
  <c r="J196" i="17"/>
  <c r="K196" i="17" s="1"/>
  <c r="J197" i="17"/>
  <c r="K197" i="17" s="1"/>
  <c r="J198" i="17"/>
  <c r="K198" i="17" s="1"/>
  <c r="J199" i="17"/>
  <c r="K199" i="17" s="1"/>
  <c r="J200" i="17"/>
  <c r="K200" i="17" s="1"/>
  <c r="J201" i="17"/>
  <c r="K201" i="17" s="1"/>
  <c r="J202" i="17"/>
  <c r="K202" i="17" s="1"/>
  <c r="J203" i="17"/>
  <c r="K203" i="17" s="1"/>
  <c r="J204" i="17"/>
  <c r="K204" i="17" s="1"/>
  <c r="J205" i="17"/>
  <c r="K205" i="17" s="1"/>
  <c r="J206" i="17"/>
  <c r="K206" i="17" s="1"/>
  <c r="J207" i="17"/>
  <c r="K207" i="17" s="1"/>
  <c r="J208" i="17"/>
  <c r="K208" i="17" s="1"/>
  <c r="J209" i="17"/>
  <c r="K209" i="17" s="1"/>
  <c r="J210" i="17"/>
  <c r="K210" i="17" s="1"/>
  <c r="J211" i="17"/>
  <c r="K211" i="17" s="1"/>
  <c r="J212" i="17"/>
  <c r="K212" i="17" s="1"/>
  <c r="J213" i="17"/>
  <c r="K213" i="17" s="1"/>
  <c r="J214" i="17"/>
  <c r="K214" i="17" s="1"/>
  <c r="J215" i="17"/>
  <c r="K215" i="17" s="1"/>
  <c r="J216" i="17"/>
  <c r="K216" i="17" s="1"/>
  <c r="J217" i="17"/>
  <c r="K217" i="17" s="1"/>
  <c r="J218" i="17"/>
  <c r="K218" i="17" s="1"/>
  <c r="J219" i="17"/>
  <c r="K219" i="17" s="1"/>
  <c r="J220" i="17"/>
  <c r="K220" i="17" s="1"/>
  <c r="J221" i="17"/>
  <c r="K221" i="17" s="1"/>
  <c r="J222" i="17"/>
  <c r="K222" i="17" s="1"/>
  <c r="J223" i="17"/>
  <c r="K223" i="17" s="1"/>
  <c r="J224" i="17"/>
  <c r="K224" i="17" s="1"/>
  <c r="J225" i="17"/>
  <c r="K225" i="17" s="1"/>
  <c r="J226" i="17"/>
  <c r="K226" i="17" s="1"/>
  <c r="J227" i="17"/>
  <c r="K227" i="17" s="1"/>
  <c r="J228" i="17"/>
  <c r="K228" i="17" s="1"/>
  <c r="J229" i="17"/>
  <c r="K229" i="17" s="1"/>
  <c r="J230" i="17"/>
  <c r="K230" i="17" s="1"/>
  <c r="J231" i="17"/>
  <c r="K231" i="17" s="1"/>
  <c r="J232" i="17"/>
  <c r="K232" i="17" s="1"/>
  <c r="J233" i="17"/>
  <c r="K233" i="17" s="1"/>
  <c r="J234" i="17"/>
  <c r="K234" i="17" s="1"/>
  <c r="J235" i="17"/>
  <c r="K235" i="17" s="1"/>
  <c r="J236" i="17"/>
  <c r="K236" i="17" s="1"/>
  <c r="J237" i="17"/>
  <c r="K237" i="17" s="1"/>
  <c r="J238" i="17"/>
  <c r="K238" i="17" s="1"/>
  <c r="J239" i="17"/>
  <c r="K239" i="17" s="1"/>
  <c r="J240" i="17"/>
  <c r="K240" i="17" s="1"/>
  <c r="J241" i="17"/>
  <c r="K241" i="17" s="1"/>
  <c r="J242" i="17"/>
  <c r="K242" i="17" s="1"/>
  <c r="J243" i="17"/>
  <c r="K243" i="17" s="1"/>
  <c r="J244" i="17"/>
  <c r="K244" i="17" s="1"/>
  <c r="J245" i="17"/>
  <c r="K245" i="17" s="1"/>
  <c r="J246" i="17"/>
  <c r="K246" i="17" s="1"/>
  <c r="B2" i="28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563" i="17" l="1"/>
  <c r="K563" i="17" s="1"/>
  <c r="J644" i="17"/>
  <c r="K644" i="17" s="1"/>
  <c r="J643" i="17"/>
  <c r="K643" i="17" s="1"/>
  <c r="J642" i="17"/>
  <c r="K642" i="17" s="1"/>
  <c r="J641" i="17"/>
  <c r="K641" i="17" s="1"/>
  <c r="J645" i="17"/>
  <c r="K645" i="17" s="1"/>
  <c r="J640" i="17"/>
  <c r="K640" i="17" s="1"/>
  <c r="J630" i="17"/>
  <c r="K630" i="17" s="1"/>
  <c r="J629" i="17"/>
  <c r="K629" i="17" s="1"/>
  <c r="J628" i="17"/>
  <c r="K628" i="17" s="1"/>
  <c r="J627" i="17"/>
  <c r="K627" i="17" s="1"/>
  <c r="J626" i="17"/>
  <c r="K626" i="17" s="1"/>
  <c r="J624" i="17"/>
  <c r="K624" i="17" s="1"/>
  <c r="J623" i="17"/>
  <c r="K623" i="17" s="1"/>
  <c r="J608" i="17"/>
  <c r="K608" i="17" s="1"/>
  <c r="J606" i="17"/>
  <c r="K606" i="17" s="1"/>
  <c r="J605" i="17"/>
  <c r="K605" i="17" s="1"/>
  <c r="J604" i="17"/>
  <c r="K604" i="17" s="1"/>
  <c r="J603" i="17"/>
  <c r="K603" i="17" s="1"/>
  <c r="J597" i="17"/>
  <c r="K597" i="17" s="1"/>
  <c r="J599" i="17"/>
  <c r="K599" i="17" s="1"/>
  <c r="J589" i="17"/>
  <c r="K589" i="17" s="1"/>
  <c r="J601" i="17"/>
  <c r="K601" i="17" s="1"/>
  <c r="J588" i="17"/>
  <c r="K588" i="17" s="1"/>
  <c r="J585" i="17"/>
  <c r="K585" i="17" s="1"/>
  <c r="J615" i="17"/>
  <c r="K615" i="17" s="1"/>
  <c r="J614" i="17"/>
  <c r="K614" i="17" s="1"/>
  <c r="J613" i="17"/>
  <c r="K613" i="17" s="1"/>
  <c r="J612" i="17"/>
  <c r="K612" i="17" s="1"/>
  <c r="J584" i="17"/>
  <c r="K584" i="17" s="1"/>
  <c r="J583" i="17"/>
  <c r="K583" i="17" s="1"/>
  <c r="J577" i="17"/>
  <c r="K577" i="17" s="1"/>
  <c r="J576" i="17"/>
  <c r="K576" i="17" s="1"/>
  <c r="J596" i="17"/>
  <c r="K596" i="17" s="1"/>
  <c r="J575" i="17"/>
  <c r="K575" i="17" s="1"/>
  <c r="J574" i="17"/>
  <c r="K574" i="17" s="1"/>
  <c r="J573" i="17"/>
  <c r="K573" i="17" s="1"/>
  <c r="J607" i="17"/>
  <c r="K607" i="17" s="1"/>
  <c r="J566" i="17"/>
  <c r="K566" i="17" s="1"/>
  <c r="J565" i="17"/>
  <c r="K565" i="17" s="1"/>
  <c r="J564" i="17"/>
  <c r="K564" i="17" s="1"/>
  <c r="J562" i="17"/>
  <c r="K562" i="17" s="1"/>
  <c r="J561" i="17"/>
  <c r="K561" i="17" s="1"/>
  <c r="J560" i="17"/>
  <c r="K560" i="17" s="1"/>
  <c r="J559" i="17"/>
  <c r="K559" i="17" s="1"/>
  <c r="J558" i="17"/>
  <c r="K558" i="17" s="1"/>
  <c r="J557" i="17"/>
  <c r="K557" i="17" s="1"/>
  <c r="J639" i="17"/>
  <c r="K639" i="17" s="1"/>
  <c r="J638" i="17"/>
  <c r="K638" i="17" s="1"/>
  <c r="J637" i="17"/>
  <c r="K637" i="17" s="1"/>
  <c r="J633" i="17"/>
  <c r="K633" i="17" s="1"/>
  <c r="J636" i="17"/>
  <c r="K636" i="17" s="1"/>
  <c r="J632" i="17"/>
  <c r="K632" i="17" s="1"/>
  <c r="J634" i="17"/>
  <c r="K634" i="17" s="1"/>
  <c r="J631" i="17"/>
  <c r="K631" i="17" s="1"/>
  <c r="J622" i="17"/>
  <c r="K622" i="17" s="1"/>
  <c r="J620" i="17"/>
  <c r="K620" i="17" s="1"/>
  <c r="J619" i="17"/>
  <c r="K619" i="17" s="1"/>
  <c r="J646" i="17"/>
  <c r="K646" i="17" s="1"/>
  <c r="J621" i="17"/>
  <c r="K621" i="17" s="1"/>
  <c r="J617" i="17"/>
  <c r="K617" i="17" s="1"/>
  <c r="J610" i="17"/>
  <c r="K610" i="17" s="1"/>
  <c r="J609" i="17"/>
  <c r="K609" i="17" s="1"/>
  <c r="J602" i="17"/>
  <c r="K602" i="17" s="1"/>
  <c r="J598" i="17"/>
  <c r="K598" i="17" s="1"/>
  <c r="J595" i="17"/>
  <c r="K595" i="17" s="1"/>
  <c r="J594" i="17"/>
  <c r="K594" i="17" s="1"/>
  <c r="J593" i="17"/>
  <c r="K593" i="17" s="1"/>
  <c r="J592" i="17"/>
  <c r="K592" i="17" s="1"/>
  <c r="J591" i="17"/>
  <c r="K591" i="17" s="1"/>
  <c r="J635" i="17"/>
  <c r="K635" i="17" s="1"/>
  <c r="J618" i="17"/>
  <c r="K618" i="17" s="1"/>
  <c r="J616" i="17"/>
  <c r="K616" i="17" s="1"/>
  <c r="J611" i="17"/>
  <c r="K611" i="17" s="1"/>
  <c r="J587" i="17"/>
  <c r="K587" i="17" s="1"/>
  <c r="J586" i="17"/>
  <c r="K586" i="17" s="1"/>
  <c r="J582" i="17"/>
  <c r="K582" i="17" s="1"/>
  <c r="J581" i="17"/>
  <c r="K581" i="17" s="1"/>
  <c r="J580" i="17"/>
  <c r="K580" i="17" s="1"/>
  <c r="J579" i="17"/>
  <c r="K579" i="17" s="1"/>
  <c r="J578" i="17"/>
  <c r="K578" i="17" s="1"/>
  <c r="J572" i="17"/>
  <c r="K572" i="17" s="1"/>
  <c r="J571" i="17"/>
  <c r="K571" i="17" s="1"/>
  <c r="J590" i="17"/>
  <c r="K590" i="17" s="1"/>
  <c r="J570" i="17"/>
  <c r="K570" i="17" s="1"/>
  <c r="J600" i="17"/>
  <c r="K600" i="17" s="1"/>
  <c r="J569" i="17"/>
  <c r="K569" i="17" s="1"/>
  <c r="J568" i="17"/>
  <c r="K568" i="17" s="1"/>
  <c r="J567" i="17"/>
  <c r="K567" i="17" s="1"/>
  <c r="J625" i="17"/>
  <c r="K625" i="17" s="1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J303" i="17"/>
  <c r="K303" i="17" s="1"/>
  <c r="J304" i="17"/>
  <c r="K304" i="17" s="1"/>
  <c r="J305" i="17"/>
  <c r="K305" i="17" s="1"/>
  <c r="J306" i="17"/>
  <c r="K306" i="17" s="1"/>
  <c r="J307" i="17"/>
  <c r="K307" i="17" s="1"/>
  <c r="J308" i="17"/>
  <c r="K308" i="17" s="1"/>
  <c r="J309" i="17"/>
  <c r="K309" i="17" s="1"/>
  <c r="J310" i="17"/>
  <c r="K310" i="17" s="1"/>
  <c r="J311" i="17"/>
  <c r="K311" i="17" s="1"/>
  <c r="J312" i="17"/>
  <c r="K312" i="17" s="1"/>
  <c r="J313" i="17"/>
  <c r="K313" i="17" s="1"/>
  <c r="J314" i="17"/>
  <c r="K314" i="17" s="1"/>
  <c r="J315" i="17"/>
  <c r="K315" i="17" s="1"/>
  <c r="J316" i="17"/>
  <c r="K316" i="17" s="1"/>
  <c r="J317" i="17"/>
  <c r="K317" i="17" s="1"/>
  <c r="J318" i="17"/>
  <c r="K318" i="17" s="1"/>
  <c r="J319" i="17"/>
  <c r="K319" i="17" s="1"/>
  <c r="J320" i="17"/>
  <c r="K320" i="17" s="1"/>
  <c r="J321" i="17"/>
  <c r="K321" i="17" s="1"/>
  <c r="J322" i="17"/>
  <c r="K322" i="17" s="1"/>
  <c r="J323" i="17"/>
  <c r="K323" i="17" s="1"/>
  <c r="J324" i="17"/>
  <c r="K324" i="17" s="1"/>
  <c r="J325" i="17"/>
  <c r="K325" i="17" s="1"/>
  <c r="J326" i="17"/>
  <c r="K326" i="17" s="1"/>
  <c r="J327" i="17"/>
  <c r="K327" i="17" s="1"/>
  <c r="J328" i="17"/>
  <c r="K328" i="17" s="1"/>
  <c r="J329" i="17"/>
  <c r="K329" i="17" s="1"/>
  <c r="J330" i="17"/>
  <c r="K330" i="17" s="1"/>
  <c r="J331" i="17"/>
  <c r="K331" i="17" s="1"/>
  <c r="J332" i="17"/>
  <c r="K332" i="17" s="1"/>
  <c r="J333" i="17"/>
  <c r="K333" i="17" s="1"/>
  <c r="J334" i="17"/>
  <c r="K334" i="17" s="1"/>
  <c r="J335" i="17"/>
  <c r="K335" i="17" s="1"/>
  <c r="J336" i="17"/>
  <c r="K336" i="17" s="1"/>
  <c r="J337" i="17"/>
  <c r="K337" i="17" s="1"/>
  <c r="J338" i="17"/>
  <c r="K338" i="17" s="1"/>
  <c r="J339" i="17"/>
  <c r="K339" i="17" s="1"/>
  <c r="J340" i="17"/>
  <c r="K340" i="17" s="1"/>
  <c r="J341" i="17"/>
  <c r="K341" i="17" s="1"/>
  <c r="J342" i="17"/>
  <c r="K342" i="17" s="1"/>
  <c r="J343" i="17"/>
  <c r="K343" i="17" s="1"/>
  <c r="J344" i="17"/>
  <c r="K344" i="17" s="1"/>
  <c r="J345" i="17"/>
  <c r="K345" i="17" s="1"/>
  <c r="J346" i="17"/>
  <c r="K346" i="17" s="1"/>
  <c r="J347" i="17"/>
  <c r="K347" i="17" s="1"/>
  <c r="J348" i="17"/>
  <c r="K348" i="17" s="1"/>
  <c r="J349" i="17"/>
  <c r="K349" i="17" s="1"/>
  <c r="J350" i="17"/>
  <c r="K350" i="17" s="1"/>
  <c r="J351" i="17"/>
  <c r="K351" i="17" s="1"/>
  <c r="J352" i="17"/>
  <c r="K352" i="17" s="1"/>
  <c r="J353" i="17"/>
  <c r="K353" i="17" s="1"/>
  <c r="J354" i="17"/>
  <c r="K354" i="17" s="1"/>
  <c r="J355" i="17"/>
  <c r="K355" i="17" s="1"/>
  <c r="J356" i="17"/>
  <c r="K356" i="17" s="1"/>
  <c r="J357" i="17"/>
  <c r="K357" i="17" s="1"/>
  <c r="J358" i="17"/>
  <c r="K358" i="17" s="1"/>
  <c r="J359" i="17"/>
  <c r="K359" i="17" s="1"/>
  <c r="J360" i="17"/>
  <c r="K360" i="17" s="1"/>
  <c r="J361" i="17"/>
  <c r="K361" i="17" s="1"/>
  <c r="J362" i="17"/>
  <c r="K362" i="17" s="1"/>
  <c r="J363" i="17"/>
  <c r="K363" i="17" s="1"/>
  <c r="J364" i="17"/>
  <c r="K364" i="17" s="1"/>
  <c r="J365" i="17"/>
  <c r="K365" i="17" s="1"/>
  <c r="J366" i="17"/>
  <c r="K366" i="17" s="1"/>
  <c r="J367" i="17"/>
  <c r="K367" i="17" s="1"/>
  <c r="J368" i="17"/>
  <c r="K368" i="17" s="1"/>
  <c r="J369" i="17"/>
  <c r="K369" i="17" s="1"/>
  <c r="J370" i="17"/>
  <c r="K370" i="17" s="1"/>
  <c r="J371" i="17"/>
  <c r="K371" i="17" s="1"/>
  <c r="J372" i="17"/>
  <c r="K372" i="17" s="1"/>
  <c r="J373" i="17"/>
  <c r="K373" i="17" s="1"/>
  <c r="J374" i="17"/>
  <c r="K374" i="17" s="1"/>
  <c r="J375" i="17"/>
  <c r="K375" i="17" s="1"/>
  <c r="J376" i="17"/>
  <c r="K376" i="17" s="1"/>
  <c r="J377" i="17"/>
  <c r="K377" i="17" s="1"/>
  <c r="J378" i="17"/>
  <c r="K378" i="17" s="1"/>
  <c r="J379" i="17"/>
  <c r="K379" i="17" s="1"/>
  <c r="J380" i="17"/>
  <c r="K380" i="17" s="1"/>
  <c r="J381" i="17"/>
  <c r="K381" i="17" s="1"/>
  <c r="J382" i="17"/>
  <c r="K382" i="17" s="1"/>
  <c r="J383" i="17"/>
  <c r="K383" i="17" s="1"/>
  <c r="J384" i="17"/>
  <c r="K384" i="17" s="1"/>
  <c r="J385" i="17"/>
  <c r="K385" i="17" s="1"/>
  <c r="J386" i="17"/>
  <c r="K386" i="17" s="1"/>
  <c r="J387" i="17"/>
  <c r="K387" i="17" s="1"/>
  <c r="J388" i="17"/>
  <c r="K388" i="17" s="1"/>
  <c r="J389" i="17"/>
  <c r="K389" i="17" s="1"/>
  <c r="J390" i="17"/>
  <c r="K390" i="17" s="1"/>
  <c r="J391" i="17"/>
  <c r="K391" i="17" s="1"/>
  <c r="J392" i="17"/>
  <c r="K392" i="17" s="1"/>
  <c r="J393" i="17"/>
  <c r="K393" i="17" s="1"/>
  <c r="J394" i="17"/>
  <c r="K394" i="17" s="1"/>
  <c r="J395" i="17"/>
  <c r="K395" i="17" s="1"/>
  <c r="J396" i="17"/>
  <c r="K396" i="17" s="1"/>
  <c r="J397" i="17"/>
  <c r="K397" i="17" s="1"/>
  <c r="J398" i="17"/>
  <c r="K398" i="17" s="1"/>
  <c r="J399" i="17"/>
  <c r="K399" i="17" s="1"/>
  <c r="J400" i="17"/>
  <c r="K400" i="17" s="1"/>
  <c r="J401" i="17"/>
  <c r="K401" i="17" s="1"/>
  <c r="J402" i="17"/>
  <c r="K402" i="17" s="1"/>
  <c r="J403" i="17"/>
  <c r="K403" i="17" s="1"/>
  <c r="J404" i="17"/>
  <c r="K404" i="17" s="1"/>
  <c r="J405" i="17"/>
  <c r="K405" i="17" s="1"/>
  <c r="J406" i="17"/>
  <c r="K406" i="17" s="1"/>
  <c r="J407" i="17"/>
  <c r="K407" i="17" s="1"/>
  <c r="J408" i="17"/>
  <c r="K408" i="17" s="1"/>
  <c r="J409" i="17"/>
  <c r="K409" i="17" s="1"/>
  <c r="J410" i="17"/>
  <c r="K410" i="17" s="1"/>
  <c r="J411" i="17"/>
  <c r="K411" i="17" s="1"/>
  <c r="J412" i="17"/>
  <c r="K412" i="17" s="1"/>
  <c r="J413" i="17"/>
  <c r="K413" i="17" s="1"/>
  <c r="J414" i="17"/>
  <c r="K414" i="17" s="1"/>
  <c r="J415" i="17"/>
  <c r="K415" i="17" s="1"/>
  <c r="J416" i="17"/>
  <c r="K416" i="17" s="1"/>
  <c r="J417" i="17"/>
  <c r="K417" i="17" s="1"/>
  <c r="J418" i="17"/>
  <c r="K418" i="17" s="1"/>
  <c r="J419" i="17"/>
  <c r="K419" i="17" s="1"/>
  <c r="J420" i="17"/>
  <c r="K420" i="17" s="1"/>
  <c r="J421" i="17"/>
  <c r="K421" i="17" s="1"/>
  <c r="J422" i="17"/>
  <c r="K422" i="17" s="1"/>
  <c r="J423" i="17"/>
  <c r="K423" i="17" s="1"/>
  <c r="J424" i="17"/>
  <c r="K424" i="17" s="1"/>
  <c r="J425" i="17"/>
  <c r="K425" i="17" s="1"/>
  <c r="J426" i="17"/>
  <c r="K426" i="17" s="1"/>
  <c r="J427" i="17"/>
  <c r="K427" i="17" s="1"/>
  <c r="J428" i="17"/>
  <c r="K428" i="17" s="1"/>
  <c r="J429" i="17"/>
  <c r="K429" i="17" s="1"/>
  <c r="J430" i="17"/>
  <c r="K430" i="17" s="1"/>
  <c r="J431" i="17"/>
  <c r="K431" i="17" s="1"/>
  <c r="J432" i="17"/>
  <c r="K432" i="17" s="1"/>
  <c r="J433" i="17"/>
  <c r="K433" i="17" s="1"/>
  <c r="J434" i="17"/>
  <c r="K434" i="17" s="1"/>
  <c r="J435" i="17"/>
  <c r="K435" i="17" s="1"/>
  <c r="J436" i="17"/>
  <c r="K436" i="17" s="1"/>
  <c r="J437" i="17"/>
  <c r="K437" i="17" s="1"/>
  <c r="J438" i="17"/>
  <c r="K438" i="17" s="1"/>
  <c r="J439" i="17"/>
  <c r="K439" i="17" s="1"/>
  <c r="J440" i="17"/>
  <c r="K440" i="17" s="1"/>
  <c r="J441" i="17"/>
  <c r="K441" i="17" s="1"/>
  <c r="J442" i="17"/>
  <c r="K442" i="17" s="1"/>
  <c r="J443" i="17"/>
  <c r="K443" i="17" s="1"/>
  <c r="J444" i="17"/>
  <c r="K444" i="17" s="1"/>
  <c r="J445" i="17"/>
  <c r="K445" i="17" s="1"/>
  <c r="J446" i="17"/>
  <c r="K446" i="17" s="1"/>
  <c r="J447" i="17"/>
  <c r="K447" i="17" s="1"/>
  <c r="J448" i="17"/>
  <c r="K448" i="17" s="1"/>
  <c r="J449" i="17"/>
  <c r="K449" i="17" s="1"/>
  <c r="J450" i="17"/>
  <c r="K450" i="17" s="1"/>
  <c r="J451" i="17"/>
  <c r="K451" i="17" s="1"/>
  <c r="J452" i="17"/>
  <c r="K452" i="17" s="1"/>
  <c r="J453" i="17"/>
  <c r="K453" i="17" s="1"/>
  <c r="J454" i="17"/>
  <c r="K454" i="17" s="1"/>
  <c r="J455" i="17"/>
  <c r="K455" i="17" s="1"/>
  <c r="J456" i="17"/>
  <c r="K456" i="17" s="1"/>
  <c r="J457" i="17"/>
  <c r="K457" i="17" s="1"/>
  <c r="J458" i="17"/>
  <c r="K458" i="17" s="1"/>
  <c r="J459" i="17"/>
  <c r="K459" i="17" s="1"/>
  <c r="J460" i="17"/>
  <c r="K460" i="17" s="1"/>
  <c r="J461" i="17"/>
  <c r="K461" i="17" s="1"/>
  <c r="J462" i="17"/>
  <c r="K462" i="17" s="1"/>
  <c r="J463" i="17"/>
  <c r="K463" i="17" s="1"/>
  <c r="J464" i="17"/>
  <c r="K464" i="17" s="1"/>
  <c r="J465" i="17"/>
  <c r="K465" i="17" s="1"/>
  <c r="J466" i="17"/>
  <c r="K466" i="17" s="1"/>
  <c r="J467" i="17"/>
  <c r="K467" i="17" s="1"/>
  <c r="J468" i="17"/>
  <c r="K468" i="17" s="1"/>
  <c r="J469" i="17"/>
  <c r="K469" i="17" s="1"/>
  <c r="J470" i="17"/>
  <c r="K470" i="17" s="1"/>
  <c r="J471" i="17"/>
  <c r="K471" i="17" s="1"/>
  <c r="J472" i="17"/>
  <c r="K472" i="17" s="1"/>
  <c r="J473" i="17"/>
  <c r="K473" i="17" s="1"/>
  <c r="J474" i="17"/>
  <c r="K474" i="17" s="1"/>
  <c r="J475" i="17"/>
  <c r="K475" i="17" s="1"/>
  <c r="J476" i="17"/>
  <c r="K476" i="17" s="1"/>
  <c r="J477" i="17"/>
  <c r="K477" i="17" s="1"/>
  <c r="J478" i="17"/>
  <c r="K478" i="17" s="1"/>
  <c r="J479" i="17"/>
  <c r="K479" i="17" s="1"/>
  <c r="J480" i="17"/>
  <c r="K480" i="17" s="1"/>
  <c r="J481" i="17"/>
  <c r="K481" i="17" s="1"/>
  <c r="J482" i="17"/>
  <c r="K482" i="17" s="1"/>
  <c r="J483" i="17"/>
  <c r="K483" i="17" s="1"/>
  <c r="J484" i="17"/>
  <c r="K484" i="17" s="1"/>
  <c r="J485" i="17"/>
  <c r="K485" i="17" s="1"/>
  <c r="J486" i="17"/>
  <c r="K486" i="17" s="1"/>
  <c r="J487" i="17"/>
  <c r="K487" i="17" s="1"/>
  <c r="J488" i="17"/>
  <c r="K488" i="17" s="1"/>
  <c r="J489" i="17"/>
  <c r="K489" i="17" s="1"/>
  <c r="J490" i="17"/>
  <c r="K490" i="17" s="1"/>
  <c r="J491" i="17"/>
  <c r="K491" i="17" s="1"/>
  <c r="J492" i="17"/>
  <c r="K492" i="17" s="1"/>
  <c r="J493" i="17"/>
  <c r="K493" i="17" s="1"/>
  <c r="J494" i="17"/>
  <c r="K494" i="17" s="1"/>
  <c r="J495" i="17"/>
  <c r="K495" i="17" s="1"/>
  <c r="J496" i="17"/>
  <c r="K496" i="17" s="1"/>
  <c r="J497" i="17"/>
  <c r="K497" i="17" s="1"/>
  <c r="J498" i="17"/>
  <c r="K498" i="17" s="1"/>
  <c r="J499" i="17"/>
  <c r="K499" i="17" s="1"/>
  <c r="J500" i="17"/>
  <c r="K500" i="17" s="1"/>
  <c r="J501" i="17"/>
  <c r="K501" i="17" s="1"/>
  <c r="J502" i="17"/>
  <c r="K502" i="17" s="1"/>
  <c r="J503" i="17"/>
  <c r="K503" i="17" s="1"/>
  <c r="J504" i="17"/>
  <c r="K504" i="17" s="1"/>
  <c r="J505" i="17"/>
  <c r="K505" i="17" s="1"/>
  <c r="J506" i="17"/>
  <c r="K506" i="17" s="1"/>
  <c r="J507" i="17"/>
  <c r="K507" i="17" s="1"/>
  <c r="J508" i="17"/>
  <c r="K508" i="17" s="1"/>
  <c r="J509" i="17"/>
  <c r="K509" i="17" s="1"/>
  <c r="J510" i="17"/>
  <c r="K510" i="17" s="1"/>
  <c r="J511" i="17"/>
  <c r="K511" i="17" s="1"/>
  <c r="J512" i="17"/>
  <c r="K512" i="17" s="1"/>
  <c r="J513" i="17"/>
  <c r="K513" i="17" s="1"/>
  <c r="J514" i="17"/>
  <c r="K514" i="17" s="1"/>
  <c r="J515" i="17"/>
  <c r="K515" i="17" s="1"/>
  <c r="J516" i="17"/>
  <c r="K516" i="17" s="1"/>
  <c r="J517" i="17"/>
  <c r="K517" i="17" s="1"/>
  <c r="J518" i="17"/>
  <c r="K518" i="17" s="1"/>
  <c r="J519" i="17"/>
  <c r="K519" i="17" s="1"/>
  <c r="J520" i="17"/>
  <c r="K520" i="17" s="1"/>
  <c r="J521" i="17"/>
  <c r="K521" i="17" s="1"/>
  <c r="J522" i="17"/>
  <c r="K522" i="17" s="1"/>
  <c r="J523" i="17"/>
  <c r="K523" i="17" s="1"/>
  <c r="J524" i="17"/>
  <c r="K524" i="17" s="1"/>
  <c r="J525" i="17"/>
  <c r="K525" i="17" s="1"/>
  <c r="J526" i="17"/>
  <c r="K526" i="17" s="1"/>
  <c r="J527" i="17"/>
  <c r="K527" i="17" s="1"/>
  <c r="J528" i="17"/>
  <c r="K528" i="17" s="1"/>
  <c r="J529" i="17"/>
  <c r="K529" i="17" s="1"/>
  <c r="J530" i="17"/>
  <c r="K530" i="17" s="1"/>
  <c r="J531" i="17"/>
  <c r="K531" i="17" s="1"/>
  <c r="J532" i="17"/>
  <c r="K532" i="17" s="1"/>
  <c r="J533" i="17"/>
  <c r="K533" i="17" s="1"/>
  <c r="J534" i="17"/>
  <c r="K534" i="17" s="1"/>
  <c r="J535" i="17"/>
  <c r="K535" i="17" s="1"/>
  <c r="J536" i="17"/>
  <c r="K536" i="17" s="1"/>
  <c r="J537" i="17"/>
  <c r="K537" i="17" s="1"/>
  <c r="J538" i="17"/>
  <c r="K538" i="17" s="1"/>
  <c r="J539" i="17"/>
  <c r="K539" i="17" s="1"/>
  <c r="J540" i="17"/>
  <c r="K540" i="17" s="1"/>
  <c r="J541" i="17"/>
  <c r="K541" i="17" s="1"/>
  <c r="J542" i="17"/>
  <c r="K542" i="17" s="1"/>
  <c r="J543" i="17"/>
  <c r="K543" i="17" s="1"/>
  <c r="J544" i="17"/>
  <c r="K544" i="17" s="1"/>
  <c r="J545" i="17"/>
  <c r="K545" i="17" s="1"/>
  <c r="J546" i="17"/>
  <c r="K546" i="17" s="1"/>
  <c r="J547" i="17"/>
  <c r="K547" i="17" s="1"/>
  <c r="J548" i="17"/>
  <c r="K548" i="17" s="1"/>
  <c r="J549" i="17"/>
  <c r="K549" i="17" s="1"/>
  <c r="J550" i="17"/>
  <c r="K550" i="17" s="1"/>
  <c r="J551" i="17"/>
  <c r="K551" i="17" s="1"/>
  <c r="J552" i="17"/>
  <c r="K552" i="17" s="1"/>
  <c r="J553" i="17"/>
  <c r="K553" i="17" s="1"/>
  <c r="J554" i="17"/>
  <c r="K554" i="17" s="1"/>
  <c r="J555" i="17"/>
  <c r="K555" i="17" s="1"/>
  <c r="J556" i="17"/>
  <c r="K556" i="17" s="1"/>
  <c r="B559" i="27"/>
  <c r="B558" i="27"/>
  <c r="B557" i="27"/>
  <c r="B556" i="27"/>
  <c r="B555" i="27"/>
  <c r="B554" i="27"/>
  <c r="B553" i="27"/>
  <c r="B552" i="27"/>
  <c r="B551" i="27"/>
  <c r="B550" i="27"/>
  <c r="B549" i="27"/>
  <c r="B548" i="27"/>
  <c r="B547" i="27"/>
  <c r="B546" i="27"/>
  <c r="B545" i="27"/>
  <c r="B544" i="27"/>
  <c r="B543" i="27"/>
  <c r="B542" i="27"/>
  <c r="B541" i="27"/>
  <c r="B540" i="27"/>
  <c r="B539" i="27"/>
  <c r="B538" i="27"/>
  <c r="B537" i="27"/>
  <c r="B536" i="27"/>
  <c r="B535" i="27"/>
  <c r="B534" i="27"/>
  <c r="B533" i="27"/>
  <c r="B532" i="27"/>
  <c r="B531" i="27"/>
  <c r="B530" i="27"/>
  <c r="B529" i="27"/>
  <c r="B528" i="27"/>
  <c r="B527" i="27"/>
  <c r="B526" i="27"/>
  <c r="B525" i="27"/>
  <c r="B524" i="27"/>
  <c r="B523" i="27"/>
  <c r="B522" i="27"/>
  <c r="B521" i="27"/>
  <c r="B520" i="27"/>
  <c r="B519" i="27"/>
  <c r="B518" i="27"/>
  <c r="B517" i="27"/>
  <c r="B516" i="27"/>
  <c r="B515" i="27"/>
  <c r="B514" i="27"/>
  <c r="B513" i="27"/>
  <c r="B512" i="27"/>
  <c r="B511" i="27"/>
  <c r="B510" i="27"/>
  <c r="B509" i="27"/>
  <c r="B508" i="27"/>
  <c r="B507" i="27"/>
  <c r="B506" i="27"/>
  <c r="B505" i="27"/>
  <c r="B504" i="27"/>
  <c r="B503" i="27"/>
  <c r="B502" i="27"/>
  <c r="B501" i="27"/>
  <c r="B500" i="27"/>
  <c r="B499" i="27"/>
  <c r="B498" i="27"/>
  <c r="B497" i="27"/>
  <c r="B496" i="27"/>
  <c r="B495" i="27"/>
  <c r="B494" i="27"/>
  <c r="B493" i="27"/>
  <c r="B492" i="27"/>
  <c r="B491" i="27"/>
  <c r="B490" i="27"/>
  <c r="B489" i="27"/>
  <c r="B488" i="27"/>
  <c r="B487" i="27"/>
  <c r="B486" i="27"/>
  <c r="B485" i="27"/>
  <c r="B484" i="27"/>
  <c r="B483" i="27"/>
  <c r="B482" i="27"/>
  <c r="B481" i="27"/>
  <c r="B480" i="27"/>
  <c r="B479" i="27"/>
  <c r="B478" i="27"/>
  <c r="B477" i="27"/>
  <c r="B476" i="27"/>
  <c r="B475" i="27"/>
  <c r="B474" i="27"/>
  <c r="B473" i="27"/>
  <c r="B472" i="27"/>
  <c r="B471" i="27"/>
  <c r="B470" i="27"/>
  <c r="B469" i="27"/>
  <c r="B468" i="27"/>
  <c r="B467" i="27"/>
  <c r="B466" i="27"/>
  <c r="B465" i="27"/>
  <c r="B464" i="27"/>
  <c r="B463" i="27"/>
  <c r="B462" i="27"/>
  <c r="B461" i="27"/>
  <c r="B460" i="27"/>
  <c r="B459" i="27"/>
  <c r="B458" i="27"/>
  <c r="B457" i="27"/>
  <c r="B456" i="27"/>
  <c r="B455" i="27"/>
  <c r="B454" i="27"/>
  <c r="B453" i="27"/>
  <c r="B452" i="27"/>
  <c r="B451" i="27"/>
  <c r="B450" i="27"/>
  <c r="B449" i="27"/>
  <c r="B448" i="27"/>
  <c r="B447" i="27"/>
  <c r="B446" i="27"/>
  <c r="B445" i="27"/>
  <c r="B444" i="27"/>
  <c r="B443" i="27"/>
  <c r="B442" i="27"/>
  <c r="B441" i="27"/>
  <c r="B440" i="27"/>
  <c r="B439" i="27"/>
  <c r="B438" i="27"/>
  <c r="B437" i="27"/>
  <c r="B436" i="27"/>
  <c r="B435" i="27"/>
  <c r="B434" i="27"/>
  <c r="B433" i="27"/>
  <c r="B432" i="27"/>
  <c r="B431" i="27"/>
  <c r="B430" i="27"/>
  <c r="B429" i="27"/>
  <c r="B428" i="27"/>
  <c r="B427" i="27"/>
  <c r="B426" i="27"/>
  <c r="B425" i="27"/>
  <c r="B424" i="27"/>
  <c r="B423" i="27"/>
  <c r="B422" i="27"/>
  <c r="B421" i="27"/>
  <c r="B420" i="27"/>
  <c r="B419" i="27"/>
  <c r="B418" i="27"/>
  <c r="B417" i="27"/>
  <c r="B416" i="27"/>
  <c r="B415" i="27"/>
  <c r="B414" i="27"/>
  <c r="B413" i="27"/>
  <c r="B412" i="27"/>
  <c r="B411" i="27"/>
  <c r="B410" i="27"/>
  <c r="B409" i="27"/>
  <c r="B408" i="27"/>
  <c r="B407" i="27"/>
  <c r="B406" i="27"/>
  <c r="B405" i="27"/>
  <c r="B404" i="27"/>
  <c r="B403" i="27"/>
  <c r="B402" i="27"/>
  <c r="B401" i="27"/>
  <c r="B400" i="27"/>
  <c r="B399" i="27"/>
  <c r="B398" i="27"/>
  <c r="B397" i="27"/>
  <c r="B396" i="27"/>
  <c r="B395" i="27"/>
  <c r="B394" i="27"/>
  <c r="B393" i="27"/>
  <c r="B392" i="27"/>
  <c r="B391" i="27"/>
  <c r="B390" i="27"/>
  <c r="B389" i="27"/>
  <c r="B388" i="27"/>
  <c r="B387" i="27"/>
  <c r="B386" i="27"/>
  <c r="B385" i="27"/>
  <c r="B384" i="27"/>
  <c r="B383" i="27"/>
  <c r="B382" i="27"/>
  <c r="B381" i="27"/>
  <c r="B380" i="27"/>
  <c r="B379" i="27"/>
  <c r="B378" i="27"/>
  <c r="B377" i="27"/>
  <c r="B376" i="27"/>
  <c r="B375" i="27"/>
  <c r="B374" i="27"/>
  <c r="B373" i="27"/>
  <c r="B372" i="27"/>
  <c r="B371" i="27"/>
  <c r="B370" i="27"/>
  <c r="B369" i="27"/>
  <c r="B368" i="27"/>
  <c r="B367" i="27"/>
  <c r="B366" i="27"/>
  <c r="B365" i="27"/>
  <c r="B364" i="27"/>
  <c r="B363" i="27"/>
  <c r="B362" i="27"/>
  <c r="B361" i="27"/>
  <c r="B360" i="27"/>
  <c r="B359" i="27"/>
  <c r="B358" i="27"/>
  <c r="B357" i="27"/>
  <c r="B356" i="27"/>
  <c r="B355" i="27"/>
  <c r="B354" i="27"/>
  <c r="B353" i="27"/>
  <c r="B352" i="27"/>
  <c r="B351" i="27"/>
  <c r="B350" i="27"/>
  <c r="B349" i="27"/>
  <c r="B348" i="27"/>
  <c r="B347" i="27"/>
  <c r="B346" i="27"/>
  <c r="B345" i="27"/>
  <c r="B344" i="27"/>
  <c r="B343" i="27"/>
  <c r="B342" i="27"/>
  <c r="B341" i="27"/>
  <c r="B340" i="27"/>
  <c r="B339" i="27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B323" i="27"/>
  <c r="B322" i="27"/>
  <c r="B321" i="27"/>
  <c r="B320" i="27"/>
  <c r="B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B302" i="27"/>
  <c r="B301" i="27"/>
  <c r="B300" i="27"/>
  <c r="B299" i="27"/>
  <c r="B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B279" i="27"/>
  <c r="B278" i="27"/>
  <c r="B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B262" i="27"/>
  <c r="B261" i="27"/>
  <c r="B260" i="27"/>
  <c r="B259" i="27"/>
  <c r="B258" i="27"/>
  <c r="B257" i="27"/>
  <c r="B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  <c r="F1702" i="1" l="1"/>
  <c r="F1701" i="1"/>
  <c r="F1700" i="1"/>
  <c r="F1699" i="1"/>
  <c r="F1696" i="1"/>
  <c r="F1695" i="1"/>
  <c r="F1694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6" i="1"/>
  <c r="F1584" i="1"/>
  <c r="F1583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2" i="1"/>
  <c r="F1541" i="1"/>
  <c r="F1540" i="1"/>
  <c r="F1539" i="1"/>
  <c r="F1538" i="1"/>
  <c r="F1537" i="1"/>
  <c r="F1536" i="1"/>
  <c r="F1535" i="1"/>
  <c r="F1534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8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0" i="1"/>
  <c r="F1479" i="1"/>
  <c r="F1478" i="1"/>
  <c r="F1477" i="1"/>
  <c r="F1476" i="1"/>
  <c r="F1475" i="1"/>
  <c r="F1474" i="1"/>
  <c r="F1473" i="1"/>
  <c r="F1471" i="1"/>
  <c r="F1470" i="1"/>
  <c r="F1469" i="1"/>
  <c r="F1468" i="1"/>
  <c r="F1466" i="1"/>
  <c r="F1465" i="1"/>
  <c r="F1464" i="1"/>
  <c r="F1463" i="1"/>
  <c r="F1462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41" i="1"/>
  <c r="F1340" i="1"/>
  <c r="F1339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2" i="1"/>
  <c r="F1301" i="1"/>
  <c r="F1300" i="1"/>
  <c r="F1298" i="1"/>
  <c r="F1296" i="1"/>
  <c r="F1295" i="1"/>
  <c r="F1294" i="1"/>
  <c r="F1293" i="1"/>
  <c r="F1292" i="1"/>
  <c r="F1291" i="1"/>
  <c r="F1287" i="1"/>
  <c r="F1286" i="1"/>
  <c r="F1285" i="1"/>
  <c r="F1283" i="1"/>
  <c r="F1282" i="1"/>
  <c r="F1281" i="1"/>
  <c r="F1280" i="1"/>
  <c r="F1279" i="1"/>
  <c r="F1278" i="1"/>
  <c r="F1277" i="1"/>
  <c r="F1276" i="1"/>
  <c r="F1275" i="1"/>
  <c r="F1272" i="1"/>
  <c r="F1271" i="1"/>
  <c r="F1270" i="1"/>
  <c r="F1269" i="1"/>
  <c r="F1268" i="1"/>
  <c r="F1267" i="1"/>
  <c r="F1264" i="1"/>
  <c r="F1263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29" i="1"/>
  <c r="F1228" i="1"/>
  <c r="F1226" i="1"/>
  <c r="F1225" i="1"/>
  <c r="F1224" i="1"/>
  <c r="F1223" i="1"/>
  <c r="F1222" i="1"/>
  <c r="F1220" i="1"/>
  <c r="F1219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68" i="1"/>
  <c r="F1164" i="1"/>
  <c r="F1163" i="1"/>
  <c r="F1160" i="1"/>
  <c r="F1159" i="1"/>
  <c r="F1158" i="1"/>
  <c r="F1156" i="1"/>
  <c r="F1153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19" i="1"/>
  <c r="F1118" i="1"/>
  <c r="F1117" i="1"/>
  <c r="F1116" i="1"/>
  <c r="F1115" i="1"/>
  <c r="F1114" i="1"/>
  <c r="F1112" i="1"/>
  <c r="F1111" i="1"/>
  <c r="F1110" i="1"/>
  <c r="F1109" i="1"/>
  <c r="F1108" i="1"/>
  <c r="F1107" i="1"/>
  <c r="F1106" i="1"/>
  <c r="F1105" i="1"/>
  <c r="F1104" i="1"/>
  <c r="F1101" i="1"/>
  <c r="F1098" i="1"/>
  <c r="F1097" i="1"/>
  <c r="F1096" i="1"/>
  <c r="F1094" i="1"/>
  <c r="F1092" i="1"/>
  <c r="F1091" i="1"/>
  <c r="F1090" i="1"/>
  <c r="F1089" i="1"/>
  <c r="F1087" i="1"/>
  <c r="F1086" i="1"/>
  <c r="F1085" i="1"/>
  <c r="F1084" i="1"/>
  <c r="F1083" i="1"/>
  <c r="F1082" i="1"/>
  <c r="F1080" i="1"/>
  <c r="F1079" i="1"/>
  <c r="F1078" i="1"/>
  <c r="F1076" i="1"/>
  <c r="F1075" i="1"/>
  <c r="F1074" i="1"/>
  <c r="F1073" i="1"/>
  <c r="F1072" i="1"/>
  <c r="F1071" i="1"/>
  <c r="F1069" i="1"/>
  <c r="F1068" i="1"/>
  <c r="F1067" i="1"/>
  <c r="F1066" i="1"/>
  <c r="F1065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8" i="1"/>
  <c r="F1047" i="1"/>
  <c r="F1046" i="1"/>
  <c r="F1045" i="1"/>
  <c r="F1044" i="1"/>
  <c r="F1043" i="1"/>
  <c r="F1042" i="1"/>
  <c r="F1041" i="1"/>
  <c r="F1040" i="1"/>
  <c r="F1038" i="1"/>
  <c r="F1037" i="1"/>
  <c r="F1035" i="1"/>
  <c r="F1034" i="1"/>
  <c r="F1033" i="1"/>
  <c r="F1032" i="1"/>
  <c r="F1031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992" i="1"/>
  <c r="F991" i="1"/>
  <c r="F990" i="1"/>
  <c r="F988" i="1"/>
  <c r="F986" i="1"/>
  <c r="F985" i="1"/>
  <c r="F984" i="1"/>
  <c r="F978" i="1"/>
  <c r="F977" i="1"/>
  <c r="F976" i="1"/>
  <c r="F975" i="1"/>
  <c r="F974" i="1"/>
  <c r="F972" i="1"/>
  <c r="F970" i="1"/>
  <c r="F969" i="1"/>
  <c r="F968" i="1"/>
  <c r="F967" i="1"/>
  <c r="F965" i="1"/>
  <c r="F964" i="1"/>
  <c r="F963" i="1"/>
  <c r="F954" i="1"/>
  <c r="F953" i="1"/>
  <c r="F952" i="1"/>
  <c r="F951" i="1"/>
  <c r="F950" i="1"/>
  <c r="F947" i="1"/>
  <c r="F946" i="1"/>
  <c r="F945" i="1"/>
  <c r="F943" i="1"/>
  <c r="F942" i="1"/>
  <c r="F939" i="1"/>
  <c r="F936" i="1"/>
  <c r="F929" i="1"/>
  <c r="F928" i="1"/>
  <c r="F927" i="1"/>
  <c r="F926" i="1"/>
  <c r="F925" i="1"/>
  <c r="F924" i="1"/>
  <c r="F923" i="1"/>
  <c r="F922" i="1"/>
  <c r="F921" i="1"/>
  <c r="F919" i="1"/>
  <c r="F918" i="1"/>
  <c r="F917" i="1"/>
  <c r="F916" i="1"/>
  <c r="F915" i="1"/>
  <c r="F914" i="1"/>
  <c r="F913" i="1"/>
  <c r="F911" i="1"/>
  <c r="F910" i="1"/>
  <c r="F897" i="1"/>
  <c r="F896" i="1"/>
  <c r="F895" i="1"/>
  <c r="F888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57" i="1"/>
  <c r="F856" i="1"/>
  <c r="F855" i="1"/>
  <c r="F854" i="1"/>
  <c r="F852" i="1"/>
  <c r="F851" i="1"/>
  <c r="F849" i="1"/>
  <c r="F848" i="1"/>
  <c r="F847" i="1"/>
  <c r="F846" i="1"/>
  <c r="F845" i="1"/>
  <c r="F844" i="1"/>
  <c r="F843" i="1"/>
  <c r="F836" i="1"/>
  <c r="F835" i="1"/>
  <c r="F834" i="1"/>
  <c r="F833" i="1"/>
  <c r="F832" i="1"/>
  <c r="F831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3" i="1"/>
  <c r="F732" i="1"/>
  <c r="F731" i="1"/>
  <c r="F730" i="1"/>
  <c r="F729" i="1"/>
  <c r="F727" i="1"/>
  <c r="F725" i="1"/>
  <c r="F724" i="1"/>
  <c r="F723" i="1"/>
  <c r="F722" i="1"/>
  <c r="F721" i="1"/>
  <c r="F720" i="1"/>
  <c r="F719" i="1"/>
  <c r="F718" i="1"/>
  <c r="F716" i="1"/>
  <c r="F714" i="1"/>
  <c r="F713" i="1"/>
  <c r="F712" i="1"/>
  <c r="F711" i="1"/>
  <c r="F710" i="1"/>
  <c r="F709" i="1"/>
  <c r="F708" i="1"/>
  <c r="F707" i="1"/>
  <c r="F705" i="1"/>
  <c r="F704" i="1"/>
  <c r="F703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7" i="1"/>
  <c r="F656" i="1"/>
  <c r="F654" i="1"/>
  <c r="F653" i="1"/>
  <c r="F652" i="1"/>
  <c r="F651" i="1"/>
  <c r="F647" i="1"/>
  <c r="F645" i="1"/>
  <c r="F644" i="1"/>
  <c r="F642" i="1"/>
  <c r="F641" i="1"/>
  <c r="F640" i="1"/>
  <c r="F638" i="1"/>
  <c r="F637" i="1"/>
  <c r="F636" i="1"/>
  <c r="F635" i="1"/>
  <c r="F634" i="1"/>
  <c r="F633" i="1"/>
  <c r="F632" i="1"/>
  <c r="F631" i="1"/>
  <c r="F630" i="1"/>
  <c r="F625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5" i="1"/>
  <c r="F574" i="1"/>
  <c r="F573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7" i="1"/>
  <c r="F536" i="1"/>
  <c r="F535" i="1"/>
  <c r="F534" i="1"/>
  <c r="F533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3" i="1"/>
  <c r="F432" i="1"/>
  <c r="F431" i="1"/>
  <c r="F430" i="1"/>
  <c r="F429" i="1"/>
  <c r="F428" i="1"/>
  <c r="F427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7" i="1"/>
  <c r="F316" i="1"/>
  <c r="F315" i="1"/>
  <c r="F314" i="1"/>
  <c r="F313" i="1"/>
  <c r="F312" i="1"/>
  <c r="F311" i="1"/>
  <c r="F310" i="1"/>
  <c r="F309" i="1"/>
  <c r="F307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19" i="1"/>
  <c r="F118" i="1"/>
  <c r="F117" i="1"/>
  <c r="F116" i="1"/>
  <c r="F115" i="1"/>
  <c r="F114" i="1"/>
  <c r="F113" i="1"/>
  <c r="F112" i="1"/>
  <c r="F111" i="1"/>
  <c r="F110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2" i="1"/>
  <c r="F51" i="1"/>
  <c r="F50" i="1"/>
  <c r="F49" i="1"/>
  <c r="F48" i="1"/>
  <c r="F47" i="1"/>
  <c r="F46" i="1"/>
  <c r="F45" i="1"/>
  <c r="F44" i="1"/>
  <c r="F43" i="1"/>
  <c r="F41" i="1"/>
  <c r="F37" i="1"/>
  <c r="F35" i="1"/>
  <c r="F34" i="1"/>
  <c r="F33" i="1"/>
  <c r="F32" i="1"/>
  <c r="F31" i="1"/>
  <c r="F30" i="1"/>
  <c r="F29" i="1"/>
  <c r="F28" i="1"/>
  <c r="F27" i="1"/>
  <c r="F26" i="1"/>
  <c r="F25" i="1"/>
  <c r="F24" i="1"/>
  <c r="F21" i="1"/>
  <c r="F20" i="1"/>
  <c r="F19" i="1"/>
  <c r="F18" i="1"/>
  <c r="F17" i="1"/>
  <c r="F15" i="1"/>
  <c r="F14" i="1"/>
  <c r="F13" i="1"/>
  <c r="F12" i="1"/>
  <c r="F11" i="1"/>
  <c r="F7" i="1"/>
  <c r="F6" i="1"/>
  <c r="F5" i="1"/>
  <c r="F3" i="1"/>
  <c r="F2" i="1"/>
</calcChain>
</file>

<file path=xl/sharedStrings.xml><?xml version="1.0" encoding="utf-8"?>
<sst xmlns="http://schemas.openxmlformats.org/spreadsheetml/2006/main" count="84738" uniqueCount="5717">
  <si>
    <t>HAWB</t>
  </si>
  <si>
    <t>All Docs Received</t>
  </si>
  <si>
    <t>Docs rcv</t>
  </si>
  <si>
    <t>입항보고</t>
  </si>
  <si>
    <t>수입신고</t>
  </si>
  <si>
    <t>Destination Custom Clearance</t>
  </si>
  <si>
    <t>수입신고수리</t>
  </si>
  <si>
    <t>4052648595</t>
  </si>
  <si>
    <t>4052648590</t>
  </si>
  <si>
    <t>4052648602</t>
  </si>
  <si>
    <t>4052648600</t>
  </si>
  <si>
    <t>4397243251</t>
  </si>
  <si>
    <t>4397243252</t>
  </si>
  <si>
    <t>4052648892</t>
  </si>
  <si>
    <t>4120772144</t>
  </si>
  <si>
    <t>4812655987</t>
  </si>
  <si>
    <t>4812657706</t>
  </si>
  <si>
    <t>4812657767</t>
  </si>
  <si>
    <t>4812657717</t>
  </si>
  <si>
    <t>4812657778</t>
  </si>
  <si>
    <t>4812657769</t>
  </si>
  <si>
    <t>4812657435</t>
  </si>
  <si>
    <t>4812657031</t>
  </si>
  <si>
    <t>4812657512</t>
  </si>
  <si>
    <t>4052648950</t>
  </si>
  <si>
    <t>45N0005289</t>
  </si>
  <si>
    <t>4397243254</t>
  </si>
  <si>
    <t>4052648594</t>
  </si>
  <si>
    <t>4052648894</t>
  </si>
  <si>
    <t>4812657779</t>
  </si>
  <si>
    <t>11252952</t>
  </si>
  <si>
    <t>11252869</t>
  </si>
  <si>
    <t>11252951</t>
  </si>
  <si>
    <t>11252956</t>
  </si>
  <si>
    <t>11252959</t>
  </si>
  <si>
    <t>11252961</t>
  </si>
  <si>
    <t>11252966</t>
  </si>
  <si>
    <t>4812661170</t>
  </si>
  <si>
    <t>4812657111</t>
  </si>
  <si>
    <t>4812657628</t>
  </si>
  <si>
    <t>4052649298</t>
  </si>
  <si>
    <t>4052649225</t>
  </si>
  <si>
    <t>4052649126</t>
  </si>
  <si>
    <t>11253392</t>
  </si>
  <si>
    <t>11253420</t>
  </si>
  <si>
    <t>11253310</t>
  </si>
  <si>
    <t>4812657119</t>
  </si>
  <si>
    <t>4812657832</t>
  </si>
  <si>
    <t>11252845</t>
  </si>
  <si>
    <t>11252897</t>
  </si>
  <si>
    <t>11253966</t>
  </si>
  <si>
    <t>11253962</t>
  </si>
  <si>
    <t>11253958</t>
  </si>
  <si>
    <t>11254026</t>
  </si>
  <si>
    <t>1369291755</t>
  </si>
  <si>
    <t>2066142713</t>
  </si>
  <si>
    <t>2066144975</t>
  </si>
  <si>
    <t>3065297874</t>
  </si>
  <si>
    <t>4734086512</t>
  </si>
  <si>
    <t>1Z8459V56730425931</t>
  </si>
  <si>
    <t>11253437</t>
  </si>
  <si>
    <t>11252877</t>
  </si>
  <si>
    <t>1Z46W13Y6798274366</t>
  </si>
  <si>
    <t>11252885</t>
  </si>
  <si>
    <t>4230740407</t>
  </si>
  <si>
    <t>4052649926</t>
  </si>
  <si>
    <t>4052649924</t>
  </si>
  <si>
    <t>4052649923</t>
  </si>
  <si>
    <t>4052649917</t>
  </si>
  <si>
    <t>2882432420</t>
  </si>
  <si>
    <t>4013432345</t>
  </si>
  <si>
    <t>6063779724</t>
  </si>
  <si>
    <t>6474242806</t>
  </si>
  <si>
    <t>4821910424</t>
  </si>
  <si>
    <t>4821911146</t>
  </si>
  <si>
    <t>6474243742</t>
  </si>
  <si>
    <t>7775217424</t>
  </si>
  <si>
    <t>4812657351</t>
  </si>
  <si>
    <t>7775236151</t>
  </si>
  <si>
    <t>8510196656</t>
  </si>
  <si>
    <t>2317314543</t>
  </si>
  <si>
    <t>2360161996</t>
  </si>
  <si>
    <t>8731217644</t>
  </si>
  <si>
    <t>1085112383</t>
  </si>
  <si>
    <t>1778442503</t>
  </si>
  <si>
    <t>3091969753</t>
  </si>
  <si>
    <t>4267818936</t>
  </si>
  <si>
    <t>5351481052</t>
  </si>
  <si>
    <t>5612159593</t>
  </si>
  <si>
    <t>6801865851</t>
  </si>
  <si>
    <t>9281388513</t>
  </si>
  <si>
    <t>4052649324</t>
  </si>
  <si>
    <t>1085112066</t>
  </si>
  <si>
    <t>7736824001</t>
  </si>
  <si>
    <t>7736826414</t>
  </si>
  <si>
    <t>11254827</t>
  </si>
  <si>
    <t>11254824</t>
  </si>
  <si>
    <t>11254812</t>
  </si>
  <si>
    <t>11254785</t>
  </si>
  <si>
    <t>11254718</t>
  </si>
  <si>
    <t>11254637</t>
  </si>
  <si>
    <t>6803417600</t>
  </si>
  <si>
    <t>5351486254</t>
  </si>
  <si>
    <t>6568041874</t>
  </si>
  <si>
    <t>11254851</t>
  </si>
  <si>
    <t>3171804786</t>
  </si>
  <si>
    <t>5612159652</t>
  </si>
  <si>
    <t>5404773743</t>
  </si>
  <si>
    <t>4812657847</t>
  </si>
  <si>
    <t>4812661430</t>
  </si>
  <si>
    <t>6801872571</t>
  </si>
  <si>
    <t>3011468272</t>
  </si>
  <si>
    <t>8359471422</t>
  </si>
  <si>
    <t>7106835945</t>
  </si>
  <si>
    <t>5509788196</t>
  </si>
  <si>
    <t>4812657839</t>
  </si>
  <si>
    <t>4812657846</t>
  </si>
  <si>
    <t>4812658076</t>
  </si>
  <si>
    <t>4812658077</t>
  </si>
  <si>
    <t>7775226546</t>
  </si>
  <si>
    <t>1Z049VY50430378158</t>
  </si>
  <si>
    <t>1Z03837Y6721821960</t>
  </si>
  <si>
    <t>1Z8459V40400666393</t>
  </si>
  <si>
    <t>3265559032</t>
  </si>
  <si>
    <t>6225095774</t>
  </si>
  <si>
    <t>4812658259</t>
  </si>
  <si>
    <t>2033716064</t>
  </si>
  <si>
    <t>1Z8459V40415156826</t>
  </si>
  <si>
    <t>6363102815</t>
  </si>
  <si>
    <t>1Z066V7W6733683445</t>
  </si>
  <si>
    <t>1Z066V7W6719404317</t>
  </si>
  <si>
    <t>1Z066V7W6719179697</t>
  </si>
  <si>
    <t>8213575576</t>
  </si>
  <si>
    <t>1Z03ER036706803181</t>
  </si>
  <si>
    <t>6629346684</t>
  </si>
  <si>
    <t>2476430456</t>
  </si>
  <si>
    <t>5095360045</t>
  </si>
  <si>
    <t>4492696261</t>
  </si>
  <si>
    <t>5482936336</t>
  </si>
  <si>
    <t>8213572205</t>
  </si>
  <si>
    <t>8213565220</t>
  </si>
  <si>
    <t>1Z036A730420944439</t>
  </si>
  <si>
    <t>1Z8459V40432927185</t>
  </si>
  <si>
    <t>1Z8459V46729912776</t>
  </si>
  <si>
    <t>1Z8459V46727450537</t>
  </si>
  <si>
    <t>1Z8459V46711832369</t>
  </si>
  <si>
    <t>1Z8459V46723050146</t>
  </si>
  <si>
    <t>1Z8459V50406363215</t>
  </si>
  <si>
    <t>2996145235</t>
  </si>
  <si>
    <t>1Z8459V50415219408</t>
  </si>
  <si>
    <t>6729173544</t>
  </si>
  <si>
    <t>1Z8459V56704407081</t>
  </si>
  <si>
    <t>1Z8459V46732206514</t>
  </si>
  <si>
    <t>11254739</t>
  </si>
  <si>
    <t>1Z066V7W6737694604</t>
  </si>
  <si>
    <t>1Z03ER036703712516</t>
  </si>
  <si>
    <t>4812658236</t>
  </si>
  <si>
    <t>1376587181</t>
  </si>
  <si>
    <t>5238628172</t>
  </si>
  <si>
    <t>6629381135</t>
  </si>
  <si>
    <t>3857824961</t>
  </si>
  <si>
    <t>6047156640</t>
  </si>
  <si>
    <t>2033715456</t>
  </si>
  <si>
    <t>8763813332</t>
  </si>
  <si>
    <t>5621590855</t>
  </si>
  <si>
    <t>6586222005</t>
  </si>
  <si>
    <t>1Z8459V46702522158</t>
  </si>
  <si>
    <t>1Z8459V46720973244</t>
  </si>
  <si>
    <t>1Z8459V46724901911</t>
  </si>
  <si>
    <t>1Z8459V46734728037</t>
  </si>
  <si>
    <t>1Z8459V46734784093</t>
  </si>
  <si>
    <t>1Z8459V56715461206</t>
  </si>
  <si>
    <t>1Z8459V56727167584</t>
  </si>
  <si>
    <t>1Z8459V56729496162</t>
  </si>
  <si>
    <t>1Z0345V80432300423</t>
  </si>
  <si>
    <t>5751453223</t>
  </si>
  <si>
    <t>1Z036A730439551284</t>
  </si>
  <si>
    <t>4812657401</t>
  </si>
  <si>
    <t>1Z8459V46709666982</t>
  </si>
  <si>
    <t>1Z036A736737832277</t>
  </si>
  <si>
    <t>4215796944</t>
  </si>
  <si>
    <t>4580250662</t>
  </si>
  <si>
    <t>3255100505</t>
  </si>
  <si>
    <t>4450680124</t>
  </si>
  <si>
    <t>5863102700</t>
  </si>
  <si>
    <t>6047208591</t>
  </si>
  <si>
    <t>1Z036A736728204374</t>
  </si>
  <si>
    <t>6568748966</t>
  </si>
  <si>
    <t>1256018912</t>
  </si>
  <si>
    <t>4182920070</t>
  </si>
  <si>
    <t>1335262456</t>
  </si>
  <si>
    <t>3326869011</t>
  </si>
  <si>
    <t>11255570</t>
  </si>
  <si>
    <t>4052649595</t>
  </si>
  <si>
    <t>1Z8459V46723383466</t>
  </si>
  <si>
    <t>4052650085</t>
  </si>
  <si>
    <t>1Z8459V46710966299</t>
  </si>
  <si>
    <t>1Z46W13Y6793686448</t>
  </si>
  <si>
    <t>4812657876</t>
  </si>
  <si>
    <t>2902649805</t>
  </si>
  <si>
    <t>4650304046</t>
  </si>
  <si>
    <t>9281377302</t>
  </si>
  <si>
    <t>4052649908</t>
  </si>
  <si>
    <t>1Z8459V46716379609</t>
  </si>
  <si>
    <t>4052649319</t>
  </si>
  <si>
    <t>1Z8459V56702652275</t>
  </si>
  <si>
    <t>4561880934</t>
  </si>
  <si>
    <t>1181833564</t>
  </si>
  <si>
    <t>3857801312</t>
  </si>
  <si>
    <t>3857802874</t>
  </si>
  <si>
    <t>3265572660</t>
  </si>
  <si>
    <t>1525695231</t>
  </si>
  <si>
    <t>1778492881</t>
  </si>
  <si>
    <t>9526731454</t>
  </si>
  <si>
    <t>7590746800</t>
  </si>
  <si>
    <t>1Z0345V80413690799</t>
  </si>
  <si>
    <t>3255091486</t>
  </si>
  <si>
    <t>1Z036A730491141351</t>
  </si>
  <si>
    <t>1Z036A736791090253</t>
  </si>
  <si>
    <t>1Z036A736794450699</t>
  </si>
  <si>
    <t>4812657935</t>
  </si>
  <si>
    <t>1Z03ER036719655979</t>
  </si>
  <si>
    <t>1Z0345V80421349152</t>
  </si>
  <si>
    <t>1Z03ER036736137194</t>
  </si>
  <si>
    <t>1Z04VW426717321297</t>
  </si>
  <si>
    <t>1Z066V7W6711151882</t>
  </si>
  <si>
    <t>1Z066V7W6717221894</t>
  </si>
  <si>
    <t>1Z8459V46703109200</t>
  </si>
  <si>
    <t>1Z03ER036725693630</t>
  </si>
  <si>
    <t>C64631071</t>
  </si>
  <si>
    <t>2036630956</t>
  </si>
  <si>
    <t>4560389325</t>
  </si>
  <si>
    <t>1Z8459V46709556663</t>
  </si>
  <si>
    <t>4560389304</t>
  </si>
  <si>
    <t>6930203451</t>
  </si>
  <si>
    <t>1Z8459V46709789108</t>
  </si>
  <si>
    <t>4812658228</t>
  </si>
  <si>
    <t>1Z8459V46734341810</t>
  </si>
  <si>
    <t>1Z8459V46710293140</t>
  </si>
  <si>
    <t>1Z8459V46710037122</t>
  </si>
  <si>
    <t>1Z8459V46717464130</t>
  </si>
  <si>
    <t>1Z8459V46718389603</t>
  </si>
  <si>
    <t>1Z8459V46730810490</t>
  </si>
  <si>
    <t>1Z8459V46738227464</t>
  </si>
  <si>
    <t>1Z8459V56709967664</t>
  </si>
  <si>
    <t>1Z8459V56729211281</t>
  </si>
  <si>
    <t>1Z8459V56739050650</t>
  </si>
  <si>
    <t>1Z8459V46707612113</t>
  </si>
  <si>
    <t>1Z8459V40412670392</t>
  </si>
  <si>
    <t>1Z8459V46723543686</t>
  </si>
  <si>
    <t>1Z8459V46728450071</t>
  </si>
  <si>
    <t>1Z8459V46738220756</t>
  </si>
  <si>
    <t>4812658157</t>
  </si>
  <si>
    <t>1Z8459V46729996347</t>
  </si>
  <si>
    <t>1Z8459V46732599645</t>
  </si>
  <si>
    <t>1Z8459V50406324721</t>
  </si>
  <si>
    <t>1Z8459V56733236818</t>
  </si>
  <si>
    <t>1Z03837Y6712789602</t>
  </si>
  <si>
    <t>1Z8459V46716669484</t>
  </si>
  <si>
    <t>1Z036A736793522425</t>
  </si>
  <si>
    <t>4812656458</t>
  </si>
  <si>
    <t>1338741110</t>
  </si>
  <si>
    <t>8057663961</t>
  </si>
  <si>
    <t>1Z9116Y66795693833</t>
  </si>
  <si>
    <t>5155002856</t>
  </si>
  <si>
    <t>1Z8459V46708184530</t>
  </si>
  <si>
    <t>4890230833</t>
  </si>
  <si>
    <t>4890219202</t>
  </si>
  <si>
    <t>7693038172</t>
  </si>
  <si>
    <t>4162728135</t>
  </si>
  <si>
    <t>1159065600</t>
  </si>
  <si>
    <t>1509277906</t>
  </si>
  <si>
    <t>7292933266</t>
  </si>
  <si>
    <t>8999163025</t>
  </si>
  <si>
    <t>6986514290</t>
  </si>
  <si>
    <t>6986513940</t>
  </si>
  <si>
    <t>4215865441</t>
  </si>
  <si>
    <t>6986464424</t>
  </si>
  <si>
    <t>4729873444</t>
  </si>
  <si>
    <t>6982459116</t>
  </si>
  <si>
    <t>6675081534</t>
  </si>
  <si>
    <t>4013907170</t>
  </si>
  <si>
    <t>1Z8459V50419763394</t>
  </si>
  <si>
    <t>1804432582</t>
  </si>
  <si>
    <t>1148715260</t>
  </si>
  <si>
    <t>4052649901</t>
  </si>
  <si>
    <t>4812657451</t>
  </si>
  <si>
    <t>4812657985</t>
  </si>
  <si>
    <t>4812657984</t>
  </si>
  <si>
    <t>1148711852</t>
  </si>
  <si>
    <t>4052650784</t>
  </si>
  <si>
    <t>4052650788</t>
  </si>
  <si>
    <t>4052650774</t>
  </si>
  <si>
    <t>4052650768</t>
  </si>
  <si>
    <t>4052650762</t>
  </si>
  <si>
    <t>4052650612</t>
  </si>
  <si>
    <t>1Z8459V46708670595</t>
  </si>
  <si>
    <t>1Z8459V46715032181</t>
  </si>
  <si>
    <t>1Z8459V46716392102</t>
  </si>
  <si>
    <t>1Z8459V46719307056</t>
  </si>
  <si>
    <t>1Z46W13Y6790775044</t>
  </si>
  <si>
    <t>2234797062</t>
  </si>
  <si>
    <t>1754661451</t>
  </si>
  <si>
    <t>4875468323</t>
  </si>
  <si>
    <t>1754661182</t>
  </si>
  <si>
    <t>2824258054</t>
  </si>
  <si>
    <t>1173001454</t>
  </si>
  <si>
    <t>1172997626</t>
  </si>
  <si>
    <t>4775835831</t>
  </si>
  <si>
    <t>1543511082</t>
  </si>
  <si>
    <t>C64631169</t>
  </si>
  <si>
    <t>C64631180</t>
  </si>
  <si>
    <t>6605523886</t>
  </si>
  <si>
    <t>4180382591</t>
  </si>
  <si>
    <t>4812661670</t>
  </si>
  <si>
    <t>4052650868</t>
  </si>
  <si>
    <t>1Z8459V46705472199</t>
  </si>
  <si>
    <t>1Z8459V46730734288</t>
  </si>
  <si>
    <t>1Z8459V56715407435</t>
  </si>
  <si>
    <t>1Z8459V56733645975</t>
  </si>
  <si>
    <t>C962101</t>
  </si>
  <si>
    <t>6930203321</t>
  </si>
  <si>
    <t>11256549</t>
  </si>
  <si>
    <t>4052650820</t>
  </si>
  <si>
    <t>4052651207</t>
  </si>
  <si>
    <t>7704010086</t>
  </si>
  <si>
    <t>1058034600</t>
  </si>
  <si>
    <t>6629612441</t>
  </si>
  <si>
    <t>8231950952</t>
  </si>
  <si>
    <t>3363795562</t>
  </si>
  <si>
    <t>1Z8459V56704469087</t>
  </si>
  <si>
    <t>7590727336</t>
  </si>
  <si>
    <t>1Z8459V56700810400</t>
  </si>
  <si>
    <t>8987670403</t>
  </si>
  <si>
    <t>1299203695</t>
  </si>
  <si>
    <t>7693345251</t>
  </si>
  <si>
    <t>1267872476</t>
  </si>
  <si>
    <t>1764144701</t>
  </si>
  <si>
    <t>3076170484</t>
  </si>
  <si>
    <t>4481115380</t>
  </si>
  <si>
    <t>1764144454</t>
  </si>
  <si>
    <t>1636090901</t>
  </si>
  <si>
    <t>7716404570</t>
  </si>
  <si>
    <t>7433715192</t>
  </si>
  <si>
    <t>1520679705</t>
  </si>
  <si>
    <t>4052650988</t>
  </si>
  <si>
    <t>4052651140</t>
  </si>
  <si>
    <t>4052651141</t>
  </si>
  <si>
    <t>4230740778</t>
  </si>
  <si>
    <t>4052650833</t>
  </si>
  <si>
    <t>7693073555</t>
  </si>
  <si>
    <t>4230740753</t>
  </si>
  <si>
    <t>4052650834</t>
  </si>
  <si>
    <t>11257370</t>
  </si>
  <si>
    <t>4107864946</t>
  </si>
  <si>
    <t>2345791932</t>
  </si>
  <si>
    <t>4650281020</t>
  </si>
  <si>
    <t>11256336</t>
  </si>
  <si>
    <t>11256569</t>
  </si>
  <si>
    <t>1Z03ER036711932228</t>
  </si>
  <si>
    <t>1Z03ER036709738130</t>
  </si>
  <si>
    <t>1Z049VY56729978162</t>
  </si>
  <si>
    <t>1Z049VY56733949999</t>
  </si>
  <si>
    <t>1Z049VY56704565627</t>
  </si>
  <si>
    <t>1Z066V7W6723198051</t>
  </si>
  <si>
    <t>4812658018</t>
  </si>
  <si>
    <t>4812658667</t>
  </si>
  <si>
    <t>1Z03837Y6701875913</t>
  </si>
  <si>
    <t>1Z03837Y6729518542</t>
  </si>
  <si>
    <t>1Z04867X6715002486</t>
  </si>
  <si>
    <t>1Z04867X6717551871</t>
  </si>
  <si>
    <t>2848405232</t>
  </si>
  <si>
    <t>1Z8459V46717838576</t>
  </si>
  <si>
    <t>1Z8459V46726883090</t>
  </si>
  <si>
    <t>1Z8459V46728168949</t>
  </si>
  <si>
    <t>1Z8459V50424389931</t>
  </si>
  <si>
    <t>1Z8459V50420122949</t>
  </si>
  <si>
    <t>4812658042</t>
  </si>
  <si>
    <t>9453085876</t>
  </si>
  <si>
    <t>ORI06927340</t>
  </si>
  <si>
    <t>4560389609</t>
  </si>
  <si>
    <t>4829323542</t>
  </si>
  <si>
    <t>1Z8459V46723870046</t>
  </si>
  <si>
    <t>1Z8459V46739567845</t>
  </si>
  <si>
    <t>1Z8459V56706710838</t>
  </si>
  <si>
    <t>1Z8459V56713187847</t>
  </si>
  <si>
    <t>1Z8459V46725602671</t>
  </si>
  <si>
    <t>1Z8459V46724208457</t>
  </si>
  <si>
    <t>1Z8459V40436476987</t>
  </si>
  <si>
    <t>1Z8459V40400918209</t>
  </si>
  <si>
    <t>1Z8459V40422207445</t>
  </si>
  <si>
    <t>1Z8459V40405477196</t>
  </si>
  <si>
    <t>1Z8459V40401061276</t>
  </si>
  <si>
    <t>3160291256</t>
  </si>
  <si>
    <t>3028113653</t>
  </si>
  <si>
    <t>3397366210</t>
  </si>
  <si>
    <t>1Z8459V56712327714</t>
  </si>
  <si>
    <t>1Z8459V56713148979</t>
  </si>
  <si>
    <t>ORI06921876</t>
  </si>
  <si>
    <t>4052650323</t>
  </si>
  <si>
    <t>5155040262</t>
  </si>
  <si>
    <t>4052650410</t>
  </si>
  <si>
    <t>1Z7476360464951661</t>
  </si>
  <si>
    <t>6782886261</t>
  </si>
  <si>
    <t>2557769981</t>
  </si>
  <si>
    <t>2140708695</t>
  </si>
  <si>
    <t>1103008266</t>
  </si>
  <si>
    <t>7879034516</t>
  </si>
  <si>
    <t>4397243296</t>
  </si>
  <si>
    <t>9940990150</t>
  </si>
  <si>
    <t>2874610244</t>
  </si>
  <si>
    <t>6629629311</t>
  </si>
  <si>
    <t>1613998072</t>
  </si>
  <si>
    <t>1119215064</t>
  </si>
  <si>
    <t>1Z8459V56721811709</t>
  </si>
  <si>
    <t>1Z03777W6796996424</t>
  </si>
  <si>
    <t>11257757</t>
  </si>
  <si>
    <t>11257830</t>
  </si>
  <si>
    <t>11257838</t>
  </si>
  <si>
    <t>3171804554</t>
  </si>
  <si>
    <t>C64631224</t>
  </si>
  <si>
    <t>11257858</t>
  </si>
  <si>
    <t>7679313681</t>
  </si>
  <si>
    <t>3585777845</t>
  </si>
  <si>
    <t>2874620055</t>
  </si>
  <si>
    <t>1Z03837Y6700976155</t>
  </si>
  <si>
    <t>C944857</t>
  </si>
  <si>
    <t>4812658616</t>
  </si>
  <si>
    <t>4052650794</t>
  </si>
  <si>
    <t>4812657681</t>
  </si>
  <si>
    <t>4812658333</t>
  </si>
  <si>
    <t>4812658352</t>
  </si>
  <si>
    <t>1764144605</t>
  </si>
  <si>
    <t>4812658866</t>
  </si>
  <si>
    <t>4812658979</t>
  </si>
  <si>
    <t>4812658987</t>
  </si>
  <si>
    <t>668165920179</t>
  </si>
  <si>
    <t>3277956614</t>
  </si>
  <si>
    <t>3585795916</t>
  </si>
  <si>
    <t>4812658335</t>
  </si>
  <si>
    <t>4812658334</t>
  </si>
  <si>
    <t>4812657691</t>
  </si>
  <si>
    <t>4812657701</t>
  </si>
  <si>
    <t>1Z03ER030402071927</t>
  </si>
  <si>
    <t>1Z049VY50438914394</t>
  </si>
  <si>
    <t>1Z066V7W0420679771</t>
  </si>
  <si>
    <t>1Z0345V80408952613</t>
  </si>
  <si>
    <t>1Z0345V80412056575</t>
  </si>
  <si>
    <t>1Z8459V46732001584</t>
  </si>
  <si>
    <t>1Z8459V46736305365</t>
  </si>
  <si>
    <t>1Z8459V46739937409</t>
  </si>
  <si>
    <t>1Z8459V50437060556</t>
  </si>
  <si>
    <t>1Z8459V46710165663</t>
  </si>
  <si>
    <t>1Z9116Y60403616313</t>
  </si>
  <si>
    <t>4812658353</t>
  </si>
  <si>
    <t>11258322</t>
  </si>
  <si>
    <t>11258309</t>
  </si>
  <si>
    <t>4812658926</t>
  </si>
  <si>
    <t>1543541042</t>
  </si>
  <si>
    <t>9158656216</t>
  </si>
  <si>
    <t>7729876011</t>
  </si>
  <si>
    <t>6748992655</t>
  </si>
  <si>
    <t>8371415150</t>
  </si>
  <si>
    <t>1919131023</t>
  </si>
  <si>
    <t>4099948845</t>
  </si>
  <si>
    <t>6749166675</t>
  </si>
  <si>
    <t>3277955774</t>
  </si>
  <si>
    <t>3152419104</t>
  </si>
  <si>
    <t>4052650391</t>
  </si>
  <si>
    <t>4052651148</t>
  </si>
  <si>
    <t>4052651178</t>
  </si>
  <si>
    <t>1995440871</t>
  </si>
  <si>
    <t>6749014381</t>
  </si>
  <si>
    <t>6748996026</t>
  </si>
  <si>
    <t>7716376603</t>
  </si>
  <si>
    <t>7276129825</t>
  </si>
  <si>
    <t>7892870683</t>
  </si>
  <si>
    <t>7716385434</t>
  </si>
  <si>
    <t>9158663430</t>
  </si>
  <si>
    <t>9158664045</t>
  </si>
  <si>
    <t>1577223211</t>
  </si>
  <si>
    <t>1310059601</t>
  </si>
  <si>
    <t>8426870900</t>
  </si>
  <si>
    <t>7879022830</t>
  </si>
  <si>
    <t>1344036794</t>
  </si>
  <si>
    <t>7727214504</t>
  </si>
  <si>
    <t>8319896745</t>
  </si>
  <si>
    <t>4812657993</t>
  </si>
  <si>
    <t>2840210951</t>
  </si>
  <si>
    <t>8126609363</t>
  </si>
  <si>
    <t>1944463522</t>
  </si>
  <si>
    <t>2754241232</t>
  </si>
  <si>
    <t>9609542854</t>
  </si>
  <si>
    <t>5765569202</t>
  </si>
  <si>
    <t>6363195311</t>
  </si>
  <si>
    <t>5142950665</t>
  </si>
  <si>
    <t>1Z8459V46714341072</t>
  </si>
  <si>
    <t>1Z8459V46713412550</t>
  </si>
  <si>
    <t>1Z8459V46708772636</t>
  </si>
  <si>
    <t>1Z46W13Y6790131088</t>
  </si>
  <si>
    <t>1Z066V7W6720158135</t>
  </si>
  <si>
    <t>1Z04867X6712859147</t>
  </si>
  <si>
    <t>1Z03ER036710034290</t>
  </si>
  <si>
    <t>1Z03ER036707897347</t>
  </si>
  <si>
    <t>1Z03837Y6732702667</t>
  </si>
  <si>
    <t>1Z03837Y6727104653</t>
  </si>
  <si>
    <t>3277954945</t>
  </si>
  <si>
    <t>3277955085</t>
  </si>
  <si>
    <t>1874478045</t>
  </si>
  <si>
    <t>1576833112</t>
  </si>
  <si>
    <t>1919105473</t>
  </si>
  <si>
    <t>1919113582</t>
  </si>
  <si>
    <t>1919115892</t>
  </si>
  <si>
    <t>1Z03777W6698759714</t>
  </si>
  <si>
    <t>ORI06931960</t>
  </si>
  <si>
    <t>4230740997</t>
  </si>
  <si>
    <t>3291759391</t>
  </si>
  <si>
    <t>9499575702</t>
  </si>
  <si>
    <t>2374221920</t>
  </si>
  <si>
    <t>6283788044</t>
  </si>
  <si>
    <t>1526636834</t>
  </si>
  <si>
    <t>8371419210</t>
  </si>
  <si>
    <t>3075598352</t>
  </si>
  <si>
    <t>1Z8459V50415958593</t>
  </si>
  <si>
    <t>8574269690</t>
  </si>
  <si>
    <t>5023951844</t>
  </si>
  <si>
    <t>5612126590</t>
  </si>
  <si>
    <t>4812658364</t>
  </si>
  <si>
    <t>4812658343</t>
  </si>
  <si>
    <t>1Z8459V46701476791</t>
  </si>
  <si>
    <t>4052651108</t>
  </si>
  <si>
    <t>8987670355</t>
  </si>
  <si>
    <t>4812657741</t>
  </si>
  <si>
    <t>1Z8459V46712597881</t>
  </si>
  <si>
    <t>4052651941</t>
  </si>
  <si>
    <t>4052651933</t>
  </si>
  <si>
    <t>4052651946</t>
  </si>
  <si>
    <t>4180382679</t>
  </si>
  <si>
    <t>4052651938</t>
  </si>
  <si>
    <t>4812657721</t>
  </si>
  <si>
    <t>1Z036A730491637825</t>
  </si>
  <si>
    <t>1Z03ER036739591661</t>
  </si>
  <si>
    <t>1Z46W13Y6796334536</t>
  </si>
  <si>
    <t>4560390146</t>
  </si>
  <si>
    <t>1Z8459V46715304842</t>
  </si>
  <si>
    <t>1Z8459V46710114931</t>
  </si>
  <si>
    <t>1Z8459V56702566163</t>
  </si>
  <si>
    <t>1Z8459V56711501358</t>
  </si>
  <si>
    <t>1Z8459V56728784281</t>
  </si>
  <si>
    <t>8457330221</t>
  </si>
  <si>
    <t>4052650248</t>
  </si>
  <si>
    <t>11258811</t>
  </si>
  <si>
    <t>1Z8459V56708518892</t>
  </si>
  <si>
    <t>1612955923</t>
  </si>
  <si>
    <t>6749165474</t>
  </si>
  <si>
    <t>8574291784</t>
  </si>
  <si>
    <t>8319900993</t>
  </si>
  <si>
    <t>3277950443</t>
  </si>
  <si>
    <t>C64631341</t>
  </si>
  <si>
    <t>3277926853</t>
  </si>
  <si>
    <t>1360871540</t>
  </si>
  <si>
    <t>1Z8459V56710921414</t>
  </si>
  <si>
    <t>1Z8459V56709486540</t>
  </si>
  <si>
    <t>1Z8459V56703752978</t>
  </si>
  <si>
    <t>1Z8459V46731801935</t>
  </si>
  <si>
    <t>1Z8459V46730355278</t>
  </si>
  <si>
    <t>1Z8459V46729929955</t>
  </si>
  <si>
    <t>1485736840</t>
  </si>
  <si>
    <t>1893841110</t>
  </si>
  <si>
    <t>1893841821</t>
  </si>
  <si>
    <t>1893842016</t>
  </si>
  <si>
    <t>1Z8459V46717722208</t>
  </si>
  <si>
    <t>1Z8459V46713476858</t>
  </si>
  <si>
    <t>1Z8459V46712690029</t>
  </si>
  <si>
    <t>4052651891</t>
  </si>
  <si>
    <t>4052651813</t>
  </si>
  <si>
    <t>4812661960</t>
  </si>
  <si>
    <t>4812659079</t>
  </si>
  <si>
    <t>8262084445</t>
  </si>
  <si>
    <t>4184861354</t>
  </si>
  <si>
    <t>6879756785</t>
  </si>
  <si>
    <t>4812659078</t>
  </si>
  <si>
    <t>1384767926</t>
  </si>
  <si>
    <t>1928074481</t>
  </si>
  <si>
    <t>1928077443</t>
  </si>
  <si>
    <t>2779737682</t>
  </si>
  <si>
    <t>9248501931</t>
  </si>
  <si>
    <t>6424169894</t>
  </si>
  <si>
    <t>9994142524</t>
  </si>
  <si>
    <t>4812658503</t>
  </si>
  <si>
    <t>4812658572</t>
  </si>
  <si>
    <t>4812658482</t>
  </si>
  <si>
    <t>4812657811</t>
  </si>
  <si>
    <t>1Z8459V46710327372</t>
  </si>
  <si>
    <t>1Z8459V46714439333</t>
  </si>
  <si>
    <t>1Z8459V46716461233</t>
  </si>
  <si>
    <t>1Z8459V46719972328</t>
  </si>
  <si>
    <t>1Z8459V56738428450</t>
  </si>
  <si>
    <t>1Z8459V56734690576</t>
  </si>
  <si>
    <t>1Z8459V56729335531</t>
  </si>
  <si>
    <t>1Z8459V56722376376</t>
  </si>
  <si>
    <t>1Z8459V46721773299</t>
  </si>
  <si>
    <t>D033590</t>
  </si>
  <si>
    <t>D033588</t>
  </si>
  <si>
    <t>1249989930</t>
  </si>
  <si>
    <t>6745430322</t>
  </si>
  <si>
    <t>8128260125</t>
  </si>
  <si>
    <t>1113781911</t>
  </si>
  <si>
    <t>5020080413</t>
  </si>
  <si>
    <t>1900513742</t>
  </si>
  <si>
    <t>7238071713</t>
  </si>
  <si>
    <t>3539031554</t>
  </si>
  <si>
    <t>1Z8459V56719008761</t>
  </si>
  <si>
    <t>1Z8459V56708810940</t>
  </si>
  <si>
    <t>1Z8459V46715308142</t>
  </si>
  <si>
    <t>1Z8459V46703627114</t>
  </si>
  <si>
    <t>1Z066V7W6721224016</t>
  </si>
  <si>
    <t>1Z036A736727569054</t>
  </si>
  <si>
    <t>11258663</t>
  </si>
  <si>
    <t>11258669</t>
  </si>
  <si>
    <t>11258680</t>
  </si>
  <si>
    <t>4812658596</t>
  </si>
  <si>
    <t>1Z036A736792335620</t>
  </si>
  <si>
    <t>1Z03777W6616886230</t>
  </si>
  <si>
    <t>1Z036A730435764285</t>
  </si>
  <si>
    <t>7525212155</t>
  </si>
  <si>
    <t>4812657791</t>
  </si>
  <si>
    <t>6557341862</t>
  </si>
  <si>
    <t>4052652578</t>
  </si>
  <si>
    <t>4052652585</t>
  </si>
  <si>
    <t>1Z8459V46721163359</t>
  </si>
  <si>
    <t>4052652575</t>
  </si>
  <si>
    <t>4052652286</t>
  </si>
  <si>
    <t>4052652574</t>
  </si>
  <si>
    <t>4052652576</t>
  </si>
  <si>
    <t>1Z8459V46716939156</t>
  </si>
  <si>
    <t>1Z8459V46705295649</t>
  </si>
  <si>
    <t>4812658612</t>
  </si>
  <si>
    <t>4812658604</t>
  </si>
  <si>
    <t>6469043475</t>
  </si>
  <si>
    <t>1810354976</t>
  </si>
  <si>
    <t>4812657108</t>
  </si>
  <si>
    <t>4812655966</t>
  </si>
  <si>
    <t>4812657021</t>
  </si>
  <si>
    <t>4120772145</t>
  </si>
  <si>
    <t>11252458</t>
  </si>
  <si>
    <t>11252465</t>
  </si>
  <si>
    <t>4812657107</t>
  </si>
  <si>
    <t>4812657776</t>
  </si>
  <si>
    <t>4812655979</t>
  </si>
  <si>
    <t>4812711497</t>
  </si>
  <si>
    <t>4052648268</t>
  </si>
  <si>
    <t>4812656771</t>
  </si>
  <si>
    <t>4052649314</t>
  </si>
  <si>
    <t>4052649313</t>
  </si>
  <si>
    <t>4052649312</t>
  </si>
  <si>
    <t>4052649311</t>
  </si>
  <si>
    <t>4052649301</t>
  </si>
  <si>
    <t>4812657572</t>
  </si>
  <si>
    <t>4812657525</t>
  </si>
  <si>
    <t>4230740272</t>
  </si>
  <si>
    <t>4052648591</t>
  </si>
  <si>
    <t>C886618</t>
  </si>
  <si>
    <t>4052649340</t>
  </si>
  <si>
    <t>C64631065</t>
  </si>
  <si>
    <t>4812657733</t>
  </si>
  <si>
    <t>8207582983</t>
  </si>
  <si>
    <t>8746752291</t>
  </si>
  <si>
    <t>9068476244</t>
  </si>
  <si>
    <t>9281388093</t>
  </si>
  <si>
    <t>9606767833</t>
  </si>
  <si>
    <t>9606788726</t>
  </si>
  <si>
    <t>9664278713</t>
  </si>
  <si>
    <t>4052649916</t>
  </si>
  <si>
    <t>9934155416</t>
  </si>
  <si>
    <t>2317314204</t>
  </si>
  <si>
    <t>2317314403</t>
  </si>
  <si>
    <t>2882475654</t>
  </si>
  <si>
    <t>1Z036A736792662606</t>
  </si>
  <si>
    <t>4159816006</t>
  </si>
  <si>
    <t>4560389222</t>
  </si>
  <si>
    <t>4052649552</t>
  </si>
  <si>
    <t>4052649604</t>
  </si>
  <si>
    <t>5509785175</t>
  </si>
  <si>
    <t>6629359612</t>
  </si>
  <si>
    <t>6801866956</t>
  </si>
  <si>
    <t>1Z04VW426721509756</t>
  </si>
  <si>
    <t>1Z8459V46726613194</t>
  </si>
  <si>
    <t>1Z8459V46732803020</t>
  </si>
  <si>
    <t>3028168883</t>
  </si>
  <si>
    <t>3149561085</t>
  </si>
  <si>
    <t>2882389005</t>
  </si>
  <si>
    <t>7736826451</t>
  </si>
  <si>
    <t>5238624930</t>
  </si>
  <si>
    <t>5238582823</t>
  </si>
  <si>
    <t>2476406741</t>
  </si>
  <si>
    <t>4071489785</t>
  </si>
  <si>
    <t>4397243295</t>
  </si>
  <si>
    <t>4397243293</t>
  </si>
  <si>
    <t>4052649288</t>
  </si>
  <si>
    <t>4267856062</t>
  </si>
  <si>
    <t>9499375771</t>
  </si>
  <si>
    <t>735264969556</t>
  </si>
  <si>
    <t>4052649903</t>
  </si>
  <si>
    <t>4812657837</t>
  </si>
  <si>
    <t>4812657838</t>
  </si>
  <si>
    <t>C953773</t>
  </si>
  <si>
    <t>C953689</t>
  </si>
  <si>
    <t>4812658168</t>
  </si>
  <si>
    <t>4052650618</t>
  </si>
  <si>
    <t>4052650602</t>
  </si>
  <si>
    <t>4060769649</t>
  </si>
  <si>
    <t>1Z8459V46717840125</t>
  </si>
  <si>
    <t>1Z8459V56734256607</t>
  </si>
  <si>
    <t>1Z8459V56714126553</t>
  </si>
  <si>
    <t>1Z8459V56710659502</t>
  </si>
  <si>
    <t>1Z8459V46737691937</t>
  </si>
  <si>
    <t>1Z8459V46733132646</t>
  </si>
  <si>
    <t>1Z8459V46731783036</t>
  </si>
  <si>
    <t>4052650758</t>
  </si>
  <si>
    <t>4812658043</t>
  </si>
  <si>
    <t>4812657491</t>
  </si>
  <si>
    <t>4812658044</t>
  </si>
  <si>
    <t>4812658072</t>
  </si>
  <si>
    <t>4812658075</t>
  </si>
  <si>
    <t>4812658309</t>
  </si>
  <si>
    <t>ORI06921865</t>
  </si>
  <si>
    <t>4890181892</t>
  </si>
  <si>
    <t>1463157150</t>
  </si>
  <si>
    <t>1084285624</t>
  </si>
  <si>
    <t>6675122274</t>
  </si>
  <si>
    <t>4120772661</t>
  </si>
  <si>
    <t>1Z46W13Y6794341862</t>
  </si>
  <si>
    <t>C931675</t>
  </si>
  <si>
    <t>C962116</t>
  </si>
  <si>
    <t>C962115</t>
  </si>
  <si>
    <t>4812658629</t>
  </si>
  <si>
    <t>9054076511</t>
  </si>
  <si>
    <t>7433728326</t>
  </si>
  <si>
    <t>4052650327</t>
  </si>
  <si>
    <t>4180382618</t>
  </si>
  <si>
    <t>4052650000</t>
  </si>
  <si>
    <t>2209703565</t>
  </si>
  <si>
    <t>9984453065</t>
  </si>
  <si>
    <t>1764182210</t>
  </si>
  <si>
    <t>4812657431</t>
  </si>
  <si>
    <t>4812657441</t>
  </si>
  <si>
    <t>1Z46W13Y6797089774</t>
  </si>
  <si>
    <t>11256619</t>
  </si>
  <si>
    <t>8358433926</t>
  </si>
  <si>
    <t>3064438274</t>
  </si>
  <si>
    <t>4812658657</t>
  </si>
  <si>
    <t>1543509844</t>
  </si>
  <si>
    <t>1790337640</t>
  </si>
  <si>
    <t>4052650824</t>
  </si>
  <si>
    <t>7878500965</t>
  </si>
  <si>
    <t>7878500803</t>
  </si>
  <si>
    <t>6884328216</t>
  </si>
  <si>
    <t>6776999121</t>
  </si>
  <si>
    <t>3796844284</t>
  </si>
  <si>
    <t>2895163180</t>
  </si>
  <si>
    <t>1919106685</t>
  </si>
  <si>
    <t>7823757082</t>
  </si>
  <si>
    <t>8578409965</t>
  </si>
  <si>
    <t>8457324282</t>
  </si>
  <si>
    <t>8373229465</t>
  </si>
  <si>
    <t>2557747614</t>
  </si>
  <si>
    <t>1Z8459V40411448867</t>
  </si>
  <si>
    <t>1Z8459V40413479197</t>
  </si>
  <si>
    <t>1Z8459V50403425207</t>
  </si>
  <si>
    <t>2352755506</t>
  </si>
  <si>
    <t>5049044486</t>
  </si>
  <si>
    <t>7729818832</t>
  </si>
  <si>
    <t>4705654494</t>
  </si>
  <si>
    <t>1490817801</t>
  </si>
  <si>
    <t>8694695262</t>
  </si>
  <si>
    <t>1577225031</t>
  </si>
  <si>
    <t>8694649596</t>
  </si>
  <si>
    <t>1Z8459V46715077482</t>
  </si>
  <si>
    <t>1Z8459V46715101945</t>
  </si>
  <si>
    <t>1Z8459V46717732831</t>
  </si>
  <si>
    <t>1Z8459V46721846022</t>
  </si>
  <si>
    <t>1Z8459V46731671004</t>
  </si>
  <si>
    <t>1Z8459V46734742682</t>
  </si>
  <si>
    <t>1Z8459V40411105941</t>
  </si>
  <si>
    <t>1Z03ER036717540364</t>
  </si>
  <si>
    <t>7631421243</t>
  </si>
  <si>
    <t>8143436906</t>
  </si>
  <si>
    <t>8262054441</t>
  </si>
  <si>
    <t>1Z9116Y66715369290</t>
  </si>
  <si>
    <t>2840271232</t>
  </si>
  <si>
    <t>1299204454</t>
  </si>
  <si>
    <t>1Z9116Y66714794108</t>
  </si>
  <si>
    <t>W5304478256</t>
  </si>
  <si>
    <t>8694655535</t>
  </si>
  <si>
    <t>1Z0345V80418562383</t>
  </si>
  <si>
    <t>4052651928</t>
  </si>
  <si>
    <t>7727214040</t>
  </si>
  <si>
    <t>1577206330</t>
  </si>
  <si>
    <t>1Z8459V46709598109</t>
  </si>
  <si>
    <t>1Z8459V50402258819</t>
  </si>
  <si>
    <t>2189356433</t>
  </si>
  <si>
    <t>4052651219</t>
  </si>
  <si>
    <t>4070713555</t>
  </si>
  <si>
    <t>6917454235</t>
  </si>
  <si>
    <t>2434603813</t>
  </si>
  <si>
    <t>4812658978</t>
  </si>
  <si>
    <t>1Z8459V46720605829</t>
  </si>
  <si>
    <t>8987744592</t>
  </si>
  <si>
    <t>1614021555</t>
  </si>
  <si>
    <t>4805447091</t>
  </si>
  <si>
    <t>3804965754</t>
  </si>
  <si>
    <t>4052652014</t>
  </si>
  <si>
    <t>4052652022</t>
  </si>
  <si>
    <t>1893845590</t>
  </si>
  <si>
    <t>1893843932</t>
  </si>
  <si>
    <t>1612952401</t>
  </si>
  <si>
    <t>8574290115</t>
  </si>
  <si>
    <t>7631433143</t>
  </si>
  <si>
    <t>4638636100</t>
  </si>
  <si>
    <t>4812658597</t>
  </si>
  <si>
    <t>1Z04867X6701816463</t>
  </si>
  <si>
    <t>1Z066V7W6725352924</t>
  </si>
  <si>
    <t>1Z46W13Y6791431912</t>
  </si>
  <si>
    <t>1Z46W13Y6796258904</t>
  </si>
  <si>
    <t>1Z46W13Y6797262246</t>
  </si>
  <si>
    <t>1Z8459V46712307149</t>
  </si>
  <si>
    <t>4052652275</t>
  </si>
  <si>
    <t>4052652260</t>
  </si>
  <si>
    <t>4052652249</t>
  </si>
  <si>
    <t>4052652240</t>
  </si>
  <si>
    <t>4052652239</t>
  </si>
  <si>
    <t>4052652238</t>
  </si>
  <si>
    <t>4812657821</t>
  </si>
  <si>
    <t>4812658455</t>
  </si>
  <si>
    <t>4812658484</t>
  </si>
  <si>
    <t>4812658515</t>
  </si>
  <si>
    <t>4812658494</t>
  </si>
  <si>
    <t>8369888170</t>
  </si>
  <si>
    <t>7616139635</t>
  </si>
  <si>
    <t>6469043674</t>
  </si>
  <si>
    <t>4604276493</t>
  </si>
  <si>
    <t>4120773187</t>
  </si>
  <si>
    <t>4120773186</t>
  </si>
  <si>
    <t>4120773191</t>
  </si>
  <si>
    <t>4120773188</t>
  </si>
  <si>
    <t>4120773190</t>
  </si>
  <si>
    <t>4120773189</t>
  </si>
  <si>
    <t>4052652236</t>
  </si>
  <si>
    <t>4052652237</t>
  </si>
  <si>
    <t>4052652234</t>
  </si>
  <si>
    <t>4052652235</t>
  </si>
  <si>
    <t>4052652145</t>
  </si>
  <si>
    <t>4052652079</t>
  </si>
  <si>
    <t>D022942</t>
  </si>
  <si>
    <t>4052651927</t>
  </si>
  <si>
    <t>4052652025</t>
  </si>
  <si>
    <t>4052651552</t>
  </si>
  <si>
    <t>4052651550</t>
  </si>
  <si>
    <t>8694681693</t>
  </si>
  <si>
    <t>8694684622</t>
  </si>
  <si>
    <t>9293224754</t>
  </si>
  <si>
    <t>1Z8459V56718388746</t>
  </si>
  <si>
    <t>11258052</t>
  </si>
  <si>
    <t>C64631376</t>
  </si>
  <si>
    <t>C64631401</t>
  </si>
  <si>
    <t>7183007554</t>
  </si>
  <si>
    <t>2897391943</t>
  </si>
  <si>
    <t>1034676311</t>
  </si>
  <si>
    <t>4560389846</t>
  </si>
  <si>
    <t>D025652</t>
  </si>
  <si>
    <t>4052652332</t>
  </si>
  <si>
    <t>4180382747</t>
  </si>
  <si>
    <t>4052652318</t>
  </si>
  <si>
    <t>4052652310</t>
  </si>
  <si>
    <t>4052652311</t>
  </si>
  <si>
    <t>4052652309</t>
  </si>
  <si>
    <t>4052652306</t>
  </si>
  <si>
    <t>4052652305</t>
  </si>
  <si>
    <t>4052652303</t>
  </si>
  <si>
    <t>4052652302</t>
  </si>
  <si>
    <t>4052652301</t>
  </si>
  <si>
    <t>4052652300</t>
  </si>
  <si>
    <t>4052652293</t>
  </si>
  <si>
    <t>4052652292</t>
  </si>
  <si>
    <t>4052652283</t>
  </si>
  <si>
    <t>4397243306</t>
  </si>
  <si>
    <t>4631104984</t>
  </si>
  <si>
    <t>8128277964</t>
  </si>
  <si>
    <t>3361430601</t>
  </si>
  <si>
    <t>4110314082</t>
  </si>
  <si>
    <t>4110314083</t>
  </si>
  <si>
    <t>4560390255</t>
  </si>
  <si>
    <t>4052651229</t>
  </si>
  <si>
    <t>4812658685</t>
  </si>
  <si>
    <t>4812658693</t>
  </si>
  <si>
    <t>4812658694</t>
  </si>
  <si>
    <t>4812658715</t>
  </si>
  <si>
    <t>4812658605</t>
  </si>
  <si>
    <t>4812658762</t>
  </si>
  <si>
    <t>4052652232</t>
  </si>
  <si>
    <t>1Z8459V46721741733</t>
  </si>
  <si>
    <t>4812656981</t>
  </si>
  <si>
    <t>4052648603</t>
  </si>
  <si>
    <t>4812657233</t>
  </si>
  <si>
    <t>4812656991</t>
  </si>
  <si>
    <t>4812657001</t>
  </si>
  <si>
    <t>4812657355</t>
  </si>
  <si>
    <t>4052648649</t>
  </si>
  <si>
    <t>4052648632</t>
  </si>
  <si>
    <t>4052648635</t>
  </si>
  <si>
    <t>4230740259</t>
  </si>
  <si>
    <t>4812657061</t>
  </si>
  <si>
    <t>4052648586</t>
  </si>
  <si>
    <t>4230740241</t>
  </si>
  <si>
    <t>4812657424</t>
  </si>
  <si>
    <t>4812657054</t>
  </si>
  <si>
    <t>4052648651</t>
  </si>
  <si>
    <t>11251816</t>
  </si>
  <si>
    <t>11252488</t>
  </si>
  <si>
    <t>4180382355</t>
  </si>
  <si>
    <t>4812657617</t>
  </si>
  <si>
    <t>4397243253</t>
  </si>
  <si>
    <t>4052648947</t>
  </si>
  <si>
    <t>4812657514</t>
  </si>
  <si>
    <t>4180382464</t>
  </si>
  <si>
    <t>4052648899</t>
  </si>
  <si>
    <t>11251812</t>
  </si>
  <si>
    <t>4812657648</t>
  </si>
  <si>
    <t>4052649129</t>
  </si>
  <si>
    <t>11252246</t>
  </si>
  <si>
    <t>4812657323</t>
  </si>
  <si>
    <t>4560388707</t>
  </si>
  <si>
    <t>4560388725</t>
  </si>
  <si>
    <t>4052649277</t>
  </si>
  <si>
    <t>4812657672</t>
  </si>
  <si>
    <t>4812657675</t>
  </si>
  <si>
    <t>4812657694</t>
  </si>
  <si>
    <t>4812657665</t>
  </si>
  <si>
    <t>4812657722</t>
  </si>
  <si>
    <t>4812657713</t>
  </si>
  <si>
    <t>4397243277</t>
  </si>
  <si>
    <t>4060769378</t>
  </si>
  <si>
    <t>4060769380</t>
  </si>
  <si>
    <t>4052649320</t>
  </si>
  <si>
    <t>C64630992</t>
  </si>
  <si>
    <t>C64630993</t>
  </si>
  <si>
    <t>C64631044</t>
  </si>
  <si>
    <t>4397243272</t>
  </si>
  <si>
    <t>4230740577</t>
  </si>
  <si>
    <t>C908494</t>
  </si>
  <si>
    <t>C915219</t>
  </si>
  <si>
    <t>4812657271</t>
  </si>
  <si>
    <t>4812657281</t>
  </si>
  <si>
    <t>4560388888</t>
  </si>
  <si>
    <t>4052649605</t>
  </si>
  <si>
    <t>4052649606</t>
  </si>
  <si>
    <t>4052649609</t>
  </si>
  <si>
    <t>4052649628</t>
  </si>
  <si>
    <t>4052649643</t>
  </si>
  <si>
    <t>4812657714</t>
  </si>
  <si>
    <t>4812657683</t>
  </si>
  <si>
    <t>4812657682</t>
  </si>
  <si>
    <t>4812657813</t>
  </si>
  <si>
    <t>4052649705</t>
  </si>
  <si>
    <t>4052649704</t>
  </si>
  <si>
    <t>4052649803</t>
  </si>
  <si>
    <t>4120772328</t>
  </si>
  <si>
    <t>4052649805</t>
  </si>
  <si>
    <t>4052649807</t>
  </si>
  <si>
    <t>4052649808</t>
  </si>
  <si>
    <t>4052649837</t>
  </si>
  <si>
    <t>4052649814</t>
  </si>
  <si>
    <t>4052649845</t>
  </si>
  <si>
    <t>4052649871</t>
  </si>
  <si>
    <t>4052649872</t>
  </si>
  <si>
    <t>C64631070</t>
  </si>
  <si>
    <t>4052649294</t>
  </si>
  <si>
    <t>4180382507</t>
  </si>
  <si>
    <t>4052649890</t>
  </si>
  <si>
    <t>4052649884</t>
  </si>
  <si>
    <t>4052649879</t>
  </si>
  <si>
    <t>4052649881</t>
  </si>
  <si>
    <t>4052649873</t>
  </si>
  <si>
    <t>4052649825</t>
  </si>
  <si>
    <t>4052649615</t>
  </si>
  <si>
    <t>4052649613</t>
  </si>
  <si>
    <t>4052649362</t>
  </si>
  <si>
    <t>4052649355</t>
  </si>
  <si>
    <t>4052649899</t>
  </si>
  <si>
    <t>4052649891</t>
  </si>
  <si>
    <t>C64630990</t>
  </si>
  <si>
    <t>4560389288</t>
  </si>
  <si>
    <t>4397243284</t>
  </si>
  <si>
    <t>4812657835</t>
  </si>
  <si>
    <t>6850036944</t>
  </si>
  <si>
    <t>2882475816</t>
  </si>
  <si>
    <t>6803417806</t>
  </si>
  <si>
    <t>3326927870</t>
  </si>
  <si>
    <t>4323500963</t>
  </si>
  <si>
    <t>3074334012</t>
  </si>
  <si>
    <t>8067528501</t>
  </si>
  <si>
    <t>3363582950</t>
  </si>
  <si>
    <t>5878279573</t>
  </si>
  <si>
    <t>2763630564</t>
  </si>
  <si>
    <t>5352868334</t>
  </si>
  <si>
    <t>3047570341</t>
  </si>
  <si>
    <t>4812712793</t>
  </si>
  <si>
    <t>4052649939</t>
  </si>
  <si>
    <t>4052649940</t>
  </si>
  <si>
    <t>4052649970</t>
  </si>
  <si>
    <t>4052649974</t>
  </si>
  <si>
    <t>4812657311</t>
  </si>
  <si>
    <t>4812657381</t>
  </si>
  <si>
    <t>4812657391</t>
  </si>
  <si>
    <t>4812657361</t>
  </si>
  <si>
    <t>4812657371</t>
  </si>
  <si>
    <t>1Z0345V80422717485</t>
  </si>
  <si>
    <t>3092012350</t>
  </si>
  <si>
    <t>3363671441</t>
  </si>
  <si>
    <t>4561888590</t>
  </si>
  <si>
    <t>5990333624</t>
  </si>
  <si>
    <t>8213560751</t>
  </si>
  <si>
    <t>7775224516</t>
  </si>
  <si>
    <t>4120772473</t>
  </si>
  <si>
    <t>4120772471</t>
  </si>
  <si>
    <t>4120772469</t>
  </si>
  <si>
    <t>8763859646</t>
  </si>
  <si>
    <t>2965758423</t>
  </si>
  <si>
    <t>6587517742</t>
  </si>
  <si>
    <t>6586210293</t>
  </si>
  <si>
    <t>1Z049VY56709493491</t>
  </si>
  <si>
    <t>5055693926</t>
  </si>
  <si>
    <t>4120772543</t>
  </si>
  <si>
    <t>4230740669</t>
  </si>
  <si>
    <t>4030492430</t>
  </si>
  <si>
    <t>4890186862</t>
  </si>
  <si>
    <t>4729874100</t>
  </si>
  <si>
    <t>1578570291</t>
  </si>
  <si>
    <t>1578570280</t>
  </si>
  <si>
    <t>7693038054</t>
  </si>
  <si>
    <t>4052650527</t>
  </si>
  <si>
    <t>4052650520</t>
  </si>
  <si>
    <t>4052650519</t>
  </si>
  <si>
    <t>4120772616</t>
  </si>
  <si>
    <t>4812658003</t>
  </si>
  <si>
    <t>4052650518</t>
  </si>
  <si>
    <t>4052650523</t>
  </si>
  <si>
    <t>4052650515</t>
  </si>
  <si>
    <t>4052650513</t>
  </si>
  <si>
    <t>4052650511</t>
  </si>
  <si>
    <t>4052650341</t>
  </si>
  <si>
    <t>4812658128</t>
  </si>
  <si>
    <t>4120772524</t>
  </si>
  <si>
    <t>C64631179</t>
  </si>
  <si>
    <t>C64631152</t>
  </si>
  <si>
    <t>4812658297</t>
  </si>
  <si>
    <t>4812658159</t>
  </si>
  <si>
    <t>4215809732</t>
  </si>
  <si>
    <t>4560389337</t>
  </si>
  <si>
    <t>4560389314</t>
  </si>
  <si>
    <t>1754643612</t>
  </si>
  <si>
    <t>1754689344</t>
  </si>
  <si>
    <t>6675160984</t>
  </si>
  <si>
    <t>11256065</t>
  </si>
  <si>
    <t>11256085</t>
  </si>
  <si>
    <t>11256094</t>
  </si>
  <si>
    <t>11256104</t>
  </si>
  <si>
    <t>4812658053</t>
  </si>
  <si>
    <t>4812658062</t>
  </si>
  <si>
    <t>1Z0345V86716366034</t>
  </si>
  <si>
    <t>1Z03ER036728449934</t>
  </si>
  <si>
    <t>1Z049VY56715370174</t>
  </si>
  <si>
    <t>1Z46W13Y6792143875</t>
  </si>
  <si>
    <t>1Z46W13Y6796583704</t>
  </si>
  <si>
    <t>4812658023</t>
  </si>
  <si>
    <t>4812657461</t>
  </si>
  <si>
    <t>4812657471</t>
  </si>
  <si>
    <t>1Z0345V80404023973</t>
  </si>
  <si>
    <t>1126313963</t>
  </si>
  <si>
    <t>1173000555</t>
  </si>
  <si>
    <t>5970744323</t>
  </si>
  <si>
    <t>4120772743</t>
  </si>
  <si>
    <t>1413423852</t>
  </si>
  <si>
    <t>4775835750</t>
  </si>
  <si>
    <t>4052650847</t>
  </si>
  <si>
    <t>4126474376</t>
  </si>
  <si>
    <t>7529071546</t>
  </si>
  <si>
    <t>1256875546</t>
  </si>
  <si>
    <t>1256941394</t>
  </si>
  <si>
    <t>4887852093</t>
  </si>
  <si>
    <t>4052650831</t>
  </si>
  <si>
    <t>4052650828</t>
  </si>
  <si>
    <t>4052650793</t>
  </si>
  <si>
    <t>1Z03ER036721760556</t>
  </si>
  <si>
    <t>1Z03ER036725478515</t>
  </si>
  <si>
    <t>1Z066V7W6705794664</t>
  </si>
  <si>
    <t>4812658065</t>
  </si>
  <si>
    <t>4812658105</t>
  </si>
  <si>
    <t>4812658112</t>
  </si>
  <si>
    <t>4812658095</t>
  </si>
  <si>
    <t>4052651216</t>
  </si>
  <si>
    <t>4052651215</t>
  </si>
  <si>
    <t>4052651213</t>
  </si>
  <si>
    <t>4052651209</t>
  </si>
  <si>
    <t>4052651164</t>
  </si>
  <si>
    <t>4052651217</t>
  </si>
  <si>
    <t>4812657621</t>
  </si>
  <si>
    <t>4812658224</t>
  </si>
  <si>
    <t>4397243301</t>
  </si>
  <si>
    <t>8694650123</t>
  </si>
  <si>
    <t>4812658483</t>
  </si>
  <si>
    <t>4052649629</t>
  </si>
  <si>
    <t>4052649630</t>
  </si>
  <si>
    <t>4052649641</t>
  </si>
  <si>
    <t>4052649642</t>
  </si>
  <si>
    <t>4052649862</t>
  </si>
  <si>
    <t>C64631069</t>
  </si>
  <si>
    <t>4052649592</t>
  </si>
  <si>
    <t>1Z03837Y0428222025</t>
  </si>
  <si>
    <t>1Z03837Y0434664037</t>
  </si>
  <si>
    <t>1Z049VY56711274348</t>
  </si>
  <si>
    <t>11255330</t>
  </si>
  <si>
    <t>11255256</t>
  </si>
  <si>
    <t>11255309</t>
  </si>
  <si>
    <t>11255306</t>
  </si>
  <si>
    <t>11255217</t>
  </si>
  <si>
    <t>11255298</t>
  </si>
  <si>
    <t>11255307</t>
  </si>
  <si>
    <t>9666707411</t>
  </si>
  <si>
    <t>11255602</t>
  </si>
  <si>
    <t>11255595</t>
  </si>
  <si>
    <t>11255608</t>
  </si>
  <si>
    <t>1Z036A736793818464</t>
  </si>
  <si>
    <t>4052645675</t>
  </si>
  <si>
    <t>11255610</t>
  </si>
  <si>
    <t>11255612</t>
  </si>
  <si>
    <t>1Z036A736736167033</t>
  </si>
  <si>
    <t>1Z46W13Y6790216184</t>
  </si>
  <si>
    <t>1Z46W13Y6790821592</t>
  </si>
  <si>
    <t>1Z46W13Y6796017549</t>
  </si>
  <si>
    <t>1Z46W13Y6799201950</t>
  </si>
  <si>
    <t>1525687262</t>
  </si>
  <si>
    <t>4812658134</t>
  </si>
  <si>
    <t>4812657521</t>
  </si>
  <si>
    <t>4052651174</t>
  </si>
  <si>
    <t>4052651151</t>
  </si>
  <si>
    <t>4052651159</t>
  </si>
  <si>
    <t>4110313849</t>
  </si>
  <si>
    <t>4052651109</t>
  </si>
  <si>
    <t>4052651107</t>
  </si>
  <si>
    <t>4052651106</t>
  </si>
  <si>
    <t>4052651168</t>
  </si>
  <si>
    <t>1Z8459V56732959843</t>
  </si>
  <si>
    <t>1764180843</t>
  </si>
  <si>
    <t>7704017915</t>
  </si>
  <si>
    <t>5337561261</t>
  </si>
  <si>
    <t>4030492569</t>
  </si>
  <si>
    <t>4060769763</t>
  </si>
  <si>
    <t>4110313871</t>
  </si>
  <si>
    <t>4052650795</t>
  </si>
  <si>
    <t>4052651032</t>
  </si>
  <si>
    <t>4052651133</t>
  </si>
  <si>
    <t>4052651142</t>
  </si>
  <si>
    <t>4052651145</t>
  </si>
  <si>
    <t>4052651150</t>
  </si>
  <si>
    <t>4052650861</t>
  </si>
  <si>
    <t>4052651143</t>
  </si>
  <si>
    <t>4812657581</t>
  </si>
  <si>
    <t>4812658183</t>
  </si>
  <si>
    <t>4812658175</t>
  </si>
  <si>
    <t>4812658143</t>
  </si>
  <si>
    <t>4812657551</t>
  </si>
  <si>
    <t>4812657571</t>
  </si>
  <si>
    <t>4052651191</t>
  </si>
  <si>
    <t>4052651193</t>
  </si>
  <si>
    <t>4052651212</t>
  </si>
  <si>
    <t>11256553</t>
  </si>
  <si>
    <t>11256518</t>
  </si>
  <si>
    <t>4812714796</t>
  </si>
  <si>
    <t>4812648880</t>
  </si>
  <si>
    <t>11255193</t>
  </si>
  <si>
    <t>11256532</t>
  </si>
  <si>
    <t>1Z03837Y6717347446</t>
  </si>
  <si>
    <t>1Z03837Y6718194850</t>
  </si>
  <si>
    <t>1Z03837Y6732974481</t>
  </si>
  <si>
    <t>1Z049VY56729637235</t>
  </si>
  <si>
    <t>1Z46W13Y6798551280</t>
  </si>
  <si>
    <t>1Z46W13Y6799995139</t>
  </si>
  <si>
    <t>1Z46W13Y6796407181</t>
  </si>
  <si>
    <t>4812715082</t>
  </si>
  <si>
    <t>4812715098</t>
  </si>
  <si>
    <t>11257329</t>
  </si>
  <si>
    <t>1Z03837Y6709886861</t>
  </si>
  <si>
    <t>1Z03837Y6733262560</t>
  </si>
  <si>
    <t>1Z03837Y6719748545</t>
  </si>
  <si>
    <t>1Z03837Y6707178577</t>
  </si>
  <si>
    <t>1Z46W13Y6798284953</t>
  </si>
  <si>
    <t>11255600</t>
  </si>
  <si>
    <t>3852024853</t>
  </si>
  <si>
    <t>3567132505</t>
  </si>
  <si>
    <t>1Z46W13Y6791705055</t>
  </si>
  <si>
    <t>1Z46W13Y6793234828</t>
  </si>
  <si>
    <t>1Z46W13Y6795141237</t>
  </si>
  <si>
    <t>1Z46W13Y6795395571</t>
  </si>
  <si>
    <t>1Z46W13Y6795673001</t>
  </si>
  <si>
    <t>1Z46W13Y6798355411</t>
  </si>
  <si>
    <t>1Z46W13Y6796660246</t>
  </si>
  <si>
    <t>4052649289</t>
  </si>
  <si>
    <t>1Z46W13Y6796105088</t>
  </si>
  <si>
    <t>7434480410</t>
  </si>
  <si>
    <t>1Z46W13Y6794791733</t>
  </si>
  <si>
    <t>4052650510</t>
  </si>
  <si>
    <t>1Z46W13Y6793989102</t>
  </si>
  <si>
    <t>1Z46W13Y6793790316</t>
  </si>
  <si>
    <t>668165920168</t>
  </si>
  <si>
    <t>1Z46W13Y6794396778</t>
  </si>
  <si>
    <t>4052651526</t>
  </si>
  <si>
    <t>1Z036A730494958956</t>
  </si>
  <si>
    <t>5765607400</t>
  </si>
  <si>
    <t>1613981493</t>
  </si>
  <si>
    <t>7727215123</t>
  </si>
  <si>
    <t>11258335</t>
  </si>
  <si>
    <t>4812658384</t>
  </si>
  <si>
    <t>4397243305</t>
  </si>
  <si>
    <t>4397243304</t>
  </si>
  <si>
    <t>4812658342</t>
  </si>
  <si>
    <t>11257863</t>
  </si>
  <si>
    <t>11257870</t>
  </si>
  <si>
    <t>9062334982</t>
  </si>
  <si>
    <t>4812715584</t>
  </si>
  <si>
    <t>3585786304</t>
  </si>
  <si>
    <t>4230741071</t>
  </si>
  <si>
    <t>4812710788</t>
  </si>
  <si>
    <t>4812658682</t>
  </si>
  <si>
    <t>4812658542</t>
  </si>
  <si>
    <t>D024578</t>
  </si>
  <si>
    <t>1Z46W13Y6796109977</t>
  </si>
  <si>
    <t>1Z46W13Y6794757940</t>
  </si>
  <si>
    <t>1Z46W13Y6794717260</t>
  </si>
  <si>
    <t>1Z46W13Y6792508123</t>
  </si>
  <si>
    <t>2924588295</t>
  </si>
  <si>
    <t>1360863921</t>
  </si>
  <si>
    <t>6746664525</t>
  </si>
  <si>
    <t>1893904003</t>
  </si>
  <si>
    <t>1490827542</t>
  </si>
  <si>
    <t>1490771166</t>
  </si>
  <si>
    <t>1490749960</t>
  </si>
  <si>
    <t>6469043571</t>
  </si>
  <si>
    <t>9095296394</t>
  </si>
  <si>
    <t>8216574380</t>
  </si>
  <si>
    <t>9552582406</t>
  </si>
  <si>
    <t>3447372202</t>
  </si>
  <si>
    <t>4818080120</t>
  </si>
  <si>
    <t>3458750503</t>
  </si>
  <si>
    <t>1Z03837Y6702598560</t>
  </si>
  <si>
    <t>1Z8459V56725776143</t>
  </si>
  <si>
    <t>1Z46W13Y6790322112</t>
  </si>
  <si>
    <t>7907439820</t>
  </si>
  <si>
    <t>4821131980</t>
  </si>
  <si>
    <t>1Z46W13Y6794448757</t>
  </si>
  <si>
    <t>1Z46W13Y6792805641</t>
  </si>
  <si>
    <t>11259295</t>
  </si>
  <si>
    <t>4052650182</t>
  </si>
  <si>
    <t>D033594</t>
  </si>
  <si>
    <t>1954475622</t>
  </si>
  <si>
    <t>1Z46W13Y6798374258</t>
  </si>
  <si>
    <t>4230741276</t>
  </si>
  <si>
    <t>1Z036A736790031372</t>
  </si>
  <si>
    <t>11259327</t>
  </si>
  <si>
    <t>4052652567</t>
  </si>
  <si>
    <t>4052652566</t>
  </si>
  <si>
    <t>11258342</t>
  </si>
  <si>
    <t>6745445711</t>
  </si>
  <si>
    <t>11251834</t>
  </si>
  <si>
    <t>11250990</t>
  </si>
  <si>
    <t>11251829</t>
  </si>
  <si>
    <t>4812711000</t>
  </si>
  <si>
    <t>4812657004</t>
  </si>
  <si>
    <t>4812657051</t>
  </si>
  <si>
    <t>4812657422</t>
  </si>
  <si>
    <t>4812657071</t>
  </si>
  <si>
    <t>11252454</t>
  </si>
  <si>
    <t>11252489</t>
  </si>
  <si>
    <t>11252477</t>
  </si>
  <si>
    <t>11252337</t>
  </si>
  <si>
    <t>11252394</t>
  </si>
  <si>
    <t>11252446</t>
  </si>
  <si>
    <t>KELS2402235</t>
  </si>
  <si>
    <t>ORI06917385</t>
  </si>
  <si>
    <t>ORI06915075</t>
  </si>
  <si>
    <t>ORI06915160</t>
  </si>
  <si>
    <t>11252315</t>
  </si>
  <si>
    <t>4052648657</t>
  </si>
  <si>
    <t>4052648611</t>
  </si>
  <si>
    <t>4052648585</t>
  </si>
  <si>
    <t>4052648545</t>
  </si>
  <si>
    <t>C64630905</t>
  </si>
  <si>
    <t>11252037</t>
  </si>
  <si>
    <t>4052649122</t>
  </si>
  <si>
    <t>4052648911</t>
  </si>
  <si>
    <t>4120772261</t>
  </si>
  <si>
    <t>11252335</t>
  </si>
  <si>
    <t>C13508904</t>
  </si>
  <si>
    <t>4812657121</t>
  </si>
  <si>
    <t>4812657565</t>
  </si>
  <si>
    <t>4052649029</t>
  </si>
  <si>
    <t>11250949</t>
  </si>
  <si>
    <t>4230740225</t>
  </si>
  <si>
    <t>4052649127</t>
  </si>
  <si>
    <t>4052648891</t>
  </si>
  <si>
    <t>4120772146</t>
  </si>
  <si>
    <t>4052648538</t>
  </si>
  <si>
    <t>4052649368</t>
  </si>
  <si>
    <t>4052649357</t>
  </si>
  <si>
    <t>4052649367</t>
  </si>
  <si>
    <t>4052649343</t>
  </si>
  <si>
    <t>4052649341</t>
  </si>
  <si>
    <t>4052649338</t>
  </si>
  <si>
    <t>4052649337</t>
  </si>
  <si>
    <t>4052649334</t>
  </si>
  <si>
    <t>4052649329</t>
  </si>
  <si>
    <t>4052649326</t>
  </si>
  <si>
    <t>4052649325</t>
  </si>
  <si>
    <t>4052649331</t>
  </si>
  <si>
    <t>11252801</t>
  </si>
  <si>
    <t>4812655967</t>
  </si>
  <si>
    <t>4052649306</t>
  </si>
  <si>
    <t>4052649117</t>
  </si>
  <si>
    <t>4052649120</t>
  </si>
  <si>
    <t>4052649123</t>
  </si>
  <si>
    <t>4052649253</t>
  </si>
  <si>
    <t>4052649134</t>
  </si>
  <si>
    <t>4052649265</t>
  </si>
  <si>
    <t>4052649561</t>
  </si>
  <si>
    <t>4052649517</t>
  </si>
  <si>
    <t>4052649544</t>
  </si>
  <si>
    <t>4052649418</t>
  </si>
  <si>
    <t>4052649415</t>
  </si>
  <si>
    <t>4052649549</t>
  </si>
  <si>
    <t>4120772324</t>
  </si>
  <si>
    <t>4120772325</t>
  </si>
  <si>
    <t>4120772326</t>
  </si>
  <si>
    <t>4120772329</t>
  </si>
  <si>
    <t>4397243273</t>
  </si>
  <si>
    <t>4397243279</t>
  </si>
  <si>
    <t>4397243274</t>
  </si>
  <si>
    <t>4120772394</t>
  </si>
  <si>
    <t>4120772395</t>
  </si>
  <si>
    <t>4120772396</t>
  </si>
  <si>
    <t>4120772397</t>
  </si>
  <si>
    <t>4120772399</t>
  </si>
  <si>
    <t>4052649601</t>
  </si>
  <si>
    <t>4052649602</t>
  </si>
  <si>
    <t>4812657684</t>
  </si>
  <si>
    <t>4812657693</t>
  </si>
  <si>
    <t>4812657735</t>
  </si>
  <si>
    <t>4812657772</t>
  </si>
  <si>
    <t>4812657773</t>
  </si>
  <si>
    <t>4812657774</t>
  </si>
  <si>
    <t>4812657775</t>
  </si>
  <si>
    <t>4812657793</t>
  </si>
  <si>
    <t>11253931</t>
  </si>
  <si>
    <t>11253908</t>
  </si>
  <si>
    <t>11252868</t>
  </si>
  <si>
    <t>6917284124</t>
  </si>
  <si>
    <t>7775251245</t>
  </si>
  <si>
    <t>8719580505</t>
  </si>
  <si>
    <t>11253463</t>
  </si>
  <si>
    <t>11254036</t>
  </si>
  <si>
    <t>4812657764</t>
  </si>
  <si>
    <t>4812655959</t>
  </si>
  <si>
    <t>4230740553</t>
  </si>
  <si>
    <t>5695561572</t>
  </si>
  <si>
    <t>C64631022</t>
  </si>
  <si>
    <t>C64631066</t>
  </si>
  <si>
    <t>4052649274</t>
  </si>
  <si>
    <t>4052649590</t>
  </si>
  <si>
    <t>4052649847</t>
  </si>
  <si>
    <t>4052649366</t>
  </si>
  <si>
    <t>5767765371</t>
  </si>
  <si>
    <t>6629417001</t>
  </si>
  <si>
    <t>7467497450</t>
  </si>
  <si>
    <t>C64631063</t>
  </si>
  <si>
    <t>4230740435</t>
  </si>
  <si>
    <t>C64631073</t>
  </si>
  <si>
    <t>C921711</t>
  </si>
  <si>
    <t>C921695</t>
  </si>
  <si>
    <t>4397243285</t>
  </si>
  <si>
    <t>1Z8459V56702109639</t>
  </si>
  <si>
    <t>1Z8459V46716739587</t>
  </si>
  <si>
    <t>1Z066V7W6716989442</t>
  </si>
  <si>
    <t>1578570125</t>
  </si>
  <si>
    <t>1914127342</t>
  </si>
  <si>
    <t>6803417504</t>
  </si>
  <si>
    <t>4052649109</t>
  </si>
  <si>
    <t>8746746385</t>
  </si>
  <si>
    <t>8207520112</t>
  </si>
  <si>
    <t>7710004083</t>
  </si>
  <si>
    <t>4448206276</t>
  </si>
  <si>
    <t>2036619325</t>
  </si>
  <si>
    <t>3091969845</t>
  </si>
  <si>
    <t>8207584022</t>
  </si>
  <si>
    <t>6225091390</t>
  </si>
  <si>
    <t>1578570140</t>
  </si>
  <si>
    <t>9281387850</t>
  </si>
  <si>
    <t>8207582423</t>
  </si>
  <si>
    <t>1Z8459V46710995436</t>
  </si>
  <si>
    <t>4052649360</t>
  </si>
  <si>
    <t>4052649361</t>
  </si>
  <si>
    <t>3047571494</t>
  </si>
  <si>
    <t>11254675</t>
  </si>
  <si>
    <t>9932152495</t>
  </si>
  <si>
    <t>4812713051</t>
  </si>
  <si>
    <t>1Z46W13Y6798181206</t>
  </si>
  <si>
    <t>8067534602</t>
  </si>
  <si>
    <t>5095326950</t>
  </si>
  <si>
    <t>4120772472</t>
  </si>
  <si>
    <t>1Z8459V56718463655</t>
  </si>
  <si>
    <t>1Z036A730494264848</t>
  </si>
  <si>
    <t>C64448586</t>
  </si>
  <si>
    <t>4052649351</t>
  </si>
  <si>
    <t>4052649693</t>
  </si>
  <si>
    <t>1Z8459V46713369474</t>
  </si>
  <si>
    <t>4812658257</t>
  </si>
  <si>
    <t>4745601416</t>
  </si>
  <si>
    <t>1Z04867X6705372060</t>
  </si>
  <si>
    <t>1Z04867X0426062812</t>
  </si>
  <si>
    <t>1Z8459V40412424336</t>
  </si>
  <si>
    <t>1Z8459V40416669002</t>
  </si>
  <si>
    <t>1Z8459V40437659395</t>
  </si>
  <si>
    <t>1Z8459V50405124761</t>
  </si>
  <si>
    <t>1Z8459V50406285738</t>
  </si>
  <si>
    <t>1Z8459V50419898712</t>
  </si>
  <si>
    <t>1Z8459V50426867554</t>
  </si>
  <si>
    <t>1Z8459V50427606575</t>
  </si>
  <si>
    <t>1Z8459V56732976039</t>
  </si>
  <si>
    <t>1Z8459V50430132142</t>
  </si>
  <si>
    <t>4812657301</t>
  </si>
  <si>
    <t>1Z8459V56736752504</t>
  </si>
  <si>
    <t>4560389534</t>
  </si>
  <si>
    <t>4052650104</t>
  </si>
  <si>
    <t>4215862464</t>
  </si>
  <si>
    <t>4162729410</t>
  </si>
  <si>
    <t>4162729535</t>
  </si>
  <si>
    <t>4215850096</t>
  </si>
  <si>
    <t>5027739500</t>
  </si>
  <si>
    <t>7693038010</t>
  </si>
  <si>
    <t>4052649596</t>
  </si>
  <si>
    <t>C906114</t>
  </si>
  <si>
    <t>1Z8459V46711626681</t>
  </si>
  <si>
    <t>4052649885</t>
  </si>
  <si>
    <t>4052649489</t>
  </si>
  <si>
    <t>7736923202</t>
  </si>
  <si>
    <t>5232305945</t>
  </si>
  <si>
    <t>5155044016</t>
  </si>
  <si>
    <t>1835621432</t>
  </si>
  <si>
    <t>4821097201</t>
  </si>
  <si>
    <t>1610044881</t>
  </si>
  <si>
    <t>4450653001</t>
  </si>
  <si>
    <t>4729874096</t>
  </si>
  <si>
    <t>4821112811</t>
  </si>
  <si>
    <t>4829364153</t>
  </si>
  <si>
    <t>7924101043</t>
  </si>
  <si>
    <t>1126279663</t>
  </si>
  <si>
    <t>4812657511</t>
  </si>
  <si>
    <t>3128699254</t>
  </si>
  <si>
    <t>4052651094</t>
  </si>
  <si>
    <t>4052651099</t>
  </si>
  <si>
    <t>1Z8459V40415397227</t>
  </si>
  <si>
    <t>1Z04VW426726615775</t>
  </si>
  <si>
    <t>4052650562</t>
  </si>
  <si>
    <t>4812658049</t>
  </si>
  <si>
    <t>7110104875</t>
  </si>
  <si>
    <t>4006424284</t>
  </si>
  <si>
    <t>7110104142</t>
  </si>
  <si>
    <t>4180382623</t>
  </si>
  <si>
    <t>C64631219</t>
  </si>
  <si>
    <t>1Z8459V46732220258</t>
  </si>
  <si>
    <t>1Z8459V46726797559</t>
  </si>
  <si>
    <t>1Z8459V46729041958</t>
  </si>
  <si>
    <t>1Z8459V46731240265</t>
  </si>
  <si>
    <t>1Z8459V56701732869</t>
  </si>
  <si>
    <t>1Z8459V56717505218</t>
  </si>
  <si>
    <t>7590801293</t>
  </si>
  <si>
    <t>02023921343</t>
  </si>
  <si>
    <t>8582800892</t>
  </si>
  <si>
    <t>7704097472</t>
  </si>
  <si>
    <t>1610045290</t>
  </si>
  <si>
    <t>1299204336</t>
  </si>
  <si>
    <t>3363795385</t>
  </si>
  <si>
    <t>5232301513</t>
  </si>
  <si>
    <t>1526172583</t>
  </si>
  <si>
    <t>4481115273</t>
  </si>
  <si>
    <t>1636090853</t>
  </si>
  <si>
    <t>1526172642</t>
  </si>
  <si>
    <t>1636081473</t>
  </si>
  <si>
    <t>8722626345</t>
  </si>
  <si>
    <t>1Z036A730439763395</t>
  </si>
  <si>
    <t>3850858561</t>
  </si>
  <si>
    <t>1Z46W13Y6793250640</t>
  </si>
  <si>
    <t>1Z46W13Y6795730252</t>
  </si>
  <si>
    <t>1Z036A730428001193</t>
  </si>
  <si>
    <t>1636081392</t>
  </si>
  <si>
    <t>1299195660</t>
  </si>
  <si>
    <t>4812658015</t>
  </si>
  <si>
    <t>4052650835</t>
  </si>
  <si>
    <t>4180382610</t>
  </si>
  <si>
    <t>4812658738</t>
  </si>
  <si>
    <t>4812658749</t>
  </si>
  <si>
    <t>4812661700</t>
  </si>
  <si>
    <t>4812661720</t>
  </si>
  <si>
    <t>1413387172</t>
  </si>
  <si>
    <t>1636126822</t>
  </si>
  <si>
    <t>5337617736</t>
  </si>
  <si>
    <t>8319884064</t>
  </si>
  <si>
    <t>8358433930</t>
  </si>
  <si>
    <t>3076198801</t>
  </si>
  <si>
    <t>8252623142</t>
  </si>
  <si>
    <t>8319892792</t>
  </si>
  <si>
    <t>4812658607</t>
  </si>
  <si>
    <t>4812661830</t>
  </si>
  <si>
    <t>4812657651</t>
  </si>
  <si>
    <t>4052651537</t>
  </si>
  <si>
    <t>4052651259</t>
  </si>
  <si>
    <t>7907491351</t>
  </si>
  <si>
    <t>5337570490</t>
  </si>
  <si>
    <t>1299195730</t>
  </si>
  <si>
    <t>1613997033</t>
  </si>
  <si>
    <t>1613997232</t>
  </si>
  <si>
    <t>1614068072</t>
  </si>
  <si>
    <t>1671124873</t>
  </si>
  <si>
    <t>2534130981</t>
  </si>
  <si>
    <t>2534131935</t>
  </si>
  <si>
    <t>1636081753</t>
  </si>
  <si>
    <t>4082817034</t>
  </si>
  <si>
    <t>2534129430</t>
  </si>
  <si>
    <t>4120772828</t>
  </si>
  <si>
    <t>4812658976</t>
  </si>
  <si>
    <t>4812648900</t>
  </si>
  <si>
    <t>4219890942</t>
  </si>
  <si>
    <t>3869958562</t>
  </si>
  <si>
    <t>2151636502</t>
  </si>
  <si>
    <t>1Z8459V46722115604</t>
  </si>
  <si>
    <t>4812658726</t>
  </si>
  <si>
    <t>4890246922</t>
  </si>
  <si>
    <t>4812658819</t>
  </si>
  <si>
    <t>4230741042</t>
  </si>
  <si>
    <t>4052650832</t>
  </si>
  <si>
    <t>4812658947</t>
  </si>
  <si>
    <t>4812658867</t>
  </si>
  <si>
    <t>4812658949</t>
  </si>
  <si>
    <t>2140681292</t>
  </si>
  <si>
    <t>2848375515</t>
  </si>
  <si>
    <t>2557771694</t>
  </si>
  <si>
    <t>8373211022</t>
  </si>
  <si>
    <t>C64631242</t>
  </si>
  <si>
    <t>6782892001</t>
  </si>
  <si>
    <t>4812658969</t>
  </si>
  <si>
    <t>1Z8459V46732157327</t>
  </si>
  <si>
    <t>4597347322</t>
  </si>
  <si>
    <t>4052651744</t>
  </si>
  <si>
    <t>4052651743</t>
  </si>
  <si>
    <t>4812657711</t>
  </si>
  <si>
    <t>4052651242</t>
  </si>
  <si>
    <t>4052651241</t>
  </si>
  <si>
    <t>4812658347</t>
  </si>
  <si>
    <t>4812658826</t>
  </si>
  <si>
    <t>4397243302</t>
  </si>
  <si>
    <t>9509249212</t>
  </si>
  <si>
    <t>816272101222</t>
  </si>
  <si>
    <t>8319911644</t>
  </si>
  <si>
    <t>4812658339</t>
  </si>
  <si>
    <t>2848391921</t>
  </si>
  <si>
    <t>4597366060</t>
  </si>
  <si>
    <t>2557712754</t>
  </si>
  <si>
    <t>2848441761</t>
  </si>
  <si>
    <t>9158578214</t>
  </si>
  <si>
    <t>1614012142</t>
  </si>
  <si>
    <t>4094968006</t>
  </si>
  <si>
    <t>5049040393</t>
  </si>
  <si>
    <t>3585704430</t>
  </si>
  <si>
    <t>4052651822</t>
  </si>
  <si>
    <t>4052651821</t>
  </si>
  <si>
    <t>4052651806</t>
  </si>
  <si>
    <t>4052651807</t>
  </si>
  <si>
    <t>4052651805</t>
  </si>
  <si>
    <t>4052651753</t>
  </si>
  <si>
    <t>3458754644</t>
  </si>
  <si>
    <t>C64631244</t>
  </si>
  <si>
    <t>1577243522</t>
  </si>
  <si>
    <t>4560390060</t>
  </si>
  <si>
    <t>8250154511</t>
  </si>
  <si>
    <t>9521382194</t>
  </si>
  <si>
    <t>4871353642</t>
  </si>
  <si>
    <t>2140735671</t>
  </si>
  <si>
    <t>1490817005</t>
  </si>
  <si>
    <t>1034643886</t>
  </si>
  <si>
    <t>8574262244</t>
  </si>
  <si>
    <t>1034641985</t>
  </si>
  <si>
    <t>9609542375</t>
  </si>
  <si>
    <t>3621061183</t>
  </si>
  <si>
    <t>1034672940</t>
  </si>
  <si>
    <t>1494762485</t>
  </si>
  <si>
    <t>3013692231</t>
  </si>
  <si>
    <t>4805522680</t>
  </si>
  <si>
    <t>5023952043</t>
  </si>
  <si>
    <t>7239726782</t>
  </si>
  <si>
    <t>3013692065</t>
  </si>
  <si>
    <t>3458787404</t>
  </si>
  <si>
    <t>4805512762</t>
  </si>
  <si>
    <t>5799343476</t>
  </si>
  <si>
    <t>7631432723</t>
  </si>
  <si>
    <t>8262079416</t>
  </si>
  <si>
    <t>8574271064</t>
  </si>
  <si>
    <t>1034676193</t>
  </si>
  <si>
    <t>1143474102</t>
  </si>
  <si>
    <t>1442604100</t>
  </si>
  <si>
    <t>1789050830</t>
  </si>
  <si>
    <t>2513948076</t>
  </si>
  <si>
    <t>6399381892</t>
  </si>
  <si>
    <t>2513948802</t>
  </si>
  <si>
    <t>3621002265</t>
  </si>
  <si>
    <t>3621055395</t>
  </si>
  <si>
    <t>2513946551</t>
  </si>
  <si>
    <t>4052651804</t>
  </si>
  <si>
    <t>1526144034</t>
  </si>
  <si>
    <t>4812658919</t>
  </si>
  <si>
    <t>4052651800</t>
  </si>
  <si>
    <t>1490774666</t>
  </si>
  <si>
    <t>1Z03837Y6717952943</t>
  </si>
  <si>
    <t>1Z0345V86722161850</t>
  </si>
  <si>
    <t>1Z8459V46727024435</t>
  </si>
  <si>
    <t>1Z03837Y0400206407</t>
  </si>
  <si>
    <t>1Z0345V80429925265</t>
  </si>
  <si>
    <t>3397361796</t>
  </si>
  <si>
    <t>1Z8459V56707775544</t>
  </si>
  <si>
    <t>1Z8459V56715993347</t>
  </si>
  <si>
    <t>1Z8459V56704796394</t>
  </si>
  <si>
    <t>1Z8459V56729115751</t>
  </si>
  <si>
    <t>1Z8459V56710810356</t>
  </si>
  <si>
    <t>1Z8459V56712032158</t>
  </si>
  <si>
    <t>1Z8459V56722381959</t>
  </si>
  <si>
    <t>4052652524</t>
  </si>
  <si>
    <t>4052652518</t>
  </si>
  <si>
    <t>4052652412</t>
  </si>
  <si>
    <t>4052652389</t>
  </si>
  <si>
    <t>4052652383</t>
  </si>
  <si>
    <t>4052652379</t>
  </si>
  <si>
    <t>4052652376</t>
  </si>
  <si>
    <t>4052652320</t>
  </si>
  <si>
    <t>4052652291</t>
  </si>
  <si>
    <t>5375173370</t>
  </si>
  <si>
    <t>5023950912</t>
  </si>
  <si>
    <t>8574271053</t>
  </si>
  <si>
    <t>1291944614</t>
  </si>
  <si>
    <t>6285458594</t>
  </si>
  <si>
    <t>4230741252</t>
  </si>
  <si>
    <t>4230741177</t>
  </si>
  <si>
    <t>4052652021</t>
  </si>
  <si>
    <t>4052652185</t>
  </si>
  <si>
    <t>4120773256</t>
  </si>
  <si>
    <t>4180382768</t>
  </si>
  <si>
    <t>4120773272</t>
  </si>
  <si>
    <t>4120773271</t>
  </si>
  <si>
    <t>1119200246</t>
  </si>
  <si>
    <t>1143513033</t>
  </si>
  <si>
    <t>1310046522</t>
  </si>
  <si>
    <t>1310053371</t>
  </si>
  <si>
    <t>1892509824</t>
  </si>
  <si>
    <t>2063410134</t>
  </si>
  <si>
    <t>2192143251</t>
  </si>
  <si>
    <t>2192149035</t>
  </si>
  <si>
    <t>2804138186</t>
  </si>
  <si>
    <t>2804139111</t>
  </si>
  <si>
    <t>2879113941</t>
  </si>
  <si>
    <t>3730864270</t>
  </si>
  <si>
    <t>5020088581</t>
  </si>
  <si>
    <t>5023953745</t>
  </si>
  <si>
    <t>6746665892</t>
  </si>
  <si>
    <t>7238034322</t>
  </si>
  <si>
    <t>7238040515</t>
  </si>
  <si>
    <t>7238040762</t>
  </si>
  <si>
    <t>8574289441</t>
  </si>
  <si>
    <t>9528286143</t>
  </si>
  <si>
    <t>1795366753</t>
  </si>
  <si>
    <t>1810289014</t>
  </si>
  <si>
    <t>2924588380</t>
  </si>
  <si>
    <t>3304245744</t>
  </si>
  <si>
    <t>7183091635</t>
  </si>
  <si>
    <t>1Z9116Y66798123167</t>
  </si>
  <si>
    <t>5049038960</t>
  </si>
  <si>
    <t>4052652541</t>
  </si>
  <si>
    <t>4052652539</t>
  </si>
  <si>
    <t>4052652528</t>
  </si>
  <si>
    <t>4052652037</t>
  </si>
  <si>
    <t>4052652563</t>
  </si>
  <si>
    <t>4052652551</t>
  </si>
  <si>
    <t>1Z036A730421073726</t>
  </si>
  <si>
    <t>4052651594</t>
  </si>
  <si>
    <t>11259291</t>
  </si>
  <si>
    <t>4052652517</t>
  </si>
  <si>
    <t>4052652516</t>
  </si>
  <si>
    <t>4052652543</t>
  </si>
  <si>
    <t>4052652535</t>
  </si>
  <si>
    <t>4052652532</t>
  </si>
  <si>
    <t>C64631387</t>
  </si>
  <si>
    <t>KPI</t>
    <phoneticPr fontId="1" type="noConversion"/>
  </si>
  <si>
    <t>00/00:00</t>
    <phoneticPr fontId="1" type="noConversion"/>
  </si>
  <si>
    <t>Y</t>
  </si>
  <si>
    <t/>
  </si>
  <si>
    <t>FY23 Q4M1</t>
  </si>
  <si>
    <t>N</t>
  </si>
  <si>
    <t xml:space="preserve">Import &amp; Export (Required submitting documents to customs) </t>
  </si>
  <si>
    <t>Uncontrollable</t>
  </si>
  <si>
    <t>Required special docs or sample by Customs(Radio Waves Act part, Electrical Appliances Safety Control Act part)</t>
  </si>
  <si>
    <t>Remarks</t>
  </si>
  <si>
    <t>Net KPI</t>
  </si>
  <si>
    <t>Gross KPI</t>
  </si>
  <si>
    <t>Controllable or 
Uncontrollable</t>
  </si>
  <si>
    <t>Diff time</t>
  </si>
  <si>
    <t>Actual Clearance Time</t>
  </si>
  <si>
    <t>Submitted to Customs-&gt;
Destination Custom Clearance
Required Clearance Time</t>
  </si>
  <si>
    <t>Normal Export /
Re-Export</t>
  </si>
  <si>
    <t>Customs Inspection or
document Received</t>
  </si>
  <si>
    <t>Customs(Export)</t>
  </si>
  <si>
    <t>Export Declaration Number</t>
  </si>
  <si>
    <t>AMAT MONTH</t>
  </si>
  <si>
    <t>AMAT WK</t>
  </si>
  <si>
    <t>AMAT Month</t>
  </si>
  <si>
    <t>Required Day</t>
  </si>
  <si>
    <t>Differ</t>
  </si>
  <si>
    <t>Gross Met</t>
  </si>
  <si>
    <t>Delay Reason</t>
  </si>
  <si>
    <t>Cont/Uncont</t>
  </si>
  <si>
    <t>Net Met</t>
  </si>
  <si>
    <t>declaration prior to arrival</t>
  </si>
  <si>
    <t>Documents(Pre-alert) Missing</t>
  </si>
  <si>
    <t>Customs Broker Off-hour</t>
    <phoneticPr fontId="3" type="noConversion"/>
  </si>
  <si>
    <t>Delayed submission of import cargo manifests</t>
  </si>
  <si>
    <t>HTS, Cost Check,Deacription Check(Customs point unidentified)</t>
  </si>
  <si>
    <t>Import &amp; Export Inspection by Customs</t>
  </si>
  <si>
    <t>Late cargo released by carrier</t>
  </si>
  <si>
    <t>Import declaration Missing</t>
  </si>
  <si>
    <t>Controllable</t>
  </si>
  <si>
    <t>Manifest and Documents inconsistency</t>
  </si>
  <si>
    <r>
      <rPr>
        <sz val="10"/>
        <rFont val="돋움"/>
        <family val="3"/>
        <charset val="129"/>
      </rPr>
      <t>수입화물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관리대상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선별</t>
    </r>
    <phoneticPr fontId="3" type="noConversion"/>
  </si>
  <si>
    <t>Cont / Uncont</t>
    <phoneticPr fontId="9"/>
  </si>
  <si>
    <t>Delay Code</t>
    <phoneticPr fontId="1" type="noConversion"/>
  </si>
  <si>
    <t>Delay Reason Details</t>
    <phoneticPr fontId="1" type="noConversion"/>
  </si>
  <si>
    <t>Delay reason(Korean)</t>
    <phoneticPr fontId="9"/>
  </si>
  <si>
    <t>Delay reason(English)</t>
    <phoneticPr fontId="9"/>
  </si>
  <si>
    <t>Declaration type</t>
    <phoneticPr fontId="3" type="noConversion"/>
  </si>
  <si>
    <r>
      <rPr>
        <sz val="10"/>
        <rFont val="맑은 고딕"/>
        <family val="3"/>
        <charset val="129"/>
      </rPr>
      <t>세관장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대상물품 확인</t>
    </r>
    <r>
      <rPr>
        <sz val="10"/>
        <rFont val="Arial"/>
        <family val="2"/>
      </rPr>
      <t xml:space="preserve">; </t>
    </r>
    <r>
      <rPr>
        <sz val="10"/>
        <rFont val="맑은 고딕"/>
        <family val="3"/>
        <charset val="129"/>
      </rPr>
      <t>전파법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전기용품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안전관리법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기타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세관장</t>
    </r>
    <phoneticPr fontId="3" type="noConversion"/>
  </si>
  <si>
    <t>Review for Import &amp; Export requirements related; RWA, EASCA and OGA</t>
    <phoneticPr fontId="3" type="noConversion"/>
  </si>
  <si>
    <t>Import &amp; Export</t>
    <phoneticPr fontId="3" type="noConversion"/>
  </si>
  <si>
    <t>Uncontrollable</t>
    <phoneticPr fontId="3" type="noConversion"/>
  </si>
  <si>
    <r>
      <rPr>
        <sz val="10"/>
        <rFont val="돋움"/>
        <family val="3"/>
        <charset val="129"/>
      </rPr>
      <t>요건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승인</t>
    </r>
    <r>
      <rPr>
        <sz val="10"/>
        <rFont val="Arial"/>
        <family val="2"/>
      </rPr>
      <t xml:space="preserve">; </t>
    </r>
    <r>
      <rPr>
        <sz val="10"/>
        <rFont val="돋움"/>
        <family val="3"/>
        <charset val="129"/>
      </rPr>
      <t>전파법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전기용품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안전관리법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화학물질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확인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명세서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수출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자가판정서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등</t>
    </r>
    <phoneticPr fontId="3" type="noConversion"/>
  </si>
  <si>
    <t>Exemption/Approval for Import&amp;Export requirements; RWA, EASCA, Chemical substance verification certificate, Export self-classification form, etc.</t>
    <phoneticPr fontId="3" type="noConversion"/>
  </si>
  <si>
    <r>
      <rPr>
        <sz val="10"/>
        <rFont val="돋움"/>
        <family val="3"/>
        <charset val="129"/>
      </rPr>
      <t>수입세율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확인</t>
    </r>
    <r>
      <rPr>
        <sz val="10"/>
        <rFont val="Arial"/>
        <family val="2"/>
      </rPr>
      <t>(CIT, WTO, Shape type..)</t>
    </r>
    <phoneticPr fontId="3" type="noConversion"/>
  </si>
  <si>
    <t>Import tariff rate confirmation; ITA, WTO, Shape type, etc.</t>
    <phoneticPr fontId="3" type="noConversion"/>
  </si>
  <si>
    <t>Import</t>
    <phoneticPr fontId="3" type="noConversion"/>
  </si>
  <si>
    <r>
      <t xml:space="preserve">KR HTS </t>
    </r>
    <r>
      <rPr>
        <sz val="10"/>
        <rFont val="돋움"/>
        <family val="3"/>
        <charset val="129"/>
      </rPr>
      <t>확인</t>
    </r>
    <phoneticPr fontId="3" type="noConversion"/>
  </si>
  <si>
    <t>Review KR HTS with Classification team or Global trade team</t>
    <phoneticPr fontId="3" type="noConversion"/>
  </si>
  <si>
    <r>
      <rPr>
        <sz val="10"/>
        <rFont val="돋움"/>
        <family val="3"/>
        <charset val="129"/>
      </rPr>
      <t>통관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확인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품명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단가상이 등</t>
    </r>
    <r>
      <rPr>
        <sz val="10"/>
        <rFont val="Arial"/>
        <family val="2"/>
      </rPr>
      <t>)</t>
    </r>
    <phoneticPr fontId="3" type="noConversion"/>
  </si>
  <si>
    <t>Confirmation of necessary information for Customs clearance; Part description, Price discrepancy, etc.</t>
    <phoneticPr fontId="3" type="noConversion"/>
  </si>
  <si>
    <r>
      <rPr>
        <sz val="10"/>
        <rFont val="맑은 고딕"/>
        <family val="3"/>
        <charset val="129"/>
      </rPr>
      <t>선적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미비</t>
    </r>
    <phoneticPr fontId="3" type="noConversion"/>
  </si>
  <si>
    <t>Pre-alert missing by carriers</t>
    <phoneticPr fontId="3" type="noConversion"/>
  </si>
  <si>
    <r>
      <rPr>
        <sz val="10"/>
        <rFont val="맑은 고딕"/>
        <family val="3"/>
        <charset val="129"/>
      </rPr>
      <t>적하목록과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선적서류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불일치</t>
    </r>
    <r>
      <rPr>
        <sz val="10"/>
        <rFont val="Arial"/>
        <family val="2"/>
      </rPr>
      <t xml:space="preserve"> </t>
    </r>
    <phoneticPr fontId="3" type="noConversion"/>
  </si>
  <si>
    <t>Mismatch between manifest and shipping docs</t>
    <phoneticPr fontId="3" type="noConversion"/>
  </si>
  <si>
    <r>
      <rPr>
        <sz val="10"/>
        <rFont val="돋움"/>
        <family val="3"/>
        <charset val="129"/>
      </rPr>
      <t>수입</t>
    </r>
    <r>
      <rPr>
        <sz val="10"/>
        <rFont val="Arial"/>
        <family val="2"/>
      </rPr>
      <t xml:space="preserve"> DG</t>
    </r>
    <r>
      <rPr>
        <sz val="10"/>
        <rFont val="돋움"/>
        <family val="3"/>
        <charset val="129"/>
      </rPr>
      <t>화물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반입</t>
    </r>
    <phoneticPr fontId="3" type="noConversion"/>
  </si>
  <si>
    <t>Import cargo holding by carriers(Damage, DG Shipments)</t>
    <phoneticPr fontId="3" type="noConversion"/>
  </si>
  <si>
    <t>Import cargo holding by KCS</t>
    <phoneticPr fontId="3" type="noConversion"/>
  </si>
  <si>
    <r>
      <rPr>
        <sz val="10"/>
        <rFont val="맑은 고딕"/>
        <family val="3"/>
        <charset val="129"/>
      </rPr>
      <t>무상통관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미회신</t>
    </r>
    <phoneticPr fontId="3" type="noConversion"/>
  </si>
  <si>
    <t>Confirmation of import reason for No-charge shipments</t>
    <phoneticPr fontId="3" type="noConversion"/>
  </si>
  <si>
    <r>
      <rPr>
        <sz val="10"/>
        <rFont val="맑은 고딕"/>
        <family val="3"/>
        <charset val="129"/>
      </rPr>
      <t>수출입물품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  <phoneticPr fontId="3" type="noConversion"/>
  </si>
  <si>
    <t>Import &amp; Export cargo inspection by KCS</t>
    <phoneticPr fontId="3" type="noConversion"/>
  </si>
  <si>
    <r>
      <rPr>
        <sz val="10"/>
        <rFont val="돋움"/>
        <family val="3"/>
        <charset val="129"/>
      </rPr>
      <t>용도설명서등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요청</t>
    </r>
    <phoneticPr fontId="3" type="noConversion"/>
  </si>
  <si>
    <t>Documentation(purpose of use, etc.) request from KCS</t>
    <phoneticPr fontId="3" type="noConversion"/>
  </si>
  <si>
    <r>
      <rPr>
        <sz val="10"/>
        <rFont val="돋움"/>
        <family val="3"/>
        <charset val="129"/>
      </rPr>
      <t>수입통관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제출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재수입, 수리건 등</t>
    </r>
    <r>
      <rPr>
        <sz val="10"/>
        <rFont val="Arial"/>
        <family val="2"/>
      </rPr>
      <t>)</t>
    </r>
    <phoneticPr fontId="3" type="noConversion"/>
  </si>
  <si>
    <t>Documents submission to KCS; re-import, repair, etc.</t>
    <phoneticPr fontId="3" type="noConversion"/>
  </si>
  <si>
    <r>
      <rPr>
        <sz val="10"/>
        <rFont val="돋움"/>
        <family val="3"/>
        <charset val="129"/>
      </rPr>
      <t>수출통관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제출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원상태, 반송 등</t>
    </r>
    <r>
      <rPr>
        <sz val="10"/>
        <rFont val="Arial"/>
        <family val="2"/>
      </rPr>
      <t>)</t>
    </r>
    <phoneticPr fontId="3" type="noConversion"/>
  </si>
  <si>
    <t>Documents submission to KCS; re-export, return, etc.</t>
    <phoneticPr fontId="3" type="noConversion"/>
  </si>
  <si>
    <t>Export</t>
    <phoneticPr fontId="3" type="noConversion"/>
  </si>
  <si>
    <r>
      <rPr>
        <sz val="10"/>
        <rFont val="맑은 고딕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2"/>
        <charset val="129"/>
      </rPr>
      <t>해외</t>
    </r>
    <r>
      <rPr>
        <sz val="10"/>
        <rFont val="맑은 고딕"/>
        <family val="3"/>
        <charset val="129"/>
      </rPr>
      <t>거래처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등록</t>
    </r>
    <phoneticPr fontId="3" type="noConversion"/>
  </si>
  <si>
    <t>Registration of new overseas suppliers to KCS</t>
    <phoneticPr fontId="3" type="noConversion"/>
  </si>
  <si>
    <r>
      <rPr>
        <sz val="10"/>
        <rFont val="맑은 고딕"/>
        <family val="3"/>
        <charset val="129"/>
      </rPr>
      <t>통관시스템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오류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관세청</t>
    </r>
    <r>
      <rPr>
        <sz val="10"/>
        <rFont val="Arial"/>
        <family val="2"/>
      </rPr>
      <t>)</t>
    </r>
    <phoneticPr fontId="3" type="noConversion"/>
  </si>
  <si>
    <t>KCS's system error(Uni-pass)</t>
    <phoneticPr fontId="3" type="noConversion"/>
  </si>
  <si>
    <r>
      <rPr>
        <sz val="10"/>
        <rFont val="돋움"/>
        <family val="3"/>
        <charset val="129"/>
      </rPr>
      <t>수입신고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누락</t>
    </r>
    <phoneticPr fontId="3" type="noConversion"/>
  </si>
  <si>
    <t>Import declaration missing by Broker</t>
    <phoneticPr fontId="3" type="noConversion"/>
  </si>
  <si>
    <t>Controllable</t>
    <phoneticPr fontId="3" type="noConversion"/>
  </si>
  <si>
    <r>
      <rPr>
        <sz val="10"/>
        <rFont val="돋움"/>
        <family val="3"/>
        <charset val="129"/>
      </rPr>
      <t>수출신고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누락</t>
    </r>
    <phoneticPr fontId="3" type="noConversion"/>
  </si>
  <si>
    <t>Export declaration missing by Broker</t>
    <phoneticPr fontId="3" type="noConversion"/>
  </si>
  <si>
    <r>
      <rPr>
        <sz val="10"/>
        <rFont val="돋움"/>
        <family val="3"/>
        <charset val="129"/>
      </rPr>
      <t>통관시스템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다운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Arial"/>
        <family val="2"/>
      </rPr>
      <t xml:space="preserve"> </t>
    </r>
    <phoneticPr fontId="3" type="noConversion"/>
  </si>
  <si>
    <t>Broker's system error</t>
    <phoneticPr fontId="3" type="noConversion"/>
  </si>
  <si>
    <r>
      <rPr>
        <sz val="10"/>
        <rFont val="돋움"/>
        <family val="3"/>
        <charset val="129"/>
      </rPr>
      <t>지역세관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업무시간외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처리불가</t>
    </r>
    <phoneticPr fontId="3" type="noConversion"/>
  </si>
  <si>
    <t>Out of local Customs office hours</t>
    <phoneticPr fontId="3" type="noConversion"/>
  </si>
  <si>
    <r>
      <rPr>
        <sz val="10"/>
        <rFont val="돋움"/>
        <family val="3"/>
        <charset val="129"/>
      </rPr>
      <t>항공사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화물반입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지연</t>
    </r>
    <phoneticPr fontId="3" type="noConversion"/>
  </si>
  <si>
    <t>Delay in bringing cargo into bonded warehouse by airlines</t>
    <phoneticPr fontId="3" type="noConversion"/>
  </si>
  <si>
    <r>
      <rPr>
        <sz val="10"/>
        <rFont val="돋움"/>
        <family val="3"/>
        <charset val="129"/>
      </rPr>
      <t>관세사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업무시간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처리불가</t>
    </r>
    <phoneticPr fontId="3" type="noConversion"/>
  </si>
  <si>
    <t>Out of broker's office hours</t>
    <phoneticPr fontId="3" type="noConversion"/>
  </si>
  <si>
    <r>
      <rPr>
        <sz val="10"/>
        <rFont val="돋움"/>
        <family val="3"/>
        <charset val="129"/>
      </rPr>
      <t>수입화물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적하목록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지연</t>
    </r>
    <r>
      <rPr>
        <sz val="12"/>
        <color theme="1"/>
        <rFont val="Arial"/>
        <family val="2"/>
      </rPr>
      <t/>
    </r>
    <phoneticPr fontId="3" type="noConversion"/>
  </si>
  <si>
    <t>Delay in submission of import cargo manifests by airlines</t>
    <phoneticPr fontId="3" type="noConversion"/>
  </si>
  <si>
    <t>화면심사</t>
    <phoneticPr fontId="1" type="noConversion"/>
  </si>
  <si>
    <t>원상태</t>
    <phoneticPr fontId="1" type="noConversion"/>
  </si>
  <si>
    <t>신고번호</t>
  </si>
  <si>
    <t>수입신고번호</t>
  </si>
  <si>
    <t>거래구분</t>
  </si>
  <si>
    <t>총중량</t>
  </si>
  <si>
    <t>행번호</t>
  </si>
  <si>
    <t>11</t>
  </si>
  <si>
    <t>TT</t>
  </si>
  <si>
    <t>ICN</t>
  </si>
  <si>
    <t>인천공항</t>
  </si>
  <si>
    <t>001</t>
  </si>
  <si>
    <t>01</t>
  </si>
  <si>
    <t>1</t>
  </si>
  <si>
    <t>002</t>
  </si>
  <si>
    <t>003</t>
  </si>
  <si>
    <t>004</t>
  </si>
  <si>
    <t>005</t>
  </si>
  <si>
    <t>021</t>
  </si>
  <si>
    <t>83</t>
  </si>
  <si>
    <t>GN</t>
  </si>
  <si>
    <t>94</t>
  </si>
  <si>
    <t>040</t>
  </si>
  <si>
    <t>40</t>
  </si>
  <si>
    <t>성분1</t>
  </si>
  <si>
    <t>성분2</t>
  </si>
  <si>
    <t>원산지</t>
  </si>
  <si>
    <t>원산지표시유무</t>
  </si>
  <si>
    <t>원산지결정방법</t>
  </si>
  <si>
    <t>거래품명</t>
  </si>
  <si>
    <t>표준품명</t>
  </si>
  <si>
    <t>순중량</t>
  </si>
  <si>
    <t>수량</t>
  </si>
  <si>
    <t>수량단위</t>
  </si>
  <si>
    <t>단가</t>
  </si>
  <si>
    <t>어플라이드머티어리얼즈코리아</t>
  </si>
  <si>
    <t>SGAPPLIE0013J</t>
  </si>
  <si>
    <t>APPLIED MATERIALSSOUTH EAST ASIA</t>
  </si>
  <si>
    <t>6909110000</t>
  </si>
  <si>
    <t>A</t>
  </si>
  <si>
    <t>JP</t>
  </si>
  <si>
    <t>S</t>
  </si>
  <si>
    <t>C</t>
  </si>
  <si>
    <t>EA</t>
  </si>
  <si>
    <t>8544422090</t>
  </si>
  <si>
    <t>US</t>
  </si>
  <si>
    <t>8543709090</t>
  </si>
  <si>
    <t>MY</t>
  </si>
  <si>
    <t>IL</t>
  </si>
  <si>
    <t>8486902040</t>
  </si>
  <si>
    <t>CN</t>
  </si>
  <si>
    <t>DE</t>
  </si>
  <si>
    <t>TW</t>
  </si>
  <si>
    <t>APPLIED MATERIALS SOUTH EAST ASIA PTE LTD</t>
  </si>
  <si>
    <t>7020001019</t>
  </si>
  <si>
    <t>APPLIED MATERIALS INC</t>
  </si>
  <si>
    <t>3926901000</t>
  </si>
  <si>
    <t>MX</t>
  </si>
  <si>
    <t>8481801030</t>
  </si>
  <si>
    <t>8486902090</t>
  </si>
  <si>
    <t>7307290000</t>
  </si>
  <si>
    <t>8516800000</t>
  </si>
  <si>
    <t>ELECTRIC HEATING RESISTORS</t>
  </si>
  <si>
    <t>APPLIED MATERIALS EUROPE BV</t>
  </si>
  <si>
    <t>9026209000</t>
  </si>
  <si>
    <t>8504401090</t>
  </si>
  <si>
    <t>CH</t>
  </si>
  <si>
    <t>8537105020</t>
  </si>
  <si>
    <t>PROGRAMMABLE CONTROLLERS</t>
  </si>
  <si>
    <t>9032899090</t>
  </si>
  <si>
    <t>KR</t>
  </si>
  <si>
    <t>SG</t>
  </si>
  <si>
    <t>6815191000</t>
  </si>
  <si>
    <t>8537105090</t>
  </si>
  <si>
    <t>H</t>
  </si>
  <si>
    <t>NO</t>
  </si>
  <si>
    <t>9032894091</t>
  </si>
  <si>
    <t>APPLIED MATERIALS JAPAN INC</t>
  </si>
  <si>
    <t>8486904000</t>
  </si>
  <si>
    <t>APPLIED MATERIALS ISRAEL LTD</t>
  </si>
  <si>
    <t>P</t>
  </si>
  <si>
    <t>X</t>
  </si>
  <si>
    <t>O</t>
  </si>
  <si>
    <t>CT</t>
  </si>
  <si>
    <t>U</t>
  </si>
  <si>
    <t>KG</t>
  </si>
  <si>
    <t>화물관리번호</t>
  </si>
  <si>
    <t>해외거래처상호</t>
  </si>
  <si>
    <t>세관</t>
  </si>
  <si>
    <t>과</t>
  </si>
  <si>
    <t>신고년</t>
  </si>
  <si>
    <t>신고체크디지트</t>
  </si>
  <si>
    <t>제출년도</t>
  </si>
  <si>
    <t>제출번호</t>
  </si>
  <si>
    <t>체크디지트</t>
  </si>
  <si>
    <t>신고일자</t>
  </si>
  <si>
    <t>신고구분</t>
  </si>
  <si>
    <t>C/S구분</t>
  </si>
  <si>
    <t>수출종류</t>
  </si>
  <si>
    <t>결제종류</t>
  </si>
  <si>
    <t>신고자 상호</t>
  </si>
  <si>
    <t>수출대행자 코드</t>
  </si>
  <si>
    <t>수출대행자 상호</t>
  </si>
  <si>
    <t>수출대행자 통관고유부호</t>
  </si>
  <si>
    <t>수출자구분</t>
  </si>
  <si>
    <t>수출화주코드</t>
  </si>
  <si>
    <t>수출화주상호</t>
  </si>
  <si>
    <t>수출화주주소</t>
  </si>
  <si>
    <t>수출화주대표자명</t>
  </si>
  <si>
    <t>수출화주통관고유부호</t>
  </si>
  <si>
    <t>수출화주사업번호</t>
  </si>
  <si>
    <t>수출화주소재지</t>
  </si>
  <si>
    <t>수출화주 사업장일련번호</t>
  </si>
  <si>
    <t>제조자 코드</t>
  </si>
  <si>
    <t>제조자 상호</t>
  </si>
  <si>
    <t>제조자 주소</t>
  </si>
  <si>
    <t>제조자 대표자명</t>
  </si>
  <si>
    <t>제조자 통관고유부호</t>
  </si>
  <si>
    <t>제조자 사업번호 구분</t>
  </si>
  <si>
    <t>제조자 사업번호</t>
  </si>
  <si>
    <t>제조자 사업장일련번호</t>
  </si>
  <si>
    <t>해외거래처코드</t>
  </si>
  <si>
    <t>환급신청인</t>
  </si>
  <si>
    <t>제조장소</t>
  </si>
  <si>
    <t>환급기관명</t>
  </si>
  <si>
    <t>목적국코드</t>
  </si>
  <si>
    <t>목적국명</t>
  </si>
  <si>
    <t>적재항 코드</t>
  </si>
  <si>
    <t>적재항 명</t>
  </si>
  <si>
    <t>운송형태</t>
  </si>
  <si>
    <t>운송용기</t>
  </si>
  <si>
    <t>제조일자</t>
  </si>
  <si>
    <t>물품소재지 우편번호</t>
  </si>
  <si>
    <t>물품소재지 주소</t>
  </si>
  <si>
    <t>LC번호</t>
  </si>
  <si>
    <t>인보이스 번호</t>
  </si>
  <si>
    <t>무역업체 참조번호</t>
  </si>
  <si>
    <t>저장구분</t>
  </si>
  <si>
    <t>로컬구분</t>
  </si>
  <si>
    <t>계약번호1</t>
  </si>
  <si>
    <t>계약번호2</t>
  </si>
  <si>
    <t>지역구분</t>
  </si>
  <si>
    <t>총 란수</t>
  </si>
  <si>
    <t>중량단위</t>
  </si>
  <si>
    <t>총 포장수량</t>
  </si>
  <si>
    <t>USD 환율</t>
  </si>
  <si>
    <t>총 FOB 원화</t>
  </si>
  <si>
    <t>총 FOB 달러</t>
  </si>
  <si>
    <t>인도조건</t>
  </si>
  <si>
    <t>결제통화단위</t>
  </si>
  <si>
    <t>결제환율</t>
  </si>
  <si>
    <t>입력 결제금액</t>
  </si>
  <si>
    <t>운임보험료 자동계산여부</t>
  </si>
  <si>
    <t>운임 통화단위</t>
  </si>
  <si>
    <t>운임 통화 환율</t>
  </si>
  <si>
    <t>입력 운임</t>
  </si>
  <si>
    <t>계산된 운임 원화</t>
  </si>
  <si>
    <t>보험료 통화단위</t>
  </si>
  <si>
    <t>보험료 통화 환율</t>
  </si>
  <si>
    <t>입력 보험료</t>
  </si>
  <si>
    <t>계산된 보험료 원화</t>
  </si>
  <si>
    <t>기타금액 통화단위</t>
  </si>
  <si>
    <t>기타금액 통화 환율</t>
  </si>
  <si>
    <t>입력 기타금액</t>
  </si>
  <si>
    <t>계산된 기타금 원화</t>
  </si>
  <si>
    <t>운송인 코드</t>
  </si>
  <si>
    <t>운송인 상호</t>
  </si>
  <si>
    <t>운송 시작일</t>
  </si>
  <si>
    <t>운송 종료일</t>
  </si>
  <si>
    <t>응답형태</t>
  </si>
  <si>
    <t>전송구분</t>
  </si>
  <si>
    <t>세관기재란</t>
  </si>
  <si>
    <t>수리일</t>
  </si>
  <si>
    <t>반입지역</t>
  </si>
  <si>
    <t>전송결과</t>
  </si>
  <si>
    <t>수신결과</t>
  </si>
  <si>
    <t>신고서 입력담당자</t>
  </si>
  <si>
    <t>장치장 일련번호</t>
  </si>
  <si>
    <t>대행사 코드</t>
  </si>
  <si>
    <t>대행사 상호</t>
  </si>
  <si>
    <t>대행사 사업번호</t>
  </si>
  <si>
    <t>임시개청여부</t>
  </si>
  <si>
    <t>반송사유</t>
  </si>
  <si>
    <t>화물관리번호 전송구분</t>
  </si>
  <si>
    <t>적재의무기한</t>
  </si>
  <si>
    <t>관세사실적</t>
  </si>
  <si>
    <t>중고여부</t>
  </si>
  <si>
    <t>팩스 전송결과</t>
  </si>
  <si>
    <t>간이환급구분</t>
  </si>
  <si>
    <t>산업단지부호</t>
  </si>
  <si>
    <t>검사방법</t>
  </si>
  <si>
    <t>포장단위</t>
  </si>
  <si>
    <t>신고인기재란</t>
  </si>
  <si>
    <t>신고인 이름</t>
  </si>
  <si>
    <t>컨테이너 적입여부</t>
  </si>
  <si>
    <t>포워드 코드</t>
  </si>
  <si>
    <t>포워드 상호</t>
  </si>
  <si>
    <t>영문 물품소재지</t>
  </si>
  <si>
    <t>출항일</t>
  </si>
  <si>
    <t>남북교역여부</t>
  </si>
  <si>
    <t>선사항공사부호</t>
  </si>
  <si>
    <t>선사항공사명</t>
  </si>
  <si>
    <t>선편명</t>
  </si>
  <si>
    <t>출항예정일자</t>
  </si>
  <si>
    <t>적재예정보세구역</t>
  </si>
  <si>
    <t>장치장부호</t>
  </si>
  <si>
    <t>반입번호</t>
  </si>
  <si>
    <t>작성자</t>
  </si>
  <si>
    <t>선적일자</t>
  </si>
  <si>
    <t>BL번호</t>
  </si>
  <si>
    <t>선적여부</t>
  </si>
  <si>
    <t>선별결과</t>
  </si>
  <si>
    <t>물품소재지주소</t>
  </si>
  <si>
    <t>정정차수</t>
  </si>
  <si>
    <t>입력자</t>
  </si>
  <si>
    <t>수리일시</t>
  </si>
  <si>
    <t>란번호</t>
  </si>
  <si>
    <t>세번부호</t>
  </si>
  <si>
    <t>송품장부호</t>
  </si>
  <si>
    <t>란중량</t>
  </si>
  <si>
    <t>란중량단위</t>
  </si>
  <si>
    <t>란수량</t>
  </si>
  <si>
    <t>란수량단위</t>
  </si>
  <si>
    <t>포장수량</t>
  </si>
  <si>
    <t>포장수량단위</t>
  </si>
  <si>
    <t>결제금액</t>
  </si>
  <si>
    <t>결제fob</t>
  </si>
  <si>
    <t>FOB원화</t>
  </si>
  <si>
    <t>FOB달러</t>
  </si>
  <si>
    <t>서류첨부여부</t>
  </si>
  <si>
    <t>상표명</t>
  </si>
  <si>
    <t>자율원산지증명서발급여부</t>
  </si>
  <si>
    <t>발급협정코드</t>
  </si>
  <si>
    <t>철강협회수출승인번호</t>
  </si>
  <si>
    <t>란번호3</t>
  </si>
  <si>
    <t>제품코드</t>
  </si>
  <si>
    <t>결제금액_1</t>
  </si>
  <si>
    <t>품명및규격1</t>
  </si>
  <si>
    <t>품명및규격2</t>
  </si>
  <si>
    <t>품명및규격3</t>
  </si>
  <si>
    <t>품명및규격4</t>
  </si>
  <si>
    <t>품명및규격5</t>
  </si>
  <si>
    <t>품명및규격6</t>
  </si>
  <si>
    <t>품명및규격7</t>
  </si>
  <si>
    <t>품명및규격8</t>
  </si>
  <si>
    <t>D9</t>
  </si>
  <si>
    <t>AMAT</t>
  </si>
  <si>
    <t>어플라이1931018</t>
  </si>
  <si>
    <t>경기도 성남시 분당구 양현로 322 (코리아디자인센터빌딩5층)</t>
  </si>
  <si>
    <t>박광선</t>
  </si>
  <si>
    <t>3128114779</t>
  </si>
  <si>
    <t>13496</t>
  </si>
  <si>
    <t>0001</t>
  </si>
  <si>
    <t>미상</t>
  </si>
  <si>
    <t>제조미상9999000</t>
  </si>
  <si>
    <t>7701031012021</t>
  </si>
  <si>
    <t>USAPPLIE0275D</t>
  </si>
  <si>
    <t>U.S.A</t>
  </si>
  <si>
    <t>ETC</t>
  </si>
  <si>
    <t>17118</t>
  </si>
  <si>
    <t>캔달스퀘어 남사로지스틱스파크</t>
  </si>
  <si>
    <t>DAP</t>
  </si>
  <si>
    <t>USD</t>
  </si>
  <si>
    <t>KRW</t>
  </si>
  <si>
    <t>AB</t>
  </si>
  <si>
    <t>완료</t>
  </si>
  <si>
    <t>수리</t>
  </si>
  <si>
    <t>999</t>
  </si>
  <si>
    <t>이성종</t>
  </si>
  <si>
    <t>04099999</t>
  </si>
  <si>
    <t>서류</t>
  </si>
  <si>
    <t>TWLEANTE0005N</t>
  </si>
  <si>
    <t>LEANTEQ CO SARL TAIWAN BRANCH</t>
  </si>
  <si>
    <t>TAIWAN</t>
  </si>
  <si>
    <t>USAPPLIE0288X</t>
  </si>
  <si>
    <t>SNGAPOR</t>
  </si>
  <si>
    <t>JAPAN</t>
  </si>
  <si>
    <t>DEAPPLIE0026K</t>
  </si>
  <si>
    <t>GERMANY</t>
  </si>
  <si>
    <t>DHL/DP04/320268</t>
  </si>
  <si>
    <t>ISRAEL</t>
  </si>
  <si>
    <t>화면</t>
  </si>
  <si>
    <t>72</t>
  </si>
  <si>
    <t>PRC</t>
  </si>
  <si>
    <t>CNAPPLIE0103S</t>
  </si>
  <si>
    <t>APPLIED MATERIALS SOUTHEAST ASIA PT</t>
  </si>
  <si>
    <t>DHL/DP01/7057</t>
  </si>
  <si>
    <t>CNAPPLIE0065F</t>
  </si>
  <si>
    <t>APPLIED MATERIALS SOUTHEAST ASIA PTE LTD</t>
  </si>
  <si>
    <t>CNAPPLIE0085Z</t>
  </si>
  <si>
    <t>APPLIED MATERIALS SOUTHEAST ASIA PTE LTD CO HEFEI BONDEX FTZ</t>
  </si>
  <si>
    <t>DHL/DP04/320025</t>
  </si>
  <si>
    <t>JPAPPLIE0042L</t>
  </si>
  <si>
    <t>TWAPPLIE0076L</t>
  </si>
  <si>
    <t>DHL/DP04/7057</t>
  </si>
  <si>
    <t>TWAPPLIE0016D</t>
  </si>
  <si>
    <t>DEAPPLIE0017M</t>
  </si>
  <si>
    <t>SGAPPLIE0046X</t>
  </si>
  <si>
    <t>APPLIED MATERIALS SOUTHEAST ASIA PTE LTD CO AGS SCHENKER SIN</t>
  </si>
  <si>
    <t>USAPPLIE0252M</t>
  </si>
  <si>
    <t>A</t>
    <phoneticPr fontId="1" type="noConversion"/>
  </si>
  <si>
    <t>E</t>
    <phoneticPr fontId="1" type="noConversion"/>
  </si>
  <si>
    <t>L</t>
    <phoneticPr fontId="1" type="noConversion"/>
  </si>
  <si>
    <t>P</t>
    <phoneticPr fontId="1" type="noConversion"/>
  </si>
  <si>
    <t>S</t>
    <phoneticPr fontId="1" type="noConversion"/>
  </si>
  <si>
    <t>서류제출</t>
    <phoneticPr fontId="1" type="noConversion"/>
  </si>
  <si>
    <t>적재지검사</t>
    <phoneticPr fontId="1" type="noConversion"/>
  </si>
  <si>
    <t>Customs Inspection or
document Received</t>
    <phoneticPr fontId="1" type="noConversion"/>
  </si>
  <si>
    <t>재수출</t>
    <phoneticPr fontId="1" type="noConversion"/>
  </si>
  <si>
    <t>202406101156</t>
  </si>
  <si>
    <t>202406111139</t>
  </si>
  <si>
    <t>202406100725</t>
  </si>
  <si>
    <t>202406100956</t>
  </si>
  <si>
    <t>202406100738</t>
  </si>
  <si>
    <t>202406100910</t>
  </si>
  <si>
    <t>202406100801</t>
  </si>
  <si>
    <t>202406100938</t>
  </si>
  <si>
    <t>202406100815</t>
  </si>
  <si>
    <t>202406100829</t>
  </si>
  <si>
    <t>202406100833</t>
  </si>
  <si>
    <t>202406100835</t>
  </si>
  <si>
    <t>202406100856</t>
  </si>
  <si>
    <t>202406110932</t>
  </si>
  <si>
    <t>202406110950</t>
  </si>
  <si>
    <t>202406111004</t>
  </si>
  <si>
    <t>202406111347</t>
  </si>
  <si>
    <t>202406100842</t>
  </si>
  <si>
    <t>202406100858</t>
  </si>
  <si>
    <t>202406100902</t>
  </si>
  <si>
    <t>202406100917</t>
  </si>
  <si>
    <t>202406100928</t>
  </si>
  <si>
    <t>202406100930</t>
  </si>
  <si>
    <t>202406100931</t>
  </si>
  <si>
    <t>202406100933</t>
  </si>
  <si>
    <t>202406100954</t>
  </si>
  <si>
    <t>202406100943</t>
  </si>
  <si>
    <t>202406100950</t>
  </si>
  <si>
    <t>202406101003</t>
  </si>
  <si>
    <t>202406101128</t>
  </si>
  <si>
    <t>202406101151</t>
  </si>
  <si>
    <t>202406101407</t>
  </si>
  <si>
    <t>202406101527</t>
  </si>
  <si>
    <t>202406110957</t>
  </si>
  <si>
    <t>202406111102</t>
  </si>
  <si>
    <t>202406111529</t>
  </si>
  <si>
    <t>202406111018</t>
  </si>
  <si>
    <t>202406111055</t>
  </si>
  <si>
    <t>202406111121</t>
  </si>
  <si>
    <t>202406111138</t>
  </si>
  <si>
    <t>202406111140</t>
  </si>
  <si>
    <t>202406111141</t>
  </si>
  <si>
    <t>202406111142</t>
  </si>
  <si>
    <t>202406111143</t>
  </si>
  <si>
    <t>202406111144</t>
  </si>
  <si>
    <t>202406111306</t>
  </si>
  <si>
    <t>202406111150</t>
  </si>
  <si>
    <t>202406111351</t>
  </si>
  <si>
    <t>202406111158</t>
  </si>
  <si>
    <t>202406111414</t>
  </si>
  <si>
    <t>202406111416</t>
  </si>
  <si>
    <t>202406111420</t>
  </si>
  <si>
    <t>202406111422</t>
  </si>
  <si>
    <t>202406111517</t>
  </si>
  <si>
    <t>202406111428</t>
  </si>
  <si>
    <t>202406111431</t>
  </si>
  <si>
    <t>202406111432</t>
  </si>
  <si>
    <t>202406111513</t>
  </si>
  <si>
    <t>202406080939</t>
  </si>
  <si>
    <t>202406081227</t>
  </si>
  <si>
    <t>수리일시</t>
    <phoneticPr fontId="1" type="noConversion"/>
  </si>
  <si>
    <t>심사결과</t>
    <phoneticPr fontId="1" type="noConversion"/>
  </si>
  <si>
    <t>신고세관</t>
    <phoneticPr fontId="1" type="noConversion"/>
  </si>
  <si>
    <t>040</t>
    <phoneticPr fontId="1" type="noConversion"/>
  </si>
  <si>
    <t>021</t>
    <phoneticPr fontId="1" type="noConversion"/>
  </si>
  <si>
    <t>화면심사</t>
  </si>
  <si>
    <t>서류제출</t>
  </si>
  <si>
    <t>서류시간</t>
    <phoneticPr fontId="1" type="noConversion"/>
  </si>
  <si>
    <t>수출구분</t>
    <phoneticPr fontId="1" type="noConversion"/>
  </si>
  <si>
    <t>원상태</t>
  </si>
  <si>
    <t>재수출</t>
  </si>
  <si>
    <t>Suwon</t>
    <phoneticPr fontId="1" type="noConversion"/>
  </si>
  <si>
    <t>Incheon</t>
    <phoneticPr fontId="1" type="noConversion"/>
  </si>
  <si>
    <t>재수입</t>
    <phoneticPr fontId="1" type="noConversion"/>
  </si>
  <si>
    <t>FY24 Q4M1</t>
    <phoneticPr fontId="1" type="noConversion"/>
  </si>
  <si>
    <t>FY202441</t>
    <phoneticPr fontId="1" type="noConversion"/>
  </si>
  <si>
    <t>4388424150553X</t>
  </si>
  <si>
    <t>4388424150554X</t>
  </si>
  <si>
    <t>4388424150555X</t>
  </si>
  <si>
    <t>4388424150556X</t>
  </si>
  <si>
    <t>4388424150557X</t>
  </si>
  <si>
    <t>4388424150558X</t>
  </si>
  <si>
    <t>4388424150559X</t>
  </si>
  <si>
    <t>4388424150560X</t>
  </si>
  <si>
    <t>4388424150561X</t>
  </si>
  <si>
    <t>4388424150562X</t>
  </si>
  <si>
    <t>4388424150563X</t>
  </si>
  <si>
    <t>4388424150564X</t>
  </si>
  <si>
    <t>4388424150565X</t>
  </si>
  <si>
    <t>4388424150566X</t>
  </si>
  <si>
    <t>4388424150567X</t>
  </si>
  <si>
    <t>4388424150569X</t>
  </si>
  <si>
    <t>4388424150570X</t>
  </si>
  <si>
    <t>4388424150573X</t>
  </si>
  <si>
    <t>4388424150574X</t>
  </si>
  <si>
    <t>4388424150575X</t>
  </si>
  <si>
    <t>4388424150576X</t>
  </si>
  <si>
    <t>4388424201315X</t>
  </si>
  <si>
    <t>4388424301831X</t>
  </si>
  <si>
    <t>4388424301832X</t>
  </si>
  <si>
    <t>4388424301833X</t>
  </si>
  <si>
    <t>4388424301834X</t>
  </si>
  <si>
    <t>4388424301835X</t>
  </si>
  <si>
    <t>4388424301836X</t>
  </si>
  <si>
    <t>4388424301837X</t>
  </si>
  <si>
    <t>4388424301838X</t>
  </si>
  <si>
    <t>4388424301839X</t>
  </si>
  <si>
    <t>4388424301840X</t>
  </si>
  <si>
    <t>4388424301841X</t>
  </si>
  <si>
    <t>4388424301842X</t>
  </si>
  <si>
    <t>4388424301843X</t>
  </si>
  <si>
    <t>4388424301844X</t>
  </si>
  <si>
    <t>4388424301845X</t>
  </si>
  <si>
    <t>4388424301846X</t>
  </si>
  <si>
    <t>4388424301847X</t>
  </si>
  <si>
    <t>4388424301848X</t>
  </si>
  <si>
    <t>4388424301849X</t>
  </si>
  <si>
    <t>4388424301850X</t>
  </si>
  <si>
    <t>4388424301851X</t>
  </si>
  <si>
    <t>4388424301852X</t>
  </si>
  <si>
    <t>4388424301853X</t>
  </si>
  <si>
    <t>4388424301854X</t>
  </si>
  <si>
    <t>4388424301855X</t>
  </si>
  <si>
    <t>4388424301856X</t>
  </si>
  <si>
    <t>4388424301857X</t>
  </si>
  <si>
    <t>4388424301858X</t>
  </si>
  <si>
    <t>4388424301859X</t>
  </si>
  <si>
    <t>4388424301860X</t>
  </si>
  <si>
    <t>4388424301861X</t>
  </si>
  <si>
    <t>4388424301862X</t>
  </si>
  <si>
    <t>4388424301863X</t>
  </si>
  <si>
    <t>4388424301864X</t>
  </si>
  <si>
    <t>4388424301865X</t>
  </si>
  <si>
    <t>4388424301866X</t>
  </si>
  <si>
    <t>4388424301867X</t>
  </si>
  <si>
    <t>4388424301868X</t>
  </si>
  <si>
    <t>4388424301869X</t>
  </si>
  <si>
    <t>4388424301870X</t>
  </si>
  <si>
    <t>4388424301871X</t>
  </si>
  <si>
    <t>4388424301872X</t>
  </si>
  <si>
    <t>4388424301873X</t>
  </si>
  <si>
    <t>4388424301874X</t>
  </si>
  <si>
    <t>4388424301875X</t>
  </si>
  <si>
    <t>4388424301876X</t>
  </si>
  <si>
    <t>4388424301877X</t>
  </si>
  <si>
    <t>4388424301878X</t>
  </si>
  <si>
    <t>4388424301879X</t>
  </si>
  <si>
    <t>4388424301880X</t>
  </si>
  <si>
    <t>4388424301881X</t>
  </si>
  <si>
    <t>4388424301882X</t>
  </si>
  <si>
    <t>4388424301883X</t>
  </si>
  <si>
    <t>4388424301884X</t>
  </si>
  <si>
    <t>4388424301885X</t>
  </si>
  <si>
    <t>4388424301886X</t>
  </si>
  <si>
    <t>4388424301887X</t>
  </si>
  <si>
    <t>4388424301888X</t>
  </si>
  <si>
    <t>4388424301889X</t>
  </si>
  <si>
    <t>4388424301890X</t>
  </si>
  <si>
    <t>4388424301891X</t>
  </si>
  <si>
    <t>4388424301892X</t>
  </si>
  <si>
    <t>4388424301893X</t>
  </si>
  <si>
    <t>4388424301894X</t>
  </si>
  <si>
    <t>4388424301895X</t>
  </si>
  <si>
    <t>4388424301896X</t>
  </si>
  <si>
    <t>4388424301897X</t>
  </si>
  <si>
    <t>4388424301898X</t>
  </si>
  <si>
    <t>4388424301899X</t>
  </si>
  <si>
    <t>4388424301900X</t>
  </si>
  <si>
    <t>4388424301901X</t>
  </si>
  <si>
    <t>4388424301902X</t>
  </si>
  <si>
    <t>4388424301903X</t>
  </si>
  <si>
    <t>4388424301904X</t>
  </si>
  <si>
    <t>4388424301905X</t>
  </si>
  <si>
    <t>4388424301906X</t>
  </si>
  <si>
    <t>4388424301907X</t>
  </si>
  <si>
    <t>4388424301908X</t>
  </si>
  <si>
    <t>4388424301909X</t>
  </si>
  <si>
    <t>4388424301910X</t>
  </si>
  <si>
    <t>4388424301911X</t>
  </si>
  <si>
    <t>4388424301912X</t>
  </si>
  <si>
    <t>4388424301913X</t>
  </si>
  <si>
    <t>4388424301914X</t>
  </si>
  <si>
    <t>4388424301915X</t>
  </si>
  <si>
    <t>4388424301916X</t>
  </si>
  <si>
    <t>4388424301917X</t>
  </si>
  <si>
    <t>4388424301918X</t>
  </si>
  <si>
    <t>4388424301919X</t>
  </si>
  <si>
    <t>4388424301920X</t>
  </si>
  <si>
    <t>4388424301921X</t>
  </si>
  <si>
    <t>4388424301922X</t>
  </si>
  <si>
    <t>4388424301923X</t>
  </si>
  <si>
    <t>4388424301924X</t>
  </si>
  <si>
    <t>4388424301925X</t>
  </si>
  <si>
    <t>4388424301926X</t>
  </si>
  <si>
    <t>4388424301927X</t>
  </si>
  <si>
    <t>4388424301928X</t>
  </si>
  <si>
    <t>4388424301929X</t>
  </si>
  <si>
    <t>4388424301930X</t>
  </si>
  <si>
    <t>4388424301931X</t>
  </si>
  <si>
    <t>4388424301932X</t>
  </si>
  <si>
    <t>4388424301933X</t>
  </si>
  <si>
    <t>4388424301934X</t>
  </si>
  <si>
    <t>4388424301935X</t>
  </si>
  <si>
    <t>4388424301936X</t>
  </si>
  <si>
    <t>4388424301937X</t>
  </si>
  <si>
    <t>4388424301938X</t>
  </si>
  <si>
    <t>4388424301939X</t>
  </si>
  <si>
    <t>4388424301940X</t>
  </si>
  <si>
    <t>4388424301942X</t>
  </si>
  <si>
    <t>4388424301943X</t>
  </si>
  <si>
    <t>4388424900435X</t>
  </si>
  <si>
    <t>4388424900436X</t>
  </si>
  <si>
    <t>4388424900437X</t>
  </si>
  <si>
    <t>4388424900438X</t>
  </si>
  <si>
    <t>4388424900439X</t>
  </si>
  <si>
    <t>4388424900440X</t>
  </si>
  <si>
    <t>4388424900441X</t>
  </si>
  <si>
    <t>4388424900442X</t>
  </si>
  <si>
    <t>4388424900443X</t>
  </si>
  <si>
    <t>4388424900444X</t>
  </si>
  <si>
    <t>4388424900445X</t>
  </si>
  <si>
    <t>4388424900446X</t>
  </si>
  <si>
    <t>4388424900447X</t>
  </si>
  <si>
    <t>4388424900448X</t>
  </si>
  <si>
    <t>4388424900449X</t>
  </si>
  <si>
    <t>4388424900450X</t>
  </si>
  <si>
    <t>4388424900451X</t>
  </si>
  <si>
    <t>4388424900452X</t>
  </si>
  <si>
    <t>4388424900453X</t>
  </si>
  <si>
    <t>4388424900454X</t>
  </si>
  <si>
    <t>4388424900455X</t>
  </si>
  <si>
    <t>4388424900456X</t>
  </si>
  <si>
    <t>4388424900457X</t>
  </si>
  <si>
    <t>4388424900458X</t>
  </si>
  <si>
    <t>4388424900459X</t>
  </si>
  <si>
    <t>4388424900460X</t>
  </si>
  <si>
    <t>4388424900461X</t>
  </si>
  <si>
    <t>4388424900462X</t>
  </si>
  <si>
    <t>4388424900463X</t>
  </si>
  <si>
    <t>4388424900464X</t>
  </si>
  <si>
    <t>4388424900465X</t>
  </si>
  <si>
    <t>4388424900466X</t>
  </si>
  <si>
    <t>4388424900467X</t>
  </si>
  <si>
    <t>4388424900468X</t>
  </si>
  <si>
    <t>4388424900469X</t>
  </si>
  <si>
    <t>4388424900470X</t>
  </si>
  <si>
    <t>4388424900471X</t>
  </si>
  <si>
    <t>4388424900472X</t>
  </si>
  <si>
    <t>4388424900473X</t>
  </si>
  <si>
    <t>4388424900474X</t>
  </si>
  <si>
    <t>4388424900475X</t>
  </si>
  <si>
    <t>4388424900476X</t>
  </si>
  <si>
    <t>4388424900477X</t>
  </si>
  <si>
    <t>4388424900478X</t>
  </si>
  <si>
    <t>4388424900479X</t>
  </si>
  <si>
    <t>4388424900480X</t>
  </si>
  <si>
    <t>4388424900481X</t>
  </si>
  <si>
    <t>4388424900482X</t>
  </si>
  <si>
    <t>4388424900483X</t>
  </si>
  <si>
    <t>4388424900484X</t>
  </si>
  <si>
    <t>4388424900485X</t>
  </si>
  <si>
    <t>4388424900486X</t>
  </si>
  <si>
    <t>4388424900487X</t>
  </si>
  <si>
    <t>4388424900488X</t>
  </si>
  <si>
    <t>4388424900489X</t>
  </si>
  <si>
    <t>4388424900490X</t>
  </si>
  <si>
    <t>4388424900491X</t>
  </si>
  <si>
    <t>4388424900492X</t>
  </si>
  <si>
    <t>4388424900493X</t>
  </si>
  <si>
    <t>4388424900494X</t>
  </si>
  <si>
    <t>4388424900495X</t>
  </si>
  <si>
    <t>4388424900496X</t>
  </si>
  <si>
    <t>4388424900497X</t>
  </si>
  <si>
    <t>4388424900498X</t>
  </si>
  <si>
    <t>4388424900499X</t>
  </si>
  <si>
    <t>4388424900500X</t>
  </si>
  <si>
    <t>4388424900501X</t>
  </si>
  <si>
    <t>4388424900502X</t>
  </si>
  <si>
    <t>4388424900503X</t>
  </si>
  <si>
    <t>4388424900504X</t>
  </si>
  <si>
    <t>4388424900505X</t>
  </si>
  <si>
    <t>4388424900506X</t>
  </si>
  <si>
    <t>4388424900507X</t>
  </si>
  <si>
    <t>4388424900508X</t>
  </si>
  <si>
    <t>4388424900509X</t>
  </si>
  <si>
    <t>4388424900510X</t>
  </si>
  <si>
    <t>4388424900511X</t>
  </si>
  <si>
    <t>4388424900512X</t>
  </si>
  <si>
    <t>4388424900513X</t>
  </si>
  <si>
    <t>4388424900514X</t>
  </si>
  <si>
    <t>4388424900515X</t>
  </si>
  <si>
    <t>4388424900516X</t>
  </si>
  <si>
    <t>4388424900517X</t>
  </si>
  <si>
    <t>4388424900518X</t>
  </si>
  <si>
    <t>4388424900519X</t>
  </si>
  <si>
    <t>4388424900520X</t>
  </si>
  <si>
    <t>4388424900521X</t>
  </si>
  <si>
    <t>4388424900522X</t>
  </si>
  <si>
    <t>4388424900523X</t>
  </si>
  <si>
    <t>4388424900524X</t>
  </si>
  <si>
    <t>4388424900525X</t>
  </si>
  <si>
    <t>4388424900526X</t>
  </si>
  <si>
    <t>4388424900527X</t>
  </si>
  <si>
    <t>4388424900528X</t>
  </si>
  <si>
    <t>4388424900529X</t>
  </si>
  <si>
    <t>4388424900530X</t>
  </si>
  <si>
    <t>4388424900531X</t>
  </si>
  <si>
    <t>4388424900532X</t>
  </si>
  <si>
    <t>4388424900533X</t>
  </si>
  <si>
    <t>4388424900534X</t>
  </si>
  <si>
    <t>4388424900535X</t>
  </si>
  <si>
    <t>4388424900536X</t>
  </si>
  <si>
    <t>4388424900537X</t>
  </si>
  <si>
    <t>4388424900538X</t>
  </si>
  <si>
    <t>4388424900539X</t>
  </si>
  <si>
    <t>4388424900540X</t>
  </si>
  <si>
    <t>4388424900542X</t>
  </si>
  <si>
    <t>4388424900543X</t>
  </si>
  <si>
    <t>4388424900544X</t>
  </si>
  <si>
    <t>4388424900545X</t>
  </si>
  <si>
    <t>4388424900546X</t>
  </si>
  <si>
    <t>4388424900547X</t>
  </si>
  <si>
    <t>4388424900548X</t>
  </si>
  <si>
    <t>4388424900549X</t>
  </si>
  <si>
    <t>4388424900550X</t>
  </si>
  <si>
    <t>4388424900551X</t>
  </si>
  <si>
    <t>4388424900552X</t>
  </si>
  <si>
    <t>4388424900553X</t>
  </si>
  <si>
    <t>4388424900554X</t>
  </si>
  <si>
    <t>4388424900555X</t>
  </si>
  <si>
    <t>4388424900556X</t>
  </si>
  <si>
    <t>4388424900557X</t>
  </si>
  <si>
    <t>4388424900558X</t>
  </si>
  <si>
    <t>4388424900559X</t>
  </si>
  <si>
    <t>4388424900560X</t>
  </si>
  <si>
    <t>4388424900561X</t>
  </si>
  <si>
    <t>4388424900562X</t>
  </si>
  <si>
    <t>4388424900563X</t>
  </si>
  <si>
    <t>4388424900564X</t>
  </si>
  <si>
    <t>4388424900565X</t>
  </si>
  <si>
    <t>4388424900566X</t>
  </si>
  <si>
    <t>4388424900567X</t>
  </si>
  <si>
    <t>4388424900568X</t>
  </si>
  <si>
    <t>4388424900569X</t>
  </si>
  <si>
    <t>4388424900570X</t>
  </si>
  <si>
    <t>4388424900571X</t>
  </si>
  <si>
    <t>4388424900572X</t>
  </si>
  <si>
    <t>4388424900573X</t>
  </si>
  <si>
    <t>4388424900574X</t>
  </si>
  <si>
    <t>4388424900575X</t>
  </si>
  <si>
    <t>4388424900576X</t>
  </si>
  <si>
    <t>4388424900577X</t>
  </si>
  <si>
    <t>4388424900578X</t>
  </si>
  <si>
    <t>4388424900579X</t>
  </si>
  <si>
    <t>4388424900580X</t>
  </si>
  <si>
    <t>4388424900581X</t>
  </si>
  <si>
    <t>4388424900582X</t>
  </si>
  <si>
    <t>4388424900583X</t>
  </si>
  <si>
    <t>4388424900584X</t>
  </si>
  <si>
    <t>4388424900585X</t>
  </si>
  <si>
    <t>4388424900586X</t>
  </si>
  <si>
    <t>4388424900587X</t>
  </si>
  <si>
    <t>4388424900588X</t>
  </si>
  <si>
    <t>4388424900589X</t>
  </si>
  <si>
    <t>4388424900590X</t>
  </si>
  <si>
    <t>4388424900591X</t>
  </si>
  <si>
    <t>4388424900592X</t>
  </si>
  <si>
    <t>4388424900593X</t>
  </si>
  <si>
    <t>4388424900594X</t>
  </si>
  <si>
    <t>4388424900595X</t>
  </si>
  <si>
    <t>4388424900596X</t>
  </si>
  <si>
    <t>4388424900597X</t>
  </si>
  <si>
    <t>4388424900598X</t>
  </si>
  <si>
    <t>4388424900599X</t>
  </si>
  <si>
    <t>4388424900600X</t>
  </si>
  <si>
    <t>4388424900601X</t>
  </si>
  <si>
    <t>4388424900602X</t>
  </si>
  <si>
    <t>4388424900603X</t>
  </si>
  <si>
    <t>4388424900604X</t>
  </si>
  <si>
    <t>4388424900605X</t>
  </si>
  <si>
    <t>4388424900606X</t>
  </si>
  <si>
    <t>4388424900607X</t>
  </si>
  <si>
    <t>4388424900608X</t>
  </si>
  <si>
    <t>4388424900609X</t>
  </si>
  <si>
    <t>4388424900610X</t>
  </si>
  <si>
    <t>4388424900611X</t>
  </si>
  <si>
    <t>4388424900612X</t>
  </si>
  <si>
    <t>4388424900613X</t>
  </si>
  <si>
    <t>4388424900614X</t>
  </si>
  <si>
    <t>4388424900615X</t>
  </si>
  <si>
    <t>4388424900616X</t>
  </si>
  <si>
    <t>4388424900618X</t>
  </si>
  <si>
    <t>4388424900619X</t>
  </si>
  <si>
    <t>4388424900620X</t>
  </si>
  <si>
    <t>4388424900621X</t>
  </si>
  <si>
    <t>4388424150577X</t>
  </si>
  <si>
    <t>4388424150578X</t>
  </si>
  <si>
    <t>4388424150579X</t>
  </si>
  <si>
    <t>4388424150580X</t>
  </si>
  <si>
    <t>4388424150581X</t>
  </si>
  <si>
    <t>4388424150582X</t>
  </si>
  <si>
    <t>4388424301941X</t>
  </si>
  <si>
    <t>신고번호</t>
    <phoneticPr fontId="1" type="noConversion"/>
  </si>
  <si>
    <t>Suwon</t>
  </si>
  <si>
    <t>재수입</t>
  </si>
  <si>
    <t>Incheon</t>
  </si>
  <si>
    <t>OTHER AUTOMATICALLY CONTROLLED</t>
  </si>
  <si>
    <t>OF MACHINES FOR MAKING SEMICONDUCTOR DEVICES</t>
  </si>
  <si>
    <t>OTHER MEASURING OR CHECKING PRESSURE</t>
  </si>
  <si>
    <t>PARTS OF MACHINES FOR COATING,DEPOSITING OR ETCHIN</t>
  </si>
  <si>
    <t>PARTS OF MACHINES FOR MAKING SEMICONDUCTOR DEVICES</t>
  </si>
  <si>
    <t>OF MACHINES SPECIFIED IN NOTE 11(C) TO THIS CHAPTE</t>
  </si>
  <si>
    <t>PARTS FOR USE IN MECHANICAL APPLIANCE</t>
  </si>
  <si>
    <t>USED PARTS OF MACHINES FOR COATING,DEPOSITING OR E</t>
  </si>
  <si>
    <t>OTHER ELECTRICAL MACHINES AND APPARATUS</t>
  </si>
  <si>
    <t>OTHER AUTOMATIC REGULATING OR CONTROLLING INSTRUME</t>
  </si>
  <si>
    <t>OTHER RECTIFIERS AND RECTIFYING APPARATUS</t>
  </si>
  <si>
    <t>FITTED WITH CONNECTORS PLASTIC INSULATED WIRE</t>
  </si>
  <si>
    <t>FCA</t>
  </si>
  <si>
    <t>일반</t>
    <phoneticPr fontId="1" type="noConversion"/>
  </si>
  <si>
    <t>Busan</t>
    <phoneticPr fontId="1" type="noConversion"/>
  </si>
  <si>
    <t>TUBE OR PIPE FITTINGS OF STAINLESS STEEL</t>
  </si>
  <si>
    <t>APPLIED MATERIAL INC</t>
  </si>
  <si>
    <t>CNAPPLIE0104R</t>
  </si>
  <si>
    <t>APPLIED MATERIALS SOUTH EAST ASIA P</t>
  </si>
  <si>
    <t>반송</t>
    <phoneticPr fontId="1" type="noConversion"/>
  </si>
  <si>
    <t>78</t>
    <phoneticPr fontId="1" type="noConversion"/>
  </si>
  <si>
    <t>VN</t>
  </si>
  <si>
    <t>LI</t>
  </si>
  <si>
    <t>USAPPLIE0262J</t>
  </si>
  <si>
    <t>030</t>
    <phoneticPr fontId="1" type="noConversion"/>
  </si>
  <si>
    <t>012</t>
  </si>
  <si>
    <t>008</t>
  </si>
  <si>
    <t>OTHER ARTICLES OF GLASS</t>
  </si>
  <si>
    <t>경기도 용인시 처인구 남사읍 당하로 114</t>
  </si>
  <si>
    <t>한이진</t>
  </si>
  <si>
    <t>USAPPLIE0212Y</t>
  </si>
  <si>
    <t>관세법인 정상 경기지사</t>
  </si>
  <si>
    <t>8547900000</t>
  </si>
  <si>
    <t>DHL/DP01/320268</t>
  </si>
  <si>
    <t>USAPPLIE0390V</t>
  </si>
  <si>
    <t>CNAPPLIE0110S</t>
  </si>
  <si>
    <t>APPLIED MATERIALS SOUTH EAST ASIA PTELTD</t>
  </si>
  <si>
    <t>8471509000</t>
  </si>
  <si>
    <t>AUTOMATIC DATA PROCESSING UNITS</t>
  </si>
  <si>
    <t>APPLIED MATERIALS SOUTH EAST ASIA PTELTD CO UPS SCS TAIWAN C</t>
  </si>
  <si>
    <t>ILAPPLIE0036D</t>
  </si>
  <si>
    <t>Seongnam</t>
    <phoneticPr fontId="1" type="noConversion"/>
  </si>
  <si>
    <t>TWAPPLIE0089F</t>
  </si>
  <si>
    <t>APPLIED MATERIALS SOUTH EAST AISA PTEPTD TAIWAN BRANCH SINGA</t>
  </si>
  <si>
    <t xml:space="preserve">    </t>
  </si>
  <si>
    <t>TWAPPLIE0090L</t>
  </si>
  <si>
    <t>APPLIED MATERIALS SOUTH EAST AISA PTELTD ASIA CDC CO UPS SCS</t>
  </si>
  <si>
    <t>TWAPPLIE0091K</t>
  </si>
  <si>
    <t>014</t>
  </si>
  <si>
    <t>8501510000</t>
  </si>
  <si>
    <t>JPAPPLIE0051J</t>
  </si>
  <si>
    <t>JPAPPLIE0050K</t>
  </si>
  <si>
    <t>APPLIED MATERIALS JAPAN INC AMJ TOKYO SERVICE DEPOT</t>
  </si>
  <si>
    <t>CNAPPLIE0052L</t>
  </si>
  <si>
    <t>APPLIED MATERIALS SOUTH EAST ASIA PETLTD C/O LIAONING JD LOG</t>
  </si>
  <si>
    <t>DHL/DP03/320268</t>
  </si>
  <si>
    <t>USAPPLIE0393S</t>
  </si>
  <si>
    <t>박소연</t>
  </si>
  <si>
    <t>수입신고번호란번호</t>
  </si>
  <si>
    <t>NON-ELECTRICAL ARTICLES OF GRAPHITE</t>
  </si>
  <si>
    <t>IEAPPLIE0006H</t>
  </si>
  <si>
    <t>APPLIED MATERIALS EUROPE BV  CO DB SCHENKER PLANT6610</t>
  </si>
  <si>
    <t>IE</t>
  </si>
  <si>
    <t>IRELAND</t>
  </si>
  <si>
    <t>XDCR PRESS .1TORR 1/2FVCR 15P-D 100DEG-</t>
  </si>
  <si>
    <t>1350-00856B</t>
  </si>
  <si>
    <t>O-RING</t>
  </si>
  <si>
    <t>9032200000</t>
  </si>
  <si>
    <t>MANOSTATS</t>
  </si>
  <si>
    <t>CNAPPLIE0111R</t>
  </si>
  <si>
    <t>USAPPLIE0286Z</t>
  </si>
  <si>
    <t>JPAPPLIE0053H</t>
  </si>
  <si>
    <t>APPLIED MATERIALS JAPAN INC AMJ TOKYO SPARES PLANT</t>
  </si>
  <si>
    <t>APPLIED MATERIALS SOUTH EAST ASIA PTELTD CO SHENZHEN HMG SUP</t>
  </si>
  <si>
    <t>USAPPLIE0272G</t>
  </si>
  <si>
    <t>TUBES, PIPES AND HOSES, RIGID</t>
  </si>
  <si>
    <t>8481202000</t>
  </si>
  <si>
    <t>VALVES FOR PNEUMATIC TRANSMISSIONS</t>
  </si>
  <si>
    <t>ASSEMBLY ESC BONDING, FULL SYM 4 ZONE V2</t>
  </si>
  <si>
    <t>ORING</t>
  </si>
  <si>
    <t>8481801010</t>
  </si>
  <si>
    <t>ELECTRICALLY OPERATED</t>
  </si>
  <si>
    <t>DHL/7011</t>
  </si>
  <si>
    <t>PARTS OF MACHINES SPECIFIED IN NOTE 11(C) TO THIS</t>
  </si>
  <si>
    <t>PARTS FOR MECHANICAL APPLIANCES</t>
  </si>
  <si>
    <t>CERAMIC WARES FOR LABORATORY OF PORCELAIN OR CHINA</t>
  </si>
  <si>
    <t>USED OTHER ELECTRICAL MACHINES AND APPARATUS</t>
  </si>
  <si>
    <t>MULTI-PHASE AC MOTORS OF AN OUTPUT NOT EXCEEDING 7</t>
  </si>
  <si>
    <t>USAPPLIE0271H</t>
  </si>
  <si>
    <t>006</t>
  </si>
  <si>
    <t>015</t>
  </si>
  <si>
    <t>8307100000</t>
  </si>
  <si>
    <t>FLEXIBLE TUBING OF IRON OR STEEL</t>
  </si>
  <si>
    <t>7318159000</t>
  </si>
  <si>
    <t>OTHER SCREWS AND BOLTS</t>
  </si>
  <si>
    <t>DHL/DP04/320221</t>
  </si>
  <si>
    <t>FLAT COVER RING, LOW PROFILE, CENTERED</t>
  </si>
  <si>
    <t>0022-65588</t>
  </si>
  <si>
    <t>8539492000</t>
  </si>
  <si>
    <t>INFRA-RED LAMPS</t>
  </si>
  <si>
    <t>SIC INSERT RING, SHT, 50MIL THK, VAR GEO</t>
  </si>
  <si>
    <t>0200-23563</t>
  </si>
  <si>
    <t>9013200000</t>
  </si>
  <si>
    <t>LASERS, OTHER THAN LASER DIODES</t>
  </si>
  <si>
    <t>GB</t>
  </si>
  <si>
    <t>6000-93225B</t>
  </si>
  <si>
    <t>REFURB, AZUREHEAD/PSU, 266NM,CUSTOMER 4</t>
  </si>
  <si>
    <t>0190-D8870W</t>
  </si>
  <si>
    <t>CABLE ASSY, ADAPTOR, UPPER LINER POWER</t>
  </si>
  <si>
    <t>0150-34781</t>
  </si>
  <si>
    <t>CNAPPLIE0105Q</t>
  </si>
  <si>
    <t>JPAPPLIE0052I</t>
  </si>
  <si>
    <t>8473304090</t>
  </si>
  <si>
    <t>OTHER CARDS AND BOARDS</t>
  </si>
  <si>
    <t>CNAPPLIE0074D</t>
  </si>
  <si>
    <t>APPLIED MATERIALS SOUTH EAST ASIA PTELTD CO WUHAN HMG LOGIST</t>
  </si>
  <si>
    <t>8481801090</t>
  </si>
  <si>
    <t>OTHER VALVES</t>
  </si>
  <si>
    <t>7116201000</t>
  </si>
  <si>
    <t>INDUSTRIAL</t>
  </si>
  <si>
    <t>BOARD ASSY EDAS400 PLUS</t>
  </si>
  <si>
    <t>0100-A5813B</t>
  </si>
  <si>
    <t>BOARD ASSY eDAS400 PLUS</t>
  </si>
  <si>
    <t>9027100000</t>
  </si>
  <si>
    <t>USED GAS OR SMOKE ANALYSIS APPARATUS</t>
  </si>
  <si>
    <t>9011909000</t>
  </si>
  <si>
    <t>PARTS FOR OPTICAL MICROSCOPES</t>
  </si>
  <si>
    <t>8536909090</t>
  </si>
  <si>
    <t>APPARATUS FOR SWITCHING, PROTECTING ELECTRICAL CIR</t>
  </si>
  <si>
    <t>USAPPLIE0263I</t>
  </si>
  <si>
    <t>9025192090</t>
  </si>
  <si>
    <t>SHUTTER SENSOR,LED DESIGN,300MM</t>
  </si>
  <si>
    <t>0190-10801R</t>
  </si>
  <si>
    <t>Shutter sensor,LED design,300mm</t>
  </si>
  <si>
    <t>PK</t>
  </si>
  <si>
    <t>6909120000</t>
  </si>
  <si>
    <t>CA</t>
  </si>
  <si>
    <t>ARTICLES HAVING A HARDNESS EQUIVALENT TO 9 OR MORE</t>
  </si>
  <si>
    <t>FR</t>
  </si>
  <si>
    <t>010</t>
  </si>
  <si>
    <t>8538909000</t>
  </si>
  <si>
    <t>PARTS SUITABLE FOR USE OF HEADING 85.35, 85.36 OR</t>
  </si>
  <si>
    <t>8537104000</t>
  </si>
  <si>
    <t>FOR DISTRIBUTION OF ELECTRICITY</t>
  </si>
  <si>
    <t>8486403010</t>
  </si>
  <si>
    <t>AUTOMATED MACHINES FOR SEMICONDUCTOR DEVICES</t>
  </si>
  <si>
    <t>SIX ARM SUSCEPTOR SUPPORT SHAFT</t>
  </si>
  <si>
    <t>0200-05388</t>
  </si>
  <si>
    <t>8504409099</t>
  </si>
  <si>
    <t>STATIC CONVERTERS</t>
  </si>
  <si>
    <t>SHUTTLE, MAGLIFT ASSY 300MM RADIANCE RTP</t>
  </si>
  <si>
    <t>0020-08035</t>
  </si>
  <si>
    <t>8547100000</t>
  </si>
  <si>
    <t>INSULATING FITTINGS OF CERAMICS</t>
  </si>
  <si>
    <t>MV-5</t>
  </si>
  <si>
    <t>0190-A7431</t>
  </si>
  <si>
    <t>ASSEMBLY IEP HOUSING 300MM</t>
  </si>
  <si>
    <t>0010-80128</t>
  </si>
  <si>
    <t>DC POWER SUPPLY, 20KW, 480VAC, 1000VDC,</t>
  </si>
  <si>
    <t>PCBA, MICRO-ZONE ESC</t>
  </si>
  <si>
    <t>0100-03423B</t>
  </si>
  <si>
    <t>3926909000</t>
  </si>
  <si>
    <t>OTHER PLASTIC ARTICLES</t>
  </si>
  <si>
    <t>TWAPPLIE0097E</t>
  </si>
  <si>
    <t>APPLIED MATERIALS SEA PTE LTD</t>
  </si>
  <si>
    <t>DHL/7042</t>
  </si>
  <si>
    <t>8534009000</t>
  </si>
  <si>
    <t>OTHER PRINTED CIRCUITS</t>
  </si>
  <si>
    <t>HTR, SURFACE MOUNT, LONG LEADWIRE, ETCH</t>
  </si>
  <si>
    <t>0190-50764</t>
  </si>
  <si>
    <t>RF DUAL BIAS MATCH 13.56MHZ &amp; 2MHZ DAIHE</t>
  </si>
  <si>
    <t>0190-15322B</t>
  </si>
  <si>
    <t>ASSY, RF MATCH, 13.56MHZ, 2.5KW, SM PIB</t>
  </si>
  <si>
    <t>3917329000</t>
  </si>
  <si>
    <t>5603119000</t>
  </si>
  <si>
    <t>NONWOVENS OF MAN-MADE FILAMENTS : WEIGHING NOT MOR</t>
  </si>
  <si>
    <t>V3 CLEANING PAD</t>
  </si>
  <si>
    <t>BAG</t>
  </si>
  <si>
    <t>A0457593</t>
  </si>
  <si>
    <t>W',DUAL HV PS -40KVX10+5MA,2MA ISINK</t>
  </si>
  <si>
    <t>E19295184W</t>
  </si>
  <si>
    <t>W',DUAL HV PS -40KVX10+5mA,2mA ISINK</t>
  </si>
  <si>
    <t>DHL/320229</t>
  </si>
  <si>
    <t>9012909000</t>
  </si>
  <si>
    <t>USED CERAMIC WARES FOR LABORATORY OF PORCELAIN OR</t>
  </si>
  <si>
    <t>SERVICE KIT, ETCH, METAL, MESA PAC3</t>
  </si>
  <si>
    <t>0247-08567B</t>
  </si>
  <si>
    <t>SERVICE KIT, ETCH, CLEANING, MESA PAC3</t>
  </si>
  <si>
    <t>LFC, HYB, 3-20LPM, 1/2ACS, PFA</t>
  </si>
  <si>
    <t>OTHER INSULATING FITTINGS FOR ELECTRICAL MACHINES</t>
  </si>
  <si>
    <t>RF BIAS MATCH, 13/2 MHZ, 60/24 ARMS, SYM</t>
  </si>
  <si>
    <t>0190-80782W</t>
  </si>
  <si>
    <t>ASSY, ESC STACK, ORING BP,DB-CCC</t>
  </si>
  <si>
    <t>RPS GENERATOR, CIP, ASTRON 2L</t>
  </si>
  <si>
    <t>8539491010</t>
  </si>
  <si>
    <t>FRU WING IP 6PU BLADE (D)</t>
  </si>
  <si>
    <t>NL</t>
  </si>
  <si>
    <t>0190-D4142B</t>
  </si>
  <si>
    <t>USED OTHER AUTOMATIC REGULATING OR CONTROLLING INS</t>
  </si>
  <si>
    <t>0190-41326B</t>
  </si>
  <si>
    <t>SLIP RING ASSY, ENCLOSED, 8 CIRCUIT</t>
  </si>
  <si>
    <t>0190-75984B</t>
  </si>
  <si>
    <t>LIFT PIN, NOTCHED, SIDE1,  PECVD, 300MM</t>
  </si>
  <si>
    <t>0200-21986</t>
  </si>
  <si>
    <t>BOARDS, PANELS AND CONSOLES FOR ELECTRIC CONTROL</t>
  </si>
  <si>
    <t>9012101090</t>
  </si>
  <si>
    <t>OTHER MICROSCOPES</t>
  </si>
  <si>
    <t>VALVE BLOCK DIAPH 3WAY 1/4 VCR-M/F/F NO/</t>
  </si>
  <si>
    <t>3870-05302</t>
  </si>
  <si>
    <t>M</t>
  </si>
  <si>
    <t>22380</t>
  </si>
  <si>
    <t>20251114 154838</t>
  </si>
  <si>
    <t>20251110 092628</t>
  </si>
  <si>
    <t>20251110 092642</t>
  </si>
  <si>
    <t>20251110 095805</t>
  </si>
  <si>
    <t>20251110 104435</t>
  </si>
  <si>
    <t>20251110 112108</t>
  </si>
  <si>
    <t>20251110 112138</t>
  </si>
  <si>
    <t>20251110 112728</t>
  </si>
  <si>
    <t>20251110 144203</t>
  </si>
  <si>
    <t>20251110 150229</t>
  </si>
  <si>
    <t>20251110 150138</t>
  </si>
  <si>
    <t>20251110 152038</t>
  </si>
  <si>
    <t>20251110 162450</t>
  </si>
  <si>
    <t>20251110 162500</t>
  </si>
  <si>
    <t>20251110 162505</t>
  </si>
  <si>
    <t>20251110 171214</t>
  </si>
  <si>
    <t>20251111 090001</t>
  </si>
  <si>
    <t>20251111 093334</t>
  </si>
  <si>
    <t>20251111 093626</t>
  </si>
  <si>
    <t>20251111 100254</t>
  </si>
  <si>
    <t>20251111 112724</t>
  </si>
  <si>
    <t>20251111 112817</t>
  </si>
  <si>
    <t>20251111 114235</t>
  </si>
  <si>
    <t>20251111 130438</t>
  </si>
  <si>
    <t>20251111 135732</t>
  </si>
  <si>
    <t>20251111 144301</t>
  </si>
  <si>
    <t>20251111 150057</t>
  </si>
  <si>
    <t>20251111 161340</t>
  </si>
  <si>
    <t>20251111 161412</t>
  </si>
  <si>
    <t>20251111 161542</t>
  </si>
  <si>
    <t>20251111 164258</t>
  </si>
  <si>
    <t>20251112 094014</t>
  </si>
  <si>
    <t>20251112 101405</t>
  </si>
  <si>
    <t>20251112 104857</t>
  </si>
  <si>
    <t>20251112 104846</t>
  </si>
  <si>
    <t>20251112 153056</t>
  </si>
  <si>
    <t>20251113 085731</t>
  </si>
  <si>
    <t>20251113 091911</t>
  </si>
  <si>
    <t>20251113 091246</t>
  </si>
  <si>
    <t>20251113 114700</t>
  </si>
  <si>
    <t>20251113 132812</t>
  </si>
  <si>
    <t>20251113 114901</t>
  </si>
  <si>
    <t>20251113 143745</t>
  </si>
  <si>
    <t>20251113 171101</t>
  </si>
  <si>
    <t>20251112 083436</t>
  </si>
  <si>
    <t>20251112 090058</t>
  </si>
  <si>
    <t>20251112 141147</t>
  </si>
  <si>
    <t>20251113 093157</t>
  </si>
  <si>
    <t>20251113 091258</t>
  </si>
  <si>
    <t>20251113 091313</t>
  </si>
  <si>
    <t>20251113 104336</t>
  </si>
  <si>
    <t>20251113 132143</t>
  </si>
  <si>
    <t>20251113 144416</t>
  </si>
  <si>
    <t>20251113 151003</t>
  </si>
  <si>
    <t>20251113 160438</t>
  </si>
  <si>
    <t>20251113 164218</t>
  </si>
  <si>
    <t>20251113 171118</t>
  </si>
  <si>
    <t>20251113 171152</t>
  </si>
  <si>
    <t>20251114 090346</t>
  </si>
  <si>
    <t>20251114 092337</t>
  </si>
  <si>
    <t>20251114 093108</t>
  </si>
  <si>
    <t>20251114 093715</t>
  </si>
  <si>
    <t>20251114 115024</t>
  </si>
  <si>
    <t>20251114 140532</t>
  </si>
  <si>
    <t>20251114 115031</t>
  </si>
  <si>
    <t>20251114 133355</t>
  </si>
  <si>
    <t>20251114 134035</t>
  </si>
  <si>
    <t>20251114 141558</t>
  </si>
  <si>
    <t>20251114 144952</t>
  </si>
  <si>
    <t>20251114 144850</t>
  </si>
  <si>
    <t>20251114 150814</t>
  </si>
  <si>
    <t>20251114 154628</t>
  </si>
  <si>
    <t>20251114 154649</t>
  </si>
  <si>
    <t>20251114 160543</t>
  </si>
  <si>
    <t>20251114 171641</t>
  </si>
  <si>
    <t>20251114 171747</t>
  </si>
  <si>
    <t>20251114 172821</t>
  </si>
  <si>
    <t>20251115 132411</t>
  </si>
  <si>
    <t>20251115 161434</t>
  </si>
  <si>
    <t>20251113 101804</t>
  </si>
  <si>
    <t>20251116 161244</t>
  </si>
  <si>
    <t>4388426300422X</t>
  </si>
  <si>
    <t>016</t>
  </si>
  <si>
    <t>C1</t>
  </si>
  <si>
    <t>26</t>
  </si>
  <si>
    <t>2026</t>
  </si>
  <si>
    <t>300422</t>
  </si>
  <si>
    <t>20260128</t>
  </si>
  <si>
    <t>0000</t>
  </si>
  <si>
    <t>17554</t>
  </si>
  <si>
    <t>GE 안성 제2공장</t>
  </si>
  <si>
    <t>KR26010159</t>
  </si>
  <si>
    <t>DGF/320370</t>
  </si>
  <si>
    <t>2026-01-28 10:47:18</t>
  </si>
  <si>
    <t>20260227</t>
  </si>
  <si>
    <t>INV.KR26010159</t>
  </si>
  <si>
    <t>20260130</t>
  </si>
  <si>
    <t>I262147</t>
  </si>
  <si>
    <t>경기도 안성시 원곡 면 성은리 334-1</t>
  </si>
  <si>
    <t>202601281051</t>
  </si>
  <si>
    <t>9031809091</t>
  </si>
  <si>
    <t>FOR THE PURPOSE OF SEMICONDUCTOR MANUFACTURING</t>
  </si>
  <si>
    <t>MULTIPOLE,TEST FIXTURE</t>
  </si>
  <si>
    <t>E11491030</t>
  </si>
  <si>
    <t>4388426100287X</t>
  </si>
  <si>
    <t>100287</t>
  </si>
  <si>
    <t>20260126</t>
  </si>
  <si>
    <t>703681186</t>
  </si>
  <si>
    <t>DGF/DP04/320268</t>
  </si>
  <si>
    <t>2026-01-26 08:45:26</t>
  </si>
  <si>
    <t>20260225</t>
  </si>
  <si>
    <t>INV.703681186</t>
  </si>
  <si>
    <t>공통</t>
  </si>
  <si>
    <t>I229967</t>
  </si>
  <si>
    <t>202601261057</t>
  </si>
  <si>
    <t>CONTROL BOX, MOTION, 4 CHANNEL</t>
  </si>
  <si>
    <t>0010-65925B</t>
  </si>
  <si>
    <t>4388426100288X</t>
  </si>
  <si>
    <t>100288</t>
  </si>
  <si>
    <t>703681189</t>
  </si>
  <si>
    <t>INV.703681189</t>
  </si>
  <si>
    <t>20260127</t>
  </si>
  <si>
    <t>I229960</t>
  </si>
  <si>
    <t>202601260926</t>
  </si>
  <si>
    <t>UCPM-14 ASSY, SHVM14</t>
  </si>
  <si>
    <t>0090-B8145B</t>
  </si>
  <si>
    <t>4388426100289X</t>
  </si>
  <si>
    <t>100289</t>
  </si>
  <si>
    <t>703681196</t>
  </si>
  <si>
    <t>INV.703681196</t>
  </si>
  <si>
    <t>I229955</t>
  </si>
  <si>
    <t>APPARATUS FOR ELECTRICAL CIRCUITS</t>
  </si>
  <si>
    <t>4388426100290X</t>
  </si>
  <si>
    <t>100290</t>
  </si>
  <si>
    <t>703684682</t>
  </si>
  <si>
    <t>DGF/DP01/7057</t>
  </si>
  <si>
    <t>2026-01-26 11:17:38</t>
  </si>
  <si>
    <t>INV.703684682</t>
  </si>
  <si>
    <t>I241789</t>
  </si>
  <si>
    <t>202601261133</t>
  </si>
  <si>
    <t>4388426100291X</t>
  </si>
  <si>
    <t>100291</t>
  </si>
  <si>
    <t>USAPPLIE0161R</t>
  </si>
  <si>
    <t>703684684</t>
  </si>
  <si>
    <t>INV.703684684</t>
  </si>
  <si>
    <t>I241786</t>
  </si>
  <si>
    <t>HARNESS PFG CNTRL, ADIO PFGCONTROL,</t>
  </si>
  <si>
    <t>E16417090</t>
  </si>
  <si>
    <t>4388426100292X</t>
  </si>
  <si>
    <t>100292</t>
  </si>
  <si>
    <t>703684690</t>
  </si>
  <si>
    <t>INV.703684690</t>
  </si>
  <si>
    <t>I241783</t>
  </si>
  <si>
    <t>TBG 1/4 OD 5/32 ID PFA 100MROLL</t>
  </si>
  <si>
    <t>3860-02338</t>
  </si>
  <si>
    <t>4388426100294X</t>
  </si>
  <si>
    <t>100294</t>
  </si>
  <si>
    <t>703684947</t>
  </si>
  <si>
    <t>2026-01-26 16:19:36</t>
  </si>
  <si>
    <t>INV.703684947</t>
  </si>
  <si>
    <t>3250223546</t>
  </si>
  <si>
    <t>202601261643</t>
  </si>
  <si>
    <t>BALL VALVE, PNEU N/C 2.0DIA SST, KF50, 9.</t>
  </si>
  <si>
    <t>0190-53731W</t>
  </si>
  <si>
    <t>4388426100295X</t>
  </si>
  <si>
    <t>100295</t>
  </si>
  <si>
    <t>IEAPPLIE0007G</t>
  </si>
  <si>
    <t>APPLIED MATERIALS IRELAND</t>
  </si>
  <si>
    <t>703684952</t>
  </si>
  <si>
    <t>INV.703684952</t>
  </si>
  <si>
    <t>6575058464</t>
  </si>
  <si>
    <t>MFC GF120 30SLM O2 1/4VCR MTL N/C 9P-D 4</t>
  </si>
  <si>
    <t>3030-16835W</t>
  </si>
  <si>
    <t>4388426100296X</t>
  </si>
  <si>
    <t>100296</t>
  </si>
  <si>
    <t>703684953</t>
  </si>
  <si>
    <t>INV.703684953</t>
  </si>
  <si>
    <t>6575058766</t>
  </si>
  <si>
    <t>ACTUATOR SFV</t>
  </si>
  <si>
    <t>0520-00306W</t>
  </si>
  <si>
    <t>4388426100297X</t>
  </si>
  <si>
    <t>100297</t>
  </si>
  <si>
    <t>703684954</t>
  </si>
  <si>
    <t>INV.703684954</t>
  </si>
  <si>
    <t>6575060225</t>
  </si>
  <si>
    <t>202601261650</t>
  </si>
  <si>
    <t>4388426100298X</t>
  </si>
  <si>
    <t>100298</t>
  </si>
  <si>
    <t>703684955</t>
  </si>
  <si>
    <t>INV.703684955</t>
  </si>
  <si>
    <t>6575061010</t>
  </si>
  <si>
    <t>HEATER JACKET, 2ND DIVERT FORELINE, PROD</t>
  </si>
  <si>
    <t>0190-49038</t>
  </si>
  <si>
    <t>4388426100299X</t>
  </si>
  <si>
    <t>100299</t>
  </si>
  <si>
    <t>703684957</t>
  </si>
  <si>
    <t>INV.703684957</t>
  </si>
  <si>
    <t>1226420086</t>
  </si>
  <si>
    <t>7318240000</t>
  </si>
  <si>
    <t>COTTERS AND COTTER-PINS</t>
  </si>
  <si>
    <t>RTNR RING, EXT, SHAFT DIA 5MM, PK 10</t>
  </si>
  <si>
    <t>3630-00604</t>
  </si>
  <si>
    <t>4388426100300X</t>
  </si>
  <si>
    <t>100300</t>
  </si>
  <si>
    <t>703684958</t>
  </si>
  <si>
    <t>INV.703684958</t>
  </si>
  <si>
    <t>1226420613</t>
  </si>
  <si>
    <t>202601261658</t>
  </si>
  <si>
    <t>9001909000</t>
  </si>
  <si>
    <t>OTHER OPTICAL FIBRES AND OPTICAL FIBRE BUNDLES, CA</t>
  </si>
  <si>
    <t>WINDOW QUARTZ UV FILTER LWP 400 CVD</t>
  </si>
  <si>
    <t>0200-74006</t>
  </si>
  <si>
    <t>4388426100301X</t>
  </si>
  <si>
    <t>100301</t>
  </si>
  <si>
    <t>CNAPPLIE0099S</t>
  </si>
  <si>
    <t>703684959</t>
  </si>
  <si>
    <t>INV.703684959</t>
  </si>
  <si>
    <t>6575063165</t>
  </si>
  <si>
    <t>4388426100302X</t>
  </si>
  <si>
    <t>100302</t>
  </si>
  <si>
    <t>703684960</t>
  </si>
  <si>
    <t>INV.703684960</t>
  </si>
  <si>
    <t>6175112414</t>
  </si>
  <si>
    <t>202601261743</t>
  </si>
  <si>
    <t>RF MATCH, 13.56 MHZ, 1.5 KW,85 A, MESA</t>
  </si>
  <si>
    <t>0190-53531W</t>
  </si>
  <si>
    <t>4388426100303X</t>
  </si>
  <si>
    <t>100303</t>
  </si>
  <si>
    <t>703684965</t>
  </si>
  <si>
    <t>INV.703684965</t>
  </si>
  <si>
    <t>1226426191</t>
  </si>
  <si>
    <t>202601261705</t>
  </si>
  <si>
    <t>SEAL 300MM TITAN PROFILER</t>
  </si>
  <si>
    <t>0021-42494</t>
  </si>
  <si>
    <t>4388426100304X</t>
  </si>
  <si>
    <t>100304</t>
  </si>
  <si>
    <t>703684968</t>
  </si>
  <si>
    <t>INV.703684968</t>
  </si>
  <si>
    <t>1226427893</t>
  </si>
  <si>
    <t>4388426100305X</t>
  </si>
  <si>
    <t>100305</t>
  </si>
  <si>
    <t>703684971</t>
  </si>
  <si>
    <t>INV.703684971</t>
  </si>
  <si>
    <t>2672111013</t>
  </si>
  <si>
    <t>DRIVER BOARD SELOP 8</t>
  </si>
  <si>
    <t>0190-87853</t>
  </si>
  <si>
    <t>4388426100306X</t>
  </si>
  <si>
    <t>100306</t>
  </si>
  <si>
    <t>CNAPPLIE0083B</t>
  </si>
  <si>
    <t>703684973</t>
  </si>
  <si>
    <t>INV.703684973</t>
  </si>
  <si>
    <t>2672112424</t>
  </si>
  <si>
    <t>202601261713</t>
  </si>
  <si>
    <t>8486209900</t>
  </si>
  <si>
    <t>OTHER MACHINES MANUFACTURING SEMICONDUCTOR DEVICES</t>
  </si>
  <si>
    <t>BASE ADIO ASSEMBLY</t>
  </si>
  <si>
    <t>E11828930</t>
  </si>
  <si>
    <t>4388426100307X</t>
  </si>
  <si>
    <t>100307</t>
  </si>
  <si>
    <t>CNAPPLIE0081D</t>
  </si>
  <si>
    <t>APPLIED MATERIALS CHINA INC</t>
  </si>
  <si>
    <t>703684974</t>
  </si>
  <si>
    <t>INV.703684974</t>
  </si>
  <si>
    <t>1226430811</t>
  </si>
  <si>
    <t>3700-07355</t>
  </si>
  <si>
    <t>4388426100308X</t>
  </si>
  <si>
    <t>100308</t>
  </si>
  <si>
    <t>703684975</t>
  </si>
  <si>
    <t>INV.703684975</t>
  </si>
  <si>
    <t>2672112984</t>
  </si>
  <si>
    <t>8483909000</t>
  </si>
  <si>
    <t>TOOTHED WHEELS AND OTHER TRANSMISSION ELEMENTS</t>
  </si>
  <si>
    <t>PLUNGER, CLUTCH 300MM LOAD CUP</t>
  </si>
  <si>
    <t>0020-17802</t>
  </si>
  <si>
    <t>4388426100309X</t>
  </si>
  <si>
    <t>100309</t>
  </si>
  <si>
    <t>703684979</t>
  </si>
  <si>
    <t>INV.703684979</t>
  </si>
  <si>
    <t>1226433073</t>
  </si>
  <si>
    <t>HT SWLL BELLOWS</t>
  </si>
  <si>
    <t>0040-85643</t>
  </si>
  <si>
    <t>4388426100310X</t>
  </si>
  <si>
    <t>100310</t>
  </si>
  <si>
    <t>703685452</t>
  </si>
  <si>
    <t>2026-01-27 08:30:33</t>
  </si>
  <si>
    <t>20260226</t>
  </si>
  <si>
    <t>INV.703685452_x000D_
전략물자포괄수출허가번호:7008282601169211_x000D_
전략물자포괄수출허가번호:7008282601169461</t>
  </si>
  <si>
    <t>4999552950</t>
  </si>
  <si>
    <t>202601271256</t>
  </si>
  <si>
    <t>DIGITAL DMD SYSTEM (FULL RANGE) (PV10 CA</t>
  </si>
  <si>
    <t>0190-F1220B</t>
  </si>
  <si>
    <t>4388426100311X</t>
  </si>
  <si>
    <t>100311</t>
  </si>
  <si>
    <t>703685451</t>
  </si>
  <si>
    <t>INV.703685451_x000D_
전략물자포괄수출허가번호:7008282412030788_x000D_
전략물자포괄수출허가번호:7008282502047334_x000D_
전략물자포괄수출허가번호:7008282601169600</t>
  </si>
  <si>
    <t>3629233790</t>
  </si>
  <si>
    <t>4388426100312X</t>
  </si>
  <si>
    <t>100312</t>
  </si>
  <si>
    <t>703685449</t>
  </si>
  <si>
    <t>INV.703685449</t>
  </si>
  <si>
    <t>4999527971</t>
  </si>
  <si>
    <t>202601270926</t>
  </si>
  <si>
    <t>4388426100313X</t>
  </si>
  <si>
    <t>100313</t>
  </si>
  <si>
    <t>703685453</t>
  </si>
  <si>
    <t>INV.703685453</t>
  </si>
  <si>
    <t>4232335332</t>
  </si>
  <si>
    <t>4388426100314X</t>
  </si>
  <si>
    <t>100314</t>
  </si>
  <si>
    <t>703685456</t>
  </si>
  <si>
    <t>INV.703685456</t>
  </si>
  <si>
    <t>3629217734</t>
  </si>
  <si>
    <t>4388426100315X</t>
  </si>
  <si>
    <t>100315</t>
  </si>
  <si>
    <t>703685462</t>
  </si>
  <si>
    <t>INV.703685462</t>
  </si>
  <si>
    <t>3629220081</t>
  </si>
  <si>
    <t>202601270933</t>
  </si>
  <si>
    <t>5.1L/S TMP CNTRLR, (EC A5)</t>
  </si>
  <si>
    <t>0190-91537B</t>
  </si>
  <si>
    <t>5.1L/s TMP CNTRLR, (EC A5)</t>
  </si>
  <si>
    <t>4388426100316X</t>
  </si>
  <si>
    <t>100316</t>
  </si>
  <si>
    <t>703685466</t>
  </si>
  <si>
    <t>INV.703685466</t>
  </si>
  <si>
    <t>4999542472</t>
  </si>
  <si>
    <t>DC POWER SUPPLY, 10A FANS, SYM3, FW-4AA2</t>
  </si>
  <si>
    <t>0195-16655B</t>
  </si>
  <si>
    <t>4388426100317X</t>
  </si>
  <si>
    <t>100317</t>
  </si>
  <si>
    <t>703685467</t>
  </si>
  <si>
    <t>INV.703685467</t>
  </si>
  <si>
    <t>4999543555</t>
  </si>
  <si>
    <t>202601270958</t>
  </si>
  <si>
    <t>4388426100318X</t>
  </si>
  <si>
    <t>100318</t>
  </si>
  <si>
    <t>703685464</t>
  </si>
  <si>
    <t>INV.703685464</t>
  </si>
  <si>
    <t>3629223791</t>
  </si>
  <si>
    <t>202601270937</t>
  </si>
  <si>
    <t>4388426100319X</t>
  </si>
  <si>
    <t>100319</t>
  </si>
  <si>
    <t>703685463</t>
  </si>
  <si>
    <t>INV.703685463</t>
  </si>
  <si>
    <t>3629224620</t>
  </si>
  <si>
    <t>ASSY ESC, DB-4Z ZB</t>
  </si>
  <si>
    <t>0011-01928B</t>
  </si>
  <si>
    <t>4388426100320X</t>
  </si>
  <si>
    <t>100320</t>
  </si>
  <si>
    <t>703685458</t>
  </si>
  <si>
    <t>011</t>
  </si>
  <si>
    <t>INV.703685458</t>
  </si>
  <si>
    <t>3629226171</t>
  </si>
  <si>
    <t>TB VE,NW40,CUSTOM SW AND EXTBODY</t>
  </si>
  <si>
    <t>0190-54258B</t>
  </si>
  <si>
    <t>4388426100321X</t>
  </si>
  <si>
    <t>100321</t>
  </si>
  <si>
    <t>703685455</t>
  </si>
  <si>
    <t>INV.703685455</t>
  </si>
  <si>
    <t>3629228960</t>
  </si>
  <si>
    <t>202601270959</t>
  </si>
  <si>
    <t>9032101090</t>
  </si>
  <si>
    <t>THERMOSTATS OF VARIABLE TYPE</t>
  </si>
  <si>
    <t>ASSEMBLY, GASLINE TEMP CONTROLLER, PRODU</t>
  </si>
  <si>
    <t>0090-11290B</t>
  </si>
  <si>
    <t>4388426100322X</t>
  </si>
  <si>
    <t>100322</t>
  </si>
  <si>
    <t>703685454</t>
  </si>
  <si>
    <t>INV.703685454</t>
  </si>
  <si>
    <t>3629230286</t>
  </si>
  <si>
    <t>9027509000</t>
  </si>
  <si>
    <t>OTHER INSTRUMENTS USING OPTICAL RADIATIONS</t>
  </si>
  <si>
    <t>PMT70 DETECTOR MODULE</t>
  </si>
  <si>
    <t>0090-B2351B</t>
  </si>
  <si>
    <t>4388426100323X</t>
  </si>
  <si>
    <t>100323</t>
  </si>
  <si>
    <t>TWSHIHHE0005Z</t>
  </si>
  <si>
    <t>SHIH HER TECHNOLOGIES INC</t>
  </si>
  <si>
    <t>703686100</t>
  </si>
  <si>
    <t>DGF/DP04/320221</t>
  </si>
  <si>
    <t>2026-01-27 10:23:53</t>
  </si>
  <si>
    <t>INV.703686100</t>
  </si>
  <si>
    <t>20260129</t>
  </si>
  <si>
    <t>I251375</t>
  </si>
  <si>
    <t>202601271040</t>
  </si>
  <si>
    <t>USED NON-ELECTRICAL ARTICLES OF GRAPHITE</t>
  </si>
  <si>
    <t>SERVICE KIT, ALD, 300MM OLYMPIA SUSCEPTO</t>
  </si>
  <si>
    <t>0247-06801B</t>
  </si>
  <si>
    <t>S/N.A-S5SUS-021</t>
  </si>
  <si>
    <t>4388426100324X</t>
  </si>
  <si>
    <t>100324</t>
  </si>
  <si>
    <t>703686128</t>
  </si>
  <si>
    <t>INV.703686128</t>
  </si>
  <si>
    <t>I251388</t>
  </si>
  <si>
    <t>S/N.3METALPAC3-032A</t>
  </si>
  <si>
    <t>4388426100325X</t>
  </si>
  <si>
    <t>100325</t>
  </si>
  <si>
    <t>703686326</t>
  </si>
  <si>
    <t>2026-01-27 17:17:07</t>
  </si>
  <si>
    <t>INV.703686326</t>
  </si>
  <si>
    <t>2736172994</t>
  </si>
  <si>
    <t>202601271727</t>
  </si>
  <si>
    <t>ASSY, FAN COOLED RESONATOR, 300MM ENDURA</t>
  </si>
  <si>
    <t>0010-58838R</t>
  </si>
  <si>
    <t>S/N.6014902</t>
  </si>
  <si>
    <t>4388426100326X</t>
  </si>
  <si>
    <t>100326</t>
  </si>
  <si>
    <t>703688781</t>
  </si>
  <si>
    <t>DGF/DP04/7057</t>
  </si>
  <si>
    <t>2026-01-28 15:05:45</t>
  </si>
  <si>
    <t>007</t>
  </si>
  <si>
    <t>INV.703688781</t>
  </si>
  <si>
    <t>20260131</t>
  </si>
  <si>
    <t>I263065</t>
  </si>
  <si>
    <t>202601281522</t>
  </si>
  <si>
    <t>COLLAR 300MM PRODUCER ETCH SISIC</t>
  </si>
  <si>
    <t>9992-00879</t>
  </si>
  <si>
    <t>COLLAR 300MM PRODUCER ETCH SiSiC</t>
  </si>
  <si>
    <t>4388426100327X</t>
  </si>
  <si>
    <t>100327</t>
  </si>
  <si>
    <t>703689216</t>
  </si>
  <si>
    <t>2026-01-28 17:23:00</t>
  </si>
  <si>
    <t>INV.703689216</t>
  </si>
  <si>
    <t>1674322930</t>
  </si>
  <si>
    <t>202601281732</t>
  </si>
  <si>
    <t>8517629020</t>
  </si>
  <si>
    <t>OTHER, FOR LINE TELECOMMUNICATION</t>
  </si>
  <si>
    <t>SPECIFICATION, DEVICENET I/O BLOCK</t>
  </si>
  <si>
    <t>0190-48179B</t>
  </si>
  <si>
    <t>4388426100328X</t>
  </si>
  <si>
    <t>100328</t>
  </si>
  <si>
    <t>703689219</t>
  </si>
  <si>
    <t>INV.703689219</t>
  </si>
  <si>
    <t>4196700535</t>
  </si>
  <si>
    <t>4388426100329X</t>
  </si>
  <si>
    <t>100329</t>
  </si>
  <si>
    <t>703690814</t>
  </si>
  <si>
    <t>2026-01-29 11:28:33</t>
  </si>
  <si>
    <t>20260303</t>
  </si>
  <si>
    <t>INV.703690814</t>
  </si>
  <si>
    <t>I272766</t>
  </si>
  <si>
    <t>202601291134</t>
  </si>
  <si>
    <t>LAMP, 2KW 120V, EPI</t>
  </si>
  <si>
    <t>0190-39351</t>
  </si>
  <si>
    <t>4388426100330X</t>
  </si>
  <si>
    <t>100330</t>
  </si>
  <si>
    <t>703691342</t>
  </si>
  <si>
    <t>2026-01-29 15:44:22</t>
  </si>
  <si>
    <t>INV.703691342_x000D_
4388426901677M-049-01 1EA 원상태 수출</t>
  </si>
  <si>
    <t>7181496921</t>
  </si>
  <si>
    <t>202601291623</t>
  </si>
  <si>
    <t>ASSY, I/O CONTROLLER, ETHERCAT, CLEANER,CMP-M</t>
  </si>
  <si>
    <t>4388426901677M</t>
  </si>
  <si>
    <t>049</t>
  </si>
  <si>
    <t>0195-16477</t>
  </si>
  <si>
    <t>4388426100331X</t>
  </si>
  <si>
    <t>100331</t>
  </si>
  <si>
    <t>703691339</t>
  </si>
  <si>
    <t>INV.703691339</t>
  </si>
  <si>
    <t>7181496523</t>
  </si>
  <si>
    <t>202601291556</t>
  </si>
  <si>
    <t>PLATE, BOTTOM, PIB, CHILLER,300MM ENDUR</t>
  </si>
  <si>
    <t>0040-86264</t>
  </si>
  <si>
    <t>4388426100332X</t>
  </si>
  <si>
    <t>100332</t>
  </si>
  <si>
    <t>703691341</t>
  </si>
  <si>
    <t>INV.703691341</t>
  </si>
  <si>
    <t>7181496792</t>
  </si>
  <si>
    <t>FTG CPLG QDISC 1/2BODY X 7/8-14ORB THD 3</t>
  </si>
  <si>
    <t>3300-16974</t>
  </si>
  <si>
    <t>4388426100333X</t>
  </si>
  <si>
    <t>100333</t>
  </si>
  <si>
    <t>TWLEANTE0001R</t>
  </si>
  <si>
    <t>LEANTEQ CO LTD</t>
  </si>
  <si>
    <t>703693168</t>
  </si>
  <si>
    <t>2026-01-30 09:01:25</t>
  </si>
  <si>
    <t>INV.703693168</t>
  </si>
  <si>
    <t>20260201</t>
  </si>
  <si>
    <t>I283671</t>
  </si>
  <si>
    <t>202601300926</t>
  </si>
  <si>
    <t>S/N.3METALPAC3-001C</t>
  </si>
  <si>
    <t>4388426100334X</t>
  </si>
  <si>
    <t>100334</t>
  </si>
  <si>
    <t>703693197</t>
  </si>
  <si>
    <t>2026-01-30 09:03:38</t>
  </si>
  <si>
    <t>INV.703693197</t>
  </si>
  <si>
    <t>7768723605</t>
  </si>
  <si>
    <t>202601300909</t>
  </si>
  <si>
    <t>CLAMPING PLATE, SHOWERHEAD,WATSON, ALD,</t>
  </si>
  <si>
    <t>0022-29352</t>
  </si>
  <si>
    <t>4388426100335X</t>
  </si>
  <si>
    <t>100335</t>
  </si>
  <si>
    <t>703690959</t>
  </si>
  <si>
    <t>2026-01-30 09:07:51</t>
  </si>
  <si>
    <t>INV.703690959</t>
  </si>
  <si>
    <t>1257126371</t>
  </si>
  <si>
    <t>O2 ANALYZER 0.1 PPM TO 100%O2</t>
  </si>
  <si>
    <t>0195-07556R</t>
  </si>
  <si>
    <t>S/N.C54221-3</t>
  </si>
  <si>
    <t>4388426300348X</t>
  </si>
  <si>
    <t>300348</t>
  </si>
  <si>
    <t>703681194</t>
  </si>
  <si>
    <t>2026-01-26 09:00:23</t>
  </si>
  <si>
    <t>INV.703681194_x000D_
전략물자포괄수출허가번호:7008282412030788_x000D_
전략물자포괄수출허가번호:7008282502047334</t>
  </si>
  <si>
    <t>2460309773</t>
  </si>
  <si>
    <t>202601260956</t>
  </si>
  <si>
    <t>BARATRON, DUAL-RANGE MANOMETER, HEATED 1</t>
  </si>
  <si>
    <t>1350-00791B</t>
  </si>
  <si>
    <t>4388426300349X</t>
  </si>
  <si>
    <t>300349</t>
  </si>
  <si>
    <t>703681187</t>
  </si>
  <si>
    <t>INV.703681187</t>
  </si>
  <si>
    <t>4064747610</t>
  </si>
  <si>
    <t>202601260925</t>
  </si>
  <si>
    <t>RPS GENERATOR, CIP, ASTRON I</t>
  </si>
  <si>
    <t>0190-47768B</t>
  </si>
  <si>
    <t>4388426300350X</t>
  </si>
  <si>
    <t>300350</t>
  </si>
  <si>
    <t>703681190</t>
  </si>
  <si>
    <t>INV.703681190</t>
  </si>
  <si>
    <t>4322220044</t>
  </si>
  <si>
    <t>VAPORIZER W/OUT CABLES MV-2204 SP-1453</t>
  </si>
  <si>
    <t>0190-47490B</t>
  </si>
  <si>
    <t>VAPORIZER W/OUT CABLES MV-2204SP-1453</t>
  </si>
  <si>
    <t>4388426300351X</t>
  </si>
  <si>
    <t>300351</t>
  </si>
  <si>
    <t>703681191</t>
  </si>
  <si>
    <t>INV.703681191</t>
  </si>
  <si>
    <t>2460309040</t>
  </si>
  <si>
    <t>SPECIFICATION, DZ PED BOOSTER, SIDE 2 IN</t>
  </si>
  <si>
    <t>0195-15141B</t>
  </si>
  <si>
    <t>4388426300352X</t>
  </si>
  <si>
    <t>300352</t>
  </si>
  <si>
    <t>703681192</t>
  </si>
  <si>
    <t>INV.703681192</t>
  </si>
  <si>
    <t>4064748940</t>
  </si>
  <si>
    <t>9031499000</t>
  </si>
  <si>
    <t>OTHER OPTICAL INSTRUMENTS AND APPLIANCES</t>
  </si>
  <si>
    <t>LASER INTERFEROMTR SYSTM RLE20-DX-XP-13</t>
  </si>
  <si>
    <t>0240-A6701B</t>
  </si>
  <si>
    <t>Laser Interferomtr Systm RLE20-DX-XP-13</t>
  </si>
  <si>
    <t>4388426300353X</t>
  </si>
  <si>
    <t>300353</t>
  </si>
  <si>
    <t>703681197</t>
  </si>
  <si>
    <t>INV.703681197</t>
  </si>
  <si>
    <t>9799322363</t>
  </si>
  <si>
    <t>CRIO DUAL IMAGE BOARD ASSY</t>
  </si>
  <si>
    <t>0100-A2971B</t>
  </si>
  <si>
    <t>4388426300354X</t>
  </si>
  <si>
    <t>300354</t>
  </si>
  <si>
    <t>703681198</t>
  </si>
  <si>
    <t>2026-01-26 10:22:14</t>
  </si>
  <si>
    <t>INV.703681198</t>
  </si>
  <si>
    <t>4064750675</t>
  </si>
  <si>
    <t>202601261028</t>
  </si>
  <si>
    <t>W' CTRL,PRESSURE,W/ MASS FLOW METER</t>
  </si>
  <si>
    <t>E23000357B</t>
  </si>
  <si>
    <t>4388426300355X</t>
  </si>
  <si>
    <t>300355</t>
  </si>
  <si>
    <t>703682647</t>
  </si>
  <si>
    <t>2026-01-26 09:01:43</t>
  </si>
  <si>
    <t>INV.703682647</t>
  </si>
  <si>
    <t>2893869311</t>
  </si>
  <si>
    <t>4388426300356X</t>
  </si>
  <si>
    <t>300356</t>
  </si>
  <si>
    <t>703682649</t>
  </si>
  <si>
    <t>INV.703682649</t>
  </si>
  <si>
    <t>9578376426</t>
  </si>
  <si>
    <t>3700-00989</t>
  </si>
  <si>
    <t>4388426300357X</t>
  </si>
  <si>
    <t>300357</t>
  </si>
  <si>
    <t>703684659</t>
  </si>
  <si>
    <t>2026-01-26 10:40:09</t>
  </si>
  <si>
    <t>INV.703684659</t>
  </si>
  <si>
    <t>9897215646</t>
  </si>
  <si>
    <t>202601261042</t>
  </si>
  <si>
    <t>USED OTHER PYROMETERS</t>
  </si>
  <si>
    <t>ASSEMBLY PMAX PYROMETER RTP-REPAIR</t>
  </si>
  <si>
    <t>0010-23716R</t>
  </si>
  <si>
    <t>S/N.1083507</t>
  </si>
  <si>
    <t>4388426300358X</t>
  </si>
  <si>
    <t>300358</t>
  </si>
  <si>
    <t>703684755</t>
  </si>
  <si>
    <t>2026-01-26 13:32:48</t>
  </si>
  <si>
    <t>INV.703684755</t>
  </si>
  <si>
    <t>I242119</t>
  </si>
  <si>
    <t>202601261337</t>
  </si>
  <si>
    <t>PRESSURE CONTROLLER, W/MASSFLOW METER,</t>
  </si>
  <si>
    <t>0190-86128W</t>
  </si>
  <si>
    <t>4388426300359X</t>
  </si>
  <si>
    <t>300359</t>
  </si>
  <si>
    <t>703685259</t>
  </si>
  <si>
    <t>2026-01-26 16:35:16</t>
  </si>
  <si>
    <t>INV.703685259</t>
  </si>
  <si>
    <t>9246042805</t>
  </si>
  <si>
    <t>202601261639</t>
  </si>
  <si>
    <t>8419899020</t>
  </si>
  <si>
    <t>COOLING PLANT AND MACHINERY</t>
  </si>
  <si>
    <t>KIT CONTROLLER, CRYO, OBIS, HALF RACK</t>
  </si>
  <si>
    <t>E11745900</t>
  </si>
  <si>
    <t>4388426300360X</t>
  </si>
  <si>
    <t>300360</t>
  </si>
  <si>
    <t>703686154</t>
  </si>
  <si>
    <t>2026-01-27 08:55:17</t>
  </si>
  <si>
    <t>INV.703686154</t>
  </si>
  <si>
    <t>I251445</t>
  </si>
  <si>
    <t>202601270909</t>
  </si>
  <si>
    <t>NOZZLE INSERT, AL2O3, THICKFLANGE, TERS</t>
  </si>
  <si>
    <t>0200-24111</t>
  </si>
  <si>
    <t>NOZZLE INSERT, AL2O3, THICK FLANGE, TERS</t>
  </si>
  <si>
    <t>4388426300361X</t>
  </si>
  <si>
    <t>300361</t>
  </si>
  <si>
    <t>703686155</t>
  </si>
  <si>
    <t>INV.703686155</t>
  </si>
  <si>
    <t>I251448</t>
  </si>
  <si>
    <t>SENSOR ASSY PAD CONDITIONER UP CMP REFLE</t>
  </si>
  <si>
    <t>0090-08451</t>
  </si>
  <si>
    <t>4388426300362X</t>
  </si>
  <si>
    <t>300362</t>
  </si>
  <si>
    <t>703686190</t>
  </si>
  <si>
    <t>2026-01-27 10:03:56</t>
  </si>
  <si>
    <t>INV.703686190_x000D_
43884-26-300363X 동시포장</t>
  </si>
  <si>
    <t>7123627431</t>
  </si>
  <si>
    <t>202601271012</t>
  </si>
  <si>
    <t>RETAINER BEARING, SMALL, BASEASSY PAD C</t>
  </si>
  <si>
    <t>0021-25673</t>
  </si>
  <si>
    <t>4388426300363X</t>
  </si>
  <si>
    <t>300363</t>
  </si>
  <si>
    <t>INV.703686190_x000D_
43884-26-300362X 동시포장_x000D_
4388426700089M-011-01 1EA 원상태 수출</t>
  </si>
  <si>
    <t>202601271133</t>
  </si>
  <si>
    <t>CABLE ASSY EXTRACTOR B/O_H20/G20</t>
  </si>
  <si>
    <t>4388426700089M</t>
  </si>
  <si>
    <t>0150-P3091</t>
  </si>
  <si>
    <t>4388426300364X</t>
  </si>
  <si>
    <t>300364</t>
  </si>
  <si>
    <t>703686191</t>
  </si>
  <si>
    <t>INV.703686191</t>
  </si>
  <si>
    <t>5112187905</t>
  </si>
  <si>
    <t>202601271016</t>
  </si>
  <si>
    <t>ASSY SIDE-2, RF FILTER, HT EPOXY RCPT, P</t>
  </si>
  <si>
    <t>0090-09551</t>
  </si>
  <si>
    <t>4388426300365X</t>
  </si>
  <si>
    <t>300365</t>
  </si>
  <si>
    <t>703686192</t>
  </si>
  <si>
    <t>INV.703686192</t>
  </si>
  <si>
    <t>7123628094</t>
  </si>
  <si>
    <t>CONNECTOR PCB, ADO-S7</t>
  </si>
  <si>
    <t>0190-41257</t>
  </si>
  <si>
    <t>4388426300366X</t>
  </si>
  <si>
    <t>300366</t>
  </si>
  <si>
    <t>703686194</t>
  </si>
  <si>
    <t>INV.703686194</t>
  </si>
  <si>
    <t>5112188502</t>
  </si>
  <si>
    <t>202601271021</t>
  </si>
  <si>
    <t>PLUG, RF POWER, RF SOURCE, 300MM</t>
  </si>
  <si>
    <t>0021-32859</t>
  </si>
  <si>
    <t>4388426300367X</t>
  </si>
  <si>
    <t>300367</t>
  </si>
  <si>
    <t>703686195</t>
  </si>
  <si>
    <t>INV.703686195</t>
  </si>
  <si>
    <t>7123628621</t>
  </si>
  <si>
    <t>202601271022</t>
  </si>
  <si>
    <t>VALVE EXHAUST THROTTLE NW80 W/KALREZ ORI</t>
  </si>
  <si>
    <t>0190-52397W</t>
  </si>
  <si>
    <t>4388426300368X</t>
  </si>
  <si>
    <t>300368</t>
  </si>
  <si>
    <t>703686196</t>
  </si>
  <si>
    <t>INV.703686196</t>
  </si>
  <si>
    <t>7123628794</t>
  </si>
  <si>
    <t>202601271028</t>
  </si>
  <si>
    <t>4388426300369X</t>
  </si>
  <si>
    <t>300369</t>
  </si>
  <si>
    <t>703686197</t>
  </si>
  <si>
    <t>INV.703686197</t>
  </si>
  <si>
    <t>7123628971</t>
  </si>
  <si>
    <t>ASSY, IP HOS</t>
  </si>
  <si>
    <t>0190-E4451W</t>
  </si>
  <si>
    <t>4388426300370X</t>
  </si>
  <si>
    <t>300370</t>
  </si>
  <si>
    <t>703686198</t>
  </si>
  <si>
    <t>INV.703686198</t>
  </si>
  <si>
    <t>7123629155</t>
  </si>
  <si>
    <t>APP 016 STOP VALVE PNEUM. NC</t>
  </si>
  <si>
    <t>102107775</t>
  </si>
  <si>
    <t>4388426300371X</t>
  </si>
  <si>
    <t>300371</t>
  </si>
  <si>
    <t>703686199</t>
  </si>
  <si>
    <t>INV.703686199</t>
  </si>
  <si>
    <t>7123629483</t>
  </si>
  <si>
    <t>202601271029</t>
  </si>
  <si>
    <t>BACK APERTURE,ENTRANCE,PC,PFG,WIDE,HC</t>
  </si>
  <si>
    <t>E17869474</t>
  </si>
  <si>
    <t>4388426300372X</t>
  </si>
  <si>
    <t>300372</t>
  </si>
  <si>
    <t>703686201</t>
  </si>
  <si>
    <t>INV.703686201</t>
  </si>
  <si>
    <t>5112189795</t>
  </si>
  <si>
    <t>4388426300373X</t>
  </si>
  <si>
    <t>300373</t>
  </si>
  <si>
    <t>703686202</t>
  </si>
  <si>
    <t>INV.703686202</t>
  </si>
  <si>
    <t>5112190031</t>
  </si>
  <si>
    <t>VALVE VACUUM WATER-RATED FPM 2.4MM 2/2WA</t>
  </si>
  <si>
    <t>3870-05010</t>
  </si>
  <si>
    <t>4388426300374X</t>
  </si>
  <si>
    <t>300374</t>
  </si>
  <si>
    <t>USAPPLIE0251N</t>
  </si>
  <si>
    <t>KR26010013</t>
  </si>
  <si>
    <t>DGF/7011</t>
  </si>
  <si>
    <t>2026-01-27 14:44:14</t>
  </si>
  <si>
    <t>INV.KR26010013</t>
  </si>
  <si>
    <t>I253095</t>
  </si>
  <si>
    <t>202601271514</t>
  </si>
  <si>
    <t>8504339040</t>
  </si>
  <si>
    <t>HAVING A POWER HANDLING CAPACITY EXCEEDING 100 KVA</t>
  </si>
  <si>
    <t>ENZO TRANSFORMER, NEMA 1, 210KVA, 440 TO 480</t>
  </si>
  <si>
    <t>0190-35295</t>
  </si>
  <si>
    <t>4388426300375X</t>
  </si>
  <si>
    <t>300375</t>
  </si>
  <si>
    <t>KR25120144</t>
  </si>
  <si>
    <t>DGF/320229</t>
  </si>
  <si>
    <t>INV.KR25120144</t>
  </si>
  <si>
    <t>I253188</t>
  </si>
  <si>
    <t>202601271510</t>
  </si>
  <si>
    <t>SRP PRODUCER GT NSO PRM</t>
  </si>
  <si>
    <t>3030097950-90</t>
  </si>
  <si>
    <t>SRP Producer GT NSO Prm</t>
  </si>
  <si>
    <t>4388426300376X</t>
  </si>
  <si>
    <t>300376</t>
  </si>
  <si>
    <t>703686818</t>
  </si>
  <si>
    <t>2026-01-27 15:49:37</t>
  </si>
  <si>
    <t>INV.703686818</t>
  </si>
  <si>
    <t>5084719581</t>
  </si>
  <si>
    <t>202601271555</t>
  </si>
  <si>
    <t>ANGLE VALVE DN 16 ISO-KF ALPNEUMATIC</t>
  </si>
  <si>
    <t>102173848</t>
  </si>
  <si>
    <t>4388426300377X</t>
  </si>
  <si>
    <t>300377</t>
  </si>
  <si>
    <t>703686819</t>
  </si>
  <si>
    <t>INV.703686819</t>
  </si>
  <si>
    <t>5084719920</t>
  </si>
  <si>
    <t>4388426300378X</t>
  </si>
  <si>
    <t>300378</t>
  </si>
  <si>
    <t>703686822</t>
  </si>
  <si>
    <t>INV.703686822</t>
  </si>
  <si>
    <t>5084720196</t>
  </si>
  <si>
    <t>202601271556</t>
  </si>
  <si>
    <t>POWER SUPPLY ESC +5KV/-5KV 25W, 24VDC. 5</t>
  </si>
  <si>
    <t>0190-64339W</t>
  </si>
  <si>
    <t>4388426300379X</t>
  </si>
  <si>
    <t>300379</t>
  </si>
  <si>
    <t>703686824</t>
  </si>
  <si>
    <t>INV.703686824</t>
  </si>
  <si>
    <t>5084720513</t>
  </si>
  <si>
    <t>PCB ASSY, WCVD HEATER / MOTORDRIVER CON</t>
  </si>
  <si>
    <t>0100-01149</t>
  </si>
  <si>
    <t>4388426300380X</t>
  </si>
  <si>
    <t>300380</t>
  </si>
  <si>
    <t>703686652</t>
  </si>
  <si>
    <t>2026-01-27 16:44:48</t>
  </si>
  <si>
    <t>INV.703686652_x000D_
43884-26-300381X 동시포장</t>
  </si>
  <si>
    <t>6836749640</t>
  </si>
  <si>
    <t>202601271652</t>
  </si>
  <si>
    <t>POWER SUPPLY, ATX 5V, 3.3V, 12V, -12V, 4</t>
  </si>
  <si>
    <t>0090-07025</t>
  </si>
  <si>
    <t>4388426300381X</t>
  </si>
  <si>
    <t>300381</t>
  </si>
  <si>
    <t>INV.703686652_x000D_
43884-26-300380X 동시포장_x000D_
4388424201521M-001-01 1EA 원상태 수출</t>
  </si>
  <si>
    <t>202601281019</t>
  </si>
  <si>
    <t>MANF ASSY PNEU VQ1000 32 VALVE W / EX420</t>
  </si>
  <si>
    <t>4388424201521M</t>
  </si>
  <si>
    <t>4060-01355</t>
  </si>
  <si>
    <t>4388426300382X</t>
  </si>
  <si>
    <t>300382</t>
  </si>
  <si>
    <t>703686672</t>
  </si>
  <si>
    <t>INV.703686672_x000D_
4388426900870M-001-01 1EA 원상태 수출</t>
  </si>
  <si>
    <t>1329328770</t>
  </si>
  <si>
    <t>202601271723</t>
  </si>
  <si>
    <t>RF GEN, 2 MHZ, 5 KW, AE PARAMOUNT, 3 PHASE 208 VAC</t>
  </si>
  <si>
    <t>4388426900870M</t>
  </si>
  <si>
    <t>0190-75539</t>
  </si>
  <si>
    <t>4388426300383X</t>
  </si>
  <si>
    <t>300383</t>
  </si>
  <si>
    <t>703686677</t>
  </si>
  <si>
    <t>INV.703686677_x000D_
43884-26-300384X 동시포장</t>
  </si>
  <si>
    <t>6836753696</t>
  </si>
  <si>
    <t>202601271704</t>
  </si>
  <si>
    <t>TUBE, FEEDTHRU, PRECURSOR, 300MM CVD/ALD</t>
  </si>
  <si>
    <t>0021-98717</t>
  </si>
  <si>
    <t>4388426300384X</t>
  </si>
  <si>
    <t>300384</t>
  </si>
  <si>
    <t>INV.703686677_x000D_
43884-26-300383X 동시포장_x000D_
4388426300207M-009-02 2EA 원상태 수출_x000D_
4388426300221M-005-01 6EA 원상태 수출</t>
  </si>
  <si>
    <t>8307900000</t>
  </si>
  <si>
    <t>FLEXIBLE TUBING OF OTHER BASE METAL</t>
  </si>
  <si>
    <t>BELLOWS, SFV ACTUATOR</t>
  </si>
  <si>
    <t>4388426300207M</t>
  </si>
  <si>
    <t>009</t>
  </si>
  <si>
    <t>0190-51522</t>
  </si>
  <si>
    <t>4388426300385X</t>
  </si>
  <si>
    <t>300385</t>
  </si>
  <si>
    <t>703686647</t>
  </si>
  <si>
    <t>INV.703686647</t>
  </si>
  <si>
    <t>6836748682</t>
  </si>
  <si>
    <t>202601271743</t>
  </si>
  <si>
    <t>LINER, TOP 3, SOURCE CHAMBER</t>
  </si>
  <si>
    <t>E17887720</t>
  </si>
  <si>
    <t>4388426300386X</t>
  </si>
  <si>
    <t>300386</t>
  </si>
  <si>
    <t>703686649</t>
  </si>
  <si>
    <t>INV.703686649</t>
  </si>
  <si>
    <t>6836749080</t>
  </si>
  <si>
    <t>202601271712</t>
  </si>
  <si>
    <t>7006009000</t>
  </si>
  <si>
    <t>OTHER WORKED GLASS</t>
  </si>
  <si>
    <t>WINDOW, FUSED SILICA, AR COATED, 25MM DI</t>
  </si>
  <si>
    <t>1120-01232</t>
  </si>
  <si>
    <t>4388426300387X</t>
  </si>
  <si>
    <t>300387</t>
  </si>
  <si>
    <t>703686654</t>
  </si>
  <si>
    <t>INV.703686654</t>
  </si>
  <si>
    <t>1329326681</t>
  </si>
  <si>
    <t>SHIELD, LOWER, ENCORE CU WOUT/COIL, 300M</t>
  </si>
  <si>
    <t>0021-53986</t>
  </si>
  <si>
    <t>4388426300388X</t>
  </si>
  <si>
    <t>300388</t>
  </si>
  <si>
    <t>703686656</t>
  </si>
  <si>
    <t>INV.703686656</t>
  </si>
  <si>
    <t>1329326773</t>
  </si>
  <si>
    <t>202601271718</t>
  </si>
  <si>
    <t>CARD, QUAD FRAME GRABBER W/SWMIL 9</t>
  </si>
  <si>
    <t>0190-B9030W</t>
  </si>
  <si>
    <t>CARD, Quad FRAME GRABBER w/SWMIL 9</t>
  </si>
  <si>
    <t>4388426300389X</t>
  </si>
  <si>
    <t>300389</t>
  </si>
  <si>
    <t>703686658</t>
  </si>
  <si>
    <t>INV.703686658</t>
  </si>
  <si>
    <t>6836750535</t>
  </si>
  <si>
    <t>ASSY, ESC/ RF, 300MM, EMAX</t>
  </si>
  <si>
    <t>6000-93012</t>
  </si>
  <si>
    <t>4388426300390X</t>
  </si>
  <si>
    <t>300390</t>
  </si>
  <si>
    <t>703686659</t>
  </si>
  <si>
    <t>INV.703686659</t>
  </si>
  <si>
    <t>6836750760</t>
  </si>
  <si>
    <t>4388426300391X</t>
  </si>
  <si>
    <t>300391</t>
  </si>
  <si>
    <t>703686660</t>
  </si>
  <si>
    <t>INV.703686660</t>
  </si>
  <si>
    <t>1329327462</t>
  </si>
  <si>
    <t>202601271740</t>
  </si>
  <si>
    <t>FRU SET:TZ CNTR UNIT W/CAP.SENS.BOX, ENL</t>
  </si>
  <si>
    <t>0190-D1223</t>
  </si>
  <si>
    <t>FRU SET:TZ CNTR UNIT w/CAP.SENS.BOX, ENL</t>
  </si>
  <si>
    <t>4388426300392X</t>
  </si>
  <si>
    <t>300392</t>
  </si>
  <si>
    <t>703686663</t>
  </si>
  <si>
    <t>INV.703686663</t>
  </si>
  <si>
    <t>6836751423</t>
  </si>
  <si>
    <t>202601271720</t>
  </si>
  <si>
    <t>T-TYPE SCREW SKT HD M8X 20MMLG C22 PLUS</t>
  </si>
  <si>
    <t>0191-73650</t>
  </si>
  <si>
    <t>4388426300393X</t>
  </si>
  <si>
    <t>300393</t>
  </si>
  <si>
    <t>703686664</t>
  </si>
  <si>
    <t>INV.703686664</t>
  </si>
  <si>
    <t>1329327871</t>
  </si>
  <si>
    <t>SINGLE RING, QUARTZ, .09 HEIGHT, FOR INS</t>
  </si>
  <si>
    <t>0200-15806</t>
  </si>
  <si>
    <t>4388426300394X</t>
  </si>
  <si>
    <t>300394</t>
  </si>
  <si>
    <t>703686666</t>
  </si>
  <si>
    <t>INV.703686666</t>
  </si>
  <si>
    <t>1329328044</t>
  </si>
  <si>
    <t>202601271724</t>
  </si>
  <si>
    <t>GAUGE VACUUM 1MTORR 0-15VDC NW16 PLATINU</t>
  </si>
  <si>
    <t>3310-00595</t>
  </si>
  <si>
    <t>4388426300395X</t>
  </si>
  <si>
    <t>300395</t>
  </si>
  <si>
    <t>703686667</t>
  </si>
  <si>
    <t>INV.703686667</t>
  </si>
  <si>
    <t>1329328232</t>
  </si>
  <si>
    <t>KIT VIX BOX WITH CABLE</t>
  </si>
  <si>
    <t>0240-E1140</t>
  </si>
  <si>
    <t>4388426300396X</t>
  </si>
  <si>
    <t>300396</t>
  </si>
  <si>
    <t>703686669</t>
  </si>
  <si>
    <t>INV.703686669</t>
  </si>
  <si>
    <t>6836752285</t>
  </si>
  <si>
    <t>INTERLOCK MODULE, DPS232 300MM DPX</t>
  </si>
  <si>
    <t>0190-87835</t>
  </si>
  <si>
    <t>4388426300397X</t>
  </si>
  <si>
    <t>300397</t>
  </si>
  <si>
    <t>703686670</t>
  </si>
  <si>
    <t>INV.703686670</t>
  </si>
  <si>
    <t>1329328464</t>
  </si>
  <si>
    <t>202601271728</t>
  </si>
  <si>
    <t>LAMP, USHIO BNA6, EPI</t>
  </si>
  <si>
    <t>0190-22509</t>
  </si>
  <si>
    <t>4388426300398X</t>
  </si>
  <si>
    <t>300398</t>
  </si>
  <si>
    <t>703686671</t>
  </si>
  <si>
    <t>INV.703686671</t>
  </si>
  <si>
    <t>1329328523</t>
  </si>
  <si>
    <t>202601271747</t>
  </si>
  <si>
    <t>9026101000</t>
  </si>
  <si>
    <t>FOR MEASURING OR CHECKING THE FLOW</t>
  </si>
  <si>
    <t>ASSY, DRIP, TRAY, IGX6/100L</t>
  </si>
  <si>
    <t>E11744890</t>
  </si>
  <si>
    <t>4388426300399X</t>
  </si>
  <si>
    <t>300399</t>
  </si>
  <si>
    <t>703686673</t>
  </si>
  <si>
    <t>INV.703686673</t>
  </si>
  <si>
    <t>1329328825</t>
  </si>
  <si>
    <t>SCREW,SHIELD</t>
  </si>
  <si>
    <t>E17738310</t>
  </si>
  <si>
    <t>4388426300400X</t>
  </si>
  <si>
    <t>300400</t>
  </si>
  <si>
    <t>703686674</t>
  </si>
  <si>
    <t>INV.703686674</t>
  </si>
  <si>
    <t>1329328991</t>
  </si>
  <si>
    <t>202601271731</t>
  </si>
  <si>
    <t>8-PORT ROTARY UNION GEN2 CONFIGURATION</t>
  </si>
  <si>
    <t>0190-34105</t>
  </si>
  <si>
    <t>4388426300401X</t>
  </si>
  <si>
    <t>300401</t>
  </si>
  <si>
    <t>703686675</t>
  </si>
  <si>
    <t>INV.703686675</t>
  </si>
  <si>
    <t>1329329024</t>
  </si>
  <si>
    <t>SUPPORT RING, QUARTZ, .169 STP, HT, TE,</t>
  </si>
  <si>
    <t>0200-32443</t>
  </si>
  <si>
    <t>4388426300402X</t>
  </si>
  <si>
    <t>300402</t>
  </si>
  <si>
    <t>703686679</t>
  </si>
  <si>
    <t>INV.703686679</t>
  </si>
  <si>
    <t>1329329271</t>
  </si>
  <si>
    <t>8413709090</t>
  </si>
  <si>
    <t>OTHER CENTRIFUGAL PUMPS</t>
  </si>
  <si>
    <t>W',DI PUMP ASSY, 7 STG, WIRED,HI EFF MTR</t>
  </si>
  <si>
    <t>E11680191</t>
  </si>
  <si>
    <t>4388426300403X</t>
  </si>
  <si>
    <t>300403</t>
  </si>
  <si>
    <t>703686680</t>
  </si>
  <si>
    <t>INV.703686680</t>
  </si>
  <si>
    <t>6836754385</t>
  </si>
  <si>
    <t>202601271739</t>
  </si>
  <si>
    <t>300MM SPD SLIT VALVEDOOR CLAMP</t>
  </si>
  <si>
    <t>0021-25800</t>
  </si>
  <si>
    <t>4388426300404X</t>
  </si>
  <si>
    <t>300404</t>
  </si>
  <si>
    <t>703686684</t>
  </si>
  <si>
    <t>INV.703686684</t>
  </si>
  <si>
    <t>6836754713</t>
  </si>
  <si>
    <t>3700-07601</t>
  </si>
  <si>
    <t>4388426300405X</t>
  </si>
  <si>
    <t>300405</t>
  </si>
  <si>
    <t>703686685</t>
  </si>
  <si>
    <t>INV.703686685</t>
  </si>
  <si>
    <t>1329329724</t>
  </si>
  <si>
    <t>8412310000</t>
  </si>
  <si>
    <t>LINEAR ACTING (CYLINDERS)</t>
  </si>
  <si>
    <t>CYL AIR 16MM BORE 10MM</t>
  </si>
  <si>
    <t>3020-01196</t>
  </si>
  <si>
    <t>4388426300406X</t>
  </si>
  <si>
    <t>300406</t>
  </si>
  <si>
    <t>USAPPLIE0383V</t>
  </si>
  <si>
    <t>703686686</t>
  </si>
  <si>
    <t>INV.703686686</t>
  </si>
  <si>
    <t>6836755170</t>
  </si>
  <si>
    <t>3917319000</t>
  </si>
  <si>
    <t>HOSE ASSY FLEX TEF 3/16ID X26"L 1/4 SST</t>
  </si>
  <si>
    <t>3400-00376</t>
  </si>
  <si>
    <t>4388426300407X</t>
  </si>
  <si>
    <t>300407</t>
  </si>
  <si>
    <t>CNAPPLIE0086Y</t>
  </si>
  <si>
    <t>APPLIED MATERIALS SOUTH EAST ASIA P CO C BEIJING APPLIED MAT</t>
  </si>
  <si>
    <t>703686687</t>
  </si>
  <si>
    <t>INV.703686687</t>
  </si>
  <si>
    <t>1329329864</t>
  </si>
  <si>
    <t>202601271741</t>
  </si>
  <si>
    <t>PURGE ASSY,EXTERNAL</t>
  </si>
  <si>
    <t>E11129950</t>
  </si>
  <si>
    <t>4388426300408X</t>
  </si>
  <si>
    <t>300408</t>
  </si>
  <si>
    <t>703686688</t>
  </si>
  <si>
    <t>INV.703686688</t>
  </si>
  <si>
    <t>6836755483</t>
  </si>
  <si>
    <t>202601271742</t>
  </si>
  <si>
    <t>8533299000</t>
  </si>
  <si>
    <t>OTHER FIXED RESISTORS</t>
  </si>
  <si>
    <t>RESISITOR, GAS FEED TXZ 300MM</t>
  </si>
  <si>
    <t>0190-35894</t>
  </si>
  <si>
    <t>4388426300409X</t>
  </si>
  <si>
    <t>300409</t>
  </si>
  <si>
    <t>703686689</t>
  </si>
  <si>
    <t>INV.703686689</t>
  </si>
  <si>
    <t>6836755656</t>
  </si>
  <si>
    <t>VALVE,GENESIS,NW40,WITH POS.IND.SST</t>
  </si>
  <si>
    <t>E32000610</t>
  </si>
  <si>
    <t>4388426300410X</t>
  </si>
  <si>
    <t>300410</t>
  </si>
  <si>
    <t>703686690</t>
  </si>
  <si>
    <t>INV.703686690</t>
  </si>
  <si>
    <t>6836756021</t>
  </si>
  <si>
    <t>SUPPORTED FACEPLATE, 250C ,FLAT, IEP, LARGE ELEC,</t>
  </si>
  <si>
    <t>0041-95812</t>
  </si>
  <si>
    <t>4388426300411X</t>
  </si>
  <si>
    <t>300411</t>
  </si>
  <si>
    <t>703687161</t>
  </si>
  <si>
    <t>2026-01-28 08:15:52</t>
  </si>
  <si>
    <t>INV.703687161_x000D_
전략물자포괄수출허가번호:7008282502047334_x000D_
전략물자포괄수출허가번호:7008282411020741</t>
  </si>
  <si>
    <t>5178970296</t>
  </si>
  <si>
    <t>202601281027</t>
  </si>
  <si>
    <t>XDCR PRESS 1TORR 1/2FVCR 15P-D 100DEG-C</t>
  </si>
  <si>
    <t>1350-00857B</t>
  </si>
  <si>
    <t>4388426300412X</t>
  </si>
  <si>
    <t>300412</t>
  </si>
  <si>
    <t>703687138</t>
  </si>
  <si>
    <t>INV.703687138</t>
  </si>
  <si>
    <t>7727259901</t>
  </si>
  <si>
    <t>PENTAGON STAGE CONTROL UNIT FULL W/LINEAR DRIVERS</t>
  </si>
  <si>
    <t>0190-E3321B</t>
  </si>
  <si>
    <t>PENTAGON STAGE CONTROL UNIT FULL W/LINEA</t>
  </si>
  <si>
    <t>4388426300413X</t>
  </si>
  <si>
    <t>300413</t>
  </si>
  <si>
    <t>703687148</t>
  </si>
  <si>
    <t>INV.703687148</t>
  </si>
  <si>
    <t>5178969423</t>
  </si>
  <si>
    <t>202601280958</t>
  </si>
  <si>
    <t>CONT. COVER LIFT</t>
  </si>
  <si>
    <t>30613245000B</t>
  </si>
  <si>
    <t>4388426300414X</t>
  </si>
  <si>
    <t>300414</t>
  </si>
  <si>
    <t>703687159</t>
  </si>
  <si>
    <t>INV.703687159</t>
  </si>
  <si>
    <t>7727265556</t>
  </si>
  <si>
    <t>202601280910</t>
  </si>
  <si>
    <t>SPECIFICATION, DZ PED BOOSTER, SIDE 1 IN</t>
  </si>
  <si>
    <t>0195-15138B</t>
  </si>
  <si>
    <t>4388426300415X</t>
  </si>
  <si>
    <t>300415</t>
  </si>
  <si>
    <t>703687163</t>
  </si>
  <si>
    <t>INV.703687163</t>
  </si>
  <si>
    <t>7727266875</t>
  </si>
  <si>
    <t>4388426300416X</t>
  </si>
  <si>
    <t>300416</t>
  </si>
  <si>
    <t>703688286</t>
  </si>
  <si>
    <t>2026-01-28 09:10:01</t>
  </si>
  <si>
    <t>INV.703688286</t>
  </si>
  <si>
    <t>I261494</t>
  </si>
  <si>
    <t>202601280917</t>
  </si>
  <si>
    <t>SERVICE KIT, DDP, FACEPLATE,LARGE ELECT</t>
  </si>
  <si>
    <t>0247-08361B</t>
  </si>
  <si>
    <t>S/N.HYNIX-DSM-0010</t>
  </si>
  <si>
    <t>4388426300417X</t>
  </si>
  <si>
    <t>300417</t>
  </si>
  <si>
    <t>703688329</t>
  </si>
  <si>
    <t>2026-01-28 09:12:36</t>
  </si>
  <si>
    <t>INV.703688329</t>
  </si>
  <si>
    <t>I261594</t>
  </si>
  <si>
    <t>202601280920</t>
  </si>
  <si>
    <t>4388426300418X</t>
  </si>
  <si>
    <t>300418</t>
  </si>
  <si>
    <t>703688330</t>
  </si>
  <si>
    <t>INV.703688330</t>
  </si>
  <si>
    <t>I261603</t>
  </si>
  <si>
    <t>4388426300419X</t>
  </si>
  <si>
    <t>300419</t>
  </si>
  <si>
    <t>JPTOCALO0009D</t>
  </si>
  <si>
    <t>TOCALO CO LTD</t>
  </si>
  <si>
    <t>703688281</t>
  </si>
  <si>
    <t>2026-01-28 09:17:45</t>
  </si>
  <si>
    <t>INV.703688281</t>
  </si>
  <si>
    <t>2556338606</t>
  </si>
  <si>
    <t>202601280924</t>
  </si>
  <si>
    <t>SERVICE KIT, CLEANING, SYM3,LID</t>
  </si>
  <si>
    <t>0247-03475B</t>
  </si>
  <si>
    <t>S/N.15EA0767-A-23</t>
  </si>
  <si>
    <t>4388426300420X</t>
  </si>
  <si>
    <t>300420</t>
  </si>
  <si>
    <t>703688311</t>
  </si>
  <si>
    <t>INV.703688311</t>
  </si>
  <si>
    <t>6095651096</t>
  </si>
  <si>
    <t>202601280925</t>
  </si>
  <si>
    <t>WELDMENT, EXHAUST, INJ A DOMEINTERFACE,</t>
  </si>
  <si>
    <t>0051-84140</t>
  </si>
  <si>
    <t>4388426300421X</t>
  </si>
  <si>
    <t>300421</t>
  </si>
  <si>
    <t>703686132</t>
  </si>
  <si>
    <t>2026-01-28 10:09:25</t>
  </si>
  <si>
    <t>INV.703686132</t>
  </si>
  <si>
    <t>I251405</t>
  </si>
  <si>
    <t>202601281012</t>
  </si>
  <si>
    <t>SERVICE KIT, 300MM MDP CHARGER TI</t>
  </si>
  <si>
    <t>0247-04766B</t>
  </si>
  <si>
    <t>S/N.XSCKTI-003</t>
  </si>
  <si>
    <t>4388426300423X</t>
  </si>
  <si>
    <t>300423</t>
  </si>
  <si>
    <t>703688359</t>
  </si>
  <si>
    <t>2026-01-28 10:56:37</t>
  </si>
  <si>
    <t>INV.703688359</t>
  </si>
  <si>
    <t>1091221095</t>
  </si>
  <si>
    <t>202601281104</t>
  </si>
  <si>
    <t>PYROMETER, 2MM PROBE, 300MMRADIANCE RTP</t>
  </si>
  <si>
    <t>0010-44213R</t>
  </si>
  <si>
    <t>S/N.2157690</t>
  </si>
  <si>
    <t>4388426300424X</t>
  </si>
  <si>
    <t>300424</t>
  </si>
  <si>
    <t>703687234</t>
  </si>
  <si>
    <t>INV.703687234</t>
  </si>
  <si>
    <t>5178990434</t>
  </si>
  <si>
    <t>S/N.762010</t>
  </si>
  <si>
    <t>4388426300425X</t>
  </si>
  <si>
    <t>300425</t>
  </si>
  <si>
    <t>703688391</t>
  </si>
  <si>
    <t>2026-01-28 10:58:48</t>
  </si>
  <si>
    <t>INV.703688391</t>
  </si>
  <si>
    <t>6850064104</t>
  </si>
  <si>
    <t>202601281106</t>
  </si>
  <si>
    <t>DALI SHADOW RING, 1.75MM COVERAGE</t>
  </si>
  <si>
    <t>0200-07363</t>
  </si>
  <si>
    <t>4388426300426X</t>
  </si>
  <si>
    <t>300426</t>
  </si>
  <si>
    <t>703688432</t>
  </si>
  <si>
    <t>DGF/DP03/7057</t>
  </si>
  <si>
    <t>2026-01-28 11:29:00</t>
  </si>
  <si>
    <t>INV.703688432</t>
  </si>
  <si>
    <t>I262045</t>
  </si>
  <si>
    <t>202601281137</t>
  </si>
  <si>
    <t>8531809000</t>
  </si>
  <si>
    <t>ELECTRIC SOUND OR VISUAL SIGNALLING APPARATUS</t>
  </si>
  <si>
    <t>SIG TWR ASSY,G-A-R +ALARM,LED,24VDC</t>
  </si>
  <si>
    <t>E11806260</t>
  </si>
  <si>
    <t>4388426300427X</t>
  </si>
  <si>
    <t>300427</t>
  </si>
  <si>
    <t>703688445</t>
  </si>
  <si>
    <t>INV.703688445</t>
  </si>
  <si>
    <t>I262154</t>
  </si>
  <si>
    <t>VALVE ASSY PNEU DIAPH NC/NC 1/4VCR-F/M/M</t>
  </si>
  <si>
    <t>3870-01912</t>
  </si>
  <si>
    <t>Valve Assy Pneu Diaph NC/NC 1/4VCR-F/M/M</t>
  </si>
  <si>
    <t>4388426300428X</t>
  </si>
  <si>
    <t>300428</t>
  </si>
  <si>
    <t>703688438</t>
  </si>
  <si>
    <t>INV.703688438</t>
  </si>
  <si>
    <t>I262162</t>
  </si>
  <si>
    <t>ASSY, G5 SERVER SM-1U-3.7-32GB-HWR_BB-3.</t>
  </si>
  <si>
    <t>0090-11214</t>
  </si>
  <si>
    <t>4388426300429X</t>
  </si>
  <si>
    <t>300429</t>
  </si>
  <si>
    <t>703688794</t>
  </si>
  <si>
    <t>INV.703688794</t>
  </si>
  <si>
    <t>I263066</t>
  </si>
  <si>
    <t>202601281521</t>
  </si>
  <si>
    <t>DOOR SPD SLIT VALVE VITON LLK 300MM</t>
  </si>
  <si>
    <t>0041-97984</t>
  </si>
  <si>
    <t>4388426300430X</t>
  </si>
  <si>
    <t>300430</t>
  </si>
  <si>
    <t>703688801</t>
  </si>
  <si>
    <t>INV.703688801</t>
  </si>
  <si>
    <t>I263064</t>
  </si>
  <si>
    <t>0041-97986</t>
  </si>
  <si>
    <t>DOOR SPD SLIT VALVE VITON PROCESS 300MM</t>
  </si>
  <si>
    <t>4388426300431X</t>
  </si>
  <si>
    <t>300431</t>
  </si>
  <si>
    <t>703688998</t>
  </si>
  <si>
    <t>2026-01-28 16:00:16</t>
  </si>
  <si>
    <t>INV.703688998</t>
  </si>
  <si>
    <t>6222341646</t>
  </si>
  <si>
    <t>202601281607</t>
  </si>
  <si>
    <t>8517623010</t>
  </si>
  <si>
    <t>FOR LINE TELECOMMUNICATION</t>
  </si>
  <si>
    <t>ASSY,ETHERCAT TO ETHERNET</t>
  </si>
  <si>
    <t>E11741650</t>
  </si>
  <si>
    <t>4388426300432X</t>
  </si>
  <si>
    <t>300432</t>
  </si>
  <si>
    <t>703689042</t>
  </si>
  <si>
    <t>INV.703689042</t>
  </si>
  <si>
    <t>3543311590</t>
  </si>
  <si>
    <t>7616999090</t>
  </si>
  <si>
    <t>OTHER ARTICLES OF ALUMINIUM</t>
  </si>
  <si>
    <t>TC2-4454935 FORELINE BLANK-OFF,PRM</t>
  </si>
  <si>
    <t>0042-82752</t>
  </si>
  <si>
    <t>4388426300433X</t>
  </si>
  <si>
    <t>300433</t>
  </si>
  <si>
    <t>703689043</t>
  </si>
  <si>
    <t>INV.703689043</t>
  </si>
  <si>
    <t>3543312673</t>
  </si>
  <si>
    <t>202601281609</t>
  </si>
  <si>
    <t>0190-84537</t>
  </si>
  <si>
    <t>4388426300434X</t>
  </si>
  <si>
    <t>300434</t>
  </si>
  <si>
    <t>703689045</t>
  </si>
  <si>
    <t>INV.703689045</t>
  </si>
  <si>
    <t>3543313325</t>
  </si>
  <si>
    <t>HOSE ASSEMBLY, PEDESTAL BYPASS, SICONI,</t>
  </si>
  <si>
    <t>0051-04993</t>
  </si>
  <si>
    <t>4388426300435X</t>
  </si>
  <si>
    <t>300435</t>
  </si>
  <si>
    <t>703689046</t>
  </si>
  <si>
    <t>INV.703689046</t>
  </si>
  <si>
    <t>3543314342</t>
  </si>
  <si>
    <t>ASSEMBLY SOURCE FEEDTHRU UMM300MM ENDUR</t>
  </si>
  <si>
    <t>0010-46093</t>
  </si>
  <si>
    <t>4388426300436X</t>
  </si>
  <si>
    <t>300436</t>
  </si>
  <si>
    <t>703689041</t>
  </si>
  <si>
    <t>2026-01-28 16:00:49</t>
  </si>
  <si>
    <t>INV.703689041</t>
  </si>
  <si>
    <t>I263700</t>
  </si>
  <si>
    <t>202601281611</t>
  </si>
  <si>
    <t>3700-09837</t>
  </si>
  <si>
    <t>4388426300437X</t>
  </si>
  <si>
    <t>300437</t>
  </si>
  <si>
    <t>CNAPPLIE0107O</t>
  </si>
  <si>
    <t>APPLIED MATERIALS SOUTHEAST ASIA PTE LTD CO CHENGDU HMG SUPP</t>
  </si>
  <si>
    <t>703686812</t>
  </si>
  <si>
    <t>2026-01-28 16:11:39</t>
  </si>
  <si>
    <t>INV.703686812</t>
  </si>
  <si>
    <t>I253350</t>
  </si>
  <si>
    <t>202601281616</t>
  </si>
  <si>
    <t>8507200000</t>
  </si>
  <si>
    <t>OTHER LEAD-ACID ACCUMULATORS</t>
  </si>
  <si>
    <t>BATTERY,LEAD ACID,SEALED,12VDC,12AMP/HR</t>
  </si>
  <si>
    <t>E21000087</t>
  </si>
  <si>
    <t>4388426300438X</t>
  </si>
  <si>
    <t>300438</t>
  </si>
  <si>
    <t>703689220</t>
  </si>
  <si>
    <t>DGF/DP01/320268</t>
  </si>
  <si>
    <t>2026-01-28 17:22:23</t>
  </si>
  <si>
    <t>INV.703689220</t>
  </si>
  <si>
    <t>I264333</t>
  </si>
  <si>
    <t>202601281740</t>
  </si>
  <si>
    <t>LID, QUARTZ, 300MM, DPN PLUS</t>
  </si>
  <si>
    <t>0200-15699B</t>
  </si>
  <si>
    <t>4388426300439X</t>
  </si>
  <si>
    <t>300439</t>
  </si>
  <si>
    <t>703689218</t>
  </si>
  <si>
    <t>INV.703689218</t>
  </si>
  <si>
    <t>I264337</t>
  </si>
  <si>
    <t>202601281742</t>
  </si>
  <si>
    <t>0011-07813B</t>
  </si>
  <si>
    <t>4388426300440X</t>
  </si>
  <si>
    <t>300440</t>
  </si>
  <si>
    <t>703689213</t>
  </si>
  <si>
    <t>INV.703689213</t>
  </si>
  <si>
    <t>I264316</t>
  </si>
  <si>
    <t>202601281745</t>
  </si>
  <si>
    <t>ESW, CONTROLLER, MZ ESC</t>
  </si>
  <si>
    <t>ESW0010-03073B</t>
  </si>
  <si>
    <t>4388426300441X</t>
  </si>
  <si>
    <t>300441</t>
  </si>
  <si>
    <t>703689214</t>
  </si>
  <si>
    <t>INV.703689214</t>
  </si>
  <si>
    <t>I264347</t>
  </si>
  <si>
    <t>4388426300442X</t>
  </si>
  <si>
    <t>300442</t>
  </si>
  <si>
    <t>703689217</t>
  </si>
  <si>
    <t>INV.703689217</t>
  </si>
  <si>
    <t>I264329</t>
  </si>
  <si>
    <t>6000-94190B</t>
  </si>
  <si>
    <t>4388426300443X</t>
  </si>
  <si>
    <t>300443</t>
  </si>
  <si>
    <t>703690604</t>
  </si>
  <si>
    <t>2026-01-29 09:01:31</t>
  </si>
  <si>
    <t>INV.703690604</t>
  </si>
  <si>
    <t>I272233</t>
  </si>
  <si>
    <t>202601290906</t>
  </si>
  <si>
    <t>S/N.A-S3SUS-035</t>
  </si>
  <si>
    <t>4388426300444X</t>
  </si>
  <si>
    <t>300444</t>
  </si>
  <si>
    <t>703690798</t>
  </si>
  <si>
    <t>2026-01-29 11:27:59</t>
  </si>
  <si>
    <t>INV.703690798</t>
  </si>
  <si>
    <t>3483661300</t>
  </si>
  <si>
    <t>202601291136</t>
  </si>
  <si>
    <t>CAPACITIVE SENSOR</t>
  </si>
  <si>
    <t>C0095814</t>
  </si>
  <si>
    <t>4388426300445X</t>
  </si>
  <si>
    <t>300445</t>
  </si>
  <si>
    <t>703690799</t>
  </si>
  <si>
    <t>INV.703690799</t>
  </si>
  <si>
    <t>3483661333</t>
  </si>
  <si>
    <t>8544422010</t>
  </si>
  <si>
    <t>PLASTIC INSULATED WIRE OF A KIND USED FOR TELECOMM</t>
  </si>
  <si>
    <t>CABLE ASSY, ENET, RELNET ROUTER WAN 1 T</t>
  </si>
  <si>
    <t>0150-81046</t>
  </si>
  <si>
    <t>4388426300446X</t>
  </si>
  <si>
    <t>300446</t>
  </si>
  <si>
    <t>703690802</t>
  </si>
  <si>
    <t>INV.703690802</t>
  </si>
  <si>
    <t>2827333176</t>
  </si>
  <si>
    <t>202601291141</t>
  </si>
  <si>
    <t>HARNESS ASSEMBLY, INTERLOCKLP/HP SRC, D</t>
  </si>
  <si>
    <t>0140-91117</t>
  </si>
  <si>
    <t>4388426300447X</t>
  </si>
  <si>
    <t>300447</t>
  </si>
  <si>
    <t>703690803</t>
  </si>
  <si>
    <t>INV.703690803</t>
  </si>
  <si>
    <t>2827333585</t>
  </si>
  <si>
    <t>4388426300448X</t>
  </si>
  <si>
    <t>300448</t>
  </si>
  <si>
    <t>703690805</t>
  </si>
  <si>
    <t>INV.703690805</t>
  </si>
  <si>
    <t>2827334252</t>
  </si>
  <si>
    <t>COOLING FLANGE, RPS, PRODUCERG-GT</t>
  </si>
  <si>
    <t>0041-53904</t>
  </si>
  <si>
    <t>4388426300449X</t>
  </si>
  <si>
    <t>300449</t>
  </si>
  <si>
    <t>703690806</t>
  </si>
  <si>
    <t>INV.703690806</t>
  </si>
  <si>
    <t>2827334716</t>
  </si>
  <si>
    <t>202601291151</t>
  </si>
  <si>
    <t>8536509090</t>
  </si>
  <si>
    <t>OTHER SWITCHES</t>
  </si>
  <si>
    <t>SPECIFICATION LATCH/UNLATCH POSITION SEN</t>
  </si>
  <si>
    <t>0190-44152</t>
  </si>
  <si>
    <t>4388426300450X</t>
  </si>
  <si>
    <t>300450</t>
  </si>
  <si>
    <t>703690807</t>
  </si>
  <si>
    <t>INV.703690807</t>
  </si>
  <si>
    <t>2827335092</t>
  </si>
  <si>
    <t>202601291145</t>
  </si>
  <si>
    <t>3700-04329</t>
  </si>
  <si>
    <t>4388426300451X</t>
  </si>
  <si>
    <t>300451</t>
  </si>
  <si>
    <t>703690808</t>
  </si>
  <si>
    <t>INV.703690808</t>
  </si>
  <si>
    <t>2827335464</t>
  </si>
  <si>
    <t>PLUG, UNIVERSAL, SHIPPING, 300MM</t>
  </si>
  <si>
    <t>0041-57788</t>
  </si>
  <si>
    <t>4388426300452X</t>
  </si>
  <si>
    <t>300452</t>
  </si>
  <si>
    <t>703690809</t>
  </si>
  <si>
    <t>INV.703690809</t>
  </si>
  <si>
    <t>2827335873</t>
  </si>
  <si>
    <t>HARNESS ASSY, BB2 LDM NT INTC, DESICA CL</t>
  </si>
  <si>
    <t>0140-14866</t>
  </si>
  <si>
    <t>4388426300453X</t>
  </si>
  <si>
    <t>300453</t>
  </si>
  <si>
    <t>703690810</t>
  </si>
  <si>
    <t>INV.703690810</t>
  </si>
  <si>
    <t>2827335954</t>
  </si>
  <si>
    <t>202601291148</t>
  </si>
  <si>
    <t>3700-01304</t>
  </si>
  <si>
    <t>4388426300454X</t>
  </si>
  <si>
    <t>300454</t>
  </si>
  <si>
    <t>703690812</t>
  </si>
  <si>
    <t>INV.703690812</t>
  </si>
  <si>
    <t>1257094996</t>
  </si>
  <si>
    <t>ASSLY, ESC BONDED, MONOPOLARDUAL HEATED</t>
  </si>
  <si>
    <t>0010-47763</t>
  </si>
  <si>
    <t>4388426300455X</t>
  </si>
  <si>
    <t>300455</t>
  </si>
  <si>
    <t>703690815</t>
  </si>
  <si>
    <t>INV.703690815</t>
  </si>
  <si>
    <t>2827336783</t>
  </si>
  <si>
    <t>4388426300456X</t>
  </si>
  <si>
    <t>300456</t>
  </si>
  <si>
    <t>703690816</t>
  </si>
  <si>
    <t>INV.703690816</t>
  </si>
  <si>
    <t>2827336890</t>
  </si>
  <si>
    <t>202601291150</t>
  </si>
  <si>
    <t>4388426300457X</t>
  </si>
  <si>
    <t>300457</t>
  </si>
  <si>
    <t>703690817</t>
  </si>
  <si>
    <t>INV.703690817</t>
  </si>
  <si>
    <t>3483665264</t>
  </si>
  <si>
    <t>4388426300458X</t>
  </si>
  <si>
    <t>300458</t>
  </si>
  <si>
    <t>703690845</t>
  </si>
  <si>
    <t>INV.703690845</t>
  </si>
  <si>
    <t>2827343676</t>
  </si>
  <si>
    <t>9031901010</t>
  </si>
  <si>
    <t>PARTS OF SUBHEADINGS 9031.41</t>
  </si>
  <si>
    <t>DONUT STAGE XYT, MK2 CLEAN  (IMPROVED)</t>
  </si>
  <si>
    <t>0190-D2723-010</t>
  </si>
  <si>
    <t>4388426300459X</t>
  </si>
  <si>
    <t>300459</t>
  </si>
  <si>
    <t>703690828</t>
  </si>
  <si>
    <t>2026-01-29 13:36:02</t>
  </si>
  <si>
    <t>INV.703690828</t>
  </si>
  <si>
    <t>2827339605</t>
  </si>
  <si>
    <t>202601291340</t>
  </si>
  <si>
    <t>USED ARTICLES HAVING A HARDNESS EQUIVALENT TO 9 OR</t>
  </si>
  <si>
    <t>LID HPM COATED AL2O3, DUAL GAS 300MM DPS</t>
  </si>
  <si>
    <t>0200-14989R</t>
  </si>
  <si>
    <t>S/N.17EA0767-9-48</t>
  </si>
  <si>
    <t>4388426300460X</t>
  </si>
  <si>
    <t>300460</t>
  </si>
  <si>
    <t>703691608</t>
  </si>
  <si>
    <t>APEX/DP04/7057</t>
  </si>
  <si>
    <t>2026-01-29 16:05:09</t>
  </si>
  <si>
    <t>INV.703691608</t>
  </si>
  <si>
    <t>APEK2601201</t>
  </si>
  <si>
    <t>202601291612</t>
  </si>
  <si>
    <t>*LASER,ROBOFRED,DUV</t>
  </si>
  <si>
    <t>8010-1074-010W</t>
  </si>
  <si>
    <t>4388426300461X</t>
  </si>
  <si>
    <t>300461</t>
  </si>
  <si>
    <t>703690905</t>
  </si>
  <si>
    <t>2026-01-29 17:09:43</t>
  </si>
  <si>
    <t>INV.703690905_x000D_
43884-26-300462X 동시포장</t>
  </si>
  <si>
    <t>8436829590</t>
  </si>
  <si>
    <t>202601291721</t>
  </si>
  <si>
    <t>VALVE, THROTTLE, CH, DN40 VATSERIES 950</t>
  </si>
  <si>
    <t>0190-46394</t>
  </si>
  <si>
    <t>4388426300462X</t>
  </si>
  <si>
    <t>300462</t>
  </si>
  <si>
    <t>INV.703690905_x000D_
43884-26-300461X 동시포장_x000D_
4388425319018M-007-01 1EA 원상태 수출</t>
  </si>
  <si>
    <t>202601291742</t>
  </si>
  <si>
    <t>TCB,MIRROR 8TH CT,W/ WOBBLE CORRECTION</t>
  </si>
  <si>
    <t>4388425319018M</t>
  </si>
  <si>
    <t>8028-0443-000</t>
  </si>
  <si>
    <t>4388426300463X</t>
  </si>
  <si>
    <t>300463</t>
  </si>
  <si>
    <t>703690906</t>
  </si>
  <si>
    <t>INV.703690906</t>
  </si>
  <si>
    <t>8436830010</t>
  </si>
  <si>
    <t>202601291730</t>
  </si>
  <si>
    <t>BRACKET, DRIP PAN SUPPORT /T FTG MOUNT, B</t>
  </si>
  <si>
    <t>0022-08290</t>
  </si>
  <si>
    <t>4388426300464X</t>
  </si>
  <si>
    <t>300464</t>
  </si>
  <si>
    <t>703690907</t>
  </si>
  <si>
    <t>INV.703690907</t>
  </si>
  <si>
    <t>8436830345</t>
  </si>
  <si>
    <t>BELLOWS STUD BRUSH MODULE</t>
  </si>
  <si>
    <t>0021-52807</t>
  </si>
  <si>
    <t>4388426300465X</t>
  </si>
  <si>
    <t>300465</t>
  </si>
  <si>
    <t>703690908</t>
  </si>
  <si>
    <t>INV.703690908</t>
  </si>
  <si>
    <t>8436830393</t>
  </si>
  <si>
    <t>HOSE ASSY, BRAIDED, 1/4" IDX18.0"L, 1/</t>
  </si>
  <si>
    <t>3400-02981</t>
  </si>
  <si>
    <t>4388426300466X</t>
  </si>
  <si>
    <t>300466</t>
  </si>
  <si>
    <t>703690909</t>
  </si>
  <si>
    <t>INV.703690909</t>
  </si>
  <si>
    <t>1258233546</t>
  </si>
  <si>
    <t>202601291736</t>
  </si>
  <si>
    <t>4388426300467X</t>
  </si>
  <si>
    <t>300467</t>
  </si>
  <si>
    <t>703690912</t>
  </si>
  <si>
    <t>INV.703690912</t>
  </si>
  <si>
    <t>1258233955</t>
  </si>
  <si>
    <t>ASSY REFLECTOR LAMP RADIANCECHAMBER RTP</t>
  </si>
  <si>
    <t>0010-04675</t>
  </si>
  <si>
    <t>4388426300468X</t>
  </si>
  <si>
    <t>300468</t>
  </si>
  <si>
    <t>703690914</t>
  </si>
  <si>
    <t>2026-01-30 08:39:41</t>
  </si>
  <si>
    <t>INV.703690914</t>
  </si>
  <si>
    <t>1258234316</t>
  </si>
  <si>
    <t>202601300937</t>
  </si>
  <si>
    <t>8523511000</t>
  </si>
  <si>
    <t>UNRECORDED MEDIA</t>
  </si>
  <si>
    <t>SSD 2.5" 160GB SATA MLC</t>
  </si>
  <si>
    <t>0660-A3710</t>
  </si>
  <si>
    <t>4388426300469X</t>
  </si>
  <si>
    <t>300469</t>
  </si>
  <si>
    <t>703690915</t>
  </si>
  <si>
    <t>INV.703690915</t>
  </si>
  <si>
    <t>1257127616</t>
  </si>
  <si>
    <t>202601291739</t>
  </si>
  <si>
    <t>NON ENP NB DOOR CYLINDER ASSYKIT</t>
  </si>
  <si>
    <t>0010-76637</t>
  </si>
  <si>
    <t>4388426300470X</t>
  </si>
  <si>
    <t>300470</t>
  </si>
  <si>
    <t>703690918</t>
  </si>
  <si>
    <t>INV.703690918</t>
  </si>
  <si>
    <t>1258234902</t>
  </si>
  <si>
    <t>4388426300471X</t>
  </si>
  <si>
    <t>300471</t>
  </si>
  <si>
    <t>703690921</t>
  </si>
  <si>
    <t>INV.703690921</t>
  </si>
  <si>
    <t>8436836903</t>
  </si>
  <si>
    <t>CKD AIR-OPERATED VALVE FOR CHEMICAL LIQU</t>
  </si>
  <si>
    <t>0190-80095</t>
  </si>
  <si>
    <t>4388426300472X</t>
  </si>
  <si>
    <t>300472</t>
  </si>
  <si>
    <t>703690922</t>
  </si>
  <si>
    <t>INV.703690922</t>
  </si>
  <si>
    <t>8436837312</t>
  </si>
  <si>
    <t>INSERT QUARTZ RING, 110MIL,VAR GEOM</t>
  </si>
  <si>
    <t>0200-28368</t>
  </si>
  <si>
    <t>4388426300473X</t>
  </si>
  <si>
    <t>300473</t>
  </si>
  <si>
    <t>703690923</t>
  </si>
  <si>
    <t>INV.703690923</t>
  </si>
  <si>
    <t>1258235510</t>
  </si>
  <si>
    <t>3700-07749</t>
  </si>
  <si>
    <t>4388426300474X</t>
  </si>
  <si>
    <t>300474</t>
  </si>
  <si>
    <t>703690924</t>
  </si>
  <si>
    <t>INV.703690924</t>
  </si>
  <si>
    <t>8436837636</t>
  </si>
  <si>
    <t>EDAS&amp;DUV G3 POWER SUPPLY (24VDUV GEN3)</t>
  </si>
  <si>
    <t>0190-B8271</t>
  </si>
  <si>
    <t>4388426300475X</t>
  </si>
  <si>
    <t>300475</t>
  </si>
  <si>
    <t>703690925</t>
  </si>
  <si>
    <t>INV.703690925</t>
  </si>
  <si>
    <t>5864494753</t>
  </si>
  <si>
    <t>202601291753</t>
  </si>
  <si>
    <t>8536691000</t>
  </si>
  <si>
    <t>FOR CO-AXIAL CABLES AND PRINTED CIRCUITS</t>
  </si>
  <si>
    <t>CONN ADPTR STRAIGHT DELRIN-SQS-POL PLUG</t>
  </si>
  <si>
    <t>0720-00395</t>
  </si>
  <si>
    <t>4388426300477X</t>
  </si>
  <si>
    <t>300477</t>
  </si>
  <si>
    <t>703690928</t>
  </si>
  <si>
    <t>INV.703690928</t>
  </si>
  <si>
    <t>1257129171</t>
  </si>
  <si>
    <t>CENTER HOLE GAS PLUG TOP DT ESC.</t>
  </si>
  <si>
    <t>0200-06836</t>
  </si>
  <si>
    <t>4388426300478X</t>
  </si>
  <si>
    <t>300478</t>
  </si>
  <si>
    <t>703690929</t>
  </si>
  <si>
    <t>INV.703690929</t>
  </si>
  <si>
    <t>1257129451</t>
  </si>
  <si>
    <t>INSERT MUSHROOM, KALREZ 8475</t>
  </si>
  <si>
    <t>0030-00560</t>
  </si>
  <si>
    <t>4388426300479X</t>
  </si>
  <si>
    <t>300479</t>
  </si>
  <si>
    <t>703690931</t>
  </si>
  <si>
    <t>INV.703690931</t>
  </si>
  <si>
    <t>5864495453</t>
  </si>
  <si>
    <t>202601291756</t>
  </si>
  <si>
    <t>4388426300480X</t>
  </si>
  <si>
    <t>300480</t>
  </si>
  <si>
    <t>703690933</t>
  </si>
  <si>
    <t>INV.703690933</t>
  </si>
  <si>
    <t>5864495685</t>
  </si>
  <si>
    <t>4016999000</t>
  </si>
  <si>
    <t>OTHER ARTICLES OF VULCANISED RUBBER</t>
  </si>
  <si>
    <t>DIAPHRAGM,PAD COND,300MM LK POLISHER</t>
  </si>
  <si>
    <t>0035-00151</t>
  </si>
  <si>
    <t>4388426300481X</t>
  </si>
  <si>
    <t>300481</t>
  </si>
  <si>
    <t>703690934</t>
  </si>
  <si>
    <t>INV.703690934</t>
  </si>
  <si>
    <t>1258237411</t>
  </si>
  <si>
    <t>8547200000</t>
  </si>
  <si>
    <t>INSULATING FITTINGS OF PLASTICS</t>
  </si>
  <si>
    <t>INSULATOR,FILAMENT,FEEDTHRU</t>
  </si>
  <si>
    <t>E170351370</t>
  </si>
  <si>
    <t>4388426300482X</t>
  </si>
  <si>
    <t>300482</t>
  </si>
  <si>
    <t>703690935</t>
  </si>
  <si>
    <t>INV.703690935</t>
  </si>
  <si>
    <t>8436839261</t>
  </si>
  <si>
    <t>202601291800</t>
  </si>
  <si>
    <t>8536509010</t>
  </si>
  <si>
    <t>ELECTROMECHANICAL SNAP-ACTION SWITCHES FOR A CURRE</t>
  </si>
  <si>
    <t>HARNESS ASSY, CH. LID OT/WATER LEAK INTL</t>
  </si>
  <si>
    <t>0140-17444</t>
  </si>
  <si>
    <t>4388426300483X</t>
  </si>
  <si>
    <t>300483</t>
  </si>
  <si>
    <t>703690936</t>
  </si>
  <si>
    <t>INV.703690936</t>
  </si>
  <si>
    <t>1257130372</t>
  </si>
  <si>
    <t>8484200000</t>
  </si>
  <si>
    <t>MECHANICAL SEALS</t>
  </si>
  <si>
    <t>SEAL, CTR RING ASSY</t>
  </si>
  <si>
    <t>3700-03163</t>
  </si>
  <si>
    <t>4388426300484X</t>
  </si>
  <si>
    <t>300484</t>
  </si>
  <si>
    <t>703691449</t>
  </si>
  <si>
    <t>INV.703691449</t>
  </si>
  <si>
    <t>7739130770</t>
  </si>
  <si>
    <t>GENERATOR MF RF 900W 350KHZ</t>
  </si>
  <si>
    <t>0190-08677W</t>
  </si>
  <si>
    <t>4388426300485X</t>
  </si>
  <si>
    <t>300485</t>
  </si>
  <si>
    <t>703691450</t>
  </si>
  <si>
    <t>INV.703691450</t>
  </si>
  <si>
    <t>7196101522</t>
  </si>
  <si>
    <t>202601291803</t>
  </si>
  <si>
    <t>O-RING,2-282,KALREZ 9550</t>
  </si>
  <si>
    <t>0190-60659</t>
  </si>
  <si>
    <t>4388426300486X</t>
  </si>
  <si>
    <t>300486</t>
  </si>
  <si>
    <t>703691451</t>
  </si>
  <si>
    <t>INV.703691451</t>
  </si>
  <si>
    <t>7739134852</t>
  </si>
  <si>
    <t>WINDOW,IEP SAPPHIRE 1.00OD X.125THK, PK</t>
  </si>
  <si>
    <t>0190-60523</t>
  </si>
  <si>
    <t>4388426300487X</t>
  </si>
  <si>
    <t>300487</t>
  </si>
  <si>
    <t>703691453</t>
  </si>
  <si>
    <t>INV.703691453</t>
  </si>
  <si>
    <t>7196106116</t>
  </si>
  <si>
    <t>202601291805</t>
  </si>
  <si>
    <t>8481100000</t>
  </si>
  <si>
    <t>PRESSURE-REDUCING VALVES</t>
  </si>
  <si>
    <t>FLUOROPOLYMER REGULATOR</t>
  </si>
  <si>
    <t>3800-00579</t>
  </si>
  <si>
    <t>4388426300488X</t>
  </si>
  <si>
    <t>300488</t>
  </si>
  <si>
    <t>703691469</t>
  </si>
  <si>
    <t>INV.703691469</t>
  </si>
  <si>
    <t>7196106621</t>
  </si>
  <si>
    <t>MANIFOLD, OUTPUT, 1 HOLE, LEFT, 200MM PR</t>
  </si>
  <si>
    <t>0040-47724</t>
  </si>
  <si>
    <t>4388426300489X</t>
  </si>
  <si>
    <t>300489</t>
  </si>
  <si>
    <t>703691472</t>
  </si>
  <si>
    <t>INV.703691472</t>
  </si>
  <si>
    <t>7739136075</t>
  </si>
  <si>
    <t>GEN RF 13.56MHZ, 3.0KW PARAMOUNT, 3103,</t>
  </si>
  <si>
    <t>0190-44074W</t>
  </si>
  <si>
    <t>4388426300490X</t>
  </si>
  <si>
    <t>300490</t>
  </si>
  <si>
    <t>703691640</t>
  </si>
  <si>
    <t>2026-01-30 09:00:12</t>
  </si>
  <si>
    <t>INV.703691640</t>
  </si>
  <si>
    <t>I274997</t>
  </si>
  <si>
    <t>202601300917</t>
  </si>
  <si>
    <t>DOSE CONTROLLER ASSY,SUPER SCAN</t>
  </si>
  <si>
    <t>E11561250B</t>
  </si>
  <si>
    <t>4388426300491X</t>
  </si>
  <si>
    <t>300491</t>
  </si>
  <si>
    <t>703691644</t>
  </si>
  <si>
    <t>INV.703691644</t>
  </si>
  <si>
    <t>I275160</t>
  </si>
  <si>
    <t>202601300921</t>
  </si>
  <si>
    <t>STAGE CONTROLLER, G6</t>
  </si>
  <si>
    <t>0190-B1612B</t>
  </si>
  <si>
    <t>4388426300492X</t>
  </si>
  <si>
    <t>300492</t>
  </si>
  <si>
    <t>703691650</t>
  </si>
  <si>
    <t>INV.703691650</t>
  </si>
  <si>
    <t>I275149</t>
  </si>
  <si>
    <t>KIT SPARE, VACUUM MAGNET RINGS, CR ROBOT</t>
  </si>
  <si>
    <t>0240-80783B</t>
  </si>
  <si>
    <t>4388426300493X</t>
  </si>
  <si>
    <t>300493</t>
  </si>
  <si>
    <t>703691646</t>
  </si>
  <si>
    <t>INV.703691646</t>
  </si>
  <si>
    <t>202601300923</t>
  </si>
  <si>
    <t>ASSY, SELFI SERVER (LINUX)</t>
  </si>
  <si>
    <t>0190-E2701B</t>
  </si>
  <si>
    <t>4388426300494X</t>
  </si>
  <si>
    <t>300494</t>
  </si>
  <si>
    <t>703693426</t>
  </si>
  <si>
    <t>2026-01-30 11:45:43</t>
  </si>
  <si>
    <t>INV.703693426</t>
  </si>
  <si>
    <t>4072400931</t>
  </si>
  <si>
    <t>202601301156</t>
  </si>
  <si>
    <t>8536200000</t>
  </si>
  <si>
    <t>AUTOMATIC CIRCUIT BREAKERS</t>
  </si>
  <si>
    <t>CB MAG 2P 15A 240VAC SERIES-TRIP MEDIUM-</t>
  </si>
  <si>
    <t>0190-37949</t>
  </si>
  <si>
    <t>4388426300495X</t>
  </si>
  <si>
    <t>300495</t>
  </si>
  <si>
    <t>703693432</t>
  </si>
  <si>
    <t>INV.703693432</t>
  </si>
  <si>
    <t>3361364764</t>
  </si>
  <si>
    <t>CNTRL VODM 3000SCCM WATER VAPOR 14VCR-IN</t>
  </si>
  <si>
    <t>3930-00855W</t>
  </si>
  <si>
    <t>4388426300496X</t>
  </si>
  <si>
    <t>300496</t>
  </si>
  <si>
    <t>703693435</t>
  </si>
  <si>
    <t>INV.703693435</t>
  </si>
  <si>
    <t>202601301200</t>
  </si>
  <si>
    <t>ASSEMBLY, 300MM FDR SLT ESCASSY, NI-PL</t>
  </si>
  <si>
    <t>6000-94606C</t>
  </si>
  <si>
    <t>4388426300497X</t>
  </si>
  <si>
    <t>300497</t>
  </si>
  <si>
    <t>CNAPPLIE0108N</t>
  </si>
  <si>
    <t>703693438</t>
  </si>
  <si>
    <t>INV.703693438</t>
  </si>
  <si>
    <t>6794949582</t>
  </si>
  <si>
    <t>HARNESS ASSY CIOC P19 TO CHAMBER INTERLO</t>
  </si>
  <si>
    <t>0140-23227</t>
  </si>
  <si>
    <t>4388426300498X</t>
  </si>
  <si>
    <t>300498</t>
  </si>
  <si>
    <t>703693440</t>
  </si>
  <si>
    <t>INV.703693440</t>
  </si>
  <si>
    <t>6794949722</t>
  </si>
  <si>
    <t>BLANK OFF HP DC SOURCE 300MMPVD</t>
  </si>
  <si>
    <t>0040-82904</t>
  </si>
  <si>
    <t>4388426300499X</t>
  </si>
  <si>
    <t>300499</t>
  </si>
  <si>
    <t>703693442</t>
  </si>
  <si>
    <t>INV.703693442</t>
  </si>
  <si>
    <t>6794949932</t>
  </si>
  <si>
    <t>202601301202</t>
  </si>
  <si>
    <t>RETROFIT KIT, TP2 AND BPL</t>
  </si>
  <si>
    <t>0246-90523</t>
  </si>
  <si>
    <t>4388426300500X</t>
  </si>
  <si>
    <t>300500</t>
  </si>
  <si>
    <t>703693443</t>
  </si>
  <si>
    <t>INV.703693443</t>
  </si>
  <si>
    <t>3361366912</t>
  </si>
  <si>
    <t>3700-09896</t>
  </si>
  <si>
    <t>4388426300501X</t>
  </si>
  <si>
    <t>300501</t>
  </si>
  <si>
    <t>703693748</t>
  </si>
  <si>
    <t>2026-01-30 14:20:38</t>
  </si>
  <si>
    <t>INV.703693748</t>
  </si>
  <si>
    <t>I285623</t>
  </si>
  <si>
    <t>202601301423</t>
  </si>
  <si>
    <t>TRANSFERABLE SHUTTER, DIA 291MM, CLEAN 3</t>
  </si>
  <si>
    <t>0021-88221</t>
  </si>
  <si>
    <t>4388426300502X</t>
  </si>
  <si>
    <t>300502</t>
  </si>
  <si>
    <t>703693802</t>
  </si>
  <si>
    <t>2026-01-30 16:54:56</t>
  </si>
  <si>
    <t>INV.703693802_x000D_
43884-26-300503X 동시포장</t>
  </si>
  <si>
    <t>202601301712</t>
  </si>
  <si>
    <t>8481300000</t>
  </si>
  <si>
    <t>CHECK (NONRETURN) VALVES</t>
  </si>
  <si>
    <t>SMC H2000 DI FILTER FITTING"OUT</t>
  </si>
  <si>
    <t>0190-54481</t>
  </si>
  <si>
    <t>4388426300503X</t>
  </si>
  <si>
    <t>300503</t>
  </si>
  <si>
    <t>INV.703693802_x000D_
43884-26-300502X 동시포장_x000D_
4388426700774M-009-01 1EA 원상태 수출</t>
  </si>
  <si>
    <t>202601301719</t>
  </si>
  <si>
    <t>8421299090</t>
  </si>
  <si>
    <t>OTHER FILTERING OR PURIFYING MACHINERY</t>
  </si>
  <si>
    <t>MEMBRANE CONTACTOR, 4X13, LIQUICELL, 3/4</t>
  </si>
  <si>
    <t>4388426700774M</t>
  </si>
  <si>
    <t>A0346827</t>
  </si>
  <si>
    <t>4388426300504X</t>
  </si>
  <si>
    <t>300504</t>
  </si>
  <si>
    <t>703693815</t>
  </si>
  <si>
    <t>INV.703693815_x000D_
4388426901566M-001-01 1EA 원상태 수출</t>
  </si>
  <si>
    <t>202601301720</t>
  </si>
  <si>
    <t>TEMPERATURE CONTROLLER UNIT,HIGH TEMP T</t>
  </si>
  <si>
    <t>4388426901566M</t>
  </si>
  <si>
    <t>0190-80463</t>
  </si>
  <si>
    <t>4388426300505X</t>
  </si>
  <si>
    <t>300505</t>
  </si>
  <si>
    <t>703693792</t>
  </si>
  <si>
    <t>INV.703693792</t>
  </si>
  <si>
    <t>PLATE, BLOCKER, N2 CARRIER,200MM SACVD</t>
  </si>
  <si>
    <t>0021-07327</t>
  </si>
  <si>
    <t>4388426300506X</t>
  </si>
  <si>
    <t>300506</t>
  </si>
  <si>
    <t>703693794</t>
  </si>
  <si>
    <t>INV.703693794</t>
  </si>
  <si>
    <t>DOOR UP/DOWN CYLINDER, ADO-E</t>
  </si>
  <si>
    <t>0190-26577</t>
  </si>
  <si>
    <t>4388426300507X</t>
  </si>
  <si>
    <t>300507</t>
  </si>
  <si>
    <t>703693797</t>
  </si>
  <si>
    <t>INV.703693797</t>
  </si>
  <si>
    <t>202601301724</t>
  </si>
  <si>
    <t>PARTS OF MICROSCOPES</t>
  </si>
  <si>
    <t>IN-LENS DETECTOR Q V9</t>
  </si>
  <si>
    <t>0190-C7900</t>
  </si>
  <si>
    <t>4388426300508X</t>
  </si>
  <si>
    <t>300508</t>
  </si>
  <si>
    <t>703693799</t>
  </si>
  <si>
    <t>INV.703693799</t>
  </si>
  <si>
    <t>ASSEMBLY,PELTIER COOLER, VALENCIA</t>
  </si>
  <si>
    <t>0010-57215</t>
  </si>
  <si>
    <t>4388426300509X</t>
  </si>
  <si>
    <t>300509</t>
  </si>
  <si>
    <t>703693800</t>
  </si>
  <si>
    <t>INV.703693800</t>
  </si>
  <si>
    <t>202601301731</t>
  </si>
  <si>
    <t>ASSY,PCB,DPS SOURCE MATCH/SERIPLEX, I/</t>
  </si>
  <si>
    <t>0100-00369</t>
  </si>
  <si>
    <t>4388426300510X</t>
  </si>
  <si>
    <t>300510</t>
  </si>
  <si>
    <t>703693803</t>
  </si>
  <si>
    <t>INV.703693803</t>
  </si>
  <si>
    <t>TGV CONTROLLER, SERIES 65 ADAPTIVE PRESS</t>
  </si>
  <si>
    <t>3930-00515</t>
  </si>
  <si>
    <t>4388426300511X</t>
  </si>
  <si>
    <t>300511</t>
  </si>
  <si>
    <t>703693806</t>
  </si>
  <si>
    <t>INV.703693806</t>
  </si>
  <si>
    <t>202601301732</t>
  </si>
  <si>
    <t>SS 4MM TUBE STRAIGHT 1/8 INCHNPT</t>
  </si>
  <si>
    <t>3300-14341</t>
  </si>
  <si>
    <t>4388426300512X</t>
  </si>
  <si>
    <t>300512</t>
  </si>
  <si>
    <t>703693808</t>
  </si>
  <si>
    <t>INV.703693808</t>
  </si>
  <si>
    <t>202601301735</t>
  </si>
  <si>
    <t>4388426300513X</t>
  </si>
  <si>
    <t>300513</t>
  </si>
  <si>
    <t>703693809</t>
  </si>
  <si>
    <t>INV.703693809</t>
  </si>
  <si>
    <t>4388426300514X</t>
  </si>
  <si>
    <t>300514</t>
  </si>
  <si>
    <t>703693812</t>
  </si>
  <si>
    <t>INV.703693812</t>
  </si>
  <si>
    <t>WELDMENT, NF3, VERTICAL W/ORIFICE, SIDE</t>
  </si>
  <si>
    <t>0051-82922</t>
  </si>
  <si>
    <t>4388426300515X</t>
  </si>
  <si>
    <t>300515</t>
  </si>
  <si>
    <t>703693816</t>
  </si>
  <si>
    <t>INV.703693816</t>
  </si>
  <si>
    <t>202601301743</t>
  </si>
  <si>
    <t>6000-94190</t>
  </si>
  <si>
    <t>4388426300516X</t>
  </si>
  <si>
    <t>300516</t>
  </si>
  <si>
    <t>703693817</t>
  </si>
  <si>
    <t>INV.703693817</t>
  </si>
  <si>
    <t>VALVE, AIR ACTUATED, VCR, 1/4FEMALE</t>
  </si>
  <si>
    <t>E32000146</t>
  </si>
  <si>
    <t>4388426300517X</t>
  </si>
  <si>
    <t>300517</t>
  </si>
  <si>
    <t>703693818</t>
  </si>
  <si>
    <t>INV.703693818</t>
  </si>
  <si>
    <t>8501402000</t>
  </si>
  <si>
    <t>SINGLE-PHASE AC MOTORS OF AN OUTPUT EXCEEDING 100W</t>
  </si>
  <si>
    <t>PANSONIC MOTOR, PLANETARY GEAR BOX, ENCO</t>
  </si>
  <si>
    <t>0090-13300</t>
  </si>
  <si>
    <t>4388426300518X</t>
  </si>
  <si>
    <t>300518</t>
  </si>
  <si>
    <t>703693821</t>
  </si>
  <si>
    <t>INV.703693821</t>
  </si>
  <si>
    <t>202601301757</t>
  </si>
  <si>
    <t>HTR JKT SQR ISO VALVE 170C APF PRODUCER</t>
  </si>
  <si>
    <t>0195-15086</t>
  </si>
  <si>
    <t>4388426300519X</t>
  </si>
  <si>
    <t>300519</t>
  </si>
  <si>
    <t>703693822</t>
  </si>
  <si>
    <t>INV.703693822</t>
  </si>
  <si>
    <t>202601301756</t>
  </si>
  <si>
    <t>SENSOR ASSY, WAFER PRESENT, OUTPUT STATI</t>
  </si>
  <si>
    <t>0090-04123</t>
  </si>
  <si>
    <t>4388426300520X</t>
  </si>
  <si>
    <t>300520</t>
  </si>
  <si>
    <t>703693824</t>
  </si>
  <si>
    <t>INV.703693824</t>
  </si>
  <si>
    <t>202601301746</t>
  </si>
  <si>
    <t>WELDMENT, BELLOWS SLD</t>
  </si>
  <si>
    <t>0041-35140</t>
  </si>
  <si>
    <t>4388426300521X</t>
  </si>
  <si>
    <t>300521</t>
  </si>
  <si>
    <t>703693825</t>
  </si>
  <si>
    <t>INV.703693825</t>
  </si>
  <si>
    <t>8541499000</t>
  </si>
  <si>
    <t>OTHER PHOTOSENSITIVE SEMICONDUCTOR DEVICES</t>
  </si>
  <si>
    <t>RCVR PHOTOELECTRIC, MINIATUREDC, 18"CA,</t>
  </si>
  <si>
    <t>1400-31507</t>
  </si>
  <si>
    <t>4388426300522X</t>
  </si>
  <si>
    <t>300522</t>
  </si>
  <si>
    <t>703693828</t>
  </si>
  <si>
    <t>INV.703693828</t>
  </si>
  <si>
    <t>BASE,SUPPORT,CATHODE,H2</t>
  </si>
  <si>
    <t>E17516400</t>
  </si>
  <si>
    <t>4388426900387X</t>
  </si>
  <si>
    <t>900387</t>
  </si>
  <si>
    <t>703678461</t>
  </si>
  <si>
    <t>2026-01-26 08:32:50</t>
  </si>
  <si>
    <t>INV.703678461_x000D_
43884-26-900388X 동시포장</t>
  </si>
  <si>
    <t>I216312</t>
  </si>
  <si>
    <t>202601260931</t>
  </si>
  <si>
    <t>4388426900388X</t>
  </si>
  <si>
    <t>900388</t>
  </si>
  <si>
    <t>INV.703678461_x000D_
43884-26-900387X 동시포장_x000D_
4388425922298M-002-01 1EA 원상태 수출_x000D_
4388425922298M-002-02 1EA 원상태 수출_x000D_
4388425317567M-001-01 1EA 원상태 수출_x000D_
4388425709525M-001-01 1EA 원상태 수출_x000D_
4388425916176M-010-01 1EA 원상태 수출</t>
  </si>
  <si>
    <t>202601260927</t>
  </si>
  <si>
    <t>ENG SPEC, ECAT RMZ4 TEMP CONTROLLER 16 P</t>
  </si>
  <si>
    <t>4388425922298M</t>
  </si>
  <si>
    <t>0195-14643</t>
  </si>
  <si>
    <t>4388426900389X</t>
  </si>
  <si>
    <t>900389</t>
  </si>
  <si>
    <t>703682874,703682876</t>
  </si>
  <si>
    <t>2026-01-26 09:08:20</t>
  </si>
  <si>
    <t>INV.703682874,703682876</t>
  </si>
  <si>
    <t>I237684</t>
  </si>
  <si>
    <t>202601260920</t>
  </si>
  <si>
    <t>703682874</t>
  </si>
  <si>
    <t>DNET, KF50 F/W 1.07 HIGH SPD,KALREZ 808</t>
  </si>
  <si>
    <t>0190-19203W</t>
  </si>
  <si>
    <t>4388426900390X</t>
  </si>
  <si>
    <t>900390</t>
  </si>
  <si>
    <t>703682877</t>
  </si>
  <si>
    <t>INV.703682877</t>
  </si>
  <si>
    <t>I237683</t>
  </si>
  <si>
    <t>202601260922</t>
  </si>
  <si>
    <t>3700-07968</t>
  </si>
  <si>
    <t>4388426900391X</t>
  </si>
  <si>
    <t>900391</t>
  </si>
  <si>
    <t>703682875</t>
  </si>
  <si>
    <t>2026-01-26 09:08:57</t>
  </si>
  <si>
    <t>INV.703682875</t>
  </si>
  <si>
    <t>2463720781</t>
  </si>
  <si>
    <t>202601260923</t>
  </si>
  <si>
    <t>CABLE ASSY, S1 BTM HTR AC PWR, HI TEMP,</t>
  </si>
  <si>
    <t>0150-67868</t>
  </si>
  <si>
    <t>4388426900392X</t>
  </si>
  <si>
    <t>900392</t>
  </si>
  <si>
    <t>703684627</t>
  </si>
  <si>
    <t>2026-01-26 09:32:30</t>
  </si>
  <si>
    <t>INV.703684627</t>
  </si>
  <si>
    <t>I241514</t>
  </si>
  <si>
    <t>202601260934</t>
  </si>
  <si>
    <t>4388426900393X</t>
  </si>
  <si>
    <t>900393</t>
  </si>
  <si>
    <t>703684683</t>
  </si>
  <si>
    <t>2026-01-26 11:16:49</t>
  </si>
  <si>
    <t>INV.703684683_x000D_
4388425318295M-001-01 1EA 원상태 수출</t>
  </si>
  <si>
    <t>6495954231</t>
  </si>
  <si>
    <t>202601261417</t>
  </si>
  <si>
    <t>RING, PREHEAT, 180MM OPEN HEAT SHIELD, THK EPI</t>
  </si>
  <si>
    <t>4388425318295M</t>
  </si>
  <si>
    <t>0200-28241</t>
  </si>
  <si>
    <t>4388426900394X</t>
  </si>
  <si>
    <t>900394</t>
  </si>
  <si>
    <t>703684685</t>
  </si>
  <si>
    <t>INV.703684685</t>
  </si>
  <si>
    <t>4993341813</t>
  </si>
  <si>
    <t>202601261136</t>
  </si>
  <si>
    <t>FORELINE, W/ SWLL STUB, TRANSFER CHMBR,</t>
  </si>
  <si>
    <t>0051-94541</t>
  </si>
  <si>
    <t>4388426900395X</t>
  </si>
  <si>
    <t>900395</t>
  </si>
  <si>
    <t>703684686</t>
  </si>
  <si>
    <t>INV.703684686</t>
  </si>
  <si>
    <t>6495954791</t>
  </si>
  <si>
    <t>MKR PLATE CA WRITE ON NYLON3/4 X 1-1/</t>
  </si>
  <si>
    <t>3460-01005</t>
  </si>
  <si>
    <t>4388426900396X</t>
  </si>
  <si>
    <t>900396</t>
  </si>
  <si>
    <t>703684687</t>
  </si>
  <si>
    <t>INV.703684687</t>
  </si>
  <si>
    <t>4993342141</t>
  </si>
  <si>
    <t>202601261143</t>
  </si>
  <si>
    <t>GASLINE, AMPOULE 1, SPADE</t>
  </si>
  <si>
    <t>0051-67881</t>
  </si>
  <si>
    <t>4388426900397X</t>
  </si>
  <si>
    <t>900397</t>
  </si>
  <si>
    <t>703684689</t>
  </si>
  <si>
    <t>INV.703684689</t>
  </si>
  <si>
    <t>6495955406</t>
  </si>
  <si>
    <t>WELDMENT, 1X / 1Z, UPPER EXHAUST, MR1237</t>
  </si>
  <si>
    <t>0051-52151</t>
  </si>
  <si>
    <t>4388426900398X</t>
  </si>
  <si>
    <t>900398</t>
  </si>
  <si>
    <t>703684688</t>
  </si>
  <si>
    <t>INV.703684688</t>
  </si>
  <si>
    <t>6495956003</t>
  </si>
  <si>
    <t>BELLOWS WAFER LIFT 2 INCH STROKE</t>
  </si>
  <si>
    <t>0041-87424</t>
  </si>
  <si>
    <t>4388426900399X</t>
  </si>
  <si>
    <t>900399</t>
  </si>
  <si>
    <t>703684692</t>
  </si>
  <si>
    <t>INV.703684692</t>
  </si>
  <si>
    <t>6495956224</t>
  </si>
  <si>
    <t>202601261149</t>
  </si>
  <si>
    <t>0190-61053W</t>
  </si>
  <si>
    <t>4388426900400X</t>
  </si>
  <si>
    <t>900400</t>
  </si>
  <si>
    <t>703684693</t>
  </si>
  <si>
    <t>INV.703684693</t>
  </si>
  <si>
    <t>4993343434</t>
  </si>
  <si>
    <t>8543909000</t>
  </si>
  <si>
    <t>PARTS FOR ELECTRICAL MACHINES AND APPARATUS</t>
  </si>
  <si>
    <t>SCALE 4900 MM LONG ADHESIVE TYPE</t>
  </si>
  <si>
    <t>3920-02685</t>
  </si>
  <si>
    <t>4388426900401X</t>
  </si>
  <si>
    <t>900401</t>
  </si>
  <si>
    <t>703684695</t>
  </si>
  <si>
    <t>INV.703684695</t>
  </si>
  <si>
    <t>4993343736</t>
  </si>
  <si>
    <t>MOXA, ETHERNET TO SERIAL, 8-PORT, RS232/</t>
  </si>
  <si>
    <t>0190-44196W</t>
  </si>
  <si>
    <t>4388426900402X</t>
  </si>
  <si>
    <t>900402</t>
  </si>
  <si>
    <t>703684696</t>
  </si>
  <si>
    <t>INV.703684696</t>
  </si>
  <si>
    <t>4993344016</t>
  </si>
  <si>
    <t>202601261153</t>
  </si>
  <si>
    <t>8535909000</t>
  </si>
  <si>
    <t>FEEDTHRU, FLEX SLEEVE, 300MM,NI CONTACT</t>
  </si>
  <si>
    <t>0190-22161</t>
  </si>
  <si>
    <t>4388426900403X</t>
  </si>
  <si>
    <t>900403</t>
  </si>
  <si>
    <t>703684697</t>
  </si>
  <si>
    <t>INV.703684697</t>
  </si>
  <si>
    <t>4993344720</t>
  </si>
  <si>
    <t>3700-07019</t>
  </si>
  <si>
    <t>4388426900404X</t>
  </si>
  <si>
    <t>900404</t>
  </si>
  <si>
    <t>703684698</t>
  </si>
  <si>
    <t>INV.703684698</t>
  </si>
  <si>
    <t>4993344860</t>
  </si>
  <si>
    <t>MBC POWER SUPPLY</t>
  </si>
  <si>
    <t>0190-A0576</t>
  </si>
  <si>
    <t>4388426900405X</t>
  </si>
  <si>
    <t>900405</t>
  </si>
  <si>
    <t>703684699</t>
  </si>
  <si>
    <t>INV.703684699</t>
  </si>
  <si>
    <t>4993345184</t>
  </si>
  <si>
    <t>202601261156</t>
  </si>
  <si>
    <t>PLTN,ROPLAT,PTC11 PRECOOL.AP 4.8",300MM</t>
  </si>
  <si>
    <t>E11500711</t>
  </si>
  <si>
    <t>4388426900406X</t>
  </si>
  <si>
    <t>900406</t>
  </si>
  <si>
    <t>703684925</t>
  </si>
  <si>
    <t>2026-01-26 13:31:38</t>
  </si>
  <si>
    <t>INV.703684925</t>
  </si>
  <si>
    <t>I242759</t>
  </si>
  <si>
    <t>202601261334</t>
  </si>
  <si>
    <t>FACEPLATE, HTL</t>
  </si>
  <si>
    <t>0042-14678</t>
  </si>
  <si>
    <t>4388426900408X</t>
  </si>
  <si>
    <t>900408</t>
  </si>
  <si>
    <t>703685014</t>
  </si>
  <si>
    <t>2026-01-26 14:51:57</t>
  </si>
  <si>
    <t>INV.703685014</t>
  </si>
  <si>
    <t>I243241</t>
  </si>
  <si>
    <t>202601261456</t>
  </si>
  <si>
    <t>PLATE, BLOCKER, LID STACK</t>
  </si>
  <si>
    <t>0042-14630</t>
  </si>
  <si>
    <t>4388426900409X</t>
  </si>
  <si>
    <t>900409</t>
  </si>
  <si>
    <t>703684966</t>
  </si>
  <si>
    <t>2026-01-26 16:18:10</t>
  </si>
  <si>
    <t>INV.703684966_x000D_
43884-26-900410X 동시포장</t>
  </si>
  <si>
    <t>I243229</t>
  </si>
  <si>
    <t>202601261636</t>
  </si>
  <si>
    <t>ASSEMBLY WATER PLENUM 300MMDPS2</t>
  </si>
  <si>
    <t>0010-05617</t>
  </si>
  <si>
    <t>4388426900410X</t>
  </si>
  <si>
    <t>900410</t>
  </si>
  <si>
    <t>INV.703684966_x000D_
43884-26-900409X 동시포장_x000D_
4388425921182M-001-01 1EA 원상태 수출</t>
  </si>
  <si>
    <t>202601261644</t>
  </si>
  <si>
    <t>8482102000</t>
  </si>
  <si>
    <t>BALL BEARINGS OF THE INSIDE DIAMETER NOT EXCEEDING</t>
  </si>
  <si>
    <t>BRG BALL 62MMODX35MMIDX14MMWNONSEP AN</t>
  </si>
  <si>
    <t>4388425921182M</t>
  </si>
  <si>
    <t>3060-01223</t>
  </si>
  <si>
    <t>4388426900411X</t>
  </si>
  <si>
    <t>900411</t>
  </si>
  <si>
    <t>703684948</t>
  </si>
  <si>
    <t>INV.703684948</t>
  </si>
  <si>
    <t>I243165</t>
  </si>
  <si>
    <t>202601261703</t>
  </si>
  <si>
    <t>FLOW SWITCH W/DISPLAY, 6 GPM,RADIANCE 3</t>
  </si>
  <si>
    <t>0190-53508</t>
  </si>
  <si>
    <t>4388426900412X</t>
  </si>
  <si>
    <t>900412</t>
  </si>
  <si>
    <t>703684949</t>
  </si>
  <si>
    <t>INV.703684949</t>
  </si>
  <si>
    <t>I243224</t>
  </si>
  <si>
    <t>202601291743</t>
  </si>
  <si>
    <t>DRIVE ASSY, SWLL INDEXER, ENHANCED</t>
  </si>
  <si>
    <t>0010-26315W</t>
  </si>
  <si>
    <t>4388426900413X</t>
  </si>
  <si>
    <t>900413</t>
  </si>
  <si>
    <t>703684956</t>
  </si>
  <si>
    <t>INV.703684956</t>
  </si>
  <si>
    <t>I243230</t>
  </si>
  <si>
    <t>202601261657</t>
  </si>
  <si>
    <t>4388426900414X</t>
  </si>
  <si>
    <t>900414</t>
  </si>
  <si>
    <t>703684961</t>
  </si>
  <si>
    <t>INV.703684961</t>
  </si>
  <si>
    <t>I243226</t>
  </si>
  <si>
    <t>MFC, GFC1000, NF3, 500 SCCM,1-1/8 C-SEA</t>
  </si>
  <si>
    <t>0190-63148</t>
  </si>
  <si>
    <t>4388426900415X</t>
  </si>
  <si>
    <t>900415</t>
  </si>
  <si>
    <t>703684962</t>
  </si>
  <si>
    <t>INV.703684962</t>
  </si>
  <si>
    <t>I243232</t>
  </si>
  <si>
    <t>202601261700</t>
  </si>
  <si>
    <t>ASSY, PNEUMATIC ACTUATOR, VAT, CENTURA A</t>
  </si>
  <si>
    <t>AT</t>
  </si>
  <si>
    <t>0190-03234W</t>
  </si>
  <si>
    <t>4388426900416X</t>
  </si>
  <si>
    <t>900416</t>
  </si>
  <si>
    <t>703684963,703684978</t>
  </si>
  <si>
    <t>INV.703684963,703684978</t>
  </si>
  <si>
    <t>I243227</t>
  </si>
  <si>
    <t>202601261708</t>
  </si>
  <si>
    <t>703684963</t>
  </si>
  <si>
    <t>4388426900417X</t>
  </si>
  <si>
    <t>900417</t>
  </si>
  <si>
    <t>703684964</t>
  </si>
  <si>
    <t>INV.703684964</t>
  </si>
  <si>
    <t>I243235</t>
  </si>
  <si>
    <t>FRU,HCFS/FILTER ASSEMBLY</t>
  </si>
  <si>
    <t>8015-0172-000W</t>
  </si>
  <si>
    <t>4388426900418X</t>
  </si>
  <si>
    <t>900418</t>
  </si>
  <si>
    <t>703684950</t>
  </si>
  <si>
    <t>2026-01-26 17:44:52</t>
  </si>
  <si>
    <t>INV.703684950_x000D_
43884-26-900419X 동시포장</t>
  </si>
  <si>
    <t>I243225</t>
  </si>
  <si>
    <t>202601270916</t>
  </si>
  <si>
    <t>INNER SHIELD, CHAMBER EXHAUST, METAL ALD</t>
  </si>
  <si>
    <t>0041-63385</t>
  </si>
  <si>
    <t>4388426900419X</t>
  </si>
  <si>
    <t>900419</t>
  </si>
  <si>
    <t>INV.703684950_x000D_
43884-26-900418X 동시포장_x000D_
4388424913032M-015-01 1EA 원상태 수출_x000D_
4388425912478M-007-01 1EA 원상태 수출</t>
  </si>
  <si>
    <t>MANF VALVE 16-STATION DNET/INTLKS</t>
  </si>
  <si>
    <t>4388424913032M</t>
  </si>
  <si>
    <t>4060-00941</t>
  </si>
  <si>
    <t>4388426900420X</t>
  </si>
  <si>
    <t>900420</t>
  </si>
  <si>
    <t>703685450</t>
  </si>
  <si>
    <t>2026-01-27 08:26:48</t>
  </si>
  <si>
    <t>INV.703685450</t>
  </si>
  <si>
    <t>I245384</t>
  </si>
  <si>
    <t>202601270907</t>
  </si>
  <si>
    <t>0190-51502B</t>
  </si>
  <si>
    <t>4388426900421X</t>
  </si>
  <si>
    <t>900421</t>
  </si>
  <si>
    <t>703685457</t>
  </si>
  <si>
    <t>INV.703685457</t>
  </si>
  <si>
    <t>I245395</t>
  </si>
  <si>
    <t>202601270908</t>
  </si>
  <si>
    <t>TB VALVE,NW40,CUSTOM SW AND EXT BODY</t>
  </si>
  <si>
    <t>4388426900424X</t>
  </si>
  <si>
    <t>900424</t>
  </si>
  <si>
    <t>KR25110154</t>
  </si>
  <si>
    <t>2026-01-27 10:22:48</t>
  </si>
  <si>
    <t>INV.KR25110154</t>
  </si>
  <si>
    <t>7123627814</t>
  </si>
  <si>
    <t>202601271032</t>
  </si>
  <si>
    <t>HEATER ASSEMBLY, V10.3 DZ VACCHUCK, RF , SACVD, PR</t>
  </si>
  <si>
    <t>0010-87648</t>
  </si>
  <si>
    <t>ODUCER SE/GT</t>
  </si>
  <si>
    <t>4388426900425X</t>
  </si>
  <si>
    <t>900425</t>
  </si>
  <si>
    <t>KR26010132</t>
  </si>
  <si>
    <t>DHL/7045</t>
  </si>
  <si>
    <t>INV.KR26010132</t>
  </si>
  <si>
    <t>9074000515</t>
  </si>
  <si>
    <t>FACEPLATE, SUPPORTED PRECISION</t>
  </si>
  <si>
    <t>0042-44366</t>
  </si>
  <si>
    <t>4388426900426X</t>
  </si>
  <si>
    <t>900426</t>
  </si>
  <si>
    <t>KR26010133</t>
  </si>
  <si>
    <t>INV.KR26010133</t>
  </si>
  <si>
    <t>2350811072</t>
  </si>
  <si>
    <t>BLOCKER PLATE ON, FULL CONTACT, PRODUCER PRECISION</t>
  </si>
  <si>
    <t>0042-84918</t>
  </si>
  <si>
    <t>4388426900427X</t>
  </si>
  <si>
    <t>900427</t>
  </si>
  <si>
    <t>KR26010045</t>
  </si>
  <si>
    <t>INV.KR26010045_x000D_
전략물자 수출허가 면제:License exemption 18</t>
  </si>
  <si>
    <t>5237003984</t>
  </si>
  <si>
    <t>202601271105</t>
  </si>
  <si>
    <t>GAUGE, CAPACITANCE DIAPHRAGM, .02 TORR, 8 VCR FEMA</t>
  </si>
  <si>
    <t>0190-90823</t>
  </si>
  <si>
    <t>LE, HORIZONTAL-MOUNT, ECAT</t>
  </si>
  <si>
    <t>4388426900428X</t>
  </si>
  <si>
    <t>900428</t>
  </si>
  <si>
    <t>703684976</t>
  </si>
  <si>
    <t>2026-01-27 11:07:57</t>
  </si>
  <si>
    <t>INV.703684976</t>
  </si>
  <si>
    <t>I243545</t>
  </si>
  <si>
    <t>202601271111</t>
  </si>
  <si>
    <t>4388426900429X</t>
  </si>
  <si>
    <t>900429</t>
  </si>
  <si>
    <t>JPNIKKOS0029E</t>
  </si>
  <si>
    <t>NIKKOSHI CO LTD</t>
  </si>
  <si>
    <t>703686221</t>
  </si>
  <si>
    <t>2026-01-27 12:06:43</t>
  </si>
  <si>
    <t>INV.703686221</t>
  </si>
  <si>
    <t>9074008086</t>
  </si>
  <si>
    <t>202601271254</t>
  </si>
  <si>
    <t>ASSY,SUSC,BB TEOS,200MM,SOREWLESS</t>
  </si>
  <si>
    <t>0010-10036R</t>
  </si>
  <si>
    <t>S/N.XB2149</t>
  </si>
  <si>
    <t>4388426900433X</t>
  </si>
  <si>
    <t>900433</t>
  </si>
  <si>
    <t>703686648</t>
  </si>
  <si>
    <t>2026-01-27 16:40:08</t>
  </si>
  <si>
    <t>INV.703686648_x000D_
43884-26-900434X 동시포장</t>
  </si>
  <si>
    <t>I253045</t>
  </si>
  <si>
    <t>202601271657</t>
  </si>
  <si>
    <t>INSULATOR, CATHODE HOSE INTERFACE</t>
  </si>
  <si>
    <t>0190-64937</t>
  </si>
  <si>
    <t>4388426900434X</t>
  </si>
  <si>
    <t>900434</t>
  </si>
  <si>
    <t>INV.703686648_x000D_
43884-26-900433X 동시포장_x000D_
4388425710098M-005-01 1EA 원상태 수출_x000D_
4388425922292M-004-01 1EA 원상태 수출_x000D_
4388425317092M-005-01 1EA 원상태 수출_x000D_
4388425913228M-024-01 1EA 원상태 수출</t>
  </si>
  <si>
    <t>INSULATOR FLAT PLATE, REXOLITE W/ CERAMI</t>
  </si>
  <si>
    <t>4388425710098M</t>
  </si>
  <si>
    <t>0042-13201</t>
  </si>
  <si>
    <t>4388426900435X</t>
  </si>
  <si>
    <t>900435</t>
  </si>
  <si>
    <t>703686678</t>
  </si>
  <si>
    <t>INV.703686678_x000D_
43884-26-900436X 동시포장</t>
  </si>
  <si>
    <t>I253050</t>
  </si>
  <si>
    <t>202601271719</t>
  </si>
  <si>
    <t>3700-00253</t>
  </si>
  <si>
    <t>4388426900436X</t>
  </si>
  <si>
    <t>900436</t>
  </si>
  <si>
    <t>INV.703686678_x000D_
43884-26-900435X 동시포장_x000D_
4388426900326M-002-01 1EA 원상태 수출_x000D_
4388426900326M-002-02 1EA 원상태 수출_x000D_
4388425711186M-007-01 1EA 원상태 수출_x000D_
4388425711186M-007-02 1EA 원상태 수출_x000D_
4388425912228M-016-01 1EA 원상태 수출_x000D_
4388426700170M-001-01 1EA 원상태 수출</t>
  </si>
  <si>
    <t>ISOLATOR, LID TOP CERAMIC, PEALD, 300MM</t>
  </si>
  <si>
    <t>4388426900326M</t>
  </si>
  <si>
    <t>0200-15328</t>
  </si>
  <si>
    <t>4388426900437X</t>
  </si>
  <si>
    <t>900437</t>
  </si>
  <si>
    <t>703686651</t>
  </si>
  <si>
    <t>INV.703686651</t>
  </si>
  <si>
    <t>I253038</t>
  </si>
  <si>
    <t>4388426900438X</t>
  </si>
  <si>
    <t>900438</t>
  </si>
  <si>
    <t>703686662</t>
  </si>
  <si>
    <t>INV.703686662</t>
  </si>
  <si>
    <t>I253047</t>
  </si>
  <si>
    <t>UNIVERSAL TRIPLE GAUGE WITH DEVICE NET</t>
  </si>
  <si>
    <t>0190-85568</t>
  </si>
  <si>
    <t>4388426900440X</t>
  </si>
  <si>
    <t>900440</t>
  </si>
  <si>
    <t>703687166</t>
  </si>
  <si>
    <t>DGF/DP01/ 320268</t>
  </si>
  <si>
    <t>2026-01-28 08:14:28</t>
  </si>
  <si>
    <t>INV.703687166</t>
  </si>
  <si>
    <t>I254293</t>
  </si>
  <si>
    <t>202601280906</t>
  </si>
  <si>
    <t>PLATEN, THERMION, 150MM, FLAT, HOT</t>
  </si>
  <si>
    <t>E19337331B</t>
  </si>
  <si>
    <t>4388426900441X</t>
  </si>
  <si>
    <t>900441</t>
  </si>
  <si>
    <t>703687131</t>
  </si>
  <si>
    <t>DGF/DP04/ 320268</t>
  </si>
  <si>
    <t>INV.703687131</t>
  </si>
  <si>
    <t>I254261</t>
  </si>
  <si>
    <t>0010-00734B</t>
  </si>
  <si>
    <t>4388426900442X</t>
  </si>
  <si>
    <t>900442</t>
  </si>
  <si>
    <t>703687132</t>
  </si>
  <si>
    <t>INV.703687132</t>
  </si>
  <si>
    <t>I254276</t>
  </si>
  <si>
    <t>202601280927</t>
  </si>
  <si>
    <t>ROTOR, MAG LEV, POSTLESS , 300MM RADIANC</t>
  </si>
  <si>
    <t>0195-02072B</t>
  </si>
  <si>
    <t>4388426900443X</t>
  </si>
  <si>
    <t>900443</t>
  </si>
  <si>
    <t>703687141</t>
  </si>
  <si>
    <t>INV.703687141</t>
  </si>
  <si>
    <t>I254299</t>
  </si>
  <si>
    <t>202601280915</t>
  </si>
  <si>
    <t>8481809000</t>
  </si>
  <si>
    <t>OTHER TAPS, COCKS, VALVES AND SIMILAR APPLIANCES</t>
  </si>
  <si>
    <t>15 PSI MANIFOLD ASSY, UPA, REFLEXION LK/</t>
  </si>
  <si>
    <t>0190-76968B</t>
  </si>
  <si>
    <t>4388426900444X</t>
  </si>
  <si>
    <t>900444</t>
  </si>
  <si>
    <t>703687149</t>
  </si>
  <si>
    <t>INV.703687149</t>
  </si>
  <si>
    <t>I254418</t>
  </si>
  <si>
    <t>4388426900445X</t>
  </si>
  <si>
    <t>900445</t>
  </si>
  <si>
    <t>703687162</t>
  </si>
  <si>
    <t>INV.703687162</t>
  </si>
  <si>
    <t>I254427</t>
  </si>
  <si>
    <t>202601281707</t>
  </si>
  <si>
    <t>W' MATCHING NETWORK, EXTENDED RANGE, 1.985MH</t>
  </si>
  <si>
    <t>E19312120B</t>
  </si>
  <si>
    <t>4388426900446X</t>
  </si>
  <si>
    <t>900446</t>
  </si>
  <si>
    <t>703686657</t>
  </si>
  <si>
    <t>2026-01-28 10:19:08</t>
  </si>
  <si>
    <t>INV.703686657_x000D_
43884-26-900447X 동시포장</t>
  </si>
  <si>
    <t>I253043</t>
  </si>
  <si>
    <t>202601281028</t>
  </si>
  <si>
    <t>WATER BOX, TXZ 300MM CVD</t>
  </si>
  <si>
    <t>0040-08494</t>
  </si>
  <si>
    <t>4388426900447X</t>
  </si>
  <si>
    <t>900447</t>
  </si>
  <si>
    <t>INV.703686657_x000D_
43884-26-900446X 동시포장_x000D_
4388426300233M-001-01 2EA 원상태 수출</t>
  </si>
  <si>
    <t>202601281131</t>
  </si>
  <si>
    <t>ASSEMBLY, GASLINE TEMP CONTROLLER, PRODUCER GT</t>
  </si>
  <si>
    <t>4388426300233M</t>
  </si>
  <si>
    <t>0090-16847</t>
  </si>
  <si>
    <t>4388426900448X</t>
  </si>
  <si>
    <t>900448</t>
  </si>
  <si>
    <t>KR26010128</t>
  </si>
  <si>
    <t>2026-01-28 11:11:49</t>
  </si>
  <si>
    <t>INV.KR26010128</t>
  </si>
  <si>
    <t>3748960272</t>
  </si>
  <si>
    <t>202601281115</t>
  </si>
  <si>
    <t>6000-94769B</t>
  </si>
  <si>
    <t>4388426900449X</t>
  </si>
  <si>
    <t>900449</t>
  </si>
  <si>
    <t>703688433</t>
  </si>
  <si>
    <t>2026-01-28 11:27:57</t>
  </si>
  <si>
    <t>INV.703688433</t>
  </si>
  <si>
    <t>7528954005</t>
  </si>
  <si>
    <t>202601281135</t>
  </si>
  <si>
    <t>BUTTERF.VALVE DN 63, ISO-F,VAPN. CPL.</t>
  </si>
  <si>
    <t>102161115</t>
  </si>
  <si>
    <t>4388426900450X</t>
  </si>
  <si>
    <t>900450</t>
  </si>
  <si>
    <t>703688434</t>
  </si>
  <si>
    <t>INV.703688434</t>
  </si>
  <si>
    <t>7528955210</t>
  </si>
  <si>
    <t>3700-08265</t>
  </si>
  <si>
    <t>4388426900451X</t>
  </si>
  <si>
    <t>900451</t>
  </si>
  <si>
    <t>703688436</t>
  </si>
  <si>
    <t>INV.703688436</t>
  </si>
  <si>
    <t>7528955313</t>
  </si>
  <si>
    <t>AGD21R-6R,AIR OPERATE VALVE,N2 LP,6.XE E</t>
  </si>
  <si>
    <t>0190-91239</t>
  </si>
  <si>
    <t>AGD21R-6R,AIR OPERATE VALVE,N2 LP,6.xE E</t>
  </si>
  <si>
    <t>4388426900452X</t>
  </si>
  <si>
    <t>900452</t>
  </si>
  <si>
    <t>703688437</t>
  </si>
  <si>
    <t>INV.703688437</t>
  </si>
  <si>
    <t>2268138353</t>
  </si>
  <si>
    <t>202601281141</t>
  </si>
  <si>
    <t>8542321030</t>
  </si>
  <si>
    <t>FLASH MEMORY</t>
  </si>
  <si>
    <t>FRU KIT, FIRMWARE, SS3 DC, V19.041</t>
  </si>
  <si>
    <t>E11953510</t>
  </si>
  <si>
    <t>4388426900453X</t>
  </si>
  <si>
    <t>900453</t>
  </si>
  <si>
    <t>703688439</t>
  </si>
  <si>
    <t>INV.703688439</t>
  </si>
  <si>
    <t>7528956794</t>
  </si>
  <si>
    <t>7318220000</t>
  </si>
  <si>
    <t>OTHER WASHERS</t>
  </si>
  <si>
    <t>WSHR FLAT .115ID X .187OD X.030THK SST</t>
  </si>
  <si>
    <t>3880-00019</t>
  </si>
  <si>
    <t>4388426900454X</t>
  </si>
  <si>
    <t>900454</t>
  </si>
  <si>
    <t>703688441</t>
  </si>
  <si>
    <t>INV.703688441</t>
  </si>
  <si>
    <t>7528956934</t>
  </si>
  <si>
    <t>202601281145</t>
  </si>
  <si>
    <t>PRODUCER PILOT GUIDE LEFT,200MM</t>
  </si>
  <si>
    <t>0021-45464</t>
  </si>
  <si>
    <t>4388426900455X</t>
  </si>
  <si>
    <t>900455</t>
  </si>
  <si>
    <t>703688442</t>
  </si>
  <si>
    <t>INV.703688442</t>
  </si>
  <si>
    <t>2268140954</t>
  </si>
  <si>
    <t>4388426900456X</t>
  </si>
  <si>
    <t>900456</t>
  </si>
  <si>
    <t>703688447</t>
  </si>
  <si>
    <t>INV.703688447</t>
  </si>
  <si>
    <t>1635791872</t>
  </si>
  <si>
    <t>202601281144</t>
  </si>
  <si>
    <t>8544700000</t>
  </si>
  <si>
    <t>OPTICAL FIBRE CABLES</t>
  </si>
  <si>
    <t>ASSY, CABLE, FIBER OPTIC 20 FT.</t>
  </si>
  <si>
    <t>0190-09459</t>
  </si>
  <si>
    <t>4388426900457X</t>
  </si>
  <si>
    <t>900457</t>
  </si>
  <si>
    <t>703688448</t>
  </si>
  <si>
    <t>INV.703688448</t>
  </si>
  <si>
    <t>1635794241</t>
  </si>
  <si>
    <t>4388426900458X</t>
  </si>
  <si>
    <t>900458</t>
  </si>
  <si>
    <t>703688450</t>
  </si>
  <si>
    <t>INV.703688450</t>
  </si>
  <si>
    <t>1801100173</t>
  </si>
  <si>
    <t>4388426900460X</t>
  </si>
  <si>
    <t>900460</t>
  </si>
  <si>
    <t>703686770</t>
  </si>
  <si>
    <t>2026-01-28 12:02:26</t>
  </si>
  <si>
    <t>INV.703686770</t>
  </si>
  <si>
    <t>5084704214</t>
  </si>
  <si>
    <t>202601281254</t>
  </si>
  <si>
    <t>USED OTHER AUTOMATICALLY CONTROLLED</t>
  </si>
  <si>
    <t>VALVE PNEU TEE NW40 CHEMRAZSEAL</t>
  </si>
  <si>
    <t>3870-03304R</t>
  </si>
  <si>
    <t>S/N.284350</t>
  </si>
  <si>
    <t>4388426900461X</t>
  </si>
  <si>
    <t>900461</t>
  </si>
  <si>
    <t>703688373</t>
  </si>
  <si>
    <t>INV.703688373</t>
  </si>
  <si>
    <t>5569559855</t>
  </si>
  <si>
    <t>202601281331</t>
  </si>
  <si>
    <t>RF MATCH, DUAL, 13.56 MHZ, 5KV, 50A, 2K</t>
  </si>
  <si>
    <t>0190-40238R</t>
  </si>
  <si>
    <t>S/N.865524</t>
  </si>
  <si>
    <t>4388426900462X</t>
  </si>
  <si>
    <t>900462</t>
  </si>
  <si>
    <t>703688521</t>
  </si>
  <si>
    <t>INV.703688521</t>
  </si>
  <si>
    <t>2268166946</t>
  </si>
  <si>
    <t>202601281259</t>
  </si>
  <si>
    <t>W' DOSE CONTROLLER ASSY,PLAD</t>
  </si>
  <si>
    <t>E11136141R</t>
  </si>
  <si>
    <t>S/N.900017144904246047</t>
  </si>
  <si>
    <t>4388426900463X</t>
  </si>
  <si>
    <t>900463</t>
  </si>
  <si>
    <t>703688868</t>
  </si>
  <si>
    <t>2026-01-28 14:09:22</t>
  </si>
  <si>
    <t>INV.703688868</t>
  </si>
  <si>
    <t>I263181</t>
  </si>
  <si>
    <t>202601281412</t>
  </si>
  <si>
    <t>4388426900468X</t>
  </si>
  <si>
    <t>900468</t>
  </si>
  <si>
    <t>703688784</t>
  </si>
  <si>
    <t>2026-01-28 15:07:36</t>
  </si>
  <si>
    <t>INV.703688784_x000D_
4388425922605M-020-01 1EA 원상태 수출</t>
  </si>
  <si>
    <t>2820685630</t>
  </si>
  <si>
    <t>202601281645</t>
  </si>
  <si>
    <t>TS HEATED VALVE VAP040-Z PRODUCER EXT</t>
  </si>
  <si>
    <t>4388425922605M</t>
  </si>
  <si>
    <t>020</t>
  </si>
  <si>
    <t>0190-29856</t>
  </si>
  <si>
    <t>4388426900469X</t>
  </si>
  <si>
    <t>900469</t>
  </si>
  <si>
    <t>703688802</t>
  </si>
  <si>
    <t>INV.703688802_x000D_
4388425902176M-004-01 1EA 원상태 수출</t>
  </si>
  <si>
    <t>2820690585</t>
  </si>
  <si>
    <t>MANF ASSY PNEU VQ1000 32 VALVE W / EX420 DNET 32I/</t>
  </si>
  <si>
    <t>4388425902176M</t>
  </si>
  <si>
    <t>O J</t>
  </si>
  <si>
    <t>4388426900470X</t>
  </si>
  <si>
    <t>900470</t>
  </si>
  <si>
    <t>703688774</t>
  </si>
  <si>
    <t>INV.703688774</t>
  </si>
  <si>
    <t>3625414704</t>
  </si>
  <si>
    <t>202601281524</t>
  </si>
  <si>
    <t>FLANGE, ATM SEAL, VPS 3.0, HVM OLYMPIA</t>
  </si>
  <si>
    <t>0041-98565</t>
  </si>
  <si>
    <t>4388426900471X</t>
  </si>
  <si>
    <t>900471</t>
  </si>
  <si>
    <t>703688777</t>
  </si>
  <si>
    <t>INV.703688777</t>
  </si>
  <si>
    <t>1877606986</t>
  </si>
  <si>
    <t>PLATE, GAS DELIVERY, SOURCE</t>
  </si>
  <si>
    <t>E19338851</t>
  </si>
  <si>
    <t>4388426900472X</t>
  </si>
  <si>
    <t>900472</t>
  </si>
  <si>
    <t>703688776</t>
  </si>
  <si>
    <t>INV.703688776</t>
  </si>
  <si>
    <t>3625414730</t>
  </si>
  <si>
    <t>202601281526</t>
  </si>
  <si>
    <t>8108909000</t>
  </si>
  <si>
    <t>TITANIUM AND ARTICLES THEREOF, INCLUDING WASTE AND</t>
  </si>
  <si>
    <t>(C2)ESC TI SPHERICL WASHER</t>
  </si>
  <si>
    <t>0020-N2851</t>
  </si>
  <si>
    <t>4388426900473X</t>
  </si>
  <si>
    <t>900473</t>
  </si>
  <si>
    <t>703688779</t>
  </si>
  <si>
    <t>INV.703688779</t>
  </si>
  <si>
    <t>1877607395</t>
  </si>
  <si>
    <t>202601281529</t>
  </si>
  <si>
    <t>GENERATOR G2.1, 6KW HF RF</t>
  </si>
  <si>
    <t>0190-85181</t>
  </si>
  <si>
    <t>4388426900474X</t>
  </si>
  <si>
    <t>900474</t>
  </si>
  <si>
    <t>703688780</t>
  </si>
  <si>
    <t>INV.703688780</t>
  </si>
  <si>
    <t>3625415312</t>
  </si>
  <si>
    <t>KIT,EXHAUST,ROOF</t>
  </si>
  <si>
    <t>E11451320</t>
  </si>
  <si>
    <t>4388426900475X</t>
  </si>
  <si>
    <t>900475</t>
  </si>
  <si>
    <t>703688782</t>
  </si>
  <si>
    <t>INV.703688782</t>
  </si>
  <si>
    <t>1877607756</t>
  </si>
  <si>
    <t>MULTI AXES MOTION CONTRO L BOARD MC-800B</t>
  </si>
  <si>
    <t>0190-D1741</t>
  </si>
  <si>
    <t>4388426900476X</t>
  </si>
  <si>
    <t>900476</t>
  </si>
  <si>
    <t>FRAPPLIE0003S</t>
  </si>
  <si>
    <t>FRANCE</t>
  </si>
  <si>
    <t>703688783</t>
  </si>
  <si>
    <t>INV.703688783</t>
  </si>
  <si>
    <t>2820685313</t>
  </si>
  <si>
    <t>202601281533</t>
  </si>
  <si>
    <t>BLOCK,INTERFACE,VARIABLE APERTURE</t>
  </si>
  <si>
    <t>E17344750</t>
  </si>
  <si>
    <t>4388426900477X</t>
  </si>
  <si>
    <t>900477</t>
  </si>
  <si>
    <t>703688785</t>
  </si>
  <si>
    <t>INV.703688785</t>
  </si>
  <si>
    <t>2820685792</t>
  </si>
  <si>
    <t>LIFT PIN CERAMIC NOTCHED 300MM HDPCVD</t>
  </si>
  <si>
    <t>0200-07474</t>
  </si>
  <si>
    <t>4388426900478X</t>
  </si>
  <si>
    <t>900478</t>
  </si>
  <si>
    <t>703688786</t>
  </si>
  <si>
    <t>INV.703688786</t>
  </si>
  <si>
    <t>2820686746</t>
  </si>
  <si>
    <t>202601281549</t>
  </si>
  <si>
    <t>RFS, FLOW  WATER, 4  GPM, 5 SEC DELAY SS</t>
  </si>
  <si>
    <t>0190-28703</t>
  </si>
  <si>
    <t>4388426900479X</t>
  </si>
  <si>
    <t>900479</t>
  </si>
  <si>
    <t>703688787</t>
  </si>
  <si>
    <t>INV.703688787</t>
  </si>
  <si>
    <t>2820686761</t>
  </si>
  <si>
    <t>202601281537</t>
  </si>
  <si>
    <t>3700-06613</t>
  </si>
  <si>
    <t>4388426900480X</t>
  </si>
  <si>
    <t>900480</t>
  </si>
  <si>
    <t>703688789</t>
  </si>
  <si>
    <t>INV.703688789</t>
  </si>
  <si>
    <t>8452232714</t>
  </si>
  <si>
    <t>ASSEMBLY, SERVER SM 1U 2.33-8GB-500GB-HW</t>
  </si>
  <si>
    <t>0090-08212</t>
  </si>
  <si>
    <t>4388426900481X</t>
  </si>
  <si>
    <t>900481</t>
  </si>
  <si>
    <t>703688791</t>
  </si>
  <si>
    <t>INV.703688791</t>
  </si>
  <si>
    <t>2820687181</t>
  </si>
  <si>
    <t xml:space="preserve">BLOCK, VALVE, RING GAS	</t>
  </si>
  <si>
    <t>E170159330</t>
  </si>
  <si>
    <t>BLOCK, VALVE, RING GAS</t>
  </si>
  <si>
    <t>4388426900482X</t>
  </si>
  <si>
    <t>900482</t>
  </si>
  <si>
    <t>703688792</t>
  </si>
  <si>
    <t>INV.703688792</t>
  </si>
  <si>
    <t>2820687380</t>
  </si>
  <si>
    <t>202601281541</t>
  </si>
  <si>
    <t>WASHER, INSULATING, CERAMIC</t>
  </si>
  <si>
    <t>0200-10263</t>
  </si>
  <si>
    <t>4388426900483X</t>
  </si>
  <si>
    <t>900483</t>
  </si>
  <si>
    <t>703688793</t>
  </si>
  <si>
    <t>INV.703688793</t>
  </si>
  <si>
    <t>8452232950</t>
  </si>
  <si>
    <t>4388426900484X</t>
  </si>
  <si>
    <t>900484</t>
  </si>
  <si>
    <t>703688795</t>
  </si>
  <si>
    <t>INV.703688795</t>
  </si>
  <si>
    <t>2820687973</t>
  </si>
  <si>
    <t>4388426900485X</t>
  </si>
  <si>
    <t>900485</t>
  </si>
  <si>
    <t>703688796</t>
  </si>
  <si>
    <t>INV.703688796</t>
  </si>
  <si>
    <t>2820689104</t>
  </si>
  <si>
    <t>202601281545</t>
  </si>
  <si>
    <t>4388426900486X</t>
  </si>
  <si>
    <t>900486</t>
  </si>
  <si>
    <t>703688797</t>
  </si>
  <si>
    <t>INV.703688797</t>
  </si>
  <si>
    <t>2820689270</t>
  </si>
  <si>
    <t>4388426900487X</t>
  </si>
  <si>
    <t>900487</t>
  </si>
  <si>
    <t>703688798</t>
  </si>
  <si>
    <t>INV.703688798</t>
  </si>
  <si>
    <t>2820689314</t>
  </si>
  <si>
    <t>4388426900488X</t>
  </si>
  <si>
    <t>900488</t>
  </si>
  <si>
    <t>703688799</t>
  </si>
  <si>
    <t>INV.703688799</t>
  </si>
  <si>
    <t>2820689594</t>
  </si>
  <si>
    <t>202601281551</t>
  </si>
  <si>
    <t>8414599000</t>
  </si>
  <si>
    <t>OTHER FANS</t>
  </si>
  <si>
    <t>ASSY, 24VDC 40MM X 15MM COOLING FAN W/LO</t>
  </si>
  <si>
    <t>0090-04952</t>
  </si>
  <si>
    <t>4388426900489X</t>
  </si>
  <si>
    <t>900489</t>
  </si>
  <si>
    <t>703688800</t>
  </si>
  <si>
    <t>INV.703688800</t>
  </si>
  <si>
    <t>2820689631</t>
  </si>
  <si>
    <t>RESOLVER,BRUSHLESS,+/-7 MIN,125 DEG C</t>
  </si>
  <si>
    <t>KN</t>
  </si>
  <si>
    <t>E60000032</t>
  </si>
  <si>
    <t>4388426900490X</t>
  </si>
  <si>
    <t>900490</t>
  </si>
  <si>
    <t>703688803</t>
  </si>
  <si>
    <t>INV.703688803</t>
  </si>
  <si>
    <t>2820690740</t>
  </si>
  <si>
    <t>4388426900494X</t>
  </si>
  <si>
    <t>900494</t>
  </si>
  <si>
    <t>TWFOXAUT0004Y</t>
  </si>
  <si>
    <t>FOX AUTOMATION TECHNOLOGY INC</t>
  </si>
  <si>
    <t>703690624</t>
  </si>
  <si>
    <t>2026-01-29 09:03:08</t>
  </si>
  <si>
    <t>INV.703690624</t>
  </si>
  <si>
    <t>3483578921</t>
  </si>
  <si>
    <t>202601290908</t>
  </si>
  <si>
    <t>MEMBRANE, 7-ZONE, 300MM TITAN</t>
  </si>
  <si>
    <t>0030-00840</t>
  </si>
  <si>
    <t>4388426900495X</t>
  </si>
  <si>
    <t>900495</t>
  </si>
  <si>
    <t>703690651</t>
  </si>
  <si>
    <t>2026-01-29 09:25:23</t>
  </si>
  <si>
    <t>INV.703690651_x000D_
4388426700274M-001-01 1EA 원상태 수출</t>
  </si>
  <si>
    <t>I272456</t>
  </si>
  <si>
    <t>202601291021</t>
  </si>
  <si>
    <t>SAT ASSY SCAN &amp; TIMMING PV10</t>
  </si>
  <si>
    <t>4388426700274M</t>
  </si>
  <si>
    <t>0090-C2420W</t>
  </si>
  <si>
    <t>SAT ASSY Scan &amp; Timming PV10</t>
  </si>
  <si>
    <t>4388426900497X</t>
  </si>
  <si>
    <t>900497</t>
  </si>
  <si>
    <t>703690652</t>
  </si>
  <si>
    <t>2026-01-29 11:25:56</t>
  </si>
  <si>
    <t>INV.703690652_x000D_
4388426901795M-002-01 1EA 원상태 수출</t>
  </si>
  <si>
    <t>I272460</t>
  </si>
  <si>
    <t>202601291356</t>
  </si>
  <si>
    <t>8418692090</t>
  </si>
  <si>
    <t>OTHER REFRIGERATING OR FREEZING EQUIPMENT</t>
  </si>
  <si>
    <t>W',CHILLER,CRYO,MIXED REFRIGERANT,GEN2</t>
  </si>
  <si>
    <t>4388426901795M</t>
  </si>
  <si>
    <t>E30001024W</t>
  </si>
  <si>
    <t>4388426900498X</t>
  </si>
  <si>
    <t>900498</t>
  </si>
  <si>
    <t>703690645</t>
  </si>
  <si>
    <t>2026-01-29 11:41:42</t>
  </si>
  <si>
    <t>INV.703690645</t>
  </si>
  <si>
    <t>5442040284</t>
  </si>
  <si>
    <t>USED MULTI-PHASE AC MOTORS OF AN OUTPUT NOT EXCEED</t>
  </si>
  <si>
    <t>SANYO DENKI Z-AXIS ACTUATOR WITH MOTOR M</t>
  </si>
  <si>
    <t>0190-28904R</t>
  </si>
  <si>
    <t>S/N.091630004RA</t>
  </si>
  <si>
    <t>4388426900504X</t>
  </si>
  <si>
    <t>900504</t>
  </si>
  <si>
    <t>703690910</t>
  </si>
  <si>
    <t>2026-01-29 17:10:48</t>
  </si>
  <si>
    <t>INV.703690910</t>
  </si>
  <si>
    <t>I273118</t>
  </si>
  <si>
    <t>202601291722</t>
  </si>
  <si>
    <t>ASSEMBLY, PRODUCER GT X2 MVATPROFILE KA</t>
  </si>
  <si>
    <t>0010-78140</t>
  </si>
  <si>
    <t>ASSEMBLY, PRODUCER GT X2 MVAT PROFILE KA</t>
  </si>
  <si>
    <t>4388426900505X</t>
  </si>
  <si>
    <t>900505</t>
  </si>
  <si>
    <t>703691454,703691477</t>
  </si>
  <si>
    <t>INV.703691454,703691477</t>
  </si>
  <si>
    <t>I274702</t>
  </si>
  <si>
    <t>8412390000</t>
  </si>
  <si>
    <t>703691454</t>
  </si>
  <si>
    <t>OTHER PNEUMATIC POWER ENGINES AND MOTORS</t>
  </si>
  <si>
    <t>LOADPORT,TDK J1,ACTUATOR</t>
  </si>
  <si>
    <t>E19342270</t>
  </si>
  <si>
    <t>4388426900506X</t>
  </si>
  <si>
    <t>900506</t>
  </si>
  <si>
    <t>703691475</t>
  </si>
  <si>
    <t>INV.703691475</t>
  </si>
  <si>
    <t>I274708</t>
  </si>
  <si>
    <t>202601291727</t>
  </si>
  <si>
    <t>4388426900507X</t>
  </si>
  <si>
    <t>900507</t>
  </si>
  <si>
    <t>703691479</t>
  </si>
  <si>
    <t>2026-01-30 08:33:24</t>
  </si>
  <si>
    <t>INV.703691479</t>
  </si>
  <si>
    <t>I274709</t>
  </si>
  <si>
    <t>202601300903</t>
  </si>
  <si>
    <t>ASSY SENSOR WAFER SM312C V2</t>
  </si>
  <si>
    <t>0090-20105</t>
  </si>
  <si>
    <t>4388426900508X</t>
  </si>
  <si>
    <t>900508</t>
  </si>
  <si>
    <t>703691473</t>
  </si>
  <si>
    <t>INV.703691473</t>
  </si>
  <si>
    <t>7196107612</t>
  </si>
  <si>
    <t>3700-00175</t>
  </si>
  <si>
    <t>4388426900510X</t>
  </si>
  <si>
    <t>900510</t>
  </si>
  <si>
    <t>703691474</t>
  </si>
  <si>
    <t>INV.703691474</t>
  </si>
  <si>
    <t>7739137232</t>
  </si>
  <si>
    <t>SCR CAP HD HEX SKT 6-32 X.750LG ASME B1</t>
  </si>
  <si>
    <t>3690-02137</t>
  </si>
  <si>
    <t>4388426900511X</t>
  </si>
  <si>
    <t>900511</t>
  </si>
  <si>
    <t>703691476</t>
  </si>
  <si>
    <t>INV.703691476</t>
  </si>
  <si>
    <t>7196109933</t>
  </si>
  <si>
    <t>SEMICONDUCTOR DEVICES TRANSPORTING MACHINES</t>
  </si>
  <si>
    <t>W' ROBOT, 2-AXIS, SCARA, MAG9, 7.6" LINK</t>
  </si>
  <si>
    <t>E40004311</t>
  </si>
  <si>
    <t>W' Robot, 2-axis, SCARA, Mag9, 7.6" Links</t>
  </si>
  <si>
    <t>4388426900512X</t>
  </si>
  <si>
    <t>900512</t>
  </si>
  <si>
    <t>703691652</t>
  </si>
  <si>
    <t>2026-01-29 18:05:06</t>
  </si>
  <si>
    <t>INV.703691652_x000D_
전략물자포괄수출허가번호:7008282412030788</t>
  </si>
  <si>
    <t>3884190030</t>
  </si>
  <si>
    <t>4388426900513X</t>
  </si>
  <si>
    <t>900513</t>
  </si>
  <si>
    <t>703691641</t>
  </si>
  <si>
    <t>INV.703691641</t>
  </si>
  <si>
    <t>3884185793</t>
  </si>
  <si>
    <t>202601300918</t>
  </si>
  <si>
    <t>4388426900514X</t>
  </si>
  <si>
    <t>900514</t>
  </si>
  <si>
    <t>703691645</t>
  </si>
  <si>
    <t>INV.703691645</t>
  </si>
  <si>
    <t>3884187204</t>
  </si>
  <si>
    <t>BROADWELL DU BLADE SERVER</t>
  </si>
  <si>
    <t>0190-D9182B</t>
  </si>
  <si>
    <t>Broadwell DU Blade Server</t>
  </si>
  <si>
    <t>4388426900515X</t>
  </si>
  <si>
    <t>900515</t>
  </si>
  <si>
    <t>703691647</t>
  </si>
  <si>
    <t>INV.703691647</t>
  </si>
  <si>
    <t>3884187775</t>
  </si>
  <si>
    <t>ASSY, ACTUATOR-BELLOWS, CATHODE, HB, TE</t>
  </si>
  <si>
    <t>0010-67414B</t>
  </si>
  <si>
    <t>4388426900516X</t>
  </si>
  <si>
    <t>900516</t>
  </si>
  <si>
    <t>703691649</t>
  </si>
  <si>
    <t>INV.703691649</t>
  </si>
  <si>
    <t>3884188733</t>
  </si>
  <si>
    <t>202601300922</t>
  </si>
  <si>
    <t>4-PORT DNET UPA, C-SIDE, REFLEXION LK/LK</t>
  </si>
  <si>
    <t>0190-75569B</t>
  </si>
  <si>
    <t>4388426900517X</t>
  </si>
  <si>
    <t>900517</t>
  </si>
  <si>
    <t>703691642</t>
  </si>
  <si>
    <t>INV.703691642</t>
  </si>
  <si>
    <t>3884191850</t>
  </si>
  <si>
    <t>202601300944</t>
  </si>
  <si>
    <t>AC-DC CONVERTER,380VDC</t>
  </si>
  <si>
    <t>0730-00478B</t>
  </si>
  <si>
    <t>4388426900518X</t>
  </si>
  <si>
    <t>900518</t>
  </si>
  <si>
    <t>703693327</t>
  </si>
  <si>
    <t>2026-01-30 10:06:05</t>
  </si>
  <si>
    <t>INV.703693327_x000D_
4388426301119M-006-01 1EA 원상태 수출</t>
  </si>
  <si>
    <t>I283991</t>
  </si>
  <si>
    <t>202601301021</t>
  </si>
  <si>
    <t>DOSE CONTROLLER ASSY. XP W COTO RELAYS</t>
  </si>
  <si>
    <t>4388426301119M</t>
  </si>
  <si>
    <t>E11315331</t>
  </si>
  <si>
    <t>4388426900519X</t>
  </si>
  <si>
    <t>900519</t>
  </si>
  <si>
    <t>703693329</t>
  </si>
  <si>
    <t>INV.703693329</t>
  </si>
  <si>
    <t>I283989</t>
  </si>
  <si>
    <t>202601301012</t>
  </si>
  <si>
    <t>4388426900520X</t>
  </si>
  <si>
    <t>900520</t>
  </si>
  <si>
    <t>703693283</t>
  </si>
  <si>
    <t>2026-01-30 10:12:39</t>
  </si>
  <si>
    <t>INV.703693283</t>
  </si>
  <si>
    <t>4966040181</t>
  </si>
  <si>
    <t>202601301016</t>
  </si>
  <si>
    <t>S/N.XB2151</t>
  </si>
  <si>
    <t>4388426900522X</t>
  </si>
  <si>
    <t>900522</t>
  </si>
  <si>
    <t>FIPICOSU0001Z</t>
  </si>
  <si>
    <t>PICOSUN OY</t>
  </si>
  <si>
    <t>FI</t>
  </si>
  <si>
    <t>FINLAND</t>
  </si>
  <si>
    <t>KR26010176</t>
  </si>
  <si>
    <t>2026-01-30 11:09:49</t>
  </si>
  <si>
    <t>INV.KR26010176</t>
  </si>
  <si>
    <t>I285522</t>
  </si>
  <si>
    <t>202601301113</t>
  </si>
  <si>
    <t>8542900000</t>
  </si>
  <si>
    <t>PARTS FOR ELECTRONIC INTEGRATED CIRCUITS</t>
  </si>
  <si>
    <t>300MM PRODUCTION SILICON WAFER (12")</t>
  </si>
  <si>
    <t>WAF015-12</t>
  </si>
  <si>
    <t>300mm production silicon wafer (12")</t>
  </si>
  <si>
    <t>4388426900524X</t>
  </si>
  <si>
    <t>900524</t>
  </si>
  <si>
    <t>703693441</t>
  </si>
  <si>
    <t>2026-01-30 11:46:45</t>
  </si>
  <si>
    <t>INV.703693441_x000D_
4388426900094M-001-01 1EA 원상태 수출</t>
  </si>
  <si>
    <t>I284464</t>
  </si>
  <si>
    <t>202601301401</t>
  </si>
  <si>
    <t>SPECIFICATION, VACUUM ROBOTCONTROLLER</t>
  </si>
  <si>
    <t>4388426900094M</t>
  </si>
  <si>
    <t>0190-46858W</t>
  </si>
  <si>
    <t>4388426900525X</t>
  </si>
  <si>
    <t>900525</t>
  </si>
  <si>
    <t>703693427</t>
  </si>
  <si>
    <t>INV.703693427_x000D_
43884-26-900526X 동시포장</t>
  </si>
  <si>
    <t>I284437</t>
  </si>
  <si>
    <t>GASLINE, FEEDTHRU#4, SPIRAL, ALD/CVD</t>
  </si>
  <si>
    <t>0051-67955</t>
  </si>
  <si>
    <t>4388426900526X</t>
  </si>
  <si>
    <t>900526</t>
  </si>
  <si>
    <t>INV.703693427_x000D_
43884-26-900525X 동시포장_x000D_
4388425919819M-010-01 1EA 원상태 수출_x000D_
4388425920315M-013-01 1EA 원상태 수출</t>
  </si>
  <si>
    <t>202601301317</t>
  </si>
  <si>
    <t>RF GENERATOR, 27.12MHZ-3000W ECAT PULSE HF RF PROD</t>
  </si>
  <si>
    <t>4388425919819M</t>
  </si>
  <si>
    <t>0190-98729</t>
  </si>
  <si>
    <t>RF GENERATOR, 27.12MHz-3000W ECAT PULSE HF RF PROD</t>
  </si>
  <si>
    <t>CER PRECISION</t>
  </si>
  <si>
    <t>4388426900527X</t>
  </si>
  <si>
    <t>900527</t>
  </si>
  <si>
    <t>703693428</t>
  </si>
  <si>
    <t>INV.703693428</t>
  </si>
  <si>
    <t>I284443</t>
  </si>
  <si>
    <t>202601301207</t>
  </si>
  <si>
    <t>NETWK SWITCH, ENET 5 PORT  10/100BASE T</t>
  </si>
  <si>
    <t>1110-00142</t>
  </si>
  <si>
    <t>4388426900528X</t>
  </si>
  <si>
    <t>900528</t>
  </si>
  <si>
    <t>703693430,703693431</t>
  </si>
  <si>
    <t>INV.703693430,703693431</t>
  </si>
  <si>
    <t>I284451</t>
  </si>
  <si>
    <t>703693430</t>
  </si>
  <si>
    <t>INPUT MANIFOLD, TOP, 2-LIQUID, PRODUCER</t>
  </si>
  <si>
    <t>0041-79836</t>
  </si>
  <si>
    <t>4388426900529X</t>
  </si>
  <si>
    <t>900529</t>
  </si>
  <si>
    <t>703693433</t>
  </si>
  <si>
    <t>INV.703693433</t>
  </si>
  <si>
    <t>I284463</t>
  </si>
  <si>
    <t>LOADPORT, STANDARD 300MM</t>
  </si>
  <si>
    <t>0190-61471</t>
  </si>
  <si>
    <t>4388426900530X</t>
  </si>
  <si>
    <t>900530</t>
  </si>
  <si>
    <t>703693434</t>
  </si>
  <si>
    <t>INV.703693434</t>
  </si>
  <si>
    <t>I284452</t>
  </si>
  <si>
    <t>202601301212</t>
  </si>
  <si>
    <t>7419809000</t>
  </si>
  <si>
    <t>OTHERR COPPER ARTICLES</t>
  </si>
  <si>
    <t>ORF DUAL .013ID 1/16 BARB 100PSIG BRS</t>
  </si>
  <si>
    <t>3510-00520</t>
  </si>
  <si>
    <t>4388426900531X</t>
  </si>
  <si>
    <t>900531</t>
  </si>
  <si>
    <t>703693445</t>
  </si>
  <si>
    <t>INV.703693445</t>
  </si>
  <si>
    <t>I284453</t>
  </si>
  <si>
    <t>3917339000</t>
  </si>
  <si>
    <t>TUBING COIL - SPRAY GUN</t>
  </si>
  <si>
    <t>0190-53191</t>
  </si>
  <si>
    <t>4388426900532X</t>
  </si>
  <si>
    <t>900532</t>
  </si>
  <si>
    <t>703693446</t>
  </si>
  <si>
    <t>INV.703693446</t>
  </si>
  <si>
    <t>I284454</t>
  </si>
  <si>
    <t>BRACKET, CARRIAGE, PIN LIFT, PRODUCER SE</t>
  </si>
  <si>
    <t>0041-14162</t>
  </si>
  <si>
    <t>4388426900539X</t>
  </si>
  <si>
    <t>900539</t>
  </si>
  <si>
    <t>703693875</t>
  </si>
  <si>
    <t>2026-01-30 15:36:37</t>
  </si>
  <si>
    <t>INV.703693875</t>
  </si>
  <si>
    <t>6780101344</t>
  </si>
  <si>
    <t>202601301543</t>
  </si>
  <si>
    <t>LINER, SIDE GDP</t>
  </si>
  <si>
    <t>0200-29579</t>
  </si>
  <si>
    <t>4388426900540X</t>
  </si>
  <si>
    <t>900540</t>
  </si>
  <si>
    <t>703693876</t>
  </si>
  <si>
    <t>INV.703693876</t>
  </si>
  <si>
    <t>2802595224</t>
  </si>
  <si>
    <t>HARNESS ASSY,LLC A WAFER MAPSENSE L/R,</t>
  </si>
  <si>
    <t>0140-20253</t>
  </si>
  <si>
    <t>4388426900541X</t>
  </si>
  <si>
    <t>900541</t>
  </si>
  <si>
    <t>703693882</t>
  </si>
  <si>
    <t>INV.703693882</t>
  </si>
  <si>
    <t>6780103035</t>
  </si>
  <si>
    <t>WELDMENT WF6 NF3 AR WF6 DIV.MANIFOLD</t>
  </si>
  <si>
    <t>0051-12198</t>
  </si>
  <si>
    <t>4388426900542X</t>
  </si>
  <si>
    <t>900542</t>
  </si>
  <si>
    <t>703693881</t>
  </si>
  <si>
    <t>2026-01-30 15:37:06</t>
  </si>
  <si>
    <t>INV.703693881</t>
  </si>
  <si>
    <t>I285969</t>
  </si>
  <si>
    <t>202601301544</t>
  </si>
  <si>
    <t>ESC ASSY, 300MM, DUAL ELECTRODE, IA</t>
  </si>
  <si>
    <t>0010-16392</t>
  </si>
  <si>
    <t>4388426900544X</t>
  </si>
  <si>
    <t>900544</t>
  </si>
  <si>
    <t>703693793</t>
  </si>
  <si>
    <t>2026-01-30 16:54:07</t>
  </si>
  <si>
    <t>INV.703693793_x000D_
43884-26-900545X 동시포장</t>
  </si>
  <si>
    <t>CHAMBER, UPPER, DPS A3</t>
  </si>
  <si>
    <t>0020-33806</t>
  </si>
  <si>
    <t>4388426900545X</t>
  </si>
  <si>
    <t>900545</t>
  </si>
  <si>
    <t>INV.703693793_x000D_
43884-26-900544X 동시포장_x000D_
4388425709695M-008-02 1EA 원상태 수출_x000D_
4388426300468M-009-01 1EA 원상태 수출</t>
  </si>
  <si>
    <t>202601301740</t>
  </si>
  <si>
    <t>X SONY ENCODER KIT RULLER,WIREDHEAD&amp;AMP</t>
  </si>
  <si>
    <t>4388425709695M</t>
  </si>
  <si>
    <t>0190-B3652-010</t>
  </si>
  <si>
    <t>X Sony Encoder Kit Ruller,WiredHead&amp;Amp</t>
  </si>
  <si>
    <t>4388426900546X</t>
  </si>
  <si>
    <t>900546</t>
  </si>
  <si>
    <t>703693804</t>
  </si>
  <si>
    <t>INV.703693804_x000D_
4388425312560M-011-01 1EA 원상태 수출</t>
  </si>
  <si>
    <t>LF GEN, 350KHZ, 4CH, 1000W, PSM</t>
  </si>
  <si>
    <t>4388425312560M</t>
  </si>
  <si>
    <t>PL</t>
  </si>
  <si>
    <t>0190-94559</t>
  </si>
  <si>
    <t>4388426900547X</t>
  </si>
  <si>
    <t>900547</t>
  </si>
  <si>
    <t>703693796</t>
  </si>
  <si>
    <t>INV.703693796</t>
  </si>
  <si>
    <t>202601301725</t>
  </si>
  <si>
    <t>CABLE ASSEMBLY SAFTY SWITCH JUMPER</t>
  </si>
  <si>
    <t>0150-10063</t>
  </si>
  <si>
    <t>Cable Assembly Safty switch Jumper</t>
  </si>
  <si>
    <t>4388426900549X</t>
  </si>
  <si>
    <t>900549</t>
  </si>
  <si>
    <t>703693899</t>
  </si>
  <si>
    <t>2026-01-30 17:12:09</t>
  </si>
  <si>
    <t>INV.703693899</t>
  </si>
  <si>
    <t>202601301744</t>
  </si>
  <si>
    <t>MFC, D514MG-CS, 14C3, 3014-M, O2, 1000 S</t>
  </si>
  <si>
    <t>0190-47192B</t>
  </si>
  <si>
    <t>4388426900550X</t>
  </si>
  <si>
    <t>900550</t>
  </si>
  <si>
    <t>703693901</t>
  </si>
  <si>
    <t>INV.703693901</t>
  </si>
  <si>
    <t>4388426900551X</t>
  </si>
  <si>
    <t>900551</t>
  </si>
  <si>
    <t>703693906</t>
  </si>
  <si>
    <t>INV.703693906</t>
  </si>
  <si>
    <t>LFS SYSTEM</t>
  </si>
  <si>
    <t>0520-A0780B</t>
  </si>
  <si>
    <t>4388426900552X</t>
  </si>
  <si>
    <t>900552</t>
  </si>
  <si>
    <t>703693916</t>
  </si>
  <si>
    <t>INV.703693916</t>
  </si>
  <si>
    <t>202601301747</t>
  </si>
  <si>
    <t>BOARD ASSY CCS2/DR</t>
  </si>
  <si>
    <t>0100-A3911B</t>
  </si>
  <si>
    <t>4388426900553X</t>
  </si>
  <si>
    <t>900553</t>
  </si>
  <si>
    <t>703693925</t>
  </si>
  <si>
    <t>INV.703693925</t>
  </si>
  <si>
    <t>4388426900554X</t>
  </si>
  <si>
    <t>900554</t>
  </si>
  <si>
    <t>703693979</t>
  </si>
  <si>
    <t>2026-01-30 18:06:03</t>
  </si>
  <si>
    <t>INV.703693979</t>
  </si>
  <si>
    <t>202601301829</t>
  </si>
  <si>
    <t>BOTTOM RF TUNER, ANALOG, LF TERMINATION,</t>
  </si>
  <si>
    <t>0190-43295R</t>
  </si>
  <si>
    <t>S/N.1224514</t>
  </si>
  <si>
    <t>4388426300523X</t>
  </si>
  <si>
    <t>E4</t>
  </si>
  <si>
    <t>300523</t>
  </si>
  <si>
    <t>디에이치엘글로벌포워딩코리아</t>
  </si>
  <si>
    <t>703695518</t>
  </si>
  <si>
    <t>2026-01-31 14:14:18</t>
  </si>
  <si>
    <t>INV.703695518</t>
  </si>
  <si>
    <t>I294073</t>
  </si>
  <si>
    <t>인천 중구 공항동로 295번길124</t>
  </si>
  <si>
    <t>202601311416</t>
  </si>
  <si>
    <t>3700-09183</t>
  </si>
  <si>
    <t>4388426300524X</t>
  </si>
  <si>
    <t>300524</t>
  </si>
  <si>
    <t>703695562</t>
  </si>
  <si>
    <t>2026-01-31 16:55:36</t>
  </si>
  <si>
    <t>INV.703695562</t>
  </si>
  <si>
    <t>I294169</t>
  </si>
  <si>
    <t>202601311656</t>
  </si>
  <si>
    <t>HARNESS ASSEMBLY, P/C CHAMBER, RIGHT ROU</t>
  </si>
  <si>
    <t>0140-31930</t>
  </si>
  <si>
    <t>4388426300525X</t>
  </si>
  <si>
    <t>300525</t>
  </si>
  <si>
    <t>703695563</t>
  </si>
  <si>
    <t>INV.703695563</t>
  </si>
  <si>
    <t>I294166</t>
  </si>
  <si>
    <t>ROBOT, KGH2, PKC, 350MM VGEE,STD,BTM-MOU</t>
  </si>
  <si>
    <t>0190-81225W</t>
  </si>
  <si>
    <t>4388426300526X</t>
  </si>
  <si>
    <t>300526</t>
  </si>
  <si>
    <t>703695564</t>
  </si>
  <si>
    <t>INV.703695564</t>
  </si>
  <si>
    <t>I294172</t>
  </si>
  <si>
    <t>MIN CONTACT SINGLE BLOCKER PLATE, PRECIS</t>
  </si>
  <si>
    <t>0042-02000</t>
  </si>
  <si>
    <t>4388426300527X</t>
  </si>
  <si>
    <t>300527</t>
  </si>
  <si>
    <t>703695565</t>
  </si>
  <si>
    <t>INV.703695565</t>
  </si>
  <si>
    <t>I294168</t>
  </si>
  <si>
    <t>GAS BLOCK, CHAMBER, REAR, SYM3</t>
  </si>
  <si>
    <t>0051-87145</t>
  </si>
  <si>
    <t>4388426300528X</t>
  </si>
  <si>
    <t>300528</t>
  </si>
  <si>
    <t>703695567</t>
  </si>
  <si>
    <t>INV.703695567</t>
  </si>
  <si>
    <t>I294170</t>
  </si>
  <si>
    <t>SPECIFICATION, DURON 09 LIP SEAL, CUSTOM</t>
  </si>
  <si>
    <t>0190-33366</t>
  </si>
  <si>
    <t>4388426300529X</t>
  </si>
  <si>
    <t>300529</t>
  </si>
  <si>
    <t>703695568</t>
  </si>
  <si>
    <t>INV.703695568</t>
  </si>
  <si>
    <t>I294174</t>
  </si>
  <si>
    <t>4388426300530X</t>
  </si>
  <si>
    <t>300530</t>
  </si>
  <si>
    <t>703695569</t>
  </si>
  <si>
    <t>INV.703695569</t>
  </si>
  <si>
    <t>I294171</t>
  </si>
  <si>
    <t>WINDOW CLAMP, LOWER, TZEUV</t>
  </si>
  <si>
    <t>0041-92405</t>
  </si>
  <si>
    <t>4388426300531X</t>
  </si>
  <si>
    <t>300531</t>
  </si>
  <si>
    <t>703695776</t>
  </si>
  <si>
    <t>INV.703695776</t>
  </si>
  <si>
    <t>I294817</t>
  </si>
  <si>
    <t>202601311904</t>
  </si>
  <si>
    <t>PRIMEVISION3 COLUMN V3 W/LINER PVI(7)</t>
  </si>
  <si>
    <t>0197-A0530W</t>
  </si>
  <si>
    <t>PrimeVision3 Column V3 w/Liner PVi(7)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</si>
</sst>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mmdd\ h:mm"/>
    <numFmt numFmtId="177" formatCode="dd\/hh:mm"/>
    <numFmt numFmtId="178" formatCode="0.0_ "/>
    <numFmt numFmtId="179" formatCode="_-* #,##0.00_-;\-* #,##0.00_-;_-* &quot;-&quot;_-;_-@_-"/>
    <numFmt numFmtId="180" formatCode="yyyymmdd\ hh:mm"/>
    <numFmt numFmtId="181" formatCode="[$-F400]h:mm:ss\ AM/PM"/>
  </numFmts>
  <fonts count="19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2"/>
      <color theme="1"/>
      <name val="Calibri"/>
      <family val="2"/>
      <charset val="129"/>
    </font>
    <font>
      <sz val="8"/>
      <name val="Calibri"/>
      <family val="2"/>
      <charset val="129"/>
    </font>
    <font>
      <sz val="11"/>
      <color theme="1"/>
      <name val="맑은 고딕"/>
      <family val="2"/>
      <charset val="128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12"/>
      <color theme="1"/>
      <name val="Arial"/>
      <family val="2"/>
    </font>
    <font>
      <sz val="6"/>
      <name val="ＭＳ Ｐゴシック"/>
      <family val="3"/>
      <charset val="128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3"/>
      <charset val="129"/>
    </font>
    <font>
      <sz val="10"/>
      <name val="돋움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6" fillId="0" borderId="0" xfId="1" applyFont="1"/>
    <xf numFmtId="2" fontId="16" fillId="3" borderId="1" xfId="1" applyNumberFormat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/>
    </xf>
    <xf numFmtId="178" fontId="17" fillId="0" borderId="1" xfId="1" applyNumberFormat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0" fontId="18" fillId="7" borderId="1" xfId="1" applyFont="1" applyFill="1" applyBorder="1" applyAlignment="1">
      <alignment horizontal="center" vertical="top"/>
    </xf>
    <xf numFmtId="0" fontId="7" fillId="0" borderId="0" xfId="1" applyFont="1" applyAlignment="1">
      <alignment vertical="top"/>
    </xf>
    <xf numFmtId="41" fontId="7" fillId="0" borderId="0" xfId="3" applyFont="1" applyFill="1" applyAlignment="1">
      <alignment horizontal="left" vertical="top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center" vertical="top"/>
    </xf>
    <xf numFmtId="0" fontId="12" fillId="0" borderId="1" xfId="1" applyFont="1" applyBorder="1" applyAlignment="1">
      <alignment horizontal="left" vertical="center"/>
    </xf>
    <xf numFmtId="0" fontId="7" fillId="0" borderId="0" xfId="1" applyFont="1" applyAlignment="1">
      <alignment vertical="center"/>
    </xf>
    <xf numFmtId="0" fontId="0" fillId="0" borderId="1" xfId="0" quotePrefix="1" applyBorder="1" applyAlignment="1">
      <alignment horizontal="center" vertical="center"/>
    </xf>
    <xf numFmtId="180" fontId="16" fillId="0" borderId="1" xfId="1" quotePrefix="1" applyNumberFormat="1" applyFont="1" applyBorder="1" applyAlignment="1">
      <alignment horizontal="center" vertical="center"/>
    </xf>
    <xf numFmtId="180" fontId="16" fillId="0" borderId="0" xfId="1" applyNumberFormat="1" applyFont="1" applyAlignment="1">
      <alignment horizontal="center"/>
    </xf>
    <xf numFmtId="0" fontId="0" fillId="0" borderId="1" xfId="0" quotePrefix="1" applyBorder="1" applyAlignment="1"/>
    <xf numFmtId="180" fontId="0" fillId="0" borderId="1" xfId="0" quotePrefix="1" applyNumberFormat="1" applyBorder="1" applyAlignment="1"/>
    <xf numFmtId="0" fontId="16" fillId="0" borderId="0" xfId="1" applyFont="1" applyAlignment="1">
      <alignment horizontal="center" vertical="center"/>
    </xf>
    <xf numFmtId="179" fontId="16" fillId="0" borderId="0" xfId="4" applyNumberFormat="1" applyFont="1" applyAlignment="1">
      <alignment horizontal="center"/>
    </xf>
    <xf numFmtId="179" fontId="15" fillId="4" borderId="2" xfId="4" applyNumberFormat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1" xfId="1" quotePrefix="1" applyFont="1" applyBorder="1" applyAlignment="1">
      <alignment horizontal="center" vertical="center"/>
    </xf>
    <xf numFmtId="0" fontId="16" fillId="0" borderId="1" xfId="1" applyFont="1" applyBorder="1" applyAlignment="1">
      <alignment horizontal="left"/>
    </xf>
    <xf numFmtId="0" fontId="16" fillId="0" borderId="0" xfId="1" applyFont="1" applyAlignment="1">
      <alignment horizontal="left"/>
    </xf>
    <xf numFmtId="179" fontId="16" fillId="8" borderId="1" xfId="4" applyNumberFormat="1" applyFont="1" applyFill="1" applyBorder="1" applyAlignment="1">
      <alignment horizontal="center"/>
    </xf>
    <xf numFmtId="0" fontId="0" fillId="0" borderId="0" xfId="0" quotePrefix="1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6" fillId="7" borderId="0" xfId="1" applyFont="1" applyFill="1"/>
    <xf numFmtId="0" fontId="0" fillId="7" borderId="0" xfId="0" quotePrefix="1" applyFill="1">
      <alignment vertical="center"/>
    </xf>
    <xf numFmtId="0" fontId="16" fillId="0" borderId="3" xfId="1" applyFont="1" applyBorder="1" applyAlignment="1">
      <alignment horizontal="center" vertical="center" wrapText="1"/>
    </xf>
    <xf numFmtId="0" fontId="0" fillId="0" borderId="1" xfId="0" quotePrefix="1" applyBorder="1">
      <alignment vertical="center"/>
    </xf>
    <xf numFmtId="0" fontId="0" fillId="0" borderId="0" xfId="0" quotePrefix="1" applyAlignment="1"/>
    <xf numFmtId="0" fontId="0" fillId="0" borderId="0" xfId="0" applyAlignment="1"/>
    <xf numFmtId="0" fontId="15" fillId="4" borderId="1" xfId="2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vertical="center"/>
    </xf>
    <xf numFmtId="181" fontId="0" fillId="0" borderId="0" xfId="0" applyNumberFormat="1">
      <alignment vertical="center"/>
    </xf>
    <xf numFmtId="181" fontId="0" fillId="7" borderId="0" xfId="0" applyNumberFormat="1" applyFill="1">
      <alignment vertical="center"/>
    </xf>
    <xf numFmtId="176" fontId="0" fillId="0" borderId="0" xfId="0" applyNumberFormat="1">
      <alignment vertical="center"/>
    </xf>
    <xf numFmtId="22" fontId="0" fillId="0" borderId="0" xfId="0" applyNumberFormat="1">
      <alignment vertical="center"/>
    </xf>
    <xf numFmtId="22" fontId="0" fillId="0" borderId="0" xfId="0" quotePrefix="1" applyNumberFormat="1">
      <alignment vertical="center"/>
    </xf>
    <xf numFmtId="181" fontId="0" fillId="0" borderId="0" xfId="0" quotePrefix="1" applyNumberFormat="1">
      <alignment vertical="center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</cellXfs>
  <cellStyles count="5">
    <cellStyle name="쉼표 [0]" xfId="4" builtinId="6"/>
    <cellStyle name="쉼표 [0] 2" xfId="3" xr:uid="{0B585710-8633-46CC-870E-A7EF759A0F0C}"/>
    <cellStyle name="표준" xfId="0" builtinId="0"/>
    <cellStyle name="표준 2" xfId="1" xr:uid="{7C6196A4-2084-4239-9185-E0771032AD3E}"/>
    <cellStyle name="표준 3" xfId="2" xr:uid="{3D6287A9-4E1C-40C1-A477-33DDDC2FD9A0}"/>
  </cellStyles>
  <dxfs count="3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A7A7"/>
      <color rgb="FFFFCCCC"/>
      <color rgb="FFC3F7BF"/>
      <color rgb="FFF8D7FD"/>
      <color rgb="FFF0B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atkr-my.sharepoint.com/Users/cudjang159376/Documents/Consulting/IM%2090%20days%20action%20plan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+ setup"/>
      <sheetName val="Action Plan"/>
      <sheetName val="Gantt Chart weekly"/>
      <sheetName val="Gantt Chart daily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7FB2-FBAD-479E-8D3B-F07ADE8FFAD3}">
  <sheetPr filterMode="1"/>
  <dimension ref="A1:G1702"/>
  <sheetViews>
    <sheetView topLeftCell="A1645" workbookViewId="0">
      <selection activeCell="A192" sqref="A192:XFD1686"/>
    </sheetView>
  </sheetViews>
  <sheetFormatPr defaultRowHeight="13.5"/>
  <cols>
    <col min="1" max="1" width="22" style="1" bestFit="1" customWidth="1"/>
    <col min="2" max="2" width="17" style="2" customWidth="1"/>
    <col min="3" max="3" width="19.5703125" style="2" customWidth="1"/>
    <col min="4" max="4" width="20.5703125" style="2" customWidth="1"/>
    <col min="5" max="5" width="20.42578125" style="2" customWidth="1"/>
    <col min="6" max="6" width="25.5703125" customWidth="1"/>
    <col min="7" max="7" width="42.42578125" customWidth="1"/>
  </cols>
  <sheetData>
    <row r="1" spans="1:7" s="1" customFormat="1">
      <c r="A1" s="4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4" t="s">
        <v>1707</v>
      </c>
      <c r="G1" s="1" t="s">
        <v>1748</v>
      </c>
    </row>
    <row r="2" spans="1:7" hidden="1">
      <c r="A2" s="1" t="s">
        <v>7</v>
      </c>
      <c r="B2" s="2">
        <v>45404</v>
      </c>
      <c r="C2" s="2">
        <v>45405.123530092591</v>
      </c>
      <c r="D2" s="2">
        <v>45405.342766203707</v>
      </c>
      <c r="E2" s="2">
        <v>45405.384606481479</v>
      </c>
      <c r="F2" s="3">
        <f>E2-C2</f>
        <v>0.26107638888788642</v>
      </c>
    </row>
    <row r="3" spans="1:7" hidden="1">
      <c r="A3" s="1" t="s">
        <v>8</v>
      </c>
      <c r="B3" s="2">
        <v>45404</v>
      </c>
      <c r="C3" s="2">
        <v>45405.123530092591</v>
      </c>
      <c r="D3" s="2">
        <v>45405.348657407405</v>
      </c>
      <c r="E3" s="2">
        <v>45405.390486111108</v>
      </c>
      <c r="F3" s="3">
        <f t="shared" ref="F3:F66" si="0">E3-C3</f>
        <v>0.26695601851679385</v>
      </c>
    </row>
    <row r="4" spans="1:7" hidden="1">
      <c r="A4" s="1" t="s">
        <v>9</v>
      </c>
      <c r="B4" s="2">
        <v>45404</v>
      </c>
      <c r="C4" s="2">
        <v>45405.421840277777</v>
      </c>
      <c r="D4" s="2">
        <v>45405.355081018519</v>
      </c>
      <c r="E4" s="2">
        <v>45405.372291666667</v>
      </c>
      <c r="F4" s="6" t="s">
        <v>1708</v>
      </c>
    </row>
    <row r="5" spans="1:7" hidden="1">
      <c r="A5" s="1" t="s">
        <v>10</v>
      </c>
      <c r="B5" s="2">
        <v>45404</v>
      </c>
      <c r="C5" s="2">
        <v>45405.421840277777</v>
      </c>
      <c r="D5" s="2">
        <v>45405.478252314817</v>
      </c>
      <c r="E5" s="2">
        <v>45405.664363425924</v>
      </c>
      <c r="F5" s="3">
        <f t="shared" si="0"/>
        <v>0.24252314814657439</v>
      </c>
    </row>
    <row r="6" spans="1:7" hidden="1">
      <c r="A6" s="1" t="s">
        <v>11</v>
      </c>
      <c r="B6" s="2">
        <v>45404</v>
      </c>
      <c r="C6" s="2">
        <v>45405.790023148147</v>
      </c>
      <c r="D6" s="2">
        <v>45405.785567129627</v>
      </c>
      <c r="E6" s="2">
        <v>45405.827314814815</v>
      </c>
      <c r="F6" s="3">
        <f t="shared" si="0"/>
        <v>3.7291666667442769E-2</v>
      </c>
    </row>
    <row r="7" spans="1:7" hidden="1">
      <c r="A7" s="1" t="s">
        <v>12</v>
      </c>
      <c r="B7" s="2">
        <v>45404</v>
      </c>
      <c r="C7" s="2">
        <v>45405.790023148147</v>
      </c>
      <c r="D7" s="2">
        <v>45405.789571759262</v>
      </c>
      <c r="E7" s="2">
        <v>45405.831400462965</v>
      </c>
      <c r="F7" s="3">
        <f t="shared" si="0"/>
        <v>4.1377314817509614E-2</v>
      </c>
    </row>
    <row r="8" spans="1:7" hidden="1">
      <c r="A8" s="1" t="s">
        <v>13</v>
      </c>
      <c r="B8" s="2">
        <v>45406</v>
      </c>
      <c r="C8" s="2">
        <v>45406.423680555556</v>
      </c>
      <c r="D8" s="2">
        <v>45406.347858796296</v>
      </c>
      <c r="E8" s="2">
        <v>45406.37332175926</v>
      </c>
      <c r="F8" s="6" t="s">
        <v>1708</v>
      </c>
    </row>
    <row r="9" spans="1:7" hidden="1">
      <c r="A9" s="1" t="s">
        <v>14</v>
      </c>
      <c r="B9" s="2">
        <v>45405</v>
      </c>
      <c r="C9" s="2">
        <v>45406.735034722224</v>
      </c>
      <c r="D9" s="2">
        <v>45406.585057870368</v>
      </c>
      <c r="E9" s="2">
        <v>45406.63721064815</v>
      </c>
      <c r="F9" s="6" t="s">
        <v>1708</v>
      </c>
    </row>
    <row r="10" spans="1:7" hidden="1">
      <c r="A10" s="1" t="s">
        <v>15</v>
      </c>
      <c r="B10" s="2">
        <v>45405</v>
      </c>
      <c r="C10" s="2">
        <v>45406.814363425925</v>
      </c>
      <c r="D10" s="2">
        <v>45406.785173611112</v>
      </c>
      <c r="E10" s="2">
        <v>45406.790300925924</v>
      </c>
      <c r="F10" s="6" t="s">
        <v>1708</v>
      </c>
    </row>
    <row r="11" spans="1:7" hidden="1">
      <c r="A11" s="1" t="s">
        <v>16</v>
      </c>
      <c r="B11" s="2">
        <v>45405</v>
      </c>
      <c r="C11" s="2">
        <v>45406.814363425925</v>
      </c>
      <c r="D11" s="2">
        <v>45406.790960648148</v>
      </c>
      <c r="E11" s="2">
        <v>45406.828449074077</v>
      </c>
      <c r="F11" s="3">
        <f t="shared" si="0"/>
        <v>1.4085648152104113E-2</v>
      </c>
    </row>
    <row r="12" spans="1:7" hidden="1">
      <c r="A12" s="1" t="s">
        <v>17</v>
      </c>
      <c r="B12" s="2">
        <v>45405</v>
      </c>
      <c r="C12" s="2">
        <v>45406.814363425925</v>
      </c>
      <c r="D12" s="2">
        <v>45406.831458333334</v>
      </c>
      <c r="E12" s="2">
        <v>45406.944155092591</v>
      </c>
      <c r="F12" s="3">
        <f t="shared" si="0"/>
        <v>0.12979166666627862</v>
      </c>
    </row>
    <row r="13" spans="1:7" hidden="1">
      <c r="A13" s="1" t="s">
        <v>18</v>
      </c>
      <c r="B13" s="2">
        <v>45406</v>
      </c>
      <c r="C13" s="2">
        <v>45406.814363425925</v>
      </c>
      <c r="D13" s="2">
        <v>45406.835451388892</v>
      </c>
      <c r="E13" s="2">
        <v>45406.941203703704</v>
      </c>
      <c r="F13" s="3">
        <f t="shared" si="0"/>
        <v>0.12684027777868323</v>
      </c>
    </row>
    <row r="14" spans="1:7" hidden="1">
      <c r="A14" s="1" t="s">
        <v>19</v>
      </c>
      <c r="B14" s="2">
        <v>45405</v>
      </c>
      <c r="C14" s="2">
        <v>45406.814363425925</v>
      </c>
      <c r="D14" s="2">
        <v>45406.839456018519</v>
      </c>
      <c r="E14" s="2">
        <v>45406.937743055554</v>
      </c>
      <c r="F14" s="3">
        <f t="shared" si="0"/>
        <v>0.12337962962919846</v>
      </c>
    </row>
    <row r="15" spans="1:7" hidden="1">
      <c r="A15" s="1" t="s">
        <v>20</v>
      </c>
      <c r="B15" s="2">
        <v>45405</v>
      </c>
      <c r="C15" s="2">
        <v>45406.814363425925</v>
      </c>
      <c r="D15" s="2">
        <v>45406.849803240744</v>
      </c>
      <c r="E15" s="2">
        <v>45406.940208333333</v>
      </c>
      <c r="F15" s="3">
        <f t="shared" si="0"/>
        <v>0.12584490740846377</v>
      </c>
    </row>
    <row r="16" spans="1:7" hidden="1">
      <c r="A16" s="1" t="s">
        <v>21</v>
      </c>
      <c r="B16" s="2">
        <v>45406</v>
      </c>
      <c r="C16" s="2">
        <v>45407.462800925925</v>
      </c>
      <c r="D16" s="2">
        <v>45407.439953703702</v>
      </c>
      <c r="E16" s="2">
        <v>45407.459490740737</v>
      </c>
      <c r="F16" s="6" t="s">
        <v>1708</v>
      </c>
    </row>
    <row r="17" spans="1:6" hidden="1">
      <c r="A17" s="1" t="s">
        <v>22</v>
      </c>
      <c r="B17" s="2">
        <v>45406</v>
      </c>
      <c r="C17" s="2">
        <v>45407.462800925925</v>
      </c>
      <c r="D17" s="2">
        <v>45407.452546296299</v>
      </c>
      <c r="E17" s="2">
        <v>45407.494490740741</v>
      </c>
      <c r="F17" s="3">
        <f t="shared" si="0"/>
        <v>3.1689814815763384E-2</v>
      </c>
    </row>
    <row r="18" spans="1:6" hidden="1">
      <c r="A18" s="1" t="s">
        <v>23</v>
      </c>
      <c r="B18" s="2">
        <v>45406</v>
      </c>
      <c r="C18" s="2">
        <v>45407.462800925925</v>
      </c>
      <c r="D18" s="2">
        <v>45407.445428240739</v>
      </c>
      <c r="E18" s="2">
        <v>45407.487696759257</v>
      </c>
      <c r="F18" s="3">
        <f t="shared" si="0"/>
        <v>2.4895833332266193E-2</v>
      </c>
    </row>
    <row r="19" spans="1:6" hidden="1">
      <c r="A19" s="1" t="s">
        <v>24</v>
      </c>
      <c r="B19" s="2">
        <v>45406</v>
      </c>
      <c r="C19" s="2">
        <v>45407.503287037034</v>
      </c>
      <c r="D19" s="2">
        <v>45407.552928240744</v>
      </c>
      <c r="E19" s="2">
        <v>45407.747245370374</v>
      </c>
      <c r="F19" s="3">
        <f t="shared" si="0"/>
        <v>0.24395833333983319</v>
      </c>
    </row>
    <row r="20" spans="1:6" hidden="1">
      <c r="A20" s="1" t="s">
        <v>25</v>
      </c>
      <c r="B20" s="2">
        <v>45406</v>
      </c>
      <c r="C20" s="2">
        <v>45407.592743055553</v>
      </c>
      <c r="D20" s="2">
        <v>45407.556168981479</v>
      </c>
      <c r="E20" s="2">
        <v>45407.598009259258</v>
      </c>
      <c r="F20" s="3">
        <f t="shared" si="0"/>
        <v>5.2662037051049992E-3</v>
      </c>
    </row>
    <row r="21" spans="1:6" hidden="1">
      <c r="A21" s="1" t="s">
        <v>26</v>
      </c>
      <c r="B21" s="2">
        <v>45406</v>
      </c>
      <c r="C21" s="2">
        <v>45407.592743055553</v>
      </c>
      <c r="D21" s="2">
        <v>45407.559733796297</v>
      </c>
      <c r="E21" s="2">
        <v>45407.6016087963</v>
      </c>
      <c r="F21" s="3">
        <f t="shared" si="0"/>
        <v>8.8657407468417659E-3</v>
      </c>
    </row>
    <row r="22" spans="1:6" hidden="1">
      <c r="A22" s="1" t="s">
        <v>27</v>
      </c>
      <c r="B22" s="2">
        <v>45406</v>
      </c>
      <c r="C22" s="2">
        <v>45407.747129629628</v>
      </c>
      <c r="D22" s="2">
        <v>45407.562337962961</v>
      </c>
      <c r="E22" s="2">
        <v>45407.604120370372</v>
      </c>
      <c r="F22" s="6" t="s">
        <v>1708</v>
      </c>
    </row>
    <row r="23" spans="1:6" hidden="1">
      <c r="A23" s="1" t="s">
        <v>28</v>
      </c>
      <c r="B23" s="2">
        <v>45406</v>
      </c>
      <c r="C23" s="2">
        <v>45407.747129629628</v>
      </c>
      <c r="D23" s="2">
        <v>45407.564189814817</v>
      </c>
      <c r="E23" s="2">
        <v>45407.605995370373</v>
      </c>
      <c r="F23" s="6" t="s">
        <v>1708</v>
      </c>
    </row>
    <row r="24" spans="1:6" hidden="1">
      <c r="A24" s="1" t="s">
        <v>29</v>
      </c>
      <c r="B24" s="2">
        <v>45405</v>
      </c>
      <c r="C24" s="2">
        <v>45406.814363425925</v>
      </c>
      <c r="D24" s="2">
        <v>45407.631840277776</v>
      </c>
      <c r="E24" s="2">
        <v>45407.64502314815</v>
      </c>
      <c r="F24" s="3">
        <f t="shared" si="0"/>
        <v>0.83065972222539131</v>
      </c>
    </row>
    <row r="25" spans="1:6" hidden="1">
      <c r="A25" s="1" t="s">
        <v>30</v>
      </c>
      <c r="B25" s="2">
        <v>45407</v>
      </c>
      <c r="C25" s="2">
        <v>45407.706203703703</v>
      </c>
      <c r="D25" s="2">
        <v>45407.705925925926</v>
      </c>
      <c r="E25" s="2">
        <v>45407.747835648152</v>
      </c>
      <c r="F25" s="3">
        <f t="shared" si="0"/>
        <v>4.1631944448454306E-2</v>
      </c>
    </row>
    <row r="26" spans="1:6" hidden="1">
      <c r="A26" s="1" t="s">
        <v>31</v>
      </c>
      <c r="B26" s="2">
        <v>45407</v>
      </c>
      <c r="C26" s="2">
        <v>45407.706203703703</v>
      </c>
      <c r="D26" s="2">
        <v>45408.319780092592</v>
      </c>
      <c r="E26" s="2">
        <v>45408.361608796295</v>
      </c>
      <c r="F26" s="3">
        <f t="shared" si="0"/>
        <v>0.65540509259153623</v>
      </c>
    </row>
    <row r="27" spans="1:6" hidden="1">
      <c r="A27" s="1" t="s">
        <v>32</v>
      </c>
      <c r="B27" s="2">
        <v>45407</v>
      </c>
      <c r="C27" s="2">
        <v>45407.706203703703</v>
      </c>
      <c r="D27" s="2">
        <v>45408.321006944447</v>
      </c>
      <c r="E27" s="2">
        <v>45408.362812500003</v>
      </c>
      <c r="F27" s="3">
        <f t="shared" si="0"/>
        <v>0.65660879630013369</v>
      </c>
    </row>
    <row r="28" spans="1:6" hidden="1">
      <c r="A28" s="1" t="s">
        <v>33</v>
      </c>
      <c r="B28" s="2">
        <v>45407</v>
      </c>
      <c r="C28" s="2">
        <v>45407.706203703703</v>
      </c>
      <c r="D28" s="2">
        <v>45408.321863425925</v>
      </c>
      <c r="E28" s="2">
        <v>45408.363634259258</v>
      </c>
      <c r="F28" s="3">
        <f t="shared" si="0"/>
        <v>0.65743055555503815</v>
      </c>
    </row>
    <row r="29" spans="1:6" hidden="1">
      <c r="A29" s="1" t="s">
        <v>34</v>
      </c>
      <c r="B29" s="2">
        <v>45407</v>
      </c>
      <c r="C29" s="2">
        <v>45407.706203703703</v>
      </c>
      <c r="D29" s="2">
        <v>45408.322754629633</v>
      </c>
      <c r="E29" s="2">
        <v>45408.364571759259</v>
      </c>
      <c r="F29" s="3">
        <f t="shared" si="0"/>
        <v>0.65836805555591127</v>
      </c>
    </row>
    <row r="30" spans="1:6" hidden="1">
      <c r="A30" s="1" t="s">
        <v>35</v>
      </c>
      <c r="B30" s="2">
        <v>45407</v>
      </c>
      <c r="C30" s="2">
        <v>45407.706203703703</v>
      </c>
      <c r="D30" s="2">
        <v>45408.323495370372</v>
      </c>
      <c r="E30" s="2">
        <v>45408.365277777775</v>
      </c>
      <c r="F30" s="3">
        <f t="shared" si="0"/>
        <v>0.65907407407212304</v>
      </c>
    </row>
    <row r="31" spans="1:6" hidden="1">
      <c r="A31" s="1" t="s">
        <v>36</v>
      </c>
      <c r="B31" s="2">
        <v>45407</v>
      </c>
      <c r="C31" s="2">
        <v>45407.706203703703</v>
      </c>
      <c r="D31" s="2">
        <v>45408.324224537035</v>
      </c>
      <c r="E31" s="2">
        <v>45408.365983796299</v>
      </c>
      <c r="F31" s="3">
        <f t="shared" si="0"/>
        <v>0.65978009259561077</v>
      </c>
    </row>
    <row r="32" spans="1:6" hidden="1">
      <c r="A32" s="1" t="s">
        <v>37</v>
      </c>
      <c r="B32" s="2">
        <v>45407</v>
      </c>
      <c r="C32" s="2">
        <v>45407.835138888891</v>
      </c>
      <c r="D32" s="2">
        <v>45408.33394675926</v>
      </c>
      <c r="E32" s="2">
        <v>45408.375717592593</v>
      </c>
      <c r="F32" s="3">
        <f t="shared" si="0"/>
        <v>0.54057870370161254</v>
      </c>
    </row>
    <row r="33" spans="1:6" hidden="1">
      <c r="A33" s="1" t="s">
        <v>38</v>
      </c>
      <c r="B33" s="2">
        <v>45407</v>
      </c>
      <c r="C33" s="2">
        <v>45407.835138888891</v>
      </c>
      <c r="D33" s="2">
        <v>45408.335416666669</v>
      </c>
      <c r="E33" s="2">
        <v>45408.377256944441</v>
      </c>
      <c r="F33" s="3">
        <f t="shared" si="0"/>
        <v>0.54211805554950843</v>
      </c>
    </row>
    <row r="34" spans="1:6" hidden="1">
      <c r="A34" s="1" t="s">
        <v>39</v>
      </c>
      <c r="B34" s="2">
        <v>45407</v>
      </c>
      <c r="C34" s="2">
        <v>45408.160810185182</v>
      </c>
      <c r="D34" s="2">
        <v>45408.401203703703</v>
      </c>
      <c r="E34" s="2">
        <v>45408.454421296294</v>
      </c>
      <c r="F34" s="3">
        <f t="shared" si="0"/>
        <v>0.29361111111211358</v>
      </c>
    </row>
    <row r="35" spans="1:6" hidden="1">
      <c r="A35" s="1" t="s">
        <v>40</v>
      </c>
      <c r="B35" s="2">
        <v>45407</v>
      </c>
      <c r="C35" s="2">
        <v>45408.456180555557</v>
      </c>
      <c r="D35" s="2">
        <v>45408.430439814816</v>
      </c>
      <c r="E35" s="2">
        <v>45408.457280092596</v>
      </c>
      <c r="F35" s="3">
        <f t="shared" si="0"/>
        <v>1.0995370394084603E-3</v>
      </c>
    </row>
    <row r="36" spans="1:6" hidden="1">
      <c r="A36" s="1" t="s">
        <v>41</v>
      </c>
      <c r="B36" s="2">
        <v>45407</v>
      </c>
      <c r="C36" s="2">
        <v>45408.456180555557</v>
      </c>
      <c r="D36" s="2">
        <v>45408.43445601852</v>
      </c>
      <c r="E36" s="2">
        <v>45408.454224537039</v>
      </c>
      <c r="F36" s="6" t="s">
        <v>1708</v>
      </c>
    </row>
    <row r="37" spans="1:6" hidden="1">
      <c r="A37" s="1" t="s">
        <v>42</v>
      </c>
      <c r="B37" s="2">
        <v>45407</v>
      </c>
      <c r="C37" s="2">
        <v>45408.456180555557</v>
      </c>
      <c r="D37" s="2">
        <v>45408.439259259256</v>
      </c>
      <c r="E37" s="2">
        <v>45408.468981481485</v>
      </c>
      <c r="F37" s="3">
        <f t="shared" si="0"/>
        <v>1.280092592787696E-2</v>
      </c>
    </row>
    <row r="38" spans="1:6" hidden="1">
      <c r="A38" s="1" t="s">
        <v>43</v>
      </c>
      <c r="B38" s="2">
        <v>45408</v>
      </c>
      <c r="C38" s="2">
        <v>45408.795185185183</v>
      </c>
      <c r="D38" s="2">
        <v>45408.763553240744</v>
      </c>
      <c r="E38" s="2">
        <v>45408.777199074073</v>
      </c>
      <c r="F38" s="6" t="s">
        <v>1708</v>
      </c>
    </row>
    <row r="39" spans="1:6" hidden="1">
      <c r="A39" s="1" t="s">
        <v>44</v>
      </c>
      <c r="B39" s="2">
        <v>45408</v>
      </c>
      <c r="C39" s="2">
        <v>45408.795185185183</v>
      </c>
      <c r="D39" s="2">
        <v>45408.764837962961</v>
      </c>
      <c r="E39" s="2">
        <v>45408.777372685188</v>
      </c>
      <c r="F39" s="6" t="s">
        <v>1708</v>
      </c>
    </row>
    <row r="40" spans="1:6" hidden="1">
      <c r="A40" s="1" t="s">
        <v>45</v>
      </c>
      <c r="B40" s="2">
        <v>45408</v>
      </c>
      <c r="C40" s="2">
        <v>45408.795185185183</v>
      </c>
      <c r="D40" s="2">
        <v>45408.76798611111</v>
      </c>
      <c r="E40" s="2">
        <v>45408.777569444443</v>
      </c>
      <c r="F40" s="6" t="s">
        <v>1708</v>
      </c>
    </row>
    <row r="41" spans="1:6" hidden="1">
      <c r="A41" s="1" t="s">
        <v>46</v>
      </c>
      <c r="B41" s="2">
        <v>45408</v>
      </c>
      <c r="C41" s="2">
        <v>45408.839444444442</v>
      </c>
      <c r="D41" s="2">
        <v>45408.83697916667</v>
      </c>
      <c r="E41" s="2">
        <v>45408.846655092595</v>
      </c>
      <c r="F41" s="3">
        <f t="shared" si="0"/>
        <v>7.2106481529772282E-3</v>
      </c>
    </row>
    <row r="42" spans="1:6" hidden="1">
      <c r="A42" s="1" t="s">
        <v>47</v>
      </c>
      <c r="B42" s="2">
        <v>45410</v>
      </c>
      <c r="C42" s="2">
        <v>45411.466006944444</v>
      </c>
      <c r="D42" s="2">
        <v>45411.404710648145</v>
      </c>
      <c r="E42" s="2">
        <v>45411.435648148145</v>
      </c>
      <c r="F42" s="6" t="s">
        <v>1708</v>
      </c>
    </row>
    <row r="43" spans="1:6" hidden="1">
      <c r="A43" s="1" t="s">
        <v>48</v>
      </c>
      <c r="B43" s="2">
        <v>45409</v>
      </c>
      <c r="C43" s="2">
        <v>45410.251469907409</v>
      </c>
      <c r="D43" s="2">
        <v>45411.427395833336</v>
      </c>
      <c r="E43" s="2">
        <v>45411.469513888886</v>
      </c>
      <c r="F43" s="3">
        <f t="shared" si="0"/>
        <v>1.2180439814765123</v>
      </c>
    </row>
    <row r="44" spans="1:6" hidden="1">
      <c r="A44" s="1" t="s">
        <v>49</v>
      </c>
      <c r="B44" s="2">
        <v>45408</v>
      </c>
      <c r="C44" s="2">
        <v>45408.795185185183</v>
      </c>
      <c r="D44" s="2">
        <v>45411.431180555555</v>
      </c>
      <c r="E44" s="2">
        <v>45411.473194444443</v>
      </c>
      <c r="F44" s="3">
        <f t="shared" si="0"/>
        <v>2.6780092592598521</v>
      </c>
    </row>
    <row r="45" spans="1:6" hidden="1">
      <c r="A45" s="1" t="s">
        <v>50</v>
      </c>
      <c r="B45" s="2">
        <v>45409</v>
      </c>
      <c r="C45" s="2">
        <v>45409.751736111109</v>
      </c>
      <c r="D45" s="2">
        <v>45411.433321759258</v>
      </c>
      <c r="E45" s="2">
        <v>45411.475185185183</v>
      </c>
      <c r="F45" s="3">
        <f t="shared" si="0"/>
        <v>1.7234490740738693</v>
      </c>
    </row>
    <row r="46" spans="1:6" hidden="1">
      <c r="A46" s="1" t="s">
        <v>51</v>
      </c>
      <c r="B46" s="2">
        <v>45409</v>
      </c>
      <c r="C46" s="2">
        <v>45409.751736111109</v>
      </c>
      <c r="D46" s="2">
        <v>45411.434629629628</v>
      </c>
      <c r="E46" s="2">
        <v>45411.476689814815</v>
      </c>
      <c r="F46" s="3">
        <f t="shared" si="0"/>
        <v>1.7249537037059781</v>
      </c>
    </row>
    <row r="47" spans="1:6" hidden="1">
      <c r="A47" s="1" t="s">
        <v>52</v>
      </c>
      <c r="B47" s="2">
        <v>45409</v>
      </c>
      <c r="C47" s="2">
        <v>45409.751736111109</v>
      </c>
      <c r="D47" s="2">
        <v>45411.436064814814</v>
      </c>
      <c r="E47" s="2">
        <v>45411.477962962963</v>
      </c>
      <c r="F47" s="3">
        <f t="shared" si="0"/>
        <v>1.7262268518534256</v>
      </c>
    </row>
    <row r="48" spans="1:6" hidden="1">
      <c r="A48" s="1" t="s">
        <v>53</v>
      </c>
      <c r="B48" s="2">
        <v>45409</v>
      </c>
      <c r="C48" s="2">
        <v>45410.459976851853</v>
      </c>
      <c r="D48" s="2">
        <v>45411.445277777777</v>
      </c>
      <c r="E48" s="2">
        <v>45411.487199074072</v>
      </c>
      <c r="F48" s="3">
        <f t="shared" si="0"/>
        <v>1.0272222222192795</v>
      </c>
    </row>
    <row r="49" spans="1:6" hidden="1">
      <c r="A49" s="1" t="s">
        <v>54</v>
      </c>
      <c r="B49" s="2">
        <v>45411</v>
      </c>
      <c r="C49" s="2">
        <v>45412.841481481482</v>
      </c>
      <c r="D49" s="2">
        <v>45412.807812500003</v>
      </c>
      <c r="E49" s="2">
        <v>45412.849560185183</v>
      </c>
      <c r="F49" s="3">
        <f t="shared" si="0"/>
        <v>8.0787037004483864E-3</v>
      </c>
    </row>
    <row r="50" spans="1:6" hidden="1">
      <c r="A50" s="1" t="s">
        <v>55</v>
      </c>
      <c r="B50" s="2">
        <v>45411</v>
      </c>
      <c r="C50" s="2">
        <v>45412.841527777775</v>
      </c>
      <c r="D50" s="2">
        <v>45412.807928240742</v>
      </c>
      <c r="E50" s="2">
        <v>45412.849687499998</v>
      </c>
      <c r="F50" s="3">
        <f t="shared" si="0"/>
        <v>8.1597222233540379E-3</v>
      </c>
    </row>
    <row r="51" spans="1:6" hidden="1">
      <c r="A51" s="1" t="s">
        <v>56</v>
      </c>
      <c r="B51" s="2">
        <v>45411</v>
      </c>
      <c r="C51" s="2">
        <v>45412.841527777775</v>
      </c>
      <c r="D51" s="2">
        <v>45412.807881944442</v>
      </c>
      <c r="E51" s="2">
        <v>45412.849687499998</v>
      </c>
      <c r="F51" s="3">
        <f t="shared" si="0"/>
        <v>8.1597222233540379E-3</v>
      </c>
    </row>
    <row r="52" spans="1:6" hidden="1">
      <c r="A52" s="1" t="s">
        <v>57</v>
      </c>
      <c r="B52" s="2">
        <v>45411</v>
      </c>
      <c r="C52" s="2">
        <v>45412.726759259262</v>
      </c>
      <c r="D52" s="2">
        <v>45412.811006944445</v>
      </c>
      <c r="E52" s="2">
        <v>45412.905023148145</v>
      </c>
      <c r="F52" s="3">
        <f t="shared" si="0"/>
        <v>0.17826388888352085</v>
      </c>
    </row>
    <row r="53" spans="1:6" hidden="1">
      <c r="A53" s="1" t="s">
        <v>58</v>
      </c>
      <c r="B53" s="2">
        <v>45411</v>
      </c>
      <c r="C53" s="2">
        <v>45412.841481481482</v>
      </c>
      <c r="D53" s="2">
        <v>45412.803379629629</v>
      </c>
      <c r="E53" s="2">
        <v>45412.819571759261</v>
      </c>
      <c r="F53" s="6" t="s">
        <v>1708</v>
      </c>
    </row>
    <row r="54" spans="1:6" hidden="1">
      <c r="A54" s="1" t="s">
        <v>59</v>
      </c>
      <c r="B54" s="2">
        <v>45411</v>
      </c>
      <c r="C54" s="2">
        <v>45410.469270833331</v>
      </c>
      <c r="D54" s="2">
        <v>45411.569791666669</v>
      </c>
      <c r="E54" s="2">
        <v>45411.611840277779</v>
      </c>
      <c r="F54" s="3">
        <f t="shared" si="0"/>
        <v>1.1425694444478722</v>
      </c>
    </row>
    <row r="55" spans="1:6" hidden="1">
      <c r="A55" s="1" t="s">
        <v>60</v>
      </c>
      <c r="B55" s="2">
        <v>45408</v>
      </c>
      <c r="C55" s="2">
        <v>45408.795185185183</v>
      </c>
      <c r="D55" s="2">
        <v>45411.591145833336</v>
      </c>
      <c r="E55" s="2">
        <v>45411.633113425924</v>
      </c>
      <c r="F55" s="3">
        <f t="shared" si="0"/>
        <v>2.8379282407404389</v>
      </c>
    </row>
    <row r="56" spans="1:6" hidden="1">
      <c r="A56" s="1" t="s">
        <v>61</v>
      </c>
      <c r="B56" s="2">
        <v>45407</v>
      </c>
      <c r="C56" s="2">
        <v>45408.456180555557</v>
      </c>
      <c r="D56" s="2">
        <v>45411.644421296296</v>
      </c>
      <c r="E56" s="2">
        <v>45411.686388888891</v>
      </c>
      <c r="F56" s="3">
        <f t="shared" si="0"/>
        <v>3.2302083333343035</v>
      </c>
    </row>
    <row r="57" spans="1:6" hidden="1">
      <c r="A57" s="1" t="s">
        <v>62</v>
      </c>
      <c r="B57" s="2">
        <v>45411</v>
      </c>
      <c r="C57" s="2">
        <v>45410.469270833331</v>
      </c>
      <c r="D57" s="2">
        <v>45411.737719907411</v>
      </c>
      <c r="E57" s="2">
        <v>45411.843078703707</v>
      </c>
      <c r="F57" s="3">
        <f t="shared" si="0"/>
        <v>1.3738078703754582</v>
      </c>
    </row>
    <row r="58" spans="1:6" hidden="1">
      <c r="A58" s="1" t="s">
        <v>63</v>
      </c>
      <c r="B58" s="2">
        <v>45407</v>
      </c>
      <c r="C58" s="2">
        <v>45407.706203703703</v>
      </c>
      <c r="D58" s="2">
        <v>45411.726053240738</v>
      </c>
      <c r="E58" s="2">
        <v>45411.770694444444</v>
      </c>
      <c r="F58" s="3">
        <f t="shared" si="0"/>
        <v>4.0644907407404389</v>
      </c>
    </row>
    <row r="59" spans="1:6" hidden="1">
      <c r="A59" s="1" t="s">
        <v>64</v>
      </c>
      <c r="B59" s="2">
        <v>45407</v>
      </c>
      <c r="C59" s="2">
        <v>45408.720636574071</v>
      </c>
      <c r="D59" s="2">
        <v>45411.852835648147</v>
      </c>
      <c r="E59" s="2">
        <v>45411.894606481481</v>
      </c>
      <c r="F59" s="3">
        <f t="shared" si="0"/>
        <v>3.1739699074096279</v>
      </c>
    </row>
    <row r="60" spans="1:6" hidden="1">
      <c r="A60" s="1" t="s">
        <v>65</v>
      </c>
      <c r="B60" s="2">
        <v>45411</v>
      </c>
      <c r="C60" s="2">
        <v>45412.158310185187</v>
      </c>
      <c r="D60" s="2">
        <v>45412.336539351854</v>
      </c>
      <c r="E60" s="2">
        <v>45412.355856481481</v>
      </c>
      <c r="F60" s="3">
        <f t="shared" si="0"/>
        <v>0.19754629629460396</v>
      </c>
    </row>
    <row r="61" spans="1:6" hidden="1">
      <c r="A61" s="1" t="s">
        <v>66</v>
      </c>
      <c r="B61" s="2">
        <v>45411</v>
      </c>
      <c r="C61" s="2">
        <v>45412.158310185187</v>
      </c>
      <c r="D61" s="2">
        <v>45412.343124999999</v>
      </c>
      <c r="E61" s="2">
        <v>45412.357499999998</v>
      </c>
      <c r="F61" s="3">
        <f t="shared" si="0"/>
        <v>0.19918981481168885</v>
      </c>
    </row>
    <row r="62" spans="1:6" hidden="1">
      <c r="A62" s="1" t="s">
        <v>67</v>
      </c>
      <c r="B62" s="2">
        <v>45411</v>
      </c>
      <c r="C62" s="2">
        <v>45412.158310185187</v>
      </c>
      <c r="D62" s="2">
        <v>45412.347233796296</v>
      </c>
      <c r="E62" s="2">
        <v>45412.389039351852</v>
      </c>
      <c r="F62" s="3">
        <f t="shared" si="0"/>
        <v>0.23072916666569654</v>
      </c>
    </row>
    <row r="63" spans="1:6" hidden="1">
      <c r="A63" s="1" t="s">
        <v>68</v>
      </c>
      <c r="B63" s="2">
        <v>45411</v>
      </c>
      <c r="C63" s="2">
        <v>45412.158310185187</v>
      </c>
      <c r="D63" s="2">
        <v>45412.357754629629</v>
      </c>
      <c r="E63" s="2">
        <v>45412.380462962959</v>
      </c>
      <c r="F63" s="3">
        <f t="shared" si="0"/>
        <v>0.22215277777286246</v>
      </c>
    </row>
    <row r="64" spans="1:6" hidden="1">
      <c r="A64" s="1" t="s">
        <v>69</v>
      </c>
      <c r="B64" s="2">
        <v>45411</v>
      </c>
      <c r="C64" s="2">
        <v>45412.305300925924</v>
      </c>
      <c r="D64" s="2">
        <v>45412.371354166666</v>
      </c>
      <c r="E64" s="2">
        <v>45412.413182870368</v>
      </c>
      <c r="F64" s="3">
        <f t="shared" si="0"/>
        <v>0.10788194444467081</v>
      </c>
    </row>
    <row r="65" spans="1:6" hidden="1">
      <c r="A65" s="1" t="s">
        <v>70</v>
      </c>
      <c r="B65" s="2">
        <v>45411</v>
      </c>
      <c r="C65" s="2">
        <v>45412.305312500001</v>
      </c>
      <c r="D65" s="2">
        <v>45412.377256944441</v>
      </c>
      <c r="E65" s="2">
        <v>45412.419687499998</v>
      </c>
      <c r="F65" s="3">
        <f t="shared" si="0"/>
        <v>0.11437499999738066</v>
      </c>
    </row>
    <row r="66" spans="1:6" hidden="1">
      <c r="A66" s="1" t="s">
        <v>71</v>
      </c>
      <c r="B66" s="2">
        <v>45411</v>
      </c>
      <c r="C66" s="2">
        <v>45412.305347222224</v>
      </c>
      <c r="D66" s="2">
        <v>45412.419710648152</v>
      </c>
      <c r="E66" s="2">
        <v>45412.46166666667</v>
      </c>
      <c r="F66" s="3">
        <f t="shared" si="0"/>
        <v>0.156319444446126</v>
      </c>
    </row>
    <row r="67" spans="1:6" hidden="1">
      <c r="A67" s="1" t="s">
        <v>72</v>
      </c>
      <c r="B67" s="2">
        <v>45411</v>
      </c>
      <c r="C67" s="2">
        <v>45412.305358796293</v>
      </c>
      <c r="D67" s="2">
        <v>45412.435659722221</v>
      </c>
      <c r="E67" s="2">
        <v>45412.477662037039</v>
      </c>
      <c r="F67" s="3">
        <f t="shared" ref="F67:F130" si="1">E67-C67</f>
        <v>0.17230324074625969</v>
      </c>
    </row>
    <row r="68" spans="1:6" hidden="1">
      <c r="A68" s="1" t="s">
        <v>73</v>
      </c>
      <c r="B68" s="2">
        <v>45411</v>
      </c>
      <c r="C68" s="2">
        <v>45412.305335648147</v>
      </c>
      <c r="D68" s="2">
        <v>45412.439328703702</v>
      </c>
      <c r="E68" s="2">
        <v>45412.481319444443</v>
      </c>
      <c r="F68" s="3">
        <f t="shared" si="1"/>
        <v>0.17598379629635019</v>
      </c>
    </row>
    <row r="69" spans="1:6" hidden="1">
      <c r="A69" s="1" t="s">
        <v>74</v>
      </c>
      <c r="B69" s="2">
        <v>45411</v>
      </c>
      <c r="C69" s="2">
        <v>45412.305335648147</v>
      </c>
      <c r="D69" s="2">
        <v>45412.441932870373</v>
      </c>
      <c r="E69" s="2">
        <v>45412.573240740741</v>
      </c>
      <c r="F69" s="3">
        <f t="shared" si="1"/>
        <v>0.26790509259444661</v>
      </c>
    </row>
    <row r="70" spans="1:6" hidden="1">
      <c r="A70" s="1" t="s">
        <v>75</v>
      </c>
      <c r="B70" s="2">
        <v>45411</v>
      </c>
      <c r="C70" s="2">
        <v>45412.305358796293</v>
      </c>
      <c r="D70" s="2">
        <v>45412.446655092594</v>
      </c>
      <c r="E70" s="2">
        <v>45412.488530092596</v>
      </c>
      <c r="F70" s="3">
        <f t="shared" si="1"/>
        <v>0.18317129630304407</v>
      </c>
    </row>
    <row r="71" spans="1:6" hidden="1">
      <c r="A71" s="1" t="s">
        <v>76</v>
      </c>
      <c r="B71" s="2">
        <v>45411</v>
      </c>
      <c r="C71" s="2">
        <v>45412.30537037037</v>
      </c>
      <c r="D71" s="2">
        <v>45412.452268518522</v>
      </c>
      <c r="E71" s="2">
        <v>45412.46601851852</v>
      </c>
      <c r="F71" s="3">
        <f t="shared" si="1"/>
        <v>0.16064814815035788</v>
      </c>
    </row>
    <row r="72" spans="1:6" hidden="1">
      <c r="A72" s="1" t="s">
        <v>77</v>
      </c>
      <c r="B72" s="2">
        <v>45411</v>
      </c>
      <c r="C72" s="2">
        <v>45412.487592592595</v>
      </c>
      <c r="D72" s="2">
        <v>45412.455879629626</v>
      </c>
      <c r="E72" s="2">
        <v>45412.497719907406</v>
      </c>
      <c r="F72" s="3">
        <f t="shared" si="1"/>
        <v>1.0127314810233656E-2</v>
      </c>
    </row>
    <row r="73" spans="1:6" hidden="1">
      <c r="A73" s="1" t="s">
        <v>78</v>
      </c>
      <c r="B73" s="2">
        <v>45411</v>
      </c>
      <c r="C73" s="2">
        <v>45412.30537037037</v>
      </c>
      <c r="D73" s="2">
        <v>45412.461944444447</v>
      </c>
      <c r="E73" s="2">
        <v>45412.503842592596</v>
      </c>
      <c r="F73" s="3">
        <f t="shared" si="1"/>
        <v>0.19847222222597338</v>
      </c>
    </row>
    <row r="74" spans="1:6" hidden="1">
      <c r="A74" s="1" t="s">
        <v>79</v>
      </c>
      <c r="B74" s="2">
        <v>45411</v>
      </c>
      <c r="C74" s="2">
        <v>45412.30537037037</v>
      </c>
      <c r="D74" s="2">
        <v>45412.479120370372</v>
      </c>
      <c r="E74" s="2">
        <v>45412.520856481482</v>
      </c>
      <c r="F74" s="3">
        <f t="shared" si="1"/>
        <v>0.21548611111211358</v>
      </c>
    </row>
    <row r="75" spans="1:6" hidden="1">
      <c r="A75" s="1" t="s">
        <v>80</v>
      </c>
      <c r="B75" s="2">
        <v>45412</v>
      </c>
      <c r="C75" s="2">
        <v>45412.172789351855</v>
      </c>
      <c r="D75" s="2">
        <v>45412.484143518515</v>
      </c>
      <c r="E75" s="2">
        <v>45412.525972222225</v>
      </c>
      <c r="F75" s="3">
        <f t="shared" si="1"/>
        <v>0.35318287037080154</v>
      </c>
    </row>
    <row r="76" spans="1:6" hidden="1">
      <c r="A76" s="1" t="s">
        <v>81</v>
      </c>
      <c r="B76" s="2">
        <v>45412</v>
      </c>
      <c r="C76" s="2">
        <v>45412.305405092593</v>
      </c>
      <c r="D76" s="2">
        <v>45412.497719907406</v>
      </c>
      <c r="E76" s="2">
        <v>45412.539467592593</v>
      </c>
      <c r="F76" s="3">
        <f t="shared" si="1"/>
        <v>0.23406249999970896</v>
      </c>
    </row>
    <row r="77" spans="1:6" hidden="1">
      <c r="A77" s="1" t="s">
        <v>82</v>
      </c>
      <c r="B77" s="2">
        <v>45412</v>
      </c>
      <c r="C77" s="2">
        <v>45412.172789351855</v>
      </c>
      <c r="D77" s="2">
        <v>45412.505046296297</v>
      </c>
      <c r="E77" s="2">
        <v>45412.547025462962</v>
      </c>
      <c r="F77" s="3">
        <f t="shared" si="1"/>
        <v>0.37423611110716593</v>
      </c>
    </row>
    <row r="78" spans="1:6" hidden="1">
      <c r="A78" s="1" t="s">
        <v>83</v>
      </c>
      <c r="B78" s="2">
        <v>45412</v>
      </c>
      <c r="C78" s="2">
        <v>45412.172789351855</v>
      </c>
      <c r="D78" s="2">
        <v>45412.551701388889</v>
      </c>
      <c r="E78" s="2">
        <v>45412.593576388892</v>
      </c>
      <c r="F78" s="3">
        <f t="shared" si="1"/>
        <v>0.42078703703737119</v>
      </c>
    </row>
    <row r="79" spans="1:6" hidden="1">
      <c r="A79" s="1" t="s">
        <v>84</v>
      </c>
      <c r="B79" s="2">
        <v>45412</v>
      </c>
      <c r="C79" s="2">
        <v>45412.172789351855</v>
      </c>
      <c r="D79" s="2">
        <v>45412.556354166663</v>
      </c>
      <c r="E79" s="2">
        <v>45412.598217592589</v>
      </c>
      <c r="F79" s="3">
        <f t="shared" si="1"/>
        <v>0.42542824073461816</v>
      </c>
    </row>
    <row r="80" spans="1:6" hidden="1">
      <c r="A80" s="1" t="s">
        <v>85</v>
      </c>
      <c r="B80" s="2">
        <v>45412</v>
      </c>
      <c r="C80" s="2">
        <v>45412.172789351855</v>
      </c>
      <c r="D80" s="2">
        <v>45412.566342592596</v>
      </c>
      <c r="E80" s="2">
        <v>45412.608460648145</v>
      </c>
      <c r="F80" s="3">
        <f t="shared" si="1"/>
        <v>0.43567129629082046</v>
      </c>
    </row>
    <row r="81" spans="1:6" hidden="1">
      <c r="A81" s="1" t="s">
        <v>86</v>
      </c>
      <c r="B81" s="2">
        <v>45412</v>
      </c>
      <c r="C81" s="2">
        <v>45412.30541666667</v>
      </c>
      <c r="D81" s="2">
        <v>45412.585115740738</v>
      </c>
      <c r="E81" s="2">
        <v>45412.626979166664</v>
      </c>
      <c r="F81" s="3">
        <f t="shared" si="1"/>
        <v>0.3215624999938882</v>
      </c>
    </row>
    <row r="82" spans="1:6" hidden="1">
      <c r="A82" s="1" t="s">
        <v>87</v>
      </c>
      <c r="B82" s="2">
        <v>45412</v>
      </c>
      <c r="C82" s="2">
        <v>45412.172789351855</v>
      </c>
      <c r="D82" s="2">
        <v>45412.58934027778</v>
      </c>
      <c r="E82" s="2">
        <v>45412.63113425926</v>
      </c>
      <c r="F82" s="3">
        <f t="shared" si="1"/>
        <v>0.45834490740526235</v>
      </c>
    </row>
    <row r="83" spans="1:6" hidden="1">
      <c r="A83" s="1" t="s">
        <v>88</v>
      </c>
      <c r="B83" s="2">
        <v>45412</v>
      </c>
      <c r="C83" s="2">
        <v>45412.172789351855</v>
      </c>
      <c r="D83" s="2">
        <v>45412.592962962961</v>
      </c>
      <c r="E83" s="2">
        <v>45412.63484953704</v>
      </c>
      <c r="F83" s="3">
        <f t="shared" si="1"/>
        <v>0.46206018518569181</v>
      </c>
    </row>
    <row r="84" spans="1:6" hidden="1">
      <c r="A84" s="1" t="s">
        <v>89</v>
      </c>
      <c r="B84" s="2">
        <v>45412</v>
      </c>
      <c r="C84" s="2">
        <v>45412.172789351855</v>
      </c>
      <c r="D84" s="2">
        <v>45412.598009259258</v>
      </c>
      <c r="E84" s="2">
        <v>45412.639918981484</v>
      </c>
      <c r="F84" s="3">
        <f t="shared" si="1"/>
        <v>0.46712962962919846</v>
      </c>
    </row>
    <row r="85" spans="1:6" hidden="1">
      <c r="A85" s="1" t="s">
        <v>90</v>
      </c>
      <c r="B85" s="2">
        <v>45412</v>
      </c>
      <c r="C85" s="2">
        <v>45412.172789351855</v>
      </c>
      <c r="D85" s="2">
        <v>45412.602256944447</v>
      </c>
      <c r="E85" s="2">
        <v>45412.644131944442</v>
      </c>
      <c r="F85" s="3">
        <f t="shared" si="1"/>
        <v>0.4713425925874617</v>
      </c>
    </row>
    <row r="86" spans="1:6" hidden="1">
      <c r="A86" s="1" t="s">
        <v>91</v>
      </c>
      <c r="B86" s="2">
        <v>45408</v>
      </c>
      <c r="C86" s="2">
        <v>45409.48232638889</v>
      </c>
      <c r="D86" s="2">
        <v>45412.616875</v>
      </c>
      <c r="E86" s="2">
        <v>45412.742928240739</v>
      </c>
      <c r="F86" s="3">
        <f t="shared" si="1"/>
        <v>3.26060185184906</v>
      </c>
    </row>
    <row r="87" spans="1:6" hidden="1">
      <c r="A87" s="1" t="s">
        <v>92</v>
      </c>
      <c r="B87" s="2">
        <v>45412</v>
      </c>
      <c r="C87" s="2">
        <v>45412.172789351855</v>
      </c>
      <c r="D87" s="2">
        <v>45412.628935185188</v>
      </c>
      <c r="E87" s="2">
        <v>45412.670706018522</v>
      </c>
      <c r="F87" s="3">
        <f t="shared" si="1"/>
        <v>0.49791666666715173</v>
      </c>
    </row>
    <row r="88" spans="1:6" hidden="1">
      <c r="A88" s="1" t="s">
        <v>93</v>
      </c>
      <c r="B88" s="2">
        <v>45412</v>
      </c>
      <c r="C88" s="2">
        <v>45412.172789351855</v>
      </c>
      <c r="D88" s="2">
        <v>45412.635983796295</v>
      </c>
      <c r="E88" s="2">
        <v>45412.677800925929</v>
      </c>
      <c r="F88" s="3">
        <f t="shared" si="1"/>
        <v>0.50501157407416031</v>
      </c>
    </row>
    <row r="89" spans="1:6" hidden="1">
      <c r="A89" s="1" t="s">
        <v>94</v>
      </c>
      <c r="B89" s="2">
        <v>45412</v>
      </c>
      <c r="C89" s="2">
        <v>45412.172789351855</v>
      </c>
      <c r="D89" s="2">
        <v>45412.646574074075</v>
      </c>
      <c r="E89" s="2">
        <v>45412.688321759262</v>
      </c>
      <c r="F89" s="3">
        <f t="shared" si="1"/>
        <v>0.51553240740759065</v>
      </c>
    </row>
    <row r="90" spans="1:6" hidden="1">
      <c r="A90" s="1" t="s">
        <v>95</v>
      </c>
      <c r="B90" s="2">
        <v>45412</v>
      </c>
      <c r="C90" s="2">
        <v>45412.762708333335</v>
      </c>
      <c r="D90" s="2">
        <v>45412.735775462963</v>
      </c>
      <c r="E90" s="2">
        <v>45412.777557870373</v>
      </c>
      <c r="F90" s="3">
        <f t="shared" si="1"/>
        <v>1.484953703766223E-2</v>
      </c>
    </row>
    <row r="91" spans="1:6" hidden="1">
      <c r="A91" s="1" t="s">
        <v>96</v>
      </c>
      <c r="B91" s="2">
        <v>45412</v>
      </c>
      <c r="C91" s="2">
        <v>45412.762708333335</v>
      </c>
      <c r="D91" s="2">
        <v>45413.31962962963</v>
      </c>
      <c r="E91" s="2">
        <v>45413.361435185187</v>
      </c>
      <c r="F91" s="3">
        <f t="shared" si="1"/>
        <v>0.59872685185109731</v>
      </c>
    </row>
    <row r="92" spans="1:6" hidden="1">
      <c r="A92" s="1" t="s">
        <v>97</v>
      </c>
      <c r="B92" s="2">
        <v>45412</v>
      </c>
      <c r="C92" s="2">
        <v>45412.762708333335</v>
      </c>
      <c r="D92" s="2">
        <v>45413.319780092592</v>
      </c>
      <c r="E92" s="2">
        <v>45413.361562500002</v>
      </c>
      <c r="F92" s="3">
        <f t="shared" si="1"/>
        <v>0.59885416666656965</v>
      </c>
    </row>
    <row r="93" spans="1:6" hidden="1">
      <c r="A93" s="1" t="s">
        <v>98</v>
      </c>
      <c r="B93" s="2">
        <v>45412</v>
      </c>
      <c r="C93" s="2">
        <v>45412.762708333335</v>
      </c>
      <c r="D93" s="2">
        <v>45413.319699074076</v>
      </c>
      <c r="E93" s="2">
        <v>45413.361550925925</v>
      </c>
      <c r="F93" s="3">
        <f t="shared" si="1"/>
        <v>0.59884259258979</v>
      </c>
    </row>
    <row r="94" spans="1:6" hidden="1">
      <c r="A94" s="1" t="s">
        <v>99</v>
      </c>
      <c r="B94" s="2">
        <v>45412</v>
      </c>
      <c r="C94" s="2">
        <v>45412.762708333335</v>
      </c>
      <c r="D94" s="2">
        <v>45413.319594907407</v>
      </c>
      <c r="E94" s="2">
        <v>45413.361435185187</v>
      </c>
      <c r="F94" s="3">
        <f t="shared" si="1"/>
        <v>0.59872685185109731</v>
      </c>
    </row>
    <row r="95" spans="1:6" hidden="1">
      <c r="A95" s="1" t="s">
        <v>100</v>
      </c>
      <c r="B95" s="2">
        <v>45412</v>
      </c>
      <c r="C95" s="2">
        <v>45412.762708333335</v>
      </c>
      <c r="D95" s="2">
        <v>45413.321087962962</v>
      </c>
      <c r="E95" s="2">
        <v>45413.362847222219</v>
      </c>
      <c r="F95" s="3">
        <f t="shared" si="1"/>
        <v>0.60013888888352085</v>
      </c>
    </row>
    <row r="96" spans="1:6" hidden="1">
      <c r="A96" s="1" t="s">
        <v>101</v>
      </c>
      <c r="B96" s="2">
        <v>45412</v>
      </c>
      <c r="C96" s="2">
        <v>45412.172789351855</v>
      </c>
      <c r="D96" s="2">
        <v>45412.688761574071</v>
      </c>
      <c r="E96" s="2">
        <v>45412.730752314812</v>
      </c>
      <c r="F96" s="3">
        <f t="shared" si="1"/>
        <v>0.55796296295739012</v>
      </c>
    </row>
    <row r="97" spans="1:6" hidden="1">
      <c r="A97" s="1" t="s">
        <v>102</v>
      </c>
      <c r="B97" s="2">
        <v>45412</v>
      </c>
      <c r="C97" s="2">
        <v>45412.172789351855</v>
      </c>
      <c r="D97" s="2">
        <v>45412.694236111114</v>
      </c>
      <c r="E97" s="2">
        <v>45412.736018518517</v>
      </c>
      <c r="F97" s="3">
        <f t="shared" si="1"/>
        <v>0.56322916666249512</v>
      </c>
    </row>
    <row r="98" spans="1:6" hidden="1">
      <c r="A98" s="1" t="s">
        <v>103</v>
      </c>
      <c r="B98" s="2">
        <v>45412</v>
      </c>
      <c r="C98" s="2">
        <v>45414.320289351854</v>
      </c>
      <c r="D98" s="2">
        <v>45414.405914351853</v>
      </c>
      <c r="E98" s="2">
        <v>45414.448368055557</v>
      </c>
      <c r="F98" s="3">
        <f t="shared" si="1"/>
        <v>0.12807870370306773</v>
      </c>
    </row>
    <row r="99" spans="1:6" hidden="1">
      <c r="A99" s="1" t="s">
        <v>104</v>
      </c>
      <c r="B99" s="2">
        <v>45412</v>
      </c>
      <c r="C99" s="2">
        <v>45412.762708333335</v>
      </c>
      <c r="D99" s="2">
        <v>45412.734803240739</v>
      </c>
      <c r="E99" s="2">
        <v>45412.776608796295</v>
      </c>
      <c r="F99" s="3">
        <f t="shared" si="1"/>
        <v>1.3900462960009463E-2</v>
      </c>
    </row>
    <row r="100" spans="1:6" hidden="1">
      <c r="A100" s="1" t="s">
        <v>105</v>
      </c>
      <c r="B100" s="2">
        <v>45412</v>
      </c>
      <c r="C100" s="2">
        <v>45412.172789351855</v>
      </c>
      <c r="D100" s="2">
        <v>45412.741516203707</v>
      </c>
      <c r="E100" s="2">
        <v>45412.783321759256</v>
      </c>
      <c r="F100" s="3">
        <f t="shared" si="1"/>
        <v>0.61053240740147885</v>
      </c>
    </row>
    <row r="101" spans="1:6" hidden="1">
      <c r="A101" s="1" t="s">
        <v>106</v>
      </c>
      <c r="B101" s="2">
        <v>45412</v>
      </c>
      <c r="C101" s="2">
        <v>45412.172789351855</v>
      </c>
      <c r="D101" s="2">
        <v>45412.753206018519</v>
      </c>
      <c r="E101" s="2">
        <v>45412.85833333333</v>
      </c>
      <c r="F101" s="3">
        <f t="shared" si="1"/>
        <v>0.68554398147534812</v>
      </c>
    </row>
    <row r="102" spans="1:6" hidden="1">
      <c r="A102" s="1" t="s">
        <v>107</v>
      </c>
      <c r="B102" s="2">
        <v>45412</v>
      </c>
      <c r="C102" s="2">
        <v>45413.039131944446</v>
      </c>
      <c r="D102" s="2">
        <v>45412.850486111114</v>
      </c>
      <c r="E102" s="2">
        <v>45412.892314814817</v>
      </c>
      <c r="F102" s="6" t="s">
        <v>1708</v>
      </c>
    </row>
    <row r="103" spans="1:6" hidden="1">
      <c r="A103" s="1" t="s">
        <v>108</v>
      </c>
      <c r="B103" s="2">
        <v>45412</v>
      </c>
      <c r="C103" s="2">
        <v>45412.830208333333</v>
      </c>
      <c r="D103" s="2">
        <v>45413.402291666665</v>
      </c>
      <c r="E103" s="2">
        <v>45413.444097222222</v>
      </c>
      <c r="F103" s="3">
        <f t="shared" si="1"/>
        <v>0.61388888888905058</v>
      </c>
    </row>
    <row r="104" spans="1:6" hidden="1">
      <c r="A104" s="1" t="s">
        <v>109</v>
      </c>
      <c r="B104" s="2">
        <v>45412</v>
      </c>
      <c r="C104" s="2">
        <v>45412.830208333333</v>
      </c>
      <c r="D104" s="2">
        <v>45413.400925925926</v>
      </c>
      <c r="E104" s="2">
        <v>45413.443379629629</v>
      </c>
      <c r="F104" s="3">
        <f t="shared" si="1"/>
        <v>0.61317129629605915</v>
      </c>
    </row>
    <row r="105" spans="1:6" hidden="1">
      <c r="A105" s="1" t="s">
        <v>110</v>
      </c>
      <c r="B105" s="2">
        <v>45412</v>
      </c>
      <c r="C105" s="2">
        <v>45413.039143518516</v>
      </c>
      <c r="D105" s="2">
        <v>45412.829270833332</v>
      </c>
      <c r="E105" s="2">
        <v>45412.871111111112</v>
      </c>
      <c r="F105" s="6" t="s">
        <v>1708</v>
      </c>
    </row>
    <row r="106" spans="1:6" hidden="1">
      <c r="A106" s="1" t="s">
        <v>111</v>
      </c>
      <c r="B106" s="2">
        <v>45412</v>
      </c>
      <c r="C106" s="2">
        <v>45413.039120370369</v>
      </c>
      <c r="D106" s="2">
        <v>45412.84847222222</v>
      </c>
      <c r="E106" s="2">
        <v>45412.933611111112</v>
      </c>
      <c r="F106" s="6" t="s">
        <v>1708</v>
      </c>
    </row>
    <row r="107" spans="1:6" hidden="1">
      <c r="A107" s="1" t="s">
        <v>112</v>
      </c>
      <c r="B107" s="2">
        <v>45412</v>
      </c>
      <c r="C107" s="2">
        <v>45413.039131944446</v>
      </c>
      <c r="D107" s="2">
        <v>45412.85533564815</v>
      </c>
      <c r="E107" s="2">
        <v>45412.897083333337</v>
      </c>
      <c r="F107" s="6" t="s">
        <v>1708</v>
      </c>
    </row>
    <row r="108" spans="1:6" hidden="1">
      <c r="A108" s="1" t="s">
        <v>113</v>
      </c>
      <c r="B108" s="2">
        <v>45412</v>
      </c>
      <c r="C108" s="2">
        <v>45413.039097222223</v>
      </c>
      <c r="D108" s="2">
        <v>45412.865949074076</v>
      </c>
      <c r="E108" s="2">
        <v>45412.907789351855</v>
      </c>
      <c r="F108" s="6" t="s">
        <v>1708</v>
      </c>
    </row>
    <row r="109" spans="1:6" hidden="1">
      <c r="A109" s="1" t="s">
        <v>114</v>
      </c>
      <c r="B109" s="2">
        <v>45412</v>
      </c>
      <c r="C109" s="2">
        <v>45413.039131944446</v>
      </c>
      <c r="D109" s="2">
        <v>45412.870856481481</v>
      </c>
      <c r="E109" s="2">
        <v>45412.912685185183</v>
      </c>
      <c r="F109" s="6" t="s">
        <v>1708</v>
      </c>
    </row>
    <row r="110" spans="1:6" hidden="1">
      <c r="A110" s="1" t="s">
        <v>115</v>
      </c>
      <c r="B110" s="2">
        <v>45412</v>
      </c>
      <c r="C110" s="2">
        <v>45412.830208333333</v>
      </c>
      <c r="D110" s="2">
        <v>45413.368090277778</v>
      </c>
      <c r="E110" s="2">
        <v>45413.409953703704</v>
      </c>
      <c r="F110" s="3">
        <f t="shared" si="1"/>
        <v>0.57974537037080154</v>
      </c>
    </row>
    <row r="111" spans="1:6" hidden="1">
      <c r="A111" s="1" t="s">
        <v>116</v>
      </c>
      <c r="B111" s="2">
        <v>45412</v>
      </c>
      <c r="C111" s="2">
        <v>45412.830208333333</v>
      </c>
      <c r="D111" s="2">
        <v>45413.371655092589</v>
      </c>
      <c r="E111" s="2">
        <v>45413.413506944446</v>
      </c>
      <c r="F111" s="3">
        <f t="shared" si="1"/>
        <v>0.58329861111269565</v>
      </c>
    </row>
    <row r="112" spans="1:6" hidden="1">
      <c r="A112" s="1" t="s">
        <v>117</v>
      </c>
      <c r="B112" s="2">
        <v>45412</v>
      </c>
      <c r="C112" s="2">
        <v>45412.830208333333</v>
      </c>
      <c r="D112" s="2">
        <v>45413.378506944442</v>
      </c>
      <c r="E112" s="2">
        <v>45413.418761574074</v>
      </c>
      <c r="F112" s="3">
        <f t="shared" si="1"/>
        <v>0.588553240741021</v>
      </c>
    </row>
    <row r="113" spans="1:6" hidden="1">
      <c r="A113" s="1" t="s">
        <v>118</v>
      </c>
      <c r="B113" s="2">
        <v>45412</v>
      </c>
      <c r="C113" s="2">
        <v>45412.830208333333</v>
      </c>
      <c r="D113" s="2">
        <v>45413.396203703705</v>
      </c>
      <c r="E113" s="2">
        <v>45413.404918981483</v>
      </c>
      <c r="F113" s="3">
        <f t="shared" si="1"/>
        <v>0.57471064815035788</v>
      </c>
    </row>
    <row r="114" spans="1:6" hidden="1">
      <c r="A114" s="1" t="s">
        <v>119</v>
      </c>
      <c r="B114" s="2">
        <v>45413</v>
      </c>
      <c r="C114" s="2">
        <v>45413.176307870373</v>
      </c>
      <c r="D114" s="2">
        <v>45413.487662037034</v>
      </c>
      <c r="E114" s="2">
        <v>45413.529502314814</v>
      </c>
      <c r="F114" s="3">
        <f t="shared" si="1"/>
        <v>0.35319444444030523</v>
      </c>
    </row>
    <row r="115" spans="1:6" hidden="1">
      <c r="A115" s="1" t="s">
        <v>120</v>
      </c>
      <c r="B115" s="2">
        <v>45412</v>
      </c>
      <c r="C115" s="2">
        <v>45413.310185185182</v>
      </c>
      <c r="D115" s="2">
        <v>45413.490578703706</v>
      </c>
      <c r="E115" s="2">
        <v>45413.55232638889</v>
      </c>
      <c r="F115" s="3">
        <f t="shared" si="1"/>
        <v>0.24214120370743331</v>
      </c>
    </row>
    <row r="116" spans="1:6" hidden="1">
      <c r="A116" s="1" t="s">
        <v>121</v>
      </c>
      <c r="B116" s="2">
        <v>45412</v>
      </c>
      <c r="C116" s="2">
        <v>45414.247847222221</v>
      </c>
      <c r="D116" s="2">
        <v>45414.642187500001</v>
      </c>
      <c r="E116" s="2">
        <v>45414.684016203704</v>
      </c>
      <c r="F116" s="3">
        <f t="shared" si="1"/>
        <v>0.43616898148320615</v>
      </c>
    </row>
    <row r="117" spans="1:6" hidden="1">
      <c r="A117" s="1" t="s">
        <v>122</v>
      </c>
      <c r="B117" s="2">
        <v>45414</v>
      </c>
      <c r="C117" s="2">
        <v>45413.310196759259</v>
      </c>
      <c r="D117" s="2">
        <v>45413.502662037034</v>
      </c>
      <c r="E117" s="2">
        <v>45413.557766203703</v>
      </c>
      <c r="F117" s="3">
        <f t="shared" si="1"/>
        <v>0.24756944444379769</v>
      </c>
    </row>
    <row r="118" spans="1:6" hidden="1">
      <c r="A118" s="1" t="s">
        <v>123</v>
      </c>
      <c r="B118" s="2">
        <v>45413</v>
      </c>
      <c r="C118" s="2">
        <v>45415.334837962961</v>
      </c>
      <c r="D118" s="2">
        <v>45415.387442129628</v>
      </c>
      <c r="E118" s="2">
        <v>45415.429456018515</v>
      </c>
      <c r="F118" s="3">
        <f t="shared" si="1"/>
        <v>9.4618055554747116E-2</v>
      </c>
    </row>
    <row r="119" spans="1:6" hidden="1">
      <c r="A119" s="1" t="s">
        <v>124</v>
      </c>
      <c r="B119" s="2">
        <v>45413</v>
      </c>
      <c r="C119" s="2">
        <v>45413.176319444443</v>
      </c>
      <c r="D119" s="2">
        <v>45413.589050925926</v>
      </c>
      <c r="E119" s="2">
        <v>45413.630879629629</v>
      </c>
      <c r="F119" s="3">
        <f t="shared" si="1"/>
        <v>0.45456018518598285</v>
      </c>
    </row>
    <row r="120" spans="1:6" hidden="1">
      <c r="A120" s="1" t="s">
        <v>125</v>
      </c>
      <c r="B120" s="2">
        <v>45412</v>
      </c>
      <c r="C120" s="2">
        <v>45413.762662037036</v>
      </c>
      <c r="D120" s="2">
        <v>45413.709687499999</v>
      </c>
      <c r="E120" s="2">
        <v>45413.72378472222</v>
      </c>
      <c r="F120" s="6" t="s">
        <v>1708</v>
      </c>
    </row>
    <row r="121" spans="1:6" hidden="1">
      <c r="A121" s="1" t="s">
        <v>126</v>
      </c>
      <c r="B121" s="2">
        <v>45413</v>
      </c>
      <c r="C121" s="2">
        <v>45413.176319444443</v>
      </c>
      <c r="D121" s="2">
        <v>45413.5778587963</v>
      </c>
      <c r="E121" s="2">
        <v>45413.619664351849</v>
      </c>
      <c r="F121" s="3">
        <f t="shared" si="1"/>
        <v>0.44334490740584442</v>
      </c>
    </row>
    <row r="122" spans="1:6" hidden="1">
      <c r="A122" s="1" t="s">
        <v>127</v>
      </c>
      <c r="B122" s="2">
        <v>45412</v>
      </c>
      <c r="C122" s="2">
        <v>45413.310196759259</v>
      </c>
      <c r="D122" s="2">
        <v>45413.581053240741</v>
      </c>
      <c r="E122" s="2">
        <v>45413.622881944444</v>
      </c>
      <c r="F122" s="3">
        <f t="shared" si="1"/>
        <v>0.31268518518481869</v>
      </c>
    </row>
    <row r="123" spans="1:6" hidden="1">
      <c r="A123" s="1" t="s">
        <v>128</v>
      </c>
      <c r="B123" s="2">
        <v>45413</v>
      </c>
      <c r="C123" s="2">
        <v>45413.176319444443</v>
      </c>
      <c r="D123" s="2">
        <v>45413.582627314812</v>
      </c>
      <c r="E123" s="2">
        <v>45413.624421296299</v>
      </c>
      <c r="F123" s="3">
        <f t="shared" si="1"/>
        <v>0.448101851856336</v>
      </c>
    </row>
    <row r="124" spans="1:6" hidden="1">
      <c r="A124" s="1" t="s">
        <v>129</v>
      </c>
      <c r="B124" s="2">
        <v>45412</v>
      </c>
      <c r="C124" s="2">
        <v>45414.247847222221</v>
      </c>
      <c r="D124" s="2">
        <v>45414.371793981481</v>
      </c>
      <c r="E124" s="2">
        <v>45414.626192129632</v>
      </c>
      <c r="F124" s="3">
        <f t="shared" si="1"/>
        <v>0.37834490741079208</v>
      </c>
    </row>
    <row r="125" spans="1:6" hidden="1">
      <c r="A125" s="1" t="s">
        <v>130</v>
      </c>
      <c r="B125" s="2">
        <v>45412</v>
      </c>
      <c r="C125" s="2">
        <v>45414.247847222221</v>
      </c>
      <c r="D125" s="2">
        <v>45414.372939814813</v>
      </c>
      <c r="E125" s="2">
        <v>45414.623414351852</v>
      </c>
      <c r="F125" s="3">
        <f t="shared" si="1"/>
        <v>0.37556712963123573</v>
      </c>
    </row>
    <row r="126" spans="1:6" hidden="1">
      <c r="A126" s="1" t="s">
        <v>131</v>
      </c>
      <c r="B126" s="2">
        <v>45412</v>
      </c>
      <c r="C126" s="2">
        <v>45414.247847222221</v>
      </c>
      <c r="D126" s="2">
        <v>45414.374074074076</v>
      </c>
      <c r="E126" s="2">
        <v>45414.625023148146</v>
      </c>
      <c r="F126" s="3">
        <f t="shared" si="1"/>
        <v>0.37717592592525762</v>
      </c>
    </row>
    <row r="127" spans="1:6" hidden="1">
      <c r="A127" s="1" t="s">
        <v>132</v>
      </c>
      <c r="B127" s="2">
        <v>45413</v>
      </c>
      <c r="C127" s="2">
        <v>45413.17633101852</v>
      </c>
      <c r="D127" s="2">
        <v>45413.599953703706</v>
      </c>
      <c r="E127" s="2">
        <v>45413.641712962963</v>
      </c>
      <c r="F127" s="3">
        <f t="shared" si="1"/>
        <v>0.46538194444292458</v>
      </c>
    </row>
    <row r="128" spans="1:6" hidden="1">
      <c r="A128" s="1" t="s">
        <v>133</v>
      </c>
      <c r="B128" s="2">
        <v>45412</v>
      </c>
      <c r="C128" s="2">
        <v>45414.247847222221</v>
      </c>
      <c r="D128" s="2">
        <v>45414.377129629633</v>
      </c>
      <c r="E128" s="2">
        <v>45414.630706018521</v>
      </c>
      <c r="F128" s="3">
        <f t="shared" si="1"/>
        <v>0.38285879629984265</v>
      </c>
    </row>
    <row r="129" spans="1:6" hidden="1">
      <c r="A129" s="1" t="s">
        <v>134</v>
      </c>
      <c r="B129" s="2">
        <v>45413</v>
      </c>
      <c r="C129" s="2">
        <v>45413.176296296297</v>
      </c>
      <c r="D129" s="2">
        <v>45413.603784722225</v>
      </c>
      <c r="E129" s="2">
        <v>45413.645624999997</v>
      </c>
      <c r="F129" s="3">
        <f t="shared" si="1"/>
        <v>0.46932870370073942</v>
      </c>
    </row>
    <row r="130" spans="1:6" hidden="1">
      <c r="A130" s="1" t="s">
        <v>135</v>
      </c>
      <c r="B130" s="2">
        <v>45413</v>
      </c>
      <c r="C130" s="2">
        <v>45413.176319444443</v>
      </c>
      <c r="D130" s="2">
        <v>45413.608101851853</v>
      </c>
      <c r="E130" s="2">
        <v>45413.649687500001</v>
      </c>
      <c r="F130" s="3">
        <f t="shared" si="1"/>
        <v>0.47336805555823958</v>
      </c>
    </row>
    <row r="131" spans="1:6" hidden="1">
      <c r="A131" s="1" t="s">
        <v>136</v>
      </c>
      <c r="B131" s="2">
        <v>45413</v>
      </c>
      <c r="C131" s="2">
        <v>45413.176319444443</v>
      </c>
      <c r="D131" s="2">
        <v>45413.616863425923</v>
      </c>
      <c r="E131" s="2">
        <v>45413.629062499997</v>
      </c>
      <c r="F131" s="3">
        <f t="shared" ref="F131:F194" si="2">E131-C131</f>
        <v>0.45274305555358296</v>
      </c>
    </row>
    <row r="132" spans="1:6" hidden="1">
      <c r="A132" s="1" t="s">
        <v>137</v>
      </c>
      <c r="B132" s="2">
        <v>45413</v>
      </c>
      <c r="C132" s="2">
        <v>45413.176319444443</v>
      </c>
      <c r="D132" s="2">
        <v>45413.623032407406</v>
      </c>
      <c r="E132" s="2">
        <v>45413.664918981478</v>
      </c>
      <c r="F132" s="3">
        <f t="shared" si="2"/>
        <v>0.48859953703504289</v>
      </c>
    </row>
    <row r="133" spans="1:6" hidden="1">
      <c r="A133" s="1" t="s">
        <v>138</v>
      </c>
      <c r="B133" s="2">
        <v>45413</v>
      </c>
      <c r="C133" s="2">
        <v>45413.536307870374</v>
      </c>
      <c r="D133" s="2">
        <v>45413.627604166664</v>
      </c>
      <c r="E133" s="2">
        <v>45413.669398148151</v>
      </c>
      <c r="F133" s="3">
        <f t="shared" si="2"/>
        <v>0.13309027777722804</v>
      </c>
    </row>
    <row r="134" spans="1:6" hidden="1">
      <c r="A134" s="1" t="s">
        <v>139</v>
      </c>
      <c r="B134" s="2">
        <v>45413</v>
      </c>
      <c r="C134" s="2">
        <v>45413.17633101852</v>
      </c>
      <c r="D134" s="2">
        <v>45413.636030092595</v>
      </c>
      <c r="E134" s="2">
        <v>45413.677916666667</v>
      </c>
      <c r="F134" s="3">
        <f t="shared" si="2"/>
        <v>0.50158564814773854</v>
      </c>
    </row>
    <row r="135" spans="1:6" hidden="1">
      <c r="A135" s="1" t="s">
        <v>140</v>
      </c>
      <c r="B135" s="2">
        <v>45413</v>
      </c>
      <c r="C135" s="2">
        <v>45413.176319444443</v>
      </c>
      <c r="D135" s="2">
        <v>45413.640231481484</v>
      </c>
      <c r="E135" s="2">
        <v>45413.656967592593</v>
      </c>
      <c r="F135" s="3">
        <f t="shared" si="2"/>
        <v>0.48064814815006685</v>
      </c>
    </row>
    <row r="136" spans="1:6" hidden="1">
      <c r="A136" s="1" t="s">
        <v>141</v>
      </c>
      <c r="B136" s="2">
        <v>45412</v>
      </c>
      <c r="C136" s="2">
        <v>45413.310185185182</v>
      </c>
      <c r="D136" s="2">
        <v>45414.430694444447</v>
      </c>
      <c r="E136" s="2">
        <v>45414.472604166665</v>
      </c>
      <c r="F136" s="3">
        <f t="shared" si="2"/>
        <v>1.1624189814829151</v>
      </c>
    </row>
    <row r="137" spans="1:6" hidden="1">
      <c r="A137" s="1" t="s">
        <v>142</v>
      </c>
      <c r="B137" s="2">
        <v>45414</v>
      </c>
      <c r="C137" s="2">
        <v>45413.310196759259</v>
      </c>
      <c r="D137" s="2">
        <v>45413.656828703701</v>
      </c>
      <c r="E137" s="2">
        <v>45413.698645833334</v>
      </c>
      <c r="F137" s="3">
        <f t="shared" si="2"/>
        <v>0.38844907407474238</v>
      </c>
    </row>
    <row r="138" spans="1:6" hidden="1">
      <c r="A138" s="1" t="s">
        <v>143</v>
      </c>
      <c r="B138" s="2">
        <v>45414</v>
      </c>
      <c r="C138" s="2">
        <v>45413.310196759259</v>
      </c>
      <c r="D138" s="2">
        <v>45413.66605324074</v>
      </c>
      <c r="E138" s="2">
        <v>45413.707928240743</v>
      </c>
      <c r="F138" s="3">
        <f t="shared" si="2"/>
        <v>0.39773148148378823</v>
      </c>
    </row>
    <row r="139" spans="1:6" hidden="1">
      <c r="A139" s="1" t="s">
        <v>144</v>
      </c>
      <c r="B139" s="2">
        <v>45414</v>
      </c>
      <c r="C139" s="2">
        <v>45413.310196759259</v>
      </c>
      <c r="D139" s="2">
        <v>45413.667141203703</v>
      </c>
      <c r="E139" s="2">
        <v>45413.708981481483</v>
      </c>
      <c r="F139" s="3">
        <f t="shared" si="2"/>
        <v>0.39878472222335404</v>
      </c>
    </row>
    <row r="140" spans="1:6" hidden="1">
      <c r="A140" s="1" t="s">
        <v>145</v>
      </c>
      <c r="B140" s="2">
        <v>45414</v>
      </c>
      <c r="C140" s="2">
        <v>45413.310196759259</v>
      </c>
      <c r="D140" s="2">
        <v>45413.669386574074</v>
      </c>
      <c r="E140" s="2">
        <v>45413.711215277777</v>
      </c>
      <c r="F140" s="3">
        <f t="shared" si="2"/>
        <v>0.401018518517958</v>
      </c>
    </row>
    <row r="141" spans="1:6" hidden="1">
      <c r="A141" s="1" t="s">
        <v>146</v>
      </c>
      <c r="B141" s="2">
        <v>45414</v>
      </c>
      <c r="C141" s="2">
        <v>45413.310196759259</v>
      </c>
      <c r="D141" s="2">
        <v>45413.670127314814</v>
      </c>
      <c r="E141" s="2">
        <v>45413.711921296293</v>
      </c>
      <c r="F141" s="3">
        <f t="shared" si="2"/>
        <v>0.40172453703416977</v>
      </c>
    </row>
    <row r="142" spans="1:6" hidden="1">
      <c r="A142" s="1" t="s">
        <v>147</v>
      </c>
      <c r="B142" s="2">
        <v>45414</v>
      </c>
      <c r="C142" s="2">
        <v>45413.310196759259</v>
      </c>
      <c r="D142" s="2">
        <v>45413.671400462961</v>
      </c>
      <c r="E142" s="2">
        <v>45413.713206018518</v>
      </c>
      <c r="F142" s="3">
        <f t="shared" si="2"/>
        <v>0.40300925925839692</v>
      </c>
    </row>
    <row r="143" spans="1:6" hidden="1">
      <c r="A143" s="1" t="s">
        <v>148</v>
      </c>
      <c r="B143" s="2">
        <v>45413</v>
      </c>
      <c r="C143" s="2">
        <v>45413.176319444443</v>
      </c>
      <c r="D143" s="2">
        <v>45413.659814814811</v>
      </c>
      <c r="E143" s="2">
        <v>45413.701574074075</v>
      </c>
      <c r="F143" s="3">
        <f t="shared" si="2"/>
        <v>0.52525462963239988</v>
      </c>
    </row>
    <row r="144" spans="1:6" hidden="1">
      <c r="A144" s="1" t="s">
        <v>149</v>
      </c>
      <c r="B144" s="2">
        <v>45414</v>
      </c>
      <c r="C144" s="2">
        <v>45413.310196759259</v>
      </c>
      <c r="D144" s="2">
        <v>45413.675428240742</v>
      </c>
      <c r="E144" s="2">
        <v>45413.717187499999</v>
      </c>
      <c r="F144" s="3">
        <f t="shared" si="2"/>
        <v>0.40699074073927477</v>
      </c>
    </row>
    <row r="145" spans="1:6" hidden="1">
      <c r="A145" s="1" t="s">
        <v>150</v>
      </c>
      <c r="B145" s="2">
        <v>45413</v>
      </c>
      <c r="C145" s="2">
        <v>45413.364062499997</v>
      </c>
      <c r="D145" s="2">
        <v>45414.951423611114</v>
      </c>
      <c r="E145" s="2">
        <v>45414.993206018517</v>
      </c>
      <c r="F145" s="3">
        <f t="shared" si="2"/>
        <v>1.6291435185194132</v>
      </c>
    </row>
    <row r="146" spans="1:6" hidden="1">
      <c r="A146" s="1" t="s">
        <v>151</v>
      </c>
      <c r="B146" s="2">
        <v>45414</v>
      </c>
      <c r="C146" s="2">
        <v>45413.310196759259</v>
      </c>
      <c r="D146" s="2">
        <v>45413.702418981484</v>
      </c>
      <c r="E146" s="2">
        <v>45413.744525462964</v>
      </c>
      <c r="F146" s="3">
        <f t="shared" si="2"/>
        <v>0.43432870370452292</v>
      </c>
    </row>
    <row r="147" spans="1:6" hidden="1">
      <c r="A147" s="1" t="s">
        <v>152</v>
      </c>
      <c r="B147" s="2">
        <v>45414</v>
      </c>
      <c r="C147" s="2">
        <v>45413.310196759259</v>
      </c>
      <c r="D147" s="2">
        <v>45413.706805555557</v>
      </c>
      <c r="E147" s="2">
        <v>45413.74894675926</v>
      </c>
      <c r="F147" s="3">
        <f t="shared" si="2"/>
        <v>0.43875000000116415</v>
      </c>
    </row>
    <row r="148" spans="1:6" hidden="1">
      <c r="A148" s="1" t="s">
        <v>153</v>
      </c>
      <c r="B148" s="2">
        <v>45412</v>
      </c>
      <c r="C148" s="2">
        <v>45413.734976851854</v>
      </c>
      <c r="D148" s="2">
        <v>45413.733935185184</v>
      </c>
      <c r="E148" s="2">
        <v>45413.790844907409</v>
      </c>
      <c r="F148" s="3">
        <f t="shared" si="2"/>
        <v>5.5868055555038154E-2</v>
      </c>
    </row>
    <row r="149" spans="1:6" hidden="1">
      <c r="A149" s="1" t="s">
        <v>154</v>
      </c>
      <c r="B149" s="2">
        <v>45414</v>
      </c>
      <c r="C149" s="2">
        <v>45413.310196759259</v>
      </c>
      <c r="D149" s="2">
        <v>45413.742881944447</v>
      </c>
      <c r="E149" s="2">
        <v>45413.784710648149</v>
      </c>
      <c r="F149" s="3">
        <f t="shared" si="2"/>
        <v>0.47451388889021473</v>
      </c>
    </row>
    <row r="150" spans="1:6" hidden="1">
      <c r="A150" s="1" t="s">
        <v>155</v>
      </c>
      <c r="B150" s="2">
        <v>45414</v>
      </c>
      <c r="C150" s="2">
        <v>45413.310185185182</v>
      </c>
      <c r="D150" s="2">
        <v>45413.744930555556</v>
      </c>
      <c r="E150" s="2">
        <v>45413.78670138889</v>
      </c>
      <c r="F150" s="3">
        <f t="shared" si="2"/>
        <v>0.47651620370743331</v>
      </c>
    </row>
    <row r="151" spans="1:6" hidden="1">
      <c r="A151" s="1" t="s">
        <v>156</v>
      </c>
      <c r="B151" s="2">
        <v>45412</v>
      </c>
      <c r="C151" s="2">
        <v>45413.762662037036</v>
      </c>
      <c r="D151" s="2">
        <v>45413.749409722222</v>
      </c>
      <c r="E151" s="2">
        <v>45413.757326388892</v>
      </c>
      <c r="F151" s="6" t="s">
        <v>1708</v>
      </c>
    </row>
    <row r="152" spans="1:6" hidden="1">
      <c r="A152" s="1" t="s">
        <v>157</v>
      </c>
      <c r="B152" s="2">
        <v>45413</v>
      </c>
      <c r="C152" s="2">
        <v>45414.320347222223</v>
      </c>
      <c r="D152" s="2">
        <v>45414.346099537041</v>
      </c>
      <c r="E152" s="2">
        <v>45414.388171296298</v>
      </c>
      <c r="F152" s="3">
        <f t="shared" si="2"/>
        <v>6.7824074074451346E-2</v>
      </c>
    </row>
    <row r="153" spans="1:6" hidden="1">
      <c r="A153" s="1" t="s">
        <v>158</v>
      </c>
      <c r="B153" s="2">
        <v>45413</v>
      </c>
      <c r="C153" s="2">
        <v>45414.320289351854</v>
      </c>
      <c r="D153" s="2">
        <v>45414.350104166668</v>
      </c>
      <c r="E153" s="2">
        <v>45414.391921296294</v>
      </c>
      <c r="F153" s="3">
        <f t="shared" si="2"/>
        <v>7.1631944440014195E-2</v>
      </c>
    </row>
    <row r="154" spans="1:6" hidden="1">
      <c r="A154" s="1" t="s">
        <v>159</v>
      </c>
      <c r="B154" s="2">
        <v>45413</v>
      </c>
      <c r="C154" s="2">
        <v>45414.320231481484</v>
      </c>
      <c r="D154" s="2">
        <v>45414.353668981479</v>
      </c>
      <c r="E154" s="2">
        <v>45414.44121527778</v>
      </c>
      <c r="F154" s="3">
        <f t="shared" si="2"/>
        <v>0.12098379629605915</v>
      </c>
    </row>
    <row r="155" spans="1:6" hidden="1">
      <c r="A155" s="1" t="s">
        <v>160</v>
      </c>
      <c r="B155" s="2">
        <v>45413</v>
      </c>
      <c r="C155" s="2">
        <v>45414.320219907408</v>
      </c>
      <c r="D155" s="2">
        <v>45414.359930555554</v>
      </c>
      <c r="E155" s="2">
        <v>45414.373749999999</v>
      </c>
      <c r="F155" s="3">
        <f t="shared" si="2"/>
        <v>5.3530092591245193E-2</v>
      </c>
    </row>
    <row r="156" spans="1:6" hidden="1">
      <c r="A156" s="1" t="s">
        <v>161</v>
      </c>
      <c r="B156" s="2">
        <v>45413</v>
      </c>
      <c r="C156" s="2">
        <v>45414.320347222223</v>
      </c>
      <c r="D156" s="2">
        <v>45414.36347222222</v>
      </c>
      <c r="E156" s="2">
        <v>45414.405300925922</v>
      </c>
      <c r="F156" s="3">
        <f t="shared" si="2"/>
        <v>8.4953703699284233E-2</v>
      </c>
    </row>
    <row r="157" spans="1:6" hidden="1">
      <c r="A157" s="1" t="s">
        <v>162</v>
      </c>
      <c r="B157" s="2">
        <v>45413</v>
      </c>
      <c r="C157" s="2">
        <v>45414.320277777777</v>
      </c>
      <c r="D157" s="2">
        <v>45414.366863425923</v>
      </c>
      <c r="E157" s="2">
        <v>45414.408668981479</v>
      </c>
      <c r="F157" s="3">
        <f t="shared" si="2"/>
        <v>8.8391203702485655E-2</v>
      </c>
    </row>
    <row r="158" spans="1:6" hidden="1">
      <c r="A158" s="1" t="s">
        <v>163</v>
      </c>
      <c r="B158" s="2">
        <v>45413</v>
      </c>
      <c r="C158" s="2">
        <v>45414.07984953704</v>
      </c>
      <c r="D158" s="2">
        <v>45414.371388888889</v>
      </c>
      <c r="E158" s="2">
        <v>45414.413229166668</v>
      </c>
      <c r="F158" s="3">
        <f t="shared" si="2"/>
        <v>0.33337962962832535</v>
      </c>
    </row>
    <row r="159" spans="1:6" hidden="1">
      <c r="A159" s="1" t="s">
        <v>164</v>
      </c>
      <c r="B159" s="2">
        <v>45413</v>
      </c>
      <c r="C159" s="2">
        <v>45414.079768518517</v>
      </c>
      <c r="D159" s="2">
        <v>45414.889444444445</v>
      </c>
      <c r="E159" s="2">
        <v>45414.931192129632</v>
      </c>
      <c r="F159" s="3">
        <f t="shared" si="2"/>
        <v>0.85142361111502396</v>
      </c>
    </row>
    <row r="160" spans="1:6" hidden="1">
      <c r="A160" s="1" t="s">
        <v>165</v>
      </c>
      <c r="B160" s="2">
        <v>45413</v>
      </c>
      <c r="C160" s="2">
        <v>45414.079745370371</v>
      </c>
      <c r="D160" s="2">
        <v>45414.3905787037</v>
      </c>
      <c r="E160" s="2">
        <v>45414.432986111111</v>
      </c>
      <c r="F160" s="3">
        <f t="shared" si="2"/>
        <v>0.35324074074014788</v>
      </c>
    </row>
    <row r="161" spans="1:6" hidden="1">
      <c r="A161" s="1" t="s">
        <v>166</v>
      </c>
      <c r="B161" s="2">
        <v>45412</v>
      </c>
      <c r="C161" s="2">
        <v>45414.247847222221</v>
      </c>
      <c r="D161" s="2">
        <v>45414.427812499998</v>
      </c>
      <c r="E161" s="2">
        <v>45414.623425925929</v>
      </c>
      <c r="F161" s="3">
        <f t="shared" si="2"/>
        <v>0.37557870370801538</v>
      </c>
    </row>
    <row r="162" spans="1:6" hidden="1">
      <c r="A162" s="1" t="s">
        <v>167</v>
      </c>
      <c r="B162" s="2">
        <v>45412</v>
      </c>
      <c r="C162" s="2">
        <v>45414.247858796298</v>
      </c>
      <c r="D162" s="2">
        <v>45414.431967592594</v>
      </c>
      <c r="E162" s="2">
        <v>45414.565995370373</v>
      </c>
      <c r="F162" s="3">
        <f t="shared" si="2"/>
        <v>0.31813657407474238</v>
      </c>
    </row>
    <row r="163" spans="1:6" hidden="1">
      <c r="A163" s="1" t="s">
        <v>168</v>
      </c>
      <c r="B163" s="2">
        <v>45412</v>
      </c>
      <c r="C163" s="2">
        <v>45414.247858796298</v>
      </c>
      <c r="D163" s="2">
        <v>45414.432881944442</v>
      </c>
      <c r="E163" s="2">
        <v>45414.658055555556</v>
      </c>
      <c r="F163" s="3">
        <f t="shared" si="2"/>
        <v>0.41019675925781485</v>
      </c>
    </row>
    <row r="164" spans="1:6" hidden="1">
      <c r="A164" s="1" t="s">
        <v>169</v>
      </c>
      <c r="B164" s="2">
        <v>45412</v>
      </c>
      <c r="C164" s="2">
        <v>45414.247858796298</v>
      </c>
      <c r="D164" s="2">
        <v>45414.434490740743</v>
      </c>
      <c r="E164" s="2">
        <v>45414.622835648152</v>
      </c>
      <c r="F164" s="3">
        <f t="shared" si="2"/>
        <v>0.37497685185371665</v>
      </c>
    </row>
    <row r="165" spans="1:6" hidden="1">
      <c r="A165" s="1" t="s">
        <v>170</v>
      </c>
      <c r="B165" s="2">
        <v>45412</v>
      </c>
      <c r="C165" s="2">
        <v>45414.247858796298</v>
      </c>
      <c r="D165" s="2">
        <v>45414.437754629631</v>
      </c>
      <c r="E165" s="2">
        <v>45414.652199074073</v>
      </c>
      <c r="F165" s="3">
        <f t="shared" si="2"/>
        <v>0.40434027777519077</v>
      </c>
    </row>
    <row r="166" spans="1:6" hidden="1">
      <c r="A166" s="1" t="s">
        <v>171</v>
      </c>
      <c r="B166" s="2">
        <v>45412</v>
      </c>
      <c r="C166" s="2">
        <v>45414.247858796298</v>
      </c>
      <c r="D166" s="2">
        <v>45414.438854166663</v>
      </c>
      <c r="E166" s="2">
        <v>45414.567384259259</v>
      </c>
      <c r="F166" s="3">
        <f t="shared" si="2"/>
        <v>0.31952546296088258</v>
      </c>
    </row>
    <row r="167" spans="1:6" hidden="1">
      <c r="A167" s="1" t="s">
        <v>172</v>
      </c>
      <c r="B167" s="2">
        <v>45412</v>
      </c>
      <c r="C167" s="2">
        <v>45414.247858796298</v>
      </c>
      <c r="D167" s="2">
        <v>45414.439791666664</v>
      </c>
      <c r="E167" s="2">
        <v>45414.620879629627</v>
      </c>
      <c r="F167" s="3">
        <f t="shared" si="2"/>
        <v>0.37302083332906477</v>
      </c>
    </row>
    <row r="168" spans="1:6" hidden="1">
      <c r="A168" s="1" t="s">
        <v>173</v>
      </c>
      <c r="B168" s="2">
        <v>45412</v>
      </c>
      <c r="C168" s="2">
        <v>45414.247858796298</v>
      </c>
      <c r="D168" s="2">
        <v>45414.440775462965</v>
      </c>
      <c r="E168" s="2">
        <v>45414.652083333334</v>
      </c>
      <c r="F168" s="3">
        <f t="shared" si="2"/>
        <v>0.40422453703649808</v>
      </c>
    </row>
    <row r="169" spans="1:6" hidden="1">
      <c r="A169" s="1" t="s">
        <v>174</v>
      </c>
      <c r="B169" s="2">
        <v>45413</v>
      </c>
      <c r="C169" s="2">
        <v>45414.247847222221</v>
      </c>
      <c r="D169" s="2">
        <v>45414.446030092593</v>
      </c>
      <c r="E169" s="2">
        <v>45414.583726851852</v>
      </c>
      <c r="F169" s="3">
        <f t="shared" si="2"/>
        <v>0.33587962963065365</v>
      </c>
    </row>
    <row r="170" spans="1:6" hidden="1">
      <c r="A170" s="1" t="s">
        <v>175</v>
      </c>
      <c r="B170" s="2">
        <v>45413</v>
      </c>
      <c r="C170" s="2">
        <v>45413.176319444443</v>
      </c>
      <c r="D170" s="2">
        <v>45414.466817129629</v>
      </c>
      <c r="E170" s="2">
        <v>45414.467013888891</v>
      </c>
      <c r="F170" s="3">
        <f t="shared" si="2"/>
        <v>1.2906944444475812</v>
      </c>
    </row>
    <row r="171" spans="1:6" hidden="1">
      <c r="A171" s="1" t="s">
        <v>176</v>
      </c>
      <c r="B171" s="2">
        <v>45413</v>
      </c>
      <c r="C171" s="2">
        <v>45413.310185185182</v>
      </c>
      <c r="D171" s="2">
        <v>45414.465937499997</v>
      </c>
      <c r="E171" s="2">
        <v>45414.507824074077</v>
      </c>
      <c r="F171" s="3">
        <f t="shared" si="2"/>
        <v>1.1976388888942893</v>
      </c>
    </row>
    <row r="172" spans="1:6" hidden="1">
      <c r="A172" s="1" t="s">
        <v>177</v>
      </c>
      <c r="B172" s="2">
        <v>45413</v>
      </c>
      <c r="C172" s="2">
        <v>45414.469884259262</v>
      </c>
      <c r="D172" s="2">
        <v>45414.474004629628</v>
      </c>
      <c r="E172" s="2">
        <v>45414.557916666665</v>
      </c>
      <c r="F172" s="3">
        <f t="shared" si="2"/>
        <v>8.8032407402351964E-2</v>
      </c>
    </row>
    <row r="173" spans="1:6" hidden="1">
      <c r="A173" s="1" t="s">
        <v>178</v>
      </c>
      <c r="B173" s="2">
        <v>45412</v>
      </c>
      <c r="C173" s="2">
        <v>45414.247858796298</v>
      </c>
      <c r="D173" s="2">
        <v>45414.47861111111</v>
      </c>
      <c r="E173" s="2">
        <v>45414.621944444443</v>
      </c>
      <c r="F173" s="3">
        <f t="shared" si="2"/>
        <v>0.37408564814541023</v>
      </c>
    </row>
    <row r="174" spans="1:6" hidden="1">
      <c r="A174" s="1" t="s">
        <v>179</v>
      </c>
      <c r="B174" s="2">
        <v>45414</v>
      </c>
      <c r="C174" s="2">
        <v>45413.310185185182</v>
      </c>
      <c r="D174" s="2">
        <v>45414.488842592589</v>
      </c>
      <c r="E174" s="2">
        <v>45414.552870370368</v>
      </c>
      <c r="F174" s="3">
        <f t="shared" si="2"/>
        <v>1.2426851851851097</v>
      </c>
    </row>
    <row r="175" spans="1:6" hidden="1">
      <c r="A175" s="1" t="s">
        <v>180</v>
      </c>
      <c r="B175" s="2">
        <v>45414</v>
      </c>
      <c r="C175" s="2">
        <v>45414.320300925923</v>
      </c>
      <c r="D175" s="2">
        <v>45414.49359953704</v>
      </c>
      <c r="E175" s="2">
        <v>45414.535428240742</v>
      </c>
      <c r="F175" s="3">
        <f t="shared" si="2"/>
        <v>0.21512731481925584</v>
      </c>
    </row>
    <row r="176" spans="1:6" hidden="1">
      <c r="A176" s="1" t="s">
        <v>181</v>
      </c>
      <c r="B176" s="2">
        <v>45414</v>
      </c>
      <c r="C176" s="2">
        <v>45414.079780092594</v>
      </c>
      <c r="D176" s="2">
        <v>45414.499201388891</v>
      </c>
      <c r="E176" s="2">
        <v>45414.541087962964</v>
      </c>
      <c r="F176" s="3">
        <f t="shared" si="2"/>
        <v>0.46130787036963739</v>
      </c>
    </row>
    <row r="177" spans="1:6" hidden="1">
      <c r="A177" s="1" t="s">
        <v>182</v>
      </c>
      <c r="B177" s="2">
        <v>45414</v>
      </c>
      <c r="C177" s="2">
        <v>45414.320243055554</v>
      </c>
      <c r="D177" s="2">
        <v>45414.50199074074</v>
      </c>
      <c r="E177" s="2">
        <v>45414.543842592589</v>
      </c>
      <c r="F177" s="3">
        <f t="shared" si="2"/>
        <v>0.22359953703562496</v>
      </c>
    </row>
    <row r="178" spans="1:6" hidden="1">
      <c r="A178" s="1" t="s">
        <v>183</v>
      </c>
      <c r="B178" s="2">
        <v>45414</v>
      </c>
      <c r="C178" s="2">
        <v>45414.320347222223</v>
      </c>
      <c r="D178" s="2">
        <v>45414.506145833337</v>
      </c>
      <c r="E178" s="2">
        <v>45414.552951388891</v>
      </c>
      <c r="F178" s="3">
        <f t="shared" si="2"/>
        <v>0.23260416666744277</v>
      </c>
    </row>
    <row r="179" spans="1:6" hidden="1">
      <c r="A179" s="1" t="s">
        <v>184</v>
      </c>
      <c r="B179" s="2">
        <v>45414</v>
      </c>
      <c r="C179" s="2">
        <v>45414.320347222223</v>
      </c>
      <c r="D179" s="2">
        <v>45414.5544212963</v>
      </c>
      <c r="E179" s="2">
        <v>45414.596539351849</v>
      </c>
      <c r="F179" s="3">
        <f t="shared" si="2"/>
        <v>0.27619212962599704</v>
      </c>
    </row>
    <row r="180" spans="1:6" hidden="1">
      <c r="A180" s="1" t="s">
        <v>185</v>
      </c>
      <c r="B180" s="2">
        <v>45414</v>
      </c>
      <c r="C180" s="2">
        <v>45414.859259259261</v>
      </c>
      <c r="D180" s="2">
        <v>45415.39329861111</v>
      </c>
      <c r="E180" s="2">
        <v>45415.403460648151</v>
      </c>
      <c r="F180" s="3">
        <f t="shared" si="2"/>
        <v>0.54420138888963265</v>
      </c>
    </row>
    <row r="181" spans="1:6" hidden="1">
      <c r="A181" s="1" t="s">
        <v>186</v>
      </c>
      <c r="B181" s="2">
        <v>45407</v>
      </c>
      <c r="C181" s="2">
        <v>45408.271562499998</v>
      </c>
      <c r="D181" s="2">
        <v>45414.56490740741</v>
      </c>
      <c r="E181" s="2">
        <v>45414.606863425928</v>
      </c>
      <c r="F181" s="3">
        <f t="shared" si="2"/>
        <v>6.3353009259299142</v>
      </c>
    </row>
    <row r="182" spans="1:6" hidden="1">
      <c r="A182" s="1" t="s">
        <v>187</v>
      </c>
      <c r="B182" s="2">
        <v>45414</v>
      </c>
      <c r="C182" s="2">
        <v>45415.971377314818</v>
      </c>
      <c r="D182" s="2">
        <v>45415.714745370373</v>
      </c>
      <c r="E182" s="2">
        <v>45416.337337962963</v>
      </c>
      <c r="F182" s="3">
        <f t="shared" si="2"/>
        <v>0.36596064814511919</v>
      </c>
    </row>
    <row r="183" spans="1:6" hidden="1">
      <c r="A183" s="1" t="s">
        <v>188</v>
      </c>
      <c r="B183" s="2">
        <v>45414</v>
      </c>
      <c r="C183" s="2">
        <v>45414.569525462961</v>
      </c>
      <c r="D183" s="2">
        <v>45414.635057870371</v>
      </c>
      <c r="E183" s="2">
        <v>45414.67696759259</v>
      </c>
      <c r="F183" s="3">
        <f t="shared" si="2"/>
        <v>0.10744212962890742</v>
      </c>
    </row>
    <row r="184" spans="1:6" hidden="1">
      <c r="A184" s="1" t="s">
        <v>189</v>
      </c>
      <c r="B184" s="2">
        <v>45414</v>
      </c>
      <c r="C184" s="2">
        <v>45414.569537037038</v>
      </c>
      <c r="D184" s="2">
        <v>45414.63658564815</v>
      </c>
      <c r="E184" s="2">
        <v>45414.678402777776</v>
      </c>
      <c r="F184" s="3">
        <f t="shared" si="2"/>
        <v>0.10886574073811062</v>
      </c>
    </row>
    <row r="185" spans="1:6" hidden="1">
      <c r="A185" s="1" t="s">
        <v>190</v>
      </c>
      <c r="B185" s="2">
        <v>45405</v>
      </c>
      <c r="C185" s="2">
        <v>45406.019293981481</v>
      </c>
      <c r="D185" s="2">
        <v>45414.646504629629</v>
      </c>
      <c r="E185" s="2">
        <v>45414.688402777778</v>
      </c>
      <c r="F185" s="3">
        <f t="shared" si="2"/>
        <v>8.6691087962972233</v>
      </c>
    </row>
    <row r="186" spans="1:6" hidden="1">
      <c r="A186" s="1" t="s">
        <v>191</v>
      </c>
      <c r="B186" s="2">
        <v>45412</v>
      </c>
      <c r="C186" s="2">
        <v>45412.30541666667</v>
      </c>
      <c r="D186" s="2">
        <v>45414.696238425924</v>
      </c>
      <c r="E186" s="2">
        <v>45414.706180555557</v>
      </c>
      <c r="F186" s="3">
        <f t="shared" si="2"/>
        <v>2.4007638888870133</v>
      </c>
    </row>
    <row r="187" spans="1:6" hidden="1">
      <c r="A187" s="1" t="s">
        <v>192</v>
      </c>
      <c r="B187" s="2">
        <v>45414</v>
      </c>
      <c r="C187" s="2">
        <v>45414.786805555559</v>
      </c>
      <c r="D187" s="2">
        <v>45415.32534722222</v>
      </c>
      <c r="E187" s="2">
        <v>45415.367210648146</v>
      </c>
      <c r="F187" s="3">
        <f t="shared" si="2"/>
        <v>0.58040509258717066</v>
      </c>
    </row>
    <row r="188" spans="1:6" hidden="1">
      <c r="A188" s="1" t="s">
        <v>193</v>
      </c>
      <c r="B188" s="2">
        <v>45411</v>
      </c>
      <c r="C188" s="2">
        <v>45411.736307870371</v>
      </c>
      <c r="D188" s="2">
        <v>45414.730937499997</v>
      </c>
      <c r="E188" s="2">
        <v>45414.749490740738</v>
      </c>
      <c r="F188" s="3">
        <f t="shared" si="2"/>
        <v>3.013182870367018</v>
      </c>
    </row>
    <row r="189" spans="1:6" hidden="1">
      <c r="A189" s="1" t="s">
        <v>194</v>
      </c>
      <c r="B189" s="2">
        <v>45414</v>
      </c>
      <c r="C189" s="2">
        <v>45413.310196759259</v>
      </c>
      <c r="D189" s="2">
        <v>45414.747835648152</v>
      </c>
      <c r="E189" s="2">
        <v>45414.76871527778</v>
      </c>
      <c r="F189" s="3">
        <f t="shared" si="2"/>
        <v>1.4585185185205773</v>
      </c>
    </row>
    <row r="190" spans="1:6" hidden="1">
      <c r="A190" s="1" t="s">
        <v>195</v>
      </c>
      <c r="B190" s="2">
        <v>45413</v>
      </c>
      <c r="C190" s="2">
        <v>45414.744016203702</v>
      </c>
      <c r="D190" s="2">
        <v>45414.758229166669</v>
      </c>
      <c r="E190" s="2">
        <v>45414.856388888889</v>
      </c>
      <c r="F190" s="3">
        <f t="shared" si="2"/>
        <v>0.11237268518743804</v>
      </c>
    </row>
    <row r="191" spans="1:6" hidden="1">
      <c r="A191" s="1" t="s">
        <v>196</v>
      </c>
      <c r="B191" s="2">
        <v>45414</v>
      </c>
      <c r="C191" s="2">
        <v>45414.247858796298</v>
      </c>
      <c r="D191" s="2">
        <v>45414.763842592591</v>
      </c>
      <c r="E191" s="2">
        <v>45414.805613425924</v>
      </c>
      <c r="F191" s="3">
        <f t="shared" si="2"/>
        <v>0.55775462962628808</v>
      </c>
    </row>
    <row r="192" spans="1:6">
      <c r="A192" s="1" t="s">
        <v>197</v>
      </c>
      <c r="B192" s="2">
        <v>45414</v>
      </c>
      <c r="C192" s="2">
        <v>45414.247835648152</v>
      </c>
      <c r="D192" s="2">
        <v>45419.58761574074</v>
      </c>
      <c r="E192" s="2">
        <v>45419.674259259256</v>
      </c>
      <c r="F192" s="3">
        <f t="shared" si="2"/>
        <v>5.4264236111048376</v>
      </c>
    </row>
    <row r="193" spans="1:6" hidden="1">
      <c r="A193" s="1" t="s">
        <v>198</v>
      </c>
      <c r="B193" s="2">
        <v>45412</v>
      </c>
      <c r="C193" s="2">
        <v>45413.762662037036</v>
      </c>
      <c r="D193" s="2">
        <v>45414.798877314817</v>
      </c>
      <c r="E193" s="2">
        <v>45414.812372685185</v>
      </c>
      <c r="F193" s="3">
        <f t="shared" si="2"/>
        <v>1.0497106481489027</v>
      </c>
    </row>
    <row r="194" spans="1:6">
      <c r="A194" s="1" t="s">
        <v>199</v>
      </c>
      <c r="B194" s="2">
        <v>45414</v>
      </c>
      <c r="C194" s="2">
        <v>45414.320185185185</v>
      </c>
      <c r="D194" s="2">
        <v>45419.626400462963</v>
      </c>
      <c r="E194" s="2">
        <v>45419.741689814815</v>
      </c>
      <c r="F194" s="3">
        <f t="shared" si="2"/>
        <v>5.4215046296303626</v>
      </c>
    </row>
    <row r="195" spans="1:6" hidden="1">
      <c r="A195" s="1" t="s">
        <v>200</v>
      </c>
      <c r="B195" s="2">
        <v>45412</v>
      </c>
      <c r="C195" s="2">
        <v>45413.536307870374</v>
      </c>
      <c r="D195" s="2">
        <v>45414.862013888887</v>
      </c>
      <c r="E195" s="2">
        <v>45414.876851851855</v>
      </c>
      <c r="F195" s="3">
        <f t="shared" ref="F195:F258" si="3">E195-C195</f>
        <v>1.3405439814814599</v>
      </c>
    </row>
    <row r="196" spans="1:6" hidden="1">
      <c r="A196" s="1" t="s">
        <v>201</v>
      </c>
      <c r="B196" s="2">
        <v>45413</v>
      </c>
      <c r="C196" s="2">
        <v>45413.176307870373</v>
      </c>
      <c r="D196" s="2">
        <v>45414.869930555556</v>
      </c>
      <c r="E196" s="2">
        <v>45414.911712962959</v>
      </c>
      <c r="F196" s="3">
        <f t="shared" si="3"/>
        <v>1.7354050925860065</v>
      </c>
    </row>
    <row r="197" spans="1:6">
      <c r="A197" s="1" t="s">
        <v>202</v>
      </c>
      <c r="B197" s="2">
        <v>45411</v>
      </c>
      <c r="C197" s="2">
        <v>45412.72991898148</v>
      </c>
      <c r="D197" s="2">
        <v>45414.902407407404</v>
      </c>
      <c r="E197" s="2">
        <v>45420.718032407407</v>
      </c>
      <c r="F197" s="3">
        <f t="shared" si="3"/>
        <v>7.9881134259267128</v>
      </c>
    </row>
    <row r="198" spans="1:6" hidden="1">
      <c r="A198" s="1" t="s">
        <v>203</v>
      </c>
      <c r="B198" s="2">
        <v>45408</v>
      </c>
      <c r="C198" s="2">
        <v>45409.251898148148</v>
      </c>
      <c r="D198" s="2">
        <v>45414.937268518515</v>
      </c>
      <c r="E198" s="2">
        <v>45415.274039351854</v>
      </c>
      <c r="F198" s="3">
        <f t="shared" si="3"/>
        <v>6.0221412037062692</v>
      </c>
    </row>
    <row r="199" spans="1:6" hidden="1">
      <c r="A199" s="1" t="s">
        <v>204</v>
      </c>
      <c r="B199" s="2">
        <v>45409</v>
      </c>
      <c r="C199" s="2">
        <v>45410.731168981481</v>
      </c>
      <c r="D199" s="2">
        <v>45414.96435185185</v>
      </c>
      <c r="E199" s="2">
        <v>45415.008136574077</v>
      </c>
      <c r="F199" s="3">
        <f t="shared" si="3"/>
        <v>4.2769675925956108</v>
      </c>
    </row>
    <row r="200" spans="1:6" hidden="1">
      <c r="A200" s="1" t="s">
        <v>205</v>
      </c>
      <c r="B200" s="2">
        <v>45410</v>
      </c>
      <c r="C200" s="2">
        <v>45410.325960648152</v>
      </c>
      <c r="D200" s="2">
        <v>45415.334444444445</v>
      </c>
      <c r="E200" s="2">
        <v>45415.376250000001</v>
      </c>
      <c r="F200" s="3">
        <f t="shared" si="3"/>
        <v>5.0502893518496421</v>
      </c>
    </row>
    <row r="201" spans="1:6" hidden="1">
      <c r="A201" s="1" t="s">
        <v>206</v>
      </c>
      <c r="B201" s="2">
        <v>45409</v>
      </c>
      <c r="C201" s="2">
        <v>45409.268125000002</v>
      </c>
      <c r="D201" s="2">
        <v>45415.343229166669</v>
      </c>
      <c r="E201" s="2">
        <v>45415.385046296295</v>
      </c>
      <c r="F201" s="3">
        <f t="shared" si="3"/>
        <v>6.1169212962922757</v>
      </c>
    </row>
    <row r="202" spans="1:6" hidden="1">
      <c r="A202" s="1" t="s">
        <v>207</v>
      </c>
      <c r="B202" s="2">
        <v>45413</v>
      </c>
      <c r="C202" s="2">
        <v>45415.334791666668</v>
      </c>
      <c r="D202" s="2">
        <v>45415.373379629629</v>
      </c>
      <c r="E202" s="2">
        <v>45415.415219907409</v>
      </c>
      <c r="F202" s="3">
        <f t="shared" si="3"/>
        <v>8.0428240740729962E-2</v>
      </c>
    </row>
    <row r="203" spans="1:6" hidden="1">
      <c r="A203" s="1" t="s">
        <v>208</v>
      </c>
      <c r="B203" s="2">
        <v>45413</v>
      </c>
      <c r="C203" s="2">
        <v>45414.859259259261</v>
      </c>
      <c r="D203" s="2">
        <v>45415.387858796297</v>
      </c>
      <c r="E203" s="2">
        <v>45415.429907407408</v>
      </c>
      <c r="F203" s="3">
        <f t="shared" si="3"/>
        <v>0.57064814814657439</v>
      </c>
    </row>
    <row r="204" spans="1:6" hidden="1">
      <c r="A204" s="1" t="s">
        <v>209</v>
      </c>
      <c r="B204" s="2">
        <v>45413</v>
      </c>
      <c r="C204" s="2">
        <v>45415.334849537037</v>
      </c>
      <c r="D204" s="2">
        <v>45415.399131944447</v>
      </c>
      <c r="E204" s="2">
        <v>45415.422291666669</v>
      </c>
      <c r="F204" s="3">
        <f t="shared" si="3"/>
        <v>8.7442129632108845E-2</v>
      </c>
    </row>
    <row r="205" spans="1:6" hidden="1">
      <c r="A205" s="1" t="s">
        <v>210</v>
      </c>
      <c r="B205" s="2">
        <v>45413</v>
      </c>
      <c r="C205" s="2">
        <v>45415.334837962961</v>
      </c>
      <c r="D205" s="2">
        <v>45415.403969907406</v>
      </c>
      <c r="E205" s="2">
        <v>45415.445949074077</v>
      </c>
      <c r="F205" s="3">
        <f t="shared" si="3"/>
        <v>0.11111111111677019</v>
      </c>
    </row>
    <row r="206" spans="1:6" hidden="1">
      <c r="A206" s="1" t="s">
        <v>211</v>
      </c>
      <c r="B206" s="2">
        <v>45413</v>
      </c>
      <c r="C206" s="2">
        <v>45415.194918981484</v>
      </c>
      <c r="D206" s="2">
        <v>45415.408425925925</v>
      </c>
      <c r="E206" s="2">
        <v>45415.450289351851</v>
      </c>
      <c r="F206" s="3">
        <f t="shared" si="3"/>
        <v>0.25537037036701804</v>
      </c>
    </row>
    <row r="207" spans="1:6" hidden="1">
      <c r="A207" s="1" t="s">
        <v>212</v>
      </c>
      <c r="B207" s="2">
        <v>45413</v>
      </c>
      <c r="C207" s="2">
        <v>45415.194918981484</v>
      </c>
      <c r="D207" s="2">
        <v>45415.411249999997</v>
      </c>
      <c r="E207" s="2">
        <v>45415.453055555554</v>
      </c>
      <c r="F207" s="3">
        <f t="shared" si="3"/>
        <v>0.25813657406979473</v>
      </c>
    </row>
    <row r="208" spans="1:6" hidden="1">
      <c r="A208" s="1" t="s">
        <v>213</v>
      </c>
      <c r="B208" s="2">
        <v>45413</v>
      </c>
      <c r="C208" s="2">
        <v>45415.194907407407</v>
      </c>
      <c r="D208" s="2">
        <v>45415.416319444441</v>
      </c>
      <c r="E208" s="2">
        <v>45415.458275462966</v>
      </c>
      <c r="F208" s="3">
        <f t="shared" si="3"/>
        <v>0.26336805555911269</v>
      </c>
    </row>
    <row r="209" spans="1:6" hidden="1">
      <c r="A209" s="1" t="s">
        <v>214</v>
      </c>
      <c r="B209" s="2">
        <v>45413</v>
      </c>
      <c r="C209" s="2">
        <v>45415.194895833331</v>
      </c>
      <c r="D209" s="2">
        <v>45415.425000000003</v>
      </c>
      <c r="E209" s="2">
        <v>45415.466828703706</v>
      </c>
      <c r="F209" s="3">
        <f t="shared" si="3"/>
        <v>0.27193287037516711</v>
      </c>
    </row>
    <row r="210" spans="1:6" hidden="1">
      <c r="A210" s="1" t="s">
        <v>215</v>
      </c>
      <c r="B210" s="2">
        <v>45414</v>
      </c>
      <c r="C210" s="2">
        <v>45415.264814814815</v>
      </c>
      <c r="D210" s="2">
        <v>45415.464490740742</v>
      </c>
      <c r="E210" s="2">
        <v>45415.579016203701</v>
      </c>
      <c r="F210" s="3">
        <f t="shared" si="3"/>
        <v>0.31420138888643123</v>
      </c>
    </row>
    <row r="211" spans="1:6" hidden="1">
      <c r="A211" s="1" t="s">
        <v>216</v>
      </c>
      <c r="B211" s="2">
        <v>45415</v>
      </c>
      <c r="C211" s="2">
        <v>45415.168032407404</v>
      </c>
      <c r="D211" s="2">
        <v>45415.465682870374</v>
      </c>
      <c r="E211" s="2">
        <v>45415.507615740738</v>
      </c>
      <c r="F211" s="3">
        <f t="shared" si="3"/>
        <v>0.33958333333430346</v>
      </c>
    </row>
    <row r="212" spans="1:6" hidden="1">
      <c r="A212" s="1" t="s">
        <v>217</v>
      </c>
      <c r="B212" s="2">
        <v>45413</v>
      </c>
      <c r="C212" s="2">
        <v>45414.247847222221</v>
      </c>
      <c r="D212" s="2">
        <v>45415.469756944447</v>
      </c>
      <c r="E212" s="2">
        <v>45415.511608796296</v>
      </c>
      <c r="F212" s="3">
        <f t="shared" si="3"/>
        <v>1.2637615740750334</v>
      </c>
    </row>
    <row r="213" spans="1:6" hidden="1">
      <c r="A213" s="1" t="s">
        <v>218</v>
      </c>
      <c r="B213" s="2">
        <v>45414</v>
      </c>
      <c r="C213" s="2">
        <v>45415.264814814815</v>
      </c>
      <c r="D213" s="2">
        <v>45415.482129629629</v>
      </c>
      <c r="E213" s="2">
        <v>45415.603831018518</v>
      </c>
      <c r="F213" s="3">
        <f t="shared" si="3"/>
        <v>0.33901620370306773</v>
      </c>
    </row>
    <row r="214" spans="1:6" hidden="1">
      <c r="A214" s="1" t="s">
        <v>219</v>
      </c>
      <c r="B214" s="2">
        <v>45414</v>
      </c>
      <c r="C214" s="2">
        <v>45415.264814814815</v>
      </c>
      <c r="D214" s="2">
        <v>45415.494513888887</v>
      </c>
      <c r="E214" s="2">
        <v>45415.597627314812</v>
      </c>
      <c r="F214" s="3">
        <f t="shared" si="3"/>
        <v>0.33281249999708962</v>
      </c>
    </row>
    <row r="215" spans="1:6">
      <c r="A215" s="1" t="s">
        <v>220</v>
      </c>
      <c r="B215" s="2">
        <v>45412</v>
      </c>
      <c r="C215" s="2">
        <v>45413.82849537037</v>
      </c>
      <c r="D215" s="2">
        <v>45419.573634259257</v>
      </c>
      <c r="E215" s="2">
        <v>45419.609120370369</v>
      </c>
      <c r="F215" s="3">
        <f t="shared" si="3"/>
        <v>5.7806249999994179</v>
      </c>
    </row>
    <row r="216" spans="1:6" hidden="1">
      <c r="A216" s="1" t="s">
        <v>221</v>
      </c>
      <c r="B216" s="2">
        <v>45414</v>
      </c>
      <c r="C216" s="2">
        <v>45415.264814814815</v>
      </c>
      <c r="D216" s="2">
        <v>45415.549710648149</v>
      </c>
      <c r="E216" s="2">
        <v>45415.605000000003</v>
      </c>
      <c r="F216" s="3">
        <f t="shared" si="3"/>
        <v>0.34018518518860219</v>
      </c>
    </row>
    <row r="217" spans="1:6" hidden="1">
      <c r="A217" s="1" t="s">
        <v>222</v>
      </c>
      <c r="B217" s="2">
        <v>45414</v>
      </c>
      <c r="C217" s="2">
        <v>45415.264814814815</v>
      </c>
      <c r="D217" s="2">
        <v>45415.555069444446</v>
      </c>
      <c r="E217" s="2">
        <v>45415.596944444442</v>
      </c>
      <c r="F217" s="3">
        <f t="shared" si="3"/>
        <v>0.33212962962716119</v>
      </c>
    </row>
    <row r="218" spans="1:6" hidden="1">
      <c r="A218" s="1" t="s">
        <v>223</v>
      </c>
      <c r="B218" s="2">
        <v>45414</v>
      </c>
      <c r="C218" s="2">
        <v>45415.264814814815</v>
      </c>
      <c r="D218" s="2">
        <v>45415.561620370368</v>
      </c>
      <c r="E218" s="2">
        <v>45415.606504629628</v>
      </c>
      <c r="F218" s="3">
        <f t="shared" si="3"/>
        <v>0.34168981481343508</v>
      </c>
    </row>
    <row r="219" spans="1:6" hidden="1">
      <c r="A219" s="1" t="s">
        <v>224</v>
      </c>
      <c r="B219" s="2">
        <v>45414</v>
      </c>
      <c r="C219" s="2">
        <v>45415.264814814815</v>
      </c>
      <c r="D219" s="2">
        <v>45415.566840277781</v>
      </c>
      <c r="E219" s="2">
        <v>45415.609039351853</v>
      </c>
      <c r="F219" s="3">
        <f t="shared" si="3"/>
        <v>0.34422453703882638</v>
      </c>
    </row>
    <row r="220" spans="1:6" hidden="1">
      <c r="A220" s="1" t="s">
        <v>225</v>
      </c>
      <c r="B220" s="2">
        <v>45414</v>
      </c>
      <c r="C220" s="2">
        <v>45415.264814814815</v>
      </c>
      <c r="D220" s="2">
        <v>45415.577557870369</v>
      </c>
      <c r="E220" s="2">
        <v>45415.61954861111</v>
      </c>
      <c r="F220" s="3">
        <f t="shared" si="3"/>
        <v>0.35473379629547708</v>
      </c>
    </row>
    <row r="221" spans="1:6" hidden="1">
      <c r="A221" s="1" t="s">
        <v>226</v>
      </c>
      <c r="B221" s="2">
        <v>45414</v>
      </c>
      <c r="C221" s="2">
        <v>45415.264814814815</v>
      </c>
      <c r="D221" s="2">
        <v>45415.580011574071</v>
      </c>
      <c r="E221" s="2">
        <v>45415.622037037036</v>
      </c>
      <c r="F221" s="3">
        <f t="shared" si="3"/>
        <v>0.35722222222102573</v>
      </c>
    </row>
    <row r="222" spans="1:6" hidden="1">
      <c r="A222" s="1" t="s">
        <v>227</v>
      </c>
      <c r="B222" s="2">
        <v>45414</v>
      </c>
      <c r="C222" s="2">
        <v>45415.264803240738</v>
      </c>
      <c r="D222" s="2">
        <v>45415.598310185182</v>
      </c>
      <c r="E222" s="2">
        <v>45415.640509259261</v>
      </c>
      <c r="F222" s="3">
        <f t="shared" si="3"/>
        <v>0.37570601852348773</v>
      </c>
    </row>
    <row r="223" spans="1:6" hidden="1">
      <c r="A223" s="1" t="s">
        <v>228</v>
      </c>
      <c r="B223" s="2">
        <v>45414</v>
      </c>
      <c r="C223" s="2">
        <v>45413.310185185182</v>
      </c>
      <c r="D223" s="2">
        <v>45415.606296296297</v>
      </c>
      <c r="E223" s="2">
        <v>45415.700324074074</v>
      </c>
      <c r="F223" s="3">
        <f t="shared" si="3"/>
        <v>2.3901388888916699</v>
      </c>
    </row>
    <row r="224" spans="1:6" hidden="1">
      <c r="A224" s="1" t="s">
        <v>229</v>
      </c>
      <c r="B224" s="2">
        <v>45413</v>
      </c>
      <c r="C224" s="2">
        <v>45414.837812500002</v>
      </c>
      <c r="D224" s="2">
        <v>45415.613159722219</v>
      </c>
      <c r="E224" s="2">
        <v>45415.622604166667</v>
      </c>
      <c r="F224" s="3">
        <f t="shared" si="3"/>
        <v>0.78479166666511446</v>
      </c>
    </row>
    <row r="225" spans="1:6" hidden="1">
      <c r="A225" s="1" t="s">
        <v>230</v>
      </c>
      <c r="B225" s="2">
        <v>45412</v>
      </c>
      <c r="C225" s="2">
        <v>45413.176319444443</v>
      </c>
      <c r="D225" s="2">
        <v>45415.613240740742</v>
      </c>
      <c r="E225" s="2">
        <v>45415.654999999999</v>
      </c>
      <c r="F225" s="3">
        <f t="shared" si="3"/>
        <v>2.4786805555559113</v>
      </c>
    </row>
    <row r="226" spans="1:6" hidden="1">
      <c r="A226" s="1" t="s">
        <v>231</v>
      </c>
      <c r="B226" s="2">
        <v>45413</v>
      </c>
      <c r="C226" s="2">
        <v>45416.478784722225</v>
      </c>
      <c r="D226" s="2">
        <v>45416.462696759256</v>
      </c>
      <c r="E226" s="2">
        <v>45416.504513888889</v>
      </c>
      <c r="F226" s="3">
        <f t="shared" si="3"/>
        <v>2.5729166663950309E-2</v>
      </c>
    </row>
    <row r="227" spans="1:6" hidden="1">
      <c r="A227" s="1" t="s">
        <v>232</v>
      </c>
      <c r="B227" s="2">
        <v>45414</v>
      </c>
      <c r="C227" s="2">
        <v>45415.264803240738</v>
      </c>
      <c r="D227" s="2">
        <v>45415.640474537038</v>
      </c>
      <c r="E227" s="2">
        <v>45415.682384259257</v>
      </c>
      <c r="F227" s="3">
        <f t="shared" si="3"/>
        <v>0.41758101851883112</v>
      </c>
    </row>
    <row r="228" spans="1:6" hidden="1">
      <c r="A228" s="1" t="s">
        <v>233</v>
      </c>
      <c r="B228" s="2">
        <v>45410</v>
      </c>
      <c r="C228" s="2">
        <v>45411.430659722224</v>
      </c>
      <c r="D228" s="2">
        <v>45415.681921296295</v>
      </c>
      <c r="E228" s="2">
        <v>45415.690138888887</v>
      </c>
      <c r="F228" s="3">
        <f t="shared" si="3"/>
        <v>4.2594791666633682</v>
      </c>
    </row>
    <row r="229" spans="1:6" hidden="1">
      <c r="A229" s="1" t="s">
        <v>234</v>
      </c>
      <c r="B229" s="2">
        <v>45412</v>
      </c>
      <c r="C229" s="2">
        <v>45412.652199074073</v>
      </c>
      <c r="D229" s="2">
        <v>45415.685347222221</v>
      </c>
      <c r="E229" s="2">
        <v>45415.727187500001</v>
      </c>
      <c r="F229" s="3">
        <f t="shared" si="3"/>
        <v>3.0749884259275859</v>
      </c>
    </row>
    <row r="230" spans="1:6" hidden="1">
      <c r="A230" s="1" t="s">
        <v>235</v>
      </c>
      <c r="B230" s="2">
        <v>45414</v>
      </c>
      <c r="C230" s="2">
        <v>45415.264803240738</v>
      </c>
      <c r="D230" s="2">
        <v>45415.685370370367</v>
      </c>
      <c r="E230" s="2">
        <v>45415.727129629631</v>
      </c>
      <c r="F230" s="3">
        <f t="shared" si="3"/>
        <v>0.46232638889341615</v>
      </c>
    </row>
    <row r="231" spans="1:6" hidden="1">
      <c r="A231" s="1" t="s">
        <v>236</v>
      </c>
      <c r="B231" s="2">
        <v>45412</v>
      </c>
      <c r="C231" s="2">
        <v>45413.762662037036</v>
      </c>
      <c r="D231" s="2">
        <v>45415.692233796297</v>
      </c>
      <c r="E231" s="2">
        <v>45415.717361111114</v>
      </c>
      <c r="F231" s="3">
        <f t="shared" si="3"/>
        <v>1.9546990740782348</v>
      </c>
    </row>
    <row r="232" spans="1:6" hidden="1">
      <c r="A232" s="1" t="s">
        <v>237</v>
      </c>
      <c r="B232" s="2">
        <v>45412</v>
      </c>
      <c r="C232" s="2">
        <v>45415.264803240738</v>
      </c>
      <c r="D232" s="2">
        <v>45415.708587962959</v>
      </c>
      <c r="E232" s="2">
        <v>45415.755844907406</v>
      </c>
      <c r="F232" s="3">
        <f t="shared" si="3"/>
        <v>0.49104166666802485</v>
      </c>
    </row>
    <row r="233" spans="1:6" hidden="1">
      <c r="A233" s="1" t="s">
        <v>238</v>
      </c>
      <c r="B233" s="2">
        <v>45414</v>
      </c>
      <c r="C233" s="2">
        <v>45415.264803240738</v>
      </c>
      <c r="D233" s="2">
        <v>45415.709976851853</v>
      </c>
      <c r="E233" s="2">
        <v>45415.751793981479</v>
      </c>
      <c r="F233" s="3">
        <f t="shared" si="3"/>
        <v>0.486990740741021</v>
      </c>
    </row>
    <row r="234" spans="1:6" hidden="1">
      <c r="A234" s="1" t="s">
        <v>239</v>
      </c>
      <c r="B234" s="2">
        <v>45414</v>
      </c>
      <c r="C234" s="2">
        <v>45415.264803240738</v>
      </c>
      <c r="D234" s="2">
        <v>45415.707719907405</v>
      </c>
      <c r="E234" s="2">
        <v>45415.74962962963</v>
      </c>
      <c r="F234" s="3">
        <f t="shared" si="3"/>
        <v>0.48482638889254304</v>
      </c>
    </row>
    <row r="235" spans="1:6" hidden="1">
      <c r="A235" s="1" t="s">
        <v>240</v>
      </c>
      <c r="B235" s="2">
        <v>45414</v>
      </c>
      <c r="C235" s="2">
        <v>45415.264803240738</v>
      </c>
      <c r="D235" s="2">
        <v>45415.710775462961</v>
      </c>
      <c r="E235" s="2">
        <v>45415.752546296295</v>
      </c>
      <c r="F235" s="3">
        <f t="shared" si="3"/>
        <v>0.48774305555707542</v>
      </c>
    </row>
    <row r="236" spans="1:6" hidden="1">
      <c r="A236" s="1" t="s">
        <v>241</v>
      </c>
      <c r="B236" s="2">
        <v>45414</v>
      </c>
      <c r="C236" s="2">
        <v>45415.264803240738</v>
      </c>
      <c r="D236" s="2">
        <v>45415.724664351852</v>
      </c>
      <c r="E236" s="2">
        <v>45415.766562500001</v>
      </c>
      <c r="F236" s="3">
        <f t="shared" si="3"/>
        <v>0.50175925926305354</v>
      </c>
    </row>
    <row r="237" spans="1:6" hidden="1">
      <c r="A237" s="1" t="s">
        <v>242</v>
      </c>
      <c r="B237" s="2">
        <v>45414</v>
      </c>
      <c r="C237" s="2">
        <v>45415.264803240738</v>
      </c>
      <c r="D237" s="2">
        <v>45415.725775462961</v>
      </c>
      <c r="E237" s="2">
        <v>45415.767743055556</v>
      </c>
      <c r="F237" s="3">
        <f t="shared" si="3"/>
        <v>0.50293981481809169</v>
      </c>
    </row>
    <row r="238" spans="1:6" hidden="1">
      <c r="A238" s="1" t="s">
        <v>243</v>
      </c>
      <c r="B238" s="2">
        <v>45414</v>
      </c>
      <c r="C238" s="2">
        <v>45415.264803240738</v>
      </c>
      <c r="D238" s="2">
        <v>45415.7266087963</v>
      </c>
      <c r="E238" s="2">
        <v>45415.768449074072</v>
      </c>
      <c r="F238" s="3">
        <f t="shared" si="3"/>
        <v>0.50364583333430346</v>
      </c>
    </row>
    <row r="239" spans="1:6" hidden="1">
      <c r="A239" s="1" t="s">
        <v>244</v>
      </c>
      <c r="B239" s="2">
        <v>45414</v>
      </c>
      <c r="C239" s="2">
        <v>45415.264814814815</v>
      </c>
      <c r="D239" s="2">
        <v>45415.732534722221</v>
      </c>
      <c r="E239" s="2">
        <v>45415.774317129632</v>
      </c>
      <c r="F239" s="3">
        <f t="shared" si="3"/>
        <v>0.50950231481692754</v>
      </c>
    </row>
    <row r="240" spans="1:6" hidden="1">
      <c r="A240" s="1" t="s">
        <v>245</v>
      </c>
      <c r="B240" s="2">
        <v>45414</v>
      </c>
      <c r="C240" s="2">
        <v>45415.264814814815</v>
      </c>
      <c r="D240" s="2">
        <v>45415.733437499999</v>
      </c>
      <c r="E240" s="2">
        <v>45415.775266203702</v>
      </c>
      <c r="F240" s="3">
        <f t="shared" si="3"/>
        <v>0.51045138888730435</v>
      </c>
    </row>
    <row r="241" spans="1:6" hidden="1">
      <c r="A241" s="1" t="s">
        <v>246</v>
      </c>
      <c r="B241" s="2">
        <v>45414</v>
      </c>
      <c r="C241" s="2">
        <v>45415.264814814815</v>
      </c>
      <c r="D241" s="2">
        <v>45415.734351851854</v>
      </c>
      <c r="E241" s="2">
        <v>45415.75409722222</v>
      </c>
      <c r="F241" s="3">
        <f t="shared" si="3"/>
        <v>0.48928240740497131</v>
      </c>
    </row>
    <row r="242" spans="1:6">
      <c r="A242" s="1" t="s">
        <v>247</v>
      </c>
      <c r="B242" s="2">
        <v>45414</v>
      </c>
      <c r="C242" s="2">
        <v>45415.264803240738</v>
      </c>
      <c r="D242" s="2">
        <v>45415.744293981479</v>
      </c>
      <c r="E242" s="2">
        <v>45418.41542824074</v>
      </c>
      <c r="F242" s="3">
        <f t="shared" si="3"/>
        <v>3.1506250000020373</v>
      </c>
    </row>
    <row r="243" spans="1:6" hidden="1">
      <c r="A243" s="1" t="s">
        <v>248</v>
      </c>
      <c r="B243" s="2">
        <v>45414</v>
      </c>
      <c r="C243" s="2">
        <v>45415.264803240738</v>
      </c>
      <c r="D243" s="2">
        <v>45415.745243055557</v>
      </c>
      <c r="E243" s="2">
        <v>45415.776400462964</v>
      </c>
      <c r="F243" s="3">
        <f t="shared" si="3"/>
        <v>0.51159722222655546</v>
      </c>
    </row>
    <row r="244" spans="1:6" hidden="1">
      <c r="A244" s="1" t="s">
        <v>249</v>
      </c>
      <c r="B244" s="2">
        <v>45414</v>
      </c>
      <c r="C244" s="2">
        <v>45415.264803240738</v>
      </c>
      <c r="D244" s="2">
        <v>45415.746122685188</v>
      </c>
      <c r="E244" s="2">
        <v>45415.787893518522</v>
      </c>
      <c r="F244" s="3">
        <f t="shared" si="3"/>
        <v>0.52309027778392192</v>
      </c>
    </row>
    <row r="245" spans="1:6" hidden="1">
      <c r="A245" s="1" t="s">
        <v>250</v>
      </c>
      <c r="B245" s="2">
        <v>45414</v>
      </c>
      <c r="C245" s="2">
        <v>45415.264803240738</v>
      </c>
      <c r="D245" s="2">
        <v>45415.747141203705</v>
      </c>
      <c r="E245" s="2">
        <v>45415.788877314815</v>
      </c>
      <c r="F245" s="3">
        <f t="shared" si="3"/>
        <v>0.52407407407736173</v>
      </c>
    </row>
    <row r="246" spans="1:6" hidden="1">
      <c r="A246" s="1" t="s">
        <v>251</v>
      </c>
      <c r="B246" s="2">
        <v>45414</v>
      </c>
      <c r="C246" s="2">
        <v>45413.310196759259</v>
      </c>
      <c r="D246" s="2">
        <v>45415.753842592596</v>
      </c>
      <c r="E246" s="2">
        <v>45415.756435185183</v>
      </c>
      <c r="F246" s="3">
        <f t="shared" si="3"/>
        <v>2.4462384259240935</v>
      </c>
    </row>
    <row r="247" spans="1:6">
      <c r="A247" s="1" t="s">
        <v>252</v>
      </c>
      <c r="B247" s="2">
        <v>45412</v>
      </c>
      <c r="C247" s="2">
        <v>45413.762662037036</v>
      </c>
      <c r="D247" s="2">
        <v>45415.760451388887</v>
      </c>
      <c r="E247" s="2">
        <v>45418.475682870368</v>
      </c>
      <c r="F247" s="3">
        <f t="shared" si="3"/>
        <v>4.7130208333328483</v>
      </c>
    </row>
    <row r="248" spans="1:6" hidden="1">
      <c r="A248" s="1" t="s">
        <v>253</v>
      </c>
      <c r="B248" s="2">
        <v>45414</v>
      </c>
      <c r="C248" s="2">
        <v>45415.264803240738</v>
      </c>
      <c r="D248" s="2">
        <v>45415.765462962961</v>
      </c>
      <c r="E248" s="2">
        <v>45415.766724537039</v>
      </c>
      <c r="F248" s="3">
        <f t="shared" si="3"/>
        <v>0.50192129630158888</v>
      </c>
    </row>
    <row r="249" spans="1:6" hidden="1">
      <c r="A249" s="1" t="s">
        <v>254</v>
      </c>
      <c r="B249" s="2">
        <v>45414</v>
      </c>
      <c r="C249" s="2">
        <v>45415.264803240738</v>
      </c>
      <c r="D249" s="2">
        <v>45415.76635416667</v>
      </c>
      <c r="E249" s="2">
        <v>45415.808067129627</v>
      </c>
      <c r="F249" s="3">
        <f t="shared" si="3"/>
        <v>0.54326388888875954</v>
      </c>
    </row>
    <row r="250" spans="1:6" hidden="1">
      <c r="A250" s="1" t="s">
        <v>255</v>
      </c>
      <c r="B250" s="2">
        <v>45414</v>
      </c>
      <c r="C250" s="2">
        <v>45415.264803240738</v>
      </c>
      <c r="D250" s="2">
        <v>45415.767291666663</v>
      </c>
      <c r="E250" s="2">
        <v>45415.809027777781</v>
      </c>
      <c r="F250" s="3">
        <f t="shared" si="3"/>
        <v>0.54422453704319196</v>
      </c>
    </row>
    <row r="251" spans="1:6" hidden="1">
      <c r="A251" s="1" t="s">
        <v>256</v>
      </c>
      <c r="B251" s="2">
        <v>45414</v>
      </c>
      <c r="C251" s="2">
        <v>45415.264814814815</v>
      </c>
      <c r="D251" s="2">
        <v>45415.768483796295</v>
      </c>
      <c r="E251" s="2">
        <v>45415.810312499998</v>
      </c>
      <c r="F251" s="3">
        <f t="shared" si="3"/>
        <v>0.5454976851833635</v>
      </c>
    </row>
    <row r="252" spans="1:6" hidden="1">
      <c r="A252" s="1" t="s">
        <v>257</v>
      </c>
      <c r="B252" s="2">
        <v>45414</v>
      </c>
      <c r="C252" s="2">
        <v>45415.264814814815</v>
      </c>
      <c r="D252" s="2">
        <v>45415.770046296297</v>
      </c>
      <c r="E252" s="2">
        <v>45415.811840277776</v>
      </c>
      <c r="F252" s="3">
        <f t="shared" si="3"/>
        <v>0.54702546296175569</v>
      </c>
    </row>
    <row r="253" spans="1:6" hidden="1">
      <c r="A253" s="1" t="s">
        <v>258</v>
      </c>
      <c r="B253" s="2">
        <v>45414</v>
      </c>
      <c r="C253" s="2">
        <v>45415.264803240738</v>
      </c>
      <c r="D253" s="2">
        <v>45415.898078703707</v>
      </c>
      <c r="E253" s="2">
        <v>45415.94</v>
      </c>
      <c r="F253" s="3">
        <f t="shared" si="3"/>
        <v>0.67519675926450873</v>
      </c>
    </row>
    <row r="254" spans="1:6" hidden="1">
      <c r="A254" s="1" t="s">
        <v>259</v>
      </c>
      <c r="B254" s="2">
        <v>45414</v>
      </c>
      <c r="C254" s="2">
        <v>45415.264814814815</v>
      </c>
      <c r="D254" s="2">
        <v>45415.909004629626</v>
      </c>
      <c r="E254" s="2">
        <v>45416.25675925926</v>
      </c>
      <c r="F254" s="3">
        <f t="shared" si="3"/>
        <v>0.99194444444583496</v>
      </c>
    </row>
    <row r="255" spans="1:6" hidden="1">
      <c r="A255" s="1" t="s">
        <v>260</v>
      </c>
      <c r="B255" s="2">
        <v>45414</v>
      </c>
      <c r="C255" s="2">
        <v>45415.168032407404</v>
      </c>
      <c r="D255" s="2">
        <v>45415.913645833331</v>
      </c>
      <c r="E255" s="2">
        <v>45415.955474537041</v>
      </c>
      <c r="F255" s="3">
        <f t="shared" si="3"/>
        <v>0.78744212963647442</v>
      </c>
    </row>
    <row r="256" spans="1:6" hidden="1">
      <c r="A256" s="1" t="s">
        <v>261</v>
      </c>
      <c r="B256" s="2">
        <v>45413</v>
      </c>
      <c r="C256" s="2">
        <v>45415.351342592592</v>
      </c>
      <c r="D256" s="2">
        <v>45415.916828703703</v>
      </c>
      <c r="E256" s="2">
        <v>45415.958622685182</v>
      </c>
      <c r="F256" s="3">
        <f t="shared" si="3"/>
        <v>0.60728009259037208</v>
      </c>
    </row>
    <row r="257" spans="1:6" hidden="1">
      <c r="A257" s="1" t="s">
        <v>262</v>
      </c>
      <c r="B257" s="2">
        <v>45413</v>
      </c>
      <c r="C257" s="2">
        <v>45415.351365740738</v>
      </c>
      <c r="D257" s="2">
        <v>45415.919247685182</v>
      </c>
      <c r="E257" s="2">
        <v>45415.961064814815</v>
      </c>
      <c r="F257" s="3">
        <f t="shared" si="3"/>
        <v>0.60969907407707069</v>
      </c>
    </row>
    <row r="258" spans="1:6" hidden="1">
      <c r="A258" s="1" t="s">
        <v>263</v>
      </c>
      <c r="B258" s="2">
        <v>45414</v>
      </c>
      <c r="C258" s="2">
        <v>45414.247858796298</v>
      </c>
      <c r="D258" s="2">
        <v>45415.922418981485</v>
      </c>
      <c r="E258" s="2">
        <v>45415.964212962965</v>
      </c>
      <c r="F258" s="3">
        <f t="shared" si="3"/>
        <v>1.7163541666668607</v>
      </c>
    </row>
    <row r="259" spans="1:6" hidden="1">
      <c r="A259" s="1" t="s">
        <v>264</v>
      </c>
      <c r="B259" s="2">
        <v>45415</v>
      </c>
      <c r="C259" s="2">
        <v>45415.334791666668</v>
      </c>
      <c r="D259" s="2">
        <v>45415.942256944443</v>
      </c>
      <c r="E259" s="2">
        <v>45415.983981481484</v>
      </c>
      <c r="F259" s="3">
        <f t="shared" ref="F259:F322" si="4">E259-C259</f>
        <v>0.64918981481605442</v>
      </c>
    </row>
    <row r="260" spans="1:6" hidden="1">
      <c r="A260" s="1" t="s">
        <v>265</v>
      </c>
      <c r="B260" s="2">
        <v>45414</v>
      </c>
      <c r="C260" s="2">
        <v>45415.264803240738</v>
      </c>
      <c r="D260" s="2">
        <v>45415.950567129628</v>
      </c>
      <c r="E260" s="2">
        <v>45416.265810185185</v>
      </c>
      <c r="F260" s="3">
        <f t="shared" si="4"/>
        <v>1.0010069444469991</v>
      </c>
    </row>
    <row r="261" spans="1:6" hidden="1">
      <c r="A261" s="1" t="s">
        <v>266</v>
      </c>
      <c r="B261" s="2">
        <v>45415</v>
      </c>
      <c r="C261" s="2">
        <v>45415.168020833335</v>
      </c>
      <c r="D261" s="2">
        <v>45415.949340277781</v>
      </c>
      <c r="E261" s="2">
        <v>45415.99119212963</v>
      </c>
      <c r="F261" s="3">
        <f t="shared" si="4"/>
        <v>0.82317129629518604</v>
      </c>
    </row>
    <row r="262" spans="1:6" hidden="1">
      <c r="A262" s="1" t="s">
        <v>267</v>
      </c>
      <c r="B262" s="2">
        <v>45415</v>
      </c>
      <c r="C262" s="2">
        <v>45415.168055555558</v>
      </c>
      <c r="D262" s="2">
        <v>45415.9528125</v>
      </c>
      <c r="E262" s="2">
        <v>45415.994571759256</v>
      </c>
      <c r="F262" s="3">
        <f t="shared" si="4"/>
        <v>0.82651620369870216</v>
      </c>
    </row>
    <row r="263" spans="1:6" hidden="1">
      <c r="A263" s="1" t="s">
        <v>268</v>
      </c>
      <c r="B263" s="2">
        <v>45415</v>
      </c>
      <c r="C263" s="2">
        <v>45415.168032407404</v>
      </c>
      <c r="D263" s="2">
        <v>45415.964143518519</v>
      </c>
      <c r="E263" s="2">
        <v>45416.005983796298</v>
      </c>
      <c r="F263" s="3">
        <f t="shared" si="4"/>
        <v>0.83795138889399823</v>
      </c>
    </row>
    <row r="264" spans="1:6" hidden="1">
      <c r="A264" s="1" t="s">
        <v>269</v>
      </c>
      <c r="B264" s="2">
        <v>45415</v>
      </c>
      <c r="C264" s="2">
        <v>45415.168032407404</v>
      </c>
      <c r="D264" s="2">
        <v>45415.96125</v>
      </c>
      <c r="E264" s="2">
        <v>45416.275810185187</v>
      </c>
      <c r="F264" s="3">
        <f t="shared" si="4"/>
        <v>1.1077777777827578</v>
      </c>
    </row>
    <row r="265" spans="1:6" hidden="1">
      <c r="A265" s="1" t="s">
        <v>270</v>
      </c>
      <c r="B265" s="2">
        <v>45415</v>
      </c>
      <c r="C265" s="2">
        <v>45415.168032407404</v>
      </c>
      <c r="D265" s="2">
        <v>45415.966099537036</v>
      </c>
      <c r="E265" s="2">
        <v>45416.262129629627</v>
      </c>
      <c r="F265" s="3">
        <f t="shared" si="4"/>
        <v>1.094097222223354</v>
      </c>
    </row>
    <row r="266" spans="1:6" hidden="1">
      <c r="A266" s="1" t="s">
        <v>271</v>
      </c>
      <c r="B266" s="2">
        <v>45415</v>
      </c>
      <c r="C266" s="2">
        <v>45415.168032407404</v>
      </c>
      <c r="D266" s="2">
        <v>45415.968877314815</v>
      </c>
      <c r="E266" s="2">
        <v>45416.010671296295</v>
      </c>
      <c r="F266" s="3">
        <f t="shared" si="4"/>
        <v>0.84263888889108784</v>
      </c>
    </row>
    <row r="267" spans="1:6" hidden="1">
      <c r="A267" s="1" t="s">
        <v>272</v>
      </c>
      <c r="B267" s="2">
        <v>45415</v>
      </c>
      <c r="C267" s="2">
        <v>45415.334803240738</v>
      </c>
      <c r="D267" s="2">
        <v>45415.970243055555</v>
      </c>
      <c r="E267" s="2">
        <v>45416.011956018519</v>
      </c>
      <c r="F267" s="3">
        <f t="shared" si="4"/>
        <v>0.67715277778188465</v>
      </c>
    </row>
    <row r="268" spans="1:6" hidden="1">
      <c r="A268" s="1" t="s">
        <v>273</v>
      </c>
      <c r="B268" s="2">
        <v>45415</v>
      </c>
      <c r="C268" s="2">
        <v>45415.334872685184</v>
      </c>
      <c r="D268" s="2">
        <v>45415.971655092595</v>
      </c>
      <c r="E268" s="2">
        <v>45416.013472222221</v>
      </c>
      <c r="F268" s="3">
        <f t="shared" si="4"/>
        <v>0.67859953703737119</v>
      </c>
    </row>
    <row r="269" spans="1:6" hidden="1">
      <c r="A269" s="1" t="s">
        <v>274</v>
      </c>
      <c r="B269" s="2">
        <v>45415</v>
      </c>
      <c r="C269" s="2">
        <v>45415.168032407404</v>
      </c>
      <c r="D269" s="2">
        <v>45415.973483796297</v>
      </c>
      <c r="E269" s="2">
        <v>45416.015219907407</v>
      </c>
      <c r="F269" s="3">
        <f t="shared" si="4"/>
        <v>0.84718750000320142</v>
      </c>
    </row>
    <row r="270" spans="1:6">
      <c r="A270" s="1" t="s">
        <v>275</v>
      </c>
      <c r="B270" s="2">
        <v>45415</v>
      </c>
      <c r="C270" s="2">
        <v>45415.168032407404</v>
      </c>
      <c r="D270" s="2">
        <v>45418.440208333333</v>
      </c>
      <c r="E270" s="2">
        <v>45418.481979166667</v>
      </c>
      <c r="F270" s="3">
        <f t="shared" si="4"/>
        <v>3.3139467592627625</v>
      </c>
    </row>
    <row r="271" spans="1:6" hidden="1">
      <c r="A271" s="1" t="s">
        <v>276</v>
      </c>
      <c r="B271" s="2">
        <v>45415</v>
      </c>
      <c r="C271" s="2">
        <v>45415.334872685184</v>
      </c>
      <c r="D271" s="2">
        <v>45415.979328703703</v>
      </c>
      <c r="E271" s="2">
        <v>45416.021157407406</v>
      </c>
      <c r="F271" s="3">
        <f t="shared" si="4"/>
        <v>0.68628472222189885</v>
      </c>
    </row>
    <row r="272" spans="1:6" hidden="1">
      <c r="A272" s="1" t="s">
        <v>277</v>
      </c>
      <c r="B272" s="2">
        <v>45415</v>
      </c>
      <c r="C272" s="2">
        <v>45415.168032407404</v>
      </c>
      <c r="D272" s="2">
        <v>45415.981782407405</v>
      </c>
      <c r="E272" s="2">
        <v>45416.023599537039</v>
      </c>
      <c r="F272" s="3">
        <f t="shared" si="4"/>
        <v>0.85556712963443715</v>
      </c>
    </row>
    <row r="273" spans="1:6" hidden="1">
      <c r="A273" s="1" t="s">
        <v>278</v>
      </c>
      <c r="B273" s="2">
        <v>45415</v>
      </c>
      <c r="C273" s="2">
        <v>45415.334872685184</v>
      </c>
      <c r="D273" s="2">
        <v>45415.981921296298</v>
      </c>
      <c r="E273" s="2">
        <v>45416.023726851854</v>
      </c>
      <c r="F273" s="3">
        <f t="shared" si="4"/>
        <v>0.68885416667035315</v>
      </c>
    </row>
    <row r="274" spans="1:6" hidden="1">
      <c r="A274" s="1" t="s">
        <v>279</v>
      </c>
      <c r="B274" s="2">
        <v>45415</v>
      </c>
      <c r="C274" s="2">
        <v>45415.168032407404</v>
      </c>
      <c r="D274" s="2">
        <v>45415.985810185186</v>
      </c>
      <c r="E274" s="2">
        <v>45416.027569444443</v>
      </c>
      <c r="F274" s="3">
        <f t="shared" si="4"/>
        <v>0.85953703703853535</v>
      </c>
    </row>
    <row r="275" spans="1:6" hidden="1">
      <c r="A275" s="1" t="s">
        <v>280</v>
      </c>
      <c r="B275" s="2">
        <v>45415</v>
      </c>
      <c r="C275" s="2">
        <v>45417.016238425924</v>
      </c>
      <c r="D275" s="2">
        <v>45417.330474537041</v>
      </c>
      <c r="E275" s="2">
        <v>45417.372372685182</v>
      </c>
      <c r="F275" s="3">
        <f t="shared" si="4"/>
        <v>0.35613425925839692</v>
      </c>
    </row>
    <row r="276" spans="1:6" hidden="1">
      <c r="A276" s="1" t="s">
        <v>281</v>
      </c>
      <c r="B276" s="2">
        <v>45415</v>
      </c>
      <c r="C276" s="2">
        <v>45415.334861111114</v>
      </c>
      <c r="D276" s="2">
        <v>45415.989988425928</v>
      </c>
      <c r="E276" s="2">
        <v>45416.262685185182</v>
      </c>
      <c r="F276" s="3">
        <f t="shared" si="4"/>
        <v>0.92782407406775746</v>
      </c>
    </row>
    <row r="277" spans="1:6" hidden="1">
      <c r="A277" s="1" t="s">
        <v>282</v>
      </c>
      <c r="B277" s="2">
        <v>45414</v>
      </c>
      <c r="C277" s="2">
        <v>45415.264814814815</v>
      </c>
      <c r="D277" s="2">
        <v>45415.990717592591</v>
      </c>
      <c r="E277" s="2">
        <v>45416.032465277778</v>
      </c>
      <c r="F277" s="3">
        <f t="shared" si="4"/>
        <v>0.76765046296350192</v>
      </c>
    </row>
    <row r="278" spans="1:6" hidden="1">
      <c r="A278" s="1" t="s">
        <v>283</v>
      </c>
      <c r="B278" s="2">
        <v>45415</v>
      </c>
      <c r="C278" s="2">
        <v>45415.168032407404</v>
      </c>
      <c r="D278" s="2">
        <v>45415.992766203701</v>
      </c>
      <c r="E278" s="2">
        <v>45416.034560185188</v>
      </c>
      <c r="F278" s="3">
        <f t="shared" si="4"/>
        <v>0.86652777778363088</v>
      </c>
    </row>
    <row r="279" spans="1:6" hidden="1">
      <c r="A279" s="1" t="s">
        <v>284</v>
      </c>
      <c r="B279" s="2">
        <v>45415</v>
      </c>
      <c r="C279" s="2">
        <v>45415.334733796299</v>
      </c>
      <c r="D279" s="2">
        <v>45416.010694444441</v>
      </c>
      <c r="E279" s="2">
        <v>45416.052430555559</v>
      </c>
      <c r="F279" s="3">
        <f t="shared" si="4"/>
        <v>0.71769675926043419</v>
      </c>
    </row>
    <row r="280" spans="1:6">
      <c r="A280" s="1" t="s">
        <v>285</v>
      </c>
      <c r="B280" s="2">
        <v>45413</v>
      </c>
      <c r="C280" s="2">
        <v>45414.744016203702</v>
      </c>
      <c r="D280" s="2">
        <v>45421.915208333332</v>
      </c>
      <c r="E280" s="2">
        <v>45421.93414351852</v>
      </c>
      <c r="F280" s="3">
        <f t="shared" si="4"/>
        <v>7.1901273148178007</v>
      </c>
    </row>
    <row r="281" spans="1:6" hidden="1">
      <c r="A281" s="1" t="s">
        <v>286</v>
      </c>
      <c r="B281" s="2">
        <v>45415</v>
      </c>
      <c r="C281" s="2">
        <v>45416.464328703703</v>
      </c>
      <c r="D281" s="2">
        <v>45416.432372685187</v>
      </c>
      <c r="E281" s="2">
        <v>45416.437291666669</v>
      </c>
      <c r="F281" s="6" t="s">
        <v>1708</v>
      </c>
    </row>
    <row r="282" spans="1:6" hidden="1">
      <c r="A282" s="1" t="s">
        <v>287</v>
      </c>
      <c r="B282" s="2">
        <v>45415</v>
      </c>
      <c r="C282" s="2">
        <v>45416.464328703703</v>
      </c>
      <c r="D282" s="2">
        <v>45416.431319444448</v>
      </c>
      <c r="E282" s="2">
        <v>45416.44127314815</v>
      </c>
      <c r="F282" s="6" t="s">
        <v>1708</v>
      </c>
    </row>
    <row r="283" spans="1:6" hidden="1">
      <c r="A283" s="1" t="s">
        <v>288</v>
      </c>
      <c r="B283" s="2">
        <v>45415</v>
      </c>
      <c r="C283" s="2">
        <v>45416.464328703703</v>
      </c>
      <c r="D283" s="2">
        <v>45416.429629629631</v>
      </c>
      <c r="E283" s="2">
        <v>45416.437442129631</v>
      </c>
      <c r="F283" s="6" t="s">
        <v>1708</v>
      </c>
    </row>
    <row r="284" spans="1:6" hidden="1">
      <c r="A284" s="1" t="s">
        <v>289</v>
      </c>
      <c r="B284" s="2">
        <v>45415</v>
      </c>
      <c r="C284" s="2">
        <v>45415.334733796299</v>
      </c>
      <c r="D284" s="2">
        <v>45416.040729166663</v>
      </c>
      <c r="E284" s="2">
        <v>45416.082569444443</v>
      </c>
      <c r="F284" s="3">
        <f t="shared" si="4"/>
        <v>0.74783564814424608</v>
      </c>
    </row>
    <row r="285" spans="1:6" hidden="1">
      <c r="A285" s="1" t="s">
        <v>290</v>
      </c>
      <c r="B285" s="2">
        <v>45415</v>
      </c>
      <c r="C285" s="2">
        <v>45416.416273148148</v>
      </c>
      <c r="D285" s="2">
        <v>45416.415381944447</v>
      </c>
      <c r="E285" s="2">
        <v>45416.427245370367</v>
      </c>
      <c r="F285" s="3">
        <f t="shared" si="4"/>
        <v>1.0972222218697425E-2</v>
      </c>
    </row>
    <row r="286" spans="1:6" hidden="1">
      <c r="A286" s="1" t="s">
        <v>291</v>
      </c>
      <c r="B286" s="2">
        <v>45415</v>
      </c>
      <c r="C286" s="2">
        <v>45416.416273148148</v>
      </c>
      <c r="D286" s="2">
        <v>45416.416215277779</v>
      </c>
      <c r="E286" s="2">
        <v>45416.457997685182</v>
      </c>
      <c r="F286" s="3">
        <f t="shared" si="4"/>
        <v>4.1724537033587694E-2</v>
      </c>
    </row>
    <row r="287" spans="1:6" hidden="1">
      <c r="A287" s="1" t="s">
        <v>292</v>
      </c>
      <c r="B287" s="2">
        <v>45415</v>
      </c>
      <c r="C287" s="2">
        <v>45416.416273148148</v>
      </c>
      <c r="D287" s="2">
        <v>45416.417384259257</v>
      </c>
      <c r="E287" s="2">
        <v>45416.733530092592</v>
      </c>
      <c r="F287" s="3">
        <f t="shared" si="4"/>
        <v>0.31725694444321562</v>
      </c>
    </row>
    <row r="288" spans="1:6" hidden="1">
      <c r="A288" s="1" t="s">
        <v>293</v>
      </c>
      <c r="B288" s="2">
        <v>45415</v>
      </c>
      <c r="C288" s="2">
        <v>45416.416273148148</v>
      </c>
      <c r="D288" s="2">
        <v>45416.419398148151</v>
      </c>
      <c r="E288" s="2">
        <v>45416.734907407408</v>
      </c>
      <c r="F288" s="3">
        <f t="shared" si="4"/>
        <v>0.31863425925985212</v>
      </c>
    </row>
    <row r="289" spans="1:6" hidden="1">
      <c r="A289" s="1" t="s">
        <v>294</v>
      </c>
      <c r="B289" s="2">
        <v>45415</v>
      </c>
      <c r="C289" s="2">
        <v>45416.416273148148</v>
      </c>
      <c r="D289" s="2">
        <v>45416.418981481482</v>
      </c>
      <c r="E289" s="2">
        <v>45416.745347222219</v>
      </c>
      <c r="F289" s="3">
        <f t="shared" si="4"/>
        <v>0.32907407407037681</v>
      </c>
    </row>
    <row r="290" spans="1:6" hidden="1">
      <c r="A290" s="1" t="s">
        <v>295</v>
      </c>
      <c r="B290" s="2">
        <v>45415</v>
      </c>
      <c r="C290" s="2">
        <v>45415.736608796295</v>
      </c>
      <c r="D290" s="2">
        <v>45416.061724537038</v>
      </c>
      <c r="E290" s="2">
        <v>45416.309120370373</v>
      </c>
      <c r="F290" s="3">
        <f t="shared" si="4"/>
        <v>0.57251157407881692</v>
      </c>
    </row>
    <row r="291" spans="1:6" hidden="1">
      <c r="A291" s="1" t="s">
        <v>296</v>
      </c>
      <c r="B291" s="2">
        <v>45415</v>
      </c>
      <c r="C291" s="2">
        <v>45416.288078703707</v>
      </c>
      <c r="D291" s="2">
        <v>45416.398113425923</v>
      </c>
      <c r="E291" s="2">
        <v>45416.473368055558</v>
      </c>
      <c r="F291" s="3">
        <f t="shared" si="4"/>
        <v>0.18528935185167938</v>
      </c>
    </row>
    <row r="292" spans="1:6" hidden="1">
      <c r="A292" s="1" t="s">
        <v>297</v>
      </c>
      <c r="B292" s="2">
        <v>45415</v>
      </c>
      <c r="C292" s="2">
        <v>45416.288078703707</v>
      </c>
      <c r="D292" s="2">
        <v>45416.402789351851</v>
      </c>
      <c r="E292" s="2">
        <v>45416.557743055557</v>
      </c>
      <c r="F292" s="3">
        <f t="shared" si="4"/>
        <v>0.26966435185022419</v>
      </c>
    </row>
    <row r="293" spans="1:6" hidden="1">
      <c r="A293" s="1" t="s">
        <v>298</v>
      </c>
      <c r="B293" s="2">
        <v>45415</v>
      </c>
      <c r="C293" s="2">
        <v>45416.288078703707</v>
      </c>
      <c r="D293" s="2">
        <v>45416.40520833333</v>
      </c>
      <c r="E293" s="2">
        <v>45416.474745370368</v>
      </c>
      <c r="F293" s="3">
        <f t="shared" si="4"/>
        <v>0.18666666666103993</v>
      </c>
    </row>
    <row r="294" spans="1:6" hidden="1">
      <c r="A294" s="1" t="s">
        <v>299</v>
      </c>
      <c r="B294" s="2">
        <v>45415</v>
      </c>
      <c r="C294" s="2">
        <v>45416.288078703707</v>
      </c>
      <c r="D294" s="2">
        <v>45416.410740740743</v>
      </c>
      <c r="E294" s="2">
        <v>45416.473506944443</v>
      </c>
      <c r="F294" s="3">
        <f t="shared" si="4"/>
        <v>0.18542824073665543</v>
      </c>
    </row>
    <row r="295" spans="1:6" hidden="1">
      <c r="A295" s="1" t="s">
        <v>300</v>
      </c>
      <c r="B295" s="2">
        <v>45415</v>
      </c>
      <c r="C295" s="2">
        <v>45416.28806712963</v>
      </c>
      <c r="D295" s="2">
        <v>45416.451967592591</v>
      </c>
      <c r="E295" s="2">
        <v>45416.549722222226</v>
      </c>
      <c r="F295" s="3">
        <f t="shared" si="4"/>
        <v>0.26165509259590181</v>
      </c>
    </row>
    <row r="296" spans="1:6" hidden="1">
      <c r="A296" s="1" t="s">
        <v>301</v>
      </c>
      <c r="B296" s="2">
        <v>45416</v>
      </c>
      <c r="C296" s="2">
        <v>45416.22152777778</v>
      </c>
      <c r="D296" s="2">
        <v>45416.502951388888</v>
      </c>
      <c r="E296" s="2">
        <v>45416.54483796296</v>
      </c>
      <c r="F296" s="3">
        <f t="shared" si="4"/>
        <v>0.32331018518016208</v>
      </c>
    </row>
    <row r="297" spans="1:6" hidden="1">
      <c r="A297" s="1" t="s">
        <v>302</v>
      </c>
      <c r="B297" s="2">
        <v>45416</v>
      </c>
      <c r="C297" s="2">
        <v>45416.22152777778</v>
      </c>
      <c r="D297" s="2">
        <v>45416.505995370368</v>
      </c>
      <c r="E297" s="2">
        <v>45416.547754629632</v>
      </c>
      <c r="F297" s="3">
        <f t="shared" si="4"/>
        <v>0.32622685185197042</v>
      </c>
    </row>
    <row r="298" spans="1:6" hidden="1">
      <c r="A298" s="1" t="s">
        <v>303</v>
      </c>
      <c r="B298" s="2">
        <v>45416</v>
      </c>
      <c r="C298" s="2">
        <v>45416.22152777778</v>
      </c>
      <c r="D298" s="2">
        <v>45416.510231481479</v>
      </c>
      <c r="E298" s="2">
        <v>45416.55196759259</v>
      </c>
      <c r="F298" s="3">
        <f t="shared" si="4"/>
        <v>0.33043981481023366</v>
      </c>
    </row>
    <row r="299" spans="1:6" hidden="1">
      <c r="A299" s="1" t="s">
        <v>304</v>
      </c>
      <c r="B299" s="2">
        <v>45416</v>
      </c>
      <c r="C299" s="2">
        <v>45416.22152777778</v>
      </c>
      <c r="D299" s="2">
        <v>45416.512916666667</v>
      </c>
      <c r="E299" s="2">
        <v>45416.541168981479</v>
      </c>
      <c r="F299" s="3">
        <f t="shared" si="4"/>
        <v>0.31964120369957527</v>
      </c>
    </row>
    <row r="300" spans="1:6" hidden="1">
      <c r="A300" s="1" t="s">
        <v>305</v>
      </c>
      <c r="B300" s="2">
        <v>45416</v>
      </c>
      <c r="C300" s="2">
        <v>45416.22152777778</v>
      </c>
      <c r="D300" s="2">
        <v>45416.519201388888</v>
      </c>
      <c r="E300" s="2">
        <v>45416.560949074075</v>
      </c>
      <c r="F300" s="3">
        <f t="shared" si="4"/>
        <v>0.33942129629576812</v>
      </c>
    </row>
    <row r="301" spans="1:6" hidden="1">
      <c r="A301" s="1" t="s">
        <v>306</v>
      </c>
      <c r="B301" s="2">
        <v>45416</v>
      </c>
      <c r="C301" s="2">
        <v>45416.22152777778</v>
      </c>
      <c r="D301" s="2">
        <v>45416.521932870368</v>
      </c>
      <c r="E301" s="2">
        <v>45416.550034722219</v>
      </c>
      <c r="F301" s="3">
        <f t="shared" si="4"/>
        <v>0.32850694443914108</v>
      </c>
    </row>
    <row r="302" spans="1:6" hidden="1">
      <c r="A302" s="1" t="s">
        <v>307</v>
      </c>
      <c r="B302" s="2">
        <v>45416</v>
      </c>
      <c r="C302" s="2">
        <v>45416.22152777778</v>
      </c>
      <c r="D302" s="2">
        <v>45416.526539351849</v>
      </c>
      <c r="E302" s="2">
        <v>45416.56832175926</v>
      </c>
      <c r="F302" s="3">
        <f t="shared" si="4"/>
        <v>0.34679398148000473</v>
      </c>
    </row>
    <row r="303" spans="1:6" hidden="1">
      <c r="A303" s="1" t="s">
        <v>308</v>
      </c>
      <c r="B303" s="2">
        <v>45416</v>
      </c>
      <c r="C303" s="2">
        <v>45416.22152777778</v>
      </c>
      <c r="D303" s="2">
        <v>45416.532013888886</v>
      </c>
      <c r="E303" s="2">
        <v>45416.544849537036</v>
      </c>
      <c r="F303" s="3">
        <f t="shared" si="4"/>
        <v>0.32332175925694173</v>
      </c>
    </row>
    <row r="304" spans="1:6" hidden="1">
      <c r="A304" s="1" t="s">
        <v>309</v>
      </c>
      <c r="B304" s="2">
        <v>45414</v>
      </c>
      <c r="C304" s="2">
        <v>45415.194918981484</v>
      </c>
      <c r="D304" s="2">
        <v>45416.583194444444</v>
      </c>
      <c r="E304" s="2">
        <v>45416.6250462963</v>
      </c>
      <c r="F304" s="3">
        <f t="shared" si="4"/>
        <v>1.4301273148157634</v>
      </c>
    </row>
    <row r="305" spans="1:6" hidden="1">
      <c r="A305" s="1" t="s">
        <v>310</v>
      </c>
      <c r="B305" s="2">
        <v>45415</v>
      </c>
      <c r="C305" s="2">
        <v>45416.863449074073</v>
      </c>
      <c r="D305" s="2">
        <v>45416.684039351851</v>
      </c>
      <c r="E305" s="2">
        <v>45416.687997685185</v>
      </c>
      <c r="F305" s="6" t="s">
        <v>1708</v>
      </c>
    </row>
    <row r="306" spans="1:6" hidden="1">
      <c r="A306" s="1" t="s">
        <v>311</v>
      </c>
      <c r="B306" s="2">
        <v>45415</v>
      </c>
      <c r="C306" s="2">
        <v>45416.863449074073</v>
      </c>
      <c r="D306" s="2">
        <v>45416.692858796298</v>
      </c>
      <c r="E306" s="2">
        <v>45416.69599537037</v>
      </c>
      <c r="F306" s="6" t="s">
        <v>1708</v>
      </c>
    </row>
    <row r="307" spans="1:6" hidden="1">
      <c r="A307" s="1" t="s">
        <v>312</v>
      </c>
      <c r="B307" s="2">
        <v>45416</v>
      </c>
      <c r="C307" s="2">
        <v>45417.016238425924</v>
      </c>
      <c r="D307" s="2">
        <v>45417.350821759261</v>
      </c>
      <c r="E307" s="2">
        <v>45417.392650462964</v>
      </c>
      <c r="F307" s="3">
        <f t="shared" si="4"/>
        <v>0.3764120370396995</v>
      </c>
    </row>
    <row r="308" spans="1:6" hidden="1">
      <c r="A308" s="1" t="s">
        <v>313</v>
      </c>
      <c r="B308" s="2">
        <v>45415</v>
      </c>
      <c r="C308" s="2">
        <v>45416.88449074074</v>
      </c>
      <c r="D308" s="2">
        <v>45416.72923611111</v>
      </c>
      <c r="E308" s="2">
        <v>45416.733935185184</v>
      </c>
      <c r="F308" s="6" t="s">
        <v>1708</v>
      </c>
    </row>
    <row r="309" spans="1:6" hidden="1">
      <c r="A309" s="1" t="s">
        <v>314</v>
      </c>
      <c r="B309" s="2">
        <v>45415</v>
      </c>
      <c r="C309" s="2">
        <v>45416.729062500002</v>
      </c>
      <c r="D309" s="2">
        <v>45416.735497685186</v>
      </c>
      <c r="E309" s="2">
        <v>45416.947291666664</v>
      </c>
      <c r="F309" s="3">
        <f t="shared" si="4"/>
        <v>0.21822916666133096</v>
      </c>
    </row>
    <row r="310" spans="1:6" hidden="1">
      <c r="A310" s="1" t="s">
        <v>315</v>
      </c>
      <c r="B310" s="2">
        <v>45416</v>
      </c>
      <c r="C310" s="2">
        <v>45416.801400462966</v>
      </c>
      <c r="D310" s="2">
        <v>45417.411053240743</v>
      </c>
      <c r="E310" s="2">
        <v>45417.431261574071</v>
      </c>
      <c r="F310" s="3">
        <f t="shared" si="4"/>
        <v>0.62986111110512866</v>
      </c>
    </row>
    <row r="311" spans="1:6" hidden="1">
      <c r="A311" s="1" t="s">
        <v>316</v>
      </c>
      <c r="B311" s="2">
        <v>45416</v>
      </c>
      <c r="C311" s="2">
        <v>45417.302557870367</v>
      </c>
      <c r="D311" s="2">
        <v>45417.403356481482</v>
      </c>
      <c r="E311" s="2">
        <v>45417.608124999999</v>
      </c>
      <c r="F311" s="3">
        <f t="shared" si="4"/>
        <v>0.30556712963152677</v>
      </c>
    </row>
    <row r="312" spans="1:6" hidden="1">
      <c r="A312" s="1" t="s">
        <v>317</v>
      </c>
      <c r="B312" s="2">
        <v>45416</v>
      </c>
      <c r="C312" s="2">
        <v>45417.302534722221</v>
      </c>
      <c r="D312" s="2">
        <v>45417.406446759262</v>
      </c>
      <c r="E312" s="2">
        <v>45417.582858796297</v>
      </c>
      <c r="F312" s="3">
        <f t="shared" si="4"/>
        <v>0.28032407407590654</v>
      </c>
    </row>
    <row r="313" spans="1:6" hidden="1">
      <c r="A313" s="1" t="s">
        <v>318</v>
      </c>
      <c r="B313" s="2">
        <v>45416</v>
      </c>
      <c r="C313" s="2">
        <v>45417.302534722221</v>
      </c>
      <c r="D313" s="2">
        <v>45417.437118055554</v>
      </c>
      <c r="E313" s="2">
        <v>45417.571215277778</v>
      </c>
      <c r="F313" s="3">
        <f t="shared" si="4"/>
        <v>0.26868055555678438</v>
      </c>
    </row>
    <row r="314" spans="1:6" hidden="1">
      <c r="A314" s="1" t="s">
        <v>319</v>
      </c>
      <c r="B314" s="2">
        <v>45416</v>
      </c>
      <c r="C314" s="2">
        <v>45417.302534722221</v>
      </c>
      <c r="D314" s="2">
        <v>45417.573518518519</v>
      </c>
      <c r="E314" s="2">
        <v>45417.61550925926</v>
      </c>
      <c r="F314" s="3">
        <f t="shared" si="4"/>
        <v>0.31297453703882638</v>
      </c>
    </row>
    <row r="315" spans="1:6" hidden="1">
      <c r="A315" s="1" t="s">
        <v>320</v>
      </c>
      <c r="B315" s="2">
        <v>45416</v>
      </c>
      <c r="C315" s="2">
        <v>45417.484548611108</v>
      </c>
      <c r="D315" s="2">
        <v>45417.567476851851</v>
      </c>
      <c r="E315" s="2">
        <v>45417.6093287037</v>
      </c>
      <c r="F315" s="3">
        <f t="shared" si="4"/>
        <v>0.12478009259211831</v>
      </c>
    </row>
    <row r="316" spans="1:6">
      <c r="A316" s="1" t="s">
        <v>321</v>
      </c>
      <c r="B316" s="2">
        <v>45405</v>
      </c>
      <c r="C316" s="2">
        <v>45405.647268518522</v>
      </c>
      <c r="D316" s="2">
        <v>45418.457025462965</v>
      </c>
      <c r="E316" s="2">
        <v>45419.381967592592</v>
      </c>
      <c r="F316" s="3">
        <f t="shared" si="4"/>
        <v>13.734699074069795</v>
      </c>
    </row>
    <row r="317" spans="1:6">
      <c r="A317" s="1" t="s">
        <v>322</v>
      </c>
      <c r="B317" s="2">
        <v>45416</v>
      </c>
      <c r="C317" s="2">
        <v>45417.449479166666</v>
      </c>
      <c r="D317" s="2">
        <v>45418.397187499999</v>
      </c>
      <c r="E317" s="2">
        <v>45418.439027777778</v>
      </c>
      <c r="F317" s="3">
        <f t="shared" si="4"/>
        <v>0.98954861111269565</v>
      </c>
    </row>
    <row r="318" spans="1:6">
      <c r="A318" s="1" t="s">
        <v>323</v>
      </c>
      <c r="B318" s="2">
        <v>45420</v>
      </c>
      <c r="C318" s="2">
        <v>45419.777083333334</v>
      </c>
      <c r="D318" s="2">
        <v>45419.715474537035</v>
      </c>
      <c r="E318" s="2">
        <v>45419.757280092592</v>
      </c>
      <c r="F318" s="6" t="s">
        <v>1708</v>
      </c>
    </row>
    <row r="319" spans="1:6">
      <c r="A319" s="1" t="s">
        <v>324</v>
      </c>
      <c r="B319" s="2">
        <v>45418</v>
      </c>
      <c r="C319" s="2">
        <v>45419.777083333334</v>
      </c>
      <c r="D319" s="2">
        <v>45419.710023148145</v>
      </c>
      <c r="E319" s="2">
        <v>45419.751863425925</v>
      </c>
      <c r="F319" s="6" t="s">
        <v>1708</v>
      </c>
    </row>
    <row r="320" spans="1:6">
      <c r="A320" s="1" t="s">
        <v>325</v>
      </c>
      <c r="B320" s="2">
        <v>45417</v>
      </c>
      <c r="C320" s="2">
        <v>45417.393842592595</v>
      </c>
      <c r="D320" s="2">
        <v>45418.597685185188</v>
      </c>
      <c r="E320" s="2">
        <v>45418.639490740738</v>
      </c>
      <c r="F320" s="3">
        <f t="shared" si="4"/>
        <v>1.2456481481422088</v>
      </c>
    </row>
    <row r="321" spans="1:6">
      <c r="A321" s="1" t="s">
        <v>326</v>
      </c>
      <c r="B321" s="2">
        <v>45416</v>
      </c>
      <c r="C321" s="2">
        <v>45417.834907407407</v>
      </c>
      <c r="D321" s="2">
        <v>45418.640474537038</v>
      </c>
      <c r="E321" s="2">
        <v>45418.682210648149</v>
      </c>
      <c r="F321" s="3">
        <f t="shared" si="4"/>
        <v>0.84730324074189411</v>
      </c>
    </row>
    <row r="322" spans="1:6">
      <c r="A322" s="1" t="s">
        <v>327</v>
      </c>
      <c r="B322" s="2">
        <v>45418</v>
      </c>
      <c r="C322" s="2">
        <v>45420.115682870368</v>
      </c>
      <c r="D322" s="2">
        <v>45420.996307870373</v>
      </c>
      <c r="E322" s="2">
        <v>45421.038148148145</v>
      </c>
      <c r="F322" s="3">
        <f t="shared" si="4"/>
        <v>0.92246527777751908</v>
      </c>
    </row>
    <row r="323" spans="1:6">
      <c r="A323" s="1" t="s">
        <v>328</v>
      </c>
      <c r="B323" s="2">
        <v>45418</v>
      </c>
      <c r="C323" s="2">
        <v>45419.190243055556</v>
      </c>
      <c r="D323" s="2">
        <v>45419.361134259256</v>
      </c>
      <c r="E323" s="2">
        <v>45419.535451388889</v>
      </c>
      <c r="F323" s="3">
        <f t="shared" ref="F323:F386" si="5">E323-C323</f>
        <v>0.34520833333226619</v>
      </c>
    </row>
    <row r="324" spans="1:6">
      <c r="A324" s="1" t="s">
        <v>329</v>
      </c>
      <c r="B324" s="2">
        <v>45418</v>
      </c>
      <c r="C324" s="2">
        <v>45419.190243055556</v>
      </c>
      <c r="D324" s="2">
        <v>45419.366886574076</v>
      </c>
      <c r="E324" s="2">
        <v>45419.424953703703</v>
      </c>
      <c r="F324" s="3">
        <f t="shared" si="5"/>
        <v>0.23471064814657439</v>
      </c>
    </row>
    <row r="325" spans="1:6">
      <c r="A325" s="1" t="s">
        <v>330</v>
      </c>
      <c r="B325" s="2">
        <v>45415</v>
      </c>
      <c r="C325" s="2">
        <v>45416.288078703707</v>
      </c>
      <c r="D325" s="2">
        <v>45419.373935185184</v>
      </c>
      <c r="E325" s="2">
        <v>45419.434641203705</v>
      </c>
      <c r="F325" s="3">
        <f t="shared" si="5"/>
        <v>3.1465624999982538</v>
      </c>
    </row>
    <row r="326" spans="1:6">
      <c r="A326" s="1" t="s">
        <v>331</v>
      </c>
      <c r="B326" s="2">
        <v>45418</v>
      </c>
      <c r="C326" s="2">
        <v>45421.343159722222</v>
      </c>
      <c r="D326" s="2">
        <v>45421.740428240744</v>
      </c>
      <c r="E326" s="2">
        <v>45421.782349537039</v>
      </c>
      <c r="F326" s="3">
        <f t="shared" si="5"/>
        <v>0.43918981481692754</v>
      </c>
    </row>
    <row r="327" spans="1:6">
      <c r="A327" s="1" t="s">
        <v>332</v>
      </c>
      <c r="B327" s="2">
        <v>45415</v>
      </c>
      <c r="C327" s="2">
        <v>45416.288078703707</v>
      </c>
      <c r="D327" s="2">
        <v>45419.376180555555</v>
      </c>
      <c r="E327" s="2">
        <v>45419.419236111113</v>
      </c>
      <c r="F327" s="3">
        <f t="shared" si="5"/>
        <v>3.1311574074061355</v>
      </c>
    </row>
    <row r="328" spans="1:6">
      <c r="A328" s="1" t="s">
        <v>333</v>
      </c>
      <c r="B328" s="2">
        <v>45418</v>
      </c>
      <c r="C328" s="2">
        <v>45419.190243055556</v>
      </c>
      <c r="D328" s="2">
        <v>45419.378333333334</v>
      </c>
      <c r="E328" s="2">
        <v>45419.470023148147</v>
      </c>
      <c r="F328" s="3">
        <f t="shared" si="5"/>
        <v>0.27978009259095415</v>
      </c>
    </row>
    <row r="329" spans="1:6">
      <c r="A329" s="1" t="s">
        <v>334</v>
      </c>
      <c r="B329" s="2">
        <v>45418</v>
      </c>
      <c r="C329" s="2">
        <v>45419.19023148148</v>
      </c>
      <c r="D329" s="2">
        <v>45419.383819444447</v>
      </c>
      <c r="E329" s="2">
        <v>45419.552476851852</v>
      </c>
      <c r="F329" s="3">
        <f t="shared" si="5"/>
        <v>0.36224537037196569</v>
      </c>
    </row>
    <row r="330" spans="1:6">
      <c r="A330" s="1" t="s">
        <v>335</v>
      </c>
      <c r="B330" s="2">
        <v>45418</v>
      </c>
      <c r="C330" s="2">
        <v>45419.190243055556</v>
      </c>
      <c r="D330" s="2">
        <v>45419.386597222219</v>
      </c>
      <c r="E330" s="2">
        <v>45419.428854166668</v>
      </c>
      <c r="F330" s="3">
        <f t="shared" si="5"/>
        <v>0.23861111111182254</v>
      </c>
    </row>
    <row r="331" spans="1:6">
      <c r="A331" s="1" t="s">
        <v>336</v>
      </c>
      <c r="B331" s="2">
        <v>45418</v>
      </c>
      <c r="C331" s="2">
        <v>45420.328425925924</v>
      </c>
      <c r="D331" s="2">
        <v>45420.462013888886</v>
      </c>
      <c r="E331" s="2">
        <v>45420.503912037035</v>
      </c>
      <c r="F331" s="3">
        <f t="shared" si="5"/>
        <v>0.17548611111124046</v>
      </c>
    </row>
    <row r="332" spans="1:6">
      <c r="A332" s="1" t="s">
        <v>337</v>
      </c>
      <c r="B332" s="2">
        <v>45418</v>
      </c>
      <c r="C332" s="2">
        <v>45419.19023148148</v>
      </c>
      <c r="D332" s="2">
        <v>45419.393159722225</v>
      </c>
      <c r="E332" s="2">
        <v>45419.473553240743</v>
      </c>
      <c r="F332" s="3">
        <f t="shared" si="5"/>
        <v>0.28332175926334457</v>
      </c>
    </row>
    <row r="333" spans="1:6">
      <c r="A333" s="1" t="s">
        <v>338</v>
      </c>
      <c r="B333" s="2">
        <v>45418</v>
      </c>
      <c r="C333" s="2">
        <v>45419.190243055556</v>
      </c>
      <c r="D333" s="2">
        <v>45419.39403935185</v>
      </c>
      <c r="E333" s="2">
        <v>45419.433564814812</v>
      </c>
      <c r="F333" s="3">
        <f t="shared" si="5"/>
        <v>0.2433217592551955</v>
      </c>
    </row>
    <row r="334" spans="1:6">
      <c r="A334" s="1" t="s">
        <v>339</v>
      </c>
      <c r="B334" s="2">
        <v>45418</v>
      </c>
      <c r="C334" s="2">
        <v>45419.190243055556</v>
      </c>
      <c r="D334" s="2">
        <v>45419.391469907408</v>
      </c>
      <c r="E334" s="2">
        <v>45419.434606481482</v>
      </c>
      <c r="F334" s="3">
        <f t="shared" si="5"/>
        <v>0.24436342592525762</v>
      </c>
    </row>
    <row r="335" spans="1:6">
      <c r="A335" s="1" t="s">
        <v>340</v>
      </c>
      <c r="B335" s="2">
        <v>45418</v>
      </c>
      <c r="C335" s="2">
        <v>45419.19023148148</v>
      </c>
      <c r="D335" s="2">
        <v>45419.399745370371</v>
      </c>
      <c r="E335" s="2">
        <v>45419.443576388891</v>
      </c>
      <c r="F335" s="3">
        <f t="shared" si="5"/>
        <v>0.25334490741079208</v>
      </c>
    </row>
    <row r="336" spans="1:6">
      <c r="A336" s="1" t="s">
        <v>341</v>
      </c>
      <c r="B336" s="2">
        <v>45418</v>
      </c>
      <c r="C336" s="2">
        <v>45419.19023148148</v>
      </c>
      <c r="D336" s="2">
        <v>45419.400289351855</v>
      </c>
      <c r="E336" s="2">
        <v>45419.437997685185</v>
      </c>
      <c r="F336" s="3">
        <f t="shared" si="5"/>
        <v>0.24776620370539604</v>
      </c>
    </row>
    <row r="337" spans="1:6">
      <c r="A337" s="1" t="s">
        <v>342</v>
      </c>
      <c r="B337" s="2">
        <v>45418</v>
      </c>
      <c r="C337" s="2">
        <v>45419.345532407409</v>
      </c>
      <c r="D337" s="2">
        <v>45419.404768518521</v>
      </c>
      <c r="E337" s="2">
        <v>45419.446840277778</v>
      </c>
      <c r="F337" s="3">
        <f t="shared" si="5"/>
        <v>0.10130787036905531</v>
      </c>
    </row>
    <row r="338" spans="1:6">
      <c r="A338" s="1" t="s">
        <v>343</v>
      </c>
      <c r="B338" s="2">
        <v>45418</v>
      </c>
      <c r="C338" s="2">
        <v>45419.190243055556</v>
      </c>
      <c r="D338" s="2">
        <v>45419.411585648151</v>
      </c>
      <c r="E338" s="2">
        <v>45419.453657407408</v>
      </c>
      <c r="F338" s="3">
        <f t="shared" si="5"/>
        <v>0.26341435185167938</v>
      </c>
    </row>
    <row r="339" spans="1:6">
      <c r="A339" s="1" t="s">
        <v>344</v>
      </c>
      <c r="B339" s="2">
        <v>45418</v>
      </c>
      <c r="C339" s="2">
        <v>45419.19023148148</v>
      </c>
      <c r="D339" s="2">
        <v>45419.413252314815</v>
      </c>
      <c r="E339" s="2">
        <v>45419.455243055556</v>
      </c>
      <c r="F339" s="3">
        <f t="shared" si="5"/>
        <v>0.26501157407619758</v>
      </c>
    </row>
    <row r="340" spans="1:6">
      <c r="A340" s="1" t="s">
        <v>345</v>
      </c>
      <c r="B340" s="2">
        <v>45416</v>
      </c>
      <c r="C340" s="2">
        <v>45417.449479166666</v>
      </c>
      <c r="D340" s="2">
        <v>45419.432673611111</v>
      </c>
      <c r="E340" s="2">
        <v>45419.475439814814</v>
      </c>
      <c r="F340" s="3">
        <f t="shared" si="5"/>
        <v>2.0259606481486117</v>
      </c>
    </row>
    <row r="341" spans="1:6">
      <c r="A341" s="1" t="s">
        <v>346</v>
      </c>
      <c r="B341" s="2">
        <v>45418</v>
      </c>
      <c r="C341" s="2">
        <v>45418.745023148149</v>
      </c>
      <c r="D341" s="2">
        <v>45419.45721064815</v>
      </c>
      <c r="E341" s="2">
        <v>45419.499224537038</v>
      </c>
      <c r="F341" s="3">
        <f t="shared" si="5"/>
        <v>0.75420138888875954</v>
      </c>
    </row>
    <row r="342" spans="1:6">
      <c r="A342" s="1" t="s">
        <v>347</v>
      </c>
      <c r="B342" s="2">
        <v>45418</v>
      </c>
      <c r="C342" s="2">
        <v>45418.745023148149</v>
      </c>
      <c r="D342" s="2">
        <v>45419.459953703707</v>
      </c>
      <c r="E342" s="2">
        <v>45419.501736111109</v>
      </c>
      <c r="F342" s="3">
        <f t="shared" si="5"/>
        <v>0.75671296296059154</v>
      </c>
    </row>
    <row r="343" spans="1:6">
      <c r="A343" s="1" t="s">
        <v>348</v>
      </c>
      <c r="B343" s="2">
        <v>45414</v>
      </c>
      <c r="C343" s="2">
        <v>45415.693726851852</v>
      </c>
      <c r="D343" s="2">
        <v>45419.553020833337</v>
      </c>
      <c r="E343" s="2">
        <v>45419.564513888887</v>
      </c>
      <c r="F343" s="3">
        <f t="shared" si="5"/>
        <v>3.8707870370344608</v>
      </c>
    </row>
    <row r="344" spans="1:6">
      <c r="A344" s="1" t="s">
        <v>349</v>
      </c>
      <c r="B344" s="2">
        <v>45416</v>
      </c>
      <c r="C344" s="2">
        <v>45416.801400462966</v>
      </c>
      <c r="D344" s="2">
        <v>45419.655636574076</v>
      </c>
      <c r="E344" s="2">
        <v>45419.697789351849</v>
      </c>
      <c r="F344" s="3">
        <f t="shared" si="5"/>
        <v>2.8963888888829388</v>
      </c>
    </row>
    <row r="345" spans="1:6">
      <c r="A345" s="1" t="s">
        <v>350</v>
      </c>
      <c r="B345" s="2">
        <v>45415</v>
      </c>
      <c r="C345" s="2">
        <v>45415.334872685184</v>
      </c>
      <c r="D345" s="2">
        <v>45419.679965277777</v>
      </c>
      <c r="E345" s="2">
        <v>45419.721932870372</v>
      </c>
      <c r="F345" s="3">
        <f t="shared" si="5"/>
        <v>4.3870601851886022</v>
      </c>
    </row>
    <row r="346" spans="1:6">
      <c r="A346" s="1" t="s">
        <v>351</v>
      </c>
      <c r="B346" s="2">
        <v>45415</v>
      </c>
      <c r="C346" s="2">
        <v>45416.554050925923</v>
      </c>
      <c r="D346" s="2">
        <v>45419.689502314817</v>
      </c>
      <c r="E346" s="2">
        <v>45419.709282407406</v>
      </c>
      <c r="F346" s="3">
        <f t="shared" si="5"/>
        <v>3.1552314814834972</v>
      </c>
    </row>
    <row r="347" spans="1:6">
      <c r="A347" s="1" t="s">
        <v>352</v>
      </c>
      <c r="B347" s="2">
        <v>45417</v>
      </c>
      <c r="C347" s="2">
        <v>45419.777083333334</v>
      </c>
      <c r="D347" s="2">
        <v>45419.70207175926</v>
      </c>
      <c r="E347" s="2">
        <v>45419.714375000003</v>
      </c>
      <c r="F347" s="6" t="s">
        <v>1708</v>
      </c>
    </row>
    <row r="348" spans="1:6">
      <c r="A348" s="1" t="s">
        <v>353</v>
      </c>
      <c r="B348" s="2">
        <v>45419</v>
      </c>
      <c r="C348" s="2">
        <v>45419.757002314815</v>
      </c>
      <c r="D348" s="2">
        <v>45420.39744212963</v>
      </c>
      <c r="E348" s="2">
        <v>45420.460532407407</v>
      </c>
      <c r="F348" s="3">
        <f t="shared" si="5"/>
        <v>0.70353009259270038</v>
      </c>
    </row>
    <row r="349" spans="1:6">
      <c r="A349" s="1" t="s">
        <v>354</v>
      </c>
      <c r="B349" s="2">
        <v>45409</v>
      </c>
      <c r="C349" s="2">
        <v>45410.115810185183</v>
      </c>
      <c r="D349" s="2">
        <v>45419.728645833333</v>
      </c>
      <c r="E349" s="2">
        <v>45419.770439814813</v>
      </c>
      <c r="F349" s="3">
        <f t="shared" si="5"/>
        <v>9.6546296296291985</v>
      </c>
    </row>
    <row r="350" spans="1:6">
      <c r="A350" s="1" t="s">
        <v>355</v>
      </c>
      <c r="B350" s="2">
        <v>45408</v>
      </c>
      <c r="C350" s="2">
        <v>45408.545567129629</v>
      </c>
      <c r="D350" s="2">
        <v>45419.853981481479</v>
      </c>
      <c r="E350" s="2">
        <v>45419.89576388889</v>
      </c>
      <c r="F350" s="3">
        <f t="shared" si="5"/>
        <v>11.350196759260143</v>
      </c>
    </row>
    <row r="351" spans="1:6">
      <c r="A351" s="1" t="s">
        <v>356</v>
      </c>
      <c r="B351" s="2">
        <v>45416</v>
      </c>
      <c r="C351" s="2">
        <v>45416.898530092592</v>
      </c>
      <c r="D351" s="2">
        <v>45419.743113425924</v>
      </c>
      <c r="E351" s="2">
        <v>45419.785034722219</v>
      </c>
      <c r="F351" s="3">
        <f t="shared" si="5"/>
        <v>2.8865046296268702</v>
      </c>
    </row>
    <row r="352" spans="1:6">
      <c r="A352" s="1" t="s">
        <v>357</v>
      </c>
      <c r="B352" s="2">
        <v>45416</v>
      </c>
      <c r="C352" s="2">
        <v>45417.449479166666</v>
      </c>
      <c r="D352" s="2">
        <v>45419.747928240744</v>
      </c>
      <c r="E352" s="2">
        <v>45419.789803240739</v>
      </c>
      <c r="F352" s="3">
        <f t="shared" si="5"/>
        <v>2.3403240740735782</v>
      </c>
    </row>
    <row r="353" spans="1:6">
      <c r="A353" s="1" t="s">
        <v>358</v>
      </c>
      <c r="B353" s="2">
        <v>45416</v>
      </c>
      <c r="C353" s="2">
        <v>45416.801400462966</v>
      </c>
      <c r="D353" s="2">
        <v>45419.834282407406</v>
      </c>
      <c r="E353" s="2">
        <v>45419.876284722224</v>
      </c>
      <c r="F353" s="3">
        <f t="shared" si="5"/>
        <v>3.0748842592583969</v>
      </c>
    </row>
    <row r="354" spans="1:6">
      <c r="A354" s="1" t="s">
        <v>359</v>
      </c>
      <c r="B354" s="2">
        <v>45419</v>
      </c>
      <c r="C354" s="2">
        <v>45420.240567129629</v>
      </c>
      <c r="D354" s="2">
        <v>45420.338576388887</v>
      </c>
      <c r="E354" s="2">
        <v>45420.619583333333</v>
      </c>
      <c r="F354" s="3">
        <f t="shared" si="5"/>
        <v>0.37901620370394085</v>
      </c>
    </row>
    <row r="355" spans="1:6">
      <c r="A355" s="1" t="s">
        <v>360</v>
      </c>
      <c r="B355" s="2">
        <v>45419</v>
      </c>
      <c r="C355" s="2">
        <v>45420.240567129629</v>
      </c>
      <c r="D355" s="2">
        <v>45420.337442129632</v>
      </c>
      <c r="E355" s="2">
        <v>45420.611215277779</v>
      </c>
      <c r="F355" s="3">
        <f t="shared" si="5"/>
        <v>0.37064814814948477</v>
      </c>
    </row>
    <row r="356" spans="1:6">
      <c r="A356" s="1" t="s">
        <v>361</v>
      </c>
      <c r="B356" s="2">
        <v>45419</v>
      </c>
      <c r="C356" s="2">
        <v>45420.240567129629</v>
      </c>
      <c r="D356" s="2">
        <v>45420.342430555553</v>
      </c>
      <c r="E356" s="2">
        <v>45420.611516203702</v>
      </c>
      <c r="F356" s="3">
        <f t="shared" si="5"/>
        <v>0.37094907407299615</v>
      </c>
    </row>
    <row r="357" spans="1:6">
      <c r="A357" s="1" t="s">
        <v>362</v>
      </c>
      <c r="B357" s="2">
        <v>45419</v>
      </c>
      <c r="C357" s="2">
        <v>45420.240567129629</v>
      </c>
      <c r="D357" s="2">
        <v>45420.343101851853</v>
      </c>
      <c r="E357" s="2">
        <v>45420.620567129627</v>
      </c>
      <c r="F357" s="3">
        <f t="shared" si="5"/>
        <v>0.37999999999738066</v>
      </c>
    </row>
    <row r="358" spans="1:6">
      <c r="A358" s="1" t="s">
        <v>363</v>
      </c>
      <c r="B358" s="2">
        <v>45419</v>
      </c>
      <c r="C358" s="2">
        <v>45420.240567129629</v>
      </c>
      <c r="D358" s="2">
        <v>45420.341747685183</v>
      </c>
      <c r="E358" s="2">
        <v>45420.611909722225</v>
      </c>
      <c r="F358" s="3">
        <f t="shared" si="5"/>
        <v>0.37134259259619284</v>
      </c>
    </row>
    <row r="359" spans="1:6">
      <c r="A359" s="1" t="s">
        <v>364</v>
      </c>
      <c r="B359" s="2">
        <v>45419</v>
      </c>
      <c r="C359" s="2">
        <v>45420.240567129629</v>
      </c>
      <c r="D359" s="2">
        <v>45420.343981481485</v>
      </c>
      <c r="E359" s="2">
        <v>45420.630312499998</v>
      </c>
      <c r="F359" s="3">
        <f t="shared" si="5"/>
        <v>0.38974537036847323</v>
      </c>
    </row>
    <row r="360" spans="1:6">
      <c r="A360" s="1" t="s">
        <v>365</v>
      </c>
      <c r="B360" s="2">
        <v>45418</v>
      </c>
      <c r="C360" s="2">
        <v>45419.823437500003</v>
      </c>
      <c r="D360" s="2">
        <v>45420.522951388892</v>
      </c>
      <c r="E360" s="2">
        <v>45420.571967592594</v>
      </c>
      <c r="F360" s="3">
        <f t="shared" si="5"/>
        <v>0.74853009259095415</v>
      </c>
    </row>
    <row r="361" spans="1:6">
      <c r="A361" s="1" t="s">
        <v>366</v>
      </c>
      <c r="B361" s="2">
        <v>45418</v>
      </c>
      <c r="C361" s="2">
        <v>45419.823437500003</v>
      </c>
      <c r="D361" s="2">
        <v>45420.526435185187</v>
      </c>
      <c r="E361" s="2">
        <v>45420.548194444447</v>
      </c>
      <c r="F361" s="3">
        <f t="shared" si="5"/>
        <v>0.72475694444437977</v>
      </c>
    </row>
    <row r="362" spans="1:6">
      <c r="A362" s="1" t="s">
        <v>367</v>
      </c>
      <c r="B362" s="2">
        <v>45419</v>
      </c>
      <c r="C362" s="2">
        <v>45420.240567129629</v>
      </c>
      <c r="D362" s="2">
        <v>45420.335370370369</v>
      </c>
      <c r="E362" s="2">
        <v>45420.609594907408</v>
      </c>
      <c r="F362" s="3">
        <f t="shared" si="5"/>
        <v>0.36902777777868323</v>
      </c>
    </row>
    <row r="363" spans="1:6">
      <c r="A363" s="1" t="s">
        <v>368</v>
      </c>
      <c r="B363" s="2">
        <v>45419</v>
      </c>
      <c r="C363" s="2">
        <v>45420.240567129629</v>
      </c>
      <c r="D363" s="2">
        <v>45420.336261574077</v>
      </c>
      <c r="E363" s="2">
        <v>45420.610162037039</v>
      </c>
      <c r="F363" s="3">
        <f t="shared" si="5"/>
        <v>0.36959490740991896</v>
      </c>
    </row>
    <row r="364" spans="1:6">
      <c r="A364" s="1" t="s">
        <v>369</v>
      </c>
      <c r="B364" s="2">
        <v>45419</v>
      </c>
      <c r="C364" s="2">
        <v>45420.240567129629</v>
      </c>
      <c r="D364" s="2">
        <v>45420.339537037034</v>
      </c>
      <c r="E364" s="2">
        <v>45420.633460648147</v>
      </c>
      <c r="F364" s="3">
        <f t="shared" si="5"/>
        <v>0.39289351851766696</v>
      </c>
    </row>
    <row r="365" spans="1:6">
      <c r="A365" s="1" t="s">
        <v>370</v>
      </c>
      <c r="B365" s="2">
        <v>45419</v>
      </c>
      <c r="C365" s="2">
        <v>45420.240567129629</v>
      </c>
      <c r="D365" s="2">
        <v>45420.340902777774</v>
      </c>
      <c r="E365" s="2">
        <v>45420.601377314815</v>
      </c>
      <c r="F365" s="3">
        <f t="shared" si="5"/>
        <v>0.36081018518598285</v>
      </c>
    </row>
    <row r="366" spans="1:6">
      <c r="A366" s="1" t="s">
        <v>371</v>
      </c>
      <c r="B366" s="2">
        <v>45419</v>
      </c>
      <c r="C366" s="2">
        <v>45421.020416666666</v>
      </c>
      <c r="D366" s="2">
        <v>45421.363692129627</v>
      </c>
      <c r="E366" s="2">
        <v>45421.405636574076</v>
      </c>
      <c r="F366" s="3">
        <f t="shared" si="5"/>
        <v>0.38521990740991896</v>
      </c>
    </row>
    <row r="367" spans="1:6">
      <c r="A367" s="1" t="s">
        <v>372</v>
      </c>
      <c r="B367" s="2">
        <v>45419</v>
      </c>
      <c r="C367" s="2">
        <v>45420.240578703706</v>
      </c>
      <c r="D367" s="2">
        <v>45420.36341435185</v>
      </c>
      <c r="E367" s="2">
        <v>45420.62877314815</v>
      </c>
      <c r="F367" s="3">
        <f t="shared" si="5"/>
        <v>0.38819444444379769</v>
      </c>
    </row>
    <row r="368" spans="1:6">
      <c r="A368" s="1" t="s">
        <v>373</v>
      </c>
      <c r="B368" s="2">
        <v>45419</v>
      </c>
      <c r="C368" s="2">
        <v>45420.240578703706</v>
      </c>
      <c r="D368" s="2">
        <v>45420.369027777779</v>
      </c>
      <c r="E368" s="2">
        <v>45420.623113425929</v>
      </c>
      <c r="F368" s="3">
        <f t="shared" si="5"/>
        <v>0.38253472222277196</v>
      </c>
    </row>
    <row r="369" spans="1:6">
      <c r="A369" s="1" t="s">
        <v>374</v>
      </c>
      <c r="B369" s="2">
        <v>45419</v>
      </c>
      <c r="C369" s="2">
        <v>45420.240578703706</v>
      </c>
      <c r="D369" s="2">
        <v>45420.371898148151</v>
      </c>
      <c r="E369" s="2">
        <v>45420.630555555559</v>
      </c>
      <c r="F369" s="3">
        <f t="shared" si="5"/>
        <v>0.38997685185313458</v>
      </c>
    </row>
    <row r="370" spans="1:6">
      <c r="A370" s="1" t="s">
        <v>375</v>
      </c>
      <c r="B370" s="2">
        <v>45419</v>
      </c>
      <c r="C370" s="2">
        <v>45420.240578703706</v>
      </c>
      <c r="D370" s="2">
        <v>45420.374571759261</v>
      </c>
      <c r="E370" s="2">
        <v>45420.603460648148</v>
      </c>
      <c r="F370" s="3">
        <f t="shared" si="5"/>
        <v>0.36288194444205146</v>
      </c>
    </row>
    <row r="371" spans="1:6">
      <c r="A371" s="1" t="s">
        <v>376</v>
      </c>
      <c r="B371" s="2">
        <v>45419</v>
      </c>
      <c r="C371" s="2">
        <v>45420.240578703706</v>
      </c>
      <c r="D371" s="2">
        <v>45420.380833333336</v>
      </c>
      <c r="E371" s="2">
        <v>45420.606111111112</v>
      </c>
      <c r="F371" s="3">
        <f t="shared" si="5"/>
        <v>0.36553240740613546</v>
      </c>
    </row>
    <row r="372" spans="1:6">
      <c r="A372" s="1" t="s">
        <v>377</v>
      </c>
      <c r="B372" s="2">
        <v>45415</v>
      </c>
      <c r="C372" s="2">
        <v>45416.464328703703</v>
      </c>
      <c r="D372" s="2">
        <v>45420.397372685184</v>
      </c>
      <c r="E372" s="2">
        <v>45420.439479166664</v>
      </c>
      <c r="F372" s="3">
        <f t="shared" si="5"/>
        <v>3.9751504629603005</v>
      </c>
    </row>
    <row r="373" spans="1:6">
      <c r="A373" s="1" t="s">
        <v>378</v>
      </c>
      <c r="B373" s="2">
        <v>45413</v>
      </c>
      <c r="C373" s="2">
        <v>45415.351319444446</v>
      </c>
      <c r="D373" s="2">
        <v>45420.405995370369</v>
      </c>
      <c r="E373" s="2">
        <v>45420.447928240741</v>
      </c>
      <c r="F373" s="3">
        <f t="shared" si="5"/>
        <v>5.096608796295186</v>
      </c>
    </row>
    <row r="374" spans="1:6">
      <c r="A374" s="1" t="s">
        <v>379</v>
      </c>
      <c r="B374" s="2">
        <v>45415</v>
      </c>
      <c r="C374" s="2">
        <v>45418.633449074077</v>
      </c>
      <c r="D374" s="2">
        <v>45420.414050925923</v>
      </c>
      <c r="E374" s="2">
        <v>45420.499189814815</v>
      </c>
      <c r="F374" s="3">
        <f t="shared" si="5"/>
        <v>1.8657407407372375</v>
      </c>
    </row>
    <row r="375" spans="1:6">
      <c r="A375" s="1" t="s">
        <v>380</v>
      </c>
      <c r="B375" s="2">
        <v>45415</v>
      </c>
      <c r="C375" s="2">
        <v>45419.749108796299</v>
      </c>
      <c r="D375" s="2">
        <v>45420.418310185189</v>
      </c>
      <c r="E375" s="2">
        <v>45421.617395833331</v>
      </c>
      <c r="F375" s="3">
        <f t="shared" si="5"/>
        <v>1.8682870370321325</v>
      </c>
    </row>
    <row r="376" spans="1:6">
      <c r="A376" s="1" t="s">
        <v>381</v>
      </c>
      <c r="B376" s="2">
        <v>45415</v>
      </c>
      <c r="C376" s="2">
        <v>45415.334780092591</v>
      </c>
      <c r="D376" s="2">
        <v>45420.447465277779</v>
      </c>
      <c r="E376" s="2">
        <v>45420.489490740743</v>
      </c>
      <c r="F376" s="3">
        <f t="shared" si="5"/>
        <v>5.1547106481521041</v>
      </c>
    </row>
    <row r="377" spans="1:6">
      <c r="A377" s="1" t="s">
        <v>382</v>
      </c>
      <c r="B377" s="2">
        <v>45419</v>
      </c>
      <c r="C377" s="2">
        <v>45420.240578703706</v>
      </c>
      <c r="D377" s="2">
        <v>45420.453090277777</v>
      </c>
      <c r="E377" s="2">
        <v>45420.612337962964</v>
      </c>
      <c r="F377" s="3">
        <f t="shared" si="5"/>
        <v>0.37175925925839692</v>
      </c>
    </row>
    <row r="378" spans="1:6">
      <c r="A378" s="1" t="s">
        <v>383</v>
      </c>
      <c r="B378" s="2">
        <v>45419</v>
      </c>
      <c r="C378" s="2">
        <v>45420.240578703706</v>
      </c>
      <c r="D378" s="2">
        <v>45420.473865740743</v>
      </c>
      <c r="E378" s="2">
        <v>45420.627175925925</v>
      </c>
      <c r="F378" s="3">
        <f t="shared" si="5"/>
        <v>0.3865972222192795</v>
      </c>
    </row>
    <row r="379" spans="1:6">
      <c r="A379" s="1" t="s">
        <v>384</v>
      </c>
      <c r="B379" s="2">
        <v>45419</v>
      </c>
      <c r="C379" s="2">
        <v>45420.240578703706</v>
      </c>
      <c r="D379" s="2">
        <v>45420.475428240738</v>
      </c>
      <c r="E379" s="2">
        <v>45420.62122685185</v>
      </c>
      <c r="F379" s="3">
        <f t="shared" si="5"/>
        <v>0.38064814814424608</v>
      </c>
    </row>
    <row r="380" spans="1:6">
      <c r="A380" s="1" t="s">
        <v>385</v>
      </c>
      <c r="B380" s="2">
        <v>45419</v>
      </c>
      <c r="C380" s="2">
        <v>45420.240578703706</v>
      </c>
      <c r="D380" s="2">
        <v>45420.476400462961</v>
      </c>
      <c r="E380" s="2">
        <v>45420.661435185182</v>
      </c>
      <c r="F380" s="3">
        <f t="shared" si="5"/>
        <v>0.42085648147622123</v>
      </c>
    </row>
    <row r="381" spans="1:6">
      <c r="A381" s="1" t="s">
        <v>386</v>
      </c>
      <c r="B381" s="2">
        <v>45419</v>
      </c>
      <c r="C381" s="2">
        <v>45420.240578703706</v>
      </c>
      <c r="D381" s="2">
        <v>45420.523715277777</v>
      </c>
      <c r="E381" s="2">
        <v>45420.629618055558</v>
      </c>
      <c r="F381" s="3">
        <f t="shared" si="5"/>
        <v>0.38903935185226146</v>
      </c>
    </row>
    <row r="382" spans="1:6">
      <c r="A382" s="1" t="s">
        <v>387</v>
      </c>
      <c r="B382" s="2">
        <v>45419</v>
      </c>
      <c r="C382" s="2">
        <v>45420.240578703706</v>
      </c>
      <c r="D382" s="2">
        <v>45420.530185185184</v>
      </c>
      <c r="E382" s="2">
        <v>45420.63</v>
      </c>
      <c r="F382" s="3">
        <f t="shared" si="5"/>
        <v>0.38942129629140254</v>
      </c>
    </row>
    <row r="383" spans="1:6">
      <c r="A383" s="1" t="s">
        <v>388</v>
      </c>
      <c r="B383" s="2">
        <v>45419</v>
      </c>
      <c r="C383" s="2">
        <v>45420.240578703706</v>
      </c>
      <c r="D383" s="2">
        <v>45420.530162037037</v>
      </c>
      <c r="E383" s="2">
        <v>45420.624444444446</v>
      </c>
      <c r="F383" s="3">
        <f t="shared" si="5"/>
        <v>0.38386574073956581</v>
      </c>
    </row>
    <row r="384" spans="1:6">
      <c r="A384" s="1" t="s">
        <v>389</v>
      </c>
      <c r="B384" s="2">
        <v>45419</v>
      </c>
      <c r="C384" s="2">
        <v>45420.240578703706</v>
      </c>
      <c r="D384" s="2">
        <v>45420.53025462963</v>
      </c>
      <c r="E384" s="2">
        <v>45420.633171296293</v>
      </c>
      <c r="F384" s="3">
        <f t="shared" si="5"/>
        <v>0.39259259258687962</v>
      </c>
    </row>
    <row r="385" spans="1:6">
      <c r="A385" s="1" t="s">
        <v>390</v>
      </c>
      <c r="B385" s="2">
        <v>45419</v>
      </c>
      <c r="C385" s="2">
        <v>45421.280972222223</v>
      </c>
      <c r="D385" s="2">
        <v>45421.388437499998</v>
      </c>
      <c r="E385" s="2">
        <v>45421.659212962964</v>
      </c>
      <c r="F385" s="3">
        <f t="shared" si="5"/>
        <v>0.37824074074160308</v>
      </c>
    </row>
    <row r="386" spans="1:6">
      <c r="A386" s="1" t="s">
        <v>391</v>
      </c>
      <c r="B386" s="2">
        <v>45419</v>
      </c>
      <c r="C386" s="2">
        <v>45420.240578703706</v>
      </c>
      <c r="D386" s="2">
        <v>45420.530219907407</v>
      </c>
      <c r="E386" s="2">
        <v>45420.630590277775</v>
      </c>
      <c r="F386" s="3">
        <f t="shared" si="5"/>
        <v>0.39001157406892162</v>
      </c>
    </row>
    <row r="387" spans="1:6">
      <c r="A387" s="1" t="s">
        <v>392</v>
      </c>
      <c r="B387" s="2">
        <v>45419</v>
      </c>
      <c r="C387" s="2">
        <v>45420.240578703706</v>
      </c>
      <c r="D387" s="2">
        <v>45420.530104166668</v>
      </c>
      <c r="E387" s="2">
        <v>45420.604201388887</v>
      </c>
      <c r="F387" s="3">
        <f t="shared" ref="F387:F450" si="6">E387-C387</f>
        <v>0.36362268518132623</v>
      </c>
    </row>
    <row r="388" spans="1:6">
      <c r="A388" s="1" t="s">
        <v>393</v>
      </c>
      <c r="B388" s="2">
        <v>45420</v>
      </c>
      <c r="C388" s="2">
        <v>45420.328333333331</v>
      </c>
      <c r="D388" s="2">
        <v>45420.55940972222</v>
      </c>
      <c r="E388" s="2">
        <v>45420.601319444446</v>
      </c>
      <c r="F388" s="3">
        <f t="shared" si="6"/>
        <v>0.27298611111473292</v>
      </c>
    </row>
    <row r="389" spans="1:6">
      <c r="A389" s="1" t="s">
        <v>394</v>
      </c>
      <c r="B389" s="2">
        <v>45411</v>
      </c>
      <c r="C389" s="2">
        <v>45412.172789351855</v>
      </c>
      <c r="D389" s="2">
        <v>45420.572465277779</v>
      </c>
      <c r="E389" s="2">
        <v>45420.616030092591</v>
      </c>
      <c r="F389" s="3">
        <f t="shared" si="6"/>
        <v>8.4432407407366554</v>
      </c>
    </row>
    <row r="390" spans="1:6">
      <c r="A390" s="1" t="s">
        <v>395</v>
      </c>
      <c r="B390" s="2">
        <v>45420</v>
      </c>
      <c r="C390" s="2">
        <v>45420.15902777778</v>
      </c>
      <c r="D390" s="2">
        <v>45420.590462962966</v>
      </c>
      <c r="E390" s="2">
        <v>45420.632256944446</v>
      </c>
      <c r="F390" s="3">
        <f t="shared" si="6"/>
        <v>0.47322916666598758</v>
      </c>
    </row>
    <row r="391" spans="1:6">
      <c r="A391" s="1" t="s">
        <v>396</v>
      </c>
      <c r="B391" s="2">
        <v>45413</v>
      </c>
      <c r="C391" s="2">
        <v>45414.247858796298</v>
      </c>
      <c r="D391" s="2">
        <v>45420.58253472222</v>
      </c>
      <c r="E391" s="2">
        <v>45420.614131944443</v>
      </c>
      <c r="F391" s="3">
        <f t="shared" si="6"/>
        <v>6.3662731481454102</v>
      </c>
    </row>
    <row r="392" spans="1:6">
      <c r="A392" s="1" t="s">
        <v>397</v>
      </c>
      <c r="B392" s="2">
        <v>45413</v>
      </c>
      <c r="C392" s="2">
        <v>45414.247858796298</v>
      </c>
      <c r="D392" s="2">
        <v>45420.586365740739</v>
      </c>
      <c r="E392" s="2">
        <v>45421.439618055556</v>
      </c>
      <c r="F392" s="3">
        <f t="shared" si="6"/>
        <v>7.1917592592581059</v>
      </c>
    </row>
    <row r="393" spans="1:6">
      <c r="A393" s="1" t="s">
        <v>398</v>
      </c>
      <c r="B393" s="2">
        <v>45413</v>
      </c>
      <c r="C393" s="2">
        <v>45416.287627314814</v>
      </c>
      <c r="D393" s="2">
        <v>45420.588310185187</v>
      </c>
      <c r="E393" s="2">
        <v>45420.626759259256</v>
      </c>
      <c r="F393" s="3">
        <f t="shared" si="6"/>
        <v>4.3391319444417604</v>
      </c>
    </row>
    <row r="394" spans="1:6">
      <c r="A394" s="1" t="s">
        <v>399</v>
      </c>
      <c r="B394" s="2">
        <v>45414</v>
      </c>
      <c r="C394" s="2">
        <v>45415.727847222224</v>
      </c>
      <c r="D394" s="2">
        <v>45420.593495370369</v>
      </c>
      <c r="E394" s="2">
        <v>45420.612175925926</v>
      </c>
      <c r="F394" s="3">
        <f t="shared" si="6"/>
        <v>4.8843287037016125</v>
      </c>
    </row>
    <row r="395" spans="1:6">
      <c r="A395" s="1" t="s">
        <v>400</v>
      </c>
      <c r="B395" s="2">
        <v>45415</v>
      </c>
      <c r="C395" s="2">
        <v>45415.168020833335</v>
      </c>
      <c r="D395" s="2">
        <v>45420.602731481478</v>
      </c>
      <c r="E395" s="2">
        <v>45420.655057870368</v>
      </c>
      <c r="F395" s="3">
        <f t="shared" si="6"/>
        <v>5.4870370370335877</v>
      </c>
    </row>
    <row r="396" spans="1:6">
      <c r="A396" s="1" t="s">
        <v>401</v>
      </c>
      <c r="B396" s="2">
        <v>45415</v>
      </c>
      <c r="C396" s="2">
        <v>45416.718252314815</v>
      </c>
      <c r="D396" s="2">
        <v>45420.704560185186</v>
      </c>
      <c r="E396" s="2">
        <v>45420.713587962964</v>
      </c>
      <c r="F396" s="3">
        <f t="shared" si="6"/>
        <v>3.9953356481491937</v>
      </c>
    </row>
    <row r="397" spans="1:6">
      <c r="A397" s="1" t="s">
        <v>402</v>
      </c>
      <c r="B397" s="2">
        <v>45413</v>
      </c>
      <c r="C397" s="2">
        <v>45414.247847222221</v>
      </c>
      <c r="D397" s="2">
        <v>45421.437604166669</v>
      </c>
      <c r="E397" s="2">
        <v>45421.479421296295</v>
      </c>
      <c r="F397" s="3">
        <f t="shared" si="6"/>
        <v>7.2315740740741603</v>
      </c>
    </row>
    <row r="398" spans="1:6">
      <c r="A398" s="1" t="s">
        <v>403</v>
      </c>
      <c r="B398" s="2">
        <v>45420</v>
      </c>
      <c r="C398" s="2">
        <v>45420.479837962965</v>
      </c>
      <c r="D398" s="2">
        <v>45420.70684027778</v>
      </c>
      <c r="E398" s="2">
        <v>45420.748576388891</v>
      </c>
      <c r="F398" s="3">
        <f t="shared" si="6"/>
        <v>0.26873842592613073</v>
      </c>
    </row>
    <row r="399" spans="1:6">
      <c r="A399" s="1" t="s">
        <v>404</v>
      </c>
      <c r="B399" s="2">
        <v>45420</v>
      </c>
      <c r="C399" s="2">
        <v>45421.343206018515</v>
      </c>
      <c r="D399" s="2">
        <v>45421.377152777779</v>
      </c>
      <c r="E399" s="2">
        <v>45421.41920138889</v>
      </c>
      <c r="F399" s="3">
        <f t="shared" si="6"/>
        <v>7.5995370374585036E-2</v>
      </c>
    </row>
    <row r="400" spans="1:6">
      <c r="A400" s="1" t="s">
        <v>405</v>
      </c>
      <c r="B400" s="2">
        <v>45420</v>
      </c>
      <c r="C400" s="2">
        <v>45421.343275462961</v>
      </c>
      <c r="D400" s="2">
        <v>45421.374074074076</v>
      </c>
      <c r="E400" s="2">
        <v>45421.415833333333</v>
      </c>
      <c r="F400" s="3">
        <f t="shared" si="6"/>
        <v>7.2557870371383615E-2</v>
      </c>
    </row>
    <row r="401" spans="1:6">
      <c r="A401" s="1" t="s">
        <v>406</v>
      </c>
      <c r="B401" s="2">
        <v>45420</v>
      </c>
      <c r="C401" s="2">
        <v>45421.020358796297</v>
      </c>
      <c r="D401" s="2">
        <v>45421.373680555553</v>
      </c>
      <c r="E401" s="2">
        <v>45421.415509259263</v>
      </c>
      <c r="F401" s="3">
        <f t="shared" si="6"/>
        <v>0.39515046296583023</v>
      </c>
    </row>
    <row r="402" spans="1:6">
      <c r="A402" s="1" t="s">
        <v>407</v>
      </c>
      <c r="B402" s="2">
        <v>45420</v>
      </c>
      <c r="C402" s="2">
        <v>45421.020428240743</v>
      </c>
      <c r="D402" s="2">
        <v>45421.368310185186</v>
      </c>
      <c r="E402" s="2">
        <v>45421.410219907404</v>
      </c>
      <c r="F402" s="3">
        <f t="shared" si="6"/>
        <v>0.38979166666103993</v>
      </c>
    </row>
    <row r="403" spans="1:6">
      <c r="A403" s="1" t="s">
        <v>408</v>
      </c>
      <c r="B403" s="2">
        <v>45419</v>
      </c>
      <c r="C403" s="2">
        <v>45420.823807870373</v>
      </c>
      <c r="D403" s="2">
        <v>45420.791076388887</v>
      </c>
      <c r="E403" s="2">
        <v>45420.83289351852</v>
      </c>
      <c r="F403" s="3">
        <f t="shared" si="6"/>
        <v>9.0856481474475004E-3</v>
      </c>
    </row>
    <row r="404" spans="1:6">
      <c r="A404" s="1" t="s">
        <v>409</v>
      </c>
      <c r="B404" s="2">
        <v>45420</v>
      </c>
      <c r="C404" s="2">
        <v>45420.159039351849</v>
      </c>
      <c r="D404" s="2">
        <v>45420.720949074072</v>
      </c>
      <c r="E404" s="2">
        <v>45420.774282407408</v>
      </c>
      <c r="F404" s="3">
        <f t="shared" si="6"/>
        <v>0.61524305555940373</v>
      </c>
    </row>
    <row r="405" spans="1:6">
      <c r="A405" s="1" t="s">
        <v>410</v>
      </c>
      <c r="B405" s="2">
        <v>45420</v>
      </c>
      <c r="C405" s="2">
        <v>45420.159050925926</v>
      </c>
      <c r="D405" s="2">
        <v>45420.72142361111</v>
      </c>
      <c r="E405" s="2">
        <v>45420.76321759259</v>
      </c>
      <c r="F405" s="3">
        <f t="shared" si="6"/>
        <v>0.60416666666424135</v>
      </c>
    </row>
    <row r="406" spans="1:6">
      <c r="A406" s="1" t="s">
        <v>411</v>
      </c>
      <c r="B406" s="2">
        <v>45420</v>
      </c>
      <c r="C406" s="2">
        <v>45420.328333333331</v>
      </c>
      <c r="D406" s="2">
        <v>45420.722094907411</v>
      </c>
      <c r="E406" s="2">
        <v>45420.763935185183</v>
      </c>
      <c r="F406" s="3">
        <f t="shared" si="6"/>
        <v>0.43560185185197042</v>
      </c>
    </row>
    <row r="407" spans="1:6">
      <c r="A407" s="1" t="s">
        <v>412</v>
      </c>
      <c r="B407" s="2">
        <v>45420</v>
      </c>
      <c r="C407" s="2">
        <v>45420.159016203703</v>
      </c>
      <c r="D407" s="2">
        <v>45420.723680555559</v>
      </c>
      <c r="E407" s="2">
        <v>45420.765486111108</v>
      </c>
      <c r="F407" s="3">
        <f t="shared" si="6"/>
        <v>0.60646990740497131</v>
      </c>
    </row>
    <row r="408" spans="1:6">
      <c r="A408" s="1" t="s">
        <v>413</v>
      </c>
      <c r="B408" s="2">
        <v>45420</v>
      </c>
      <c r="C408" s="2">
        <v>45420.479837962965</v>
      </c>
      <c r="D408" s="2">
        <v>45420.695937500001</v>
      </c>
      <c r="E408" s="2">
        <v>45420.73777777778</v>
      </c>
      <c r="F408" s="3">
        <f t="shared" si="6"/>
        <v>0.25793981481547235</v>
      </c>
    </row>
    <row r="409" spans="1:6">
      <c r="A409" s="1" t="s">
        <v>414</v>
      </c>
      <c r="B409" s="2">
        <v>45419</v>
      </c>
      <c r="C409" s="2">
        <v>45420.240578703706</v>
      </c>
      <c r="D409" s="2">
        <v>45420.703125</v>
      </c>
      <c r="E409" s="2">
        <v>45420.744953703703</v>
      </c>
      <c r="F409" s="3">
        <f t="shared" si="6"/>
        <v>0.50437499999679858</v>
      </c>
    </row>
    <row r="410" spans="1:6">
      <c r="A410" s="1" t="s">
        <v>415</v>
      </c>
      <c r="B410" s="2">
        <v>45419</v>
      </c>
      <c r="C410" s="2">
        <v>45421.280972222223</v>
      </c>
      <c r="D410" s="2">
        <v>45421.360243055555</v>
      </c>
      <c r="E410" s="2">
        <v>45421.654293981483</v>
      </c>
      <c r="F410" s="3">
        <f t="shared" si="6"/>
        <v>0.37332175925985212</v>
      </c>
    </row>
    <row r="411" spans="1:6">
      <c r="A411" s="1" t="s">
        <v>416</v>
      </c>
      <c r="B411" s="2">
        <v>45420</v>
      </c>
      <c r="C411" s="2">
        <v>45420.74732638889</v>
      </c>
      <c r="D411" s="2">
        <v>45421.391388888886</v>
      </c>
      <c r="E411" s="2">
        <v>45421.433206018519</v>
      </c>
      <c r="F411" s="3">
        <f t="shared" si="6"/>
        <v>0.68587962962919846</v>
      </c>
    </row>
    <row r="412" spans="1:6">
      <c r="A412" s="1" t="s">
        <v>417</v>
      </c>
      <c r="B412" s="2">
        <v>45420</v>
      </c>
      <c r="C412" s="2">
        <v>45420.74732638889</v>
      </c>
      <c r="D412" s="2">
        <v>45421.394826388889</v>
      </c>
      <c r="E412" s="2">
        <v>45421.436666666668</v>
      </c>
      <c r="F412" s="3">
        <f t="shared" si="6"/>
        <v>0.68934027777868323</v>
      </c>
    </row>
    <row r="413" spans="1:6">
      <c r="A413" s="1" t="s">
        <v>418</v>
      </c>
      <c r="B413" s="2">
        <v>45420</v>
      </c>
      <c r="C413" s="2">
        <v>45420.74732638889</v>
      </c>
      <c r="D413" s="2">
        <v>45421.395590277774</v>
      </c>
      <c r="E413" s="2">
        <v>45421.437349537038</v>
      </c>
      <c r="F413" s="3">
        <f t="shared" si="6"/>
        <v>0.69002314814861165</v>
      </c>
    </row>
    <row r="414" spans="1:6">
      <c r="A414" s="1" t="s">
        <v>419</v>
      </c>
      <c r="B414" s="2">
        <v>45412</v>
      </c>
      <c r="C414" s="2">
        <v>45413.176319444443</v>
      </c>
      <c r="D414" s="2">
        <v>45420.725532407407</v>
      </c>
      <c r="E414" s="2">
        <v>45420.784826388888</v>
      </c>
      <c r="F414" s="3">
        <f t="shared" si="6"/>
        <v>7.6085069444452529</v>
      </c>
    </row>
    <row r="415" spans="1:6">
      <c r="A415" s="1" t="s">
        <v>420</v>
      </c>
      <c r="B415" s="2">
        <v>45415</v>
      </c>
      <c r="C415" s="2">
        <v>45416.863449074073</v>
      </c>
      <c r="D415" s="2">
        <v>45420.738391203704</v>
      </c>
      <c r="E415" s="2">
        <v>45420.791655092595</v>
      </c>
      <c r="F415" s="3">
        <f t="shared" si="6"/>
        <v>3.9282060185214505</v>
      </c>
    </row>
    <row r="416" spans="1:6">
      <c r="A416" s="1" t="s">
        <v>421</v>
      </c>
      <c r="B416" s="2">
        <v>45420</v>
      </c>
      <c r="C416" s="2">
        <v>45420.74732638889</v>
      </c>
      <c r="D416" s="2">
        <v>45421.391689814816</v>
      </c>
      <c r="E416" s="2">
        <v>45421.433587962965</v>
      </c>
      <c r="F416" s="3">
        <f t="shared" si="6"/>
        <v>0.6862615740756155</v>
      </c>
    </row>
    <row r="417" spans="1:6">
      <c r="A417" s="1" t="s">
        <v>422</v>
      </c>
      <c r="B417" s="2">
        <v>45420</v>
      </c>
      <c r="C417" s="2">
        <v>45421.343159722222</v>
      </c>
      <c r="D417" s="2">
        <v>45421.359930555554</v>
      </c>
      <c r="E417" s="2">
        <v>45421.401886574073</v>
      </c>
      <c r="F417" s="3">
        <f t="shared" si="6"/>
        <v>5.8726851850224193E-2</v>
      </c>
    </row>
    <row r="418" spans="1:6">
      <c r="A418" s="1" t="s">
        <v>423</v>
      </c>
      <c r="B418" s="2">
        <v>45420</v>
      </c>
      <c r="C418" s="2">
        <v>45420.328333333331</v>
      </c>
      <c r="D418" s="2">
        <v>45420.780810185184</v>
      </c>
      <c r="E418" s="2">
        <v>45420.822592592594</v>
      </c>
      <c r="F418" s="3">
        <f t="shared" si="6"/>
        <v>0.49425925926334457</v>
      </c>
    </row>
    <row r="419" spans="1:6">
      <c r="A419" s="1" t="s">
        <v>424</v>
      </c>
      <c r="B419" s="2">
        <v>45420</v>
      </c>
      <c r="C419" s="2">
        <v>45420.15902777778</v>
      </c>
      <c r="D419" s="2">
        <v>45420.781400462962</v>
      </c>
      <c r="E419" s="2">
        <v>45420.823182870372</v>
      </c>
      <c r="F419" s="3">
        <f t="shared" si="6"/>
        <v>0.66415509259240935</v>
      </c>
    </row>
    <row r="420" spans="1:6">
      <c r="A420" s="1" t="s">
        <v>425</v>
      </c>
      <c r="B420" s="2">
        <v>45420</v>
      </c>
      <c r="C420" s="2">
        <v>45421.280972222223</v>
      </c>
      <c r="D420" s="2">
        <v>45421.925266203703</v>
      </c>
      <c r="E420" s="2">
        <v>45421.967083333337</v>
      </c>
      <c r="F420" s="3">
        <f t="shared" si="6"/>
        <v>0.68611111111385981</v>
      </c>
    </row>
    <row r="421" spans="1:6">
      <c r="A421" s="1" t="s">
        <v>426</v>
      </c>
      <c r="B421" s="2">
        <v>45420</v>
      </c>
      <c r="C421" s="2">
        <v>45421.69158564815</v>
      </c>
      <c r="D421" s="2">
        <v>45421.914409722223</v>
      </c>
      <c r="E421" s="2">
        <v>45422.598576388889</v>
      </c>
      <c r="F421" s="3">
        <f t="shared" si="6"/>
        <v>0.90699074073927477</v>
      </c>
    </row>
    <row r="422" spans="1:6">
      <c r="A422" s="1" t="s">
        <v>427</v>
      </c>
      <c r="B422" s="2">
        <v>45415</v>
      </c>
      <c r="C422" s="2">
        <v>45416.729062500002</v>
      </c>
      <c r="D422" s="2">
        <v>45421.358622685184</v>
      </c>
      <c r="E422" s="2">
        <v>45421.384097222224</v>
      </c>
      <c r="F422" s="3">
        <f t="shared" si="6"/>
        <v>4.6550347222218988</v>
      </c>
    </row>
    <row r="423" spans="1:6">
      <c r="A423" s="1" t="s">
        <v>428</v>
      </c>
      <c r="B423" s="2">
        <v>45417</v>
      </c>
      <c r="C423" s="2">
        <v>45419.777083333334</v>
      </c>
      <c r="D423" s="2">
        <v>45421.186724537038</v>
      </c>
      <c r="E423" s="2">
        <v>45421.303865740738</v>
      </c>
      <c r="F423" s="3">
        <f t="shared" si="6"/>
        <v>1.5267824074035161</v>
      </c>
    </row>
    <row r="424" spans="1:6">
      <c r="A424" s="1" t="s">
        <v>429</v>
      </c>
      <c r="B424" s="2">
        <v>45420</v>
      </c>
      <c r="C424" s="2">
        <v>45421.466793981483</v>
      </c>
      <c r="D424" s="2">
        <v>45421.409699074073</v>
      </c>
      <c r="E424" s="2">
        <v>45421.451516203706</v>
      </c>
      <c r="F424" s="6" t="s">
        <v>1708</v>
      </c>
    </row>
    <row r="425" spans="1:6">
      <c r="A425" s="1" t="s">
        <v>430</v>
      </c>
      <c r="B425" s="2">
        <v>45420</v>
      </c>
      <c r="C425" s="2">
        <v>45421.466793981483</v>
      </c>
      <c r="D425" s="2">
        <v>45421.409386574072</v>
      </c>
      <c r="E425" s="2">
        <v>45421.451226851852</v>
      </c>
      <c r="F425" s="6" t="s">
        <v>1708</v>
      </c>
    </row>
    <row r="426" spans="1:6">
      <c r="A426" s="1" t="s">
        <v>431</v>
      </c>
      <c r="B426" s="2">
        <v>45420</v>
      </c>
      <c r="C426" s="2">
        <v>45421.466793981483</v>
      </c>
      <c r="D426" s="2">
        <v>45421.409155092595</v>
      </c>
      <c r="E426" s="2">
        <v>45421.4375</v>
      </c>
      <c r="F426" s="6" t="s">
        <v>1708</v>
      </c>
    </row>
    <row r="427" spans="1:6">
      <c r="A427" s="1" t="s">
        <v>432</v>
      </c>
      <c r="B427" s="2">
        <v>45418</v>
      </c>
      <c r="C427" s="2">
        <v>45419.19023148148</v>
      </c>
      <c r="D427" s="2">
        <v>45420.993368055555</v>
      </c>
      <c r="E427" s="2">
        <v>45421.292604166665</v>
      </c>
      <c r="F427" s="3">
        <f t="shared" si="6"/>
        <v>2.1023726851854008</v>
      </c>
    </row>
    <row r="428" spans="1:6">
      <c r="A428" s="1" t="s">
        <v>433</v>
      </c>
      <c r="B428" s="2">
        <v>45419</v>
      </c>
      <c r="C428" s="2">
        <v>45420.827743055554</v>
      </c>
      <c r="D428" s="2">
        <v>45421.373553240737</v>
      </c>
      <c r="E428" s="2">
        <v>45421.415289351855</v>
      </c>
      <c r="F428" s="3">
        <f t="shared" si="6"/>
        <v>0.58754629630129784</v>
      </c>
    </row>
    <row r="429" spans="1:6">
      <c r="A429" s="1" t="s">
        <v>434</v>
      </c>
      <c r="B429" s="2">
        <v>45419</v>
      </c>
      <c r="C429" s="2">
        <v>45420.827743055554</v>
      </c>
      <c r="D429" s="2">
        <v>45421.388252314813</v>
      </c>
      <c r="E429" s="2">
        <v>45421.41982638889</v>
      </c>
      <c r="F429" s="3">
        <f t="shared" si="6"/>
        <v>0.59208333333663177</v>
      </c>
    </row>
    <row r="430" spans="1:6">
      <c r="A430" s="1" t="s">
        <v>435</v>
      </c>
      <c r="B430" s="2">
        <v>45419</v>
      </c>
      <c r="C430" s="2">
        <v>45420.827743055554</v>
      </c>
      <c r="D430" s="2">
        <v>45421.390231481484</v>
      </c>
      <c r="E430" s="2">
        <v>45421.420405092591</v>
      </c>
      <c r="F430" s="3">
        <f t="shared" si="6"/>
        <v>0.59266203703737119</v>
      </c>
    </row>
    <row r="431" spans="1:6">
      <c r="A431" s="1" t="s">
        <v>436</v>
      </c>
      <c r="B431" s="2">
        <v>45419</v>
      </c>
      <c r="C431" s="2">
        <v>45421.694907407407</v>
      </c>
      <c r="D431" s="2">
        <v>45422.330451388887</v>
      </c>
      <c r="E431" s="2">
        <v>45422.448831018519</v>
      </c>
      <c r="F431" s="3">
        <f t="shared" si="6"/>
        <v>0.7539236111115315</v>
      </c>
    </row>
    <row r="432" spans="1:6">
      <c r="A432" s="1" t="s">
        <v>437</v>
      </c>
      <c r="B432" s="2">
        <v>45421</v>
      </c>
      <c r="C432" s="2">
        <v>45421.343229166669</v>
      </c>
      <c r="D432" s="2">
        <v>45421.404606481483</v>
      </c>
      <c r="E432" s="2">
        <v>45421.468692129631</v>
      </c>
      <c r="F432" s="3">
        <f t="shared" si="6"/>
        <v>0.12546296296204673</v>
      </c>
    </row>
    <row r="433" spans="1:6">
      <c r="A433" s="1" t="s">
        <v>438</v>
      </c>
      <c r="B433" s="2">
        <v>45421</v>
      </c>
      <c r="C433" s="2">
        <v>45421.343263888892</v>
      </c>
      <c r="D433" s="2">
        <v>45421.409155092595</v>
      </c>
      <c r="E433" s="2">
        <v>45421.461956018517</v>
      </c>
      <c r="F433" s="3">
        <f t="shared" si="6"/>
        <v>0.11869212962483289</v>
      </c>
    </row>
    <row r="434" spans="1:6">
      <c r="A434" s="1" t="s">
        <v>439</v>
      </c>
      <c r="B434" s="2">
        <v>45421</v>
      </c>
      <c r="C434" s="2">
        <v>45421.466793981483</v>
      </c>
      <c r="D434" s="2">
        <v>45421.421087962961</v>
      </c>
      <c r="E434" s="2">
        <v>45421.452175925922</v>
      </c>
      <c r="F434" s="6" t="s">
        <v>1708</v>
      </c>
    </row>
    <row r="435" spans="1:6">
      <c r="A435" s="1" t="s">
        <v>440</v>
      </c>
      <c r="B435" s="2">
        <v>45421</v>
      </c>
      <c r="C435" s="2">
        <v>45421.466793981483</v>
      </c>
      <c r="D435" s="2">
        <v>45421.421932870369</v>
      </c>
      <c r="E435" s="2">
        <v>45421.452592592592</v>
      </c>
      <c r="F435" s="6" t="s">
        <v>1708</v>
      </c>
    </row>
    <row r="436" spans="1:6">
      <c r="A436" s="1" t="s">
        <v>441</v>
      </c>
      <c r="B436" s="2">
        <v>45421</v>
      </c>
      <c r="C436" s="2">
        <v>45421.466793981483</v>
      </c>
      <c r="D436" s="2">
        <v>45421.435844907406</v>
      </c>
      <c r="E436" s="2">
        <v>45421.477731481478</v>
      </c>
      <c r="F436" s="3">
        <f t="shared" si="6"/>
        <v>1.0937499995634425E-2</v>
      </c>
    </row>
    <row r="437" spans="1:6">
      <c r="A437" s="1" t="s">
        <v>442</v>
      </c>
      <c r="B437" s="2">
        <v>45421</v>
      </c>
      <c r="C437" s="2">
        <v>45421.466793981483</v>
      </c>
      <c r="D437" s="2">
        <v>45421.435439814813</v>
      </c>
      <c r="E437" s="2">
        <v>45421.477314814816</v>
      </c>
      <c r="F437" s="3">
        <f t="shared" si="6"/>
        <v>1.0520833333430346E-2</v>
      </c>
    </row>
    <row r="438" spans="1:6">
      <c r="A438" s="1" t="s">
        <v>443</v>
      </c>
      <c r="B438" s="2">
        <v>45420</v>
      </c>
      <c r="C438" s="2">
        <v>45421.280972222223</v>
      </c>
      <c r="D438" s="2">
        <v>45421.471967592595</v>
      </c>
      <c r="E438" s="2">
        <v>45421.614432870374</v>
      </c>
      <c r="F438" s="3">
        <f t="shared" si="6"/>
        <v>0.333460648151231</v>
      </c>
    </row>
    <row r="439" spans="1:6">
      <c r="A439" s="1" t="s">
        <v>444</v>
      </c>
      <c r="B439" s="2">
        <v>45420</v>
      </c>
      <c r="C439" s="2">
        <v>45421.280972222223</v>
      </c>
      <c r="D439" s="2">
        <v>45421.473738425928</v>
      </c>
      <c r="E439" s="2">
        <v>45421.614664351851</v>
      </c>
      <c r="F439" s="3">
        <f t="shared" si="6"/>
        <v>0.33369212962861639</v>
      </c>
    </row>
    <row r="440" spans="1:6">
      <c r="A440" s="1" t="s">
        <v>445</v>
      </c>
      <c r="B440" s="2">
        <v>45420</v>
      </c>
      <c r="C440" s="2">
        <v>45422.301377314812</v>
      </c>
      <c r="D440" s="2">
        <v>45422.336377314816</v>
      </c>
      <c r="E440" s="2">
        <v>45422.634027777778</v>
      </c>
      <c r="F440" s="3">
        <f t="shared" si="6"/>
        <v>0.33265046296583023</v>
      </c>
    </row>
    <row r="441" spans="1:6">
      <c r="A441" s="1" t="s">
        <v>446</v>
      </c>
      <c r="B441" s="2">
        <v>45420</v>
      </c>
      <c r="C441" s="2">
        <v>45421.280972222223</v>
      </c>
      <c r="D441" s="2">
        <v>45421.483356481483</v>
      </c>
      <c r="E441" s="2">
        <v>45421.616851851853</v>
      </c>
      <c r="F441" s="3">
        <f t="shared" si="6"/>
        <v>0.33587962963065365</v>
      </c>
    </row>
    <row r="442" spans="1:6">
      <c r="A442" s="1" t="s">
        <v>447</v>
      </c>
      <c r="B442" s="2">
        <v>45420</v>
      </c>
      <c r="C442" s="2">
        <v>45421.280972222223</v>
      </c>
      <c r="D442" s="2">
        <v>45421.484699074077</v>
      </c>
      <c r="E442" s="2">
        <v>45421.617361111108</v>
      </c>
      <c r="F442" s="3">
        <f t="shared" si="6"/>
        <v>0.33638888888526708</v>
      </c>
    </row>
    <row r="443" spans="1:6">
      <c r="A443" s="1" t="s">
        <v>448</v>
      </c>
      <c r="B443" s="2">
        <v>45420</v>
      </c>
      <c r="C443" s="2">
        <v>45421.280972222223</v>
      </c>
      <c r="D443" s="2">
        <v>45421.48605324074</v>
      </c>
      <c r="E443" s="2">
        <v>45421.652395833335</v>
      </c>
      <c r="F443" s="3">
        <f t="shared" si="6"/>
        <v>0.37142361111182254</v>
      </c>
    </row>
    <row r="444" spans="1:6">
      <c r="A444" s="1" t="s">
        <v>449</v>
      </c>
      <c r="B444" s="2">
        <v>45420</v>
      </c>
      <c r="C444" s="2">
        <v>45421.280972222223</v>
      </c>
      <c r="D444" s="2">
        <v>45421.486909722225</v>
      </c>
      <c r="E444" s="2">
        <v>45421.628078703703</v>
      </c>
      <c r="F444" s="3">
        <f t="shared" si="6"/>
        <v>0.34710648148029577</v>
      </c>
    </row>
    <row r="445" spans="1:6">
      <c r="A445" s="1" t="s">
        <v>450</v>
      </c>
      <c r="B445" s="2">
        <v>45420</v>
      </c>
      <c r="C445" s="2">
        <v>45421.280972222223</v>
      </c>
      <c r="D445" s="2">
        <v>45421.487986111111</v>
      </c>
      <c r="E445" s="2">
        <v>45421.626655092594</v>
      </c>
      <c r="F445" s="3">
        <f t="shared" si="6"/>
        <v>0.34568287037109258</v>
      </c>
    </row>
    <row r="446" spans="1:6">
      <c r="A446" s="1" t="s">
        <v>451</v>
      </c>
      <c r="B446" s="2">
        <v>45420</v>
      </c>
      <c r="C446" s="2">
        <v>45421.280972222223</v>
      </c>
      <c r="D446" s="2">
        <v>45421.489537037036</v>
      </c>
      <c r="E446" s="2">
        <v>45421.607465277775</v>
      </c>
      <c r="F446" s="3">
        <f t="shared" si="6"/>
        <v>0.32649305555241881</v>
      </c>
    </row>
    <row r="447" spans="1:6">
      <c r="A447" s="1" t="s">
        <v>452</v>
      </c>
      <c r="B447" s="2">
        <v>45420</v>
      </c>
      <c r="C447" s="2">
        <v>45421.280960648146</v>
      </c>
      <c r="D447" s="2">
        <v>45421.491111111114</v>
      </c>
      <c r="E447" s="2">
        <v>45421.663136574076</v>
      </c>
      <c r="F447" s="3">
        <f t="shared" si="6"/>
        <v>0.38217592592991423</v>
      </c>
    </row>
    <row r="448" spans="1:6">
      <c r="A448" s="1" t="s">
        <v>453</v>
      </c>
      <c r="B448" s="2">
        <v>45420</v>
      </c>
      <c r="C448" s="2">
        <v>45421.555543981478</v>
      </c>
      <c r="D448" s="2">
        <v>45422.379756944443</v>
      </c>
      <c r="E448" s="2">
        <v>45422.559699074074</v>
      </c>
      <c r="F448" s="3">
        <f t="shared" si="6"/>
        <v>1.0041550925961928</v>
      </c>
    </row>
    <row r="449" spans="1:6">
      <c r="A449" s="1" t="s">
        <v>454</v>
      </c>
      <c r="B449" s="2">
        <v>45420</v>
      </c>
      <c r="C449" s="2">
        <v>45421.466793981483</v>
      </c>
      <c r="D449" s="2">
        <v>45421.563634259262</v>
      </c>
      <c r="E449" s="2">
        <v>45421.593229166669</v>
      </c>
      <c r="F449" s="3">
        <f t="shared" si="6"/>
        <v>0.12643518518598285</v>
      </c>
    </row>
    <row r="450" spans="1:6">
      <c r="A450" s="1" t="s">
        <v>455</v>
      </c>
      <c r="B450" s="2">
        <v>45421</v>
      </c>
      <c r="C450" s="2">
        <v>45421.756053240744</v>
      </c>
      <c r="D450" s="2">
        <v>45422.337731481479</v>
      </c>
      <c r="E450" s="2">
        <v>45422.379571759258</v>
      </c>
      <c r="F450" s="3">
        <f t="shared" si="6"/>
        <v>0.6235185185141745</v>
      </c>
    </row>
    <row r="451" spans="1:6">
      <c r="A451" s="1" t="s">
        <v>456</v>
      </c>
      <c r="B451" s="2">
        <v>45421</v>
      </c>
      <c r="C451" s="2">
        <v>45421.756053240744</v>
      </c>
      <c r="D451" s="2">
        <v>45422.337685185186</v>
      </c>
      <c r="E451" s="2">
        <v>45422.379444444443</v>
      </c>
      <c r="F451" s="3">
        <f t="shared" ref="F451:F514" si="7">E451-C451</f>
        <v>0.62339120369870216</v>
      </c>
    </row>
    <row r="452" spans="1:6">
      <c r="A452" s="1" t="s">
        <v>457</v>
      </c>
      <c r="B452" s="2">
        <v>45419</v>
      </c>
      <c r="C452" s="2">
        <v>45420.827743055554</v>
      </c>
      <c r="D452" s="2">
        <v>45421.611296296294</v>
      </c>
      <c r="E452" s="2">
        <v>45421.637395833335</v>
      </c>
      <c r="F452" s="3">
        <f t="shared" si="7"/>
        <v>0.80965277778159361</v>
      </c>
    </row>
    <row r="453" spans="1:6">
      <c r="A453" s="1" t="s">
        <v>458</v>
      </c>
      <c r="B453" s="2">
        <v>45421</v>
      </c>
      <c r="C453" s="2">
        <v>45421.170127314814</v>
      </c>
      <c r="D453" s="2">
        <v>45421.648784722223</v>
      </c>
      <c r="E453" s="2">
        <v>45421.690694444442</v>
      </c>
      <c r="F453" s="3">
        <f t="shared" si="7"/>
        <v>0.52056712962803431</v>
      </c>
    </row>
    <row r="454" spans="1:6">
      <c r="A454" s="1" t="s">
        <v>459</v>
      </c>
      <c r="B454" s="2">
        <v>45421</v>
      </c>
      <c r="C454" s="2">
        <v>45421.343182870369</v>
      </c>
      <c r="D454" s="2">
        <v>45421.649675925924</v>
      </c>
      <c r="E454" s="2">
        <v>45421.691574074073</v>
      </c>
      <c r="F454" s="3">
        <f t="shared" si="7"/>
        <v>0.34839120370452292</v>
      </c>
    </row>
    <row r="455" spans="1:6">
      <c r="A455" s="1" t="s">
        <v>460</v>
      </c>
      <c r="B455" s="2">
        <v>45421</v>
      </c>
      <c r="C455" s="2">
        <v>45421.170115740744</v>
      </c>
      <c r="D455" s="2">
        <v>45421.650416666664</v>
      </c>
      <c r="E455" s="2">
        <v>45421.692199074074</v>
      </c>
      <c r="F455" s="3">
        <f t="shared" si="7"/>
        <v>0.52208333332964685</v>
      </c>
    </row>
    <row r="456" spans="1:6">
      <c r="A456" s="1" t="s">
        <v>461</v>
      </c>
      <c r="B456" s="2">
        <v>45421</v>
      </c>
      <c r="C456" s="2">
        <v>45421.343136574076</v>
      </c>
      <c r="D456" s="2">
        <v>45421.651666666665</v>
      </c>
      <c r="E456" s="2">
        <v>45421.693437499998</v>
      </c>
      <c r="F456" s="3">
        <f t="shared" si="7"/>
        <v>0.35030092592205619</v>
      </c>
    </row>
    <row r="457" spans="1:6">
      <c r="A457" s="1" t="s">
        <v>462</v>
      </c>
      <c r="B457" s="2">
        <v>45421</v>
      </c>
      <c r="C457" s="2">
        <v>45421.170104166667</v>
      </c>
      <c r="D457" s="2">
        <v>45421.653865740744</v>
      </c>
      <c r="E457" s="2">
        <v>45421.695729166669</v>
      </c>
      <c r="F457" s="3">
        <f t="shared" si="7"/>
        <v>0.52562500000203727</v>
      </c>
    </row>
    <row r="458" spans="1:6">
      <c r="A458" s="1" t="s">
        <v>463</v>
      </c>
      <c r="B458" s="2">
        <v>45421</v>
      </c>
      <c r="C458" s="2">
        <v>45421.343136574076</v>
      </c>
      <c r="D458" s="2">
        <v>45421.654710648145</v>
      </c>
      <c r="E458" s="2">
        <v>45421.696527777778</v>
      </c>
      <c r="F458" s="3">
        <f t="shared" si="7"/>
        <v>0.35339120370190358</v>
      </c>
    </row>
    <row r="459" spans="1:6">
      <c r="A459" s="1" t="s">
        <v>464</v>
      </c>
      <c r="B459" s="2">
        <v>45421</v>
      </c>
      <c r="C459" s="2">
        <v>45421.170115740744</v>
      </c>
      <c r="D459" s="2">
        <v>45421.656412037039</v>
      </c>
      <c r="E459" s="2">
        <v>45421.698217592595</v>
      </c>
      <c r="F459" s="3">
        <f t="shared" si="7"/>
        <v>0.52810185185080627</v>
      </c>
    </row>
    <row r="460" spans="1:6">
      <c r="A460" s="1" t="s">
        <v>465</v>
      </c>
      <c r="B460" s="2">
        <v>45421</v>
      </c>
      <c r="C460" s="2">
        <v>45421.170104166667</v>
      </c>
      <c r="D460" s="2">
        <v>45421.657893518517</v>
      </c>
      <c r="E460" s="2">
        <v>45421.699884259258</v>
      </c>
      <c r="F460" s="3">
        <f t="shared" si="7"/>
        <v>0.52978009259095415</v>
      </c>
    </row>
    <row r="461" spans="1:6">
      <c r="A461" s="1" t="s">
        <v>466</v>
      </c>
      <c r="B461" s="2">
        <v>45421</v>
      </c>
      <c r="C461" s="2">
        <v>45421.170115740744</v>
      </c>
      <c r="D461" s="2">
        <v>45421.659537037034</v>
      </c>
      <c r="E461" s="2">
        <v>45421.6719212963</v>
      </c>
      <c r="F461" s="3">
        <f t="shared" si="7"/>
        <v>0.50180555555562023</v>
      </c>
    </row>
    <row r="462" spans="1:6">
      <c r="A462" s="1" t="s">
        <v>467</v>
      </c>
      <c r="B462" s="2">
        <v>45421</v>
      </c>
      <c r="C462" s="2">
        <v>45421.170115740744</v>
      </c>
      <c r="D462" s="2">
        <v>45421.660196759258</v>
      </c>
      <c r="E462" s="2">
        <v>45421.702013888891</v>
      </c>
      <c r="F462" s="3">
        <f t="shared" si="7"/>
        <v>0.53189814814686542</v>
      </c>
    </row>
    <row r="463" spans="1:6">
      <c r="A463" s="1" t="s">
        <v>468</v>
      </c>
      <c r="B463" s="2">
        <v>45415</v>
      </c>
      <c r="C463" s="2">
        <v>45416.718252314815</v>
      </c>
      <c r="D463" s="2">
        <v>45421.689699074072</v>
      </c>
      <c r="E463" s="2">
        <v>45421.698310185187</v>
      </c>
      <c r="F463" s="3">
        <f t="shared" si="7"/>
        <v>4.9800578703725478</v>
      </c>
    </row>
    <row r="464" spans="1:6">
      <c r="A464" s="1" t="s">
        <v>469</v>
      </c>
      <c r="B464" s="2">
        <v>45418</v>
      </c>
      <c r="C464" s="2">
        <v>45419.777083333334</v>
      </c>
      <c r="D464" s="2">
        <v>45421.694374999999</v>
      </c>
      <c r="E464" s="2">
        <v>45421.804872685185</v>
      </c>
      <c r="F464" s="3">
        <f t="shared" si="7"/>
        <v>2.0277893518505152</v>
      </c>
    </row>
    <row r="465" spans="1:6">
      <c r="A465" s="1" t="s">
        <v>470</v>
      </c>
      <c r="B465" s="2">
        <v>45418</v>
      </c>
      <c r="C465" s="2">
        <v>45419.777083333334</v>
      </c>
      <c r="D465" s="2">
        <v>45421.697858796295</v>
      </c>
      <c r="E465" s="2">
        <v>45421.710162037038</v>
      </c>
      <c r="F465" s="3">
        <f t="shared" si="7"/>
        <v>1.9330787037033588</v>
      </c>
    </row>
    <row r="466" spans="1:6">
      <c r="A466" s="1" t="s">
        <v>471</v>
      </c>
      <c r="B466" s="2">
        <v>45421</v>
      </c>
      <c r="C466" s="2">
        <v>45422.887025462966</v>
      </c>
      <c r="D466" s="2">
        <v>45422.840416666666</v>
      </c>
      <c r="E466" s="2">
        <v>45422.997291666667</v>
      </c>
      <c r="F466" s="3">
        <f t="shared" si="7"/>
        <v>0.11026620370103046</v>
      </c>
    </row>
    <row r="467" spans="1:6">
      <c r="A467" s="1" t="s">
        <v>472</v>
      </c>
      <c r="B467" s="2">
        <v>45421</v>
      </c>
      <c r="C467" s="2">
        <v>45421.343136574076</v>
      </c>
      <c r="D467" s="2">
        <v>45421.727210648147</v>
      </c>
      <c r="E467" s="2">
        <v>45421.769074074073</v>
      </c>
      <c r="F467" s="3">
        <f t="shared" si="7"/>
        <v>0.42593749999650754</v>
      </c>
    </row>
    <row r="468" spans="1:6">
      <c r="A468" s="1" t="s">
        <v>473</v>
      </c>
      <c r="B468" s="2">
        <v>45421</v>
      </c>
      <c r="C468" s="2">
        <v>45421.343136574076</v>
      </c>
      <c r="D468" s="2">
        <v>45421.730081018519</v>
      </c>
      <c r="E468" s="2">
        <v>45421.771805555552</v>
      </c>
      <c r="F468" s="3">
        <f t="shared" si="7"/>
        <v>0.42866898147622123</v>
      </c>
    </row>
    <row r="469" spans="1:6">
      <c r="A469" s="1" t="s">
        <v>474</v>
      </c>
      <c r="B469" s="2">
        <v>45421</v>
      </c>
      <c r="C469" s="2">
        <v>45421.343148148146</v>
      </c>
      <c r="D469" s="2">
        <v>45421.730624999997</v>
      </c>
      <c r="E469" s="2">
        <v>45421.77239583333</v>
      </c>
      <c r="F469" s="3">
        <f t="shared" si="7"/>
        <v>0.42924768518423662</v>
      </c>
    </row>
    <row r="470" spans="1:6">
      <c r="A470" s="1" t="s">
        <v>475</v>
      </c>
      <c r="B470" s="2">
        <v>45421</v>
      </c>
      <c r="C470" s="2">
        <v>45421.343148148146</v>
      </c>
      <c r="D470" s="2">
        <v>45421.731493055559</v>
      </c>
      <c r="E470" s="2">
        <v>45421.773333333331</v>
      </c>
      <c r="F470" s="3">
        <f t="shared" si="7"/>
        <v>0.43018518518510973</v>
      </c>
    </row>
    <row r="471" spans="1:6">
      <c r="A471" s="1" t="s">
        <v>476</v>
      </c>
      <c r="B471" s="2">
        <v>45421</v>
      </c>
      <c r="C471" s="2">
        <v>45421.343148148146</v>
      </c>
      <c r="D471" s="2">
        <v>45421.73232638889</v>
      </c>
      <c r="E471" s="2">
        <v>45421.774155092593</v>
      </c>
      <c r="F471" s="3">
        <f t="shared" si="7"/>
        <v>0.43100694444729015</v>
      </c>
    </row>
    <row r="472" spans="1:6">
      <c r="A472" s="1" t="s">
        <v>477</v>
      </c>
      <c r="B472" s="2">
        <v>45421</v>
      </c>
      <c r="C472" s="2">
        <v>45421.343148148146</v>
      </c>
      <c r="D472" s="2">
        <v>45421.733287037037</v>
      </c>
      <c r="E472" s="2">
        <v>45421.775104166663</v>
      </c>
      <c r="F472" s="3">
        <f t="shared" si="7"/>
        <v>0.43195601851766696</v>
      </c>
    </row>
    <row r="473" spans="1:6">
      <c r="A473" s="1" t="s">
        <v>478</v>
      </c>
      <c r="B473" s="2">
        <v>45421</v>
      </c>
      <c r="C473" s="2">
        <v>45421.343182870369</v>
      </c>
      <c r="D473" s="2">
        <v>45421.734143518515</v>
      </c>
      <c r="E473" s="2">
        <v>45421.776041666664</v>
      </c>
      <c r="F473" s="3">
        <f t="shared" si="7"/>
        <v>0.43285879629547708</v>
      </c>
    </row>
    <row r="474" spans="1:6">
      <c r="A474" s="1" t="s">
        <v>479</v>
      </c>
      <c r="B474" s="2">
        <v>45421</v>
      </c>
      <c r="C474" s="2">
        <v>45421.343182870369</v>
      </c>
      <c r="D474" s="2">
        <v>45421.714571759258</v>
      </c>
      <c r="E474" s="2">
        <v>45421.756585648145</v>
      </c>
      <c r="F474" s="3">
        <f t="shared" si="7"/>
        <v>0.41340277777635492</v>
      </c>
    </row>
    <row r="475" spans="1:6">
      <c r="A475" s="1" t="s">
        <v>480</v>
      </c>
      <c r="B475" s="2">
        <v>45421</v>
      </c>
      <c r="C475" s="2">
        <v>45421.170127314814</v>
      </c>
      <c r="D475" s="2">
        <v>45421.719131944446</v>
      </c>
      <c r="E475" s="2">
        <v>45421.760960648149</v>
      </c>
      <c r="F475" s="3">
        <f t="shared" si="7"/>
        <v>0.59083333333546761</v>
      </c>
    </row>
    <row r="476" spans="1:6">
      <c r="A476" s="1" t="s">
        <v>481</v>
      </c>
      <c r="B476" s="2">
        <v>45421</v>
      </c>
      <c r="C476" s="2">
        <v>45421.343263888892</v>
      </c>
      <c r="D476" s="2">
        <v>45421.735219907408</v>
      </c>
      <c r="E476" s="2">
        <v>45421.776979166665</v>
      </c>
      <c r="F476" s="3">
        <f t="shared" si="7"/>
        <v>0.43371527777344454</v>
      </c>
    </row>
    <row r="477" spans="1:6">
      <c r="A477" s="1" t="s">
        <v>482</v>
      </c>
      <c r="B477" s="2">
        <v>45421</v>
      </c>
      <c r="C477" s="2">
        <v>45421.343263888892</v>
      </c>
      <c r="D477" s="2">
        <v>45421.721631944441</v>
      </c>
      <c r="E477" s="2">
        <v>45421.763425925928</v>
      </c>
      <c r="F477" s="3">
        <f t="shared" si="7"/>
        <v>0.42016203703678912</v>
      </c>
    </row>
    <row r="478" spans="1:6">
      <c r="A478" s="1" t="s">
        <v>483</v>
      </c>
      <c r="B478" s="2">
        <v>45421</v>
      </c>
      <c r="C478" s="2">
        <v>45421.343263888892</v>
      </c>
      <c r="D478" s="2">
        <v>45421.736250000002</v>
      </c>
      <c r="E478" s="2">
        <v>45421.778032407405</v>
      </c>
      <c r="F478" s="3">
        <f t="shared" si="7"/>
        <v>0.43476851851301035</v>
      </c>
    </row>
    <row r="479" spans="1:6">
      <c r="A479" s="1" t="s">
        <v>484</v>
      </c>
      <c r="B479" s="2">
        <v>45421</v>
      </c>
      <c r="C479" s="2">
        <v>45422.887013888889</v>
      </c>
      <c r="D479" s="2">
        <v>45422.839837962965</v>
      </c>
      <c r="E479" s="2">
        <v>45422.994652777779</v>
      </c>
      <c r="F479" s="3">
        <f t="shared" si="7"/>
        <v>0.10763888889050577</v>
      </c>
    </row>
    <row r="480" spans="1:6">
      <c r="A480" s="1" t="s">
        <v>485</v>
      </c>
      <c r="B480" s="2">
        <v>45421</v>
      </c>
      <c r="C480" s="2">
        <v>45422.387627314813</v>
      </c>
      <c r="D480" s="2">
        <v>45422.379780092589</v>
      </c>
      <c r="E480" s="2">
        <v>45422.432199074072</v>
      </c>
      <c r="F480" s="3">
        <f t="shared" si="7"/>
        <v>4.4571759259270038E-2</v>
      </c>
    </row>
    <row r="481" spans="1:6">
      <c r="A481" s="1" t="s">
        <v>486</v>
      </c>
      <c r="B481" s="2">
        <v>45421</v>
      </c>
      <c r="C481" s="2">
        <v>45422.886921296296</v>
      </c>
      <c r="D481" s="2">
        <v>45422.839236111111</v>
      </c>
      <c r="E481" s="2">
        <v>45422.925995370373</v>
      </c>
      <c r="F481" s="3">
        <f t="shared" si="7"/>
        <v>3.9074074076779652E-2</v>
      </c>
    </row>
    <row r="482" spans="1:6">
      <c r="A482" s="1" t="s">
        <v>487</v>
      </c>
      <c r="B482" s="2">
        <v>45413</v>
      </c>
      <c r="C482" s="2">
        <v>45414.469884259262</v>
      </c>
      <c r="D482" s="2">
        <v>45421.768935185188</v>
      </c>
      <c r="E482" s="2">
        <v>45421.783634259256</v>
      </c>
      <c r="F482" s="3">
        <f t="shared" si="7"/>
        <v>7.3137499999938882</v>
      </c>
    </row>
    <row r="483" spans="1:6">
      <c r="A483" s="1" t="s">
        <v>488</v>
      </c>
      <c r="B483" s="2">
        <v>45419</v>
      </c>
      <c r="C483" s="2">
        <v>45420.022905092592</v>
      </c>
      <c r="D483" s="2">
        <v>45421.767928240741</v>
      </c>
      <c r="E483" s="2">
        <v>45421.80976851852</v>
      </c>
      <c r="F483" s="3">
        <f t="shared" si="7"/>
        <v>1.786863425928459</v>
      </c>
    </row>
    <row r="484" spans="1:6">
      <c r="A484" s="1" t="s">
        <v>489</v>
      </c>
      <c r="B484" s="2">
        <v>45419</v>
      </c>
      <c r="C484" s="2">
        <v>45420.115694444445</v>
      </c>
      <c r="D484" s="2">
        <v>45421.774108796293</v>
      </c>
      <c r="E484" s="2">
        <v>45421.815833333334</v>
      </c>
      <c r="F484" s="3">
        <f t="shared" si="7"/>
        <v>1.7001388888893416</v>
      </c>
    </row>
    <row r="485" spans="1:6">
      <c r="A485" s="1" t="s">
        <v>490</v>
      </c>
      <c r="B485" s="2">
        <v>45419</v>
      </c>
      <c r="C485" s="2">
        <v>45420.022916666669</v>
      </c>
      <c r="D485" s="2">
        <v>45421.776319444441</v>
      </c>
      <c r="E485" s="2">
        <v>45421.818067129629</v>
      </c>
      <c r="F485" s="3">
        <f t="shared" si="7"/>
        <v>1.7951504629600095</v>
      </c>
    </row>
    <row r="486" spans="1:6">
      <c r="A486" s="1" t="s">
        <v>491</v>
      </c>
      <c r="B486" s="2">
        <v>45419</v>
      </c>
      <c r="C486" s="2">
        <v>45420.022893518515</v>
      </c>
      <c r="D486" s="2">
        <v>45421.773506944446</v>
      </c>
      <c r="E486" s="2">
        <v>45421.815243055556</v>
      </c>
      <c r="F486" s="3">
        <f t="shared" si="7"/>
        <v>1.7923495370414457</v>
      </c>
    </row>
    <row r="487" spans="1:6">
      <c r="A487" s="1" t="s">
        <v>492</v>
      </c>
      <c r="B487" s="2">
        <v>45421</v>
      </c>
      <c r="C487" s="2">
        <v>45421.343275462961</v>
      </c>
      <c r="D487" s="2">
        <v>45421.778263888889</v>
      </c>
      <c r="E487" s="2">
        <v>45421.8200462963</v>
      </c>
      <c r="F487" s="3">
        <f t="shared" si="7"/>
        <v>0.476770833338378</v>
      </c>
    </row>
    <row r="488" spans="1:6">
      <c r="A488" s="1" t="s">
        <v>493</v>
      </c>
      <c r="B488" s="2">
        <v>45421</v>
      </c>
      <c r="C488" s="2">
        <v>45421.170092592591</v>
      </c>
      <c r="D488" s="2">
        <v>45421.78466435185</v>
      </c>
      <c r="E488" s="2">
        <v>45421.829143518517</v>
      </c>
      <c r="F488" s="3">
        <f t="shared" si="7"/>
        <v>0.65905092592583969</v>
      </c>
    </row>
    <row r="489" spans="1:6">
      <c r="A489" s="1" t="s">
        <v>494</v>
      </c>
      <c r="B489" s="2">
        <v>45421</v>
      </c>
      <c r="C489" s="2">
        <v>45421.170092592591</v>
      </c>
      <c r="D489" s="2">
        <v>45421.808831018519</v>
      </c>
      <c r="E489" s="2">
        <v>45421.821076388886</v>
      </c>
      <c r="F489" s="3">
        <f t="shared" si="7"/>
        <v>0.650983796294895</v>
      </c>
    </row>
    <row r="490" spans="1:6">
      <c r="A490" s="1" t="s">
        <v>495</v>
      </c>
      <c r="B490" s="2">
        <v>45421</v>
      </c>
      <c r="C490" s="2">
        <v>45421.343136574076</v>
      </c>
      <c r="D490" s="2">
        <v>45421.813969907409</v>
      </c>
      <c r="E490" s="2">
        <v>45421.855787037035</v>
      </c>
      <c r="F490" s="3">
        <f t="shared" si="7"/>
        <v>0.51265046295884531</v>
      </c>
    </row>
    <row r="491" spans="1:6">
      <c r="A491" s="1" t="s">
        <v>496</v>
      </c>
      <c r="B491" s="2">
        <v>45420</v>
      </c>
      <c r="C491" s="2">
        <v>45421.280972222223</v>
      </c>
      <c r="D491" s="2">
        <v>45421.884039351855</v>
      </c>
      <c r="E491" s="2">
        <v>45421.925902777781</v>
      </c>
      <c r="F491" s="3">
        <f t="shared" si="7"/>
        <v>0.64493055555794854</v>
      </c>
    </row>
    <row r="492" spans="1:6">
      <c r="A492" s="1" t="s">
        <v>497</v>
      </c>
      <c r="B492" s="2">
        <v>45420</v>
      </c>
      <c r="C492" s="2">
        <v>45421.280972222223</v>
      </c>
      <c r="D492" s="2">
        <v>45421.885000000002</v>
      </c>
      <c r="E492" s="2">
        <v>45421.901238425926</v>
      </c>
      <c r="F492" s="3">
        <f t="shared" si="7"/>
        <v>0.62026620370306773</v>
      </c>
    </row>
    <row r="493" spans="1:6">
      <c r="A493" s="1" t="s">
        <v>498</v>
      </c>
      <c r="B493" s="2">
        <v>45420</v>
      </c>
      <c r="C493" s="2">
        <v>45421.280960648146</v>
      </c>
      <c r="D493" s="2">
        <v>45421.886157407411</v>
      </c>
      <c r="E493" s="2">
        <v>45421.927997685183</v>
      </c>
      <c r="F493" s="3">
        <f t="shared" si="7"/>
        <v>0.64703703703708015</v>
      </c>
    </row>
    <row r="494" spans="1:6">
      <c r="A494" s="1" t="s">
        <v>499</v>
      </c>
      <c r="B494" s="2">
        <v>45420</v>
      </c>
      <c r="C494" s="2">
        <v>45421.280960648146</v>
      </c>
      <c r="D494" s="2">
        <v>45421.887233796297</v>
      </c>
      <c r="E494" s="2">
        <v>45421.929050925923</v>
      </c>
      <c r="F494" s="3">
        <f t="shared" si="7"/>
        <v>0.64809027777664596</v>
      </c>
    </row>
    <row r="495" spans="1:6">
      <c r="A495" s="1" t="s">
        <v>500</v>
      </c>
      <c r="B495" s="2">
        <v>45420</v>
      </c>
      <c r="C495" s="2">
        <v>45421.280972222223</v>
      </c>
      <c r="D495" s="2">
        <v>45421.887766203705</v>
      </c>
      <c r="E495" s="2">
        <v>45421.929513888892</v>
      </c>
      <c r="F495" s="3">
        <f t="shared" si="7"/>
        <v>0.648541666669189</v>
      </c>
    </row>
    <row r="496" spans="1:6">
      <c r="A496" s="1" t="s">
        <v>501</v>
      </c>
      <c r="B496" s="2">
        <v>45420</v>
      </c>
      <c r="C496" s="2">
        <v>45421.280972222223</v>
      </c>
      <c r="D496" s="2">
        <v>45421.888611111113</v>
      </c>
      <c r="E496" s="2">
        <v>45421.930335648147</v>
      </c>
      <c r="F496" s="3">
        <f t="shared" si="7"/>
        <v>0.64936342592409346</v>
      </c>
    </row>
    <row r="497" spans="1:6">
      <c r="A497" s="1" t="s">
        <v>502</v>
      </c>
      <c r="B497" s="2">
        <v>45420</v>
      </c>
      <c r="C497" s="2">
        <v>45421.280972222223</v>
      </c>
      <c r="D497" s="2">
        <v>45421.889328703706</v>
      </c>
      <c r="E497" s="2">
        <v>45421.931157407409</v>
      </c>
      <c r="F497" s="3">
        <f t="shared" si="7"/>
        <v>0.65018518518627388</v>
      </c>
    </row>
    <row r="498" spans="1:6">
      <c r="A498" s="1" t="s">
        <v>503</v>
      </c>
      <c r="B498" s="2">
        <v>45420</v>
      </c>
      <c r="C498" s="2">
        <v>45421.280972222223</v>
      </c>
      <c r="D498" s="2">
        <v>45421.890231481484</v>
      </c>
      <c r="E498" s="2">
        <v>45421.931967592594</v>
      </c>
      <c r="F498" s="3">
        <f t="shared" si="7"/>
        <v>0.65099537037167465</v>
      </c>
    </row>
    <row r="499" spans="1:6">
      <c r="A499" s="1" t="s">
        <v>504</v>
      </c>
      <c r="B499" s="2">
        <v>45420</v>
      </c>
      <c r="C499" s="2">
        <v>45421.280972222223</v>
      </c>
      <c r="D499" s="2">
        <v>45421.891180555554</v>
      </c>
      <c r="E499" s="2">
        <v>45421.933020833334</v>
      </c>
      <c r="F499" s="3">
        <f t="shared" si="7"/>
        <v>0.65204861111124046</v>
      </c>
    </row>
    <row r="500" spans="1:6">
      <c r="A500" s="1" t="s">
        <v>505</v>
      </c>
      <c r="B500" s="2">
        <v>45420</v>
      </c>
      <c r="C500" s="2">
        <v>45421.280972222223</v>
      </c>
      <c r="D500" s="2">
        <v>45421.891875000001</v>
      </c>
      <c r="E500" s="2">
        <v>45421.933611111112</v>
      </c>
      <c r="F500" s="3">
        <f t="shared" si="7"/>
        <v>0.65263888888875954</v>
      </c>
    </row>
    <row r="501" spans="1:6">
      <c r="A501" s="1" t="s">
        <v>506</v>
      </c>
      <c r="B501" s="2">
        <v>45421</v>
      </c>
      <c r="C501" s="2">
        <v>45421.170115740744</v>
      </c>
      <c r="D501" s="2">
        <v>45421.876435185186</v>
      </c>
      <c r="E501" s="2">
        <v>45421.918206018519</v>
      </c>
      <c r="F501" s="3">
        <f t="shared" si="7"/>
        <v>0.74809027777519077</v>
      </c>
    </row>
    <row r="502" spans="1:6">
      <c r="A502" s="1" t="s">
        <v>507</v>
      </c>
      <c r="B502" s="2">
        <v>45421</v>
      </c>
      <c r="C502" s="2">
        <v>45421.170115740744</v>
      </c>
      <c r="D502" s="2">
        <v>45421.879201388889</v>
      </c>
      <c r="E502" s="2">
        <v>45421.921006944445</v>
      </c>
      <c r="F502" s="3">
        <f t="shared" si="7"/>
        <v>0.75089120370103046</v>
      </c>
    </row>
    <row r="503" spans="1:6">
      <c r="A503" s="1" t="s">
        <v>508</v>
      </c>
      <c r="B503" s="2">
        <v>45421</v>
      </c>
      <c r="C503" s="2">
        <v>45421.343136574076</v>
      </c>
      <c r="D503" s="2">
        <v>45421.883564814816</v>
      </c>
      <c r="E503" s="2">
        <v>45421.888831018521</v>
      </c>
      <c r="F503" s="3">
        <f t="shared" si="7"/>
        <v>0.54569444444496185</v>
      </c>
    </row>
    <row r="504" spans="1:6">
      <c r="A504" s="1" t="s">
        <v>509</v>
      </c>
      <c r="B504" s="2">
        <v>45421</v>
      </c>
      <c r="C504" s="2">
        <v>45421.343171296299</v>
      </c>
      <c r="D504" s="2">
        <v>45421.888564814813</v>
      </c>
      <c r="E504" s="2">
        <v>45421.889548611114</v>
      </c>
      <c r="F504" s="3">
        <f t="shared" si="7"/>
        <v>0.54637731481489027</v>
      </c>
    </row>
    <row r="505" spans="1:6">
      <c r="A505" s="1" t="s">
        <v>510</v>
      </c>
      <c r="B505" s="2">
        <v>45421</v>
      </c>
      <c r="C505" s="2">
        <v>45421.343136574076</v>
      </c>
      <c r="D505" s="2">
        <v>45421.922268518516</v>
      </c>
      <c r="E505" s="2">
        <v>45421.964166666665</v>
      </c>
      <c r="F505" s="3">
        <f t="shared" si="7"/>
        <v>0.62103009258862585</v>
      </c>
    </row>
    <row r="506" spans="1:6">
      <c r="A506" s="1" t="s">
        <v>511</v>
      </c>
      <c r="B506" s="2">
        <v>45421</v>
      </c>
      <c r="C506" s="2">
        <v>45421.343136574076</v>
      </c>
      <c r="D506" s="2">
        <v>45421.896585648145</v>
      </c>
      <c r="E506" s="2">
        <v>45421.938391203701</v>
      </c>
      <c r="F506" s="3">
        <f t="shared" si="7"/>
        <v>0.59525462962483289</v>
      </c>
    </row>
    <row r="507" spans="1:6">
      <c r="A507" s="1" t="s">
        <v>512</v>
      </c>
      <c r="B507" s="2">
        <v>45421</v>
      </c>
      <c r="C507" s="2">
        <v>45421.343136574076</v>
      </c>
      <c r="D507" s="2">
        <v>45421.901585648149</v>
      </c>
      <c r="E507" s="2">
        <v>45421.905428240738</v>
      </c>
      <c r="F507" s="3">
        <f t="shared" si="7"/>
        <v>0.562291666661622</v>
      </c>
    </row>
    <row r="508" spans="1:6">
      <c r="A508" s="1" t="s">
        <v>513</v>
      </c>
      <c r="B508" s="2">
        <v>45421</v>
      </c>
      <c r="C508" s="2">
        <v>45422.301377314812</v>
      </c>
      <c r="D508" s="2">
        <v>45422.829432870371</v>
      </c>
      <c r="E508" s="2">
        <v>45422.871249999997</v>
      </c>
      <c r="F508" s="3">
        <f t="shared" si="7"/>
        <v>0.56987268518423662</v>
      </c>
    </row>
    <row r="509" spans="1:6">
      <c r="A509" s="1" t="s">
        <v>514</v>
      </c>
      <c r="B509" s="2">
        <v>45420</v>
      </c>
      <c r="C509" s="2">
        <v>45423.637384259258</v>
      </c>
      <c r="D509" s="2">
        <v>45424.612766203703</v>
      </c>
      <c r="E509" s="2">
        <v>45424.654537037037</v>
      </c>
      <c r="F509" s="3">
        <f t="shared" si="7"/>
        <v>1.0171527777783922</v>
      </c>
    </row>
    <row r="510" spans="1:6">
      <c r="A510" s="1" t="s">
        <v>515</v>
      </c>
      <c r="B510" s="2">
        <v>45421</v>
      </c>
      <c r="C510" s="2">
        <v>45423.568333333336</v>
      </c>
      <c r="D510" s="2">
        <v>45423.630740740744</v>
      </c>
      <c r="E510" s="2">
        <v>45423.672546296293</v>
      </c>
      <c r="F510" s="3">
        <f t="shared" si="7"/>
        <v>0.10421296295680804</v>
      </c>
    </row>
    <row r="511" spans="1:6">
      <c r="A511" s="1" t="s">
        <v>516</v>
      </c>
      <c r="B511" s="2">
        <v>45421</v>
      </c>
      <c r="C511" s="2">
        <v>45422.041087962964</v>
      </c>
      <c r="D511" s="2">
        <v>45422.333090277774</v>
      </c>
      <c r="E511" s="2">
        <v>45422.374918981484</v>
      </c>
      <c r="F511" s="3">
        <f t="shared" si="7"/>
        <v>0.33383101852086838</v>
      </c>
    </row>
    <row r="512" spans="1:6">
      <c r="A512" s="1" t="s">
        <v>517</v>
      </c>
      <c r="B512" s="2">
        <v>45421</v>
      </c>
      <c r="C512" s="2">
        <v>45422.181458333333</v>
      </c>
      <c r="D512" s="2">
        <v>45422.334236111114</v>
      </c>
      <c r="E512" s="2">
        <v>45422.376087962963</v>
      </c>
      <c r="F512" s="3">
        <f t="shared" si="7"/>
        <v>0.19462962963007158</v>
      </c>
    </row>
    <row r="513" spans="1:6">
      <c r="A513" s="1" t="s">
        <v>518</v>
      </c>
      <c r="B513" s="2">
        <v>45421</v>
      </c>
      <c r="C513" s="2">
        <v>45422.04105324074</v>
      </c>
      <c r="D513" s="2">
        <v>45422.335138888891</v>
      </c>
      <c r="E513" s="2">
        <v>45422.376944444448</v>
      </c>
      <c r="F513" s="3">
        <f t="shared" si="7"/>
        <v>0.33589120370743331</v>
      </c>
    </row>
    <row r="514" spans="1:6">
      <c r="A514" s="1" t="s">
        <v>519</v>
      </c>
      <c r="B514" s="2">
        <v>45421</v>
      </c>
      <c r="C514" s="2">
        <v>45421.343136574076</v>
      </c>
      <c r="D514" s="2">
        <v>45421.923541666663</v>
      </c>
      <c r="E514" s="2">
        <v>45421.96533564815</v>
      </c>
      <c r="F514" s="3">
        <f t="shared" si="7"/>
        <v>0.62219907407416031</v>
      </c>
    </row>
    <row r="515" spans="1:6">
      <c r="A515" s="1" t="s">
        <v>520</v>
      </c>
      <c r="B515" s="2">
        <v>45421</v>
      </c>
      <c r="C515" s="2">
        <v>45422.727303240739</v>
      </c>
      <c r="D515" s="2">
        <v>45422.920069444444</v>
      </c>
      <c r="E515" s="2">
        <v>45422.921076388891</v>
      </c>
      <c r="F515" s="3">
        <f t="shared" ref="F515:F578" si="8">E515-C515</f>
        <v>0.19377314815210411</v>
      </c>
    </row>
    <row r="516" spans="1:6">
      <c r="A516" s="1" t="s">
        <v>521</v>
      </c>
      <c r="B516" s="2">
        <v>45421</v>
      </c>
      <c r="C516" s="2">
        <v>45423.23704861111</v>
      </c>
      <c r="D516" s="2">
        <v>45423.322638888887</v>
      </c>
      <c r="E516" s="2">
        <v>45423.36440972222</v>
      </c>
      <c r="F516" s="3">
        <f t="shared" si="8"/>
        <v>0.12736111111007631</v>
      </c>
    </row>
    <row r="517" spans="1:6">
      <c r="A517" s="1" t="s">
        <v>522</v>
      </c>
      <c r="B517" s="2">
        <v>45421</v>
      </c>
      <c r="C517" s="2">
        <v>45421.343159722222</v>
      </c>
      <c r="D517" s="2">
        <v>45421.947870370372</v>
      </c>
      <c r="E517" s="2">
        <v>45421.989687499998</v>
      </c>
      <c r="F517" s="3">
        <f t="shared" si="8"/>
        <v>0.64652777777519077</v>
      </c>
    </row>
    <row r="518" spans="1:6">
      <c r="A518" s="1" t="s">
        <v>523</v>
      </c>
      <c r="B518" s="2">
        <v>45419</v>
      </c>
      <c r="C518" s="2">
        <v>45420.240578703706</v>
      </c>
      <c r="D518" s="2">
        <v>45421.960150462961</v>
      </c>
      <c r="E518" s="2">
        <v>45422.001956018517</v>
      </c>
      <c r="F518" s="3">
        <f t="shared" si="8"/>
        <v>1.7613773148113978</v>
      </c>
    </row>
    <row r="519" spans="1:6">
      <c r="A519" s="1" t="s">
        <v>524</v>
      </c>
      <c r="B519" s="2">
        <v>45422</v>
      </c>
      <c r="C519" s="2">
        <v>45422.181446759256</v>
      </c>
      <c r="D519" s="2">
        <v>45422.389189814814</v>
      </c>
      <c r="E519" s="2">
        <v>45422.431192129632</v>
      </c>
      <c r="F519" s="3">
        <f t="shared" si="8"/>
        <v>0.24974537037633127</v>
      </c>
    </row>
    <row r="520" spans="1:6">
      <c r="A520" s="1" t="s">
        <v>525</v>
      </c>
      <c r="B520" s="2">
        <v>45422</v>
      </c>
      <c r="C520" s="2">
        <v>45422.181469907409</v>
      </c>
      <c r="D520" s="2">
        <v>45422.392199074071</v>
      </c>
      <c r="E520" s="2">
        <v>45422.408402777779</v>
      </c>
      <c r="F520" s="3">
        <f t="shared" si="8"/>
        <v>0.22693287036963739</v>
      </c>
    </row>
    <row r="521" spans="1:6">
      <c r="A521" s="1" t="s">
        <v>526</v>
      </c>
      <c r="B521" s="2">
        <v>45412</v>
      </c>
      <c r="C521" s="2">
        <v>45412.172789351855</v>
      </c>
      <c r="D521" s="2">
        <v>45422.590162037035</v>
      </c>
      <c r="E521" s="2">
        <v>45422.614641203705</v>
      </c>
      <c r="F521" s="3">
        <f t="shared" si="8"/>
        <v>10.441851851850515</v>
      </c>
    </row>
    <row r="522" spans="1:6">
      <c r="A522" s="1" t="s">
        <v>527</v>
      </c>
      <c r="B522" s="2">
        <v>45421</v>
      </c>
      <c r="C522" s="2">
        <v>45422.466412037036</v>
      </c>
      <c r="D522" s="2">
        <v>45422.47278935185</v>
      </c>
      <c r="E522" s="2">
        <v>45422.578043981484</v>
      </c>
      <c r="F522" s="3">
        <f t="shared" si="8"/>
        <v>0.11163194444816327</v>
      </c>
    </row>
    <row r="523" spans="1:6">
      <c r="A523" s="1" t="s">
        <v>528</v>
      </c>
      <c r="B523" s="2">
        <v>45421</v>
      </c>
      <c r="C523" s="2">
        <v>45422.466412037036</v>
      </c>
      <c r="D523" s="2">
        <v>45422.463506944441</v>
      </c>
      <c r="E523" s="2">
        <v>45422.473807870374</v>
      </c>
      <c r="F523" s="3">
        <f t="shared" si="8"/>
        <v>7.3958333377959207E-3</v>
      </c>
    </row>
    <row r="524" spans="1:6">
      <c r="A524" s="1" t="s">
        <v>529</v>
      </c>
      <c r="B524" s="2">
        <v>45420</v>
      </c>
      <c r="C524" s="2">
        <v>45421.280960648146</v>
      </c>
      <c r="D524" s="2">
        <v>45422.576354166667</v>
      </c>
      <c r="E524" s="2">
        <v>45422.578333333331</v>
      </c>
      <c r="F524" s="3">
        <f t="shared" si="8"/>
        <v>1.2973726851851097</v>
      </c>
    </row>
    <row r="525" spans="1:6">
      <c r="A525" s="1" t="s">
        <v>530</v>
      </c>
      <c r="B525" s="2">
        <v>45416</v>
      </c>
      <c r="C525" s="2">
        <v>45417.449479166666</v>
      </c>
      <c r="D525" s="2">
        <v>45422.574178240742</v>
      </c>
      <c r="E525" s="2">
        <v>45422.618923611109</v>
      </c>
      <c r="F525" s="3">
        <f t="shared" si="8"/>
        <v>5.1694444444437977</v>
      </c>
    </row>
    <row r="526" spans="1:6">
      <c r="A526" s="1" t="s">
        <v>531</v>
      </c>
      <c r="B526" s="2">
        <v>45419</v>
      </c>
      <c r="C526" s="2">
        <v>45420.022893518515</v>
      </c>
      <c r="D526" s="2">
        <v>45422.637280092589</v>
      </c>
      <c r="E526" s="2">
        <v>45422.66128472222</v>
      </c>
      <c r="F526" s="3">
        <f t="shared" si="8"/>
        <v>2.638391203705396</v>
      </c>
    </row>
    <row r="527" spans="1:6">
      <c r="A527" s="1" t="s">
        <v>532</v>
      </c>
      <c r="B527" s="2">
        <v>45421</v>
      </c>
      <c r="C527" s="2">
        <v>45422.466412037036</v>
      </c>
      <c r="D527" s="2">
        <v>45422.641053240739</v>
      </c>
      <c r="E527" s="2">
        <v>45422.682824074072</v>
      </c>
      <c r="F527" s="3">
        <f t="shared" si="8"/>
        <v>0.21641203703620704</v>
      </c>
    </row>
    <row r="528" spans="1:6">
      <c r="A528" s="1" t="s">
        <v>533</v>
      </c>
      <c r="B528" s="2">
        <v>45420</v>
      </c>
      <c r="C528" s="2">
        <v>45421.280972222223</v>
      </c>
      <c r="D528" s="2">
        <v>45422.647002314814</v>
      </c>
      <c r="E528" s="2">
        <v>45422.729305555556</v>
      </c>
      <c r="F528" s="3">
        <f t="shared" si="8"/>
        <v>1.4483333333337214</v>
      </c>
    </row>
    <row r="529" spans="1:6">
      <c r="A529" s="1" t="s">
        <v>534</v>
      </c>
      <c r="B529" s="2">
        <v>45421</v>
      </c>
      <c r="C529" s="2">
        <v>45422.446122685185</v>
      </c>
      <c r="D529" s="2">
        <v>45422.669571759259</v>
      </c>
      <c r="E529" s="2">
        <v>45422.679722222223</v>
      </c>
      <c r="F529" s="3">
        <f t="shared" si="8"/>
        <v>0.23359953703766223</v>
      </c>
    </row>
    <row r="530" spans="1:6">
      <c r="A530" s="1" t="s">
        <v>535</v>
      </c>
      <c r="B530" s="2">
        <v>45421</v>
      </c>
      <c r="C530" s="2">
        <v>45422.446122685185</v>
      </c>
      <c r="D530" s="2">
        <v>45422.671307870369</v>
      </c>
      <c r="E530" s="2">
        <v>45422.685289351852</v>
      </c>
      <c r="F530" s="3">
        <f t="shared" si="8"/>
        <v>0.23916666666627862</v>
      </c>
    </row>
    <row r="531" spans="1:6">
      <c r="A531" s="1" t="s">
        <v>536</v>
      </c>
      <c r="B531" s="2">
        <v>45421</v>
      </c>
      <c r="C531" s="2">
        <v>45422.446122685185</v>
      </c>
      <c r="D531" s="2">
        <v>45422.671574074076</v>
      </c>
      <c r="E531" s="2">
        <v>45422.713414351849</v>
      </c>
      <c r="F531" s="3">
        <f t="shared" si="8"/>
        <v>0.26729166666336823</v>
      </c>
    </row>
    <row r="532" spans="1:6">
      <c r="A532" s="1" t="s">
        <v>537</v>
      </c>
      <c r="B532" s="2">
        <v>45421</v>
      </c>
      <c r="C532" s="2">
        <v>45422.771435185183</v>
      </c>
      <c r="D532" s="2">
        <v>45422.673217592594</v>
      </c>
      <c r="E532" s="2">
        <v>45422.680810185186</v>
      </c>
      <c r="F532" s="6" t="s">
        <v>1708</v>
      </c>
    </row>
    <row r="533" spans="1:6">
      <c r="A533" s="1" t="s">
        <v>538</v>
      </c>
      <c r="B533" s="2">
        <v>45421</v>
      </c>
      <c r="C533" s="2">
        <v>45422.446122685185</v>
      </c>
      <c r="D533" s="2">
        <v>45422.659490740742</v>
      </c>
      <c r="E533" s="2">
        <v>45422.676435185182</v>
      </c>
      <c r="F533" s="3">
        <f t="shared" si="8"/>
        <v>0.2303124999962165</v>
      </c>
    </row>
    <row r="534" spans="1:6">
      <c r="A534" s="1" t="s">
        <v>539</v>
      </c>
      <c r="B534" s="2">
        <v>45421</v>
      </c>
      <c r="C534" s="2">
        <v>45422.466412037036</v>
      </c>
      <c r="D534" s="2">
        <v>45422.679259259261</v>
      </c>
      <c r="E534" s="2">
        <v>45422.721053240741</v>
      </c>
      <c r="F534" s="3">
        <f t="shared" si="8"/>
        <v>0.25464120370452292</v>
      </c>
    </row>
    <row r="535" spans="1:6">
      <c r="A535" s="1" t="s">
        <v>540</v>
      </c>
      <c r="B535" s="2">
        <v>45420</v>
      </c>
      <c r="C535" s="2">
        <v>45421.280972222223</v>
      </c>
      <c r="D535" s="2">
        <v>45422.684108796297</v>
      </c>
      <c r="E535" s="2">
        <v>45422.768171296295</v>
      </c>
      <c r="F535" s="3">
        <f t="shared" si="8"/>
        <v>1.487199074072123</v>
      </c>
    </row>
    <row r="536" spans="1:6">
      <c r="A536" s="1" t="s">
        <v>541</v>
      </c>
      <c r="B536" s="2">
        <v>45421</v>
      </c>
      <c r="C536" s="2">
        <v>45422.301377314812</v>
      </c>
      <c r="D536" s="2">
        <v>45422.804143518515</v>
      </c>
      <c r="E536" s="2">
        <v>45422.846053240741</v>
      </c>
      <c r="F536" s="3">
        <f t="shared" si="8"/>
        <v>0.54467592592845904</v>
      </c>
    </row>
    <row r="537" spans="1:6">
      <c r="A537" s="1" t="s">
        <v>542</v>
      </c>
      <c r="B537" s="2">
        <v>45421</v>
      </c>
      <c r="C537" s="2">
        <v>45422.301388888889</v>
      </c>
      <c r="D537" s="2">
        <v>45422.808946759258</v>
      </c>
      <c r="E537" s="2">
        <v>45422.825879629629</v>
      </c>
      <c r="F537" s="3">
        <f t="shared" si="8"/>
        <v>0.52449074073956581</v>
      </c>
    </row>
    <row r="538" spans="1:6">
      <c r="A538" s="1" t="s">
        <v>543</v>
      </c>
      <c r="B538" s="2">
        <v>45421</v>
      </c>
      <c r="C538" s="2">
        <v>45423.519652777781</v>
      </c>
      <c r="D538" s="2">
        <v>45423.319849537038</v>
      </c>
      <c r="E538" s="2">
        <v>45423.32539351852</v>
      </c>
      <c r="F538" s="6" t="s">
        <v>1708</v>
      </c>
    </row>
    <row r="539" spans="1:6">
      <c r="A539" s="1" t="s">
        <v>544</v>
      </c>
      <c r="B539" s="2">
        <v>45421</v>
      </c>
      <c r="C539" s="2">
        <v>45422.301377314812</v>
      </c>
      <c r="D539" s="2">
        <v>45422.813287037039</v>
      </c>
      <c r="E539" s="2">
        <v>45422.855023148149</v>
      </c>
      <c r="F539" s="3">
        <f t="shared" si="8"/>
        <v>0.55364583333721384</v>
      </c>
    </row>
    <row r="540" spans="1:6">
      <c r="A540" s="1" t="s">
        <v>545</v>
      </c>
      <c r="B540" s="2">
        <v>45421</v>
      </c>
      <c r="C540" s="2">
        <v>45422.301377314812</v>
      </c>
      <c r="D540" s="2">
        <v>45422.813819444447</v>
      </c>
      <c r="E540" s="2">
        <v>45422.855613425927</v>
      </c>
      <c r="F540" s="3">
        <f t="shared" si="8"/>
        <v>0.55423611111473292</v>
      </c>
    </row>
    <row r="541" spans="1:6">
      <c r="A541" s="1" t="s">
        <v>546</v>
      </c>
      <c r="B541" s="2">
        <v>45421</v>
      </c>
      <c r="C541" s="2">
        <v>45422.301377314812</v>
      </c>
      <c r="D541" s="2">
        <v>45422.814421296294</v>
      </c>
      <c r="E541" s="2">
        <v>45422.856307870374</v>
      </c>
      <c r="F541" s="3">
        <f t="shared" si="8"/>
        <v>0.554930555561441</v>
      </c>
    </row>
    <row r="542" spans="1:6">
      <c r="A542" s="1" t="s">
        <v>547</v>
      </c>
      <c r="B542" s="2">
        <v>45421</v>
      </c>
      <c r="C542" s="2">
        <v>45422.301377314812</v>
      </c>
      <c r="D542" s="2">
        <v>45422.815763888888</v>
      </c>
      <c r="E542" s="2">
        <v>45422.857604166667</v>
      </c>
      <c r="F542" s="3">
        <f t="shared" si="8"/>
        <v>0.55622685185517184</v>
      </c>
    </row>
    <row r="543" spans="1:6">
      <c r="A543" s="1" t="s">
        <v>548</v>
      </c>
      <c r="B543" s="2">
        <v>45421</v>
      </c>
      <c r="C543" s="2">
        <v>45422.301377314812</v>
      </c>
      <c r="D543" s="2">
        <v>45424.458148148151</v>
      </c>
      <c r="E543" s="2">
        <v>45424.547650462962</v>
      </c>
      <c r="F543" s="3">
        <f t="shared" si="8"/>
        <v>2.2462731481500668</v>
      </c>
    </row>
    <row r="544" spans="1:6">
      <c r="A544" s="1" t="s">
        <v>549</v>
      </c>
      <c r="B544" s="2">
        <v>45420</v>
      </c>
      <c r="C544" s="2">
        <v>45422.035636574074</v>
      </c>
      <c r="D544" s="2">
        <v>45422.829930555556</v>
      </c>
      <c r="E544" s="2">
        <v>45422.871840277781</v>
      </c>
      <c r="F544" s="3">
        <f t="shared" si="8"/>
        <v>0.83620370370772434</v>
      </c>
    </row>
    <row r="545" spans="1:6">
      <c r="A545" s="1" t="s">
        <v>550</v>
      </c>
      <c r="B545" s="2">
        <v>45414</v>
      </c>
      <c r="C545" s="2">
        <v>45415.727847222224</v>
      </c>
      <c r="D545" s="2">
        <v>45422.834780092591</v>
      </c>
      <c r="E545" s="2">
        <v>45422.88616898148</v>
      </c>
      <c r="F545" s="3">
        <f t="shared" si="8"/>
        <v>7.1583217592560686</v>
      </c>
    </row>
    <row r="546" spans="1:6">
      <c r="A546" s="1" t="s">
        <v>551</v>
      </c>
      <c r="B546" s="2">
        <v>45422</v>
      </c>
      <c r="C546" s="2">
        <v>45422.749212962961</v>
      </c>
      <c r="D546" s="2">
        <v>45423.341226851851</v>
      </c>
      <c r="E546" s="2">
        <v>45423.382974537039</v>
      </c>
      <c r="F546" s="3">
        <f t="shared" si="8"/>
        <v>0.63376157407765277</v>
      </c>
    </row>
    <row r="547" spans="1:6">
      <c r="A547" s="1" t="s">
        <v>552</v>
      </c>
      <c r="B547" s="2">
        <v>45414</v>
      </c>
      <c r="C547" s="2">
        <v>45415.264803240738</v>
      </c>
      <c r="D547" s="2">
        <v>45422.842499999999</v>
      </c>
      <c r="E547" s="2">
        <v>45422.858159722222</v>
      </c>
      <c r="F547" s="3">
        <f t="shared" si="8"/>
        <v>7.5933564814840793</v>
      </c>
    </row>
    <row r="548" spans="1:6">
      <c r="A548" s="1" t="s">
        <v>553</v>
      </c>
      <c r="B548" s="2">
        <v>45422</v>
      </c>
      <c r="C548" s="2">
        <v>45424.382222222222</v>
      </c>
      <c r="D548" s="2">
        <v>45424.456597222219</v>
      </c>
      <c r="E548" s="2">
        <v>45424.498356481483</v>
      </c>
      <c r="F548" s="3">
        <f t="shared" si="8"/>
        <v>0.11613425926043419</v>
      </c>
    </row>
    <row r="549" spans="1:6">
      <c r="A549" s="1" t="s">
        <v>554</v>
      </c>
      <c r="B549" s="2">
        <v>45422</v>
      </c>
      <c r="C549" s="2">
        <v>45423.45416666667</v>
      </c>
      <c r="D549" s="2">
        <v>45423.65761574074</v>
      </c>
      <c r="E549" s="2">
        <v>45423.699432870373</v>
      </c>
      <c r="F549" s="3">
        <f t="shared" si="8"/>
        <v>0.24526620370306773</v>
      </c>
    </row>
    <row r="550" spans="1:6">
      <c r="A550" s="1" t="s">
        <v>555</v>
      </c>
      <c r="B550" s="2">
        <v>45422</v>
      </c>
      <c r="C550" s="2">
        <v>45422.887037037035</v>
      </c>
      <c r="D550" s="2">
        <v>45422.879756944443</v>
      </c>
      <c r="E550" s="2">
        <v>45422.994884259257</v>
      </c>
      <c r="F550" s="3">
        <f t="shared" si="8"/>
        <v>0.10784722222160781</v>
      </c>
    </row>
    <row r="551" spans="1:6">
      <c r="A551" s="1" t="s">
        <v>556</v>
      </c>
      <c r="B551" s="2">
        <v>45420</v>
      </c>
      <c r="C551" s="2">
        <v>45422.886921296296</v>
      </c>
      <c r="D551" s="2">
        <v>45422.879814814813</v>
      </c>
      <c r="E551" s="2">
        <v>45423.294189814813</v>
      </c>
      <c r="F551" s="3">
        <f t="shared" si="8"/>
        <v>0.40726851851650281</v>
      </c>
    </row>
    <row r="552" spans="1:6">
      <c r="A552" s="1" t="s">
        <v>557</v>
      </c>
      <c r="B552" s="2">
        <v>45422</v>
      </c>
      <c r="C552" s="2">
        <v>45423.372893518521</v>
      </c>
      <c r="D552" s="2">
        <v>45423.309976851851</v>
      </c>
      <c r="E552" s="2">
        <v>45423.826631944445</v>
      </c>
      <c r="F552" s="3">
        <f t="shared" si="8"/>
        <v>0.45373842592380242</v>
      </c>
    </row>
    <row r="553" spans="1:6">
      <c r="A553" s="1" t="s">
        <v>558</v>
      </c>
      <c r="B553" s="2">
        <v>45421</v>
      </c>
      <c r="C553" s="2">
        <v>45422.834699074076</v>
      </c>
      <c r="D553" s="2">
        <v>45422.885393518518</v>
      </c>
      <c r="E553" s="2">
        <v>45422.956504629627</v>
      </c>
      <c r="F553" s="3">
        <f t="shared" si="8"/>
        <v>0.12180555555096362</v>
      </c>
    </row>
    <row r="554" spans="1:6">
      <c r="A554" s="1" t="s">
        <v>559</v>
      </c>
      <c r="B554" s="2">
        <v>45422</v>
      </c>
      <c r="C554" s="2">
        <v>45423.454155092593</v>
      </c>
      <c r="D554" s="2">
        <v>45423.656273148146</v>
      </c>
      <c r="E554" s="2">
        <v>45423.698125000003</v>
      </c>
      <c r="F554" s="3">
        <f t="shared" si="8"/>
        <v>0.24396990740933688</v>
      </c>
    </row>
    <row r="555" spans="1:6">
      <c r="A555" s="1" t="s">
        <v>560</v>
      </c>
      <c r="B555" s="2">
        <v>45422</v>
      </c>
      <c r="C555" s="2">
        <v>45422.834699074076</v>
      </c>
      <c r="D555" s="2">
        <v>45422.893217592595</v>
      </c>
      <c r="E555" s="2">
        <v>45423.295995370368</v>
      </c>
      <c r="F555" s="3">
        <f t="shared" si="8"/>
        <v>0.46129629629285773</v>
      </c>
    </row>
    <row r="556" spans="1:6">
      <c r="A556" s="1" t="s">
        <v>561</v>
      </c>
      <c r="B556" s="2">
        <v>45422</v>
      </c>
      <c r="C556" s="2">
        <v>45423.286689814813</v>
      </c>
      <c r="D556" s="2">
        <v>45423.373842592591</v>
      </c>
      <c r="E556" s="2">
        <v>45423.55364583333</v>
      </c>
      <c r="F556" s="3">
        <f t="shared" si="8"/>
        <v>0.26695601851679385</v>
      </c>
    </row>
    <row r="557" spans="1:6">
      <c r="A557" s="1" t="s">
        <v>562</v>
      </c>
      <c r="B557" s="2">
        <v>45422</v>
      </c>
      <c r="C557" s="2">
        <v>45423.286689814813</v>
      </c>
      <c r="D557" s="2">
        <v>45423.384618055556</v>
      </c>
      <c r="E557" s="2">
        <v>45423.553020833337</v>
      </c>
      <c r="F557" s="3">
        <f t="shared" si="8"/>
        <v>0.26633101852348773</v>
      </c>
    </row>
    <row r="558" spans="1:6">
      <c r="A558" s="1" t="s">
        <v>563</v>
      </c>
      <c r="B558" s="2">
        <v>45422</v>
      </c>
      <c r="C558" s="2">
        <v>45423.286689814813</v>
      </c>
      <c r="D558" s="2">
        <v>45423.387395833335</v>
      </c>
      <c r="E558" s="2">
        <v>45423.582488425927</v>
      </c>
      <c r="F558" s="3">
        <f t="shared" si="8"/>
        <v>0.29579861111415084</v>
      </c>
    </row>
    <row r="559" spans="1:6">
      <c r="A559" s="1" t="s">
        <v>564</v>
      </c>
      <c r="B559" s="2">
        <v>45422</v>
      </c>
      <c r="C559" s="2">
        <v>45423.286689814813</v>
      </c>
      <c r="D559" s="2">
        <v>45423.39435185185</v>
      </c>
      <c r="E559" s="2">
        <v>45423.553333333337</v>
      </c>
      <c r="F559" s="3">
        <f t="shared" si="8"/>
        <v>0.26664351852377877</v>
      </c>
    </row>
    <row r="560" spans="1:6">
      <c r="A560" s="1" t="s">
        <v>565</v>
      </c>
      <c r="B560" s="2">
        <v>45422</v>
      </c>
      <c r="C560" s="2">
        <v>45423.286689814813</v>
      </c>
      <c r="D560" s="2">
        <v>45423.43645833333</v>
      </c>
      <c r="E560" s="2">
        <v>45423.55914351852</v>
      </c>
      <c r="F560" s="3">
        <f t="shared" si="8"/>
        <v>0.27245370370656019</v>
      </c>
    </row>
    <row r="561" spans="1:6">
      <c r="A561" s="1" t="s">
        <v>566</v>
      </c>
      <c r="B561" s="2">
        <v>45422</v>
      </c>
      <c r="C561" s="2">
        <v>45423.286689814813</v>
      </c>
      <c r="D561" s="2">
        <v>45423.440601851849</v>
      </c>
      <c r="E561" s="2">
        <v>45423.582708333335</v>
      </c>
      <c r="F561" s="3">
        <f t="shared" si="8"/>
        <v>0.29601851852203254</v>
      </c>
    </row>
    <row r="562" spans="1:6">
      <c r="A562" s="1" t="s">
        <v>567</v>
      </c>
      <c r="B562" s="2">
        <v>45423</v>
      </c>
      <c r="C562" s="2">
        <v>45423.230312500003</v>
      </c>
      <c r="D562" s="2">
        <v>45423.445127314815</v>
      </c>
      <c r="E562" s="2">
        <v>45423.486875000002</v>
      </c>
      <c r="F562" s="3">
        <f t="shared" si="8"/>
        <v>0.25656249999883585</v>
      </c>
    </row>
    <row r="563" spans="1:6">
      <c r="A563" s="1" t="s">
        <v>568</v>
      </c>
      <c r="B563" s="2">
        <v>45423</v>
      </c>
      <c r="C563" s="2">
        <v>45423.230312500003</v>
      </c>
      <c r="D563" s="2">
        <v>45423.453842592593</v>
      </c>
      <c r="E563" s="2">
        <v>45423.495625000003</v>
      </c>
      <c r="F563" s="3">
        <f t="shared" si="8"/>
        <v>0.26531249999970896</v>
      </c>
    </row>
    <row r="564" spans="1:6">
      <c r="A564" s="1" t="s">
        <v>569</v>
      </c>
      <c r="B564" s="2">
        <v>45423</v>
      </c>
      <c r="C564" s="2">
        <v>45423.230312500003</v>
      </c>
      <c r="D564" s="2">
        <v>45423.457430555558</v>
      </c>
      <c r="E564" s="2">
        <v>45423.499212962961</v>
      </c>
      <c r="F564" s="3">
        <f t="shared" si="8"/>
        <v>0.26890046295739012</v>
      </c>
    </row>
    <row r="565" spans="1:6">
      <c r="A565" s="1" t="s">
        <v>570</v>
      </c>
      <c r="B565" s="2">
        <v>45423</v>
      </c>
      <c r="C565" s="2">
        <v>45423.230312500003</v>
      </c>
      <c r="D565" s="2">
        <v>45423.472650462965</v>
      </c>
      <c r="E565" s="2">
        <v>45423.514444444445</v>
      </c>
      <c r="F565" s="3">
        <f t="shared" si="8"/>
        <v>0.28413194444146939</v>
      </c>
    </row>
    <row r="566" spans="1:6">
      <c r="A566" s="1" t="s">
        <v>571</v>
      </c>
      <c r="B566" s="2">
        <v>45422</v>
      </c>
      <c r="C566" s="2">
        <v>45423.286689814813</v>
      </c>
      <c r="D566" s="2">
        <v>45423.494166666664</v>
      </c>
      <c r="E566" s="2">
        <v>45423.582638888889</v>
      </c>
      <c r="F566" s="3">
        <f t="shared" si="8"/>
        <v>0.29594907407590654</v>
      </c>
    </row>
    <row r="567" spans="1:6">
      <c r="A567" s="1" t="s">
        <v>572</v>
      </c>
      <c r="B567" s="2">
        <v>45422</v>
      </c>
      <c r="C567" s="2">
        <v>45423.286689814813</v>
      </c>
      <c r="D567" s="2">
        <v>45423.556446759256</v>
      </c>
      <c r="E567" s="2">
        <v>45423.58625</v>
      </c>
      <c r="F567" s="3">
        <f t="shared" si="8"/>
        <v>0.299560185187147</v>
      </c>
    </row>
    <row r="568" spans="1:6">
      <c r="A568" s="1" t="s">
        <v>573</v>
      </c>
      <c r="B568" s="2">
        <v>45422</v>
      </c>
      <c r="C568" s="2">
        <v>45423.286689814813</v>
      </c>
      <c r="D568" s="2">
        <v>45423.569479166668</v>
      </c>
      <c r="E568" s="2">
        <v>45423.607743055552</v>
      </c>
      <c r="F568" s="3">
        <f t="shared" si="8"/>
        <v>0.32105324073927477</v>
      </c>
    </row>
    <row r="569" spans="1:6">
      <c r="A569" s="1" t="s">
        <v>574</v>
      </c>
      <c r="B569" s="2">
        <v>45422</v>
      </c>
      <c r="C569" s="2">
        <v>45423.713807870372</v>
      </c>
      <c r="D569" s="2">
        <v>45423.605763888889</v>
      </c>
      <c r="E569" s="2">
        <v>45423.613217592596</v>
      </c>
      <c r="F569" s="6" t="s">
        <v>1708</v>
      </c>
    </row>
    <row r="570" spans="1:6">
      <c r="A570" s="1" t="s">
        <v>575</v>
      </c>
      <c r="B570" s="2">
        <v>45422</v>
      </c>
      <c r="C570" s="2">
        <v>45423.713807870372</v>
      </c>
      <c r="D570" s="2">
        <v>45423.609606481485</v>
      </c>
      <c r="E570" s="2">
        <v>45423.651458333334</v>
      </c>
      <c r="F570" s="6" t="s">
        <v>1708</v>
      </c>
    </row>
    <row r="571" spans="1:6">
      <c r="A571" s="1" t="s">
        <v>576</v>
      </c>
      <c r="B571" s="2">
        <v>45422</v>
      </c>
      <c r="C571" s="2">
        <v>45423.733761574076</v>
      </c>
      <c r="D571" s="2">
        <v>45423.703668981485</v>
      </c>
      <c r="E571" s="2">
        <v>45423.718634259261</v>
      </c>
      <c r="F571" s="6" t="s">
        <v>1708</v>
      </c>
    </row>
    <row r="572" spans="1:6">
      <c r="A572" s="1" t="s">
        <v>577</v>
      </c>
      <c r="B572" s="2">
        <v>45422</v>
      </c>
      <c r="C572" s="2">
        <v>45423.733761574076</v>
      </c>
      <c r="D572" s="2">
        <v>45423.706145833334</v>
      </c>
      <c r="E572" s="2">
        <v>45423.7187037037</v>
      </c>
      <c r="F572" s="6" t="s">
        <v>1708</v>
      </c>
    </row>
    <row r="573" spans="1:6">
      <c r="A573" s="1" t="s">
        <v>578</v>
      </c>
      <c r="B573" s="2">
        <v>45422</v>
      </c>
      <c r="C573" s="2">
        <v>45423.907858796294</v>
      </c>
      <c r="D573" s="2">
        <v>45423.658819444441</v>
      </c>
      <c r="E573" s="2">
        <v>45424.297326388885</v>
      </c>
      <c r="F573" s="3">
        <f t="shared" si="8"/>
        <v>0.38946759259124519</v>
      </c>
    </row>
    <row r="574" spans="1:6" hidden="1">
      <c r="A574" s="1" t="s">
        <v>579</v>
      </c>
      <c r="B574" s="2">
        <v>45422</v>
      </c>
      <c r="C574" s="2">
        <v>45423.907881944448</v>
      </c>
      <c r="D574" s="2">
        <v>45425.783796296295</v>
      </c>
      <c r="E574" s="2">
        <v>45425.80400462963</v>
      </c>
      <c r="F574" s="3">
        <f t="shared" si="8"/>
        <v>1.8961226851824904</v>
      </c>
    </row>
    <row r="575" spans="1:6">
      <c r="A575" s="1" t="s">
        <v>580</v>
      </c>
      <c r="B575" s="2">
        <v>45422</v>
      </c>
      <c r="C575" s="2">
        <v>45423.907916666663</v>
      </c>
      <c r="D575" s="2">
        <v>45423.689062500001</v>
      </c>
      <c r="E575" s="2">
        <v>45424.310567129629</v>
      </c>
      <c r="F575" s="3">
        <f t="shared" si="8"/>
        <v>0.40265046296553919</v>
      </c>
    </row>
    <row r="576" spans="1:6">
      <c r="A576" s="1" t="s">
        <v>581</v>
      </c>
      <c r="B576" s="2">
        <v>45422</v>
      </c>
      <c r="C576" s="2">
        <v>45423.733761574076</v>
      </c>
      <c r="D576" s="2">
        <v>45423.713449074072</v>
      </c>
      <c r="E576" s="2">
        <v>45423.719039351854</v>
      </c>
      <c r="F576" s="6" t="s">
        <v>1708</v>
      </c>
    </row>
    <row r="577" spans="1:6">
      <c r="A577" s="1" t="s">
        <v>582</v>
      </c>
      <c r="B577" s="2">
        <v>45423</v>
      </c>
      <c r="C577" s="2">
        <v>45424.007314814815</v>
      </c>
      <c r="D577" s="2">
        <v>45424.25445601852</v>
      </c>
      <c r="E577" s="2">
        <v>45424.303090277775</v>
      </c>
      <c r="F577" s="3">
        <f t="shared" si="8"/>
        <v>0.29577546296059154</v>
      </c>
    </row>
    <row r="578" spans="1:6">
      <c r="A578" s="1" t="s">
        <v>583</v>
      </c>
      <c r="B578" s="2">
        <v>45423</v>
      </c>
      <c r="C578" s="2">
        <v>45424.007314814815</v>
      </c>
      <c r="D578" s="2">
        <v>45424.255011574074</v>
      </c>
      <c r="E578" s="2">
        <v>45424.300891203704</v>
      </c>
      <c r="F578" s="3">
        <f t="shared" si="8"/>
        <v>0.29357638888905058</v>
      </c>
    </row>
    <row r="579" spans="1:6">
      <c r="A579" s="1" t="s">
        <v>584</v>
      </c>
      <c r="B579" s="2">
        <v>45423</v>
      </c>
      <c r="C579" s="2">
        <v>45424.007314814815</v>
      </c>
      <c r="D579" s="2">
        <v>45424.254930555559</v>
      </c>
      <c r="E579" s="2">
        <v>45424.29791666667</v>
      </c>
      <c r="F579" s="3">
        <f t="shared" ref="F579:F642" si="9">E579-C579</f>
        <v>0.29060185185517184</v>
      </c>
    </row>
    <row r="580" spans="1:6">
      <c r="A580" s="1" t="s">
        <v>585</v>
      </c>
      <c r="B580" s="2">
        <v>45423</v>
      </c>
      <c r="C580" s="2">
        <v>45424.007245370369</v>
      </c>
      <c r="D580" s="2">
        <v>45424.254907407405</v>
      </c>
      <c r="E580" s="2">
        <v>45424.303402777776</v>
      </c>
      <c r="F580" s="3">
        <f t="shared" si="9"/>
        <v>0.29615740740700858</v>
      </c>
    </row>
    <row r="581" spans="1:6">
      <c r="A581" s="1" t="s">
        <v>586</v>
      </c>
      <c r="B581" s="2">
        <v>45423</v>
      </c>
      <c r="C581" s="2">
        <v>45424.007245370369</v>
      </c>
      <c r="D581" s="2">
        <v>45424.254872685182</v>
      </c>
      <c r="E581" s="2">
        <v>45424.30269675926</v>
      </c>
      <c r="F581" s="3">
        <f t="shared" si="9"/>
        <v>0.29545138889079681</v>
      </c>
    </row>
    <row r="582" spans="1:6">
      <c r="A582" s="1" t="s">
        <v>587</v>
      </c>
      <c r="B582" s="2">
        <v>45423</v>
      </c>
      <c r="C582" s="2">
        <v>45424.007268518515</v>
      </c>
      <c r="D582" s="2">
        <v>45424.254583333335</v>
      </c>
      <c r="E582" s="2">
        <v>45424.314155092594</v>
      </c>
      <c r="F582" s="3">
        <f t="shared" si="9"/>
        <v>0.30688657407881692</v>
      </c>
    </row>
    <row r="583" spans="1:6">
      <c r="A583" s="1" t="s">
        <v>588</v>
      </c>
      <c r="B583" s="2">
        <v>45423</v>
      </c>
      <c r="C583" s="2">
        <v>45424.007256944446</v>
      </c>
      <c r="D583" s="2">
        <v>45424.254560185182</v>
      </c>
      <c r="E583" s="2">
        <v>45424.298900462964</v>
      </c>
      <c r="F583" s="3">
        <f t="shared" si="9"/>
        <v>0.291643518517958</v>
      </c>
    </row>
    <row r="584" spans="1:6">
      <c r="A584" s="1" t="s">
        <v>589</v>
      </c>
      <c r="B584" s="2">
        <v>45423</v>
      </c>
      <c r="C584" s="2">
        <v>45424.458668981482</v>
      </c>
      <c r="D584" s="2">
        <v>45424.457499999997</v>
      </c>
      <c r="E584" s="2">
        <v>45424.474999999999</v>
      </c>
      <c r="F584" s="3">
        <f t="shared" si="9"/>
        <v>1.633101851621177E-2</v>
      </c>
    </row>
    <row r="585" spans="1:6">
      <c r="A585" s="1" t="s">
        <v>590</v>
      </c>
      <c r="B585" s="2">
        <v>45423</v>
      </c>
      <c r="C585" s="2">
        <v>45424.458668981482</v>
      </c>
      <c r="D585" s="2">
        <v>45424.462523148148</v>
      </c>
      <c r="E585" s="2">
        <v>45424.559386574074</v>
      </c>
      <c r="F585" s="3">
        <f t="shared" si="9"/>
        <v>0.10071759259153623</v>
      </c>
    </row>
    <row r="586" spans="1:6">
      <c r="A586" s="1" t="s">
        <v>591</v>
      </c>
      <c r="B586" s="2">
        <v>45423</v>
      </c>
      <c r="C586" s="2">
        <v>45424.458668981482</v>
      </c>
      <c r="D586" s="2">
        <v>45424.464317129627</v>
      </c>
      <c r="E586" s="2">
        <v>45424.557210648149</v>
      </c>
      <c r="F586" s="3">
        <f t="shared" si="9"/>
        <v>9.8541666666278616E-2</v>
      </c>
    </row>
    <row r="587" spans="1:6">
      <c r="A587" s="1" t="s">
        <v>592</v>
      </c>
      <c r="B587" s="2">
        <v>45423</v>
      </c>
      <c r="C587" s="2">
        <v>45424.458668981482</v>
      </c>
      <c r="D587" s="2">
        <v>45424.468090277776</v>
      </c>
      <c r="E587" s="2">
        <v>45424.554467592592</v>
      </c>
      <c r="F587" s="3">
        <f t="shared" si="9"/>
        <v>9.579861110978527E-2</v>
      </c>
    </row>
    <row r="588" spans="1:6">
      <c r="A588" s="1" t="s">
        <v>593</v>
      </c>
      <c r="B588" s="2">
        <v>45424</v>
      </c>
      <c r="C588" s="2">
        <v>45424.329918981479</v>
      </c>
      <c r="D588" s="2">
        <v>45424.570671296293</v>
      </c>
      <c r="E588" s="2">
        <v>45424.618587962963</v>
      </c>
      <c r="F588" s="3">
        <f t="shared" si="9"/>
        <v>0.28866898148407927</v>
      </c>
    </row>
    <row r="589" spans="1:6">
      <c r="A589" s="1" t="s">
        <v>594</v>
      </c>
      <c r="B589" s="2">
        <v>45424</v>
      </c>
      <c r="C589" s="2">
        <v>45424.329918981479</v>
      </c>
      <c r="D589" s="2">
        <v>45424.571840277778</v>
      </c>
      <c r="E589" s="2">
        <v>45424.655104166668</v>
      </c>
      <c r="F589" s="3">
        <f t="shared" si="9"/>
        <v>0.32518518518918427</v>
      </c>
    </row>
    <row r="590" spans="1:6">
      <c r="A590" s="1" t="s">
        <v>595</v>
      </c>
      <c r="B590" s="2">
        <v>45424</v>
      </c>
      <c r="C590" s="2">
        <v>45424.329918981479</v>
      </c>
      <c r="D590" s="2">
        <v>45424.575624999998</v>
      </c>
      <c r="E590" s="2">
        <v>45424.611307870371</v>
      </c>
      <c r="F590" s="3">
        <f t="shared" si="9"/>
        <v>0.281388888892252</v>
      </c>
    </row>
    <row r="591" spans="1:6">
      <c r="A591" s="1" t="s">
        <v>596</v>
      </c>
      <c r="B591" s="2">
        <v>45424</v>
      </c>
      <c r="C591" s="2">
        <v>45424.329918981479</v>
      </c>
      <c r="D591" s="2">
        <v>45424.579467592594</v>
      </c>
      <c r="E591" s="2">
        <v>45424.598912037036</v>
      </c>
      <c r="F591" s="3">
        <f t="shared" si="9"/>
        <v>0.26899305555707542</v>
      </c>
    </row>
    <row r="592" spans="1:6">
      <c r="A592" s="1" t="s">
        <v>597</v>
      </c>
      <c r="B592" s="2">
        <v>45424</v>
      </c>
      <c r="C592" s="2">
        <v>45424.329918981479</v>
      </c>
      <c r="D592" s="2">
        <v>45424.584699074076</v>
      </c>
      <c r="E592" s="2">
        <v>45424.682349537034</v>
      </c>
      <c r="F592" s="3">
        <f t="shared" si="9"/>
        <v>0.35243055555474712</v>
      </c>
    </row>
    <row r="593" spans="1:6">
      <c r="A593" s="1" t="s">
        <v>598</v>
      </c>
      <c r="B593" s="2">
        <v>45424</v>
      </c>
      <c r="C593" s="2">
        <v>45424.329918981479</v>
      </c>
      <c r="D593" s="2">
        <v>45424.586481481485</v>
      </c>
      <c r="E593" s="2">
        <v>45424.648819444446</v>
      </c>
      <c r="F593" s="3">
        <f t="shared" si="9"/>
        <v>0.31890046296757646</v>
      </c>
    </row>
    <row r="594" spans="1:6">
      <c r="A594" s="1" t="s">
        <v>599</v>
      </c>
      <c r="B594" s="2">
        <v>45424</v>
      </c>
      <c r="C594" s="2">
        <v>45424.329918981479</v>
      </c>
      <c r="D594" s="2">
        <v>45424.329918981479</v>
      </c>
      <c r="E594" s="2">
        <v>45424.65520833333</v>
      </c>
      <c r="F594" s="3">
        <f t="shared" si="9"/>
        <v>0.32528935185109731</v>
      </c>
    </row>
    <row r="595" spans="1:6">
      <c r="A595" s="1" t="s">
        <v>600</v>
      </c>
      <c r="B595" s="2">
        <v>45424</v>
      </c>
      <c r="C595" s="2">
        <v>45424.329918981479</v>
      </c>
      <c r="D595" s="2">
        <v>45424.58861111111</v>
      </c>
      <c r="E595" s="2">
        <v>45424.63040509259</v>
      </c>
      <c r="F595" s="3">
        <f t="shared" si="9"/>
        <v>0.30048611111124046</v>
      </c>
    </row>
    <row r="596" spans="1:6">
      <c r="A596" s="1" t="s">
        <v>601</v>
      </c>
      <c r="B596" s="2">
        <v>45424</v>
      </c>
      <c r="C596" s="2">
        <v>45424.329918981479</v>
      </c>
      <c r="D596" s="2">
        <v>45424.589699074073</v>
      </c>
      <c r="E596" s="2">
        <v>45424.631458333337</v>
      </c>
      <c r="F596" s="3">
        <f t="shared" si="9"/>
        <v>0.30153935185808223</v>
      </c>
    </row>
    <row r="597" spans="1:6">
      <c r="A597" s="1" t="s">
        <v>602</v>
      </c>
      <c r="B597" s="2">
        <v>45424</v>
      </c>
      <c r="C597" s="2">
        <v>45424.816631944443</v>
      </c>
      <c r="D597" s="2">
        <v>45424.793506944443</v>
      </c>
      <c r="E597" s="2">
        <v>45424.835277777776</v>
      </c>
      <c r="F597" s="3">
        <f t="shared" si="9"/>
        <v>1.8645833333721384E-2</v>
      </c>
    </row>
    <row r="598" spans="1:6">
      <c r="A598" s="1" t="s">
        <v>603</v>
      </c>
      <c r="B598" s="2">
        <v>45424</v>
      </c>
      <c r="C598" s="2">
        <v>45424.816631944443</v>
      </c>
      <c r="D598" s="2">
        <v>45424.794421296298</v>
      </c>
      <c r="E598" s="2">
        <v>45424.836319444446</v>
      </c>
      <c r="F598" s="3">
        <f t="shared" si="9"/>
        <v>1.9687500003783498E-2</v>
      </c>
    </row>
    <row r="599" spans="1:6">
      <c r="A599" s="1" t="s">
        <v>604</v>
      </c>
      <c r="B599" s="2">
        <v>45424</v>
      </c>
      <c r="C599" s="2">
        <v>45424.841203703705</v>
      </c>
      <c r="D599" s="2">
        <v>45424.665243055555</v>
      </c>
      <c r="E599" s="2">
        <v>45424.875659722224</v>
      </c>
      <c r="F599" s="3">
        <f t="shared" si="9"/>
        <v>3.4456018518540077E-2</v>
      </c>
    </row>
    <row r="600" spans="1:6">
      <c r="A600" s="1" t="s">
        <v>605</v>
      </c>
      <c r="B600" s="2">
        <v>45424</v>
      </c>
      <c r="C600" s="2">
        <v>45424.382094907407</v>
      </c>
      <c r="D600" s="2">
        <v>45424.666886574072</v>
      </c>
      <c r="E600" s="2">
        <v>45424.703344907408</v>
      </c>
      <c r="F600" s="3">
        <f t="shared" si="9"/>
        <v>0.32125000000087311</v>
      </c>
    </row>
    <row r="601" spans="1:6">
      <c r="A601" s="1" t="s">
        <v>606</v>
      </c>
      <c r="B601" s="2">
        <v>45424</v>
      </c>
      <c r="C601" s="2">
        <v>45424.115972222222</v>
      </c>
      <c r="D601" s="2">
        <v>45424.670034722221</v>
      </c>
      <c r="E601" s="2">
        <v>45424.671446759261</v>
      </c>
      <c r="F601" s="3">
        <f t="shared" si="9"/>
        <v>0.55547453703911742</v>
      </c>
    </row>
    <row r="602" spans="1:6">
      <c r="A602" s="1" t="s">
        <v>607</v>
      </c>
      <c r="B602" s="2">
        <v>45424</v>
      </c>
      <c r="C602" s="2">
        <v>45423.230312500003</v>
      </c>
      <c r="D602" s="2">
        <v>45424.673275462963</v>
      </c>
      <c r="E602" s="2">
        <v>45424.683634259258</v>
      </c>
      <c r="F602" s="3">
        <f t="shared" si="9"/>
        <v>1.4533217592543224</v>
      </c>
    </row>
    <row r="603" spans="1:6">
      <c r="A603" s="1" t="s">
        <v>608</v>
      </c>
      <c r="B603" s="2">
        <v>45424</v>
      </c>
      <c r="C603" s="2">
        <v>45424.115983796299</v>
      </c>
      <c r="D603" s="2">
        <v>45424.675937499997</v>
      </c>
      <c r="E603" s="2">
        <v>45424.717766203707</v>
      </c>
      <c r="F603" s="3">
        <f t="shared" si="9"/>
        <v>0.60178240740788169</v>
      </c>
    </row>
    <row r="604" spans="1:6">
      <c r="A604" s="1" t="s">
        <v>609</v>
      </c>
      <c r="B604" s="2">
        <v>45424</v>
      </c>
      <c r="C604" s="2">
        <v>45423.230312500003</v>
      </c>
      <c r="D604" s="2">
        <v>45424.677476851852</v>
      </c>
      <c r="E604" s="2">
        <v>45424.719282407408</v>
      </c>
      <c r="F604" s="3">
        <f t="shared" si="9"/>
        <v>1.4889699074046803</v>
      </c>
    </row>
    <row r="605" spans="1:6">
      <c r="A605" s="1" t="s">
        <v>610</v>
      </c>
      <c r="B605" s="2">
        <v>45424</v>
      </c>
      <c r="C605" s="2">
        <v>45424.115960648145</v>
      </c>
      <c r="D605" s="2">
        <v>45424.711238425924</v>
      </c>
      <c r="E605" s="2">
        <v>45424.752997685187</v>
      </c>
      <c r="F605" s="3">
        <f t="shared" si="9"/>
        <v>0.63703703704231884</v>
      </c>
    </row>
    <row r="606" spans="1:6">
      <c r="A606" s="1" t="s">
        <v>611</v>
      </c>
      <c r="B606" s="2">
        <v>45424</v>
      </c>
      <c r="C606" s="2">
        <v>45424.382233796299</v>
      </c>
      <c r="D606" s="2">
        <v>45424.712557870371</v>
      </c>
      <c r="E606" s="2">
        <v>45424.75439814815</v>
      </c>
      <c r="F606" s="3">
        <f t="shared" si="9"/>
        <v>0.37216435185109731</v>
      </c>
    </row>
    <row r="607" spans="1:6">
      <c r="A607" s="1" t="s">
        <v>612</v>
      </c>
      <c r="B607" s="2">
        <v>45422</v>
      </c>
      <c r="C607" s="2">
        <v>45424.329918981479</v>
      </c>
      <c r="D607" s="2">
        <v>45424.752881944441</v>
      </c>
      <c r="E607" s="2">
        <v>45424.794710648152</v>
      </c>
      <c r="F607" s="3">
        <f t="shared" si="9"/>
        <v>0.46479166667268146</v>
      </c>
    </row>
    <row r="608" spans="1:6">
      <c r="A608" s="1" t="s">
        <v>613</v>
      </c>
      <c r="B608" s="2">
        <v>45422</v>
      </c>
      <c r="C608" s="2">
        <v>45424.329918981479</v>
      </c>
      <c r="D608" s="2">
        <v>45424.754537037035</v>
      </c>
      <c r="E608" s="2">
        <v>45424.796354166669</v>
      </c>
      <c r="F608" s="3">
        <f t="shared" si="9"/>
        <v>0.46643518518976634</v>
      </c>
    </row>
    <row r="609" spans="1:6">
      <c r="A609" s="1" t="s">
        <v>614</v>
      </c>
      <c r="B609" s="2">
        <v>45422</v>
      </c>
      <c r="C609" s="2">
        <v>45424.329918981479</v>
      </c>
      <c r="D609" s="2">
        <v>45424.756041666667</v>
      </c>
      <c r="E609" s="2">
        <v>45424.78229166667</v>
      </c>
      <c r="F609" s="3">
        <f t="shared" si="9"/>
        <v>0.45237268519122154</v>
      </c>
    </row>
    <row r="610" spans="1:6">
      <c r="A610" s="1" t="s">
        <v>615</v>
      </c>
      <c r="B610" s="2">
        <v>45422</v>
      </c>
      <c r="C610" s="2">
        <v>45424.329918981479</v>
      </c>
      <c r="D610" s="2">
        <v>45424.757303240738</v>
      </c>
      <c r="E610" s="2">
        <v>45424.824560185189</v>
      </c>
      <c r="F610" s="3">
        <f t="shared" si="9"/>
        <v>0.49464120370976161</v>
      </c>
    </row>
    <row r="611" spans="1:6">
      <c r="A611" s="1" t="s">
        <v>616</v>
      </c>
      <c r="B611" s="2">
        <v>45422</v>
      </c>
      <c r="C611" s="2">
        <v>45424.329918981479</v>
      </c>
      <c r="D611" s="2">
        <v>45424.75880787037</v>
      </c>
      <c r="E611" s="2">
        <v>45424.770914351851</v>
      </c>
      <c r="F611" s="3">
        <f t="shared" si="9"/>
        <v>0.44099537037254777</v>
      </c>
    </row>
    <row r="612" spans="1:6" hidden="1">
      <c r="A612" s="1" t="s">
        <v>617</v>
      </c>
      <c r="B612" s="2">
        <v>45422</v>
      </c>
      <c r="C612" s="2">
        <v>45423.28670138889</v>
      </c>
      <c r="D612" s="2">
        <v>45425.379502314812</v>
      </c>
      <c r="E612" s="2">
        <v>45425.430798611109</v>
      </c>
      <c r="F612" s="3">
        <f t="shared" si="9"/>
        <v>2.1440972222189885</v>
      </c>
    </row>
    <row r="613" spans="1:6" hidden="1">
      <c r="A613" s="1" t="s">
        <v>618</v>
      </c>
      <c r="B613" s="2">
        <v>45422</v>
      </c>
      <c r="C613" s="2">
        <v>45422.749212962961</v>
      </c>
      <c r="D613" s="2">
        <v>45425.381145833337</v>
      </c>
      <c r="E613" s="2">
        <v>45425.423414351855</v>
      </c>
      <c r="F613" s="3">
        <f t="shared" si="9"/>
        <v>2.6742013888942893</v>
      </c>
    </row>
    <row r="614" spans="1:6" hidden="1">
      <c r="A614" s="1" t="s">
        <v>619</v>
      </c>
      <c r="B614" s="2">
        <v>45422</v>
      </c>
      <c r="C614" s="2">
        <v>45422.749212962961</v>
      </c>
      <c r="D614" s="2">
        <v>45425.385416666664</v>
      </c>
      <c r="E614" s="2">
        <v>45425.42765046296</v>
      </c>
      <c r="F614" s="3">
        <f t="shared" si="9"/>
        <v>2.6784374999988358</v>
      </c>
    </row>
    <row r="615" spans="1:6" hidden="1">
      <c r="A615" s="1" t="s">
        <v>620</v>
      </c>
      <c r="B615" s="2">
        <v>45422</v>
      </c>
      <c r="C615" s="2">
        <v>45422.749212962961</v>
      </c>
      <c r="D615" s="2">
        <v>45425.387418981481</v>
      </c>
      <c r="E615" s="2">
        <v>45425.429502314815</v>
      </c>
      <c r="F615" s="3">
        <f t="shared" si="9"/>
        <v>2.6802893518542987</v>
      </c>
    </row>
    <row r="616" spans="1:6" hidden="1">
      <c r="A616" s="1" t="s">
        <v>621</v>
      </c>
      <c r="B616" s="2">
        <v>45415</v>
      </c>
      <c r="C616" s="2">
        <v>45416.22152777778</v>
      </c>
      <c r="D616" s="2">
        <v>45425.423125000001</v>
      </c>
      <c r="E616" s="2">
        <v>45425.467442129629</v>
      </c>
      <c r="F616" s="3">
        <f t="shared" si="9"/>
        <v>9.2459143518499332</v>
      </c>
    </row>
    <row r="617" spans="1:6" hidden="1">
      <c r="A617" s="1" t="s">
        <v>622</v>
      </c>
      <c r="B617" s="2">
        <v>45421</v>
      </c>
      <c r="C617" s="2">
        <v>45423.28670138889</v>
      </c>
      <c r="D617" s="2">
        <v>45425.456423611111</v>
      </c>
      <c r="E617" s="2">
        <v>45425.498263888891</v>
      </c>
      <c r="F617" s="3">
        <f t="shared" si="9"/>
        <v>2.2115625000005821</v>
      </c>
    </row>
    <row r="618" spans="1:6" hidden="1">
      <c r="A618" s="1" t="s">
        <v>623</v>
      </c>
      <c r="B618" s="2">
        <v>45422</v>
      </c>
      <c r="C618" s="2">
        <v>45423.28670138889</v>
      </c>
      <c r="D618" s="2">
        <v>45425.478356481479</v>
      </c>
      <c r="E618" s="2">
        <v>45425.555601851855</v>
      </c>
      <c r="F618" s="3">
        <f t="shared" si="9"/>
        <v>2.2689004629646661</v>
      </c>
    </row>
    <row r="619" spans="1:6" hidden="1">
      <c r="A619" s="1" t="s">
        <v>624</v>
      </c>
      <c r="B619" s="2">
        <v>45423</v>
      </c>
      <c r="C619" s="2">
        <v>45424.329918981479</v>
      </c>
      <c r="D619" s="2">
        <v>45425.500023148146</v>
      </c>
      <c r="E619" s="2">
        <v>45425.598645833335</v>
      </c>
      <c r="F619" s="3">
        <f t="shared" si="9"/>
        <v>1.268726851856627</v>
      </c>
    </row>
    <row r="620" spans="1:6" hidden="1">
      <c r="A620" s="1" t="s">
        <v>625</v>
      </c>
      <c r="B620" s="2">
        <v>45421</v>
      </c>
      <c r="C620" s="2">
        <v>45422.992488425924</v>
      </c>
      <c r="D620" s="2">
        <v>45425.547430555554</v>
      </c>
      <c r="E620" s="2">
        <v>45425.589432870373</v>
      </c>
      <c r="F620" s="3">
        <f t="shared" si="9"/>
        <v>2.5969444444490364</v>
      </c>
    </row>
    <row r="621" spans="1:6" hidden="1">
      <c r="A621" s="1" t="s">
        <v>626</v>
      </c>
      <c r="B621" s="2">
        <v>45423</v>
      </c>
      <c r="C621" s="2">
        <v>45424.458668981482</v>
      </c>
      <c r="D621" s="2">
        <v>45425.567685185182</v>
      </c>
      <c r="E621" s="2">
        <v>45425.662905092591</v>
      </c>
      <c r="F621" s="3">
        <f t="shared" si="9"/>
        <v>1.2042361111089122</v>
      </c>
    </row>
    <row r="622" spans="1:6" hidden="1">
      <c r="A622" s="1" t="s">
        <v>627</v>
      </c>
      <c r="B622" s="2">
        <v>45418</v>
      </c>
      <c r="C622" s="2">
        <v>45420.022939814815</v>
      </c>
      <c r="D622" s="2">
        <v>45425.584444444445</v>
      </c>
      <c r="E622" s="2">
        <v>45425.626307870371</v>
      </c>
      <c r="F622" s="3">
        <f t="shared" si="9"/>
        <v>5.6033680555556202</v>
      </c>
    </row>
    <row r="623" spans="1:6" hidden="1">
      <c r="A623" s="1" t="s">
        <v>628</v>
      </c>
      <c r="B623" s="2">
        <v>45425</v>
      </c>
      <c r="C623" s="2">
        <v>45425.773240740738</v>
      </c>
      <c r="D623" s="2">
        <v>45425.724444444444</v>
      </c>
      <c r="E623" s="2">
        <v>45425.727488425924</v>
      </c>
      <c r="F623" s="6" t="s">
        <v>1708</v>
      </c>
    </row>
    <row r="624" spans="1:6" hidden="1">
      <c r="A624" s="1" t="s">
        <v>629</v>
      </c>
      <c r="B624" s="2">
        <v>45425</v>
      </c>
      <c r="C624" s="2">
        <v>45425.773240740738</v>
      </c>
      <c r="D624" s="2">
        <v>45425.724398148152</v>
      </c>
      <c r="E624" s="2">
        <v>45425.72552083333</v>
      </c>
      <c r="F624" s="6" t="s">
        <v>1708</v>
      </c>
    </row>
    <row r="625" spans="1:6" hidden="1">
      <c r="A625" s="1" t="s">
        <v>630</v>
      </c>
      <c r="B625" s="2">
        <v>45421</v>
      </c>
      <c r="C625" s="2">
        <v>45422.301377314812</v>
      </c>
      <c r="D625" s="2">
        <v>45425.629513888889</v>
      </c>
      <c r="E625" s="2">
        <v>45425.666851851849</v>
      </c>
      <c r="F625" s="3">
        <f t="shared" si="9"/>
        <v>3.3654745370367891</v>
      </c>
    </row>
    <row r="626" spans="1:6" hidden="1">
      <c r="A626" s="1" t="s">
        <v>631</v>
      </c>
      <c r="B626" s="2">
        <v>45425</v>
      </c>
      <c r="C626" s="2">
        <v>45425.773240740738</v>
      </c>
      <c r="D626" s="2">
        <v>45425.724363425928</v>
      </c>
      <c r="E626" s="2">
        <v>45425.727337962962</v>
      </c>
      <c r="F626" s="6" t="s">
        <v>1708</v>
      </c>
    </row>
    <row r="627" spans="1:6" hidden="1">
      <c r="A627" s="1" t="s">
        <v>632</v>
      </c>
      <c r="B627" s="2">
        <v>45424</v>
      </c>
      <c r="C627" s="2">
        <v>45425.729861111111</v>
      </c>
      <c r="D627" s="2">
        <v>45425.677743055552</v>
      </c>
      <c r="E627" s="2">
        <v>45425.688263888886</v>
      </c>
      <c r="F627" s="6" t="s">
        <v>1708</v>
      </c>
    </row>
    <row r="628" spans="1:6" hidden="1">
      <c r="A628" s="1" t="s">
        <v>633</v>
      </c>
      <c r="B628" s="2">
        <v>45425</v>
      </c>
      <c r="C628" s="2">
        <v>45425.773240740738</v>
      </c>
      <c r="D628" s="2">
        <v>45425.70888888889</v>
      </c>
      <c r="E628" s="2">
        <v>45425.723622685182</v>
      </c>
      <c r="F628" s="6" t="s">
        <v>1708</v>
      </c>
    </row>
    <row r="629" spans="1:6" hidden="1">
      <c r="A629" s="1" t="s">
        <v>634</v>
      </c>
      <c r="B629" s="2">
        <v>45425</v>
      </c>
      <c r="C629" s="2">
        <v>45425.773240740738</v>
      </c>
      <c r="D629" s="2">
        <v>45425.724259259259</v>
      </c>
      <c r="E629" s="2">
        <v>45425.749525462961</v>
      </c>
      <c r="F629" s="6" t="s">
        <v>1708</v>
      </c>
    </row>
    <row r="630" spans="1:6" hidden="1">
      <c r="A630" s="1" t="s">
        <v>635</v>
      </c>
      <c r="B630" s="2">
        <v>45422</v>
      </c>
      <c r="C630" s="2">
        <v>45424.329918981479</v>
      </c>
      <c r="D630" s="2">
        <v>45425.773055555554</v>
      </c>
      <c r="E630" s="2">
        <v>45425.778981481482</v>
      </c>
      <c r="F630" s="3">
        <f t="shared" si="9"/>
        <v>1.4490625000034925</v>
      </c>
    </row>
    <row r="631" spans="1:6" hidden="1">
      <c r="A631" s="1" t="s">
        <v>636</v>
      </c>
      <c r="B631" s="2">
        <v>45415</v>
      </c>
      <c r="C631" s="2">
        <v>45416.288078703707</v>
      </c>
      <c r="D631" s="2">
        <v>45425.772256944445</v>
      </c>
      <c r="E631" s="2">
        <v>45425.772939814815</v>
      </c>
      <c r="F631" s="3">
        <f t="shared" si="9"/>
        <v>9.4848611111083301</v>
      </c>
    </row>
    <row r="632" spans="1:6" hidden="1">
      <c r="A632" s="1" t="s">
        <v>637</v>
      </c>
      <c r="B632" s="2">
        <v>45423</v>
      </c>
      <c r="C632" s="2">
        <v>45424.458668981482</v>
      </c>
      <c r="D632" s="2">
        <v>45425.776018518518</v>
      </c>
      <c r="E632" s="2">
        <v>45425.817928240744</v>
      </c>
      <c r="F632" s="3">
        <f t="shared" si="9"/>
        <v>1.3592592592613073</v>
      </c>
    </row>
    <row r="633" spans="1:6" hidden="1">
      <c r="A633" s="1" t="s">
        <v>638</v>
      </c>
      <c r="B633" s="2">
        <v>45423</v>
      </c>
      <c r="C633" s="2">
        <v>45424.458668981482</v>
      </c>
      <c r="D633" s="2">
        <v>45425.781770833331</v>
      </c>
      <c r="E633" s="2">
        <v>45425.823611111111</v>
      </c>
      <c r="F633" s="3">
        <f t="shared" si="9"/>
        <v>1.3649421296286164</v>
      </c>
    </row>
    <row r="634" spans="1:6" hidden="1">
      <c r="A634" s="1" t="s">
        <v>639</v>
      </c>
      <c r="B634" s="2">
        <v>45423</v>
      </c>
      <c r="C634" s="2">
        <v>45423.23027777778</v>
      </c>
      <c r="D634" s="2">
        <v>45425.790567129632</v>
      </c>
      <c r="E634" s="2">
        <v>45425.832291666666</v>
      </c>
      <c r="F634" s="3">
        <f t="shared" si="9"/>
        <v>2.6020138888852671</v>
      </c>
    </row>
    <row r="635" spans="1:6" hidden="1">
      <c r="A635" s="1" t="s">
        <v>640</v>
      </c>
      <c r="B635" s="2">
        <v>45423</v>
      </c>
      <c r="C635" s="2">
        <v>45423.230312500003</v>
      </c>
      <c r="D635" s="2">
        <v>45425.793645833335</v>
      </c>
      <c r="E635" s="2">
        <v>45425.829375000001</v>
      </c>
      <c r="F635" s="3">
        <f t="shared" si="9"/>
        <v>2.5990624999976717</v>
      </c>
    </row>
    <row r="636" spans="1:6" hidden="1">
      <c r="A636" s="1" t="s">
        <v>641</v>
      </c>
      <c r="B636" s="2">
        <v>45405</v>
      </c>
      <c r="C636" s="2">
        <v>45405.820868055554</v>
      </c>
      <c r="D636" s="2">
        <v>45405.783773148149</v>
      </c>
      <c r="E636" s="2">
        <v>45405.825682870367</v>
      </c>
      <c r="F636" s="3">
        <f t="shared" si="9"/>
        <v>4.8148148125619628E-3</v>
      </c>
    </row>
    <row r="637" spans="1:6" hidden="1">
      <c r="A637" s="1" t="s">
        <v>642</v>
      </c>
      <c r="B637" s="2">
        <v>45405</v>
      </c>
      <c r="C637" s="2">
        <v>45405.820868055554</v>
      </c>
      <c r="D637" s="2">
        <v>45405.792430555557</v>
      </c>
      <c r="E637" s="2">
        <v>45405.834548611114</v>
      </c>
      <c r="F637" s="3">
        <f t="shared" si="9"/>
        <v>1.3680555559403729E-2</v>
      </c>
    </row>
    <row r="638" spans="1:6" hidden="1">
      <c r="A638" s="1" t="s">
        <v>643</v>
      </c>
      <c r="B638" s="2">
        <v>45405</v>
      </c>
      <c r="C638" s="2">
        <v>45405.742939814816</v>
      </c>
      <c r="D638" s="2">
        <v>45406.389664351853</v>
      </c>
      <c r="E638" s="2">
        <v>45406.431608796294</v>
      </c>
      <c r="F638" s="3">
        <f t="shared" si="9"/>
        <v>0.6886689814782585</v>
      </c>
    </row>
    <row r="639" spans="1:6" hidden="1">
      <c r="A639" s="1" t="s">
        <v>644</v>
      </c>
      <c r="B639" s="2">
        <v>45405</v>
      </c>
      <c r="C639" s="2">
        <v>45406.735034722224</v>
      </c>
      <c r="D639" s="2">
        <v>45406.508275462962</v>
      </c>
      <c r="E639" s="2">
        <v>45406.550034722219</v>
      </c>
      <c r="F639" s="6" t="s">
        <v>1708</v>
      </c>
    </row>
    <row r="640" spans="1:6" hidden="1">
      <c r="A640" s="1" t="s">
        <v>645</v>
      </c>
      <c r="B640" s="2">
        <v>45406</v>
      </c>
      <c r="C640" s="2">
        <v>45406.700601851851</v>
      </c>
      <c r="D640" s="2">
        <v>45407.026805555557</v>
      </c>
      <c r="E640" s="2">
        <v>45407.312037037038</v>
      </c>
      <c r="F640" s="3">
        <f t="shared" si="9"/>
        <v>0.61143518518656492</v>
      </c>
    </row>
    <row r="641" spans="1:6" hidden="1">
      <c r="A641" s="1" t="s">
        <v>646</v>
      </c>
      <c r="B641" s="2">
        <v>45406</v>
      </c>
      <c r="C641" s="2">
        <v>45406.700601851851</v>
      </c>
      <c r="D641" s="2">
        <v>45407.028136574074</v>
      </c>
      <c r="E641" s="2">
        <v>45407.313043981485</v>
      </c>
      <c r="F641" s="3">
        <f t="shared" si="9"/>
        <v>0.61244212963356404</v>
      </c>
    </row>
    <row r="642" spans="1:6" hidden="1">
      <c r="A642" s="1" t="s">
        <v>647</v>
      </c>
      <c r="B642" s="2">
        <v>45405</v>
      </c>
      <c r="C642" s="2">
        <v>45405.820868055554</v>
      </c>
      <c r="D642" s="2">
        <v>45406.769490740742</v>
      </c>
      <c r="E642" s="2">
        <v>45406.811678240738</v>
      </c>
      <c r="F642" s="3">
        <f t="shared" si="9"/>
        <v>0.9908101851833635</v>
      </c>
    </row>
    <row r="643" spans="1:6" hidden="1">
      <c r="A643" s="1" t="s">
        <v>648</v>
      </c>
      <c r="B643" s="2">
        <v>45405</v>
      </c>
      <c r="C643" s="2">
        <v>45406.814363425925</v>
      </c>
      <c r="D643" s="2">
        <v>45406.790879629632</v>
      </c>
      <c r="E643" s="2">
        <v>45406.801828703705</v>
      </c>
      <c r="F643" s="6" t="s">
        <v>1708</v>
      </c>
    </row>
    <row r="644" spans="1:6" hidden="1">
      <c r="A644" s="1" t="s">
        <v>649</v>
      </c>
      <c r="B644" s="2">
        <v>45406</v>
      </c>
      <c r="C644" s="2">
        <v>45406.814363425925</v>
      </c>
      <c r="D644" s="2">
        <v>45406.827025462961</v>
      </c>
      <c r="E644" s="2">
        <v>45406.941192129627</v>
      </c>
      <c r="F644" s="3">
        <f t="shared" ref="F644:F705" si="10">E644-C644</f>
        <v>0.12682870370190358</v>
      </c>
    </row>
    <row r="645" spans="1:6" hidden="1">
      <c r="A645" s="1" t="s">
        <v>650</v>
      </c>
      <c r="B645" s="2">
        <v>45405</v>
      </c>
      <c r="C645" s="2">
        <v>45406.814363425925</v>
      </c>
      <c r="D645" s="2">
        <v>45406.920520833337</v>
      </c>
      <c r="E645" s="2">
        <v>45407.48028935185</v>
      </c>
      <c r="F645" s="3">
        <f t="shared" si="10"/>
        <v>0.66592592592496658</v>
      </c>
    </row>
    <row r="646" spans="1:6" hidden="1">
      <c r="A646" s="1" t="s">
        <v>651</v>
      </c>
      <c r="B646" s="2">
        <v>45406</v>
      </c>
      <c r="C646" s="2">
        <v>45407.789039351854</v>
      </c>
      <c r="D646" s="2">
        <v>45407.671238425923</v>
      </c>
      <c r="E646" s="2">
        <v>45407.689618055556</v>
      </c>
      <c r="F646" s="6" t="s">
        <v>1708</v>
      </c>
    </row>
    <row r="647" spans="1:6" hidden="1">
      <c r="A647" s="1" t="s">
        <v>652</v>
      </c>
      <c r="B647" s="2">
        <v>45402</v>
      </c>
      <c r="C647" s="2">
        <v>45403.451979166668</v>
      </c>
      <c r="D647" s="2">
        <v>45408.409328703703</v>
      </c>
      <c r="E647" s="2">
        <v>45408.45113425926</v>
      </c>
      <c r="F647" s="3">
        <f t="shared" si="10"/>
        <v>4.9991550925915362</v>
      </c>
    </row>
    <row r="648" spans="1:6" hidden="1">
      <c r="A648" s="1" t="s">
        <v>653</v>
      </c>
      <c r="B648" s="2">
        <v>45407</v>
      </c>
      <c r="C648" s="2">
        <v>45408.456180555557</v>
      </c>
      <c r="D648" s="2">
        <v>45408.424409722225</v>
      </c>
      <c r="E648" s="2">
        <v>45408.453055555554</v>
      </c>
      <c r="F648" s="6" t="s">
        <v>1708</v>
      </c>
    </row>
    <row r="649" spans="1:6" hidden="1">
      <c r="A649" s="1" t="s">
        <v>654</v>
      </c>
      <c r="B649" s="2">
        <v>45407</v>
      </c>
      <c r="C649" s="2">
        <v>45408.456180555557</v>
      </c>
      <c r="D649" s="2">
        <v>45408.427442129629</v>
      </c>
      <c r="E649" s="2">
        <v>45408.441666666666</v>
      </c>
      <c r="F649" s="6" t="s">
        <v>1708</v>
      </c>
    </row>
    <row r="650" spans="1:6" hidden="1">
      <c r="A650" s="1" t="s">
        <v>655</v>
      </c>
      <c r="B650" s="2">
        <v>45407</v>
      </c>
      <c r="C650" s="2">
        <v>45408.456180555557</v>
      </c>
      <c r="D650" s="2">
        <v>45408.43068287037</v>
      </c>
      <c r="E650" s="2">
        <v>45408.442164351851</v>
      </c>
      <c r="F650" s="6" t="s">
        <v>1708</v>
      </c>
    </row>
    <row r="651" spans="1:6" hidden="1">
      <c r="A651" s="1" t="s">
        <v>656</v>
      </c>
      <c r="B651" s="2">
        <v>45407</v>
      </c>
      <c r="C651" s="2">
        <v>45408.456180555557</v>
      </c>
      <c r="D651" s="2">
        <v>45408.434918981482</v>
      </c>
      <c r="E651" s="2">
        <v>45408.466793981483</v>
      </c>
      <c r="F651" s="3">
        <f t="shared" si="10"/>
        <v>1.0613425925839692E-2</v>
      </c>
    </row>
    <row r="652" spans="1:6" hidden="1">
      <c r="A652" s="1" t="s">
        <v>657</v>
      </c>
      <c r="B652" s="2">
        <v>45407</v>
      </c>
      <c r="C652" s="2">
        <v>45408.456180555557</v>
      </c>
      <c r="D652" s="2">
        <v>45408.444421296299</v>
      </c>
      <c r="E652" s="2">
        <v>45408.486226851855</v>
      </c>
      <c r="F652" s="3">
        <f t="shared" si="10"/>
        <v>3.0046296298678499E-2</v>
      </c>
    </row>
    <row r="653" spans="1:6" hidden="1">
      <c r="A653" s="1" t="s">
        <v>658</v>
      </c>
      <c r="B653" s="2">
        <v>45407</v>
      </c>
      <c r="C653" s="2">
        <v>45408.456597222219</v>
      </c>
      <c r="D653" s="2">
        <v>45408.471319444441</v>
      </c>
      <c r="E653" s="2">
        <v>45408.596030092594</v>
      </c>
      <c r="F653" s="3">
        <f t="shared" si="10"/>
        <v>0.13943287037545815</v>
      </c>
    </row>
    <row r="654" spans="1:6" hidden="1">
      <c r="A654" s="1" t="s">
        <v>659</v>
      </c>
      <c r="B654" s="2">
        <v>45407</v>
      </c>
      <c r="C654" s="2">
        <v>45408.456597222219</v>
      </c>
      <c r="D654" s="2">
        <v>45408.475937499999</v>
      </c>
      <c r="E654" s="2">
        <v>45408.558576388888</v>
      </c>
      <c r="F654" s="3">
        <f t="shared" si="10"/>
        <v>0.10197916666948004</v>
      </c>
    </row>
    <row r="655" spans="1:6" hidden="1">
      <c r="A655" s="1" t="s">
        <v>660</v>
      </c>
      <c r="B655" s="2">
        <v>45406</v>
      </c>
      <c r="C655" s="2">
        <v>45408.720636574071</v>
      </c>
      <c r="D655" s="2">
        <v>45408.608680555553</v>
      </c>
      <c r="E655" s="2">
        <v>45408.643680555557</v>
      </c>
      <c r="F655" s="6" t="s">
        <v>1708</v>
      </c>
    </row>
    <row r="656" spans="1:6" hidden="1">
      <c r="A656" s="1" t="s">
        <v>661</v>
      </c>
      <c r="B656" s="2">
        <v>45406</v>
      </c>
      <c r="C656" s="2">
        <v>45407.747129629628</v>
      </c>
      <c r="D656" s="2">
        <v>45408.664479166669</v>
      </c>
      <c r="E656" s="2">
        <v>45408.706377314818</v>
      </c>
      <c r="F656" s="3">
        <f t="shared" si="10"/>
        <v>0.95924768519034842</v>
      </c>
    </row>
    <row r="657" spans="1:6" hidden="1">
      <c r="A657" s="1" t="s">
        <v>662</v>
      </c>
      <c r="B657" s="2">
        <v>45408</v>
      </c>
      <c r="C657" s="2">
        <v>45409.65425925926</v>
      </c>
      <c r="D657" s="2">
        <v>45409.721770833334</v>
      </c>
      <c r="E657" s="2">
        <v>45409.825601851851</v>
      </c>
      <c r="F657" s="3">
        <f t="shared" si="10"/>
        <v>0.17134259259182727</v>
      </c>
    </row>
    <row r="658" spans="1:6" hidden="1">
      <c r="A658" s="1" t="s">
        <v>663</v>
      </c>
      <c r="B658" s="2">
        <v>45410</v>
      </c>
      <c r="C658" s="2">
        <v>45411.736307870371</v>
      </c>
      <c r="D658" s="2">
        <v>45411.699965277781</v>
      </c>
      <c r="E658" s="2">
        <v>45411.716053240743</v>
      </c>
      <c r="F658" s="6" t="s">
        <v>1708</v>
      </c>
    </row>
    <row r="659" spans="1:6" hidden="1">
      <c r="A659" s="1" t="s">
        <v>664</v>
      </c>
      <c r="B659" s="2">
        <v>45409</v>
      </c>
      <c r="C659" s="2">
        <v>45410.936481481483</v>
      </c>
      <c r="D659" s="2">
        <v>45414.680868055555</v>
      </c>
      <c r="E659" s="2">
        <v>45414.716412037036</v>
      </c>
      <c r="F659" s="3">
        <f t="shared" si="10"/>
        <v>3.7799305555527098</v>
      </c>
    </row>
    <row r="660" spans="1:6" hidden="1">
      <c r="A660" s="1" t="s">
        <v>665</v>
      </c>
      <c r="B660" s="2">
        <v>45409</v>
      </c>
      <c r="C660" s="2">
        <v>45410.467129629629</v>
      </c>
      <c r="D660" s="2">
        <v>45412.488171296296</v>
      </c>
      <c r="E660" s="2">
        <v>45412.5390162037</v>
      </c>
      <c r="F660" s="3">
        <f t="shared" si="10"/>
        <v>2.0718865740709589</v>
      </c>
    </row>
    <row r="661" spans="1:6" hidden="1">
      <c r="A661" s="1" t="s">
        <v>666</v>
      </c>
      <c r="B661" s="2">
        <v>45412</v>
      </c>
      <c r="C661" s="2">
        <v>45412.172789351855</v>
      </c>
      <c r="D661" s="2">
        <v>45412.484432870369</v>
      </c>
      <c r="E661" s="2">
        <v>45412.494826388887</v>
      </c>
      <c r="F661" s="3">
        <f t="shared" si="10"/>
        <v>0.32203703703271458</v>
      </c>
    </row>
    <row r="662" spans="1:6" hidden="1">
      <c r="A662" s="1" t="s">
        <v>667</v>
      </c>
      <c r="B662" s="2">
        <v>45412</v>
      </c>
      <c r="C662" s="2">
        <v>45412.172789351855</v>
      </c>
      <c r="D662" s="2">
        <v>45412.490023148152</v>
      </c>
      <c r="E662" s="2">
        <v>45412.531759259262</v>
      </c>
      <c r="F662" s="3">
        <f t="shared" si="10"/>
        <v>0.35896990740729962</v>
      </c>
    </row>
    <row r="663" spans="1:6" hidden="1">
      <c r="A663" s="1" t="s">
        <v>668</v>
      </c>
      <c r="B663" s="2">
        <v>45412</v>
      </c>
      <c r="C663" s="2">
        <v>45412.305439814816</v>
      </c>
      <c r="D663" s="2">
        <v>45413.592060185183</v>
      </c>
      <c r="E663" s="2">
        <v>45413.673819444448</v>
      </c>
      <c r="F663" s="3">
        <f t="shared" si="10"/>
        <v>1.3683796296318178</v>
      </c>
    </row>
    <row r="664" spans="1:6" hidden="1">
      <c r="A664" s="1" t="s">
        <v>669</v>
      </c>
      <c r="B664" s="2">
        <v>45412</v>
      </c>
      <c r="C664" s="2">
        <v>45412.172789351855</v>
      </c>
      <c r="D664" s="2">
        <v>45412.534733796296</v>
      </c>
      <c r="E664" s="2">
        <v>45412.576550925929</v>
      </c>
      <c r="F664" s="3">
        <f t="shared" si="10"/>
        <v>0.40376157407445135</v>
      </c>
    </row>
    <row r="665" spans="1:6" hidden="1">
      <c r="A665" s="1" t="s">
        <v>670</v>
      </c>
      <c r="B665" s="2">
        <v>45412</v>
      </c>
      <c r="C665" s="2">
        <v>45412.172789351855</v>
      </c>
      <c r="D665" s="2">
        <v>45412.538738425923</v>
      </c>
      <c r="E665" s="2">
        <v>45412.580497685187</v>
      </c>
      <c r="F665" s="3">
        <f t="shared" si="10"/>
        <v>0.40770833333226619</v>
      </c>
    </row>
    <row r="666" spans="1:6" hidden="1">
      <c r="A666" s="1" t="s">
        <v>671</v>
      </c>
      <c r="B666" s="2">
        <v>45412</v>
      </c>
      <c r="C666" s="2">
        <v>45414.320277777777</v>
      </c>
      <c r="D666" s="2">
        <v>45414.404027777775</v>
      </c>
      <c r="E666" s="2">
        <v>45414.445879629631</v>
      </c>
      <c r="F666" s="3">
        <f t="shared" si="10"/>
        <v>0.12560185185429873</v>
      </c>
    </row>
    <row r="667" spans="1:6" hidden="1">
      <c r="A667" s="1" t="s">
        <v>672</v>
      </c>
      <c r="B667" s="2">
        <v>45412</v>
      </c>
      <c r="C667" s="2">
        <v>45413.717928240738</v>
      </c>
      <c r="D667" s="2">
        <v>45414.397013888891</v>
      </c>
      <c r="E667" s="2">
        <v>45414.616956018515</v>
      </c>
      <c r="F667" s="3">
        <f t="shared" si="10"/>
        <v>0.89902777777751908</v>
      </c>
    </row>
    <row r="668" spans="1:6" hidden="1">
      <c r="A668" s="1" t="s">
        <v>673</v>
      </c>
      <c r="B668" s="2">
        <v>45411</v>
      </c>
      <c r="C668" s="2">
        <v>45412.158310185187</v>
      </c>
      <c r="D668" s="2">
        <v>45412.568981481483</v>
      </c>
      <c r="E668" s="2">
        <v>45412.603761574072</v>
      </c>
      <c r="F668" s="3">
        <f t="shared" si="10"/>
        <v>0.44545138888497604</v>
      </c>
    </row>
    <row r="669" spans="1:6" hidden="1">
      <c r="A669" s="1" t="s">
        <v>674</v>
      </c>
      <c r="B669" s="2">
        <v>45412</v>
      </c>
      <c r="C669" s="2">
        <v>45412.172789351855</v>
      </c>
      <c r="D669" s="2">
        <v>45412.65792824074</v>
      </c>
      <c r="E669" s="2">
        <v>45412.699814814812</v>
      </c>
      <c r="F669" s="3">
        <f t="shared" si="10"/>
        <v>0.52702546295768116</v>
      </c>
    </row>
    <row r="670" spans="1:6" hidden="1">
      <c r="A670" s="1" t="s">
        <v>675</v>
      </c>
      <c r="B670" s="2">
        <v>45412</v>
      </c>
      <c r="C670" s="2">
        <v>45412.172789351855</v>
      </c>
      <c r="D670" s="2">
        <v>45412.686423611114</v>
      </c>
      <c r="E670" s="2">
        <v>45412.728252314817</v>
      </c>
      <c r="F670" s="3">
        <f t="shared" si="10"/>
        <v>0.55546296296233777</v>
      </c>
    </row>
    <row r="671" spans="1:6" hidden="1">
      <c r="A671" s="1" t="s">
        <v>676</v>
      </c>
      <c r="B671" s="2">
        <v>45412</v>
      </c>
      <c r="C671" s="2">
        <v>45412.172789351855</v>
      </c>
      <c r="D671" s="2">
        <v>45412.699641203704</v>
      </c>
      <c r="E671" s="2">
        <v>45412.773356481484</v>
      </c>
      <c r="F671" s="3">
        <f t="shared" si="10"/>
        <v>0.60056712962978054</v>
      </c>
    </row>
    <row r="672" spans="1:6" hidden="1">
      <c r="A672" s="1" t="s">
        <v>677</v>
      </c>
      <c r="B672" s="2">
        <v>45412</v>
      </c>
      <c r="C672" s="2">
        <v>45412.172789351855</v>
      </c>
      <c r="D672" s="2">
        <v>45412.715266203704</v>
      </c>
      <c r="E672" s="2">
        <v>45412.757106481484</v>
      </c>
      <c r="F672" s="3">
        <f t="shared" si="10"/>
        <v>0.58431712962919846</v>
      </c>
    </row>
    <row r="673" spans="1:6" hidden="1">
      <c r="A673" s="1" t="s">
        <v>678</v>
      </c>
      <c r="B673" s="2">
        <v>45398</v>
      </c>
      <c r="C673" s="2">
        <v>45399.281793981485</v>
      </c>
      <c r="D673" s="2">
        <v>45414.404317129629</v>
      </c>
      <c r="E673" s="2">
        <v>45414.446446759262</v>
      </c>
      <c r="F673" s="3">
        <f t="shared" si="10"/>
        <v>15.164652777777519</v>
      </c>
    </row>
    <row r="674" spans="1:6" hidden="1">
      <c r="A674" s="1" t="s">
        <v>679</v>
      </c>
      <c r="B674" s="2">
        <v>45408</v>
      </c>
      <c r="C674" s="2">
        <v>45412.305289351854</v>
      </c>
      <c r="D674" s="2">
        <v>45412.805150462962</v>
      </c>
      <c r="E674" s="2">
        <v>45412.847002314818</v>
      </c>
      <c r="F674" s="3">
        <f t="shared" si="10"/>
        <v>0.541712962964084</v>
      </c>
    </row>
    <row r="675" spans="1:6" hidden="1">
      <c r="A675" s="1" t="s">
        <v>680</v>
      </c>
      <c r="B675" s="2">
        <v>45410</v>
      </c>
      <c r="C675" s="2">
        <v>45411.430659722224</v>
      </c>
      <c r="D675" s="2">
        <v>45412.814108796294</v>
      </c>
      <c r="E675" s="2">
        <v>45412.834629629629</v>
      </c>
      <c r="F675" s="3">
        <f t="shared" si="10"/>
        <v>1.4039699074055534</v>
      </c>
    </row>
    <row r="676" spans="1:6" hidden="1">
      <c r="A676" s="1" t="s">
        <v>681</v>
      </c>
      <c r="B676" s="2">
        <v>45410</v>
      </c>
      <c r="C676" s="2">
        <v>45411.736307870371</v>
      </c>
      <c r="D676" s="2">
        <v>45412.820081018515</v>
      </c>
      <c r="E676" s="2">
        <v>45412.840787037036</v>
      </c>
      <c r="F676" s="3">
        <f t="shared" si="10"/>
        <v>1.1044791666645324</v>
      </c>
    </row>
    <row r="677" spans="1:6" hidden="1">
      <c r="A677" s="1" t="s">
        <v>682</v>
      </c>
      <c r="B677" s="2">
        <v>45410</v>
      </c>
      <c r="C677" s="2">
        <v>45411.736307870371</v>
      </c>
      <c r="D677" s="2">
        <v>45412.832337962966</v>
      </c>
      <c r="E677" s="2">
        <v>45412.849976851852</v>
      </c>
      <c r="F677" s="3">
        <f t="shared" si="10"/>
        <v>1.1136689814811689</v>
      </c>
    </row>
    <row r="678" spans="1:6" hidden="1">
      <c r="A678" s="1" t="s">
        <v>683</v>
      </c>
      <c r="B678" s="2">
        <v>45411</v>
      </c>
      <c r="C678" s="2">
        <v>45412.305335648147</v>
      </c>
      <c r="D678" s="2">
        <v>45412.859305555554</v>
      </c>
      <c r="E678" s="2">
        <v>45412.901041666664</v>
      </c>
      <c r="F678" s="3">
        <f t="shared" si="10"/>
        <v>0.59570601851737592</v>
      </c>
    </row>
    <row r="679" spans="1:6" hidden="1">
      <c r="A679" s="1" t="s">
        <v>684</v>
      </c>
      <c r="B679" s="2">
        <v>45412</v>
      </c>
      <c r="C679" s="2">
        <v>45412.172789351855</v>
      </c>
      <c r="D679" s="2">
        <v>45412.917928240742</v>
      </c>
      <c r="E679" s="2">
        <v>45412.959953703707</v>
      </c>
      <c r="F679" s="3">
        <f t="shared" si="10"/>
        <v>0.78716435185197042</v>
      </c>
    </row>
    <row r="680" spans="1:6" hidden="1">
      <c r="A680" s="1" t="s">
        <v>685</v>
      </c>
      <c r="B680" s="2">
        <v>45412</v>
      </c>
      <c r="C680" s="2">
        <v>45412.172789351855</v>
      </c>
      <c r="D680" s="2">
        <v>45412.921574074076</v>
      </c>
      <c r="E680" s="2">
        <v>45412.963333333333</v>
      </c>
      <c r="F680" s="3">
        <f t="shared" si="10"/>
        <v>0.79054398147854954</v>
      </c>
    </row>
    <row r="681" spans="1:6" hidden="1">
      <c r="A681" s="1" t="s">
        <v>686</v>
      </c>
      <c r="B681" s="2">
        <v>45412</v>
      </c>
      <c r="C681" s="2">
        <v>45413.310185185182</v>
      </c>
      <c r="D681" s="2">
        <v>45413.570300925923</v>
      </c>
      <c r="E681" s="2">
        <v>45413.61210648148</v>
      </c>
      <c r="F681" s="3">
        <f t="shared" si="10"/>
        <v>0.30192129629722331</v>
      </c>
    </row>
    <row r="682" spans="1:6" hidden="1">
      <c r="A682" s="1" t="s">
        <v>687</v>
      </c>
      <c r="B682" s="2">
        <v>45412</v>
      </c>
      <c r="C682" s="2">
        <v>45413.310196759259</v>
      </c>
      <c r="D682" s="2">
        <v>45413.575509259259</v>
      </c>
      <c r="E682" s="2">
        <v>45413.617442129631</v>
      </c>
      <c r="F682" s="3">
        <f t="shared" si="10"/>
        <v>0.30724537037167465</v>
      </c>
    </row>
    <row r="683" spans="1:6" hidden="1">
      <c r="A683" s="1" t="s">
        <v>688</v>
      </c>
      <c r="B683" s="2">
        <v>45412</v>
      </c>
      <c r="C683" s="2">
        <v>45413.310196759259</v>
      </c>
      <c r="D683" s="2">
        <v>45413.581238425926</v>
      </c>
      <c r="E683" s="2">
        <v>45413.623113425929</v>
      </c>
      <c r="F683" s="3">
        <f t="shared" si="10"/>
        <v>0.31291666666948004</v>
      </c>
    </row>
    <row r="684" spans="1:6" hidden="1">
      <c r="A684" s="1" t="s">
        <v>689</v>
      </c>
      <c r="B684" s="2">
        <v>45413</v>
      </c>
      <c r="C684" s="2">
        <v>45412.841527777775</v>
      </c>
      <c r="D684" s="2">
        <v>45413.591874999998</v>
      </c>
      <c r="E684" s="2">
        <v>45413.633680555555</v>
      </c>
      <c r="F684" s="3">
        <f t="shared" si="10"/>
        <v>0.79215277777984738</v>
      </c>
    </row>
    <row r="685" spans="1:6" hidden="1">
      <c r="A685" s="1" t="s">
        <v>690</v>
      </c>
      <c r="B685" s="2">
        <v>45413</v>
      </c>
      <c r="C685" s="2">
        <v>45413.536319444444</v>
      </c>
      <c r="D685" s="2">
        <v>45413.604363425926</v>
      </c>
      <c r="E685" s="2">
        <v>45413.650277777779</v>
      </c>
      <c r="F685" s="3">
        <f t="shared" si="10"/>
        <v>0.11395833333517658</v>
      </c>
    </row>
    <row r="686" spans="1:6" hidden="1">
      <c r="A686" s="1" t="s">
        <v>691</v>
      </c>
      <c r="B686" s="2">
        <v>45412</v>
      </c>
      <c r="C686" s="2">
        <v>45412.172789351855</v>
      </c>
      <c r="D686" s="2">
        <v>45413.621087962965</v>
      </c>
      <c r="E686" s="2">
        <v>45413.663032407407</v>
      </c>
      <c r="F686" s="3">
        <f t="shared" si="10"/>
        <v>1.4902430555521278</v>
      </c>
    </row>
    <row r="687" spans="1:6" hidden="1">
      <c r="A687" s="1" t="s">
        <v>692</v>
      </c>
      <c r="B687" s="2">
        <v>45412</v>
      </c>
      <c r="C687" s="2">
        <v>45412.172789351855</v>
      </c>
      <c r="D687" s="2">
        <v>45413.626006944447</v>
      </c>
      <c r="E687" s="2">
        <v>45413.667893518519</v>
      </c>
      <c r="F687" s="3">
        <f t="shared" si="10"/>
        <v>1.4951041666645324</v>
      </c>
    </row>
    <row r="688" spans="1:6" hidden="1">
      <c r="A688" s="1" t="s">
        <v>693</v>
      </c>
      <c r="B688" s="2">
        <v>45413</v>
      </c>
      <c r="C688" s="2">
        <v>45413.176296296297</v>
      </c>
      <c r="D688" s="2">
        <v>45413.638703703706</v>
      </c>
      <c r="E688" s="2">
        <v>45413.680509259262</v>
      </c>
      <c r="F688" s="3">
        <f t="shared" si="10"/>
        <v>0.50421296296553919</v>
      </c>
    </row>
    <row r="689" spans="1:6" hidden="1">
      <c r="A689" s="1" t="s">
        <v>694</v>
      </c>
      <c r="B689" s="2">
        <v>45413</v>
      </c>
      <c r="C689" s="2">
        <v>45413.176319444443</v>
      </c>
      <c r="D689" s="2">
        <v>45413.644618055558</v>
      </c>
      <c r="E689" s="2">
        <v>45413.686342592591</v>
      </c>
      <c r="F689" s="3">
        <f t="shared" si="10"/>
        <v>0.51002314814832062</v>
      </c>
    </row>
    <row r="690" spans="1:6" hidden="1">
      <c r="A690" s="1" t="s">
        <v>695</v>
      </c>
      <c r="B690" s="2">
        <v>45413</v>
      </c>
      <c r="C690" s="2">
        <v>45413.176319444443</v>
      </c>
      <c r="D690" s="2">
        <v>45413.657013888886</v>
      </c>
      <c r="E690" s="2">
        <v>45413.698761574073</v>
      </c>
      <c r="F690" s="3">
        <f t="shared" si="10"/>
        <v>0.52244212962978054</v>
      </c>
    </row>
    <row r="691" spans="1:6" hidden="1">
      <c r="A691" s="1" t="s">
        <v>696</v>
      </c>
      <c r="B691" s="2">
        <v>45413</v>
      </c>
      <c r="C691" s="2">
        <v>45413.176319444443</v>
      </c>
      <c r="D691" s="2">
        <v>45413.66002314815</v>
      </c>
      <c r="E691" s="2">
        <v>45413.701817129629</v>
      </c>
      <c r="F691" s="3">
        <f t="shared" si="10"/>
        <v>0.52549768518656492</v>
      </c>
    </row>
    <row r="692" spans="1:6" hidden="1">
      <c r="A692" s="1" t="s">
        <v>697</v>
      </c>
      <c r="B692" s="2">
        <v>45412</v>
      </c>
      <c r="C692" s="2">
        <v>45413.466874999998</v>
      </c>
      <c r="D692" s="2">
        <v>45413.669490740744</v>
      </c>
      <c r="E692" s="2">
        <v>45413.711215277777</v>
      </c>
      <c r="F692" s="3">
        <f t="shared" si="10"/>
        <v>0.24434027777897427</v>
      </c>
    </row>
    <row r="693" spans="1:6" hidden="1">
      <c r="A693" s="1" t="s">
        <v>698</v>
      </c>
      <c r="B693" s="2">
        <v>45412</v>
      </c>
      <c r="C693" s="2">
        <v>45413.466874999998</v>
      </c>
      <c r="D693" s="2">
        <v>45413.674097222225</v>
      </c>
      <c r="E693" s="2">
        <v>45413.71601851852</v>
      </c>
      <c r="F693" s="3">
        <f t="shared" si="10"/>
        <v>0.24914351852203254</v>
      </c>
    </row>
    <row r="694" spans="1:6" hidden="1">
      <c r="A694" s="1" t="s">
        <v>699</v>
      </c>
      <c r="B694" s="2">
        <v>45407</v>
      </c>
      <c r="C694" s="2">
        <v>45409.342245370368</v>
      </c>
      <c r="D694" s="2">
        <v>45414.93240740741</v>
      </c>
      <c r="E694" s="2">
        <v>45415.751458333332</v>
      </c>
      <c r="F694" s="3">
        <f t="shared" si="10"/>
        <v>6.409212962964375</v>
      </c>
    </row>
    <row r="695" spans="1:6" hidden="1">
      <c r="A695" s="1" t="s">
        <v>700</v>
      </c>
      <c r="B695" s="2">
        <v>45413</v>
      </c>
      <c r="C695" s="2">
        <v>45414.521886574075</v>
      </c>
      <c r="D695" s="2">
        <v>45414.963206018518</v>
      </c>
      <c r="E695" s="2">
        <v>45415.282534722224</v>
      </c>
      <c r="F695" s="3">
        <f t="shared" si="10"/>
        <v>0.76064814814890269</v>
      </c>
    </row>
    <row r="696" spans="1:6" hidden="1">
      <c r="A696" s="1" t="s">
        <v>701</v>
      </c>
      <c r="B696" s="2">
        <v>45408</v>
      </c>
      <c r="C696" s="2">
        <v>45410.115844907406</v>
      </c>
      <c r="D696" s="2">
        <v>45415.591446759259</v>
      </c>
      <c r="E696" s="2">
        <v>45415.71465277778</v>
      </c>
      <c r="F696" s="3">
        <f t="shared" si="10"/>
        <v>5.598807870374003</v>
      </c>
    </row>
    <row r="697" spans="1:6" hidden="1">
      <c r="A697" s="1" t="s">
        <v>702</v>
      </c>
      <c r="B697" s="2">
        <v>45411</v>
      </c>
      <c r="C697" s="2">
        <v>45410.494988425926</v>
      </c>
      <c r="D697" s="2">
        <v>45415.600648148145</v>
      </c>
      <c r="E697" s="2">
        <v>45415.642430555556</v>
      </c>
      <c r="F697" s="3">
        <f t="shared" si="10"/>
        <v>5.1474421296297805</v>
      </c>
    </row>
    <row r="698" spans="1:6" hidden="1">
      <c r="A698" s="1" t="s">
        <v>703</v>
      </c>
      <c r="B698" s="2">
        <v>45411</v>
      </c>
      <c r="C698" s="2">
        <v>45412.72991898148</v>
      </c>
      <c r="D698" s="2">
        <v>45415.618518518517</v>
      </c>
      <c r="E698" s="2">
        <v>45415.723645833335</v>
      </c>
      <c r="F698" s="3">
        <f t="shared" si="10"/>
        <v>2.9937268518551718</v>
      </c>
    </row>
    <row r="699" spans="1:6" hidden="1">
      <c r="A699" s="1" t="s">
        <v>704</v>
      </c>
      <c r="B699" s="2">
        <v>45412</v>
      </c>
      <c r="C699" s="2">
        <v>45412.830208333333</v>
      </c>
      <c r="D699" s="2">
        <v>45415.716828703706</v>
      </c>
      <c r="E699" s="2">
        <v>45416.377060185187</v>
      </c>
      <c r="F699" s="3">
        <f t="shared" si="10"/>
        <v>3.5468518518537167</v>
      </c>
    </row>
    <row r="700" spans="1:6" hidden="1">
      <c r="A700" s="1" t="s">
        <v>705</v>
      </c>
      <c r="B700" s="2">
        <v>45412</v>
      </c>
      <c r="C700" s="2">
        <v>45412.830208333333</v>
      </c>
      <c r="D700" s="2">
        <v>45415.894097222219</v>
      </c>
      <c r="E700" s="2">
        <v>45416.321539351855</v>
      </c>
      <c r="F700" s="3">
        <f t="shared" si="10"/>
        <v>3.4913310185220325</v>
      </c>
    </row>
    <row r="701" spans="1:6" hidden="1">
      <c r="A701" s="1" t="s">
        <v>706</v>
      </c>
      <c r="B701" s="2">
        <v>45415</v>
      </c>
      <c r="C701" s="2">
        <v>45415.939108796294</v>
      </c>
      <c r="D701" s="2">
        <v>45415.881238425929</v>
      </c>
      <c r="E701" s="2">
        <v>45415.899097222224</v>
      </c>
      <c r="F701" s="6" t="s">
        <v>1708</v>
      </c>
    </row>
    <row r="702" spans="1:6" hidden="1">
      <c r="A702" s="1" t="s">
        <v>707</v>
      </c>
      <c r="B702" s="2">
        <v>45415</v>
      </c>
      <c r="C702" s="2">
        <v>45415.845949074072</v>
      </c>
      <c r="D702" s="2">
        <v>45415.793206018519</v>
      </c>
      <c r="E702" s="2">
        <v>45415.799189814818</v>
      </c>
      <c r="F702" s="6" t="s">
        <v>1708</v>
      </c>
    </row>
    <row r="703" spans="1:6" hidden="1">
      <c r="A703" s="1" t="s">
        <v>708</v>
      </c>
      <c r="B703" s="2">
        <v>45412</v>
      </c>
      <c r="C703" s="2">
        <v>45413.762662037036</v>
      </c>
      <c r="D703" s="2">
        <v>45415.910173611112</v>
      </c>
      <c r="E703" s="2">
        <v>45415.92396990741</v>
      </c>
      <c r="F703" s="3">
        <f t="shared" si="10"/>
        <v>2.161307870374003</v>
      </c>
    </row>
    <row r="704" spans="1:6" hidden="1">
      <c r="A704" s="1" t="s">
        <v>709</v>
      </c>
      <c r="B704" s="2">
        <v>45415</v>
      </c>
      <c r="C704" s="2">
        <v>45415.736608796295</v>
      </c>
      <c r="D704" s="2">
        <v>45416.037476851852</v>
      </c>
      <c r="E704" s="2">
        <v>45416.309074074074</v>
      </c>
      <c r="F704" s="3">
        <f t="shared" si="10"/>
        <v>0.57246527777897427</v>
      </c>
    </row>
    <row r="705" spans="1:6" hidden="1">
      <c r="A705" s="1" t="s">
        <v>710</v>
      </c>
      <c r="B705" s="2">
        <v>45415</v>
      </c>
      <c r="C705" s="2">
        <v>45415.736608796295</v>
      </c>
      <c r="D705" s="2">
        <v>45416.107997685183</v>
      </c>
      <c r="E705" s="2">
        <v>45416.330706018518</v>
      </c>
      <c r="F705" s="3">
        <f t="shared" si="10"/>
        <v>0.59409722222335404</v>
      </c>
    </row>
    <row r="706" spans="1:6" hidden="1">
      <c r="A706" s="1" t="s">
        <v>711</v>
      </c>
      <c r="B706" s="2">
        <v>45415</v>
      </c>
      <c r="C706" s="2">
        <v>45416.521689814814</v>
      </c>
      <c r="D706" s="2">
        <v>45416.387673611112</v>
      </c>
      <c r="E706" s="2">
        <v>45416.392187500001</v>
      </c>
      <c r="F706" s="6" t="s">
        <v>1708</v>
      </c>
    </row>
    <row r="707" spans="1:6" hidden="1">
      <c r="A707" s="1" t="s">
        <v>712</v>
      </c>
      <c r="B707" s="2">
        <v>45415</v>
      </c>
      <c r="C707" s="2">
        <v>45416.288078703707</v>
      </c>
      <c r="D707" s="2">
        <v>45416.393101851849</v>
      </c>
      <c r="E707" s="2">
        <v>45416.549837962964</v>
      </c>
      <c r="F707" s="3">
        <f t="shared" ref="F707:F770" si="11">E707-C707</f>
        <v>0.26175925925781485</v>
      </c>
    </row>
    <row r="708" spans="1:6" hidden="1">
      <c r="A708" s="1" t="s">
        <v>713</v>
      </c>
      <c r="B708" s="2">
        <v>45415</v>
      </c>
      <c r="C708" s="2">
        <v>45416.288055555553</v>
      </c>
      <c r="D708" s="2">
        <v>45416.396631944444</v>
      </c>
      <c r="E708" s="2">
        <v>45416.549143518518</v>
      </c>
      <c r="F708" s="3">
        <f t="shared" si="11"/>
        <v>0.26108796296466608</v>
      </c>
    </row>
    <row r="709" spans="1:6" hidden="1">
      <c r="A709" s="1" t="s">
        <v>714</v>
      </c>
      <c r="B709" s="2">
        <v>45415</v>
      </c>
      <c r="C709" s="2">
        <v>45416.288055555553</v>
      </c>
      <c r="D709" s="2">
        <v>45416.398449074077</v>
      </c>
      <c r="E709" s="2">
        <v>45416.582083333335</v>
      </c>
      <c r="F709" s="3">
        <f t="shared" si="11"/>
        <v>0.29402777778159361</v>
      </c>
    </row>
    <row r="710" spans="1:6" hidden="1">
      <c r="A710" s="1" t="s">
        <v>715</v>
      </c>
      <c r="B710" s="2">
        <v>45415</v>
      </c>
      <c r="C710" s="2">
        <v>45416.288055555553</v>
      </c>
      <c r="D710" s="2">
        <v>45416.401006944441</v>
      </c>
      <c r="E710" s="2">
        <v>45416.554120370369</v>
      </c>
      <c r="F710" s="3">
        <f t="shared" si="11"/>
        <v>0.26606481481576338</v>
      </c>
    </row>
    <row r="711" spans="1:6" hidden="1">
      <c r="A711" s="1" t="s">
        <v>716</v>
      </c>
      <c r="B711" s="2">
        <v>45415</v>
      </c>
      <c r="C711" s="2">
        <v>45416.288078703707</v>
      </c>
      <c r="D711" s="2">
        <v>45416.408078703702</v>
      </c>
      <c r="E711" s="2">
        <v>45416.554143518515</v>
      </c>
      <c r="F711" s="3">
        <f t="shared" si="11"/>
        <v>0.26606481480848743</v>
      </c>
    </row>
    <row r="712" spans="1:6" hidden="1">
      <c r="A712" s="1" t="s">
        <v>717</v>
      </c>
      <c r="B712" s="2">
        <v>45415</v>
      </c>
      <c r="C712" s="2">
        <v>45416.288078703707</v>
      </c>
      <c r="D712" s="2">
        <v>45416.409745370373</v>
      </c>
      <c r="E712" s="2">
        <v>45416.549027777779</v>
      </c>
      <c r="F712" s="3">
        <f t="shared" si="11"/>
        <v>0.26094907407241408</v>
      </c>
    </row>
    <row r="713" spans="1:6" hidden="1">
      <c r="A713" s="1" t="s">
        <v>718</v>
      </c>
      <c r="B713" s="2">
        <v>45415</v>
      </c>
      <c r="C713" s="2">
        <v>45416.288078703707</v>
      </c>
      <c r="D713" s="2">
        <v>45416.412303240744</v>
      </c>
      <c r="E713" s="2">
        <v>45416.554305555554</v>
      </c>
      <c r="F713" s="3">
        <f t="shared" si="11"/>
        <v>0.26622685184702277</v>
      </c>
    </row>
    <row r="714" spans="1:6" hidden="1">
      <c r="A714" s="1" t="s">
        <v>719</v>
      </c>
      <c r="B714" s="2">
        <v>45415</v>
      </c>
      <c r="C714" s="2">
        <v>45416.416273148148</v>
      </c>
      <c r="D714" s="2">
        <v>45416.430775462963</v>
      </c>
      <c r="E714" s="2">
        <v>45416.733402777776</v>
      </c>
      <c r="F714" s="3">
        <f t="shared" si="11"/>
        <v>0.31712962962774327</v>
      </c>
    </row>
    <row r="715" spans="1:6" hidden="1">
      <c r="A715" s="1" t="s">
        <v>720</v>
      </c>
      <c r="B715" s="2">
        <v>45415</v>
      </c>
      <c r="C715" s="2">
        <v>45416.464328703703</v>
      </c>
      <c r="D715" s="2">
        <v>45416.430243055554</v>
      </c>
      <c r="E715" s="2">
        <v>45416.437743055554</v>
      </c>
      <c r="F715" s="6" t="s">
        <v>1708</v>
      </c>
    </row>
    <row r="716" spans="1:6" hidden="1">
      <c r="A716" s="1" t="s">
        <v>721</v>
      </c>
      <c r="B716" s="2">
        <v>45415</v>
      </c>
      <c r="C716" s="2">
        <v>45416.464328703703</v>
      </c>
      <c r="D716" s="2">
        <v>45416.433888888889</v>
      </c>
      <c r="E716" s="2">
        <v>45416.475787037038</v>
      </c>
      <c r="F716" s="3">
        <f t="shared" si="11"/>
        <v>1.1458333334303461E-2</v>
      </c>
    </row>
    <row r="717" spans="1:6" hidden="1">
      <c r="A717" s="1" t="s">
        <v>722</v>
      </c>
      <c r="B717" s="2">
        <v>45415</v>
      </c>
      <c r="C717" s="2">
        <v>45416.464328703703</v>
      </c>
      <c r="D717" s="2">
        <v>45416.435266203705</v>
      </c>
      <c r="E717" s="2">
        <v>45416.456597222219</v>
      </c>
      <c r="F717" s="6" t="s">
        <v>1708</v>
      </c>
    </row>
    <row r="718" spans="1:6" hidden="1">
      <c r="A718" s="1" t="s">
        <v>723</v>
      </c>
      <c r="B718" s="2">
        <v>45416</v>
      </c>
      <c r="C718" s="2">
        <v>45416.464328703703</v>
      </c>
      <c r="D718" s="2">
        <v>45416.437245370369</v>
      </c>
      <c r="E718" s="2">
        <v>45416.479085648149</v>
      </c>
      <c r="F718" s="3">
        <f t="shared" si="11"/>
        <v>1.4756944445252884E-2</v>
      </c>
    </row>
    <row r="719" spans="1:6" hidden="1">
      <c r="A719" s="1" t="s">
        <v>724</v>
      </c>
      <c r="B719" s="2">
        <v>45416</v>
      </c>
      <c r="C719" s="2">
        <v>45416.464328703703</v>
      </c>
      <c r="D719" s="2">
        <v>45416.438877314817</v>
      </c>
      <c r="E719" s="2">
        <v>45416.480624999997</v>
      </c>
      <c r="F719" s="3">
        <f t="shared" si="11"/>
        <v>1.6296296293148771E-2</v>
      </c>
    </row>
    <row r="720" spans="1:6" hidden="1">
      <c r="A720" s="1" t="s">
        <v>725</v>
      </c>
      <c r="B720" s="2">
        <v>45415</v>
      </c>
      <c r="C720" s="2">
        <v>45416.22152777778</v>
      </c>
      <c r="D720" s="2">
        <v>45416.460243055553</v>
      </c>
      <c r="E720" s="2">
        <v>45416.502141203702</v>
      </c>
      <c r="F720" s="3">
        <f t="shared" si="11"/>
        <v>0.28061342592263827</v>
      </c>
    </row>
    <row r="721" spans="1:6" hidden="1">
      <c r="A721" s="1" t="s">
        <v>726</v>
      </c>
      <c r="B721" s="2">
        <v>45413</v>
      </c>
      <c r="C721" s="2">
        <v>45416.287638888891</v>
      </c>
      <c r="D721" s="2">
        <v>45416.473946759259</v>
      </c>
      <c r="E721" s="2">
        <v>45416.496215277781</v>
      </c>
      <c r="F721" s="3">
        <f t="shared" si="11"/>
        <v>0.20857638888992369</v>
      </c>
    </row>
    <row r="722" spans="1:6" hidden="1">
      <c r="A722" s="1" t="s">
        <v>727</v>
      </c>
      <c r="B722" s="2">
        <v>45416</v>
      </c>
      <c r="C722" s="2">
        <v>45416.22152777778</v>
      </c>
      <c r="D722" s="2">
        <v>45416.510266203702</v>
      </c>
      <c r="E722" s="2">
        <v>45417.318495370368</v>
      </c>
      <c r="F722" s="3">
        <f t="shared" si="11"/>
        <v>1.0969675925880438</v>
      </c>
    </row>
    <row r="723" spans="1:6" hidden="1">
      <c r="A723" s="1" t="s">
        <v>728</v>
      </c>
      <c r="B723" s="2">
        <v>45416</v>
      </c>
      <c r="C723" s="2">
        <v>45416.22152777778</v>
      </c>
      <c r="D723" s="2">
        <v>45416.521724537037</v>
      </c>
      <c r="E723" s="2">
        <v>45416.56354166667</v>
      </c>
      <c r="F723" s="3">
        <f t="shared" si="11"/>
        <v>0.34201388889050577</v>
      </c>
    </row>
    <row r="724" spans="1:6" hidden="1">
      <c r="A724" s="1" t="s">
        <v>729</v>
      </c>
      <c r="B724" s="2">
        <v>45416</v>
      </c>
      <c r="C724" s="2">
        <v>45416.22152777778</v>
      </c>
      <c r="D724" s="2">
        <v>45416.528009259258</v>
      </c>
      <c r="E724" s="2">
        <v>45416.569733796299</v>
      </c>
      <c r="F724" s="3">
        <f t="shared" si="11"/>
        <v>0.34820601851970423</v>
      </c>
    </row>
    <row r="725" spans="1:6" hidden="1">
      <c r="A725" s="1" t="s">
        <v>730</v>
      </c>
      <c r="B725" s="2">
        <v>45416</v>
      </c>
      <c r="C725" s="2">
        <v>45416.22152777778</v>
      </c>
      <c r="D725" s="2">
        <v>45416.53020833333</v>
      </c>
      <c r="E725" s="2">
        <v>45416.571944444448</v>
      </c>
      <c r="F725" s="3">
        <f t="shared" si="11"/>
        <v>0.35041666666802485</v>
      </c>
    </row>
    <row r="726" spans="1:6" hidden="1">
      <c r="A726" s="1" t="s">
        <v>731</v>
      </c>
      <c r="B726" s="2">
        <v>45415</v>
      </c>
      <c r="C726" s="2">
        <v>45416.71738425926</v>
      </c>
      <c r="D726" s="2">
        <v>45416.642187500001</v>
      </c>
      <c r="E726" s="2">
        <v>45416.684062499997</v>
      </c>
      <c r="F726" s="6" t="s">
        <v>1708</v>
      </c>
    </row>
    <row r="727" spans="1:6">
      <c r="A727" s="1" t="s">
        <v>732</v>
      </c>
      <c r="B727" s="2">
        <v>45414</v>
      </c>
      <c r="C727" s="2">
        <v>45415.264826388891</v>
      </c>
      <c r="D727" s="2">
        <v>45419.604328703703</v>
      </c>
      <c r="E727" s="2">
        <v>45419.635613425926</v>
      </c>
      <c r="F727" s="3">
        <f t="shared" si="11"/>
        <v>4.3707870370344608</v>
      </c>
    </row>
    <row r="728" spans="1:6" hidden="1">
      <c r="A728" s="1" t="s">
        <v>733</v>
      </c>
      <c r="B728" s="2">
        <v>45414</v>
      </c>
      <c r="C728" s="2">
        <v>45416.682835648149</v>
      </c>
      <c r="D728" s="2">
        <v>45416.652094907404</v>
      </c>
      <c r="E728" s="2">
        <v>45416.663460648146</v>
      </c>
      <c r="F728" s="6" t="s">
        <v>1708</v>
      </c>
    </row>
    <row r="729" spans="1:6" hidden="1">
      <c r="A729" s="1" t="s">
        <v>734</v>
      </c>
      <c r="B729" s="2">
        <v>45416</v>
      </c>
      <c r="C729" s="2">
        <v>45416.885752314818</v>
      </c>
      <c r="D729" s="2">
        <v>45417.336944444447</v>
      </c>
      <c r="E729" s="2">
        <v>45417.37872685185</v>
      </c>
      <c r="F729" s="3">
        <f t="shared" si="11"/>
        <v>0.49297453703184146</v>
      </c>
    </row>
    <row r="730" spans="1:6" hidden="1">
      <c r="A730" s="1" t="s">
        <v>735</v>
      </c>
      <c r="B730" s="2">
        <v>45416</v>
      </c>
      <c r="C730" s="2">
        <v>45416.885752314818</v>
      </c>
      <c r="D730" s="2">
        <v>45417.336319444446</v>
      </c>
      <c r="E730" s="2">
        <v>45417.378113425926</v>
      </c>
      <c r="F730" s="3">
        <f t="shared" si="11"/>
        <v>0.49236111110803904</v>
      </c>
    </row>
    <row r="731" spans="1:6" hidden="1">
      <c r="A731" s="1" t="s">
        <v>736</v>
      </c>
      <c r="B731" s="2">
        <v>45415</v>
      </c>
      <c r="C731" s="2">
        <v>45416.729062500002</v>
      </c>
      <c r="D731" s="2">
        <v>45416.721342592595</v>
      </c>
      <c r="E731" s="2">
        <v>45416.733819444446</v>
      </c>
      <c r="F731" s="3">
        <f t="shared" si="11"/>
        <v>4.756944443215616E-3</v>
      </c>
    </row>
    <row r="732" spans="1:6" hidden="1">
      <c r="A732" s="1" t="s">
        <v>737</v>
      </c>
      <c r="B732" s="2">
        <v>45416</v>
      </c>
      <c r="C732" s="2">
        <v>45417.016226851854</v>
      </c>
      <c r="D732" s="2">
        <v>45417.352013888885</v>
      </c>
      <c r="E732" s="2">
        <v>45417.403148148151</v>
      </c>
      <c r="F732" s="3">
        <f t="shared" si="11"/>
        <v>0.38692129629635019</v>
      </c>
    </row>
    <row r="733" spans="1:6" hidden="1">
      <c r="A733" s="1" t="s">
        <v>738</v>
      </c>
      <c r="B733" s="2">
        <v>45416</v>
      </c>
      <c r="C733" s="2">
        <v>45416.729062500002</v>
      </c>
      <c r="D733" s="2">
        <v>45417.347673611112</v>
      </c>
      <c r="E733" s="2">
        <v>45417.389502314814</v>
      </c>
      <c r="F733" s="3">
        <f t="shared" si="11"/>
        <v>0.66043981481197989</v>
      </c>
    </row>
    <row r="734" spans="1:6" hidden="1">
      <c r="A734" s="1" t="s">
        <v>739</v>
      </c>
      <c r="B734" s="2">
        <v>45416</v>
      </c>
      <c r="C734" s="2">
        <v>45417.725659722222</v>
      </c>
      <c r="D734" s="2">
        <v>45417.502638888887</v>
      </c>
      <c r="E734" s="2">
        <v>45417.544409722221</v>
      </c>
      <c r="F734" s="6" t="s">
        <v>1708</v>
      </c>
    </row>
    <row r="735" spans="1:6">
      <c r="A735" s="1" t="s">
        <v>740</v>
      </c>
      <c r="B735" s="2">
        <v>45416</v>
      </c>
      <c r="C735" s="2">
        <v>45418.474826388891</v>
      </c>
      <c r="D735" s="2">
        <v>45418.319606481484</v>
      </c>
      <c r="E735" s="2">
        <v>45418.36146990741</v>
      </c>
      <c r="F735" s="6" t="s">
        <v>1708</v>
      </c>
    </row>
    <row r="736" spans="1:6" hidden="1">
      <c r="A736" s="1" t="s">
        <v>741</v>
      </c>
      <c r="B736" s="2">
        <v>45414</v>
      </c>
      <c r="C736" s="2">
        <v>45416.801400462966</v>
      </c>
      <c r="D736" s="2">
        <v>45416.7968287037</v>
      </c>
      <c r="E736" s="2">
        <v>45416.803981481484</v>
      </c>
      <c r="F736" s="3">
        <f t="shared" si="11"/>
        <v>2.5810185179580003E-3</v>
      </c>
    </row>
    <row r="737" spans="1:6" hidden="1">
      <c r="A737" s="1" t="s">
        <v>742</v>
      </c>
      <c r="B737" s="2">
        <v>45416</v>
      </c>
      <c r="C737" s="2">
        <v>45417.016238425924</v>
      </c>
      <c r="D737" s="2">
        <v>45417.34746527778</v>
      </c>
      <c r="E737" s="2">
        <v>45417.389247685183</v>
      </c>
      <c r="F737" s="3">
        <f t="shared" si="11"/>
        <v>0.37300925925956108</v>
      </c>
    </row>
    <row r="738" spans="1:6">
      <c r="A738" s="1" t="s">
        <v>743</v>
      </c>
      <c r="B738" s="2">
        <v>45416</v>
      </c>
      <c r="C738" s="2">
        <v>45417.83494212963</v>
      </c>
      <c r="D738" s="2">
        <v>45418.087384259263</v>
      </c>
      <c r="E738" s="2">
        <v>45418.591921296298</v>
      </c>
      <c r="F738" s="3">
        <f t="shared" si="11"/>
        <v>0.75697916666831588</v>
      </c>
    </row>
    <row r="739" spans="1:6" hidden="1">
      <c r="A739" s="1" t="s">
        <v>744</v>
      </c>
      <c r="B739" s="2">
        <v>45416</v>
      </c>
      <c r="C739" s="2">
        <v>45417.39371527778</v>
      </c>
      <c r="D739" s="2">
        <v>45417.406215277777</v>
      </c>
      <c r="E739" s="2">
        <v>45417.451261574075</v>
      </c>
      <c r="F739" s="3">
        <f t="shared" si="11"/>
        <v>5.7546296295186039E-2</v>
      </c>
    </row>
    <row r="740" spans="1:6" hidden="1">
      <c r="A740" s="1" t="s">
        <v>745</v>
      </c>
      <c r="B740" s="2">
        <v>45415</v>
      </c>
      <c r="C740" s="2">
        <v>45415.487442129626</v>
      </c>
      <c r="D740" s="2">
        <v>45417.449282407404</v>
      </c>
      <c r="E740" s="2">
        <v>45417.491099537037</v>
      </c>
      <c r="F740" s="3">
        <f t="shared" si="11"/>
        <v>2.0036574074110831</v>
      </c>
    </row>
    <row r="741" spans="1:6" hidden="1">
      <c r="A741" s="1" t="s">
        <v>746</v>
      </c>
      <c r="B741" s="2">
        <v>45415</v>
      </c>
      <c r="C741" s="2">
        <v>45415.487442129626</v>
      </c>
      <c r="D741" s="2">
        <v>45417.449224537035</v>
      </c>
      <c r="E741" s="2">
        <v>45417.490983796299</v>
      </c>
      <c r="F741" s="3">
        <f t="shared" si="11"/>
        <v>2.0035416666723904</v>
      </c>
    </row>
    <row r="742" spans="1:6">
      <c r="A742" s="1" t="s">
        <v>747</v>
      </c>
      <c r="B742" s="2">
        <v>45415</v>
      </c>
      <c r="C742" s="2">
        <v>45416.28806712963</v>
      </c>
      <c r="D742" s="2">
        <v>45417.95585648148</v>
      </c>
      <c r="E742" s="2">
        <v>45418.289351851854</v>
      </c>
      <c r="F742" s="3">
        <f t="shared" si="11"/>
        <v>2.0012847222242272</v>
      </c>
    </row>
    <row r="743" spans="1:6">
      <c r="A743" s="1" t="s">
        <v>748</v>
      </c>
      <c r="B743" s="2">
        <v>45416</v>
      </c>
      <c r="C743" s="2">
        <v>45417.449479166666</v>
      </c>
      <c r="D743" s="2">
        <v>45418.404120370367</v>
      </c>
      <c r="E743" s="2">
        <v>45418.445833333331</v>
      </c>
      <c r="F743" s="3">
        <f t="shared" si="11"/>
        <v>0.99635416666569654</v>
      </c>
    </row>
    <row r="744" spans="1:6">
      <c r="A744" s="1" t="s">
        <v>749</v>
      </c>
      <c r="B744" s="2">
        <v>45418</v>
      </c>
      <c r="C744" s="2">
        <v>45419.345543981479</v>
      </c>
      <c r="D744" s="2">
        <v>45419.408217592594</v>
      </c>
      <c r="E744" s="2">
        <v>45419.468611111108</v>
      </c>
      <c r="F744" s="3">
        <f t="shared" si="11"/>
        <v>0.12306712962890742</v>
      </c>
    </row>
    <row r="745" spans="1:6">
      <c r="A745" s="1" t="s">
        <v>750</v>
      </c>
      <c r="B745" s="2">
        <v>45418</v>
      </c>
      <c r="C745" s="2">
        <v>45419.190243055556</v>
      </c>
      <c r="D745" s="2">
        <v>45419.626296296294</v>
      </c>
      <c r="E745" s="2">
        <v>45419.698425925926</v>
      </c>
      <c r="F745" s="3">
        <f t="shared" si="11"/>
        <v>0.50818287036963739</v>
      </c>
    </row>
    <row r="746" spans="1:6">
      <c r="A746" s="1" t="s">
        <v>751</v>
      </c>
      <c r="B746" s="2">
        <v>45415</v>
      </c>
      <c r="C746" s="2">
        <v>45416.729062500002</v>
      </c>
      <c r="D746" s="2">
        <v>45419.823113425926</v>
      </c>
      <c r="E746" s="2">
        <v>45419.86513888889</v>
      </c>
      <c r="F746" s="3">
        <f t="shared" si="11"/>
        <v>3.1360763888878864</v>
      </c>
    </row>
    <row r="747" spans="1:6">
      <c r="A747" s="1" t="s">
        <v>752</v>
      </c>
      <c r="B747" s="2">
        <v>45415</v>
      </c>
      <c r="C747" s="2">
        <v>45415.194918981484</v>
      </c>
      <c r="D747" s="2">
        <v>45419.839155092595</v>
      </c>
      <c r="E747" s="2">
        <v>45419.880972222221</v>
      </c>
      <c r="F747" s="3">
        <f t="shared" si="11"/>
        <v>4.6860532407372375</v>
      </c>
    </row>
    <row r="748" spans="1:6">
      <c r="A748" s="1" t="s">
        <v>753</v>
      </c>
      <c r="B748" s="2">
        <v>45415</v>
      </c>
      <c r="C748" s="2">
        <v>45415.168032407404</v>
      </c>
      <c r="D748" s="2">
        <v>45419.84542824074</v>
      </c>
      <c r="E748" s="2">
        <v>45421.713784722226</v>
      </c>
      <c r="F748" s="3">
        <f t="shared" si="11"/>
        <v>6.5457523148215842</v>
      </c>
    </row>
    <row r="749" spans="1:6">
      <c r="A749" s="1" t="s">
        <v>754</v>
      </c>
      <c r="B749" s="2">
        <v>45417</v>
      </c>
      <c r="C749" s="2">
        <v>45419.777083333334</v>
      </c>
      <c r="D749" s="2">
        <v>45420.33488425926</v>
      </c>
      <c r="E749" s="2">
        <v>45420.382696759261</v>
      </c>
      <c r="F749" s="3">
        <f t="shared" si="11"/>
        <v>0.60561342592700385</v>
      </c>
    </row>
    <row r="750" spans="1:6">
      <c r="A750" s="1" t="s">
        <v>755</v>
      </c>
      <c r="B750" s="2">
        <v>45420</v>
      </c>
      <c r="C750" s="2">
        <v>45420.159039351849</v>
      </c>
      <c r="D750" s="2">
        <v>45420.4997337963</v>
      </c>
      <c r="E750" s="2">
        <v>45420.541516203702</v>
      </c>
      <c r="F750" s="3">
        <f t="shared" si="11"/>
        <v>0.38247685185342561</v>
      </c>
    </row>
    <row r="751" spans="1:6">
      <c r="A751" s="1" t="s">
        <v>756</v>
      </c>
      <c r="B751" s="2">
        <v>45420</v>
      </c>
      <c r="C751" s="2">
        <v>45420.159039351849</v>
      </c>
      <c r="D751" s="2">
        <v>45420.501076388886</v>
      </c>
      <c r="E751" s="2">
        <v>45420.542812500003</v>
      </c>
      <c r="F751" s="3">
        <f t="shared" si="11"/>
        <v>0.38377314815443242</v>
      </c>
    </row>
    <row r="752" spans="1:6">
      <c r="A752" s="1" t="s">
        <v>757</v>
      </c>
      <c r="B752" s="2">
        <v>45420</v>
      </c>
      <c r="C752" s="2">
        <v>45420.159039351849</v>
      </c>
      <c r="D752" s="2">
        <v>45420.504988425928</v>
      </c>
      <c r="E752" s="2">
        <v>45420.587870370371</v>
      </c>
      <c r="F752" s="3">
        <f t="shared" si="11"/>
        <v>0.42883101852203254</v>
      </c>
    </row>
    <row r="753" spans="1:6">
      <c r="A753" s="1" t="s">
        <v>758</v>
      </c>
      <c r="B753" s="2">
        <v>45420</v>
      </c>
      <c r="C753" s="2">
        <v>45420.159039351849</v>
      </c>
      <c r="D753" s="2">
        <v>45420.507222222222</v>
      </c>
      <c r="E753" s="2">
        <v>45420.548981481479</v>
      </c>
      <c r="F753" s="3">
        <f t="shared" si="11"/>
        <v>0.38994212963007158</v>
      </c>
    </row>
    <row r="754" spans="1:6">
      <c r="A754" s="1" t="s">
        <v>759</v>
      </c>
      <c r="B754" s="2">
        <v>45420</v>
      </c>
      <c r="C754" s="2">
        <v>45420.15902777778</v>
      </c>
      <c r="D754" s="2">
        <v>45420.510625000003</v>
      </c>
      <c r="E754" s="2">
        <v>45420.552384259259</v>
      </c>
      <c r="F754" s="3">
        <f t="shared" si="11"/>
        <v>0.39335648147971369</v>
      </c>
    </row>
    <row r="755" spans="1:6">
      <c r="A755" s="1" t="s">
        <v>760</v>
      </c>
      <c r="B755" s="2">
        <v>45420</v>
      </c>
      <c r="C755" s="2">
        <v>45420.15902777778</v>
      </c>
      <c r="D755" s="2">
        <v>45420.512638888889</v>
      </c>
      <c r="E755" s="2">
        <v>45420.554513888892</v>
      </c>
      <c r="F755" s="3">
        <f t="shared" si="11"/>
        <v>0.39548611111240461</v>
      </c>
    </row>
    <row r="756" spans="1:6">
      <c r="A756" s="1" t="s">
        <v>761</v>
      </c>
      <c r="B756" s="2">
        <v>45420</v>
      </c>
      <c r="C756" s="2">
        <v>45420.328321759262</v>
      </c>
      <c r="D756" s="2">
        <v>45420.515833333331</v>
      </c>
      <c r="E756" s="2">
        <v>45420.557673611111</v>
      </c>
      <c r="F756" s="3">
        <f t="shared" si="11"/>
        <v>0.22935185184906004</v>
      </c>
    </row>
    <row r="757" spans="1:6">
      <c r="A757" s="1" t="s">
        <v>762</v>
      </c>
      <c r="B757" s="2">
        <v>45420</v>
      </c>
      <c r="C757" s="2">
        <v>45420.159016203703</v>
      </c>
      <c r="D757" s="2">
        <v>45420.518854166665</v>
      </c>
      <c r="E757" s="2">
        <v>45420.560659722221</v>
      </c>
      <c r="F757" s="3">
        <f t="shared" si="11"/>
        <v>0.40164351851854008</v>
      </c>
    </row>
    <row r="758" spans="1:6">
      <c r="A758" s="1" t="s">
        <v>763</v>
      </c>
      <c r="B758" s="2">
        <v>45420</v>
      </c>
      <c r="C758" s="2">
        <v>45420.159039351849</v>
      </c>
      <c r="D758" s="2">
        <v>45420.526921296296</v>
      </c>
      <c r="E758" s="2">
        <v>45420.546747685185</v>
      </c>
      <c r="F758" s="3">
        <f t="shared" si="11"/>
        <v>0.38770833333546761</v>
      </c>
    </row>
    <row r="759" spans="1:6">
      <c r="A759" s="1" t="s">
        <v>764</v>
      </c>
      <c r="B759" s="2">
        <v>45420</v>
      </c>
      <c r="C759" s="2">
        <v>45420.159039351849</v>
      </c>
      <c r="D759" s="2">
        <v>45420.532511574071</v>
      </c>
      <c r="E759" s="2">
        <v>45420.574305555558</v>
      </c>
      <c r="F759" s="3">
        <f t="shared" si="11"/>
        <v>0.41526620370859746</v>
      </c>
    </row>
    <row r="760" spans="1:6">
      <c r="A760" s="1" t="s">
        <v>765</v>
      </c>
      <c r="B760" s="2">
        <v>45420</v>
      </c>
      <c r="C760" s="2">
        <v>45420.159039351849</v>
      </c>
      <c r="D760" s="2">
        <v>45420.536828703705</v>
      </c>
      <c r="E760" s="2">
        <v>45420.578680555554</v>
      </c>
      <c r="F760" s="3">
        <f t="shared" si="11"/>
        <v>0.41964120370539604</v>
      </c>
    </row>
    <row r="761" spans="1:6">
      <c r="A761" s="1" t="s">
        <v>766</v>
      </c>
      <c r="B761" s="2">
        <v>45420</v>
      </c>
      <c r="C761" s="2">
        <v>45420.479826388888</v>
      </c>
      <c r="D761" s="2">
        <v>45420.540300925924</v>
      </c>
      <c r="E761" s="2">
        <v>45420.61482638889</v>
      </c>
      <c r="F761" s="3">
        <f t="shared" si="11"/>
        <v>0.13500000000203727</v>
      </c>
    </row>
    <row r="762" spans="1:6">
      <c r="A762" s="1" t="s">
        <v>767</v>
      </c>
      <c r="B762" s="2">
        <v>45420</v>
      </c>
      <c r="C762" s="2">
        <v>45421.280972222223</v>
      </c>
      <c r="D762" s="2">
        <v>45421.742523148147</v>
      </c>
      <c r="E762" s="2">
        <v>45421.784351851849</v>
      </c>
      <c r="F762" s="3">
        <f t="shared" si="11"/>
        <v>0.50337962962657912</v>
      </c>
    </row>
    <row r="763" spans="1:6">
      <c r="A763" s="1" t="s">
        <v>768</v>
      </c>
      <c r="B763" s="2">
        <v>45420</v>
      </c>
      <c r="C763" s="2">
        <v>45422.301377314812</v>
      </c>
      <c r="D763" s="2">
        <v>45422.818333333336</v>
      </c>
      <c r="E763" s="2">
        <v>45423.265092592592</v>
      </c>
      <c r="F763" s="3">
        <f t="shared" si="11"/>
        <v>0.96371527777955635</v>
      </c>
    </row>
    <row r="764" spans="1:6">
      <c r="A764" s="1" t="s">
        <v>769</v>
      </c>
      <c r="B764" s="2">
        <v>45420</v>
      </c>
      <c r="C764" s="2">
        <v>45421.280972222223</v>
      </c>
      <c r="D764" s="2">
        <v>45421.745983796296</v>
      </c>
      <c r="E764" s="2">
        <v>45421.788368055553</v>
      </c>
      <c r="F764" s="3">
        <f t="shared" si="11"/>
        <v>0.50739583333051996</v>
      </c>
    </row>
    <row r="765" spans="1:6">
      <c r="A765" s="1" t="s">
        <v>770</v>
      </c>
      <c r="B765" s="2">
        <v>45421</v>
      </c>
      <c r="C765" s="2">
        <v>45421.170127314814</v>
      </c>
      <c r="D765" s="2">
        <v>45421.756631944445</v>
      </c>
      <c r="E765" s="2">
        <v>45421.798414351855</v>
      </c>
      <c r="F765" s="3">
        <f t="shared" si="11"/>
        <v>0.62828703704144573</v>
      </c>
    </row>
    <row r="766" spans="1:6">
      <c r="A766" s="1" t="s">
        <v>771</v>
      </c>
      <c r="B766" s="2">
        <v>45421</v>
      </c>
      <c r="C766" s="2">
        <v>45421.170092592591</v>
      </c>
      <c r="D766" s="2">
        <v>45421.759398148148</v>
      </c>
      <c r="E766" s="2">
        <v>45421.801238425927</v>
      </c>
      <c r="F766" s="3">
        <f t="shared" si="11"/>
        <v>0.63114583333663177</v>
      </c>
    </row>
    <row r="767" spans="1:6">
      <c r="A767" s="1" t="s">
        <v>772</v>
      </c>
      <c r="B767" s="2">
        <v>45421</v>
      </c>
      <c r="C767" s="2">
        <v>45421.170115740744</v>
      </c>
      <c r="D767" s="2">
        <v>45421.761736111112</v>
      </c>
      <c r="E767" s="2">
        <v>45421.784837962965</v>
      </c>
      <c r="F767" s="3">
        <f t="shared" si="11"/>
        <v>0.61472222222073469</v>
      </c>
    </row>
    <row r="768" spans="1:6">
      <c r="A768" s="1" t="s">
        <v>773</v>
      </c>
      <c r="B768" s="2">
        <v>45421</v>
      </c>
      <c r="C768" s="2">
        <v>45421.170092592591</v>
      </c>
      <c r="D768" s="2">
        <v>45421.768634259257</v>
      </c>
      <c r="E768" s="2">
        <v>45421.786030092589</v>
      </c>
      <c r="F768" s="3">
        <f t="shared" si="11"/>
        <v>0.61593749999883585</v>
      </c>
    </row>
    <row r="769" spans="1:6">
      <c r="A769" s="1" t="s">
        <v>774</v>
      </c>
      <c r="B769" s="2">
        <v>45421</v>
      </c>
      <c r="C769" s="2">
        <v>45421.170127314814</v>
      </c>
      <c r="D769" s="2">
        <v>45421.771122685182</v>
      </c>
      <c r="E769" s="2">
        <v>45421.812905092593</v>
      </c>
      <c r="F769" s="3">
        <f t="shared" si="11"/>
        <v>0.64277777777897427</v>
      </c>
    </row>
    <row r="770" spans="1:6">
      <c r="A770" s="1" t="s">
        <v>775</v>
      </c>
      <c r="B770" s="2">
        <v>45421</v>
      </c>
      <c r="C770" s="2">
        <v>45421.170104166667</v>
      </c>
      <c r="D770" s="2">
        <v>45421.773113425923</v>
      </c>
      <c r="E770" s="2">
        <v>45421.814884259256</v>
      </c>
      <c r="F770" s="3">
        <f t="shared" si="11"/>
        <v>0.64478009258891689</v>
      </c>
    </row>
    <row r="771" spans="1:6">
      <c r="A771" s="1" t="s">
        <v>776</v>
      </c>
      <c r="B771" s="2">
        <v>45421</v>
      </c>
      <c r="C771" s="2">
        <v>45421.466886574075</v>
      </c>
      <c r="D771" s="2">
        <v>45421.775277777779</v>
      </c>
      <c r="E771" s="2">
        <v>45421.817129629628</v>
      </c>
      <c r="F771" s="3">
        <f t="shared" ref="F771:F834" si="12">E771-C771</f>
        <v>0.35024305555270985</v>
      </c>
    </row>
    <row r="772" spans="1:6">
      <c r="A772" s="1" t="s">
        <v>777</v>
      </c>
      <c r="B772" s="2">
        <v>45421</v>
      </c>
      <c r="C772" s="2">
        <v>45421.170104166667</v>
      </c>
      <c r="D772" s="2">
        <v>45421.784120370372</v>
      </c>
      <c r="E772" s="2">
        <v>45421.829131944447</v>
      </c>
      <c r="F772" s="3">
        <f t="shared" si="12"/>
        <v>0.65902777777955635</v>
      </c>
    </row>
    <row r="773" spans="1:6">
      <c r="A773" s="1" t="s">
        <v>778</v>
      </c>
      <c r="B773" s="2">
        <v>45420</v>
      </c>
      <c r="C773" s="2">
        <v>45421.280972222223</v>
      </c>
      <c r="D773" s="2">
        <v>45421.829548611109</v>
      </c>
      <c r="E773" s="2">
        <v>45421.833310185182</v>
      </c>
      <c r="F773" s="3">
        <f t="shared" si="12"/>
        <v>0.55233796295942739</v>
      </c>
    </row>
    <row r="774" spans="1:6">
      <c r="A774" s="1" t="s">
        <v>779</v>
      </c>
      <c r="B774" s="2">
        <v>45420</v>
      </c>
      <c r="C774" s="2">
        <v>45421.280972222223</v>
      </c>
      <c r="D774" s="2">
        <v>45421.905185185184</v>
      </c>
      <c r="E774" s="2">
        <v>45422.26394675926</v>
      </c>
      <c r="F774" s="3">
        <f t="shared" si="12"/>
        <v>0.98297453703708015</v>
      </c>
    </row>
    <row r="775" spans="1:6">
      <c r="A775" s="1" t="s">
        <v>780</v>
      </c>
      <c r="B775" s="2">
        <v>45420</v>
      </c>
      <c r="C775" s="2">
        <v>45421.280972222223</v>
      </c>
      <c r="D775" s="2">
        <v>45421.907881944448</v>
      </c>
      <c r="E775" s="2">
        <v>45421.949687499997</v>
      </c>
      <c r="F775" s="3">
        <f t="shared" si="12"/>
        <v>0.66871527777402662</v>
      </c>
    </row>
    <row r="776" spans="1:6">
      <c r="A776" s="1" t="s">
        <v>781</v>
      </c>
      <c r="B776" s="2">
        <v>45420</v>
      </c>
      <c r="C776" s="2">
        <v>45421.280972222223</v>
      </c>
      <c r="D776" s="2">
        <v>45421.90966435185</v>
      </c>
      <c r="E776" s="2">
        <v>45421.951435185183</v>
      </c>
      <c r="F776" s="3">
        <f t="shared" si="12"/>
        <v>0.6704629629603005</v>
      </c>
    </row>
    <row r="777" spans="1:6">
      <c r="A777" s="1" t="s">
        <v>782</v>
      </c>
      <c r="B777" s="2">
        <v>45420</v>
      </c>
      <c r="C777" s="2">
        <v>45421.280972222223</v>
      </c>
      <c r="D777" s="2">
        <v>45421.911238425928</v>
      </c>
      <c r="E777" s="2">
        <v>45421.953067129631</v>
      </c>
      <c r="F777" s="3">
        <f t="shared" si="12"/>
        <v>0.67209490740788169</v>
      </c>
    </row>
    <row r="778" spans="1:6">
      <c r="A778" s="1" t="s">
        <v>783</v>
      </c>
      <c r="B778" s="2">
        <v>45420</v>
      </c>
      <c r="C778" s="2">
        <v>45421.280972222223</v>
      </c>
      <c r="D778" s="2">
        <v>45421.913541666669</v>
      </c>
      <c r="E778" s="2">
        <v>45421.955289351848</v>
      </c>
      <c r="F778" s="3">
        <f t="shared" si="12"/>
        <v>0.674317129625706</v>
      </c>
    </row>
    <row r="779" spans="1:6">
      <c r="A779" s="1" t="s">
        <v>784</v>
      </c>
      <c r="B779" s="2">
        <v>45421</v>
      </c>
      <c r="C779" s="2">
        <v>45422.301377314812</v>
      </c>
      <c r="D779" s="2">
        <v>45422.357581018521</v>
      </c>
      <c r="E779" s="2">
        <v>45423.581111111111</v>
      </c>
      <c r="F779" s="3">
        <f t="shared" si="12"/>
        <v>1.2797337962983875</v>
      </c>
    </row>
    <row r="780" spans="1:6">
      <c r="A780" s="1" t="s">
        <v>785</v>
      </c>
      <c r="B780" s="2">
        <v>45421</v>
      </c>
      <c r="C780" s="2">
        <v>45422.301377314812</v>
      </c>
      <c r="D780" s="2">
        <v>45422.360995370371</v>
      </c>
      <c r="E780" s="2">
        <v>45422.616828703707</v>
      </c>
      <c r="F780" s="3">
        <f t="shared" si="12"/>
        <v>0.31545138889487134</v>
      </c>
    </row>
    <row r="781" spans="1:6">
      <c r="A781" s="1" t="s">
        <v>786</v>
      </c>
      <c r="B781" s="2">
        <v>45422</v>
      </c>
      <c r="C781" s="2">
        <v>45422.181423611109</v>
      </c>
      <c r="D781" s="2">
        <v>45422.47115740741</v>
      </c>
      <c r="E781" s="2">
        <v>45422.548391203702</v>
      </c>
      <c r="F781" s="3">
        <f t="shared" si="12"/>
        <v>0.36696759259211831</v>
      </c>
    </row>
    <row r="782" spans="1:6">
      <c r="A782" s="1" t="s">
        <v>787</v>
      </c>
      <c r="B782" s="2">
        <v>45422</v>
      </c>
      <c r="C782" s="2">
        <v>45422.181423611109</v>
      </c>
      <c r="D782" s="2">
        <v>45422.47483796296</v>
      </c>
      <c r="E782" s="2">
        <v>45422.544687499998</v>
      </c>
      <c r="F782" s="3">
        <f t="shared" si="12"/>
        <v>0.3632638888884685</v>
      </c>
    </row>
    <row r="783" spans="1:6">
      <c r="A783" s="1" t="s">
        <v>788</v>
      </c>
      <c r="B783" s="2">
        <v>45422</v>
      </c>
      <c r="C783" s="2">
        <v>45422.181423611109</v>
      </c>
      <c r="D783" s="2">
        <v>45422.482777777775</v>
      </c>
      <c r="E783" s="2">
        <v>45422.524652777778</v>
      </c>
      <c r="F783" s="3">
        <f t="shared" si="12"/>
        <v>0.34322916666860692</v>
      </c>
    </row>
    <row r="784" spans="1:6">
      <c r="A784" s="1" t="s">
        <v>789</v>
      </c>
      <c r="B784" s="2">
        <v>45420</v>
      </c>
      <c r="C784" s="2">
        <v>45422.301377314812</v>
      </c>
      <c r="D784" s="2">
        <v>45422.565000000002</v>
      </c>
      <c r="E784" s="2">
        <v>45422.635046296295</v>
      </c>
      <c r="F784" s="3">
        <f t="shared" si="12"/>
        <v>0.33366898148233304</v>
      </c>
    </row>
    <row r="785" spans="1:6">
      <c r="A785" s="1" t="s">
        <v>790</v>
      </c>
      <c r="B785" s="2">
        <v>45418</v>
      </c>
      <c r="C785" s="2">
        <v>45422.387627314813</v>
      </c>
      <c r="D785" s="2">
        <v>45422.59070601852</v>
      </c>
      <c r="E785" s="2">
        <v>45422.632534722223</v>
      </c>
      <c r="F785" s="3">
        <f t="shared" si="12"/>
        <v>0.24490740741021</v>
      </c>
    </row>
    <row r="786" spans="1:6">
      <c r="A786" s="1" t="s">
        <v>791</v>
      </c>
      <c r="B786" s="2">
        <v>45418</v>
      </c>
      <c r="C786" s="2">
        <v>45419.19023148148</v>
      </c>
      <c r="D786" s="2">
        <v>45422.607592592591</v>
      </c>
      <c r="E786" s="2">
        <v>45422.673576388886</v>
      </c>
      <c r="F786" s="3">
        <f t="shared" si="12"/>
        <v>3.4833449074067175</v>
      </c>
    </row>
    <row r="787" spans="1:6">
      <c r="A787" s="1" t="s">
        <v>792</v>
      </c>
      <c r="B787" s="2">
        <v>45420</v>
      </c>
      <c r="C787" s="2">
        <v>45422.301377314812</v>
      </c>
      <c r="D787" s="2">
        <v>45422.650497685187</v>
      </c>
      <c r="E787" s="2">
        <v>45422.692430555559</v>
      </c>
      <c r="F787" s="3">
        <f t="shared" si="12"/>
        <v>0.39105324074625969</v>
      </c>
    </row>
    <row r="788" spans="1:6">
      <c r="A788" s="1" t="s">
        <v>793</v>
      </c>
      <c r="B788" s="2">
        <v>45421</v>
      </c>
      <c r="C788" s="2">
        <v>45421.555543981478</v>
      </c>
      <c r="D788" s="2">
        <v>45422.697199074071</v>
      </c>
      <c r="E788" s="2">
        <v>45422.771874999999</v>
      </c>
      <c r="F788" s="3">
        <f t="shared" si="12"/>
        <v>1.2163310185205773</v>
      </c>
    </row>
    <row r="789" spans="1:6">
      <c r="A789" s="1" t="s">
        <v>794</v>
      </c>
      <c r="B789" s="2">
        <v>45422</v>
      </c>
      <c r="C789" s="2">
        <v>45422.387627314813</v>
      </c>
      <c r="D789" s="2">
        <v>45422.706666666665</v>
      </c>
      <c r="E789" s="2">
        <v>45422.748506944445</v>
      </c>
      <c r="F789" s="3">
        <f t="shared" si="12"/>
        <v>0.36087962963210884</v>
      </c>
    </row>
    <row r="790" spans="1:6">
      <c r="A790" s="1" t="s">
        <v>795</v>
      </c>
      <c r="B790" s="2">
        <v>45415</v>
      </c>
      <c r="C790" s="2">
        <v>45416.288078703707</v>
      </c>
      <c r="D790" s="2">
        <v>45422.729097222225</v>
      </c>
      <c r="E790" s="2">
        <v>45422.770856481482</v>
      </c>
      <c r="F790" s="3">
        <f t="shared" si="12"/>
        <v>6.4827777777754818</v>
      </c>
    </row>
    <row r="791" spans="1:6">
      <c r="A791" s="1" t="s">
        <v>796</v>
      </c>
      <c r="B791" s="2">
        <v>45421</v>
      </c>
      <c r="C791" s="2">
        <v>45422.446122685185</v>
      </c>
      <c r="D791" s="2">
        <v>45422.741736111115</v>
      </c>
      <c r="E791" s="2">
        <v>45422.783587962964</v>
      </c>
      <c r="F791" s="3">
        <f t="shared" si="12"/>
        <v>0.33746527777839219</v>
      </c>
    </row>
    <row r="792" spans="1:6">
      <c r="A792" s="1" t="s">
        <v>797</v>
      </c>
      <c r="B792" s="2">
        <v>45422</v>
      </c>
      <c r="C792" s="2">
        <v>45422.387627314813</v>
      </c>
      <c r="D792" s="2">
        <v>45422.763749999998</v>
      </c>
      <c r="E792" s="2">
        <v>45422.843055555553</v>
      </c>
      <c r="F792" s="3">
        <f t="shared" si="12"/>
        <v>0.45542824074072996</v>
      </c>
    </row>
    <row r="793" spans="1:6">
      <c r="A793" s="1" t="s">
        <v>798</v>
      </c>
      <c r="B793" s="2">
        <v>45422</v>
      </c>
      <c r="C793" s="2">
        <v>45422.727303240739</v>
      </c>
      <c r="D793" s="2">
        <v>45422.768611111111</v>
      </c>
      <c r="E793" s="2">
        <v>45422.896770833337</v>
      </c>
      <c r="F793" s="3">
        <f t="shared" si="12"/>
        <v>0.169467592597357</v>
      </c>
    </row>
    <row r="794" spans="1:6">
      <c r="A794" s="1" t="s">
        <v>799</v>
      </c>
      <c r="B794" s="2">
        <v>45420</v>
      </c>
      <c r="C794" s="2">
        <v>45421.280960648146</v>
      </c>
      <c r="D794" s="2">
        <v>45422.813148148147</v>
      </c>
      <c r="E794" s="2">
        <v>45422.826041666667</v>
      </c>
      <c r="F794" s="3">
        <f t="shared" si="12"/>
        <v>1.5450810185211594</v>
      </c>
    </row>
    <row r="795" spans="1:6">
      <c r="A795" s="1" t="s">
        <v>800</v>
      </c>
      <c r="B795" s="2">
        <v>45420</v>
      </c>
      <c r="C795" s="2">
        <v>45422.301377314812</v>
      </c>
      <c r="D795" s="2">
        <v>45422.822546296295</v>
      </c>
      <c r="E795" s="2">
        <v>45422.864270833335</v>
      </c>
      <c r="F795" s="3">
        <f t="shared" si="12"/>
        <v>0.56289351852319669</v>
      </c>
    </row>
    <row r="796" spans="1:6">
      <c r="A796" s="1" t="s">
        <v>801</v>
      </c>
      <c r="B796" s="2">
        <v>45421</v>
      </c>
      <c r="C796" s="2">
        <v>45422.887129629627</v>
      </c>
      <c r="D796" s="2">
        <v>45422.837199074071</v>
      </c>
      <c r="E796" s="2">
        <v>45422.929050925923</v>
      </c>
      <c r="F796" s="3">
        <f t="shared" si="12"/>
        <v>4.1921296295186039E-2</v>
      </c>
    </row>
    <row r="797" spans="1:6">
      <c r="A797" s="1" t="s">
        <v>802</v>
      </c>
      <c r="B797" s="2">
        <v>45420</v>
      </c>
      <c r="C797" s="2">
        <v>45421.742731481485</v>
      </c>
      <c r="D797" s="2">
        <v>45423.257199074076</v>
      </c>
      <c r="E797" s="2">
        <v>45423.506331018521</v>
      </c>
      <c r="F797" s="3">
        <f t="shared" si="12"/>
        <v>1.7635995370364981</v>
      </c>
    </row>
    <row r="798" spans="1:6">
      <c r="A798" s="1" t="s">
        <v>803</v>
      </c>
      <c r="B798" s="2">
        <v>45420</v>
      </c>
      <c r="C798" s="2">
        <v>45422.88689814815</v>
      </c>
      <c r="D798" s="2">
        <v>45422.860717592594</v>
      </c>
      <c r="E798" s="2">
        <v>45423.010127314818</v>
      </c>
      <c r="F798" s="3">
        <f t="shared" si="12"/>
        <v>0.12322916666744277</v>
      </c>
    </row>
    <row r="799" spans="1:6">
      <c r="A799" s="1" t="s">
        <v>804</v>
      </c>
      <c r="B799" s="2">
        <v>45420</v>
      </c>
      <c r="C799" s="2">
        <v>45422.88689814815</v>
      </c>
      <c r="D799" s="2">
        <v>45422.862858796296</v>
      </c>
      <c r="E799" s="2">
        <v>45423.294722222221</v>
      </c>
      <c r="F799" s="3">
        <f t="shared" si="12"/>
        <v>0.40782407407095889</v>
      </c>
    </row>
    <row r="800" spans="1:6">
      <c r="A800" s="1" t="s">
        <v>805</v>
      </c>
      <c r="B800" s="2">
        <v>45421</v>
      </c>
      <c r="C800" s="2">
        <v>45422.887129629627</v>
      </c>
      <c r="D800" s="2">
        <v>45422.874351851853</v>
      </c>
      <c r="E800" s="2">
        <v>45422.997939814813</v>
      </c>
      <c r="F800" s="3">
        <f t="shared" si="12"/>
        <v>0.11081018518598285</v>
      </c>
    </row>
    <row r="801" spans="1:6">
      <c r="A801" s="1" t="s">
        <v>806</v>
      </c>
      <c r="B801" s="2">
        <v>45419</v>
      </c>
      <c r="C801" s="2">
        <v>45420.827743055554</v>
      </c>
      <c r="D801" s="2">
        <v>45423.258136574077</v>
      </c>
      <c r="E801" s="2">
        <v>45423.319745370369</v>
      </c>
      <c r="F801" s="3">
        <f t="shared" si="12"/>
        <v>2.4920023148151813</v>
      </c>
    </row>
    <row r="802" spans="1:6">
      <c r="A802" s="1" t="s">
        <v>807</v>
      </c>
      <c r="B802" s="2">
        <v>45421</v>
      </c>
      <c r="C802" s="2">
        <v>45422.301377314812</v>
      </c>
      <c r="D802" s="2">
        <v>45422.908159722225</v>
      </c>
      <c r="E802" s="2">
        <v>45422.914074074077</v>
      </c>
      <c r="F802" s="3">
        <f t="shared" si="12"/>
        <v>0.61269675926450873</v>
      </c>
    </row>
    <row r="803" spans="1:6">
      <c r="A803" s="1" t="s">
        <v>808</v>
      </c>
      <c r="B803" s="2">
        <v>45418</v>
      </c>
      <c r="C803" s="2">
        <v>45419.190243055556</v>
      </c>
      <c r="D803" s="2">
        <v>45422.912002314813</v>
      </c>
      <c r="E803" s="2">
        <v>45423.262384259258</v>
      </c>
      <c r="F803" s="3">
        <f t="shared" si="12"/>
        <v>4.0721412037019036</v>
      </c>
    </row>
    <row r="804" spans="1:6">
      <c r="A804" s="1" t="s">
        <v>809</v>
      </c>
      <c r="B804" s="2">
        <v>45421</v>
      </c>
      <c r="C804" s="2">
        <v>45422.727303240739</v>
      </c>
      <c r="D804" s="2">
        <v>45422.919618055559</v>
      </c>
      <c r="E804" s="2">
        <v>45423.258506944447</v>
      </c>
      <c r="F804" s="3">
        <f t="shared" si="12"/>
        <v>0.53120370370743331</v>
      </c>
    </row>
    <row r="805" spans="1:6">
      <c r="A805" s="1" t="s">
        <v>810</v>
      </c>
      <c r="B805" s="2">
        <v>45421</v>
      </c>
      <c r="C805" s="2">
        <v>45422.497650462959</v>
      </c>
      <c r="D805" s="2">
        <v>45422.92460648148</v>
      </c>
      <c r="E805" s="2">
        <v>45423.247361111113</v>
      </c>
      <c r="F805" s="3">
        <f t="shared" si="12"/>
        <v>0.74971064815326827</v>
      </c>
    </row>
    <row r="806" spans="1:6">
      <c r="A806" s="1" t="s">
        <v>811</v>
      </c>
      <c r="B806" s="2">
        <v>45422</v>
      </c>
      <c r="C806" s="2">
        <v>45422.49763888889</v>
      </c>
      <c r="D806" s="2">
        <v>45422.930127314816</v>
      </c>
      <c r="E806" s="2">
        <v>45422.971863425926</v>
      </c>
      <c r="F806" s="3">
        <f t="shared" si="12"/>
        <v>0.47422453703620704</v>
      </c>
    </row>
    <row r="807" spans="1:6">
      <c r="A807" s="1" t="s">
        <v>812</v>
      </c>
      <c r="B807" s="2">
        <v>45422</v>
      </c>
      <c r="C807" s="2">
        <v>45422.749212962961</v>
      </c>
      <c r="D807" s="2">
        <v>45423.271851851852</v>
      </c>
      <c r="E807" s="2">
        <v>45423.313715277778</v>
      </c>
      <c r="F807" s="3">
        <f t="shared" si="12"/>
        <v>0.56450231481721858</v>
      </c>
    </row>
    <row r="808" spans="1:6">
      <c r="A808" s="1" t="s">
        <v>813</v>
      </c>
      <c r="B808" s="2">
        <v>45422</v>
      </c>
      <c r="C808" s="2">
        <v>45422.749212962961</v>
      </c>
      <c r="D808" s="2">
        <v>45423.273194444446</v>
      </c>
      <c r="E808" s="2">
        <v>45423.315000000002</v>
      </c>
      <c r="F808" s="3">
        <f t="shared" si="12"/>
        <v>0.56578703704144573</v>
      </c>
    </row>
    <row r="809" spans="1:6">
      <c r="A809" s="1" t="s">
        <v>814</v>
      </c>
      <c r="B809" s="2">
        <v>45422</v>
      </c>
      <c r="C809" s="2">
        <v>45422.887002314812</v>
      </c>
      <c r="D809" s="2">
        <v>45423.295902777776</v>
      </c>
      <c r="E809" s="2">
        <v>45423.337708333333</v>
      </c>
      <c r="F809" s="3">
        <f t="shared" si="12"/>
        <v>0.45070601852057735</v>
      </c>
    </row>
    <row r="810" spans="1:6">
      <c r="A810" s="1" t="s">
        <v>815</v>
      </c>
      <c r="B810" s="2">
        <v>45422</v>
      </c>
      <c r="C810" s="2">
        <v>45422.887002314812</v>
      </c>
      <c r="D810" s="2">
        <v>45423.299780092595</v>
      </c>
      <c r="E810" s="2">
        <v>45423.341666666667</v>
      </c>
      <c r="F810" s="3">
        <f t="shared" si="12"/>
        <v>0.45466435185517184</v>
      </c>
    </row>
    <row r="811" spans="1:6">
      <c r="A811" s="1" t="s">
        <v>816</v>
      </c>
      <c r="B811" s="2">
        <v>45422</v>
      </c>
      <c r="C811" s="2">
        <v>45422.181469907409</v>
      </c>
      <c r="D811" s="2">
        <v>45423.303946759261</v>
      </c>
      <c r="E811" s="2">
        <v>45423.34574074074</v>
      </c>
      <c r="F811" s="3">
        <f t="shared" si="12"/>
        <v>1.164270833331102</v>
      </c>
    </row>
    <row r="812" spans="1:6">
      <c r="A812" s="1" t="s">
        <v>817</v>
      </c>
      <c r="B812" s="2">
        <v>45422</v>
      </c>
      <c r="C812" s="2">
        <v>45422.887037037035</v>
      </c>
      <c r="D812" s="2">
        <v>45423.30395833333</v>
      </c>
      <c r="E812" s="2">
        <v>45423.345856481479</v>
      </c>
      <c r="F812" s="3">
        <f t="shared" si="12"/>
        <v>0.45881944444408873</v>
      </c>
    </row>
    <row r="813" spans="1:6">
      <c r="A813" s="1" t="s">
        <v>818</v>
      </c>
      <c r="B813" s="2">
        <v>45422</v>
      </c>
      <c r="C813" s="2">
        <v>45422.181423611109</v>
      </c>
      <c r="D813" s="2">
        <v>45423.305856481478</v>
      </c>
      <c r="E813" s="2">
        <v>45423.347627314812</v>
      </c>
      <c r="F813" s="3">
        <f t="shared" si="12"/>
        <v>1.1662037037021946</v>
      </c>
    </row>
    <row r="814" spans="1:6">
      <c r="A814" s="1" t="s">
        <v>819</v>
      </c>
      <c r="B814" s="2">
        <v>45422</v>
      </c>
      <c r="C814" s="2">
        <v>45423.230300925927</v>
      </c>
      <c r="D814" s="2">
        <v>45423.328518518516</v>
      </c>
      <c r="E814" s="2">
        <v>45423.370254629626</v>
      </c>
      <c r="F814" s="3">
        <f t="shared" si="12"/>
        <v>0.13995370369957527</v>
      </c>
    </row>
    <row r="815" spans="1:6">
      <c r="A815" s="1" t="s">
        <v>820</v>
      </c>
      <c r="B815" s="2">
        <v>45422</v>
      </c>
      <c r="C815" s="2">
        <v>45423.23028935185</v>
      </c>
      <c r="D815" s="2">
        <v>45423.3278587963</v>
      </c>
      <c r="E815" s="2">
        <v>45423.467812499999</v>
      </c>
      <c r="F815" s="3">
        <f t="shared" si="12"/>
        <v>0.23752314814919373</v>
      </c>
    </row>
    <row r="816" spans="1:6">
      <c r="A816" s="1" t="s">
        <v>821</v>
      </c>
      <c r="B816" s="2">
        <v>45422</v>
      </c>
      <c r="C816" s="2">
        <v>45423.28670138889</v>
      </c>
      <c r="D816" s="2">
        <v>45423.337152777778</v>
      </c>
      <c r="E816" s="2">
        <v>45423.574629629627</v>
      </c>
      <c r="F816" s="3">
        <f t="shared" si="12"/>
        <v>0.28792824073752854</v>
      </c>
    </row>
    <row r="817" spans="1:6">
      <c r="A817" s="1" t="s">
        <v>822</v>
      </c>
      <c r="B817" s="2">
        <v>45422</v>
      </c>
      <c r="C817" s="2">
        <v>45423.28670138889</v>
      </c>
      <c r="D817" s="2">
        <v>45423.341122685182</v>
      </c>
      <c r="E817" s="2">
        <v>45423.553877314815</v>
      </c>
      <c r="F817" s="3">
        <f t="shared" si="12"/>
        <v>0.26717592592467554</v>
      </c>
    </row>
    <row r="818" spans="1:6">
      <c r="A818" s="1" t="s">
        <v>823</v>
      </c>
      <c r="B818" s="2">
        <v>45422</v>
      </c>
      <c r="C818" s="2">
        <v>45423.286678240744</v>
      </c>
      <c r="D818" s="2">
        <v>45423.337465277778</v>
      </c>
      <c r="E818" s="2">
        <v>45423.553113425929</v>
      </c>
      <c r="F818" s="3">
        <f t="shared" si="12"/>
        <v>0.26643518518540077</v>
      </c>
    </row>
    <row r="819" spans="1:6">
      <c r="A819" s="1" t="s">
        <v>824</v>
      </c>
      <c r="B819" s="2">
        <v>45422</v>
      </c>
      <c r="C819" s="2">
        <v>45423.286678240744</v>
      </c>
      <c r="D819" s="2">
        <v>45423.337210648147</v>
      </c>
      <c r="E819" s="2">
        <v>45423.598773148151</v>
      </c>
      <c r="F819" s="3">
        <f t="shared" si="12"/>
        <v>0.31209490740729962</v>
      </c>
    </row>
    <row r="820" spans="1:6">
      <c r="A820" s="1" t="s">
        <v>825</v>
      </c>
      <c r="B820" s="2">
        <v>45422</v>
      </c>
      <c r="C820" s="2">
        <v>45423.286678240744</v>
      </c>
      <c r="D820" s="2">
        <v>45423.341180555559</v>
      </c>
      <c r="E820" s="2">
        <v>45423.597754629627</v>
      </c>
      <c r="F820" s="3">
        <f t="shared" si="12"/>
        <v>0.31107638888352085</v>
      </c>
    </row>
    <row r="821" spans="1:6">
      <c r="A821" s="1" t="s">
        <v>826</v>
      </c>
      <c r="B821" s="2">
        <v>45422</v>
      </c>
      <c r="C821" s="2">
        <v>45423.286689814813</v>
      </c>
      <c r="D821" s="2">
        <v>45423.39203703704</v>
      </c>
      <c r="E821" s="2">
        <v>45423.552928240744</v>
      </c>
      <c r="F821" s="3">
        <f t="shared" si="12"/>
        <v>0.26623842593107838</v>
      </c>
    </row>
    <row r="822" spans="1:6">
      <c r="A822" s="1" t="s">
        <v>827</v>
      </c>
      <c r="B822" s="2">
        <v>45422</v>
      </c>
      <c r="C822" s="2">
        <v>45423.391111111108</v>
      </c>
      <c r="D822" s="2">
        <v>45423.388842592591</v>
      </c>
      <c r="E822" s="2">
        <v>45423.430625000001</v>
      </c>
      <c r="F822" s="3">
        <f t="shared" si="12"/>
        <v>3.9513888892543036E-2</v>
      </c>
    </row>
    <row r="823" spans="1:6">
      <c r="A823" s="1" t="s">
        <v>828</v>
      </c>
      <c r="B823" s="2">
        <v>45422</v>
      </c>
      <c r="C823" s="2">
        <v>45423.391111111108</v>
      </c>
      <c r="D823" s="2">
        <v>45423.39508101852</v>
      </c>
      <c r="E823" s="2">
        <v>45423.660104166665</v>
      </c>
      <c r="F823" s="3">
        <f t="shared" si="12"/>
        <v>0.26899305555707542</v>
      </c>
    </row>
    <row r="824" spans="1:6">
      <c r="A824" s="1" t="s">
        <v>829</v>
      </c>
      <c r="B824" s="2">
        <v>45422</v>
      </c>
      <c r="C824" s="2">
        <v>45423.391111111108</v>
      </c>
      <c r="D824" s="2">
        <v>45423.395092592589</v>
      </c>
      <c r="E824" s="2">
        <v>45423.670497685183</v>
      </c>
      <c r="F824" s="3">
        <f t="shared" si="12"/>
        <v>0.27938657407503342</v>
      </c>
    </row>
    <row r="825" spans="1:6">
      <c r="A825" s="1" t="s">
        <v>830</v>
      </c>
      <c r="B825" s="2">
        <v>45422</v>
      </c>
      <c r="C825" s="2">
        <v>45423.391111111108</v>
      </c>
      <c r="D825" s="2">
        <v>45423.402268518519</v>
      </c>
      <c r="E825" s="2">
        <v>45423.660069444442</v>
      </c>
      <c r="F825" s="3">
        <f t="shared" si="12"/>
        <v>0.26895833333401242</v>
      </c>
    </row>
    <row r="826" spans="1:6">
      <c r="A826" s="1" t="s">
        <v>831</v>
      </c>
      <c r="B826" s="2">
        <v>45422</v>
      </c>
      <c r="C826" s="2">
        <v>45423.391111111108</v>
      </c>
      <c r="D826" s="2">
        <v>45423.3984837963</v>
      </c>
      <c r="E826" s="2">
        <v>45423.670752314814</v>
      </c>
      <c r="F826" s="3">
        <f t="shared" si="12"/>
        <v>0.27964120370597811</v>
      </c>
    </row>
    <row r="827" spans="1:6">
      <c r="A827" s="1" t="s">
        <v>832</v>
      </c>
      <c r="B827" s="2">
        <v>45422</v>
      </c>
      <c r="C827" s="2">
        <v>45423.391111111108</v>
      </c>
      <c r="D827" s="2">
        <v>45423.402488425927</v>
      </c>
      <c r="E827" s="2">
        <v>45423.660798611112</v>
      </c>
      <c r="F827" s="3">
        <f t="shared" si="12"/>
        <v>0.2696875000037835</v>
      </c>
    </row>
    <row r="828" spans="1:6">
      <c r="A828" s="1" t="s">
        <v>833</v>
      </c>
      <c r="B828" s="2">
        <v>45422</v>
      </c>
      <c r="C828" s="2">
        <v>45423.46365740741</v>
      </c>
      <c r="D828" s="2">
        <v>45423.421377314815</v>
      </c>
      <c r="E828" s="2">
        <v>45423.463263888887</v>
      </c>
      <c r="F828" s="6" t="s">
        <v>1708</v>
      </c>
    </row>
    <row r="829" spans="1:6">
      <c r="A829" s="1" t="s">
        <v>834</v>
      </c>
      <c r="B829" s="2">
        <v>45422</v>
      </c>
      <c r="C829" s="2">
        <v>45423.46365740741</v>
      </c>
      <c r="D829" s="2">
        <v>45423.421423611115</v>
      </c>
      <c r="E829" s="2">
        <v>45423.43546296296</v>
      </c>
      <c r="F829" s="6" t="s">
        <v>1708</v>
      </c>
    </row>
    <row r="830" spans="1:6">
      <c r="A830" s="1" t="s">
        <v>835</v>
      </c>
      <c r="B830" s="2">
        <v>45422</v>
      </c>
      <c r="C830" s="2">
        <v>45423.46365740741</v>
      </c>
      <c r="D830" s="2">
        <v>45423.427465277775</v>
      </c>
      <c r="E830" s="2">
        <v>45423.436111111114</v>
      </c>
      <c r="F830" s="6" t="s">
        <v>1708</v>
      </c>
    </row>
    <row r="831" spans="1:6">
      <c r="A831" s="1" t="s">
        <v>836</v>
      </c>
      <c r="B831" s="2">
        <v>45423</v>
      </c>
      <c r="C831" s="2">
        <v>45423.46365740741</v>
      </c>
      <c r="D831" s="2">
        <v>45423.430694444447</v>
      </c>
      <c r="E831" s="2">
        <v>45423.472430555557</v>
      </c>
      <c r="F831" s="3">
        <f t="shared" si="12"/>
        <v>8.7731481471564621E-3</v>
      </c>
    </row>
    <row r="832" spans="1:6">
      <c r="A832" s="1" t="s">
        <v>837</v>
      </c>
      <c r="B832" s="2">
        <v>45422</v>
      </c>
      <c r="C832" s="2">
        <v>45423.46365740741</v>
      </c>
      <c r="D832" s="2">
        <v>45423.427453703705</v>
      </c>
      <c r="E832" s="2">
        <v>45423.469375000001</v>
      </c>
      <c r="F832" s="3">
        <f t="shared" si="12"/>
        <v>5.7175925903720781E-3</v>
      </c>
    </row>
    <row r="833" spans="1:6">
      <c r="A833" s="1" t="s">
        <v>838</v>
      </c>
      <c r="B833" s="2">
        <v>45423</v>
      </c>
      <c r="C833" s="2">
        <v>45424.007291666669</v>
      </c>
      <c r="D833" s="2">
        <v>45424.244780092595</v>
      </c>
      <c r="E833" s="2">
        <v>45424.301527777781</v>
      </c>
      <c r="F833" s="3">
        <f t="shared" si="12"/>
        <v>0.29423611111269565</v>
      </c>
    </row>
    <row r="834" spans="1:6">
      <c r="A834" s="1" t="s">
        <v>839</v>
      </c>
      <c r="B834" s="2">
        <v>45423</v>
      </c>
      <c r="C834" s="2">
        <v>45423.23028935185</v>
      </c>
      <c r="D834" s="2">
        <v>45423.460370370369</v>
      </c>
      <c r="E834" s="2">
        <v>45423.502199074072</v>
      </c>
      <c r="F834" s="3">
        <f t="shared" si="12"/>
        <v>0.27190972222160781</v>
      </c>
    </row>
    <row r="835" spans="1:6">
      <c r="A835" s="1" t="s">
        <v>840</v>
      </c>
      <c r="B835" s="2">
        <v>45423</v>
      </c>
      <c r="C835" s="2">
        <v>45423.23027777778</v>
      </c>
      <c r="D835" s="2">
        <v>45423.463356481479</v>
      </c>
      <c r="E835" s="2">
        <v>45423.505173611113</v>
      </c>
      <c r="F835" s="3">
        <f t="shared" ref="F835:F897" si="13">E835-C835</f>
        <v>0.27489583333226619</v>
      </c>
    </row>
    <row r="836" spans="1:6">
      <c r="A836" s="1" t="s">
        <v>841</v>
      </c>
      <c r="B836" s="2">
        <v>45423</v>
      </c>
      <c r="C836" s="2">
        <v>45423.23027777778</v>
      </c>
      <c r="D836" s="2">
        <v>45423.476574074077</v>
      </c>
      <c r="E836" s="2">
        <v>45423.504733796297</v>
      </c>
      <c r="F836" s="3">
        <f t="shared" si="13"/>
        <v>0.27445601851650281</v>
      </c>
    </row>
    <row r="837" spans="1:6">
      <c r="A837" s="1" t="s">
        <v>842</v>
      </c>
      <c r="B837" s="2">
        <v>45422</v>
      </c>
      <c r="C837" s="2">
        <v>45423.713599537034</v>
      </c>
      <c r="D837" s="2">
        <v>45423.495335648149</v>
      </c>
      <c r="E837" s="2">
        <v>45423.537152777775</v>
      </c>
      <c r="F837" s="6" t="s">
        <v>1708</v>
      </c>
    </row>
    <row r="838" spans="1:6">
      <c r="A838" s="1" t="s">
        <v>843</v>
      </c>
      <c r="B838" s="2">
        <v>45422</v>
      </c>
      <c r="C838" s="2">
        <v>45423.713599537034</v>
      </c>
      <c r="D838" s="2">
        <v>45423.498252314814</v>
      </c>
      <c r="E838" s="2">
        <v>45423.539976851855</v>
      </c>
      <c r="F838" s="6" t="s">
        <v>1708</v>
      </c>
    </row>
    <row r="839" spans="1:6">
      <c r="A839" s="1" t="s">
        <v>844</v>
      </c>
      <c r="B839" s="2">
        <v>45422</v>
      </c>
      <c r="C839" s="2">
        <v>45423.713599537034</v>
      </c>
      <c r="D839" s="2">
        <v>45423.5003125</v>
      </c>
      <c r="E839" s="2">
        <v>45423.542083333334</v>
      </c>
      <c r="F839" s="6" t="s">
        <v>1708</v>
      </c>
    </row>
    <row r="840" spans="1:6">
      <c r="A840" s="1" t="s">
        <v>845</v>
      </c>
      <c r="B840" s="2">
        <v>45422</v>
      </c>
      <c r="C840" s="2">
        <v>45423.713599537034</v>
      </c>
      <c r="D840" s="2">
        <v>45423.502615740741</v>
      </c>
      <c r="E840" s="2">
        <v>45423.544444444444</v>
      </c>
      <c r="F840" s="6" t="s">
        <v>1708</v>
      </c>
    </row>
    <row r="841" spans="1:6">
      <c r="A841" s="1" t="s">
        <v>846</v>
      </c>
      <c r="B841" s="2">
        <v>45422</v>
      </c>
      <c r="C841" s="2">
        <v>45423.713599537034</v>
      </c>
      <c r="D841" s="2">
        <v>45423.545520833337</v>
      </c>
      <c r="E841" s="2">
        <v>45423.587812500002</v>
      </c>
      <c r="F841" s="6" t="s">
        <v>1708</v>
      </c>
    </row>
    <row r="842" spans="1:6">
      <c r="A842" s="1" t="s">
        <v>847</v>
      </c>
      <c r="B842" s="2">
        <v>45422</v>
      </c>
      <c r="C842" s="2">
        <v>45423.713599537034</v>
      </c>
      <c r="D842" s="2">
        <v>45423.545520833337</v>
      </c>
      <c r="E842" s="2">
        <v>45423.587812500002</v>
      </c>
      <c r="F842" s="6" t="s">
        <v>1708</v>
      </c>
    </row>
    <row r="843" spans="1:6">
      <c r="A843" s="1" t="s">
        <v>848</v>
      </c>
      <c r="B843" s="2">
        <v>45422</v>
      </c>
      <c r="C843" s="2">
        <v>45423.391111111108</v>
      </c>
      <c r="D843" s="2">
        <v>45423.575023148151</v>
      </c>
      <c r="E843" s="2">
        <v>45423.67046296296</v>
      </c>
      <c r="F843" s="3">
        <f t="shared" si="13"/>
        <v>0.27935185185197042</v>
      </c>
    </row>
    <row r="844" spans="1:6">
      <c r="A844" s="1" t="s">
        <v>849</v>
      </c>
      <c r="B844" s="2">
        <v>45422</v>
      </c>
      <c r="C844" s="2">
        <v>45423.391111111108</v>
      </c>
      <c r="D844" s="2">
        <v>45423.575046296297</v>
      </c>
      <c r="E844" s="2">
        <v>45423.670648148145</v>
      </c>
      <c r="F844" s="3">
        <f t="shared" si="13"/>
        <v>0.27953703703678912</v>
      </c>
    </row>
    <row r="845" spans="1:6">
      <c r="A845" s="1" t="s">
        <v>850</v>
      </c>
      <c r="B845" s="2">
        <v>45422</v>
      </c>
      <c r="C845" s="2">
        <v>45423.391111111108</v>
      </c>
      <c r="D845" s="2">
        <v>45423.574988425928</v>
      </c>
      <c r="E845" s="2">
        <v>45423.659432870372</v>
      </c>
      <c r="F845" s="3">
        <f t="shared" si="13"/>
        <v>0.26832175926392665</v>
      </c>
    </row>
    <row r="846" spans="1:6">
      <c r="A846" s="1" t="s">
        <v>851</v>
      </c>
      <c r="B846" s="2">
        <v>45422</v>
      </c>
      <c r="C846" s="2">
        <v>45423.391111111108</v>
      </c>
      <c r="D846" s="2">
        <v>45423.586180555554</v>
      </c>
      <c r="E846" s="2">
        <v>45423.658668981479</v>
      </c>
      <c r="F846" s="3">
        <f t="shared" si="13"/>
        <v>0.26755787037109258</v>
      </c>
    </row>
    <row r="847" spans="1:6">
      <c r="A847" s="1" t="s">
        <v>852</v>
      </c>
      <c r="B847" s="2">
        <v>45422</v>
      </c>
      <c r="C847" s="2">
        <v>45423.391111111108</v>
      </c>
      <c r="D847" s="2">
        <v>45423.586122685185</v>
      </c>
      <c r="E847" s="2">
        <v>45423.670729166668</v>
      </c>
      <c r="F847" s="3">
        <f t="shared" si="13"/>
        <v>0.27961805555969477</v>
      </c>
    </row>
    <row r="848" spans="1:6">
      <c r="A848" s="1" t="s">
        <v>853</v>
      </c>
      <c r="B848" s="2">
        <v>45422</v>
      </c>
      <c r="C848" s="2">
        <v>45423.391111111108</v>
      </c>
      <c r="D848" s="2">
        <v>45423.577870370369</v>
      </c>
      <c r="E848" s="2">
        <v>45423.670636574076</v>
      </c>
      <c r="F848" s="3">
        <f t="shared" si="13"/>
        <v>0.27952546296728542</v>
      </c>
    </row>
    <row r="849" spans="1:6">
      <c r="A849" s="1" t="s">
        <v>854</v>
      </c>
      <c r="B849" s="2">
        <v>45422</v>
      </c>
      <c r="C849" s="2">
        <v>45423.659004629626</v>
      </c>
      <c r="D849" s="2">
        <v>45423.663668981484</v>
      </c>
      <c r="E849" s="2">
        <v>45423.780347222222</v>
      </c>
      <c r="F849" s="3">
        <f t="shared" si="13"/>
        <v>0.12134259259619284</v>
      </c>
    </row>
    <row r="850" spans="1:6">
      <c r="A850" s="1" t="s">
        <v>855</v>
      </c>
      <c r="B850" s="2">
        <v>45422</v>
      </c>
      <c r="C850" s="2">
        <v>45423.713807870372</v>
      </c>
      <c r="D850" s="2">
        <v>45423.60255787037</v>
      </c>
      <c r="E850" s="2">
        <v>45423.612187500003</v>
      </c>
      <c r="F850" s="6" t="s">
        <v>1708</v>
      </c>
    </row>
    <row r="851" spans="1:6">
      <c r="A851" s="1" t="s">
        <v>856</v>
      </c>
      <c r="B851" s="2">
        <v>45422</v>
      </c>
      <c r="C851" s="2">
        <v>45423.391111111108</v>
      </c>
      <c r="D851" s="2">
        <v>45423.605706018519</v>
      </c>
      <c r="E851" s="2">
        <v>45423.659467592595</v>
      </c>
      <c r="F851" s="3">
        <f t="shared" si="13"/>
        <v>0.26835648148698965</v>
      </c>
    </row>
    <row r="852" spans="1:6">
      <c r="A852" s="1" t="s">
        <v>857</v>
      </c>
      <c r="B852" s="2">
        <v>45422</v>
      </c>
      <c r="C852" s="2">
        <v>45423.391111111108</v>
      </c>
      <c r="D852" s="2">
        <v>45423.616273148145</v>
      </c>
      <c r="E852" s="2">
        <v>45423.737719907411</v>
      </c>
      <c r="F852" s="3">
        <f t="shared" si="13"/>
        <v>0.346608796302462</v>
      </c>
    </row>
    <row r="853" spans="1:6">
      <c r="A853" s="1" t="s">
        <v>858</v>
      </c>
      <c r="B853" s="2">
        <v>45422</v>
      </c>
      <c r="C853" s="2">
        <v>45423.713807870372</v>
      </c>
      <c r="D853" s="2">
        <v>45423.629513888889</v>
      </c>
      <c r="E853" s="2">
        <v>45423.671261574076</v>
      </c>
      <c r="F853" s="6" t="s">
        <v>1708</v>
      </c>
    </row>
    <row r="854" spans="1:6">
      <c r="A854" s="1" t="s">
        <v>859</v>
      </c>
      <c r="B854" s="2">
        <v>45422</v>
      </c>
      <c r="C854" s="2">
        <v>45423.125</v>
      </c>
      <c r="D854" s="2">
        <v>45423.661631944444</v>
      </c>
      <c r="E854" s="2">
        <v>45423.751087962963</v>
      </c>
      <c r="F854" s="3">
        <f t="shared" si="13"/>
        <v>0.62608796296262881</v>
      </c>
    </row>
    <row r="855" spans="1:6">
      <c r="A855" s="1" t="s">
        <v>860</v>
      </c>
      <c r="B855" s="2">
        <v>45422</v>
      </c>
      <c r="C855" s="2">
        <v>45423.125011574077</v>
      </c>
      <c r="D855" s="2">
        <v>45423.668587962966</v>
      </c>
      <c r="E855" s="2">
        <v>45423.710405092592</v>
      </c>
      <c r="F855" s="3">
        <f t="shared" si="13"/>
        <v>0.58539351851504762</v>
      </c>
    </row>
    <row r="856" spans="1:6">
      <c r="A856" s="1" t="s">
        <v>861</v>
      </c>
      <c r="B856" s="2">
        <v>45422</v>
      </c>
      <c r="C856" s="2">
        <v>45423.907870370371</v>
      </c>
      <c r="D856" s="2">
        <v>45423.675925925927</v>
      </c>
      <c r="E856" s="2">
        <v>45424.306203703702</v>
      </c>
      <c r="F856" s="3">
        <f t="shared" si="13"/>
        <v>0.398333333330811</v>
      </c>
    </row>
    <row r="857" spans="1:6">
      <c r="A857" s="1" t="s">
        <v>862</v>
      </c>
      <c r="B857" s="2">
        <v>45422</v>
      </c>
      <c r="C857" s="2">
        <v>45423.286689814813</v>
      </c>
      <c r="D857" s="2">
        <v>45423.682905092595</v>
      </c>
      <c r="E857" s="2">
        <v>45423.75854166667</v>
      </c>
      <c r="F857" s="3">
        <f t="shared" si="13"/>
        <v>0.47185185185662704</v>
      </c>
    </row>
    <row r="858" spans="1:6">
      <c r="A858" s="1" t="s">
        <v>863</v>
      </c>
      <c r="B858" s="2">
        <v>45423</v>
      </c>
      <c r="C858" s="2">
        <v>45423.984074074076</v>
      </c>
      <c r="D858" s="2">
        <v>45423.691550925927</v>
      </c>
      <c r="E858" s="2">
        <v>45423.73332175926</v>
      </c>
      <c r="F858" s="6" t="s">
        <v>1708</v>
      </c>
    </row>
    <row r="859" spans="1:6">
      <c r="A859" s="1" t="s">
        <v>864</v>
      </c>
      <c r="B859" s="2">
        <v>45422</v>
      </c>
      <c r="C859" s="2">
        <v>45423.859976851854</v>
      </c>
      <c r="D859" s="2">
        <v>45423.721296296295</v>
      </c>
      <c r="E859" s="2">
        <v>45423.738067129627</v>
      </c>
      <c r="F859" s="6" t="s">
        <v>1708</v>
      </c>
    </row>
    <row r="860" spans="1:6">
      <c r="A860" s="1" t="s">
        <v>865</v>
      </c>
      <c r="B860" s="2">
        <v>45422</v>
      </c>
      <c r="C860" s="2">
        <v>45423.859976851854</v>
      </c>
      <c r="D860" s="2">
        <v>45423.734351851854</v>
      </c>
      <c r="E860" s="2">
        <v>45423.738576388889</v>
      </c>
      <c r="F860" s="6" t="s">
        <v>1708</v>
      </c>
    </row>
    <row r="861" spans="1:6">
      <c r="A861" s="1" t="s">
        <v>866</v>
      </c>
      <c r="B861" s="2">
        <v>45423</v>
      </c>
      <c r="C861" s="2">
        <v>45424.007256944446</v>
      </c>
      <c r="D861" s="2">
        <v>45424.244710648149</v>
      </c>
      <c r="E861" s="2">
        <v>45424.311701388891</v>
      </c>
      <c r="F861" s="3">
        <f t="shared" si="13"/>
        <v>0.30444444444583496</v>
      </c>
    </row>
    <row r="862" spans="1:6">
      <c r="A862" s="1" t="s">
        <v>867</v>
      </c>
      <c r="B862" s="2">
        <v>45423</v>
      </c>
      <c r="C862" s="2">
        <v>45424.007245370369</v>
      </c>
      <c r="D862" s="2">
        <v>45424.244814814818</v>
      </c>
      <c r="E862" s="2">
        <v>45424.300925925927</v>
      </c>
      <c r="F862" s="3">
        <f t="shared" si="13"/>
        <v>0.29368055555823958</v>
      </c>
    </row>
    <row r="863" spans="1:6">
      <c r="A863" s="1" t="s">
        <v>868</v>
      </c>
      <c r="B863" s="2">
        <v>45422</v>
      </c>
      <c r="C863" s="2">
        <v>45422.181469907409</v>
      </c>
      <c r="D863" s="2">
        <v>45423.774050925924</v>
      </c>
      <c r="E863" s="2">
        <v>45423.816006944442</v>
      </c>
      <c r="F863" s="3">
        <f t="shared" si="13"/>
        <v>1.6345370370327146</v>
      </c>
    </row>
    <row r="864" spans="1:6">
      <c r="A864" s="1" t="s">
        <v>869</v>
      </c>
      <c r="B864" s="2">
        <v>45422</v>
      </c>
      <c r="C864" s="2">
        <v>45422.41070601852</v>
      </c>
      <c r="D864" s="2">
        <v>45423.82135416667</v>
      </c>
      <c r="E864" s="2">
        <v>45423.891944444447</v>
      </c>
      <c r="F864" s="3">
        <f t="shared" si="13"/>
        <v>1.4812384259275859</v>
      </c>
    </row>
    <row r="865" spans="1:6">
      <c r="A865" s="1" t="s">
        <v>870</v>
      </c>
      <c r="B865" s="2">
        <v>45423</v>
      </c>
      <c r="C865" s="2">
        <v>45423.953611111108</v>
      </c>
      <c r="D865" s="2">
        <v>45424.243379629632</v>
      </c>
      <c r="E865" s="2">
        <v>45424.285196759258</v>
      </c>
      <c r="F865" s="3">
        <f t="shared" si="13"/>
        <v>0.33158564814948477</v>
      </c>
    </row>
    <row r="866" spans="1:6">
      <c r="A866" s="1" t="s">
        <v>871</v>
      </c>
      <c r="B866" s="2">
        <v>45423</v>
      </c>
      <c r="C866" s="2">
        <v>45423.799502314818</v>
      </c>
      <c r="D866" s="2">
        <v>45424.254513888889</v>
      </c>
      <c r="E866" s="2">
        <v>45424.31150462963</v>
      </c>
      <c r="F866" s="3">
        <f t="shared" si="13"/>
        <v>0.51200231481197989</v>
      </c>
    </row>
    <row r="867" spans="1:6">
      <c r="A867" s="1" t="s">
        <v>872</v>
      </c>
      <c r="B867" s="2">
        <v>45423</v>
      </c>
      <c r="C867" s="2">
        <v>45423.957997685182</v>
      </c>
      <c r="D867" s="2">
        <v>45424.279629629629</v>
      </c>
      <c r="E867" s="2">
        <v>45424.321504629632</v>
      </c>
      <c r="F867" s="3">
        <f t="shared" si="13"/>
        <v>0.3635069444499095</v>
      </c>
    </row>
    <row r="868" spans="1:6">
      <c r="A868" s="1" t="s">
        <v>873</v>
      </c>
      <c r="B868" s="2">
        <v>45423</v>
      </c>
      <c r="C868" s="2">
        <v>45423.799502314818</v>
      </c>
      <c r="D868" s="2">
        <v>45424.283530092594</v>
      </c>
      <c r="E868" s="2">
        <v>45424.325428240743</v>
      </c>
      <c r="F868" s="3">
        <f t="shared" si="13"/>
        <v>0.52592592592554865</v>
      </c>
    </row>
    <row r="869" spans="1:6">
      <c r="A869" s="1" t="s">
        <v>874</v>
      </c>
      <c r="B869" s="2">
        <v>45423</v>
      </c>
      <c r="C869" s="2">
        <v>45423.799502314818</v>
      </c>
      <c r="D869" s="2">
        <v>45424.286249999997</v>
      </c>
      <c r="E869" s="2">
        <v>45424.328113425923</v>
      </c>
      <c r="F869" s="3">
        <f t="shared" si="13"/>
        <v>0.5286111111054197</v>
      </c>
    </row>
    <row r="870" spans="1:6">
      <c r="A870" s="1" t="s">
        <v>875</v>
      </c>
      <c r="B870" s="2">
        <v>45423</v>
      </c>
      <c r="C870" s="2">
        <v>45423.799502314818</v>
      </c>
      <c r="D870" s="2">
        <v>45424.292199074072</v>
      </c>
      <c r="E870" s="2">
        <v>45424.334074074075</v>
      </c>
      <c r="F870" s="3">
        <f t="shared" si="13"/>
        <v>0.53457175925723277</v>
      </c>
    </row>
    <row r="871" spans="1:6">
      <c r="A871" s="1" t="s">
        <v>876</v>
      </c>
      <c r="B871" s="2">
        <v>45423</v>
      </c>
      <c r="C871" s="2">
        <v>45423.799502314818</v>
      </c>
      <c r="D871" s="2">
        <v>45424.292233796295</v>
      </c>
      <c r="E871" s="2">
        <v>45424.334062499998</v>
      </c>
      <c r="F871" s="3">
        <f t="shared" si="13"/>
        <v>0.53456018518045312</v>
      </c>
    </row>
    <row r="872" spans="1:6">
      <c r="A872" s="1" t="s">
        <v>877</v>
      </c>
      <c r="B872" s="2">
        <v>45423</v>
      </c>
      <c r="C872" s="2">
        <v>45423.799502314818</v>
      </c>
      <c r="D872" s="2">
        <v>45424.296053240738</v>
      </c>
      <c r="E872" s="2">
        <v>45424.337847222225</v>
      </c>
      <c r="F872" s="3">
        <f t="shared" si="13"/>
        <v>0.53834490740700858</v>
      </c>
    </row>
    <row r="873" spans="1:6">
      <c r="A873" s="1" t="s">
        <v>878</v>
      </c>
      <c r="B873" s="2">
        <v>45423</v>
      </c>
      <c r="C873" s="2">
        <v>45423.799502314818</v>
      </c>
      <c r="D873" s="2">
        <v>45424.296076388891</v>
      </c>
      <c r="E873" s="2">
        <v>45424.337881944448</v>
      </c>
      <c r="F873" s="3">
        <f t="shared" si="13"/>
        <v>0.53837962963007158</v>
      </c>
    </row>
    <row r="874" spans="1:6">
      <c r="A874" s="1" t="s">
        <v>879</v>
      </c>
      <c r="B874" s="2">
        <v>45423</v>
      </c>
      <c r="C874" s="2">
        <v>45423.799502314818</v>
      </c>
      <c r="D874" s="2">
        <v>45424.296157407407</v>
      </c>
      <c r="E874" s="2">
        <v>45424.33798611111</v>
      </c>
      <c r="F874" s="3">
        <f t="shared" si="13"/>
        <v>0.53848379629198462</v>
      </c>
    </row>
    <row r="875" spans="1:6">
      <c r="A875" s="1" t="s">
        <v>880</v>
      </c>
      <c r="B875" s="2">
        <v>45423</v>
      </c>
      <c r="C875" s="2">
        <v>45423.799502314818</v>
      </c>
      <c r="D875" s="2">
        <v>45424.29965277778</v>
      </c>
      <c r="E875" s="2">
        <v>45424.341481481482</v>
      </c>
      <c r="F875" s="3">
        <f t="shared" si="13"/>
        <v>0.54197916666453239</v>
      </c>
    </row>
    <row r="876" spans="1:6">
      <c r="A876" s="1" t="s">
        <v>881</v>
      </c>
      <c r="B876" s="2">
        <v>45423</v>
      </c>
      <c r="C876" s="2">
        <v>45423.799502314818</v>
      </c>
      <c r="D876" s="2">
        <v>45424.299699074072</v>
      </c>
      <c r="E876" s="2">
        <v>45424.341516203705</v>
      </c>
      <c r="F876" s="3">
        <f t="shared" si="13"/>
        <v>0.54201388888759539</v>
      </c>
    </row>
    <row r="877" spans="1:6">
      <c r="A877" s="1" t="s">
        <v>882</v>
      </c>
      <c r="B877" s="2">
        <v>45423</v>
      </c>
      <c r="C877" s="2">
        <v>45423.799502314818</v>
      </c>
      <c r="D877" s="2">
        <v>45424.301261574074</v>
      </c>
      <c r="E877" s="2">
        <v>45424.343171296299</v>
      </c>
      <c r="F877" s="3">
        <f t="shared" si="13"/>
        <v>0.54366898148145992</v>
      </c>
    </row>
    <row r="878" spans="1:6">
      <c r="A878" s="1" t="s">
        <v>883</v>
      </c>
      <c r="B878" s="2">
        <v>45423</v>
      </c>
      <c r="C878" s="2">
        <v>45423.799502314818</v>
      </c>
      <c r="D878" s="2">
        <v>45424.30672453704</v>
      </c>
      <c r="E878" s="2">
        <v>45424.348506944443</v>
      </c>
      <c r="F878" s="3">
        <f t="shared" si="13"/>
        <v>0.54900462962541496</v>
      </c>
    </row>
    <row r="879" spans="1:6">
      <c r="A879" s="1" t="s">
        <v>884</v>
      </c>
      <c r="B879" s="2">
        <v>45423</v>
      </c>
      <c r="C879" s="2">
        <v>45423.799502314818</v>
      </c>
      <c r="D879" s="2">
        <v>45424.306620370371</v>
      </c>
      <c r="E879" s="2">
        <v>45424.348506944443</v>
      </c>
      <c r="F879" s="3">
        <f t="shared" si="13"/>
        <v>0.54900462962541496</v>
      </c>
    </row>
    <row r="880" spans="1:6">
      <c r="A880" s="1" t="s">
        <v>885</v>
      </c>
      <c r="B880" s="2">
        <v>45423</v>
      </c>
      <c r="C880" s="2">
        <v>45423.799502314818</v>
      </c>
      <c r="D880" s="2">
        <v>45424.306666666664</v>
      </c>
      <c r="E880" s="2">
        <v>45424.322013888886</v>
      </c>
      <c r="F880" s="3">
        <f t="shared" si="13"/>
        <v>0.52251157406863058</v>
      </c>
    </row>
    <row r="881" spans="1:6">
      <c r="A881" s="1" t="s">
        <v>886</v>
      </c>
      <c r="B881" s="2">
        <v>45422</v>
      </c>
      <c r="C881" s="2">
        <v>45423.993263888886</v>
      </c>
      <c r="D881" s="2">
        <v>45424.311805555553</v>
      </c>
      <c r="E881" s="2">
        <v>45424.353564814817</v>
      </c>
      <c r="F881" s="3">
        <f t="shared" si="13"/>
        <v>0.36030092593136942</v>
      </c>
    </row>
    <row r="882" spans="1:6">
      <c r="A882" s="1" t="s">
        <v>887</v>
      </c>
      <c r="B882" s="2">
        <v>45422</v>
      </c>
      <c r="C882" s="2">
        <v>45424.382071759261</v>
      </c>
      <c r="D882" s="2">
        <v>45424.322187500002</v>
      </c>
      <c r="E882" s="2">
        <v>45424.446388888886</v>
      </c>
      <c r="F882" s="3">
        <f t="shared" si="13"/>
        <v>6.4317129625123926E-2</v>
      </c>
    </row>
    <row r="883" spans="1:6" hidden="1">
      <c r="A883" s="1" t="s">
        <v>888</v>
      </c>
      <c r="B883" s="2">
        <v>45424</v>
      </c>
      <c r="C883" s="2">
        <v>45424.764444444445</v>
      </c>
      <c r="D883" s="2">
        <v>45425.329432870371</v>
      </c>
      <c r="E883" s="2">
        <v>45425.371030092596</v>
      </c>
      <c r="F883" s="3">
        <f t="shared" si="13"/>
        <v>0.60658564815093996</v>
      </c>
    </row>
    <row r="884" spans="1:6" hidden="1">
      <c r="A884" s="1" t="s">
        <v>889</v>
      </c>
      <c r="B884" s="2">
        <v>45424</v>
      </c>
      <c r="C884" s="2">
        <v>45424.764432870368</v>
      </c>
      <c r="D884" s="2">
        <v>45425.329386574071</v>
      </c>
      <c r="E884" s="2">
        <v>45425.371134259258</v>
      </c>
      <c r="F884" s="3">
        <f t="shared" si="13"/>
        <v>0.60670138888963265</v>
      </c>
    </row>
    <row r="885" spans="1:6" hidden="1">
      <c r="A885" s="1" t="s">
        <v>890</v>
      </c>
      <c r="B885" s="2">
        <v>45424</v>
      </c>
      <c r="C885" s="2">
        <v>45425.337800925925</v>
      </c>
      <c r="D885" s="2">
        <v>45425.332083333335</v>
      </c>
      <c r="E885" s="2">
        <v>45425.394675925927</v>
      </c>
      <c r="F885" s="3">
        <f t="shared" si="13"/>
        <v>5.6875000002037268E-2</v>
      </c>
    </row>
    <row r="886" spans="1:6" hidden="1">
      <c r="A886" s="1" t="s">
        <v>891</v>
      </c>
      <c r="B886" s="2">
        <v>45424</v>
      </c>
      <c r="C886" s="2">
        <v>45425.337800925925</v>
      </c>
      <c r="D886" s="2">
        <v>45425.332002314812</v>
      </c>
      <c r="E886" s="2">
        <v>45425.373749999999</v>
      </c>
      <c r="F886" s="3">
        <f t="shared" si="13"/>
        <v>3.5949074073869269E-2</v>
      </c>
    </row>
    <row r="887" spans="1:6" hidden="1">
      <c r="A887" s="1" t="s">
        <v>892</v>
      </c>
      <c r="B887" s="2">
        <v>45424</v>
      </c>
      <c r="C887" s="2">
        <v>45425.451689814814</v>
      </c>
      <c r="D887" s="2">
        <v>45425.368043981478</v>
      </c>
      <c r="E887" s="2">
        <v>45425.369490740741</v>
      </c>
      <c r="F887" s="6" t="s">
        <v>1708</v>
      </c>
    </row>
    <row r="888" spans="1:6" hidden="1">
      <c r="A888" s="1" t="s">
        <v>893</v>
      </c>
      <c r="B888" s="2">
        <v>45420</v>
      </c>
      <c r="C888" s="2">
        <v>45421.742731481485</v>
      </c>
      <c r="D888" s="2">
        <v>45425.368159722224</v>
      </c>
      <c r="E888" s="2">
        <v>45425.386770833335</v>
      </c>
      <c r="F888" s="3">
        <f t="shared" si="13"/>
        <v>3.6440393518496421</v>
      </c>
    </row>
    <row r="889" spans="1:6" hidden="1">
      <c r="A889" s="1" t="s">
        <v>894</v>
      </c>
      <c r="B889" s="2">
        <v>45424</v>
      </c>
      <c r="C889" s="2">
        <v>45425.458611111113</v>
      </c>
      <c r="D889" s="2">
        <v>45425.390787037039</v>
      </c>
      <c r="E889" s="2">
        <v>45425.397175925929</v>
      </c>
      <c r="F889" s="6" t="s">
        <v>1708</v>
      </c>
    </row>
    <row r="890" spans="1:6" hidden="1">
      <c r="A890" s="1" t="s">
        <v>895</v>
      </c>
      <c r="B890" s="2">
        <v>45424</v>
      </c>
      <c r="C890" s="2">
        <v>45425.458611111113</v>
      </c>
      <c r="D890" s="2">
        <v>45425.397488425922</v>
      </c>
      <c r="E890" s="2">
        <v>45425.444618055553</v>
      </c>
      <c r="F890" s="6" t="s">
        <v>1708</v>
      </c>
    </row>
    <row r="891" spans="1:6" hidden="1">
      <c r="A891" s="1" t="s">
        <v>896</v>
      </c>
      <c r="B891" s="2">
        <v>45424</v>
      </c>
      <c r="C891" s="2">
        <v>45425.458611111113</v>
      </c>
      <c r="D891" s="2">
        <v>45425.390300925923</v>
      </c>
      <c r="E891" s="2">
        <v>45425.39775462963</v>
      </c>
      <c r="F891" s="6" t="s">
        <v>1708</v>
      </c>
    </row>
    <row r="892" spans="1:6" hidden="1">
      <c r="A892" s="1" t="s">
        <v>897</v>
      </c>
      <c r="B892" s="2">
        <v>45424</v>
      </c>
      <c r="C892" s="2">
        <v>45425.458611111113</v>
      </c>
      <c r="D892" s="2">
        <v>45425.397581018522</v>
      </c>
      <c r="E892" s="2">
        <v>45425.439675925925</v>
      </c>
      <c r="F892" s="6" t="s">
        <v>1708</v>
      </c>
    </row>
    <row r="893" spans="1:6" hidden="1">
      <c r="A893" s="1" t="s">
        <v>898</v>
      </c>
      <c r="B893" s="2">
        <v>45424</v>
      </c>
      <c r="C893" s="2">
        <v>45425.458611111113</v>
      </c>
      <c r="D893" s="2">
        <v>45425.397430555553</v>
      </c>
      <c r="E893" s="2">
        <v>45425.407500000001</v>
      </c>
      <c r="F893" s="6" t="s">
        <v>1708</v>
      </c>
    </row>
    <row r="894" spans="1:6" hidden="1">
      <c r="A894" s="1" t="s">
        <v>899</v>
      </c>
      <c r="B894" s="2">
        <v>45425</v>
      </c>
      <c r="C894" s="2">
        <v>45425.458611111113</v>
      </c>
      <c r="D894" s="2">
        <v>45425.398599537039</v>
      </c>
      <c r="E894" s="2">
        <v>45425.440694444442</v>
      </c>
      <c r="F894" s="6" t="s">
        <v>1708</v>
      </c>
    </row>
    <row r="895" spans="1:6" hidden="1">
      <c r="A895" s="1" t="s">
        <v>900</v>
      </c>
      <c r="B895" s="2">
        <v>45422</v>
      </c>
      <c r="C895" s="2">
        <v>45423.391111111108</v>
      </c>
      <c r="D895" s="2">
        <v>45425.578460648147</v>
      </c>
      <c r="E895" s="2">
        <v>45425.619942129626</v>
      </c>
      <c r="F895" s="3">
        <f t="shared" si="13"/>
        <v>2.228831018517667</v>
      </c>
    </row>
    <row r="896" spans="1:6" hidden="1">
      <c r="A896" s="1" t="s">
        <v>901</v>
      </c>
      <c r="B896" s="2">
        <v>45425</v>
      </c>
      <c r="C896" s="2">
        <v>45424.474050925928</v>
      </c>
      <c r="D896" s="2">
        <v>45425.840601851851</v>
      </c>
      <c r="E896" s="2">
        <v>45425.844004629631</v>
      </c>
      <c r="F896" s="3">
        <f t="shared" si="13"/>
        <v>1.3699537037027767</v>
      </c>
    </row>
    <row r="897" spans="1:6">
      <c r="A897" s="1" t="s">
        <v>902</v>
      </c>
      <c r="B897" s="2">
        <v>45404</v>
      </c>
      <c r="C897" s="2">
        <v>45405.463761574072</v>
      </c>
      <c r="D897" s="2">
        <v>45405.61209490741</v>
      </c>
      <c r="E897" s="2">
        <v>45420.784305555557</v>
      </c>
      <c r="F897" s="3">
        <f t="shared" si="13"/>
        <v>15.320543981484661</v>
      </c>
    </row>
    <row r="898" spans="1:6" hidden="1">
      <c r="A898" s="1" t="s">
        <v>903</v>
      </c>
      <c r="B898" s="2">
        <v>45404</v>
      </c>
      <c r="C898" s="2">
        <v>45405.421840277777</v>
      </c>
      <c r="D898" s="2">
        <v>45405.34002314815</v>
      </c>
      <c r="E898" s="2">
        <v>45405.344004629631</v>
      </c>
      <c r="F898" s="6" t="s">
        <v>1708</v>
      </c>
    </row>
    <row r="899" spans="1:6" hidden="1">
      <c r="A899" s="1" t="s">
        <v>904</v>
      </c>
      <c r="B899" s="2">
        <v>45404</v>
      </c>
      <c r="C899" s="2">
        <v>45405.463761574072</v>
      </c>
      <c r="D899" s="2">
        <v>45405.390960648147</v>
      </c>
      <c r="E899" s="2">
        <v>45405.428576388891</v>
      </c>
      <c r="F899" s="6" t="s">
        <v>1708</v>
      </c>
    </row>
    <row r="900" spans="1:6" hidden="1">
      <c r="A900" s="1" t="s">
        <v>905</v>
      </c>
      <c r="B900" s="2">
        <v>45404</v>
      </c>
      <c r="C900" s="2">
        <v>45405.463761574072</v>
      </c>
      <c r="D900" s="2">
        <v>45405.390219907407</v>
      </c>
      <c r="E900" s="2">
        <v>45405.39770833333</v>
      </c>
      <c r="F900" s="6" t="s">
        <v>1708</v>
      </c>
    </row>
    <row r="901" spans="1:6" hidden="1">
      <c r="A901" s="1" t="s">
        <v>906</v>
      </c>
      <c r="B901" s="2">
        <v>45404</v>
      </c>
      <c r="C901" s="2">
        <v>45405.463761574072</v>
      </c>
      <c r="D901" s="2">
        <v>45405.394907407404</v>
      </c>
      <c r="E901" s="2">
        <v>45405.446319444447</v>
      </c>
      <c r="F901" s="6" t="s">
        <v>1708</v>
      </c>
    </row>
    <row r="902" spans="1:6" hidden="1">
      <c r="A902" s="1" t="s">
        <v>907</v>
      </c>
      <c r="B902" s="2">
        <v>45404</v>
      </c>
      <c r="C902" s="2">
        <v>45405.463761574072</v>
      </c>
      <c r="D902" s="2">
        <v>45405.395868055559</v>
      </c>
      <c r="E902" s="2">
        <v>45405.41170138889</v>
      </c>
      <c r="F902" s="6" t="s">
        <v>1708</v>
      </c>
    </row>
    <row r="903" spans="1:6" hidden="1">
      <c r="A903" s="1" t="s">
        <v>908</v>
      </c>
      <c r="B903" s="2">
        <v>45405</v>
      </c>
      <c r="C903" s="2">
        <v>45406.884479166663</v>
      </c>
      <c r="D903" s="2">
        <v>45406.692395833335</v>
      </c>
      <c r="E903" s="2">
        <v>45406.713252314818</v>
      </c>
      <c r="F903" s="6" t="s">
        <v>1708</v>
      </c>
    </row>
    <row r="904" spans="1:6" hidden="1">
      <c r="A904" s="1" t="s">
        <v>909</v>
      </c>
      <c r="B904" s="2">
        <v>45405</v>
      </c>
      <c r="C904" s="2">
        <v>45406.884479166663</v>
      </c>
      <c r="D904" s="2">
        <v>45406.693692129629</v>
      </c>
      <c r="E904" s="2">
        <v>45406.696481481478</v>
      </c>
      <c r="F904" s="6" t="s">
        <v>1708</v>
      </c>
    </row>
    <row r="905" spans="1:6" hidden="1">
      <c r="A905" s="1" t="s">
        <v>910</v>
      </c>
      <c r="B905" s="2">
        <v>45405</v>
      </c>
      <c r="C905" s="2">
        <v>45406.884479166663</v>
      </c>
      <c r="D905" s="2">
        <v>45406.692986111113</v>
      </c>
      <c r="E905" s="2">
        <v>45406.696666666663</v>
      </c>
      <c r="F905" s="6" t="s">
        <v>1708</v>
      </c>
    </row>
    <row r="906" spans="1:6" hidden="1">
      <c r="A906" s="1" t="s">
        <v>911</v>
      </c>
      <c r="B906" s="2">
        <v>45405</v>
      </c>
      <c r="C906" s="2">
        <v>45406.702187499999</v>
      </c>
      <c r="D906" s="2">
        <v>45406.448067129626</v>
      </c>
      <c r="E906" s="2">
        <v>45406.580694444441</v>
      </c>
      <c r="F906" s="6" t="s">
        <v>1708</v>
      </c>
    </row>
    <row r="907" spans="1:6" hidden="1">
      <c r="A907" s="1" t="s">
        <v>912</v>
      </c>
      <c r="B907" s="2">
        <v>45405</v>
      </c>
      <c r="C907" s="2">
        <v>45406.464398148149</v>
      </c>
      <c r="D907" s="2">
        <v>45406.399629629632</v>
      </c>
      <c r="E907" s="2">
        <v>45406.429375</v>
      </c>
      <c r="F907" s="6" t="s">
        <v>1708</v>
      </c>
    </row>
    <row r="908" spans="1:6" hidden="1">
      <c r="A908" s="1" t="s">
        <v>913</v>
      </c>
      <c r="B908" s="2">
        <v>45406</v>
      </c>
      <c r="C908" s="2">
        <v>45407.747129629628</v>
      </c>
      <c r="D908" s="2">
        <v>45407.629756944443</v>
      </c>
      <c r="E908" s="2">
        <v>45407.671840277777</v>
      </c>
      <c r="F908" s="6" t="s">
        <v>1708</v>
      </c>
    </row>
    <row r="909" spans="1:6" hidden="1">
      <c r="A909" s="1" t="s">
        <v>914</v>
      </c>
      <c r="B909" s="2">
        <v>45405</v>
      </c>
      <c r="C909" s="2">
        <v>45406.702187499999</v>
      </c>
      <c r="D909" s="2">
        <v>45406.451932870368</v>
      </c>
      <c r="E909" s="2">
        <v>45406.493831018517</v>
      </c>
      <c r="F909" s="6" t="s">
        <v>1708</v>
      </c>
    </row>
    <row r="910" spans="1:6" hidden="1">
      <c r="A910" s="1" t="s">
        <v>915</v>
      </c>
      <c r="B910" s="2">
        <v>45405</v>
      </c>
      <c r="C910" s="2">
        <v>45406.464398148149</v>
      </c>
      <c r="D910" s="2">
        <v>45406.506111111114</v>
      </c>
      <c r="E910" s="2">
        <v>45406.568530092591</v>
      </c>
      <c r="F910" s="3">
        <f t="shared" ref="F910:F954" si="14">E910-C910</f>
        <v>0.10413194444117835</v>
      </c>
    </row>
    <row r="911" spans="1:6" hidden="1">
      <c r="A911" s="1" t="s">
        <v>916</v>
      </c>
      <c r="B911" s="2">
        <v>45405</v>
      </c>
      <c r="C911" s="2">
        <v>45406.464398148149</v>
      </c>
      <c r="D911" s="2">
        <v>45406.499814814815</v>
      </c>
      <c r="E911" s="2">
        <v>45406.5856712963</v>
      </c>
      <c r="F911" s="3">
        <f t="shared" si="14"/>
        <v>0.12127314815006685</v>
      </c>
    </row>
    <row r="912" spans="1:6" hidden="1">
      <c r="A912" s="1" t="s">
        <v>917</v>
      </c>
      <c r="B912" s="2">
        <v>45406</v>
      </c>
      <c r="C912" s="2">
        <v>45407.747129629628</v>
      </c>
      <c r="D912" s="2">
        <v>45407.603784722225</v>
      </c>
      <c r="E912" s="2">
        <v>45407.64570601852</v>
      </c>
      <c r="F912" s="6" t="s">
        <v>1708</v>
      </c>
    </row>
    <row r="913" spans="1:6" hidden="1">
      <c r="A913" s="1" t="s">
        <v>918</v>
      </c>
      <c r="B913" s="2">
        <v>45406</v>
      </c>
      <c r="C913" s="2">
        <v>45406.700601851851</v>
      </c>
      <c r="D913" s="2">
        <v>45407.008761574078</v>
      </c>
      <c r="E913" s="2">
        <v>45407.515069444446</v>
      </c>
      <c r="F913" s="3">
        <f t="shared" si="14"/>
        <v>0.81446759259415558</v>
      </c>
    </row>
    <row r="914" spans="1:6" hidden="1">
      <c r="A914" s="1" t="s">
        <v>919</v>
      </c>
      <c r="B914" s="2">
        <v>45406</v>
      </c>
      <c r="C914" s="2">
        <v>45406.700601851851</v>
      </c>
      <c r="D914" s="2">
        <v>45407.016643518517</v>
      </c>
      <c r="E914" s="2">
        <v>45407.302314814813</v>
      </c>
      <c r="F914" s="3">
        <f t="shared" si="14"/>
        <v>0.60171296296175569</v>
      </c>
    </row>
    <row r="915" spans="1:6" hidden="1">
      <c r="A915" s="1" t="s">
        <v>920</v>
      </c>
      <c r="B915" s="2">
        <v>45405</v>
      </c>
      <c r="C915" s="2">
        <v>45407.549259259256</v>
      </c>
      <c r="D915" s="2">
        <v>45407.627488425926</v>
      </c>
      <c r="E915" s="2">
        <v>45407.669398148151</v>
      </c>
      <c r="F915" s="3">
        <f t="shared" si="14"/>
        <v>0.12013888889487134</v>
      </c>
    </row>
    <row r="916" spans="1:6" hidden="1">
      <c r="A916" s="1" t="s">
        <v>921</v>
      </c>
      <c r="B916" s="2">
        <v>45406</v>
      </c>
      <c r="C916" s="2">
        <v>45406.814363425925</v>
      </c>
      <c r="D916" s="2">
        <v>45406.84820601852</v>
      </c>
      <c r="E916" s="2">
        <v>45406.947256944448</v>
      </c>
      <c r="F916" s="3">
        <f t="shared" si="14"/>
        <v>0.13289351852290565</v>
      </c>
    </row>
    <row r="917" spans="1:6" hidden="1">
      <c r="A917" s="1" t="s">
        <v>922</v>
      </c>
      <c r="B917" s="2">
        <v>45406</v>
      </c>
      <c r="C917" s="2">
        <v>45407.592743055553</v>
      </c>
      <c r="D917" s="2">
        <v>45407.574236111112</v>
      </c>
      <c r="E917" s="2">
        <v>45407.61613425926</v>
      </c>
      <c r="F917" s="3">
        <f t="shared" si="14"/>
        <v>2.3391203707433306E-2</v>
      </c>
    </row>
    <row r="918" spans="1:6" hidden="1">
      <c r="A918" s="1" t="s">
        <v>923</v>
      </c>
      <c r="B918" s="2">
        <v>45406</v>
      </c>
      <c r="C918" s="2">
        <v>45407.503287037034</v>
      </c>
      <c r="D918" s="2">
        <v>45407.564745370371</v>
      </c>
      <c r="E918" s="2">
        <v>45407.747233796297</v>
      </c>
      <c r="F918" s="3">
        <f t="shared" si="14"/>
        <v>0.24394675926305354</v>
      </c>
    </row>
    <row r="919" spans="1:6" hidden="1">
      <c r="A919" s="1" t="s">
        <v>924</v>
      </c>
      <c r="B919" s="2">
        <v>45406</v>
      </c>
      <c r="C919" s="2">
        <v>45407.462800925925</v>
      </c>
      <c r="D919" s="2">
        <v>45407.438715277778</v>
      </c>
      <c r="E919" s="2">
        <v>45407.49013888889</v>
      </c>
      <c r="F919" s="3">
        <f t="shared" si="14"/>
        <v>2.7337962965248153E-2</v>
      </c>
    </row>
    <row r="920" spans="1:6" hidden="1">
      <c r="A920" s="1" t="s">
        <v>925</v>
      </c>
      <c r="B920" s="2">
        <v>45407</v>
      </c>
      <c r="C920" s="2">
        <v>45409.691655092596</v>
      </c>
      <c r="D920" s="2">
        <v>45409.488263888888</v>
      </c>
      <c r="E920" s="2">
        <v>45409.551076388889</v>
      </c>
      <c r="F920" s="6" t="s">
        <v>1708</v>
      </c>
    </row>
    <row r="921" spans="1:6" hidden="1">
      <c r="A921" s="1" t="s">
        <v>926</v>
      </c>
      <c r="B921" s="2">
        <v>45406</v>
      </c>
      <c r="C921" s="2">
        <v>45407.503287037034</v>
      </c>
      <c r="D921" s="2">
        <v>45407.559918981482</v>
      </c>
      <c r="E921" s="2">
        <v>45407.744108796294</v>
      </c>
      <c r="F921" s="3">
        <f t="shared" si="14"/>
        <v>0.24082175926014315</v>
      </c>
    </row>
    <row r="922" spans="1:6" hidden="1">
      <c r="A922" s="1" t="s">
        <v>927</v>
      </c>
      <c r="B922" s="2">
        <v>45406</v>
      </c>
      <c r="C922" s="2">
        <v>45406.700601851851</v>
      </c>
      <c r="D922" s="2">
        <v>45407.555763888886</v>
      </c>
      <c r="E922" s="2">
        <v>45407.59752314815</v>
      </c>
      <c r="F922" s="3">
        <f t="shared" si="14"/>
        <v>0.89692129629838746</v>
      </c>
    </row>
    <row r="923" spans="1:6" hidden="1">
      <c r="A923" s="1" t="s">
        <v>928</v>
      </c>
      <c r="B923" s="2">
        <v>45407</v>
      </c>
      <c r="C923" s="2">
        <v>45407.835138888891</v>
      </c>
      <c r="D923" s="2">
        <v>45408.429722222223</v>
      </c>
      <c r="E923" s="2">
        <v>45408.465277777781</v>
      </c>
      <c r="F923" s="3">
        <f t="shared" si="14"/>
        <v>0.63013888888963265</v>
      </c>
    </row>
    <row r="924" spans="1:6" hidden="1">
      <c r="A924" s="1" t="s">
        <v>929</v>
      </c>
      <c r="B924" s="2">
        <v>45407</v>
      </c>
      <c r="C924" s="2">
        <v>45408.144375000003</v>
      </c>
      <c r="D924" s="2">
        <v>45408.33871527778</v>
      </c>
      <c r="E924" s="2">
        <v>45408.380543981482</v>
      </c>
      <c r="F924" s="3">
        <f t="shared" si="14"/>
        <v>0.23616898147884058</v>
      </c>
    </row>
    <row r="925" spans="1:6" hidden="1">
      <c r="A925" s="1" t="s">
        <v>930</v>
      </c>
      <c r="B925" s="2">
        <v>45407</v>
      </c>
      <c r="C925" s="2">
        <v>45407.706203703703</v>
      </c>
      <c r="D925" s="2">
        <v>45407.706145833334</v>
      </c>
      <c r="E925" s="2">
        <v>45407.74796296296</v>
      </c>
      <c r="F925" s="3">
        <f t="shared" si="14"/>
        <v>4.1759259256650694E-2</v>
      </c>
    </row>
    <row r="926" spans="1:6" hidden="1">
      <c r="A926" s="1" t="s">
        <v>931</v>
      </c>
      <c r="B926" s="2">
        <v>45404</v>
      </c>
      <c r="C926" s="2">
        <v>45405.463761574072</v>
      </c>
      <c r="D926" s="2">
        <v>45407.733356481483</v>
      </c>
      <c r="E926" s="2">
        <v>45407.775208333333</v>
      </c>
      <c r="F926" s="3">
        <f t="shared" si="14"/>
        <v>2.3114467592604342</v>
      </c>
    </row>
    <row r="927" spans="1:6" hidden="1">
      <c r="A927" s="1" t="s">
        <v>932</v>
      </c>
      <c r="B927" s="2">
        <v>45407</v>
      </c>
      <c r="C927" s="2">
        <v>45408.423668981479</v>
      </c>
      <c r="D927" s="2">
        <v>45408.449583333335</v>
      </c>
      <c r="E927" s="2">
        <v>45408.509155092594</v>
      </c>
      <c r="F927" s="3">
        <f t="shared" si="14"/>
        <v>8.5486111114732921E-2</v>
      </c>
    </row>
    <row r="928" spans="1:6" hidden="1">
      <c r="A928" s="1" t="s">
        <v>933</v>
      </c>
      <c r="B928" s="2">
        <v>45407</v>
      </c>
      <c r="C928" s="2">
        <v>45408.423668981479</v>
      </c>
      <c r="D928" s="2">
        <v>45408.652465277781</v>
      </c>
      <c r="E928" s="2">
        <v>45408.694687499999</v>
      </c>
      <c r="F928" s="3">
        <f t="shared" si="14"/>
        <v>0.27101851852057735</v>
      </c>
    </row>
    <row r="929" spans="1:6" hidden="1">
      <c r="A929" s="1" t="s">
        <v>934</v>
      </c>
      <c r="B929" s="2">
        <v>45407</v>
      </c>
      <c r="C929" s="2">
        <v>45409.342245370368</v>
      </c>
      <c r="D929" s="2">
        <v>45409.467650462961</v>
      </c>
      <c r="E929" s="2">
        <v>45409.509675925925</v>
      </c>
      <c r="F929" s="3">
        <f t="shared" si="14"/>
        <v>0.16743055555707542</v>
      </c>
    </row>
    <row r="930" spans="1:6" hidden="1">
      <c r="A930" s="1" t="s">
        <v>935</v>
      </c>
      <c r="B930" s="2">
        <v>45408</v>
      </c>
      <c r="C930" s="2">
        <v>45409.4924537037</v>
      </c>
      <c r="D930" s="2">
        <v>45409.416875000003</v>
      </c>
      <c r="E930" s="2">
        <v>45409.439722222225</v>
      </c>
      <c r="F930" s="6" t="s">
        <v>1708</v>
      </c>
    </row>
    <row r="931" spans="1:6" hidden="1">
      <c r="A931" s="1" t="s">
        <v>936</v>
      </c>
      <c r="B931" s="2">
        <v>45408</v>
      </c>
      <c r="C931" s="2">
        <v>45409.4924537037</v>
      </c>
      <c r="D931" s="2">
        <v>45409.418437499997</v>
      </c>
      <c r="E931" s="2">
        <v>45409.460185185184</v>
      </c>
      <c r="F931" s="6" t="s">
        <v>1708</v>
      </c>
    </row>
    <row r="932" spans="1:6" hidden="1">
      <c r="A932" s="1" t="s">
        <v>937</v>
      </c>
      <c r="B932" s="2">
        <v>45408</v>
      </c>
      <c r="C932" s="2">
        <v>45409.4924537037</v>
      </c>
      <c r="D932" s="2">
        <v>45409.40697916667</v>
      </c>
      <c r="E932" s="2">
        <v>45409.438125000001</v>
      </c>
      <c r="F932" s="6" t="s">
        <v>1708</v>
      </c>
    </row>
    <row r="933" spans="1:6" hidden="1">
      <c r="A933" s="1" t="s">
        <v>938</v>
      </c>
      <c r="B933" s="2">
        <v>45409</v>
      </c>
      <c r="C933" s="2">
        <v>45409.4924537037</v>
      </c>
      <c r="D933" s="2">
        <v>45409.405023148145</v>
      </c>
      <c r="E933" s="2">
        <v>45409.431701388887</v>
      </c>
      <c r="F933" s="6" t="s">
        <v>1708</v>
      </c>
    </row>
    <row r="934" spans="1:6" hidden="1">
      <c r="A934" s="1" t="s">
        <v>939</v>
      </c>
      <c r="B934" s="2">
        <v>45409</v>
      </c>
      <c r="C934" s="2">
        <v>45409.4924537037</v>
      </c>
      <c r="D934" s="2">
        <v>45409.404583333337</v>
      </c>
      <c r="E934" s="2">
        <v>45409.446875000001</v>
      </c>
      <c r="F934" s="6" t="s">
        <v>1708</v>
      </c>
    </row>
    <row r="935" spans="1:6" hidden="1">
      <c r="A935" s="1" t="s">
        <v>940</v>
      </c>
      <c r="B935" s="2">
        <v>45409</v>
      </c>
      <c r="C935" s="2">
        <v>45409.4924537037</v>
      </c>
      <c r="D935" s="2">
        <v>45409.41</v>
      </c>
      <c r="E935" s="2">
        <v>45409.451840277776</v>
      </c>
      <c r="F935" s="6" t="s">
        <v>1708</v>
      </c>
    </row>
    <row r="936" spans="1:6" hidden="1">
      <c r="A936" s="1" t="s">
        <v>941</v>
      </c>
      <c r="B936" s="2">
        <v>45407</v>
      </c>
      <c r="C936" s="2">
        <v>45409.116122685184</v>
      </c>
      <c r="D936" s="2">
        <v>45409.422210648147</v>
      </c>
      <c r="E936" s="2">
        <v>45409.464004629626</v>
      </c>
      <c r="F936" s="3">
        <f t="shared" si="14"/>
        <v>0.34788194444263354</v>
      </c>
    </row>
    <row r="937" spans="1:6" hidden="1">
      <c r="A937" s="1" t="s">
        <v>942</v>
      </c>
      <c r="B937" s="2">
        <v>45408</v>
      </c>
      <c r="C937" s="2">
        <v>45409.556921296295</v>
      </c>
      <c r="D937" s="2">
        <v>45409.432245370372</v>
      </c>
      <c r="E937" s="2">
        <v>45409.450416666667</v>
      </c>
      <c r="F937" s="6" t="s">
        <v>1708</v>
      </c>
    </row>
    <row r="938" spans="1:6" hidden="1">
      <c r="A938" s="1" t="s">
        <v>943</v>
      </c>
      <c r="B938" s="2">
        <v>45408</v>
      </c>
      <c r="C938" s="2">
        <v>45409.556921296295</v>
      </c>
      <c r="D938" s="2">
        <v>45409.434965277775</v>
      </c>
      <c r="E938" s="2">
        <v>45409.454224537039</v>
      </c>
      <c r="F938" s="6" t="s">
        <v>1708</v>
      </c>
    </row>
    <row r="939" spans="1:6" hidden="1">
      <c r="A939" s="1" t="s">
        <v>944</v>
      </c>
      <c r="B939" s="2">
        <v>45407</v>
      </c>
      <c r="C939" s="2">
        <v>45409.342245370368</v>
      </c>
      <c r="D939" s="2">
        <v>45409.463055555556</v>
      </c>
      <c r="E939" s="2">
        <v>45409.505150462966</v>
      </c>
      <c r="F939" s="3">
        <f t="shared" si="14"/>
        <v>0.16290509259852115</v>
      </c>
    </row>
    <row r="940" spans="1:6" hidden="1">
      <c r="A940" s="1" t="s">
        <v>945</v>
      </c>
      <c r="B940" s="2">
        <v>45408</v>
      </c>
      <c r="C940" s="2">
        <v>45409.860185185185</v>
      </c>
      <c r="D940" s="2">
        <v>45409.813726851855</v>
      </c>
      <c r="E940" s="2">
        <v>45409.826180555552</v>
      </c>
      <c r="F940" s="6" t="s">
        <v>1708</v>
      </c>
    </row>
    <row r="941" spans="1:6" hidden="1">
      <c r="A941" s="1" t="s">
        <v>946</v>
      </c>
      <c r="B941" s="2">
        <v>45408</v>
      </c>
      <c r="C941" s="2">
        <v>45409.860185185185</v>
      </c>
      <c r="D941" s="2">
        <v>45409.817037037035</v>
      </c>
      <c r="E941" s="2">
        <v>45409.82640046296</v>
      </c>
      <c r="F941" s="6" t="s">
        <v>1708</v>
      </c>
    </row>
    <row r="942" spans="1:6" hidden="1">
      <c r="A942" s="1" t="s">
        <v>947</v>
      </c>
      <c r="B942" s="2">
        <v>45409</v>
      </c>
      <c r="C942" s="2">
        <v>45410.936481481483</v>
      </c>
      <c r="D942" s="2">
        <v>45411.393773148149</v>
      </c>
      <c r="E942" s="2">
        <v>45411.437997685185</v>
      </c>
      <c r="F942" s="3">
        <f t="shared" si="14"/>
        <v>0.50151620370161254</v>
      </c>
    </row>
    <row r="943" spans="1:6" hidden="1">
      <c r="A943" s="1" t="s">
        <v>948</v>
      </c>
      <c r="B943" s="2">
        <v>45408</v>
      </c>
      <c r="C943" s="2">
        <v>45409.5703587963</v>
      </c>
      <c r="D943" s="2">
        <v>45409.625347222223</v>
      </c>
      <c r="E943" s="2">
        <v>45409.807268518518</v>
      </c>
      <c r="F943" s="3">
        <f t="shared" si="14"/>
        <v>0.23690972221811535</v>
      </c>
    </row>
    <row r="944" spans="1:6" hidden="1">
      <c r="A944" s="1" t="s">
        <v>949</v>
      </c>
      <c r="B944" s="2">
        <v>45409</v>
      </c>
      <c r="C944" s="2">
        <v>45410.731087962966</v>
      </c>
      <c r="D944" s="2">
        <v>45410.480624999997</v>
      </c>
      <c r="E944" s="2">
        <v>45410.529780092591</v>
      </c>
      <c r="F944" s="6" t="s">
        <v>1708</v>
      </c>
    </row>
    <row r="945" spans="1:6" hidden="1">
      <c r="A945" s="1" t="s">
        <v>950</v>
      </c>
      <c r="B945" s="2">
        <v>45409</v>
      </c>
      <c r="C945" s="2">
        <v>45410.454664351855</v>
      </c>
      <c r="D945" s="2">
        <v>45410.416400462964</v>
      </c>
      <c r="E945" s="2">
        <v>45410.458124999997</v>
      </c>
      <c r="F945" s="3">
        <f t="shared" si="14"/>
        <v>3.4606481422088109E-3</v>
      </c>
    </row>
    <row r="946" spans="1:6" hidden="1">
      <c r="A946" s="1" t="s">
        <v>951</v>
      </c>
      <c r="B946" s="2">
        <v>45409</v>
      </c>
      <c r="C946" s="2">
        <v>45409.965520833335</v>
      </c>
      <c r="D946" s="2">
        <v>45409.906284722223</v>
      </c>
      <c r="E946" s="2">
        <v>45409.965520833335</v>
      </c>
      <c r="F946" s="3">
        <f t="shared" si="14"/>
        <v>0</v>
      </c>
    </row>
    <row r="947" spans="1:6" hidden="1">
      <c r="A947" s="1" t="s">
        <v>952</v>
      </c>
      <c r="B947" s="2">
        <v>45409</v>
      </c>
      <c r="C947" s="2">
        <v>45409.790752314817</v>
      </c>
      <c r="D947" s="2">
        <v>45409.705138888887</v>
      </c>
      <c r="E947" s="2">
        <v>45409.790752314817</v>
      </c>
      <c r="F947" s="3">
        <f t="shared" si="14"/>
        <v>0</v>
      </c>
    </row>
    <row r="948" spans="1:6" hidden="1">
      <c r="A948" s="1" t="s">
        <v>953</v>
      </c>
      <c r="B948" s="2">
        <v>45409</v>
      </c>
      <c r="C948" s="2">
        <v>45409.790752314817</v>
      </c>
      <c r="D948" s="2">
        <v>45409.707719907405</v>
      </c>
      <c r="E948" s="2">
        <v>45409.749502314815</v>
      </c>
      <c r="F948" s="6" t="s">
        <v>1708</v>
      </c>
    </row>
    <row r="949" spans="1:6" hidden="1">
      <c r="A949" s="1" t="s">
        <v>954</v>
      </c>
      <c r="B949" s="2">
        <v>45407</v>
      </c>
      <c r="C949" s="2">
        <v>45410.453819444447</v>
      </c>
      <c r="D949" s="2">
        <v>45410.352962962963</v>
      </c>
      <c r="E949" s="2">
        <v>45410.394826388889</v>
      </c>
      <c r="F949" s="6" t="s">
        <v>1708</v>
      </c>
    </row>
    <row r="950" spans="1:6" hidden="1">
      <c r="A950" s="1" t="s">
        <v>955</v>
      </c>
      <c r="B950" s="2">
        <v>45409</v>
      </c>
      <c r="C950" s="2">
        <v>45410.157696759263</v>
      </c>
      <c r="D950" s="2">
        <v>45410.360254629632</v>
      </c>
      <c r="E950" s="2">
        <v>45410.402094907404</v>
      </c>
      <c r="F950" s="3">
        <f t="shared" si="14"/>
        <v>0.24439814814104466</v>
      </c>
    </row>
    <row r="951" spans="1:6" hidden="1">
      <c r="A951" s="1" t="s">
        <v>956</v>
      </c>
      <c r="B951" s="2">
        <v>45409</v>
      </c>
      <c r="C951" s="2">
        <v>45410.157696759263</v>
      </c>
      <c r="D951" s="2">
        <v>45410.362581018519</v>
      </c>
      <c r="E951" s="2">
        <v>45410.404328703706</v>
      </c>
      <c r="F951" s="3">
        <f t="shared" si="14"/>
        <v>0.24663194444292458</v>
      </c>
    </row>
    <row r="952" spans="1:6" hidden="1">
      <c r="A952" s="1" t="s">
        <v>957</v>
      </c>
      <c r="B952" s="2">
        <v>45409</v>
      </c>
      <c r="C952" s="2">
        <v>45410.157696759263</v>
      </c>
      <c r="D952" s="2">
        <v>45410.364328703705</v>
      </c>
      <c r="E952" s="2">
        <v>45410.406226851854</v>
      </c>
      <c r="F952" s="3">
        <f t="shared" si="14"/>
        <v>0.24853009259095415</v>
      </c>
    </row>
    <row r="953" spans="1:6" hidden="1">
      <c r="A953" s="1" t="s">
        <v>958</v>
      </c>
      <c r="B953" s="2">
        <v>45409</v>
      </c>
      <c r="C953" s="2">
        <v>45410.157696759263</v>
      </c>
      <c r="D953" s="2">
        <v>45410.366365740738</v>
      </c>
      <c r="E953" s="2">
        <v>45410.408101851855</v>
      </c>
      <c r="F953" s="3">
        <f t="shared" si="14"/>
        <v>0.25040509259270038</v>
      </c>
    </row>
    <row r="954" spans="1:6" hidden="1">
      <c r="A954" s="1" t="s">
        <v>959</v>
      </c>
      <c r="B954" s="2">
        <v>45409</v>
      </c>
      <c r="C954" s="2">
        <v>45410.157696759263</v>
      </c>
      <c r="D954" s="2">
        <v>45410.369641203702</v>
      </c>
      <c r="E954" s="2">
        <v>45410.41138888889</v>
      </c>
      <c r="F954" s="3">
        <f t="shared" si="14"/>
        <v>0.25369212962687016</v>
      </c>
    </row>
    <row r="955" spans="1:6" hidden="1">
      <c r="A955" s="1" t="s">
        <v>960</v>
      </c>
      <c r="B955" s="2">
        <v>45409</v>
      </c>
      <c r="C955" s="2">
        <v>45410.467129629629</v>
      </c>
      <c r="D955" s="2">
        <v>45410.399340277778</v>
      </c>
      <c r="E955" s="2">
        <v>45410.441122685188</v>
      </c>
      <c r="F955" s="6" t="s">
        <v>1708</v>
      </c>
    </row>
    <row r="956" spans="1:6" hidden="1">
      <c r="A956" s="1" t="s">
        <v>961</v>
      </c>
      <c r="B956" s="2">
        <v>45409</v>
      </c>
      <c r="C956" s="2">
        <v>45410.467129629629</v>
      </c>
      <c r="D956" s="2">
        <v>45410.40353009259</v>
      </c>
      <c r="E956" s="2">
        <v>45410.445370370369</v>
      </c>
      <c r="F956" s="6" t="s">
        <v>1708</v>
      </c>
    </row>
    <row r="957" spans="1:6" hidden="1">
      <c r="A957" s="1" t="s">
        <v>962</v>
      </c>
      <c r="B957" s="2">
        <v>45409</v>
      </c>
      <c r="C957" s="2">
        <v>45410.467129629629</v>
      </c>
      <c r="D957" s="2">
        <v>45410.406782407408</v>
      </c>
      <c r="E957" s="2">
        <v>45410.415949074071</v>
      </c>
      <c r="F957" s="6" t="s">
        <v>1708</v>
      </c>
    </row>
    <row r="958" spans="1:6" hidden="1">
      <c r="A958" s="1" t="s">
        <v>963</v>
      </c>
      <c r="B958" s="2">
        <v>45410</v>
      </c>
      <c r="C958" s="2">
        <v>45410.467129629629</v>
      </c>
      <c r="D958" s="2">
        <v>45410.410891203705</v>
      </c>
      <c r="E958" s="2">
        <v>45410.452685185184</v>
      </c>
      <c r="F958" s="6" t="s">
        <v>1708</v>
      </c>
    </row>
    <row r="959" spans="1:6" hidden="1">
      <c r="A959" s="1" t="s">
        <v>964</v>
      </c>
      <c r="B959" s="2">
        <v>45409</v>
      </c>
      <c r="C959" s="2">
        <v>45410.459976851853</v>
      </c>
      <c r="D959" s="2">
        <v>45410.453263888892</v>
      </c>
      <c r="E959" s="2">
        <v>45410.455717592595</v>
      </c>
      <c r="F959" s="6" t="s">
        <v>1708</v>
      </c>
    </row>
    <row r="960" spans="1:6" hidden="1">
      <c r="A960" s="1" t="s">
        <v>965</v>
      </c>
      <c r="B960" s="2">
        <v>45409</v>
      </c>
      <c r="C960" s="2">
        <v>45410.459976851853</v>
      </c>
      <c r="D960" s="2">
        <v>45410.453865740739</v>
      </c>
      <c r="E960" s="2">
        <v>45410.456504629627</v>
      </c>
      <c r="F960" s="6" t="s">
        <v>1708</v>
      </c>
    </row>
    <row r="961" spans="1:6" hidden="1">
      <c r="A961" s="1" t="s">
        <v>966</v>
      </c>
      <c r="B961" s="2">
        <v>45409</v>
      </c>
      <c r="C961" s="2">
        <v>45410.459976851853</v>
      </c>
      <c r="D961" s="2">
        <v>45410.454386574071</v>
      </c>
      <c r="E961" s="2">
        <v>45410.458749999998</v>
      </c>
      <c r="F961" s="6" t="s">
        <v>1708</v>
      </c>
    </row>
    <row r="962" spans="1:6" hidden="1">
      <c r="A962" s="1" t="s">
        <v>967</v>
      </c>
      <c r="B962" s="2">
        <v>45408</v>
      </c>
      <c r="C962" s="2">
        <v>45410.688055555554</v>
      </c>
      <c r="D962" s="2">
        <v>45410.435266203705</v>
      </c>
      <c r="E962" s="2">
        <v>45410.450324074074</v>
      </c>
      <c r="F962" s="6" t="s">
        <v>1708</v>
      </c>
    </row>
    <row r="963" spans="1:6" hidden="1">
      <c r="A963" s="1" t="s">
        <v>968</v>
      </c>
      <c r="B963" s="2">
        <v>45409</v>
      </c>
      <c r="C963" s="2">
        <v>45410.459976851853</v>
      </c>
      <c r="D963" s="2">
        <v>45410.458194444444</v>
      </c>
      <c r="E963" s="2">
        <v>45410.469664351855</v>
      </c>
      <c r="F963" s="3">
        <f t="shared" ref="F963:F1026" si="15">E963-C963</f>
        <v>9.6875000017462298E-3</v>
      </c>
    </row>
    <row r="964" spans="1:6" hidden="1">
      <c r="A964" s="1" t="s">
        <v>969</v>
      </c>
      <c r="B964" s="2">
        <v>45409</v>
      </c>
      <c r="C964" s="2">
        <v>45410.459976851853</v>
      </c>
      <c r="D964" s="2">
        <v>45410.45648148148</v>
      </c>
      <c r="E964" s="2">
        <v>45410.498240740744</v>
      </c>
      <c r="F964" s="3">
        <f t="shared" si="15"/>
        <v>3.8263888891378883E-2</v>
      </c>
    </row>
    <row r="965" spans="1:6" hidden="1">
      <c r="A965" s="1" t="s">
        <v>970</v>
      </c>
      <c r="B965" s="2">
        <v>45409</v>
      </c>
      <c r="C965" s="2">
        <v>45410.459976851853</v>
      </c>
      <c r="D965" s="2">
        <v>45410.456516203703</v>
      </c>
      <c r="E965" s="2">
        <v>45410.498356481483</v>
      </c>
      <c r="F965" s="3">
        <f t="shared" si="15"/>
        <v>3.8379629630071577E-2</v>
      </c>
    </row>
    <row r="966" spans="1:6" hidden="1">
      <c r="A966" s="1" t="s">
        <v>971</v>
      </c>
      <c r="B966" s="2">
        <v>45409</v>
      </c>
      <c r="C966" s="2">
        <v>45410.459976851853</v>
      </c>
      <c r="D966" s="2">
        <v>45410.45453703704</v>
      </c>
      <c r="E966" s="2">
        <v>45410.459479166668</v>
      </c>
      <c r="F966" s="6" t="s">
        <v>1708</v>
      </c>
    </row>
    <row r="967" spans="1:6" hidden="1">
      <c r="A967" s="1" t="s">
        <v>972</v>
      </c>
      <c r="B967" s="2">
        <v>45409</v>
      </c>
      <c r="C967" s="2">
        <v>45410.459976851853</v>
      </c>
      <c r="D967" s="2">
        <v>45410.456736111111</v>
      </c>
      <c r="E967" s="2">
        <v>45410.464386574073</v>
      </c>
      <c r="F967" s="3">
        <f t="shared" si="15"/>
        <v>4.4097222198615782E-3</v>
      </c>
    </row>
    <row r="968" spans="1:6" hidden="1">
      <c r="A968" s="1" t="s">
        <v>973</v>
      </c>
      <c r="B968" s="2">
        <v>45409</v>
      </c>
      <c r="C968" s="2">
        <v>45410.459976851853</v>
      </c>
      <c r="D968" s="2">
        <v>45410.459629629629</v>
      </c>
      <c r="E968" s="2">
        <v>45410.501400462963</v>
      </c>
      <c r="F968" s="3">
        <f t="shared" si="15"/>
        <v>4.1423611110076308E-2</v>
      </c>
    </row>
    <row r="969" spans="1:6" hidden="1">
      <c r="A969" s="1" t="s">
        <v>974</v>
      </c>
      <c r="B969" s="2">
        <v>45409</v>
      </c>
      <c r="C969" s="2">
        <v>45410.459976851853</v>
      </c>
      <c r="D969" s="2">
        <v>45410.464224537034</v>
      </c>
      <c r="E969" s="2">
        <v>45410.671655092592</v>
      </c>
      <c r="F969" s="3">
        <f t="shared" si="15"/>
        <v>0.21167824073927477</v>
      </c>
    </row>
    <row r="970" spans="1:6" hidden="1">
      <c r="A970" s="1" t="s">
        <v>975</v>
      </c>
      <c r="B970" s="2">
        <v>45409</v>
      </c>
      <c r="C970" s="2">
        <v>45410.459976851853</v>
      </c>
      <c r="D970" s="2">
        <v>45410.466157407405</v>
      </c>
      <c r="E970" s="2">
        <v>45410.670138888891</v>
      </c>
      <c r="F970" s="3">
        <f t="shared" si="15"/>
        <v>0.21016203703766223</v>
      </c>
    </row>
    <row r="971" spans="1:6" hidden="1">
      <c r="A971" s="1" t="s">
        <v>976</v>
      </c>
      <c r="B971" s="2">
        <v>45409</v>
      </c>
      <c r="C971" s="2">
        <v>45410.936481481483</v>
      </c>
      <c r="D971" s="2">
        <v>45410.708344907405</v>
      </c>
      <c r="E971" s="2">
        <v>45410.723900462966</v>
      </c>
      <c r="F971" s="6" t="s">
        <v>1708</v>
      </c>
    </row>
    <row r="972" spans="1:6" hidden="1">
      <c r="A972" s="1" t="s">
        <v>977</v>
      </c>
      <c r="B972" s="2">
        <v>45409</v>
      </c>
      <c r="C972" s="2">
        <v>45410.731168981481</v>
      </c>
      <c r="D972" s="2">
        <v>45410.592418981483</v>
      </c>
      <c r="E972" s="2">
        <v>45410.892465277779</v>
      </c>
      <c r="F972" s="3">
        <f t="shared" si="15"/>
        <v>0.16129629629722331</v>
      </c>
    </row>
    <row r="973" spans="1:6" hidden="1">
      <c r="A973" s="1" t="s">
        <v>978</v>
      </c>
      <c r="B973" s="2">
        <v>45410</v>
      </c>
      <c r="C973" s="2">
        <v>45410.711111111108</v>
      </c>
      <c r="D973" s="2">
        <v>45410.59511574074</v>
      </c>
      <c r="E973" s="2">
        <v>45410.636932870373</v>
      </c>
      <c r="F973" s="6" t="s">
        <v>1708</v>
      </c>
    </row>
    <row r="974" spans="1:6" hidden="1">
      <c r="A974" s="1" t="s">
        <v>979</v>
      </c>
      <c r="B974" s="2">
        <v>45410</v>
      </c>
      <c r="C974" s="2">
        <v>45411.132256944446</v>
      </c>
      <c r="D974" s="2">
        <v>45411.318460648145</v>
      </c>
      <c r="E974" s="2">
        <v>45411.360254629632</v>
      </c>
      <c r="F974" s="3">
        <f t="shared" si="15"/>
        <v>0.22799768518598285</v>
      </c>
    </row>
    <row r="975" spans="1:6" hidden="1">
      <c r="A975" s="1" t="s">
        <v>980</v>
      </c>
      <c r="B975" s="2">
        <v>45410</v>
      </c>
      <c r="C975" s="2">
        <v>45411.132256944446</v>
      </c>
      <c r="D975" s="2">
        <v>45411.310833333337</v>
      </c>
      <c r="E975" s="2">
        <v>45411.318564814814</v>
      </c>
      <c r="F975" s="3">
        <f t="shared" si="15"/>
        <v>0.18630787036818219</v>
      </c>
    </row>
    <row r="976" spans="1:6" hidden="1">
      <c r="A976" s="1" t="s">
        <v>981</v>
      </c>
      <c r="B976" s="2">
        <v>45410</v>
      </c>
      <c r="C976" s="2">
        <v>45411.132256944446</v>
      </c>
      <c r="D976" s="2">
        <v>45411.312361111108</v>
      </c>
      <c r="E976" s="2">
        <v>45411.320150462961</v>
      </c>
      <c r="F976" s="3">
        <f t="shared" si="15"/>
        <v>0.18789351851592073</v>
      </c>
    </row>
    <row r="977" spans="1:6" hidden="1">
      <c r="A977" s="1" t="s">
        <v>982</v>
      </c>
      <c r="B977" s="2">
        <v>45410</v>
      </c>
      <c r="C977" s="2">
        <v>45411.132256944446</v>
      </c>
      <c r="D977" s="2">
        <v>45411.312858796293</v>
      </c>
      <c r="E977" s="2">
        <v>45411.320208333331</v>
      </c>
      <c r="F977" s="3">
        <f t="shared" si="15"/>
        <v>0.18795138888526708</v>
      </c>
    </row>
    <row r="978" spans="1:6" hidden="1">
      <c r="A978" s="1" t="s">
        <v>983</v>
      </c>
      <c r="B978" s="2">
        <v>45410</v>
      </c>
      <c r="C978" s="2">
        <v>45411.132256944446</v>
      </c>
      <c r="D978" s="2">
        <v>45411.313854166663</v>
      </c>
      <c r="E978" s="2">
        <v>45411.330370370371</v>
      </c>
      <c r="F978" s="3">
        <f t="shared" si="15"/>
        <v>0.19811342592583969</v>
      </c>
    </row>
    <row r="979" spans="1:6" hidden="1">
      <c r="A979" s="1" t="s">
        <v>984</v>
      </c>
      <c r="B979" s="2">
        <v>45410</v>
      </c>
      <c r="C979" s="2">
        <v>45411.736307870371</v>
      </c>
      <c r="D979" s="2">
        <v>45411.553854166668</v>
      </c>
      <c r="E979" s="2">
        <v>45411.595902777779</v>
      </c>
      <c r="F979" s="6" t="s">
        <v>1708</v>
      </c>
    </row>
    <row r="980" spans="1:6" hidden="1">
      <c r="A980" s="1" t="s">
        <v>985</v>
      </c>
      <c r="B980" s="2">
        <v>45410</v>
      </c>
      <c r="C980" s="2">
        <v>45411.736307870371</v>
      </c>
      <c r="D980" s="2">
        <v>45411.555150462962</v>
      </c>
      <c r="E980" s="2">
        <v>45411.596990740742</v>
      </c>
      <c r="F980" s="6" t="s">
        <v>1708</v>
      </c>
    </row>
    <row r="981" spans="1:6" hidden="1">
      <c r="A981" s="1" t="s">
        <v>986</v>
      </c>
      <c r="B981" s="2">
        <v>45410</v>
      </c>
      <c r="C981" s="2">
        <v>45411.736307870371</v>
      </c>
      <c r="D981" s="2">
        <v>45411.557847222219</v>
      </c>
      <c r="E981" s="2">
        <v>45411.599768518521</v>
      </c>
      <c r="F981" s="6" t="s">
        <v>1708</v>
      </c>
    </row>
    <row r="982" spans="1:6" hidden="1">
      <c r="A982" s="1" t="s">
        <v>987</v>
      </c>
      <c r="B982" s="2">
        <v>45410</v>
      </c>
      <c r="C982" s="2">
        <v>45411.736307870371</v>
      </c>
      <c r="D982" s="2">
        <v>45411.574074074073</v>
      </c>
      <c r="E982" s="2">
        <v>45411.616030092591</v>
      </c>
      <c r="F982" s="6" t="s">
        <v>1708</v>
      </c>
    </row>
    <row r="983" spans="1:6" hidden="1">
      <c r="A983" s="1" t="s">
        <v>988</v>
      </c>
      <c r="B983" s="2">
        <v>45410</v>
      </c>
      <c r="C983" s="2">
        <v>45411.736307870371</v>
      </c>
      <c r="D983" s="2">
        <v>45411.561967592592</v>
      </c>
      <c r="E983" s="2">
        <v>45411.60392361111</v>
      </c>
      <c r="F983" s="6" t="s">
        <v>1708</v>
      </c>
    </row>
    <row r="984" spans="1:6" hidden="1">
      <c r="A984" s="1" t="s">
        <v>989</v>
      </c>
      <c r="B984" s="2">
        <v>45410</v>
      </c>
      <c r="C984" s="2">
        <v>45411.485590277778</v>
      </c>
      <c r="D984" s="2">
        <v>45411.457129629627</v>
      </c>
      <c r="E984" s="2">
        <v>45411.538171296299</v>
      </c>
      <c r="F984" s="3">
        <f t="shared" si="15"/>
        <v>5.2581018520868383E-2</v>
      </c>
    </row>
    <row r="985" spans="1:6" hidden="1">
      <c r="A985" s="1" t="s">
        <v>990</v>
      </c>
      <c r="B985" s="2">
        <v>45410</v>
      </c>
      <c r="C985" s="2">
        <v>45411.485590277778</v>
      </c>
      <c r="D985" s="2">
        <v>45411.457962962966</v>
      </c>
      <c r="E985" s="2">
        <v>45411.499814814815</v>
      </c>
      <c r="F985" s="3">
        <f t="shared" si="15"/>
        <v>1.4224537037080154E-2</v>
      </c>
    </row>
    <row r="986" spans="1:6" hidden="1">
      <c r="A986" s="1" t="s">
        <v>991</v>
      </c>
      <c r="B986" s="2">
        <v>45409</v>
      </c>
      <c r="C986" s="2">
        <v>45410.936481481483</v>
      </c>
      <c r="D986" s="2">
        <v>45411.600451388891</v>
      </c>
      <c r="E986" s="2">
        <v>45411.642384259256</v>
      </c>
      <c r="F986" s="3">
        <f t="shared" si="15"/>
        <v>0.70590277777228039</v>
      </c>
    </row>
    <row r="987" spans="1:6" hidden="1">
      <c r="A987" s="1" t="s">
        <v>992</v>
      </c>
      <c r="B987" s="2">
        <v>45410</v>
      </c>
      <c r="C987" s="2">
        <v>45411.430659722224</v>
      </c>
      <c r="D987" s="2">
        <v>45411.32408564815</v>
      </c>
      <c r="E987" s="2">
        <v>45411.354814814818</v>
      </c>
      <c r="F987" s="6" t="s">
        <v>1708</v>
      </c>
    </row>
    <row r="988" spans="1:6" hidden="1">
      <c r="A988" s="1" t="s">
        <v>993</v>
      </c>
      <c r="B988" s="2">
        <v>45410</v>
      </c>
      <c r="C988" s="2">
        <v>45412.480092592596</v>
      </c>
      <c r="D988" s="2">
        <v>45412.494513888887</v>
      </c>
      <c r="E988" s="2">
        <v>45412.682488425926</v>
      </c>
      <c r="F988" s="3">
        <f t="shared" si="15"/>
        <v>0.20239583333022892</v>
      </c>
    </row>
    <row r="989" spans="1:6" hidden="1">
      <c r="A989" s="1" t="s">
        <v>994</v>
      </c>
      <c r="B989" s="2">
        <v>45410</v>
      </c>
      <c r="C989" s="2">
        <v>45411.466006944444</v>
      </c>
      <c r="D989" s="2">
        <v>45411.403993055559</v>
      </c>
      <c r="E989" s="2">
        <v>45411.446053240739</v>
      </c>
      <c r="F989" s="6" t="s">
        <v>1708</v>
      </c>
    </row>
    <row r="990" spans="1:6" hidden="1">
      <c r="A990" s="1" t="s">
        <v>995</v>
      </c>
      <c r="B990" s="2">
        <v>45412</v>
      </c>
      <c r="C990" s="2">
        <v>45412.172789351855</v>
      </c>
      <c r="D990" s="2">
        <v>45412.652141203704</v>
      </c>
      <c r="E990" s="2">
        <v>45412.694062499999</v>
      </c>
      <c r="F990" s="3">
        <f t="shared" si="15"/>
        <v>0.52127314814424608</v>
      </c>
    </row>
    <row r="991" spans="1:6" hidden="1">
      <c r="A991" s="1" t="s">
        <v>996</v>
      </c>
      <c r="B991" s="2">
        <v>45412</v>
      </c>
      <c r="C991" s="2">
        <v>45412.172789351855</v>
      </c>
      <c r="D991" s="2">
        <v>45412.656921296293</v>
      </c>
      <c r="E991" s="2">
        <v>45412.698738425926</v>
      </c>
      <c r="F991" s="3">
        <f t="shared" si="15"/>
        <v>0.525949074071832</v>
      </c>
    </row>
    <row r="992" spans="1:6" hidden="1">
      <c r="A992" s="1" t="s">
        <v>997</v>
      </c>
      <c r="B992" s="2">
        <v>45412</v>
      </c>
      <c r="C992" s="2">
        <v>45412.172789351855</v>
      </c>
      <c r="D992" s="2">
        <v>45412.662499999999</v>
      </c>
      <c r="E992" s="2">
        <v>45412.704386574071</v>
      </c>
      <c r="F992" s="3">
        <f t="shared" si="15"/>
        <v>0.53159722221607808</v>
      </c>
    </row>
    <row r="993" spans="1:6" hidden="1">
      <c r="A993" s="1" t="s">
        <v>998</v>
      </c>
      <c r="B993" s="2">
        <v>45412</v>
      </c>
      <c r="C993" s="2">
        <v>45413.039131944446</v>
      </c>
      <c r="D993" s="2">
        <v>45412.878368055557</v>
      </c>
      <c r="E993" s="2">
        <v>45412.920127314814</v>
      </c>
      <c r="F993" s="6" t="s">
        <v>1708</v>
      </c>
    </row>
    <row r="994" spans="1:6" hidden="1">
      <c r="A994" s="1" t="s">
        <v>999</v>
      </c>
      <c r="B994" s="2">
        <v>45412</v>
      </c>
      <c r="C994" s="2">
        <v>45413.039131944446</v>
      </c>
      <c r="D994" s="2">
        <v>45412.792581018519</v>
      </c>
      <c r="E994" s="2">
        <v>45412.834432870368</v>
      </c>
      <c r="F994" s="6" t="s">
        <v>1708</v>
      </c>
    </row>
    <row r="995" spans="1:6" hidden="1">
      <c r="A995" s="1" t="s">
        <v>1000</v>
      </c>
      <c r="B995" s="2">
        <v>45412</v>
      </c>
      <c r="C995" s="2">
        <v>45413.039120370369</v>
      </c>
      <c r="D995" s="2">
        <v>45412.805462962962</v>
      </c>
      <c r="E995" s="2">
        <v>45412.847233796296</v>
      </c>
      <c r="F995" s="6" t="s">
        <v>1708</v>
      </c>
    </row>
    <row r="996" spans="1:6" hidden="1">
      <c r="A996" s="1" t="s">
        <v>1001</v>
      </c>
      <c r="B996" s="2">
        <v>45412</v>
      </c>
      <c r="C996" s="2">
        <v>45413.039120370369</v>
      </c>
      <c r="D996" s="2">
        <v>45412.815254629626</v>
      </c>
      <c r="E996" s="2">
        <v>45412.857025462959</v>
      </c>
      <c r="F996" s="6" t="s">
        <v>1708</v>
      </c>
    </row>
    <row r="997" spans="1:6" hidden="1">
      <c r="A997" s="1" t="s">
        <v>1002</v>
      </c>
      <c r="B997" s="2">
        <v>45412</v>
      </c>
      <c r="C997" s="2">
        <v>45413.039143518516</v>
      </c>
      <c r="D997" s="2">
        <v>45412.821180555555</v>
      </c>
      <c r="E997" s="2">
        <v>45412.862962962965</v>
      </c>
      <c r="F997" s="6" t="s">
        <v>1708</v>
      </c>
    </row>
    <row r="998" spans="1:6" hidden="1">
      <c r="A998" s="1" t="s">
        <v>1003</v>
      </c>
      <c r="B998" s="2">
        <v>45412</v>
      </c>
      <c r="C998" s="2">
        <v>45413.0391087963</v>
      </c>
      <c r="D998" s="2">
        <v>45412.825810185182</v>
      </c>
      <c r="E998" s="2">
        <v>45412.867615740739</v>
      </c>
      <c r="F998" s="6" t="s">
        <v>1708</v>
      </c>
    </row>
    <row r="999" spans="1:6" hidden="1">
      <c r="A999" s="1" t="s">
        <v>1004</v>
      </c>
      <c r="B999" s="2">
        <v>45412</v>
      </c>
      <c r="C999" s="2">
        <v>45413.0391087963</v>
      </c>
      <c r="D999" s="2">
        <v>45412.830243055556</v>
      </c>
      <c r="E999" s="2">
        <v>45412.872048611112</v>
      </c>
      <c r="F999" s="6" t="s">
        <v>1708</v>
      </c>
    </row>
    <row r="1000" spans="1:6" hidden="1">
      <c r="A1000" s="1" t="s">
        <v>1005</v>
      </c>
      <c r="B1000" s="2">
        <v>45412</v>
      </c>
      <c r="C1000" s="2">
        <v>45413.039120370369</v>
      </c>
      <c r="D1000" s="2">
        <v>45412.850046296298</v>
      </c>
      <c r="E1000" s="2">
        <v>45412.891840277778</v>
      </c>
      <c r="F1000" s="6" t="s">
        <v>1708</v>
      </c>
    </row>
    <row r="1001" spans="1:6" hidden="1">
      <c r="A1001" s="1" t="s">
        <v>1006</v>
      </c>
      <c r="B1001" s="2">
        <v>45412</v>
      </c>
      <c r="C1001" s="2">
        <v>45412.30541666667</v>
      </c>
      <c r="D1001" s="2">
        <v>45413.444826388892</v>
      </c>
      <c r="E1001" s="2">
        <v>45413.45753472222</v>
      </c>
      <c r="F1001" s="3">
        <f t="shared" si="15"/>
        <v>1.1521180555500905</v>
      </c>
    </row>
    <row r="1002" spans="1:6" hidden="1">
      <c r="A1002" s="1" t="s">
        <v>1007</v>
      </c>
      <c r="B1002" s="2">
        <v>45411</v>
      </c>
      <c r="C1002" s="2">
        <v>45412.830208333333</v>
      </c>
      <c r="D1002" s="2">
        <v>45413.561574074076</v>
      </c>
      <c r="E1002" s="2">
        <v>45413.58488425926</v>
      </c>
      <c r="F1002" s="3">
        <f t="shared" si="15"/>
        <v>0.75467592592758592</v>
      </c>
    </row>
    <row r="1003" spans="1:6" hidden="1">
      <c r="A1003" s="1" t="s">
        <v>1008</v>
      </c>
      <c r="B1003" s="2">
        <v>45412</v>
      </c>
      <c r="C1003" s="2">
        <v>45413.174166666664</v>
      </c>
      <c r="D1003" s="2">
        <v>45413.387280092589</v>
      </c>
      <c r="E1003" s="2">
        <v>45413.429178240738</v>
      </c>
      <c r="F1003" s="3">
        <f t="shared" si="15"/>
        <v>0.25501157407416031</v>
      </c>
    </row>
    <row r="1004" spans="1:6" hidden="1">
      <c r="A1004" s="1" t="s">
        <v>1009</v>
      </c>
      <c r="B1004" s="2">
        <v>45412</v>
      </c>
      <c r="C1004" s="2">
        <v>45413.174166666664</v>
      </c>
      <c r="D1004" s="2">
        <v>45413.412627314814</v>
      </c>
      <c r="E1004" s="2">
        <v>45413.454502314817</v>
      </c>
      <c r="F1004" s="3">
        <f t="shared" si="15"/>
        <v>0.28033564815268619</v>
      </c>
    </row>
    <row r="1005" spans="1:6" hidden="1">
      <c r="A1005" s="1" t="s">
        <v>1010</v>
      </c>
      <c r="B1005" s="2">
        <v>45412</v>
      </c>
      <c r="C1005" s="2">
        <v>45413.174166666664</v>
      </c>
      <c r="D1005" s="2">
        <v>45413.418368055558</v>
      </c>
      <c r="E1005" s="2">
        <v>45413.461377314816</v>
      </c>
      <c r="F1005" s="3">
        <f t="shared" si="15"/>
        <v>0.28721064815181307</v>
      </c>
    </row>
    <row r="1006" spans="1:6" hidden="1">
      <c r="A1006" s="1" t="s">
        <v>1011</v>
      </c>
      <c r="B1006" s="2">
        <v>45412</v>
      </c>
      <c r="C1006" s="2">
        <v>45413.174166666664</v>
      </c>
      <c r="D1006" s="2">
        <v>45413.442569444444</v>
      </c>
      <c r="E1006" s="2">
        <v>45413.45171296296</v>
      </c>
      <c r="F1006" s="3">
        <f t="shared" si="15"/>
        <v>0.27754629629635019</v>
      </c>
    </row>
    <row r="1007" spans="1:6" hidden="1">
      <c r="A1007" s="1" t="s">
        <v>1012</v>
      </c>
      <c r="B1007" s="2">
        <v>45412</v>
      </c>
      <c r="C1007" s="2">
        <v>45413.176307870373</v>
      </c>
      <c r="D1007" s="2">
        <v>45413.44630787037</v>
      </c>
      <c r="E1007" s="2">
        <v>45413.48814814815</v>
      </c>
      <c r="F1007" s="3">
        <f t="shared" si="15"/>
        <v>0.31184027777635492</v>
      </c>
    </row>
    <row r="1008" spans="1:6" hidden="1">
      <c r="A1008" s="1" t="s">
        <v>1013</v>
      </c>
      <c r="B1008" s="2">
        <v>45413</v>
      </c>
      <c r="C1008" s="2">
        <v>45413.465810185182</v>
      </c>
      <c r="D1008" s="2">
        <v>45413.44871527778</v>
      </c>
      <c r="E1008" s="2">
        <v>45413.490520833337</v>
      </c>
      <c r="F1008" s="3">
        <f t="shared" si="15"/>
        <v>2.4710648154723458E-2</v>
      </c>
    </row>
    <row r="1009" spans="1:6" hidden="1">
      <c r="A1009" s="1" t="s">
        <v>1014</v>
      </c>
      <c r="B1009" s="2">
        <v>45413</v>
      </c>
      <c r="C1009" s="2">
        <v>45413.465810185182</v>
      </c>
      <c r="D1009" s="2">
        <v>45413.450648148151</v>
      </c>
      <c r="E1009" s="2">
        <v>45413.492407407408</v>
      </c>
      <c r="F1009" s="3">
        <f t="shared" si="15"/>
        <v>2.6597222225973383E-2</v>
      </c>
    </row>
    <row r="1010" spans="1:6" hidden="1">
      <c r="A1010" s="1" t="s">
        <v>1015</v>
      </c>
      <c r="B1010" s="2">
        <v>45412</v>
      </c>
      <c r="C1010" s="2">
        <v>45413.465810185182</v>
      </c>
      <c r="D1010" s="2">
        <v>45413.454062500001</v>
      </c>
      <c r="E1010" s="2">
        <v>45413.495949074073</v>
      </c>
      <c r="F1010" s="3">
        <f t="shared" si="15"/>
        <v>3.0138888891087845E-2</v>
      </c>
    </row>
    <row r="1011" spans="1:6" hidden="1">
      <c r="A1011" s="1" t="s">
        <v>1016</v>
      </c>
      <c r="B1011" s="2">
        <v>45412</v>
      </c>
      <c r="C1011" s="2">
        <v>45413.465810185182</v>
      </c>
      <c r="D1011" s="2">
        <v>45413.456770833334</v>
      </c>
      <c r="E1011" s="2">
        <v>45413.466909722221</v>
      </c>
      <c r="F1011" s="3">
        <f t="shared" si="15"/>
        <v>1.0995370394084603E-3</v>
      </c>
    </row>
    <row r="1012" spans="1:6" hidden="1">
      <c r="A1012" s="1" t="s">
        <v>1017</v>
      </c>
      <c r="B1012" s="2">
        <v>45414</v>
      </c>
      <c r="C1012" s="2">
        <v>45413.310185185182</v>
      </c>
      <c r="D1012" s="2">
        <v>45413.472928240742</v>
      </c>
      <c r="E1012" s="2">
        <v>45413.56931712963</v>
      </c>
      <c r="F1012" s="3">
        <f t="shared" si="15"/>
        <v>0.25913194444729015</v>
      </c>
    </row>
    <row r="1013" spans="1:6" hidden="1">
      <c r="A1013" s="1" t="s">
        <v>1018</v>
      </c>
      <c r="B1013" s="2">
        <v>45413</v>
      </c>
      <c r="C1013" s="2">
        <v>45413.039120370369</v>
      </c>
      <c r="D1013" s="2">
        <v>45413.59783564815</v>
      </c>
      <c r="E1013" s="2">
        <v>45413.640138888892</v>
      </c>
      <c r="F1013" s="3">
        <f t="shared" si="15"/>
        <v>0.60101851852232357</v>
      </c>
    </row>
    <row r="1014" spans="1:6" hidden="1">
      <c r="A1014" s="1" t="s">
        <v>1019</v>
      </c>
      <c r="B1014" s="2">
        <v>45413</v>
      </c>
      <c r="C1014" s="2">
        <v>45413.039143518516</v>
      </c>
      <c r="D1014" s="2">
        <v>45413.604039351849</v>
      </c>
      <c r="E1014" s="2">
        <v>45413.645856481482</v>
      </c>
      <c r="F1014" s="3">
        <f t="shared" si="15"/>
        <v>0.60671296296641231</v>
      </c>
    </row>
    <row r="1015" spans="1:6" hidden="1">
      <c r="A1015" s="1" t="s">
        <v>1020</v>
      </c>
      <c r="B1015" s="2">
        <v>45413</v>
      </c>
      <c r="C1015" s="2">
        <v>45413.331446759257</v>
      </c>
      <c r="D1015" s="2">
        <v>45413.609513888892</v>
      </c>
      <c r="E1015" s="2">
        <v>45413.651261574072</v>
      </c>
      <c r="F1015" s="3">
        <f t="shared" si="15"/>
        <v>0.31981481481489027</v>
      </c>
    </row>
    <row r="1016" spans="1:6" hidden="1">
      <c r="A1016" s="1" t="s">
        <v>1021</v>
      </c>
      <c r="B1016" s="2">
        <v>45413</v>
      </c>
      <c r="C1016" s="2">
        <v>45413.0391087963</v>
      </c>
      <c r="D1016" s="2">
        <v>45413.629201388889</v>
      </c>
      <c r="E1016" s="2">
        <v>45413.671041666668</v>
      </c>
      <c r="F1016" s="3">
        <f t="shared" si="15"/>
        <v>0.63193287036847323</v>
      </c>
    </row>
    <row r="1017" spans="1:6" hidden="1">
      <c r="A1017" s="1" t="s">
        <v>1022</v>
      </c>
      <c r="B1017" s="2">
        <v>45412</v>
      </c>
      <c r="C1017" s="2">
        <v>45413.536307870374</v>
      </c>
      <c r="D1017" s="2">
        <v>45413.639097222222</v>
      </c>
      <c r="E1017" s="2">
        <v>45413.683368055557</v>
      </c>
      <c r="F1017" s="3">
        <f t="shared" si="15"/>
        <v>0.1470601851833635</v>
      </c>
    </row>
    <row r="1018" spans="1:6" hidden="1">
      <c r="A1018" s="1" t="s">
        <v>1023</v>
      </c>
      <c r="B1018" s="2">
        <v>45413</v>
      </c>
      <c r="C1018" s="2">
        <v>45413.176307870373</v>
      </c>
      <c r="D1018" s="2">
        <v>45413.647152777776</v>
      </c>
      <c r="E1018" s="2">
        <v>45413.688923611109</v>
      </c>
      <c r="F1018" s="3">
        <f t="shared" si="15"/>
        <v>0.51261574073578231</v>
      </c>
    </row>
    <row r="1019" spans="1:6" hidden="1">
      <c r="A1019" s="1" t="s">
        <v>1024</v>
      </c>
      <c r="B1019" s="2">
        <v>45412</v>
      </c>
      <c r="C1019" s="2">
        <v>45413.727222222224</v>
      </c>
      <c r="D1019" s="2">
        <v>45413.735995370371</v>
      </c>
      <c r="E1019" s="2">
        <v>45413.791574074072</v>
      </c>
      <c r="F1019" s="3">
        <f t="shared" si="15"/>
        <v>6.4351851848186925E-2</v>
      </c>
    </row>
    <row r="1020" spans="1:6" hidden="1">
      <c r="A1020" s="1" t="s">
        <v>1025</v>
      </c>
      <c r="B1020" s="2">
        <v>45412</v>
      </c>
      <c r="C1020" s="2">
        <v>45413.727222222224</v>
      </c>
      <c r="D1020" s="2">
        <v>45413.688726851855</v>
      </c>
      <c r="E1020" s="2">
        <v>45413.730532407404</v>
      </c>
      <c r="F1020" s="3">
        <f t="shared" si="15"/>
        <v>3.3101851804531179E-3</v>
      </c>
    </row>
    <row r="1021" spans="1:6" hidden="1">
      <c r="A1021" s="1" t="s">
        <v>1026</v>
      </c>
      <c r="B1021" s="2">
        <v>45412</v>
      </c>
      <c r="C1021" s="2">
        <v>45413.727222222224</v>
      </c>
      <c r="D1021" s="2">
        <v>45413.692928240744</v>
      </c>
      <c r="E1021" s="2">
        <v>45413.734733796293</v>
      </c>
      <c r="F1021" s="3">
        <f t="shared" si="15"/>
        <v>7.5115740692126565E-3</v>
      </c>
    </row>
    <row r="1022" spans="1:6" hidden="1">
      <c r="A1022" s="1" t="s">
        <v>1027</v>
      </c>
      <c r="B1022" s="2">
        <v>45413</v>
      </c>
      <c r="C1022" s="2">
        <v>45414.07984953704</v>
      </c>
      <c r="D1022" s="2">
        <v>45414.368958333333</v>
      </c>
      <c r="E1022" s="2">
        <v>45414.410787037035</v>
      </c>
      <c r="F1022" s="3">
        <f t="shared" si="15"/>
        <v>0.33093749999534339</v>
      </c>
    </row>
    <row r="1023" spans="1:6" hidden="1">
      <c r="A1023" s="1" t="s">
        <v>1028</v>
      </c>
      <c r="B1023" s="2">
        <v>45413</v>
      </c>
      <c r="C1023" s="2">
        <v>45414.859259259261</v>
      </c>
      <c r="D1023" s="2">
        <v>45415.769004629627</v>
      </c>
      <c r="E1023" s="2">
        <v>45415.810787037037</v>
      </c>
      <c r="F1023" s="3">
        <f t="shared" si="15"/>
        <v>0.95152777777548181</v>
      </c>
    </row>
    <row r="1024" spans="1:6" hidden="1">
      <c r="A1024" s="1" t="s">
        <v>1029</v>
      </c>
      <c r="B1024" s="2">
        <v>45413</v>
      </c>
      <c r="C1024" s="2">
        <v>45414.079745370371</v>
      </c>
      <c r="D1024" s="2">
        <v>45414.389004629629</v>
      </c>
      <c r="E1024" s="2">
        <v>45414.41201388889</v>
      </c>
      <c r="F1024" s="3">
        <f t="shared" si="15"/>
        <v>0.33226851851941319</v>
      </c>
    </row>
    <row r="1025" spans="1:6" hidden="1">
      <c r="A1025" s="1" t="s">
        <v>1030</v>
      </c>
      <c r="B1025" s="2">
        <v>45413</v>
      </c>
      <c r="C1025" s="2">
        <v>45414.079826388886</v>
      </c>
      <c r="D1025" s="2">
        <v>45414.394293981481</v>
      </c>
      <c r="E1025" s="2">
        <v>45414.436793981484</v>
      </c>
      <c r="F1025" s="3">
        <f t="shared" si="15"/>
        <v>0.356967592597357</v>
      </c>
    </row>
    <row r="1026" spans="1:6" hidden="1">
      <c r="A1026" s="1" t="s">
        <v>1031</v>
      </c>
      <c r="B1026" s="2">
        <v>45412</v>
      </c>
      <c r="C1026" s="2">
        <v>45414.247847222221</v>
      </c>
      <c r="D1026" s="2">
        <v>45414.417546296296</v>
      </c>
      <c r="E1026" s="2">
        <v>45414.623113425929</v>
      </c>
      <c r="F1026" s="3">
        <f t="shared" si="15"/>
        <v>0.37526620370772434</v>
      </c>
    </row>
    <row r="1027" spans="1:6" hidden="1">
      <c r="A1027" s="1" t="s">
        <v>1032</v>
      </c>
      <c r="B1027" s="2">
        <v>45413</v>
      </c>
      <c r="C1027" s="2">
        <v>45414.079756944448</v>
      </c>
      <c r="D1027" s="2">
        <v>45414.449745370373</v>
      </c>
      <c r="E1027" s="2">
        <v>45414.491666666669</v>
      </c>
      <c r="F1027" s="3">
        <f t="shared" ref="F1027:F1090" si="16">E1027-C1027</f>
        <v>0.41190972222102573</v>
      </c>
    </row>
    <row r="1028" spans="1:6" hidden="1">
      <c r="A1028" s="1" t="s">
        <v>1033</v>
      </c>
      <c r="B1028" s="2">
        <v>45413</v>
      </c>
      <c r="C1028" s="2">
        <v>45414.71303240741</v>
      </c>
      <c r="D1028" s="2">
        <v>45414.458611111113</v>
      </c>
      <c r="E1028" s="2">
        <v>45414.470486111109</v>
      </c>
      <c r="F1028" s="6" t="s">
        <v>1708</v>
      </c>
    </row>
    <row r="1029" spans="1:6" hidden="1">
      <c r="A1029" s="1" t="s">
        <v>1034</v>
      </c>
      <c r="B1029" s="2">
        <v>45413</v>
      </c>
      <c r="C1029" s="2">
        <v>45414.750023148146</v>
      </c>
      <c r="D1029" s="2">
        <v>45414.571423611109</v>
      </c>
      <c r="E1029" s="2">
        <v>45414.591157407405</v>
      </c>
      <c r="F1029" s="6" t="s">
        <v>1708</v>
      </c>
    </row>
    <row r="1030" spans="1:6" hidden="1">
      <c r="A1030" s="1" t="s">
        <v>1035</v>
      </c>
      <c r="B1030" s="2">
        <v>45413</v>
      </c>
      <c r="C1030" s="2">
        <v>45414.717083333337</v>
      </c>
      <c r="D1030" s="2">
        <v>45414.580196759256</v>
      </c>
      <c r="E1030" s="2">
        <v>45414.622048611112</v>
      </c>
      <c r="F1030" s="6" t="s">
        <v>1708</v>
      </c>
    </row>
    <row r="1031" spans="1:6" hidden="1">
      <c r="A1031" s="1" t="s">
        <v>1036</v>
      </c>
      <c r="B1031" s="2">
        <v>45415</v>
      </c>
      <c r="C1031" s="2">
        <v>45415.168032407404</v>
      </c>
      <c r="D1031" s="2">
        <v>45415.406886574077</v>
      </c>
      <c r="E1031" s="2">
        <v>45415.448877314811</v>
      </c>
      <c r="F1031" s="3">
        <f t="shared" si="16"/>
        <v>0.28084490740729962</v>
      </c>
    </row>
    <row r="1032" spans="1:6" hidden="1">
      <c r="A1032" s="1" t="s">
        <v>1037</v>
      </c>
      <c r="B1032" s="2">
        <v>45415</v>
      </c>
      <c r="C1032" s="2">
        <v>45415.168032407404</v>
      </c>
      <c r="D1032" s="2">
        <v>45415.408171296294</v>
      </c>
      <c r="E1032" s="2">
        <v>45415.449953703705</v>
      </c>
      <c r="F1032" s="3">
        <f t="shared" si="16"/>
        <v>0.28192129630042473</v>
      </c>
    </row>
    <row r="1033" spans="1:6" hidden="1">
      <c r="A1033" s="1" t="s">
        <v>1038</v>
      </c>
      <c r="B1033" s="2">
        <v>45415</v>
      </c>
      <c r="C1033" s="2">
        <v>45415.168032407404</v>
      </c>
      <c r="D1033" s="2">
        <v>45415.421284722222</v>
      </c>
      <c r="E1033" s="2">
        <v>45415.463368055556</v>
      </c>
      <c r="F1033" s="3">
        <f t="shared" si="16"/>
        <v>0.29533564815210411</v>
      </c>
    </row>
    <row r="1034" spans="1:6" hidden="1">
      <c r="A1034" s="1" t="s">
        <v>1039</v>
      </c>
      <c r="B1034" s="2">
        <v>45415</v>
      </c>
      <c r="C1034" s="2">
        <v>45415.168032407404</v>
      </c>
      <c r="D1034" s="2">
        <v>45415.425196759257</v>
      </c>
      <c r="E1034" s="2">
        <v>45415.467106481483</v>
      </c>
      <c r="F1034" s="3">
        <f t="shared" si="16"/>
        <v>0.29907407407881692</v>
      </c>
    </row>
    <row r="1035" spans="1:6" hidden="1">
      <c r="A1035" s="1" t="s">
        <v>1040</v>
      </c>
      <c r="B1035" s="2">
        <v>45415</v>
      </c>
      <c r="C1035" s="2">
        <v>45415.334872685184</v>
      </c>
      <c r="D1035" s="2">
        <v>45415.427314814813</v>
      </c>
      <c r="E1035" s="2">
        <v>45415.46912037037</v>
      </c>
      <c r="F1035" s="3">
        <f t="shared" si="16"/>
        <v>0.13424768518598285</v>
      </c>
    </row>
    <row r="1036" spans="1:6" hidden="1">
      <c r="A1036" s="1" t="s">
        <v>1041</v>
      </c>
      <c r="B1036" s="2">
        <v>45414</v>
      </c>
      <c r="C1036" s="2">
        <v>45415.459780092591</v>
      </c>
      <c r="D1036" s="2">
        <v>45415.43712962963</v>
      </c>
      <c r="E1036" s="2">
        <v>45415.458379629628</v>
      </c>
      <c r="F1036" s="6" t="s">
        <v>1708</v>
      </c>
    </row>
    <row r="1037" spans="1:6" hidden="1">
      <c r="A1037" s="1" t="s">
        <v>1042</v>
      </c>
      <c r="B1037" s="2">
        <v>45414</v>
      </c>
      <c r="C1037" s="2">
        <v>45415.459780092591</v>
      </c>
      <c r="D1037" s="2">
        <v>45415.448576388888</v>
      </c>
      <c r="E1037" s="2">
        <v>45415.469143518516</v>
      </c>
      <c r="F1037" s="3">
        <f t="shared" si="16"/>
        <v>9.3634259246755391E-3</v>
      </c>
    </row>
    <row r="1038" spans="1:6" hidden="1">
      <c r="A1038" s="1" t="s">
        <v>1043</v>
      </c>
      <c r="B1038" s="2">
        <v>45414</v>
      </c>
      <c r="C1038" s="2">
        <v>45415.459780092591</v>
      </c>
      <c r="D1038" s="2">
        <v>45415.452222222222</v>
      </c>
      <c r="E1038" s="2">
        <v>45415.472337962965</v>
      </c>
      <c r="F1038" s="3">
        <f t="shared" si="16"/>
        <v>1.2557870373711921E-2</v>
      </c>
    </row>
    <row r="1039" spans="1:6" hidden="1">
      <c r="A1039" s="1" t="s">
        <v>1044</v>
      </c>
      <c r="B1039" s="2">
        <v>45414</v>
      </c>
      <c r="C1039" s="2">
        <v>45415.727916666663</v>
      </c>
      <c r="D1039" s="2">
        <v>45415.584710648145</v>
      </c>
      <c r="E1039" s="2">
        <v>45415.626504629632</v>
      </c>
      <c r="F1039" s="6" t="s">
        <v>1708</v>
      </c>
    </row>
    <row r="1040" spans="1:6" hidden="1">
      <c r="A1040" s="1" t="s">
        <v>1045</v>
      </c>
      <c r="B1040" s="2">
        <v>45414</v>
      </c>
      <c r="C1040" s="2">
        <v>45415.487442129626</v>
      </c>
      <c r="D1040" s="2">
        <v>45415.634212962963</v>
      </c>
      <c r="E1040" s="2">
        <v>45415.676145833335</v>
      </c>
      <c r="F1040" s="3">
        <f t="shared" si="16"/>
        <v>0.18870370370859746</v>
      </c>
    </row>
    <row r="1041" spans="1:6" hidden="1">
      <c r="A1041" s="1" t="s">
        <v>1046</v>
      </c>
      <c r="B1041" s="2">
        <v>45414</v>
      </c>
      <c r="C1041" s="2">
        <v>45415.459780092591</v>
      </c>
      <c r="D1041" s="2">
        <v>45415.638379629629</v>
      </c>
      <c r="E1041" s="2">
        <v>45415.750543981485</v>
      </c>
      <c r="F1041" s="3">
        <f t="shared" si="16"/>
        <v>0.29076388889370719</v>
      </c>
    </row>
    <row r="1042" spans="1:6" hidden="1">
      <c r="A1042" s="1" t="s">
        <v>1047</v>
      </c>
      <c r="B1042" s="2">
        <v>45414</v>
      </c>
      <c r="C1042" s="2">
        <v>45415.459780092591</v>
      </c>
      <c r="D1042" s="2">
        <v>45415.641574074078</v>
      </c>
      <c r="E1042" s="2">
        <v>45415.751296296294</v>
      </c>
      <c r="F1042" s="3">
        <f t="shared" si="16"/>
        <v>0.29151620370248565</v>
      </c>
    </row>
    <row r="1043" spans="1:6" hidden="1">
      <c r="A1043" s="1" t="s">
        <v>1048</v>
      </c>
      <c r="B1043" s="2">
        <v>45414</v>
      </c>
      <c r="C1043" s="2">
        <v>45415.459780092591</v>
      </c>
      <c r="D1043" s="2">
        <v>45415.642627314817</v>
      </c>
      <c r="E1043" s="2">
        <v>45415.749178240738</v>
      </c>
      <c r="F1043" s="3">
        <f t="shared" si="16"/>
        <v>0.28939814814657439</v>
      </c>
    </row>
    <row r="1044" spans="1:6">
      <c r="A1044" s="1" t="s">
        <v>1049</v>
      </c>
      <c r="B1044" s="2">
        <v>45414</v>
      </c>
      <c r="C1044" s="2">
        <v>45415.459780092591</v>
      </c>
      <c r="D1044" s="2">
        <v>45415.644618055558</v>
      </c>
      <c r="E1044" s="2">
        <v>45421.378958333335</v>
      </c>
      <c r="F1044" s="3">
        <f t="shared" si="16"/>
        <v>5.9191782407433493</v>
      </c>
    </row>
    <row r="1045" spans="1:6" hidden="1">
      <c r="A1045" s="1" t="s">
        <v>1050</v>
      </c>
      <c r="B1045" s="2">
        <v>45414</v>
      </c>
      <c r="C1045" s="2">
        <v>45415.459780092591</v>
      </c>
      <c r="D1045" s="2">
        <v>45415.683668981481</v>
      </c>
      <c r="E1045" s="2">
        <v>45415.752696759257</v>
      </c>
      <c r="F1045" s="3">
        <f t="shared" si="16"/>
        <v>0.2929166666654055</v>
      </c>
    </row>
    <row r="1046" spans="1:6" hidden="1">
      <c r="A1046" s="1" t="s">
        <v>1051</v>
      </c>
      <c r="B1046" s="2">
        <v>45414</v>
      </c>
      <c r="C1046" s="2">
        <v>45415.459780092591</v>
      </c>
      <c r="D1046" s="2">
        <v>45415.694212962961</v>
      </c>
      <c r="E1046" s="2">
        <v>45415.751909722225</v>
      </c>
      <c r="F1046" s="3">
        <f t="shared" si="16"/>
        <v>0.29212962963356404</v>
      </c>
    </row>
    <row r="1047" spans="1:6" hidden="1">
      <c r="A1047" s="1" t="s">
        <v>1052</v>
      </c>
      <c r="B1047" s="2">
        <v>45412</v>
      </c>
      <c r="C1047" s="2">
        <v>45413.762662037036</v>
      </c>
      <c r="D1047" s="2">
        <v>45415.709409722222</v>
      </c>
      <c r="E1047" s="2">
        <v>45415.942812499998</v>
      </c>
      <c r="F1047" s="3">
        <f t="shared" si="16"/>
        <v>2.1801504629620467</v>
      </c>
    </row>
    <row r="1048" spans="1:6" hidden="1">
      <c r="A1048" s="1" t="s">
        <v>1053</v>
      </c>
      <c r="B1048" s="2">
        <v>45413</v>
      </c>
      <c r="C1048" s="2">
        <v>45415.727916666663</v>
      </c>
      <c r="D1048" s="2">
        <v>45415.721412037034</v>
      </c>
      <c r="E1048" s="2">
        <v>45415.729502314818</v>
      </c>
      <c r="F1048" s="3">
        <f t="shared" si="16"/>
        <v>1.5856481550144963E-3</v>
      </c>
    </row>
    <row r="1049" spans="1:6" hidden="1">
      <c r="A1049" s="1" t="s">
        <v>1054</v>
      </c>
      <c r="B1049" s="2">
        <v>45414</v>
      </c>
      <c r="C1049" s="2">
        <v>45415.93854166667</v>
      </c>
      <c r="D1049" s="2">
        <v>45415.728437500002</v>
      </c>
      <c r="E1049" s="2">
        <v>45415.730787037035</v>
      </c>
      <c r="F1049" s="6" t="s">
        <v>1708</v>
      </c>
    </row>
    <row r="1050" spans="1:6" hidden="1">
      <c r="A1050" s="1" t="s">
        <v>1055</v>
      </c>
      <c r="B1050" s="2">
        <v>45414</v>
      </c>
      <c r="C1050" s="2">
        <v>45415.93854166667</v>
      </c>
      <c r="D1050" s="2">
        <v>45415.733055555553</v>
      </c>
      <c r="E1050" s="2">
        <v>45415.93854166667</v>
      </c>
      <c r="F1050" s="3">
        <f t="shared" si="16"/>
        <v>0</v>
      </c>
    </row>
    <row r="1051" spans="1:6" hidden="1">
      <c r="A1051" s="1" t="s">
        <v>1056</v>
      </c>
      <c r="B1051" s="2">
        <v>45415</v>
      </c>
      <c r="C1051" s="2">
        <v>45415.783703703702</v>
      </c>
      <c r="D1051" s="2">
        <v>45415.964259259257</v>
      </c>
      <c r="E1051" s="2">
        <v>45415.983483796299</v>
      </c>
      <c r="F1051" s="3">
        <f t="shared" si="16"/>
        <v>0.19978009259648388</v>
      </c>
    </row>
    <row r="1052" spans="1:6" hidden="1">
      <c r="A1052" s="1" t="s">
        <v>1057</v>
      </c>
      <c r="B1052" s="2">
        <v>45415</v>
      </c>
      <c r="C1052" s="2">
        <v>45415.783703703702</v>
      </c>
      <c r="D1052" s="2">
        <v>45415.968819444446</v>
      </c>
      <c r="E1052" s="2">
        <v>45416.01054398148</v>
      </c>
      <c r="F1052" s="3">
        <f t="shared" si="16"/>
        <v>0.22684027777722804</v>
      </c>
    </row>
    <row r="1053" spans="1:6" hidden="1">
      <c r="A1053" s="1" t="s">
        <v>1058</v>
      </c>
      <c r="B1053" s="2">
        <v>45415</v>
      </c>
      <c r="C1053" s="2">
        <v>45416.24019675926</v>
      </c>
      <c r="D1053" s="2">
        <v>45415.98265046296</v>
      </c>
      <c r="E1053" s="2">
        <v>45416.275868055556</v>
      </c>
      <c r="F1053" s="3">
        <f t="shared" si="16"/>
        <v>3.5671296296641231E-2</v>
      </c>
    </row>
    <row r="1054" spans="1:6" hidden="1">
      <c r="A1054" s="1" t="s">
        <v>1059</v>
      </c>
      <c r="B1054" s="2">
        <v>45415</v>
      </c>
      <c r="C1054" s="2">
        <v>45415.433483796296</v>
      </c>
      <c r="D1054" s="2">
        <v>45415.985694444447</v>
      </c>
      <c r="E1054" s="2">
        <v>45416.027453703704</v>
      </c>
      <c r="F1054" s="3">
        <f t="shared" si="16"/>
        <v>0.59396990740788169</v>
      </c>
    </row>
    <row r="1055" spans="1:6" hidden="1">
      <c r="A1055" s="1" t="s">
        <v>1060</v>
      </c>
      <c r="B1055" s="2">
        <v>45415</v>
      </c>
      <c r="C1055" s="2">
        <v>45415.433483796296</v>
      </c>
      <c r="D1055" s="2">
        <v>45415.989745370367</v>
      </c>
      <c r="E1055" s="2">
        <v>45416.031527777777</v>
      </c>
      <c r="F1055" s="3">
        <f t="shared" si="16"/>
        <v>0.59804398148116888</v>
      </c>
    </row>
    <row r="1056" spans="1:6" hidden="1">
      <c r="A1056" s="1" t="s">
        <v>1061</v>
      </c>
      <c r="B1056" s="2">
        <v>45415</v>
      </c>
      <c r="C1056" s="2">
        <v>45416.240231481483</v>
      </c>
      <c r="D1056" s="2">
        <v>45416.000972222224</v>
      </c>
      <c r="E1056" s="2">
        <v>45416.265902777777</v>
      </c>
      <c r="F1056" s="3">
        <f t="shared" si="16"/>
        <v>2.5671296294603962E-2</v>
      </c>
    </row>
    <row r="1057" spans="1:6" hidden="1">
      <c r="A1057" s="1" t="s">
        <v>1062</v>
      </c>
      <c r="B1057" s="2">
        <v>45415</v>
      </c>
      <c r="C1057" s="2">
        <v>45416.240231481483</v>
      </c>
      <c r="D1057" s="2">
        <v>45416.004351851851</v>
      </c>
      <c r="E1057" s="2">
        <v>45416.262349537035</v>
      </c>
      <c r="F1057" s="3">
        <f t="shared" si="16"/>
        <v>2.2118055552709848E-2</v>
      </c>
    </row>
    <row r="1058" spans="1:6" hidden="1">
      <c r="A1058" s="1" t="s">
        <v>1063</v>
      </c>
      <c r="B1058" s="2">
        <v>45415</v>
      </c>
      <c r="C1058" s="2">
        <v>45416.240208333336</v>
      </c>
      <c r="D1058" s="2">
        <v>45416.007824074077</v>
      </c>
      <c r="E1058" s="2">
        <v>45416.26289351852</v>
      </c>
      <c r="F1058" s="3">
        <f t="shared" si="16"/>
        <v>2.2685185183945578E-2</v>
      </c>
    </row>
    <row r="1059" spans="1:6" hidden="1">
      <c r="A1059" s="1" t="s">
        <v>1064</v>
      </c>
      <c r="B1059" s="2">
        <v>45415</v>
      </c>
      <c r="C1059" s="2">
        <v>45415.736608796295</v>
      </c>
      <c r="D1059" s="2">
        <v>45416.018310185187</v>
      </c>
      <c r="E1059" s="2">
        <v>45416.306886574072</v>
      </c>
      <c r="F1059" s="3">
        <f t="shared" si="16"/>
        <v>0.570277777776937</v>
      </c>
    </row>
    <row r="1060" spans="1:6" hidden="1">
      <c r="A1060" s="1" t="s">
        <v>1065</v>
      </c>
      <c r="B1060" s="2">
        <v>45415</v>
      </c>
      <c r="C1060" s="2">
        <v>45415.736608796295</v>
      </c>
      <c r="D1060" s="2">
        <v>45416.022511574076</v>
      </c>
      <c r="E1060" s="2">
        <v>45416.308356481481</v>
      </c>
      <c r="F1060" s="3">
        <f t="shared" si="16"/>
        <v>0.57174768518598285</v>
      </c>
    </row>
    <row r="1061" spans="1:6" hidden="1">
      <c r="A1061" s="1" t="s">
        <v>1066</v>
      </c>
      <c r="B1061" s="2">
        <v>45415</v>
      </c>
      <c r="C1061" s="2">
        <v>45415.736608796295</v>
      </c>
      <c r="D1061" s="2">
        <v>45416.038252314815</v>
      </c>
      <c r="E1061" s="2">
        <v>45416.306979166664</v>
      </c>
      <c r="F1061" s="3">
        <f t="shared" si="16"/>
        <v>0.57037037036934635</v>
      </c>
    </row>
    <row r="1062" spans="1:6" hidden="1">
      <c r="A1062" s="1" t="s">
        <v>1067</v>
      </c>
      <c r="B1062" s="2">
        <v>45415</v>
      </c>
      <c r="C1062" s="2">
        <v>45415.736608796295</v>
      </c>
      <c r="D1062" s="2">
        <v>45416.042337962965</v>
      </c>
      <c r="E1062" s="2">
        <v>45416.307627314818</v>
      </c>
      <c r="F1062" s="3">
        <f t="shared" si="16"/>
        <v>0.57101851852348773</v>
      </c>
    </row>
    <row r="1063" spans="1:6" hidden="1">
      <c r="A1063" s="1" t="s">
        <v>1068</v>
      </c>
      <c r="B1063" s="2">
        <v>45415</v>
      </c>
      <c r="C1063" s="2">
        <v>45416.464328703703</v>
      </c>
      <c r="D1063" s="2">
        <v>45416.426365740743</v>
      </c>
      <c r="E1063" s="2">
        <v>45416.437152777777</v>
      </c>
      <c r="F1063" s="6" t="s">
        <v>1708</v>
      </c>
    </row>
    <row r="1064" spans="1:6" hidden="1">
      <c r="A1064" s="1" t="s">
        <v>1069</v>
      </c>
      <c r="B1064" s="2">
        <v>45415</v>
      </c>
      <c r="C1064" s="2">
        <v>45416.464328703703</v>
      </c>
      <c r="D1064" s="2">
        <v>45416.425451388888</v>
      </c>
      <c r="E1064" s="2">
        <v>45416.436956018515</v>
      </c>
      <c r="F1064" s="6" t="s">
        <v>1708</v>
      </c>
    </row>
    <row r="1065" spans="1:6" hidden="1">
      <c r="A1065" s="1" t="s">
        <v>1070</v>
      </c>
      <c r="B1065" s="2">
        <v>45415</v>
      </c>
      <c r="C1065" s="2">
        <v>45416.288078703707</v>
      </c>
      <c r="D1065" s="2">
        <v>45416.390428240738</v>
      </c>
      <c r="E1065" s="2">
        <v>45416.555775462963</v>
      </c>
      <c r="F1065" s="3">
        <f t="shared" si="16"/>
        <v>0.26769675925606862</v>
      </c>
    </row>
    <row r="1066" spans="1:6" hidden="1">
      <c r="A1066" s="1" t="s">
        <v>1071</v>
      </c>
      <c r="B1066" s="2">
        <v>45415</v>
      </c>
      <c r="C1066" s="2">
        <v>45416.288078703707</v>
      </c>
      <c r="D1066" s="2">
        <v>45416.396585648145</v>
      </c>
      <c r="E1066" s="2">
        <v>45416.559247685182</v>
      </c>
      <c r="F1066" s="3">
        <f t="shared" si="16"/>
        <v>0.27116898147505708</v>
      </c>
    </row>
    <row r="1067" spans="1:6" hidden="1">
      <c r="A1067" s="1" t="s">
        <v>1072</v>
      </c>
      <c r="B1067" s="2">
        <v>45415</v>
      </c>
      <c r="C1067" s="2">
        <v>45416.288078703707</v>
      </c>
      <c r="D1067" s="2">
        <v>45416.398576388892</v>
      </c>
      <c r="E1067" s="2">
        <v>45416.554861111108</v>
      </c>
      <c r="F1067" s="3">
        <f t="shared" si="16"/>
        <v>0.26678240740147885</v>
      </c>
    </row>
    <row r="1068" spans="1:6" hidden="1">
      <c r="A1068" s="1" t="s">
        <v>1073</v>
      </c>
      <c r="B1068" s="2">
        <v>45415</v>
      </c>
      <c r="C1068" s="2">
        <v>45416.28806712963</v>
      </c>
      <c r="D1068" s="2">
        <v>45416.414409722223</v>
      </c>
      <c r="E1068" s="2">
        <v>45416.475787037038</v>
      </c>
      <c r="F1068" s="3">
        <f t="shared" si="16"/>
        <v>0.18771990740788169</v>
      </c>
    </row>
    <row r="1069" spans="1:6" hidden="1">
      <c r="A1069" s="1" t="s">
        <v>1074</v>
      </c>
      <c r="B1069" s="2">
        <v>45415</v>
      </c>
      <c r="C1069" s="2">
        <v>45416.28806712963</v>
      </c>
      <c r="D1069" s="2">
        <v>45416.421388888892</v>
      </c>
      <c r="E1069" s="2">
        <v>45416.550613425927</v>
      </c>
      <c r="F1069" s="3">
        <f t="shared" si="16"/>
        <v>0.26254629629693227</v>
      </c>
    </row>
    <row r="1070" spans="1:6" hidden="1">
      <c r="A1070" s="1" t="s">
        <v>1075</v>
      </c>
      <c r="B1070" s="2">
        <v>45415</v>
      </c>
      <c r="C1070" s="2">
        <v>45416.464328703703</v>
      </c>
      <c r="D1070" s="2">
        <v>45416.429594907408</v>
      </c>
      <c r="E1070" s="2">
        <v>45416.437384259261</v>
      </c>
      <c r="F1070" s="6" t="s">
        <v>1708</v>
      </c>
    </row>
    <row r="1071" spans="1:6" hidden="1">
      <c r="A1071" s="1" t="s">
        <v>1076</v>
      </c>
      <c r="B1071" s="2">
        <v>45415</v>
      </c>
      <c r="C1071" s="2">
        <v>45416.464328703703</v>
      </c>
      <c r="D1071" s="2">
        <v>45416.433842592596</v>
      </c>
      <c r="E1071" s="2">
        <v>45416.475671296299</v>
      </c>
      <c r="F1071" s="3">
        <f t="shared" si="16"/>
        <v>1.1342592595610768E-2</v>
      </c>
    </row>
    <row r="1072" spans="1:6" hidden="1">
      <c r="A1072" s="1" t="s">
        <v>1077</v>
      </c>
      <c r="B1072" s="2">
        <v>45415</v>
      </c>
      <c r="C1072" s="2">
        <v>45416.464328703703</v>
      </c>
      <c r="D1072" s="2">
        <v>45416.436064814814</v>
      </c>
      <c r="E1072" s="2">
        <v>45417.4455787037</v>
      </c>
      <c r="F1072" s="3">
        <f t="shared" si="16"/>
        <v>0.98124999999708962</v>
      </c>
    </row>
    <row r="1073" spans="1:6">
      <c r="A1073" s="1" t="s">
        <v>1078</v>
      </c>
      <c r="B1073" s="2">
        <v>45415</v>
      </c>
      <c r="C1073" s="2">
        <v>45416.288078703707</v>
      </c>
      <c r="D1073" s="2">
        <v>45419.614791666667</v>
      </c>
      <c r="E1073" s="2">
        <v>45419.656793981485</v>
      </c>
      <c r="F1073" s="3">
        <f t="shared" si="16"/>
        <v>3.3687152777783922</v>
      </c>
    </row>
    <row r="1074" spans="1:6" hidden="1">
      <c r="A1074" s="1" t="s">
        <v>1079</v>
      </c>
      <c r="B1074" s="2">
        <v>45416</v>
      </c>
      <c r="C1074" s="2">
        <v>45416.22152777778</v>
      </c>
      <c r="D1074" s="2">
        <v>45416.530428240738</v>
      </c>
      <c r="E1074" s="2">
        <v>45416.572187500002</v>
      </c>
      <c r="F1074" s="3">
        <f t="shared" si="16"/>
        <v>0.35065972222218988</v>
      </c>
    </row>
    <row r="1075" spans="1:6" hidden="1">
      <c r="A1075" s="1" t="s">
        <v>1080</v>
      </c>
      <c r="B1075" s="2">
        <v>45416</v>
      </c>
      <c r="C1075" s="2">
        <v>45416.22152777778</v>
      </c>
      <c r="D1075" s="2">
        <v>45416.532222222224</v>
      </c>
      <c r="E1075" s="2">
        <v>45416.551261574074</v>
      </c>
      <c r="F1075" s="3">
        <f t="shared" si="16"/>
        <v>0.32973379629402189</v>
      </c>
    </row>
    <row r="1076" spans="1:6" hidden="1">
      <c r="A1076" s="1" t="s">
        <v>1081</v>
      </c>
      <c r="B1076" s="2">
        <v>45416</v>
      </c>
      <c r="C1076" s="2">
        <v>45416.240243055552</v>
      </c>
      <c r="D1076" s="2">
        <v>45416.535115740742</v>
      </c>
      <c r="E1076" s="2">
        <v>45416.576851851853</v>
      </c>
      <c r="F1076" s="3">
        <f t="shared" si="16"/>
        <v>0.33660879630042473</v>
      </c>
    </row>
    <row r="1077" spans="1:6" hidden="1">
      <c r="A1077" s="1" t="s">
        <v>1082</v>
      </c>
      <c r="B1077" s="2">
        <v>45416</v>
      </c>
      <c r="C1077" s="2">
        <v>45417.725219907406</v>
      </c>
      <c r="D1077" s="2">
        <v>45417.570972222224</v>
      </c>
      <c r="E1077" s="2">
        <v>45417.612719907411</v>
      </c>
      <c r="F1077" s="6" t="s">
        <v>1708</v>
      </c>
    </row>
    <row r="1078" spans="1:6" hidden="1">
      <c r="A1078" s="1" t="s">
        <v>1083</v>
      </c>
      <c r="B1078" s="2">
        <v>45416</v>
      </c>
      <c r="C1078" s="2">
        <v>45417.016203703701</v>
      </c>
      <c r="D1078" s="2">
        <v>45417.347037037034</v>
      </c>
      <c r="E1078" s="2">
        <v>45417.388877314814</v>
      </c>
      <c r="F1078" s="3">
        <f t="shared" si="16"/>
        <v>0.37267361111298669</v>
      </c>
    </row>
    <row r="1079" spans="1:6" hidden="1">
      <c r="A1079" s="1" t="s">
        <v>1084</v>
      </c>
      <c r="B1079" s="2">
        <v>45416</v>
      </c>
      <c r="C1079" s="2">
        <v>45417.393900462965</v>
      </c>
      <c r="D1079" s="2">
        <v>45417.347384259258</v>
      </c>
      <c r="E1079" s="2">
        <v>45417.429467592592</v>
      </c>
      <c r="F1079" s="3">
        <f t="shared" si="16"/>
        <v>3.5567129627452232E-2</v>
      </c>
    </row>
    <row r="1080" spans="1:6" hidden="1">
      <c r="A1080" s="1" t="s">
        <v>1085</v>
      </c>
      <c r="B1080" s="2">
        <v>45416</v>
      </c>
      <c r="C1080" s="2">
        <v>45416.801400462966</v>
      </c>
      <c r="D1080" s="2">
        <v>45417.41</v>
      </c>
      <c r="E1080" s="2">
        <v>45417.451782407406</v>
      </c>
      <c r="F1080" s="3">
        <f t="shared" si="16"/>
        <v>0.65038194444059627</v>
      </c>
    </row>
    <row r="1081" spans="1:6" hidden="1">
      <c r="A1081" s="1" t="s">
        <v>1086</v>
      </c>
      <c r="B1081" s="2">
        <v>45416</v>
      </c>
      <c r="C1081" s="2">
        <v>45417.016261574077</v>
      </c>
      <c r="D1081" s="2">
        <v>45416.685254629629</v>
      </c>
      <c r="E1081" s="2">
        <v>45416.726956018516</v>
      </c>
      <c r="F1081" s="6" t="s">
        <v>1708</v>
      </c>
    </row>
    <row r="1082" spans="1:6" hidden="1">
      <c r="A1082" s="1" t="s">
        <v>1087</v>
      </c>
      <c r="B1082" s="2">
        <v>45416</v>
      </c>
      <c r="C1082" s="2">
        <v>45417.016238425924</v>
      </c>
      <c r="D1082" s="2">
        <v>45417.347395833334</v>
      </c>
      <c r="E1082" s="2">
        <v>45417.389131944445</v>
      </c>
      <c r="F1082" s="3">
        <f t="shared" si="16"/>
        <v>0.37289351852086838</v>
      </c>
    </row>
    <row r="1083" spans="1:6" hidden="1">
      <c r="A1083" s="1" t="s">
        <v>1088</v>
      </c>
      <c r="B1083" s="2">
        <v>45416</v>
      </c>
      <c r="C1083" s="2">
        <v>45417.016203703701</v>
      </c>
      <c r="D1083" s="2">
        <v>45417.347314814811</v>
      </c>
      <c r="E1083" s="2">
        <v>45417.389305555553</v>
      </c>
      <c r="F1083" s="3">
        <f t="shared" si="16"/>
        <v>0.37310185185197042</v>
      </c>
    </row>
    <row r="1084" spans="1:6" hidden="1">
      <c r="A1084" s="1" t="s">
        <v>1089</v>
      </c>
      <c r="B1084" s="2">
        <v>45416</v>
      </c>
      <c r="C1084" s="2">
        <v>45417.016203703701</v>
      </c>
      <c r="D1084" s="2">
        <v>45417.347245370373</v>
      </c>
      <c r="E1084" s="2">
        <v>45417.411226851851</v>
      </c>
      <c r="F1084" s="3">
        <f t="shared" si="16"/>
        <v>0.39502314815035788</v>
      </c>
    </row>
    <row r="1085" spans="1:6" hidden="1">
      <c r="A1085" s="1" t="s">
        <v>1090</v>
      </c>
      <c r="B1085" s="2">
        <v>45416</v>
      </c>
      <c r="C1085" s="2">
        <v>45417.016250000001</v>
      </c>
      <c r="D1085" s="2">
        <v>45417.347199074073</v>
      </c>
      <c r="E1085" s="2">
        <v>45417.455659722225</v>
      </c>
      <c r="F1085" s="3">
        <f t="shared" si="16"/>
        <v>0.43940972222480923</v>
      </c>
    </row>
    <row r="1086" spans="1:6" hidden="1">
      <c r="A1086" s="1" t="s">
        <v>1091</v>
      </c>
      <c r="B1086" s="2">
        <v>45416</v>
      </c>
      <c r="C1086" s="2">
        <v>45416.801400462966</v>
      </c>
      <c r="D1086" s="2">
        <v>45416.766875000001</v>
      </c>
      <c r="E1086" s="2">
        <v>45416.801516203705</v>
      </c>
      <c r="F1086" s="3">
        <f t="shared" si="16"/>
        <v>1.1574073869269341E-4</v>
      </c>
    </row>
    <row r="1087" spans="1:6" hidden="1">
      <c r="A1087" s="1" t="s">
        <v>1092</v>
      </c>
      <c r="B1087" s="2">
        <v>45416</v>
      </c>
      <c r="C1087" s="2">
        <v>45416.801400462966</v>
      </c>
      <c r="D1087" s="2">
        <v>45416.78224537037</v>
      </c>
      <c r="E1087" s="2">
        <v>45416.801793981482</v>
      </c>
      <c r="F1087" s="3">
        <f t="shared" si="16"/>
        <v>3.9351851592073217E-4</v>
      </c>
    </row>
    <row r="1088" spans="1:6" hidden="1">
      <c r="A1088" s="1" t="s">
        <v>1093</v>
      </c>
      <c r="B1088" s="2">
        <v>45416</v>
      </c>
      <c r="C1088" s="2">
        <v>45417.725659722222</v>
      </c>
      <c r="D1088" s="2">
        <v>45417.501458333332</v>
      </c>
      <c r="E1088" s="2">
        <v>45417.5466087963</v>
      </c>
      <c r="F1088" s="6" t="s">
        <v>1708</v>
      </c>
    </row>
    <row r="1089" spans="1:6" hidden="1">
      <c r="A1089" s="1" t="s">
        <v>1094</v>
      </c>
      <c r="B1089" s="2">
        <v>45416</v>
      </c>
      <c r="C1089" s="2">
        <v>45417.302534722221</v>
      </c>
      <c r="D1089" s="2">
        <v>45417.37568287037</v>
      </c>
      <c r="E1089" s="2">
        <v>45417.573449074072</v>
      </c>
      <c r="F1089" s="3">
        <f t="shared" si="16"/>
        <v>0.27091435185138835</v>
      </c>
    </row>
    <row r="1090" spans="1:6" hidden="1">
      <c r="A1090" s="1" t="s">
        <v>1095</v>
      </c>
      <c r="B1090" s="2">
        <v>45416</v>
      </c>
      <c r="C1090" s="2">
        <v>45417.302534722221</v>
      </c>
      <c r="D1090" s="2">
        <v>45417.397604166668</v>
      </c>
      <c r="E1090" s="2">
        <v>45417.573611111111</v>
      </c>
      <c r="F1090" s="3">
        <f t="shared" si="16"/>
        <v>0.27107638888992369</v>
      </c>
    </row>
    <row r="1091" spans="1:6" hidden="1">
      <c r="A1091" s="1" t="s">
        <v>1096</v>
      </c>
      <c r="B1091" s="2">
        <v>45416</v>
      </c>
      <c r="C1091" s="2">
        <v>45417.302534722221</v>
      </c>
      <c r="D1091" s="2">
        <v>45417.649907407409</v>
      </c>
      <c r="E1091" s="2">
        <v>45417.691631944443</v>
      </c>
      <c r="F1091" s="3">
        <f t="shared" ref="F1091:F1153" si="17">E1091-C1091</f>
        <v>0.38909722222160781</v>
      </c>
    </row>
    <row r="1092" spans="1:6">
      <c r="A1092" s="1" t="s">
        <v>1097</v>
      </c>
      <c r="B1092" s="2">
        <v>45416</v>
      </c>
      <c r="C1092" s="2">
        <v>45417.464224537034</v>
      </c>
      <c r="D1092" s="2">
        <v>45417.417013888888</v>
      </c>
      <c r="E1092" s="2">
        <v>45418.482164351852</v>
      </c>
      <c r="F1092" s="3">
        <f t="shared" si="17"/>
        <v>1.0179398148175096</v>
      </c>
    </row>
    <row r="1093" spans="1:6" hidden="1">
      <c r="A1093" s="1" t="s">
        <v>1098</v>
      </c>
      <c r="B1093" s="2">
        <v>45416</v>
      </c>
      <c r="C1093" s="2">
        <v>45417.464224537034</v>
      </c>
      <c r="D1093" s="2">
        <v>45417.425810185188</v>
      </c>
      <c r="E1093" s="2">
        <v>45417.443136574075</v>
      </c>
      <c r="F1093" s="6" t="s">
        <v>1708</v>
      </c>
    </row>
    <row r="1094" spans="1:6" hidden="1">
      <c r="A1094" s="1" t="s">
        <v>1099</v>
      </c>
      <c r="B1094" s="2">
        <v>45416</v>
      </c>
      <c r="C1094" s="2">
        <v>45417.464224537034</v>
      </c>
      <c r="D1094" s="2">
        <v>45417.424560185187</v>
      </c>
      <c r="E1094" s="2">
        <v>45417.46638888889</v>
      </c>
      <c r="F1094" s="3">
        <f t="shared" si="17"/>
        <v>2.164351855753921E-3</v>
      </c>
    </row>
    <row r="1095" spans="1:6" hidden="1">
      <c r="A1095" s="1" t="s">
        <v>1100</v>
      </c>
      <c r="B1095" s="2">
        <v>45416</v>
      </c>
      <c r="C1095" s="2">
        <v>45417.464224537034</v>
      </c>
      <c r="D1095" s="2">
        <v>45417.423414351855</v>
      </c>
      <c r="E1095" s="2">
        <v>45417.454467592594</v>
      </c>
      <c r="F1095" s="6" t="s">
        <v>1708</v>
      </c>
    </row>
    <row r="1096" spans="1:6">
      <c r="A1096" s="1" t="s">
        <v>1101</v>
      </c>
      <c r="B1096" s="2">
        <v>45418</v>
      </c>
      <c r="C1096" s="2">
        <v>45418.745023148149</v>
      </c>
      <c r="D1096" s="2">
        <v>45419.391516203701</v>
      </c>
      <c r="E1096" s="2">
        <v>45419.439305555556</v>
      </c>
      <c r="F1096" s="3">
        <f t="shared" si="17"/>
        <v>0.69428240740671754</v>
      </c>
    </row>
    <row r="1097" spans="1:6">
      <c r="A1097" s="1" t="s">
        <v>1102</v>
      </c>
      <c r="B1097" s="2">
        <v>45418</v>
      </c>
      <c r="C1097" s="2">
        <v>45418.745023148149</v>
      </c>
      <c r="D1097" s="2">
        <v>45419.393472222226</v>
      </c>
      <c r="E1097" s="2">
        <v>45419.411076388889</v>
      </c>
      <c r="F1097" s="3">
        <f t="shared" si="17"/>
        <v>0.66605324074043892</v>
      </c>
    </row>
    <row r="1098" spans="1:6">
      <c r="A1098" s="1" t="s">
        <v>1103</v>
      </c>
      <c r="B1098" s="2">
        <v>45418</v>
      </c>
      <c r="C1098" s="2">
        <v>45418.745023148149</v>
      </c>
      <c r="D1098" s="2">
        <v>45419.392777777779</v>
      </c>
      <c r="E1098" s="2">
        <v>45419.425034722219</v>
      </c>
      <c r="F1098" s="3">
        <f t="shared" si="17"/>
        <v>0.68001157406979473</v>
      </c>
    </row>
    <row r="1099" spans="1:6">
      <c r="A1099" s="1" t="s">
        <v>1104</v>
      </c>
      <c r="B1099" s="2">
        <v>45418</v>
      </c>
      <c r="C1099" s="2">
        <v>45419.777083333334</v>
      </c>
      <c r="D1099" s="2">
        <v>45419.711180555554</v>
      </c>
      <c r="E1099" s="2">
        <v>45419.752974537034</v>
      </c>
      <c r="F1099" s="6" t="s">
        <v>1708</v>
      </c>
    </row>
    <row r="1100" spans="1:6">
      <c r="A1100" s="1" t="s">
        <v>1105</v>
      </c>
      <c r="B1100" s="2">
        <v>45418</v>
      </c>
      <c r="C1100" s="2">
        <v>45419.777083333334</v>
      </c>
      <c r="D1100" s="2">
        <v>45419.71234953704</v>
      </c>
      <c r="E1100" s="2">
        <v>45419.754212962966</v>
      </c>
      <c r="F1100" s="6" t="s">
        <v>1708</v>
      </c>
    </row>
    <row r="1101" spans="1:6">
      <c r="A1101" s="1" t="s">
        <v>1106</v>
      </c>
      <c r="B1101" s="2">
        <v>45418</v>
      </c>
      <c r="C1101" s="2">
        <v>45418.745023148149</v>
      </c>
      <c r="D1101" s="2">
        <v>45419.396469907406</v>
      </c>
      <c r="E1101" s="2">
        <v>45419.428761574076</v>
      </c>
      <c r="F1101" s="3">
        <f t="shared" si="17"/>
        <v>0.68373842592700385</v>
      </c>
    </row>
    <row r="1102" spans="1:6">
      <c r="A1102" s="1" t="s">
        <v>1107</v>
      </c>
      <c r="B1102" s="2">
        <v>45418</v>
      </c>
      <c r="C1102" s="2">
        <v>45419.469155092593</v>
      </c>
      <c r="D1102" s="2">
        <v>45419.402141203704</v>
      </c>
      <c r="E1102" s="2">
        <v>45419.447824074072</v>
      </c>
      <c r="F1102" s="6" t="s">
        <v>1708</v>
      </c>
    </row>
    <row r="1103" spans="1:6">
      <c r="A1103" s="1" t="s">
        <v>1108</v>
      </c>
      <c r="B1103" s="2">
        <v>45419</v>
      </c>
      <c r="C1103" s="2">
        <v>45419.469155092593</v>
      </c>
      <c r="D1103" s="2">
        <v>45419.405810185184</v>
      </c>
      <c r="E1103" s="2">
        <v>45419.433958333335</v>
      </c>
      <c r="F1103" s="6" t="s">
        <v>1708</v>
      </c>
    </row>
    <row r="1104" spans="1:6">
      <c r="A1104" s="1" t="s">
        <v>1109</v>
      </c>
      <c r="B1104" s="2">
        <v>45419</v>
      </c>
      <c r="C1104" s="2">
        <v>45421.819479166668</v>
      </c>
      <c r="D1104" s="2">
        <v>45422.405543981484</v>
      </c>
      <c r="E1104" s="2">
        <v>45422.44908564815</v>
      </c>
      <c r="F1104" s="3">
        <f t="shared" si="17"/>
        <v>0.62960648148145992</v>
      </c>
    </row>
    <row r="1105" spans="1:6">
      <c r="A1105" s="1" t="s">
        <v>1110</v>
      </c>
      <c r="B1105" s="2">
        <v>45421</v>
      </c>
      <c r="C1105" s="2">
        <v>45421.170104166667</v>
      </c>
      <c r="D1105" s="2">
        <v>45421.774456018517</v>
      </c>
      <c r="E1105" s="2">
        <v>45421.816192129627</v>
      </c>
      <c r="F1105" s="3">
        <f t="shared" si="17"/>
        <v>0.64608796295942739</v>
      </c>
    </row>
    <row r="1106" spans="1:6" hidden="1">
      <c r="A1106" s="1" t="s">
        <v>1111</v>
      </c>
      <c r="B1106" s="2">
        <v>45422</v>
      </c>
      <c r="C1106" s="2">
        <v>45423.46365740741</v>
      </c>
      <c r="D1106" s="2">
        <v>45425.745532407411</v>
      </c>
      <c r="E1106" s="2">
        <v>45425.785520833335</v>
      </c>
      <c r="F1106" s="3">
        <f t="shared" si="17"/>
        <v>2.3218634259246755</v>
      </c>
    </row>
    <row r="1107" spans="1:6" hidden="1">
      <c r="A1107" s="1" t="s">
        <v>1112</v>
      </c>
      <c r="B1107" s="2">
        <v>45409</v>
      </c>
      <c r="C1107" s="2">
        <v>45410.157696759263</v>
      </c>
      <c r="D1107" s="2">
        <v>45410.362303240741</v>
      </c>
      <c r="E1107" s="2">
        <v>45410.404085648152</v>
      </c>
      <c r="F1107" s="3">
        <f t="shared" si="17"/>
        <v>0.24638888888875954</v>
      </c>
    </row>
    <row r="1108" spans="1:6" hidden="1">
      <c r="A1108" s="1" t="s">
        <v>1113</v>
      </c>
      <c r="B1108" s="2">
        <v>45409</v>
      </c>
      <c r="C1108" s="2">
        <v>45410.157696759263</v>
      </c>
      <c r="D1108" s="2">
        <v>45410.36546296296</v>
      </c>
      <c r="E1108" s="2">
        <v>45410.40729166667</v>
      </c>
      <c r="F1108" s="3">
        <f t="shared" si="17"/>
        <v>0.24959490740729962</v>
      </c>
    </row>
    <row r="1109" spans="1:6" hidden="1">
      <c r="A1109" s="1" t="s">
        <v>1114</v>
      </c>
      <c r="B1109" s="2">
        <v>45409</v>
      </c>
      <c r="C1109" s="2">
        <v>45410.157696759263</v>
      </c>
      <c r="D1109" s="2">
        <v>45410.368275462963</v>
      </c>
      <c r="E1109" s="2">
        <v>45410.410092592596</v>
      </c>
      <c r="F1109" s="3">
        <f t="shared" si="17"/>
        <v>0.25239583333313931</v>
      </c>
    </row>
    <row r="1110" spans="1:6" hidden="1">
      <c r="A1110" s="1" t="s">
        <v>1115</v>
      </c>
      <c r="B1110" s="2">
        <v>45409</v>
      </c>
      <c r="C1110" s="2">
        <v>45410.157696759263</v>
      </c>
      <c r="D1110" s="2">
        <v>45410.371238425927</v>
      </c>
      <c r="E1110" s="2">
        <v>45410.41302083333</v>
      </c>
      <c r="F1110" s="3">
        <f t="shared" si="17"/>
        <v>0.25532407406717539</v>
      </c>
    </row>
    <row r="1111" spans="1:6" hidden="1">
      <c r="A1111" s="1" t="s">
        <v>1116</v>
      </c>
      <c r="B1111" s="2">
        <v>45409</v>
      </c>
      <c r="C1111" s="2">
        <v>45410.459976851853</v>
      </c>
      <c r="D1111" s="2">
        <v>45410.466377314813</v>
      </c>
      <c r="E1111" s="2">
        <v>45410.67087962963</v>
      </c>
      <c r="F1111" s="3">
        <f t="shared" si="17"/>
        <v>0.210902777776937</v>
      </c>
    </row>
    <row r="1112" spans="1:6" hidden="1">
      <c r="A1112" s="1" t="s">
        <v>1117</v>
      </c>
      <c r="B1112" s="2">
        <v>45409</v>
      </c>
      <c r="C1112" s="2">
        <v>45410.936481481483</v>
      </c>
      <c r="D1112" s="2">
        <v>45411.397013888891</v>
      </c>
      <c r="E1112" s="2">
        <v>45411.440601851849</v>
      </c>
      <c r="F1112" s="3">
        <f t="shared" si="17"/>
        <v>0.50412037036585389</v>
      </c>
    </row>
    <row r="1113" spans="1:6" hidden="1">
      <c r="A1113" s="1" t="s">
        <v>1118</v>
      </c>
      <c r="B1113" s="2">
        <v>45409</v>
      </c>
      <c r="C1113" s="2">
        <v>45410.731168981481</v>
      </c>
      <c r="D1113" s="2">
        <v>45410.499374999999</v>
      </c>
      <c r="E1113" s="2">
        <v>45410.541134259256</v>
      </c>
      <c r="F1113" s="6" t="s">
        <v>1708</v>
      </c>
    </row>
    <row r="1114" spans="1:6" hidden="1">
      <c r="A1114" s="1" t="s">
        <v>1119</v>
      </c>
      <c r="B1114" s="2">
        <v>45412</v>
      </c>
      <c r="C1114" s="2">
        <v>45413.310185185182</v>
      </c>
      <c r="D1114" s="2">
        <v>45414.616377314815</v>
      </c>
      <c r="E1114" s="2">
        <v>45414.658229166664</v>
      </c>
      <c r="F1114" s="3">
        <f t="shared" si="17"/>
        <v>1.3480439814811689</v>
      </c>
    </row>
    <row r="1115" spans="1:6" hidden="1">
      <c r="A1115" s="1" t="s">
        <v>1120</v>
      </c>
      <c r="B1115" s="2">
        <v>45412</v>
      </c>
      <c r="C1115" s="2">
        <v>45413.310185185182</v>
      </c>
      <c r="D1115" s="2">
        <v>45413.643321759257</v>
      </c>
      <c r="E1115" s="2">
        <v>45413.685150462959</v>
      </c>
      <c r="F1115" s="3">
        <f t="shared" si="17"/>
        <v>0.374965277776937</v>
      </c>
    </row>
    <row r="1116" spans="1:6" hidden="1">
      <c r="A1116" s="1" t="s">
        <v>1121</v>
      </c>
      <c r="B1116" s="2">
        <v>45414</v>
      </c>
      <c r="C1116" s="2">
        <v>45413.310185185182</v>
      </c>
      <c r="D1116" s="2">
        <v>45413.727638888886</v>
      </c>
      <c r="E1116" s="2">
        <v>45413.769444444442</v>
      </c>
      <c r="F1116" s="3">
        <f t="shared" si="17"/>
        <v>0.45925925925985212</v>
      </c>
    </row>
    <row r="1117" spans="1:6" hidden="1">
      <c r="A1117" s="1" t="s">
        <v>1122</v>
      </c>
      <c r="B1117" s="2">
        <v>45413</v>
      </c>
      <c r="C1117" s="2">
        <v>45413.734976851854</v>
      </c>
      <c r="D1117" s="2">
        <v>45414.395532407405</v>
      </c>
      <c r="E1117" s="2">
        <v>45414.437523148146</v>
      </c>
      <c r="F1117" s="3">
        <f t="shared" si="17"/>
        <v>0.70254629629198462</v>
      </c>
    </row>
    <row r="1118" spans="1:6" hidden="1">
      <c r="A1118" s="1" t="s">
        <v>1123</v>
      </c>
      <c r="B1118" s="2">
        <v>45413</v>
      </c>
      <c r="C1118" s="2">
        <v>45413.734976851854</v>
      </c>
      <c r="D1118" s="2">
        <v>45414.397303240738</v>
      </c>
      <c r="E1118" s="2">
        <v>45414.439120370371</v>
      </c>
      <c r="F1118" s="3">
        <f t="shared" si="17"/>
        <v>0.70414351851650281</v>
      </c>
    </row>
    <row r="1119" spans="1:6" hidden="1">
      <c r="A1119" s="1" t="s">
        <v>1124</v>
      </c>
      <c r="B1119" s="2">
        <v>45413</v>
      </c>
      <c r="C1119" s="2">
        <v>45413.734976851854</v>
      </c>
      <c r="D1119" s="2">
        <v>45414.399444444447</v>
      </c>
      <c r="E1119" s="2">
        <v>45414.441493055558</v>
      </c>
      <c r="F1119" s="3">
        <f t="shared" si="17"/>
        <v>0.70651620370335877</v>
      </c>
    </row>
    <row r="1120" spans="1:6" hidden="1">
      <c r="A1120" s="1" t="s">
        <v>1125</v>
      </c>
      <c r="B1120" s="2">
        <v>45413</v>
      </c>
      <c r="C1120" s="2">
        <v>45414.463321759256</v>
      </c>
      <c r="D1120" s="2">
        <v>45414.422465277778</v>
      </c>
      <c r="E1120" s="2">
        <v>45414.43953703704</v>
      </c>
      <c r="F1120" s="6" t="s">
        <v>1708</v>
      </c>
    </row>
    <row r="1121" spans="1:6" hidden="1">
      <c r="A1121" s="1" t="s">
        <v>1126</v>
      </c>
      <c r="B1121" s="2">
        <v>45413</v>
      </c>
      <c r="C1121" s="2">
        <v>45413.734976851854</v>
      </c>
      <c r="D1121" s="2">
        <v>45414.425462962965</v>
      </c>
      <c r="E1121" s="2">
        <v>45414.467557870368</v>
      </c>
      <c r="F1121" s="3">
        <f t="shared" si="17"/>
        <v>0.73258101851388346</v>
      </c>
    </row>
    <row r="1122" spans="1:6" hidden="1">
      <c r="A1122" s="1" t="s">
        <v>1127</v>
      </c>
      <c r="B1122" s="2">
        <v>45413</v>
      </c>
      <c r="C1122" s="2">
        <v>45413.734976851854</v>
      </c>
      <c r="D1122" s="2">
        <v>45414.436342592591</v>
      </c>
      <c r="E1122" s="2">
        <v>45414.478321759256</v>
      </c>
      <c r="F1122" s="3">
        <f t="shared" si="17"/>
        <v>0.74334490740147885</v>
      </c>
    </row>
    <row r="1123" spans="1:6" hidden="1">
      <c r="A1123" s="1" t="s">
        <v>1128</v>
      </c>
      <c r="B1123" s="2">
        <v>45413</v>
      </c>
      <c r="C1123" s="2">
        <v>45413.734976851854</v>
      </c>
      <c r="D1123" s="2">
        <v>45414.442546296297</v>
      </c>
      <c r="E1123" s="2">
        <v>45414.484618055554</v>
      </c>
      <c r="F1123" s="3">
        <f t="shared" si="17"/>
        <v>0.74964120369986631</v>
      </c>
    </row>
    <row r="1124" spans="1:6" hidden="1">
      <c r="A1124" s="1" t="s">
        <v>1129</v>
      </c>
      <c r="B1124" s="2">
        <v>45413</v>
      </c>
      <c r="C1124" s="2">
        <v>45412.841504629629</v>
      </c>
      <c r="D1124" s="2">
        <v>45414.450266203705</v>
      </c>
      <c r="E1124" s="2">
        <v>45414.492037037038</v>
      </c>
      <c r="F1124" s="3">
        <f t="shared" si="17"/>
        <v>1.6505324074096279</v>
      </c>
    </row>
    <row r="1125" spans="1:6" hidden="1">
      <c r="A1125" s="1" t="s">
        <v>1130</v>
      </c>
      <c r="B1125" s="2">
        <v>45414</v>
      </c>
      <c r="C1125" s="2">
        <v>45414.786805555559</v>
      </c>
      <c r="D1125" s="2">
        <v>45415.367673611108</v>
      </c>
      <c r="E1125" s="2">
        <v>45415.409490740742</v>
      </c>
      <c r="F1125" s="3">
        <f t="shared" si="17"/>
        <v>0.62268518518249039</v>
      </c>
    </row>
    <row r="1126" spans="1:6" hidden="1">
      <c r="A1126" s="1" t="s">
        <v>1131</v>
      </c>
      <c r="B1126" s="2">
        <v>45414</v>
      </c>
      <c r="C1126" s="2">
        <v>45414.786805555559</v>
      </c>
      <c r="D1126" s="2">
        <v>45415.367615740739</v>
      </c>
      <c r="E1126" s="2">
        <v>45415.409479166665</v>
      </c>
      <c r="F1126" s="3">
        <f t="shared" si="17"/>
        <v>0.62267361110571073</v>
      </c>
    </row>
    <row r="1127" spans="1:6" hidden="1">
      <c r="A1127" s="1" t="s">
        <v>1132</v>
      </c>
      <c r="B1127" s="2">
        <v>45414</v>
      </c>
      <c r="C1127" s="2">
        <v>45414.786805555559</v>
      </c>
      <c r="D1127" s="2">
        <v>45415.367719907408</v>
      </c>
      <c r="E1127" s="2">
        <v>45415.409502314818</v>
      </c>
      <c r="F1127" s="3">
        <f t="shared" si="17"/>
        <v>0.62269675925927004</v>
      </c>
    </row>
    <row r="1128" spans="1:6" hidden="1">
      <c r="A1128" s="1" t="s">
        <v>1133</v>
      </c>
      <c r="B1128" s="2">
        <v>45414</v>
      </c>
      <c r="C1128" s="2">
        <v>45414.247847222221</v>
      </c>
      <c r="D1128" s="2">
        <v>45415.962488425925</v>
      </c>
      <c r="E1128" s="2">
        <v>45416.004236111112</v>
      </c>
      <c r="F1128" s="3">
        <f t="shared" si="17"/>
        <v>1.7563888888907968</v>
      </c>
    </row>
    <row r="1129" spans="1:6" hidden="1">
      <c r="A1129" s="1" t="s">
        <v>1134</v>
      </c>
      <c r="B1129" s="2">
        <v>45413</v>
      </c>
      <c r="C1129" s="2">
        <v>45390.415833333333</v>
      </c>
      <c r="D1129" s="2">
        <v>45415.448379629626</v>
      </c>
      <c r="E1129" s="2">
        <v>45415.490381944444</v>
      </c>
      <c r="F1129" s="3">
        <f t="shared" si="17"/>
        <v>25.074548611111823</v>
      </c>
    </row>
    <row r="1130" spans="1:6" hidden="1">
      <c r="A1130" s="1" t="s">
        <v>1135</v>
      </c>
      <c r="B1130" s="2">
        <v>45414</v>
      </c>
      <c r="C1130" s="2">
        <v>45414.786805555559</v>
      </c>
      <c r="D1130" s="2">
        <v>45415.367638888885</v>
      </c>
      <c r="E1130" s="2">
        <v>45415.409479166665</v>
      </c>
      <c r="F1130" s="3">
        <f t="shared" si="17"/>
        <v>0.62267361110571073</v>
      </c>
    </row>
    <row r="1131" spans="1:6" hidden="1">
      <c r="A1131" s="1" t="s">
        <v>1136</v>
      </c>
      <c r="B1131" s="2">
        <v>45414</v>
      </c>
      <c r="C1131" s="2">
        <v>45414.786805555559</v>
      </c>
      <c r="D1131" s="2">
        <v>45415.455023148148</v>
      </c>
      <c r="E1131" s="2">
        <v>45415.496874999997</v>
      </c>
      <c r="F1131" s="3">
        <f t="shared" si="17"/>
        <v>0.71006944443797693</v>
      </c>
    </row>
    <row r="1132" spans="1:6" hidden="1">
      <c r="A1132" s="1" t="s">
        <v>1137</v>
      </c>
      <c r="B1132" s="2">
        <v>45414</v>
      </c>
      <c r="C1132" s="2">
        <v>45415.264814814815</v>
      </c>
      <c r="D1132" s="2">
        <v>45415.556284722225</v>
      </c>
      <c r="E1132" s="2">
        <v>45415.608784722222</v>
      </c>
      <c r="F1132" s="3">
        <f t="shared" si="17"/>
        <v>0.34396990740788169</v>
      </c>
    </row>
    <row r="1133" spans="1:6" hidden="1">
      <c r="A1133" s="1" t="s">
        <v>1138</v>
      </c>
      <c r="B1133" s="2">
        <v>45414</v>
      </c>
      <c r="C1133" s="2">
        <v>45415.264826388891</v>
      </c>
      <c r="D1133" s="2">
        <v>45415.5862037037</v>
      </c>
      <c r="E1133" s="2">
        <v>45415.619537037041</v>
      </c>
      <c r="F1133" s="3">
        <f t="shared" si="17"/>
        <v>0.35471064814919373</v>
      </c>
    </row>
    <row r="1134" spans="1:6" hidden="1">
      <c r="A1134" s="1" t="s">
        <v>1139</v>
      </c>
      <c r="B1134" s="2">
        <v>45414</v>
      </c>
      <c r="C1134" s="2">
        <v>45415.264826388891</v>
      </c>
      <c r="D1134" s="2">
        <v>45415.594421296293</v>
      </c>
      <c r="E1134" s="2">
        <v>45415.700011574074</v>
      </c>
      <c r="F1134" s="3">
        <f t="shared" si="17"/>
        <v>0.43518518518249039</v>
      </c>
    </row>
    <row r="1135" spans="1:6" hidden="1">
      <c r="A1135" s="1" t="s">
        <v>1140</v>
      </c>
      <c r="B1135" s="2">
        <v>45414</v>
      </c>
      <c r="C1135" s="2">
        <v>45415.264826388891</v>
      </c>
      <c r="D1135" s="2">
        <v>45415.931550925925</v>
      </c>
      <c r="E1135" s="2">
        <v>45416.276354166665</v>
      </c>
      <c r="F1135" s="3">
        <f t="shared" si="17"/>
        <v>1.0115277777731535</v>
      </c>
    </row>
    <row r="1136" spans="1:6" hidden="1">
      <c r="A1136" s="1" t="s">
        <v>1141</v>
      </c>
      <c r="B1136" s="2">
        <v>45414</v>
      </c>
      <c r="C1136" s="2">
        <v>45415.264826388891</v>
      </c>
      <c r="D1136" s="2">
        <v>45415.942025462966</v>
      </c>
      <c r="E1136" s="2">
        <v>45416.279131944444</v>
      </c>
      <c r="F1136" s="3">
        <f t="shared" si="17"/>
        <v>1.0143055555527098</v>
      </c>
    </row>
    <row r="1137" spans="1:6" hidden="1">
      <c r="A1137" s="1" t="s">
        <v>1142</v>
      </c>
      <c r="B1137" s="2">
        <v>45415</v>
      </c>
      <c r="C1137" s="2">
        <v>45415.334861111114</v>
      </c>
      <c r="D1137" s="2">
        <v>45416.06753472222</v>
      </c>
      <c r="E1137" s="2">
        <v>45416.262430555558</v>
      </c>
      <c r="F1137" s="3">
        <f t="shared" si="17"/>
        <v>0.92756944444408873</v>
      </c>
    </row>
    <row r="1138" spans="1:6" hidden="1">
      <c r="A1138" s="1" t="s">
        <v>1143</v>
      </c>
      <c r="B1138" s="2">
        <v>45417</v>
      </c>
      <c r="C1138" s="2">
        <v>45417.464224537034</v>
      </c>
      <c r="D1138" s="2">
        <v>45417.40729166667</v>
      </c>
      <c r="E1138" s="2">
        <v>45417.413518518515</v>
      </c>
      <c r="F1138" s="6" t="s">
        <v>1708</v>
      </c>
    </row>
    <row r="1139" spans="1:6" hidden="1">
      <c r="A1139" s="1" t="s">
        <v>1144</v>
      </c>
      <c r="B1139" s="2">
        <v>45417</v>
      </c>
      <c r="C1139" s="2">
        <v>45417.464224537034</v>
      </c>
      <c r="D1139" s="2">
        <v>45417.406770833331</v>
      </c>
      <c r="E1139" s="2">
        <v>45417.413437499999</v>
      </c>
      <c r="F1139" s="6" t="s">
        <v>1708</v>
      </c>
    </row>
    <row r="1140" spans="1:6">
      <c r="A1140" s="1" t="s">
        <v>1145</v>
      </c>
      <c r="B1140" s="2">
        <v>45417</v>
      </c>
      <c r="C1140" s="2">
        <v>45417.780810185184</v>
      </c>
      <c r="D1140" s="2">
        <v>45418.019224537034</v>
      </c>
      <c r="E1140" s="2">
        <v>45418.248287037037</v>
      </c>
      <c r="F1140" s="3">
        <f t="shared" si="17"/>
        <v>0.4674768518525525</v>
      </c>
    </row>
    <row r="1141" spans="1:6">
      <c r="A1141" s="1" t="s">
        <v>1146</v>
      </c>
      <c r="B1141" s="2">
        <v>45417</v>
      </c>
      <c r="C1141" s="2">
        <v>45417.780810185184</v>
      </c>
      <c r="D1141" s="2">
        <v>45418.019050925926</v>
      </c>
      <c r="E1141" s="2">
        <v>45418.24690972222</v>
      </c>
      <c r="F1141" s="3">
        <f t="shared" si="17"/>
        <v>0.466099537035916</v>
      </c>
    </row>
    <row r="1142" spans="1:6">
      <c r="A1142" s="1" t="s">
        <v>1147</v>
      </c>
      <c r="B1142" s="2">
        <v>45417</v>
      </c>
      <c r="C1142" s="2">
        <v>45417.780810185184</v>
      </c>
      <c r="D1142" s="2">
        <v>45418.019108796296</v>
      </c>
      <c r="E1142" s="2">
        <v>45418.247581018521</v>
      </c>
      <c r="F1142" s="3">
        <f t="shared" si="17"/>
        <v>0.46677083333634073</v>
      </c>
    </row>
    <row r="1143" spans="1:6" hidden="1">
      <c r="A1143" s="1" t="s">
        <v>1148</v>
      </c>
      <c r="B1143" s="2">
        <v>45416</v>
      </c>
      <c r="C1143" s="2">
        <v>45417.314930555556</v>
      </c>
      <c r="D1143" s="2">
        <v>45417.438773148147</v>
      </c>
      <c r="E1143" s="2">
        <v>45417.480567129627</v>
      </c>
      <c r="F1143" s="3">
        <f t="shared" si="17"/>
        <v>0.16563657407095889</v>
      </c>
    </row>
    <row r="1144" spans="1:6" hidden="1">
      <c r="A1144" s="1" t="s">
        <v>1149</v>
      </c>
      <c r="B1144" s="2">
        <v>45416</v>
      </c>
      <c r="C1144" s="2">
        <v>45417.449479166666</v>
      </c>
      <c r="D1144" s="2">
        <v>45417.456631944442</v>
      </c>
      <c r="E1144" s="2">
        <v>45417.743368055555</v>
      </c>
      <c r="F1144" s="3">
        <f t="shared" si="17"/>
        <v>0.29388888888934162</v>
      </c>
    </row>
    <row r="1145" spans="1:6" hidden="1">
      <c r="A1145" s="1" t="s">
        <v>1150</v>
      </c>
      <c r="B1145" s="2">
        <v>45416</v>
      </c>
      <c r="C1145" s="2">
        <v>45417.449479166666</v>
      </c>
      <c r="D1145" s="2">
        <v>45417.460358796299</v>
      </c>
      <c r="E1145" s="2">
        <v>45417.757696759261</v>
      </c>
      <c r="F1145" s="3">
        <f t="shared" si="17"/>
        <v>0.30821759259561077</v>
      </c>
    </row>
    <row r="1146" spans="1:6" hidden="1">
      <c r="A1146" s="1" t="s">
        <v>1151</v>
      </c>
      <c r="B1146" s="2">
        <v>45416</v>
      </c>
      <c r="C1146" s="2">
        <v>45417.449479166666</v>
      </c>
      <c r="D1146" s="2">
        <v>45417.47384259259</v>
      </c>
      <c r="E1146" s="2">
        <v>45417.759884259256</v>
      </c>
      <c r="F1146" s="3">
        <f t="shared" si="17"/>
        <v>0.31040509259037208</v>
      </c>
    </row>
    <row r="1147" spans="1:6">
      <c r="A1147" s="1" t="s">
        <v>1152</v>
      </c>
      <c r="B1147" s="2">
        <v>45417</v>
      </c>
      <c r="C1147" s="2">
        <v>45417.780810185184</v>
      </c>
      <c r="D1147" s="2">
        <v>45418.324062500003</v>
      </c>
      <c r="E1147" s="2">
        <v>45418.351504629631</v>
      </c>
      <c r="F1147" s="3">
        <f t="shared" si="17"/>
        <v>0.57069444444641704</v>
      </c>
    </row>
    <row r="1148" spans="1:6" hidden="1">
      <c r="A1148" s="1" t="s">
        <v>1153</v>
      </c>
      <c r="B1148" s="2">
        <v>45416</v>
      </c>
      <c r="C1148" s="2">
        <v>45417.302534722221</v>
      </c>
      <c r="D1148" s="2">
        <v>45417.575231481482</v>
      </c>
      <c r="E1148" s="2">
        <v>45417.610092592593</v>
      </c>
      <c r="F1148" s="3">
        <f t="shared" si="17"/>
        <v>0.30755787037196569</v>
      </c>
    </row>
    <row r="1149" spans="1:6" hidden="1">
      <c r="A1149" s="1" t="s">
        <v>1154</v>
      </c>
      <c r="B1149" s="2">
        <v>45417</v>
      </c>
      <c r="C1149" s="2">
        <v>45417.39371527778</v>
      </c>
      <c r="D1149" s="2">
        <v>45417.599780092591</v>
      </c>
      <c r="E1149" s="2">
        <v>45417.635671296295</v>
      </c>
      <c r="F1149" s="3">
        <f t="shared" si="17"/>
        <v>0.24195601851533866</v>
      </c>
    </row>
    <row r="1150" spans="1:6" hidden="1">
      <c r="A1150" s="1" t="s">
        <v>1155</v>
      </c>
      <c r="B1150" s="2">
        <v>45417</v>
      </c>
      <c r="C1150" s="2">
        <v>45417.393842592595</v>
      </c>
      <c r="D1150" s="2">
        <v>45417.603912037041</v>
      </c>
      <c r="E1150" s="2">
        <v>45417.645775462966</v>
      </c>
      <c r="F1150" s="3">
        <f t="shared" si="17"/>
        <v>0.25193287037109258</v>
      </c>
    </row>
    <row r="1151" spans="1:6" hidden="1">
      <c r="A1151" s="1" t="s">
        <v>1156</v>
      </c>
      <c r="B1151" s="2">
        <v>45417</v>
      </c>
      <c r="C1151" s="2">
        <v>45417.393831018519</v>
      </c>
      <c r="D1151" s="2">
        <v>45417.610729166663</v>
      </c>
      <c r="E1151" s="2">
        <v>45417.652604166666</v>
      </c>
      <c r="F1151" s="3">
        <f t="shared" si="17"/>
        <v>0.25877314814715646</v>
      </c>
    </row>
    <row r="1152" spans="1:6">
      <c r="A1152" s="1" t="s">
        <v>1157</v>
      </c>
      <c r="B1152" s="2">
        <v>45417</v>
      </c>
      <c r="C1152" s="2">
        <v>45418.501261574071</v>
      </c>
      <c r="D1152" s="2">
        <v>45418.453252314815</v>
      </c>
      <c r="E1152" s="2">
        <v>45418.495115740741</v>
      </c>
      <c r="F1152" s="6" t="s">
        <v>1708</v>
      </c>
    </row>
    <row r="1153" spans="1:6">
      <c r="A1153" s="1" t="s">
        <v>1158</v>
      </c>
      <c r="B1153" s="2">
        <v>45417</v>
      </c>
      <c r="C1153" s="2">
        <v>45418.267939814818</v>
      </c>
      <c r="D1153" s="2">
        <v>45418.326284722221</v>
      </c>
      <c r="E1153" s="2">
        <v>45418.368009259262</v>
      </c>
      <c r="F1153" s="3">
        <f t="shared" si="17"/>
        <v>0.10006944444467081</v>
      </c>
    </row>
    <row r="1154" spans="1:6">
      <c r="A1154" s="1" t="s">
        <v>1159</v>
      </c>
      <c r="B1154" s="2">
        <v>45417</v>
      </c>
      <c r="C1154" s="2">
        <v>45418.819131944445</v>
      </c>
      <c r="D1154" s="2">
        <v>45418.596979166665</v>
      </c>
      <c r="E1154" s="2">
        <v>45418.638796296298</v>
      </c>
      <c r="F1154" s="6" t="s">
        <v>1708</v>
      </c>
    </row>
    <row r="1155" spans="1:6">
      <c r="A1155" s="1" t="s">
        <v>1160</v>
      </c>
      <c r="B1155" s="2">
        <v>45417</v>
      </c>
      <c r="C1155" s="2">
        <v>45419.777083333334</v>
      </c>
      <c r="D1155" s="2">
        <v>45419.690752314818</v>
      </c>
      <c r="E1155" s="2">
        <v>45419.733506944445</v>
      </c>
      <c r="F1155" s="6" t="s">
        <v>1708</v>
      </c>
    </row>
    <row r="1156" spans="1:6">
      <c r="A1156" s="1" t="s">
        <v>1161</v>
      </c>
      <c r="B1156" s="2">
        <v>45417</v>
      </c>
      <c r="C1156" s="2">
        <v>45421.756053240744</v>
      </c>
      <c r="D1156" s="2">
        <v>45421.729409722226</v>
      </c>
      <c r="E1156" s="2">
        <v>45421.771203703705</v>
      </c>
      <c r="F1156" s="3">
        <f t="shared" ref="F1156:F1217" si="18">E1156-C1156</f>
        <v>1.5150462961173616E-2</v>
      </c>
    </row>
    <row r="1157" spans="1:6">
      <c r="A1157" s="1" t="s">
        <v>1162</v>
      </c>
      <c r="B1157" s="2">
        <v>45417</v>
      </c>
      <c r="C1157" s="2">
        <v>45419.777083333334</v>
      </c>
      <c r="D1157" s="2">
        <v>45419.680173611108</v>
      </c>
      <c r="E1157" s="2">
        <v>45419.722071759257</v>
      </c>
      <c r="F1157" s="6" t="s">
        <v>1708</v>
      </c>
    </row>
    <row r="1158" spans="1:6">
      <c r="A1158" s="1" t="s">
        <v>1163</v>
      </c>
      <c r="B1158" s="2">
        <v>45417</v>
      </c>
      <c r="C1158" s="2">
        <v>45417.780810185184</v>
      </c>
      <c r="D1158" s="2">
        <v>45418.019120370373</v>
      </c>
      <c r="E1158" s="2">
        <v>45418.325092592589</v>
      </c>
      <c r="F1158" s="3">
        <f t="shared" si="18"/>
        <v>0.54428240740526235</v>
      </c>
    </row>
    <row r="1159" spans="1:6">
      <c r="A1159" s="1" t="s">
        <v>1164</v>
      </c>
      <c r="B1159" s="2">
        <v>45417</v>
      </c>
      <c r="C1159" s="2">
        <v>45417.780810185184</v>
      </c>
      <c r="D1159" s="2">
        <v>45418.019189814811</v>
      </c>
      <c r="E1159" s="2">
        <v>45418.248310185183</v>
      </c>
      <c r="F1159" s="3">
        <f t="shared" si="18"/>
        <v>0.46749999999883585</v>
      </c>
    </row>
    <row r="1160" spans="1:6">
      <c r="A1160" s="1" t="s">
        <v>1165</v>
      </c>
      <c r="B1160" s="2">
        <v>45417</v>
      </c>
      <c r="C1160" s="2">
        <v>45417.780810185184</v>
      </c>
      <c r="D1160" s="2">
        <v>45418.019050925926</v>
      </c>
      <c r="E1160" s="2">
        <v>45418.246192129627</v>
      </c>
      <c r="F1160" s="3">
        <f t="shared" si="18"/>
        <v>0.46538194444292458</v>
      </c>
    </row>
    <row r="1161" spans="1:6">
      <c r="A1161" s="1" t="s">
        <v>1166</v>
      </c>
      <c r="B1161" s="2">
        <v>45417</v>
      </c>
      <c r="C1161" s="2">
        <v>45419.777083333334</v>
      </c>
      <c r="D1161" s="2">
        <v>45419.684201388889</v>
      </c>
      <c r="E1161" s="2">
        <v>45419.714953703704</v>
      </c>
      <c r="F1161" s="6" t="s">
        <v>1708</v>
      </c>
    </row>
    <row r="1162" spans="1:6">
      <c r="A1162" s="1" t="s">
        <v>1167</v>
      </c>
      <c r="B1162" s="2">
        <v>45417</v>
      </c>
      <c r="C1162" s="2">
        <v>45419.777083333334</v>
      </c>
      <c r="D1162" s="2">
        <v>45419.677418981482</v>
      </c>
      <c r="E1162" s="2">
        <v>45419.692071759258</v>
      </c>
      <c r="F1162" s="6" t="s">
        <v>1708</v>
      </c>
    </row>
    <row r="1163" spans="1:6">
      <c r="A1163" s="1" t="s">
        <v>1168</v>
      </c>
      <c r="B1163" s="2">
        <v>45417</v>
      </c>
      <c r="C1163" s="2">
        <v>45418.451793981483</v>
      </c>
      <c r="D1163" s="2">
        <v>45418.427499999998</v>
      </c>
      <c r="E1163" s="2">
        <v>45418.469375000001</v>
      </c>
      <c r="F1163" s="3">
        <f t="shared" si="18"/>
        <v>1.7581018517375924E-2</v>
      </c>
    </row>
    <row r="1164" spans="1:6">
      <c r="A1164" s="1" t="s">
        <v>1169</v>
      </c>
      <c r="B1164" s="2">
        <v>45417</v>
      </c>
      <c r="C1164" s="2">
        <v>45418.451793981483</v>
      </c>
      <c r="D1164" s="2">
        <v>45418.427523148152</v>
      </c>
      <c r="E1164" s="2">
        <v>45418.469375000001</v>
      </c>
      <c r="F1164" s="3">
        <f t="shared" si="18"/>
        <v>1.7581018517375924E-2</v>
      </c>
    </row>
    <row r="1165" spans="1:6">
      <c r="A1165" s="1" t="s">
        <v>1170</v>
      </c>
      <c r="B1165" s="2">
        <v>45417</v>
      </c>
      <c r="C1165" s="2">
        <v>45418.451793981483</v>
      </c>
      <c r="D1165" s="2">
        <v>45418.427743055552</v>
      </c>
      <c r="E1165" s="2">
        <v>45418.436597222222</v>
      </c>
      <c r="F1165" s="6" t="s">
        <v>1708</v>
      </c>
    </row>
    <row r="1166" spans="1:6">
      <c r="A1166" s="1" t="s">
        <v>1171</v>
      </c>
      <c r="B1166" s="2">
        <v>45417</v>
      </c>
      <c r="C1166" s="2">
        <v>45418.451793981483</v>
      </c>
      <c r="D1166" s="2">
        <v>45418.42765046296</v>
      </c>
      <c r="E1166" s="2">
        <v>45418.436319444445</v>
      </c>
      <c r="F1166" s="6" t="s">
        <v>1708</v>
      </c>
    </row>
    <row r="1167" spans="1:6">
      <c r="A1167" s="1" t="s">
        <v>1172</v>
      </c>
      <c r="B1167" s="2">
        <v>45417</v>
      </c>
      <c r="C1167" s="2">
        <v>45418.451793981483</v>
      </c>
      <c r="D1167" s="2">
        <v>45418.427673611113</v>
      </c>
      <c r="E1167" s="2">
        <v>45418.436400462961</v>
      </c>
      <c r="F1167" s="6" t="s">
        <v>1708</v>
      </c>
    </row>
    <row r="1168" spans="1:6">
      <c r="A1168" s="1" t="s">
        <v>1173</v>
      </c>
      <c r="B1168" s="2">
        <v>45417</v>
      </c>
      <c r="C1168" s="2">
        <v>45418.451793981483</v>
      </c>
      <c r="D1168" s="2">
        <v>45418.427569444444</v>
      </c>
      <c r="E1168" s="2">
        <v>45418.469375000001</v>
      </c>
      <c r="F1168" s="3">
        <f t="shared" si="18"/>
        <v>1.7581018517375924E-2</v>
      </c>
    </row>
    <row r="1169" spans="1:6">
      <c r="A1169" s="1" t="s">
        <v>1174</v>
      </c>
      <c r="B1169" s="2">
        <v>45417</v>
      </c>
      <c r="C1169" s="2">
        <v>45418.521817129629</v>
      </c>
      <c r="D1169" s="2">
        <v>45418.456064814818</v>
      </c>
      <c r="E1169" s="2">
        <v>45418.466967592591</v>
      </c>
      <c r="F1169" s="6" t="s">
        <v>1708</v>
      </c>
    </row>
    <row r="1170" spans="1:6">
      <c r="A1170" s="1" t="s">
        <v>1175</v>
      </c>
      <c r="B1170" s="2">
        <v>45417</v>
      </c>
      <c r="C1170" s="2">
        <v>45418.521817129629</v>
      </c>
      <c r="D1170" s="2">
        <v>45418.455405092594</v>
      </c>
      <c r="E1170" s="2">
        <v>45418.466921296298</v>
      </c>
      <c r="F1170" s="6" t="s">
        <v>1708</v>
      </c>
    </row>
    <row r="1171" spans="1:6">
      <c r="A1171" s="1" t="s">
        <v>1176</v>
      </c>
      <c r="B1171" s="2">
        <v>45417</v>
      </c>
      <c r="C1171" s="2">
        <v>45418.521817129629</v>
      </c>
      <c r="D1171" s="2">
        <v>45418.456631944442</v>
      </c>
      <c r="E1171" s="2">
        <v>45418.46702546296</v>
      </c>
      <c r="F1171" s="6" t="s">
        <v>1708</v>
      </c>
    </row>
    <row r="1172" spans="1:6">
      <c r="A1172" s="1" t="s">
        <v>1177</v>
      </c>
      <c r="B1172" s="2">
        <v>45416</v>
      </c>
      <c r="C1172" s="2">
        <v>45416.801400462966</v>
      </c>
      <c r="D1172" s="2">
        <v>45418.402615740742</v>
      </c>
      <c r="E1172" s="2">
        <v>45418.444409722222</v>
      </c>
      <c r="F1172" s="3">
        <f t="shared" si="18"/>
        <v>1.6430092592563597</v>
      </c>
    </row>
    <row r="1173" spans="1:6">
      <c r="A1173" s="1" t="s">
        <v>1178</v>
      </c>
      <c r="B1173" s="2">
        <v>45417</v>
      </c>
      <c r="C1173" s="2">
        <v>45417.780810185184</v>
      </c>
      <c r="D1173" s="2">
        <v>45419.427442129629</v>
      </c>
      <c r="E1173" s="2">
        <v>45419.46947916667</v>
      </c>
      <c r="F1173" s="3">
        <f t="shared" si="18"/>
        <v>1.6886689814855345</v>
      </c>
    </row>
    <row r="1174" spans="1:6">
      <c r="A1174" s="1" t="s">
        <v>1179</v>
      </c>
      <c r="B1174" s="2">
        <v>45415</v>
      </c>
      <c r="C1174" s="2">
        <v>45416.835659722223</v>
      </c>
      <c r="D1174" s="2">
        <v>45418.534907407404</v>
      </c>
      <c r="E1174" s="2">
        <v>45418.656226851854</v>
      </c>
      <c r="F1174" s="3">
        <f t="shared" si="18"/>
        <v>1.8205671296309447</v>
      </c>
    </row>
    <row r="1175" spans="1:6">
      <c r="A1175" s="1" t="s">
        <v>1180</v>
      </c>
      <c r="B1175" s="2">
        <v>45415</v>
      </c>
      <c r="C1175" s="2">
        <v>45416.729062500002</v>
      </c>
      <c r="D1175" s="2">
        <v>45419.386932870373</v>
      </c>
      <c r="E1175" s="2">
        <v>45419.393923611111</v>
      </c>
      <c r="F1175" s="3">
        <f t="shared" si="18"/>
        <v>2.6648611111086211</v>
      </c>
    </row>
    <row r="1176" spans="1:6">
      <c r="A1176" s="1" t="s">
        <v>1181</v>
      </c>
      <c r="B1176" s="2">
        <v>45413</v>
      </c>
      <c r="C1176" s="2">
        <v>45413.734976851854</v>
      </c>
      <c r="D1176" s="2">
        <v>45419.44427083333</v>
      </c>
      <c r="E1176" s="2">
        <v>45419.542951388888</v>
      </c>
      <c r="F1176" s="3">
        <f t="shared" si="18"/>
        <v>5.8079745370341698</v>
      </c>
    </row>
    <row r="1177" spans="1:6">
      <c r="A1177" s="1" t="s">
        <v>1182</v>
      </c>
      <c r="B1177" s="2">
        <v>45416</v>
      </c>
      <c r="C1177" s="2">
        <v>45416.801400462966</v>
      </c>
      <c r="D1177" s="2">
        <v>45419.446527777778</v>
      </c>
      <c r="E1177" s="2">
        <v>45419.488379629627</v>
      </c>
      <c r="F1177" s="3">
        <f t="shared" si="18"/>
        <v>2.686979166661331</v>
      </c>
    </row>
    <row r="1178" spans="1:6">
      <c r="A1178" s="1" t="s">
        <v>1183</v>
      </c>
      <c r="B1178" s="2">
        <v>45416</v>
      </c>
      <c r="C1178" s="2">
        <v>45417.477476851855</v>
      </c>
      <c r="D1178" s="2">
        <v>45419.577928240738</v>
      </c>
      <c r="E1178" s="2">
        <v>45419.62</v>
      </c>
      <c r="F1178" s="3">
        <f t="shared" si="18"/>
        <v>2.1425231481480296</v>
      </c>
    </row>
    <row r="1179" spans="1:6">
      <c r="A1179" s="1" t="s">
        <v>1184</v>
      </c>
      <c r="B1179" s="2">
        <v>45416</v>
      </c>
      <c r="C1179" s="2">
        <v>45417.477476851855</v>
      </c>
      <c r="D1179" s="2">
        <v>45419.580763888887</v>
      </c>
      <c r="E1179" s="2">
        <v>45419.62290509259</v>
      </c>
      <c r="F1179" s="3">
        <f t="shared" si="18"/>
        <v>2.1454282407357823</v>
      </c>
    </row>
    <row r="1180" spans="1:6">
      <c r="A1180" s="1" t="s">
        <v>1185</v>
      </c>
      <c r="B1180" s="2">
        <v>45416</v>
      </c>
      <c r="C1180" s="2">
        <v>45417.477476851855</v>
      </c>
      <c r="D1180" s="2">
        <v>45419.582627314812</v>
      </c>
      <c r="E1180" s="2">
        <v>45419.624918981484</v>
      </c>
      <c r="F1180" s="3">
        <f t="shared" si="18"/>
        <v>2.1474421296297805</v>
      </c>
    </row>
    <row r="1181" spans="1:6">
      <c r="A1181" s="1" t="s">
        <v>1186</v>
      </c>
      <c r="B1181" s="2">
        <v>45415</v>
      </c>
      <c r="C1181" s="2">
        <v>45416.288078703707</v>
      </c>
      <c r="D1181" s="2">
        <v>45419.681504629632</v>
      </c>
      <c r="E1181" s="2">
        <v>45419.70890046296</v>
      </c>
      <c r="F1181" s="3">
        <f t="shared" si="18"/>
        <v>3.4208217592531582</v>
      </c>
    </row>
    <row r="1182" spans="1:6">
      <c r="A1182" s="1" t="s">
        <v>1187</v>
      </c>
      <c r="B1182" s="2">
        <v>45416</v>
      </c>
      <c r="C1182" s="2">
        <v>45417.302546296298</v>
      </c>
      <c r="D1182" s="2">
        <v>45419.693831018521</v>
      </c>
      <c r="E1182" s="2">
        <v>45419.758842592593</v>
      </c>
      <c r="F1182" s="3">
        <f t="shared" si="18"/>
        <v>2.4562962962954771</v>
      </c>
    </row>
    <row r="1183" spans="1:6">
      <c r="A1183" s="1" t="s">
        <v>1188</v>
      </c>
      <c r="B1183" s="2">
        <v>45415</v>
      </c>
      <c r="C1183" s="2">
        <v>45416.28806712963</v>
      </c>
      <c r="D1183" s="2">
        <v>45419.698935185188</v>
      </c>
      <c r="E1183" s="2">
        <v>45419.709224537037</v>
      </c>
      <c r="F1183" s="3">
        <f t="shared" si="18"/>
        <v>3.4211574074070086</v>
      </c>
    </row>
    <row r="1184" spans="1:6">
      <c r="A1184" s="1" t="s">
        <v>1189</v>
      </c>
      <c r="B1184" s="2">
        <v>45415</v>
      </c>
      <c r="C1184" s="2">
        <v>45416.28806712963</v>
      </c>
      <c r="D1184" s="2">
        <v>45419.703750000001</v>
      </c>
      <c r="E1184" s="2">
        <v>45420.670011574075</v>
      </c>
      <c r="F1184" s="3">
        <f t="shared" si="18"/>
        <v>4.3819444444452529</v>
      </c>
    </row>
    <row r="1185" spans="1:6">
      <c r="A1185" s="1" t="s">
        <v>1190</v>
      </c>
      <c r="B1185" s="2">
        <v>45418</v>
      </c>
      <c r="C1185" s="2">
        <v>45419.771412037036</v>
      </c>
      <c r="D1185" s="2">
        <v>45419.768657407411</v>
      </c>
      <c r="E1185" s="2">
        <v>45419.76939814815</v>
      </c>
      <c r="F1185" s="6" t="s">
        <v>1708</v>
      </c>
    </row>
    <row r="1186" spans="1:6">
      <c r="A1186" s="1" t="s">
        <v>1191</v>
      </c>
      <c r="B1186" s="2">
        <v>45418</v>
      </c>
      <c r="C1186" s="2">
        <v>45419.771412037036</v>
      </c>
      <c r="D1186" s="2">
        <v>45419.809884259259</v>
      </c>
      <c r="E1186" s="2">
        <v>45419.885277777779</v>
      </c>
      <c r="F1186" s="3">
        <f t="shared" si="18"/>
        <v>0.11386574074276723</v>
      </c>
    </row>
    <row r="1187" spans="1:6">
      <c r="A1187" s="1" t="s">
        <v>1192</v>
      </c>
      <c r="B1187" s="2">
        <v>45419</v>
      </c>
      <c r="C1187" s="2">
        <v>45419.757002314815</v>
      </c>
      <c r="D1187" s="2">
        <v>45420.397361111114</v>
      </c>
      <c r="E1187" s="2">
        <v>45420.439340277779</v>
      </c>
      <c r="F1187" s="3">
        <f t="shared" si="18"/>
        <v>0.682337962964084</v>
      </c>
    </row>
    <row r="1188" spans="1:6">
      <c r="A1188" s="1" t="s">
        <v>1193</v>
      </c>
      <c r="B1188" s="2">
        <v>45419</v>
      </c>
      <c r="C1188" s="2">
        <v>45417.302534722221</v>
      </c>
      <c r="D1188" s="2">
        <v>45419.825208333335</v>
      </c>
      <c r="E1188" s="2">
        <v>45419.867025462961</v>
      </c>
      <c r="F1188" s="3">
        <f t="shared" si="18"/>
        <v>2.5644907407404389</v>
      </c>
    </row>
    <row r="1189" spans="1:6">
      <c r="A1189" s="1" t="s">
        <v>1194</v>
      </c>
      <c r="B1189" s="2">
        <v>45419</v>
      </c>
      <c r="C1189" s="2">
        <v>45420.240567129629</v>
      </c>
      <c r="D1189" s="2">
        <v>45420.360300925924</v>
      </c>
      <c r="E1189" s="2">
        <v>45420.608773148146</v>
      </c>
      <c r="F1189" s="3">
        <f t="shared" si="18"/>
        <v>0.36820601851650281</v>
      </c>
    </row>
    <row r="1190" spans="1:6">
      <c r="A1190" s="1" t="s">
        <v>1195</v>
      </c>
      <c r="B1190" s="2">
        <v>45419</v>
      </c>
      <c r="C1190" s="2">
        <v>45420.240567129629</v>
      </c>
      <c r="D1190" s="2">
        <v>45420.360324074078</v>
      </c>
      <c r="E1190" s="2">
        <v>45420.607511574075</v>
      </c>
      <c r="F1190" s="3">
        <f t="shared" si="18"/>
        <v>0.36694444444583496</v>
      </c>
    </row>
    <row r="1191" spans="1:6">
      <c r="A1191" s="1" t="s">
        <v>1196</v>
      </c>
      <c r="B1191" s="2">
        <v>45419</v>
      </c>
      <c r="C1191" s="2">
        <v>45420.240567129629</v>
      </c>
      <c r="D1191" s="2">
        <v>45420.362071759257</v>
      </c>
      <c r="E1191" s="2">
        <v>45420.607256944444</v>
      </c>
      <c r="F1191" s="3">
        <f t="shared" si="18"/>
        <v>0.36668981481489027</v>
      </c>
    </row>
    <row r="1192" spans="1:6">
      <c r="A1192" s="1" t="s">
        <v>1197</v>
      </c>
      <c r="B1192" s="2">
        <v>45419</v>
      </c>
      <c r="C1192" s="2">
        <v>45420.240578703706</v>
      </c>
      <c r="D1192" s="2">
        <v>45420.362083333333</v>
      </c>
      <c r="E1192" s="2">
        <v>45420.621238425927</v>
      </c>
      <c r="F1192" s="3">
        <f t="shared" si="18"/>
        <v>0.38065972222102573</v>
      </c>
    </row>
    <row r="1193" spans="1:6">
      <c r="A1193" s="1" t="s">
        <v>1198</v>
      </c>
      <c r="B1193" s="2">
        <v>45414</v>
      </c>
      <c r="C1193" s="2">
        <v>45414.786805555559</v>
      </c>
      <c r="D1193" s="2">
        <v>45420.463750000003</v>
      </c>
      <c r="E1193" s="2">
        <v>45420.505613425928</v>
      </c>
      <c r="F1193" s="3">
        <f t="shared" si="18"/>
        <v>5.7188078703693463</v>
      </c>
    </row>
    <row r="1194" spans="1:6">
      <c r="A1194" s="1" t="s">
        <v>1199</v>
      </c>
      <c r="B1194" s="2">
        <v>45408</v>
      </c>
      <c r="C1194" s="2">
        <v>45408.987337962964</v>
      </c>
      <c r="D1194" s="2">
        <v>45420.760625000003</v>
      </c>
      <c r="E1194" s="2">
        <v>45420.802430555559</v>
      </c>
      <c r="F1194" s="3">
        <f t="shared" si="18"/>
        <v>11.815092592594738</v>
      </c>
    </row>
    <row r="1195" spans="1:6">
      <c r="A1195" s="1" t="s">
        <v>1200</v>
      </c>
      <c r="B1195" s="2">
        <v>45416</v>
      </c>
      <c r="C1195" s="2">
        <v>45417.393888888888</v>
      </c>
      <c r="D1195" s="2">
        <v>45420.757719907408</v>
      </c>
      <c r="E1195" s="2">
        <v>45420.799490740741</v>
      </c>
      <c r="F1195" s="3">
        <f t="shared" si="18"/>
        <v>3.4056018518531346</v>
      </c>
    </row>
    <row r="1196" spans="1:6">
      <c r="A1196" s="1" t="s">
        <v>1201</v>
      </c>
      <c r="B1196" s="2">
        <v>45420</v>
      </c>
      <c r="C1196" s="2">
        <v>45421.280960648146</v>
      </c>
      <c r="D1196" s="2">
        <v>45421.349479166667</v>
      </c>
      <c r="E1196" s="2">
        <v>45421.706307870372</v>
      </c>
      <c r="F1196" s="3">
        <f t="shared" si="18"/>
        <v>0.42534722222626442</v>
      </c>
    </row>
    <row r="1197" spans="1:6">
      <c r="A1197" s="1" t="s">
        <v>1202</v>
      </c>
      <c r="B1197" s="2">
        <v>45420</v>
      </c>
      <c r="C1197" s="2">
        <v>45421.280960648146</v>
      </c>
      <c r="D1197" s="2">
        <v>45421.349444444444</v>
      </c>
      <c r="E1197" s="2">
        <v>45421.667337962965</v>
      </c>
      <c r="F1197" s="3">
        <f t="shared" si="18"/>
        <v>0.38637731481867377</v>
      </c>
    </row>
    <row r="1198" spans="1:6">
      <c r="A1198" s="1" t="s">
        <v>1203</v>
      </c>
      <c r="B1198" s="2">
        <v>45420</v>
      </c>
      <c r="C1198" s="2">
        <v>45421.280960648146</v>
      </c>
      <c r="D1198" s="2">
        <v>45421.349305555559</v>
      </c>
      <c r="E1198" s="2">
        <v>45421.627372685187</v>
      </c>
      <c r="F1198" s="3">
        <f t="shared" si="18"/>
        <v>0.34641203704086365</v>
      </c>
    </row>
    <row r="1199" spans="1:6">
      <c r="A1199" s="1" t="s">
        <v>1204</v>
      </c>
      <c r="B1199" s="2">
        <v>45420</v>
      </c>
      <c r="C1199" s="2">
        <v>45421.280960648146</v>
      </c>
      <c r="D1199" s="2">
        <v>45421.349259259259</v>
      </c>
      <c r="E1199" s="2">
        <v>45421.627754629626</v>
      </c>
      <c r="F1199" s="3">
        <f t="shared" si="18"/>
        <v>0.34679398148000473</v>
      </c>
    </row>
    <row r="1200" spans="1:6">
      <c r="A1200" s="1" t="s">
        <v>1205</v>
      </c>
      <c r="B1200" s="2">
        <v>45420</v>
      </c>
      <c r="C1200" s="2">
        <v>45421.280960648146</v>
      </c>
      <c r="D1200" s="2">
        <v>45421.349212962959</v>
      </c>
      <c r="E1200" s="2">
        <v>45421.626215277778</v>
      </c>
      <c r="F1200" s="3">
        <f t="shared" si="18"/>
        <v>0.34525462963210884</v>
      </c>
    </row>
    <row r="1201" spans="1:6">
      <c r="A1201" s="1" t="s">
        <v>1206</v>
      </c>
      <c r="B1201" s="2">
        <v>45420</v>
      </c>
      <c r="C1201" s="2">
        <v>45421.280960648146</v>
      </c>
      <c r="D1201" s="2">
        <v>45421.349143518521</v>
      </c>
      <c r="E1201" s="2">
        <v>45421.625613425924</v>
      </c>
      <c r="F1201" s="3">
        <f t="shared" si="18"/>
        <v>0.34465277777781012</v>
      </c>
    </row>
    <row r="1202" spans="1:6">
      <c r="A1202" s="1" t="s">
        <v>1207</v>
      </c>
      <c r="B1202" s="2">
        <v>45420</v>
      </c>
      <c r="C1202" s="2">
        <v>45421.280960648146</v>
      </c>
      <c r="D1202" s="2">
        <v>45421.349097222221</v>
      </c>
      <c r="E1202" s="2">
        <v>45421.622696759259</v>
      </c>
      <c r="F1202" s="3">
        <f t="shared" si="18"/>
        <v>0.34173611111327773</v>
      </c>
    </row>
    <row r="1203" spans="1:6">
      <c r="A1203" s="1" t="s">
        <v>1208</v>
      </c>
      <c r="B1203" s="2">
        <v>45407</v>
      </c>
      <c r="C1203" s="2">
        <v>45409.342245370368</v>
      </c>
      <c r="D1203" s="2">
        <v>45421.180081018516</v>
      </c>
      <c r="E1203" s="2">
        <v>45421.30400462963</v>
      </c>
      <c r="F1203" s="3">
        <f t="shared" si="18"/>
        <v>11.96175925926218</v>
      </c>
    </row>
    <row r="1204" spans="1:6">
      <c r="A1204" s="1" t="s">
        <v>1209</v>
      </c>
      <c r="B1204" s="2">
        <v>45420</v>
      </c>
      <c r="C1204" s="2">
        <v>45421.280960648146</v>
      </c>
      <c r="D1204" s="2">
        <v>45421.339861111112</v>
      </c>
      <c r="E1204" s="2">
        <v>45421.622361111113</v>
      </c>
      <c r="F1204" s="3">
        <f t="shared" si="18"/>
        <v>0.34140046296670334</v>
      </c>
    </row>
    <row r="1205" spans="1:6">
      <c r="A1205" s="1" t="s">
        <v>1210</v>
      </c>
      <c r="B1205" s="2">
        <v>45415</v>
      </c>
      <c r="C1205" s="2">
        <v>45416.240254629629</v>
      </c>
      <c r="D1205" s="2">
        <v>45420.849270833336</v>
      </c>
      <c r="E1205" s="2">
        <v>45420.924155092594</v>
      </c>
      <c r="F1205" s="3">
        <f t="shared" si="18"/>
        <v>4.6839004629655392</v>
      </c>
    </row>
    <row r="1206" spans="1:6">
      <c r="A1206" s="1" t="s">
        <v>1211</v>
      </c>
      <c r="B1206" s="2">
        <v>45420</v>
      </c>
      <c r="C1206" s="2">
        <v>45421.280960648146</v>
      </c>
      <c r="D1206" s="2">
        <v>45421.359513888892</v>
      </c>
      <c r="E1206" s="2">
        <v>45421.622696759259</v>
      </c>
      <c r="F1206" s="3">
        <f t="shared" si="18"/>
        <v>0.34173611111327773</v>
      </c>
    </row>
    <row r="1207" spans="1:6">
      <c r="A1207" s="1" t="s">
        <v>1212</v>
      </c>
      <c r="B1207" s="2">
        <v>45416</v>
      </c>
      <c r="C1207" s="2">
        <v>45417.725659722222</v>
      </c>
      <c r="D1207" s="2">
        <v>45421.331053240741</v>
      </c>
      <c r="E1207" s="2">
        <v>45421.355243055557</v>
      </c>
      <c r="F1207" s="3">
        <f t="shared" si="18"/>
        <v>3.6295833333351766</v>
      </c>
    </row>
    <row r="1208" spans="1:6">
      <c r="A1208" s="1" t="s">
        <v>1213</v>
      </c>
      <c r="B1208" s="2">
        <v>45420</v>
      </c>
      <c r="C1208" s="2">
        <v>45421.280960648146</v>
      </c>
      <c r="D1208" s="2">
        <v>45421.359166666669</v>
      </c>
      <c r="E1208" s="2">
        <v>45421.626273148147</v>
      </c>
      <c r="F1208" s="3">
        <f t="shared" si="18"/>
        <v>0.34531250000145519</v>
      </c>
    </row>
    <row r="1209" spans="1:6">
      <c r="A1209" s="1" t="s">
        <v>1214</v>
      </c>
      <c r="B1209" s="2">
        <v>45420</v>
      </c>
      <c r="C1209" s="2">
        <v>45421.280960648146</v>
      </c>
      <c r="D1209" s="2">
        <v>45421.359224537038</v>
      </c>
      <c r="E1209" s="2">
        <v>45421.625740740739</v>
      </c>
      <c r="F1209" s="3">
        <f t="shared" si="18"/>
        <v>0.34478009259328246</v>
      </c>
    </row>
    <row r="1210" spans="1:6">
      <c r="A1210" s="1" t="s">
        <v>1215</v>
      </c>
      <c r="B1210" s="2">
        <v>45419</v>
      </c>
      <c r="C1210" s="2">
        <v>45421.694907407407</v>
      </c>
      <c r="D1210" s="2">
        <v>45422.371111111112</v>
      </c>
      <c r="E1210" s="2">
        <v>45422.450150462966</v>
      </c>
      <c r="F1210" s="3">
        <f t="shared" si="18"/>
        <v>0.75524305555882165</v>
      </c>
    </row>
    <row r="1211" spans="1:6">
      <c r="A1211" s="1" t="s">
        <v>1216</v>
      </c>
      <c r="B1211" s="2">
        <v>45416</v>
      </c>
      <c r="C1211" s="2">
        <v>45417.477476851855</v>
      </c>
      <c r="D1211" s="2">
        <v>45421.501342592594</v>
      </c>
      <c r="E1211" s="2">
        <v>45421.589525462965</v>
      </c>
      <c r="F1211" s="3">
        <f t="shared" si="18"/>
        <v>4.1120486111103673</v>
      </c>
    </row>
    <row r="1212" spans="1:6">
      <c r="A1212" s="1" t="s">
        <v>1217</v>
      </c>
      <c r="B1212" s="2">
        <v>45420</v>
      </c>
      <c r="C1212" s="2">
        <v>45421.742731481485</v>
      </c>
      <c r="D1212" s="2">
        <v>45421.74486111111</v>
      </c>
      <c r="E1212" s="2">
        <v>45421.858715277776</v>
      </c>
      <c r="F1212" s="3">
        <f t="shared" si="18"/>
        <v>0.11598379629140254</v>
      </c>
    </row>
    <row r="1213" spans="1:6">
      <c r="A1213" s="1" t="s">
        <v>1218</v>
      </c>
      <c r="B1213" s="2">
        <v>45421</v>
      </c>
      <c r="C1213" s="2">
        <v>45422.301377314812</v>
      </c>
      <c r="D1213" s="2">
        <v>45422.355983796297</v>
      </c>
      <c r="E1213" s="2">
        <v>45422.627812500003</v>
      </c>
      <c r="F1213" s="3">
        <f t="shared" si="18"/>
        <v>0.32643518519034842</v>
      </c>
    </row>
    <row r="1214" spans="1:6">
      <c r="A1214" s="1" t="s">
        <v>1219</v>
      </c>
      <c r="B1214" s="2">
        <v>45421</v>
      </c>
      <c r="C1214" s="2">
        <v>45421.343136574076</v>
      </c>
      <c r="D1214" s="2">
        <v>45421.926053240742</v>
      </c>
      <c r="E1214" s="2">
        <v>45421.967789351853</v>
      </c>
      <c r="F1214" s="3">
        <f t="shared" si="18"/>
        <v>0.62465277777664596</v>
      </c>
    </row>
    <row r="1215" spans="1:6">
      <c r="A1215" s="1" t="s">
        <v>1220</v>
      </c>
      <c r="B1215" s="2">
        <v>45421</v>
      </c>
      <c r="C1215" s="2">
        <v>45422.727303240739</v>
      </c>
      <c r="D1215" s="2">
        <v>45422.920011574075</v>
      </c>
      <c r="E1215" s="2">
        <v>45422.93546296296</v>
      </c>
      <c r="F1215" s="3">
        <f t="shared" si="18"/>
        <v>0.20815972222044365</v>
      </c>
    </row>
    <row r="1216" spans="1:6">
      <c r="A1216" s="1" t="s">
        <v>1221</v>
      </c>
      <c r="B1216" s="2">
        <v>45421</v>
      </c>
      <c r="C1216" s="2">
        <v>45422.387627314813</v>
      </c>
      <c r="D1216" s="2">
        <v>45422.370532407411</v>
      </c>
      <c r="E1216" s="2">
        <v>45422.432233796295</v>
      </c>
      <c r="F1216" s="3">
        <f t="shared" si="18"/>
        <v>4.4606481482333038E-2</v>
      </c>
    </row>
    <row r="1217" spans="1:6">
      <c r="A1217" s="1" t="s">
        <v>1222</v>
      </c>
      <c r="B1217" s="2">
        <v>45421</v>
      </c>
      <c r="C1217" s="2">
        <v>45421.756053240744</v>
      </c>
      <c r="D1217" s="2">
        <v>45422.373761574076</v>
      </c>
      <c r="E1217" s="2">
        <v>45422.415578703702</v>
      </c>
      <c r="F1217" s="3">
        <f t="shared" si="18"/>
        <v>0.65952546295739012</v>
      </c>
    </row>
    <row r="1218" spans="1:6">
      <c r="A1218" s="1" t="s">
        <v>1223</v>
      </c>
      <c r="B1218" s="2">
        <v>45421</v>
      </c>
      <c r="C1218" s="2">
        <v>45422.466412037036</v>
      </c>
      <c r="D1218" s="2">
        <v>45422.388333333336</v>
      </c>
      <c r="E1218" s="2">
        <v>45422.42769675926</v>
      </c>
      <c r="F1218" s="6" t="s">
        <v>1708</v>
      </c>
    </row>
    <row r="1219" spans="1:6">
      <c r="A1219" s="1" t="s">
        <v>1224</v>
      </c>
      <c r="B1219" s="2">
        <v>45421</v>
      </c>
      <c r="C1219" s="2">
        <v>45422.321701388886</v>
      </c>
      <c r="D1219" s="2">
        <v>45422.395972222221</v>
      </c>
      <c r="E1219" s="2">
        <v>45422.606099537035</v>
      </c>
      <c r="F1219" s="3">
        <f t="shared" ref="F1219:F1282" si="19">E1219-C1219</f>
        <v>0.28439814814919373</v>
      </c>
    </row>
    <row r="1220" spans="1:6">
      <c r="A1220" s="1" t="s">
        <v>1225</v>
      </c>
      <c r="B1220" s="2">
        <v>45421</v>
      </c>
      <c r="C1220" s="2">
        <v>45422.321701388886</v>
      </c>
      <c r="D1220" s="2">
        <v>45422.405949074076</v>
      </c>
      <c r="E1220" s="2">
        <v>45422.605833333335</v>
      </c>
      <c r="F1220" s="3">
        <f t="shared" si="19"/>
        <v>0.28413194444874534</v>
      </c>
    </row>
    <row r="1221" spans="1:6">
      <c r="A1221" s="1" t="s">
        <v>1226</v>
      </c>
      <c r="B1221" s="2">
        <v>45421</v>
      </c>
      <c r="C1221" s="2">
        <v>45422.466412037036</v>
      </c>
      <c r="D1221" s="2">
        <v>45422.413923611108</v>
      </c>
      <c r="E1221" s="2">
        <v>45422.422233796293</v>
      </c>
      <c r="F1221" s="6" t="s">
        <v>1708</v>
      </c>
    </row>
    <row r="1222" spans="1:6">
      <c r="A1222" s="1" t="s">
        <v>1227</v>
      </c>
      <c r="B1222" s="2">
        <v>45420</v>
      </c>
      <c r="C1222" s="2">
        <v>45420.74732638889</v>
      </c>
      <c r="D1222" s="2">
        <v>45422.592789351853</v>
      </c>
      <c r="E1222" s="2">
        <v>45422.634571759256</v>
      </c>
      <c r="F1222" s="3">
        <f t="shared" si="19"/>
        <v>1.8872453703661449</v>
      </c>
    </row>
    <row r="1223" spans="1:6">
      <c r="A1223" s="1" t="s">
        <v>1228</v>
      </c>
      <c r="B1223" s="2">
        <v>45420</v>
      </c>
      <c r="C1223" s="2">
        <v>45420.74732638889</v>
      </c>
      <c r="D1223" s="2">
        <v>45422.598032407404</v>
      </c>
      <c r="E1223" s="2">
        <v>45422.639872685184</v>
      </c>
      <c r="F1223" s="3">
        <f t="shared" si="19"/>
        <v>1.8925462962943129</v>
      </c>
    </row>
    <row r="1224" spans="1:6">
      <c r="A1224" s="1" t="s">
        <v>1229</v>
      </c>
      <c r="B1224" s="2">
        <v>45421</v>
      </c>
      <c r="C1224" s="2">
        <v>45421.343148148146</v>
      </c>
      <c r="D1224" s="2">
        <v>45422.604745370372</v>
      </c>
      <c r="E1224" s="2">
        <v>45422.646643518521</v>
      </c>
      <c r="F1224" s="3">
        <f t="shared" si="19"/>
        <v>1.3034953703754582</v>
      </c>
    </row>
    <row r="1225" spans="1:6">
      <c r="A1225" s="1" t="s">
        <v>1230</v>
      </c>
      <c r="B1225" s="2">
        <v>45421</v>
      </c>
      <c r="C1225" s="2">
        <v>45422.766759259262</v>
      </c>
      <c r="D1225" s="2">
        <v>45422.714525462965</v>
      </c>
      <c r="E1225" s="2">
        <v>45422.807766203703</v>
      </c>
      <c r="F1225" s="3">
        <f t="shared" si="19"/>
        <v>4.1006944440596271E-2</v>
      </c>
    </row>
    <row r="1226" spans="1:6">
      <c r="A1226" s="1" t="s">
        <v>1231</v>
      </c>
      <c r="B1226" s="2">
        <v>45420</v>
      </c>
      <c r="C1226" s="2">
        <v>45422.887129629627</v>
      </c>
      <c r="D1226" s="2">
        <v>45422.874293981484</v>
      </c>
      <c r="E1226" s="2">
        <v>45422.91611111111</v>
      </c>
      <c r="F1226" s="3">
        <f t="shared" si="19"/>
        <v>2.8981481482333038E-2</v>
      </c>
    </row>
    <row r="1227" spans="1:6">
      <c r="A1227" s="1" t="s">
        <v>1232</v>
      </c>
      <c r="B1227" s="2">
        <v>45421</v>
      </c>
      <c r="C1227" s="2">
        <v>45423.568333333336</v>
      </c>
      <c r="D1227" s="2">
        <v>45423.318958333337</v>
      </c>
      <c r="E1227" s="2">
        <v>45423.32953703704</v>
      </c>
      <c r="F1227" s="6" t="s">
        <v>1708</v>
      </c>
    </row>
    <row r="1228" spans="1:6">
      <c r="A1228" s="1" t="s">
        <v>1233</v>
      </c>
      <c r="B1228" s="2">
        <v>45421</v>
      </c>
      <c r="C1228" s="2">
        <v>45421.775717592594</v>
      </c>
      <c r="D1228" s="2">
        <v>45422.910752314812</v>
      </c>
      <c r="E1228" s="2">
        <v>45422.915092592593</v>
      </c>
      <c r="F1228" s="3">
        <f t="shared" si="19"/>
        <v>1.1393749999988358</v>
      </c>
    </row>
    <row r="1229" spans="1:6">
      <c r="A1229" s="1" t="s">
        <v>1234</v>
      </c>
      <c r="B1229" s="2">
        <v>45423</v>
      </c>
      <c r="C1229" s="2">
        <v>45424.458668981482</v>
      </c>
      <c r="D1229" s="2">
        <v>45424.457453703704</v>
      </c>
      <c r="E1229" s="2">
        <v>45424.499293981484</v>
      </c>
      <c r="F1229" s="3">
        <f t="shared" si="19"/>
        <v>4.0625000001455192E-2</v>
      </c>
    </row>
    <row r="1230" spans="1:6">
      <c r="A1230" s="1" t="s">
        <v>1235</v>
      </c>
      <c r="B1230" s="2">
        <v>45423</v>
      </c>
      <c r="C1230" s="2">
        <v>45424.458668981482</v>
      </c>
      <c r="D1230" s="2">
        <v>45424.430023148147</v>
      </c>
      <c r="E1230" s="2">
        <v>45424.454571759263</v>
      </c>
      <c r="F1230" s="6" t="s">
        <v>1708</v>
      </c>
    </row>
    <row r="1231" spans="1:6">
      <c r="A1231" s="1" t="s">
        <v>1236</v>
      </c>
      <c r="B1231" s="2">
        <v>45423</v>
      </c>
      <c r="C1231" s="2">
        <v>45424.504918981482</v>
      </c>
      <c r="D1231" s="2">
        <v>45424.432372685187</v>
      </c>
      <c r="E1231" s="2">
        <v>45424.553576388891</v>
      </c>
      <c r="F1231" s="3">
        <f t="shared" si="19"/>
        <v>4.8657407409336884E-2</v>
      </c>
    </row>
    <row r="1232" spans="1:6">
      <c r="A1232" s="1" t="s">
        <v>1237</v>
      </c>
      <c r="B1232" s="2">
        <v>45422</v>
      </c>
      <c r="C1232" s="2">
        <v>45423.286678240744</v>
      </c>
      <c r="D1232" s="2">
        <v>45424.478842592594</v>
      </c>
      <c r="E1232" s="2">
        <v>45424.545891203707</v>
      </c>
      <c r="F1232" s="3">
        <f t="shared" si="19"/>
        <v>1.2592129629629198</v>
      </c>
    </row>
    <row r="1233" spans="1:6" hidden="1">
      <c r="A1233" s="1" t="s">
        <v>1238</v>
      </c>
      <c r="B1233" s="2">
        <v>45422</v>
      </c>
      <c r="C1233" s="2">
        <v>45423.319513888891</v>
      </c>
      <c r="D1233" s="2">
        <v>45425.768553240741</v>
      </c>
      <c r="E1233" s="2">
        <v>45425.841192129628</v>
      </c>
      <c r="F1233" s="3">
        <f t="shared" si="19"/>
        <v>2.5216782407369465</v>
      </c>
    </row>
    <row r="1234" spans="1:6">
      <c r="A1234" s="1" t="s">
        <v>1239</v>
      </c>
      <c r="B1234" s="2">
        <v>45422</v>
      </c>
      <c r="C1234" s="2">
        <v>45423.286678240744</v>
      </c>
      <c r="D1234" s="2">
        <v>45424.504317129627</v>
      </c>
      <c r="E1234" s="2">
        <v>45424.565497685187</v>
      </c>
      <c r="F1234" s="3">
        <f t="shared" si="19"/>
        <v>1.2788194444437977</v>
      </c>
    </row>
    <row r="1235" spans="1:6">
      <c r="A1235" s="1" t="s">
        <v>1240</v>
      </c>
      <c r="B1235" s="2">
        <v>45422</v>
      </c>
      <c r="C1235" s="2">
        <v>45423.286678240744</v>
      </c>
      <c r="D1235" s="2">
        <v>45424.507986111108</v>
      </c>
      <c r="E1235" s="2">
        <v>45424.546018518522</v>
      </c>
      <c r="F1235" s="3">
        <f t="shared" si="19"/>
        <v>1.2593402777783922</v>
      </c>
    </row>
    <row r="1236" spans="1:6">
      <c r="A1236" s="1" t="s">
        <v>1241</v>
      </c>
      <c r="B1236" s="2">
        <v>45424</v>
      </c>
      <c r="C1236" s="2">
        <v>45423.230312500003</v>
      </c>
      <c r="D1236" s="2">
        <v>45424.645995370367</v>
      </c>
      <c r="E1236" s="2">
        <v>45424.687743055554</v>
      </c>
      <c r="F1236" s="3">
        <f t="shared" si="19"/>
        <v>1.4574305555506726</v>
      </c>
    </row>
    <row r="1237" spans="1:6">
      <c r="A1237" s="1" t="s">
        <v>1242</v>
      </c>
      <c r="B1237" s="2">
        <v>45424</v>
      </c>
      <c r="C1237" s="2">
        <v>45424.115972222222</v>
      </c>
      <c r="D1237" s="2">
        <v>45424.647719907407</v>
      </c>
      <c r="E1237" s="2">
        <v>45424.68949074074</v>
      </c>
      <c r="F1237" s="3">
        <f t="shared" si="19"/>
        <v>0.57351851851854008</v>
      </c>
    </row>
    <row r="1238" spans="1:6">
      <c r="A1238" s="1" t="s">
        <v>1243</v>
      </c>
      <c r="B1238" s="2">
        <v>45424</v>
      </c>
      <c r="C1238" s="2">
        <v>45423.23028935185</v>
      </c>
      <c r="D1238" s="2">
        <v>45424.650914351849</v>
      </c>
      <c r="E1238" s="2">
        <v>45424.692662037036</v>
      </c>
      <c r="F1238" s="3">
        <f t="shared" si="19"/>
        <v>1.4623726851859828</v>
      </c>
    </row>
    <row r="1239" spans="1:6">
      <c r="A1239" s="1" t="s">
        <v>1244</v>
      </c>
      <c r="B1239" s="2">
        <v>45424</v>
      </c>
      <c r="C1239" s="2">
        <v>45423.230312500003</v>
      </c>
      <c r="D1239" s="2">
        <v>45424.653229166666</v>
      </c>
      <c r="E1239" s="2">
        <v>45424.682152777779</v>
      </c>
      <c r="F1239" s="3">
        <f t="shared" si="19"/>
        <v>1.4518402777757728</v>
      </c>
    </row>
    <row r="1240" spans="1:6">
      <c r="A1240" s="1" t="s">
        <v>1245</v>
      </c>
      <c r="B1240" s="2">
        <v>45424</v>
      </c>
      <c r="C1240" s="2">
        <v>45423.125011574077</v>
      </c>
      <c r="D1240" s="2">
        <v>45424.655335648145</v>
      </c>
      <c r="E1240" s="2">
        <v>45424.697118055556</v>
      </c>
      <c r="F1240" s="3">
        <f t="shared" si="19"/>
        <v>1.5721064814788406</v>
      </c>
    </row>
    <row r="1241" spans="1:6">
      <c r="A1241" s="1" t="s">
        <v>1246</v>
      </c>
      <c r="B1241" s="2">
        <v>45424</v>
      </c>
      <c r="C1241" s="2">
        <v>45424.115983796299</v>
      </c>
      <c r="D1241" s="2">
        <v>45424.659814814811</v>
      </c>
      <c r="E1241" s="2">
        <v>45424.701608796298</v>
      </c>
      <c r="F1241" s="3">
        <f t="shared" si="19"/>
        <v>0.58562499999970896</v>
      </c>
    </row>
    <row r="1242" spans="1:6">
      <c r="A1242" s="1" t="s">
        <v>1247</v>
      </c>
      <c r="B1242" s="2">
        <v>45424</v>
      </c>
      <c r="C1242" s="2">
        <v>45424.115983796299</v>
      </c>
      <c r="D1242" s="2">
        <v>45424.679814814815</v>
      </c>
      <c r="E1242" s="2">
        <v>45424.680902777778</v>
      </c>
      <c r="F1242" s="3">
        <f t="shared" si="19"/>
        <v>0.56491898147942265</v>
      </c>
    </row>
    <row r="1243" spans="1:6">
      <c r="A1243" s="1" t="s">
        <v>1248</v>
      </c>
      <c r="B1243" s="2">
        <v>45424</v>
      </c>
      <c r="C1243" s="2">
        <v>45423.23027777778</v>
      </c>
      <c r="D1243" s="2">
        <v>45424.68309027778</v>
      </c>
      <c r="E1243" s="2">
        <v>45424.72488425926</v>
      </c>
      <c r="F1243" s="3">
        <f t="shared" si="19"/>
        <v>1.4946064814794227</v>
      </c>
    </row>
    <row r="1244" spans="1:6">
      <c r="A1244" s="1" t="s">
        <v>1249</v>
      </c>
      <c r="B1244" s="2">
        <v>45424</v>
      </c>
      <c r="C1244" s="2">
        <v>45423.23028935185</v>
      </c>
      <c r="D1244" s="2">
        <v>45424.686331018522</v>
      </c>
      <c r="E1244" s="2">
        <v>45424.728171296294</v>
      </c>
      <c r="F1244" s="3">
        <f t="shared" si="19"/>
        <v>1.4978819444440887</v>
      </c>
    </row>
    <row r="1245" spans="1:6">
      <c r="A1245" s="1" t="s">
        <v>1250</v>
      </c>
      <c r="B1245" s="2">
        <v>45424</v>
      </c>
      <c r="C1245" s="2">
        <v>45424.38208333333</v>
      </c>
      <c r="D1245" s="2">
        <v>45424.689502314817</v>
      </c>
      <c r="E1245" s="2">
        <v>45424.731319444443</v>
      </c>
      <c r="F1245" s="3">
        <f t="shared" si="19"/>
        <v>0.34923611111298669</v>
      </c>
    </row>
    <row r="1246" spans="1:6">
      <c r="A1246" s="1" t="s">
        <v>1251</v>
      </c>
      <c r="B1246" s="2">
        <v>45424</v>
      </c>
      <c r="C1246" s="2">
        <v>45423.23028935185</v>
      </c>
      <c r="D1246" s="2">
        <v>45424.691782407404</v>
      </c>
      <c r="E1246" s="2">
        <v>45424.733530092592</v>
      </c>
      <c r="F1246" s="3">
        <f t="shared" si="19"/>
        <v>1.5032407407416031</v>
      </c>
    </row>
    <row r="1247" spans="1:6">
      <c r="A1247" s="1" t="s">
        <v>1252</v>
      </c>
      <c r="B1247" s="2">
        <v>45424</v>
      </c>
      <c r="C1247" s="2">
        <v>45423.230312500003</v>
      </c>
      <c r="D1247" s="2">
        <v>45424.694953703707</v>
      </c>
      <c r="E1247" s="2">
        <v>45424.736678240741</v>
      </c>
      <c r="F1247" s="3">
        <f t="shared" si="19"/>
        <v>1.5063657407372375</v>
      </c>
    </row>
    <row r="1248" spans="1:6">
      <c r="A1248" s="1" t="s">
        <v>1253</v>
      </c>
      <c r="B1248" s="2">
        <v>45424</v>
      </c>
      <c r="C1248" s="2">
        <v>45424.007233796299</v>
      </c>
      <c r="D1248" s="2">
        <v>45424.697245370371</v>
      </c>
      <c r="E1248" s="2">
        <v>45424.711550925924</v>
      </c>
      <c r="F1248" s="3">
        <f t="shared" si="19"/>
        <v>0.70431712962454185</v>
      </c>
    </row>
    <row r="1249" spans="1:6">
      <c r="A1249" s="1" t="s">
        <v>1254</v>
      </c>
      <c r="B1249" s="2">
        <v>45424</v>
      </c>
      <c r="C1249" s="2">
        <v>45424.472199074073</v>
      </c>
      <c r="D1249" s="2">
        <v>45424.699004629627</v>
      </c>
      <c r="E1249" s="2">
        <v>45424.901828703703</v>
      </c>
      <c r="F1249" s="3">
        <f t="shared" si="19"/>
        <v>0.42962962963065365</v>
      </c>
    </row>
    <row r="1250" spans="1:6">
      <c r="A1250" s="1" t="s">
        <v>1255</v>
      </c>
      <c r="B1250" s="2">
        <v>45422</v>
      </c>
      <c r="C1250" s="2">
        <v>45424.329918981479</v>
      </c>
      <c r="D1250" s="2">
        <v>45424.721064814818</v>
      </c>
      <c r="E1250" s="2">
        <v>45424.762916666667</v>
      </c>
      <c r="F1250" s="3">
        <f t="shared" si="19"/>
        <v>0.43299768518772908</v>
      </c>
    </row>
    <row r="1251" spans="1:6">
      <c r="A1251" s="1" t="s">
        <v>1256</v>
      </c>
      <c r="B1251" s="2">
        <v>45422</v>
      </c>
      <c r="C1251" s="2">
        <v>45424.329918981479</v>
      </c>
      <c r="D1251" s="2">
        <v>45424.727303240739</v>
      </c>
      <c r="E1251" s="2">
        <v>45424.769097222219</v>
      </c>
      <c r="F1251" s="3">
        <f t="shared" si="19"/>
        <v>0.43917824074014788</v>
      </c>
    </row>
    <row r="1252" spans="1:6">
      <c r="A1252" s="1" t="s">
        <v>1257</v>
      </c>
      <c r="B1252" s="2">
        <v>45422</v>
      </c>
      <c r="C1252" s="2">
        <v>45424.329930555556</v>
      </c>
      <c r="D1252" s="2">
        <v>45424.729189814818</v>
      </c>
      <c r="E1252" s="2">
        <v>45424.770960648151</v>
      </c>
      <c r="F1252" s="3">
        <f t="shared" si="19"/>
        <v>0.44103009259561077</v>
      </c>
    </row>
    <row r="1253" spans="1:6" hidden="1">
      <c r="A1253" s="1" t="s">
        <v>1258</v>
      </c>
      <c r="B1253" s="2">
        <v>45422</v>
      </c>
      <c r="C1253" s="2">
        <v>45423.230300925927</v>
      </c>
      <c r="D1253" s="2">
        <v>45425.393958333334</v>
      </c>
      <c r="E1253" s="2">
        <v>45425.456273148149</v>
      </c>
      <c r="F1253" s="3">
        <f t="shared" si="19"/>
        <v>2.2259722222224809</v>
      </c>
    </row>
    <row r="1254" spans="1:6">
      <c r="A1254" s="1" t="s">
        <v>1259</v>
      </c>
      <c r="B1254" s="2">
        <v>45422</v>
      </c>
      <c r="C1254" s="2">
        <v>45423.23027777778</v>
      </c>
      <c r="D1254" s="2">
        <v>45424.791215277779</v>
      </c>
      <c r="E1254" s="2">
        <v>45424.832939814813</v>
      </c>
      <c r="F1254" s="3">
        <f t="shared" si="19"/>
        <v>1.6026620370321325</v>
      </c>
    </row>
    <row r="1255" spans="1:6" hidden="1">
      <c r="A1255" s="1" t="s">
        <v>1260</v>
      </c>
      <c r="B1255" s="2">
        <v>45424</v>
      </c>
      <c r="C1255" s="2">
        <v>45424.329930555556</v>
      </c>
      <c r="D1255" s="2">
        <v>45425.430856481478</v>
      </c>
      <c r="E1255" s="2">
        <v>45425.449340277781</v>
      </c>
      <c r="F1255" s="3">
        <f t="shared" si="19"/>
        <v>1.1194097222251003</v>
      </c>
    </row>
    <row r="1256" spans="1:6" hidden="1">
      <c r="A1256" s="1" t="s">
        <v>1261</v>
      </c>
      <c r="B1256" s="2">
        <v>45424</v>
      </c>
      <c r="C1256" s="2">
        <v>45424.329930555556</v>
      </c>
      <c r="D1256" s="2">
        <v>45425.445601851854</v>
      </c>
      <c r="E1256" s="2">
        <v>45425.482638888891</v>
      </c>
      <c r="F1256" s="3">
        <f t="shared" si="19"/>
        <v>1.1527083333348855</v>
      </c>
    </row>
    <row r="1257" spans="1:6" hidden="1">
      <c r="A1257" s="1" t="s">
        <v>1262</v>
      </c>
      <c r="B1257" s="2">
        <v>45423</v>
      </c>
      <c r="C1257" s="2">
        <v>45423.799502314818</v>
      </c>
      <c r="D1257" s="2">
        <v>45425.449062500003</v>
      </c>
      <c r="E1257" s="2">
        <v>45425.490983796299</v>
      </c>
      <c r="F1257" s="3">
        <f t="shared" si="19"/>
        <v>1.6914814814808778</v>
      </c>
    </row>
    <row r="1258" spans="1:6" hidden="1">
      <c r="A1258" s="1" t="s">
        <v>1263</v>
      </c>
      <c r="B1258" s="2">
        <v>45423</v>
      </c>
      <c r="C1258" s="2">
        <v>45421.742731481485</v>
      </c>
      <c r="D1258" s="2">
        <v>45425.463495370372</v>
      </c>
      <c r="E1258" s="2">
        <v>45425.473113425927</v>
      </c>
      <c r="F1258" s="3">
        <f t="shared" si="19"/>
        <v>3.7303819444423425</v>
      </c>
    </row>
    <row r="1259" spans="1:6" hidden="1">
      <c r="A1259" s="1" t="s">
        <v>1264</v>
      </c>
      <c r="B1259" s="2">
        <v>45424</v>
      </c>
      <c r="C1259" s="2">
        <v>45425.503761574073</v>
      </c>
      <c r="D1259" s="2">
        <v>45425.481273148151</v>
      </c>
      <c r="E1259" s="2">
        <v>45425.523148148146</v>
      </c>
      <c r="F1259" s="3">
        <f t="shared" si="19"/>
        <v>1.9386574072996154E-2</v>
      </c>
    </row>
    <row r="1260" spans="1:6" hidden="1">
      <c r="A1260" s="1" t="s">
        <v>1265</v>
      </c>
      <c r="B1260" s="2">
        <v>45422</v>
      </c>
      <c r="C1260" s="2">
        <v>45422.887060185189</v>
      </c>
      <c r="D1260" s="2">
        <v>45425.577731481484</v>
      </c>
      <c r="E1260" s="2">
        <v>45425.619583333333</v>
      </c>
      <c r="F1260" s="3">
        <f t="shared" si="19"/>
        <v>2.7325231481445371</v>
      </c>
    </row>
    <row r="1261" spans="1:6" hidden="1">
      <c r="A1261" s="1" t="s">
        <v>1266</v>
      </c>
      <c r="B1261" s="2">
        <v>45421</v>
      </c>
      <c r="C1261" s="2">
        <v>45422.301388888889</v>
      </c>
      <c r="D1261" s="2">
        <v>45425.590474537035</v>
      </c>
      <c r="E1261" s="2">
        <v>45425.655601851853</v>
      </c>
      <c r="F1261" s="3">
        <f t="shared" si="19"/>
        <v>3.354212962964084</v>
      </c>
    </row>
    <row r="1262" spans="1:6" hidden="1">
      <c r="A1262" s="1" t="s">
        <v>1267</v>
      </c>
      <c r="B1262" s="2">
        <v>45424</v>
      </c>
      <c r="C1262" s="2">
        <v>45425.689328703702</v>
      </c>
      <c r="D1262" s="2">
        <v>45425.602986111109</v>
      </c>
      <c r="E1262" s="2">
        <v>45425.644930555558</v>
      </c>
      <c r="F1262" s="6" t="s">
        <v>1708</v>
      </c>
    </row>
    <row r="1263" spans="1:6" hidden="1">
      <c r="A1263" s="1" t="s">
        <v>1268</v>
      </c>
      <c r="B1263" s="2">
        <v>45425</v>
      </c>
      <c r="C1263" s="2">
        <v>45424.474050925928</v>
      </c>
      <c r="D1263" s="2">
        <v>45425.684687499997</v>
      </c>
      <c r="E1263" s="2">
        <v>45425.726550925923</v>
      </c>
      <c r="F1263" s="3">
        <f t="shared" si="19"/>
        <v>1.2524999999950523</v>
      </c>
    </row>
    <row r="1264" spans="1:6" hidden="1">
      <c r="A1264" s="1" t="s">
        <v>1269</v>
      </c>
      <c r="B1264" s="2">
        <v>45423</v>
      </c>
      <c r="C1264" s="2">
        <v>45423.799502314818</v>
      </c>
      <c r="D1264" s="2">
        <v>45425.701284722221</v>
      </c>
      <c r="E1264" s="2">
        <v>45425.743055555555</v>
      </c>
      <c r="F1264" s="3">
        <f t="shared" si="19"/>
        <v>1.9435532407369465</v>
      </c>
    </row>
    <row r="1265" spans="1:6" hidden="1">
      <c r="A1265" s="1" t="s">
        <v>1270</v>
      </c>
      <c r="B1265" s="2">
        <v>45425</v>
      </c>
      <c r="C1265" s="2">
        <v>45425.773240740738</v>
      </c>
      <c r="D1265" s="2">
        <v>45425.724224537036</v>
      </c>
      <c r="E1265" s="2">
        <v>45425.749432870369</v>
      </c>
      <c r="F1265" s="6" t="s">
        <v>1708</v>
      </c>
    </row>
    <row r="1266" spans="1:6" hidden="1">
      <c r="A1266" s="1" t="s">
        <v>1271</v>
      </c>
      <c r="B1266" s="2">
        <v>45425</v>
      </c>
      <c r="C1266" s="2">
        <v>45425.773240740738</v>
      </c>
      <c r="D1266" s="2">
        <v>45425.724189814813</v>
      </c>
      <c r="E1266" s="2">
        <v>45425.749363425923</v>
      </c>
      <c r="F1266" s="6" t="s">
        <v>1708</v>
      </c>
    </row>
    <row r="1267" spans="1:6" hidden="1">
      <c r="A1267" s="1" t="s">
        <v>1272</v>
      </c>
      <c r="B1267" s="2">
        <v>45421</v>
      </c>
      <c r="C1267" s="2">
        <v>45421.756053240744</v>
      </c>
      <c r="D1267" s="2">
        <v>45425.738969907405</v>
      </c>
      <c r="E1267" s="2">
        <v>45425.780787037038</v>
      </c>
      <c r="F1267" s="3">
        <f t="shared" si="19"/>
        <v>4.0247337962937308</v>
      </c>
    </row>
    <row r="1268" spans="1:6" hidden="1">
      <c r="A1268" s="1" t="s">
        <v>1273</v>
      </c>
      <c r="B1268" s="2">
        <v>45424</v>
      </c>
      <c r="C1268" s="2">
        <v>45425.452187499999</v>
      </c>
      <c r="D1268" s="2">
        <v>45425.762696759259</v>
      </c>
      <c r="E1268" s="2">
        <v>45425.804560185185</v>
      </c>
      <c r="F1268" s="3">
        <f t="shared" si="19"/>
        <v>0.35237268518540077</v>
      </c>
    </row>
    <row r="1269" spans="1:6" hidden="1">
      <c r="A1269" s="1" t="s">
        <v>1274</v>
      </c>
      <c r="B1269" s="2">
        <v>45405</v>
      </c>
      <c r="C1269" s="2">
        <v>45405.71979166667</v>
      </c>
      <c r="D1269" s="2">
        <v>45406.44263888889</v>
      </c>
      <c r="E1269" s="2">
        <v>45406.484537037039</v>
      </c>
      <c r="F1269" s="3">
        <f t="shared" si="19"/>
        <v>0.76474537036847323</v>
      </c>
    </row>
    <row r="1270" spans="1:6" hidden="1">
      <c r="A1270" s="1" t="s">
        <v>1275</v>
      </c>
      <c r="B1270" s="2">
        <v>45404</v>
      </c>
      <c r="C1270" s="2">
        <v>45405.220231481479</v>
      </c>
      <c r="D1270" s="2">
        <v>45405.356388888889</v>
      </c>
      <c r="E1270" s="2">
        <v>45405.398206018515</v>
      </c>
      <c r="F1270" s="3">
        <f t="shared" si="19"/>
        <v>0.17797453703678912</v>
      </c>
    </row>
    <row r="1271" spans="1:6" hidden="1">
      <c r="A1271" s="1" t="s">
        <v>1276</v>
      </c>
      <c r="B1271" s="2">
        <v>45405</v>
      </c>
      <c r="C1271" s="2">
        <v>45405.71979166667</v>
      </c>
      <c r="D1271" s="2">
        <v>45406.035451388889</v>
      </c>
      <c r="E1271" s="2">
        <v>45406.264733796299</v>
      </c>
      <c r="F1271" s="3">
        <f t="shared" si="19"/>
        <v>0.54494212962890742</v>
      </c>
    </row>
    <row r="1272" spans="1:6" hidden="1">
      <c r="A1272" s="1" t="s">
        <v>1277</v>
      </c>
      <c r="B1272" s="2">
        <v>45404</v>
      </c>
      <c r="C1272" s="2">
        <v>45405.820868055554</v>
      </c>
      <c r="D1272" s="2">
        <v>45405.893437500003</v>
      </c>
      <c r="E1272" s="2">
        <v>45406.374525462961</v>
      </c>
      <c r="F1272" s="3">
        <f t="shared" si="19"/>
        <v>0.55365740740671754</v>
      </c>
    </row>
    <row r="1273" spans="1:6" hidden="1">
      <c r="A1273" s="1" t="s">
        <v>1278</v>
      </c>
      <c r="B1273" s="2">
        <v>45405</v>
      </c>
      <c r="C1273" s="2">
        <v>45406.464398148149</v>
      </c>
      <c r="D1273" s="2">
        <v>45406.413877314815</v>
      </c>
      <c r="E1273" s="2">
        <v>45406.455752314818</v>
      </c>
      <c r="F1273" s="6" t="s">
        <v>1708</v>
      </c>
    </row>
    <row r="1274" spans="1:6" hidden="1">
      <c r="A1274" s="1" t="s">
        <v>1279</v>
      </c>
      <c r="B1274" s="2">
        <v>45405</v>
      </c>
      <c r="C1274" s="2">
        <v>45406.464398148149</v>
      </c>
      <c r="D1274" s="2">
        <v>45406.421076388891</v>
      </c>
      <c r="E1274" s="2">
        <v>45406.463055555556</v>
      </c>
      <c r="F1274" s="6" t="s">
        <v>1708</v>
      </c>
    </row>
    <row r="1275" spans="1:6" hidden="1">
      <c r="A1275" s="1" t="s">
        <v>1280</v>
      </c>
      <c r="B1275" s="2">
        <v>45406</v>
      </c>
      <c r="C1275" s="2">
        <v>45406.464398148149</v>
      </c>
      <c r="D1275" s="2">
        <v>45406.427071759259</v>
      </c>
      <c r="E1275" s="2">
        <v>45406.468946759262</v>
      </c>
      <c r="F1275" s="3">
        <f t="shared" si="19"/>
        <v>4.5486111121135764E-3</v>
      </c>
    </row>
    <row r="1276" spans="1:6" hidden="1">
      <c r="A1276" s="1" t="s">
        <v>1281</v>
      </c>
      <c r="B1276" s="2">
        <v>45405</v>
      </c>
      <c r="C1276" s="2">
        <v>45406.464398148149</v>
      </c>
      <c r="D1276" s="2">
        <v>45406.435162037036</v>
      </c>
      <c r="E1276" s="2">
        <v>45406.477048611108</v>
      </c>
      <c r="F1276" s="3">
        <f t="shared" si="19"/>
        <v>1.265046295884531E-2</v>
      </c>
    </row>
    <row r="1277" spans="1:6" hidden="1">
      <c r="A1277" s="1" t="s">
        <v>1282</v>
      </c>
      <c r="B1277" s="2">
        <v>45406</v>
      </c>
      <c r="C1277" s="2">
        <v>45406.700601851851</v>
      </c>
      <c r="D1277" s="2">
        <v>45407.024872685186</v>
      </c>
      <c r="E1277" s="2">
        <v>45407.307083333333</v>
      </c>
      <c r="F1277" s="3">
        <f t="shared" si="19"/>
        <v>0.60648148148175096</v>
      </c>
    </row>
    <row r="1278" spans="1:6" hidden="1">
      <c r="A1278" s="1" t="s">
        <v>1283</v>
      </c>
      <c r="B1278" s="2">
        <v>45406</v>
      </c>
      <c r="C1278" s="2">
        <v>45406.700601851851</v>
      </c>
      <c r="D1278" s="2">
        <v>45407.031319444446</v>
      </c>
      <c r="E1278" s="2">
        <v>45407.307766203703</v>
      </c>
      <c r="F1278" s="3">
        <f t="shared" si="19"/>
        <v>0.60716435185167938</v>
      </c>
    </row>
    <row r="1279" spans="1:6" hidden="1">
      <c r="A1279" s="1" t="s">
        <v>1284</v>
      </c>
      <c r="B1279" s="2">
        <v>45406</v>
      </c>
      <c r="C1279" s="2">
        <v>45406.700601851851</v>
      </c>
      <c r="D1279" s="2">
        <v>45407.029768518521</v>
      </c>
      <c r="E1279" s="2">
        <v>45407.311273148145</v>
      </c>
      <c r="F1279" s="3">
        <f t="shared" si="19"/>
        <v>0.61067129629373085</v>
      </c>
    </row>
    <row r="1280" spans="1:6" hidden="1">
      <c r="A1280" s="1" t="s">
        <v>1285</v>
      </c>
      <c r="B1280" s="2">
        <v>45406</v>
      </c>
      <c r="C1280" s="2">
        <v>45406.700601851851</v>
      </c>
      <c r="D1280" s="2">
        <v>45407.018101851849</v>
      </c>
      <c r="E1280" s="2">
        <v>45407.308495370373</v>
      </c>
      <c r="F1280" s="3">
        <f t="shared" si="19"/>
        <v>0.60789351852145046</v>
      </c>
    </row>
    <row r="1281" spans="1:6" hidden="1">
      <c r="A1281" s="1" t="s">
        <v>1286</v>
      </c>
      <c r="B1281" s="2">
        <v>45406</v>
      </c>
      <c r="C1281" s="2">
        <v>45406.700601851851</v>
      </c>
      <c r="D1281" s="2">
        <v>45407.020150462966</v>
      </c>
      <c r="E1281" s="2">
        <v>45407.304328703707</v>
      </c>
      <c r="F1281" s="3">
        <f t="shared" si="19"/>
        <v>0.60372685185575392</v>
      </c>
    </row>
    <row r="1282" spans="1:6" hidden="1">
      <c r="A1282" s="1" t="s">
        <v>1287</v>
      </c>
      <c r="B1282" s="2">
        <v>45406</v>
      </c>
      <c r="C1282" s="2">
        <v>45406.700601851851</v>
      </c>
      <c r="D1282" s="2">
        <v>45407.023368055554</v>
      </c>
      <c r="E1282" s="2">
        <v>45407.310682870368</v>
      </c>
      <c r="F1282" s="3">
        <f t="shared" si="19"/>
        <v>0.61008101851621177</v>
      </c>
    </row>
    <row r="1283" spans="1:6">
      <c r="A1283" s="1" t="s">
        <v>1288</v>
      </c>
      <c r="B1283" s="2">
        <v>45405</v>
      </c>
      <c r="C1283" s="2">
        <v>45409.313217592593</v>
      </c>
      <c r="D1283" s="2">
        <v>45419.421875</v>
      </c>
      <c r="E1283" s="2">
        <v>45419.463796296295</v>
      </c>
      <c r="F1283" s="3">
        <f t="shared" ref="F1283:F1341" si="20">E1283-C1283</f>
        <v>10.150578703702195</v>
      </c>
    </row>
    <row r="1284" spans="1:6" hidden="1">
      <c r="A1284" s="1" t="s">
        <v>1289</v>
      </c>
      <c r="B1284" s="2">
        <v>45404</v>
      </c>
      <c r="C1284" s="2">
        <v>45408.637199074074</v>
      </c>
      <c r="D1284" s="2">
        <v>45408.469594907408</v>
      </c>
      <c r="E1284" s="2">
        <v>45408.492060185185</v>
      </c>
      <c r="F1284" s="6" t="s">
        <v>1708</v>
      </c>
    </row>
    <row r="1285" spans="1:6" hidden="1">
      <c r="A1285" s="1" t="s">
        <v>1290</v>
      </c>
      <c r="B1285" s="2">
        <v>45404</v>
      </c>
      <c r="C1285" s="2">
        <v>45408.43513888889</v>
      </c>
      <c r="D1285" s="2">
        <v>45408.407997685186</v>
      </c>
      <c r="E1285" s="2">
        <v>45408.443148148152</v>
      </c>
      <c r="F1285" s="3">
        <f t="shared" si="20"/>
        <v>8.0092592615983449E-3</v>
      </c>
    </row>
    <row r="1286" spans="1:6" hidden="1">
      <c r="A1286" s="1" t="s">
        <v>1291</v>
      </c>
      <c r="B1286" s="2">
        <v>45404</v>
      </c>
      <c r="C1286" s="2">
        <v>45408.43513888889</v>
      </c>
      <c r="D1286" s="2">
        <v>45408.410115740742</v>
      </c>
      <c r="E1286" s="2">
        <v>45408.449293981481</v>
      </c>
      <c r="F1286" s="3">
        <f t="shared" si="20"/>
        <v>1.4155092590954155E-2</v>
      </c>
    </row>
    <row r="1287" spans="1:6" hidden="1">
      <c r="A1287" s="1" t="s">
        <v>1292</v>
      </c>
      <c r="B1287" s="2">
        <v>45407</v>
      </c>
      <c r="C1287" s="2">
        <v>45407.706203703703</v>
      </c>
      <c r="D1287" s="2">
        <v>45407.698657407411</v>
      </c>
      <c r="E1287" s="2">
        <v>45407.706307870372</v>
      </c>
      <c r="F1287" s="3">
        <f t="shared" si="20"/>
        <v>1.0416666918899864E-4</v>
      </c>
    </row>
    <row r="1288" spans="1:6" hidden="1">
      <c r="A1288" s="1" t="s">
        <v>1293</v>
      </c>
      <c r="B1288" s="2">
        <v>45406</v>
      </c>
      <c r="C1288" s="2">
        <v>45407.747129629628</v>
      </c>
      <c r="D1288" s="2">
        <v>45407.481157407405</v>
      </c>
      <c r="E1288" s="2">
        <v>45407.522997685184</v>
      </c>
      <c r="F1288" s="6" t="s">
        <v>1708</v>
      </c>
    </row>
    <row r="1289" spans="1:6" hidden="1">
      <c r="A1289" s="1" t="s">
        <v>1294</v>
      </c>
      <c r="B1289" s="2">
        <v>45406</v>
      </c>
      <c r="C1289" s="2">
        <v>45407.747129629628</v>
      </c>
      <c r="D1289" s="2">
        <v>45407.485486111109</v>
      </c>
      <c r="E1289" s="2">
        <v>45407.527372685188</v>
      </c>
      <c r="F1289" s="6" t="s">
        <v>1708</v>
      </c>
    </row>
    <row r="1290" spans="1:6" hidden="1">
      <c r="A1290" s="1" t="s">
        <v>1295</v>
      </c>
      <c r="B1290" s="2">
        <v>45406</v>
      </c>
      <c r="C1290" s="2">
        <v>45407.747129629628</v>
      </c>
      <c r="D1290" s="2">
        <v>45407.552627314813</v>
      </c>
      <c r="E1290" s="2">
        <v>45407.59443287037</v>
      </c>
      <c r="F1290" s="6" t="s">
        <v>1708</v>
      </c>
    </row>
    <row r="1291" spans="1:6" hidden="1">
      <c r="A1291" s="1" t="s">
        <v>1296</v>
      </c>
      <c r="B1291" s="2">
        <v>45406</v>
      </c>
      <c r="C1291" s="2">
        <v>45407.747129629628</v>
      </c>
      <c r="D1291" s="2">
        <v>45407.557384259257</v>
      </c>
      <c r="E1291" s="2">
        <v>45408.60465277778</v>
      </c>
      <c r="F1291" s="3">
        <f t="shared" si="20"/>
        <v>0.85752314815181307</v>
      </c>
    </row>
    <row r="1292" spans="1:6" hidden="1">
      <c r="A1292" s="1" t="s">
        <v>1297</v>
      </c>
      <c r="B1292" s="2">
        <v>45404</v>
      </c>
      <c r="C1292" s="2">
        <v>45405.641504629632</v>
      </c>
      <c r="D1292" s="2">
        <v>45408.501608796294</v>
      </c>
      <c r="E1292" s="2">
        <v>45408.680138888885</v>
      </c>
      <c r="F1292" s="3">
        <f t="shared" si="20"/>
        <v>3.0386342592537403</v>
      </c>
    </row>
    <row r="1293" spans="1:6" hidden="1">
      <c r="A1293" s="1" t="s">
        <v>1298</v>
      </c>
      <c r="B1293" s="2">
        <v>45407</v>
      </c>
      <c r="C1293" s="2">
        <v>45407.706203703703</v>
      </c>
      <c r="D1293" s="2">
        <v>45407.700324074074</v>
      </c>
      <c r="E1293" s="2">
        <v>45407.7421412037</v>
      </c>
      <c r="F1293" s="3">
        <f t="shared" si="20"/>
        <v>3.5937499997089617E-2</v>
      </c>
    </row>
    <row r="1294" spans="1:6" hidden="1">
      <c r="A1294" s="1" t="s">
        <v>1299</v>
      </c>
      <c r="B1294" s="2">
        <v>45407</v>
      </c>
      <c r="C1294" s="2">
        <v>45408.144375000003</v>
      </c>
      <c r="D1294" s="2">
        <v>45408.334456018521</v>
      </c>
      <c r="E1294" s="2">
        <v>45408.376203703701</v>
      </c>
      <c r="F1294" s="3">
        <f t="shared" si="20"/>
        <v>0.23182870369782904</v>
      </c>
    </row>
    <row r="1295" spans="1:6" hidden="1">
      <c r="A1295" s="1" t="s">
        <v>1300</v>
      </c>
      <c r="B1295" s="2">
        <v>45407</v>
      </c>
      <c r="C1295" s="2">
        <v>45409.417129629626</v>
      </c>
      <c r="D1295" s="2">
        <v>45409.456041666665</v>
      </c>
      <c r="E1295" s="2">
        <v>45409.49796296296</v>
      </c>
      <c r="F1295" s="3">
        <f t="shared" si="20"/>
        <v>8.0833333333430346E-2</v>
      </c>
    </row>
    <row r="1296" spans="1:6" hidden="1">
      <c r="A1296" s="1" t="s">
        <v>1301</v>
      </c>
      <c r="B1296" s="2">
        <v>45407</v>
      </c>
      <c r="C1296" s="2">
        <v>45408.723703703705</v>
      </c>
      <c r="D1296" s="2">
        <v>45408.727349537039</v>
      </c>
      <c r="E1296" s="2">
        <v>45408.789120370369</v>
      </c>
      <c r="F1296" s="3">
        <f t="shared" si="20"/>
        <v>6.5416666664532386E-2</v>
      </c>
    </row>
    <row r="1297" spans="1:6" hidden="1">
      <c r="A1297" s="1" t="s">
        <v>1302</v>
      </c>
      <c r="B1297" s="2">
        <v>45407</v>
      </c>
      <c r="C1297" s="2">
        <v>45408.77238425926</v>
      </c>
      <c r="D1297" s="2">
        <v>45408.649155092593</v>
      </c>
      <c r="E1297" s="2">
        <v>45408.690995370373</v>
      </c>
      <c r="F1297" s="6" t="s">
        <v>1708</v>
      </c>
    </row>
    <row r="1298" spans="1:6" hidden="1">
      <c r="A1298" s="1" t="s">
        <v>1303</v>
      </c>
      <c r="B1298" s="2">
        <v>45407</v>
      </c>
      <c r="C1298" s="2">
        <v>45409.4924537037</v>
      </c>
      <c r="D1298" s="2">
        <v>45409.450706018521</v>
      </c>
      <c r="E1298" s="2">
        <v>45409.4925</v>
      </c>
      <c r="F1298" s="3">
        <f t="shared" si="20"/>
        <v>4.6296299842651933E-5</v>
      </c>
    </row>
    <row r="1299" spans="1:6" hidden="1">
      <c r="A1299" s="1" t="s">
        <v>1304</v>
      </c>
      <c r="B1299" s="2">
        <v>45407</v>
      </c>
      <c r="C1299" s="2">
        <v>45408.456597222219</v>
      </c>
      <c r="D1299" s="2">
        <v>45408.43644675926</v>
      </c>
      <c r="E1299" s="2">
        <v>45408.454606481479</v>
      </c>
      <c r="F1299" s="6" t="s">
        <v>1708</v>
      </c>
    </row>
    <row r="1300" spans="1:6" hidden="1">
      <c r="A1300" s="1" t="s">
        <v>1305</v>
      </c>
      <c r="B1300" s="2">
        <v>45407</v>
      </c>
      <c r="C1300" s="2">
        <v>45408.456597222219</v>
      </c>
      <c r="D1300" s="2">
        <v>45408.437662037039</v>
      </c>
      <c r="E1300" s="2">
        <v>45408.468159722222</v>
      </c>
      <c r="F1300" s="3">
        <f t="shared" si="20"/>
        <v>1.156250000349246E-2</v>
      </c>
    </row>
    <row r="1301" spans="1:6" hidden="1">
      <c r="A1301" s="1" t="s">
        <v>1306</v>
      </c>
      <c r="B1301" s="2">
        <v>45407</v>
      </c>
      <c r="C1301" s="2">
        <v>45408.21371527778</v>
      </c>
      <c r="D1301" s="2">
        <v>45408.461099537039</v>
      </c>
      <c r="E1301" s="2">
        <v>45408.475266203706</v>
      </c>
      <c r="F1301" s="3">
        <f t="shared" si="20"/>
        <v>0.26155092592671281</v>
      </c>
    </row>
    <row r="1302" spans="1:6" hidden="1">
      <c r="A1302" s="1" t="s">
        <v>1307</v>
      </c>
      <c r="B1302" s="2">
        <v>45404</v>
      </c>
      <c r="C1302" s="2">
        <v>45404.757488425923</v>
      </c>
      <c r="D1302" s="2">
        <v>45408.475266203706</v>
      </c>
      <c r="E1302" s="2">
        <v>45408.517245370371</v>
      </c>
      <c r="F1302" s="3">
        <f t="shared" si="20"/>
        <v>3.7597569444478722</v>
      </c>
    </row>
    <row r="1303" spans="1:6" hidden="1">
      <c r="A1303" s="1" t="s">
        <v>1308</v>
      </c>
      <c r="B1303" s="2">
        <v>45405</v>
      </c>
      <c r="C1303" s="2">
        <v>45408.720636574071</v>
      </c>
      <c r="D1303" s="2">
        <v>45408.489733796298</v>
      </c>
      <c r="E1303" s="2">
        <v>45408.579629629632</v>
      </c>
      <c r="F1303" s="6" t="s">
        <v>1708</v>
      </c>
    </row>
    <row r="1304" spans="1:6" hidden="1">
      <c r="A1304" s="1" t="s">
        <v>1309</v>
      </c>
      <c r="B1304" s="2">
        <v>45407</v>
      </c>
      <c r="C1304" s="2">
        <v>45408.144375000003</v>
      </c>
      <c r="D1304" s="2">
        <v>45408.562650462962</v>
      </c>
      <c r="E1304" s="2">
        <v>45408.604861111111</v>
      </c>
      <c r="F1304" s="3">
        <f t="shared" si="20"/>
        <v>0.46048611110745696</v>
      </c>
    </row>
    <row r="1305" spans="1:6" hidden="1">
      <c r="A1305" s="1" t="s">
        <v>1310</v>
      </c>
      <c r="B1305" s="2">
        <v>45407</v>
      </c>
      <c r="C1305" s="2">
        <v>45409.417129629626</v>
      </c>
      <c r="D1305" s="2">
        <v>45409.455381944441</v>
      </c>
      <c r="E1305" s="2">
        <v>45409.497164351851</v>
      </c>
      <c r="F1305" s="3">
        <f t="shared" si="20"/>
        <v>8.0034722224809229E-2</v>
      </c>
    </row>
    <row r="1306" spans="1:6" hidden="1">
      <c r="A1306" s="1" t="s">
        <v>1311</v>
      </c>
      <c r="B1306" s="2">
        <v>45405</v>
      </c>
      <c r="C1306" s="2">
        <v>45406.735034722224</v>
      </c>
      <c r="D1306" s="2">
        <v>45408.920532407406</v>
      </c>
      <c r="E1306" s="2">
        <v>45408.962418981479</v>
      </c>
      <c r="F1306" s="3">
        <f t="shared" si="20"/>
        <v>2.2273842592549045</v>
      </c>
    </row>
    <row r="1307" spans="1:6" hidden="1">
      <c r="A1307" s="1" t="s">
        <v>1312</v>
      </c>
      <c r="B1307" s="2">
        <v>45406</v>
      </c>
      <c r="C1307" s="2">
        <v>45407.747129629628</v>
      </c>
      <c r="D1307" s="2">
        <v>45409.353842592594</v>
      </c>
      <c r="E1307" s="2">
        <v>45409.396064814813</v>
      </c>
      <c r="F1307" s="3">
        <f t="shared" si="20"/>
        <v>1.6489351851851097</v>
      </c>
    </row>
    <row r="1308" spans="1:6" hidden="1">
      <c r="A1308" s="1" t="s">
        <v>1313</v>
      </c>
      <c r="B1308" s="2">
        <v>45408</v>
      </c>
      <c r="C1308" s="2">
        <v>45409.147048611114</v>
      </c>
      <c r="D1308" s="2">
        <v>45409.346504629626</v>
      </c>
      <c r="E1308" s="2">
        <v>45409.360717592594</v>
      </c>
      <c r="F1308" s="3">
        <f t="shared" si="20"/>
        <v>0.21366898147971369</v>
      </c>
    </row>
    <row r="1309" spans="1:6" hidden="1">
      <c r="A1309" s="1" t="s">
        <v>1314</v>
      </c>
      <c r="B1309" s="2">
        <v>45408</v>
      </c>
      <c r="C1309" s="2">
        <v>45409.147048611114</v>
      </c>
      <c r="D1309" s="2">
        <v>45409.350104166668</v>
      </c>
      <c r="E1309" s="2">
        <v>45409.391863425924</v>
      </c>
      <c r="F1309" s="3">
        <f t="shared" si="20"/>
        <v>0.24481481481052469</v>
      </c>
    </row>
    <row r="1310" spans="1:6" hidden="1">
      <c r="A1310" s="1" t="s">
        <v>1315</v>
      </c>
      <c r="B1310" s="2">
        <v>45408</v>
      </c>
      <c r="C1310" s="2">
        <v>45409.147048611114</v>
      </c>
      <c r="D1310" s="2">
        <v>45409.353020833332</v>
      </c>
      <c r="E1310" s="2">
        <v>45409.394930555558</v>
      </c>
      <c r="F1310" s="3">
        <f t="shared" si="20"/>
        <v>0.24788194444408873</v>
      </c>
    </row>
    <row r="1311" spans="1:6" hidden="1">
      <c r="A1311" s="1" t="s">
        <v>1316</v>
      </c>
      <c r="B1311" s="2">
        <v>45408</v>
      </c>
      <c r="C1311" s="2">
        <v>45409.147048611114</v>
      </c>
      <c r="D1311" s="2">
        <v>45409.354548611111</v>
      </c>
      <c r="E1311" s="2">
        <v>45409.396365740744</v>
      </c>
      <c r="F1311" s="3">
        <f t="shared" si="20"/>
        <v>0.24931712963007158</v>
      </c>
    </row>
    <row r="1312" spans="1:6" hidden="1">
      <c r="A1312" s="1" t="s">
        <v>1317</v>
      </c>
      <c r="B1312" s="2">
        <v>45408</v>
      </c>
      <c r="C1312" s="2">
        <v>45409.147048611114</v>
      </c>
      <c r="D1312" s="2">
        <v>45409.355833333335</v>
      </c>
      <c r="E1312" s="2">
        <v>45409.397546296299</v>
      </c>
      <c r="F1312" s="3">
        <f t="shared" si="20"/>
        <v>0.25049768518510973</v>
      </c>
    </row>
    <row r="1313" spans="1:6" hidden="1">
      <c r="A1313" s="1" t="s">
        <v>1318</v>
      </c>
      <c r="B1313" s="2">
        <v>45408</v>
      </c>
      <c r="C1313" s="2">
        <v>45409.147048611114</v>
      </c>
      <c r="D1313" s="2">
        <v>45409.357314814813</v>
      </c>
      <c r="E1313" s="2">
        <v>45409.399074074077</v>
      </c>
      <c r="F1313" s="3">
        <f t="shared" si="20"/>
        <v>0.25202546296350192</v>
      </c>
    </row>
    <row r="1314" spans="1:6" hidden="1">
      <c r="A1314" s="1" t="s">
        <v>1319</v>
      </c>
      <c r="B1314" s="2">
        <v>45408</v>
      </c>
      <c r="C1314" s="2">
        <v>45409.147048611114</v>
      </c>
      <c r="D1314" s="2">
        <v>45409.363645833335</v>
      </c>
      <c r="E1314" s="2">
        <v>45409.405405092592</v>
      </c>
      <c r="F1314" s="3">
        <f t="shared" si="20"/>
        <v>0.25835648147767643</v>
      </c>
    </row>
    <row r="1315" spans="1:6" hidden="1">
      <c r="A1315" s="1" t="s">
        <v>1320</v>
      </c>
      <c r="B1315" s="2">
        <v>45408</v>
      </c>
      <c r="C1315" s="2">
        <v>45409.147048611114</v>
      </c>
      <c r="D1315" s="2">
        <v>45409.364907407406</v>
      </c>
      <c r="E1315" s="2">
        <v>45409.406701388885</v>
      </c>
      <c r="F1315" s="3">
        <f t="shared" si="20"/>
        <v>0.25965277777140727</v>
      </c>
    </row>
    <row r="1316" spans="1:6" hidden="1">
      <c r="A1316" s="1" t="s">
        <v>1321</v>
      </c>
      <c r="B1316" s="2">
        <v>45408</v>
      </c>
      <c r="C1316" s="2">
        <v>45409.147048611114</v>
      </c>
      <c r="D1316" s="2">
        <v>45409.365729166668</v>
      </c>
      <c r="E1316" s="2">
        <v>45409.407523148147</v>
      </c>
      <c r="F1316" s="3">
        <f t="shared" si="20"/>
        <v>0.26047453703358769</v>
      </c>
    </row>
    <row r="1317" spans="1:6" hidden="1">
      <c r="A1317" s="1" t="s">
        <v>1322</v>
      </c>
      <c r="B1317" s="2">
        <v>45408</v>
      </c>
      <c r="C1317" s="2">
        <v>45409.147048611114</v>
      </c>
      <c r="D1317" s="2">
        <v>45409.366990740738</v>
      </c>
      <c r="E1317" s="2">
        <v>45409.408807870372</v>
      </c>
      <c r="F1317" s="3">
        <f t="shared" si="20"/>
        <v>0.26175925925781485</v>
      </c>
    </row>
    <row r="1318" spans="1:6" hidden="1">
      <c r="A1318" s="1" t="s">
        <v>1323</v>
      </c>
      <c r="B1318" s="2">
        <v>45408</v>
      </c>
      <c r="C1318" s="2">
        <v>45409.147048611114</v>
      </c>
      <c r="D1318" s="2">
        <v>45409.368506944447</v>
      </c>
      <c r="E1318" s="2">
        <v>45409.410231481481</v>
      </c>
      <c r="F1318" s="3">
        <f t="shared" si="20"/>
        <v>0.26318287036701804</v>
      </c>
    </row>
    <row r="1319" spans="1:6" hidden="1">
      <c r="A1319" s="1" t="s">
        <v>1324</v>
      </c>
      <c r="B1319" s="2">
        <v>45408</v>
      </c>
      <c r="C1319" s="2">
        <v>45409.147048611114</v>
      </c>
      <c r="D1319" s="2">
        <v>45409.369745370372</v>
      </c>
      <c r="E1319" s="2">
        <v>45409.411539351851</v>
      </c>
      <c r="F1319" s="3">
        <f t="shared" si="20"/>
        <v>0.26449074073752854</v>
      </c>
    </row>
    <row r="1320" spans="1:6" hidden="1">
      <c r="A1320" s="1" t="s">
        <v>1325</v>
      </c>
      <c r="B1320" s="2">
        <v>45408</v>
      </c>
      <c r="C1320" s="2">
        <v>45408.795185185183</v>
      </c>
      <c r="D1320" s="2">
        <v>45409.374374999999</v>
      </c>
      <c r="E1320" s="2">
        <v>45409.416226851848</v>
      </c>
      <c r="F1320" s="3">
        <f t="shared" si="20"/>
        <v>0.6210416666654055</v>
      </c>
    </row>
    <row r="1321" spans="1:6" hidden="1">
      <c r="A1321" s="1" t="s">
        <v>1326</v>
      </c>
      <c r="B1321" s="2">
        <v>45408</v>
      </c>
      <c r="C1321" s="2">
        <v>45409.268125000002</v>
      </c>
      <c r="D1321" s="2">
        <v>45409.380543981482</v>
      </c>
      <c r="E1321" s="2">
        <v>45409.422372685185</v>
      </c>
      <c r="F1321" s="3">
        <f t="shared" si="20"/>
        <v>0.15424768518278142</v>
      </c>
    </row>
    <row r="1322" spans="1:6" hidden="1">
      <c r="A1322" s="1" t="s">
        <v>1327</v>
      </c>
      <c r="B1322" s="2">
        <v>45407</v>
      </c>
      <c r="C1322" s="2">
        <v>45409.342245370368</v>
      </c>
      <c r="D1322" s="2">
        <v>45409.449849537035</v>
      </c>
      <c r="E1322" s="2">
        <v>45409.491666666669</v>
      </c>
      <c r="F1322" s="3">
        <f t="shared" si="20"/>
        <v>0.14942129630071577</v>
      </c>
    </row>
    <row r="1323" spans="1:6" hidden="1">
      <c r="A1323" s="1" t="s">
        <v>1328</v>
      </c>
      <c r="B1323" s="2">
        <v>45407</v>
      </c>
      <c r="C1323" s="2">
        <v>45409.342245370368</v>
      </c>
      <c r="D1323" s="2">
        <v>45409.452789351853</v>
      </c>
      <c r="E1323" s="2">
        <v>45409.49454861111</v>
      </c>
      <c r="F1323" s="3">
        <f t="shared" si="20"/>
        <v>0.15230324074218515</v>
      </c>
    </row>
    <row r="1324" spans="1:6" hidden="1">
      <c r="A1324" s="1" t="s">
        <v>1329</v>
      </c>
      <c r="B1324" s="2">
        <v>45407</v>
      </c>
      <c r="C1324" s="2">
        <v>45409.342245370368</v>
      </c>
      <c r="D1324" s="2">
        <v>45409.455289351848</v>
      </c>
      <c r="E1324" s="2">
        <v>45409.497361111113</v>
      </c>
      <c r="F1324" s="3">
        <f t="shared" si="20"/>
        <v>0.1551157407448045</v>
      </c>
    </row>
    <row r="1325" spans="1:6" hidden="1">
      <c r="A1325" s="1" t="s">
        <v>1330</v>
      </c>
      <c r="B1325" s="2">
        <v>45407</v>
      </c>
      <c r="C1325" s="2">
        <v>45409.342245370368</v>
      </c>
      <c r="D1325" s="2">
        <v>45409.461157407408</v>
      </c>
      <c r="E1325" s="2">
        <v>45409.462442129632</v>
      </c>
      <c r="F1325" s="3">
        <f t="shared" si="20"/>
        <v>0.12019675926421769</v>
      </c>
    </row>
    <row r="1326" spans="1:6" hidden="1">
      <c r="A1326" s="1" t="s">
        <v>1331</v>
      </c>
      <c r="B1326" s="2">
        <v>45407</v>
      </c>
      <c r="C1326" s="2">
        <v>45409.342245370368</v>
      </c>
      <c r="D1326" s="2">
        <v>45409.462847222225</v>
      </c>
      <c r="E1326" s="2">
        <v>45409.504571759258</v>
      </c>
      <c r="F1326" s="3">
        <f t="shared" si="20"/>
        <v>0.16232638889050577</v>
      </c>
    </row>
    <row r="1327" spans="1:6" hidden="1">
      <c r="A1327" s="1" t="s">
        <v>1332</v>
      </c>
      <c r="B1327" s="2">
        <v>45407</v>
      </c>
      <c r="C1327" s="2">
        <v>45409.342245370368</v>
      </c>
      <c r="D1327" s="2">
        <v>45409.46429398148</v>
      </c>
      <c r="E1327" s="2">
        <v>45409.506099537037</v>
      </c>
      <c r="F1327" s="3">
        <f t="shared" si="20"/>
        <v>0.16385416666889796</v>
      </c>
    </row>
    <row r="1328" spans="1:6" hidden="1">
      <c r="A1328" s="1" t="s">
        <v>1333</v>
      </c>
      <c r="B1328" s="2">
        <v>45407</v>
      </c>
      <c r="C1328" s="2">
        <v>45409.342245370368</v>
      </c>
      <c r="D1328" s="2">
        <v>45409.46707175926</v>
      </c>
      <c r="E1328" s="2">
        <v>45409.472083333334</v>
      </c>
      <c r="F1328" s="3">
        <f t="shared" si="20"/>
        <v>0.12983796296612127</v>
      </c>
    </row>
    <row r="1329" spans="1:6" hidden="1">
      <c r="A1329" s="1" t="s">
        <v>1334</v>
      </c>
      <c r="B1329" s="2">
        <v>45408</v>
      </c>
      <c r="C1329" s="2">
        <v>45409.48232638889</v>
      </c>
      <c r="D1329" s="2">
        <v>45409.470312500001</v>
      </c>
      <c r="E1329" s="2">
        <v>45409.512141203704</v>
      </c>
      <c r="F1329" s="3">
        <f t="shared" si="20"/>
        <v>2.9814814814017154E-2</v>
      </c>
    </row>
    <row r="1330" spans="1:6" hidden="1">
      <c r="A1330" s="1" t="s">
        <v>1335</v>
      </c>
      <c r="B1330" s="2">
        <v>45408</v>
      </c>
      <c r="C1330" s="2">
        <v>45409.48232638889</v>
      </c>
      <c r="D1330" s="2">
        <v>45409.471597222226</v>
      </c>
      <c r="E1330" s="2">
        <v>45409.513437499998</v>
      </c>
      <c r="F1330" s="3">
        <f t="shared" si="20"/>
        <v>3.1111111107748002E-2</v>
      </c>
    </row>
    <row r="1331" spans="1:6" hidden="1">
      <c r="A1331" s="1" t="s">
        <v>1336</v>
      </c>
      <c r="B1331" s="2">
        <v>45408</v>
      </c>
      <c r="C1331" s="2">
        <v>45409.48232638889</v>
      </c>
      <c r="D1331" s="2">
        <v>45409.473067129627</v>
      </c>
      <c r="E1331" s="2">
        <v>45409.54519675926</v>
      </c>
      <c r="F1331" s="3">
        <f t="shared" si="20"/>
        <v>6.2870370369637385E-2</v>
      </c>
    </row>
    <row r="1332" spans="1:6" hidden="1">
      <c r="A1332" s="1" t="s">
        <v>1337</v>
      </c>
      <c r="B1332" s="2">
        <v>45408</v>
      </c>
      <c r="C1332" s="2">
        <v>45409.48232638889</v>
      </c>
      <c r="D1332" s="2">
        <v>45409.475208333337</v>
      </c>
      <c r="E1332" s="2">
        <v>45409.545254629629</v>
      </c>
      <c r="F1332" s="3">
        <f t="shared" si="20"/>
        <v>6.2928240738983732E-2</v>
      </c>
    </row>
    <row r="1333" spans="1:6" hidden="1">
      <c r="A1333" s="1" t="s">
        <v>1338</v>
      </c>
      <c r="B1333" s="2">
        <v>45408</v>
      </c>
      <c r="C1333" s="2">
        <v>45409.48232638889</v>
      </c>
      <c r="D1333" s="2">
        <v>45409.476840277777</v>
      </c>
      <c r="E1333" s="2">
        <v>45409.545439814814</v>
      </c>
      <c r="F1333" s="3">
        <f t="shared" si="20"/>
        <v>6.3113425923802424E-2</v>
      </c>
    </row>
    <row r="1334" spans="1:6" hidden="1">
      <c r="A1334" s="1" t="s">
        <v>1339</v>
      </c>
      <c r="B1334" s="2">
        <v>45408</v>
      </c>
      <c r="C1334" s="2">
        <v>45409.48232638889</v>
      </c>
      <c r="D1334" s="2">
        <v>45409.485208333332</v>
      </c>
      <c r="E1334" s="2">
        <v>45409.738622685189</v>
      </c>
      <c r="F1334" s="3">
        <f t="shared" si="20"/>
        <v>0.25629629629838746</v>
      </c>
    </row>
    <row r="1335" spans="1:6" hidden="1">
      <c r="A1335" s="1" t="s">
        <v>1340</v>
      </c>
      <c r="B1335" s="2">
        <v>45408</v>
      </c>
      <c r="C1335" s="2">
        <v>45409.726203703707</v>
      </c>
      <c r="D1335" s="2">
        <v>45409.492673611108</v>
      </c>
      <c r="E1335" s="2">
        <v>45409.551805555559</v>
      </c>
      <c r="F1335" s="6" t="s">
        <v>1708</v>
      </c>
    </row>
    <row r="1336" spans="1:6" hidden="1">
      <c r="A1336" s="1" t="s">
        <v>1341</v>
      </c>
      <c r="B1336" s="2">
        <v>45408</v>
      </c>
      <c r="C1336" s="2">
        <v>45409.726203703707</v>
      </c>
      <c r="D1336" s="2">
        <v>45409.494398148148</v>
      </c>
      <c r="E1336" s="2">
        <v>45409.552118055559</v>
      </c>
      <c r="F1336" s="6" t="s">
        <v>1708</v>
      </c>
    </row>
    <row r="1337" spans="1:6" hidden="1">
      <c r="A1337" s="1" t="s">
        <v>1342</v>
      </c>
      <c r="B1337" s="2">
        <v>45408</v>
      </c>
      <c r="C1337" s="2">
        <v>45409.726203703707</v>
      </c>
      <c r="D1337" s="2">
        <v>45409.497094907405</v>
      </c>
      <c r="E1337" s="2">
        <v>45409.538888888892</v>
      </c>
      <c r="F1337" s="6" t="s">
        <v>1708</v>
      </c>
    </row>
    <row r="1338" spans="1:6" hidden="1">
      <c r="A1338" s="1" t="s">
        <v>1343</v>
      </c>
      <c r="B1338" s="2">
        <v>45408</v>
      </c>
      <c r="C1338" s="2">
        <v>45409.726203703707</v>
      </c>
      <c r="D1338" s="2">
        <v>45409.498564814814</v>
      </c>
      <c r="E1338" s="2">
        <v>45409.540405092594</v>
      </c>
      <c r="F1338" s="6" t="s">
        <v>1708</v>
      </c>
    </row>
    <row r="1339" spans="1:6" hidden="1">
      <c r="A1339" s="1" t="s">
        <v>1344</v>
      </c>
      <c r="B1339" s="2">
        <v>45408</v>
      </c>
      <c r="C1339" s="2">
        <v>45411.695914351854</v>
      </c>
      <c r="D1339" s="2">
        <v>45411.66133101852</v>
      </c>
      <c r="E1339" s="2">
        <v>45411.765833333331</v>
      </c>
      <c r="F1339" s="3">
        <f t="shared" si="20"/>
        <v>6.991898147680331E-2</v>
      </c>
    </row>
    <row r="1340" spans="1:6" hidden="1">
      <c r="A1340" s="1" t="s">
        <v>1345</v>
      </c>
      <c r="B1340" s="2">
        <v>45408</v>
      </c>
      <c r="C1340" s="2">
        <v>45409.5703587963</v>
      </c>
      <c r="D1340" s="2">
        <v>45409.561192129629</v>
      </c>
      <c r="E1340" s="2">
        <v>45409.602905092594</v>
      </c>
      <c r="F1340" s="3">
        <f t="shared" si="20"/>
        <v>3.2546296293730848E-2</v>
      </c>
    </row>
    <row r="1341" spans="1:6" hidden="1">
      <c r="A1341" s="1" t="s">
        <v>1346</v>
      </c>
      <c r="B1341" s="2">
        <v>45408</v>
      </c>
      <c r="C1341" s="2">
        <v>45409.5703587963</v>
      </c>
      <c r="D1341" s="2">
        <v>45409.623194444444</v>
      </c>
      <c r="E1341" s="2">
        <v>45409.807569444441</v>
      </c>
      <c r="F1341" s="3">
        <f t="shared" si="20"/>
        <v>0.23721064814162673</v>
      </c>
    </row>
    <row r="1342" spans="1:6" hidden="1">
      <c r="A1342" s="1" t="s">
        <v>1347</v>
      </c>
      <c r="B1342" s="2">
        <v>45409</v>
      </c>
      <c r="C1342" s="2">
        <v>45410.731608796297</v>
      </c>
      <c r="D1342" s="2">
        <v>45410.500057870369</v>
      </c>
      <c r="E1342" s="2">
        <v>45410.54184027778</v>
      </c>
      <c r="F1342" s="6" t="s">
        <v>1708</v>
      </c>
    </row>
    <row r="1343" spans="1:6" hidden="1">
      <c r="A1343" s="1" t="s">
        <v>1348</v>
      </c>
      <c r="B1343" s="2">
        <v>45409</v>
      </c>
      <c r="C1343" s="2">
        <v>45410.731608796297</v>
      </c>
      <c r="D1343" s="2">
        <v>45410.500671296293</v>
      </c>
      <c r="E1343" s="2">
        <v>45410.542430555557</v>
      </c>
      <c r="F1343" s="6" t="s">
        <v>1708</v>
      </c>
    </row>
    <row r="1344" spans="1:6" hidden="1">
      <c r="A1344" s="1" t="s">
        <v>1349</v>
      </c>
      <c r="B1344" s="2">
        <v>45409</v>
      </c>
      <c r="C1344" s="2">
        <v>45410.731608796297</v>
      </c>
      <c r="D1344" s="2">
        <v>45410.501516203702</v>
      </c>
      <c r="E1344" s="2">
        <v>45410.543252314812</v>
      </c>
      <c r="F1344" s="6" t="s">
        <v>1708</v>
      </c>
    </row>
    <row r="1345" spans="1:6" hidden="1">
      <c r="A1345" s="1" t="s">
        <v>1350</v>
      </c>
      <c r="B1345" s="2">
        <v>45409</v>
      </c>
      <c r="C1345" s="2">
        <v>45410.731608796297</v>
      </c>
      <c r="D1345" s="2">
        <v>45410.502083333333</v>
      </c>
      <c r="E1345" s="2">
        <v>45410.543842592589</v>
      </c>
      <c r="F1345" s="6" t="s">
        <v>1708</v>
      </c>
    </row>
    <row r="1346" spans="1:6" hidden="1">
      <c r="A1346" s="1" t="s">
        <v>1351</v>
      </c>
      <c r="B1346" s="2">
        <v>45409</v>
      </c>
      <c r="C1346" s="2">
        <v>45410.731608796297</v>
      </c>
      <c r="D1346" s="2">
        <v>45410.502847222226</v>
      </c>
      <c r="E1346" s="2">
        <v>45410.544652777775</v>
      </c>
      <c r="F1346" s="6" t="s">
        <v>1708</v>
      </c>
    </row>
    <row r="1347" spans="1:6" hidden="1">
      <c r="A1347" s="1" t="s">
        <v>1352</v>
      </c>
      <c r="B1347" s="2">
        <v>45409</v>
      </c>
      <c r="C1347" s="2">
        <v>45410.157696759263</v>
      </c>
      <c r="D1347" s="2">
        <v>45409.989837962959</v>
      </c>
      <c r="E1347" s="2">
        <v>45409.993402777778</v>
      </c>
      <c r="F1347" s="6" t="s">
        <v>1708</v>
      </c>
    </row>
    <row r="1348" spans="1:6" hidden="1">
      <c r="A1348" s="1" t="s">
        <v>1353</v>
      </c>
      <c r="B1348" s="2">
        <v>45409</v>
      </c>
      <c r="C1348" s="2">
        <v>45410.157696759263</v>
      </c>
      <c r="D1348" s="2">
        <v>45409.994942129626</v>
      </c>
      <c r="E1348" s="2">
        <v>45409.999097222222</v>
      </c>
      <c r="F1348" s="6" t="s">
        <v>1708</v>
      </c>
    </row>
    <row r="1349" spans="1:6" hidden="1">
      <c r="A1349" s="1" t="s">
        <v>1354</v>
      </c>
      <c r="B1349" s="2">
        <v>45409</v>
      </c>
      <c r="C1349" s="2">
        <v>45410.467129629629</v>
      </c>
      <c r="D1349" s="2">
        <v>45410.395624999997</v>
      </c>
      <c r="E1349" s="2">
        <v>45410.437384259261</v>
      </c>
      <c r="F1349" s="6" t="s">
        <v>1708</v>
      </c>
    </row>
    <row r="1350" spans="1:6" hidden="1">
      <c r="A1350" s="1" t="s">
        <v>1355</v>
      </c>
      <c r="B1350" s="2">
        <v>45409</v>
      </c>
      <c r="C1350" s="2">
        <v>45410.467129629629</v>
      </c>
      <c r="D1350" s="2">
        <v>45410.394780092596</v>
      </c>
      <c r="E1350" s="2">
        <v>45410.413900462961</v>
      </c>
      <c r="F1350" s="6" t="s">
        <v>1708</v>
      </c>
    </row>
    <row r="1351" spans="1:6" hidden="1">
      <c r="A1351" s="1" t="s">
        <v>1356</v>
      </c>
      <c r="B1351" s="2">
        <v>45409</v>
      </c>
      <c r="C1351" s="2">
        <v>45410.467129629629</v>
      </c>
      <c r="D1351" s="2">
        <v>45410.404178240744</v>
      </c>
      <c r="E1351" s="2">
        <v>45410.43072916667</v>
      </c>
      <c r="F1351" s="6" t="s">
        <v>1708</v>
      </c>
    </row>
    <row r="1352" spans="1:6" hidden="1">
      <c r="A1352" s="1" t="s">
        <v>1357</v>
      </c>
      <c r="B1352" s="2">
        <v>45410</v>
      </c>
      <c r="C1352" s="2">
        <v>45411.466006944444</v>
      </c>
      <c r="D1352" s="2">
        <v>45411.399131944447</v>
      </c>
      <c r="E1352" s="2">
        <v>45411.441886574074</v>
      </c>
      <c r="F1352" s="6" t="s">
        <v>1708</v>
      </c>
    </row>
    <row r="1353" spans="1:6" hidden="1">
      <c r="A1353" s="1" t="s">
        <v>1358</v>
      </c>
      <c r="B1353" s="2">
        <v>45410</v>
      </c>
      <c r="C1353" s="2">
        <v>45411.466006944444</v>
      </c>
      <c r="D1353" s="2">
        <v>45411.399618055555</v>
      </c>
      <c r="E1353" s="2">
        <v>45411.442025462966</v>
      </c>
      <c r="F1353" s="6" t="s">
        <v>1708</v>
      </c>
    </row>
    <row r="1354" spans="1:6" hidden="1">
      <c r="A1354" s="1" t="s">
        <v>1359</v>
      </c>
      <c r="B1354" s="2">
        <v>45410</v>
      </c>
      <c r="C1354" s="2">
        <v>45411.466006944444</v>
      </c>
      <c r="D1354" s="2">
        <v>45411.400266203702</v>
      </c>
      <c r="E1354" s="2">
        <v>45411.442673611113</v>
      </c>
      <c r="F1354" s="6" t="s">
        <v>1708</v>
      </c>
    </row>
    <row r="1355" spans="1:6" hidden="1">
      <c r="A1355" s="1" t="s">
        <v>1360</v>
      </c>
      <c r="B1355" s="2">
        <v>45410</v>
      </c>
      <c r="C1355" s="2">
        <v>45411.466006944444</v>
      </c>
      <c r="D1355" s="2">
        <v>45411.400682870371</v>
      </c>
      <c r="E1355" s="2">
        <v>45411.427210648151</v>
      </c>
      <c r="F1355" s="6" t="s">
        <v>1708</v>
      </c>
    </row>
    <row r="1356" spans="1:6" hidden="1">
      <c r="A1356" s="1" t="s">
        <v>1361</v>
      </c>
      <c r="B1356" s="2">
        <v>45410</v>
      </c>
      <c r="C1356" s="2">
        <v>45411.466006944444</v>
      </c>
      <c r="D1356" s="2">
        <v>45411.403541666667</v>
      </c>
      <c r="E1356" s="2">
        <v>45411.4455787037</v>
      </c>
      <c r="F1356" s="6" t="s">
        <v>1708</v>
      </c>
    </row>
    <row r="1357" spans="1:6" hidden="1">
      <c r="A1357" s="1" t="s">
        <v>1362</v>
      </c>
      <c r="B1357" s="2">
        <v>45409</v>
      </c>
      <c r="C1357" s="2">
        <v>45409.751736111109</v>
      </c>
      <c r="D1357" s="2">
        <v>45411.409675925926</v>
      </c>
      <c r="E1357" s="2">
        <v>45411.451932870368</v>
      </c>
      <c r="F1357" s="3">
        <f t="shared" ref="F1357:F1410" si="21">E1357-C1357</f>
        <v>1.700196759258688</v>
      </c>
    </row>
    <row r="1358" spans="1:6" hidden="1">
      <c r="A1358" s="1" t="s">
        <v>1363</v>
      </c>
      <c r="B1358" s="2">
        <v>45409</v>
      </c>
      <c r="C1358" s="2">
        <v>45409.751736111109</v>
      </c>
      <c r="D1358" s="2">
        <v>45411.411689814813</v>
      </c>
      <c r="E1358" s="2">
        <v>45411.453865740739</v>
      </c>
      <c r="F1358" s="3">
        <f t="shared" si="21"/>
        <v>1.7021296296297805</v>
      </c>
    </row>
    <row r="1359" spans="1:6" hidden="1">
      <c r="A1359" s="1" t="s">
        <v>1364</v>
      </c>
      <c r="B1359" s="2">
        <v>45409</v>
      </c>
      <c r="C1359" s="2">
        <v>45410.251469907409</v>
      </c>
      <c r="D1359" s="2">
        <v>45411.45071759259</v>
      </c>
      <c r="E1359" s="2">
        <v>45411.492581018516</v>
      </c>
      <c r="F1359" s="3">
        <f t="shared" si="21"/>
        <v>1.2411111111068749</v>
      </c>
    </row>
    <row r="1360" spans="1:6" hidden="1">
      <c r="A1360" s="1" t="s">
        <v>1365</v>
      </c>
      <c r="B1360" s="2">
        <v>45411</v>
      </c>
      <c r="C1360" s="2">
        <v>45411.47452546296</v>
      </c>
      <c r="D1360" s="2">
        <v>45411.492650462962</v>
      </c>
      <c r="E1360" s="2">
        <v>45411.614085648151</v>
      </c>
      <c r="F1360" s="3">
        <f t="shared" si="21"/>
        <v>0.1395601851909305</v>
      </c>
    </row>
    <row r="1361" spans="1:6" hidden="1">
      <c r="A1361" s="1" t="s">
        <v>1366</v>
      </c>
      <c r="B1361" s="2">
        <v>45411</v>
      </c>
      <c r="C1361" s="2">
        <v>45411.47452546296</v>
      </c>
      <c r="D1361" s="2">
        <v>45411.496307870373</v>
      </c>
      <c r="E1361" s="2">
        <v>45411.613587962966</v>
      </c>
      <c r="F1361" s="3">
        <f t="shared" si="21"/>
        <v>0.13906250000582077</v>
      </c>
    </row>
    <row r="1362" spans="1:6" hidden="1">
      <c r="A1362" s="1" t="s">
        <v>1367</v>
      </c>
      <c r="B1362" s="2">
        <v>45411</v>
      </c>
      <c r="C1362" s="2">
        <v>45411.47452546296</v>
      </c>
      <c r="D1362" s="2">
        <v>45411.499259259261</v>
      </c>
      <c r="E1362" s="2">
        <v>45411.615474537037</v>
      </c>
      <c r="F1362" s="3">
        <f t="shared" si="21"/>
        <v>0.14094907407707069</v>
      </c>
    </row>
    <row r="1363" spans="1:6" hidden="1">
      <c r="A1363" s="1" t="s">
        <v>1368</v>
      </c>
      <c r="B1363" s="2">
        <v>45408</v>
      </c>
      <c r="C1363" s="2">
        <v>45409.440300925926</v>
      </c>
      <c r="D1363" s="2">
        <v>45411.48400462963</v>
      </c>
      <c r="E1363" s="2">
        <v>45411.525833333333</v>
      </c>
      <c r="F1363" s="3">
        <f t="shared" si="21"/>
        <v>2.0855324074072996</v>
      </c>
    </row>
    <row r="1364" spans="1:6" hidden="1">
      <c r="A1364" s="1" t="s">
        <v>1369</v>
      </c>
      <c r="B1364" s="2">
        <v>45409</v>
      </c>
      <c r="C1364" s="2">
        <v>45410.459976851853</v>
      </c>
      <c r="D1364" s="2">
        <v>45411.572442129633</v>
      </c>
      <c r="E1364" s="2">
        <v>45411.614236111112</v>
      </c>
      <c r="F1364" s="3">
        <f t="shared" si="21"/>
        <v>1.1542592592595611</v>
      </c>
    </row>
    <row r="1365" spans="1:6" hidden="1">
      <c r="A1365" s="1" t="s">
        <v>1370</v>
      </c>
      <c r="B1365" s="2">
        <v>45409</v>
      </c>
      <c r="C1365" s="2">
        <v>45410.467129629629</v>
      </c>
      <c r="D1365" s="2">
        <v>45411.667361111111</v>
      </c>
      <c r="E1365" s="2">
        <v>45411.714166666665</v>
      </c>
      <c r="F1365" s="3">
        <f t="shared" si="21"/>
        <v>1.247037037035625</v>
      </c>
    </row>
    <row r="1366" spans="1:6" hidden="1">
      <c r="A1366" s="1" t="s">
        <v>1371</v>
      </c>
      <c r="B1366" s="2">
        <v>45407</v>
      </c>
      <c r="C1366" s="2">
        <v>45407.835138888891</v>
      </c>
      <c r="D1366" s="2">
        <v>45411.788645833331</v>
      </c>
      <c r="E1366" s="2">
        <v>45415.756574074076</v>
      </c>
      <c r="F1366" s="3">
        <f t="shared" si="21"/>
        <v>7.9214351851842366</v>
      </c>
    </row>
    <row r="1367" spans="1:6" hidden="1">
      <c r="A1367" s="1" t="s">
        <v>1372</v>
      </c>
      <c r="B1367" s="2">
        <v>45409</v>
      </c>
      <c r="C1367" s="2">
        <v>45410.731087962966</v>
      </c>
      <c r="D1367" s="2">
        <v>45411.849293981482</v>
      </c>
      <c r="E1367" s="2">
        <v>45411.891111111108</v>
      </c>
      <c r="F1367" s="3">
        <f t="shared" si="21"/>
        <v>1.1600231481424998</v>
      </c>
    </row>
    <row r="1368" spans="1:6" hidden="1">
      <c r="A1368" s="1" t="s">
        <v>1373</v>
      </c>
      <c r="B1368" s="2">
        <v>45409</v>
      </c>
      <c r="C1368" s="2">
        <v>45409.268113425926</v>
      </c>
      <c r="D1368" s="2">
        <v>45411.85728009259</v>
      </c>
      <c r="E1368" s="2">
        <v>45411.899143518516</v>
      </c>
      <c r="F1368" s="3">
        <f t="shared" si="21"/>
        <v>2.6310300925906631</v>
      </c>
    </row>
    <row r="1369" spans="1:6" hidden="1">
      <c r="A1369" s="1" t="s">
        <v>1374</v>
      </c>
      <c r="B1369" s="2">
        <v>45408</v>
      </c>
      <c r="C1369" s="2">
        <v>45409.860185185185</v>
      </c>
      <c r="D1369" s="2">
        <v>45411.865833333337</v>
      </c>
      <c r="E1369" s="2">
        <v>45411.907754629632</v>
      </c>
      <c r="F1369" s="3">
        <f t="shared" si="21"/>
        <v>2.0475694444467081</v>
      </c>
    </row>
    <row r="1370" spans="1:6" hidden="1">
      <c r="A1370" s="1" t="s">
        <v>1375</v>
      </c>
      <c r="B1370" s="2">
        <v>45409</v>
      </c>
      <c r="C1370" s="2">
        <v>45410.936481481483</v>
      </c>
      <c r="D1370" s="2">
        <v>45411.874085648145</v>
      </c>
      <c r="E1370" s="2">
        <v>45411.915891203702</v>
      </c>
      <c r="F1370" s="3">
        <f t="shared" si="21"/>
        <v>0.97940972221840639</v>
      </c>
    </row>
    <row r="1371" spans="1:6" hidden="1">
      <c r="A1371" s="1" t="s">
        <v>1376</v>
      </c>
      <c r="B1371" s="2">
        <v>45409</v>
      </c>
      <c r="C1371" s="2">
        <v>45410.731168981481</v>
      </c>
      <c r="D1371" s="2">
        <v>45411.941076388888</v>
      </c>
      <c r="E1371" s="2">
        <v>45411.970648148148</v>
      </c>
      <c r="F1371" s="3">
        <f t="shared" si="21"/>
        <v>1.2394791666665697</v>
      </c>
    </row>
    <row r="1372" spans="1:6" hidden="1">
      <c r="A1372" s="1" t="s">
        <v>1377</v>
      </c>
      <c r="B1372" s="2">
        <v>45409</v>
      </c>
      <c r="C1372" s="2">
        <v>45410.731168981481</v>
      </c>
      <c r="D1372" s="2">
        <v>45412.037962962961</v>
      </c>
      <c r="E1372" s="2">
        <v>45412.574166666665</v>
      </c>
      <c r="F1372" s="3">
        <f t="shared" si="21"/>
        <v>1.8429976851839456</v>
      </c>
    </row>
    <row r="1373" spans="1:6" hidden="1">
      <c r="A1373" s="1" t="s">
        <v>1378</v>
      </c>
      <c r="B1373" s="2">
        <v>45410</v>
      </c>
      <c r="C1373" s="2">
        <v>45411.736307870371</v>
      </c>
      <c r="D1373" s="2">
        <v>45412.087546296294</v>
      </c>
      <c r="E1373" s="2">
        <v>45412.314039351855</v>
      </c>
      <c r="F1373" s="3">
        <f t="shared" si="21"/>
        <v>0.57773148148407927</v>
      </c>
    </row>
    <row r="1374" spans="1:6" hidden="1">
      <c r="A1374" s="1" t="s">
        <v>1379</v>
      </c>
      <c r="B1374" s="2">
        <v>45410</v>
      </c>
      <c r="C1374" s="2">
        <v>45411.736307870371</v>
      </c>
      <c r="D1374" s="2">
        <v>45412.132905092592</v>
      </c>
      <c r="E1374" s="2">
        <v>45412.335775462961</v>
      </c>
      <c r="F1374" s="3">
        <f t="shared" si="21"/>
        <v>0.59946759259037208</v>
      </c>
    </row>
    <row r="1375" spans="1:6" hidden="1">
      <c r="A1375" s="1" t="s">
        <v>1380</v>
      </c>
      <c r="B1375" s="2">
        <v>45411</v>
      </c>
      <c r="C1375" s="2">
        <v>45412.841481481482</v>
      </c>
      <c r="D1375" s="2">
        <v>45412.931238425925</v>
      </c>
      <c r="E1375" s="2">
        <v>45413.297858796293</v>
      </c>
      <c r="F1375" s="3">
        <f t="shared" si="21"/>
        <v>0.45637731481110677</v>
      </c>
    </row>
    <row r="1376" spans="1:6" hidden="1">
      <c r="A1376" s="1" t="s">
        <v>1381</v>
      </c>
      <c r="B1376" s="2">
        <v>45411</v>
      </c>
      <c r="C1376" s="2">
        <v>45412.305289351854</v>
      </c>
      <c r="D1376" s="2">
        <v>45412.427546296298</v>
      </c>
      <c r="E1376" s="2">
        <v>45412.469398148147</v>
      </c>
      <c r="F1376" s="3">
        <f t="shared" si="21"/>
        <v>0.16410879629256669</v>
      </c>
    </row>
    <row r="1377" spans="1:6" hidden="1">
      <c r="A1377" s="1" t="s">
        <v>1382</v>
      </c>
      <c r="B1377" s="2">
        <v>45411</v>
      </c>
      <c r="C1377" s="2">
        <v>45411.811180555553</v>
      </c>
      <c r="D1377" s="2">
        <v>45412.36005787037</v>
      </c>
      <c r="E1377" s="2">
        <v>45412.401932870373</v>
      </c>
      <c r="F1377" s="3">
        <f t="shared" si="21"/>
        <v>0.59075231481983792</v>
      </c>
    </row>
    <row r="1378" spans="1:6" hidden="1">
      <c r="A1378" s="1" t="s">
        <v>1383</v>
      </c>
      <c r="B1378" s="2">
        <v>45409</v>
      </c>
      <c r="C1378" s="2">
        <v>45410.936481481483</v>
      </c>
      <c r="D1378" s="2">
        <v>45412.382916666669</v>
      </c>
      <c r="E1378" s="2">
        <v>45412.41033564815</v>
      </c>
      <c r="F1378" s="3">
        <f t="shared" si="21"/>
        <v>1.4738541666665697</v>
      </c>
    </row>
    <row r="1379" spans="1:6" hidden="1">
      <c r="A1379" s="1" t="s">
        <v>1384</v>
      </c>
      <c r="B1379" s="2">
        <v>45408</v>
      </c>
      <c r="C1379" s="2">
        <v>45409.599363425928</v>
      </c>
      <c r="D1379" s="2">
        <v>45412.405069444445</v>
      </c>
      <c r="E1379" s="2">
        <v>45412.423668981479</v>
      </c>
      <c r="F1379" s="3">
        <f t="shared" si="21"/>
        <v>2.8243055555503815</v>
      </c>
    </row>
    <row r="1380" spans="1:6" hidden="1">
      <c r="A1380" s="1" t="s">
        <v>1385</v>
      </c>
      <c r="B1380" s="2">
        <v>45411</v>
      </c>
      <c r="C1380" s="2">
        <v>45412.431747685187</v>
      </c>
      <c r="D1380" s="2">
        <v>45412.433981481481</v>
      </c>
      <c r="E1380" s="2">
        <v>45412.679988425924</v>
      </c>
      <c r="F1380" s="3">
        <f t="shared" si="21"/>
        <v>0.24824074073694646</v>
      </c>
    </row>
    <row r="1381" spans="1:6" hidden="1">
      <c r="A1381" s="1" t="s">
        <v>1386</v>
      </c>
      <c r="B1381" s="2">
        <v>45411</v>
      </c>
      <c r="C1381" s="2">
        <v>45412.477326388886</v>
      </c>
      <c r="D1381" s="2">
        <v>45412.444062499999</v>
      </c>
      <c r="E1381" s="2">
        <v>45412.48609953704</v>
      </c>
      <c r="F1381" s="3">
        <f t="shared" si="21"/>
        <v>8.7731481544324197E-3</v>
      </c>
    </row>
    <row r="1382" spans="1:6" hidden="1">
      <c r="A1382" s="1" t="s">
        <v>1387</v>
      </c>
      <c r="B1382" s="2">
        <v>45411</v>
      </c>
      <c r="C1382" s="2">
        <v>45412.477326388886</v>
      </c>
      <c r="D1382" s="2">
        <v>45412.456342592595</v>
      </c>
      <c r="E1382" s="2">
        <v>45412.498101851852</v>
      </c>
      <c r="F1382" s="3">
        <f t="shared" si="21"/>
        <v>2.0775462966412306E-2</v>
      </c>
    </row>
    <row r="1383" spans="1:6" hidden="1">
      <c r="A1383" s="1" t="s">
        <v>1388</v>
      </c>
      <c r="B1383" s="2">
        <v>45410</v>
      </c>
      <c r="C1383" s="2">
        <v>45412.480092592596</v>
      </c>
      <c r="D1383" s="2">
        <v>45412.486354166664</v>
      </c>
      <c r="E1383" s="2">
        <v>45412.682060185187</v>
      </c>
      <c r="F1383" s="3">
        <f t="shared" si="21"/>
        <v>0.20196759259124519</v>
      </c>
    </row>
    <row r="1384" spans="1:6" hidden="1">
      <c r="A1384" s="1" t="s">
        <v>1389</v>
      </c>
      <c r="B1384" s="2">
        <v>45408</v>
      </c>
      <c r="C1384" s="2">
        <v>45409.251898148148</v>
      </c>
      <c r="D1384" s="2">
        <v>45412.593460648146</v>
      </c>
      <c r="E1384" s="2">
        <v>45412.635324074072</v>
      </c>
      <c r="F1384" s="3">
        <f t="shared" si="21"/>
        <v>3.3834259259238024</v>
      </c>
    </row>
    <row r="1385" spans="1:6" hidden="1">
      <c r="A1385" s="1" t="s">
        <v>1390</v>
      </c>
      <c r="B1385" s="2">
        <v>45408</v>
      </c>
      <c r="C1385" s="2">
        <v>45409.251898148148</v>
      </c>
      <c r="D1385" s="2">
        <v>45412.602349537039</v>
      </c>
      <c r="E1385" s="2">
        <v>45412.606504629628</v>
      </c>
      <c r="F1385" s="3">
        <f t="shared" si="21"/>
        <v>3.3546064814800047</v>
      </c>
    </row>
    <row r="1386" spans="1:6" hidden="1">
      <c r="A1386" s="1" t="s">
        <v>1391</v>
      </c>
      <c r="B1386" s="2">
        <v>45408</v>
      </c>
      <c r="C1386" s="2">
        <v>45409.251921296294</v>
      </c>
      <c r="D1386" s="2">
        <v>45412.62363425926</v>
      </c>
      <c r="E1386" s="2">
        <v>45412.665578703702</v>
      </c>
      <c r="F1386" s="3">
        <f t="shared" si="21"/>
        <v>3.4136574074072996</v>
      </c>
    </row>
    <row r="1387" spans="1:6" hidden="1">
      <c r="A1387" s="1" t="s">
        <v>1392</v>
      </c>
      <c r="B1387" s="2">
        <v>45412</v>
      </c>
      <c r="C1387" s="2">
        <v>45412.172789351855</v>
      </c>
      <c r="D1387" s="2">
        <v>45412.62877314815</v>
      </c>
      <c r="E1387" s="2">
        <v>45412.670578703706</v>
      </c>
      <c r="F1387" s="3">
        <f t="shared" si="21"/>
        <v>0.49778935185167938</v>
      </c>
    </row>
    <row r="1388" spans="1:6" hidden="1">
      <c r="A1388" s="1" t="s">
        <v>1393</v>
      </c>
      <c r="B1388" s="2">
        <v>45412</v>
      </c>
      <c r="C1388" s="2">
        <v>45412.172789351855</v>
      </c>
      <c r="D1388" s="2">
        <v>45412.634548611109</v>
      </c>
      <c r="E1388" s="2">
        <v>45412.67633101852</v>
      </c>
      <c r="F1388" s="3">
        <f t="shared" si="21"/>
        <v>0.50354166666511446</v>
      </c>
    </row>
    <row r="1389" spans="1:6" hidden="1">
      <c r="A1389" s="1" t="s">
        <v>1394</v>
      </c>
      <c r="B1389" s="2">
        <v>45412</v>
      </c>
      <c r="C1389" s="2">
        <v>45412.172789351855</v>
      </c>
      <c r="D1389" s="2">
        <v>45412.64570601852</v>
      </c>
      <c r="E1389" s="2">
        <v>45412.687581018516</v>
      </c>
      <c r="F1389" s="3">
        <f t="shared" si="21"/>
        <v>0.51479166666103993</v>
      </c>
    </row>
    <row r="1390" spans="1:6" hidden="1">
      <c r="A1390" s="1" t="s">
        <v>1395</v>
      </c>
      <c r="B1390" s="2">
        <v>45407</v>
      </c>
      <c r="C1390" s="2">
        <v>45408.21371527778</v>
      </c>
      <c r="D1390" s="2">
        <v>45412.678333333337</v>
      </c>
      <c r="E1390" s="2">
        <v>45414.696539351855</v>
      </c>
      <c r="F1390" s="3">
        <f t="shared" si="21"/>
        <v>6.4828240740753245</v>
      </c>
    </row>
    <row r="1391" spans="1:6" hidden="1">
      <c r="A1391" s="1" t="s">
        <v>1396</v>
      </c>
      <c r="B1391" s="2">
        <v>45412</v>
      </c>
      <c r="C1391" s="2">
        <v>45412.30537037037</v>
      </c>
      <c r="D1391" s="2">
        <v>45412.717453703706</v>
      </c>
      <c r="E1391" s="2">
        <v>45412.759687500002</v>
      </c>
      <c r="F1391" s="3">
        <f t="shared" si="21"/>
        <v>0.45431712963181781</v>
      </c>
    </row>
    <row r="1392" spans="1:6" hidden="1">
      <c r="A1392" s="1" t="s">
        <v>1397</v>
      </c>
      <c r="B1392" s="2">
        <v>45412</v>
      </c>
      <c r="C1392" s="2">
        <v>45412.305300925924</v>
      </c>
      <c r="D1392" s="2">
        <v>45412.72115740741</v>
      </c>
      <c r="E1392" s="2">
        <v>45412.762939814813</v>
      </c>
      <c r="F1392" s="3">
        <f t="shared" si="21"/>
        <v>0.45763888888905058</v>
      </c>
    </row>
    <row r="1393" spans="1:6" hidden="1">
      <c r="A1393" s="1" t="s">
        <v>1398</v>
      </c>
      <c r="B1393" s="2">
        <v>45412</v>
      </c>
      <c r="C1393" s="2">
        <v>45412.305393518516</v>
      </c>
      <c r="D1393" s="2">
        <v>45412.725821759261</v>
      </c>
      <c r="E1393" s="2">
        <v>45412.76766203704</v>
      </c>
      <c r="F1393" s="3">
        <f t="shared" si="21"/>
        <v>0.4622685185240698</v>
      </c>
    </row>
    <row r="1394" spans="1:6" hidden="1">
      <c r="A1394" s="1" t="s">
        <v>1399</v>
      </c>
      <c r="B1394" s="2">
        <v>45412</v>
      </c>
      <c r="C1394" s="2">
        <v>45412.305289351854</v>
      </c>
      <c r="D1394" s="2">
        <v>45412.730185185188</v>
      </c>
      <c r="E1394" s="2">
        <v>45412.772141203706</v>
      </c>
      <c r="F1394" s="3">
        <f t="shared" si="21"/>
        <v>0.46685185185197042</v>
      </c>
    </row>
    <row r="1395" spans="1:6" hidden="1">
      <c r="A1395" s="1" t="s">
        <v>1400</v>
      </c>
      <c r="B1395" s="2">
        <v>45412</v>
      </c>
      <c r="C1395" s="2">
        <v>45412.305393518516</v>
      </c>
      <c r="D1395" s="2">
        <v>45412.73505787037</v>
      </c>
      <c r="E1395" s="2">
        <v>45412.776967592596</v>
      </c>
      <c r="F1395" s="3">
        <f t="shared" si="21"/>
        <v>0.471574074079399</v>
      </c>
    </row>
    <row r="1396" spans="1:6" hidden="1">
      <c r="A1396" s="1" t="s">
        <v>1401</v>
      </c>
      <c r="B1396" s="2">
        <v>45412</v>
      </c>
      <c r="C1396" s="2">
        <v>45412.30541666667</v>
      </c>
      <c r="D1396" s="2">
        <v>45412.740370370368</v>
      </c>
      <c r="E1396" s="2">
        <v>45412.782268518517</v>
      </c>
      <c r="F1396" s="3">
        <f t="shared" si="21"/>
        <v>0.47685185184673173</v>
      </c>
    </row>
    <row r="1397" spans="1:6" hidden="1">
      <c r="A1397" s="1" t="s">
        <v>1402</v>
      </c>
      <c r="B1397" s="2">
        <v>45412</v>
      </c>
      <c r="C1397" s="2">
        <v>45412.172789351855</v>
      </c>
      <c r="D1397" s="2">
        <v>45412.744328703702</v>
      </c>
      <c r="E1397" s="2">
        <v>45412.786122685182</v>
      </c>
      <c r="F1397" s="3">
        <f t="shared" si="21"/>
        <v>0.61333333332731854</v>
      </c>
    </row>
    <row r="1398" spans="1:6" hidden="1">
      <c r="A1398" s="1" t="s">
        <v>1403</v>
      </c>
      <c r="B1398" s="2">
        <v>45412</v>
      </c>
      <c r="C1398" s="2">
        <v>45412.172789351855</v>
      </c>
      <c r="D1398" s="2">
        <v>45412.755324074074</v>
      </c>
      <c r="E1398" s="2">
        <v>45412.813923611109</v>
      </c>
      <c r="F1398" s="3">
        <f t="shared" si="21"/>
        <v>0.64113425925461343</v>
      </c>
    </row>
    <row r="1399" spans="1:6" hidden="1">
      <c r="A1399" s="1" t="s">
        <v>1404</v>
      </c>
      <c r="B1399" s="2">
        <v>45412</v>
      </c>
      <c r="C1399" s="2">
        <v>45412.172789351855</v>
      </c>
      <c r="D1399" s="2">
        <v>45412.760347222225</v>
      </c>
      <c r="E1399" s="2">
        <v>45412.802141203705</v>
      </c>
      <c r="F1399" s="3">
        <f t="shared" si="21"/>
        <v>0.62935185185051523</v>
      </c>
    </row>
    <row r="1400" spans="1:6" hidden="1">
      <c r="A1400" s="1" t="s">
        <v>1405</v>
      </c>
      <c r="B1400" s="2">
        <v>45412</v>
      </c>
      <c r="C1400" s="2">
        <v>45412.172789351855</v>
      </c>
      <c r="D1400" s="2">
        <v>45412.766643518517</v>
      </c>
      <c r="E1400" s="2">
        <v>45412.80841435185</v>
      </c>
      <c r="F1400" s="3">
        <f t="shared" si="21"/>
        <v>0.63562499999534339</v>
      </c>
    </row>
    <row r="1401" spans="1:6" hidden="1">
      <c r="A1401" s="1" t="s">
        <v>1406</v>
      </c>
      <c r="B1401" s="2">
        <v>45412</v>
      </c>
      <c r="C1401" s="2">
        <v>45412.172789351855</v>
      </c>
      <c r="D1401" s="2">
        <v>45412.772175925929</v>
      </c>
      <c r="E1401" s="2">
        <v>45412.814016203702</v>
      </c>
      <c r="F1401" s="3">
        <f t="shared" si="21"/>
        <v>0.64122685184702277</v>
      </c>
    </row>
    <row r="1402" spans="1:6" hidden="1">
      <c r="A1402" s="1" t="s">
        <v>1407</v>
      </c>
      <c r="B1402" s="2">
        <v>45408</v>
      </c>
      <c r="C1402" s="2">
        <v>45409.251898148148</v>
      </c>
      <c r="D1402" s="2">
        <v>45412.837916666664</v>
      </c>
      <c r="E1402" s="2">
        <v>45412.872164351851</v>
      </c>
      <c r="F1402" s="3">
        <f t="shared" si="21"/>
        <v>3.6202662037030677</v>
      </c>
    </row>
    <row r="1403" spans="1:6" hidden="1">
      <c r="A1403" s="1" t="s">
        <v>1408</v>
      </c>
      <c r="B1403" s="2">
        <v>45409</v>
      </c>
      <c r="C1403" s="2">
        <v>45410.731168981481</v>
      </c>
      <c r="D1403" s="2">
        <v>45412.873032407406</v>
      </c>
      <c r="E1403" s="2">
        <v>45412.892650462964</v>
      </c>
      <c r="F1403" s="3">
        <f t="shared" si="21"/>
        <v>2.161481481482042</v>
      </c>
    </row>
    <row r="1404" spans="1:6" hidden="1">
      <c r="A1404" s="1" t="s">
        <v>1409</v>
      </c>
      <c r="B1404" s="2">
        <v>45409</v>
      </c>
      <c r="C1404" s="2">
        <v>45410.731168981481</v>
      </c>
      <c r="D1404" s="2">
        <v>45412.891504629632</v>
      </c>
      <c r="E1404" s="2">
        <v>45413.37158564815</v>
      </c>
      <c r="F1404" s="3">
        <f t="shared" si="21"/>
        <v>2.640416666668898</v>
      </c>
    </row>
    <row r="1405" spans="1:6" hidden="1">
      <c r="A1405" s="1" t="s">
        <v>1410</v>
      </c>
      <c r="B1405" s="2">
        <v>45412</v>
      </c>
      <c r="C1405" s="2">
        <v>45412.172789351855</v>
      </c>
      <c r="D1405" s="2">
        <v>45413.395266203705</v>
      </c>
      <c r="E1405" s="2">
        <v>45413.41128472222</v>
      </c>
      <c r="F1405" s="3">
        <f t="shared" si="21"/>
        <v>1.2384953703658539</v>
      </c>
    </row>
    <row r="1406" spans="1:6" hidden="1">
      <c r="A1406" s="1" t="s">
        <v>1411</v>
      </c>
      <c r="B1406" s="2">
        <v>45412</v>
      </c>
      <c r="C1406" s="2">
        <v>45413.446805555555</v>
      </c>
      <c r="D1406" s="2">
        <v>45413.477893518517</v>
      </c>
      <c r="E1406" s="2">
        <v>45413.747511574074</v>
      </c>
      <c r="F1406" s="3">
        <f t="shared" si="21"/>
        <v>0.30070601851912215</v>
      </c>
    </row>
    <row r="1407" spans="1:6" hidden="1">
      <c r="A1407" s="1" t="s">
        <v>1412</v>
      </c>
      <c r="B1407" s="2">
        <v>45412</v>
      </c>
      <c r="C1407" s="2">
        <v>45412.305439814816</v>
      </c>
      <c r="D1407" s="2">
        <v>45413.609016203707</v>
      </c>
      <c r="E1407" s="2">
        <v>45413.652650462966</v>
      </c>
      <c r="F1407" s="3">
        <f t="shared" si="21"/>
        <v>1.3472106481494848</v>
      </c>
    </row>
    <row r="1408" spans="1:6" hidden="1">
      <c r="A1408" s="1" t="s">
        <v>179</v>
      </c>
      <c r="B1408" s="2">
        <v>45414</v>
      </c>
      <c r="C1408" s="2">
        <v>45413.310185185182</v>
      </c>
      <c r="D1408" s="2">
        <v>45413.744467592594</v>
      </c>
      <c r="E1408" s="2">
        <v>45413.745081018518</v>
      </c>
      <c r="F1408" s="3">
        <f t="shared" si="21"/>
        <v>0.43489583333575865</v>
      </c>
    </row>
    <row r="1409" spans="1:6" hidden="1">
      <c r="A1409" s="1" t="s">
        <v>1413</v>
      </c>
      <c r="B1409" s="2">
        <v>45411</v>
      </c>
      <c r="C1409" s="2">
        <v>45412.830208333333</v>
      </c>
      <c r="D1409" s="2">
        <v>45413.805925925924</v>
      </c>
      <c r="E1409" s="2">
        <v>45413.83861111111</v>
      </c>
      <c r="F1409" s="3">
        <f t="shared" si="21"/>
        <v>1.0084027777775191</v>
      </c>
    </row>
    <row r="1410" spans="1:6" hidden="1">
      <c r="A1410" s="1" t="s">
        <v>1414</v>
      </c>
      <c r="B1410" s="2">
        <v>45412</v>
      </c>
      <c r="C1410" s="2">
        <v>45414.247835648152</v>
      </c>
      <c r="D1410" s="2">
        <v>45414.472395833334</v>
      </c>
      <c r="E1410" s="2">
        <v>45414.652916666666</v>
      </c>
      <c r="F1410" s="3">
        <f t="shared" si="21"/>
        <v>0.40508101851446554</v>
      </c>
    </row>
    <row r="1411" spans="1:6" hidden="1">
      <c r="A1411" s="1" t="s">
        <v>1415</v>
      </c>
      <c r="B1411" s="2">
        <v>45411</v>
      </c>
      <c r="C1411" s="2">
        <v>45410.01903935185</v>
      </c>
      <c r="D1411" s="2">
        <v>45414.504803240743</v>
      </c>
      <c r="E1411" s="2">
        <v>45414.546527777777</v>
      </c>
      <c r="F1411" s="3">
        <f t="shared" ref="F1411:F1474" si="22">E1411-C1411</f>
        <v>4.5274884259270038</v>
      </c>
    </row>
    <row r="1412" spans="1:6" hidden="1">
      <c r="A1412" s="1" t="s">
        <v>1416</v>
      </c>
      <c r="B1412" s="2">
        <v>45413</v>
      </c>
      <c r="C1412" s="2">
        <v>45413.536307870374</v>
      </c>
      <c r="D1412" s="2">
        <v>45414.631111111114</v>
      </c>
      <c r="E1412" s="2">
        <v>45414.672997685186</v>
      </c>
      <c r="F1412" s="3">
        <f t="shared" si="22"/>
        <v>1.1366898148116888</v>
      </c>
    </row>
    <row r="1413" spans="1:6" hidden="1">
      <c r="A1413" s="1" t="s">
        <v>1417</v>
      </c>
      <c r="B1413" s="2">
        <v>45412</v>
      </c>
      <c r="C1413" s="2">
        <v>45414.937592592592</v>
      </c>
      <c r="D1413" s="2">
        <v>45414.747442129628</v>
      </c>
      <c r="E1413" s="2">
        <v>45414.771678240744</v>
      </c>
      <c r="F1413" s="6" t="s">
        <v>1708</v>
      </c>
    </row>
    <row r="1414" spans="1:6" hidden="1">
      <c r="A1414" s="1" t="s">
        <v>1418</v>
      </c>
      <c r="B1414" s="2">
        <v>45412</v>
      </c>
      <c r="C1414" s="2">
        <v>45414.247858796298</v>
      </c>
      <c r="D1414" s="2">
        <v>45414.673819444448</v>
      </c>
      <c r="E1414" s="2">
        <v>45414.675543981481</v>
      </c>
      <c r="F1414" s="3">
        <f t="shared" si="22"/>
        <v>0.42768518518278142</v>
      </c>
    </row>
    <row r="1415" spans="1:6" hidden="1">
      <c r="A1415" s="1" t="s">
        <v>1419</v>
      </c>
      <c r="B1415" s="2">
        <v>45413</v>
      </c>
      <c r="C1415" s="2">
        <v>45414.247847222221</v>
      </c>
      <c r="D1415" s="2">
        <v>45414.731226851851</v>
      </c>
      <c r="E1415" s="2">
        <v>45414.773159722223</v>
      </c>
      <c r="F1415" s="3">
        <f t="shared" si="22"/>
        <v>0.52531250000174623</v>
      </c>
    </row>
    <row r="1416" spans="1:6" hidden="1">
      <c r="A1416" s="1" t="s">
        <v>1420</v>
      </c>
      <c r="B1416" s="2">
        <v>45413</v>
      </c>
      <c r="C1416" s="2">
        <v>45413.722962962966</v>
      </c>
      <c r="D1416" s="2">
        <v>45414.793819444443</v>
      </c>
      <c r="E1416" s="2">
        <v>45414.829525462963</v>
      </c>
      <c r="F1416" s="3">
        <f t="shared" si="22"/>
        <v>1.1065624999973807</v>
      </c>
    </row>
    <row r="1417" spans="1:6" hidden="1">
      <c r="A1417" s="1" t="s">
        <v>1421</v>
      </c>
      <c r="B1417" s="2">
        <v>45409</v>
      </c>
      <c r="C1417" s="2">
        <v>45410.731168981481</v>
      </c>
      <c r="D1417" s="2">
        <v>45414.81009259259</v>
      </c>
      <c r="E1417" s="2">
        <v>45414.851863425924</v>
      </c>
      <c r="F1417" s="3">
        <f t="shared" si="22"/>
        <v>4.1206944444420515</v>
      </c>
    </row>
    <row r="1418" spans="1:6" hidden="1">
      <c r="A1418" s="1" t="s">
        <v>1422</v>
      </c>
      <c r="B1418" s="2">
        <v>45410</v>
      </c>
      <c r="C1418" s="2">
        <v>45411.736307870371</v>
      </c>
      <c r="D1418" s="2">
        <v>45414.815266203703</v>
      </c>
      <c r="E1418" s="2">
        <v>45414.857118055559</v>
      </c>
      <c r="F1418" s="3">
        <f t="shared" si="22"/>
        <v>3.1208101851880201</v>
      </c>
    </row>
    <row r="1419" spans="1:6" hidden="1">
      <c r="A1419" s="1" t="s">
        <v>1423</v>
      </c>
      <c r="B1419" s="2">
        <v>45412</v>
      </c>
      <c r="C1419" s="2">
        <v>45414.247858796298</v>
      </c>
      <c r="D1419" s="2">
        <v>45414.860972222225</v>
      </c>
      <c r="E1419" s="2">
        <v>45414.886365740742</v>
      </c>
      <c r="F1419" s="3">
        <f t="shared" si="22"/>
        <v>0.63850694444408873</v>
      </c>
    </row>
    <row r="1420" spans="1:6" hidden="1">
      <c r="A1420" s="1" t="s">
        <v>1424</v>
      </c>
      <c r="B1420" s="2">
        <v>45412</v>
      </c>
      <c r="C1420" s="2">
        <v>45413.762662037036</v>
      </c>
      <c r="D1420" s="2">
        <v>45414.872094907405</v>
      </c>
      <c r="E1420" s="2">
        <v>45414.913923611108</v>
      </c>
      <c r="F1420" s="3">
        <f t="shared" si="22"/>
        <v>1.151261574072123</v>
      </c>
    </row>
    <row r="1421" spans="1:6" hidden="1">
      <c r="A1421" s="1" t="s">
        <v>1425</v>
      </c>
      <c r="B1421" s="2">
        <v>45413</v>
      </c>
      <c r="C1421" s="2">
        <v>45413.536307870374</v>
      </c>
      <c r="D1421" s="2">
        <v>45414.918217592596</v>
      </c>
      <c r="E1421" s="2">
        <v>45414.960046296299</v>
      </c>
      <c r="F1421" s="3">
        <f t="shared" si="22"/>
        <v>1.4237384259249666</v>
      </c>
    </row>
    <row r="1422" spans="1:6" hidden="1">
      <c r="A1422" s="1" t="s">
        <v>1426</v>
      </c>
      <c r="B1422" s="2">
        <v>45413</v>
      </c>
      <c r="C1422" s="2">
        <v>45414.247847222221</v>
      </c>
      <c r="D1422" s="2">
        <v>45415.002245370371</v>
      </c>
      <c r="E1422" s="2">
        <v>45415.043969907405</v>
      </c>
      <c r="F1422" s="3">
        <f t="shared" si="22"/>
        <v>0.79612268518394558</v>
      </c>
    </row>
    <row r="1423" spans="1:6" hidden="1">
      <c r="A1423" s="1" t="s">
        <v>1427</v>
      </c>
      <c r="B1423" s="2">
        <v>45413</v>
      </c>
      <c r="C1423" s="2">
        <v>45414.247847222221</v>
      </c>
      <c r="D1423" s="2">
        <v>45415.010104166664</v>
      </c>
      <c r="E1423" s="2">
        <v>45415.051979166667</v>
      </c>
      <c r="F1423" s="3">
        <f t="shared" si="22"/>
        <v>0.80413194444554392</v>
      </c>
    </row>
    <row r="1424" spans="1:6" hidden="1">
      <c r="A1424" s="1" t="s">
        <v>1428</v>
      </c>
      <c r="B1424" s="2">
        <v>45413</v>
      </c>
      <c r="C1424" s="2">
        <v>45414.247858796298</v>
      </c>
      <c r="D1424" s="2">
        <v>45415.02783564815</v>
      </c>
      <c r="E1424" s="2">
        <v>45415.275150462963</v>
      </c>
      <c r="F1424" s="3">
        <f t="shared" si="22"/>
        <v>1.0272916666654055</v>
      </c>
    </row>
    <row r="1425" spans="1:6" hidden="1">
      <c r="A1425" s="1" t="s">
        <v>1429</v>
      </c>
      <c r="B1425" s="2">
        <v>45413</v>
      </c>
      <c r="C1425" s="2">
        <v>45414.247858796298</v>
      </c>
      <c r="D1425" s="2">
        <v>45415.08384259259</v>
      </c>
      <c r="E1425" s="2">
        <v>45415.125821759262</v>
      </c>
      <c r="F1425" s="3">
        <f t="shared" si="22"/>
        <v>0.87796296296437504</v>
      </c>
    </row>
    <row r="1426" spans="1:6" hidden="1">
      <c r="A1426" s="1" t="s">
        <v>1430</v>
      </c>
      <c r="B1426" s="2">
        <v>45413</v>
      </c>
      <c r="C1426" s="2">
        <v>45414.247858796298</v>
      </c>
      <c r="D1426" s="2">
        <v>45415.089363425926</v>
      </c>
      <c r="E1426" s="2">
        <v>45415.131192129629</v>
      </c>
      <c r="F1426" s="3">
        <f t="shared" si="22"/>
        <v>0.88333333333139308</v>
      </c>
    </row>
    <row r="1427" spans="1:6" hidden="1">
      <c r="A1427" s="1" t="s">
        <v>1431</v>
      </c>
      <c r="B1427" s="2">
        <v>45413</v>
      </c>
      <c r="C1427" s="2">
        <v>45414.247858796298</v>
      </c>
      <c r="D1427" s="2">
        <v>45415.097025462965</v>
      </c>
      <c r="E1427" s="2">
        <v>45415.256574074076</v>
      </c>
      <c r="F1427" s="3">
        <f t="shared" si="22"/>
        <v>1.0087152777778101</v>
      </c>
    </row>
    <row r="1428" spans="1:6" hidden="1">
      <c r="A1428" s="1" t="s">
        <v>1432</v>
      </c>
      <c r="B1428" s="2">
        <v>45413</v>
      </c>
      <c r="C1428" s="2">
        <v>45414.247858796298</v>
      </c>
      <c r="D1428" s="2">
        <v>45415.116736111115</v>
      </c>
      <c r="E1428" s="2">
        <v>45415.158668981479</v>
      </c>
      <c r="F1428" s="3">
        <f t="shared" si="22"/>
        <v>0.91081018518161727</v>
      </c>
    </row>
    <row r="1429" spans="1:6" hidden="1">
      <c r="A1429" s="1" t="s">
        <v>1433</v>
      </c>
      <c r="B1429" s="2">
        <v>45413</v>
      </c>
      <c r="C1429" s="2">
        <v>45414.247858796298</v>
      </c>
      <c r="D1429" s="2">
        <v>45415.14334490741</v>
      </c>
      <c r="E1429" s="2">
        <v>45415.185335648152</v>
      </c>
      <c r="F1429" s="3">
        <f t="shared" si="22"/>
        <v>0.93747685185371665</v>
      </c>
    </row>
    <row r="1430" spans="1:6">
      <c r="A1430" s="1" t="s">
        <v>1434</v>
      </c>
      <c r="B1430" s="2">
        <v>45413</v>
      </c>
      <c r="C1430" s="2">
        <v>45414.247858796298</v>
      </c>
      <c r="D1430" s="2">
        <v>45419.706944444442</v>
      </c>
      <c r="E1430" s="2">
        <v>45419.757638888892</v>
      </c>
      <c r="F1430" s="3">
        <f t="shared" si="22"/>
        <v>5.5097800925941556</v>
      </c>
    </row>
    <row r="1431" spans="1:6" hidden="1">
      <c r="A1431" s="1" t="s">
        <v>1435</v>
      </c>
      <c r="B1431" s="2">
        <v>45413</v>
      </c>
      <c r="C1431" s="2">
        <v>45414.247858796298</v>
      </c>
      <c r="D1431" s="2">
        <v>45415.167187500003</v>
      </c>
      <c r="E1431" s="2">
        <v>45415.208993055552</v>
      </c>
      <c r="F1431" s="3">
        <f t="shared" si="22"/>
        <v>0.96113425925432239</v>
      </c>
    </row>
    <row r="1432" spans="1:6" hidden="1">
      <c r="A1432" s="1" t="s">
        <v>1436</v>
      </c>
      <c r="B1432" s="2">
        <v>45413</v>
      </c>
      <c r="C1432" s="2">
        <v>45414.247858796298</v>
      </c>
      <c r="D1432" s="2">
        <v>45415.177083333336</v>
      </c>
      <c r="E1432" s="2">
        <v>45415.218888888892</v>
      </c>
      <c r="F1432" s="3">
        <f t="shared" si="22"/>
        <v>0.97103009259444661</v>
      </c>
    </row>
    <row r="1433" spans="1:6" hidden="1">
      <c r="A1433" s="1" t="s">
        <v>1437</v>
      </c>
      <c r="B1433" s="2">
        <v>45413</v>
      </c>
      <c r="C1433" s="2">
        <v>45414.247858796298</v>
      </c>
      <c r="D1433" s="2">
        <v>45415.187557870369</v>
      </c>
      <c r="E1433" s="2">
        <v>45415.273611111108</v>
      </c>
      <c r="F1433" s="3">
        <f t="shared" si="22"/>
        <v>1.0257523148102337</v>
      </c>
    </row>
    <row r="1434" spans="1:6" hidden="1">
      <c r="A1434" s="1" t="s">
        <v>1438</v>
      </c>
      <c r="B1434" s="2">
        <v>45414</v>
      </c>
      <c r="C1434" s="2">
        <v>45415.168055555558</v>
      </c>
      <c r="D1434" s="2">
        <v>45415.19494212963</v>
      </c>
      <c r="E1434" s="2">
        <v>45415.236817129633</v>
      </c>
      <c r="F1434" s="3">
        <f t="shared" si="22"/>
        <v>6.8761574075324461E-2</v>
      </c>
    </row>
    <row r="1435" spans="1:6" hidden="1">
      <c r="A1435" s="1" t="s">
        <v>1439</v>
      </c>
      <c r="B1435" s="2">
        <v>45413</v>
      </c>
      <c r="C1435" s="2">
        <v>45414.247858796298</v>
      </c>
      <c r="D1435" s="2">
        <v>45415.212569444448</v>
      </c>
      <c r="E1435" s="2">
        <v>45415.254467592589</v>
      </c>
      <c r="F1435" s="3">
        <f t="shared" si="22"/>
        <v>1.0066087962914025</v>
      </c>
    </row>
    <row r="1436" spans="1:6" hidden="1">
      <c r="A1436" s="1" t="s">
        <v>1440</v>
      </c>
      <c r="B1436" s="2">
        <v>45413</v>
      </c>
      <c r="C1436" s="2">
        <v>45415.527430555558</v>
      </c>
      <c r="D1436" s="2">
        <v>45415.371863425928</v>
      </c>
      <c r="E1436" s="2">
        <v>45415.397893518515</v>
      </c>
      <c r="F1436" s="6" t="s">
        <v>1708</v>
      </c>
    </row>
    <row r="1437" spans="1:6" hidden="1">
      <c r="A1437" s="1" t="s">
        <v>1441</v>
      </c>
      <c r="B1437" s="2">
        <v>45413</v>
      </c>
      <c r="C1437" s="2">
        <v>45415.14298611111</v>
      </c>
      <c r="D1437" s="2">
        <v>45415.379803240743</v>
      </c>
      <c r="E1437" s="2">
        <v>45415.421759259261</v>
      </c>
      <c r="F1437" s="3">
        <f t="shared" si="22"/>
        <v>0.278773148151231</v>
      </c>
    </row>
    <row r="1438" spans="1:6" hidden="1">
      <c r="A1438" s="1" t="s">
        <v>1442</v>
      </c>
      <c r="B1438" s="2">
        <v>45415</v>
      </c>
      <c r="C1438" s="2">
        <v>45415.168043981481</v>
      </c>
      <c r="D1438" s="2">
        <v>45415.395254629628</v>
      </c>
      <c r="E1438" s="2">
        <v>45415.4372337963</v>
      </c>
      <c r="F1438" s="3">
        <f t="shared" si="22"/>
        <v>0.26918981481867377</v>
      </c>
    </row>
    <row r="1439" spans="1:6" hidden="1">
      <c r="A1439" s="1" t="s">
        <v>1443</v>
      </c>
      <c r="B1439" s="2">
        <v>45415</v>
      </c>
      <c r="C1439" s="2">
        <v>45415.168032407404</v>
      </c>
      <c r="D1439" s="2">
        <v>45415.952638888892</v>
      </c>
      <c r="E1439" s="2">
        <v>45415.994456018518</v>
      </c>
      <c r="F1439" s="3">
        <f t="shared" si="22"/>
        <v>0.82642361111356877</v>
      </c>
    </row>
    <row r="1440" spans="1:6" hidden="1">
      <c r="A1440" s="1" t="s">
        <v>1444</v>
      </c>
      <c r="B1440" s="2">
        <v>45415</v>
      </c>
      <c r="C1440" s="2">
        <v>45415.168032407404</v>
      </c>
      <c r="D1440" s="2">
        <v>45415.406493055554</v>
      </c>
      <c r="E1440" s="2">
        <v>45415.448333333334</v>
      </c>
      <c r="F1440" s="3">
        <f t="shared" si="22"/>
        <v>0.28030092592962319</v>
      </c>
    </row>
    <row r="1441" spans="1:6" hidden="1">
      <c r="A1441" s="1" t="s">
        <v>1445</v>
      </c>
      <c r="B1441" s="2">
        <v>45415</v>
      </c>
      <c r="C1441" s="2">
        <v>45415.168020833335</v>
      </c>
      <c r="D1441" s="2">
        <v>45415.412280092591</v>
      </c>
      <c r="E1441" s="2">
        <v>45415.454201388886</v>
      </c>
      <c r="F1441" s="3">
        <f t="shared" si="22"/>
        <v>0.28618055555125466</v>
      </c>
    </row>
    <row r="1442" spans="1:6" hidden="1">
      <c r="A1442" s="1" t="s">
        <v>1446</v>
      </c>
      <c r="B1442" s="2">
        <v>45415</v>
      </c>
      <c r="C1442" s="2">
        <v>45415.168020833335</v>
      </c>
      <c r="D1442" s="2">
        <v>45415.418356481481</v>
      </c>
      <c r="E1442" s="2">
        <v>45415.460150462961</v>
      </c>
      <c r="F1442" s="3">
        <f t="shared" si="22"/>
        <v>0.29212962962628808</v>
      </c>
    </row>
    <row r="1443" spans="1:6" hidden="1">
      <c r="A1443" s="1" t="s">
        <v>1447</v>
      </c>
      <c r="B1443" s="2">
        <v>45415</v>
      </c>
      <c r="C1443" s="2">
        <v>45415.334872685184</v>
      </c>
      <c r="D1443" s="2">
        <v>45415.43482638889</v>
      </c>
      <c r="E1443" s="2">
        <v>45415.476747685185</v>
      </c>
      <c r="F1443" s="3">
        <f t="shared" si="22"/>
        <v>0.14187500000116415</v>
      </c>
    </row>
    <row r="1444" spans="1:6" hidden="1">
      <c r="A1444" s="1" t="s">
        <v>1448</v>
      </c>
      <c r="B1444" s="2">
        <v>45409</v>
      </c>
      <c r="C1444" s="2">
        <v>45410.459976851853</v>
      </c>
      <c r="D1444" s="2">
        <v>45415.467951388891</v>
      </c>
      <c r="E1444" s="2">
        <v>45415.545543981483</v>
      </c>
      <c r="F1444" s="3">
        <f t="shared" si="22"/>
        <v>5.0855671296303626</v>
      </c>
    </row>
    <row r="1445" spans="1:6" hidden="1">
      <c r="A1445" s="1" t="s">
        <v>1449</v>
      </c>
      <c r="B1445" s="2">
        <v>45413</v>
      </c>
      <c r="C1445" s="2">
        <v>45414.676145833335</v>
      </c>
      <c r="D1445" s="2">
        <v>45415.486400462964</v>
      </c>
      <c r="E1445" s="2">
        <v>45415.509502314817</v>
      </c>
      <c r="F1445" s="3">
        <f t="shared" si="22"/>
        <v>0.833356481482042</v>
      </c>
    </row>
    <row r="1446" spans="1:6" hidden="1">
      <c r="A1446" s="1" t="s">
        <v>1450</v>
      </c>
      <c r="B1446" s="2">
        <v>45412</v>
      </c>
      <c r="C1446" s="2">
        <v>45414.247858796298</v>
      </c>
      <c r="D1446" s="2">
        <v>45415.558981481481</v>
      </c>
      <c r="E1446" s="2">
        <v>45415.559745370374</v>
      </c>
      <c r="F1446" s="3">
        <f t="shared" si="22"/>
        <v>1.3118865740761976</v>
      </c>
    </row>
    <row r="1447" spans="1:6" hidden="1">
      <c r="A1447" s="1" t="s">
        <v>1451</v>
      </c>
      <c r="B1447" s="2">
        <v>45410</v>
      </c>
      <c r="C1447" s="2">
        <v>45411.132256944446</v>
      </c>
      <c r="D1447" s="2">
        <v>45415.598136574074</v>
      </c>
      <c r="E1447" s="2">
        <v>45415.615671296298</v>
      </c>
      <c r="F1447" s="3">
        <f t="shared" si="22"/>
        <v>4.4834143518528435</v>
      </c>
    </row>
    <row r="1448" spans="1:6" hidden="1">
      <c r="A1448" s="1" t="s">
        <v>1452</v>
      </c>
      <c r="B1448" s="2">
        <v>45410</v>
      </c>
      <c r="C1448" s="2">
        <v>45411.736307870371</v>
      </c>
      <c r="D1448" s="2">
        <v>45415.600532407407</v>
      </c>
      <c r="E1448" s="2">
        <v>45415.614340277774</v>
      </c>
      <c r="F1448" s="3">
        <f t="shared" si="22"/>
        <v>3.8780324074032251</v>
      </c>
    </row>
    <row r="1449" spans="1:6" hidden="1">
      <c r="A1449" s="1" t="s">
        <v>1453</v>
      </c>
      <c r="B1449" s="2">
        <v>45412</v>
      </c>
      <c r="C1449" s="2">
        <v>45414.320347222223</v>
      </c>
      <c r="D1449" s="2">
        <v>45415.732141203705</v>
      </c>
      <c r="E1449" s="2">
        <v>45415.88826388889</v>
      </c>
      <c r="F1449" s="3">
        <f t="shared" si="22"/>
        <v>1.5679166666668607</v>
      </c>
    </row>
    <row r="1450" spans="1:6" hidden="1">
      <c r="A1450" s="1" t="s">
        <v>1454</v>
      </c>
      <c r="B1450" s="2">
        <v>45415</v>
      </c>
      <c r="C1450" s="2">
        <v>45416.24019675926</v>
      </c>
      <c r="D1450" s="2">
        <v>45416.023043981484</v>
      </c>
      <c r="E1450" s="2">
        <v>45416.276458333334</v>
      </c>
      <c r="F1450" s="3">
        <f t="shared" si="22"/>
        <v>3.6261574074160308E-2</v>
      </c>
    </row>
    <row r="1451" spans="1:6" hidden="1">
      <c r="A1451" s="1" t="s">
        <v>1455</v>
      </c>
      <c r="B1451" s="2">
        <v>45415</v>
      </c>
      <c r="C1451" s="2">
        <v>45415.168020833335</v>
      </c>
      <c r="D1451" s="2">
        <v>45415.961180555554</v>
      </c>
      <c r="E1451" s="2">
        <v>45416.002951388888</v>
      </c>
      <c r="F1451" s="3">
        <f t="shared" si="22"/>
        <v>0.83493055555300089</v>
      </c>
    </row>
    <row r="1452" spans="1:6" hidden="1">
      <c r="A1452" s="1" t="s">
        <v>1456</v>
      </c>
      <c r="B1452" s="2">
        <v>45415</v>
      </c>
      <c r="C1452" s="2">
        <v>45415.168009259258</v>
      </c>
      <c r="D1452" s="2">
        <v>45415.966064814813</v>
      </c>
      <c r="E1452" s="2">
        <v>45416.256805555553</v>
      </c>
      <c r="F1452" s="3">
        <f t="shared" si="22"/>
        <v>1.088796296295186</v>
      </c>
    </row>
    <row r="1453" spans="1:6" hidden="1">
      <c r="A1453" s="1" t="s">
        <v>1457</v>
      </c>
      <c r="B1453" s="2">
        <v>45415</v>
      </c>
      <c r="C1453" s="2">
        <v>45416.240243055552</v>
      </c>
      <c r="D1453" s="2">
        <v>45416.008923611109</v>
      </c>
      <c r="E1453" s="2">
        <v>45416.276400462964</v>
      </c>
      <c r="F1453" s="3">
        <f t="shared" si="22"/>
        <v>3.6157407412247267E-2</v>
      </c>
    </row>
    <row r="1454" spans="1:6" hidden="1">
      <c r="A1454" s="1" t="s">
        <v>1458</v>
      </c>
      <c r="B1454" s="2">
        <v>45415</v>
      </c>
      <c r="C1454" s="2">
        <v>45415.168032407404</v>
      </c>
      <c r="D1454" s="2">
        <v>45415.977326388886</v>
      </c>
      <c r="E1454" s="2">
        <v>45416.265856481485</v>
      </c>
      <c r="F1454" s="3">
        <f t="shared" si="22"/>
        <v>1.0978240740805632</v>
      </c>
    </row>
    <row r="1455" spans="1:6" hidden="1">
      <c r="A1455" s="1" t="s">
        <v>1459</v>
      </c>
      <c r="B1455" s="2">
        <v>45415</v>
      </c>
      <c r="C1455" s="2">
        <v>45415.168032407404</v>
      </c>
      <c r="D1455" s="2">
        <v>45415.985543981478</v>
      </c>
      <c r="E1455" s="2">
        <v>45416.027326388888</v>
      </c>
      <c r="F1455" s="3">
        <f t="shared" si="22"/>
        <v>0.85929398148437031</v>
      </c>
    </row>
    <row r="1456" spans="1:6" hidden="1">
      <c r="A1456" s="1" t="s">
        <v>1460</v>
      </c>
      <c r="B1456" s="2">
        <v>45415</v>
      </c>
      <c r="C1456" s="2">
        <v>45415.168032407404</v>
      </c>
      <c r="D1456" s="2">
        <v>45415.989236111112</v>
      </c>
      <c r="E1456" s="2">
        <v>45416.030949074076</v>
      </c>
      <c r="F1456" s="3">
        <f t="shared" si="22"/>
        <v>0.86291666667239042</v>
      </c>
    </row>
    <row r="1457" spans="1:6">
      <c r="A1457" s="1" t="s">
        <v>1461</v>
      </c>
      <c r="B1457" s="2">
        <v>45415</v>
      </c>
      <c r="C1457" s="2">
        <v>45416.22152777778</v>
      </c>
      <c r="D1457" s="2">
        <v>45416.654733796298</v>
      </c>
      <c r="E1457" s="2">
        <v>45419.505486111113</v>
      </c>
      <c r="F1457" s="3">
        <f t="shared" si="22"/>
        <v>3.2839583333334303</v>
      </c>
    </row>
    <row r="1458" spans="1:6" hidden="1">
      <c r="A1458" s="1" t="s">
        <v>1462</v>
      </c>
      <c r="B1458" s="2">
        <v>45415</v>
      </c>
      <c r="C1458" s="2">
        <v>45415.168032407404</v>
      </c>
      <c r="D1458" s="2">
        <v>45415.999803240738</v>
      </c>
      <c r="E1458" s="2">
        <v>45416.293958333335</v>
      </c>
      <c r="F1458" s="3">
        <f t="shared" si="22"/>
        <v>1.1259259259313694</v>
      </c>
    </row>
    <row r="1459" spans="1:6" hidden="1">
      <c r="A1459" s="1" t="s">
        <v>1463</v>
      </c>
      <c r="B1459" s="2">
        <v>45415</v>
      </c>
      <c r="C1459" s="2">
        <v>45415.334872685184</v>
      </c>
      <c r="D1459" s="2">
        <v>45416.005416666667</v>
      </c>
      <c r="E1459" s="2">
        <v>45416.047164351854</v>
      </c>
      <c r="F1459" s="3">
        <f t="shared" si="22"/>
        <v>0.71229166667035315</v>
      </c>
    </row>
    <row r="1460" spans="1:6" hidden="1">
      <c r="A1460" s="1" t="s">
        <v>1464</v>
      </c>
      <c r="B1460" s="2">
        <v>45415</v>
      </c>
      <c r="C1460" s="2">
        <v>45415.168032407404</v>
      </c>
      <c r="D1460" s="2">
        <v>45416.011747685188</v>
      </c>
      <c r="E1460" s="2">
        <v>45416.053472222222</v>
      </c>
      <c r="F1460" s="3">
        <f t="shared" si="22"/>
        <v>0.88543981481780065</v>
      </c>
    </row>
    <row r="1461" spans="1:6" hidden="1">
      <c r="A1461" s="1" t="s">
        <v>1465</v>
      </c>
      <c r="B1461" s="2">
        <v>45416</v>
      </c>
      <c r="C1461" s="2">
        <v>45417.464224537034</v>
      </c>
      <c r="D1461" s="2">
        <v>45417.42015046296</v>
      </c>
      <c r="E1461" s="2">
        <v>45417.442245370374</v>
      </c>
      <c r="F1461" s="6" t="s">
        <v>1708</v>
      </c>
    </row>
    <row r="1462" spans="1:6" hidden="1">
      <c r="A1462" s="1" t="s">
        <v>1466</v>
      </c>
      <c r="B1462" s="2">
        <v>45416</v>
      </c>
      <c r="C1462" s="2">
        <v>45417.393819444442</v>
      </c>
      <c r="D1462" s="2">
        <v>45417.445543981485</v>
      </c>
      <c r="E1462" s="2">
        <v>45417.487326388888</v>
      </c>
      <c r="F1462" s="3">
        <f t="shared" si="22"/>
        <v>9.3506944445834961E-2</v>
      </c>
    </row>
    <row r="1463" spans="1:6" hidden="1">
      <c r="A1463" s="1" t="s">
        <v>1467</v>
      </c>
      <c r="B1463" s="2">
        <v>45416</v>
      </c>
      <c r="C1463" s="2">
        <v>45417.449479166666</v>
      </c>
      <c r="D1463" s="2">
        <v>45417.458969907406</v>
      </c>
      <c r="E1463" s="2">
        <v>45417.755115740743</v>
      </c>
      <c r="F1463" s="3">
        <f t="shared" si="22"/>
        <v>0.30563657407765277</v>
      </c>
    </row>
    <row r="1464" spans="1:6" hidden="1">
      <c r="A1464" s="1" t="s">
        <v>1468</v>
      </c>
      <c r="B1464" s="2">
        <v>45416</v>
      </c>
      <c r="C1464" s="2">
        <v>45417.449479166666</v>
      </c>
      <c r="D1464" s="2">
        <v>45417.462789351855</v>
      </c>
      <c r="E1464" s="2">
        <v>45417.756712962961</v>
      </c>
      <c r="F1464" s="3">
        <f t="shared" si="22"/>
        <v>0.307233796294895</v>
      </c>
    </row>
    <row r="1465" spans="1:6" hidden="1">
      <c r="A1465" s="1" t="s">
        <v>1469</v>
      </c>
      <c r="B1465" s="2">
        <v>45413</v>
      </c>
      <c r="C1465" s="2">
        <v>45414.247858796298</v>
      </c>
      <c r="D1465" s="2">
        <v>45417.470659722225</v>
      </c>
      <c r="E1465" s="2">
        <v>45417.512465277781</v>
      </c>
      <c r="F1465" s="3">
        <f t="shared" si="22"/>
        <v>3.2646064814834972</v>
      </c>
    </row>
    <row r="1466" spans="1:6" hidden="1">
      <c r="A1466" s="1" t="s">
        <v>1470</v>
      </c>
      <c r="B1466" s="2">
        <v>45414</v>
      </c>
      <c r="C1466" s="2">
        <v>45415.264814814815</v>
      </c>
      <c r="D1466" s="2">
        <v>45417.48332175926</v>
      </c>
      <c r="E1466" s="2">
        <v>45417.52511574074</v>
      </c>
      <c r="F1466" s="3">
        <f t="shared" si="22"/>
        <v>2.2603009259255487</v>
      </c>
    </row>
    <row r="1467" spans="1:6" hidden="1">
      <c r="A1467" s="1" t="s">
        <v>1471</v>
      </c>
      <c r="B1467" s="2">
        <v>45416</v>
      </c>
      <c r="C1467" s="2">
        <v>45417.725659722222</v>
      </c>
      <c r="D1467" s="2">
        <v>45417.509467592594</v>
      </c>
      <c r="E1467" s="2">
        <v>45417.551435185182</v>
      </c>
      <c r="F1467" s="6" t="s">
        <v>1708</v>
      </c>
    </row>
    <row r="1468" spans="1:6" hidden="1">
      <c r="A1468" s="1" t="s">
        <v>1472</v>
      </c>
      <c r="B1468" s="2">
        <v>45412</v>
      </c>
      <c r="C1468" s="2">
        <v>45413.82849537037</v>
      </c>
      <c r="D1468" s="2">
        <v>45417.642546296294</v>
      </c>
      <c r="E1468" s="2">
        <v>45417.661990740744</v>
      </c>
      <c r="F1468" s="3">
        <f t="shared" si="22"/>
        <v>3.833495370374294</v>
      </c>
    </row>
    <row r="1469" spans="1:6" hidden="1">
      <c r="A1469" s="1" t="s">
        <v>1473</v>
      </c>
      <c r="B1469" s="2">
        <v>45416</v>
      </c>
      <c r="C1469" s="2">
        <v>45417.39371527778</v>
      </c>
      <c r="D1469" s="2">
        <v>45417.656469907408</v>
      </c>
      <c r="E1469" s="2">
        <v>45417.698171296295</v>
      </c>
      <c r="F1469" s="3">
        <f t="shared" si="22"/>
        <v>0.30445601851533866</v>
      </c>
    </row>
    <row r="1470" spans="1:6" hidden="1">
      <c r="A1470" s="1" t="s">
        <v>1474</v>
      </c>
      <c r="B1470" s="2">
        <v>45416</v>
      </c>
      <c r="C1470" s="2">
        <v>45417.393807870372</v>
      </c>
      <c r="D1470" s="2">
        <v>45417.667557870373</v>
      </c>
      <c r="E1470" s="2">
        <v>45417.709293981483</v>
      </c>
      <c r="F1470" s="3">
        <f t="shared" si="22"/>
        <v>0.31548611111065838</v>
      </c>
    </row>
    <row r="1471" spans="1:6" hidden="1">
      <c r="A1471" s="1" t="s">
        <v>1475</v>
      </c>
      <c r="B1471" s="2">
        <v>45416</v>
      </c>
      <c r="C1471" s="2">
        <v>45417.39371527778</v>
      </c>
      <c r="D1471" s="2">
        <v>45417.671620370369</v>
      </c>
      <c r="E1471" s="2">
        <v>45417.713495370372</v>
      </c>
      <c r="F1471" s="3">
        <f t="shared" si="22"/>
        <v>0.31978009259182727</v>
      </c>
    </row>
    <row r="1472" spans="1:6">
      <c r="A1472" s="1" t="s">
        <v>1476</v>
      </c>
      <c r="B1472" s="2">
        <v>45416</v>
      </c>
      <c r="C1472" s="2">
        <v>45418.474826388891</v>
      </c>
      <c r="D1472" s="2">
        <v>45418.320543981485</v>
      </c>
      <c r="E1472" s="2">
        <v>45418.362291666665</v>
      </c>
      <c r="F1472" s="6" t="s">
        <v>1708</v>
      </c>
    </row>
    <row r="1473" spans="1:6" hidden="1">
      <c r="A1473" s="1" t="s">
        <v>1477</v>
      </c>
      <c r="B1473" s="2">
        <v>45417</v>
      </c>
      <c r="C1473" s="2">
        <v>45417.723067129627</v>
      </c>
      <c r="D1473" s="2">
        <v>45417.727372685185</v>
      </c>
      <c r="E1473" s="2">
        <v>45417.769375000003</v>
      </c>
      <c r="F1473" s="3">
        <f t="shared" si="22"/>
        <v>4.6307870376040228E-2</v>
      </c>
    </row>
    <row r="1474" spans="1:6" hidden="1">
      <c r="A1474" s="1" t="s">
        <v>1478</v>
      </c>
      <c r="B1474" s="2">
        <v>45414</v>
      </c>
      <c r="C1474" s="2">
        <v>45415.264803240738</v>
      </c>
      <c r="D1474" s="2">
        <v>45417.809432870374</v>
      </c>
      <c r="E1474" s="2">
        <v>45417.818113425928</v>
      </c>
      <c r="F1474" s="3">
        <f t="shared" si="22"/>
        <v>2.5533101851906395</v>
      </c>
    </row>
    <row r="1475" spans="1:6" hidden="1">
      <c r="A1475" s="1" t="s">
        <v>1479</v>
      </c>
      <c r="B1475" s="2">
        <v>45417</v>
      </c>
      <c r="C1475" s="2">
        <v>45417.302534722221</v>
      </c>
      <c r="D1475" s="2">
        <v>45417.835995370369</v>
      </c>
      <c r="E1475" s="2">
        <v>45417.87777777778</v>
      </c>
      <c r="F1475" s="3">
        <f t="shared" ref="F1475:F1538" si="23">E1475-C1475</f>
        <v>0.57524305555853061</v>
      </c>
    </row>
    <row r="1476" spans="1:6" hidden="1">
      <c r="A1476" s="1" t="s">
        <v>1480</v>
      </c>
      <c r="B1476" s="2">
        <v>45417</v>
      </c>
      <c r="C1476" s="2">
        <v>45417.302534722221</v>
      </c>
      <c r="D1476" s="2">
        <v>45417.84107638889</v>
      </c>
      <c r="E1476" s="2">
        <v>45417.851446759261</v>
      </c>
      <c r="F1476" s="3">
        <f t="shared" si="23"/>
        <v>0.54891203704028158</v>
      </c>
    </row>
    <row r="1477" spans="1:6" hidden="1">
      <c r="A1477" s="1" t="s">
        <v>1481</v>
      </c>
      <c r="B1477" s="2">
        <v>45417</v>
      </c>
      <c r="C1477" s="2">
        <v>45417.302534722221</v>
      </c>
      <c r="D1477" s="2">
        <v>45417.850706018522</v>
      </c>
      <c r="E1477" s="2">
        <v>45417.867685185185</v>
      </c>
      <c r="F1477" s="3">
        <f t="shared" si="23"/>
        <v>0.565150462964084</v>
      </c>
    </row>
    <row r="1478" spans="1:6" hidden="1">
      <c r="A1478" s="1" t="s">
        <v>1482</v>
      </c>
      <c r="B1478" s="2">
        <v>45417</v>
      </c>
      <c r="C1478" s="2">
        <v>45417.302534722221</v>
      </c>
      <c r="D1478" s="2">
        <v>45417.859201388892</v>
      </c>
      <c r="E1478" s="2">
        <v>45417.885312500002</v>
      </c>
      <c r="F1478" s="3">
        <f t="shared" si="23"/>
        <v>0.58277777778130258</v>
      </c>
    </row>
    <row r="1479" spans="1:6" hidden="1">
      <c r="A1479" s="1" t="s">
        <v>1483</v>
      </c>
      <c r="B1479" s="2">
        <v>45417</v>
      </c>
      <c r="C1479" s="2">
        <v>45417.302534722221</v>
      </c>
      <c r="D1479" s="2">
        <v>45417.873414351852</v>
      </c>
      <c r="E1479" s="2">
        <v>45417.915231481478</v>
      </c>
      <c r="F1479" s="3">
        <f t="shared" si="23"/>
        <v>0.61269675925723277</v>
      </c>
    </row>
    <row r="1480" spans="1:6">
      <c r="A1480" s="1" t="s">
        <v>1484</v>
      </c>
      <c r="B1480" s="2">
        <v>45415</v>
      </c>
      <c r="C1480" s="2">
        <v>45415.334872685184</v>
      </c>
      <c r="D1480" s="2">
        <v>45417.925393518519</v>
      </c>
      <c r="E1480" s="2">
        <v>45418.273229166669</v>
      </c>
      <c r="F1480" s="3">
        <f t="shared" si="23"/>
        <v>2.9383564814852434</v>
      </c>
    </row>
    <row r="1481" spans="1:6">
      <c r="A1481" s="1" t="s">
        <v>1485</v>
      </c>
      <c r="B1481" s="2">
        <v>45416</v>
      </c>
      <c r="C1481" s="2">
        <v>45421.994027777779</v>
      </c>
      <c r="D1481" s="2">
        <v>45421.767407407409</v>
      </c>
      <c r="E1481" s="2">
        <v>45421.809178240743</v>
      </c>
      <c r="F1481" s="6" t="s">
        <v>1708</v>
      </c>
    </row>
    <row r="1482" spans="1:6">
      <c r="A1482" s="1" t="s">
        <v>1486</v>
      </c>
      <c r="B1482" s="2">
        <v>45418</v>
      </c>
      <c r="C1482" s="2">
        <v>45419.345543981479</v>
      </c>
      <c r="D1482" s="2">
        <v>45419.365023148152</v>
      </c>
      <c r="E1482" s="2">
        <v>45419.407094907408</v>
      </c>
      <c r="F1482" s="3">
        <f t="shared" si="23"/>
        <v>6.155092592962319E-2</v>
      </c>
    </row>
    <row r="1483" spans="1:6">
      <c r="A1483" s="1" t="s">
        <v>1487</v>
      </c>
      <c r="B1483" s="2">
        <v>45418</v>
      </c>
      <c r="C1483" s="2">
        <v>45419.345532407409</v>
      </c>
      <c r="D1483" s="2">
        <v>45419.369189814817</v>
      </c>
      <c r="E1483" s="2">
        <v>45419.411192129628</v>
      </c>
      <c r="F1483" s="3">
        <f t="shared" si="23"/>
        <v>6.5659722218697425E-2</v>
      </c>
    </row>
    <row r="1484" spans="1:6">
      <c r="A1484" s="1" t="s">
        <v>1488</v>
      </c>
      <c r="B1484" s="2">
        <v>45418</v>
      </c>
      <c r="C1484" s="2">
        <v>45419.19023148148</v>
      </c>
      <c r="D1484" s="2">
        <v>45419.372997685183</v>
      </c>
      <c r="E1484" s="2">
        <v>45419.415162037039</v>
      </c>
      <c r="F1484" s="3">
        <f t="shared" si="23"/>
        <v>0.22493055555969477</v>
      </c>
    </row>
    <row r="1485" spans="1:6">
      <c r="A1485" s="1" t="s">
        <v>1489</v>
      </c>
      <c r="B1485" s="2">
        <v>45418</v>
      </c>
      <c r="C1485" s="2">
        <v>45419.19023148148</v>
      </c>
      <c r="D1485" s="2">
        <v>45419.37736111111</v>
      </c>
      <c r="E1485" s="2">
        <v>45419.472430555557</v>
      </c>
      <c r="F1485" s="3">
        <f t="shared" si="23"/>
        <v>0.28219907407765277</v>
      </c>
    </row>
    <row r="1486" spans="1:6">
      <c r="A1486" s="1" t="s">
        <v>1490</v>
      </c>
      <c r="B1486" s="2">
        <v>45418</v>
      </c>
      <c r="C1486" s="2">
        <v>45419.190243055556</v>
      </c>
      <c r="D1486" s="2">
        <v>45419.384131944447</v>
      </c>
      <c r="E1486" s="2">
        <v>45419.426516203705</v>
      </c>
      <c r="F1486" s="3">
        <f t="shared" si="23"/>
        <v>0.23627314814802958</v>
      </c>
    </row>
    <row r="1487" spans="1:6">
      <c r="A1487" s="1" t="s">
        <v>1491</v>
      </c>
      <c r="B1487" s="2">
        <v>45418</v>
      </c>
      <c r="C1487" s="2">
        <v>45420.328379629631</v>
      </c>
      <c r="D1487" s="2">
        <v>45420.356261574074</v>
      </c>
      <c r="E1487" s="2">
        <v>45420.398229166669</v>
      </c>
      <c r="F1487" s="3">
        <f t="shared" si="23"/>
        <v>6.9849537037953269E-2</v>
      </c>
    </row>
    <row r="1488" spans="1:6">
      <c r="A1488" s="1" t="s">
        <v>1492</v>
      </c>
      <c r="B1488" s="2">
        <v>45418</v>
      </c>
      <c r="C1488" s="2">
        <v>45419.19023148148</v>
      </c>
      <c r="D1488" s="2">
        <v>45419.429444444446</v>
      </c>
      <c r="E1488" s="2">
        <v>45419.472291666665</v>
      </c>
      <c r="F1488" s="3">
        <f t="shared" si="23"/>
        <v>0.28206018518540077</v>
      </c>
    </row>
    <row r="1489" spans="1:6">
      <c r="A1489" s="1" t="s">
        <v>1493</v>
      </c>
      <c r="B1489" s="2">
        <v>45418</v>
      </c>
      <c r="C1489" s="2">
        <v>45419.190243055556</v>
      </c>
      <c r="D1489" s="2">
        <v>45419.434803240743</v>
      </c>
      <c r="E1489" s="2">
        <v>45419.476736111108</v>
      </c>
      <c r="F1489" s="3">
        <f t="shared" si="23"/>
        <v>0.28649305555154569</v>
      </c>
    </row>
    <row r="1490" spans="1:6">
      <c r="A1490" s="1" t="s">
        <v>1494</v>
      </c>
      <c r="B1490" s="2">
        <v>45418</v>
      </c>
      <c r="C1490" s="2">
        <v>45419.19023148148</v>
      </c>
      <c r="D1490" s="2">
        <v>45419.443124999998</v>
      </c>
      <c r="E1490" s="2">
        <v>45419.500648148147</v>
      </c>
      <c r="F1490" s="3">
        <f t="shared" si="23"/>
        <v>0.31041666666715173</v>
      </c>
    </row>
    <row r="1491" spans="1:6">
      <c r="A1491" s="1" t="s">
        <v>1495</v>
      </c>
      <c r="B1491" s="2">
        <v>45418</v>
      </c>
      <c r="C1491" s="2">
        <v>45419.19023148148</v>
      </c>
      <c r="D1491" s="2">
        <v>45419.45144675926</v>
      </c>
      <c r="E1491" s="2">
        <v>45419.493576388886</v>
      </c>
      <c r="F1491" s="3">
        <f t="shared" si="23"/>
        <v>0.3033449074064265</v>
      </c>
    </row>
    <row r="1492" spans="1:6">
      <c r="A1492" s="1" t="s">
        <v>1496</v>
      </c>
      <c r="B1492" s="2">
        <v>45419</v>
      </c>
      <c r="C1492" s="2">
        <v>45419.19023148148</v>
      </c>
      <c r="D1492" s="2">
        <v>45419.475555555553</v>
      </c>
      <c r="E1492" s="2">
        <v>45419.517511574071</v>
      </c>
      <c r="F1492" s="3">
        <f t="shared" si="23"/>
        <v>0.32728009259153623</v>
      </c>
    </row>
    <row r="1493" spans="1:6">
      <c r="A1493" s="1" t="s">
        <v>1497</v>
      </c>
      <c r="B1493" s="2">
        <v>45419</v>
      </c>
      <c r="C1493" s="2">
        <v>45419.190243055556</v>
      </c>
      <c r="D1493" s="2">
        <v>45419.481724537036</v>
      </c>
      <c r="E1493" s="2">
        <v>45419.523599537039</v>
      </c>
      <c r="F1493" s="3">
        <f t="shared" si="23"/>
        <v>0.333356481482042</v>
      </c>
    </row>
    <row r="1494" spans="1:6">
      <c r="A1494" s="1" t="s">
        <v>1498</v>
      </c>
      <c r="B1494" s="2">
        <v>45415</v>
      </c>
      <c r="C1494" s="2">
        <v>45415.264814814815</v>
      </c>
      <c r="D1494" s="2">
        <v>45419.491770833331</v>
      </c>
      <c r="E1494" s="2">
        <v>45419.533622685187</v>
      </c>
      <c r="F1494" s="3">
        <f t="shared" si="23"/>
        <v>4.2688078703722567</v>
      </c>
    </row>
    <row r="1495" spans="1:6">
      <c r="A1495" s="1" t="s">
        <v>1499</v>
      </c>
      <c r="B1495" s="2">
        <v>45416</v>
      </c>
      <c r="C1495" s="2">
        <v>45416.22152777778</v>
      </c>
      <c r="D1495" s="2">
        <v>45419.507476851853</v>
      </c>
      <c r="E1495" s="2">
        <v>45419.556666666664</v>
      </c>
      <c r="F1495" s="3">
        <f t="shared" si="23"/>
        <v>3.3351388888841029</v>
      </c>
    </row>
    <row r="1496" spans="1:6">
      <c r="A1496" s="1" t="s">
        <v>1500</v>
      </c>
      <c r="B1496" s="2">
        <v>45416</v>
      </c>
      <c r="C1496" s="2">
        <v>45417.302546296298</v>
      </c>
      <c r="D1496" s="2">
        <v>45419.609409722223</v>
      </c>
      <c r="E1496" s="2">
        <v>45419.635763888888</v>
      </c>
      <c r="F1496" s="3">
        <f t="shared" si="23"/>
        <v>2.33321759258979</v>
      </c>
    </row>
    <row r="1497" spans="1:6">
      <c r="A1497" s="1" t="s">
        <v>1501</v>
      </c>
      <c r="B1497" s="2">
        <v>45414</v>
      </c>
      <c r="C1497" s="2">
        <v>45415.264826388891</v>
      </c>
      <c r="D1497" s="2">
        <v>45419.633935185186</v>
      </c>
      <c r="E1497" s="2">
        <v>45419.674212962964</v>
      </c>
      <c r="F1497" s="3">
        <f t="shared" si="23"/>
        <v>4.4093865740724141</v>
      </c>
    </row>
    <row r="1498" spans="1:6">
      <c r="A1498" s="1" t="s">
        <v>1502</v>
      </c>
      <c r="B1498" s="2">
        <v>45413</v>
      </c>
      <c r="C1498" s="2">
        <v>45414.247847222221</v>
      </c>
      <c r="D1498" s="2">
        <v>45419.68954861111</v>
      </c>
      <c r="E1498" s="2">
        <v>45419.731377314813</v>
      </c>
      <c r="F1498" s="3">
        <f t="shared" si="23"/>
        <v>5.4835300925915362</v>
      </c>
    </row>
    <row r="1499" spans="1:6">
      <c r="A1499" s="1" t="s">
        <v>1503</v>
      </c>
      <c r="B1499" s="2">
        <v>45419</v>
      </c>
      <c r="C1499" s="2">
        <v>45419.19023148148</v>
      </c>
      <c r="D1499" s="2">
        <v>45419.694456018522</v>
      </c>
      <c r="E1499" s="2">
        <v>45419.736331018517</v>
      </c>
      <c r="F1499" s="3">
        <f t="shared" si="23"/>
        <v>0.54609953703766223</v>
      </c>
    </row>
    <row r="1500" spans="1:6">
      <c r="A1500" s="1" t="s">
        <v>1504</v>
      </c>
      <c r="B1500" s="2">
        <v>45419</v>
      </c>
      <c r="C1500" s="2">
        <v>45419.19023148148</v>
      </c>
      <c r="D1500" s="2">
        <v>45419.69699074074</v>
      </c>
      <c r="E1500" s="2">
        <v>45419.738854166666</v>
      </c>
      <c r="F1500" s="3">
        <f t="shared" si="23"/>
        <v>0.54862268518627388</v>
      </c>
    </row>
    <row r="1501" spans="1:6">
      <c r="A1501" s="1" t="s">
        <v>1505</v>
      </c>
      <c r="B1501" s="2">
        <v>45414</v>
      </c>
      <c r="C1501" s="2">
        <v>45415.487442129626</v>
      </c>
      <c r="D1501" s="2">
        <v>45419.720856481479</v>
      </c>
      <c r="E1501" s="2">
        <v>45419.730393518519</v>
      </c>
      <c r="F1501" s="3">
        <f t="shared" si="23"/>
        <v>4.2429513888928341</v>
      </c>
    </row>
    <row r="1502" spans="1:6">
      <c r="A1502" s="1" t="s">
        <v>1506</v>
      </c>
      <c r="B1502" s="2">
        <v>45416</v>
      </c>
      <c r="C1502" s="2">
        <v>45416.801400462966</v>
      </c>
      <c r="D1502" s="2">
        <v>45419.743472222224</v>
      </c>
      <c r="E1502" s="2">
        <v>45419.785381944443</v>
      </c>
      <c r="F1502" s="3">
        <f t="shared" si="23"/>
        <v>2.9839814814768033</v>
      </c>
    </row>
    <row r="1503" spans="1:6">
      <c r="A1503" s="1" t="s">
        <v>1507</v>
      </c>
      <c r="B1503" s="2">
        <v>45416</v>
      </c>
      <c r="C1503" s="2">
        <v>45418.474826388891</v>
      </c>
      <c r="D1503" s="2">
        <v>45419.749432870369</v>
      </c>
      <c r="E1503" s="2">
        <v>45419.791215277779</v>
      </c>
      <c r="F1503" s="3">
        <f t="shared" si="23"/>
        <v>1.3163888888884685</v>
      </c>
    </row>
    <row r="1504" spans="1:6">
      <c r="A1504" s="1" t="s">
        <v>1508</v>
      </c>
      <c r="B1504" s="2">
        <v>45419</v>
      </c>
      <c r="C1504" s="2">
        <v>45419.771412037036</v>
      </c>
      <c r="D1504" s="2">
        <v>45419.838125000002</v>
      </c>
      <c r="E1504" s="2">
        <v>45419.882025462961</v>
      </c>
      <c r="F1504" s="3">
        <f t="shared" si="23"/>
        <v>0.1106134259243845</v>
      </c>
    </row>
    <row r="1505" spans="1:6">
      <c r="A1505" s="1" t="s">
        <v>1509</v>
      </c>
      <c r="B1505" s="2">
        <v>45419</v>
      </c>
      <c r="C1505" s="2">
        <v>45419.771412037036</v>
      </c>
      <c r="D1505" s="2">
        <v>45419.851956018516</v>
      </c>
      <c r="E1505" s="2">
        <v>45419.885081018518</v>
      </c>
      <c r="F1505" s="3">
        <f t="shared" si="23"/>
        <v>0.11366898148116888</v>
      </c>
    </row>
    <row r="1506" spans="1:6">
      <c r="A1506" s="1" t="s">
        <v>1510</v>
      </c>
      <c r="B1506" s="2">
        <v>45419</v>
      </c>
      <c r="C1506" s="2">
        <v>45419.771412037036</v>
      </c>
      <c r="D1506" s="2">
        <v>45419.857499999998</v>
      </c>
      <c r="E1506" s="2">
        <v>45419.899293981478</v>
      </c>
      <c r="F1506" s="3">
        <f t="shared" si="23"/>
        <v>0.12788194444146939</v>
      </c>
    </row>
    <row r="1507" spans="1:6">
      <c r="A1507" s="1" t="s">
        <v>1511</v>
      </c>
      <c r="B1507" s="2">
        <v>45419</v>
      </c>
      <c r="C1507" s="2">
        <v>45419.771412037036</v>
      </c>
      <c r="D1507" s="2">
        <v>45419.862534722219</v>
      </c>
      <c r="E1507" s="2">
        <v>45419.904421296298</v>
      </c>
      <c r="F1507" s="3">
        <f t="shared" si="23"/>
        <v>0.13300925926159834</v>
      </c>
    </row>
    <row r="1508" spans="1:6">
      <c r="A1508" s="1" t="s">
        <v>1512</v>
      </c>
      <c r="B1508" s="2">
        <v>45418</v>
      </c>
      <c r="C1508" s="2">
        <v>45419.19023148148</v>
      </c>
      <c r="D1508" s="2">
        <v>45419.872013888889</v>
      </c>
      <c r="E1508" s="2">
        <v>45419.913819444446</v>
      </c>
      <c r="F1508" s="3">
        <f t="shared" si="23"/>
        <v>0.72358796296612127</v>
      </c>
    </row>
    <row r="1509" spans="1:6">
      <c r="A1509" s="1" t="s">
        <v>1513</v>
      </c>
      <c r="B1509" s="2">
        <v>45419</v>
      </c>
      <c r="C1509" s="2">
        <v>45420.022893518515</v>
      </c>
      <c r="D1509" s="2">
        <v>45420.352303240739</v>
      </c>
      <c r="E1509" s="2">
        <v>45420.394189814811</v>
      </c>
      <c r="F1509" s="3">
        <f t="shared" si="23"/>
        <v>0.37129629629635019</v>
      </c>
    </row>
    <row r="1510" spans="1:6">
      <c r="A1510" s="1" t="s">
        <v>1514</v>
      </c>
      <c r="B1510" s="2">
        <v>45419</v>
      </c>
      <c r="C1510" s="2">
        <v>45420.022916666669</v>
      </c>
      <c r="D1510" s="2">
        <v>45420.353136574071</v>
      </c>
      <c r="E1510" s="2">
        <v>45420.383240740739</v>
      </c>
      <c r="F1510" s="3">
        <f t="shared" si="23"/>
        <v>0.36032407407037681</v>
      </c>
    </row>
    <row r="1511" spans="1:6">
      <c r="A1511" s="1" t="s">
        <v>1515</v>
      </c>
      <c r="B1511" s="2">
        <v>45419</v>
      </c>
      <c r="C1511" s="2">
        <v>45420.022939814815</v>
      </c>
      <c r="D1511" s="2">
        <v>45420.35359953704</v>
      </c>
      <c r="E1511" s="2">
        <v>45420.395370370374</v>
      </c>
      <c r="F1511" s="3">
        <f t="shared" si="23"/>
        <v>0.37243055555882165</v>
      </c>
    </row>
    <row r="1512" spans="1:6">
      <c r="A1512" s="1" t="s">
        <v>1516</v>
      </c>
      <c r="B1512" s="2">
        <v>45419</v>
      </c>
      <c r="C1512" s="2">
        <v>45420.022939814815</v>
      </c>
      <c r="D1512" s="2">
        <v>45420.354097222225</v>
      </c>
      <c r="E1512" s="2">
        <v>45420.395844907405</v>
      </c>
      <c r="F1512" s="3">
        <f t="shared" si="23"/>
        <v>0.37290509259037208</v>
      </c>
    </row>
    <row r="1513" spans="1:6">
      <c r="A1513" s="1" t="s">
        <v>1517</v>
      </c>
      <c r="B1513" s="2">
        <v>45419</v>
      </c>
      <c r="C1513" s="2">
        <v>45420.022916666669</v>
      </c>
      <c r="D1513" s="2">
        <v>45420.459224537037</v>
      </c>
      <c r="E1513" s="2">
        <v>45420.651099537034</v>
      </c>
      <c r="F1513" s="3">
        <f t="shared" si="23"/>
        <v>0.62818287036498077</v>
      </c>
    </row>
    <row r="1514" spans="1:6">
      <c r="A1514" s="1" t="s">
        <v>1518</v>
      </c>
      <c r="B1514" s="2">
        <v>45419</v>
      </c>
      <c r="C1514" s="2">
        <v>45420.022939814815</v>
      </c>
      <c r="D1514" s="2">
        <v>45420.34716435185</v>
      </c>
      <c r="E1514" s="2">
        <v>45420.388981481483</v>
      </c>
      <c r="F1514" s="3">
        <f t="shared" si="23"/>
        <v>0.36604166666802485</v>
      </c>
    </row>
    <row r="1515" spans="1:6">
      <c r="A1515" s="1" t="s">
        <v>1519</v>
      </c>
      <c r="B1515" s="2">
        <v>45419</v>
      </c>
      <c r="C1515" s="2">
        <v>45420.022939814815</v>
      </c>
      <c r="D1515" s="2">
        <v>45420.348298611112</v>
      </c>
      <c r="E1515" s="2">
        <v>45420.390081018515</v>
      </c>
      <c r="F1515" s="3">
        <f t="shared" si="23"/>
        <v>0.36714120370015735</v>
      </c>
    </row>
    <row r="1516" spans="1:6">
      <c r="A1516" s="1" t="s">
        <v>1520</v>
      </c>
      <c r="B1516" s="2">
        <v>45419</v>
      </c>
      <c r="C1516" s="2">
        <v>45420.776319444441</v>
      </c>
      <c r="D1516" s="2">
        <v>45420.762800925928</v>
      </c>
      <c r="E1516" s="2">
        <v>45420.804548611108</v>
      </c>
      <c r="F1516" s="3">
        <f t="shared" si="23"/>
        <v>2.8229166666278616E-2</v>
      </c>
    </row>
    <row r="1517" spans="1:6">
      <c r="A1517" s="1" t="s">
        <v>1521</v>
      </c>
      <c r="B1517" s="2">
        <v>45419</v>
      </c>
      <c r="C1517" s="2">
        <v>45420.776319444441</v>
      </c>
      <c r="D1517" s="2">
        <v>45420.759259259263</v>
      </c>
      <c r="E1517" s="2">
        <v>45420.775381944448</v>
      </c>
      <c r="F1517" s="6" t="s">
        <v>1708</v>
      </c>
    </row>
    <row r="1518" spans="1:6">
      <c r="A1518" s="1" t="s">
        <v>1522</v>
      </c>
      <c r="B1518" s="2">
        <v>45419</v>
      </c>
      <c r="C1518" s="2">
        <v>45420.455891203703</v>
      </c>
      <c r="D1518" s="2">
        <v>45420.421898148146</v>
      </c>
      <c r="E1518" s="2">
        <v>45420.463842592595</v>
      </c>
      <c r="F1518" s="3">
        <f t="shared" si="23"/>
        <v>7.9513888922519982E-3</v>
      </c>
    </row>
    <row r="1519" spans="1:6">
      <c r="A1519" s="1" t="s">
        <v>1523</v>
      </c>
      <c r="B1519" s="2">
        <v>45419</v>
      </c>
      <c r="C1519" s="2">
        <v>45420.472280092596</v>
      </c>
      <c r="D1519" s="2">
        <v>45420.428703703707</v>
      </c>
      <c r="E1519" s="2">
        <v>45420.442418981482</v>
      </c>
      <c r="F1519" s="6" t="s">
        <v>1708</v>
      </c>
    </row>
    <row r="1520" spans="1:6">
      <c r="A1520" s="1" t="s">
        <v>1524</v>
      </c>
      <c r="B1520" s="2">
        <v>45419</v>
      </c>
      <c r="C1520" s="2">
        <v>45419.757002314815</v>
      </c>
      <c r="D1520" s="2">
        <v>45420.451064814813</v>
      </c>
      <c r="E1520" s="2">
        <v>45420.493032407408</v>
      </c>
      <c r="F1520" s="3">
        <f t="shared" si="23"/>
        <v>0.73603009259386454</v>
      </c>
    </row>
    <row r="1521" spans="1:6">
      <c r="A1521" s="1" t="s">
        <v>1525</v>
      </c>
      <c r="B1521" s="2">
        <v>45419</v>
      </c>
      <c r="C1521" s="2">
        <v>45420.159039351849</v>
      </c>
      <c r="D1521" s="2">
        <v>45420.475219907406</v>
      </c>
      <c r="E1521" s="2">
        <v>45420.517048611109</v>
      </c>
      <c r="F1521" s="3">
        <f t="shared" si="23"/>
        <v>0.35800925926014315</v>
      </c>
    </row>
    <row r="1522" spans="1:6">
      <c r="A1522" s="1" t="s">
        <v>1526</v>
      </c>
      <c r="B1522" s="2">
        <v>45420</v>
      </c>
      <c r="C1522" s="2">
        <v>45420.328449074077</v>
      </c>
      <c r="D1522" s="2">
        <v>45420.487233796295</v>
      </c>
      <c r="E1522" s="2">
        <v>45420.529027777775</v>
      </c>
      <c r="F1522" s="3">
        <f t="shared" si="23"/>
        <v>0.20057870369782904</v>
      </c>
    </row>
    <row r="1523" spans="1:6">
      <c r="A1523" s="1" t="s">
        <v>1527</v>
      </c>
      <c r="B1523" s="2">
        <v>45420</v>
      </c>
      <c r="C1523" s="2">
        <v>45420.159016203703</v>
      </c>
      <c r="D1523" s="2">
        <v>45420.491261574076</v>
      </c>
      <c r="E1523" s="2">
        <v>45420.533078703702</v>
      </c>
      <c r="F1523" s="3">
        <f t="shared" si="23"/>
        <v>0.37406249999912689</v>
      </c>
    </row>
    <row r="1524" spans="1:6">
      <c r="A1524" s="1" t="s">
        <v>1528</v>
      </c>
      <c r="B1524" s="2">
        <v>45420</v>
      </c>
      <c r="C1524" s="2">
        <v>45420.159016203703</v>
      </c>
      <c r="D1524" s="2">
        <v>45420.497037037036</v>
      </c>
      <c r="E1524" s="2">
        <v>45420.655671296299</v>
      </c>
      <c r="F1524" s="3">
        <f t="shared" si="23"/>
        <v>0.49665509259648388</v>
      </c>
    </row>
    <row r="1525" spans="1:6">
      <c r="A1525" s="1" t="s">
        <v>1529</v>
      </c>
      <c r="B1525" s="2">
        <v>45420</v>
      </c>
      <c r="C1525" s="2">
        <v>45420.159016203703</v>
      </c>
      <c r="D1525" s="2">
        <v>45420.500844907408</v>
      </c>
      <c r="E1525" s="2">
        <v>45420.542569444442</v>
      </c>
      <c r="F1525" s="3">
        <f t="shared" si="23"/>
        <v>0.38355324073927477</v>
      </c>
    </row>
    <row r="1526" spans="1:6">
      <c r="A1526" s="1" t="s">
        <v>1530</v>
      </c>
      <c r="B1526" s="2">
        <v>45420</v>
      </c>
      <c r="C1526" s="2">
        <v>45420.159016203703</v>
      </c>
      <c r="D1526" s="2">
        <v>45420.507210648146</v>
      </c>
      <c r="E1526" s="2">
        <v>45420.54896990741</v>
      </c>
      <c r="F1526" s="3">
        <f t="shared" si="23"/>
        <v>0.38995370370685123</v>
      </c>
    </row>
    <row r="1527" spans="1:6">
      <c r="A1527" s="1" t="s">
        <v>1531</v>
      </c>
      <c r="B1527" s="2">
        <v>45420</v>
      </c>
      <c r="C1527" s="2">
        <v>45420.15902777778</v>
      </c>
      <c r="D1527" s="2">
        <v>45420.522893518515</v>
      </c>
      <c r="E1527" s="2">
        <v>45420.599780092591</v>
      </c>
      <c r="F1527" s="3">
        <f t="shared" si="23"/>
        <v>0.44075231481110677</v>
      </c>
    </row>
    <row r="1528" spans="1:6">
      <c r="A1528" s="1" t="s">
        <v>1532</v>
      </c>
      <c r="B1528" s="2">
        <v>45420</v>
      </c>
      <c r="C1528" s="2">
        <v>45420.15902777778</v>
      </c>
      <c r="D1528" s="2">
        <v>45420.541678240741</v>
      </c>
      <c r="E1528" s="2">
        <v>45420.554236111115</v>
      </c>
      <c r="F1528" s="3">
        <f t="shared" si="23"/>
        <v>0.39520833333517658</v>
      </c>
    </row>
    <row r="1529" spans="1:6">
      <c r="A1529" s="1" t="s">
        <v>1533</v>
      </c>
      <c r="B1529" s="2">
        <v>45420</v>
      </c>
      <c r="C1529" s="2">
        <v>45420.15902777778</v>
      </c>
      <c r="D1529" s="2">
        <v>45420.548090277778</v>
      </c>
      <c r="E1529" s="2">
        <v>45420.553506944445</v>
      </c>
      <c r="F1529" s="3">
        <f t="shared" si="23"/>
        <v>0.3944791666654055</v>
      </c>
    </row>
    <row r="1530" spans="1:6">
      <c r="A1530" s="1" t="s">
        <v>1534</v>
      </c>
      <c r="B1530" s="2">
        <v>45420</v>
      </c>
      <c r="C1530" s="2">
        <v>45420.15902777778</v>
      </c>
      <c r="D1530" s="2">
        <v>45420.550451388888</v>
      </c>
      <c r="E1530" s="2">
        <v>45420.592291666668</v>
      </c>
      <c r="F1530" s="3">
        <f t="shared" si="23"/>
        <v>0.43326388888817746</v>
      </c>
    </row>
    <row r="1531" spans="1:6">
      <c r="A1531" s="1" t="s">
        <v>1535</v>
      </c>
      <c r="B1531" s="2">
        <v>45420</v>
      </c>
      <c r="C1531" s="2">
        <v>45420.328449074077</v>
      </c>
      <c r="D1531" s="2">
        <v>45420.593888888892</v>
      </c>
      <c r="E1531" s="2">
        <v>45420.635821759257</v>
      </c>
      <c r="F1531" s="3">
        <f t="shared" si="23"/>
        <v>0.30737268517987104</v>
      </c>
    </row>
    <row r="1532" spans="1:6">
      <c r="A1532" s="1" t="s">
        <v>1536</v>
      </c>
      <c r="B1532" s="2">
        <v>45420</v>
      </c>
      <c r="C1532" s="2">
        <v>45420.15902777778</v>
      </c>
      <c r="D1532" s="2">
        <v>45420.756979166668</v>
      </c>
      <c r="E1532" s="2">
        <v>45420.798750000002</v>
      </c>
      <c r="F1532" s="3">
        <f t="shared" si="23"/>
        <v>0.63972222222218988</v>
      </c>
    </row>
    <row r="1533" spans="1:6">
      <c r="A1533" s="1" t="s">
        <v>1537</v>
      </c>
      <c r="B1533" s="2">
        <v>45419</v>
      </c>
      <c r="C1533" s="2">
        <v>45420.769918981481</v>
      </c>
      <c r="D1533" s="2">
        <v>45420.655532407407</v>
      </c>
      <c r="E1533" s="2">
        <v>45420.677986111114</v>
      </c>
      <c r="F1533" s="6" t="s">
        <v>1708</v>
      </c>
    </row>
    <row r="1534" spans="1:6">
      <c r="A1534" s="1" t="s">
        <v>1538</v>
      </c>
      <c r="B1534" s="2">
        <v>45419</v>
      </c>
      <c r="C1534" s="2">
        <v>45420.776319444441</v>
      </c>
      <c r="D1534" s="2">
        <v>45421.021840277775</v>
      </c>
      <c r="E1534" s="2">
        <v>45421.063923611109</v>
      </c>
      <c r="F1534" s="3">
        <f t="shared" si="23"/>
        <v>0.28760416666773381</v>
      </c>
    </row>
    <row r="1535" spans="1:6">
      <c r="A1535" s="1" t="s">
        <v>1539</v>
      </c>
      <c r="B1535" s="2">
        <v>45419</v>
      </c>
      <c r="C1535" s="2">
        <v>45420.776319444441</v>
      </c>
      <c r="D1535" s="2">
        <v>45420.739571759259</v>
      </c>
      <c r="E1535" s="2">
        <v>45420.792696759258</v>
      </c>
      <c r="F1535" s="3">
        <f t="shared" si="23"/>
        <v>1.6377314816054422E-2</v>
      </c>
    </row>
    <row r="1536" spans="1:6">
      <c r="A1536" s="1" t="s">
        <v>1540</v>
      </c>
      <c r="B1536" s="2">
        <v>45419</v>
      </c>
      <c r="C1536" s="2">
        <v>45420.524861111109</v>
      </c>
      <c r="D1536" s="2">
        <v>45420.711122685185</v>
      </c>
      <c r="E1536" s="2">
        <v>45420.753067129626</v>
      </c>
      <c r="F1536" s="3">
        <f t="shared" si="23"/>
        <v>0.22820601851708489</v>
      </c>
    </row>
    <row r="1537" spans="1:6">
      <c r="A1537" s="1" t="s">
        <v>1541</v>
      </c>
      <c r="B1537" s="2">
        <v>45419</v>
      </c>
      <c r="C1537" s="2">
        <v>45420.524861111109</v>
      </c>
      <c r="D1537" s="2">
        <v>45420.722442129627</v>
      </c>
      <c r="E1537" s="2">
        <v>45420.764178240737</v>
      </c>
      <c r="F1537" s="3">
        <f t="shared" si="23"/>
        <v>0.23931712962803431</v>
      </c>
    </row>
    <row r="1538" spans="1:6">
      <c r="A1538" s="1" t="s">
        <v>1542</v>
      </c>
      <c r="B1538" s="2">
        <v>45419</v>
      </c>
      <c r="C1538" s="2">
        <v>45420.115682870368</v>
      </c>
      <c r="D1538" s="2">
        <v>45420.732418981483</v>
      </c>
      <c r="E1538" s="2">
        <v>45420.774270833332</v>
      </c>
      <c r="F1538" s="3">
        <f t="shared" si="23"/>
        <v>0.65858796296379296</v>
      </c>
    </row>
    <row r="1539" spans="1:6">
      <c r="A1539" s="1" t="s">
        <v>1543</v>
      </c>
      <c r="B1539" s="2">
        <v>45417</v>
      </c>
      <c r="C1539" s="2">
        <v>45417.302557870367</v>
      </c>
      <c r="D1539" s="2">
        <v>45420.755243055559</v>
      </c>
      <c r="E1539" s="2">
        <v>45420.764884259261</v>
      </c>
      <c r="F1539" s="3">
        <f t="shared" ref="F1539:F1602" si="24">E1539-C1539</f>
        <v>3.4623263888934162</v>
      </c>
    </row>
    <row r="1540" spans="1:6">
      <c r="A1540" s="1" t="s">
        <v>1544</v>
      </c>
      <c r="B1540" s="2">
        <v>45419</v>
      </c>
      <c r="C1540" s="2">
        <v>45419.771412037036</v>
      </c>
      <c r="D1540" s="2">
        <v>45420.820057870369</v>
      </c>
      <c r="E1540" s="2">
        <v>45420.836631944447</v>
      </c>
      <c r="F1540" s="3">
        <f t="shared" si="24"/>
        <v>1.06521990741021</v>
      </c>
    </row>
    <row r="1541" spans="1:6">
      <c r="A1541" s="1" t="s">
        <v>1545</v>
      </c>
      <c r="B1541" s="2">
        <v>45419</v>
      </c>
      <c r="C1541" s="2">
        <v>45420.159050925926</v>
      </c>
      <c r="D1541" s="2">
        <v>45420.833495370367</v>
      </c>
      <c r="E1541" s="2">
        <v>45420.877060185187</v>
      </c>
      <c r="F1541" s="3">
        <f t="shared" si="24"/>
        <v>0.71800925926072523</v>
      </c>
    </row>
    <row r="1542" spans="1:6">
      <c r="A1542" s="1" t="s">
        <v>1546</v>
      </c>
      <c r="B1542" s="2">
        <v>45419</v>
      </c>
      <c r="C1542" s="2">
        <v>45420.827743055554</v>
      </c>
      <c r="D1542" s="2">
        <v>45421.33866898148</v>
      </c>
      <c r="E1542" s="2">
        <v>45421.35974537037</v>
      </c>
      <c r="F1542" s="3">
        <f t="shared" si="24"/>
        <v>0.53200231481605442</v>
      </c>
    </row>
    <row r="1543" spans="1:6">
      <c r="A1543" s="1" t="s">
        <v>1547</v>
      </c>
      <c r="B1543" s="2">
        <v>45420</v>
      </c>
      <c r="C1543" s="2">
        <v>45421.745243055557</v>
      </c>
      <c r="D1543" s="2">
        <v>45421.607627314814</v>
      </c>
      <c r="E1543" s="2">
        <v>45421.620532407411</v>
      </c>
      <c r="F1543" s="6" t="s">
        <v>1708</v>
      </c>
    </row>
    <row r="1544" spans="1:6">
      <c r="A1544" s="1" t="s">
        <v>1548</v>
      </c>
      <c r="B1544" s="2">
        <v>45416</v>
      </c>
      <c r="C1544" s="2">
        <v>45416.801400462966</v>
      </c>
      <c r="D1544" s="2">
        <v>45421.329016203701</v>
      </c>
      <c r="E1544" s="2">
        <v>45421.370925925927</v>
      </c>
      <c r="F1544" s="3">
        <f t="shared" si="24"/>
        <v>4.5695254629608826</v>
      </c>
    </row>
    <row r="1545" spans="1:6">
      <c r="A1545" s="1" t="s">
        <v>1549</v>
      </c>
      <c r="B1545" s="2">
        <v>45419</v>
      </c>
      <c r="C1545" s="2">
        <v>45420.827743055554</v>
      </c>
      <c r="D1545" s="2">
        <v>45421.37431712963</v>
      </c>
      <c r="E1545" s="2">
        <v>45421.395856481482</v>
      </c>
      <c r="F1545" s="3">
        <f t="shared" si="24"/>
        <v>0.56811342592845904</v>
      </c>
    </row>
    <row r="1546" spans="1:6">
      <c r="A1546" s="1" t="s">
        <v>1550</v>
      </c>
      <c r="B1546" s="2">
        <v>45419</v>
      </c>
      <c r="C1546" s="2">
        <v>45420.827743055554</v>
      </c>
      <c r="D1546" s="2">
        <v>45421.381099537037</v>
      </c>
      <c r="E1546" s="2">
        <v>45421.568611111114</v>
      </c>
      <c r="F1546" s="3">
        <f t="shared" si="24"/>
        <v>0.74086805555998581</v>
      </c>
    </row>
    <row r="1547" spans="1:6">
      <c r="A1547" s="1" t="s">
        <v>1551</v>
      </c>
      <c r="B1547" s="2">
        <v>45420</v>
      </c>
      <c r="C1547" s="2">
        <v>45420.827743055554</v>
      </c>
      <c r="D1547" s="2">
        <v>45421.466817129629</v>
      </c>
      <c r="E1547" s="2">
        <v>45421.576099537036</v>
      </c>
      <c r="F1547" s="3">
        <f t="shared" si="24"/>
        <v>0.74835648148291511</v>
      </c>
    </row>
    <row r="1548" spans="1:6">
      <c r="A1548" s="1" t="s">
        <v>1552</v>
      </c>
      <c r="B1548" s="2">
        <v>45420</v>
      </c>
      <c r="C1548" s="2">
        <v>45421.343148148146</v>
      </c>
      <c r="D1548" s="2">
        <v>45421.555023148147</v>
      </c>
      <c r="E1548" s="2">
        <v>45421.592905092592</v>
      </c>
      <c r="F1548" s="3">
        <f t="shared" si="24"/>
        <v>0.24975694444583496</v>
      </c>
    </row>
    <row r="1549" spans="1:6">
      <c r="A1549" s="1" t="s">
        <v>1553</v>
      </c>
      <c r="B1549" s="2">
        <v>45420</v>
      </c>
      <c r="C1549" s="2">
        <v>45421.343194444446</v>
      </c>
      <c r="D1549" s="2">
        <v>45421.561192129629</v>
      </c>
      <c r="E1549" s="2">
        <v>45421.602986111109</v>
      </c>
      <c r="F1549" s="3">
        <f t="shared" si="24"/>
        <v>0.25979166666365927</v>
      </c>
    </row>
    <row r="1550" spans="1:6">
      <c r="A1550" s="1" t="s">
        <v>1554</v>
      </c>
      <c r="B1550" s="2">
        <v>45420</v>
      </c>
      <c r="C1550" s="2">
        <v>45421.343206018515</v>
      </c>
      <c r="D1550" s="2">
        <v>45421.564837962964</v>
      </c>
      <c r="E1550" s="2">
        <v>45421.606678240743</v>
      </c>
      <c r="F1550" s="3">
        <f t="shared" si="24"/>
        <v>0.26347222222830169</v>
      </c>
    </row>
    <row r="1551" spans="1:6">
      <c r="A1551" s="1" t="s">
        <v>1555</v>
      </c>
      <c r="B1551" s="2">
        <v>45420</v>
      </c>
      <c r="C1551" s="2">
        <v>45421.170104166667</v>
      </c>
      <c r="D1551" s="2">
        <v>45421.58625</v>
      </c>
      <c r="E1551" s="2">
        <v>45421.615266203706</v>
      </c>
      <c r="F1551" s="3">
        <f t="shared" si="24"/>
        <v>0.44516203703824431</v>
      </c>
    </row>
    <row r="1552" spans="1:6">
      <c r="A1552" s="1" t="s">
        <v>1556</v>
      </c>
      <c r="B1552" s="2">
        <v>45416</v>
      </c>
      <c r="C1552" s="2">
        <v>45417.925578703704</v>
      </c>
      <c r="D1552" s="2">
        <v>45421.59784722222</v>
      </c>
      <c r="E1552" s="2">
        <v>45421.619513888887</v>
      </c>
      <c r="F1552" s="3">
        <f t="shared" si="24"/>
        <v>3.6939351851833635</v>
      </c>
    </row>
    <row r="1553" spans="1:6">
      <c r="A1553" s="1" t="s">
        <v>1557</v>
      </c>
      <c r="B1553" s="2">
        <v>45418</v>
      </c>
      <c r="C1553" s="2">
        <v>45420.328425925924</v>
      </c>
      <c r="D1553" s="2">
        <v>45421.610300925924</v>
      </c>
      <c r="E1553" s="2">
        <v>45421.652384259258</v>
      </c>
      <c r="F1553" s="3">
        <f t="shared" si="24"/>
        <v>1.3239583333343035</v>
      </c>
    </row>
    <row r="1554" spans="1:6">
      <c r="A1554" s="1" t="s">
        <v>1558</v>
      </c>
      <c r="B1554" s="2">
        <v>45420</v>
      </c>
      <c r="C1554" s="2">
        <v>45420.827743055554</v>
      </c>
      <c r="D1554" s="2">
        <v>45421.626006944447</v>
      </c>
      <c r="E1554" s="2">
        <v>45421.638483796298</v>
      </c>
      <c r="F1554" s="3">
        <f t="shared" si="24"/>
        <v>0.81074074074422242</v>
      </c>
    </row>
    <row r="1555" spans="1:6">
      <c r="A1555" s="1" t="s">
        <v>1559</v>
      </c>
      <c r="B1555" s="2">
        <v>45412</v>
      </c>
      <c r="C1555" s="2">
        <v>45415.264803240738</v>
      </c>
      <c r="D1555" s="2">
        <v>45421.639224537037</v>
      </c>
      <c r="E1555" s="2">
        <v>45421.654664351852</v>
      </c>
      <c r="F1555" s="3">
        <f t="shared" si="24"/>
        <v>6.3898611111144419</v>
      </c>
    </row>
    <row r="1556" spans="1:6">
      <c r="A1556" s="1" t="s">
        <v>1560</v>
      </c>
      <c r="B1556" s="2">
        <v>45420</v>
      </c>
      <c r="C1556" s="2">
        <v>45421.343240740738</v>
      </c>
      <c r="D1556" s="2">
        <v>45421.645185185182</v>
      </c>
      <c r="E1556" s="2">
        <v>45421.686956018515</v>
      </c>
      <c r="F1556" s="3">
        <f t="shared" si="24"/>
        <v>0.343715277776937</v>
      </c>
    </row>
    <row r="1557" spans="1:6">
      <c r="A1557" s="1" t="s">
        <v>1561</v>
      </c>
      <c r="B1557" s="2">
        <v>45421</v>
      </c>
      <c r="C1557" s="2">
        <v>45421.40902777778</v>
      </c>
      <c r="D1557" s="2">
        <v>45421.674004629633</v>
      </c>
      <c r="E1557" s="2">
        <v>45421.778564814813</v>
      </c>
      <c r="F1557" s="3">
        <f t="shared" si="24"/>
        <v>0.36953703703329666</v>
      </c>
    </row>
    <row r="1558" spans="1:6">
      <c r="A1558" s="1" t="s">
        <v>1562</v>
      </c>
      <c r="B1558" s="2">
        <v>45421</v>
      </c>
      <c r="C1558" s="2">
        <v>45421.40902777778</v>
      </c>
      <c r="D1558" s="2">
        <v>45421.677199074074</v>
      </c>
      <c r="E1558" s="2">
        <v>45421.77789351852</v>
      </c>
      <c r="F1558" s="3">
        <f t="shared" si="24"/>
        <v>0.36886574074014788</v>
      </c>
    </row>
    <row r="1559" spans="1:6">
      <c r="A1559" s="1" t="s">
        <v>1563</v>
      </c>
      <c r="B1559" s="2">
        <v>45421</v>
      </c>
      <c r="C1559" s="2">
        <v>45421.775717592594</v>
      </c>
      <c r="D1559" s="2">
        <v>45421.788877314815</v>
      </c>
      <c r="E1559" s="2">
        <v>45421.837511574071</v>
      </c>
      <c r="F1559" s="3">
        <f t="shared" si="24"/>
        <v>6.1793981476512272E-2</v>
      </c>
    </row>
    <row r="1560" spans="1:6">
      <c r="A1560" s="1" t="s">
        <v>1564</v>
      </c>
      <c r="B1560" s="2">
        <v>45420</v>
      </c>
      <c r="C1560" s="2">
        <v>45421.742731481485</v>
      </c>
      <c r="D1560" s="2">
        <v>45421.686608796299</v>
      </c>
      <c r="E1560" s="2">
        <v>45421.700266203705</v>
      </c>
      <c r="F1560" s="6" t="s">
        <v>1708</v>
      </c>
    </row>
    <row r="1561" spans="1:6">
      <c r="A1561" s="1" t="s">
        <v>1565</v>
      </c>
      <c r="B1561" s="2">
        <v>45420</v>
      </c>
      <c r="C1561" s="2">
        <v>45421.742731481485</v>
      </c>
      <c r="D1561" s="2">
        <v>45421.693761574075</v>
      </c>
      <c r="E1561" s="2">
        <v>45421.702418981484</v>
      </c>
      <c r="F1561" s="6" t="s">
        <v>1708</v>
      </c>
    </row>
    <row r="1562" spans="1:6">
      <c r="A1562" s="1" t="s">
        <v>1566</v>
      </c>
      <c r="B1562" s="2">
        <v>45421</v>
      </c>
      <c r="C1562" s="2">
        <v>45421.775717592594</v>
      </c>
      <c r="D1562" s="2">
        <v>45421.698541666665</v>
      </c>
      <c r="E1562" s="2">
        <v>45421.740324074075</v>
      </c>
      <c r="F1562" s="6" t="s">
        <v>1708</v>
      </c>
    </row>
    <row r="1563" spans="1:6">
      <c r="A1563" s="1" t="s">
        <v>1567</v>
      </c>
      <c r="B1563" s="2">
        <v>45421</v>
      </c>
      <c r="C1563" s="2">
        <v>45421.775717592594</v>
      </c>
      <c r="D1563" s="2">
        <v>45421.702986111108</v>
      </c>
      <c r="E1563" s="2">
        <v>45421.712164351855</v>
      </c>
      <c r="F1563" s="6" t="s">
        <v>1708</v>
      </c>
    </row>
    <row r="1564" spans="1:6">
      <c r="A1564" s="1" t="s">
        <v>1568</v>
      </c>
      <c r="B1564" s="2">
        <v>45419</v>
      </c>
      <c r="C1564" s="2">
        <v>45421.819479166668</v>
      </c>
      <c r="D1564" s="2">
        <v>45422.365636574075</v>
      </c>
      <c r="E1564" s="2">
        <v>45422.376435185186</v>
      </c>
      <c r="F1564" s="3">
        <f t="shared" si="24"/>
        <v>0.55695601851766696</v>
      </c>
    </row>
    <row r="1565" spans="1:6">
      <c r="A1565" s="1" t="s">
        <v>1569</v>
      </c>
      <c r="B1565" s="2">
        <v>45418</v>
      </c>
      <c r="C1565" s="2">
        <v>45421.343159722222</v>
      </c>
      <c r="D1565" s="2">
        <v>45421.74596064815</v>
      </c>
      <c r="E1565" s="2">
        <v>45421.788356481484</v>
      </c>
      <c r="F1565" s="3">
        <f t="shared" si="24"/>
        <v>0.44519675926130731</v>
      </c>
    </row>
    <row r="1566" spans="1:6">
      <c r="A1566" s="1" t="s">
        <v>1570</v>
      </c>
      <c r="B1566" s="2">
        <v>45419</v>
      </c>
      <c r="C1566" s="2">
        <v>45421.283518518518</v>
      </c>
      <c r="D1566" s="2">
        <v>45421.751134259262</v>
      </c>
      <c r="E1566" s="2">
        <v>45421.794479166667</v>
      </c>
      <c r="F1566" s="3">
        <f t="shared" si="24"/>
        <v>0.51096064814919373</v>
      </c>
    </row>
    <row r="1567" spans="1:6">
      <c r="A1567" s="1" t="s">
        <v>1571</v>
      </c>
      <c r="B1567" s="2">
        <v>45419</v>
      </c>
      <c r="C1567" s="2">
        <v>45421.020358796297</v>
      </c>
      <c r="D1567" s="2">
        <v>45421.773321759261</v>
      </c>
      <c r="E1567" s="2">
        <v>45421.815127314818</v>
      </c>
      <c r="F1567" s="3">
        <f t="shared" si="24"/>
        <v>0.79476851852086838</v>
      </c>
    </row>
    <row r="1568" spans="1:6">
      <c r="A1568" s="1" t="s">
        <v>1572</v>
      </c>
      <c r="B1568" s="2">
        <v>45420</v>
      </c>
      <c r="C1568" s="2">
        <v>45421.170115740744</v>
      </c>
      <c r="D1568" s="2">
        <v>45421.76898148148</v>
      </c>
      <c r="E1568" s="2">
        <v>45421.839305555557</v>
      </c>
      <c r="F1568" s="3">
        <f t="shared" si="24"/>
        <v>0.669189814812853</v>
      </c>
    </row>
    <row r="1569" spans="1:6">
      <c r="A1569" s="1" t="s">
        <v>1573</v>
      </c>
      <c r="B1569" s="2">
        <v>45420</v>
      </c>
      <c r="C1569" s="2">
        <v>45421.343194444446</v>
      </c>
      <c r="D1569" s="2">
        <v>45421.810798611114</v>
      </c>
      <c r="E1569" s="2">
        <v>45421.903900462959</v>
      </c>
      <c r="F1569" s="3">
        <f t="shared" si="24"/>
        <v>0.56070601851388346</v>
      </c>
    </row>
    <row r="1570" spans="1:6">
      <c r="A1570" s="1" t="s">
        <v>1574</v>
      </c>
      <c r="B1570" s="2">
        <v>45420</v>
      </c>
      <c r="C1570" s="2">
        <v>45421.343240740738</v>
      </c>
      <c r="D1570" s="2">
        <v>45421.871412037035</v>
      </c>
      <c r="E1570" s="2">
        <v>45421.913194444445</v>
      </c>
      <c r="F1570" s="3">
        <f t="shared" si="24"/>
        <v>0.56995370370714227</v>
      </c>
    </row>
    <row r="1571" spans="1:6">
      <c r="A1571" s="1" t="s">
        <v>1575</v>
      </c>
      <c r="B1571" s="2">
        <v>45420</v>
      </c>
      <c r="C1571" s="2">
        <v>45421.343182870369</v>
      </c>
      <c r="D1571" s="2">
        <v>45421.876979166664</v>
      </c>
      <c r="E1571" s="2">
        <v>45421.918796296297</v>
      </c>
      <c r="F1571" s="3">
        <f t="shared" si="24"/>
        <v>0.575613425928168</v>
      </c>
    </row>
    <row r="1572" spans="1:6">
      <c r="A1572" s="1" t="s">
        <v>1576</v>
      </c>
      <c r="B1572" s="2">
        <v>45420</v>
      </c>
      <c r="C1572" s="2">
        <v>45421.343194444446</v>
      </c>
      <c r="D1572" s="2">
        <v>45421.881296296298</v>
      </c>
      <c r="E1572" s="2">
        <v>45421.923101851855</v>
      </c>
      <c r="F1572" s="3">
        <f t="shared" si="24"/>
        <v>0.57990740740933688</v>
      </c>
    </row>
    <row r="1573" spans="1:6">
      <c r="A1573" s="1" t="s">
        <v>1577</v>
      </c>
      <c r="B1573" s="2">
        <v>45420</v>
      </c>
      <c r="C1573" s="2">
        <v>45421.343229166669</v>
      </c>
      <c r="D1573" s="2">
        <v>45421.892974537041</v>
      </c>
      <c r="E1573" s="2">
        <v>45421.93478009259</v>
      </c>
      <c r="F1573" s="3">
        <f t="shared" si="24"/>
        <v>0.59155092592118308</v>
      </c>
    </row>
    <row r="1574" spans="1:6">
      <c r="A1574" s="1" t="s">
        <v>1578</v>
      </c>
      <c r="B1574" s="2">
        <v>45420</v>
      </c>
      <c r="C1574" s="2">
        <v>45421.343240740738</v>
      </c>
      <c r="D1574" s="2">
        <v>45421.897870370369</v>
      </c>
      <c r="E1574" s="2">
        <v>45421.939675925925</v>
      </c>
      <c r="F1574" s="3">
        <f t="shared" si="24"/>
        <v>0.596435185187147</v>
      </c>
    </row>
    <row r="1575" spans="1:6">
      <c r="A1575" s="1" t="s">
        <v>1579</v>
      </c>
      <c r="B1575" s="2">
        <v>45420</v>
      </c>
      <c r="C1575" s="2">
        <v>45421.020405092589</v>
      </c>
      <c r="D1575" s="2">
        <v>45421.90384259259</v>
      </c>
      <c r="E1575" s="2">
        <v>45421.945613425924</v>
      </c>
      <c r="F1575" s="3">
        <f t="shared" si="24"/>
        <v>0.92520833333401242</v>
      </c>
    </row>
    <row r="1576" spans="1:6">
      <c r="A1576" s="1" t="s">
        <v>1580</v>
      </c>
      <c r="B1576" s="2">
        <v>45420</v>
      </c>
      <c r="C1576" s="2">
        <v>45421.02039351852</v>
      </c>
      <c r="D1576" s="2">
        <v>45421.906967592593</v>
      </c>
      <c r="E1576" s="2">
        <v>45421.948750000003</v>
      </c>
      <c r="F1576" s="3">
        <f t="shared" si="24"/>
        <v>0.92835648148320615</v>
      </c>
    </row>
    <row r="1577" spans="1:6">
      <c r="A1577" s="1" t="s">
        <v>1581</v>
      </c>
      <c r="B1577" s="2">
        <v>45420</v>
      </c>
      <c r="C1577" s="2">
        <v>45421.343194444446</v>
      </c>
      <c r="D1577" s="2">
        <v>45421.911030092589</v>
      </c>
      <c r="E1577" s="2">
        <v>45421.952835648146</v>
      </c>
      <c r="F1577" s="3">
        <f t="shared" si="24"/>
        <v>0.60964120370044839</v>
      </c>
    </row>
    <row r="1578" spans="1:6">
      <c r="A1578" s="1" t="s">
        <v>1582</v>
      </c>
      <c r="B1578" s="2">
        <v>45421</v>
      </c>
      <c r="C1578" s="2">
        <v>45422.446122685185</v>
      </c>
      <c r="D1578" s="2">
        <v>45422.364363425928</v>
      </c>
      <c r="E1578" s="2">
        <v>45422.373240740744</v>
      </c>
      <c r="F1578" s="6" t="s">
        <v>1708</v>
      </c>
    </row>
    <row r="1579" spans="1:6">
      <c r="A1579" s="1" t="s">
        <v>1583</v>
      </c>
      <c r="B1579" s="2">
        <v>45421</v>
      </c>
      <c r="C1579" s="2">
        <v>45422.446122685185</v>
      </c>
      <c r="D1579" s="2">
        <v>45422.363553240742</v>
      </c>
      <c r="E1579" s="2">
        <v>45422.375127314815</v>
      </c>
      <c r="F1579" s="6" t="s">
        <v>1708</v>
      </c>
    </row>
    <row r="1580" spans="1:6">
      <c r="A1580" s="1" t="s">
        <v>1584</v>
      </c>
      <c r="B1580" s="2">
        <v>45421</v>
      </c>
      <c r="C1580" s="2">
        <v>45422.446122685185</v>
      </c>
      <c r="D1580" s="2">
        <v>45422.362361111111</v>
      </c>
      <c r="E1580" s="2">
        <v>45422.374884259261</v>
      </c>
      <c r="F1580" s="6" t="s">
        <v>1708</v>
      </c>
    </row>
    <row r="1581" spans="1:6">
      <c r="A1581" s="1" t="s">
        <v>1585</v>
      </c>
      <c r="B1581" s="2">
        <v>45421</v>
      </c>
      <c r="C1581" s="2">
        <v>45422.446122685185</v>
      </c>
      <c r="D1581" s="2">
        <v>45422.361458333333</v>
      </c>
      <c r="E1581" s="2">
        <v>45422.383692129632</v>
      </c>
      <c r="F1581" s="6" t="s">
        <v>1708</v>
      </c>
    </row>
    <row r="1582" spans="1:6">
      <c r="A1582" s="1" t="s">
        <v>1586</v>
      </c>
      <c r="B1582" s="2">
        <v>45421</v>
      </c>
      <c r="C1582" s="2">
        <v>45422.446122685185</v>
      </c>
      <c r="D1582" s="2">
        <v>45422.360497685186</v>
      </c>
      <c r="E1582" s="2">
        <v>45422.374108796299</v>
      </c>
      <c r="F1582" s="6" t="s">
        <v>1708</v>
      </c>
    </row>
    <row r="1583" spans="1:6">
      <c r="A1583" s="1" t="s">
        <v>1587</v>
      </c>
      <c r="B1583" s="2">
        <v>45421</v>
      </c>
      <c r="C1583" s="2">
        <v>45423.391111111108</v>
      </c>
      <c r="D1583" s="2">
        <v>45423.618206018517</v>
      </c>
      <c r="E1583" s="2">
        <v>45423.736990740741</v>
      </c>
      <c r="F1583" s="3">
        <f t="shared" si="24"/>
        <v>0.34587962963269092</v>
      </c>
    </row>
    <row r="1584" spans="1:6">
      <c r="A1584" s="1" t="s">
        <v>1588</v>
      </c>
      <c r="B1584" s="2">
        <v>45422</v>
      </c>
      <c r="C1584" s="2">
        <v>45423.714247685188</v>
      </c>
      <c r="D1584" s="2">
        <v>45424.256678240738</v>
      </c>
      <c r="E1584" s="2">
        <v>45424.298402777778</v>
      </c>
      <c r="F1584" s="3">
        <f t="shared" si="24"/>
        <v>0.58415509259066312</v>
      </c>
    </row>
    <row r="1585" spans="1:6">
      <c r="A1585" s="1" t="s">
        <v>1589</v>
      </c>
      <c r="B1585" s="2">
        <v>45420</v>
      </c>
      <c r="C1585" s="2">
        <v>45422.834699074076</v>
      </c>
      <c r="D1585" s="2">
        <v>45422.710358796299</v>
      </c>
      <c r="E1585" s="2">
        <v>45422.715810185182</v>
      </c>
      <c r="F1585" s="6" t="s">
        <v>1708</v>
      </c>
    </row>
    <row r="1586" spans="1:6">
      <c r="A1586" s="1" t="s">
        <v>1590</v>
      </c>
      <c r="B1586" s="2">
        <v>45420</v>
      </c>
      <c r="C1586" s="2">
        <v>45422.03564814815</v>
      </c>
      <c r="D1586" s="2">
        <v>45422.634976851848</v>
      </c>
      <c r="E1586" s="2">
        <v>45422.661134259259</v>
      </c>
      <c r="F1586" s="3">
        <f t="shared" si="24"/>
        <v>0.62548611110833008</v>
      </c>
    </row>
    <row r="1587" spans="1:6">
      <c r="A1587" s="1" t="s">
        <v>1591</v>
      </c>
      <c r="B1587" s="2">
        <v>45421</v>
      </c>
      <c r="C1587" s="2">
        <v>45422.512071759258</v>
      </c>
      <c r="D1587" s="2">
        <v>45422.415925925925</v>
      </c>
      <c r="E1587" s="2">
        <v>45422.427245370367</v>
      </c>
      <c r="F1587" s="6" t="s">
        <v>1708</v>
      </c>
    </row>
    <row r="1588" spans="1:6">
      <c r="A1588" s="1" t="s">
        <v>1592</v>
      </c>
      <c r="B1588" s="2">
        <v>45420</v>
      </c>
      <c r="C1588" s="2">
        <v>45422.035636574074</v>
      </c>
      <c r="D1588" s="2">
        <v>45422.417569444442</v>
      </c>
      <c r="E1588" s="2">
        <v>45422.461412037039</v>
      </c>
      <c r="F1588" s="3">
        <f t="shared" si="24"/>
        <v>0.42577546296524815</v>
      </c>
    </row>
    <row r="1589" spans="1:6">
      <c r="A1589" s="1" t="s">
        <v>1593</v>
      </c>
      <c r="B1589" s="2">
        <v>45420</v>
      </c>
      <c r="C1589" s="2">
        <v>45422.03564814815</v>
      </c>
      <c r="D1589" s="2">
        <v>45422.419479166667</v>
      </c>
      <c r="E1589" s="2">
        <v>45422.461331018516</v>
      </c>
      <c r="F1589" s="3">
        <f t="shared" si="24"/>
        <v>0.42568287036556285</v>
      </c>
    </row>
    <row r="1590" spans="1:6">
      <c r="A1590" s="1" t="s">
        <v>1594</v>
      </c>
      <c r="B1590" s="2">
        <v>45420</v>
      </c>
      <c r="C1590" s="2">
        <v>45421.343252314815</v>
      </c>
      <c r="D1590" s="2">
        <v>45422.426747685182</v>
      </c>
      <c r="E1590" s="2">
        <v>45422.478796296295</v>
      </c>
      <c r="F1590" s="3">
        <f t="shared" si="24"/>
        <v>1.1355439814797137</v>
      </c>
    </row>
    <row r="1591" spans="1:6">
      <c r="A1591" s="1" t="s">
        <v>1595</v>
      </c>
      <c r="B1591" s="2">
        <v>45420</v>
      </c>
      <c r="C1591" s="2">
        <v>45421.343275462961</v>
      </c>
      <c r="D1591" s="2">
        <v>45422.429629629631</v>
      </c>
      <c r="E1591" s="2">
        <v>45422.471828703703</v>
      </c>
      <c r="F1591" s="3">
        <f t="shared" si="24"/>
        <v>1.1285532407418941</v>
      </c>
    </row>
    <row r="1592" spans="1:6">
      <c r="A1592" s="1" t="s">
        <v>1596</v>
      </c>
      <c r="B1592" s="2">
        <v>45421</v>
      </c>
      <c r="C1592" s="2">
        <v>45422.181458333333</v>
      </c>
      <c r="D1592" s="2">
        <v>45422.445439814815</v>
      </c>
      <c r="E1592" s="2">
        <v>45422.477650462963</v>
      </c>
      <c r="F1592" s="3">
        <f t="shared" si="24"/>
        <v>0.29619212963007158</v>
      </c>
    </row>
    <row r="1593" spans="1:6">
      <c r="A1593" s="1" t="s">
        <v>1597</v>
      </c>
      <c r="B1593" s="2">
        <v>45422</v>
      </c>
      <c r="C1593" s="2">
        <v>45422.181446759256</v>
      </c>
      <c r="D1593" s="2">
        <v>45422.451736111114</v>
      </c>
      <c r="E1593" s="2">
        <v>45422.47693287037</v>
      </c>
      <c r="F1593" s="3">
        <f t="shared" si="24"/>
        <v>0.29548611111385981</v>
      </c>
    </row>
    <row r="1594" spans="1:6">
      <c r="A1594" s="1" t="s">
        <v>1598</v>
      </c>
      <c r="B1594" s="2">
        <v>45422</v>
      </c>
      <c r="C1594" s="2">
        <v>45422.181446759256</v>
      </c>
      <c r="D1594" s="2">
        <v>45422.456793981481</v>
      </c>
      <c r="E1594" s="2">
        <v>45422.498796296299</v>
      </c>
      <c r="F1594" s="3">
        <f t="shared" si="24"/>
        <v>0.31734953704290092</v>
      </c>
    </row>
    <row r="1595" spans="1:6">
      <c r="A1595" s="1" t="s">
        <v>1599</v>
      </c>
      <c r="B1595" s="2">
        <v>45422</v>
      </c>
      <c r="C1595" s="2">
        <v>45422.181446759256</v>
      </c>
      <c r="D1595" s="2">
        <v>45422.464872685188</v>
      </c>
      <c r="E1595" s="2">
        <v>45422.475983796299</v>
      </c>
      <c r="F1595" s="3">
        <f t="shared" si="24"/>
        <v>0.294537037043483</v>
      </c>
    </row>
    <row r="1596" spans="1:6">
      <c r="A1596" s="1" t="s">
        <v>1600</v>
      </c>
      <c r="B1596" s="2">
        <v>45422</v>
      </c>
      <c r="C1596" s="2">
        <v>45422.181458333333</v>
      </c>
      <c r="D1596" s="2">
        <v>45422.468090277776</v>
      </c>
      <c r="E1596" s="2">
        <v>45422.50990740741</v>
      </c>
      <c r="F1596" s="3">
        <f t="shared" si="24"/>
        <v>0.32844907407707069</v>
      </c>
    </row>
    <row r="1597" spans="1:6">
      <c r="A1597" s="1" t="s">
        <v>1601</v>
      </c>
      <c r="B1597" s="2">
        <v>45422</v>
      </c>
      <c r="C1597" s="2">
        <v>45422.181469907409</v>
      </c>
      <c r="D1597" s="2">
        <v>45422.473356481481</v>
      </c>
      <c r="E1597" s="2">
        <v>45422.515219907407</v>
      </c>
      <c r="F1597" s="3">
        <f t="shared" si="24"/>
        <v>0.33374999999796273</v>
      </c>
    </row>
    <row r="1598" spans="1:6">
      <c r="A1598" s="1" t="s">
        <v>1602</v>
      </c>
      <c r="B1598" s="2">
        <v>45422</v>
      </c>
      <c r="C1598" s="2">
        <v>45422.181469907409</v>
      </c>
      <c r="D1598" s="2">
        <v>45422.479363425926</v>
      </c>
      <c r="E1598" s="2">
        <v>45422.521261574075</v>
      </c>
      <c r="F1598" s="3">
        <f t="shared" si="24"/>
        <v>0.3397916666654055</v>
      </c>
    </row>
    <row r="1599" spans="1:6">
      <c r="A1599" s="1" t="s">
        <v>1603</v>
      </c>
      <c r="B1599" s="2">
        <v>45422</v>
      </c>
      <c r="C1599" s="2">
        <v>45422.181469907409</v>
      </c>
      <c r="D1599" s="2">
        <v>45422.483043981483</v>
      </c>
      <c r="E1599" s="2">
        <v>45422.503449074073</v>
      </c>
      <c r="F1599" s="3">
        <f t="shared" si="24"/>
        <v>0.32197916666336823</v>
      </c>
    </row>
    <row r="1600" spans="1:6">
      <c r="A1600" s="1" t="s">
        <v>1604</v>
      </c>
      <c r="B1600" s="2">
        <v>45422</v>
      </c>
      <c r="C1600" s="2">
        <v>45422.181469907409</v>
      </c>
      <c r="D1600" s="2">
        <v>45422.486724537041</v>
      </c>
      <c r="E1600" s="2">
        <v>45422.528483796297</v>
      </c>
      <c r="F1600" s="3">
        <f t="shared" si="24"/>
        <v>0.34701388888788642</v>
      </c>
    </row>
    <row r="1601" spans="1:6">
      <c r="A1601" s="1" t="s">
        <v>1605</v>
      </c>
      <c r="B1601" s="2">
        <v>45422</v>
      </c>
      <c r="C1601" s="2">
        <v>45422.181469907409</v>
      </c>
      <c r="D1601" s="2">
        <v>45422.495416666665</v>
      </c>
      <c r="E1601" s="2">
        <v>45422.606562499997</v>
      </c>
      <c r="F1601" s="3">
        <f t="shared" si="24"/>
        <v>0.42509259258804377</v>
      </c>
    </row>
    <row r="1602" spans="1:6">
      <c r="A1602" s="1" t="s">
        <v>1606</v>
      </c>
      <c r="B1602" s="2">
        <v>45422</v>
      </c>
      <c r="C1602" s="2">
        <v>45422.181469907409</v>
      </c>
      <c r="D1602" s="2">
        <v>45422.593090277776</v>
      </c>
      <c r="E1602" s="2">
        <v>45422.634918981479</v>
      </c>
      <c r="F1602" s="3">
        <f t="shared" si="24"/>
        <v>0.45344907406979473</v>
      </c>
    </row>
    <row r="1603" spans="1:6">
      <c r="A1603" s="1" t="s">
        <v>1607</v>
      </c>
      <c r="B1603" s="2">
        <v>45422</v>
      </c>
      <c r="C1603" s="2">
        <v>45422.387627314813</v>
      </c>
      <c r="D1603" s="2">
        <v>45422.600416666668</v>
      </c>
      <c r="E1603" s="2">
        <v>45422.642256944448</v>
      </c>
      <c r="F1603" s="3">
        <f t="shared" ref="F1603:F1666" si="25">E1603-C1603</f>
        <v>0.25462962963501923</v>
      </c>
    </row>
    <row r="1604" spans="1:6">
      <c r="A1604" s="1" t="s">
        <v>1608</v>
      </c>
      <c r="B1604" s="2">
        <v>45422</v>
      </c>
      <c r="C1604" s="2">
        <v>45422.181469907409</v>
      </c>
      <c r="D1604" s="2">
        <v>45422.612037037034</v>
      </c>
      <c r="E1604" s="2">
        <v>45422.653900462959</v>
      </c>
      <c r="F1604" s="3">
        <f t="shared" si="25"/>
        <v>0.4724305555500905</v>
      </c>
    </row>
    <row r="1605" spans="1:6">
      <c r="A1605" s="1" t="s">
        <v>1609</v>
      </c>
      <c r="B1605" s="2">
        <v>45422</v>
      </c>
      <c r="C1605" s="2">
        <v>45422.511712962965</v>
      </c>
      <c r="D1605" s="2">
        <v>45422.615902777776</v>
      </c>
      <c r="E1605" s="2">
        <v>45422.657754629632</v>
      </c>
      <c r="F1605" s="3">
        <f t="shared" si="25"/>
        <v>0.14604166666686069</v>
      </c>
    </row>
    <row r="1606" spans="1:6">
      <c r="A1606" s="1" t="s">
        <v>1610</v>
      </c>
      <c r="B1606" s="2">
        <v>45422</v>
      </c>
      <c r="C1606" s="2">
        <v>45422.181469907409</v>
      </c>
      <c r="D1606" s="2">
        <v>45422.618969907409</v>
      </c>
      <c r="E1606" s="2">
        <v>45422.660798611112</v>
      </c>
      <c r="F1606" s="3">
        <f t="shared" si="25"/>
        <v>0.47932870370277669</v>
      </c>
    </row>
    <row r="1607" spans="1:6">
      <c r="A1607" s="1" t="s">
        <v>1611</v>
      </c>
      <c r="B1607" s="2">
        <v>45422</v>
      </c>
      <c r="C1607" s="2">
        <v>45422.181469907409</v>
      </c>
      <c r="D1607" s="2">
        <v>45422.621516203704</v>
      </c>
      <c r="E1607" s="2">
        <v>45422.674143518518</v>
      </c>
      <c r="F1607" s="3">
        <f t="shared" si="25"/>
        <v>0.49267361110833008</v>
      </c>
    </row>
    <row r="1608" spans="1:6">
      <c r="A1608" s="1" t="s">
        <v>1612</v>
      </c>
      <c r="B1608" s="2">
        <v>45422</v>
      </c>
      <c r="C1608" s="2">
        <v>45422.181423611109</v>
      </c>
      <c r="D1608" s="2">
        <v>45422.633668981478</v>
      </c>
      <c r="E1608" s="2">
        <v>45422.838148148148</v>
      </c>
      <c r="F1608" s="3">
        <f t="shared" si="25"/>
        <v>0.65672453703882638</v>
      </c>
    </row>
    <row r="1609" spans="1:6">
      <c r="A1609" s="1" t="s">
        <v>1613</v>
      </c>
      <c r="B1609" s="2">
        <v>45422</v>
      </c>
      <c r="C1609" s="2">
        <v>45422.181423611109</v>
      </c>
      <c r="D1609" s="2">
        <v>45422.640300925923</v>
      </c>
      <c r="E1609" s="2">
        <v>45422.661423611113</v>
      </c>
      <c r="F1609" s="3">
        <f t="shared" si="25"/>
        <v>0.48000000000320142</v>
      </c>
    </row>
    <row r="1610" spans="1:6">
      <c r="A1610" s="1" t="s">
        <v>1614</v>
      </c>
      <c r="B1610" s="2">
        <v>45422</v>
      </c>
      <c r="C1610" s="2">
        <v>45422.181423611109</v>
      </c>
      <c r="D1610" s="2">
        <v>45422.643599537034</v>
      </c>
      <c r="E1610" s="2">
        <v>45422.68546296296</v>
      </c>
      <c r="F1610" s="3">
        <f t="shared" si="25"/>
        <v>0.50403935185022419</v>
      </c>
    </row>
    <row r="1611" spans="1:6">
      <c r="A1611" s="1" t="s">
        <v>1615</v>
      </c>
      <c r="B1611" s="2">
        <v>45422</v>
      </c>
      <c r="C1611" s="2">
        <v>45422.181469907409</v>
      </c>
      <c r="D1611" s="2">
        <v>45422.648043981484</v>
      </c>
      <c r="E1611" s="2">
        <v>45422.690011574072</v>
      </c>
      <c r="F1611" s="3">
        <f t="shared" si="25"/>
        <v>0.50854166666249512</v>
      </c>
    </row>
    <row r="1612" spans="1:6">
      <c r="A1612" s="1" t="s">
        <v>1616</v>
      </c>
      <c r="B1612" s="2">
        <v>45422</v>
      </c>
      <c r="C1612" s="2">
        <v>45422.181469907409</v>
      </c>
      <c r="D1612" s="2">
        <v>45422.651724537034</v>
      </c>
      <c r="E1612" s="2">
        <v>45422.693657407406</v>
      </c>
      <c r="F1612" s="3">
        <f t="shared" si="25"/>
        <v>0.51218749999679858</v>
      </c>
    </row>
    <row r="1613" spans="1:6">
      <c r="A1613" s="1" t="s">
        <v>1617</v>
      </c>
      <c r="B1613" s="2">
        <v>45422</v>
      </c>
      <c r="C1613" s="2">
        <v>45422.181469907409</v>
      </c>
      <c r="D1613" s="2">
        <v>45422.679108796299</v>
      </c>
      <c r="E1613" s="2">
        <v>45422.720925925925</v>
      </c>
      <c r="F1613" s="3">
        <f t="shared" si="25"/>
        <v>0.53945601851592073</v>
      </c>
    </row>
    <row r="1614" spans="1:6">
      <c r="A1614" s="1" t="s">
        <v>1618</v>
      </c>
      <c r="B1614" s="2">
        <v>45422</v>
      </c>
      <c r="C1614" s="2">
        <v>45422.181469907409</v>
      </c>
      <c r="D1614" s="2">
        <v>45422.663981481484</v>
      </c>
      <c r="E1614" s="2">
        <v>45422.706006944441</v>
      </c>
      <c r="F1614" s="3">
        <f t="shared" si="25"/>
        <v>0.5245370370321325</v>
      </c>
    </row>
    <row r="1615" spans="1:6">
      <c r="A1615" s="1" t="s">
        <v>1619</v>
      </c>
      <c r="B1615" s="2">
        <v>45422</v>
      </c>
      <c r="C1615" s="2">
        <v>45422.181469907409</v>
      </c>
      <c r="D1615" s="2">
        <v>45422.6716087963</v>
      </c>
      <c r="E1615" s="2">
        <v>45422.713460648149</v>
      </c>
      <c r="F1615" s="3">
        <f t="shared" si="25"/>
        <v>0.53199074073927477</v>
      </c>
    </row>
    <row r="1616" spans="1:6">
      <c r="A1616" s="1" t="s">
        <v>1620</v>
      </c>
      <c r="B1616" s="2">
        <v>45422</v>
      </c>
      <c r="C1616" s="2">
        <v>45422.497662037036</v>
      </c>
      <c r="D1616" s="2">
        <v>45422.677384259259</v>
      </c>
      <c r="E1616" s="2">
        <v>45422.719259259262</v>
      </c>
      <c r="F1616" s="3">
        <f t="shared" si="25"/>
        <v>0.22159722222568234</v>
      </c>
    </row>
    <row r="1617" spans="1:6">
      <c r="A1617" s="1" t="s">
        <v>1621</v>
      </c>
      <c r="B1617" s="2">
        <v>45422</v>
      </c>
      <c r="C1617" s="2">
        <v>45422.181469907409</v>
      </c>
      <c r="D1617" s="2">
        <v>45422.683993055558</v>
      </c>
      <c r="E1617" s="2">
        <v>45422.725821759261</v>
      </c>
      <c r="F1617" s="3">
        <f t="shared" si="25"/>
        <v>0.54435185185138835</v>
      </c>
    </row>
    <row r="1618" spans="1:6">
      <c r="A1618" s="1" t="s">
        <v>1622</v>
      </c>
      <c r="B1618" s="2">
        <v>45422</v>
      </c>
      <c r="C1618" s="2">
        <v>45422.181469907409</v>
      </c>
      <c r="D1618" s="2">
        <v>45422.6871875</v>
      </c>
      <c r="E1618" s="2">
        <v>45422.729062500002</v>
      </c>
      <c r="F1618" s="3">
        <f t="shared" si="25"/>
        <v>0.54759259259299142</v>
      </c>
    </row>
    <row r="1619" spans="1:6">
      <c r="A1619" s="1" t="s">
        <v>1623</v>
      </c>
      <c r="B1619" s="2">
        <v>45422</v>
      </c>
      <c r="C1619" s="2">
        <v>45422.181469907409</v>
      </c>
      <c r="D1619" s="2">
        <v>45422.691550925927</v>
      </c>
      <c r="E1619" s="2">
        <v>45422.733356481483</v>
      </c>
      <c r="F1619" s="3">
        <f t="shared" si="25"/>
        <v>0.55188657407416031</v>
      </c>
    </row>
    <row r="1620" spans="1:6">
      <c r="A1620" s="1" t="s">
        <v>1624</v>
      </c>
      <c r="B1620" s="2">
        <v>45422</v>
      </c>
      <c r="C1620" s="2">
        <v>45422.181469907409</v>
      </c>
      <c r="D1620" s="2">
        <v>45422.696446759262</v>
      </c>
      <c r="E1620" s="2">
        <v>45422.738310185188</v>
      </c>
      <c r="F1620" s="3">
        <f t="shared" si="25"/>
        <v>0.55684027777897427</v>
      </c>
    </row>
    <row r="1621" spans="1:6">
      <c r="A1621" s="1" t="s">
        <v>1625</v>
      </c>
      <c r="B1621" s="2">
        <v>45421</v>
      </c>
      <c r="C1621" s="2">
        <v>45422.727083333331</v>
      </c>
      <c r="D1621" s="2">
        <v>45422.705636574072</v>
      </c>
      <c r="E1621" s="2">
        <v>45422.715717592589</v>
      </c>
      <c r="F1621" s="6" t="s">
        <v>1708</v>
      </c>
    </row>
    <row r="1622" spans="1:6">
      <c r="A1622" s="1" t="s">
        <v>1626</v>
      </c>
      <c r="B1622" s="2">
        <v>45419</v>
      </c>
      <c r="C1622" s="2">
        <v>45421.02039351852</v>
      </c>
      <c r="D1622" s="2">
        <v>45422.707430555558</v>
      </c>
      <c r="E1622" s="2">
        <v>45422.749224537038</v>
      </c>
      <c r="F1622" s="3">
        <f t="shared" si="25"/>
        <v>1.728831018517667</v>
      </c>
    </row>
    <row r="1623" spans="1:6">
      <c r="A1623" s="1" t="s">
        <v>1627</v>
      </c>
      <c r="B1623" s="2">
        <v>45419</v>
      </c>
      <c r="C1623" s="2">
        <v>45420.827743055554</v>
      </c>
      <c r="D1623" s="2">
        <v>45422.719386574077</v>
      </c>
      <c r="E1623" s="2">
        <v>45422.74658564815</v>
      </c>
      <c r="F1623" s="3">
        <f t="shared" si="25"/>
        <v>1.9188425925967749</v>
      </c>
    </row>
    <row r="1624" spans="1:6">
      <c r="A1624" s="1" t="s">
        <v>1628</v>
      </c>
      <c r="B1624" s="2">
        <v>45421</v>
      </c>
      <c r="C1624" s="2">
        <v>45422.727083333331</v>
      </c>
      <c r="D1624" s="2">
        <v>45422.728171296294</v>
      </c>
      <c r="E1624" s="2">
        <v>45422.827199074076</v>
      </c>
      <c r="F1624" s="3">
        <f t="shared" si="25"/>
        <v>0.10011574074451346</v>
      </c>
    </row>
    <row r="1625" spans="1:6">
      <c r="A1625" s="1" t="s">
        <v>1629</v>
      </c>
      <c r="B1625" s="2">
        <v>45421</v>
      </c>
      <c r="C1625" s="2">
        <v>45422.181458333333</v>
      </c>
      <c r="D1625" s="2">
        <v>45422.741076388891</v>
      </c>
      <c r="E1625" s="2">
        <v>45422.765162037038</v>
      </c>
      <c r="F1625" s="3">
        <f t="shared" si="25"/>
        <v>0.58370370370539604</v>
      </c>
    </row>
    <row r="1626" spans="1:6">
      <c r="A1626" s="1" t="s">
        <v>1630</v>
      </c>
      <c r="B1626" s="2">
        <v>45421</v>
      </c>
      <c r="C1626" s="2">
        <v>45422.301377314812</v>
      </c>
      <c r="D1626" s="2">
        <v>45422.751886574071</v>
      </c>
      <c r="E1626" s="2">
        <v>45422.793692129628</v>
      </c>
      <c r="F1626" s="3">
        <f t="shared" si="25"/>
        <v>0.49231481481547235</v>
      </c>
    </row>
    <row r="1627" spans="1:6">
      <c r="A1627" s="1" t="s">
        <v>1631</v>
      </c>
      <c r="B1627" s="2">
        <v>45421</v>
      </c>
      <c r="C1627" s="2">
        <v>45422.301377314812</v>
      </c>
      <c r="D1627" s="2">
        <v>45422.756203703706</v>
      </c>
      <c r="E1627" s="2">
        <v>45422.842905092592</v>
      </c>
      <c r="F1627" s="3">
        <f t="shared" si="25"/>
        <v>0.54152777777926531</v>
      </c>
    </row>
    <row r="1628" spans="1:6">
      <c r="A1628" s="1" t="s">
        <v>1632</v>
      </c>
      <c r="B1628" s="2">
        <v>45421</v>
      </c>
      <c r="C1628" s="2">
        <v>45422.301377314812</v>
      </c>
      <c r="D1628" s="2">
        <v>45422.761354166665</v>
      </c>
      <c r="E1628" s="2">
        <v>45422.842997685184</v>
      </c>
      <c r="F1628" s="3">
        <f t="shared" si="25"/>
        <v>0.54162037037167465</v>
      </c>
    </row>
    <row r="1629" spans="1:6">
      <c r="A1629" s="1" t="s">
        <v>1633</v>
      </c>
      <c r="B1629" s="2">
        <v>45421</v>
      </c>
      <c r="C1629" s="2">
        <v>45422.301377314812</v>
      </c>
      <c r="D1629" s="2">
        <v>45422.768530092595</v>
      </c>
      <c r="E1629" s="2">
        <v>45422.810324074075</v>
      </c>
      <c r="F1629" s="3">
        <f t="shared" si="25"/>
        <v>0.50894675926247146</v>
      </c>
    </row>
    <row r="1630" spans="1:6">
      <c r="A1630" s="1" t="s">
        <v>1634</v>
      </c>
      <c r="B1630" s="2">
        <v>45419</v>
      </c>
      <c r="C1630" s="2">
        <v>45420.240567129629</v>
      </c>
      <c r="D1630" s="2">
        <v>45422.774722222224</v>
      </c>
      <c r="E1630" s="2">
        <v>45422.816527777781</v>
      </c>
      <c r="F1630" s="3">
        <f t="shared" si="25"/>
        <v>2.575960648151522</v>
      </c>
    </row>
    <row r="1631" spans="1:6">
      <c r="A1631" s="1" t="s">
        <v>1635</v>
      </c>
      <c r="B1631" s="2">
        <v>45421</v>
      </c>
      <c r="C1631" s="2">
        <v>45421.020358796297</v>
      </c>
      <c r="D1631" s="2">
        <v>45422.784108796295</v>
      </c>
      <c r="E1631" s="2">
        <v>45422.825879629629</v>
      </c>
      <c r="F1631" s="3">
        <f t="shared" si="25"/>
        <v>1.8055208333316841</v>
      </c>
    </row>
    <row r="1632" spans="1:6">
      <c r="A1632" s="1" t="s">
        <v>1636</v>
      </c>
      <c r="B1632" s="2">
        <v>45420</v>
      </c>
      <c r="C1632" s="2">
        <v>45421.280972222223</v>
      </c>
      <c r="D1632" s="2">
        <v>45422.80636574074</v>
      </c>
      <c r="E1632" s="2">
        <v>45422.866516203707</v>
      </c>
      <c r="F1632" s="3">
        <f t="shared" si="25"/>
        <v>1.5855439814840793</v>
      </c>
    </row>
    <row r="1633" spans="1:6">
      <c r="A1633" s="1" t="s">
        <v>1637</v>
      </c>
      <c r="B1633" s="2">
        <v>45420</v>
      </c>
      <c r="C1633" s="2">
        <v>45421.280972222223</v>
      </c>
      <c r="D1633" s="2">
        <v>45422.811342592591</v>
      </c>
      <c r="E1633" s="2">
        <v>45422.828483796293</v>
      </c>
      <c r="F1633" s="3">
        <f t="shared" si="25"/>
        <v>1.5475115740700858</v>
      </c>
    </row>
    <row r="1634" spans="1:6">
      <c r="A1634" s="1" t="s">
        <v>1638</v>
      </c>
      <c r="B1634" s="2">
        <v>45420</v>
      </c>
      <c r="C1634" s="2">
        <v>45421.280972222223</v>
      </c>
      <c r="D1634" s="2">
        <v>45422.816932870373</v>
      </c>
      <c r="E1634" s="2">
        <v>45422.858657407407</v>
      </c>
      <c r="F1634" s="3">
        <f t="shared" si="25"/>
        <v>1.5776851851842366</v>
      </c>
    </row>
    <row r="1635" spans="1:6">
      <c r="A1635" s="1" t="s">
        <v>1639</v>
      </c>
      <c r="B1635" s="2">
        <v>45420</v>
      </c>
      <c r="C1635" s="2">
        <v>45421.280972222223</v>
      </c>
      <c r="D1635" s="2">
        <v>45422.820844907408</v>
      </c>
      <c r="E1635" s="2">
        <v>45422.866585648146</v>
      </c>
      <c r="F1635" s="3">
        <f t="shared" si="25"/>
        <v>1.5856134259229293</v>
      </c>
    </row>
    <row r="1636" spans="1:6">
      <c r="A1636" s="1" t="s">
        <v>1640</v>
      </c>
      <c r="B1636" s="2">
        <v>45420</v>
      </c>
      <c r="C1636" s="2">
        <v>45421.280972222223</v>
      </c>
      <c r="D1636" s="2">
        <v>45422.825138888889</v>
      </c>
      <c r="E1636" s="2">
        <v>45422.866805555554</v>
      </c>
      <c r="F1636" s="3">
        <f t="shared" si="25"/>
        <v>1.585833333330811</v>
      </c>
    </row>
    <row r="1637" spans="1:6">
      <c r="A1637" s="1" t="s">
        <v>1641</v>
      </c>
      <c r="B1637" s="2">
        <v>45420</v>
      </c>
      <c r="C1637" s="2">
        <v>45421.280972222223</v>
      </c>
      <c r="D1637" s="2">
        <v>45422.830474537041</v>
      </c>
      <c r="E1637" s="2">
        <v>45422.866608796299</v>
      </c>
      <c r="F1637" s="3">
        <f t="shared" si="25"/>
        <v>1.5856365740764886</v>
      </c>
    </row>
    <row r="1638" spans="1:6">
      <c r="A1638" s="1" t="s">
        <v>1642</v>
      </c>
      <c r="B1638" s="2">
        <v>45420</v>
      </c>
      <c r="C1638" s="2">
        <v>45421.280972222223</v>
      </c>
      <c r="D1638" s="2">
        <v>45422.833796296298</v>
      </c>
      <c r="E1638" s="2">
        <v>45422.875578703701</v>
      </c>
      <c r="F1638" s="3">
        <f t="shared" si="25"/>
        <v>1.5946064814779675</v>
      </c>
    </row>
    <row r="1639" spans="1:6">
      <c r="A1639" s="1" t="s">
        <v>1643</v>
      </c>
      <c r="B1639" s="2">
        <v>45423</v>
      </c>
      <c r="C1639" s="2">
        <v>45424.355497685188</v>
      </c>
      <c r="D1639" s="2">
        <v>45424.357453703706</v>
      </c>
      <c r="E1639" s="2">
        <v>45424.682118055556</v>
      </c>
      <c r="F1639" s="3">
        <f t="shared" si="25"/>
        <v>0.32662037036789116</v>
      </c>
    </row>
    <row r="1640" spans="1:6">
      <c r="A1640" s="1" t="s">
        <v>1644</v>
      </c>
      <c r="B1640" s="2">
        <v>45423</v>
      </c>
      <c r="C1640" s="2">
        <v>45424.355497685188</v>
      </c>
      <c r="D1640" s="2">
        <v>45424.360462962963</v>
      </c>
      <c r="E1640" s="2">
        <v>45424.684155092589</v>
      </c>
      <c r="F1640" s="3">
        <f t="shared" si="25"/>
        <v>0.32865740740089677</v>
      </c>
    </row>
    <row r="1641" spans="1:6">
      <c r="A1641" s="1" t="s">
        <v>1645</v>
      </c>
      <c r="B1641" s="2">
        <v>45423</v>
      </c>
      <c r="C1641" s="2">
        <v>45424.355497685188</v>
      </c>
      <c r="D1641" s="2">
        <v>45424.388437499998</v>
      </c>
      <c r="E1641" s="2">
        <v>45424.684884259259</v>
      </c>
      <c r="F1641" s="3">
        <f t="shared" si="25"/>
        <v>0.32938657407066785</v>
      </c>
    </row>
    <row r="1642" spans="1:6">
      <c r="A1642" s="1" t="s">
        <v>1646</v>
      </c>
      <c r="B1642" s="2">
        <v>45423</v>
      </c>
      <c r="C1642" s="2">
        <v>45424.355497685188</v>
      </c>
      <c r="D1642" s="2">
        <v>45424.391111111108</v>
      </c>
      <c r="E1642" s="2">
        <v>45424.682893518519</v>
      </c>
      <c r="F1642" s="3">
        <f t="shared" si="25"/>
        <v>0.32739583333022892</v>
      </c>
    </row>
    <row r="1643" spans="1:6">
      <c r="A1643" s="1" t="s">
        <v>1647</v>
      </c>
      <c r="B1643" s="2">
        <v>45423</v>
      </c>
      <c r="C1643" s="2">
        <v>45424.355497685188</v>
      </c>
      <c r="D1643" s="2">
        <v>45424.400520833333</v>
      </c>
      <c r="E1643" s="2">
        <v>45424.665347222224</v>
      </c>
      <c r="F1643" s="3">
        <f t="shared" si="25"/>
        <v>0.309849537035916</v>
      </c>
    </row>
    <row r="1644" spans="1:6">
      <c r="A1644" s="1" t="s">
        <v>1648</v>
      </c>
      <c r="B1644" s="2">
        <v>45423</v>
      </c>
      <c r="C1644" s="2">
        <v>45424.355497685188</v>
      </c>
      <c r="D1644" s="2">
        <v>45424.405127314814</v>
      </c>
      <c r="E1644" s="2">
        <v>45424.681481481479</v>
      </c>
      <c r="F1644" s="3">
        <f t="shared" si="25"/>
        <v>0.32598379629052943</v>
      </c>
    </row>
    <row r="1645" spans="1:6">
      <c r="A1645" s="1" t="s">
        <v>1649</v>
      </c>
      <c r="B1645" s="2">
        <v>45423</v>
      </c>
      <c r="C1645" s="2">
        <v>45424.355497685188</v>
      </c>
      <c r="D1645" s="2">
        <v>45424.410798611112</v>
      </c>
      <c r="E1645" s="2">
        <v>45424.663703703707</v>
      </c>
      <c r="F1645" s="3">
        <f t="shared" si="25"/>
        <v>0.30820601851883112</v>
      </c>
    </row>
    <row r="1646" spans="1:6">
      <c r="A1646" s="1" t="s">
        <v>1650</v>
      </c>
      <c r="B1646" s="2">
        <v>45423</v>
      </c>
      <c r="C1646" s="2">
        <v>45424.355497685188</v>
      </c>
      <c r="D1646" s="2">
        <v>45424.415011574078</v>
      </c>
      <c r="E1646" s="2">
        <v>45424.687002314815</v>
      </c>
      <c r="F1646" s="3">
        <f t="shared" si="25"/>
        <v>0.33150462962657912</v>
      </c>
    </row>
    <row r="1647" spans="1:6">
      <c r="A1647" s="1" t="s">
        <v>1651</v>
      </c>
      <c r="B1647" s="2">
        <v>45423</v>
      </c>
      <c r="C1647" s="2">
        <v>45424.355497685188</v>
      </c>
      <c r="D1647" s="2">
        <v>45424.418090277781</v>
      </c>
      <c r="E1647" s="2">
        <v>45424.682847222219</v>
      </c>
      <c r="F1647" s="3">
        <f t="shared" si="25"/>
        <v>0.32734953703038627</v>
      </c>
    </row>
    <row r="1648" spans="1:6">
      <c r="A1648" s="1" t="s">
        <v>1652</v>
      </c>
      <c r="B1648" s="2">
        <v>45422</v>
      </c>
      <c r="C1648" s="2">
        <v>45424.382118055553</v>
      </c>
      <c r="D1648" s="2">
        <v>45424.438877314817</v>
      </c>
      <c r="E1648" s="2">
        <v>45424.480636574073</v>
      </c>
      <c r="F1648" s="3">
        <f t="shared" si="25"/>
        <v>9.8518518519995268E-2</v>
      </c>
    </row>
    <row r="1649" spans="1:6">
      <c r="A1649" s="1" t="s">
        <v>1653</v>
      </c>
      <c r="B1649" s="2">
        <v>45422</v>
      </c>
      <c r="C1649" s="2">
        <v>45424.115960648145</v>
      </c>
      <c r="D1649" s="2">
        <v>45424.444976851853</v>
      </c>
      <c r="E1649" s="2">
        <v>45424.48678240741</v>
      </c>
      <c r="F1649" s="3">
        <f t="shared" si="25"/>
        <v>0.37082175926479977</v>
      </c>
    </row>
    <row r="1650" spans="1:6">
      <c r="A1650" s="1" t="s">
        <v>1654</v>
      </c>
      <c r="B1650" s="2">
        <v>45422</v>
      </c>
      <c r="C1650" s="2">
        <v>45424.382256944446</v>
      </c>
      <c r="D1650" s="2">
        <v>45424.449490740742</v>
      </c>
      <c r="E1650" s="2">
        <v>45424.491226851853</v>
      </c>
      <c r="F1650" s="3">
        <f t="shared" si="25"/>
        <v>0.10896990740729962</v>
      </c>
    </row>
    <row r="1651" spans="1:6">
      <c r="A1651" s="1" t="s">
        <v>1655</v>
      </c>
      <c r="B1651" s="2">
        <v>45422</v>
      </c>
      <c r="C1651" s="2">
        <v>45424.382187499999</v>
      </c>
      <c r="D1651" s="2">
        <v>45424.454108796293</v>
      </c>
      <c r="E1651" s="2">
        <v>45424.49590277778</v>
      </c>
      <c r="F1651" s="3">
        <f t="shared" si="25"/>
        <v>0.11371527778101154</v>
      </c>
    </row>
    <row r="1652" spans="1:6">
      <c r="A1652" s="1" t="s">
        <v>1656</v>
      </c>
      <c r="B1652" s="2">
        <v>45422</v>
      </c>
      <c r="C1652" s="2">
        <v>45424.382187499999</v>
      </c>
      <c r="D1652" s="2">
        <v>45424.463969907411</v>
      </c>
      <c r="E1652" s="2">
        <v>45424.505752314813</v>
      </c>
      <c r="F1652" s="3">
        <f t="shared" si="25"/>
        <v>0.12356481481401715</v>
      </c>
    </row>
    <row r="1653" spans="1:6">
      <c r="A1653" s="1" t="s">
        <v>1657</v>
      </c>
      <c r="B1653" s="2">
        <v>45423</v>
      </c>
      <c r="C1653" s="2">
        <v>45424.725624999999</v>
      </c>
      <c r="D1653" s="2">
        <v>45424.485717592594</v>
      </c>
      <c r="E1653" s="2">
        <v>45424.578715277778</v>
      </c>
      <c r="F1653" s="6" t="s">
        <v>1708</v>
      </c>
    </row>
    <row r="1654" spans="1:6">
      <c r="A1654" s="1" t="s">
        <v>1658</v>
      </c>
      <c r="B1654" s="2">
        <v>45423</v>
      </c>
      <c r="C1654" s="2">
        <v>45424.692673611113</v>
      </c>
      <c r="D1654" s="2">
        <v>45424.490219907406</v>
      </c>
      <c r="E1654" s="2">
        <v>45424.532037037039</v>
      </c>
      <c r="F1654" s="6" t="s">
        <v>1708</v>
      </c>
    </row>
    <row r="1655" spans="1:6">
      <c r="A1655" s="1" t="s">
        <v>1659</v>
      </c>
      <c r="B1655" s="2">
        <v>45423</v>
      </c>
      <c r="C1655" s="2">
        <v>45424.725034722222</v>
      </c>
      <c r="D1655" s="2">
        <v>45424.563217592593</v>
      </c>
      <c r="E1655" s="2">
        <v>45424.586400462962</v>
      </c>
      <c r="F1655" s="6" t="s">
        <v>1708</v>
      </c>
    </row>
    <row r="1656" spans="1:6">
      <c r="A1656" s="1" t="s">
        <v>1660</v>
      </c>
      <c r="B1656" s="2">
        <v>45423</v>
      </c>
      <c r="C1656" s="2">
        <v>45424.725034722222</v>
      </c>
      <c r="D1656" s="2">
        <v>45424.559224537035</v>
      </c>
      <c r="E1656" s="2">
        <v>45424.580324074072</v>
      </c>
      <c r="F1656" s="6" t="s">
        <v>1708</v>
      </c>
    </row>
    <row r="1657" spans="1:6">
      <c r="A1657" s="1" t="s">
        <v>1661</v>
      </c>
      <c r="B1657" s="2">
        <v>45423</v>
      </c>
      <c r="C1657" s="2">
        <v>45424.725462962961</v>
      </c>
      <c r="D1657" s="2">
        <v>45424.568576388891</v>
      </c>
      <c r="E1657" s="2">
        <v>45424.610347222224</v>
      </c>
      <c r="F1657" s="6" t="s">
        <v>1708</v>
      </c>
    </row>
    <row r="1658" spans="1:6">
      <c r="A1658" s="1" t="s">
        <v>1662</v>
      </c>
      <c r="B1658" s="2">
        <v>45423</v>
      </c>
      <c r="C1658" s="2">
        <v>45424.721631944441</v>
      </c>
      <c r="D1658" s="2">
        <v>45424.581030092595</v>
      </c>
      <c r="E1658" s="2">
        <v>45424.622743055559</v>
      </c>
      <c r="F1658" s="6" t="s">
        <v>1708</v>
      </c>
    </row>
    <row r="1659" spans="1:6">
      <c r="A1659" s="1" t="s">
        <v>1663</v>
      </c>
      <c r="B1659" s="2">
        <v>45423</v>
      </c>
      <c r="C1659" s="2">
        <v>45424.725462962961</v>
      </c>
      <c r="D1659" s="2">
        <v>45424.585092592592</v>
      </c>
      <c r="E1659" s="2">
        <v>45424.626886574071</v>
      </c>
      <c r="F1659" s="6" t="s">
        <v>1708</v>
      </c>
    </row>
    <row r="1660" spans="1:6">
      <c r="A1660" s="1" t="s">
        <v>1664</v>
      </c>
      <c r="B1660" s="2">
        <v>45423</v>
      </c>
      <c r="C1660" s="2">
        <v>45424.725462962961</v>
      </c>
      <c r="D1660" s="2">
        <v>45424.587905092594</v>
      </c>
      <c r="E1660" s="2">
        <v>45424.629699074074</v>
      </c>
      <c r="F1660" s="6" t="s">
        <v>1708</v>
      </c>
    </row>
    <row r="1661" spans="1:6">
      <c r="A1661" s="1" t="s">
        <v>1665</v>
      </c>
      <c r="B1661" s="2">
        <v>45424</v>
      </c>
      <c r="C1661" s="2">
        <v>45423.454143518517</v>
      </c>
      <c r="D1661" s="2">
        <v>45424.599490740744</v>
      </c>
      <c r="E1661" s="2">
        <v>45424.641273148147</v>
      </c>
      <c r="F1661" s="3">
        <f t="shared" si="25"/>
        <v>1.1871296296303626</v>
      </c>
    </row>
    <row r="1662" spans="1:6">
      <c r="A1662" s="1" t="s">
        <v>1666</v>
      </c>
      <c r="B1662" s="2">
        <v>45424</v>
      </c>
      <c r="C1662" s="2">
        <v>45424.115972222222</v>
      </c>
      <c r="D1662" s="2">
        <v>45424.603194444448</v>
      </c>
      <c r="E1662" s="2">
        <v>45424.644930555558</v>
      </c>
      <c r="F1662" s="3">
        <f t="shared" si="25"/>
        <v>0.52895833333604969</v>
      </c>
    </row>
    <row r="1663" spans="1:6">
      <c r="A1663" s="1" t="s">
        <v>1667</v>
      </c>
      <c r="B1663" s="2">
        <v>45424</v>
      </c>
      <c r="C1663" s="2">
        <v>45423.454143518517</v>
      </c>
      <c r="D1663" s="2">
        <v>45424.606354166666</v>
      </c>
      <c r="E1663" s="2">
        <v>45424.648101851853</v>
      </c>
      <c r="F1663" s="3">
        <f t="shared" si="25"/>
        <v>1.1939583333369228</v>
      </c>
    </row>
    <row r="1664" spans="1:6">
      <c r="A1664" s="1" t="s">
        <v>1668</v>
      </c>
      <c r="B1664" s="2">
        <v>45424</v>
      </c>
      <c r="C1664" s="2">
        <v>45423.372835648152</v>
      </c>
      <c r="D1664" s="2">
        <v>45424.609560185185</v>
      </c>
      <c r="E1664" s="2">
        <v>45424.651388888888</v>
      </c>
      <c r="F1664" s="3">
        <f t="shared" si="25"/>
        <v>1.2785532407360733</v>
      </c>
    </row>
    <row r="1665" spans="1:6">
      <c r="A1665" s="1" t="s">
        <v>1669</v>
      </c>
      <c r="B1665" s="2">
        <v>45424</v>
      </c>
      <c r="C1665" s="2">
        <v>45423.372939814813</v>
      </c>
      <c r="D1665" s="2">
        <v>45424.613113425927</v>
      </c>
      <c r="E1665" s="2">
        <v>45424.65488425926</v>
      </c>
      <c r="F1665" s="3">
        <f t="shared" si="25"/>
        <v>1.2819444444467081</v>
      </c>
    </row>
    <row r="1666" spans="1:6">
      <c r="A1666" s="1" t="s">
        <v>1670</v>
      </c>
      <c r="B1666" s="2">
        <v>45424</v>
      </c>
      <c r="C1666" s="2">
        <v>45424.382094907407</v>
      </c>
      <c r="D1666" s="2">
        <v>45424.617418981485</v>
      </c>
      <c r="E1666" s="2">
        <v>45424.68482638889</v>
      </c>
      <c r="F1666" s="3">
        <f t="shared" si="25"/>
        <v>0.30273148148262408</v>
      </c>
    </row>
    <row r="1667" spans="1:6">
      <c r="A1667" s="1" t="s">
        <v>1671</v>
      </c>
      <c r="B1667" s="2">
        <v>45424</v>
      </c>
      <c r="C1667" s="2">
        <v>45423.230300925927</v>
      </c>
      <c r="D1667" s="2">
        <v>45424.620312500003</v>
      </c>
      <c r="E1667" s="2">
        <v>45424.631863425922</v>
      </c>
      <c r="F1667" s="3">
        <f t="shared" ref="F1667:F1702" si="26">E1667-C1667</f>
        <v>1.4015624999956344</v>
      </c>
    </row>
    <row r="1668" spans="1:6">
      <c r="A1668" s="1" t="s">
        <v>1672</v>
      </c>
      <c r="B1668" s="2">
        <v>45424</v>
      </c>
      <c r="C1668" s="2">
        <v>45423.230300925927</v>
      </c>
      <c r="D1668" s="2">
        <v>45424.623368055552</v>
      </c>
      <c r="E1668" s="2">
        <v>45424.665173611109</v>
      </c>
      <c r="F1668" s="3">
        <f t="shared" si="26"/>
        <v>1.4348726851821993</v>
      </c>
    </row>
    <row r="1669" spans="1:6">
      <c r="A1669" s="1" t="s">
        <v>1673</v>
      </c>
      <c r="B1669" s="2">
        <v>45424</v>
      </c>
      <c r="C1669" s="2">
        <v>45423.230312500003</v>
      </c>
      <c r="D1669" s="2">
        <v>45424.62672453704</v>
      </c>
      <c r="E1669" s="2">
        <v>45424.66846064815</v>
      </c>
      <c r="F1669" s="3">
        <f t="shared" si="26"/>
        <v>1.4381481481468654</v>
      </c>
    </row>
    <row r="1670" spans="1:6">
      <c r="A1670" s="1" t="s">
        <v>1674</v>
      </c>
      <c r="B1670" s="2">
        <v>45424</v>
      </c>
      <c r="C1670" s="2">
        <v>45423.230312500003</v>
      </c>
      <c r="D1670" s="2">
        <v>45424.630636574075</v>
      </c>
      <c r="E1670" s="2">
        <v>45424.672453703701</v>
      </c>
      <c r="F1670" s="3">
        <f t="shared" si="26"/>
        <v>1.442141203697247</v>
      </c>
    </row>
    <row r="1671" spans="1:6">
      <c r="A1671" s="1" t="s">
        <v>1675</v>
      </c>
      <c r="B1671" s="2">
        <v>45424</v>
      </c>
      <c r="C1671" s="2">
        <v>45424.382187499999</v>
      </c>
      <c r="D1671" s="2">
        <v>45424.633750000001</v>
      </c>
      <c r="E1671" s="2">
        <v>45424.675486111111</v>
      </c>
      <c r="F1671" s="3">
        <f t="shared" si="26"/>
        <v>0.29329861111182254</v>
      </c>
    </row>
    <row r="1672" spans="1:6">
      <c r="A1672" s="1" t="s">
        <v>1676</v>
      </c>
      <c r="B1672" s="2">
        <v>45424</v>
      </c>
      <c r="C1672" s="2">
        <v>45423.230312500003</v>
      </c>
      <c r="D1672" s="2">
        <v>45424.636828703704</v>
      </c>
      <c r="E1672" s="2">
        <v>45424.67863425926</v>
      </c>
      <c r="F1672" s="3">
        <f t="shared" si="26"/>
        <v>1.4483217592569417</v>
      </c>
    </row>
    <row r="1673" spans="1:6">
      <c r="A1673" s="1" t="s">
        <v>1677</v>
      </c>
      <c r="B1673" s="2">
        <v>45424</v>
      </c>
      <c r="C1673" s="2">
        <v>45423.45416666667</v>
      </c>
      <c r="D1673" s="2">
        <v>45424.63962962963</v>
      </c>
      <c r="E1673" s="2">
        <v>45424.681435185186</v>
      </c>
      <c r="F1673" s="3">
        <f t="shared" si="26"/>
        <v>1.2272685185162118</v>
      </c>
    </row>
    <row r="1674" spans="1:6">
      <c r="A1674" s="1" t="s">
        <v>1678</v>
      </c>
      <c r="B1674" s="2">
        <v>45424</v>
      </c>
      <c r="C1674" s="2">
        <v>45424.382118055553</v>
      </c>
      <c r="D1674" s="2">
        <v>45424.642766203702</v>
      </c>
      <c r="E1674" s="2">
        <v>45424.684583333335</v>
      </c>
      <c r="F1674" s="3">
        <f t="shared" si="26"/>
        <v>0.30246527778217569</v>
      </c>
    </row>
    <row r="1675" spans="1:6">
      <c r="A1675" s="1" t="s">
        <v>1679</v>
      </c>
      <c r="B1675" s="2">
        <v>45424</v>
      </c>
      <c r="C1675" s="2">
        <v>45423.23028935185</v>
      </c>
      <c r="D1675" s="2">
        <v>45424.645671296297</v>
      </c>
      <c r="E1675" s="2">
        <v>45424.687384259261</v>
      </c>
      <c r="F1675" s="3">
        <f t="shared" si="26"/>
        <v>1.4570949074113742</v>
      </c>
    </row>
    <row r="1676" spans="1:6">
      <c r="A1676" s="1" t="s">
        <v>1680</v>
      </c>
      <c r="B1676" s="2">
        <v>45424</v>
      </c>
      <c r="C1676" s="2">
        <v>45423.733761574076</v>
      </c>
      <c r="D1676" s="2">
        <v>45424.653819444444</v>
      </c>
      <c r="E1676" s="2">
        <v>45424.684525462966</v>
      </c>
      <c r="F1676" s="3">
        <f t="shared" si="26"/>
        <v>0.95076388888992369</v>
      </c>
    </row>
    <row r="1677" spans="1:6">
      <c r="A1677" s="1" t="s">
        <v>1681</v>
      </c>
      <c r="B1677" s="2">
        <v>45424</v>
      </c>
      <c r="C1677" s="2">
        <v>45423.23028935185</v>
      </c>
      <c r="D1677" s="2">
        <v>45424.660474537035</v>
      </c>
      <c r="E1677" s="2">
        <v>45424.677743055552</v>
      </c>
      <c r="F1677" s="3">
        <f t="shared" si="26"/>
        <v>1.4474537037021946</v>
      </c>
    </row>
    <row r="1678" spans="1:6">
      <c r="A1678" s="1" t="s">
        <v>1682</v>
      </c>
      <c r="B1678" s="2">
        <v>45424</v>
      </c>
      <c r="C1678" s="2">
        <v>45423.23028935185</v>
      </c>
      <c r="D1678" s="2">
        <v>45424.664814814816</v>
      </c>
      <c r="E1678" s="2">
        <v>45424.677916666667</v>
      </c>
      <c r="F1678" s="3">
        <f t="shared" si="26"/>
        <v>1.4476273148175096</v>
      </c>
    </row>
    <row r="1679" spans="1:6">
      <c r="A1679" s="1" t="s">
        <v>1683</v>
      </c>
      <c r="B1679" s="2">
        <v>45424</v>
      </c>
      <c r="C1679" s="2">
        <v>45424.115983796299</v>
      </c>
      <c r="D1679" s="2">
        <v>45424.667847222219</v>
      </c>
      <c r="E1679" s="2">
        <v>45424.683518518519</v>
      </c>
      <c r="F1679" s="3">
        <f t="shared" si="26"/>
        <v>0.56753472222044365</v>
      </c>
    </row>
    <row r="1680" spans="1:6">
      <c r="A1680" s="1" t="s">
        <v>1684</v>
      </c>
      <c r="B1680" s="2">
        <v>45424</v>
      </c>
      <c r="C1680" s="2">
        <v>45423.23028935185</v>
      </c>
      <c r="D1680" s="2">
        <v>45424.67050925926</v>
      </c>
      <c r="E1680" s="2">
        <v>45424.712268518517</v>
      </c>
      <c r="F1680" s="3">
        <f t="shared" si="26"/>
        <v>1.4819791666668607</v>
      </c>
    </row>
    <row r="1681" spans="1:6">
      <c r="A1681" s="1" t="s">
        <v>1685</v>
      </c>
      <c r="B1681" s="2">
        <v>45424</v>
      </c>
      <c r="C1681" s="2">
        <v>45424.007314814815</v>
      </c>
      <c r="D1681" s="2">
        <v>45424.675486111111</v>
      </c>
      <c r="E1681" s="2">
        <v>45424.717291666668</v>
      </c>
      <c r="F1681" s="3">
        <f t="shared" si="26"/>
        <v>0.70997685185284354</v>
      </c>
    </row>
    <row r="1682" spans="1:6">
      <c r="A1682" s="1" t="s">
        <v>1686</v>
      </c>
      <c r="B1682" s="2">
        <v>45424</v>
      </c>
      <c r="C1682" s="2">
        <v>45423.230312500003</v>
      </c>
      <c r="D1682" s="2">
        <v>45424.679131944446</v>
      </c>
      <c r="E1682" s="2">
        <v>45424.720914351848</v>
      </c>
      <c r="F1682" s="3">
        <f t="shared" si="26"/>
        <v>1.4906018518449855</v>
      </c>
    </row>
    <row r="1683" spans="1:6">
      <c r="A1683" s="1" t="s">
        <v>1687</v>
      </c>
      <c r="B1683" s="2">
        <v>45424</v>
      </c>
      <c r="C1683" s="2">
        <v>45423.230312500003</v>
      </c>
      <c r="D1683" s="2">
        <v>45424.686539351853</v>
      </c>
      <c r="E1683" s="2">
        <v>45424.726574074077</v>
      </c>
      <c r="F1683" s="3">
        <f t="shared" si="26"/>
        <v>1.4962615740732872</v>
      </c>
    </row>
    <row r="1684" spans="1:6">
      <c r="A1684" s="1" t="s">
        <v>1688</v>
      </c>
      <c r="B1684" s="2">
        <v>45424</v>
      </c>
      <c r="C1684" s="2">
        <v>45423.230312500003</v>
      </c>
      <c r="D1684" s="2">
        <v>45424.689571759256</v>
      </c>
      <c r="E1684" s="2">
        <v>45424.698807870373</v>
      </c>
      <c r="F1684" s="3">
        <f t="shared" si="26"/>
        <v>1.4684953703690553</v>
      </c>
    </row>
    <row r="1685" spans="1:6">
      <c r="A1685" s="1" t="s">
        <v>1689</v>
      </c>
      <c r="B1685" s="2">
        <v>45424</v>
      </c>
      <c r="C1685" s="2">
        <v>45423.230312500003</v>
      </c>
      <c r="D1685" s="2">
        <v>45424.697800925926</v>
      </c>
      <c r="E1685" s="2">
        <v>45424.71025462963</v>
      </c>
      <c r="F1685" s="3">
        <f t="shared" si="26"/>
        <v>1.4799421296265791</v>
      </c>
    </row>
    <row r="1686" spans="1:6">
      <c r="A1686" s="1" t="s">
        <v>1690</v>
      </c>
      <c r="B1686" s="2">
        <v>45421</v>
      </c>
      <c r="C1686" s="2">
        <v>45424.329918981479</v>
      </c>
      <c r="D1686" s="2">
        <v>45424.706493055557</v>
      </c>
      <c r="E1686" s="2">
        <v>45424.7112037037</v>
      </c>
      <c r="F1686" s="3">
        <f t="shared" si="26"/>
        <v>0.38128472222160781</v>
      </c>
    </row>
    <row r="1687" spans="1:6" hidden="1">
      <c r="A1687" s="1" t="s">
        <v>1691</v>
      </c>
      <c r="B1687" s="2">
        <v>45422</v>
      </c>
      <c r="C1687" s="2">
        <v>45422.181423611109</v>
      </c>
      <c r="D1687" s="2">
        <v>45424.79115740741</v>
      </c>
      <c r="E1687" s="2">
        <v>45425.651122685187</v>
      </c>
      <c r="F1687" s="3">
        <f t="shared" si="26"/>
        <v>3.4696990740776528</v>
      </c>
    </row>
    <row r="1688" spans="1:6" hidden="1">
      <c r="A1688" s="1" t="s">
        <v>1692</v>
      </c>
      <c r="B1688" s="2">
        <v>45424</v>
      </c>
      <c r="C1688" s="2">
        <v>45424.796087962961</v>
      </c>
      <c r="D1688" s="2">
        <v>45425.311585648145</v>
      </c>
      <c r="E1688" s="2">
        <v>45425.353437500002</v>
      </c>
      <c r="F1688" s="3">
        <f t="shared" si="26"/>
        <v>0.55734953704086365</v>
      </c>
    </row>
    <row r="1689" spans="1:6" hidden="1">
      <c r="A1689" s="1" t="s">
        <v>1693</v>
      </c>
      <c r="B1689" s="2">
        <v>45424</v>
      </c>
      <c r="C1689" s="2">
        <v>45424.796087962961</v>
      </c>
      <c r="D1689" s="2">
        <v>45425.311643518522</v>
      </c>
      <c r="E1689" s="2">
        <v>45425.353449074071</v>
      </c>
      <c r="F1689" s="3">
        <f t="shared" si="26"/>
        <v>0.55736111111036735</v>
      </c>
    </row>
    <row r="1690" spans="1:6" hidden="1">
      <c r="A1690" s="1" t="s">
        <v>1694</v>
      </c>
      <c r="B1690" s="2">
        <v>45424</v>
      </c>
      <c r="C1690" s="2">
        <v>45424.796087962961</v>
      </c>
      <c r="D1690" s="2">
        <v>45425.311574074076</v>
      </c>
      <c r="E1690" s="2">
        <v>45425.353437500002</v>
      </c>
      <c r="F1690" s="3">
        <f t="shared" si="26"/>
        <v>0.55734953704086365</v>
      </c>
    </row>
    <row r="1691" spans="1:6" hidden="1">
      <c r="A1691" s="1" t="s">
        <v>1695</v>
      </c>
      <c r="B1691" s="2">
        <v>45424</v>
      </c>
      <c r="C1691" s="2">
        <v>45425.477152777778</v>
      </c>
      <c r="D1691" s="2">
        <v>45425.461956018517</v>
      </c>
      <c r="E1691" s="2">
        <v>45425.471018518518</v>
      </c>
      <c r="F1691" s="6" t="s">
        <v>1708</v>
      </c>
    </row>
    <row r="1692" spans="1:6" hidden="1">
      <c r="A1692" s="1" t="s">
        <v>1696</v>
      </c>
      <c r="B1692" s="2">
        <v>45424</v>
      </c>
      <c r="C1692" s="2">
        <v>45425.477152777778</v>
      </c>
      <c r="D1692" s="2">
        <v>45425.455740740741</v>
      </c>
      <c r="E1692" s="2">
        <v>45425.470416666663</v>
      </c>
      <c r="F1692" s="6" t="s">
        <v>1708</v>
      </c>
    </row>
    <row r="1693" spans="1:6" hidden="1">
      <c r="A1693" s="1" t="s">
        <v>1697</v>
      </c>
      <c r="B1693" s="2">
        <v>45424</v>
      </c>
      <c r="C1693" s="2">
        <v>45425.477152777778</v>
      </c>
      <c r="D1693" s="2">
        <v>45425.458518518521</v>
      </c>
      <c r="E1693" s="2">
        <v>45425.469756944447</v>
      </c>
      <c r="F1693" s="6" t="s">
        <v>1708</v>
      </c>
    </row>
    <row r="1694" spans="1:6" hidden="1">
      <c r="A1694" s="1" t="s">
        <v>1698</v>
      </c>
      <c r="B1694" s="2">
        <v>45413</v>
      </c>
      <c r="C1694" s="2">
        <v>45414.247847222221</v>
      </c>
      <c r="D1694" s="2">
        <v>45425.401863425926</v>
      </c>
      <c r="E1694" s="2">
        <v>45425.444675925923</v>
      </c>
      <c r="F1694" s="3">
        <f t="shared" si="26"/>
        <v>11.196828703701613</v>
      </c>
    </row>
    <row r="1695" spans="1:6" hidden="1">
      <c r="A1695" s="1" t="s">
        <v>1699</v>
      </c>
      <c r="B1695" s="2">
        <v>45421</v>
      </c>
      <c r="C1695" s="2">
        <v>45421.40902777778</v>
      </c>
      <c r="D1695" s="2">
        <v>45425.457569444443</v>
      </c>
      <c r="E1695" s="2">
        <v>45425.465046296296</v>
      </c>
      <c r="F1695" s="3">
        <f t="shared" si="26"/>
        <v>4.0560185185167938</v>
      </c>
    </row>
    <row r="1696" spans="1:6" hidden="1">
      <c r="A1696" s="1" t="s">
        <v>1700</v>
      </c>
      <c r="B1696" s="2">
        <v>45423</v>
      </c>
      <c r="C1696" s="2">
        <v>45423.799502314818</v>
      </c>
      <c r="D1696" s="2">
        <v>45425.449490740742</v>
      </c>
      <c r="E1696" s="2">
        <v>45425.491481481484</v>
      </c>
      <c r="F1696" s="3">
        <f t="shared" si="26"/>
        <v>1.6919791666659876</v>
      </c>
    </row>
    <row r="1697" spans="1:6" hidden="1">
      <c r="A1697" s="1" t="s">
        <v>1701</v>
      </c>
      <c r="B1697" s="2">
        <v>45424</v>
      </c>
      <c r="C1697" s="2">
        <v>45425.729861111111</v>
      </c>
      <c r="D1697" s="2">
        <v>45425.646319444444</v>
      </c>
      <c r="E1697" s="2">
        <v>45425.688252314816</v>
      </c>
      <c r="F1697" s="6" t="s">
        <v>1708</v>
      </c>
    </row>
    <row r="1698" spans="1:6" hidden="1">
      <c r="A1698" s="1" t="s">
        <v>1702</v>
      </c>
      <c r="B1698" s="2">
        <v>45424</v>
      </c>
      <c r="C1698" s="2">
        <v>45425.729861111111</v>
      </c>
      <c r="D1698" s="2">
        <v>45425.650289351855</v>
      </c>
      <c r="E1698" s="2">
        <v>45425.692210648151</v>
      </c>
      <c r="F1698" s="6" t="s">
        <v>1708</v>
      </c>
    </row>
    <row r="1699" spans="1:6" hidden="1">
      <c r="A1699" s="1" t="s">
        <v>1703</v>
      </c>
      <c r="B1699" s="2">
        <v>45424</v>
      </c>
      <c r="C1699" s="2">
        <v>45424.796087962961</v>
      </c>
      <c r="D1699" s="2">
        <v>45425.698865740742</v>
      </c>
      <c r="E1699" s="2">
        <v>45425.720034722224</v>
      </c>
      <c r="F1699" s="3">
        <f t="shared" si="26"/>
        <v>0.92394675926334457</v>
      </c>
    </row>
    <row r="1700" spans="1:6" hidden="1">
      <c r="A1700" s="1" t="s">
        <v>1704</v>
      </c>
      <c r="B1700" s="2">
        <v>45424</v>
      </c>
      <c r="C1700" s="2">
        <v>45425.729861111111</v>
      </c>
      <c r="D1700" s="2">
        <v>45425.725254629629</v>
      </c>
      <c r="E1700" s="2">
        <v>45425.799756944441</v>
      </c>
      <c r="F1700" s="3">
        <f t="shared" si="26"/>
        <v>6.9895833330519963E-2</v>
      </c>
    </row>
    <row r="1701" spans="1:6" hidden="1">
      <c r="A1701" s="1" t="s">
        <v>1705</v>
      </c>
      <c r="B1701" s="2">
        <v>45424</v>
      </c>
      <c r="C1701" s="2">
        <v>45425.729861111111</v>
      </c>
      <c r="D1701" s="2">
        <v>45425.733564814815</v>
      </c>
      <c r="E1701" s="2">
        <v>45425.776805555557</v>
      </c>
      <c r="F1701" s="3">
        <f t="shared" si="26"/>
        <v>4.6944444446125999E-2</v>
      </c>
    </row>
    <row r="1702" spans="1:6" hidden="1">
      <c r="A1702" s="1" t="s">
        <v>1706</v>
      </c>
      <c r="B1702" s="2">
        <v>45422</v>
      </c>
      <c r="C1702" s="2">
        <v>45423.859976851854</v>
      </c>
      <c r="D1702" s="2">
        <v>45425.744270833333</v>
      </c>
      <c r="E1702" s="2">
        <v>45425.785300925927</v>
      </c>
      <c r="F1702" s="3">
        <f t="shared" si="26"/>
        <v>1.9253240740727051</v>
      </c>
    </row>
  </sheetData>
  <autoFilter ref="A1:F1702" xr:uid="{DCD87FB2-FBAD-479E-8D3B-F07ADE8FFAD3}">
    <filterColumn colId="4">
      <filters>
        <dateGroupItem year="2024" month="5" day="6" dateTimeGrouping="day"/>
        <dateGroupItem year="2024" month="5" day="7" dateTimeGrouping="day"/>
        <dateGroupItem year="2024" month="5" day="8" dateTimeGrouping="day"/>
        <dateGroupItem year="2024" month="5" day="9" dateTimeGrouping="day"/>
        <dateGroupItem year="2024" month="5" day="10" dateTimeGrouping="day"/>
        <dateGroupItem year="2024" month="5" day="11" dateTimeGrouping="day"/>
        <dateGroupItem year="2024" month="5" day="12" dateTimeGrouping="day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DB60-FC1C-450A-959D-7AE8BB3552A8}">
  <dimension ref="A1:G5161"/>
  <sheetViews>
    <sheetView workbookViewId="0">
      <selection activeCell="G6" sqref="G6:G20"/>
    </sheetView>
  </sheetViews>
  <sheetFormatPr defaultRowHeight="15.75"/>
  <cols>
    <col min="1" max="1" width="13.140625" style="1" customWidth="1"/>
    <col min="2" max="2" width="17.85546875" style="17" customWidth="1"/>
    <col min="3" max="3" width="10" style="17" customWidth="1"/>
    <col min="4" max="4" width="14.42578125" style="17" customWidth="1"/>
    <col min="5" max="5" width="31.5703125" style="18" customWidth="1"/>
    <col min="6" max="6" width="17.140625" style="18" bestFit="1" customWidth="1"/>
    <col min="7" max="7" width="12.5703125" style="17" bestFit="1" customWidth="1"/>
  </cols>
  <sheetData>
    <row r="1" spans="1:7">
      <c r="A1" s="7" t="s">
        <v>1729</v>
      </c>
      <c r="B1" s="8" t="s">
        <v>1730</v>
      </c>
      <c r="C1" s="8" t="s">
        <v>1731</v>
      </c>
      <c r="D1" s="8" t="s">
        <v>1732</v>
      </c>
      <c r="E1" s="8" t="s">
        <v>1733</v>
      </c>
      <c r="F1" s="8" t="s">
        <v>1734</v>
      </c>
      <c r="G1" s="8" t="s">
        <v>1735</v>
      </c>
    </row>
    <row r="2" spans="1:7">
      <c r="A2" s="9" t="s">
        <v>1711</v>
      </c>
      <c r="B2" s="9">
        <v>0.2</v>
      </c>
      <c r="C2" s="10">
        <v>2.2239999999999998</v>
      </c>
      <c r="D2" s="9" t="s">
        <v>1712</v>
      </c>
      <c r="E2" s="11" t="s">
        <v>1736</v>
      </c>
      <c r="F2" s="12" t="s">
        <v>1714</v>
      </c>
      <c r="G2" s="9" t="s">
        <v>1709</v>
      </c>
    </row>
    <row r="3" spans="1:7">
      <c r="A3" s="9" t="s">
        <v>1711</v>
      </c>
      <c r="B3" s="9">
        <v>0.2</v>
      </c>
      <c r="C3" s="10">
        <v>-5.2999999999999999E-2</v>
      </c>
      <c r="D3" s="9" t="s">
        <v>1709</v>
      </c>
      <c r="E3" s="11" t="s">
        <v>1710</v>
      </c>
      <c r="F3" s="12" t="s">
        <v>1710</v>
      </c>
      <c r="G3" s="9" t="s">
        <v>1709</v>
      </c>
    </row>
    <row r="4" spans="1:7">
      <c r="A4" s="9" t="s">
        <v>1711</v>
      </c>
      <c r="B4" s="9">
        <v>0.2</v>
      </c>
      <c r="C4" s="10">
        <v>-5.2999999999999999E-2</v>
      </c>
      <c r="D4" s="9" t="s">
        <v>1709</v>
      </c>
      <c r="E4" s="11" t="s">
        <v>1710</v>
      </c>
      <c r="F4" s="12" t="s">
        <v>1710</v>
      </c>
      <c r="G4" s="9" t="s">
        <v>1709</v>
      </c>
    </row>
    <row r="5" spans="1:7">
      <c r="A5" s="9" t="s">
        <v>1711</v>
      </c>
      <c r="B5" s="9">
        <v>0.2</v>
      </c>
      <c r="C5" s="10">
        <v>-5.8000000000000003E-2</v>
      </c>
      <c r="D5" s="9" t="s">
        <v>1709</v>
      </c>
      <c r="E5" s="11" t="s">
        <v>1710</v>
      </c>
      <c r="F5" s="12" t="s">
        <v>1710</v>
      </c>
      <c r="G5" s="9" t="s">
        <v>1709</v>
      </c>
    </row>
    <row r="6" spans="1:7">
      <c r="A6" s="9" t="s">
        <v>1711</v>
      </c>
      <c r="B6" s="13">
        <v>0.2</v>
      </c>
      <c r="C6" s="10">
        <v>0.27800000000000002</v>
      </c>
      <c r="D6" s="9" t="s">
        <v>1712</v>
      </c>
      <c r="E6" s="11" t="s">
        <v>1737</v>
      </c>
      <c r="F6" s="12" t="s">
        <v>1714</v>
      </c>
      <c r="G6" s="9" t="s">
        <v>1709</v>
      </c>
    </row>
    <row r="7" spans="1:7">
      <c r="A7" s="9" t="s">
        <v>1711</v>
      </c>
      <c r="B7" s="13">
        <v>0.2</v>
      </c>
      <c r="C7" s="10">
        <v>1.8599999999999999</v>
      </c>
      <c r="D7" s="9" t="s">
        <v>1712</v>
      </c>
      <c r="E7" s="11" t="s">
        <v>1738</v>
      </c>
      <c r="F7" s="12" t="s">
        <v>1714</v>
      </c>
      <c r="G7" s="9" t="s">
        <v>1709</v>
      </c>
    </row>
    <row r="8" spans="1:7">
      <c r="A8" s="9" t="s">
        <v>1711</v>
      </c>
      <c r="B8" s="13">
        <v>0.2</v>
      </c>
      <c r="C8" s="10">
        <v>0.47799999999999998</v>
      </c>
      <c r="D8" s="9" t="s">
        <v>1712</v>
      </c>
      <c r="E8" s="11" t="s">
        <v>1738</v>
      </c>
      <c r="F8" s="12" t="s">
        <v>1714</v>
      </c>
      <c r="G8" s="9" t="s">
        <v>1709</v>
      </c>
    </row>
    <row r="9" spans="1:7">
      <c r="A9" s="9" t="s">
        <v>1711</v>
      </c>
      <c r="B9" s="9">
        <v>0.2</v>
      </c>
      <c r="C9" s="10">
        <v>0.312</v>
      </c>
      <c r="D9" s="9" t="s">
        <v>1712</v>
      </c>
      <c r="E9" s="11" t="s">
        <v>1737</v>
      </c>
      <c r="F9" s="12" t="s">
        <v>1714</v>
      </c>
      <c r="G9" s="9" t="s">
        <v>1709</v>
      </c>
    </row>
    <row r="10" spans="1:7">
      <c r="A10" s="9" t="s">
        <v>1711</v>
      </c>
      <c r="B10" s="9">
        <v>0.2</v>
      </c>
      <c r="C10" s="10">
        <v>0.64100000000000001</v>
      </c>
      <c r="D10" s="9" t="s">
        <v>1712</v>
      </c>
      <c r="E10" s="11" t="s">
        <v>1738</v>
      </c>
      <c r="F10" s="12" t="s">
        <v>1714</v>
      </c>
      <c r="G10" s="9" t="s">
        <v>1709</v>
      </c>
    </row>
    <row r="11" spans="1:7">
      <c r="A11" s="9" t="s">
        <v>1711</v>
      </c>
      <c r="B11" s="9">
        <v>0.2</v>
      </c>
      <c r="C11" s="10">
        <v>0.64100000000000001</v>
      </c>
      <c r="D11" s="9" t="s">
        <v>1712</v>
      </c>
      <c r="E11" s="11" t="s">
        <v>1738</v>
      </c>
      <c r="F11" s="12" t="s">
        <v>1714</v>
      </c>
      <c r="G11" s="9" t="s">
        <v>1709</v>
      </c>
    </row>
    <row r="12" spans="1:7">
      <c r="A12" s="9" t="s">
        <v>1711</v>
      </c>
      <c r="B12" s="13">
        <v>0.2</v>
      </c>
      <c r="C12" s="10">
        <v>1.607</v>
      </c>
      <c r="D12" s="9" t="s">
        <v>1712</v>
      </c>
      <c r="E12" s="11" t="s">
        <v>1739</v>
      </c>
      <c r="F12" s="12" t="s">
        <v>1714</v>
      </c>
      <c r="G12" s="9" t="s">
        <v>1709</v>
      </c>
    </row>
    <row r="13" spans="1:7">
      <c r="A13" s="9" t="s">
        <v>1711</v>
      </c>
      <c r="B13" s="13">
        <v>0.2</v>
      </c>
      <c r="C13" s="10">
        <v>0.52900000000000003</v>
      </c>
      <c r="D13" s="9" t="s">
        <v>1712</v>
      </c>
      <c r="E13" s="11" t="s">
        <v>1715</v>
      </c>
      <c r="F13" s="12" t="s">
        <v>1714</v>
      </c>
      <c r="G13" s="9" t="s">
        <v>1709</v>
      </c>
    </row>
    <row r="14" spans="1:7">
      <c r="A14" s="9" t="s">
        <v>1711</v>
      </c>
      <c r="B14" s="9">
        <v>0.2</v>
      </c>
      <c r="C14" s="10">
        <v>2.2239999999999998</v>
      </c>
      <c r="D14" s="9" t="s">
        <v>1712</v>
      </c>
      <c r="E14" s="11" t="s">
        <v>1738</v>
      </c>
      <c r="F14" s="12" t="s">
        <v>1714</v>
      </c>
      <c r="G14" s="9" t="s">
        <v>1709</v>
      </c>
    </row>
    <row r="15" spans="1:7">
      <c r="A15" s="9" t="s">
        <v>1711</v>
      </c>
      <c r="B15" s="13">
        <v>0.2</v>
      </c>
      <c r="C15" s="10">
        <v>0.77400000000000002</v>
      </c>
      <c r="D15" s="9" t="s">
        <v>1712</v>
      </c>
      <c r="E15" s="11" t="s">
        <v>1737</v>
      </c>
      <c r="F15" s="12" t="s">
        <v>1714</v>
      </c>
      <c r="G15" s="9" t="s">
        <v>1709</v>
      </c>
    </row>
    <row r="16" spans="1:7">
      <c r="A16" s="9" t="s">
        <v>1711</v>
      </c>
      <c r="B16" s="9">
        <v>0.2</v>
      </c>
      <c r="C16" s="10">
        <v>1.6289999999999998</v>
      </c>
      <c r="D16" s="9" t="s">
        <v>1712</v>
      </c>
      <c r="E16" s="11" t="s">
        <v>1713</v>
      </c>
      <c r="F16" s="12" t="s">
        <v>1714</v>
      </c>
      <c r="G16" s="9" t="s">
        <v>1709</v>
      </c>
    </row>
    <row r="17" spans="1:7">
      <c r="A17" s="9" t="s">
        <v>1711</v>
      </c>
      <c r="B17" s="9">
        <v>0.2</v>
      </c>
      <c r="C17" s="10">
        <v>1.6289999999999998</v>
      </c>
      <c r="D17" s="9" t="s">
        <v>1712</v>
      </c>
      <c r="E17" s="11" t="s">
        <v>1713</v>
      </c>
      <c r="F17" s="12" t="s">
        <v>1714</v>
      </c>
      <c r="G17" s="9" t="s">
        <v>1709</v>
      </c>
    </row>
    <row r="18" spans="1:7">
      <c r="A18" s="9" t="s">
        <v>1711</v>
      </c>
      <c r="B18" s="9">
        <v>0.2</v>
      </c>
      <c r="C18" s="10">
        <v>1.6289999999999998</v>
      </c>
      <c r="D18" s="9" t="s">
        <v>1712</v>
      </c>
      <c r="E18" s="11" t="s">
        <v>1713</v>
      </c>
      <c r="F18" s="12" t="s">
        <v>1714</v>
      </c>
      <c r="G18" s="9" t="s">
        <v>1709</v>
      </c>
    </row>
    <row r="19" spans="1:7">
      <c r="A19" s="9" t="s">
        <v>1711</v>
      </c>
      <c r="B19" s="9">
        <v>0.2</v>
      </c>
      <c r="C19" s="10">
        <v>1.6289999999999998</v>
      </c>
      <c r="D19" s="9" t="s">
        <v>1712</v>
      </c>
      <c r="E19" s="11" t="s">
        <v>1713</v>
      </c>
      <c r="F19" s="12" t="s">
        <v>1714</v>
      </c>
      <c r="G19" s="9" t="s">
        <v>1709</v>
      </c>
    </row>
    <row r="20" spans="1:7">
      <c r="A20" s="9" t="s">
        <v>1711</v>
      </c>
      <c r="B20" s="9">
        <v>0.2</v>
      </c>
      <c r="C20" s="10">
        <v>0.27500000000000002</v>
      </c>
      <c r="D20" s="9" t="s">
        <v>1712</v>
      </c>
      <c r="E20" s="11" t="s">
        <v>1737</v>
      </c>
      <c r="F20" s="12" t="s">
        <v>1714</v>
      </c>
      <c r="G20" s="9" t="s">
        <v>1709</v>
      </c>
    </row>
    <row r="21" spans="1:7">
      <c r="A21" s="9" t="s">
        <v>1711</v>
      </c>
      <c r="B21" s="9">
        <v>0.2</v>
      </c>
      <c r="C21" s="10">
        <v>-0.123</v>
      </c>
      <c r="D21" s="9" t="s">
        <v>1709</v>
      </c>
      <c r="E21" s="11" t="s">
        <v>1710</v>
      </c>
      <c r="F21" s="12" t="s">
        <v>1710</v>
      </c>
      <c r="G21" s="9" t="s">
        <v>1709</v>
      </c>
    </row>
    <row r="22" spans="1:7">
      <c r="A22" s="9" t="s">
        <v>1711</v>
      </c>
      <c r="B22" s="9">
        <v>0.2</v>
      </c>
      <c r="C22" s="10">
        <v>-0.123</v>
      </c>
      <c r="D22" s="9" t="s">
        <v>1709</v>
      </c>
      <c r="E22" s="11" t="s">
        <v>1710</v>
      </c>
      <c r="F22" s="12" t="s">
        <v>1710</v>
      </c>
      <c r="G22" s="9" t="s">
        <v>1709</v>
      </c>
    </row>
    <row r="23" spans="1:7">
      <c r="A23" s="9" t="s">
        <v>1711</v>
      </c>
      <c r="B23" s="13">
        <v>0.2</v>
      </c>
      <c r="C23" s="10">
        <v>-0.123</v>
      </c>
      <c r="D23" s="9" t="s">
        <v>1709</v>
      </c>
      <c r="E23" s="11" t="s">
        <v>1710</v>
      </c>
      <c r="F23" s="12" t="s">
        <v>1710</v>
      </c>
      <c r="G23" s="9" t="s">
        <v>1709</v>
      </c>
    </row>
    <row r="24" spans="1:7">
      <c r="A24" s="9" t="s">
        <v>1711</v>
      </c>
      <c r="B24" s="13">
        <v>0.2</v>
      </c>
      <c r="C24" s="10">
        <v>0.64100000000000001</v>
      </c>
      <c r="D24" s="9" t="s">
        <v>1712</v>
      </c>
      <c r="E24" s="11" t="s">
        <v>1713</v>
      </c>
      <c r="F24" s="12" t="s">
        <v>1714</v>
      </c>
      <c r="G24" s="9" t="s">
        <v>1709</v>
      </c>
    </row>
    <row r="25" spans="1:7">
      <c r="A25" s="9" t="s">
        <v>1711</v>
      </c>
      <c r="B25" s="13">
        <v>0.2</v>
      </c>
      <c r="C25" s="10">
        <v>0.64100000000000001</v>
      </c>
      <c r="D25" s="9" t="s">
        <v>1712</v>
      </c>
      <c r="E25" s="11" t="s">
        <v>1737</v>
      </c>
      <c r="F25" s="12" t="s">
        <v>1714</v>
      </c>
      <c r="G25" s="9" t="s">
        <v>1709</v>
      </c>
    </row>
    <row r="26" spans="1:7">
      <c r="A26" s="9" t="s">
        <v>1711</v>
      </c>
      <c r="B26" s="13">
        <v>0.2</v>
      </c>
      <c r="C26" s="10">
        <v>0.64100000000000001</v>
      </c>
      <c r="D26" s="9" t="s">
        <v>1712</v>
      </c>
      <c r="E26" s="11" t="s">
        <v>1738</v>
      </c>
      <c r="F26" s="12" t="s">
        <v>1714</v>
      </c>
      <c r="G26" s="9" t="s">
        <v>1709</v>
      </c>
    </row>
    <row r="27" spans="1:7">
      <c r="A27" s="9" t="s">
        <v>1711</v>
      </c>
      <c r="B27" s="13">
        <v>0.2</v>
      </c>
      <c r="C27" s="10">
        <v>0.64100000000000001</v>
      </c>
      <c r="D27" s="9" t="s">
        <v>1712</v>
      </c>
      <c r="E27" s="11" t="s">
        <v>1737</v>
      </c>
      <c r="F27" s="12" t="s">
        <v>1714</v>
      </c>
      <c r="G27" s="9" t="s">
        <v>1709</v>
      </c>
    </row>
    <row r="28" spans="1:7">
      <c r="A28" s="9" t="s">
        <v>1711</v>
      </c>
      <c r="B28" s="13">
        <v>0.2</v>
      </c>
      <c r="C28" s="10">
        <v>0.64100000000000001</v>
      </c>
      <c r="D28" s="9" t="s">
        <v>1712</v>
      </c>
      <c r="E28" s="11" t="s">
        <v>1738</v>
      </c>
      <c r="F28" s="12" t="s">
        <v>1714</v>
      </c>
      <c r="G28" s="9" t="s">
        <v>1709</v>
      </c>
    </row>
    <row r="29" spans="1:7">
      <c r="A29" s="9" t="s">
        <v>1711</v>
      </c>
      <c r="B29" s="13">
        <v>0.2</v>
      </c>
      <c r="C29" s="10">
        <v>0.77400000000000002</v>
      </c>
      <c r="D29" s="9" t="s">
        <v>1712</v>
      </c>
      <c r="E29" s="11" t="s">
        <v>1737</v>
      </c>
      <c r="F29" s="12" t="s">
        <v>1714</v>
      </c>
      <c r="G29" s="9" t="s">
        <v>1709</v>
      </c>
    </row>
    <row r="30" spans="1:7">
      <c r="A30" s="9" t="s">
        <v>1711</v>
      </c>
      <c r="B30" s="13">
        <v>0.2</v>
      </c>
      <c r="C30" s="10">
        <v>3.198</v>
      </c>
      <c r="D30" s="9" t="s">
        <v>1712</v>
      </c>
      <c r="E30" s="11" t="s">
        <v>1738</v>
      </c>
      <c r="F30" s="12" t="s">
        <v>1714</v>
      </c>
      <c r="G30" s="9" t="s">
        <v>1709</v>
      </c>
    </row>
    <row r="31" spans="1:7">
      <c r="A31" s="9" t="s">
        <v>1711</v>
      </c>
      <c r="B31" s="13">
        <v>0.2</v>
      </c>
      <c r="C31" s="10">
        <v>1.843</v>
      </c>
      <c r="D31" s="9" t="s">
        <v>1712</v>
      </c>
      <c r="E31" s="11" t="s">
        <v>1715</v>
      </c>
      <c r="F31" s="12" t="s">
        <v>1714</v>
      </c>
      <c r="G31" s="9" t="s">
        <v>1709</v>
      </c>
    </row>
    <row r="32" spans="1:7">
      <c r="A32" s="9" t="s">
        <v>1711</v>
      </c>
      <c r="B32" s="13">
        <v>0.2</v>
      </c>
      <c r="C32" s="10">
        <v>-3.4000000000000002E-2</v>
      </c>
      <c r="D32" s="9" t="s">
        <v>1709</v>
      </c>
      <c r="E32" s="11" t="s">
        <v>1710</v>
      </c>
      <c r="F32" s="12" t="s">
        <v>1710</v>
      </c>
      <c r="G32" s="9" t="s">
        <v>1709</v>
      </c>
    </row>
    <row r="33" spans="1:7">
      <c r="A33" s="9" t="s">
        <v>1711</v>
      </c>
      <c r="B33" s="13">
        <v>0.2</v>
      </c>
      <c r="C33" s="10">
        <v>0.29799999999999999</v>
      </c>
      <c r="D33" s="9" t="s">
        <v>1712</v>
      </c>
      <c r="E33" s="11" t="s">
        <v>1736</v>
      </c>
      <c r="F33" s="12" t="s">
        <v>1714</v>
      </c>
      <c r="G33" s="9" t="s">
        <v>1709</v>
      </c>
    </row>
    <row r="34" spans="1:7">
      <c r="A34" s="9" t="s">
        <v>1711</v>
      </c>
      <c r="B34" s="13">
        <v>0.2</v>
      </c>
      <c r="C34" s="10">
        <v>1.607</v>
      </c>
      <c r="D34" s="9" t="s">
        <v>1712</v>
      </c>
      <c r="E34" s="11" t="s">
        <v>1736</v>
      </c>
      <c r="F34" s="12" t="s">
        <v>1714</v>
      </c>
      <c r="G34" s="9" t="s">
        <v>1709</v>
      </c>
    </row>
    <row r="35" spans="1:7">
      <c r="A35" s="9" t="s">
        <v>1711</v>
      </c>
      <c r="B35" s="9">
        <v>0.2</v>
      </c>
      <c r="C35" s="10">
        <v>1.607</v>
      </c>
      <c r="D35" s="9" t="s">
        <v>1712</v>
      </c>
      <c r="E35" s="11" t="s">
        <v>1736</v>
      </c>
      <c r="F35" s="12" t="s">
        <v>1714</v>
      </c>
      <c r="G35" s="9" t="s">
        <v>1709</v>
      </c>
    </row>
    <row r="36" spans="1:7">
      <c r="A36" s="9" t="s">
        <v>1711</v>
      </c>
      <c r="B36" s="9">
        <v>0.2</v>
      </c>
      <c r="C36" s="10">
        <v>0.309</v>
      </c>
      <c r="D36" s="9" t="s">
        <v>1712</v>
      </c>
      <c r="E36" s="11" t="s">
        <v>1737</v>
      </c>
      <c r="F36" s="12" t="s">
        <v>1714</v>
      </c>
      <c r="G36" s="9" t="s">
        <v>1709</v>
      </c>
    </row>
    <row r="37" spans="1:7">
      <c r="A37" s="9" t="s">
        <v>1711</v>
      </c>
      <c r="B37" s="9">
        <v>0.2</v>
      </c>
      <c r="C37" s="10">
        <v>-0.14399999999999999</v>
      </c>
      <c r="D37" s="9" t="s">
        <v>1709</v>
      </c>
      <c r="E37" s="11" t="s">
        <v>1710</v>
      </c>
      <c r="F37" s="12" t="s">
        <v>1710</v>
      </c>
      <c r="G37" s="9" t="s">
        <v>1709</v>
      </c>
    </row>
    <row r="38" spans="1:7">
      <c r="A38" s="9" t="s">
        <v>1711</v>
      </c>
      <c r="B38" s="13">
        <v>0.2</v>
      </c>
      <c r="C38" s="10">
        <v>-9.2999999999999999E-2</v>
      </c>
      <c r="D38" s="9" t="s">
        <v>1709</v>
      </c>
      <c r="E38" s="11" t="s">
        <v>1710</v>
      </c>
      <c r="F38" s="12" t="s">
        <v>1710</v>
      </c>
      <c r="G38" s="9" t="s">
        <v>1709</v>
      </c>
    </row>
    <row r="39" spans="1:7">
      <c r="A39" s="9" t="s">
        <v>1711</v>
      </c>
      <c r="B39" s="13">
        <v>0.2</v>
      </c>
      <c r="C39" s="10">
        <v>-8.2000000000000003E-2</v>
      </c>
      <c r="D39" s="9" t="s">
        <v>1709</v>
      </c>
      <c r="E39" s="11" t="s">
        <v>1710</v>
      </c>
      <c r="F39" s="12" t="s">
        <v>1710</v>
      </c>
      <c r="G39" s="9" t="s">
        <v>1709</v>
      </c>
    </row>
    <row r="40" spans="1:7">
      <c r="A40" s="9" t="s">
        <v>1711</v>
      </c>
      <c r="B40" s="13">
        <v>0.2</v>
      </c>
      <c r="C40" s="10">
        <v>0.75600000000000001</v>
      </c>
      <c r="D40" s="9" t="s">
        <v>1712</v>
      </c>
      <c r="E40" s="11" t="s">
        <v>1736</v>
      </c>
      <c r="F40" s="12" t="s">
        <v>1714</v>
      </c>
      <c r="G40" s="9" t="s">
        <v>1709</v>
      </c>
    </row>
    <row r="41" spans="1:7">
      <c r="A41" s="9" t="s">
        <v>1711</v>
      </c>
      <c r="B41" s="9">
        <v>0.2</v>
      </c>
      <c r="C41" s="10">
        <v>-3.5000000000000003E-2</v>
      </c>
      <c r="D41" s="9" t="s">
        <v>1709</v>
      </c>
      <c r="E41" s="11" t="s">
        <v>1710</v>
      </c>
      <c r="F41" s="12" t="s">
        <v>1710</v>
      </c>
      <c r="G41" s="9" t="s">
        <v>1709</v>
      </c>
    </row>
    <row r="42" spans="1:7">
      <c r="A42" s="9" t="s">
        <v>1711</v>
      </c>
      <c r="B42" s="9">
        <v>0.2</v>
      </c>
      <c r="C42" s="10">
        <v>-7.1000000000000008E-2</v>
      </c>
      <c r="D42" s="9" t="s">
        <v>1709</v>
      </c>
      <c r="E42" s="11" t="s">
        <v>1710</v>
      </c>
      <c r="F42" s="12" t="s">
        <v>1710</v>
      </c>
      <c r="G42" s="9" t="s">
        <v>1709</v>
      </c>
    </row>
    <row r="43" spans="1:7">
      <c r="A43" s="9" t="s">
        <v>1711</v>
      </c>
      <c r="B43" s="13">
        <v>0.2</v>
      </c>
      <c r="C43" s="10">
        <v>0.186</v>
      </c>
      <c r="D43" s="9" t="s">
        <v>1712</v>
      </c>
      <c r="E43" s="11" t="s">
        <v>1736</v>
      </c>
      <c r="F43" s="12" t="s">
        <v>1714</v>
      </c>
      <c r="G43" s="9" t="s">
        <v>1709</v>
      </c>
    </row>
    <row r="44" spans="1:7">
      <c r="A44" s="9" t="s">
        <v>1711</v>
      </c>
      <c r="B44" s="9">
        <v>0.2</v>
      </c>
      <c r="C44" s="10">
        <v>0.11800000000000001</v>
      </c>
      <c r="D44" s="9" t="s">
        <v>1712</v>
      </c>
      <c r="E44" s="11" t="s">
        <v>1736</v>
      </c>
      <c r="F44" s="12" t="s">
        <v>1714</v>
      </c>
      <c r="G44" s="9" t="s">
        <v>1709</v>
      </c>
    </row>
    <row r="45" spans="1:7">
      <c r="A45" s="9" t="s">
        <v>1711</v>
      </c>
      <c r="B45" s="9">
        <v>0.2</v>
      </c>
      <c r="C45" s="10">
        <v>0.20100000000000001</v>
      </c>
      <c r="D45" s="9" t="s">
        <v>1712</v>
      </c>
      <c r="E45" s="11" t="s">
        <v>1736</v>
      </c>
      <c r="F45" s="12" t="s">
        <v>1714</v>
      </c>
      <c r="G45" s="9" t="s">
        <v>1709</v>
      </c>
    </row>
    <row r="46" spans="1:7">
      <c r="A46" s="9" t="s">
        <v>1711</v>
      </c>
      <c r="B46" s="9">
        <v>0.2</v>
      </c>
      <c r="C46" s="10">
        <v>7.6999999999999999E-2</v>
      </c>
      <c r="D46" s="9" t="s">
        <v>1712</v>
      </c>
      <c r="E46" s="11" t="s">
        <v>1736</v>
      </c>
      <c r="F46" s="12" t="s">
        <v>1714</v>
      </c>
      <c r="G46" s="9" t="s">
        <v>1709</v>
      </c>
    </row>
    <row r="47" spans="1:7">
      <c r="A47" s="9" t="s">
        <v>1711</v>
      </c>
      <c r="B47" s="9">
        <v>0.2</v>
      </c>
      <c r="C47" s="10">
        <v>1.0299999999999998</v>
      </c>
      <c r="D47" s="9" t="s">
        <v>1712</v>
      </c>
      <c r="E47" s="11" t="s">
        <v>1736</v>
      </c>
      <c r="F47" s="12" t="s">
        <v>1714</v>
      </c>
      <c r="G47" s="9" t="s">
        <v>1709</v>
      </c>
    </row>
    <row r="48" spans="1:7">
      <c r="A48" s="9" t="s">
        <v>1711</v>
      </c>
      <c r="B48" s="9">
        <v>0.2</v>
      </c>
      <c r="C48" s="10">
        <v>1.0299999999999998</v>
      </c>
      <c r="D48" s="9" t="s">
        <v>1712</v>
      </c>
      <c r="E48" s="11" t="s">
        <v>1736</v>
      </c>
      <c r="F48" s="12" t="s">
        <v>1714</v>
      </c>
      <c r="G48" s="9" t="s">
        <v>1709</v>
      </c>
    </row>
    <row r="49" spans="1:7">
      <c r="A49" s="9" t="s">
        <v>1711</v>
      </c>
      <c r="B49" s="9">
        <v>0.2</v>
      </c>
      <c r="C49" s="10">
        <v>-0.19800000000000001</v>
      </c>
      <c r="D49" s="9" t="s">
        <v>1709</v>
      </c>
      <c r="E49" s="11" t="s">
        <v>1710</v>
      </c>
      <c r="F49" s="12" t="s">
        <v>1710</v>
      </c>
      <c r="G49" s="9" t="s">
        <v>1709</v>
      </c>
    </row>
    <row r="50" spans="1:7">
      <c r="A50" s="9" t="s">
        <v>1711</v>
      </c>
      <c r="B50" s="9">
        <v>0.2</v>
      </c>
      <c r="C50" s="10">
        <v>-0.19800000000000001</v>
      </c>
      <c r="D50" s="9" t="s">
        <v>1709</v>
      </c>
      <c r="E50" s="11" t="s">
        <v>1710</v>
      </c>
      <c r="F50" s="12" t="s">
        <v>1710</v>
      </c>
      <c r="G50" s="9" t="s">
        <v>1709</v>
      </c>
    </row>
    <row r="51" spans="1:7">
      <c r="A51" s="9" t="s">
        <v>1711</v>
      </c>
      <c r="B51" s="9">
        <v>0.2</v>
      </c>
      <c r="C51" s="10">
        <v>-0.19800000000000001</v>
      </c>
      <c r="D51" s="9" t="s">
        <v>1709</v>
      </c>
      <c r="E51" s="11" t="s">
        <v>1710</v>
      </c>
      <c r="F51" s="12" t="s">
        <v>1710</v>
      </c>
      <c r="G51" s="9" t="s">
        <v>1709</v>
      </c>
    </row>
    <row r="52" spans="1:7">
      <c r="A52" s="9" t="s">
        <v>1711</v>
      </c>
      <c r="B52" s="9">
        <v>0.2</v>
      </c>
      <c r="C52" s="10">
        <v>-0.19800000000000001</v>
      </c>
      <c r="D52" s="9" t="s">
        <v>1709</v>
      </c>
      <c r="E52" s="11" t="s">
        <v>1710</v>
      </c>
      <c r="F52" s="12" t="s">
        <v>1710</v>
      </c>
      <c r="G52" s="9" t="s">
        <v>1709</v>
      </c>
    </row>
    <row r="53" spans="1:7">
      <c r="A53" s="9" t="s">
        <v>1711</v>
      </c>
      <c r="B53" s="9">
        <v>0.2</v>
      </c>
      <c r="C53" s="10">
        <v>-0.19800000000000001</v>
      </c>
      <c r="D53" s="9" t="s">
        <v>1709</v>
      </c>
      <c r="E53" s="11" t="s">
        <v>1710</v>
      </c>
      <c r="F53" s="12" t="s">
        <v>1710</v>
      </c>
      <c r="G53" s="9" t="s">
        <v>1709</v>
      </c>
    </row>
    <row r="54" spans="1:7">
      <c r="A54" s="9" t="s">
        <v>1711</v>
      </c>
      <c r="B54" s="13">
        <v>0.2</v>
      </c>
      <c r="C54" s="10">
        <v>0.79300000000000004</v>
      </c>
      <c r="D54" s="9" t="s">
        <v>1712</v>
      </c>
      <c r="E54" s="11" t="s">
        <v>1736</v>
      </c>
      <c r="F54" s="12" t="s">
        <v>1714</v>
      </c>
      <c r="G54" s="9" t="s">
        <v>1709</v>
      </c>
    </row>
    <row r="55" spans="1:7">
      <c r="A55" s="9" t="s">
        <v>1711</v>
      </c>
      <c r="B55" s="13">
        <v>0.2</v>
      </c>
      <c r="C55" s="10">
        <v>0.79300000000000004</v>
      </c>
      <c r="D55" s="9" t="s">
        <v>1712</v>
      </c>
      <c r="E55" s="11" t="s">
        <v>1736</v>
      </c>
      <c r="F55" s="12" t="s">
        <v>1714</v>
      </c>
      <c r="G55" s="9" t="s">
        <v>1709</v>
      </c>
    </row>
    <row r="56" spans="1:7">
      <c r="A56" s="9" t="s">
        <v>1711</v>
      </c>
      <c r="B56" s="13">
        <v>0.2</v>
      </c>
      <c r="C56" s="10">
        <v>0.79300000000000004</v>
      </c>
      <c r="D56" s="9" t="s">
        <v>1712</v>
      </c>
      <c r="E56" s="11" t="s">
        <v>1736</v>
      </c>
      <c r="F56" s="12" t="s">
        <v>1714</v>
      </c>
      <c r="G56" s="9" t="s">
        <v>1709</v>
      </c>
    </row>
    <row r="57" spans="1:7">
      <c r="A57" s="9" t="s">
        <v>1711</v>
      </c>
      <c r="B57" s="13">
        <v>0.2</v>
      </c>
      <c r="C57" s="10">
        <v>0.79300000000000004</v>
      </c>
      <c r="D57" s="9" t="s">
        <v>1712</v>
      </c>
      <c r="E57" s="11" t="s">
        <v>1736</v>
      </c>
      <c r="F57" s="12" t="s">
        <v>1714</v>
      </c>
      <c r="G57" s="9" t="s">
        <v>1709</v>
      </c>
    </row>
    <row r="58" spans="1:7">
      <c r="A58" s="9" t="s">
        <v>1711</v>
      </c>
      <c r="B58" s="13">
        <v>0.2</v>
      </c>
      <c r="C58" s="10">
        <v>-2.8000000000000001E-2</v>
      </c>
      <c r="D58" s="9" t="s">
        <v>1709</v>
      </c>
      <c r="E58" s="11" t="s">
        <v>1710</v>
      </c>
      <c r="F58" s="12" t="s">
        <v>1710</v>
      </c>
      <c r="G58" s="9" t="s">
        <v>1709</v>
      </c>
    </row>
    <row r="59" spans="1:7">
      <c r="A59" s="9" t="s">
        <v>1711</v>
      </c>
      <c r="B59" s="13">
        <v>0.2</v>
      </c>
      <c r="C59" s="10">
        <v>-7.6999999999999999E-2</v>
      </c>
      <c r="D59" s="9" t="s">
        <v>1709</v>
      </c>
      <c r="E59" s="11" t="s">
        <v>1710</v>
      </c>
      <c r="F59" s="12" t="s">
        <v>1710</v>
      </c>
      <c r="G59" s="9" t="s">
        <v>1709</v>
      </c>
    </row>
    <row r="60" spans="1:7">
      <c r="A60" s="9" t="s">
        <v>1711</v>
      </c>
      <c r="B60" s="13">
        <v>0.2</v>
      </c>
      <c r="C60" s="10">
        <v>-7.6999999999999999E-2</v>
      </c>
      <c r="D60" s="9" t="s">
        <v>1709</v>
      </c>
      <c r="E60" s="11" t="s">
        <v>1710</v>
      </c>
      <c r="F60" s="12" t="s">
        <v>1710</v>
      </c>
      <c r="G60" s="9" t="s">
        <v>1709</v>
      </c>
    </row>
    <row r="61" spans="1:7">
      <c r="A61" s="9" t="s">
        <v>1711</v>
      </c>
      <c r="B61" s="13">
        <v>0.2</v>
      </c>
      <c r="C61" s="10">
        <v>-7.6999999999999999E-2</v>
      </c>
      <c r="D61" s="9" t="s">
        <v>1709</v>
      </c>
      <c r="E61" s="11" t="s">
        <v>1710</v>
      </c>
      <c r="F61" s="12" t="s">
        <v>1710</v>
      </c>
      <c r="G61" s="9" t="s">
        <v>1709</v>
      </c>
    </row>
    <row r="62" spans="1:7">
      <c r="A62" s="9" t="s">
        <v>1711</v>
      </c>
      <c r="B62" s="9">
        <v>0.2</v>
      </c>
      <c r="C62" s="10">
        <v>0.375</v>
      </c>
      <c r="D62" s="9" t="s">
        <v>1712</v>
      </c>
      <c r="E62" s="11" t="s">
        <v>1738</v>
      </c>
      <c r="F62" s="12" t="s">
        <v>1714</v>
      </c>
      <c r="G62" s="9" t="s">
        <v>1709</v>
      </c>
    </row>
    <row r="63" spans="1:7">
      <c r="A63" s="9" t="s">
        <v>1711</v>
      </c>
      <c r="B63" s="9">
        <v>0.2</v>
      </c>
      <c r="C63" s="10">
        <v>0.375</v>
      </c>
      <c r="D63" s="9" t="s">
        <v>1712</v>
      </c>
      <c r="E63" s="11" t="s">
        <v>1736</v>
      </c>
      <c r="F63" s="12" t="s">
        <v>1714</v>
      </c>
      <c r="G63" s="9" t="s">
        <v>1709</v>
      </c>
    </row>
    <row r="64" spans="1:7">
      <c r="A64" s="9" t="s">
        <v>1711</v>
      </c>
      <c r="B64" s="9">
        <v>0.2</v>
      </c>
      <c r="C64" s="10">
        <v>-0.19400000000000001</v>
      </c>
      <c r="D64" s="9" t="s">
        <v>1709</v>
      </c>
      <c r="E64" s="11" t="s">
        <v>1710</v>
      </c>
      <c r="F64" s="12" t="s">
        <v>1710</v>
      </c>
      <c r="G64" s="9" t="s">
        <v>1709</v>
      </c>
    </row>
    <row r="65" spans="1:7">
      <c r="A65" s="9" t="s">
        <v>1711</v>
      </c>
      <c r="B65" s="13">
        <v>0.2</v>
      </c>
      <c r="C65" s="10">
        <v>1.601</v>
      </c>
      <c r="D65" s="9" t="s">
        <v>1712</v>
      </c>
      <c r="E65" s="11" t="s">
        <v>1737</v>
      </c>
      <c r="F65" s="12" t="s">
        <v>1714</v>
      </c>
      <c r="G65" s="9" t="s">
        <v>1709</v>
      </c>
    </row>
    <row r="66" spans="1:7">
      <c r="A66" s="9" t="s">
        <v>1711</v>
      </c>
      <c r="B66" s="13">
        <v>0.2</v>
      </c>
      <c r="C66" s="10">
        <v>0.14100000000000001</v>
      </c>
      <c r="D66" s="9" t="s">
        <v>1712</v>
      </c>
      <c r="E66" s="11" t="s">
        <v>1737</v>
      </c>
      <c r="F66" s="12" t="s">
        <v>1714</v>
      </c>
      <c r="G66" s="9" t="s">
        <v>1709</v>
      </c>
    </row>
    <row r="67" spans="1:7">
      <c r="A67" s="9" t="s">
        <v>1711</v>
      </c>
      <c r="B67" s="9">
        <v>0.2</v>
      </c>
      <c r="C67" s="10">
        <v>1.4389999999999998</v>
      </c>
      <c r="D67" s="9" t="s">
        <v>1712</v>
      </c>
      <c r="E67" s="11" t="s">
        <v>1738</v>
      </c>
      <c r="F67" s="12" t="s">
        <v>1714</v>
      </c>
      <c r="G67" s="9" t="s">
        <v>1709</v>
      </c>
    </row>
    <row r="68" spans="1:7">
      <c r="A68" s="9" t="s">
        <v>1711</v>
      </c>
      <c r="B68" s="13">
        <v>0.2</v>
      </c>
      <c r="C68" s="10">
        <v>-8.1000000000000003E-2</v>
      </c>
      <c r="D68" s="9" t="s">
        <v>1709</v>
      </c>
      <c r="E68" s="11" t="s">
        <v>1710</v>
      </c>
      <c r="F68" s="12" t="s">
        <v>1710</v>
      </c>
      <c r="G68" s="9" t="s">
        <v>1709</v>
      </c>
    </row>
    <row r="69" spans="1:7">
      <c r="A69" s="9" t="s">
        <v>1711</v>
      </c>
      <c r="B69" s="9">
        <v>0.2</v>
      </c>
      <c r="C69" s="10">
        <v>-9.1999999999999998E-2</v>
      </c>
      <c r="D69" s="9" t="s">
        <v>1709</v>
      </c>
      <c r="E69" s="11" t="s">
        <v>1710</v>
      </c>
      <c r="F69" s="12" t="s">
        <v>1710</v>
      </c>
      <c r="G69" s="9" t="s">
        <v>1709</v>
      </c>
    </row>
    <row r="70" spans="1:7">
      <c r="A70" s="9" t="s">
        <v>1711</v>
      </c>
      <c r="B70" s="9">
        <v>0.2</v>
      </c>
      <c r="C70" s="10">
        <v>-4.3000000000000003E-2</v>
      </c>
      <c r="D70" s="9" t="s">
        <v>1709</v>
      </c>
      <c r="E70" s="11" t="s">
        <v>1710</v>
      </c>
      <c r="F70" s="12" t="s">
        <v>1710</v>
      </c>
      <c r="G70" s="9" t="s">
        <v>1709</v>
      </c>
    </row>
    <row r="71" spans="1:7">
      <c r="A71" s="9" t="s">
        <v>1711</v>
      </c>
      <c r="B71" s="9">
        <v>0.2</v>
      </c>
      <c r="C71" s="10">
        <v>-8.3000000000000004E-2</v>
      </c>
      <c r="D71" s="9" t="s">
        <v>1709</v>
      </c>
      <c r="E71" s="11" t="s">
        <v>1710</v>
      </c>
      <c r="F71" s="12" t="s">
        <v>1710</v>
      </c>
      <c r="G71" s="9" t="s">
        <v>1709</v>
      </c>
    </row>
    <row r="72" spans="1:7">
      <c r="A72" s="9" t="s">
        <v>1711</v>
      </c>
      <c r="B72" s="9">
        <v>0.2</v>
      </c>
      <c r="C72" s="10">
        <v>0.79400000000000004</v>
      </c>
      <c r="D72" s="9" t="s">
        <v>1712</v>
      </c>
      <c r="E72" s="11" t="s">
        <v>1736</v>
      </c>
      <c r="F72" s="12" t="s">
        <v>1714</v>
      </c>
      <c r="G72" s="9" t="s">
        <v>1709</v>
      </c>
    </row>
    <row r="73" spans="1:7">
      <c r="A73" s="9" t="s">
        <v>1711</v>
      </c>
      <c r="B73" s="9">
        <v>0.2</v>
      </c>
      <c r="C73" s="10">
        <v>-1.3999999999999999E-2</v>
      </c>
      <c r="D73" s="9" t="s">
        <v>1709</v>
      </c>
      <c r="E73" s="11" t="s">
        <v>1710</v>
      </c>
      <c r="F73" s="12" t="s">
        <v>1710</v>
      </c>
      <c r="G73" s="9" t="s">
        <v>1709</v>
      </c>
    </row>
    <row r="74" spans="1:7">
      <c r="A74" s="9" t="s">
        <v>1711</v>
      </c>
      <c r="B74" s="9">
        <v>0.2</v>
      </c>
      <c r="C74" s="10">
        <v>7.4999999999999997E-2</v>
      </c>
      <c r="D74" s="9" t="s">
        <v>1712</v>
      </c>
      <c r="E74" s="11" t="s">
        <v>1713</v>
      </c>
      <c r="F74" s="12" t="s">
        <v>1714</v>
      </c>
      <c r="G74" s="9" t="s">
        <v>1709</v>
      </c>
    </row>
    <row r="75" spans="1:7">
      <c r="A75" s="9" t="s">
        <v>1711</v>
      </c>
      <c r="B75" s="9">
        <v>0.2</v>
      </c>
      <c r="C75" s="10">
        <v>7.3999999999999996E-2</v>
      </c>
      <c r="D75" s="9" t="s">
        <v>1712</v>
      </c>
      <c r="E75" s="11" t="s">
        <v>1713</v>
      </c>
      <c r="F75" s="12" t="s">
        <v>1714</v>
      </c>
      <c r="G75" s="9" t="s">
        <v>1709</v>
      </c>
    </row>
    <row r="76" spans="1:7">
      <c r="A76" s="9" t="s">
        <v>1711</v>
      </c>
      <c r="B76" s="9">
        <v>0.2</v>
      </c>
      <c r="C76" s="10">
        <v>6.3E-2</v>
      </c>
      <c r="D76" s="9" t="s">
        <v>1712</v>
      </c>
      <c r="E76" s="11" t="s">
        <v>1713</v>
      </c>
      <c r="F76" s="12" t="s">
        <v>1714</v>
      </c>
      <c r="G76" s="9" t="s">
        <v>1709</v>
      </c>
    </row>
    <row r="77" spans="1:7">
      <c r="A77" s="9" t="s">
        <v>1711</v>
      </c>
      <c r="B77" s="9">
        <v>0.2</v>
      </c>
      <c r="C77" s="10">
        <v>6.3E-2</v>
      </c>
      <c r="D77" s="9" t="s">
        <v>1712</v>
      </c>
      <c r="E77" s="11" t="s">
        <v>1713</v>
      </c>
      <c r="F77" s="12" t="s">
        <v>1714</v>
      </c>
      <c r="G77" s="9" t="s">
        <v>1709</v>
      </c>
    </row>
    <row r="78" spans="1:7">
      <c r="A78" s="9" t="s">
        <v>1711</v>
      </c>
      <c r="B78" s="9">
        <v>0.2</v>
      </c>
      <c r="C78" s="10">
        <v>6.3E-2</v>
      </c>
      <c r="D78" s="9" t="s">
        <v>1712</v>
      </c>
      <c r="E78" s="11" t="s">
        <v>1713</v>
      </c>
      <c r="F78" s="12" t="s">
        <v>1714</v>
      </c>
      <c r="G78" s="9" t="s">
        <v>1709</v>
      </c>
    </row>
    <row r="79" spans="1:7">
      <c r="A79" s="9" t="s">
        <v>1711</v>
      </c>
      <c r="B79" s="9">
        <v>0.2</v>
      </c>
      <c r="C79" s="10">
        <v>6.3E-2</v>
      </c>
      <c r="D79" s="9" t="s">
        <v>1712</v>
      </c>
      <c r="E79" s="11" t="s">
        <v>1713</v>
      </c>
      <c r="F79" s="12" t="s">
        <v>1714</v>
      </c>
      <c r="G79" s="9" t="s">
        <v>1709</v>
      </c>
    </row>
    <row r="80" spans="1:7">
      <c r="A80" s="9" t="s">
        <v>1711</v>
      </c>
      <c r="B80" s="9">
        <v>0.2</v>
      </c>
      <c r="C80" s="10">
        <v>-6.0000000000000001E-3</v>
      </c>
      <c r="D80" s="9" t="s">
        <v>1709</v>
      </c>
      <c r="E80" s="11" t="s">
        <v>1710</v>
      </c>
      <c r="F80" s="12" t="s">
        <v>1710</v>
      </c>
      <c r="G80" s="9" t="s">
        <v>1709</v>
      </c>
    </row>
    <row r="81" spans="1:7">
      <c r="A81" s="9" t="s">
        <v>1711</v>
      </c>
      <c r="B81" s="9">
        <v>0.2</v>
      </c>
      <c r="C81" s="10">
        <v>6.3E-2</v>
      </c>
      <c r="D81" s="9" t="s">
        <v>1712</v>
      </c>
      <c r="E81" s="11" t="s">
        <v>1713</v>
      </c>
      <c r="F81" s="12" t="s">
        <v>1714</v>
      </c>
      <c r="G81" s="9" t="s">
        <v>1709</v>
      </c>
    </row>
    <row r="82" spans="1:7">
      <c r="A82" s="9" t="s">
        <v>1711</v>
      </c>
      <c r="B82" s="9">
        <v>0.2</v>
      </c>
      <c r="C82" s="10">
        <v>3.2000000000000001E-2</v>
      </c>
      <c r="D82" s="9" t="s">
        <v>1712</v>
      </c>
      <c r="E82" s="11" t="s">
        <v>1713</v>
      </c>
      <c r="F82" s="12" t="s">
        <v>1714</v>
      </c>
      <c r="G82" s="9" t="s">
        <v>1709</v>
      </c>
    </row>
    <row r="83" spans="1:7">
      <c r="A83" s="9" t="s">
        <v>1711</v>
      </c>
      <c r="B83" s="9">
        <v>0.2</v>
      </c>
      <c r="C83" s="10">
        <v>6.3E-2</v>
      </c>
      <c r="D83" s="9" t="s">
        <v>1712</v>
      </c>
      <c r="E83" s="11" t="s">
        <v>1713</v>
      </c>
      <c r="F83" s="12" t="s">
        <v>1714</v>
      </c>
      <c r="G83" s="9" t="s">
        <v>1709</v>
      </c>
    </row>
    <row r="84" spans="1:7">
      <c r="A84" s="9" t="s">
        <v>1711</v>
      </c>
      <c r="B84" s="9">
        <v>0.2</v>
      </c>
      <c r="C84" s="10">
        <v>6.2E-2</v>
      </c>
      <c r="D84" s="9" t="s">
        <v>1712</v>
      </c>
      <c r="E84" s="11" t="s">
        <v>1713</v>
      </c>
      <c r="F84" s="12" t="s">
        <v>1714</v>
      </c>
      <c r="G84" s="9" t="s">
        <v>1709</v>
      </c>
    </row>
    <row r="85" spans="1:7">
      <c r="A85" s="9" t="s">
        <v>1711</v>
      </c>
      <c r="B85" s="9">
        <v>0.2</v>
      </c>
      <c r="C85" s="10">
        <v>6.2E-2</v>
      </c>
      <c r="D85" s="9" t="s">
        <v>1712</v>
      </c>
      <c r="E85" s="11" t="s">
        <v>1713</v>
      </c>
      <c r="F85" s="12" t="s">
        <v>1714</v>
      </c>
      <c r="G85" s="9" t="s">
        <v>1709</v>
      </c>
    </row>
    <row r="86" spans="1:7">
      <c r="A86" s="9" t="s">
        <v>1711</v>
      </c>
      <c r="B86" s="9">
        <v>0.2</v>
      </c>
      <c r="C86" s="10">
        <v>6.2E-2</v>
      </c>
      <c r="D86" s="9" t="s">
        <v>1712</v>
      </c>
      <c r="E86" s="11" t="s">
        <v>1713</v>
      </c>
      <c r="F86" s="12" t="s">
        <v>1714</v>
      </c>
      <c r="G86" s="9" t="s">
        <v>1709</v>
      </c>
    </row>
    <row r="87" spans="1:7">
      <c r="A87" s="9" t="s">
        <v>1711</v>
      </c>
      <c r="B87" s="9">
        <v>0.2</v>
      </c>
      <c r="C87" s="10">
        <v>7.3999999999999996E-2</v>
      </c>
      <c r="D87" s="9" t="s">
        <v>1712</v>
      </c>
      <c r="E87" s="11" t="s">
        <v>1713</v>
      </c>
      <c r="F87" s="12" t="s">
        <v>1714</v>
      </c>
      <c r="G87" s="9" t="s">
        <v>1709</v>
      </c>
    </row>
    <row r="88" spans="1:7">
      <c r="A88" s="9" t="s">
        <v>1711</v>
      </c>
      <c r="B88" s="9">
        <v>0.2</v>
      </c>
      <c r="C88" s="10">
        <v>6.3E-2</v>
      </c>
      <c r="D88" s="9" t="s">
        <v>1712</v>
      </c>
      <c r="E88" s="11" t="s">
        <v>1713</v>
      </c>
      <c r="F88" s="12" t="s">
        <v>1714</v>
      </c>
      <c r="G88" s="9" t="s">
        <v>1709</v>
      </c>
    </row>
    <row r="89" spans="1:7">
      <c r="A89" s="9" t="s">
        <v>1711</v>
      </c>
      <c r="B89" s="9">
        <v>0.2</v>
      </c>
      <c r="C89" s="10">
        <v>6.3E-2</v>
      </c>
      <c r="D89" s="9" t="s">
        <v>1712</v>
      </c>
      <c r="E89" s="11" t="s">
        <v>1713</v>
      </c>
      <c r="F89" s="12" t="s">
        <v>1714</v>
      </c>
      <c r="G89" s="9" t="s">
        <v>1709</v>
      </c>
    </row>
    <row r="90" spans="1:7">
      <c r="A90" s="9" t="s">
        <v>1711</v>
      </c>
      <c r="B90" s="9">
        <v>0.2</v>
      </c>
      <c r="C90" s="10">
        <v>6.3E-2</v>
      </c>
      <c r="D90" s="9" t="s">
        <v>1712</v>
      </c>
      <c r="E90" s="11" t="s">
        <v>1713</v>
      </c>
      <c r="F90" s="12" t="s">
        <v>1714</v>
      </c>
      <c r="G90" s="9" t="s">
        <v>1709</v>
      </c>
    </row>
    <row r="91" spans="1:7">
      <c r="A91" s="9" t="s">
        <v>1711</v>
      </c>
      <c r="B91" s="9">
        <v>0.2</v>
      </c>
      <c r="C91" s="10">
        <v>6.3E-2</v>
      </c>
      <c r="D91" s="9" t="s">
        <v>1712</v>
      </c>
      <c r="E91" s="11" t="s">
        <v>1713</v>
      </c>
      <c r="F91" s="12" t="s">
        <v>1714</v>
      </c>
      <c r="G91" s="9" t="s">
        <v>1709</v>
      </c>
    </row>
    <row r="92" spans="1:7">
      <c r="A92" s="9" t="s">
        <v>1711</v>
      </c>
      <c r="B92" s="9">
        <v>0.2</v>
      </c>
      <c r="C92" s="10">
        <v>6.3E-2</v>
      </c>
      <c r="D92" s="9" t="s">
        <v>1712</v>
      </c>
      <c r="E92" s="11" t="s">
        <v>1713</v>
      </c>
      <c r="F92" s="12" t="s">
        <v>1714</v>
      </c>
      <c r="G92" s="9" t="s">
        <v>1709</v>
      </c>
    </row>
    <row r="93" spans="1:7">
      <c r="A93" s="9" t="s">
        <v>1711</v>
      </c>
      <c r="B93" s="9">
        <v>0.2</v>
      </c>
      <c r="C93" s="10">
        <v>6.3E-2</v>
      </c>
      <c r="D93" s="9" t="s">
        <v>1712</v>
      </c>
      <c r="E93" s="11" t="s">
        <v>1713</v>
      </c>
      <c r="F93" s="12" t="s">
        <v>1714</v>
      </c>
      <c r="G93" s="9" t="s">
        <v>1709</v>
      </c>
    </row>
    <row r="94" spans="1:7">
      <c r="A94" s="9" t="s">
        <v>1711</v>
      </c>
      <c r="B94" s="9">
        <v>0.2</v>
      </c>
      <c r="C94" s="10">
        <v>6.3E-2</v>
      </c>
      <c r="D94" s="9" t="s">
        <v>1712</v>
      </c>
      <c r="E94" s="11" t="s">
        <v>1713</v>
      </c>
      <c r="F94" s="12" t="s">
        <v>1714</v>
      </c>
      <c r="G94" s="9" t="s">
        <v>1709</v>
      </c>
    </row>
    <row r="95" spans="1:7">
      <c r="A95" s="9" t="s">
        <v>1711</v>
      </c>
      <c r="B95" s="9">
        <v>0.2</v>
      </c>
      <c r="C95" s="10">
        <v>-0.19</v>
      </c>
      <c r="D95" s="9" t="s">
        <v>1709</v>
      </c>
      <c r="E95" s="11" t="s">
        <v>1710</v>
      </c>
      <c r="F95" s="12" t="s">
        <v>1710</v>
      </c>
      <c r="G95" s="9" t="s">
        <v>1709</v>
      </c>
    </row>
    <row r="96" spans="1:7">
      <c r="A96" s="9" t="s">
        <v>1711</v>
      </c>
      <c r="B96" s="9">
        <v>0.2</v>
      </c>
      <c r="C96" s="10">
        <v>0.67200000000000004</v>
      </c>
      <c r="D96" s="9" t="s">
        <v>1712</v>
      </c>
      <c r="E96" s="11" t="s">
        <v>1713</v>
      </c>
      <c r="F96" s="12" t="s">
        <v>1714</v>
      </c>
      <c r="G96" s="9" t="s">
        <v>1709</v>
      </c>
    </row>
    <row r="97" spans="1:7">
      <c r="A97" s="9" t="s">
        <v>1711</v>
      </c>
      <c r="B97" s="9">
        <v>0.2</v>
      </c>
      <c r="C97" s="10">
        <v>3.0000000000000002E-2</v>
      </c>
      <c r="D97" s="9" t="s">
        <v>1712</v>
      </c>
      <c r="E97" s="11" t="s">
        <v>1737</v>
      </c>
      <c r="F97" s="12" t="s">
        <v>1714</v>
      </c>
      <c r="G97" s="9" t="s">
        <v>1709</v>
      </c>
    </row>
    <row r="98" spans="1:7">
      <c r="A98" s="9" t="s">
        <v>1711</v>
      </c>
      <c r="B98" s="9">
        <v>0.2</v>
      </c>
      <c r="C98" s="10">
        <v>3.0000000000000002E-2</v>
      </c>
      <c r="D98" s="9" t="s">
        <v>1712</v>
      </c>
      <c r="E98" s="11" t="s">
        <v>1737</v>
      </c>
      <c r="F98" s="12" t="s">
        <v>1714</v>
      </c>
      <c r="G98" s="9" t="s">
        <v>1709</v>
      </c>
    </row>
    <row r="99" spans="1:7">
      <c r="A99" s="9" t="s">
        <v>1711</v>
      </c>
      <c r="B99" s="9">
        <v>0.2</v>
      </c>
      <c r="C99" s="10">
        <v>0.23200000000000001</v>
      </c>
      <c r="D99" s="9" t="s">
        <v>1712</v>
      </c>
      <c r="E99" s="11" t="s">
        <v>1737</v>
      </c>
      <c r="F99" s="12" t="s">
        <v>1714</v>
      </c>
      <c r="G99" s="9" t="s">
        <v>1709</v>
      </c>
    </row>
    <row r="100" spans="1:7">
      <c r="A100" s="9" t="s">
        <v>1711</v>
      </c>
      <c r="B100" s="13">
        <v>0.2</v>
      </c>
      <c r="C100" s="10">
        <v>0.23200000000000001</v>
      </c>
      <c r="D100" s="9" t="s">
        <v>1712</v>
      </c>
      <c r="E100" s="11" t="s">
        <v>1737</v>
      </c>
      <c r="F100" s="12" t="s">
        <v>1714</v>
      </c>
      <c r="G100" s="9" t="s">
        <v>1709</v>
      </c>
    </row>
    <row r="101" spans="1:7">
      <c r="A101" s="9" t="s">
        <v>1711</v>
      </c>
      <c r="B101" s="13">
        <v>0.2</v>
      </c>
      <c r="C101" s="10">
        <v>0.14699999999999999</v>
      </c>
      <c r="D101" s="9" t="s">
        <v>1712</v>
      </c>
      <c r="E101" s="11" t="s">
        <v>1737</v>
      </c>
      <c r="F101" s="12" t="s">
        <v>1714</v>
      </c>
      <c r="G101" s="9" t="s">
        <v>1709</v>
      </c>
    </row>
    <row r="102" spans="1:7">
      <c r="A102" s="9" t="s">
        <v>1711</v>
      </c>
      <c r="B102" s="13">
        <v>0.2</v>
      </c>
      <c r="C102" s="10">
        <v>0.14699999999999999</v>
      </c>
      <c r="D102" s="9" t="s">
        <v>1712</v>
      </c>
      <c r="E102" s="11" t="s">
        <v>1737</v>
      </c>
      <c r="F102" s="12" t="s">
        <v>1714</v>
      </c>
      <c r="G102" s="9" t="s">
        <v>1709</v>
      </c>
    </row>
    <row r="103" spans="1:7">
      <c r="A103" s="9" t="s">
        <v>1711</v>
      </c>
      <c r="B103" s="13">
        <v>0.2</v>
      </c>
      <c r="C103" s="10">
        <v>1.819</v>
      </c>
      <c r="D103" s="9" t="s">
        <v>1712</v>
      </c>
      <c r="E103" s="11" t="s">
        <v>1737</v>
      </c>
      <c r="F103" s="12" t="s">
        <v>1714</v>
      </c>
      <c r="G103" s="9" t="s">
        <v>1709</v>
      </c>
    </row>
    <row r="104" spans="1:7">
      <c r="A104" s="9" t="s">
        <v>1711</v>
      </c>
      <c r="B104" s="13">
        <v>0.2</v>
      </c>
      <c r="C104" s="10">
        <v>1.819</v>
      </c>
      <c r="D104" s="9" t="s">
        <v>1712</v>
      </c>
      <c r="E104" s="11" t="s">
        <v>1737</v>
      </c>
      <c r="F104" s="12" t="s">
        <v>1714</v>
      </c>
      <c r="G104" s="9" t="s">
        <v>1709</v>
      </c>
    </row>
    <row r="105" spans="1:7">
      <c r="A105" s="9" t="s">
        <v>1711</v>
      </c>
      <c r="B105" s="13">
        <v>0.2</v>
      </c>
      <c r="C105" s="10">
        <v>2.63</v>
      </c>
      <c r="D105" s="9" t="s">
        <v>1712</v>
      </c>
      <c r="E105" s="11" t="s">
        <v>1737</v>
      </c>
      <c r="F105" s="12" t="s">
        <v>1714</v>
      </c>
      <c r="G105" s="9" t="s">
        <v>1709</v>
      </c>
    </row>
    <row r="106" spans="1:7">
      <c r="A106" s="9" t="s">
        <v>1711</v>
      </c>
      <c r="B106" s="13">
        <v>0.2</v>
      </c>
      <c r="C106" s="10">
        <v>2.63</v>
      </c>
      <c r="D106" s="9" t="s">
        <v>1712</v>
      </c>
      <c r="E106" s="11" t="s">
        <v>1737</v>
      </c>
      <c r="F106" s="12" t="s">
        <v>1714</v>
      </c>
      <c r="G106" s="9" t="s">
        <v>1709</v>
      </c>
    </row>
    <row r="107" spans="1:7">
      <c r="A107" s="9" t="s">
        <v>1711</v>
      </c>
      <c r="B107" s="13">
        <v>0.2</v>
      </c>
      <c r="C107" s="10">
        <v>2.63</v>
      </c>
      <c r="D107" s="9" t="s">
        <v>1712</v>
      </c>
      <c r="E107" s="11" t="s">
        <v>1736</v>
      </c>
      <c r="F107" s="12" t="s">
        <v>1714</v>
      </c>
      <c r="G107" s="9" t="s">
        <v>1709</v>
      </c>
    </row>
    <row r="108" spans="1:7">
      <c r="A108" s="9" t="s">
        <v>1711</v>
      </c>
      <c r="B108" s="9">
        <v>0.2</v>
      </c>
      <c r="C108" s="10">
        <v>1.1709999999999998</v>
      </c>
      <c r="D108" s="9" t="s">
        <v>1712</v>
      </c>
      <c r="E108" s="11" t="s">
        <v>1738</v>
      </c>
      <c r="F108" s="12" t="s">
        <v>1714</v>
      </c>
      <c r="G108" s="9" t="s">
        <v>1709</v>
      </c>
    </row>
    <row r="109" spans="1:7">
      <c r="A109" s="9" t="s">
        <v>1711</v>
      </c>
      <c r="B109" s="13">
        <v>0.2</v>
      </c>
      <c r="C109" s="10">
        <v>2.81</v>
      </c>
      <c r="D109" s="9" t="s">
        <v>1712</v>
      </c>
      <c r="E109" s="11" t="s">
        <v>1737</v>
      </c>
      <c r="F109" s="12" t="s">
        <v>1714</v>
      </c>
      <c r="G109" s="9" t="s">
        <v>1709</v>
      </c>
    </row>
    <row r="110" spans="1:7">
      <c r="A110" s="9" t="s">
        <v>1711</v>
      </c>
      <c r="B110" s="13">
        <v>0.2</v>
      </c>
      <c r="C110" s="10">
        <v>0.51700000000000002</v>
      </c>
      <c r="D110" s="9" t="s">
        <v>1712</v>
      </c>
      <c r="E110" s="11" t="s">
        <v>1738</v>
      </c>
      <c r="F110" s="12" t="s">
        <v>1714</v>
      </c>
      <c r="G110" s="9" t="s">
        <v>1709</v>
      </c>
    </row>
    <row r="111" spans="1:7">
      <c r="A111" s="9" t="s">
        <v>1711</v>
      </c>
      <c r="B111" s="13">
        <v>0.2</v>
      </c>
      <c r="C111" s="10">
        <v>1.222</v>
      </c>
      <c r="D111" s="9" t="s">
        <v>1712</v>
      </c>
      <c r="E111" s="11" t="s">
        <v>1737</v>
      </c>
      <c r="F111" s="12" t="s">
        <v>1714</v>
      </c>
      <c r="G111" s="9" t="s">
        <v>1709</v>
      </c>
    </row>
    <row r="112" spans="1:7">
      <c r="A112" s="9" t="s">
        <v>1711</v>
      </c>
      <c r="B112" s="13">
        <v>0.2</v>
      </c>
      <c r="C112" s="10">
        <v>1.6289999999999998</v>
      </c>
      <c r="D112" s="9" t="s">
        <v>1712</v>
      </c>
      <c r="E112" s="11" t="s">
        <v>1739</v>
      </c>
      <c r="F112" s="12" t="s">
        <v>1714</v>
      </c>
      <c r="G112" s="9" t="s">
        <v>1709</v>
      </c>
    </row>
    <row r="113" spans="1:7">
      <c r="A113" s="9" t="s">
        <v>1711</v>
      </c>
      <c r="B113" s="13">
        <v>0.2</v>
      </c>
      <c r="C113" s="10">
        <v>1.1829999999999998</v>
      </c>
      <c r="D113" s="9" t="s">
        <v>1712</v>
      </c>
      <c r="E113" s="11" t="s">
        <v>1736</v>
      </c>
      <c r="F113" s="12" t="s">
        <v>1714</v>
      </c>
      <c r="G113" s="9" t="s">
        <v>1709</v>
      </c>
    </row>
    <row r="114" spans="1:7">
      <c r="A114" s="9" t="s">
        <v>1711</v>
      </c>
      <c r="B114" s="13">
        <v>0.2</v>
      </c>
      <c r="C114" s="10">
        <v>1.1829999999999998</v>
      </c>
      <c r="D114" s="9" t="s">
        <v>1712</v>
      </c>
      <c r="E114" s="11" t="s">
        <v>1736</v>
      </c>
      <c r="F114" s="12" t="s">
        <v>1714</v>
      </c>
      <c r="G114" s="9" t="s">
        <v>1709</v>
      </c>
    </row>
    <row r="115" spans="1:7">
      <c r="A115" s="9" t="s">
        <v>1711</v>
      </c>
      <c r="B115" s="13">
        <v>0.2</v>
      </c>
      <c r="C115" s="10">
        <v>2.5000000000000001E-2</v>
      </c>
      <c r="D115" s="9" t="s">
        <v>1712</v>
      </c>
      <c r="E115" s="11" t="s">
        <v>1738</v>
      </c>
      <c r="F115" s="12" t="s">
        <v>1714</v>
      </c>
      <c r="G115" s="9" t="s">
        <v>1709</v>
      </c>
    </row>
    <row r="116" spans="1:7">
      <c r="A116" s="9" t="s">
        <v>1711</v>
      </c>
      <c r="B116" s="13">
        <v>0.2</v>
      </c>
      <c r="C116" s="10">
        <v>-9.0999999999999998E-2</v>
      </c>
      <c r="D116" s="9" t="s">
        <v>1709</v>
      </c>
      <c r="E116" s="11" t="s">
        <v>1710</v>
      </c>
      <c r="F116" s="12" t="s">
        <v>1710</v>
      </c>
      <c r="G116" s="9" t="s">
        <v>1709</v>
      </c>
    </row>
    <row r="117" spans="1:7">
      <c r="A117" s="9" t="s">
        <v>1711</v>
      </c>
      <c r="B117" s="13">
        <v>0.2</v>
      </c>
      <c r="C117" s="10">
        <v>0.28499999999999998</v>
      </c>
      <c r="D117" s="9" t="s">
        <v>1712</v>
      </c>
      <c r="E117" s="11" t="s">
        <v>1738</v>
      </c>
      <c r="F117" s="12" t="s">
        <v>1714</v>
      </c>
      <c r="G117" s="9" t="s">
        <v>1709</v>
      </c>
    </row>
    <row r="118" spans="1:7">
      <c r="A118" s="9" t="s">
        <v>1711</v>
      </c>
      <c r="B118" s="13">
        <v>0.2</v>
      </c>
      <c r="C118" s="10">
        <v>0.105</v>
      </c>
      <c r="D118" s="9" t="s">
        <v>1712</v>
      </c>
      <c r="E118" s="11" t="s">
        <v>1738</v>
      </c>
      <c r="F118" s="12" t="s">
        <v>1714</v>
      </c>
      <c r="G118" s="9" t="s">
        <v>1709</v>
      </c>
    </row>
    <row r="119" spans="1:7">
      <c r="A119" s="9" t="s">
        <v>1711</v>
      </c>
      <c r="B119" s="13">
        <v>0.2</v>
      </c>
      <c r="C119" s="10">
        <v>0.187</v>
      </c>
      <c r="D119" s="9" t="s">
        <v>1712</v>
      </c>
      <c r="E119" s="11" t="s">
        <v>1738</v>
      </c>
      <c r="F119" s="12" t="s">
        <v>1714</v>
      </c>
      <c r="G119" s="9" t="s">
        <v>1709</v>
      </c>
    </row>
    <row r="120" spans="1:7">
      <c r="A120" s="9" t="s">
        <v>1711</v>
      </c>
      <c r="B120" s="13">
        <v>0.2</v>
      </c>
      <c r="C120" s="10">
        <v>-6.0999999999999999E-2</v>
      </c>
      <c r="D120" s="9" t="s">
        <v>1709</v>
      </c>
      <c r="E120" s="11" t="s">
        <v>1710</v>
      </c>
      <c r="F120" s="12" t="s">
        <v>1710</v>
      </c>
      <c r="G120" s="9" t="s">
        <v>1709</v>
      </c>
    </row>
    <row r="121" spans="1:7">
      <c r="A121" s="9" t="s">
        <v>1711</v>
      </c>
      <c r="B121" s="13">
        <v>0.2</v>
      </c>
      <c r="C121" s="10">
        <v>-4.1000000000000002E-2</v>
      </c>
      <c r="D121" s="9" t="s">
        <v>1709</v>
      </c>
      <c r="E121" s="11" t="s">
        <v>1710</v>
      </c>
      <c r="F121" s="12" t="s">
        <v>1710</v>
      </c>
      <c r="G121" s="9" t="s">
        <v>1709</v>
      </c>
    </row>
    <row r="122" spans="1:7">
      <c r="A122" s="9" t="s">
        <v>1711</v>
      </c>
      <c r="B122" s="13">
        <v>0.2</v>
      </c>
      <c r="C122" s="10">
        <v>1.9E-2</v>
      </c>
      <c r="D122" s="9" t="s">
        <v>1712</v>
      </c>
      <c r="E122" s="11" t="s">
        <v>1737</v>
      </c>
      <c r="F122" s="12" t="s">
        <v>1714</v>
      </c>
      <c r="G122" s="9" t="s">
        <v>1709</v>
      </c>
    </row>
    <row r="123" spans="1:7">
      <c r="A123" s="9" t="s">
        <v>1711</v>
      </c>
      <c r="B123" s="13">
        <v>0.2</v>
      </c>
      <c r="C123" s="10">
        <v>2.7479999999999998</v>
      </c>
      <c r="D123" s="9" t="s">
        <v>1712</v>
      </c>
      <c r="E123" s="11" t="s">
        <v>1737</v>
      </c>
      <c r="F123" s="12" t="s">
        <v>1714</v>
      </c>
      <c r="G123" s="9" t="s">
        <v>1709</v>
      </c>
    </row>
    <row r="124" spans="1:7">
      <c r="A124" s="9" t="s">
        <v>1711</v>
      </c>
      <c r="B124" s="13">
        <v>0.2</v>
      </c>
      <c r="C124" s="10">
        <v>0.51700000000000002</v>
      </c>
      <c r="D124" s="9" t="s">
        <v>1712</v>
      </c>
      <c r="E124" s="11" t="s">
        <v>1736</v>
      </c>
      <c r="F124" s="12" t="s">
        <v>1714</v>
      </c>
      <c r="G124" s="9" t="s">
        <v>1709</v>
      </c>
    </row>
    <row r="125" spans="1:7">
      <c r="A125" s="9" t="s">
        <v>1711</v>
      </c>
      <c r="B125" s="13">
        <v>0.2</v>
      </c>
      <c r="C125" s="10">
        <v>1.607</v>
      </c>
      <c r="D125" s="9" t="s">
        <v>1712</v>
      </c>
      <c r="E125" s="11" t="s">
        <v>1739</v>
      </c>
      <c r="F125" s="12" t="s">
        <v>1714</v>
      </c>
      <c r="G125" s="9" t="s">
        <v>1709</v>
      </c>
    </row>
    <row r="126" spans="1:7">
      <c r="A126" s="9" t="s">
        <v>1711</v>
      </c>
      <c r="B126" s="13">
        <v>0.2</v>
      </c>
      <c r="C126" s="10">
        <v>1.819</v>
      </c>
      <c r="D126" s="9" t="s">
        <v>1712</v>
      </c>
      <c r="E126" s="11" t="s">
        <v>1738</v>
      </c>
      <c r="F126" s="12" t="s">
        <v>1714</v>
      </c>
      <c r="G126" s="9" t="s">
        <v>1709</v>
      </c>
    </row>
    <row r="127" spans="1:7">
      <c r="A127" s="9" t="s">
        <v>1711</v>
      </c>
      <c r="B127" s="13">
        <v>0.2</v>
      </c>
      <c r="C127" s="10">
        <v>0.109</v>
      </c>
      <c r="D127" s="9" t="s">
        <v>1712</v>
      </c>
      <c r="E127" s="11" t="s">
        <v>1736</v>
      </c>
      <c r="F127" s="12" t="s">
        <v>1714</v>
      </c>
      <c r="G127" s="9" t="s">
        <v>1709</v>
      </c>
    </row>
    <row r="128" spans="1:7">
      <c r="A128" s="9" t="s">
        <v>1711</v>
      </c>
      <c r="B128" s="13">
        <v>0.2</v>
      </c>
      <c r="C128" s="10">
        <v>0.109</v>
      </c>
      <c r="D128" s="9" t="s">
        <v>1712</v>
      </c>
      <c r="E128" s="11" t="s">
        <v>1736</v>
      </c>
      <c r="F128" s="12" t="s">
        <v>1714</v>
      </c>
      <c r="G128" s="9" t="s">
        <v>1709</v>
      </c>
    </row>
    <row r="129" spans="1:7">
      <c r="A129" s="9" t="s">
        <v>1711</v>
      </c>
      <c r="B129" s="13">
        <v>0.2</v>
      </c>
      <c r="C129" s="10">
        <v>0.109</v>
      </c>
      <c r="D129" s="9" t="s">
        <v>1712</v>
      </c>
      <c r="E129" s="11" t="s">
        <v>1736</v>
      </c>
      <c r="F129" s="12" t="s">
        <v>1714</v>
      </c>
      <c r="G129" s="9" t="s">
        <v>1709</v>
      </c>
    </row>
    <row r="130" spans="1:7">
      <c r="A130" s="9" t="s">
        <v>1711</v>
      </c>
      <c r="B130" s="13">
        <v>0.2</v>
      </c>
      <c r="C130" s="10">
        <v>0.109</v>
      </c>
      <c r="D130" s="9" t="s">
        <v>1712</v>
      </c>
      <c r="E130" s="11" t="s">
        <v>1736</v>
      </c>
      <c r="F130" s="12" t="s">
        <v>1714</v>
      </c>
      <c r="G130" s="9" t="s">
        <v>1709</v>
      </c>
    </row>
    <row r="131" spans="1:7">
      <c r="A131" s="9" t="s">
        <v>1711</v>
      </c>
      <c r="B131" s="13">
        <v>0.2</v>
      </c>
      <c r="C131" s="10">
        <v>-0.104</v>
      </c>
      <c r="D131" s="9" t="s">
        <v>1709</v>
      </c>
      <c r="E131" s="11" t="s">
        <v>1710</v>
      </c>
      <c r="F131" s="12" t="s">
        <v>1710</v>
      </c>
      <c r="G131" s="9" t="s">
        <v>1709</v>
      </c>
    </row>
    <row r="132" spans="1:7">
      <c r="A132" s="9" t="s">
        <v>1711</v>
      </c>
      <c r="B132" s="13">
        <v>0.2</v>
      </c>
      <c r="C132" s="10">
        <v>0.79400000000000004</v>
      </c>
      <c r="D132" s="9" t="s">
        <v>1712</v>
      </c>
      <c r="E132" s="11" t="s">
        <v>1736</v>
      </c>
      <c r="F132" s="12" t="s">
        <v>1714</v>
      </c>
      <c r="G132" s="9" t="s">
        <v>1709</v>
      </c>
    </row>
    <row r="133" spans="1:7">
      <c r="A133" s="9" t="s">
        <v>1711</v>
      </c>
      <c r="B133" s="9">
        <v>0.2</v>
      </c>
      <c r="C133" s="10">
        <v>0.79400000000000004</v>
      </c>
      <c r="D133" s="9" t="s">
        <v>1712</v>
      </c>
      <c r="E133" s="11" t="s">
        <v>1736</v>
      </c>
      <c r="F133" s="12" t="s">
        <v>1714</v>
      </c>
      <c r="G133" s="9" t="s">
        <v>1709</v>
      </c>
    </row>
    <row r="134" spans="1:7">
      <c r="A134" s="9" t="s">
        <v>1711</v>
      </c>
      <c r="B134" s="13">
        <v>0.2</v>
      </c>
      <c r="C134" s="10">
        <v>0.75600000000000001</v>
      </c>
      <c r="D134" s="9" t="s">
        <v>1712</v>
      </c>
      <c r="E134" s="11" t="s">
        <v>1736</v>
      </c>
      <c r="F134" s="12" t="s">
        <v>1714</v>
      </c>
      <c r="G134" s="9" t="s">
        <v>1709</v>
      </c>
    </row>
    <row r="135" spans="1:7">
      <c r="A135" s="9" t="s">
        <v>1711</v>
      </c>
      <c r="B135" s="13">
        <v>0.2</v>
      </c>
      <c r="C135" s="10">
        <v>0.75600000000000001</v>
      </c>
      <c r="D135" s="9" t="s">
        <v>1712</v>
      </c>
      <c r="E135" s="11" t="s">
        <v>1736</v>
      </c>
      <c r="F135" s="12" t="s">
        <v>1714</v>
      </c>
      <c r="G135" s="9" t="s">
        <v>1709</v>
      </c>
    </row>
    <row r="136" spans="1:7">
      <c r="A136" s="9" t="s">
        <v>1711</v>
      </c>
      <c r="B136" s="13">
        <v>0.2</v>
      </c>
      <c r="C136" s="10">
        <v>0.75600000000000001</v>
      </c>
      <c r="D136" s="9" t="s">
        <v>1712</v>
      </c>
      <c r="E136" s="11" t="s">
        <v>1736</v>
      </c>
      <c r="F136" s="12" t="s">
        <v>1714</v>
      </c>
      <c r="G136" s="9" t="s">
        <v>1709</v>
      </c>
    </row>
    <row r="137" spans="1:7">
      <c r="A137" s="9" t="s">
        <v>1711</v>
      </c>
      <c r="B137" s="13">
        <v>0.2</v>
      </c>
      <c r="C137" s="10">
        <v>0.75600000000000001</v>
      </c>
      <c r="D137" s="9" t="s">
        <v>1712</v>
      </c>
      <c r="E137" s="11" t="s">
        <v>1736</v>
      </c>
      <c r="F137" s="12" t="s">
        <v>1714</v>
      </c>
      <c r="G137" s="9" t="s">
        <v>1709</v>
      </c>
    </row>
    <row r="138" spans="1:7">
      <c r="A138" s="9" t="s">
        <v>1711</v>
      </c>
      <c r="B138" s="13">
        <v>0.2</v>
      </c>
      <c r="C138" s="10">
        <v>1.2529999999999999</v>
      </c>
      <c r="D138" s="9" t="s">
        <v>1712</v>
      </c>
      <c r="E138" s="11" t="s">
        <v>1737</v>
      </c>
      <c r="F138" s="12" t="s">
        <v>1714</v>
      </c>
      <c r="G138" s="9" t="s">
        <v>1709</v>
      </c>
    </row>
    <row r="139" spans="1:7">
      <c r="A139" s="9" t="s">
        <v>1711</v>
      </c>
      <c r="B139" s="13">
        <v>0.2</v>
      </c>
      <c r="C139" s="10">
        <v>-8.5000000000000006E-2</v>
      </c>
      <c r="D139" s="9" t="s">
        <v>1709</v>
      </c>
      <c r="E139" s="11" t="s">
        <v>1710</v>
      </c>
      <c r="F139" s="12" t="s">
        <v>1710</v>
      </c>
      <c r="G139" s="9" t="s">
        <v>1709</v>
      </c>
    </row>
    <row r="140" spans="1:7">
      <c r="A140" s="9" t="s">
        <v>1711</v>
      </c>
      <c r="B140" s="13">
        <v>0.2</v>
      </c>
      <c r="C140" s="10">
        <v>0.79400000000000004</v>
      </c>
      <c r="D140" s="9" t="s">
        <v>1712</v>
      </c>
      <c r="E140" s="11" t="s">
        <v>1713</v>
      </c>
      <c r="F140" s="12" t="s">
        <v>1714</v>
      </c>
      <c r="G140" s="9" t="s">
        <v>1709</v>
      </c>
    </row>
    <row r="141" spans="1:7">
      <c r="A141" s="9" t="s">
        <v>1711</v>
      </c>
      <c r="B141" s="9">
        <v>0.2</v>
      </c>
      <c r="C141" s="10">
        <v>0.14699999999999999</v>
      </c>
      <c r="D141" s="9" t="s">
        <v>1712</v>
      </c>
      <c r="E141" s="11" t="s">
        <v>1713</v>
      </c>
      <c r="F141" s="12" t="s">
        <v>1714</v>
      </c>
      <c r="G141" s="9" t="s">
        <v>1709</v>
      </c>
    </row>
    <row r="142" spans="1:7">
      <c r="A142" s="9" t="s">
        <v>1711</v>
      </c>
      <c r="B142" s="9">
        <v>0.2</v>
      </c>
      <c r="C142" s="10">
        <v>1.601</v>
      </c>
      <c r="D142" s="9" t="s">
        <v>1712</v>
      </c>
      <c r="E142" s="11" t="s">
        <v>1738</v>
      </c>
      <c r="F142" s="12" t="s">
        <v>1714</v>
      </c>
      <c r="G142" s="9" t="s">
        <v>1709</v>
      </c>
    </row>
    <row r="143" spans="1:7">
      <c r="A143" s="9" t="s">
        <v>1711</v>
      </c>
      <c r="B143" s="9">
        <v>0.2</v>
      </c>
      <c r="C143" s="10">
        <v>-0.123</v>
      </c>
      <c r="D143" s="9" t="s">
        <v>1709</v>
      </c>
      <c r="E143" s="11" t="s">
        <v>1710</v>
      </c>
      <c r="F143" s="12" t="s">
        <v>1710</v>
      </c>
      <c r="G143" s="9" t="s">
        <v>1709</v>
      </c>
    </row>
    <row r="144" spans="1:7">
      <c r="A144" s="9" t="s">
        <v>1711</v>
      </c>
      <c r="B144" s="9">
        <v>0.2</v>
      </c>
      <c r="C144" s="10">
        <v>0.64100000000000001</v>
      </c>
      <c r="D144" s="9" t="s">
        <v>1712</v>
      </c>
      <c r="E144" s="11" t="s">
        <v>1713</v>
      </c>
      <c r="F144" s="12" t="s">
        <v>1714</v>
      </c>
      <c r="G144" s="9" t="s">
        <v>1709</v>
      </c>
    </row>
    <row r="145" spans="1:7">
      <c r="A145" s="9" t="s">
        <v>1711</v>
      </c>
      <c r="B145" s="9">
        <v>0.2</v>
      </c>
      <c r="C145" s="10">
        <v>6.9000000000000006E-2</v>
      </c>
      <c r="D145" s="9" t="s">
        <v>1712</v>
      </c>
      <c r="E145" s="11" t="s">
        <v>1736</v>
      </c>
      <c r="F145" s="12" t="s">
        <v>1714</v>
      </c>
      <c r="G145" s="9" t="s">
        <v>1709</v>
      </c>
    </row>
    <row r="146" spans="1:7">
      <c r="A146" s="9" t="s">
        <v>1711</v>
      </c>
      <c r="B146" s="9">
        <v>0.2</v>
      </c>
      <c r="C146" s="10">
        <v>7.5999999999999998E-2</v>
      </c>
      <c r="D146" s="9" t="s">
        <v>1712</v>
      </c>
      <c r="E146" s="11" t="s">
        <v>1740</v>
      </c>
      <c r="F146" s="12" t="s">
        <v>1714</v>
      </c>
      <c r="G146" s="9" t="s">
        <v>1709</v>
      </c>
    </row>
    <row r="147" spans="1:7">
      <c r="A147" s="9" t="s">
        <v>1711</v>
      </c>
      <c r="B147" s="9">
        <v>0.2</v>
      </c>
      <c r="C147" s="10">
        <v>0.13700000000000001</v>
      </c>
      <c r="D147" s="9" t="s">
        <v>1712</v>
      </c>
      <c r="E147" s="11" t="s">
        <v>1736</v>
      </c>
      <c r="F147" s="12" t="s">
        <v>1714</v>
      </c>
      <c r="G147" s="9" t="s">
        <v>1709</v>
      </c>
    </row>
    <row r="148" spans="1:7">
      <c r="A148" s="9" t="s">
        <v>1711</v>
      </c>
      <c r="B148" s="9">
        <v>0.2</v>
      </c>
      <c r="C148" s="10">
        <v>-0.19900000000000001</v>
      </c>
      <c r="D148" s="9" t="s">
        <v>1709</v>
      </c>
      <c r="E148" s="11" t="s">
        <v>1710</v>
      </c>
      <c r="F148" s="12" t="s">
        <v>1710</v>
      </c>
      <c r="G148" s="9" t="s">
        <v>1709</v>
      </c>
    </row>
    <row r="149" spans="1:7">
      <c r="A149" s="9" t="s">
        <v>1711</v>
      </c>
      <c r="B149" s="9">
        <v>0.2</v>
      </c>
      <c r="C149" s="10">
        <v>0.79300000000000004</v>
      </c>
      <c r="D149" s="9" t="s">
        <v>1712</v>
      </c>
      <c r="E149" s="11" t="s">
        <v>1715</v>
      </c>
      <c r="F149" s="12" t="s">
        <v>1714</v>
      </c>
      <c r="G149" s="9" t="s">
        <v>1709</v>
      </c>
    </row>
    <row r="150" spans="1:7">
      <c r="A150" s="9" t="s">
        <v>1711</v>
      </c>
      <c r="B150" s="9">
        <v>0.2</v>
      </c>
      <c r="C150" s="10">
        <v>0.79600000000000004</v>
      </c>
      <c r="D150" s="9" t="s">
        <v>1712</v>
      </c>
      <c r="E150" s="11" t="s">
        <v>1737</v>
      </c>
      <c r="F150" s="12" t="s">
        <v>1714</v>
      </c>
      <c r="G150" s="9" t="s">
        <v>1709</v>
      </c>
    </row>
    <row r="151" spans="1:7">
      <c r="A151" s="9" t="s">
        <v>1711</v>
      </c>
      <c r="B151" s="9">
        <v>0.2</v>
      </c>
      <c r="C151" s="10">
        <v>-3.0000000000000002E-2</v>
      </c>
      <c r="D151" s="9" t="s">
        <v>1709</v>
      </c>
      <c r="E151" s="11" t="s">
        <v>1710</v>
      </c>
      <c r="F151" s="12" t="s">
        <v>1710</v>
      </c>
      <c r="G151" s="9" t="s">
        <v>1709</v>
      </c>
    </row>
    <row r="152" spans="1:7">
      <c r="A152" s="9" t="s">
        <v>1711</v>
      </c>
      <c r="B152" s="9">
        <v>0.2</v>
      </c>
      <c r="C152" s="10">
        <v>5.3999999999999999E-2</v>
      </c>
      <c r="D152" s="9" t="s">
        <v>1712</v>
      </c>
      <c r="E152" s="11" t="s">
        <v>1736</v>
      </c>
      <c r="F152" s="12" t="s">
        <v>1714</v>
      </c>
      <c r="G152" s="9" t="s">
        <v>1709</v>
      </c>
    </row>
    <row r="153" spans="1:7">
      <c r="A153" s="9" t="s">
        <v>1711</v>
      </c>
      <c r="B153" s="9">
        <v>0.2</v>
      </c>
      <c r="C153" s="10">
        <v>0.64100000000000001</v>
      </c>
      <c r="D153" s="9" t="s">
        <v>1712</v>
      </c>
      <c r="E153" s="11" t="s">
        <v>1736</v>
      </c>
      <c r="F153" s="12" t="s">
        <v>1714</v>
      </c>
      <c r="G153" s="9" t="s">
        <v>1709</v>
      </c>
    </row>
    <row r="154" spans="1:7">
      <c r="A154" s="9" t="s">
        <v>1711</v>
      </c>
      <c r="B154" s="9">
        <v>0.2</v>
      </c>
      <c r="C154" s="10">
        <v>1.222</v>
      </c>
      <c r="D154" s="9" t="s">
        <v>1712</v>
      </c>
      <c r="E154" s="11" t="s">
        <v>1736</v>
      </c>
      <c r="F154" s="12" t="s">
        <v>1714</v>
      </c>
      <c r="G154" s="9" t="s">
        <v>1709</v>
      </c>
    </row>
    <row r="155" spans="1:7">
      <c r="A155" s="9" t="s">
        <v>1711</v>
      </c>
      <c r="B155" s="9">
        <v>0.2</v>
      </c>
      <c r="C155" s="10">
        <v>0.22900000000000001</v>
      </c>
      <c r="D155" s="9" t="s">
        <v>1712</v>
      </c>
      <c r="E155" s="11" t="s">
        <v>1713</v>
      </c>
      <c r="F155" s="12" t="s">
        <v>1714</v>
      </c>
      <c r="G155" s="9" t="s">
        <v>1709</v>
      </c>
    </row>
    <row r="156" spans="1:7">
      <c r="A156" s="9" t="s">
        <v>1711</v>
      </c>
      <c r="B156" s="9">
        <v>0.2</v>
      </c>
      <c r="C156" s="10">
        <v>0.51700000000000002</v>
      </c>
      <c r="D156" s="9" t="s">
        <v>1712</v>
      </c>
      <c r="E156" s="11" t="s">
        <v>1738</v>
      </c>
      <c r="F156" s="12" t="s">
        <v>1714</v>
      </c>
      <c r="G156" s="9" t="s">
        <v>1709</v>
      </c>
    </row>
    <row r="157" spans="1:7">
      <c r="A157" s="9" t="s">
        <v>1711</v>
      </c>
      <c r="B157" s="13">
        <v>0.2</v>
      </c>
      <c r="C157" s="10">
        <v>1.819</v>
      </c>
      <c r="D157" s="9" t="s">
        <v>1712</v>
      </c>
      <c r="E157" s="11" t="s">
        <v>1738</v>
      </c>
      <c r="F157" s="12" t="s">
        <v>1714</v>
      </c>
      <c r="G157" s="9" t="s">
        <v>1709</v>
      </c>
    </row>
    <row r="158" spans="1:7">
      <c r="A158" s="9" t="s">
        <v>1711</v>
      </c>
      <c r="B158" s="9">
        <v>0.2</v>
      </c>
      <c r="C158" s="10">
        <v>1.819</v>
      </c>
      <c r="D158" s="9" t="s">
        <v>1712</v>
      </c>
      <c r="E158" s="11" t="s">
        <v>1738</v>
      </c>
      <c r="F158" s="12" t="s">
        <v>1714</v>
      </c>
      <c r="G158" s="9" t="s">
        <v>1709</v>
      </c>
    </row>
    <row r="159" spans="1:7">
      <c r="A159" s="9" t="s">
        <v>1711</v>
      </c>
      <c r="B159" s="9">
        <v>0.2</v>
      </c>
      <c r="C159" s="10">
        <v>1.819</v>
      </c>
      <c r="D159" s="9" t="s">
        <v>1712</v>
      </c>
      <c r="E159" s="11" t="s">
        <v>1738</v>
      </c>
      <c r="F159" s="12" t="s">
        <v>1714</v>
      </c>
      <c r="G159" s="9" t="s">
        <v>1709</v>
      </c>
    </row>
    <row r="160" spans="1:7">
      <c r="A160" s="9" t="s">
        <v>1711</v>
      </c>
      <c r="B160" s="9">
        <v>0.2</v>
      </c>
      <c r="C160" s="10">
        <v>1.819</v>
      </c>
      <c r="D160" s="9" t="s">
        <v>1712</v>
      </c>
      <c r="E160" s="11" t="s">
        <v>1738</v>
      </c>
      <c r="F160" s="12" t="s">
        <v>1714</v>
      </c>
      <c r="G160" s="9" t="s">
        <v>1709</v>
      </c>
    </row>
    <row r="161" spans="1:7">
      <c r="A161" s="9" t="s">
        <v>1711</v>
      </c>
      <c r="B161" s="9">
        <v>0.2</v>
      </c>
      <c r="C161" s="10">
        <v>1.819</v>
      </c>
      <c r="D161" s="9" t="s">
        <v>1712</v>
      </c>
      <c r="E161" s="11" t="s">
        <v>1738</v>
      </c>
      <c r="F161" s="12" t="s">
        <v>1714</v>
      </c>
      <c r="G161" s="9" t="s">
        <v>1709</v>
      </c>
    </row>
    <row r="162" spans="1:7">
      <c r="A162" s="9" t="s">
        <v>1711</v>
      </c>
      <c r="B162" s="9">
        <v>0.2</v>
      </c>
      <c r="C162" s="10">
        <v>1.819</v>
      </c>
      <c r="D162" s="9" t="s">
        <v>1712</v>
      </c>
      <c r="E162" s="11" t="s">
        <v>1738</v>
      </c>
      <c r="F162" s="12" t="s">
        <v>1714</v>
      </c>
      <c r="G162" s="9" t="s">
        <v>1709</v>
      </c>
    </row>
    <row r="163" spans="1:7">
      <c r="A163" s="9" t="s">
        <v>1711</v>
      </c>
      <c r="B163" s="13">
        <v>0.2</v>
      </c>
      <c r="C163" s="10">
        <v>0.51700000000000002</v>
      </c>
      <c r="D163" s="9" t="s">
        <v>1712</v>
      </c>
      <c r="E163" s="11" t="s">
        <v>1737</v>
      </c>
      <c r="F163" s="12" t="s">
        <v>1714</v>
      </c>
      <c r="G163" s="9" t="s">
        <v>1709</v>
      </c>
    </row>
    <row r="164" spans="1:7">
      <c r="A164" s="9" t="s">
        <v>1711</v>
      </c>
      <c r="B164" s="13">
        <v>0.2</v>
      </c>
      <c r="C164" s="10">
        <v>0.51700000000000002</v>
      </c>
      <c r="D164" s="9" t="s">
        <v>1712</v>
      </c>
      <c r="E164" s="11" t="s">
        <v>1737</v>
      </c>
      <c r="F164" s="12" t="s">
        <v>1714</v>
      </c>
      <c r="G164" s="9" t="s">
        <v>1709</v>
      </c>
    </row>
    <row r="165" spans="1:7">
      <c r="A165" s="9" t="s">
        <v>1711</v>
      </c>
      <c r="B165" s="13">
        <v>0.2</v>
      </c>
      <c r="C165" s="10">
        <v>2.2239999999999998</v>
      </c>
      <c r="D165" s="9" t="s">
        <v>1712</v>
      </c>
      <c r="E165" s="11" t="s">
        <v>1713</v>
      </c>
      <c r="F165" s="12" t="s">
        <v>1714</v>
      </c>
      <c r="G165" s="9" t="s">
        <v>1709</v>
      </c>
    </row>
    <row r="166" spans="1:7">
      <c r="A166" s="9" t="s">
        <v>1711</v>
      </c>
      <c r="B166" s="13">
        <v>0.2</v>
      </c>
      <c r="C166" s="10">
        <v>2.2239999999999998</v>
      </c>
      <c r="D166" s="9" t="s">
        <v>1712</v>
      </c>
      <c r="E166" s="11" t="s">
        <v>1713</v>
      </c>
      <c r="F166" s="12" t="s">
        <v>1714</v>
      </c>
      <c r="G166" s="9" t="s">
        <v>1709</v>
      </c>
    </row>
    <row r="167" spans="1:7">
      <c r="A167" s="9" t="s">
        <v>1711</v>
      </c>
      <c r="B167" s="13">
        <v>0.2</v>
      </c>
      <c r="C167" s="10">
        <v>2.2239999999999998</v>
      </c>
      <c r="D167" s="9" t="s">
        <v>1712</v>
      </c>
      <c r="E167" s="11" t="s">
        <v>1713</v>
      </c>
      <c r="F167" s="12" t="s">
        <v>1714</v>
      </c>
      <c r="G167" s="9" t="s">
        <v>1709</v>
      </c>
    </row>
    <row r="168" spans="1:7">
      <c r="A168" s="9" t="s">
        <v>1711</v>
      </c>
      <c r="B168" s="9">
        <v>0.2</v>
      </c>
      <c r="C168" s="10">
        <v>2.2239999999999998</v>
      </c>
      <c r="D168" s="9" t="s">
        <v>1712</v>
      </c>
      <c r="E168" s="11" t="s">
        <v>1713</v>
      </c>
      <c r="F168" s="12" t="s">
        <v>1714</v>
      </c>
      <c r="G168" s="9" t="s">
        <v>1709</v>
      </c>
    </row>
    <row r="169" spans="1:7">
      <c r="A169" s="9" t="s">
        <v>1711</v>
      </c>
      <c r="B169" s="9">
        <v>0.2</v>
      </c>
      <c r="C169" s="10">
        <v>2.2239999999999998</v>
      </c>
      <c r="D169" s="9" t="s">
        <v>1712</v>
      </c>
      <c r="E169" s="11" t="s">
        <v>1713</v>
      </c>
      <c r="F169" s="12" t="s">
        <v>1714</v>
      </c>
      <c r="G169" s="9" t="s">
        <v>1709</v>
      </c>
    </row>
    <row r="170" spans="1:7">
      <c r="A170" s="9" t="s">
        <v>1711</v>
      </c>
      <c r="B170" s="13">
        <v>0.2</v>
      </c>
      <c r="C170" s="10">
        <v>2.2239999999999998</v>
      </c>
      <c r="D170" s="9" t="s">
        <v>1712</v>
      </c>
      <c r="E170" s="11" t="s">
        <v>1713</v>
      </c>
      <c r="F170" s="12" t="s">
        <v>1714</v>
      </c>
      <c r="G170" s="9" t="s">
        <v>1709</v>
      </c>
    </row>
    <row r="171" spans="1:7">
      <c r="A171" s="9" t="s">
        <v>1711</v>
      </c>
      <c r="B171" s="13">
        <v>0.2</v>
      </c>
      <c r="C171" s="10">
        <v>2.2239999999999998</v>
      </c>
      <c r="D171" s="9" t="s">
        <v>1712</v>
      </c>
      <c r="E171" s="11" t="s">
        <v>1713</v>
      </c>
      <c r="F171" s="12" t="s">
        <v>1714</v>
      </c>
      <c r="G171" s="9" t="s">
        <v>1709</v>
      </c>
    </row>
    <row r="172" spans="1:7">
      <c r="A172" s="9" t="s">
        <v>1711</v>
      </c>
      <c r="B172" s="13">
        <v>0.2</v>
      </c>
      <c r="C172" s="10">
        <v>2.2239999999999998</v>
      </c>
      <c r="D172" s="9" t="s">
        <v>1712</v>
      </c>
      <c r="E172" s="11" t="s">
        <v>1713</v>
      </c>
      <c r="F172" s="12" t="s">
        <v>1714</v>
      </c>
      <c r="G172" s="9" t="s">
        <v>1709</v>
      </c>
    </row>
    <row r="173" spans="1:7">
      <c r="A173" s="9" t="s">
        <v>1711</v>
      </c>
      <c r="B173" s="13">
        <v>0.2</v>
      </c>
      <c r="C173" s="10">
        <v>2.9710000000000001</v>
      </c>
      <c r="D173" s="9" t="s">
        <v>1712</v>
      </c>
      <c r="E173" s="11" t="s">
        <v>1713</v>
      </c>
      <c r="F173" s="12" t="s">
        <v>1714</v>
      </c>
      <c r="G173" s="9" t="s">
        <v>1709</v>
      </c>
    </row>
    <row r="174" spans="1:7">
      <c r="A174" s="9" t="s">
        <v>1711</v>
      </c>
      <c r="B174" s="9">
        <v>0.2</v>
      </c>
      <c r="C174" s="10">
        <v>2.9710000000000001</v>
      </c>
      <c r="D174" s="9" t="s">
        <v>1712</v>
      </c>
      <c r="E174" s="11" t="s">
        <v>1713</v>
      </c>
      <c r="F174" s="12" t="s">
        <v>1714</v>
      </c>
      <c r="G174" s="9" t="s">
        <v>1709</v>
      </c>
    </row>
    <row r="175" spans="1:7">
      <c r="A175" s="9" t="s">
        <v>1711</v>
      </c>
      <c r="B175" s="9">
        <v>0.2</v>
      </c>
      <c r="C175" s="10">
        <v>-0.14499999999999999</v>
      </c>
      <c r="D175" s="9" t="s">
        <v>1709</v>
      </c>
      <c r="E175" s="11" t="s">
        <v>1710</v>
      </c>
      <c r="F175" s="12" t="s">
        <v>1710</v>
      </c>
      <c r="G175" s="9" t="s">
        <v>1709</v>
      </c>
    </row>
    <row r="176" spans="1:7">
      <c r="A176" s="9" t="s">
        <v>1711</v>
      </c>
      <c r="B176" s="9">
        <v>0.2</v>
      </c>
      <c r="C176" s="10">
        <v>0.77300000000000002</v>
      </c>
      <c r="D176" s="9" t="s">
        <v>1712</v>
      </c>
      <c r="E176" s="11" t="s">
        <v>1713</v>
      </c>
      <c r="F176" s="12" t="s">
        <v>1714</v>
      </c>
      <c r="G176" s="9" t="s">
        <v>1709</v>
      </c>
    </row>
    <row r="177" spans="1:7">
      <c r="A177" s="9" t="s">
        <v>1711</v>
      </c>
      <c r="B177" s="9">
        <v>0.2</v>
      </c>
      <c r="C177" s="10">
        <v>0.77300000000000002</v>
      </c>
      <c r="D177" s="9" t="s">
        <v>1712</v>
      </c>
      <c r="E177" s="11" t="s">
        <v>1713</v>
      </c>
      <c r="F177" s="12" t="s">
        <v>1714</v>
      </c>
      <c r="G177" s="9" t="s">
        <v>1709</v>
      </c>
    </row>
    <row r="178" spans="1:7">
      <c r="A178" s="9" t="s">
        <v>1711</v>
      </c>
      <c r="B178" s="13">
        <v>0.2</v>
      </c>
      <c r="C178" s="10">
        <v>0.77300000000000002</v>
      </c>
      <c r="D178" s="9" t="s">
        <v>1712</v>
      </c>
      <c r="E178" s="11" t="s">
        <v>1713</v>
      </c>
      <c r="F178" s="12" t="s">
        <v>1714</v>
      </c>
      <c r="G178" s="9" t="s">
        <v>1709</v>
      </c>
    </row>
    <row r="179" spans="1:7">
      <c r="A179" s="9" t="s">
        <v>1711</v>
      </c>
      <c r="B179" s="13">
        <v>0.2</v>
      </c>
      <c r="C179" s="10">
        <v>0.77300000000000002</v>
      </c>
      <c r="D179" s="9" t="s">
        <v>1712</v>
      </c>
      <c r="E179" s="11" t="s">
        <v>1713</v>
      </c>
      <c r="F179" s="12" t="s">
        <v>1714</v>
      </c>
      <c r="G179" s="9" t="s">
        <v>1709</v>
      </c>
    </row>
    <row r="180" spans="1:7">
      <c r="A180" s="9" t="s">
        <v>1711</v>
      </c>
      <c r="B180" s="13">
        <v>0.2</v>
      </c>
      <c r="C180" s="10">
        <v>0.254</v>
      </c>
      <c r="D180" s="9" t="s">
        <v>1712</v>
      </c>
      <c r="E180" s="11" t="s">
        <v>1713</v>
      </c>
      <c r="F180" s="12" t="s">
        <v>1714</v>
      </c>
      <c r="G180" s="9" t="s">
        <v>1709</v>
      </c>
    </row>
    <row r="181" spans="1:7">
      <c r="A181" s="9" t="s">
        <v>1711</v>
      </c>
      <c r="B181" s="13">
        <v>0.2</v>
      </c>
      <c r="C181" s="10">
        <v>0.157</v>
      </c>
      <c r="D181" s="9" t="s">
        <v>1712</v>
      </c>
      <c r="E181" s="11" t="s">
        <v>1713</v>
      </c>
      <c r="F181" s="12" t="s">
        <v>1714</v>
      </c>
      <c r="G181" s="9" t="s">
        <v>1709</v>
      </c>
    </row>
    <row r="182" spans="1:7">
      <c r="A182" s="9" t="s">
        <v>1711</v>
      </c>
      <c r="B182" s="13">
        <v>0.2</v>
      </c>
      <c r="C182" s="10">
        <v>-8.8999999999999996E-2</v>
      </c>
      <c r="D182" s="9" t="s">
        <v>1709</v>
      </c>
      <c r="E182" s="11" t="s">
        <v>1710</v>
      </c>
      <c r="F182" s="12" t="s">
        <v>1710</v>
      </c>
      <c r="G182" s="9" t="s">
        <v>1709</v>
      </c>
    </row>
    <row r="183" spans="1:7">
      <c r="A183" s="9" t="s">
        <v>1711</v>
      </c>
      <c r="B183" s="13">
        <v>0.2</v>
      </c>
      <c r="C183" s="10">
        <v>-0.157</v>
      </c>
      <c r="D183" s="9" t="s">
        <v>1709</v>
      </c>
      <c r="E183" s="11" t="s">
        <v>1710</v>
      </c>
      <c r="F183" s="12" t="s">
        <v>1710</v>
      </c>
      <c r="G183" s="9" t="s">
        <v>1709</v>
      </c>
    </row>
    <row r="184" spans="1:7">
      <c r="A184" s="9" t="s">
        <v>1711</v>
      </c>
      <c r="B184" s="13">
        <v>0.2</v>
      </c>
      <c r="C184" s="10">
        <v>-0.17399999999999999</v>
      </c>
      <c r="D184" s="9" t="s">
        <v>1709</v>
      </c>
      <c r="E184" s="11" t="s">
        <v>1710</v>
      </c>
      <c r="F184" s="12" t="s">
        <v>1710</v>
      </c>
      <c r="G184" s="9" t="s">
        <v>1709</v>
      </c>
    </row>
    <row r="185" spans="1:7">
      <c r="A185" s="9" t="s">
        <v>1711</v>
      </c>
      <c r="B185" s="9">
        <v>0.2</v>
      </c>
      <c r="C185" s="10">
        <v>0.314</v>
      </c>
      <c r="D185" s="9" t="s">
        <v>1712</v>
      </c>
      <c r="E185" s="11" t="s">
        <v>1713</v>
      </c>
      <c r="F185" s="12" t="s">
        <v>1714</v>
      </c>
      <c r="G185" s="9" t="s">
        <v>1709</v>
      </c>
    </row>
    <row r="186" spans="1:7">
      <c r="A186" s="9" t="s">
        <v>1711</v>
      </c>
      <c r="B186" s="9">
        <v>0.2</v>
      </c>
      <c r="C186" s="10">
        <v>0.112</v>
      </c>
      <c r="D186" s="9" t="s">
        <v>1712</v>
      </c>
      <c r="E186" s="11" t="s">
        <v>1713</v>
      </c>
      <c r="F186" s="12" t="s">
        <v>1714</v>
      </c>
      <c r="G186" s="9" t="s">
        <v>1709</v>
      </c>
    </row>
    <row r="187" spans="1:7">
      <c r="A187" s="9" t="s">
        <v>1711</v>
      </c>
      <c r="B187" s="9">
        <v>0.2</v>
      </c>
      <c r="C187" s="10">
        <v>-0.193</v>
      </c>
      <c r="D187" s="9" t="s">
        <v>1709</v>
      </c>
      <c r="E187" s="11" t="s">
        <v>1710</v>
      </c>
      <c r="F187" s="12" t="s">
        <v>1710</v>
      </c>
      <c r="G187" s="9" t="s">
        <v>1709</v>
      </c>
    </row>
    <row r="188" spans="1:7">
      <c r="A188" s="9" t="s">
        <v>1711</v>
      </c>
      <c r="B188" s="9">
        <v>0.2</v>
      </c>
      <c r="C188" s="10">
        <v>-0.17299999999999999</v>
      </c>
      <c r="D188" s="9" t="s">
        <v>1709</v>
      </c>
      <c r="E188" s="11" t="s">
        <v>1710</v>
      </c>
      <c r="F188" s="12" t="s">
        <v>1710</v>
      </c>
      <c r="G188" s="9" t="s">
        <v>1709</v>
      </c>
    </row>
    <row r="189" spans="1:7">
      <c r="A189" s="9" t="s">
        <v>1711</v>
      </c>
      <c r="B189" s="13">
        <v>0.2</v>
      </c>
      <c r="C189" s="10">
        <v>0.28000000000000003</v>
      </c>
      <c r="D189" s="9" t="s">
        <v>1712</v>
      </c>
      <c r="E189" s="11" t="s">
        <v>1713</v>
      </c>
      <c r="F189" s="12" t="s">
        <v>1714</v>
      </c>
      <c r="G189" s="9" t="s">
        <v>1709</v>
      </c>
    </row>
    <row r="190" spans="1:7">
      <c r="A190" s="9" t="s">
        <v>1711</v>
      </c>
      <c r="B190" s="9">
        <v>0.2</v>
      </c>
      <c r="C190" s="10">
        <v>0.28000000000000003</v>
      </c>
      <c r="D190" s="9" t="s">
        <v>1712</v>
      </c>
      <c r="E190" s="11" t="s">
        <v>1713</v>
      </c>
      <c r="F190" s="12" t="s">
        <v>1714</v>
      </c>
      <c r="G190" s="9" t="s">
        <v>1709</v>
      </c>
    </row>
    <row r="191" spans="1:7">
      <c r="A191" s="9" t="s">
        <v>1711</v>
      </c>
      <c r="B191" s="9">
        <v>0.2</v>
      </c>
      <c r="C191" s="10">
        <v>0.28000000000000003</v>
      </c>
      <c r="D191" s="9" t="s">
        <v>1712</v>
      </c>
      <c r="E191" s="11" t="s">
        <v>1713</v>
      </c>
      <c r="F191" s="12" t="s">
        <v>1714</v>
      </c>
      <c r="G191" s="9" t="s">
        <v>1709</v>
      </c>
    </row>
    <row r="192" spans="1:7">
      <c r="A192" s="9" t="s">
        <v>1711</v>
      </c>
      <c r="B192" s="9">
        <v>0.2</v>
      </c>
      <c r="C192" s="10">
        <v>-8.6000000000000007E-2</v>
      </c>
      <c r="D192" s="9" t="s">
        <v>1709</v>
      </c>
      <c r="E192" s="11" t="s">
        <v>1710</v>
      </c>
      <c r="F192" s="12" t="s">
        <v>1710</v>
      </c>
      <c r="G192" s="9" t="s">
        <v>1709</v>
      </c>
    </row>
    <row r="193" spans="1:7">
      <c r="A193" s="9" t="s">
        <v>1711</v>
      </c>
      <c r="B193" s="13">
        <v>0.2</v>
      </c>
      <c r="C193" s="10">
        <v>-4.2000000000000003E-2</v>
      </c>
      <c r="D193" s="9" t="s">
        <v>1709</v>
      </c>
      <c r="E193" s="11" t="s">
        <v>1710</v>
      </c>
      <c r="F193" s="12" t="s">
        <v>1710</v>
      </c>
      <c r="G193" s="9" t="s">
        <v>1709</v>
      </c>
    </row>
    <row r="194" spans="1:7">
      <c r="A194" s="9" t="s">
        <v>1711</v>
      </c>
      <c r="B194" s="13">
        <v>0.2</v>
      </c>
      <c r="C194" s="10">
        <v>-5.3999999999999999E-2</v>
      </c>
      <c r="D194" s="9" t="s">
        <v>1709</v>
      </c>
      <c r="E194" s="11" t="s">
        <v>1710</v>
      </c>
      <c r="F194" s="12" t="s">
        <v>1710</v>
      </c>
      <c r="G194" s="9" t="s">
        <v>1709</v>
      </c>
    </row>
    <row r="195" spans="1:7">
      <c r="A195" s="9" t="s">
        <v>1711</v>
      </c>
      <c r="B195" s="9">
        <v>0.2</v>
      </c>
      <c r="C195" s="10">
        <v>2.7479999999999998</v>
      </c>
      <c r="D195" s="9" t="s">
        <v>1712</v>
      </c>
      <c r="E195" s="11" t="s">
        <v>1737</v>
      </c>
      <c r="F195" s="12" t="s">
        <v>1714</v>
      </c>
      <c r="G195" s="9" t="s">
        <v>1709</v>
      </c>
    </row>
    <row r="196" spans="1:7">
      <c r="A196" s="9" t="s">
        <v>1711</v>
      </c>
      <c r="B196" s="13">
        <v>0.2</v>
      </c>
      <c r="C196" s="10">
        <v>0.109</v>
      </c>
      <c r="D196" s="9" t="s">
        <v>1712</v>
      </c>
      <c r="E196" s="11" t="s">
        <v>1738</v>
      </c>
      <c r="F196" s="12" t="s">
        <v>1714</v>
      </c>
      <c r="G196" s="9" t="s">
        <v>1709</v>
      </c>
    </row>
    <row r="197" spans="1:7">
      <c r="A197" s="9" t="s">
        <v>1711</v>
      </c>
      <c r="B197" s="13">
        <v>0.2</v>
      </c>
      <c r="C197" s="10">
        <v>1.853</v>
      </c>
      <c r="D197" s="9" t="s">
        <v>1712</v>
      </c>
      <c r="E197" s="11" t="s">
        <v>1737</v>
      </c>
      <c r="F197" s="12" t="s">
        <v>1714</v>
      </c>
      <c r="G197" s="9" t="s">
        <v>1709</v>
      </c>
    </row>
    <row r="198" spans="1:7">
      <c r="A198" s="9" t="s">
        <v>1711</v>
      </c>
      <c r="B198" s="9">
        <v>0.2</v>
      </c>
      <c r="C198" s="10">
        <v>1.2E-2</v>
      </c>
      <c r="D198" s="9" t="s">
        <v>1712</v>
      </c>
      <c r="E198" s="11" t="s">
        <v>1713</v>
      </c>
      <c r="F198" s="12" t="s">
        <v>1714</v>
      </c>
      <c r="G198" s="9" t="s">
        <v>1709</v>
      </c>
    </row>
    <row r="199" spans="1:7">
      <c r="A199" s="9" t="s">
        <v>1711</v>
      </c>
      <c r="B199" s="13">
        <v>0.2</v>
      </c>
      <c r="C199" s="10">
        <v>1.2E-2</v>
      </c>
      <c r="D199" s="9" t="s">
        <v>1712</v>
      </c>
      <c r="E199" s="11" t="s">
        <v>1713</v>
      </c>
      <c r="F199" s="12" t="s">
        <v>1714</v>
      </c>
      <c r="G199" s="9" t="s">
        <v>1709</v>
      </c>
    </row>
    <row r="200" spans="1:7">
      <c r="A200" s="9" t="s">
        <v>1711</v>
      </c>
      <c r="B200" s="13">
        <v>0.2</v>
      </c>
      <c r="C200" s="10">
        <v>1.2E-2</v>
      </c>
      <c r="D200" s="9" t="s">
        <v>1712</v>
      </c>
      <c r="E200" s="11" t="s">
        <v>1713</v>
      </c>
      <c r="F200" s="12" t="s">
        <v>1714</v>
      </c>
      <c r="G200" s="9" t="s">
        <v>1709</v>
      </c>
    </row>
    <row r="201" spans="1:7">
      <c r="A201" s="9" t="s">
        <v>1711</v>
      </c>
      <c r="B201" s="13">
        <v>0.2</v>
      </c>
      <c r="C201" s="10">
        <v>0.79800000000000004</v>
      </c>
      <c r="D201" s="9" t="s">
        <v>1712</v>
      </c>
      <c r="E201" s="11" t="s">
        <v>1737</v>
      </c>
      <c r="F201" s="12" t="s">
        <v>1714</v>
      </c>
      <c r="G201" s="9" t="s">
        <v>1709</v>
      </c>
    </row>
    <row r="202" spans="1:7">
      <c r="A202" s="9" t="s">
        <v>1711</v>
      </c>
      <c r="B202" s="13">
        <v>0.2</v>
      </c>
      <c r="C202" s="10">
        <v>-0.11700000000000001</v>
      </c>
      <c r="D202" s="9" t="s">
        <v>1709</v>
      </c>
      <c r="E202" s="11" t="s">
        <v>1710</v>
      </c>
      <c r="F202" s="12" t="s">
        <v>1710</v>
      </c>
      <c r="G202" s="9" t="s">
        <v>1709</v>
      </c>
    </row>
    <row r="203" spans="1:7">
      <c r="A203" s="9" t="s">
        <v>1711</v>
      </c>
      <c r="B203" s="13">
        <v>0.2</v>
      </c>
      <c r="C203" s="10">
        <v>0.64100000000000001</v>
      </c>
      <c r="D203" s="9" t="s">
        <v>1712</v>
      </c>
      <c r="E203" s="11" t="s">
        <v>1713</v>
      </c>
      <c r="F203" s="12" t="s">
        <v>1714</v>
      </c>
      <c r="G203" s="9" t="s">
        <v>1709</v>
      </c>
    </row>
    <row r="204" spans="1:7">
      <c r="A204" s="9" t="s">
        <v>1711</v>
      </c>
      <c r="B204" s="13">
        <v>0.2</v>
      </c>
      <c r="C204" s="10">
        <v>-5.2999999999999999E-2</v>
      </c>
      <c r="D204" s="9" t="s">
        <v>1709</v>
      </c>
      <c r="E204" s="11" t="s">
        <v>1710</v>
      </c>
      <c r="F204" s="12" t="s">
        <v>1710</v>
      </c>
      <c r="G204" s="9" t="s">
        <v>1709</v>
      </c>
    </row>
    <row r="205" spans="1:7">
      <c r="A205" s="9" t="s">
        <v>1711</v>
      </c>
      <c r="B205" s="13">
        <v>0.2</v>
      </c>
      <c r="C205" s="10">
        <v>-4.0000000000000001E-3</v>
      </c>
      <c r="D205" s="9" t="s">
        <v>1709</v>
      </c>
      <c r="E205" s="11" t="s">
        <v>1710</v>
      </c>
      <c r="F205" s="12" t="s">
        <v>1710</v>
      </c>
      <c r="G205" s="9" t="s">
        <v>1709</v>
      </c>
    </row>
    <row r="206" spans="1:7">
      <c r="A206" s="9" t="s">
        <v>1711</v>
      </c>
      <c r="B206" s="9">
        <v>0.2</v>
      </c>
      <c r="C206" s="10">
        <v>0.64100000000000001</v>
      </c>
      <c r="D206" s="9" t="s">
        <v>1712</v>
      </c>
      <c r="E206" s="11" t="s">
        <v>1738</v>
      </c>
      <c r="F206" s="12" t="s">
        <v>1714</v>
      </c>
      <c r="G206" s="9" t="s">
        <v>1709</v>
      </c>
    </row>
    <row r="207" spans="1:7">
      <c r="A207" s="9" t="s">
        <v>1711</v>
      </c>
      <c r="B207" s="9">
        <v>0.2</v>
      </c>
      <c r="C207" s="10">
        <v>0.64100000000000001</v>
      </c>
      <c r="D207" s="9" t="s">
        <v>1712</v>
      </c>
      <c r="E207" s="11" t="s">
        <v>1738</v>
      </c>
      <c r="F207" s="12" t="s">
        <v>1714</v>
      </c>
      <c r="G207" s="9" t="s">
        <v>1709</v>
      </c>
    </row>
    <row r="208" spans="1:7">
      <c r="A208" s="9" t="s">
        <v>1711</v>
      </c>
      <c r="B208" s="9">
        <v>0.2</v>
      </c>
      <c r="C208" s="10">
        <v>0.64100000000000001</v>
      </c>
      <c r="D208" s="9" t="s">
        <v>1712</v>
      </c>
      <c r="E208" s="11" t="s">
        <v>1738</v>
      </c>
      <c r="F208" s="12" t="s">
        <v>1714</v>
      </c>
      <c r="G208" s="9" t="s">
        <v>1709</v>
      </c>
    </row>
    <row r="209" spans="1:7">
      <c r="A209" s="9" t="s">
        <v>1711</v>
      </c>
      <c r="B209" s="9">
        <v>0.2</v>
      </c>
      <c r="C209" s="10">
        <v>2.4670000000000001</v>
      </c>
      <c r="D209" s="9" t="s">
        <v>1712</v>
      </c>
      <c r="E209" s="11" t="s">
        <v>1738</v>
      </c>
      <c r="F209" s="12" t="s">
        <v>1714</v>
      </c>
      <c r="G209" s="9" t="s">
        <v>1709</v>
      </c>
    </row>
    <row r="210" spans="1:7">
      <c r="A210" s="9" t="s">
        <v>1711</v>
      </c>
      <c r="B210" s="9">
        <v>0.2</v>
      </c>
      <c r="C210" s="10">
        <v>-3.3000000000000002E-2</v>
      </c>
      <c r="D210" s="9" t="s">
        <v>1709</v>
      </c>
      <c r="E210" s="11" t="s">
        <v>1710</v>
      </c>
      <c r="F210" s="12" t="s">
        <v>1710</v>
      </c>
      <c r="G210" s="9" t="s">
        <v>1709</v>
      </c>
    </row>
    <row r="211" spans="1:7">
      <c r="A211" s="9" t="s">
        <v>1711</v>
      </c>
      <c r="B211" s="9">
        <v>0.2</v>
      </c>
      <c r="C211" s="10">
        <v>0.54800000000000004</v>
      </c>
      <c r="D211" s="9" t="s">
        <v>1712</v>
      </c>
      <c r="E211" s="11" t="s">
        <v>1738</v>
      </c>
      <c r="F211" s="12" t="s">
        <v>1714</v>
      </c>
      <c r="G211" s="9" t="s">
        <v>1709</v>
      </c>
    </row>
    <row r="212" spans="1:7">
      <c r="A212" s="9" t="s">
        <v>1711</v>
      </c>
      <c r="B212" s="9">
        <v>0.2</v>
      </c>
      <c r="C212" s="10">
        <v>0.79400000000000004</v>
      </c>
      <c r="D212" s="9" t="s">
        <v>1712</v>
      </c>
      <c r="E212" s="11" t="s">
        <v>1737</v>
      </c>
      <c r="F212" s="12" t="s">
        <v>1714</v>
      </c>
      <c r="G212" s="9" t="s">
        <v>1709</v>
      </c>
    </row>
    <row r="213" spans="1:7">
      <c r="A213" s="9" t="s">
        <v>1711</v>
      </c>
      <c r="B213" s="9">
        <v>0.2</v>
      </c>
      <c r="C213" s="10">
        <v>-6.8000000000000005E-2</v>
      </c>
      <c r="D213" s="9" t="s">
        <v>1709</v>
      </c>
      <c r="E213" s="11" t="s">
        <v>1710</v>
      </c>
      <c r="F213" s="12" t="s">
        <v>1710</v>
      </c>
      <c r="G213" s="9" t="s">
        <v>1709</v>
      </c>
    </row>
    <row r="214" spans="1:7">
      <c r="A214" s="9" t="s">
        <v>1711</v>
      </c>
      <c r="B214" s="9">
        <v>0.2</v>
      </c>
      <c r="C214" s="10">
        <v>-6.8000000000000005E-2</v>
      </c>
      <c r="D214" s="9" t="s">
        <v>1709</v>
      </c>
      <c r="E214" s="11" t="s">
        <v>1710</v>
      </c>
      <c r="F214" s="12" t="s">
        <v>1710</v>
      </c>
      <c r="G214" s="9" t="s">
        <v>1709</v>
      </c>
    </row>
    <row r="215" spans="1:7">
      <c r="A215" s="9" t="s">
        <v>1711</v>
      </c>
      <c r="B215" s="9">
        <v>0.2</v>
      </c>
      <c r="C215" s="10">
        <v>-5.7000000000000002E-2</v>
      </c>
      <c r="D215" s="9" t="s">
        <v>1709</v>
      </c>
      <c r="E215" s="11" t="s">
        <v>1710</v>
      </c>
      <c r="F215" s="12" t="s">
        <v>1710</v>
      </c>
      <c r="G215" s="9" t="s">
        <v>1709</v>
      </c>
    </row>
    <row r="216" spans="1:7">
      <c r="A216" s="9" t="s">
        <v>1711</v>
      </c>
      <c r="B216" s="9">
        <v>0.2</v>
      </c>
      <c r="C216" s="10">
        <v>0.79800000000000004</v>
      </c>
      <c r="D216" s="9" t="s">
        <v>1712</v>
      </c>
      <c r="E216" s="11" t="s">
        <v>1737</v>
      </c>
      <c r="F216" s="12" t="s">
        <v>1714</v>
      </c>
      <c r="G216" s="9" t="s">
        <v>1709</v>
      </c>
    </row>
    <row r="217" spans="1:7">
      <c r="A217" s="9" t="s">
        <v>1711</v>
      </c>
      <c r="B217" s="9">
        <v>0.2</v>
      </c>
      <c r="C217" s="10">
        <v>0.19800000000000001</v>
      </c>
      <c r="D217" s="9" t="s">
        <v>1712</v>
      </c>
      <c r="E217" s="11" t="s">
        <v>1737</v>
      </c>
      <c r="F217" s="12" t="s">
        <v>1714</v>
      </c>
      <c r="G217" s="9" t="s">
        <v>1709</v>
      </c>
    </row>
    <row r="218" spans="1:7">
      <c r="A218" s="9" t="s">
        <v>1711</v>
      </c>
      <c r="B218" s="9">
        <v>0.2</v>
      </c>
      <c r="C218" s="10">
        <v>0.79800000000000004</v>
      </c>
      <c r="D218" s="9" t="s">
        <v>1712</v>
      </c>
      <c r="E218" s="11" t="s">
        <v>1737</v>
      </c>
      <c r="F218" s="12" t="s">
        <v>1714</v>
      </c>
      <c r="G218" s="9" t="s">
        <v>1709</v>
      </c>
    </row>
    <row r="219" spans="1:7">
      <c r="A219" s="9" t="s">
        <v>1711</v>
      </c>
      <c r="B219" s="9">
        <v>0.2</v>
      </c>
      <c r="C219" s="10">
        <v>0.13200000000000001</v>
      </c>
      <c r="D219" s="9" t="s">
        <v>1712</v>
      </c>
      <c r="E219" s="11" t="s">
        <v>1713</v>
      </c>
      <c r="F219" s="12" t="s">
        <v>1714</v>
      </c>
      <c r="G219" s="9" t="s">
        <v>1709</v>
      </c>
    </row>
    <row r="220" spans="1:7">
      <c r="A220" s="9" t="s">
        <v>1711</v>
      </c>
      <c r="B220" s="9">
        <v>0.2</v>
      </c>
      <c r="C220" s="10">
        <v>2.81</v>
      </c>
      <c r="D220" s="9" t="s">
        <v>1712</v>
      </c>
      <c r="E220" s="11" t="s">
        <v>1715</v>
      </c>
      <c r="F220" s="12" t="s">
        <v>1714</v>
      </c>
      <c r="G220" s="9" t="s">
        <v>1709</v>
      </c>
    </row>
    <row r="221" spans="1:7">
      <c r="A221" s="9" t="s">
        <v>1711</v>
      </c>
      <c r="B221" s="9">
        <v>0.2</v>
      </c>
      <c r="C221" s="10">
        <v>2.2239999999999998</v>
      </c>
      <c r="D221" s="9" t="s">
        <v>1712</v>
      </c>
      <c r="E221" s="11" t="s">
        <v>1737</v>
      </c>
      <c r="F221" s="12" t="s">
        <v>1714</v>
      </c>
      <c r="G221" s="9" t="s">
        <v>1709</v>
      </c>
    </row>
    <row r="222" spans="1:7">
      <c r="A222" s="9" t="s">
        <v>1711</v>
      </c>
      <c r="B222" s="13">
        <v>0.2</v>
      </c>
      <c r="C222" s="10">
        <v>2.2239999999999998</v>
      </c>
      <c r="D222" s="9" t="s">
        <v>1712</v>
      </c>
      <c r="E222" s="11" t="s">
        <v>1737</v>
      </c>
      <c r="F222" s="12" t="s">
        <v>1714</v>
      </c>
      <c r="G222" s="9" t="s">
        <v>1709</v>
      </c>
    </row>
    <row r="223" spans="1:7">
      <c r="A223" s="9" t="s">
        <v>1711</v>
      </c>
      <c r="B223" s="13">
        <v>0.2</v>
      </c>
      <c r="C223" s="10">
        <v>2.2239999999999998</v>
      </c>
      <c r="D223" s="9" t="s">
        <v>1712</v>
      </c>
      <c r="E223" s="11" t="s">
        <v>1737</v>
      </c>
      <c r="F223" s="12" t="s">
        <v>1714</v>
      </c>
      <c r="G223" s="9" t="s">
        <v>1709</v>
      </c>
    </row>
    <row r="224" spans="1:7">
      <c r="A224" s="9" t="s">
        <v>1711</v>
      </c>
      <c r="B224" s="13">
        <v>0.2</v>
      </c>
      <c r="C224" s="10">
        <v>2.2239999999999998</v>
      </c>
      <c r="D224" s="9" t="s">
        <v>1712</v>
      </c>
      <c r="E224" s="11" t="s">
        <v>1737</v>
      </c>
      <c r="F224" s="12" t="s">
        <v>1714</v>
      </c>
      <c r="G224" s="9" t="s">
        <v>1709</v>
      </c>
    </row>
    <row r="225" spans="1:7">
      <c r="A225" s="9" t="s">
        <v>1711</v>
      </c>
      <c r="B225" s="13">
        <v>0.2</v>
      </c>
      <c r="C225" s="10">
        <v>-1.8000000000000002E-2</v>
      </c>
      <c r="D225" s="9" t="s">
        <v>1709</v>
      </c>
      <c r="E225" s="11" t="s">
        <v>1710</v>
      </c>
      <c r="F225" s="12" t="s">
        <v>1710</v>
      </c>
      <c r="G225" s="9" t="s">
        <v>1709</v>
      </c>
    </row>
    <row r="226" spans="1:7">
      <c r="A226" s="9" t="s">
        <v>1711</v>
      </c>
      <c r="B226" s="13">
        <v>0.2</v>
      </c>
      <c r="C226" s="10">
        <v>0.23200000000000001</v>
      </c>
      <c r="D226" s="9" t="s">
        <v>1712</v>
      </c>
      <c r="E226" s="11" t="s">
        <v>1736</v>
      </c>
      <c r="F226" s="12" t="s">
        <v>1714</v>
      </c>
      <c r="G226" s="9" t="s">
        <v>1709</v>
      </c>
    </row>
    <row r="227" spans="1:7">
      <c r="A227" s="9" t="s">
        <v>1711</v>
      </c>
      <c r="B227" s="13">
        <v>0.2</v>
      </c>
      <c r="C227" s="10">
        <v>-8.2000000000000003E-2</v>
      </c>
      <c r="D227" s="9" t="s">
        <v>1709</v>
      </c>
      <c r="E227" s="11" t="s">
        <v>1710</v>
      </c>
      <c r="F227" s="12" t="s">
        <v>1710</v>
      </c>
      <c r="G227" s="9" t="s">
        <v>1709</v>
      </c>
    </row>
    <row r="228" spans="1:7">
      <c r="A228" s="9" t="s">
        <v>1711</v>
      </c>
      <c r="B228" s="13">
        <v>0.2</v>
      </c>
      <c r="C228" s="10">
        <v>-1.8000000000000002E-2</v>
      </c>
      <c r="D228" s="9" t="s">
        <v>1709</v>
      </c>
      <c r="E228" s="11" t="s">
        <v>1710</v>
      </c>
      <c r="F228" s="12" t="s">
        <v>1710</v>
      </c>
      <c r="G228" s="9" t="s">
        <v>1709</v>
      </c>
    </row>
    <row r="229" spans="1:7">
      <c r="A229" s="9" t="s">
        <v>1711</v>
      </c>
      <c r="B229" s="13">
        <v>0.2</v>
      </c>
      <c r="C229" s="10">
        <v>0.51700000000000002</v>
      </c>
      <c r="D229" s="9" t="s">
        <v>1712</v>
      </c>
      <c r="E229" s="11" t="s">
        <v>1713</v>
      </c>
      <c r="F229" s="12" t="s">
        <v>1714</v>
      </c>
      <c r="G229" s="9" t="s">
        <v>1709</v>
      </c>
    </row>
    <row r="230" spans="1:7">
      <c r="A230" s="9" t="s">
        <v>1711</v>
      </c>
      <c r="B230" s="13">
        <v>0.2</v>
      </c>
      <c r="C230" s="10">
        <v>0.82699999999999996</v>
      </c>
      <c r="D230" s="9" t="s">
        <v>1712</v>
      </c>
      <c r="E230" s="11" t="s">
        <v>1713</v>
      </c>
      <c r="F230" s="12" t="s">
        <v>1714</v>
      </c>
      <c r="G230" s="9" t="s">
        <v>1709</v>
      </c>
    </row>
    <row r="231" spans="1:7">
      <c r="A231" s="9" t="s">
        <v>1711</v>
      </c>
      <c r="B231" s="9">
        <v>0.2</v>
      </c>
      <c r="C231" s="10">
        <v>0.82699999999999996</v>
      </c>
      <c r="D231" s="9" t="s">
        <v>1712</v>
      </c>
      <c r="E231" s="11" t="s">
        <v>1713</v>
      </c>
      <c r="F231" s="12" t="s">
        <v>1714</v>
      </c>
      <c r="G231" s="9" t="s">
        <v>1709</v>
      </c>
    </row>
    <row r="232" spans="1:7">
      <c r="A232" s="9" t="s">
        <v>1711</v>
      </c>
      <c r="B232" s="13">
        <v>0.2</v>
      </c>
      <c r="C232" s="10">
        <v>0.82699999999999996</v>
      </c>
      <c r="D232" s="9" t="s">
        <v>1712</v>
      </c>
      <c r="E232" s="11" t="s">
        <v>1713</v>
      </c>
      <c r="F232" s="12" t="s">
        <v>1714</v>
      </c>
      <c r="G232" s="9" t="s">
        <v>1709</v>
      </c>
    </row>
    <row r="233" spans="1:7">
      <c r="A233" s="9" t="s">
        <v>1711</v>
      </c>
      <c r="B233" s="13">
        <v>0.2</v>
      </c>
      <c r="C233" s="10">
        <v>0.82699999999999996</v>
      </c>
      <c r="D233" s="9" t="s">
        <v>1712</v>
      </c>
      <c r="E233" s="11" t="s">
        <v>1713</v>
      </c>
      <c r="F233" s="12" t="s">
        <v>1714</v>
      </c>
      <c r="G233" s="9" t="s">
        <v>1709</v>
      </c>
    </row>
    <row r="234" spans="1:7">
      <c r="A234" s="9" t="s">
        <v>1711</v>
      </c>
      <c r="B234" s="13">
        <v>0.2</v>
      </c>
      <c r="C234" s="10">
        <v>0.82699999999999996</v>
      </c>
      <c r="D234" s="9" t="s">
        <v>1712</v>
      </c>
      <c r="E234" s="11" t="s">
        <v>1713</v>
      </c>
      <c r="F234" s="12" t="s">
        <v>1714</v>
      </c>
      <c r="G234" s="9" t="s">
        <v>1709</v>
      </c>
    </row>
    <row r="235" spans="1:7">
      <c r="A235" s="9" t="s">
        <v>1711</v>
      </c>
      <c r="B235" s="13">
        <v>0.2</v>
      </c>
      <c r="C235" s="10">
        <v>0.82699999999999996</v>
      </c>
      <c r="D235" s="9" t="s">
        <v>1712</v>
      </c>
      <c r="E235" s="11" t="s">
        <v>1713</v>
      </c>
      <c r="F235" s="12" t="s">
        <v>1714</v>
      </c>
      <c r="G235" s="9" t="s">
        <v>1709</v>
      </c>
    </row>
    <row r="236" spans="1:7">
      <c r="A236" s="9" t="s">
        <v>1711</v>
      </c>
      <c r="B236" s="13">
        <v>0.2</v>
      </c>
      <c r="C236" s="10">
        <v>0.82699999999999996</v>
      </c>
      <c r="D236" s="9" t="s">
        <v>1712</v>
      </c>
      <c r="E236" s="11" t="s">
        <v>1713</v>
      </c>
      <c r="F236" s="12" t="s">
        <v>1714</v>
      </c>
      <c r="G236" s="9" t="s">
        <v>1709</v>
      </c>
    </row>
    <row r="237" spans="1:7">
      <c r="A237" s="9" t="s">
        <v>1711</v>
      </c>
      <c r="B237" s="13">
        <v>0.2</v>
      </c>
      <c r="C237" s="10">
        <v>0.82699999999999996</v>
      </c>
      <c r="D237" s="9" t="s">
        <v>1712</v>
      </c>
      <c r="E237" s="11" t="s">
        <v>1713</v>
      </c>
      <c r="F237" s="12" t="s">
        <v>1714</v>
      </c>
      <c r="G237" s="9" t="s">
        <v>1709</v>
      </c>
    </row>
    <row r="238" spans="1:7">
      <c r="A238" s="9" t="s">
        <v>1711</v>
      </c>
      <c r="B238" s="13">
        <v>0.2</v>
      </c>
      <c r="C238" s="10">
        <v>0.82699999999999996</v>
      </c>
      <c r="D238" s="9" t="s">
        <v>1712</v>
      </c>
      <c r="E238" s="11" t="s">
        <v>1713</v>
      </c>
      <c r="F238" s="12" t="s">
        <v>1714</v>
      </c>
      <c r="G238" s="9" t="s">
        <v>1709</v>
      </c>
    </row>
    <row r="239" spans="1:7">
      <c r="A239" s="9" t="s">
        <v>1711</v>
      </c>
      <c r="B239" s="13">
        <v>0.2</v>
      </c>
      <c r="C239" s="10">
        <v>0.82699999999999996</v>
      </c>
      <c r="D239" s="9" t="s">
        <v>1712</v>
      </c>
      <c r="E239" s="11" t="s">
        <v>1713</v>
      </c>
      <c r="F239" s="12" t="s">
        <v>1714</v>
      </c>
      <c r="G239" s="9" t="s">
        <v>1709</v>
      </c>
    </row>
    <row r="240" spans="1:7">
      <c r="A240" s="9" t="s">
        <v>1711</v>
      </c>
      <c r="B240" s="13">
        <v>0.2</v>
      </c>
      <c r="C240" s="10">
        <v>0.82699999999999996</v>
      </c>
      <c r="D240" s="9" t="s">
        <v>1712</v>
      </c>
      <c r="E240" s="11" t="s">
        <v>1713</v>
      </c>
      <c r="F240" s="12" t="s">
        <v>1714</v>
      </c>
      <c r="G240" s="9" t="s">
        <v>1709</v>
      </c>
    </row>
    <row r="241" spans="1:7">
      <c r="A241" s="9" t="s">
        <v>1711</v>
      </c>
      <c r="B241" s="13">
        <v>0.2</v>
      </c>
      <c r="C241" s="10">
        <v>0.82699999999999996</v>
      </c>
      <c r="D241" s="9" t="s">
        <v>1712</v>
      </c>
      <c r="E241" s="11" t="s">
        <v>1713</v>
      </c>
      <c r="F241" s="12" t="s">
        <v>1714</v>
      </c>
      <c r="G241" s="9" t="s">
        <v>1709</v>
      </c>
    </row>
    <row r="242" spans="1:7">
      <c r="A242" s="9" t="s">
        <v>1711</v>
      </c>
      <c r="B242" s="13">
        <v>0.2</v>
      </c>
      <c r="C242" s="10">
        <v>1.601</v>
      </c>
      <c r="D242" s="9" t="s">
        <v>1712</v>
      </c>
      <c r="E242" s="11" t="s">
        <v>1713</v>
      </c>
      <c r="F242" s="12" t="s">
        <v>1714</v>
      </c>
      <c r="G242" s="9" t="s">
        <v>1709</v>
      </c>
    </row>
    <row r="243" spans="1:7">
      <c r="A243" s="9" t="s">
        <v>1711</v>
      </c>
      <c r="B243" s="13">
        <v>0.2</v>
      </c>
      <c r="C243" s="10">
        <v>1.601</v>
      </c>
      <c r="D243" s="9" t="s">
        <v>1712</v>
      </c>
      <c r="E243" s="11" t="s">
        <v>1713</v>
      </c>
      <c r="F243" s="12" t="s">
        <v>1714</v>
      </c>
      <c r="G243" s="9" t="s">
        <v>1709</v>
      </c>
    </row>
    <row r="244" spans="1:7">
      <c r="A244" s="9" t="s">
        <v>1711</v>
      </c>
      <c r="B244" s="13">
        <v>0.2</v>
      </c>
      <c r="C244" s="10">
        <v>1.819</v>
      </c>
      <c r="D244" s="9" t="s">
        <v>1712</v>
      </c>
      <c r="E244" s="11" t="s">
        <v>1713</v>
      </c>
      <c r="F244" s="12" t="s">
        <v>1714</v>
      </c>
      <c r="G244" s="9" t="s">
        <v>1709</v>
      </c>
    </row>
    <row r="245" spans="1:7">
      <c r="A245" s="9" t="s">
        <v>1711</v>
      </c>
      <c r="B245" s="13">
        <v>0.2</v>
      </c>
      <c r="C245" s="10">
        <v>1.819</v>
      </c>
      <c r="D245" s="9" t="s">
        <v>1712</v>
      </c>
      <c r="E245" s="11" t="s">
        <v>1713</v>
      </c>
      <c r="F245" s="12" t="s">
        <v>1714</v>
      </c>
      <c r="G245" s="9" t="s">
        <v>1709</v>
      </c>
    </row>
    <row r="246" spans="1:7">
      <c r="A246" s="9" t="s">
        <v>1711</v>
      </c>
      <c r="B246" s="13">
        <v>0.2</v>
      </c>
      <c r="C246" s="10">
        <v>1.819</v>
      </c>
      <c r="D246" s="9" t="s">
        <v>1712</v>
      </c>
      <c r="E246" s="11" t="s">
        <v>1713</v>
      </c>
      <c r="F246" s="12" t="s">
        <v>1714</v>
      </c>
      <c r="G246" s="9" t="s">
        <v>1709</v>
      </c>
    </row>
    <row r="247" spans="1:7">
      <c r="A247" s="9" t="s">
        <v>1711</v>
      </c>
      <c r="B247" s="13">
        <v>0.2</v>
      </c>
      <c r="C247" s="10">
        <v>1.819</v>
      </c>
      <c r="D247" s="9" t="s">
        <v>1712</v>
      </c>
      <c r="E247" s="11" t="s">
        <v>1713</v>
      </c>
      <c r="F247" s="12" t="s">
        <v>1714</v>
      </c>
      <c r="G247" s="9" t="s">
        <v>1709</v>
      </c>
    </row>
    <row r="248" spans="1:7">
      <c r="A248" s="9" t="s">
        <v>1711</v>
      </c>
      <c r="B248" s="13">
        <v>0.2</v>
      </c>
      <c r="C248" s="10">
        <v>1.819</v>
      </c>
      <c r="D248" s="9" t="s">
        <v>1712</v>
      </c>
      <c r="E248" s="11" t="s">
        <v>1713</v>
      </c>
      <c r="F248" s="12" t="s">
        <v>1714</v>
      </c>
      <c r="G248" s="9" t="s">
        <v>1709</v>
      </c>
    </row>
    <row r="249" spans="1:7">
      <c r="A249" s="9" t="s">
        <v>1711</v>
      </c>
      <c r="B249" s="13">
        <v>0.2</v>
      </c>
      <c r="C249" s="10">
        <v>3.11</v>
      </c>
      <c r="D249" s="9" t="s">
        <v>1712</v>
      </c>
      <c r="E249" s="11" t="s">
        <v>1739</v>
      </c>
      <c r="F249" s="12" t="s">
        <v>1714</v>
      </c>
      <c r="G249" s="9" t="s">
        <v>1709</v>
      </c>
    </row>
    <row r="250" spans="1:7">
      <c r="A250" s="9" t="s">
        <v>1711</v>
      </c>
      <c r="B250" s="9">
        <v>0.2</v>
      </c>
      <c r="C250" s="10">
        <v>2.4670000000000001</v>
      </c>
      <c r="D250" s="9" t="s">
        <v>1712</v>
      </c>
      <c r="E250" s="11" t="s">
        <v>1738</v>
      </c>
      <c r="F250" s="12" t="s">
        <v>1714</v>
      </c>
      <c r="G250" s="9" t="s">
        <v>1709</v>
      </c>
    </row>
    <row r="251" spans="1:7">
      <c r="A251" s="9" t="s">
        <v>1711</v>
      </c>
      <c r="B251" s="13">
        <v>0.2</v>
      </c>
      <c r="C251" s="10">
        <v>2.4670000000000001</v>
      </c>
      <c r="D251" s="9" t="s">
        <v>1712</v>
      </c>
      <c r="E251" s="11" t="s">
        <v>1738</v>
      </c>
      <c r="F251" s="12" t="s">
        <v>1714</v>
      </c>
      <c r="G251" s="9" t="s">
        <v>1709</v>
      </c>
    </row>
    <row r="252" spans="1:7">
      <c r="A252" s="9" t="s">
        <v>1711</v>
      </c>
      <c r="B252" s="13">
        <v>0.2</v>
      </c>
      <c r="C252" s="10">
        <v>0.52900000000000003</v>
      </c>
      <c r="D252" s="9" t="s">
        <v>1712</v>
      </c>
      <c r="E252" s="11" t="s">
        <v>1737</v>
      </c>
      <c r="F252" s="12" t="s">
        <v>1714</v>
      </c>
      <c r="G252" s="9" t="s">
        <v>1709</v>
      </c>
    </row>
    <row r="253" spans="1:7">
      <c r="A253" s="9" t="s">
        <v>1711</v>
      </c>
      <c r="B253" s="9">
        <v>0.2</v>
      </c>
      <c r="C253" s="10">
        <v>0.52900000000000003</v>
      </c>
      <c r="D253" s="9" t="s">
        <v>1712</v>
      </c>
      <c r="E253" s="11" t="s">
        <v>1737</v>
      </c>
      <c r="F253" s="12" t="s">
        <v>1714</v>
      </c>
      <c r="G253" s="9" t="s">
        <v>1709</v>
      </c>
    </row>
    <row r="254" spans="1:7">
      <c r="A254" s="9" t="s">
        <v>1711</v>
      </c>
      <c r="B254" s="9">
        <v>0.2</v>
      </c>
      <c r="C254" s="10">
        <v>6.3E-2</v>
      </c>
      <c r="D254" s="9" t="s">
        <v>1712</v>
      </c>
      <c r="E254" s="11" t="s">
        <v>1713</v>
      </c>
      <c r="F254" s="12" t="s">
        <v>1714</v>
      </c>
      <c r="G254" s="9" t="s">
        <v>1709</v>
      </c>
    </row>
    <row r="255" spans="1:7">
      <c r="A255" s="9" t="s">
        <v>1711</v>
      </c>
      <c r="B255" s="13">
        <v>0.2</v>
      </c>
      <c r="C255" s="10">
        <v>0.52900000000000003</v>
      </c>
      <c r="D255" s="9" t="s">
        <v>1712</v>
      </c>
      <c r="E255" s="11" t="s">
        <v>1737</v>
      </c>
      <c r="F255" s="12" t="s">
        <v>1714</v>
      </c>
      <c r="G255" s="9" t="s">
        <v>1709</v>
      </c>
    </row>
    <row r="256" spans="1:7">
      <c r="A256" s="9" t="s">
        <v>1711</v>
      </c>
      <c r="B256" s="13">
        <v>0.2</v>
      </c>
      <c r="C256" s="10">
        <v>0.52900000000000003</v>
      </c>
      <c r="D256" s="9" t="s">
        <v>1712</v>
      </c>
      <c r="E256" s="11" t="s">
        <v>1737</v>
      </c>
      <c r="F256" s="12" t="s">
        <v>1714</v>
      </c>
      <c r="G256" s="9" t="s">
        <v>1709</v>
      </c>
    </row>
    <row r="257" spans="1:7">
      <c r="A257" s="9" t="s">
        <v>1711</v>
      </c>
      <c r="B257" s="13">
        <v>0.2</v>
      </c>
      <c r="C257" s="10">
        <v>0.52900000000000003</v>
      </c>
      <c r="D257" s="9" t="s">
        <v>1712</v>
      </c>
      <c r="E257" s="11" t="s">
        <v>1737</v>
      </c>
      <c r="F257" s="12" t="s">
        <v>1714</v>
      </c>
      <c r="G257" s="9" t="s">
        <v>1709</v>
      </c>
    </row>
    <row r="258" spans="1:7">
      <c r="A258" s="9" t="s">
        <v>1711</v>
      </c>
      <c r="B258" s="13">
        <v>0.2</v>
      </c>
      <c r="C258" s="10">
        <v>2.81</v>
      </c>
      <c r="D258" s="9" t="s">
        <v>1712</v>
      </c>
      <c r="E258" s="11" t="s">
        <v>1741</v>
      </c>
      <c r="F258" s="12" t="s">
        <v>1714</v>
      </c>
      <c r="G258" s="9" t="s">
        <v>1709</v>
      </c>
    </row>
    <row r="259" spans="1:7">
      <c r="A259" s="9" t="s">
        <v>1711</v>
      </c>
      <c r="B259" s="13">
        <v>0.2</v>
      </c>
      <c r="C259" s="10">
        <v>2.81</v>
      </c>
      <c r="D259" s="9" t="s">
        <v>1712</v>
      </c>
      <c r="E259" s="11" t="s">
        <v>1741</v>
      </c>
      <c r="F259" s="12" t="s">
        <v>1714</v>
      </c>
      <c r="G259" s="9" t="s">
        <v>1709</v>
      </c>
    </row>
    <row r="260" spans="1:7">
      <c r="A260" s="9" t="s">
        <v>1711</v>
      </c>
      <c r="B260" s="13">
        <v>0.2</v>
      </c>
      <c r="C260" s="10">
        <v>-0.04</v>
      </c>
      <c r="D260" s="9" t="s">
        <v>1709</v>
      </c>
      <c r="E260" s="11" t="s">
        <v>1710</v>
      </c>
      <c r="F260" s="12" t="s">
        <v>1710</v>
      </c>
      <c r="G260" s="9" t="s">
        <v>1709</v>
      </c>
    </row>
    <row r="261" spans="1:7">
      <c r="A261" s="9" t="s">
        <v>1711</v>
      </c>
      <c r="B261" s="13">
        <v>0.2</v>
      </c>
      <c r="C261" s="10">
        <v>-9.0999999999999998E-2</v>
      </c>
      <c r="D261" s="9" t="s">
        <v>1709</v>
      </c>
      <c r="E261" s="11" t="s">
        <v>1710</v>
      </c>
      <c r="F261" s="12" t="s">
        <v>1710</v>
      </c>
      <c r="G261" s="9" t="s">
        <v>1709</v>
      </c>
    </row>
    <row r="262" spans="1:7">
      <c r="A262" s="9" t="s">
        <v>1711</v>
      </c>
      <c r="B262" s="13">
        <v>0.2</v>
      </c>
      <c r="C262" s="10">
        <v>7.0000000000000001E-3</v>
      </c>
      <c r="D262" s="9" t="s">
        <v>1712</v>
      </c>
      <c r="E262" s="11" t="s">
        <v>1737</v>
      </c>
      <c r="F262" s="12" t="s">
        <v>1714</v>
      </c>
      <c r="G262" s="9" t="s">
        <v>1709</v>
      </c>
    </row>
    <row r="263" spans="1:7">
      <c r="A263" s="9" t="s">
        <v>1711</v>
      </c>
      <c r="B263" s="13">
        <v>0.2</v>
      </c>
      <c r="C263" s="10">
        <v>-8.7999999999999995E-2</v>
      </c>
      <c r="D263" s="9" t="s">
        <v>1709</v>
      </c>
      <c r="E263" s="11" t="s">
        <v>1710</v>
      </c>
      <c r="F263" s="12" t="s">
        <v>1710</v>
      </c>
      <c r="G263" s="9" t="s">
        <v>1709</v>
      </c>
    </row>
    <row r="264" spans="1:7">
      <c r="A264" s="9" t="s">
        <v>1711</v>
      </c>
      <c r="B264" s="13">
        <v>0.2</v>
      </c>
      <c r="C264" s="10">
        <v>3.198</v>
      </c>
      <c r="D264" s="9" t="s">
        <v>1712</v>
      </c>
      <c r="E264" s="11" t="s">
        <v>1738</v>
      </c>
      <c r="F264" s="12" t="s">
        <v>1714</v>
      </c>
      <c r="G264" s="9" t="s">
        <v>1709</v>
      </c>
    </row>
    <row r="265" spans="1:7">
      <c r="A265" s="9" t="s">
        <v>1711</v>
      </c>
      <c r="B265" s="13">
        <v>0.2</v>
      </c>
      <c r="C265" s="10">
        <v>1.1949999999999998</v>
      </c>
      <c r="D265" s="9" t="s">
        <v>1712</v>
      </c>
      <c r="E265" s="11" t="s">
        <v>1713</v>
      </c>
      <c r="F265" s="12" t="s">
        <v>1714</v>
      </c>
      <c r="G265" s="9" t="s">
        <v>1709</v>
      </c>
    </row>
    <row r="266" spans="1:7">
      <c r="A266" s="9" t="s">
        <v>1711</v>
      </c>
      <c r="B266" s="13">
        <v>0.2</v>
      </c>
      <c r="C266" s="10">
        <v>1.1949999999999998</v>
      </c>
      <c r="D266" s="9" t="s">
        <v>1712</v>
      </c>
      <c r="E266" s="11" t="s">
        <v>1713</v>
      </c>
      <c r="F266" s="12" t="s">
        <v>1714</v>
      </c>
      <c r="G266" s="9" t="s">
        <v>1709</v>
      </c>
    </row>
    <row r="267" spans="1:7">
      <c r="A267" s="9" t="s">
        <v>1711</v>
      </c>
      <c r="B267" s="13">
        <v>0.2</v>
      </c>
      <c r="C267" s="10">
        <v>1.1709999999999998</v>
      </c>
      <c r="D267" s="9" t="s">
        <v>1712</v>
      </c>
      <c r="E267" s="11" t="s">
        <v>1738</v>
      </c>
      <c r="F267" s="12" t="s">
        <v>1714</v>
      </c>
      <c r="G267" s="9" t="s">
        <v>1709</v>
      </c>
    </row>
    <row r="268" spans="1:7">
      <c r="A268" s="9" t="s">
        <v>1711</v>
      </c>
      <c r="B268" s="13">
        <v>0.2</v>
      </c>
      <c r="C268" s="10">
        <v>8.1000000000000003E-2</v>
      </c>
      <c r="D268" s="9" t="s">
        <v>1712</v>
      </c>
      <c r="E268" s="11" t="s">
        <v>1736</v>
      </c>
      <c r="F268" s="12" t="s">
        <v>1714</v>
      </c>
      <c r="G268" s="9" t="s">
        <v>1709</v>
      </c>
    </row>
    <row r="269" spans="1:7">
      <c r="A269" s="9" t="s">
        <v>1711</v>
      </c>
      <c r="B269" s="13">
        <v>0.2</v>
      </c>
      <c r="C269" s="10">
        <v>8.1000000000000003E-2</v>
      </c>
      <c r="D269" s="9" t="s">
        <v>1712</v>
      </c>
      <c r="E269" s="11" t="s">
        <v>1736</v>
      </c>
      <c r="F269" s="12" t="s">
        <v>1714</v>
      </c>
      <c r="G269" s="9" t="s">
        <v>1709</v>
      </c>
    </row>
    <row r="270" spans="1:7">
      <c r="A270" s="9" t="s">
        <v>1711</v>
      </c>
      <c r="B270" s="13">
        <v>0.2</v>
      </c>
      <c r="C270" s="10">
        <v>2.7479999999999998</v>
      </c>
      <c r="D270" s="9" t="s">
        <v>1712</v>
      </c>
      <c r="E270" s="11" t="s">
        <v>1738</v>
      </c>
      <c r="F270" s="12" t="s">
        <v>1714</v>
      </c>
      <c r="G270" s="9" t="s">
        <v>1709</v>
      </c>
    </row>
    <row r="271" spans="1:7">
      <c r="A271" s="9" t="s">
        <v>1711</v>
      </c>
      <c r="B271" s="13">
        <v>0.2</v>
      </c>
      <c r="C271" s="10">
        <v>0.27800000000000002</v>
      </c>
      <c r="D271" s="9" t="s">
        <v>1712</v>
      </c>
      <c r="E271" s="11" t="s">
        <v>1737</v>
      </c>
      <c r="F271" s="12" t="s">
        <v>1714</v>
      </c>
      <c r="G271" s="9" t="s">
        <v>1709</v>
      </c>
    </row>
    <row r="272" spans="1:7">
      <c r="A272" s="9" t="s">
        <v>1711</v>
      </c>
      <c r="B272" s="13">
        <v>0.2</v>
      </c>
      <c r="C272" s="10">
        <v>1.222</v>
      </c>
      <c r="D272" s="9" t="s">
        <v>1712</v>
      </c>
      <c r="E272" s="11" t="s">
        <v>1737</v>
      </c>
      <c r="F272" s="12" t="s">
        <v>1714</v>
      </c>
      <c r="G272" s="9" t="s">
        <v>1709</v>
      </c>
    </row>
    <row r="273" spans="1:7">
      <c r="A273" s="9" t="s">
        <v>1711</v>
      </c>
      <c r="B273" s="13">
        <v>0.2</v>
      </c>
      <c r="C273" s="10">
        <v>1.222</v>
      </c>
      <c r="D273" s="9" t="s">
        <v>1712</v>
      </c>
      <c r="E273" s="11" t="s">
        <v>1737</v>
      </c>
      <c r="F273" s="12" t="s">
        <v>1714</v>
      </c>
      <c r="G273" s="9" t="s">
        <v>1709</v>
      </c>
    </row>
    <row r="274" spans="1:7">
      <c r="A274" s="9" t="s">
        <v>1711</v>
      </c>
      <c r="B274" s="13">
        <v>0.2</v>
      </c>
      <c r="C274" s="10">
        <v>0.51700000000000002</v>
      </c>
      <c r="D274" s="9" t="s">
        <v>1712</v>
      </c>
      <c r="E274" s="11" t="s">
        <v>1737</v>
      </c>
      <c r="F274" s="12" t="s">
        <v>1714</v>
      </c>
      <c r="G274" s="9" t="s">
        <v>1709</v>
      </c>
    </row>
    <row r="275" spans="1:7">
      <c r="A275" s="9" t="s">
        <v>1711</v>
      </c>
      <c r="B275" s="9">
        <v>0.2</v>
      </c>
      <c r="C275" s="10">
        <v>-2.9000000000000001E-2</v>
      </c>
      <c r="D275" s="9" t="s">
        <v>1709</v>
      </c>
      <c r="E275" s="11" t="s">
        <v>1710</v>
      </c>
      <c r="F275" s="12" t="s">
        <v>1710</v>
      </c>
      <c r="G275" s="9" t="s">
        <v>1709</v>
      </c>
    </row>
    <row r="276" spans="1:7">
      <c r="A276" s="9" t="s">
        <v>1711</v>
      </c>
      <c r="B276" s="9">
        <v>0.2</v>
      </c>
      <c r="C276" s="10">
        <v>1.6E-2</v>
      </c>
      <c r="D276" s="9" t="s">
        <v>1712</v>
      </c>
      <c r="E276" s="11" t="s">
        <v>1737</v>
      </c>
      <c r="F276" s="12" t="s">
        <v>1714</v>
      </c>
      <c r="G276" s="9" t="s">
        <v>1709</v>
      </c>
    </row>
    <row r="277" spans="1:7">
      <c r="A277" s="9" t="s">
        <v>1711</v>
      </c>
      <c r="B277" s="9">
        <v>0.2</v>
      </c>
      <c r="C277" s="10">
        <v>2.63</v>
      </c>
      <c r="D277" s="9" t="s">
        <v>1712</v>
      </c>
      <c r="E277" s="11" t="s">
        <v>1737</v>
      </c>
      <c r="F277" s="12" t="s">
        <v>1714</v>
      </c>
      <c r="G277" s="9" t="s">
        <v>1709</v>
      </c>
    </row>
    <row r="278" spans="1:7">
      <c r="A278" s="9" t="s">
        <v>1711</v>
      </c>
      <c r="B278" s="9">
        <v>0.2</v>
      </c>
      <c r="C278" s="10">
        <v>0.27800000000000002</v>
      </c>
      <c r="D278" s="9" t="s">
        <v>1712</v>
      </c>
      <c r="E278" s="11" t="s">
        <v>1738</v>
      </c>
      <c r="F278" s="12" t="s">
        <v>1714</v>
      </c>
      <c r="G278" s="9" t="s">
        <v>1709</v>
      </c>
    </row>
    <row r="279" spans="1:7">
      <c r="A279" s="9" t="s">
        <v>1711</v>
      </c>
      <c r="B279" s="9">
        <v>0.2</v>
      </c>
      <c r="C279" s="10">
        <v>0.93800000000000006</v>
      </c>
      <c r="D279" s="9" t="s">
        <v>1712</v>
      </c>
      <c r="E279" s="11" t="s">
        <v>1738</v>
      </c>
      <c r="F279" s="12" t="s">
        <v>1714</v>
      </c>
      <c r="G279" s="9" t="s">
        <v>1709</v>
      </c>
    </row>
    <row r="280" spans="1:7">
      <c r="A280" s="9" t="s">
        <v>1711</v>
      </c>
      <c r="B280" s="9">
        <v>0.2</v>
      </c>
      <c r="C280" s="10">
        <v>-6.0999999999999999E-2</v>
      </c>
      <c r="D280" s="9" t="s">
        <v>1709</v>
      </c>
      <c r="E280" s="11" t="s">
        <v>1710</v>
      </c>
      <c r="F280" s="12" t="s">
        <v>1710</v>
      </c>
      <c r="G280" s="9" t="s">
        <v>1709</v>
      </c>
    </row>
    <row r="281" spans="1:7">
      <c r="A281" s="9" t="s">
        <v>1711</v>
      </c>
      <c r="B281" s="9">
        <v>0.2</v>
      </c>
      <c r="C281" s="10">
        <v>0.64100000000000001</v>
      </c>
      <c r="D281" s="9" t="s">
        <v>1712</v>
      </c>
      <c r="E281" s="11" t="s">
        <v>1741</v>
      </c>
      <c r="F281" s="12" t="s">
        <v>1714</v>
      </c>
      <c r="G281" s="9" t="s">
        <v>1709</v>
      </c>
    </row>
    <row r="282" spans="1:7">
      <c r="A282" s="9" t="s">
        <v>1711</v>
      </c>
      <c r="B282" s="13">
        <v>0.2</v>
      </c>
      <c r="C282" s="10">
        <v>0.27500000000000002</v>
      </c>
      <c r="D282" s="9" t="s">
        <v>1712</v>
      </c>
      <c r="E282" s="11" t="s">
        <v>1713</v>
      </c>
      <c r="F282" s="12" t="s">
        <v>1714</v>
      </c>
      <c r="G282" s="9" t="s">
        <v>1709</v>
      </c>
    </row>
    <row r="283" spans="1:7">
      <c r="A283" s="9" t="s">
        <v>1711</v>
      </c>
      <c r="B283" s="13">
        <v>0.2</v>
      </c>
      <c r="C283" s="10">
        <v>0.23200000000000001</v>
      </c>
      <c r="D283" s="9" t="s">
        <v>1712</v>
      </c>
      <c r="E283" s="11" t="s">
        <v>1738</v>
      </c>
      <c r="F283" s="12" t="s">
        <v>1714</v>
      </c>
      <c r="G283" s="9" t="s">
        <v>1709</v>
      </c>
    </row>
    <row r="284" spans="1:7">
      <c r="A284" s="9" t="s">
        <v>1711</v>
      </c>
      <c r="B284" s="13">
        <v>0.2</v>
      </c>
      <c r="C284" s="10">
        <v>0.64100000000000001</v>
      </c>
      <c r="D284" s="9" t="s">
        <v>1712</v>
      </c>
      <c r="E284" s="11" t="s">
        <v>1737</v>
      </c>
      <c r="F284" s="12" t="s">
        <v>1714</v>
      </c>
      <c r="G284" s="9" t="s">
        <v>1709</v>
      </c>
    </row>
    <row r="285" spans="1:7">
      <c r="A285" s="9" t="s">
        <v>1711</v>
      </c>
      <c r="B285" s="13">
        <v>0.2</v>
      </c>
      <c r="C285" s="10">
        <v>0.64100000000000001</v>
      </c>
      <c r="D285" s="9" t="s">
        <v>1712</v>
      </c>
      <c r="E285" s="11" t="s">
        <v>1738</v>
      </c>
      <c r="F285" s="12" t="s">
        <v>1714</v>
      </c>
      <c r="G285" s="9" t="s">
        <v>1709</v>
      </c>
    </row>
    <row r="286" spans="1:7">
      <c r="A286" s="9" t="s">
        <v>1711</v>
      </c>
      <c r="B286" s="13">
        <v>0.2</v>
      </c>
      <c r="C286" s="10">
        <v>-7.3999999999999996E-2</v>
      </c>
      <c r="D286" s="9" t="s">
        <v>1709</v>
      </c>
      <c r="E286" s="11" t="s">
        <v>1710</v>
      </c>
      <c r="F286" s="12" t="s">
        <v>1710</v>
      </c>
      <c r="G286" s="9" t="s">
        <v>1709</v>
      </c>
    </row>
    <row r="287" spans="1:7">
      <c r="A287" s="9" t="s">
        <v>1711</v>
      </c>
      <c r="B287" s="13">
        <v>0.2</v>
      </c>
      <c r="C287" s="10">
        <v>-4.2000000000000003E-2</v>
      </c>
      <c r="D287" s="9" t="s">
        <v>1709</v>
      </c>
      <c r="E287" s="11" t="s">
        <v>1710</v>
      </c>
      <c r="F287" s="12" t="s">
        <v>1710</v>
      </c>
      <c r="G287" s="9" t="s">
        <v>1709</v>
      </c>
    </row>
    <row r="288" spans="1:7">
      <c r="A288" s="9" t="s">
        <v>1711</v>
      </c>
      <c r="B288" s="13">
        <v>0.2</v>
      </c>
      <c r="C288" s="10">
        <v>-4.5999999999999999E-2</v>
      </c>
      <c r="D288" s="9" t="s">
        <v>1709</v>
      </c>
      <c r="E288" s="11" t="s">
        <v>1710</v>
      </c>
      <c r="F288" s="12" t="s">
        <v>1710</v>
      </c>
      <c r="G288" s="9" t="s">
        <v>1709</v>
      </c>
    </row>
    <row r="289" spans="1:7">
      <c r="A289" s="9" t="s">
        <v>1711</v>
      </c>
      <c r="B289" s="13">
        <v>0.2</v>
      </c>
      <c r="C289" s="10">
        <v>2.7479999999999998</v>
      </c>
      <c r="D289" s="9" t="s">
        <v>1712</v>
      </c>
      <c r="E289" s="11" t="s">
        <v>1737</v>
      </c>
      <c r="F289" s="12" t="s">
        <v>1714</v>
      </c>
      <c r="G289" s="9" t="s">
        <v>1709</v>
      </c>
    </row>
    <row r="290" spans="1:7">
      <c r="A290" s="9" t="s">
        <v>1711</v>
      </c>
      <c r="B290" s="13">
        <v>0.2</v>
      </c>
      <c r="C290" s="10">
        <v>0.14699999999999999</v>
      </c>
      <c r="D290" s="9" t="s">
        <v>1712</v>
      </c>
      <c r="E290" s="11" t="s">
        <v>1737</v>
      </c>
      <c r="F290" s="12" t="s">
        <v>1714</v>
      </c>
      <c r="G290" s="9" t="s">
        <v>1709</v>
      </c>
    </row>
    <row r="291" spans="1:7">
      <c r="A291" s="9" t="s">
        <v>1711</v>
      </c>
      <c r="B291" s="13">
        <v>0.2</v>
      </c>
      <c r="C291" s="10">
        <v>0.14699999999999999</v>
      </c>
      <c r="D291" s="9" t="s">
        <v>1712</v>
      </c>
      <c r="E291" s="11" t="s">
        <v>1737</v>
      </c>
      <c r="F291" s="12" t="s">
        <v>1714</v>
      </c>
      <c r="G291" s="9" t="s">
        <v>1709</v>
      </c>
    </row>
    <row r="292" spans="1:7">
      <c r="A292" s="9" t="s">
        <v>1711</v>
      </c>
      <c r="B292" s="13">
        <v>0.2</v>
      </c>
      <c r="C292" s="10">
        <v>2.4670000000000001</v>
      </c>
      <c r="D292" s="9" t="s">
        <v>1712</v>
      </c>
      <c r="E292" s="11" t="s">
        <v>1738</v>
      </c>
      <c r="F292" s="12" t="s">
        <v>1714</v>
      </c>
      <c r="G292" s="9" t="s">
        <v>1709</v>
      </c>
    </row>
    <row r="293" spans="1:7">
      <c r="A293" s="9" t="s">
        <v>1711</v>
      </c>
      <c r="B293" s="13">
        <v>0.2</v>
      </c>
      <c r="C293" s="10">
        <v>0.64100000000000001</v>
      </c>
      <c r="D293" s="9" t="s">
        <v>1712</v>
      </c>
      <c r="E293" s="11" t="s">
        <v>1738</v>
      </c>
      <c r="F293" s="12" t="s">
        <v>1714</v>
      </c>
      <c r="G293" s="9" t="s">
        <v>1709</v>
      </c>
    </row>
    <row r="294" spans="1:7">
      <c r="A294" s="9" t="s">
        <v>1711</v>
      </c>
      <c r="B294" s="13">
        <v>0.2</v>
      </c>
      <c r="C294" s="10">
        <v>2.63</v>
      </c>
      <c r="D294" s="9" t="s">
        <v>1712</v>
      </c>
      <c r="E294" s="11" t="s">
        <v>1736</v>
      </c>
      <c r="F294" s="12" t="s">
        <v>1714</v>
      </c>
      <c r="G294" s="9" t="s">
        <v>1709</v>
      </c>
    </row>
    <row r="295" spans="1:7">
      <c r="A295" s="9" t="s">
        <v>1711</v>
      </c>
      <c r="B295" s="13">
        <v>0.2</v>
      </c>
      <c r="C295" s="10">
        <v>2.63</v>
      </c>
      <c r="D295" s="9" t="s">
        <v>1712</v>
      </c>
      <c r="E295" s="11" t="s">
        <v>1737</v>
      </c>
      <c r="F295" s="12" t="s">
        <v>1714</v>
      </c>
      <c r="G295" s="9" t="s">
        <v>1709</v>
      </c>
    </row>
    <row r="296" spans="1:7">
      <c r="A296" s="9" t="s">
        <v>1711</v>
      </c>
      <c r="B296" s="13">
        <v>0.2</v>
      </c>
      <c r="C296" s="10">
        <v>4.1000000000000002E-2</v>
      </c>
      <c r="D296" s="9" t="s">
        <v>1712</v>
      </c>
      <c r="E296" s="11" t="s">
        <v>1737</v>
      </c>
      <c r="F296" s="12" t="s">
        <v>1714</v>
      </c>
      <c r="G296" s="9" t="s">
        <v>1709</v>
      </c>
    </row>
    <row r="297" spans="1:7">
      <c r="A297" s="9" t="s">
        <v>1711</v>
      </c>
      <c r="B297" s="13">
        <v>0.2</v>
      </c>
      <c r="C297" s="10">
        <v>0.77800000000000002</v>
      </c>
      <c r="D297" s="9" t="s">
        <v>1712</v>
      </c>
      <c r="E297" s="11" t="s">
        <v>1737</v>
      </c>
      <c r="F297" s="12" t="s">
        <v>1714</v>
      </c>
      <c r="G297" s="9" t="s">
        <v>1709</v>
      </c>
    </row>
    <row r="298" spans="1:7">
      <c r="A298" s="9" t="s">
        <v>1711</v>
      </c>
      <c r="B298" s="9">
        <v>0.2</v>
      </c>
      <c r="C298" s="10">
        <v>0.79300000000000004</v>
      </c>
      <c r="D298" s="9" t="s">
        <v>1712</v>
      </c>
      <c r="E298" s="11" t="s">
        <v>1738</v>
      </c>
      <c r="F298" s="12" t="s">
        <v>1714</v>
      </c>
      <c r="G298" s="9" t="s">
        <v>1709</v>
      </c>
    </row>
    <row r="299" spans="1:7">
      <c r="A299" s="9" t="s">
        <v>1711</v>
      </c>
      <c r="B299" s="13">
        <v>0.2</v>
      </c>
      <c r="C299" s="10">
        <v>2.81</v>
      </c>
      <c r="D299" s="9" t="s">
        <v>1712</v>
      </c>
      <c r="E299" s="11" t="s">
        <v>1737</v>
      </c>
      <c r="F299" s="12" t="s">
        <v>1714</v>
      </c>
      <c r="G299" s="9" t="s">
        <v>1709</v>
      </c>
    </row>
    <row r="300" spans="1:7">
      <c r="A300" s="9" t="s">
        <v>1711</v>
      </c>
      <c r="B300" s="9">
        <v>0.2</v>
      </c>
      <c r="C300" s="10">
        <v>0.64100000000000001</v>
      </c>
      <c r="D300" s="9" t="s">
        <v>1712</v>
      </c>
      <c r="E300" s="11" t="s">
        <v>1737</v>
      </c>
      <c r="F300" s="12" t="s">
        <v>1714</v>
      </c>
      <c r="G300" s="9" t="s">
        <v>1709</v>
      </c>
    </row>
    <row r="301" spans="1:7">
      <c r="A301" s="9" t="s">
        <v>1711</v>
      </c>
      <c r="B301" s="13">
        <v>0.2</v>
      </c>
      <c r="C301" s="10">
        <v>-2E-3</v>
      </c>
      <c r="D301" s="9" t="s">
        <v>1709</v>
      </c>
      <c r="E301" s="11" t="s">
        <v>1710</v>
      </c>
      <c r="F301" s="12" t="s">
        <v>1710</v>
      </c>
      <c r="G301" s="9" t="s">
        <v>1709</v>
      </c>
    </row>
    <row r="302" spans="1:7">
      <c r="A302" s="9" t="s">
        <v>1711</v>
      </c>
      <c r="B302" s="13">
        <v>0.2</v>
      </c>
      <c r="C302" s="10">
        <v>4.1000000000000002E-2</v>
      </c>
      <c r="D302" s="9" t="s">
        <v>1712</v>
      </c>
      <c r="E302" s="11" t="s">
        <v>1737</v>
      </c>
      <c r="F302" s="12" t="s">
        <v>1714</v>
      </c>
      <c r="G302" s="9" t="s">
        <v>1709</v>
      </c>
    </row>
    <row r="303" spans="1:7">
      <c r="A303" s="9" t="s">
        <v>1711</v>
      </c>
      <c r="B303" s="13">
        <v>0.2</v>
      </c>
      <c r="C303" s="10">
        <v>4.1000000000000002E-2</v>
      </c>
      <c r="D303" s="9" t="s">
        <v>1712</v>
      </c>
      <c r="E303" s="11" t="s">
        <v>1737</v>
      </c>
      <c r="F303" s="12" t="s">
        <v>1714</v>
      </c>
      <c r="G303" s="9" t="s">
        <v>1709</v>
      </c>
    </row>
    <row r="304" spans="1:7">
      <c r="A304" s="9" t="s">
        <v>1711</v>
      </c>
      <c r="B304" s="9">
        <v>0.2</v>
      </c>
      <c r="C304" s="10">
        <v>4.1000000000000002E-2</v>
      </c>
      <c r="D304" s="9" t="s">
        <v>1712</v>
      </c>
      <c r="E304" s="11" t="s">
        <v>1737</v>
      </c>
      <c r="F304" s="12" t="s">
        <v>1714</v>
      </c>
      <c r="G304" s="9" t="s">
        <v>1709</v>
      </c>
    </row>
    <row r="305" spans="1:7">
      <c r="A305" s="9" t="s">
        <v>1711</v>
      </c>
      <c r="B305" s="9">
        <v>0.2</v>
      </c>
      <c r="C305" s="10">
        <v>4.1000000000000002E-2</v>
      </c>
      <c r="D305" s="9" t="s">
        <v>1712</v>
      </c>
      <c r="E305" s="11" t="s">
        <v>1737</v>
      </c>
      <c r="F305" s="12" t="s">
        <v>1714</v>
      </c>
      <c r="G305" s="9" t="s">
        <v>1709</v>
      </c>
    </row>
    <row r="306" spans="1:7">
      <c r="A306" s="9" t="s">
        <v>1711</v>
      </c>
      <c r="B306" s="9">
        <v>0.2</v>
      </c>
      <c r="C306" s="10">
        <v>4.1000000000000002E-2</v>
      </c>
      <c r="D306" s="9" t="s">
        <v>1712</v>
      </c>
      <c r="E306" s="11" t="s">
        <v>1737</v>
      </c>
      <c r="F306" s="12" t="s">
        <v>1714</v>
      </c>
      <c r="G306" s="9" t="s">
        <v>1709</v>
      </c>
    </row>
    <row r="307" spans="1:7">
      <c r="A307" s="9" t="s">
        <v>1711</v>
      </c>
      <c r="B307" s="9">
        <v>0.2</v>
      </c>
      <c r="C307" s="10">
        <v>4.1000000000000002E-2</v>
      </c>
      <c r="D307" s="9" t="s">
        <v>1712</v>
      </c>
      <c r="E307" s="11" t="s">
        <v>1737</v>
      </c>
      <c r="F307" s="12" t="s">
        <v>1714</v>
      </c>
      <c r="G307" s="9" t="s">
        <v>1709</v>
      </c>
    </row>
    <row r="308" spans="1:7">
      <c r="A308" s="9" t="s">
        <v>1711</v>
      </c>
      <c r="B308" s="9">
        <v>0.2</v>
      </c>
      <c r="C308" s="10">
        <v>4.1000000000000002E-2</v>
      </c>
      <c r="D308" s="9" t="s">
        <v>1712</v>
      </c>
      <c r="E308" s="11" t="s">
        <v>1737</v>
      </c>
      <c r="F308" s="12" t="s">
        <v>1714</v>
      </c>
      <c r="G308" s="9" t="s">
        <v>1709</v>
      </c>
    </row>
    <row r="309" spans="1:7">
      <c r="A309" s="9" t="s">
        <v>1711</v>
      </c>
      <c r="B309" s="13">
        <v>0.2</v>
      </c>
      <c r="C309" s="10">
        <v>4.1000000000000002E-2</v>
      </c>
      <c r="D309" s="9" t="s">
        <v>1712</v>
      </c>
      <c r="E309" s="11" t="s">
        <v>1737</v>
      </c>
      <c r="F309" s="12" t="s">
        <v>1714</v>
      </c>
      <c r="G309" s="9" t="s">
        <v>1709</v>
      </c>
    </row>
    <row r="310" spans="1:7">
      <c r="A310" s="9" t="s">
        <v>1711</v>
      </c>
      <c r="B310" s="13">
        <v>0.2</v>
      </c>
      <c r="C310" s="10">
        <v>0.50800000000000001</v>
      </c>
      <c r="D310" s="9" t="s">
        <v>1712</v>
      </c>
      <c r="E310" s="11" t="s">
        <v>1738</v>
      </c>
      <c r="F310" s="12" t="s">
        <v>1714</v>
      </c>
      <c r="G310" s="9" t="s">
        <v>1709</v>
      </c>
    </row>
    <row r="311" spans="1:7">
      <c r="A311" s="9" t="s">
        <v>1711</v>
      </c>
      <c r="B311" s="13">
        <v>0.2</v>
      </c>
      <c r="C311" s="10">
        <v>0.51600000000000001</v>
      </c>
      <c r="D311" s="9" t="s">
        <v>1712</v>
      </c>
      <c r="E311" s="11" t="s">
        <v>1738</v>
      </c>
      <c r="F311" s="12" t="s">
        <v>1714</v>
      </c>
      <c r="G311" s="9" t="s">
        <v>1709</v>
      </c>
    </row>
    <row r="312" spans="1:7">
      <c r="A312" s="9" t="s">
        <v>1711</v>
      </c>
      <c r="B312" s="9">
        <v>0.2</v>
      </c>
      <c r="C312" s="10">
        <v>2.81</v>
      </c>
      <c r="D312" s="9" t="s">
        <v>1712</v>
      </c>
      <c r="E312" s="11" t="s">
        <v>1737</v>
      </c>
      <c r="F312" s="12" t="s">
        <v>1714</v>
      </c>
      <c r="G312" s="9" t="s">
        <v>1709</v>
      </c>
    </row>
    <row r="313" spans="1:7">
      <c r="A313" s="9" t="s">
        <v>1711</v>
      </c>
      <c r="B313" s="9">
        <v>0.2</v>
      </c>
      <c r="C313" s="10">
        <v>2.81</v>
      </c>
      <c r="D313" s="9" t="s">
        <v>1712</v>
      </c>
      <c r="E313" s="11" t="s">
        <v>1738</v>
      </c>
      <c r="F313" s="12" t="s">
        <v>1714</v>
      </c>
      <c r="G313" s="9" t="s">
        <v>1709</v>
      </c>
    </row>
    <row r="314" spans="1:7">
      <c r="A314" s="9" t="s">
        <v>1711</v>
      </c>
      <c r="B314" s="13">
        <v>0.2</v>
      </c>
      <c r="C314" s="10">
        <v>1.819</v>
      </c>
      <c r="D314" s="9" t="s">
        <v>1712</v>
      </c>
      <c r="E314" s="11" t="s">
        <v>1737</v>
      </c>
      <c r="F314" s="12" t="s">
        <v>1714</v>
      </c>
      <c r="G314" s="9" t="s">
        <v>1709</v>
      </c>
    </row>
    <row r="315" spans="1:7">
      <c r="A315" s="9" t="s">
        <v>1711</v>
      </c>
      <c r="B315" s="13">
        <v>0.2</v>
      </c>
      <c r="C315" s="10">
        <v>0.19800000000000001</v>
      </c>
      <c r="D315" s="9" t="s">
        <v>1712</v>
      </c>
      <c r="E315" s="11" t="s">
        <v>1738</v>
      </c>
      <c r="F315" s="12" t="s">
        <v>1714</v>
      </c>
      <c r="G315" s="9" t="s">
        <v>1709</v>
      </c>
    </row>
    <row r="316" spans="1:7">
      <c r="A316" s="9" t="s">
        <v>1711</v>
      </c>
      <c r="B316" s="13">
        <v>0.2</v>
      </c>
      <c r="C316" s="10">
        <v>0.189</v>
      </c>
      <c r="D316" s="9" t="s">
        <v>1712</v>
      </c>
      <c r="E316" s="11" t="s">
        <v>1737</v>
      </c>
      <c r="F316" s="12" t="s">
        <v>1714</v>
      </c>
      <c r="G316" s="9" t="s">
        <v>1709</v>
      </c>
    </row>
    <row r="317" spans="1:7">
      <c r="A317" s="9" t="s">
        <v>1711</v>
      </c>
      <c r="B317" s="9">
        <v>0.2</v>
      </c>
      <c r="C317" s="10">
        <v>-3.9E-2</v>
      </c>
      <c r="D317" s="9" t="s">
        <v>1709</v>
      </c>
      <c r="E317" s="11" t="s">
        <v>1710</v>
      </c>
      <c r="F317" s="12" t="s">
        <v>1710</v>
      </c>
      <c r="G317" s="9" t="s">
        <v>1709</v>
      </c>
    </row>
    <row r="318" spans="1:7">
      <c r="A318" s="9" t="s">
        <v>1711</v>
      </c>
      <c r="B318" s="9">
        <v>0.2</v>
      </c>
      <c r="C318" s="10">
        <v>1.1709999999999998</v>
      </c>
      <c r="D318" s="9" t="s">
        <v>1712</v>
      </c>
      <c r="E318" s="11" t="s">
        <v>1715</v>
      </c>
      <c r="F318" s="12" t="s">
        <v>1714</v>
      </c>
      <c r="G318" s="9" t="s">
        <v>1709</v>
      </c>
    </row>
    <row r="319" spans="1:7">
      <c r="A319" s="9" t="s">
        <v>1711</v>
      </c>
      <c r="B319" s="13">
        <v>0.2</v>
      </c>
      <c r="C319" s="10">
        <v>2.2239999999999998</v>
      </c>
      <c r="D319" s="9" t="s">
        <v>1712</v>
      </c>
      <c r="E319" s="11" t="s">
        <v>1738</v>
      </c>
      <c r="F319" s="12" t="s">
        <v>1714</v>
      </c>
      <c r="G319" s="9" t="s">
        <v>1709</v>
      </c>
    </row>
    <row r="320" spans="1:7">
      <c r="A320" s="9" t="s">
        <v>1711</v>
      </c>
      <c r="B320" s="13">
        <v>0.2</v>
      </c>
      <c r="C320" s="10">
        <v>2.7479999999999998</v>
      </c>
      <c r="D320" s="9" t="s">
        <v>1712</v>
      </c>
      <c r="E320" s="11" t="s">
        <v>1736</v>
      </c>
      <c r="F320" s="12" t="s">
        <v>1714</v>
      </c>
      <c r="G320" s="9" t="s">
        <v>1709</v>
      </c>
    </row>
    <row r="321" spans="1:7">
      <c r="A321" s="9" t="s">
        <v>1711</v>
      </c>
      <c r="B321" s="13">
        <v>0.2</v>
      </c>
      <c r="C321" s="10">
        <v>2.323</v>
      </c>
      <c r="D321" s="9" t="s">
        <v>1712</v>
      </c>
      <c r="E321" s="11" t="s">
        <v>1737</v>
      </c>
      <c r="F321" s="12" t="s">
        <v>1714</v>
      </c>
      <c r="G321" s="9" t="s">
        <v>1709</v>
      </c>
    </row>
    <row r="322" spans="1:7">
      <c r="A322" s="9" t="s">
        <v>1711</v>
      </c>
      <c r="B322" s="9">
        <v>0.2</v>
      </c>
      <c r="C322" s="10">
        <v>2.323</v>
      </c>
      <c r="D322" s="9" t="s">
        <v>1712</v>
      </c>
      <c r="E322" s="11" t="s">
        <v>1737</v>
      </c>
      <c r="F322" s="12" t="s">
        <v>1714</v>
      </c>
      <c r="G322" s="9" t="s">
        <v>1709</v>
      </c>
    </row>
    <row r="323" spans="1:7">
      <c r="A323" s="9" t="s">
        <v>1711</v>
      </c>
      <c r="B323" s="9">
        <v>0.2</v>
      </c>
      <c r="C323" s="10">
        <v>0.80200000000000005</v>
      </c>
      <c r="D323" s="9" t="s">
        <v>1712</v>
      </c>
      <c r="E323" s="11" t="s">
        <v>1737</v>
      </c>
      <c r="F323" s="12" t="s">
        <v>1714</v>
      </c>
      <c r="G323" s="9" t="s">
        <v>1709</v>
      </c>
    </row>
    <row r="324" spans="1:7">
      <c r="A324" s="9" t="s">
        <v>1711</v>
      </c>
      <c r="B324" s="9">
        <v>0.2</v>
      </c>
      <c r="C324" s="10">
        <v>-0.121</v>
      </c>
      <c r="D324" s="9" t="s">
        <v>1709</v>
      </c>
      <c r="E324" s="11" t="s">
        <v>1710</v>
      </c>
      <c r="F324" s="12" t="s">
        <v>1710</v>
      </c>
      <c r="G324" s="9" t="s">
        <v>1709</v>
      </c>
    </row>
    <row r="325" spans="1:7">
      <c r="A325" s="9" t="s">
        <v>1711</v>
      </c>
      <c r="B325" s="9">
        <v>0.2</v>
      </c>
      <c r="C325" s="10">
        <v>-0.121</v>
      </c>
      <c r="D325" s="9" t="s">
        <v>1709</v>
      </c>
      <c r="E325" s="11" t="s">
        <v>1710</v>
      </c>
      <c r="F325" s="12" t="s">
        <v>1710</v>
      </c>
      <c r="G325" s="9" t="s">
        <v>1709</v>
      </c>
    </row>
    <row r="326" spans="1:7">
      <c r="A326" s="9" t="s">
        <v>1711</v>
      </c>
      <c r="B326" s="9">
        <v>0.2</v>
      </c>
      <c r="C326" s="10">
        <v>0.64100000000000001</v>
      </c>
      <c r="D326" s="9" t="s">
        <v>1712</v>
      </c>
      <c r="E326" s="11" t="s">
        <v>1738</v>
      </c>
      <c r="F326" s="12" t="s">
        <v>1714</v>
      </c>
      <c r="G326" s="9" t="s">
        <v>1709</v>
      </c>
    </row>
    <row r="327" spans="1:7">
      <c r="A327" s="9" t="s">
        <v>1711</v>
      </c>
      <c r="B327" s="9">
        <v>0.2</v>
      </c>
      <c r="C327" s="10">
        <v>0.75600000000000001</v>
      </c>
      <c r="D327" s="9" t="s">
        <v>1712</v>
      </c>
      <c r="E327" s="11" t="s">
        <v>1736</v>
      </c>
      <c r="F327" s="12" t="s">
        <v>1714</v>
      </c>
      <c r="G327" s="9" t="s">
        <v>1709</v>
      </c>
    </row>
    <row r="328" spans="1:7">
      <c r="A328" s="9" t="s">
        <v>1711</v>
      </c>
      <c r="B328" s="9">
        <v>0.2</v>
      </c>
      <c r="C328" s="10">
        <v>1.601</v>
      </c>
      <c r="D328" s="9" t="s">
        <v>1712</v>
      </c>
      <c r="E328" s="11" t="s">
        <v>1737</v>
      </c>
      <c r="F328" s="12" t="s">
        <v>1714</v>
      </c>
      <c r="G328" s="9" t="s">
        <v>1709</v>
      </c>
    </row>
    <row r="329" spans="1:7">
      <c r="A329" s="9" t="s">
        <v>1711</v>
      </c>
      <c r="B329" s="9">
        <v>0.2</v>
      </c>
      <c r="C329" s="10">
        <v>1.601</v>
      </c>
      <c r="D329" s="9" t="s">
        <v>1712</v>
      </c>
      <c r="E329" s="11" t="s">
        <v>1737</v>
      </c>
      <c r="F329" s="12" t="s">
        <v>1714</v>
      </c>
      <c r="G329" s="9" t="s">
        <v>1709</v>
      </c>
    </row>
    <row r="330" spans="1:7">
      <c r="A330" s="9" t="s">
        <v>1711</v>
      </c>
      <c r="B330" s="9">
        <v>0.2</v>
      </c>
      <c r="C330" s="10">
        <v>1.819</v>
      </c>
      <c r="D330" s="9" t="s">
        <v>1712</v>
      </c>
      <c r="E330" s="11" t="s">
        <v>1737</v>
      </c>
      <c r="F330" s="12" t="s">
        <v>1714</v>
      </c>
      <c r="G330" s="9" t="s">
        <v>1709</v>
      </c>
    </row>
    <row r="331" spans="1:7">
      <c r="A331" s="9" t="s">
        <v>1711</v>
      </c>
      <c r="B331" s="13">
        <v>0.2</v>
      </c>
      <c r="C331" s="10">
        <v>1.819</v>
      </c>
      <c r="D331" s="9" t="s">
        <v>1712</v>
      </c>
      <c r="E331" s="11" t="s">
        <v>1737</v>
      </c>
      <c r="F331" s="12" t="s">
        <v>1714</v>
      </c>
      <c r="G331" s="9" t="s">
        <v>1709</v>
      </c>
    </row>
    <row r="332" spans="1:7">
      <c r="A332" s="9" t="s">
        <v>1711</v>
      </c>
      <c r="B332" s="13">
        <v>0.2</v>
      </c>
      <c r="C332" s="10">
        <v>0.91900000000000004</v>
      </c>
      <c r="D332" s="9" t="s">
        <v>1712</v>
      </c>
      <c r="E332" s="11" t="s">
        <v>1737</v>
      </c>
      <c r="F332" s="12" t="s">
        <v>1714</v>
      </c>
      <c r="G332" s="9" t="s">
        <v>1709</v>
      </c>
    </row>
    <row r="333" spans="1:7">
      <c r="A333" s="9" t="s">
        <v>1711</v>
      </c>
      <c r="B333" s="9">
        <v>0.2</v>
      </c>
      <c r="C333" s="10">
        <v>1.1639999999999999</v>
      </c>
      <c r="D333" s="9" t="s">
        <v>1712</v>
      </c>
      <c r="E333" s="11" t="s">
        <v>1737</v>
      </c>
      <c r="F333" s="12" t="s">
        <v>1714</v>
      </c>
      <c r="G333" s="9" t="s">
        <v>1709</v>
      </c>
    </row>
    <row r="334" spans="1:7">
      <c r="A334" s="9" t="s">
        <v>1711</v>
      </c>
      <c r="B334" s="13">
        <v>0.2</v>
      </c>
      <c r="C334" s="10">
        <v>0.75600000000000001</v>
      </c>
      <c r="D334" s="9" t="s">
        <v>1712</v>
      </c>
      <c r="E334" s="11" t="s">
        <v>1736</v>
      </c>
      <c r="F334" s="12" t="s">
        <v>1714</v>
      </c>
      <c r="G334" s="9" t="s">
        <v>1709</v>
      </c>
    </row>
    <row r="335" spans="1:7">
      <c r="A335" s="9" t="s">
        <v>1711</v>
      </c>
      <c r="B335" s="13">
        <v>0.2</v>
      </c>
      <c r="C335" s="10">
        <v>-0.14599999999999999</v>
      </c>
      <c r="D335" s="9" t="s">
        <v>1709</v>
      </c>
      <c r="E335" s="11" t="s">
        <v>1710</v>
      </c>
      <c r="F335" s="12" t="s">
        <v>1710</v>
      </c>
      <c r="G335" s="9" t="s">
        <v>1709</v>
      </c>
    </row>
    <row r="336" spans="1:7">
      <c r="A336" s="9" t="s">
        <v>1711</v>
      </c>
      <c r="B336" s="13">
        <v>0.2</v>
      </c>
      <c r="C336" s="10">
        <v>0.93500000000000005</v>
      </c>
      <c r="D336" s="9" t="s">
        <v>1712</v>
      </c>
      <c r="E336" s="11" t="s">
        <v>1715</v>
      </c>
      <c r="F336" s="12" t="s">
        <v>1714</v>
      </c>
      <c r="G336" s="9" t="s">
        <v>1709</v>
      </c>
    </row>
    <row r="337" spans="1:7">
      <c r="A337" s="9" t="s">
        <v>1711</v>
      </c>
      <c r="B337" s="9">
        <v>0.2</v>
      </c>
      <c r="C337" s="10">
        <v>-9.1999999999999998E-2</v>
      </c>
      <c r="D337" s="9" t="s">
        <v>1709</v>
      </c>
      <c r="E337" s="11" t="s">
        <v>1710</v>
      </c>
      <c r="F337" s="12" t="s">
        <v>1710</v>
      </c>
      <c r="G337" s="9" t="s">
        <v>1709</v>
      </c>
    </row>
    <row r="338" spans="1:7">
      <c r="A338" s="9" t="s">
        <v>1711</v>
      </c>
      <c r="B338" s="9">
        <v>0.2</v>
      </c>
      <c r="C338" s="10">
        <v>1.1819999999999999</v>
      </c>
      <c r="D338" s="9" t="s">
        <v>1712</v>
      </c>
      <c r="E338" s="11" t="s">
        <v>1736</v>
      </c>
      <c r="F338" s="12" t="s">
        <v>1714</v>
      </c>
      <c r="G338" s="9" t="s">
        <v>1709</v>
      </c>
    </row>
    <row r="339" spans="1:7">
      <c r="A339" s="9" t="s">
        <v>1711</v>
      </c>
      <c r="B339" s="9">
        <v>0.2</v>
      </c>
      <c r="C339" s="10">
        <v>-7.4999999999999997E-2</v>
      </c>
      <c r="D339" s="9" t="s">
        <v>1709</v>
      </c>
      <c r="E339" s="11" t="s">
        <v>1710</v>
      </c>
      <c r="F339" s="12" t="s">
        <v>1710</v>
      </c>
      <c r="G339" s="9" t="s">
        <v>1709</v>
      </c>
    </row>
    <row r="340" spans="1:7">
      <c r="A340" s="9" t="s">
        <v>1711</v>
      </c>
      <c r="B340" s="13">
        <v>0.2</v>
      </c>
      <c r="C340" s="10">
        <v>-9.2999999999999999E-2</v>
      </c>
      <c r="D340" s="9" t="s">
        <v>1709</v>
      </c>
      <c r="E340" s="11" t="s">
        <v>1710</v>
      </c>
      <c r="F340" s="12" t="s">
        <v>1710</v>
      </c>
      <c r="G340" s="9" t="s">
        <v>1709</v>
      </c>
    </row>
    <row r="341" spans="1:7">
      <c r="A341" s="9" t="s">
        <v>1711</v>
      </c>
      <c r="B341" s="9">
        <v>0.2</v>
      </c>
      <c r="C341" s="10">
        <v>0.24199999999999999</v>
      </c>
      <c r="D341" s="9" t="s">
        <v>1712</v>
      </c>
      <c r="E341" s="11" t="s">
        <v>1736</v>
      </c>
      <c r="F341" s="12" t="s">
        <v>1714</v>
      </c>
      <c r="G341" s="9" t="s">
        <v>1709</v>
      </c>
    </row>
    <row r="342" spans="1:7">
      <c r="A342" s="9" t="s">
        <v>1711</v>
      </c>
      <c r="B342" s="9">
        <v>0.2</v>
      </c>
      <c r="C342" s="10">
        <v>0.17799999999999999</v>
      </c>
      <c r="D342" s="9" t="s">
        <v>1712</v>
      </c>
      <c r="E342" s="11" t="s">
        <v>1736</v>
      </c>
      <c r="F342" s="12" t="s">
        <v>1714</v>
      </c>
      <c r="G342" s="9" t="s">
        <v>1709</v>
      </c>
    </row>
    <row r="343" spans="1:7">
      <c r="A343" s="9" t="s">
        <v>1711</v>
      </c>
      <c r="B343" s="13">
        <v>0.2</v>
      </c>
      <c r="C343" s="10">
        <v>2.3279999999999998</v>
      </c>
      <c r="D343" s="9" t="s">
        <v>1712</v>
      </c>
      <c r="E343" s="11" t="s">
        <v>1736</v>
      </c>
      <c r="F343" s="12" t="s">
        <v>1714</v>
      </c>
      <c r="G343" s="9" t="s">
        <v>1709</v>
      </c>
    </row>
    <row r="344" spans="1:7">
      <c r="A344" s="9" t="s">
        <v>1711</v>
      </c>
      <c r="B344" s="13">
        <v>0.2</v>
      </c>
      <c r="C344" s="10">
        <v>9.1869999999999994</v>
      </c>
      <c r="D344" s="9" t="s">
        <v>1712</v>
      </c>
      <c r="E344" s="11" t="s">
        <v>1736</v>
      </c>
      <c r="F344" s="12" t="s">
        <v>1714</v>
      </c>
      <c r="G344" s="9" t="s">
        <v>1709</v>
      </c>
    </row>
    <row r="345" spans="1:7">
      <c r="A345" s="9" t="s">
        <v>1711</v>
      </c>
      <c r="B345" s="13">
        <v>0.2</v>
      </c>
      <c r="C345" s="10">
        <v>9.1869999999999994</v>
      </c>
      <c r="D345" s="9" t="s">
        <v>1712</v>
      </c>
      <c r="E345" s="11" t="s">
        <v>1736</v>
      </c>
      <c r="F345" s="12" t="s">
        <v>1714</v>
      </c>
      <c r="G345" s="9" t="s">
        <v>1709</v>
      </c>
    </row>
    <row r="346" spans="1:7">
      <c r="A346" s="9" t="s">
        <v>1711</v>
      </c>
      <c r="B346" s="13">
        <v>0.2</v>
      </c>
      <c r="C346" s="10">
        <v>0.27800000000000002</v>
      </c>
      <c r="D346" s="9" t="s">
        <v>1712</v>
      </c>
      <c r="E346" s="11" t="s">
        <v>1736</v>
      </c>
      <c r="F346" s="12" t="s">
        <v>1714</v>
      </c>
      <c r="G346" s="9" t="s">
        <v>1709</v>
      </c>
    </row>
    <row r="347" spans="1:7">
      <c r="A347" s="9" t="s">
        <v>1711</v>
      </c>
      <c r="B347" s="13">
        <v>0.2</v>
      </c>
      <c r="C347" s="10">
        <v>-0.14599999999999999</v>
      </c>
      <c r="D347" s="9" t="s">
        <v>1709</v>
      </c>
      <c r="E347" s="11" t="s">
        <v>1710</v>
      </c>
      <c r="F347" s="12" t="s">
        <v>1710</v>
      </c>
      <c r="G347" s="9" t="s">
        <v>1709</v>
      </c>
    </row>
    <row r="348" spans="1:7">
      <c r="A348" s="9" t="s">
        <v>1711</v>
      </c>
      <c r="B348" s="9">
        <v>0.2</v>
      </c>
      <c r="C348" s="10">
        <v>0.77500000000000002</v>
      </c>
      <c r="D348" s="9" t="s">
        <v>1712</v>
      </c>
      <c r="E348" s="11" t="s">
        <v>1736</v>
      </c>
      <c r="F348" s="12" t="s">
        <v>1714</v>
      </c>
      <c r="G348" s="9" t="s">
        <v>1709</v>
      </c>
    </row>
    <row r="349" spans="1:7">
      <c r="A349" s="9" t="s">
        <v>1711</v>
      </c>
      <c r="B349" s="9">
        <v>0.2</v>
      </c>
      <c r="C349" s="10">
        <v>2.3279999999999998</v>
      </c>
      <c r="D349" s="9" t="s">
        <v>1712</v>
      </c>
      <c r="E349" s="11" t="s">
        <v>1736</v>
      </c>
      <c r="F349" s="12" t="s">
        <v>1714</v>
      </c>
      <c r="G349" s="9" t="s">
        <v>1709</v>
      </c>
    </row>
    <row r="350" spans="1:7">
      <c r="A350" s="9" t="s">
        <v>1711</v>
      </c>
      <c r="B350" s="13">
        <v>0.2</v>
      </c>
      <c r="C350" s="10">
        <v>0.93500000000000005</v>
      </c>
      <c r="D350" s="9" t="s">
        <v>1712</v>
      </c>
      <c r="E350" s="11" t="s">
        <v>1715</v>
      </c>
      <c r="F350" s="12" t="s">
        <v>1714</v>
      </c>
      <c r="G350" s="9" t="s">
        <v>1709</v>
      </c>
    </row>
    <row r="351" spans="1:7">
      <c r="A351" s="9" t="s">
        <v>1711</v>
      </c>
      <c r="B351" s="9">
        <v>0.2</v>
      </c>
      <c r="C351" s="10">
        <v>1.2549999999999999</v>
      </c>
      <c r="D351" s="9" t="s">
        <v>1712</v>
      </c>
      <c r="E351" s="11" t="s">
        <v>1742</v>
      </c>
      <c r="F351" s="12" t="s">
        <v>1714</v>
      </c>
      <c r="G351" s="9" t="s">
        <v>1709</v>
      </c>
    </row>
    <row r="352" spans="1:7">
      <c r="A352" s="9" t="s">
        <v>1711</v>
      </c>
      <c r="B352" s="9">
        <v>0.2</v>
      </c>
      <c r="C352" s="10">
        <v>0.80400000000000005</v>
      </c>
      <c r="D352" s="9" t="s">
        <v>1712</v>
      </c>
      <c r="E352" s="11" t="s">
        <v>1736</v>
      </c>
      <c r="F352" s="12" t="s">
        <v>1714</v>
      </c>
      <c r="G352" s="9" t="s">
        <v>1709</v>
      </c>
    </row>
    <row r="353" spans="1:7">
      <c r="A353" s="9" t="s">
        <v>1711</v>
      </c>
      <c r="B353" s="9">
        <v>0.2</v>
      </c>
      <c r="C353" s="10">
        <v>2.3279999999999998</v>
      </c>
      <c r="D353" s="9" t="s">
        <v>1712</v>
      </c>
      <c r="E353" s="11" t="s">
        <v>1736</v>
      </c>
      <c r="F353" s="12" t="s">
        <v>1714</v>
      </c>
      <c r="G353" s="9" t="s">
        <v>1709</v>
      </c>
    </row>
    <row r="354" spans="1:7">
      <c r="A354" s="9" t="s">
        <v>1711</v>
      </c>
      <c r="B354" s="9">
        <v>0.2</v>
      </c>
      <c r="C354" s="10">
        <v>1.2549999999999999</v>
      </c>
      <c r="D354" s="9" t="s">
        <v>1712</v>
      </c>
      <c r="E354" s="11" t="s">
        <v>1736</v>
      </c>
      <c r="F354" s="12" t="s">
        <v>1714</v>
      </c>
      <c r="G354" s="9" t="s">
        <v>1709</v>
      </c>
    </row>
    <row r="355" spans="1:7">
      <c r="A355" s="9" t="s">
        <v>1711</v>
      </c>
      <c r="B355" s="9">
        <v>0.2</v>
      </c>
      <c r="C355" s="10">
        <v>0.17299999999999999</v>
      </c>
      <c r="D355" s="9" t="s">
        <v>1712</v>
      </c>
      <c r="E355" s="11" t="s">
        <v>1736</v>
      </c>
      <c r="F355" s="12" t="s">
        <v>1714</v>
      </c>
      <c r="G355" s="9" t="s">
        <v>1709</v>
      </c>
    </row>
    <row r="356" spans="1:7">
      <c r="A356" s="9" t="s">
        <v>1711</v>
      </c>
      <c r="B356" s="9">
        <v>0.2</v>
      </c>
      <c r="C356" s="10">
        <v>1.8599999999999999</v>
      </c>
      <c r="D356" s="9" t="s">
        <v>1712</v>
      </c>
      <c r="E356" s="11" t="s">
        <v>1736</v>
      </c>
      <c r="F356" s="12" t="s">
        <v>1714</v>
      </c>
      <c r="G356" s="9" t="s">
        <v>1709</v>
      </c>
    </row>
    <row r="357" spans="1:7">
      <c r="A357" s="9" t="s">
        <v>1711</v>
      </c>
      <c r="B357" s="9">
        <v>0.2</v>
      </c>
      <c r="C357" s="10">
        <v>-9.1999999999999998E-2</v>
      </c>
      <c r="D357" s="9" t="s">
        <v>1709</v>
      </c>
      <c r="E357" s="11" t="s">
        <v>1710</v>
      </c>
      <c r="F357" s="12" t="s">
        <v>1710</v>
      </c>
      <c r="G357" s="9" t="s">
        <v>1709</v>
      </c>
    </row>
    <row r="358" spans="1:7">
      <c r="A358" s="9" t="s">
        <v>1711</v>
      </c>
      <c r="B358" s="13">
        <v>0.2</v>
      </c>
      <c r="C358" s="10">
        <v>1.2549999999999999</v>
      </c>
      <c r="D358" s="9" t="s">
        <v>1712</v>
      </c>
      <c r="E358" s="11" t="s">
        <v>1736</v>
      </c>
      <c r="F358" s="12" t="s">
        <v>1714</v>
      </c>
      <c r="G358" s="9" t="s">
        <v>1709</v>
      </c>
    </row>
    <row r="359" spans="1:7">
      <c r="A359" s="9" t="s">
        <v>1711</v>
      </c>
      <c r="B359" s="13">
        <v>0.2</v>
      </c>
      <c r="C359" s="10">
        <v>0.17799999999999999</v>
      </c>
      <c r="D359" s="9" t="s">
        <v>1712</v>
      </c>
      <c r="E359" s="11" t="s">
        <v>1739</v>
      </c>
      <c r="F359" s="12" t="s">
        <v>1714</v>
      </c>
      <c r="G359" s="9" t="s">
        <v>1709</v>
      </c>
    </row>
    <row r="360" spans="1:7">
      <c r="A360" s="9" t="s">
        <v>1711</v>
      </c>
      <c r="B360" s="13">
        <v>0.2</v>
      </c>
      <c r="C360" s="10">
        <v>1.2549999999999999</v>
      </c>
      <c r="D360" s="9" t="s">
        <v>1712</v>
      </c>
      <c r="E360" s="11" t="s">
        <v>1736</v>
      </c>
      <c r="F360" s="12" t="s">
        <v>1714</v>
      </c>
      <c r="G360" s="9" t="s">
        <v>1709</v>
      </c>
    </row>
    <row r="361" spans="1:7">
      <c r="A361" s="9" t="s">
        <v>1711</v>
      </c>
      <c r="B361" s="13">
        <v>0.2</v>
      </c>
      <c r="C361" s="10">
        <v>-9.4E-2</v>
      </c>
      <c r="D361" s="9" t="s">
        <v>1709</v>
      </c>
      <c r="E361" s="11" t="s">
        <v>1710</v>
      </c>
      <c r="F361" s="12" t="s">
        <v>1710</v>
      </c>
      <c r="G361" s="9" t="s">
        <v>1709</v>
      </c>
    </row>
    <row r="362" spans="1:7">
      <c r="A362" s="9" t="s">
        <v>1711</v>
      </c>
      <c r="B362" s="13">
        <v>0.2</v>
      </c>
      <c r="C362" s="10">
        <v>-9.0999999999999998E-2</v>
      </c>
      <c r="D362" s="9" t="s">
        <v>1709</v>
      </c>
      <c r="E362" s="11" t="s">
        <v>1710</v>
      </c>
      <c r="F362" s="12" t="s">
        <v>1710</v>
      </c>
      <c r="G362" s="9" t="s">
        <v>1709</v>
      </c>
    </row>
    <row r="363" spans="1:7">
      <c r="A363" s="9" t="s">
        <v>1711</v>
      </c>
      <c r="B363" s="13">
        <v>0.2</v>
      </c>
      <c r="C363" s="10">
        <v>2.8000000000000001E-2</v>
      </c>
      <c r="D363" s="9" t="s">
        <v>1712</v>
      </c>
      <c r="E363" s="11" t="s">
        <v>1736</v>
      </c>
      <c r="F363" s="12" t="s">
        <v>1714</v>
      </c>
      <c r="G363" s="9" t="s">
        <v>1709</v>
      </c>
    </row>
    <row r="364" spans="1:7">
      <c r="A364" s="9" t="s">
        <v>1711</v>
      </c>
      <c r="B364" s="13">
        <v>0.2</v>
      </c>
      <c r="C364" s="10">
        <v>-9.1999999999999998E-2</v>
      </c>
      <c r="D364" s="9" t="s">
        <v>1709</v>
      </c>
      <c r="E364" s="11" t="s">
        <v>1710</v>
      </c>
      <c r="F364" s="12" t="s">
        <v>1710</v>
      </c>
      <c r="G364" s="9" t="s">
        <v>1709</v>
      </c>
    </row>
    <row r="365" spans="1:7">
      <c r="A365" s="9" t="s">
        <v>1711</v>
      </c>
      <c r="B365" s="9">
        <v>0.2</v>
      </c>
      <c r="C365" s="10">
        <v>0.59899999999999998</v>
      </c>
      <c r="D365" s="9" t="s">
        <v>1712</v>
      </c>
      <c r="E365" s="11" t="s">
        <v>1736</v>
      </c>
      <c r="F365" s="12" t="s">
        <v>1714</v>
      </c>
      <c r="G365" s="9" t="s">
        <v>1709</v>
      </c>
    </row>
    <row r="366" spans="1:7">
      <c r="A366" s="9" t="s">
        <v>1711</v>
      </c>
      <c r="B366" s="9">
        <v>0.2</v>
      </c>
      <c r="C366" s="10">
        <v>-7.1000000000000008E-2</v>
      </c>
      <c r="D366" s="9" t="s">
        <v>1709</v>
      </c>
      <c r="E366" s="11" t="s">
        <v>1710</v>
      </c>
      <c r="F366" s="12" t="s">
        <v>1710</v>
      </c>
      <c r="G366" s="9" t="s">
        <v>1709</v>
      </c>
    </row>
    <row r="367" spans="1:7">
      <c r="A367" s="9" t="s">
        <v>1711</v>
      </c>
      <c r="B367" s="9">
        <v>0.2</v>
      </c>
      <c r="C367" s="10">
        <v>0.93500000000000005</v>
      </c>
      <c r="D367" s="9" t="s">
        <v>1712</v>
      </c>
      <c r="E367" s="11" t="s">
        <v>1736</v>
      </c>
      <c r="F367" s="12" t="s">
        <v>1714</v>
      </c>
      <c r="G367" s="9" t="s">
        <v>1709</v>
      </c>
    </row>
    <row r="368" spans="1:7">
      <c r="A368" s="9" t="s">
        <v>1711</v>
      </c>
      <c r="B368" s="9">
        <v>0.2</v>
      </c>
      <c r="C368" s="10">
        <v>0.61299999999999999</v>
      </c>
      <c r="D368" s="9" t="s">
        <v>1712</v>
      </c>
      <c r="E368" s="11" t="s">
        <v>1736</v>
      </c>
      <c r="F368" s="12" t="s">
        <v>1714</v>
      </c>
      <c r="G368" s="9" t="s">
        <v>1709</v>
      </c>
    </row>
    <row r="369" spans="1:7">
      <c r="A369" s="9" t="s">
        <v>1711</v>
      </c>
      <c r="B369" s="9">
        <v>0.2</v>
      </c>
      <c r="C369" s="10">
        <v>-7.9000000000000001E-2</v>
      </c>
      <c r="D369" s="9" t="s">
        <v>1709</v>
      </c>
      <c r="E369" s="11" t="s">
        <v>1710</v>
      </c>
      <c r="F369" s="12" t="s">
        <v>1710</v>
      </c>
      <c r="G369" s="9" t="s">
        <v>1709</v>
      </c>
    </row>
    <row r="370" spans="1:7">
      <c r="A370" s="9" t="s">
        <v>1711</v>
      </c>
      <c r="B370" s="9">
        <v>0.2</v>
      </c>
      <c r="C370" s="10">
        <v>0.61299999999999999</v>
      </c>
      <c r="D370" s="9" t="s">
        <v>1712</v>
      </c>
      <c r="E370" s="11" t="s">
        <v>1736</v>
      </c>
      <c r="F370" s="12" t="s">
        <v>1714</v>
      </c>
      <c r="G370" s="9" t="s">
        <v>1709</v>
      </c>
    </row>
    <row r="371" spans="1:7">
      <c r="A371" s="9" t="s">
        <v>1711</v>
      </c>
      <c r="B371" s="9">
        <v>0.2</v>
      </c>
      <c r="C371" s="10">
        <v>0.59899999999999998</v>
      </c>
      <c r="D371" s="9" t="s">
        <v>1712</v>
      </c>
      <c r="E371" s="11" t="s">
        <v>1736</v>
      </c>
      <c r="F371" s="12" t="s">
        <v>1714</v>
      </c>
      <c r="G371" s="9" t="s">
        <v>1709</v>
      </c>
    </row>
    <row r="372" spans="1:7">
      <c r="A372" s="9" t="s">
        <v>1711</v>
      </c>
      <c r="B372" s="9">
        <v>0.2</v>
      </c>
      <c r="C372" s="10">
        <v>0.93500000000000005</v>
      </c>
      <c r="D372" s="9" t="s">
        <v>1712</v>
      </c>
      <c r="E372" s="11" t="s">
        <v>1736</v>
      </c>
      <c r="F372" s="12" t="s">
        <v>1714</v>
      </c>
      <c r="G372" s="9" t="s">
        <v>1709</v>
      </c>
    </row>
    <row r="373" spans="1:7">
      <c r="A373" s="9" t="s">
        <v>1711</v>
      </c>
      <c r="B373" s="9">
        <v>0.2</v>
      </c>
      <c r="C373" s="10">
        <v>0.14599999999999999</v>
      </c>
      <c r="D373" s="9" t="s">
        <v>1712</v>
      </c>
      <c r="E373" s="11" t="s">
        <v>1736</v>
      </c>
      <c r="F373" s="12" t="s">
        <v>1714</v>
      </c>
      <c r="G373" s="9" t="s">
        <v>1709</v>
      </c>
    </row>
    <row r="374" spans="1:7">
      <c r="A374" s="9" t="s">
        <v>1711</v>
      </c>
      <c r="B374" s="9">
        <v>0.2</v>
      </c>
      <c r="C374" s="10">
        <v>-0.107</v>
      </c>
      <c r="D374" s="9" t="s">
        <v>1709</v>
      </c>
      <c r="E374" s="11" t="s">
        <v>1710</v>
      </c>
      <c r="F374" s="12" t="s">
        <v>1710</v>
      </c>
      <c r="G374" s="9" t="s">
        <v>1709</v>
      </c>
    </row>
    <row r="375" spans="1:7">
      <c r="A375" s="9" t="s">
        <v>1711</v>
      </c>
      <c r="B375" s="9">
        <v>0.2</v>
      </c>
      <c r="C375" s="10">
        <v>0.214</v>
      </c>
      <c r="D375" s="9" t="s">
        <v>1712</v>
      </c>
      <c r="E375" s="11" t="s">
        <v>1736</v>
      </c>
      <c r="F375" s="12" t="s">
        <v>1714</v>
      </c>
      <c r="G375" s="9" t="s">
        <v>1709</v>
      </c>
    </row>
    <row r="376" spans="1:7">
      <c r="A376" s="9" t="s">
        <v>1711</v>
      </c>
      <c r="B376" s="13">
        <v>0.2</v>
      </c>
      <c r="C376" s="10">
        <v>0.27300000000000002</v>
      </c>
      <c r="D376" s="9" t="s">
        <v>1712</v>
      </c>
      <c r="E376" s="11" t="s">
        <v>1736</v>
      </c>
      <c r="F376" s="12" t="s">
        <v>1714</v>
      </c>
      <c r="G376" s="9" t="s">
        <v>1709</v>
      </c>
    </row>
    <row r="377" spans="1:7">
      <c r="A377" s="9" t="s">
        <v>1711</v>
      </c>
      <c r="B377" s="13">
        <v>0.2</v>
      </c>
      <c r="C377" s="10">
        <v>1.21</v>
      </c>
      <c r="D377" s="9" t="s">
        <v>1712</v>
      </c>
      <c r="E377" s="11" t="s">
        <v>1736</v>
      </c>
      <c r="F377" s="12" t="s">
        <v>1714</v>
      </c>
      <c r="G377" s="9" t="s">
        <v>1709</v>
      </c>
    </row>
    <row r="378" spans="1:7">
      <c r="A378" s="9" t="s">
        <v>1711</v>
      </c>
      <c r="B378" s="13">
        <v>0.2</v>
      </c>
      <c r="C378" s="10">
        <v>0.29099999999999998</v>
      </c>
      <c r="D378" s="9" t="s">
        <v>1712</v>
      </c>
      <c r="E378" s="11" t="s">
        <v>1736</v>
      </c>
      <c r="F378" s="12" t="s">
        <v>1714</v>
      </c>
      <c r="G378" s="9" t="s">
        <v>1709</v>
      </c>
    </row>
    <row r="379" spans="1:7">
      <c r="A379" s="9" t="s">
        <v>1711</v>
      </c>
      <c r="B379" s="13">
        <v>0.2</v>
      </c>
      <c r="C379" s="10">
        <v>0.22900000000000001</v>
      </c>
      <c r="D379" s="9" t="s">
        <v>1712</v>
      </c>
      <c r="E379" s="11" t="s">
        <v>1736</v>
      </c>
      <c r="F379" s="12" t="s">
        <v>1714</v>
      </c>
      <c r="G379" s="9" t="s">
        <v>1709</v>
      </c>
    </row>
    <row r="380" spans="1:7">
      <c r="A380" s="9" t="s">
        <v>1711</v>
      </c>
      <c r="B380" s="9">
        <v>0.2</v>
      </c>
      <c r="C380" s="10">
        <v>0.36199999999999999</v>
      </c>
      <c r="D380" s="9" t="s">
        <v>1712</v>
      </c>
      <c r="E380" s="11" t="s">
        <v>1736</v>
      </c>
      <c r="F380" s="12" t="s">
        <v>1714</v>
      </c>
      <c r="G380" s="9" t="s">
        <v>1709</v>
      </c>
    </row>
    <row r="381" spans="1:7">
      <c r="A381" s="9" t="s">
        <v>1711</v>
      </c>
      <c r="B381" s="9">
        <v>0.2</v>
      </c>
      <c r="C381" s="10">
        <v>0.153</v>
      </c>
      <c r="D381" s="9" t="s">
        <v>1712</v>
      </c>
      <c r="E381" s="11" t="s">
        <v>1736</v>
      </c>
      <c r="F381" s="12" t="s">
        <v>1714</v>
      </c>
      <c r="G381" s="9" t="s">
        <v>1709</v>
      </c>
    </row>
    <row r="382" spans="1:7">
      <c r="A382" s="9" t="s">
        <v>1711</v>
      </c>
      <c r="B382" s="9">
        <v>0.2</v>
      </c>
      <c r="C382" s="10">
        <v>-2.9000000000000001E-2</v>
      </c>
      <c r="D382" s="9" t="s">
        <v>1709</v>
      </c>
      <c r="E382" s="11" t="s">
        <v>1710</v>
      </c>
      <c r="F382" s="12" t="s">
        <v>1710</v>
      </c>
      <c r="G382" s="9" t="s">
        <v>1709</v>
      </c>
    </row>
    <row r="383" spans="1:7">
      <c r="A383" s="9" t="s">
        <v>1711</v>
      </c>
      <c r="B383" s="9">
        <v>0.2</v>
      </c>
      <c r="C383" s="10">
        <v>0.61299999999999999</v>
      </c>
      <c r="D383" s="9" t="s">
        <v>1712</v>
      </c>
      <c r="E383" s="11" t="s">
        <v>1736</v>
      </c>
      <c r="F383" s="12" t="s">
        <v>1714</v>
      </c>
      <c r="G383" s="9" t="s">
        <v>1709</v>
      </c>
    </row>
    <row r="384" spans="1:7">
      <c r="A384" s="9" t="s">
        <v>1711</v>
      </c>
      <c r="B384" s="13">
        <v>0.2</v>
      </c>
      <c r="C384" s="10">
        <v>-0.14599999999999999</v>
      </c>
      <c r="D384" s="9" t="s">
        <v>1709</v>
      </c>
      <c r="E384" s="11" t="s">
        <v>1710</v>
      </c>
      <c r="F384" s="12" t="s">
        <v>1710</v>
      </c>
      <c r="G384" s="9" t="s">
        <v>1709</v>
      </c>
    </row>
    <row r="385" spans="1:7">
      <c r="A385" s="9" t="s">
        <v>1711</v>
      </c>
      <c r="B385" s="13">
        <v>0.2</v>
      </c>
      <c r="C385" s="10">
        <v>1.5109999999999999</v>
      </c>
      <c r="D385" s="9" t="s">
        <v>1712</v>
      </c>
      <c r="E385" s="11" t="s">
        <v>1736</v>
      </c>
      <c r="F385" s="12" t="s">
        <v>1714</v>
      </c>
      <c r="G385" s="9" t="s">
        <v>1709</v>
      </c>
    </row>
    <row r="386" spans="1:7">
      <c r="A386" s="9" t="s">
        <v>1711</v>
      </c>
      <c r="B386" s="13">
        <v>0.2</v>
      </c>
      <c r="C386" s="10">
        <v>1.2549999999999999</v>
      </c>
      <c r="D386" s="9" t="s">
        <v>1712</v>
      </c>
      <c r="E386" s="11" t="s">
        <v>1736</v>
      </c>
      <c r="F386" s="12" t="s">
        <v>1714</v>
      </c>
      <c r="G386" s="9" t="s">
        <v>1709</v>
      </c>
    </row>
    <row r="387" spans="1:7">
      <c r="A387" s="9" t="s">
        <v>1711</v>
      </c>
      <c r="B387" s="9">
        <v>0.2</v>
      </c>
      <c r="C387" s="10">
        <v>-4.0000000000000001E-3</v>
      </c>
      <c r="D387" s="9" t="s">
        <v>1709</v>
      </c>
      <c r="E387" s="11" t="s">
        <v>1710</v>
      </c>
      <c r="F387" s="12" t="s">
        <v>1710</v>
      </c>
      <c r="G387" s="9" t="s">
        <v>1709</v>
      </c>
    </row>
    <row r="388" spans="1:7">
      <c r="A388" s="9" t="s">
        <v>1711</v>
      </c>
      <c r="B388" s="9">
        <v>0.2</v>
      </c>
      <c r="C388" s="10">
        <v>1.8659999999999999</v>
      </c>
      <c r="D388" s="9" t="s">
        <v>1712</v>
      </c>
      <c r="E388" s="11" t="s">
        <v>1736</v>
      </c>
      <c r="F388" s="12" t="s">
        <v>1714</v>
      </c>
      <c r="G388" s="9" t="s">
        <v>1709</v>
      </c>
    </row>
    <row r="389" spans="1:7">
      <c r="A389" s="9" t="s">
        <v>1711</v>
      </c>
      <c r="B389" s="13">
        <v>0.2</v>
      </c>
      <c r="C389" s="10">
        <v>-6.0000000000000001E-3</v>
      </c>
      <c r="D389" s="9" t="s">
        <v>1709</v>
      </c>
      <c r="E389" s="11" t="s">
        <v>1710</v>
      </c>
      <c r="F389" s="12" t="s">
        <v>1710</v>
      </c>
      <c r="G389" s="9" t="s">
        <v>1709</v>
      </c>
    </row>
    <row r="390" spans="1:7">
      <c r="A390" s="9" t="s">
        <v>1711</v>
      </c>
      <c r="B390" s="13">
        <v>0.2</v>
      </c>
      <c r="C390" s="10">
        <v>0.61299999999999999</v>
      </c>
      <c r="D390" s="9" t="s">
        <v>1712</v>
      </c>
      <c r="E390" s="11" t="s">
        <v>1736</v>
      </c>
      <c r="F390" s="12" t="s">
        <v>1714</v>
      </c>
      <c r="G390" s="9" t="s">
        <v>1709</v>
      </c>
    </row>
    <row r="391" spans="1:7">
      <c r="A391" s="9" t="s">
        <v>1711</v>
      </c>
      <c r="B391" s="13">
        <v>0.2</v>
      </c>
      <c r="C391" s="10">
        <v>0.61299999999999999</v>
      </c>
      <c r="D391" s="9" t="s">
        <v>1712</v>
      </c>
      <c r="E391" s="11" t="s">
        <v>1736</v>
      </c>
      <c r="F391" s="12" t="s">
        <v>1714</v>
      </c>
      <c r="G391" s="9" t="s">
        <v>1709</v>
      </c>
    </row>
    <row r="392" spans="1:7">
      <c r="A392" s="9" t="s">
        <v>1711</v>
      </c>
      <c r="B392" s="13">
        <v>0.2</v>
      </c>
      <c r="C392" s="10">
        <v>0.77300000000000002</v>
      </c>
      <c r="D392" s="9" t="s">
        <v>1712</v>
      </c>
      <c r="E392" s="11" t="s">
        <v>1736</v>
      </c>
      <c r="F392" s="12" t="s">
        <v>1714</v>
      </c>
      <c r="G392" s="9" t="s">
        <v>1709</v>
      </c>
    </row>
    <row r="393" spans="1:7">
      <c r="A393" s="9" t="s">
        <v>1711</v>
      </c>
      <c r="B393" s="13">
        <v>0.2</v>
      </c>
      <c r="C393" s="10">
        <v>0.77300000000000002</v>
      </c>
      <c r="D393" s="9" t="s">
        <v>1712</v>
      </c>
      <c r="E393" s="11" t="s">
        <v>1736</v>
      </c>
      <c r="F393" s="12" t="s">
        <v>1714</v>
      </c>
      <c r="G393" s="9" t="s">
        <v>1709</v>
      </c>
    </row>
    <row r="394" spans="1:7">
      <c r="A394" s="9" t="s">
        <v>1711</v>
      </c>
      <c r="B394" s="13">
        <v>0.2</v>
      </c>
      <c r="C394" s="10">
        <v>0.77300000000000002</v>
      </c>
      <c r="D394" s="9" t="s">
        <v>1712</v>
      </c>
      <c r="E394" s="11" t="s">
        <v>1736</v>
      </c>
      <c r="F394" s="12" t="s">
        <v>1714</v>
      </c>
      <c r="G394" s="9" t="s">
        <v>1709</v>
      </c>
    </row>
    <row r="395" spans="1:7">
      <c r="A395" s="9" t="s">
        <v>1711</v>
      </c>
      <c r="B395" s="13">
        <v>0.2</v>
      </c>
      <c r="C395" s="10">
        <v>-4.9000000000000002E-2</v>
      </c>
      <c r="D395" s="9" t="s">
        <v>1709</v>
      </c>
      <c r="E395" s="11" t="s">
        <v>1710</v>
      </c>
      <c r="F395" s="12" t="s">
        <v>1710</v>
      </c>
      <c r="G395" s="9" t="s">
        <v>1709</v>
      </c>
    </row>
    <row r="396" spans="1:7">
      <c r="A396" s="9" t="s">
        <v>1711</v>
      </c>
      <c r="B396" s="13">
        <v>0.2</v>
      </c>
      <c r="C396" s="10">
        <v>6.3E-2</v>
      </c>
      <c r="D396" s="9" t="s">
        <v>1712</v>
      </c>
      <c r="E396" s="11" t="s">
        <v>1736</v>
      </c>
      <c r="F396" s="12" t="s">
        <v>1714</v>
      </c>
      <c r="G396" s="9" t="s">
        <v>1709</v>
      </c>
    </row>
    <row r="397" spans="1:7">
      <c r="A397" s="9" t="s">
        <v>1711</v>
      </c>
      <c r="B397" s="9">
        <v>0.2</v>
      </c>
      <c r="C397" s="10">
        <v>6.3E-2</v>
      </c>
      <c r="D397" s="9" t="s">
        <v>1712</v>
      </c>
      <c r="E397" s="11" t="s">
        <v>1736</v>
      </c>
      <c r="F397" s="12" t="s">
        <v>1714</v>
      </c>
      <c r="G397" s="9" t="s">
        <v>1709</v>
      </c>
    </row>
    <row r="398" spans="1:7">
      <c r="A398" s="9" t="s">
        <v>1711</v>
      </c>
      <c r="B398" s="9">
        <v>0.2</v>
      </c>
      <c r="C398" s="10">
        <v>6.3E-2</v>
      </c>
      <c r="D398" s="9" t="s">
        <v>1712</v>
      </c>
      <c r="E398" s="11" t="s">
        <v>1736</v>
      </c>
      <c r="F398" s="12" t="s">
        <v>1714</v>
      </c>
      <c r="G398" s="9" t="s">
        <v>1709</v>
      </c>
    </row>
    <row r="399" spans="1:7">
      <c r="A399" s="9" t="s">
        <v>1711</v>
      </c>
      <c r="B399" s="13">
        <v>0.2</v>
      </c>
      <c r="C399" s="10">
        <v>-0.126</v>
      </c>
      <c r="D399" s="9" t="s">
        <v>1709</v>
      </c>
      <c r="E399" s="11" t="s">
        <v>1710</v>
      </c>
      <c r="F399" s="12" t="s">
        <v>1710</v>
      </c>
      <c r="G399" s="9" t="s">
        <v>1709</v>
      </c>
    </row>
    <row r="400" spans="1:7">
      <c r="A400" s="9" t="s">
        <v>1711</v>
      </c>
      <c r="B400" s="9">
        <v>0.2</v>
      </c>
      <c r="C400" s="10">
        <v>0.85199999999999998</v>
      </c>
      <c r="D400" s="9" t="s">
        <v>1712</v>
      </c>
      <c r="E400" s="11" t="s">
        <v>1713</v>
      </c>
      <c r="F400" s="12" t="s">
        <v>1714</v>
      </c>
      <c r="G400" s="9" t="s">
        <v>1709</v>
      </c>
    </row>
    <row r="401" spans="1:7">
      <c r="A401" s="9" t="s">
        <v>1711</v>
      </c>
      <c r="B401" s="9">
        <v>0.2</v>
      </c>
      <c r="C401" s="10">
        <v>0.85199999999999998</v>
      </c>
      <c r="D401" s="9" t="s">
        <v>1712</v>
      </c>
      <c r="E401" s="11" t="s">
        <v>1713</v>
      </c>
      <c r="F401" s="12" t="s">
        <v>1714</v>
      </c>
      <c r="G401" s="9" t="s">
        <v>1709</v>
      </c>
    </row>
    <row r="402" spans="1:7">
      <c r="A402" s="9" t="s">
        <v>1711</v>
      </c>
      <c r="B402" s="13">
        <v>0.2</v>
      </c>
      <c r="C402" s="10">
        <v>0.85199999999999998</v>
      </c>
      <c r="D402" s="9" t="s">
        <v>1712</v>
      </c>
      <c r="E402" s="11" t="s">
        <v>1736</v>
      </c>
      <c r="F402" s="12" t="s">
        <v>1714</v>
      </c>
      <c r="G402" s="9" t="s">
        <v>1709</v>
      </c>
    </row>
    <row r="403" spans="1:7">
      <c r="A403" s="9" t="s">
        <v>1711</v>
      </c>
      <c r="B403" s="13">
        <v>0.2</v>
      </c>
      <c r="C403" s="10">
        <v>1.4419999999999999</v>
      </c>
      <c r="D403" s="9" t="s">
        <v>1712</v>
      </c>
      <c r="E403" s="11" t="s">
        <v>1736</v>
      </c>
      <c r="F403" s="12" t="s">
        <v>1714</v>
      </c>
      <c r="G403" s="9" t="s">
        <v>1709</v>
      </c>
    </row>
    <row r="404" spans="1:7">
      <c r="A404" s="9" t="s">
        <v>1711</v>
      </c>
      <c r="B404" s="13">
        <v>0.2</v>
      </c>
      <c r="C404" s="10">
        <v>0.79500000000000004</v>
      </c>
      <c r="D404" s="9" t="s">
        <v>1712</v>
      </c>
      <c r="E404" s="11" t="s">
        <v>1742</v>
      </c>
      <c r="F404" s="12" t="s">
        <v>1714</v>
      </c>
      <c r="G404" s="9" t="s">
        <v>1709</v>
      </c>
    </row>
    <row r="405" spans="1:7">
      <c r="A405" s="9" t="s">
        <v>1711</v>
      </c>
      <c r="B405" s="9">
        <v>0.2</v>
      </c>
      <c r="C405" s="10">
        <v>0.59899999999999998</v>
      </c>
      <c r="D405" s="9" t="s">
        <v>1712</v>
      </c>
      <c r="E405" s="11" t="s">
        <v>1742</v>
      </c>
      <c r="F405" s="12" t="s">
        <v>1714</v>
      </c>
      <c r="G405" s="9" t="s">
        <v>1709</v>
      </c>
    </row>
    <row r="406" spans="1:7">
      <c r="A406" s="9" t="s">
        <v>1711</v>
      </c>
      <c r="B406" s="13">
        <v>0.2</v>
      </c>
      <c r="C406" s="10">
        <v>0.59899999999999998</v>
      </c>
      <c r="D406" s="9" t="s">
        <v>1712</v>
      </c>
      <c r="E406" s="11" t="s">
        <v>1742</v>
      </c>
      <c r="F406" s="12" t="s">
        <v>1714</v>
      </c>
      <c r="G406" s="9" t="s">
        <v>1709</v>
      </c>
    </row>
    <row r="407" spans="1:7">
      <c r="A407" s="9" t="s">
        <v>1711</v>
      </c>
      <c r="B407" s="13">
        <v>0.2</v>
      </c>
      <c r="C407" s="10">
        <v>0.59899999999999998</v>
      </c>
      <c r="D407" s="9" t="s">
        <v>1712</v>
      </c>
      <c r="E407" s="11" t="s">
        <v>1742</v>
      </c>
      <c r="F407" s="12" t="s">
        <v>1714</v>
      </c>
      <c r="G407" s="9" t="s">
        <v>1709</v>
      </c>
    </row>
    <row r="408" spans="1:7">
      <c r="A408" s="9" t="s">
        <v>1711</v>
      </c>
      <c r="B408" s="9">
        <v>0.2</v>
      </c>
      <c r="C408" s="10">
        <v>0.59899999999999998</v>
      </c>
      <c r="D408" s="9" t="s">
        <v>1712</v>
      </c>
      <c r="E408" s="11" t="s">
        <v>1742</v>
      </c>
      <c r="F408" s="12" t="s">
        <v>1714</v>
      </c>
      <c r="G408" s="9" t="s">
        <v>1709</v>
      </c>
    </row>
    <row r="409" spans="1:7">
      <c r="A409" s="9" t="s">
        <v>1711</v>
      </c>
      <c r="B409" s="9">
        <v>0.2</v>
      </c>
      <c r="C409" s="10">
        <v>0.59899999999999998</v>
      </c>
      <c r="D409" s="9" t="s">
        <v>1712</v>
      </c>
      <c r="E409" s="11" t="s">
        <v>1742</v>
      </c>
      <c r="F409" s="12" t="s">
        <v>1714</v>
      </c>
      <c r="G409" s="9" t="s">
        <v>1709</v>
      </c>
    </row>
    <row r="410" spans="1:7">
      <c r="A410" s="9" t="s">
        <v>1711</v>
      </c>
      <c r="B410" s="13">
        <v>0.2</v>
      </c>
      <c r="C410" s="10">
        <v>1.21</v>
      </c>
      <c r="D410" s="9" t="s">
        <v>1712</v>
      </c>
      <c r="E410" s="11" t="s">
        <v>1736</v>
      </c>
      <c r="F410" s="12" t="s">
        <v>1714</v>
      </c>
      <c r="G410" s="9" t="s">
        <v>1709</v>
      </c>
    </row>
    <row r="411" spans="1:7">
      <c r="A411" s="9" t="s">
        <v>1711</v>
      </c>
      <c r="B411" s="9">
        <v>0.2</v>
      </c>
      <c r="C411" s="10">
        <v>-0.14599999999999999</v>
      </c>
      <c r="D411" s="9" t="s">
        <v>1709</v>
      </c>
      <c r="E411" s="11" t="s">
        <v>1710</v>
      </c>
      <c r="F411" s="12" t="s">
        <v>1710</v>
      </c>
      <c r="G411" s="9" t="s">
        <v>1709</v>
      </c>
    </row>
    <row r="412" spans="1:7">
      <c r="A412" s="9" t="s">
        <v>1711</v>
      </c>
      <c r="B412" s="13">
        <v>0.2</v>
      </c>
      <c r="C412" s="10">
        <v>-0.14599999999999999</v>
      </c>
      <c r="D412" s="9" t="s">
        <v>1709</v>
      </c>
      <c r="E412" s="11" t="s">
        <v>1710</v>
      </c>
      <c r="F412" s="12" t="s">
        <v>1710</v>
      </c>
      <c r="G412" s="9" t="s">
        <v>1709</v>
      </c>
    </row>
    <row r="413" spans="1:7">
      <c r="A413" s="9" t="s">
        <v>1711</v>
      </c>
      <c r="B413" s="13">
        <v>0.2</v>
      </c>
      <c r="C413" s="10">
        <v>-0.126</v>
      </c>
      <c r="D413" s="9" t="s">
        <v>1709</v>
      </c>
      <c r="E413" s="11" t="s">
        <v>1710</v>
      </c>
      <c r="F413" s="12" t="s">
        <v>1710</v>
      </c>
      <c r="G413" s="9" t="s">
        <v>1709</v>
      </c>
    </row>
    <row r="414" spans="1:7">
      <c r="A414" s="9" t="s">
        <v>1711</v>
      </c>
      <c r="B414" s="13">
        <v>0.2</v>
      </c>
      <c r="C414" s="10">
        <v>-9.2999999999999999E-2</v>
      </c>
      <c r="D414" s="9" t="s">
        <v>1709</v>
      </c>
      <c r="E414" s="11" t="s">
        <v>1710</v>
      </c>
      <c r="F414" s="12" t="s">
        <v>1710</v>
      </c>
      <c r="G414" s="9" t="s">
        <v>1709</v>
      </c>
    </row>
    <row r="415" spans="1:7">
      <c r="A415" s="9" t="s">
        <v>1711</v>
      </c>
      <c r="B415" s="13">
        <v>0.2</v>
      </c>
      <c r="C415" s="10">
        <v>7.2999999999999995E-2</v>
      </c>
      <c r="D415" s="9" t="s">
        <v>1712</v>
      </c>
      <c r="E415" s="11" t="s">
        <v>1736</v>
      </c>
      <c r="F415" s="12" t="s">
        <v>1714</v>
      </c>
      <c r="G415" s="9" t="s">
        <v>1709</v>
      </c>
    </row>
    <row r="416" spans="1:7">
      <c r="A416" s="9" t="s">
        <v>1711</v>
      </c>
      <c r="B416" s="13">
        <v>0.2</v>
      </c>
      <c r="C416" s="10">
        <v>0.155</v>
      </c>
      <c r="D416" s="9" t="s">
        <v>1712</v>
      </c>
      <c r="E416" s="11" t="s">
        <v>1736</v>
      </c>
      <c r="F416" s="12" t="s">
        <v>1714</v>
      </c>
      <c r="G416" s="9" t="s">
        <v>1709</v>
      </c>
    </row>
    <row r="417" spans="1:7">
      <c r="A417" s="9" t="s">
        <v>1711</v>
      </c>
      <c r="B417" s="13">
        <v>0.2</v>
      </c>
      <c r="C417" s="10">
        <v>2.7479999999999998</v>
      </c>
      <c r="D417" s="9" t="s">
        <v>1712</v>
      </c>
      <c r="E417" s="11" t="s">
        <v>1736</v>
      </c>
      <c r="F417" s="12" t="s">
        <v>1714</v>
      </c>
      <c r="G417" s="9" t="s">
        <v>1709</v>
      </c>
    </row>
    <row r="418" spans="1:7">
      <c r="A418" s="9" t="s">
        <v>1711</v>
      </c>
      <c r="B418" s="13">
        <v>0.2</v>
      </c>
      <c r="C418" s="10">
        <v>0.8</v>
      </c>
      <c r="D418" s="9" t="s">
        <v>1712</v>
      </c>
      <c r="E418" s="11" t="s">
        <v>1736</v>
      </c>
      <c r="F418" s="12" t="s">
        <v>1714</v>
      </c>
      <c r="G418" s="9" t="s">
        <v>1709</v>
      </c>
    </row>
    <row r="419" spans="1:7">
      <c r="A419" s="9" t="s">
        <v>1711</v>
      </c>
      <c r="B419" s="13">
        <v>0.2</v>
      </c>
      <c r="C419" s="10">
        <v>-7.1000000000000008E-2</v>
      </c>
      <c r="D419" s="9" t="s">
        <v>1709</v>
      </c>
      <c r="E419" s="11" t="s">
        <v>1710</v>
      </c>
      <c r="F419" s="12" t="s">
        <v>1710</v>
      </c>
      <c r="G419" s="9" t="s">
        <v>1709</v>
      </c>
    </row>
    <row r="420" spans="1:7">
      <c r="A420" s="9" t="s">
        <v>1711</v>
      </c>
      <c r="B420" s="13">
        <v>0.2</v>
      </c>
      <c r="C420" s="10">
        <v>-7.1000000000000008E-2</v>
      </c>
      <c r="D420" s="9" t="s">
        <v>1709</v>
      </c>
      <c r="E420" s="11" t="s">
        <v>1710</v>
      </c>
      <c r="F420" s="12" t="s">
        <v>1710</v>
      </c>
      <c r="G420" s="9" t="s">
        <v>1709</v>
      </c>
    </row>
    <row r="421" spans="1:7">
      <c r="A421" s="9" t="s">
        <v>1711</v>
      </c>
      <c r="B421" s="13">
        <v>0.2</v>
      </c>
      <c r="C421" s="10">
        <v>0.25</v>
      </c>
      <c r="D421" s="9" t="s">
        <v>1712</v>
      </c>
      <c r="E421" s="11" t="s">
        <v>1736</v>
      </c>
      <c r="F421" s="12" t="s">
        <v>1714</v>
      </c>
      <c r="G421" s="9" t="s">
        <v>1709</v>
      </c>
    </row>
    <row r="422" spans="1:7">
      <c r="A422" s="9" t="s">
        <v>1711</v>
      </c>
      <c r="B422" s="9">
        <v>0.2</v>
      </c>
      <c r="C422" s="10">
        <v>-0.14799999999999999</v>
      </c>
      <c r="D422" s="9" t="s">
        <v>1709</v>
      </c>
      <c r="E422" s="11" t="s">
        <v>1710</v>
      </c>
      <c r="F422" s="12" t="s">
        <v>1710</v>
      </c>
      <c r="G422" s="9" t="s">
        <v>1709</v>
      </c>
    </row>
    <row r="423" spans="1:7">
      <c r="A423" s="9" t="s">
        <v>1711</v>
      </c>
      <c r="B423" s="13">
        <v>0.2</v>
      </c>
      <c r="C423" s="10">
        <v>7.2999999999999995E-2</v>
      </c>
      <c r="D423" s="9" t="s">
        <v>1712</v>
      </c>
      <c r="E423" s="11" t="s">
        <v>1736</v>
      </c>
      <c r="F423" s="12" t="s">
        <v>1714</v>
      </c>
      <c r="G423" s="9" t="s">
        <v>1709</v>
      </c>
    </row>
    <row r="424" spans="1:7">
      <c r="A424" s="9" t="s">
        <v>1711</v>
      </c>
      <c r="B424" s="9">
        <v>0.2</v>
      </c>
      <c r="C424" s="10">
        <v>1.8599999999999999</v>
      </c>
      <c r="D424" s="9" t="s">
        <v>1712</v>
      </c>
      <c r="E424" s="11" t="s">
        <v>1736</v>
      </c>
      <c r="F424" s="12" t="s">
        <v>1714</v>
      </c>
      <c r="G424" s="9" t="s">
        <v>1709</v>
      </c>
    </row>
    <row r="425" spans="1:7">
      <c r="A425" s="9" t="s">
        <v>1711</v>
      </c>
      <c r="B425" s="9">
        <v>0.2</v>
      </c>
      <c r="C425" s="10">
        <v>-8.6999999999999994E-2</v>
      </c>
      <c r="D425" s="9" t="s">
        <v>1709</v>
      </c>
      <c r="E425" s="11" t="s">
        <v>1710</v>
      </c>
      <c r="F425" s="12" t="s">
        <v>1710</v>
      </c>
      <c r="G425" s="9" t="s">
        <v>1709</v>
      </c>
    </row>
    <row r="426" spans="1:7">
      <c r="A426" s="9" t="s">
        <v>1711</v>
      </c>
      <c r="B426" s="13">
        <v>0.2</v>
      </c>
      <c r="C426" s="10">
        <v>0.59899999999999998</v>
      </c>
      <c r="D426" s="9" t="s">
        <v>1712</v>
      </c>
      <c r="E426" s="11" t="s">
        <v>1736</v>
      </c>
      <c r="F426" s="12" t="s">
        <v>1714</v>
      </c>
      <c r="G426" s="9" t="s">
        <v>1709</v>
      </c>
    </row>
    <row r="427" spans="1:7">
      <c r="A427" s="9" t="s">
        <v>1711</v>
      </c>
      <c r="B427" s="9">
        <v>0.2</v>
      </c>
      <c r="C427" s="10">
        <v>0.152</v>
      </c>
      <c r="D427" s="9" t="s">
        <v>1712</v>
      </c>
      <c r="E427" s="11" t="s">
        <v>1715</v>
      </c>
      <c r="F427" s="12" t="s">
        <v>1714</v>
      </c>
      <c r="G427" s="9" t="s">
        <v>1709</v>
      </c>
    </row>
    <row r="428" spans="1:7">
      <c r="A428" s="9" t="s">
        <v>1711</v>
      </c>
      <c r="B428" s="9">
        <v>0.2</v>
      </c>
      <c r="C428" s="10">
        <v>0.64100000000000001</v>
      </c>
      <c r="D428" s="9" t="s">
        <v>1712</v>
      </c>
      <c r="E428" s="11" t="s">
        <v>1736</v>
      </c>
      <c r="F428" s="12" t="s">
        <v>1714</v>
      </c>
      <c r="G428" s="9" t="s">
        <v>1709</v>
      </c>
    </row>
    <row r="429" spans="1:7">
      <c r="A429" s="9" t="s">
        <v>1711</v>
      </c>
      <c r="B429" s="13">
        <v>0.2</v>
      </c>
      <c r="C429" s="10">
        <v>-1.3000000000000001E-2</v>
      </c>
      <c r="D429" s="9" t="s">
        <v>1709</v>
      </c>
      <c r="E429" s="11" t="s">
        <v>1710</v>
      </c>
      <c r="F429" s="12" t="s">
        <v>1710</v>
      </c>
      <c r="G429" s="9" t="s">
        <v>1709</v>
      </c>
    </row>
    <row r="430" spans="1:7">
      <c r="A430" s="9" t="s">
        <v>1711</v>
      </c>
      <c r="B430" s="9">
        <v>0.2</v>
      </c>
      <c r="C430" s="10">
        <v>5.0000000000000001E-3</v>
      </c>
      <c r="D430" s="9" t="s">
        <v>1712</v>
      </c>
      <c r="E430" s="11" t="s">
        <v>1742</v>
      </c>
      <c r="F430" s="12" t="s">
        <v>1714</v>
      </c>
      <c r="G430" s="9" t="s">
        <v>1709</v>
      </c>
    </row>
    <row r="431" spans="1:7">
      <c r="A431" s="9" t="s">
        <v>1711</v>
      </c>
      <c r="B431" s="9">
        <v>0.2</v>
      </c>
      <c r="C431" s="10">
        <v>-0.09</v>
      </c>
      <c r="D431" s="9" t="s">
        <v>1709</v>
      </c>
      <c r="E431" s="11" t="s">
        <v>1710</v>
      </c>
      <c r="F431" s="12" t="s">
        <v>1710</v>
      </c>
      <c r="G431" s="9" t="s">
        <v>1709</v>
      </c>
    </row>
    <row r="432" spans="1:7">
      <c r="A432" s="9" t="s">
        <v>1711</v>
      </c>
      <c r="B432" s="9">
        <v>0.2</v>
      </c>
      <c r="C432" s="10">
        <v>-0.09</v>
      </c>
      <c r="D432" s="9" t="s">
        <v>1709</v>
      </c>
      <c r="E432" s="11" t="s">
        <v>1710</v>
      </c>
      <c r="F432" s="12" t="s">
        <v>1710</v>
      </c>
      <c r="G432" s="9" t="s">
        <v>1709</v>
      </c>
    </row>
    <row r="433" spans="1:7">
      <c r="A433" s="9" t="s">
        <v>1711</v>
      </c>
      <c r="B433" s="13">
        <v>0.2</v>
      </c>
      <c r="C433" s="10">
        <v>0.70599999999999996</v>
      </c>
      <c r="D433" s="9" t="s">
        <v>1712</v>
      </c>
      <c r="E433" s="11" t="s">
        <v>1736</v>
      </c>
      <c r="F433" s="12" t="s">
        <v>1714</v>
      </c>
      <c r="G433" s="9" t="s">
        <v>1709</v>
      </c>
    </row>
    <row r="434" spans="1:7">
      <c r="A434" s="9" t="s">
        <v>1711</v>
      </c>
      <c r="B434" s="13">
        <v>0.2</v>
      </c>
      <c r="C434" s="10">
        <v>0.18</v>
      </c>
      <c r="D434" s="9" t="s">
        <v>1712</v>
      </c>
      <c r="E434" s="11" t="s">
        <v>1736</v>
      </c>
      <c r="F434" s="12" t="s">
        <v>1714</v>
      </c>
      <c r="G434" s="9" t="s">
        <v>1709</v>
      </c>
    </row>
    <row r="435" spans="1:7">
      <c r="A435" s="9" t="s">
        <v>1711</v>
      </c>
      <c r="B435" s="9">
        <v>0.2</v>
      </c>
      <c r="C435" s="10">
        <v>0.64100000000000001</v>
      </c>
      <c r="D435" s="9" t="s">
        <v>1712</v>
      </c>
      <c r="E435" s="11" t="s">
        <v>1736</v>
      </c>
      <c r="F435" s="12" t="s">
        <v>1714</v>
      </c>
      <c r="G435" s="9" t="s">
        <v>1709</v>
      </c>
    </row>
    <row r="436" spans="1:7">
      <c r="A436" s="9" t="s">
        <v>1711</v>
      </c>
      <c r="B436" s="9">
        <v>0.2</v>
      </c>
      <c r="C436" s="10">
        <v>1.8599999999999999</v>
      </c>
      <c r="D436" s="9" t="s">
        <v>1712</v>
      </c>
      <c r="E436" s="11" t="s">
        <v>1736</v>
      </c>
      <c r="F436" s="12" t="s">
        <v>1714</v>
      </c>
      <c r="G436" s="9" t="s">
        <v>1709</v>
      </c>
    </row>
    <row r="437" spans="1:7">
      <c r="A437" s="9" t="s">
        <v>1711</v>
      </c>
      <c r="B437" s="9">
        <v>0.2</v>
      </c>
      <c r="C437" s="10">
        <v>0.77300000000000002</v>
      </c>
      <c r="D437" s="9" t="s">
        <v>1712</v>
      </c>
      <c r="E437" s="11" t="s">
        <v>1736</v>
      </c>
      <c r="F437" s="12" t="s">
        <v>1714</v>
      </c>
      <c r="G437" s="9" t="s">
        <v>1709</v>
      </c>
    </row>
    <row r="438" spans="1:7">
      <c r="A438" s="9" t="s">
        <v>1711</v>
      </c>
      <c r="B438" s="13">
        <v>0.2</v>
      </c>
      <c r="C438" s="10">
        <v>0.77300000000000002</v>
      </c>
      <c r="D438" s="9" t="s">
        <v>1712</v>
      </c>
      <c r="E438" s="11" t="s">
        <v>1736</v>
      </c>
      <c r="F438" s="12" t="s">
        <v>1714</v>
      </c>
      <c r="G438" s="9" t="s">
        <v>1709</v>
      </c>
    </row>
    <row r="439" spans="1:7">
      <c r="A439" s="9" t="s">
        <v>1711</v>
      </c>
      <c r="B439" s="13">
        <v>0.2</v>
      </c>
      <c r="C439" s="10">
        <v>0.77300000000000002</v>
      </c>
      <c r="D439" s="9" t="s">
        <v>1712</v>
      </c>
      <c r="E439" s="11" t="s">
        <v>1736</v>
      </c>
      <c r="F439" s="12" t="s">
        <v>1714</v>
      </c>
      <c r="G439" s="9" t="s">
        <v>1709</v>
      </c>
    </row>
    <row r="440" spans="1:7">
      <c r="A440" s="9" t="s">
        <v>1711</v>
      </c>
      <c r="B440" s="9">
        <v>0.2</v>
      </c>
      <c r="C440" s="10">
        <v>2.7479999999999998</v>
      </c>
      <c r="D440" s="9" t="s">
        <v>1712</v>
      </c>
      <c r="E440" s="11" t="s">
        <v>1736</v>
      </c>
      <c r="F440" s="12" t="s">
        <v>1714</v>
      </c>
      <c r="G440" s="9" t="s">
        <v>1709</v>
      </c>
    </row>
    <row r="441" spans="1:7">
      <c r="A441" s="9" t="s">
        <v>1711</v>
      </c>
      <c r="B441" s="9">
        <v>0.2</v>
      </c>
      <c r="C441" s="10">
        <v>0.214</v>
      </c>
      <c r="D441" s="9" t="s">
        <v>1712</v>
      </c>
      <c r="E441" s="11" t="s">
        <v>1736</v>
      </c>
      <c r="F441" s="12" t="s">
        <v>1714</v>
      </c>
      <c r="G441" s="9" t="s">
        <v>1709</v>
      </c>
    </row>
    <row r="442" spans="1:7">
      <c r="A442" s="9" t="s">
        <v>1711</v>
      </c>
      <c r="B442" s="9">
        <v>0.2</v>
      </c>
      <c r="C442" s="10">
        <v>-0.14599999999999999</v>
      </c>
      <c r="D442" s="9" t="s">
        <v>1709</v>
      </c>
      <c r="E442" s="11" t="s">
        <v>1710</v>
      </c>
      <c r="F442" s="12" t="s">
        <v>1710</v>
      </c>
      <c r="G442" s="9" t="s">
        <v>1709</v>
      </c>
    </row>
    <row r="443" spans="1:7">
      <c r="A443" s="9" t="s">
        <v>1711</v>
      </c>
      <c r="B443" s="9">
        <v>0.2</v>
      </c>
      <c r="C443" s="10">
        <v>-0.13200000000000001</v>
      </c>
      <c r="D443" s="9" t="s">
        <v>1709</v>
      </c>
      <c r="E443" s="11" t="s">
        <v>1710</v>
      </c>
      <c r="F443" s="12" t="s">
        <v>1710</v>
      </c>
      <c r="G443" s="9" t="s">
        <v>1709</v>
      </c>
    </row>
    <row r="444" spans="1:7">
      <c r="A444" s="9" t="s">
        <v>1711</v>
      </c>
      <c r="B444" s="13">
        <v>0.2</v>
      </c>
      <c r="C444" s="10">
        <v>-1.9E-2</v>
      </c>
      <c r="D444" s="9" t="s">
        <v>1709</v>
      </c>
      <c r="E444" s="11" t="s">
        <v>1710</v>
      </c>
      <c r="F444" s="12" t="s">
        <v>1710</v>
      </c>
      <c r="G444" s="9" t="s">
        <v>1709</v>
      </c>
    </row>
    <row r="445" spans="1:7">
      <c r="A445" s="9" t="s">
        <v>1711</v>
      </c>
      <c r="B445" s="13">
        <v>0.2</v>
      </c>
      <c r="C445" s="10">
        <v>9.1869999999999994</v>
      </c>
      <c r="D445" s="9" t="s">
        <v>1712</v>
      </c>
      <c r="E445" s="11" t="s">
        <v>1715</v>
      </c>
      <c r="F445" s="12" t="s">
        <v>1714</v>
      </c>
      <c r="G445" s="9" t="s">
        <v>1709</v>
      </c>
    </row>
    <row r="446" spans="1:7">
      <c r="A446" s="9" t="s">
        <v>1711</v>
      </c>
      <c r="B446" s="13">
        <v>0.2</v>
      </c>
      <c r="C446" s="10">
        <v>0.8</v>
      </c>
      <c r="D446" s="9" t="s">
        <v>1712</v>
      </c>
      <c r="E446" s="11" t="s">
        <v>1736</v>
      </c>
      <c r="F446" s="12" t="s">
        <v>1714</v>
      </c>
      <c r="G446" s="9" t="s">
        <v>1709</v>
      </c>
    </row>
    <row r="447" spans="1:7">
      <c r="A447" s="9" t="s">
        <v>1711</v>
      </c>
      <c r="B447" s="13">
        <v>0.2</v>
      </c>
      <c r="C447" s="10">
        <v>0.108</v>
      </c>
      <c r="D447" s="9" t="s">
        <v>1712</v>
      </c>
      <c r="E447" s="11" t="s">
        <v>1736</v>
      </c>
      <c r="F447" s="12" t="s">
        <v>1714</v>
      </c>
      <c r="G447" s="9" t="s">
        <v>1709</v>
      </c>
    </row>
    <row r="448" spans="1:7">
      <c r="A448" s="9" t="s">
        <v>1711</v>
      </c>
      <c r="B448" s="9">
        <v>0.2</v>
      </c>
      <c r="C448" s="10">
        <v>-8.6999999999999994E-2</v>
      </c>
      <c r="D448" s="9" t="s">
        <v>1709</v>
      </c>
      <c r="E448" s="11" t="s">
        <v>1710</v>
      </c>
      <c r="F448" s="12" t="s">
        <v>1710</v>
      </c>
      <c r="G448" s="9" t="s">
        <v>1709</v>
      </c>
    </row>
    <row r="449" spans="1:7">
      <c r="A449" s="9" t="s">
        <v>1711</v>
      </c>
      <c r="B449" s="13">
        <v>0.2</v>
      </c>
      <c r="C449" s="10">
        <v>0.17799999999999999</v>
      </c>
      <c r="D449" s="9" t="s">
        <v>1712</v>
      </c>
      <c r="E449" s="11" t="s">
        <v>1736</v>
      </c>
      <c r="F449" s="12" t="s">
        <v>1714</v>
      </c>
      <c r="G449" s="9" t="s">
        <v>1709</v>
      </c>
    </row>
    <row r="450" spans="1:7">
      <c r="A450" s="9" t="s">
        <v>1711</v>
      </c>
      <c r="B450" s="13">
        <v>0.2</v>
      </c>
      <c r="C450" s="10">
        <v>0.17799999999999999</v>
      </c>
      <c r="D450" s="9" t="s">
        <v>1712</v>
      </c>
      <c r="E450" s="11" t="s">
        <v>1736</v>
      </c>
      <c r="F450" s="12" t="s">
        <v>1714</v>
      </c>
      <c r="G450" s="9" t="s">
        <v>1709</v>
      </c>
    </row>
    <row r="451" spans="1:7">
      <c r="A451" s="9" t="s">
        <v>1711</v>
      </c>
      <c r="B451" s="13">
        <v>0.2</v>
      </c>
      <c r="C451" s="10">
        <v>1.1819999999999999</v>
      </c>
      <c r="D451" s="9" t="s">
        <v>1712</v>
      </c>
      <c r="E451" s="11" t="s">
        <v>1736</v>
      </c>
      <c r="F451" s="12" t="s">
        <v>1714</v>
      </c>
      <c r="G451" s="9" t="s">
        <v>1709</v>
      </c>
    </row>
    <row r="452" spans="1:7">
      <c r="A452" s="9" t="s">
        <v>1711</v>
      </c>
      <c r="B452" s="13">
        <v>0.2</v>
      </c>
      <c r="C452" s="10">
        <v>1.5109999999999999</v>
      </c>
      <c r="D452" s="9" t="s">
        <v>1712</v>
      </c>
      <c r="E452" s="11" t="s">
        <v>1736</v>
      </c>
      <c r="F452" s="12" t="s">
        <v>1714</v>
      </c>
      <c r="G452" s="9" t="s">
        <v>1709</v>
      </c>
    </row>
    <row r="453" spans="1:7">
      <c r="A453" s="9" t="s">
        <v>1711</v>
      </c>
      <c r="B453" s="13">
        <v>0.2</v>
      </c>
      <c r="C453" s="10">
        <v>3.2759999999999998</v>
      </c>
      <c r="D453" s="9" t="s">
        <v>1712</v>
      </c>
      <c r="E453" s="11" t="s">
        <v>1736</v>
      </c>
      <c r="F453" s="12" t="s">
        <v>1714</v>
      </c>
      <c r="G453" s="9" t="s">
        <v>1709</v>
      </c>
    </row>
    <row r="454" spans="1:7">
      <c r="A454" s="9" t="s">
        <v>1711</v>
      </c>
      <c r="B454" s="9">
        <v>0.2</v>
      </c>
      <c r="C454" s="10">
        <v>-0.104</v>
      </c>
      <c r="D454" s="9" t="s">
        <v>1709</v>
      </c>
      <c r="E454" s="11" t="s">
        <v>1710</v>
      </c>
      <c r="F454" s="12" t="s">
        <v>1710</v>
      </c>
      <c r="G454" s="9" t="s">
        <v>1709</v>
      </c>
    </row>
    <row r="455" spans="1:7">
      <c r="A455" s="9" t="s">
        <v>1711</v>
      </c>
      <c r="B455" s="9">
        <v>0.2</v>
      </c>
      <c r="C455" s="10">
        <v>0.17799999999999999</v>
      </c>
      <c r="D455" s="9" t="s">
        <v>1712</v>
      </c>
      <c r="E455" s="11" t="s">
        <v>1736</v>
      </c>
      <c r="F455" s="12" t="s">
        <v>1714</v>
      </c>
      <c r="G455" s="9" t="s">
        <v>1709</v>
      </c>
    </row>
    <row r="456" spans="1:7">
      <c r="A456" s="9" t="s">
        <v>1711</v>
      </c>
      <c r="B456" s="9">
        <v>0.2</v>
      </c>
      <c r="C456" s="10">
        <v>-0.11700000000000001</v>
      </c>
      <c r="D456" s="9" t="s">
        <v>1709</v>
      </c>
      <c r="E456" s="11" t="s">
        <v>1710</v>
      </c>
      <c r="F456" s="12" t="s">
        <v>1710</v>
      </c>
      <c r="G456" s="9" t="s">
        <v>1709</v>
      </c>
    </row>
    <row r="457" spans="1:7">
      <c r="A457" s="9" t="s">
        <v>1711</v>
      </c>
      <c r="B457" s="13">
        <v>0.2</v>
      </c>
      <c r="C457" s="10">
        <v>-0.104</v>
      </c>
      <c r="D457" s="9" t="s">
        <v>1709</v>
      </c>
      <c r="E457" s="11" t="s">
        <v>1710</v>
      </c>
      <c r="F457" s="12" t="s">
        <v>1710</v>
      </c>
      <c r="G457" s="9" t="s">
        <v>1709</v>
      </c>
    </row>
    <row r="458" spans="1:7">
      <c r="A458" s="9" t="s">
        <v>1711</v>
      </c>
      <c r="B458" s="9">
        <v>0.2</v>
      </c>
      <c r="C458" s="10">
        <v>1.5109999999999999</v>
      </c>
      <c r="D458" s="9" t="s">
        <v>1712</v>
      </c>
      <c r="E458" s="11" t="s">
        <v>1736</v>
      </c>
      <c r="F458" s="12" t="s">
        <v>1714</v>
      </c>
      <c r="G458" s="9" t="s">
        <v>1709</v>
      </c>
    </row>
    <row r="459" spans="1:7">
      <c r="A459" s="9" t="s">
        <v>1711</v>
      </c>
      <c r="B459" s="9">
        <v>0.2</v>
      </c>
      <c r="C459" s="10">
        <v>0.22900000000000001</v>
      </c>
      <c r="D459" s="9" t="s">
        <v>1712</v>
      </c>
      <c r="E459" s="11" t="s">
        <v>1736</v>
      </c>
      <c r="F459" s="12" t="s">
        <v>1714</v>
      </c>
      <c r="G459" s="9" t="s">
        <v>1709</v>
      </c>
    </row>
    <row r="460" spans="1:7">
      <c r="A460" s="9" t="s">
        <v>1711</v>
      </c>
      <c r="B460" s="9">
        <v>0.2</v>
      </c>
      <c r="C460" s="10">
        <v>1.1819999999999999</v>
      </c>
      <c r="D460" s="9" t="s">
        <v>1712</v>
      </c>
      <c r="E460" s="11" t="s">
        <v>1736</v>
      </c>
      <c r="F460" s="12" t="s">
        <v>1714</v>
      </c>
      <c r="G460" s="9" t="s">
        <v>1709</v>
      </c>
    </row>
    <row r="461" spans="1:7">
      <c r="A461" s="9" t="s">
        <v>1711</v>
      </c>
      <c r="B461" s="9">
        <v>0.2</v>
      </c>
      <c r="C461" s="10">
        <v>0.17799999999999999</v>
      </c>
      <c r="D461" s="9" t="s">
        <v>1712</v>
      </c>
      <c r="E461" s="11" t="s">
        <v>1715</v>
      </c>
      <c r="F461" s="12" t="s">
        <v>1714</v>
      </c>
      <c r="G461" s="9" t="s">
        <v>1709</v>
      </c>
    </row>
    <row r="462" spans="1:7">
      <c r="A462" s="9" t="s">
        <v>1711</v>
      </c>
      <c r="B462" s="13">
        <v>0.2</v>
      </c>
      <c r="C462" s="10">
        <v>-0.14599999999999999</v>
      </c>
      <c r="D462" s="9" t="s">
        <v>1709</v>
      </c>
      <c r="E462" s="11" t="s">
        <v>1710</v>
      </c>
      <c r="F462" s="12" t="s">
        <v>1710</v>
      </c>
      <c r="G462" s="9" t="s">
        <v>1709</v>
      </c>
    </row>
    <row r="463" spans="1:7">
      <c r="A463" s="9" t="s">
        <v>1711</v>
      </c>
      <c r="B463" s="13">
        <v>0.2</v>
      </c>
      <c r="C463" s="10">
        <v>-0.14599999999999999</v>
      </c>
      <c r="D463" s="9" t="s">
        <v>1709</v>
      </c>
      <c r="E463" s="11" t="s">
        <v>1710</v>
      </c>
      <c r="F463" s="12" t="s">
        <v>1710</v>
      </c>
      <c r="G463" s="9" t="s">
        <v>1709</v>
      </c>
    </row>
    <row r="464" spans="1:7">
      <c r="A464" s="9" t="s">
        <v>1711</v>
      </c>
      <c r="B464" s="13">
        <v>0.2</v>
      </c>
      <c r="C464" s="10">
        <v>0.17799999999999999</v>
      </c>
      <c r="D464" s="9" t="s">
        <v>1712</v>
      </c>
      <c r="E464" s="11" t="s">
        <v>1736</v>
      </c>
      <c r="F464" s="12" t="s">
        <v>1714</v>
      </c>
      <c r="G464" s="9" t="s">
        <v>1709</v>
      </c>
    </row>
    <row r="465" spans="1:7">
      <c r="A465" s="9" t="s">
        <v>1711</v>
      </c>
      <c r="B465" s="13">
        <v>0.2</v>
      </c>
      <c r="C465" s="10">
        <v>-1.3000000000000001E-2</v>
      </c>
      <c r="D465" s="9" t="s">
        <v>1709</v>
      </c>
      <c r="E465" s="11" t="s">
        <v>1710</v>
      </c>
      <c r="F465" s="12" t="s">
        <v>1710</v>
      </c>
      <c r="G465" s="9" t="s">
        <v>1709</v>
      </c>
    </row>
    <row r="466" spans="1:7">
      <c r="A466" s="9" t="s">
        <v>1711</v>
      </c>
      <c r="B466" s="13">
        <v>0.2</v>
      </c>
      <c r="C466" s="10">
        <v>0.55500000000000005</v>
      </c>
      <c r="D466" s="9" t="s">
        <v>1712</v>
      </c>
      <c r="E466" s="11" t="s">
        <v>1736</v>
      </c>
      <c r="F466" s="12" t="s">
        <v>1714</v>
      </c>
      <c r="G466" s="9" t="s">
        <v>1709</v>
      </c>
    </row>
    <row r="467" spans="1:7">
      <c r="A467" s="9" t="s">
        <v>1711</v>
      </c>
      <c r="B467" s="13">
        <v>0.2</v>
      </c>
      <c r="C467" s="10">
        <v>0.55700000000000005</v>
      </c>
      <c r="D467" s="9" t="s">
        <v>1712</v>
      </c>
      <c r="E467" s="11" t="s">
        <v>1736</v>
      </c>
      <c r="F467" s="12" t="s">
        <v>1714</v>
      </c>
      <c r="G467" s="9" t="s">
        <v>1709</v>
      </c>
    </row>
    <row r="468" spans="1:7">
      <c r="A468" s="9" t="s">
        <v>1711</v>
      </c>
      <c r="B468" s="9">
        <v>0.2</v>
      </c>
      <c r="C468" s="10">
        <v>1.2549999999999999</v>
      </c>
      <c r="D468" s="9" t="s">
        <v>1712</v>
      </c>
      <c r="E468" s="11" t="s">
        <v>1736</v>
      </c>
      <c r="F468" s="12" t="s">
        <v>1714</v>
      </c>
      <c r="G468" s="9" t="s">
        <v>1709</v>
      </c>
    </row>
    <row r="469" spans="1:7">
      <c r="A469" s="9" t="s">
        <v>1711</v>
      </c>
      <c r="B469" s="13">
        <v>0.2</v>
      </c>
      <c r="C469" s="10">
        <v>0.61299999999999999</v>
      </c>
      <c r="D469" s="9" t="s">
        <v>1712</v>
      </c>
      <c r="E469" s="11" t="s">
        <v>1736</v>
      </c>
      <c r="F469" s="12" t="s">
        <v>1714</v>
      </c>
      <c r="G469" s="9" t="s">
        <v>1709</v>
      </c>
    </row>
    <row r="470" spans="1:7">
      <c r="A470" s="9" t="s">
        <v>1711</v>
      </c>
      <c r="B470" s="9">
        <v>0.2</v>
      </c>
      <c r="C470" s="10">
        <v>-0.14599999999999999</v>
      </c>
      <c r="D470" s="9" t="s">
        <v>1709</v>
      </c>
      <c r="E470" s="11" t="s">
        <v>1710</v>
      </c>
      <c r="F470" s="12" t="s">
        <v>1710</v>
      </c>
      <c r="G470" s="9" t="s">
        <v>1709</v>
      </c>
    </row>
    <row r="471" spans="1:7">
      <c r="A471" s="9" t="s">
        <v>1711</v>
      </c>
      <c r="B471" s="9">
        <v>0.2</v>
      </c>
      <c r="C471" s="10">
        <v>2.7479999999999998</v>
      </c>
      <c r="D471" s="9" t="s">
        <v>1712</v>
      </c>
      <c r="E471" s="11" t="s">
        <v>1736</v>
      </c>
      <c r="F471" s="12" t="s">
        <v>1714</v>
      </c>
      <c r="G471" s="9" t="s">
        <v>1709</v>
      </c>
    </row>
    <row r="472" spans="1:7">
      <c r="A472" s="9" t="s">
        <v>1711</v>
      </c>
      <c r="B472" s="9">
        <v>0.2</v>
      </c>
      <c r="C472" s="10">
        <v>2.7479999999999998</v>
      </c>
      <c r="D472" s="9" t="s">
        <v>1712</v>
      </c>
      <c r="E472" s="11" t="s">
        <v>1736</v>
      </c>
      <c r="F472" s="12" t="s">
        <v>1714</v>
      </c>
      <c r="G472" s="9" t="s">
        <v>1709</v>
      </c>
    </row>
    <row r="473" spans="1:7">
      <c r="A473" s="9" t="s">
        <v>1711</v>
      </c>
      <c r="B473" s="9">
        <v>0.2</v>
      </c>
      <c r="C473" s="10">
        <v>-9.2999999999999999E-2</v>
      </c>
      <c r="D473" s="9" t="s">
        <v>1709</v>
      </c>
      <c r="E473" s="11" t="s">
        <v>1710</v>
      </c>
      <c r="F473" s="12" t="s">
        <v>1710</v>
      </c>
      <c r="G473" s="9" t="s">
        <v>1709</v>
      </c>
    </row>
    <row r="474" spans="1:7">
      <c r="A474" s="9" t="s">
        <v>1711</v>
      </c>
      <c r="B474" s="13">
        <v>0.2</v>
      </c>
      <c r="C474" s="10">
        <v>1.847</v>
      </c>
      <c r="D474" s="9" t="s">
        <v>1712</v>
      </c>
      <c r="E474" s="11" t="s">
        <v>1715</v>
      </c>
      <c r="F474" s="12" t="s">
        <v>1714</v>
      </c>
      <c r="G474" s="9" t="s">
        <v>1709</v>
      </c>
    </row>
    <row r="475" spans="1:7">
      <c r="A475" s="9" t="s">
        <v>1711</v>
      </c>
      <c r="B475" s="13">
        <v>0.2</v>
      </c>
      <c r="C475" s="10">
        <v>0.20899999999999999</v>
      </c>
      <c r="D475" s="9" t="s">
        <v>1712</v>
      </c>
      <c r="E475" s="11" t="s">
        <v>1715</v>
      </c>
      <c r="F475" s="12" t="s">
        <v>1714</v>
      </c>
      <c r="G475" s="9" t="s">
        <v>1709</v>
      </c>
    </row>
    <row r="476" spans="1:7">
      <c r="A476" s="9" t="s">
        <v>1711</v>
      </c>
      <c r="B476" s="13">
        <v>0.2</v>
      </c>
      <c r="C476" s="10">
        <v>2.8279999999999998</v>
      </c>
      <c r="D476" s="9" t="s">
        <v>1712</v>
      </c>
      <c r="E476" s="11" t="s">
        <v>1715</v>
      </c>
      <c r="F476" s="12" t="s">
        <v>1714</v>
      </c>
      <c r="G476" s="9" t="s">
        <v>1709</v>
      </c>
    </row>
    <row r="477" spans="1:7">
      <c r="A477" s="9" t="s">
        <v>1711</v>
      </c>
      <c r="B477" s="9">
        <v>0.2</v>
      </c>
      <c r="C477" s="10">
        <v>-9.4E-2</v>
      </c>
      <c r="D477" s="9" t="s">
        <v>1709</v>
      </c>
      <c r="E477" s="11" t="s">
        <v>1710</v>
      </c>
      <c r="F477" s="12" t="s">
        <v>1710</v>
      </c>
      <c r="G477" s="9" t="s">
        <v>1709</v>
      </c>
    </row>
    <row r="478" spans="1:7">
      <c r="A478" s="9" t="s">
        <v>1711</v>
      </c>
      <c r="B478" s="13">
        <v>0.2</v>
      </c>
      <c r="C478" s="10">
        <v>-9.1999999999999998E-2</v>
      </c>
      <c r="D478" s="9" t="s">
        <v>1709</v>
      </c>
      <c r="E478" s="11" t="s">
        <v>1710</v>
      </c>
      <c r="F478" s="12" t="s">
        <v>1710</v>
      </c>
      <c r="G478" s="9" t="s">
        <v>1709</v>
      </c>
    </row>
    <row r="479" spans="1:7">
      <c r="A479" s="9" t="s">
        <v>1711</v>
      </c>
      <c r="B479" s="9">
        <v>0.2</v>
      </c>
      <c r="C479" s="10">
        <v>-9.1999999999999998E-2</v>
      </c>
      <c r="D479" s="9" t="s">
        <v>1709</v>
      </c>
      <c r="E479" s="11" t="s">
        <v>1710</v>
      </c>
      <c r="F479" s="12" t="s">
        <v>1710</v>
      </c>
      <c r="G479" s="9" t="s">
        <v>1709</v>
      </c>
    </row>
    <row r="480" spans="1:7">
      <c r="A480" s="9" t="s">
        <v>1711</v>
      </c>
      <c r="B480" s="9">
        <v>0.2</v>
      </c>
      <c r="C480" s="10">
        <v>-9.1999999999999998E-2</v>
      </c>
      <c r="D480" s="9" t="s">
        <v>1709</v>
      </c>
      <c r="E480" s="11" t="s">
        <v>1710</v>
      </c>
      <c r="F480" s="12" t="s">
        <v>1710</v>
      </c>
      <c r="G480" s="9" t="s">
        <v>1709</v>
      </c>
    </row>
    <row r="481" spans="1:7">
      <c r="A481" s="9" t="s">
        <v>1711</v>
      </c>
      <c r="B481" s="9">
        <v>0.2</v>
      </c>
      <c r="C481" s="10">
        <v>-9.1999999999999998E-2</v>
      </c>
      <c r="D481" s="9" t="s">
        <v>1709</v>
      </c>
      <c r="E481" s="11" t="s">
        <v>1710</v>
      </c>
      <c r="F481" s="12" t="s">
        <v>1710</v>
      </c>
      <c r="G481" s="9" t="s">
        <v>1709</v>
      </c>
    </row>
    <row r="482" spans="1:7">
      <c r="A482" s="9" t="s">
        <v>1711</v>
      </c>
      <c r="B482" s="9">
        <v>0.2</v>
      </c>
      <c r="C482" s="10">
        <v>-9.1999999999999998E-2</v>
      </c>
      <c r="D482" s="9" t="s">
        <v>1709</v>
      </c>
      <c r="E482" s="11" t="s">
        <v>1710</v>
      </c>
      <c r="F482" s="12" t="s">
        <v>1710</v>
      </c>
      <c r="G482" s="9" t="s">
        <v>1709</v>
      </c>
    </row>
    <row r="483" spans="1:7">
      <c r="A483" s="9" t="s">
        <v>1711</v>
      </c>
      <c r="B483" s="13">
        <v>0.2</v>
      </c>
      <c r="C483" s="10">
        <v>-9.1999999999999998E-2</v>
      </c>
      <c r="D483" s="9" t="s">
        <v>1709</v>
      </c>
      <c r="E483" s="11" t="s">
        <v>1710</v>
      </c>
      <c r="F483" s="12" t="s">
        <v>1710</v>
      </c>
      <c r="G483" s="9" t="s">
        <v>1709</v>
      </c>
    </row>
    <row r="484" spans="1:7">
      <c r="A484" s="9" t="s">
        <v>1711</v>
      </c>
      <c r="B484" s="13">
        <v>0.2</v>
      </c>
      <c r="C484" s="10">
        <v>1.2549999999999999</v>
      </c>
      <c r="D484" s="9" t="s">
        <v>1712</v>
      </c>
      <c r="E484" s="11" t="s">
        <v>1736</v>
      </c>
      <c r="F484" s="12" t="s">
        <v>1714</v>
      </c>
      <c r="G484" s="9" t="s">
        <v>1709</v>
      </c>
    </row>
    <row r="485" spans="1:7">
      <c r="A485" s="9" t="s">
        <v>1711</v>
      </c>
      <c r="B485" s="13">
        <v>0.2</v>
      </c>
      <c r="C485" s="10">
        <v>2.7479999999999998</v>
      </c>
      <c r="D485" s="9" t="s">
        <v>1712</v>
      </c>
      <c r="E485" s="11" t="s">
        <v>1736</v>
      </c>
      <c r="F485" s="12" t="s">
        <v>1714</v>
      </c>
      <c r="G485" s="9" t="s">
        <v>1709</v>
      </c>
    </row>
    <row r="486" spans="1:7">
      <c r="A486" s="9" t="s">
        <v>1711</v>
      </c>
      <c r="B486" s="13">
        <v>0.2</v>
      </c>
      <c r="C486" s="10">
        <v>-7.2999999999999995E-2</v>
      </c>
      <c r="D486" s="9" t="s">
        <v>1709</v>
      </c>
      <c r="E486" s="11" t="s">
        <v>1710</v>
      </c>
      <c r="F486" s="12" t="s">
        <v>1710</v>
      </c>
      <c r="G486" s="9" t="s">
        <v>1709</v>
      </c>
    </row>
    <row r="487" spans="1:7">
      <c r="A487" s="9" t="s">
        <v>1711</v>
      </c>
      <c r="B487" s="13">
        <v>0.2</v>
      </c>
      <c r="C487" s="10">
        <v>-7.2999999999999995E-2</v>
      </c>
      <c r="D487" s="9" t="s">
        <v>1709</v>
      </c>
      <c r="E487" s="11" t="s">
        <v>1710</v>
      </c>
      <c r="F487" s="12" t="s">
        <v>1710</v>
      </c>
      <c r="G487" s="9" t="s">
        <v>1709</v>
      </c>
    </row>
    <row r="488" spans="1:7">
      <c r="A488" s="9" t="s">
        <v>1711</v>
      </c>
      <c r="B488" s="13">
        <v>0.2</v>
      </c>
      <c r="C488" s="10">
        <v>-7.2999999999999995E-2</v>
      </c>
      <c r="D488" s="9" t="s">
        <v>1709</v>
      </c>
      <c r="E488" s="11" t="s">
        <v>1710</v>
      </c>
      <c r="F488" s="12" t="s">
        <v>1710</v>
      </c>
      <c r="G488" s="9" t="s">
        <v>1709</v>
      </c>
    </row>
    <row r="489" spans="1:7">
      <c r="A489" s="9" t="s">
        <v>1711</v>
      </c>
      <c r="B489" s="13">
        <v>0.2</v>
      </c>
      <c r="C489" s="10">
        <v>3.0000000000000001E-3</v>
      </c>
      <c r="D489" s="9" t="s">
        <v>1712</v>
      </c>
      <c r="E489" s="11" t="s">
        <v>1736</v>
      </c>
      <c r="F489" s="12" t="s">
        <v>1714</v>
      </c>
      <c r="G489" s="9" t="s">
        <v>1709</v>
      </c>
    </row>
    <row r="490" spans="1:7">
      <c r="A490" s="9" t="s">
        <v>1711</v>
      </c>
      <c r="B490" s="13">
        <v>0.2</v>
      </c>
      <c r="C490" s="10">
        <v>0.78200000000000003</v>
      </c>
      <c r="D490" s="9" t="s">
        <v>1712</v>
      </c>
      <c r="E490" s="11" t="s">
        <v>1736</v>
      </c>
      <c r="F490" s="12" t="s">
        <v>1714</v>
      </c>
      <c r="G490" s="9" t="s">
        <v>1709</v>
      </c>
    </row>
    <row r="491" spans="1:7">
      <c r="A491" s="9" t="s">
        <v>1711</v>
      </c>
      <c r="B491" s="13">
        <v>0.2</v>
      </c>
      <c r="C491" s="10">
        <v>0.187</v>
      </c>
      <c r="D491" s="9" t="s">
        <v>1712</v>
      </c>
      <c r="E491" s="11" t="s">
        <v>1736</v>
      </c>
      <c r="F491" s="12" t="s">
        <v>1714</v>
      </c>
      <c r="G491" s="9" t="s">
        <v>1709</v>
      </c>
    </row>
    <row r="492" spans="1:7">
      <c r="A492" s="9" t="s">
        <v>1711</v>
      </c>
      <c r="B492" s="13">
        <v>0.2</v>
      </c>
      <c r="C492" s="10">
        <v>-6.4000000000000001E-2</v>
      </c>
      <c r="D492" s="9" t="s">
        <v>1709</v>
      </c>
      <c r="E492" s="11" t="s">
        <v>1710</v>
      </c>
      <c r="F492" s="12" t="s">
        <v>1710</v>
      </c>
      <c r="G492" s="9" t="s">
        <v>1709</v>
      </c>
    </row>
    <row r="493" spans="1:7">
      <c r="A493" s="9" t="s">
        <v>1711</v>
      </c>
      <c r="B493" s="13">
        <v>0.2</v>
      </c>
      <c r="C493" s="10">
        <v>1.8059999999999998</v>
      </c>
      <c r="D493" s="9" t="s">
        <v>1712</v>
      </c>
      <c r="E493" s="11" t="s">
        <v>1713</v>
      </c>
      <c r="F493" s="12" t="s">
        <v>1714</v>
      </c>
      <c r="G493" s="9" t="s">
        <v>1709</v>
      </c>
    </row>
    <row r="494" spans="1:7">
      <c r="A494" s="9" t="s">
        <v>1711</v>
      </c>
      <c r="B494" s="13">
        <v>0.2</v>
      </c>
      <c r="C494" s="10">
        <v>-2.3E-2</v>
      </c>
      <c r="D494" s="9" t="s">
        <v>1709</v>
      </c>
      <c r="E494" s="11" t="s">
        <v>1710</v>
      </c>
      <c r="F494" s="12" t="s">
        <v>1710</v>
      </c>
      <c r="G494" s="9" t="s">
        <v>1709</v>
      </c>
    </row>
    <row r="495" spans="1:7">
      <c r="A495" s="9" t="s">
        <v>1711</v>
      </c>
      <c r="B495" s="13">
        <v>0.2</v>
      </c>
      <c r="C495" s="10">
        <v>1.2549999999999999</v>
      </c>
      <c r="D495" s="9" t="s">
        <v>1712</v>
      </c>
      <c r="E495" s="11" t="s">
        <v>1736</v>
      </c>
      <c r="F495" s="12" t="s">
        <v>1714</v>
      </c>
      <c r="G495" s="9" t="s">
        <v>1709</v>
      </c>
    </row>
    <row r="496" spans="1:7">
      <c r="A496" s="9" t="s">
        <v>1711</v>
      </c>
      <c r="B496" s="9">
        <v>0.2</v>
      </c>
      <c r="C496" s="10">
        <v>1.2549999999999999</v>
      </c>
      <c r="D496" s="9" t="s">
        <v>1712</v>
      </c>
      <c r="E496" s="11" t="s">
        <v>1736</v>
      </c>
      <c r="F496" s="12" t="s">
        <v>1714</v>
      </c>
      <c r="G496" s="9" t="s">
        <v>1709</v>
      </c>
    </row>
    <row r="497" spans="1:7">
      <c r="A497" s="9" t="s">
        <v>1711</v>
      </c>
      <c r="B497" s="9">
        <v>0.2</v>
      </c>
      <c r="C497" s="10">
        <v>2.7479999999999998</v>
      </c>
      <c r="D497" s="9" t="s">
        <v>1712</v>
      </c>
      <c r="E497" s="11" t="s">
        <v>1736</v>
      </c>
      <c r="F497" s="12" t="s">
        <v>1714</v>
      </c>
      <c r="G497" s="9" t="s">
        <v>1709</v>
      </c>
    </row>
    <row r="498" spans="1:7">
      <c r="A498" s="9" t="s">
        <v>1711</v>
      </c>
      <c r="B498" s="13">
        <v>0.2</v>
      </c>
      <c r="C498" s="10">
        <v>2.7479999999999998</v>
      </c>
      <c r="D498" s="9" t="s">
        <v>1712</v>
      </c>
      <c r="E498" s="11" t="s">
        <v>1736</v>
      </c>
      <c r="F498" s="12" t="s">
        <v>1714</v>
      </c>
      <c r="G498" s="9" t="s">
        <v>1709</v>
      </c>
    </row>
    <row r="499" spans="1:7">
      <c r="A499" s="9" t="s">
        <v>1711</v>
      </c>
      <c r="B499" s="13">
        <v>0.2</v>
      </c>
      <c r="C499" s="10">
        <v>2.7479999999999998</v>
      </c>
      <c r="D499" s="9" t="s">
        <v>1712</v>
      </c>
      <c r="E499" s="11" t="s">
        <v>1736</v>
      </c>
      <c r="F499" s="12" t="s">
        <v>1714</v>
      </c>
      <c r="G499" s="9" t="s">
        <v>1709</v>
      </c>
    </row>
    <row r="500" spans="1:7">
      <c r="A500" s="9" t="s">
        <v>1711</v>
      </c>
      <c r="B500" s="13">
        <v>0.2</v>
      </c>
      <c r="C500" s="10">
        <v>2.7479999999999998</v>
      </c>
      <c r="D500" s="9" t="s">
        <v>1712</v>
      </c>
      <c r="E500" s="11" t="s">
        <v>1736</v>
      </c>
      <c r="F500" s="12" t="s">
        <v>1714</v>
      </c>
      <c r="G500" s="9" t="s">
        <v>1709</v>
      </c>
    </row>
    <row r="501" spans="1:7">
      <c r="A501" s="9" t="s">
        <v>1711</v>
      </c>
      <c r="B501" s="9">
        <v>0.2</v>
      </c>
      <c r="C501" s="10">
        <v>2.7479999999999998</v>
      </c>
      <c r="D501" s="9" t="s">
        <v>1712</v>
      </c>
      <c r="E501" s="11" t="s">
        <v>1736</v>
      </c>
      <c r="F501" s="12" t="s">
        <v>1714</v>
      </c>
      <c r="G501" s="9" t="s">
        <v>1709</v>
      </c>
    </row>
    <row r="502" spans="1:7">
      <c r="A502" s="9" t="s">
        <v>1711</v>
      </c>
      <c r="B502" s="13">
        <v>0.2</v>
      </c>
      <c r="C502" s="10">
        <v>2.7479999999999998</v>
      </c>
      <c r="D502" s="9" t="s">
        <v>1712</v>
      </c>
      <c r="E502" s="11" t="s">
        <v>1736</v>
      </c>
      <c r="F502" s="12" t="s">
        <v>1714</v>
      </c>
      <c r="G502" s="9" t="s">
        <v>1709</v>
      </c>
    </row>
    <row r="503" spans="1:7">
      <c r="A503" s="9" t="s">
        <v>1711</v>
      </c>
      <c r="B503" s="13">
        <v>0.2</v>
      </c>
      <c r="C503" s="10">
        <v>-5.9000000000000004E-2</v>
      </c>
      <c r="D503" s="9" t="s">
        <v>1709</v>
      </c>
      <c r="E503" s="11" t="s">
        <v>1710</v>
      </c>
      <c r="F503" s="12" t="s">
        <v>1710</v>
      </c>
      <c r="G503" s="9" t="s">
        <v>1709</v>
      </c>
    </row>
    <row r="504" spans="1:7">
      <c r="A504" s="9" t="s">
        <v>1711</v>
      </c>
      <c r="B504" s="13">
        <v>0.2</v>
      </c>
      <c r="C504" s="10">
        <v>1.4999999999999999E-2</v>
      </c>
      <c r="D504" s="9" t="s">
        <v>1712</v>
      </c>
      <c r="E504" s="11" t="s">
        <v>1742</v>
      </c>
      <c r="F504" s="12" t="s">
        <v>1714</v>
      </c>
      <c r="G504" s="9" t="s">
        <v>1709</v>
      </c>
    </row>
    <row r="505" spans="1:7">
      <c r="A505" s="9" t="s">
        <v>1711</v>
      </c>
      <c r="B505" s="13">
        <v>0.2</v>
      </c>
      <c r="C505" s="10">
        <v>2.7479999999999998</v>
      </c>
      <c r="D505" s="9" t="s">
        <v>1712</v>
      </c>
      <c r="E505" s="11" t="s">
        <v>1736</v>
      </c>
      <c r="F505" s="12" t="s">
        <v>1714</v>
      </c>
      <c r="G505" s="9" t="s">
        <v>1709</v>
      </c>
    </row>
    <row r="506" spans="1:7">
      <c r="A506" s="9" t="s">
        <v>1711</v>
      </c>
      <c r="B506" s="13">
        <v>0.2</v>
      </c>
      <c r="C506" s="10">
        <v>2.7479999999999998</v>
      </c>
      <c r="D506" s="9" t="s">
        <v>1712</v>
      </c>
      <c r="E506" s="11" t="s">
        <v>1736</v>
      </c>
      <c r="F506" s="12" t="s">
        <v>1714</v>
      </c>
      <c r="G506" s="9" t="s">
        <v>1709</v>
      </c>
    </row>
    <row r="507" spans="1:7">
      <c r="A507" s="9" t="s">
        <v>1711</v>
      </c>
      <c r="B507" s="13">
        <v>0.2</v>
      </c>
      <c r="C507" s="10">
        <v>2.7479999999999998</v>
      </c>
      <c r="D507" s="9" t="s">
        <v>1712</v>
      </c>
      <c r="E507" s="11" t="s">
        <v>1736</v>
      </c>
      <c r="F507" s="12" t="s">
        <v>1714</v>
      </c>
      <c r="G507" s="9" t="s">
        <v>1709</v>
      </c>
    </row>
    <row r="508" spans="1:7">
      <c r="A508" s="9" t="s">
        <v>1711</v>
      </c>
      <c r="B508" s="13">
        <v>0.2</v>
      </c>
      <c r="C508" s="10">
        <v>0.93500000000000005</v>
      </c>
      <c r="D508" s="9" t="s">
        <v>1712</v>
      </c>
      <c r="E508" s="11" t="s">
        <v>1742</v>
      </c>
      <c r="F508" s="12" t="s">
        <v>1714</v>
      </c>
      <c r="G508" s="9" t="s">
        <v>1709</v>
      </c>
    </row>
    <row r="509" spans="1:7">
      <c r="A509" s="9" t="s">
        <v>1711</v>
      </c>
      <c r="B509" s="13">
        <v>0.2</v>
      </c>
      <c r="C509" s="10">
        <v>1.2549999999999999</v>
      </c>
      <c r="D509" s="9" t="s">
        <v>1712</v>
      </c>
      <c r="E509" s="11" t="s">
        <v>1736</v>
      </c>
      <c r="F509" s="12" t="s">
        <v>1714</v>
      </c>
      <c r="G509" s="9" t="s">
        <v>1709</v>
      </c>
    </row>
    <row r="510" spans="1:7">
      <c r="A510" s="9" t="s">
        <v>1711</v>
      </c>
      <c r="B510" s="13">
        <v>0.2</v>
      </c>
      <c r="C510" s="10">
        <v>2.7479999999999998</v>
      </c>
      <c r="D510" s="9" t="s">
        <v>1712</v>
      </c>
      <c r="E510" s="11" t="s">
        <v>1715</v>
      </c>
      <c r="F510" s="12" t="s">
        <v>1714</v>
      </c>
      <c r="G510" s="9" t="s">
        <v>1709</v>
      </c>
    </row>
    <row r="511" spans="1:7">
      <c r="A511" s="9" t="s">
        <v>1711</v>
      </c>
      <c r="B511" s="13">
        <v>0.2</v>
      </c>
      <c r="C511" s="10">
        <v>1.1819999999999999</v>
      </c>
      <c r="D511" s="9" t="s">
        <v>1712</v>
      </c>
      <c r="E511" s="11" t="s">
        <v>1736</v>
      </c>
      <c r="F511" s="12" t="s">
        <v>1714</v>
      </c>
      <c r="G511" s="9" t="s">
        <v>1709</v>
      </c>
    </row>
    <row r="512" spans="1:7">
      <c r="A512" s="9" t="s">
        <v>1711</v>
      </c>
      <c r="B512" s="13">
        <v>0.2</v>
      </c>
      <c r="C512" s="10">
        <v>1.2549999999999999</v>
      </c>
      <c r="D512" s="9" t="s">
        <v>1712</v>
      </c>
      <c r="E512" s="11" t="s">
        <v>1715</v>
      </c>
      <c r="F512" s="12" t="s">
        <v>1714</v>
      </c>
      <c r="G512" s="9" t="s">
        <v>1709</v>
      </c>
    </row>
    <row r="513" spans="1:7">
      <c r="A513" s="9" t="s">
        <v>1711</v>
      </c>
      <c r="B513" s="13">
        <v>0.2</v>
      </c>
      <c r="C513" s="10">
        <v>0.187</v>
      </c>
      <c r="D513" s="9" t="s">
        <v>1712</v>
      </c>
      <c r="E513" s="11" t="s">
        <v>1736</v>
      </c>
      <c r="F513" s="12" t="s">
        <v>1714</v>
      </c>
      <c r="G513" s="9" t="s">
        <v>1709</v>
      </c>
    </row>
    <row r="514" spans="1:7">
      <c r="A514" s="9" t="s">
        <v>1711</v>
      </c>
      <c r="B514" s="13">
        <v>0.2</v>
      </c>
      <c r="C514" s="10">
        <v>2.7479999999999998</v>
      </c>
      <c r="D514" s="9" t="s">
        <v>1712</v>
      </c>
      <c r="E514" s="11" t="s">
        <v>1736</v>
      </c>
      <c r="F514" s="12" t="s">
        <v>1714</v>
      </c>
      <c r="G514" s="9" t="s">
        <v>1709</v>
      </c>
    </row>
    <row r="515" spans="1:7">
      <c r="A515" s="9" t="s">
        <v>1711</v>
      </c>
      <c r="B515" s="13">
        <v>0.2</v>
      </c>
      <c r="C515" s="10">
        <v>2.7479999999999998</v>
      </c>
      <c r="D515" s="9" t="s">
        <v>1712</v>
      </c>
      <c r="E515" s="11" t="s">
        <v>1736</v>
      </c>
      <c r="F515" s="12" t="s">
        <v>1714</v>
      </c>
      <c r="G515" s="9" t="s">
        <v>1709</v>
      </c>
    </row>
    <row r="516" spans="1:7">
      <c r="A516" s="9" t="s">
        <v>1711</v>
      </c>
      <c r="B516" s="13">
        <v>0.2</v>
      </c>
      <c r="C516" s="10">
        <v>0.93800000000000006</v>
      </c>
      <c r="D516" s="9" t="s">
        <v>1712</v>
      </c>
      <c r="E516" s="11" t="s">
        <v>1736</v>
      </c>
      <c r="F516" s="12" t="s">
        <v>1714</v>
      </c>
      <c r="G516" s="9" t="s">
        <v>1709</v>
      </c>
    </row>
    <row r="517" spans="1:7">
      <c r="A517" s="9" t="s">
        <v>1711</v>
      </c>
      <c r="B517" s="13">
        <v>0.2</v>
      </c>
      <c r="C517" s="10">
        <v>0.93800000000000006</v>
      </c>
      <c r="D517" s="9" t="s">
        <v>1712</v>
      </c>
      <c r="E517" s="11" t="s">
        <v>1736</v>
      </c>
      <c r="F517" s="12" t="s">
        <v>1714</v>
      </c>
      <c r="G517" s="9" t="s">
        <v>1709</v>
      </c>
    </row>
    <row r="518" spans="1:7">
      <c r="A518" s="9" t="s">
        <v>1711</v>
      </c>
      <c r="B518" s="13">
        <v>0.2</v>
      </c>
      <c r="C518" s="10">
        <v>0.93800000000000006</v>
      </c>
      <c r="D518" s="9" t="s">
        <v>1712</v>
      </c>
      <c r="E518" s="11" t="s">
        <v>1736</v>
      </c>
      <c r="F518" s="12" t="s">
        <v>1714</v>
      </c>
      <c r="G518" s="9" t="s">
        <v>1709</v>
      </c>
    </row>
    <row r="519" spans="1:7">
      <c r="A519" s="9" t="s">
        <v>1711</v>
      </c>
      <c r="B519" s="13">
        <v>0.2</v>
      </c>
      <c r="C519" s="10">
        <v>0.93500000000000005</v>
      </c>
      <c r="D519" s="9" t="s">
        <v>1712</v>
      </c>
      <c r="E519" s="11" t="s">
        <v>1736</v>
      </c>
      <c r="F519" s="12" t="s">
        <v>1714</v>
      </c>
      <c r="G519" s="9" t="s">
        <v>1709</v>
      </c>
    </row>
    <row r="520" spans="1:7">
      <c r="A520" s="9" t="s">
        <v>1711</v>
      </c>
      <c r="B520" s="9">
        <v>0.2</v>
      </c>
      <c r="C520" s="10">
        <v>0.93500000000000005</v>
      </c>
      <c r="D520" s="9" t="s">
        <v>1712</v>
      </c>
      <c r="E520" s="11" t="s">
        <v>1736</v>
      </c>
      <c r="F520" s="12" t="s">
        <v>1714</v>
      </c>
      <c r="G520" s="9" t="s">
        <v>1709</v>
      </c>
    </row>
    <row r="521" spans="1:7">
      <c r="A521" s="9" t="s">
        <v>1711</v>
      </c>
      <c r="B521" s="9">
        <v>0.2</v>
      </c>
      <c r="C521" s="10">
        <v>0.93500000000000005</v>
      </c>
      <c r="D521" s="9" t="s">
        <v>1712</v>
      </c>
      <c r="E521" s="11" t="s">
        <v>1736</v>
      </c>
      <c r="F521" s="12" t="s">
        <v>1714</v>
      </c>
      <c r="G521" s="9" t="s">
        <v>1709</v>
      </c>
    </row>
    <row r="522" spans="1:7">
      <c r="A522" s="9" t="s">
        <v>1711</v>
      </c>
      <c r="B522" s="9">
        <v>0.2</v>
      </c>
      <c r="C522" s="10">
        <v>0.93500000000000005</v>
      </c>
      <c r="D522" s="9" t="s">
        <v>1712</v>
      </c>
      <c r="E522" s="11" t="s">
        <v>1736</v>
      </c>
      <c r="F522" s="12" t="s">
        <v>1714</v>
      </c>
      <c r="G522" s="9" t="s">
        <v>1709</v>
      </c>
    </row>
    <row r="523" spans="1:7">
      <c r="A523" s="9" t="s">
        <v>1711</v>
      </c>
      <c r="B523" s="9">
        <v>0.2</v>
      </c>
      <c r="C523" s="10">
        <v>0.93500000000000005</v>
      </c>
      <c r="D523" s="9" t="s">
        <v>1712</v>
      </c>
      <c r="E523" s="11" t="s">
        <v>1736</v>
      </c>
      <c r="F523" s="12" t="s">
        <v>1714</v>
      </c>
      <c r="G523" s="9" t="s">
        <v>1709</v>
      </c>
    </row>
    <row r="524" spans="1:7">
      <c r="A524" s="9" t="s">
        <v>1711</v>
      </c>
      <c r="B524" s="9">
        <v>0.2</v>
      </c>
      <c r="C524" s="10">
        <v>0.93500000000000005</v>
      </c>
      <c r="D524" s="9" t="s">
        <v>1712</v>
      </c>
      <c r="E524" s="11" t="s">
        <v>1736</v>
      </c>
      <c r="F524" s="12" t="s">
        <v>1714</v>
      </c>
      <c r="G524" s="9" t="s">
        <v>1709</v>
      </c>
    </row>
    <row r="525" spans="1:7">
      <c r="A525" s="9" t="s">
        <v>1711</v>
      </c>
      <c r="B525" s="9">
        <v>0.2</v>
      </c>
      <c r="C525" s="10">
        <v>0.93500000000000005</v>
      </c>
      <c r="D525" s="9" t="s">
        <v>1712</v>
      </c>
      <c r="E525" s="11" t="s">
        <v>1736</v>
      </c>
      <c r="F525" s="12" t="s">
        <v>1714</v>
      </c>
      <c r="G525" s="9" t="s">
        <v>1709</v>
      </c>
    </row>
    <row r="526" spans="1:7">
      <c r="A526" s="9" t="s">
        <v>1711</v>
      </c>
      <c r="B526" s="9">
        <v>0.2</v>
      </c>
      <c r="C526" s="10">
        <v>0.93500000000000005</v>
      </c>
      <c r="D526" s="9" t="s">
        <v>1712</v>
      </c>
      <c r="E526" s="11" t="s">
        <v>1736</v>
      </c>
      <c r="F526" s="12" t="s">
        <v>1714</v>
      </c>
      <c r="G526" s="9" t="s">
        <v>1709</v>
      </c>
    </row>
    <row r="527" spans="1:7">
      <c r="A527" s="9" t="s">
        <v>1711</v>
      </c>
      <c r="B527" s="9">
        <v>0.2</v>
      </c>
      <c r="C527" s="10">
        <v>0.93500000000000005</v>
      </c>
      <c r="D527" s="9" t="s">
        <v>1712</v>
      </c>
      <c r="E527" s="11" t="s">
        <v>1736</v>
      </c>
      <c r="F527" s="12" t="s">
        <v>1714</v>
      </c>
      <c r="G527" s="9" t="s">
        <v>1709</v>
      </c>
    </row>
    <row r="528" spans="1:7">
      <c r="A528" s="9" t="s">
        <v>1711</v>
      </c>
      <c r="B528" s="13">
        <v>0.2</v>
      </c>
      <c r="C528" s="10">
        <v>1.1599999999999999</v>
      </c>
      <c r="D528" s="9" t="s">
        <v>1712</v>
      </c>
      <c r="E528" s="11" t="s">
        <v>1736</v>
      </c>
      <c r="F528" s="12" t="s">
        <v>1714</v>
      </c>
      <c r="G528" s="9" t="s">
        <v>1709</v>
      </c>
    </row>
    <row r="529" spans="1:7">
      <c r="A529" s="9" t="s">
        <v>1711</v>
      </c>
      <c r="B529" s="13">
        <v>0.2</v>
      </c>
      <c r="C529" s="10">
        <v>0.157</v>
      </c>
      <c r="D529" s="9" t="s">
        <v>1712</v>
      </c>
      <c r="E529" s="11" t="s">
        <v>1736</v>
      </c>
      <c r="F529" s="12" t="s">
        <v>1714</v>
      </c>
      <c r="G529" s="9" t="s">
        <v>1709</v>
      </c>
    </row>
    <row r="530" spans="1:7">
      <c r="A530" s="9" t="s">
        <v>1711</v>
      </c>
      <c r="B530" s="13">
        <v>0.2</v>
      </c>
      <c r="C530" s="10">
        <v>2.3279999999999998</v>
      </c>
      <c r="D530" s="9" t="s">
        <v>1712</v>
      </c>
      <c r="E530" s="11" t="s">
        <v>1736</v>
      </c>
      <c r="F530" s="12" t="s">
        <v>1714</v>
      </c>
      <c r="G530" s="9" t="s">
        <v>1709</v>
      </c>
    </row>
    <row r="531" spans="1:7">
      <c r="A531" s="9" t="s">
        <v>1711</v>
      </c>
      <c r="B531" s="9">
        <v>0.2</v>
      </c>
      <c r="C531" s="10">
        <v>2.3279999999999998</v>
      </c>
      <c r="D531" s="9" t="s">
        <v>1712</v>
      </c>
      <c r="E531" s="11" t="s">
        <v>1736</v>
      </c>
      <c r="F531" s="12" t="s">
        <v>1714</v>
      </c>
      <c r="G531" s="9" t="s">
        <v>1709</v>
      </c>
    </row>
    <row r="532" spans="1:7">
      <c r="A532" s="9" t="s">
        <v>1711</v>
      </c>
      <c r="B532" s="9">
        <v>0.2</v>
      </c>
      <c r="C532" s="10">
        <v>-7.1000000000000008E-2</v>
      </c>
      <c r="D532" s="9" t="s">
        <v>1709</v>
      </c>
      <c r="E532" s="11" t="s">
        <v>1710</v>
      </c>
      <c r="F532" s="12" t="s">
        <v>1710</v>
      </c>
      <c r="G532" s="9" t="s">
        <v>1709</v>
      </c>
    </row>
    <row r="533" spans="1:7">
      <c r="A533" s="9" t="s">
        <v>1711</v>
      </c>
      <c r="B533" s="9">
        <v>0.2</v>
      </c>
      <c r="C533" s="10">
        <v>-4.2000000000000003E-2</v>
      </c>
      <c r="D533" s="9" t="s">
        <v>1709</v>
      </c>
      <c r="E533" s="11" t="s">
        <v>1710</v>
      </c>
      <c r="F533" s="12" t="s">
        <v>1710</v>
      </c>
      <c r="G533" s="9" t="s">
        <v>1709</v>
      </c>
    </row>
    <row r="534" spans="1:7">
      <c r="A534" s="9" t="s">
        <v>1711</v>
      </c>
      <c r="B534" s="13">
        <v>0.2</v>
      </c>
      <c r="C534" s="10">
        <v>1.2549999999999999</v>
      </c>
      <c r="D534" s="9" t="s">
        <v>1712</v>
      </c>
      <c r="E534" s="11" t="s">
        <v>1736</v>
      </c>
      <c r="F534" s="12" t="s">
        <v>1714</v>
      </c>
      <c r="G534" s="9" t="s">
        <v>1709</v>
      </c>
    </row>
    <row r="535" spans="1:7">
      <c r="A535" s="9" t="s">
        <v>1711</v>
      </c>
      <c r="B535" s="9">
        <v>0.2</v>
      </c>
      <c r="C535" s="10">
        <v>2.7479999999999998</v>
      </c>
      <c r="D535" s="9" t="s">
        <v>1712</v>
      </c>
      <c r="E535" s="11" t="s">
        <v>1736</v>
      </c>
      <c r="F535" s="12" t="s">
        <v>1714</v>
      </c>
      <c r="G535" s="9" t="s">
        <v>1709</v>
      </c>
    </row>
    <row r="536" spans="1:7">
      <c r="A536" s="9" t="s">
        <v>1711</v>
      </c>
      <c r="B536" s="13">
        <v>0.2</v>
      </c>
      <c r="C536" s="10">
        <v>2.7479999999999998</v>
      </c>
      <c r="D536" s="9" t="s">
        <v>1712</v>
      </c>
      <c r="E536" s="11" t="s">
        <v>1736</v>
      </c>
      <c r="F536" s="12" t="s">
        <v>1714</v>
      </c>
      <c r="G536" s="9" t="s">
        <v>1709</v>
      </c>
    </row>
    <row r="537" spans="1:7">
      <c r="A537" s="9" t="s">
        <v>1711</v>
      </c>
      <c r="B537" s="9">
        <v>0.2</v>
      </c>
      <c r="C537" s="10">
        <v>1.21</v>
      </c>
      <c r="D537" s="9" t="s">
        <v>1712</v>
      </c>
      <c r="E537" s="11" t="s">
        <v>1736</v>
      </c>
      <c r="F537" s="12" t="s">
        <v>1714</v>
      </c>
      <c r="G537" s="9" t="s">
        <v>1709</v>
      </c>
    </row>
    <row r="538" spans="1:7">
      <c r="A538" s="9" t="s">
        <v>1711</v>
      </c>
      <c r="B538" s="9">
        <v>0.2</v>
      </c>
      <c r="C538" s="10">
        <v>2.7479999999999998</v>
      </c>
      <c r="D538" s="9" t="s">
        <v>1712</v>
      </c>
      <c r="E538" s="11" t="s">
        <v>1736</v>
      </c>
      <c r="F538" s="12" t="s">
        <v>1714</v>
      </c>
      <c r="G538" s="9" t="s">
        <v>1709</v>
      </c>
    </row>
    <row r="539" spans="1:7">
      <c r="A539" s="9" t="s">
        <v>1711</v>
      </c>
      <c r="B539" s="9">
        <v>0.2</v>
      </c>
      <c r="C539" s="10">
        <v>0.155</v>
      </c>
      <c r="D539" s="9" t="s">
        <v>1712</v>
      </c>
      <c r="E539" s="11" t="s">
        <v>1736</v>
      </c>
      <c r="F539" s="12" t="s">
        <v>1714</v>
      </c>
      <c r="G539" s="9" t="s">
        <v>1709</v>
      </c>
    </row>
    <row r="540" spans="1:7">
      <c r="A540" s="9" t="s">
        <v>1711</v>
      </c>
      <c r="B540" s="9">
        <v>0.2</v>
      </c>
      <c r="C540" s="10">
        <v>0.93500000000000005</v>
      </c>
      <c r="D540" s="9" t="s">
        <v>1712</v>
      </c>
      <c r="E540" s="11" t="s">
        <v>1736</v>
      </c>
      <c r="F540" s="12" t="s">
        <v>1714</v>
      </c>
      <c r="G540" s="9" t="s">
        <v>1709</v>
      </c>
    </row>
    <row r="541" spans="1:7">
      <c r="A541" s="9" t="s">
        <v>1711</v>
      </c>
      <c r="B541" s="9">
        <v>0.2</v>
      </c>
      <c r="C541" s="10">
        <v>1.5109999999999999</v>
      </c>
      <c r="D541" s="9" t="s">
        <v>1712</v>
      </c>
      <c r="E541" s="11" t="s">
        <v>1736</v>
      </c>
      <c r="F541" s="12" t="s">
        <v>1714</v>
      </c>
      <c r="G541" s="9" t="s">
        <v>1709</v>
      </c>
    </row>
    <row r="542" spans="1:7">
      <c r="A542" s="9" t="s">
        <v>1711</v>
      </c>
      <c r="B542" s="9">
        <v>0.2</v>
      </c>
      <c r="C542" s="10">
        <v>0.17499999999999999</v>
      </c>
      <c r="D542" s="9" t="s">
        <v>1712</v>
      </c>
      <c r="E542" s="11" t="s">
        <v>1736</v>
      </c>
      <c r="F542" s="12" t="s">
        <v>1714</v>
      </c>
      <c r="G542" s="9" t="s">
        <v>1709</v>
      </c>
    </row>
    <row r="543" spans="1:7">
      <c r="A543" s="9" t="s">
        <v>1711</v>
      </c>
      <c r="B543" s="9">
        <v>0.2</v>
      </c>
      <c r="C543" s="10">
        <v>1.1749999999999998</v>
      </c>
      <c r="D543" s="9" t="s">
        <v>1712</v>
      </c>
      <c r="E543" s="11" t="s">
        <v>1736</v>
      </c>
      <c r="F543" s="12" t="s">
        <v>1714</v>
      </c>
      <c r="G543" s="9" t="s">
        <v>1709</v>
      </c>
    </row>
    <row r="544" spans="1:7">
      <c r="A544" s="9" t="s">
        <v>1711</v>
      </c>
      <c r="B544" s="9">
        <v>0.2</v>
      </c>
      <c r="C544" s="10">
        <v>0.125</v>
      </c>
      <c r="D544" s="9" t="s">
        <v>1712</v>
      </c>
      <c r="E544" s="11" t="s">
        <v>1736</v>
      </c>
      <c r="F544" s="12" t="s">
        <v>1714</v>
      </c>
      <c r="G544" s="9" t="s">
        <v>1709</v>
      </c>
    </row>
    <row r="545" spans="1:7">
      <c r="A545" s="9" t="s">
        <v>1711</v>
      </c>
      <c r="B545" s="9">
        <v>0.2</v>
      </c>
      <c r="C545" s="10">
        <v>0.125</v>
      </c>
      <c r="D545" s="9" t="s">
        <v>1712</v>
      </c>
      <c r="E545" s="11" t="s">
        <v>1736</v>
      </c>
      <c r="F545" s="12" t="s">
        <v>1714</v>
      </c>
      <c r="G545" s="9" t="s">
        <v>1709</v>
      </c>
    </row>
    <row r="546" spans="1:7">
      <c r="A546" s="9" t="s">
        <v>1711</v>
      </c>
      <c r="B546" s="13">
        <v>0.2</v>
      </c>
      <c r="C546" s="10">
        <v>0.18</v>
      </c>
      <c r="D546" s="9" t="s">
        <v>1712</v>
      </c>
      <c r="E546" s="11" t="s">
        <v>1736</v>
      </c>
      <c r="F546" s="12" t="s">
        <v>1714</v>
      </c>
      <c r="G546" s="9" t="s">
        <v>1709</v>
      </c>
    </row>
    <row r="547" spans="1:7">
      <c r="A547" s="9" t="s">
        <v>1711</v>
      </c>
      <c r="B547" s="9">
        <v>0.2</v>
      </c>
      <c r="C547" s="10">
        <v>0.21299999999999999</v>
      </c>
      <c r="D547" s="9" t="s">
        <v>1712</v>
      </c>
      <c r="E547" s="11" t="s">
        <v>1736</v>
      </c>
      <c r="F547" s="12" t="s">
        <v>1714</v>
      </c>
      <c r="G547" s="9" t="s">
        <v>1709</v>
      </c>
    </row>
    <row r="548" spans="1:7">
      <c r="A548" s="9" t="s">
        <v>1711</v>
      </c>
      <c r="B548" s="9">
        <v>0.2</v>
      </c>
      <c r="C548" s="10">
        <v>0.97699999999999998</v>
      </c>
      <c r="D548" s="9" t="s">
        <v>1712</v>
      </c>
      <c r="E548" s="11" t="s">
        <v>1736</v>
      </c>
      <c r="F548" s="12" t="s">
        <v>1714</v>
      </c>
      <c r="G548" s="9" t="s">
        <v>1709</v>
      </c>
    </row>
    <row r="549" spans="1:7">
      <c r="A549" s="9" t="s">
        <v>1711</v>
      </c>
      <c r="B549" s="9">
        <v>0.2</v>
      </c>
      <c r="C549" s="10">
        <v>0.97699999999999998</v>
      </c>
      <c r="D549" s="9" t="s">
        <v>1712</v>
      </c>
      <c r="E549" s="11" t="s">
        <v>1736</v>
      </c>
      <c r="F549" s="12" t="s">
        <v>1714</v>
      </c>
      <c r="G549" s="9" t="s">
        <v>1709</v>
      </c>
    </row>
    <row r="550" spans="1:7">
      <c r="A550" s="9" t="s">
        <v>1711</v>
      </c>
      <c r="B550" s="9">
        <v>0.2</v>
      </c>
      <c r="C550" s="10">
        <v>0.97699999999999998</v>
      </c>
      <c r="D550" s="9" t="s">
        <v>1712</v>
      </c>
      <c r="E550" s="11" t="s">
        <v>1736</v>
      </c>
      <c r="F550" s="12" t="s">
        <v>1714</v>
      </c>
      <c r="G550" s="9" t="s">
        <v>1709</v>
      </c>
    </row>
    <row r="551" spans="1:7">
      <c r="A551" s="9" t="s">
        <v>1711</v>
      </c>
      <c r="B551" s="9">
        <v>0.2</v>
      </c>
      <c r="C551" s="10">
        <v>0.13700000000000001</v>
      </c>
      <c r="D551" s="9" t="s">
        <v>1712</v>
      </c>
      <c r="E551" s="11" t="s">
        <v>1736</v>
      </c>
      <c r="F551" s="12" t="s">
        <v>1714</v>
      </c>
      <c r="G551" s="9" t="s">
        <v>1709</v>
      </c>
    </row>
    <row r="552" spans="1:7">
      <c r="A552" s="9" t="s">
        <v>1711</v>
      </c>
      <c r="B552" s="9">
        <v>0.2</v>
      </c>
      <c r="C552" s="10">
        <v>0.13700000000000001</v>
      </c>
      <c r="D552" s="9" t="s">
        <v>1712</v>
      </c>
      <c r="E552" s="11" t="s">
        <v>1736</v>
      </c>
      <c r="F552" s="12" t="s">
        <v>1714</v>
      </c>
      <c r="G552" s="9" t="s">
        <v>1709</v>
      </c>
    </row>
    <row r="553" spans="1:7">
      <c r="A553" s="9" t="s">
        <v>1711</v>
      </c>
      <c r="B553" s="9">
        <v>0.2</v>
      </c>
      <c r="C553" s="10">
        <v>-4.5999999999999999E-2</v>
      </c>
      <c r="D553" s="9" t="s">
        <v>1709</v>
      </c>
      <c r="E553" s="11" t="s">
        <v>1710</v>
      </c>
      <c r="F553" s="12" t="s">
        <v>1710</v>
      </c>
      <c r="G553" s="9" t="s">
        <v>1709</v>
      </c>
    </row>
    <row r="554" spans="1:7">
      <c r="A554" s="9" t="s">
        <v>1711</v>
      </c>
      <c r="B554" s="13">
        <v>0.2</v>
      </c>
      <c r="C554" s="10">
        <v>-0.14599999999999999</v>
      </c>
      <c r="D554" s="9" t="s">
        <v>1709</v>
      </c>
      <c r="E554" s="11" t="s">
        <v>1710</v>
      </c>
      <c r="F554" s="12" t="s">
        <v>1710</v>
      </c>
      <c r="G554" s="9" t="s">
        <v>1709</v>
      </c>
    </row>
    <row r="555" spans="1:7">
      <c r="A555" s="9" t="s">
        <v>1711</v>
      </c>
      <c r="B555" s="13">
        <v>0.2</v>
      </c>
      <c r="C555" s="10">
        <v>-0.14599999999999999</v>
      </c>
      <c r="D555" s="9" t="s">
        <v>1709</v>
      </c>
      <c r="E555" s="11" t="s">
        <v>1710</v>
      </c>
      <c r="F555" s="12" t="s">
        <v>1710</v>
      </c>
      <c r="G555" s="9" t="s">
        <v>1709</v>
      </c>
    </row>
    <row r="556" spans="1:7">
      <c r="A556" s="9" t="s">
        <v>1711</v>
      </c>
      <c r="B556" s="13">
        <v>0.2</v>
      </c>
      <c r="C556" s="10">
        <v>-0.14599999999999999</v>
      </c>
      <c r="D556" s="9" t="s">
        <v>1709</v>
      </c>
      <c r="E556" s="11" t="s">
        <v>1710</v>
      </c>
      <c r="F556" s="12" t="s">
        <v>1710</v>
      </c>
      <c r="G556" s="9" t="s">
        <v>1709</v>
      </c>
    </row>
    <row r="557" spans="1:7">
      <c r="A557" s="9" t="s">
        <v>1711</v>
      </c>
      <c r="B557" s="13">
        <v>0.2</v>
      </c>
      <c r="C557" s="10">
        <v>-0.14599999999999999</v>
      </c>
      <c r="D557" s="9" t="s">
        <v>1709</v>
      </c>
      <c r="E557" s="11" t="s">
        <v>1710</v>
      </c>
      <c r="F557" s="12" t="s">
        <v>1710</v>
      </c>
      <c r="G557" s="9" t="s">
        <v>1709</v>
      </c>
    </row>
    <row r="558" spans="1:7">
      <c r="A558" s="9" t="s">
        <v>1711</v>
      </c>
      <c r="B558" s="13">
        <v>0.2</v>
      </c>
      <c r="C558" s="10">
        <v>0.14100000000000001</v>
      </c>
      <c r="D558" s="9" t="s">
        <v>1712</v>
      </c>
      <c r="E558" s="11" t="s">
        <v>1736</v>
      </c>
      <c r="F558" s="12" t="s">
        <v>1714</v>
      </c>
      <c r="G558" s="9" t="s">
        <v>1709</v>
      </c>
    </row>
    <row r="559" spans="1:7">
      <c r="A559" s="9" t="s">
        <v>1711</v>
      </c>
      <c r="B559" s="13">
        <v>0.2</v>
      </c>
      <c r="C559" s="10">
        <v>-7.9000000000000001E-2</v>
      </c>
      <c r="D559" s="9" t="s">
        <v>1709</v>
      </c>
      <c r="E559" s="11" t="s">
        <v>1710</v>
      </c>
      <c r="F559" s="12" t="s">
        <v>1710</v>
      </c>
      <c r="G559" s="9" t="s">
        <v>1709</v>
      </c>
    </row>
    <row r="560" spans="1:7">
      <c r="A560" s="9" t="s">
        <v>1711</v>
      </c>
      <c r="B560" s="13">
        <v>0.2</v>
      </c>
      <c r="C560" s="10">
        <v>2.7479999999999998</v>
      </c>
      <c r="D560" s="9" t="s">
        <v>1712</v>
      </c>
      <c r="E560" s="11" t="s">
        <v>1742</v>
      </c>
      <c r="F560" s="12" t="s">
        <v>1714</v>
      </c>
      <c r="G560" s="9" t="s">
        <v>1709</v>
      </c>
    </row>
    <row r="561" spans="1:7">
      <c r="A561" s="9" t="s">
        <v>1711</v>
      </c>
      <c r="B561" s="13">
        <v>0.2</v>
      </c>
      <c r="C561" s="10">
        <v>2.7479999999999998</v>
      </c>
      <c r="D561" s="9" t="s">
        <v>1712</v>
      </c>
      <c r="E561" s="11" t="s">
        <v>1736</v>
      </c>
      <c r="F561" s="12" t="s">
        <v>1714</v>
      </c>
      <c r="G561" s="9" t="s">
        <v>1709</v>
      </c>
    </row>
    <row r="562" spans="1:7">
      <c r="A562" s="9" t="s">
        <v>1711</v>
      </c>
      <c r="B562" s="13">
        <v>0.2</v>
      </c>
      <c r="C562" s="10">
        <v>1.2549999999999999</v>
      </c>
      <c r="D562" s="9" t="s">
        <v>1712</v>
      </c>
      <c r="E562" s="11" t="s">
        <v>1742</v>
      </c>
      <c r="F562" s="12" t="s">
        <v>1714</v>
      </c>
      <c r="G562" s="9" t="s">
        <v>1709</v>
      </c>
    </row>
    <row r="563" spans="1:7">
      <c r="A563" s="9" t="s">
        <v>1711</v>
      </c>
      <c r="B563" s="13">
        <v>0.2</v>
      </c>
      <c r="C563" s="10">
        <v>0.187</v>
      </c>
      <c r="D563" s="9" t="s">
        <v>1712</v>
      </c>
      <c r="E563" s="11" t="s">
        <v>1736</v>
      </c>
      <c r="F563" s="12" t="s">
        <v>1714</v>
      </c>
      <c r="G563" s="9" t="s">
        <v>1709</v>
      </c>
    </row>
    <row r="564" spans="1:7">
      <c r="A564" s="9" t="s">
        <v>1711</v>
      </c>
      <c r="B564" s="13">
        <v>0.2</v>
      </c>
      <c r="C564" s="10">
        <v>0.93500000000000005</v>
      </c>
      <c r="D564" s="9" t="s">
        <v>1712</v>
      </c>
      <c r="E564" s="11" t="s">
        <v>1736</v>
      </c>
      <c r="F564" s="12" t="s">
        <v>1714</v>
      </c>
      <c r="G564" s="9" t="s">
        <v>1709</v>
      </c>
    </row>
    <row r="565" spans="1:7">
      <c r="A565" s="9" t="s">
        <v>1711</v>
      </c>
      <c r="B565" s="13">
        <v>0.2</v>
      </c>
      <c r="C565" s="10">
        <v>-0.14599999999999999</v>
      </c>
      <c r="D565" s="9" t="s">
        <v>1709</v>
      </c>
      <c r="E565" s="11" t="s">
        <v>1710</v>
      </c>
      <c r="F565" s="12" t="s">
        <v>1710</v>
      </c>
      <c r="G565" s="9" t="s">
        <v>1709</v>
      </c>
    </row>
    <row r="566" spans="1:7">
      <c r="A566" s="9" t="s">
        <v>1711</v>
      </c>
      <c r="B566" s="13">
        <v>0.2</v>
      </c>
      <c r="C566" s="10">
        <v>-0.14599999999999999</v>
      </c>
      <c r="D566" s="9" t="s">
        <v>1709</v>
      </c>
      <c r="E566" s="11" t="s">
        <v>1710</v>
      </c>
      <c r="F566" s="12" t="s">
        <v>1710</v>
      </c>
      <c r="G566" s="9" t="s">
        <v>1709</v>
      </c>
    </row>
    <row r="567" spans="1:7">
      <c r="A567" s="9" t="s">
        <v>1711</v>
      </c>
      <c r="B567" s="13">
        <v>0.2</v>
      </c>
      <c r="C567" s="10">
        <v>6.5000000000000002E-2</v>
      </c>
      <c r="D567" s="9" t="s">
        <v>1712</v>
      </c>
      <c r="E567" s="11" t="s">
        <v>1737</v>
      </c>
      <c r="F567" s="12" t="s">
        <v>1714</v>
      </c>
      <c r="G567" s="9" t="s">
        <v>1709</v>
      </c>
    </row>
    <row r="568" spans="1:7">
      <c r="A568" s="9" t="s">
        <v>1711</v>
      </c>
      <c r="B568" s="13">
        <v>0.2</v>
      </c>
      <c r="C568" s="10">
        <v>-0.14599999999999999</v>
      </c>
      <c r="D568" s="9" t="s">
        <v>1709</v>
      </c>
      <c r="E568" s="11" t="s">
        <v>1710</v>
      </c>
      <c r="F568" s="12" t="s">
        <v>1710</v>
      </c>
      <c r="G568" s="9" t="s">
        <v>1709</v>
      </c>
    </row>
    <row r="569" spans="1:7">
      <c r="A569" s="9" t="s">
        <v>1711</v>
      </c>
      <c r="B569" s="13">
        <v>0.2</v>
      </c>
      <c r="C569" s="10">
        <v>0.8</v>
      </c>
      <c r="D569" s="9" t="s">
        <v>1712</v>
      </c>
      <c r="E569" s="11" t="s">
        <v>1736</v>
      </c>
      <c r="F569" s="12" t="s">
        <v>1714</v>
      </c>
      <c r="G569" s="9" t="s">
        <v>1709</v>
      </c>
    </row>
    <row r="570" spans="1:7">
      <c r="A570" s="9" t="s">
        <v>1711</v>
      </c>
      <c r="B570" s="13">
        <v>0.2</v>
      </c>
      <c r="C570" s="10">
        <v>-5.0000000000000001E-3</v>
      </c>
      <c r="D570" s="9" t="s">
        <v>1709</v>
      </c>
      <c r="E570" s="11" t="s">
        <v>1710</v>
      </c>
      <c r="F570" s="12" t="s">
        <v>1710</v>
      </c>
      <c r="G570" s="9" t="s">
        <v>1709</v>
      </c>
    </row>
    <row r="571" spans="1:7">
      <c r="A571" s="9" t="s">
        <v>1711</v>
      </c>
      <c r="B571" s="13">
        <v>0.2</v>
      </c>
      <c r="C571" s="10">
        <v>-0.19800000000000001</v>
      </c>
      <c r="D571" s="9" t="s">
        <v>1709</v>
      </c>
      <c r="E571" s="11" t="s">
        <v>1710</v>
      </c>
      <c r="F571" s="12" t="s">
        <v>1710</v>
      </c>
      <c r="G571" s="9" t="s">
        <v>1709</v>
      </c>
    </row>
    <row r="572" spans="1:7">
      <c r="A572" s="9" t="s">
        <v>1711</v>
      </c>
      <c r="B572" s="13">
        <v>0.2</v>
      </c>
      <c r="C572" s="10">
        <v>-1.8000000000000002E-2</v>
      </c>
      <c r="D572" s="9" t="s">
        <v>1709</v>
      </c>
      <c r="E572" s="11" t="s">
        <v>1710</v>
      </c>
      <c r="F572" s="12" t="s">
        <v>1710</v>
      </c>
      <c r="G572" s="9" t="s">
        <v>1709</v>
      </c>
    </row>
    <row r="573" spans="1:7">
      <c r="A573" s="9" t="s">
        <v>1711</v>
      </c>
      <c r="B573" s="13">
        <v>0.2</v>
      </c>
      <c r="C573" s="10">
        <v>-1.8000000000000002E-2</v>
      </c>
      <c r="D573" s="9" t="s">
        <v>1709</v>
      </c>
      <c r="E573" s="11" t="s">
        <v>1710</v>
      </c>
      <c r="F573" s="12" t="s">
        <v>1710</v>
      </c>
      <c r="G573" s="9" t="s">
        <v>1709</v>
      </c>
    </row>
    <row r="574" spans="1:7">
      <c r="A574" s="9" t="s">
        <v>1711</v>
      </c>
      <c r="B574" s="13">
        <v>0.2</v>
      </c>
      <c r="C574" s="10">
        <v>-1.8000000000000002E-2</v>
      </c>
      <c r="D574" s="9" t="s">
        <v>1709</v>
      </c>
      <c r="E574" s="11" t="s">
        <v>1710</v>
      </c>
      <c r="F574" s="12" t="s">
        <v>1710</v>
      </c>
      <c r="G574" s="9" t="s">
        <v>1709</v>
      </c>
    </row>
    <row r="575" spans="1:7">
      <c r="A575" s="9" t="s">
        <v>1711</v>
      </c>
      <c r="B575" s="13">
        <v>0.2</v>
      </c>
      <c r="C575" s="10">
        <v>-1.8000000000000002E-2</v>
      </c>
      <c r="D575" s="9" t="s">
        <v>1709</v>
      </c>
      <c r="E575" s="11" t="s">
        <v>1710</v>
      </c>
      <c r="F575" s="12" t="s">
        <v>1710</v>
      </c>
      <c r="G575" s="9" t="s">
        <v>1709</v>
      </c>
    </row>
    <row r="576" spans="1:7">
      <c r="A576" s="9" t="s">
        <v>1711</v>
      </c>
      <c r="B576" s="13">
        <v>0.2</v>
      </c>
      <c r="C576" s="10">
        <v>-1.8000000000000002E-2</v>
      </c>
      <c r="D576" s="9" t="s">
        <v>1709</v>
      </c>
      <c r="E576" s="11" t="s">
        <v>1710</v>
      </c>
      <c r="F576" s="12" t="s">
        <v>1710</v>
      </c>
      <c r="G576" s="9" t="s">
        <v>1709</v>
      </c>
    </row>
    <row r="577" spans="1:7">
      <c r="A577" s="9" t="s">
        <v>1711</v>
      </c>
      <c r="B577" s="13">
        <v>0.2</v>
      </c>
      <c r="C577" s="10">
        <v>0.20499999999999999</v>
      </c>
      <c r="D577" s="9" t="s">
        <v>1712</v>
      </c>
      <c r="E577" s="11" t="s">
        <v>1736</v>
      </c>
      <c r="F577" s="12" t="s">
        <v>1714</v>
      </c>
      <c r="G577" s="9" t="s">
        <v>1709</v>
      </c>
    </row>
    <row r="578" spans="1:7">
      <c r="A578" s="9" t="s">
        <v>1711</v>
      </c>
      <c r="B578" s="13">
        <v>0.2</v>
      </c>
      <c r="C578" s="10">
        <v>0.93500000000000005</v>
      </c>
      <c r="D578" s="9" t="s">
        <v>1712</v>
      </c>
      <c r="E578" s="11" t="s">
        <v>1736</v>
      </c>
      <c r="F578" s="12" t="s">
        <v>1714</v>
      </c>
      <c r="G578" s="9" t="s">
        <v>1709</v>
      </c>
    </row>
    <row r="579" spans="1:7">
      <c r="A579" s="9" t="s">
        <v>1711</v>
      </c>
      <c r="B579" s="13">
        <v>0.2</v>
      </c>
      <c r="C579" s="10">
        <v>1.4419999999999999</v>
      </c>
      <c r="D579" s="9" t="s">
        <v>1712</v>
      </c>
      <c r="E579" s="11" t="s">
        <v>1737</v>
      </c>
      <c r="F579" s="12" t="s">
        <v>1714</v>
      </c>
      <c r="G579" s="9" t="s">
        <v>1709</v>
      </c>
    </row>
    <row r="580" spans="1:7">
      <c r="A580" s="9" t="s">
        <v>1711</v>
      </c>
      <c r="B580" s="13">
        <v>0.2</v>
      </c>
      <c r="C580" s="10">
        <v>1.4419999999999999</v>
      </c>
      <c r="D580" s="9" t="s">
        <v>1712</v>
      </c>
      <c r="E580" s="11" t="s">
        <v>1737</v>
      </c>
      <c r="F580" s="12" t="s">
        <v>1714</v>
      </c>
      <c r="G580" s="9" t="s">
        <v>1709</v>
      </c>
    </row>
    <row r="581" spans="1:7">
      <c r="A581" s="9" t="s">
        <v>1711</v>
      </c>
      <c r="B581" s="13">
        <v>0.2</v>
      </c>
      <c r="C581" s="10">
        <v>4.8000000000000001E-2</v>
      </c>
      <c r="D581" s="9" t="s">
        <v>1712</v>
      </c>
      <c r="E581" s="11" t="s">
        <v>1736</v>
      </c>
      <c r="F581" s="12" t="s">
        <v>1714</v>
      </c>
      <c r="G581" s="9" t="s">
        <v>1709</v>
      </c>
    </row>
    <row r="582" spans="1:7">
      <c r="A582" s="9" t="s">
        <v>1711</v>
      </c>
      <c r="B582" s="13">
        <v>0.2</v>
      </c>
      <c r="C582" s="10">
        <v>0.126</v>
      </c>
      <c r="D582" s="9" t="s">
        <v>1712</v>
      </c>
      <c r="E582" s="11" t="s">
        <v>1736</v>
      </c>
      <c r="F582" s="12" t="s">
        <v>1714</v>
      </c>
      <c r="G582" s="9" t="s">
        <v>1709</v>
      </c>
    </row>
    <row r="583" spans="1:7">
      <c r="A583" s="9" t="s">
        <v>1711</v>
      </c>
      <c r="B583" s="9">
        <v>0.2</v>
      </c>
      <c r="C583" s="10">
        <v>0.13900000000000001</v>
      </c>
      <c r="D583" s="9" t="s">
        <v>1712</v>
      </c>
      <c r="E583" s="11" t="s">
        <v>1736</v>
      </c>
      <c r="F583" s="12" t="s">
        <v>1714</v>
      </c>
      <c r="G583" s="9" t="s">
        <v>1709</v>
      </c>
    </row>
    <row r="584" spans="1:7">
      <c r="A584" s="9" t="s">
        <v>1711</v>
      </c>
      <c r="B584" s="13">
        <v>0.2</v>
      </c>
      <c r="C584" s="10">
        <v>0.157</v>
      </c>
      <c r="D584" s="9" t="s">
        <v>1712</v>
      </c>
      <c r="E584" s="11" t="s">
        <v>1736</v>
      </c>
      <c r="F584" s="12" t="s">
        <v>1714</v>
      </c>
      <c r="G584" s="9" t="s">
        <v>1709</v>
      </c>
    </row>
    <row r="585" spans="1:7">
      <c r="A585" s="9" t="s">
        <v>1711</v>
      </c>
      <c r="B585" s="13">
        <v>0.2</v>
      </c>
      <c r="C585" s="10">
        <v>0.36299999999999999</v>
      </c>
      <c r="D585" s="9" t="s">
        <v>1712</v>
      </c>
      <c r="E585" s="11" t="s">
        <v>1736</v>
      </c>
      <c r="F585" s="12" t="s">
        <v>1714</v>
      </c>
      <c r="G585" s="9" t="s">
        <v>1709</v>
      </c>
    </row>
    <row r="586" spans="1:7">
      <c r="A586" s="9" t="s">
        <v>1711</v>
      </c>
      <c r="B586" s="9">
        <v>0.2</v>
      </c>
      <c r="C586" s="10">
        <v>0.76500000000000001</v>
      </c>
      <c r="D586" s="9" t="s">
        <v>1712</v>
      </c>
      <c r="E586" s="11" t="s">
        <v>1736</v>
      </c>
      <c r="F586" s="12" t="s">
        <v>1714</v>
      </c>
      <c r="G586" s="9" t="s">
        <v>1709</v>
      </c>
    </row>
    <row r="587" spans="1:7">
      <c r="A587" s="9" t="s">
        <v>1711</v>
      </c>
      <c r="B587" s="9">
        <v>0.2</v>
      </c>
      <c r="C587" s="10">
        <v>1.5959999999999999</v>
      </c>
      <c r="D587" s="9" t="s">
        <v>1712</v>
      </c>
      <c r="E587" s="11" t="s">
        <v>1736</v>
      </c>
      <c r="F587" s="12" t="s">
        <v>1714</v>
      </c>
      <c r="G587" s="9" t="s">
        <v>1709</v>
      </c>
    </row>
    <row r="588" spans="1:7">
      <c r="A588" s="9" t="s">
        <v>1711</v>
      </c>
      <c r="B588" s="9">
        <v>0.2</v>
      </c>
      <c r="C588" s="10">
        <v>-9.0999999999999998E-2</v>
      </c>
      <c r="D588" s="9" t="s">
        <v>1709</v>
      </c>
      <c r="E588" s="11" t="s">
        <v>1710</v>
      </c>
      <c r="F588" s="12" t="s">
        <v>1710</v>
      </c>
      <c r="G588" s="9" t="s">
        <v>1709</v>
      </c>
    </row>
    <row r="589" spans="1:7">
      <c r="A589" s="9" t="s">
        <v>1711</v>
      </c>
      <c r="B589" s="13">
        <v>0.2</v>
      </c>
      <c r="C589" s="10">
        <v>-9.0999999999999998E-2</v>
      </c>
      <c r="D589" s="9" t="s">
        <v>1709</v>
      </c>
      <c r="E589" s="11" t="s">
        <v>1710</v>
      </c>
      <c r="F589" s="12" t="s">
        <v>1710</v>
      </c>
      <c r="G589" s="9" t="s">
        <v>1709</v>
      </c>
    </row>
    <row r="590" spans="1:7">
      <c r="A590" s="9" t="s">
        <v>1711</v>
      </c>
      <c r="B590" s="13">
        <v>0.2</v>
      </c>
      <c r="C590" s="10">
        <v>-9.0999999999999998E-2</v>
      </c>
      <c r="D590" s="9" t="s">
        <v>1709</v>
      </c>
      <c r="E590" s="11" t="s">
        <v>1710</v>
      </c>
      <c r="F590" s="12" t="s">
        <v>1710</v>
      </c>
      <c r="G590" s="9" t="s">
        <v>1709</v>
      </c>
    </row>
    <row r="591" spans="1:7">
      <c r="A591" s="9" t="s">
        <v>1711</v>
      </c>
      <c r="B591" s="13">
        <v>0.2</v>
      </c>
      <c r="C591" s="10">
        <v>-8.6999999999999994E-2</v>
      </c>
      <c r="D591" s="9" t="s">
        <v>1709</v>
      </c>
      <c r="E591" s="11" t="s">
        <v>1710</v>
      </c>
      <c r="F591" s="12" t="s">
        <v>1710</v>
      </c>
      <c r="G591" s="9" t="s">
        <v>1709</v>
      </c>
    </row>
    <row r="592" spans="1:7">
      <c r="A592" s="9" t="s">
        <v>1711</v>
      </c>
      <c r="B592" s="9">
        <v>0.2</v>
      </c>
      <c r="C592" s="10">
        <v>-8.6999999999999994E-2</v>
      </c>
      <c r="D592" s="9" t="s">
        <v>1709</v>
      </c>
      <c r="E592" s="11" t="s">
        <v>1710</v>
      </c>
      <c r="F592" s="12" t="s">
        <v>1710</v>
      </c>
      <c r="G592" s="9" t="s">
        <v>1709</v>
      </c>
    </row>
    <row r="593" spans="1:7">
      <c r="A593" s="9" t="s">
        <v>1711</v>
      </c>
      <c r="B593" s="13">
        <v>0.2</v>
      </c>
      <c r="C593" s="10">
        <v>-8.8999999999999996E-2</v>
      </c>
      <c r="D593" s="9" t="s">
        <v>1709</v>
      </c>
      <c r="E593" s="11" t="s">
        <v>1710</v>
      </c>
      <c r="F593" s="12" t="s">
        <v>1710</v>
      </c>
      <c r="G593" s="9" t="s">
        <v>1709</v>
      </c>
    </row>
    <row r="594" spans="1:7">
      <c r="A594" s="9" t="s">
        <v>1711</v>
      </c>
      <c r="B594" s="9">
        <v>0.2</v>
      </c>
      <c r="C594" s="10">
        <v>-9.0999999999999998E-2</v>
      </c>
      <c r="D594" s="9" t="s">
        <v>1709</v>
      </c>
      <c r="E594" s="11" t="s">
        <v>1710</v>
      </c>
      <c r="F594" s="12" t="s">
        <v>1710</v>
      </c>
      <c r="G594" s="9" t="s">
        <v>1709</v>
      </c>
    </row>
    <row r="595" spans="1:7">
      <c r="A595" s="9" t="s">
        <v>1711</v>
      </c>
      <c r="B595" s="9">
        <v>0.2</v>
      </c>
      <c r="C595" s="10">
        <v>-9.1999999999999998E-2</v>
      </c>
      <c r="D595" s="9" t="s">
        <v>1709</v>
      </c>
      <c r="E595" s="11" t="s">
        <v>1710</v>
      </c>
      <c r="F595" s="12" t="s">
        <v>1710</v>
      </c>
      <c r="G595" s="9" t="s">
        <v>1709</v>
      </c>
    </row>
    <row r="596" spans="1:7">
      <c r="A596" s="9" t="s">
        <v>1711</v>
      </c>
      <c r="B596" s="9">
        <v>0.2</v>
      </c>
      <c r="C596" s="10">
        <v>-9.1999999999999998E-2</v>
      </c>
      <c r="D596" s="9" t="s">
        <v>1709</v>
      </c>
      <c r="E596" s="11" t="s">
        <v>1710</v>
      </c>
      <c r="F596" s="12" t="s">
        <v>1710</v>
      </c>
      <c r="G596" s="9" t="s">
        <v>1709</v>
      </c>
    </row>
    <row r="597" spans="1:7">
      <c r="A597" s="9" t="s">
        <v>1711</v>
      </c>
      <c r="B597" s="9">
        <v>0.2</v>
      </c>
      <c r="C597" s="10">
        <v>-1.3000000000000001E-2</v>
      </c>
      <c r="D597" s="9" t="s">
        <v>1709</v>
      </c>
      <c r="E597" s="11" t="s">
        <v>1710</v>
      </c>
      <c r="F597" s="12" t="s">
        <v>1710</v>
      </c>
      <c r="G597" s="9" t="s">
        <v>1709</v>
      </c>
    </row>
    <row r="598" spans="1:7">
      <c r="A598" s="9" t="s">
        <v>1711</v>
      </c>
      <c r="B598" s="9">
        <v>0.2</v>
      </c>
      <c r="C598" s="10">
        <v>-5.0000000000000001E-3</v>
      </c>
      <c r="D598" s="9" t="s">
        <v>1709</v>
      </c>
      <c r="E598" s="11" t="s">
        <v>1710</v>
      </c>
      <c r="F598" s="12" t="s">
        <v>1710</v>
      </c>
      <c r="G598" s="9" t="s">
        <v>1709</v>
      </c>
    </row>
    <row r="599" spans="1:7">
      <c r="A599" s="9" t="s">
        <v>1711</v>
      </c>
      <c r="B599" s="9">
        <v>0.2</v>
      </c>
      <c r="C599" s="10">
        <v>-0.126</v>
      </c>
      <c r="D599" s="9" t="s">
        <v>1709</v>
      </c>
      <c r="E599" s="11" t="s">
        <v>1710</v>
      </c>
      <c r="F599" s="12" t="s">
        <v>1710</v>
      </c>
      <c r="G599" s="9" t="s">
        <v>1709</v>
      </c>
    </row>
    <row r="600" spans="1:7">
      <c r="A600" s="9" t="s">
        <v>1711</v>
      </c>
      <c r="B600" s="13">
        <v>0.2</v>
      </c>
      <c r="C600" s="10">
        <v>0.48899999999999999</v>
      </c>
      <c r="D600" s="9" t="s">
        <v>1712</v>
      </c>
      <c r="E600" s="11" t="s">
        <v>1736</v>
      </c>
      <c r="F600" s="12" t="s">
        <v>1714</v>
      </c>
      <c r="G600" s="9" t="s">
        <v>1709</v>
      </c>
    </row>
    <row r="601" spans="1:7">
      <c r="A601" s="9" t="s">
        <v>1711</v>
      </c>
      <c r="B601" s="13">
        <v>0.2</v>
      </c>
      <c r="C601" s="10">
        <v>0.152</v>
      </c>
      <c r="D601" s="9" t="s">
        <v>1712</v>
      </c>
      <c r="E601" s="11" t="s">
        <v>1715</v>
      </c>
      <c r="F601" s="12" t="s">
        <v>1714</v>
      </c>
      <c r="G601" s="9" t="s">
        <v>1709</v>
      </c>
    </row>
    <row r="602" spans="1:7">
      <c r="A602" s="9" t="s">
        <v>1711</v>
      </c>
      <c r="B602" s="13">
        <v>0.2</v>
      </c>
      <c r="C602" s="10">
        <v>0.152</v>
      </c>
      <c r="D602" s="9" t="s">
        <v>1712</v>
      </c>
      <c r="E602" s="11" t="s">
        <v>1715</v>
      </c>
      <c r="F602" s="12" t="s">
        <v>1714</v>
      </c>
      <c r="G602" s="9" t="s">
        <v>1709</v>
      </c>
    </row>
    <row r="603" spans="1:7">
      <c r="A603" s="9" t="s">
        <v>1711</v>
      </c>
      <c r="B603" s="9">
        <v>0.2</v>
      </c>
      <c r="C603" s="10">
        <v>0.152</v>
      </c>
      <c r="D603" s="9" t="s">
        <v>1712</v>
      </c>
      <c r="E603" s="11" t="s">
        <v>1715</v>
      </c>
      <c r="F603" s="12" t="s">
        <v>1714</v>
      </c>
      <c r="G603" s="9" t="s">
        <v>1709</v>
      </c>
    </row>
    <row r="604" spans="1:7">
      <c r="A604" s="9" t="s">
        <v>1711</v>
      </c>
      <c r="B604" s="9">
        <v>0.2</v>
      </c>
      <c r="C604" s="10">
        <v>0.152</v>
      </c>
      <c r="D604" s="9" t="s">
        <v>1712</v>
      </c>
      <c r="E604" s="11" t="s">
        <v>1715</v>
      </c>
      <c r="F604" s="12" t="s">
        <v>1714</v>
      </c>
      <c r="G604" s="9" t="s">
        <v>1709</v>
      </c>
    </row>
    <row r="605" spans="1:7">
      <c r="A605" s="9" t="s">
        <v>1711</v>
      </c>
      <c r="B605" s="9">
        <v>0.2</v>
      </c>
      <c r="C605" s="10">
        <v>0.152</v>
      </c>
      <c r="D605" s="9" t="s">
        <v>1712</v>
      </c>
      <c r="E605" s="11" t="s">
        <v>1715</v>
      </c>
      <c r="F605" s="12" t="s">
        <v>1714</v>
      </c>
      <c r="G605" s="9" t="s">
        <v>1709</v>
      </c>
    </row>
    <row r="606" spans="1:7">
      <c r="A606" s="9" t="s">
        <v>1711</v>
      </c>
      <c r="B606" s="9">
        <v>0.2</v>
      </c>
      <c r="C606" s="10">
        <v>0.152</v>
      </c>
      <c r="D606" s="9" t="s">
        <v>1712</v>
      </c>
      <c r="E606" s="11" t="s">
        <v>1715</v>
      </c>
      <c r="F606" s="12" t="s">
        <v>1714</v>
      </c>
      <c r="G606" s="9" t="s">
        <v>1709</v>
      </c>
    </row>
    <row r="607" spans="1:7">
      <c r="A607" s="9" t="s">
        <v>1711</v>
      </c>
      <c r="B607" s="9">
        <v>0.2</v>
      </c>
      <c r="C607" s="10">
        <v>0.152</v>
      </c>
      <c r="D607" s="9" t="s">
        <v>1712</v>
      </c>
      <c r="E607" s="11" t="s">
        <v>1715</v>
      </c>
      <c r="F607" s="12" t="s">
        <v>1714</v>
      </c>
      <c r="G607" s="9" t="s">
        <v>1709</v>
      </c>
    </row>
    <row r="608" spans="1:7">
      <c r="A608" s="9" t="s">
        <v>1711</v>
      </c>
      <c r="B608" s="9">
        <v>0.2</v>
      </c>
      <c r="C608" s="10">
        <v>0.152</v>
      </c>
      <c r="D608" s="9" t="s">
        <v>1712</v>
      </c>
      <c r="E608" s="11" t="s">
        <v>1715</v>
      </c>
      <c r="F608" s="12" t="s">
        <v>1714</v>
      </c>
      <c r="G608" s="9" t="s">
        <v>1709</v>
      </c>
    </row>
    <row r="609" spans="1:7">
      <c r="A609" s="9" t="s">
        <v>1711</v>
      </c>
      <c r="B609" s="9">
        <v>0.2</v>
      </c>
      <c r="C609" s="10">
        <v>0.152</v>
      </c>
      <c r="D609" s="9" t="s">
        <v>1712</v>
      </c>
      <c r="E609" s="11" t="s">
        <v>1715</v>
      </c>
      <c r="F609" s="12" t="s">
        <v>1714</v>
      </c>
      <c r="G609" s="9" t="s">
        <v>1709</v>
      </c>
    </row>
    <row r="610" spans="1:7">
      <c r="A610" s="9" t="s">
        <v>1711</v>
      </c>
      <c r="B610" s="9">
        <v>0.2</v>
      </c>
      <c r="C610" s="10">
        <v>0.152</v>
      </c>
      <c r="D610" s="9" t="s">
        <v>1712</v>
      </c>
      <c r="E610" s="11" t="s">
        <v>1715</v>
      </c>
      <c r="F610" s="12" t="s">
        <v>1714</v>
      </c>
      <c r="G610" s="9" t="s">
        <v>1709</v>
      </c>
    </row>
    <row r="611" spans="1:7">
      <c r="A611" s="9" t="s">
        <v>1711</v>
      </c>
      <c r="B611" s="9">
        <v>0.2</v>
      </c>
      <c r="C611" s="10">
        <v>0.152</v>
      </c>
      <c r="D611" s="9" t="s">
        <v>1712</v>
      </c>
      <c r="E611" s="11" t="s">
        <v>1715</v>
      </c>
      <c r="F611" s="12" t="s">
        <v>1714</v>
      </c>
      <c r="G611" s="9" t="s">
        <v>1709</v>
      </c>
    </row>
    <row r="612" spans="1:7">
      <c r="A612" s="9" t="s">
        <v>1711</v>
      </c>
      <c r="B612" s="9">
        <v>0.2</v>
      </c>
      <c r="C612" s="10">
        <v>0.9</v>
      </c>
      <c r="D612" s="9" t="s">
        <v>1712</v>
      </c>
      <c r="E612" s="11" t="s">
        <v>1737</v>
      </c>
      <c r="F612" s="12" t="s">
        <v>1714</v>
      </c>
      <c r="G612" s="9" t="s">
        <v>1709</v>
      </c>
    </row>
    <row r="613" spans="1:7">
      <c r="A613" s="9" t="s">
        <v>1711</v>
      </c>
      <c r="B613" s="9">
        <v>0.2</v>
      </c>
      <c r="C613" s="10">
        <v>0.9</v>
      </c>
      <c r="D613" s="9" t="s">
        <v>1712</v>
      </c>
      <c r="E613" s="11" t="s">
        <v>1737</v>
      </c>
      <c r="F613" s="12" t="s">
        <v>1714</v>
      </c>
      <c r="G613" s="9" t="s">
        <v>1709</v>
      </c>
    </row>
    <row r="614" spans="1:7">
      <c r="A614" s="9" t="s">
        <v>1711</v>
      </c>
      <c r="B614" s="9">
        <v>0.2</v>
      </c>
      <c r="C614" s="10">
        <v>-3.9E-2</v>
      </c>
      <c r="D614" s="9" t="s">
        <v>1709</v>
      </c>
      <c r="E614" s="11" t="s">
        <v>1710</v>
      </c>
      <c r="F614" s="12" t="s">
        <v>1710</v>
      </c>
      <c r="G614" s="9" t="s">
        <v>1709</v>
      </c>
    </row>
    <row r="615" spans="1:7">
      <c r="A615" s="9" t="s">
        <v>1711</v>
      </c>
      <c r="B615" s="9">
        <v>0.2</v>
      </c>
      <c r="C615" s="10">
        <v>-0.14599999999999999</v>
      </c>
      <c r="D615" s="9" t="s">
        <v>1709</v>
      </c>
      <c r="E615" s="11" t="s">
        <v>1710</v>
      </c>
      <c r="F615" s="12" t="s">
        <v>1710</v>
      </c>
      <c r="G615" s="9" t="s">
        <v>1709</v>
      </c>
    </row>
    <row r="616" spans="1:7">
      <c r="A616" s="9" t="s">
        <v>1711</v>
      </c>
      <c r="B616" s="9">
        <v>0.2</v>
      </c>
      <c r="C616" s="10">
        <v>5.2999999999999999E-2</v>
      </c>
      <c r="D616" s="9" t="s">
        <v>1712</v>
      </c>
      <c r="E616" s="11" t="s">
        <v>1736</v>
      </c>
      <c r="F616" s="12" t="s">
        <v>1714</v>
      </c>
      <c r="G616" s="9" t="s">
        <v>1709</v>
      </c>
    </row>
    <row r="617" spans="1:7">
      <c r="A617" s="9" t="s">
        <v>1711</v>
      </c>
      <c r="B617" s="13">
        <v>0.2</v>
      </c>
      <c r="C617" s="10">
        <v>1.4419999999999999</v>
      </c>
      <c r="D617" s="9" t="s">
        <v>1712</v>
      </c>
      <c r="E617" s="11" t="s">
        <v>1736</v>
      </c>
      <c r="F617" s="12" t="s">
        <v>1714</v>
      </c>
      <c r="G617" s="9" t="s">
        <v>1709</v>
      </c>
    </row>
    <row r="618" spans="1:7">
      <c r="A618" s="9" t="s">
        <v>1711</v>
      </c>
      <c r="B618" s="13">
        <v>0.2</v>
      </c>
      <c r="C618" s="10">
        <v>0.93500000000000005</v>
      </c>
      <c r="D618" s="9" t="s">
        <v>1712</v>
      </c>
      <c r="E618" s="11" t="s">
        <v>1736</v>
      </c>
      <c r="F618" s="12" t="s">
        <v>1714</v>
      </c>
      <c r="G618" s="9" t="s">
        <v>1709</v>
      </c>
    </row>
    <row r="619" spans="1:7">
      <c r="A619" s="9" t="s">
        <v>1711</v>
      </c>
      <c r="B619" s="13">
        <v>0.2</v>
      </c>
      <c r="C619" s="10">
        <v>0.9</v>
      </c>
      <c r="D619" s="9" t="s">
        <v>1712</v>
      </c>
      <c r="E619" s="11" t="s">
        <v>1736</v>
      </c>
      <c r="F619" s="12" t="s">
        <v>1714</v>
      </c>
      <c r="G619" s="9" t="s">
        <v>1709</v>
      </c>
    </row>
    <row r="620" spans="1:7">
      <c r="A620" s="9" t="s">
        <v>1711</v>
      </c>
      <c r="B620" s="13">
        <v>0.2</v>
      </c>
      <c r="C620" s="10">
        <v>1.1819999999999999</v>
      </c>
      <c r="D620" s="9" t="s">
        <v>1712</v>
      </c>
      <c r="E620" s="11" t="s">
        <v>1737</v>
      </c>
      <c r="F620" s="12" t="s">
        <v>1714</v>
      </c>
      <c r="G620" s="9" t="s">
        <v>1709</v>
      </c>
    </row>
    <row r="621" spans="1:7">
      <c r="A621" s="9" t="s">
        <v>1711</v>
      </c>
      <c r="B621" s="13">
        <v>0.2</v>
      </c>
      <c r="C621" s="10">
        <v>1.1819999999999999</v>
      </c>
      <c r="D621" s="9" t="s">
        <v>1712</v>
      </c>
      <c r="E621" s="11" t="s">
        <v>1737</v>
      </c>
      <c r="F621" s="12" t="s">
        <v>1714</v>
      </c>
      <c r="G621" s="9" t="s">
        <v>1709</v>
      </c>
    </row>
    <row r="622" spans="1:7">
      <c r="A622" s="9" t="s">
        <v>1711</v>
      </c>
      <c r="B622" s="13">
        <v>0.2</v>
      </c>
      <c r="C622" s="10">
        <v>-1E-3</v>
      </c>
      <c r="D622" s="9" t="s">
        <v>1709</v>
      </c>
      <c r="E622" s="11" t="s">
        <v>1710</v>
      </c>
      <c r="F622" s="12" t="s">
        <v>1710</v>
      </c>
      <c r="G622" s="9" t="s">
        <v>1709</v>
      </c>
    </row>
    <row r="623" spans="1:7">
      <c r="A623" s="9" t="s">
        <v>1711</v>
      </c>
      <c r="B623" s="13">
        <v>0.2</v>
      </c>
      <c r="C623" s="10">
        <v>-1E-3</v>
      </c>
      <c r="D623" s="9" t="s">
        <v>1709</v>
      </c>
      <c r="E623" s="11" t="s">
        <v>1710</v>
      </c>
      <c r="F623" s="12" t="s">
        <v>1710</v>
      </c>
      <c r="G623" s="9" t="s">
        <v>1709</v>
      </c>
    </row>
    <row r="624" spans="1:7">
      <c r="A624" s="9" t="s">
        <v>1711</v>
      </c>
      <c r="B624" s="13">
        <v>0.2</v>
      </c>
      <c r="C624" s="10">
        <v>-1E-3</v>
      </c>
      <c r="D624" s="9" t="s">
        <v>1709</v>
      </c>
      <c r="E624" s="11" t="s">
        <v>1710</v>
      </c>
      <c r="F624" s="12" t="s">
        <v>1710</v>
      </c>
      <c r="G624" s="9" t="s">
        <v>1709</v>
      </c>
    </row>
    <row r="625" spans="1:7">
      <c r="A625" s="9" t="s">
        <v>1711</v>
      </c>
      <c r="B625" s="13">
        <v>0.2</v>
      </c>
      <c r="C625" s="10">
        <v>-1E-3</v>
      </c>
      <c r="D625" s="9" t="s">
        <v>1709</v>
      </c>
      <c r="E625" s="11" t="s">
        <v>1710</v>
      </c>
      <c r="F625" s="12" t="s">
        <v>1710</v>
      </c>
      <c r="G625" s="9" t="s">
        <v>1709</v>
      </c>
    </row>
    <row r="626" spans="1:7">
      <c r="A626" s="9" t="s">
        <v>1711</v>
      </c>
      <c r="B626" s="13">
        <v>0.2</v>
      </c>
      <c r="C626" s="10">
        <v>-1E-3</v>
      </c>
      <c r="D626" s="9" t="s">
        <v>1709</v>
      </c>
      <c r="E626" s="11" t="s">
        <v>1710</v>
      </c>
      <c r="F626" s="12" t="s">
        <v>1710</v>
      </c>
      <c r="G626" s="9" t="s">
        <v>1709</v>
      </c>
    </row>
    <row r="627" spans="1:7">
      <c r="A627" s="9" t="s">
        <v>1711</v>
      </c>
      <c r="B627" s="13">
        <v>0.2</v>
      </c>
      <c r="C627" s="10">
        <v>-1E-3</v>
      </c>
      <c r="D627" s="9" t="s">
        <v>1709</v>
      </c>
      <c r="E627" s="11" t="s">
        <v>1710</v>
      </c>
      <c r="F627" s="12" t="s">
        <v>1710</v>
      </c>
      <c r="G627" s="9" t="s">
        <v>1709</v>
      </c>
    </row>
    <row r="628" spans="1:7">
      <c r="A628" s="9" t="s">
        <v>1711</v>
      </c>
      <c r="B628" s="13">
        <v>0.2</v>
      </c>
      <c r="C628" s="10">
        <v>-1E-3</v>
      </c>
      <c r="D628" s="9" t="s">
        <v>1709</v>
      </c>
      <c r="E628" s="11" t="s">
        <v>1710</v>
      </c>
      <c r="F628" s="12" t="s">
        <v>1710</v>
      </c>
      <c r="G628" s="9" t="s">
        <v>1709</v>
      </c>
    </row>
    <row r="629" spans="1:7">
      <c r="A629" s="9" t="s">
        <v>1711</v>
      </c>
      <c r="B629" s="13">
        <v>0.2</v>
      </c>
      <c r="C629" s="10">
        <v>-1E-3</v>
      </c>
      <c r="D629" s="9" t="s">
        <v>1709</v>
      </c>
      <c r="E629" s="11" t="s">
        <v>1710</v>
      </c>
      <c r="F629" s="12" t="s">
        <v>1710</v>
      </c>
      <c r="G629" s="9" t="s">
        <v>1709</v>
      </c>
    </row>
    <row r="630" spans="1:7">
      <c r="A630" s="9" t="s">
        <v>1711</v>
      </c>
      <c r="B630" s="13">
        <v>0.2</v>
      </c>
      <c r="C630" s="10">
        <v>-1E-3</v>
      </c>
      <c r="D630" s="9" t="s">
        <v>1709</v>
      </c>
      <c r="E630" s="11" t="s">
        <v>1710</v>
      </c>
      <c r="F630" s="12" t="s">
        <v>1710</v>
      </c>
      <c r="G630" s="9" t="s">
        <v>1709</v>
      </c>
    </row>
    <row r="631" spans="1:7">
      <c r="A631" s="9" t="s">
        <v>1711</v>
      </c>
      <c r="B631" s="13">
        <v>0.2</v>
      </c>
      <c r="C631" s="10">
        <v>-1E-3</v>
      </c>
      <c r="D631" s="9" t="s">
        <v>1709</v>
      </c>
      <c r="E631" s="11" t="s">
        <v>1710</v>
      </c>
      <c r="F631" s="12" t="s">
        <v>1710</v>
      </c>
      <c r="G631" s="9" t="s">
        <v>1709</v>
      </c>
    </row>
    <row r="632" spans="1:7">
      <c r="A632" s="9" t="s">
        <v>1711</v>
      </c>
      <c r="B632" s="13">
        <v>0.2</v>
      </c>
      <c r="C632" s="10">
        <v>-1E-3</v>
      </c>
      <c r="D632" s="9" t="s">
        <v>1709</v>
      </c>
      <c r="E632" s="11" t="s">
        <v>1710</v>
      </c>
      <c r="F632" s="12" t="s">
        <v>1710</v>
      </c>
      <c r="G632" s="9" t="s">
        <v>1709</v>
      </c>
    </row>
    <row r="633" spans="1:7">
      <c r="A633" s="9" t="s">
        <v>1711</v>
      </c>
      <c r="B633" s="13">
        <v>0.2</v>
      </c>
      <c r="C633" s="10">
        <v>-1E-3</v>
      </c>
      <c r="D633" s="9" t="s">
        <v>1709</v>
      </c>
      <c r="E633" s="11" t="s">
        <v>1710</v>
      </c>
      <c r="F633" s="12" t="s">
        <v>1710</v>
      </c>
      <c r="G633" s="9" t="s">
        <v>1709</v>
      </c>
    </row>
    <row r="634" spans="1:7">
      <c r="A634" s="9" t="s">
        <v>1711</v>
      </c>
      <c r="B634" s="13">
        <v>0.2</v>
      </c>
      <c r="C634" s="10">
        <v>1.8619999999999999</v>
      </c>
      <c r="D634" s="9" t="s">
        <v>1712</v>
      </c>
      <c r="E634" s="11" t="s">
        <v>1736</v>
      </c>
      <c r="F634" s="12" t="s">
        <v>1714</v>
      </c>
      <c r="G634" s="9" t="s">
        <v>1709</v>
      </c>
    </row>
    <row r="635" spans="1:7">
      <c r="A635" s="9" t="s">
        <v>1711</v>
      </c>
      <c r="B635" s="13">
        <v>0.2</v>
      </c>
      <c r="C635" s="10">
        <v>1.8619999999999999</v>
      </c>
      <c r="D635" s="9" t="s">
        <v>1712</v>
      </c>
      <c r="E635" s="11" t="s">
        <v>1736</v>
      </c>
      <c r="F635" s="12" t="s">
        <v>1714</v>
      </c>
      <c r="G635" s="9" t="s">
        <v>1709</v>
      </c>
    </row>
    <row r="636" spans="1:7">
      <c r="A636" s="9" t="s">
        <v>1711</v>
      </c>
      <c r="B636" s="13">
        <v>0.2</v>
      </c>
      <c r="C636" s="10">
        <v>0.80400000000000005</v>
      </c>
      <c r="D636" s="9" t="s">
        <v>1712</v>
      </c>
      <c r="E636" s="11" t="s">
        <v>1736</v>
      </c>
      <c r="F636" s="12" t="s">
        <v>1714</v>
      </c>
      <c r="G636" s="9" t="s">
        <v>1709</v>
      </c>
    </row>
    <row r="637" spans="1:7">
      <c r="A637" s="9" t="s">
        <v>1711</v>
      </c>
      <c r="B637" s="13">
        <v>0.2</v>
      </c>
      <c r="C637" s="10">
        <v>0.26</v>
      </c>
      <c r="D637" s="9" t="s">
        <v>1712</v>
      </c>
      <c r="E637" s="11" t="s">
        <v>1736</v>
      </c>
      <c r="F637" s="12" t="s">
        <v>1714</v>
      </c>
      <c r="G637" s="9" t="s">
        <v>1709</v>
      </c>
    </row>
    <row r="638" spans="1:7">
      <c r="A638" s="9" t="s">
        <v>1711</v>
      </c>
      <c r="B638" s="13">
        <v>0.2</v>
      </c>
      <c r="C638" s="10">
        <v>1.5959999999999999</v>
      </c>
      <c r="D638" s="9" t="s">
        <v>1712</v>
      </c>
      <c r="E638" s="11" t="s">
        <v>1736</v>
      </c>
      <c r="F638" s="12" t="s">
        <v>1714</v>
      </c>
      <c r="G638" s="9" t="s">
        <v>1709</v>
      </c>
    </row>
    <row r="639" spans="1:7">
      <c r="A639" s="9" t="s">
        <v>1711</v>
      </c>
      <c r="B639" s="13">
        <v>0.2</v>
      </c>
      <c r="C639" s="10">
        <v>3.7639999999999998</v>
      </c>
      <c r="D639" s="9" t="s">
        <v>1712</v>
      </c>
      <c r="E639" s="11" t="s">
        <v>1736</v>
      </c>
      <c r="F639" s="12" t="s">
        <v>1714</v>
      </c>
      <c r="G639" s="9" t="s">
        <v>1709</v>
      </c>
    </row>
    <row r="640" spans="1:7">
      <c r="A640" s="9" t="s">
        <v>1711</v>
      </c>
      <c r="B640" s="9">
        <v>0.2</v>
      </c>
      <c r="C640" s="10">
        <v>-0.14499999999999999</v>
      </c>
      <c r="D640" s="9" t="s">
        <v>1709</v>
      </c>
      <c r="E640" s="11" t="s">
        <v>1710</v>
      </c>
      <c r="F640" s="12" t="s">
        <v>1710</v>
      </c>
      <c r="G640" s="9" t="s">
        <v>1709</v>
      </c>
    </row>
    <row r="641" spans="1:7">
      <c r="A641" s="9" t="s">
        <v>1711</v>
      </c>
      <c r="B641" s="9">
        <v>0.2</v>
      </c>
      <c r="C641" s="10">
        <v>3.7639999999999998</v>
      </c>
      <c r="D641" s="9" t="s">
        <v>1712</v>
      </c>
      <c r="E641" s="11" t="s">
        <v>1736</v>
      </c>
      <c r="F641" s="12" t="s">
        <v>1714</v>
      </c>
      <c r="G641" s="9" t="s">
        <v>1709</v>
      </c>
    </row>
    <row r="642" spans="1:7">
      <c r="A642" s="9" t="s">
        <v>1711</v>
      </c>
      <c r="B642" s="9">
        <v>0.2</v>
      </c>
      <c r="C642" s="10">
        <v>-6.4000000000000001E-2</v>
      </c>
      <c r="D642" s="9" t="s">
        <v>1709</v>
      </c>
      <c r="E642" s="11" t="s">
        <v>1710</v>
      </c>
      <c r="F642" s="12" t="s">
        <v>1710</v>
      </c>
      <c r="G642" s="9" t="s">
        <v>1709</v>
      </c>
    </row>
    <row r="643" spans="1:7">
      <c r="A643" s="9" t="s">
        <v>1711</v>
      </c>
      <c r="B643" s="9">
        <v>0.2</v>
      </c>
      <c r="C643" s="10">
        <v>0.29399999999999998</v>
      </c>
      <c r="D643" s="9" t="s">
        <v>1712</v>
      </c>
      <c r="E643" s="11" t="s">
        <v>1736</v>
      </c>
      <c r="F643" s="12" t="s">
        <v>1714</v>
      </c>
      <c r="G643" s="9" t="s">
        <v>1709</v>
      </c>
    </row>
    <row r="644" spans="1:7">
      <c r="A644" s="9" t="s">
        <v>1711</v>
      </c>
      <c r="B644" s="9">
        <v>0.2</v>
      </c>
      <c r="C644" s="10">
        <v>0.9</v>
      </c>
      <c r="D644" s="9" t="s">
        <v>1712</v>
      </c>
      <c r="E644" s="11" t="s">
        <v>1736</v>
      </c>
      <c r="F644" s="12" t="s">
        <v>1714</v>
      </c>
      <c r="G644" s="9" t="s">
        <v>1709</v>
      </c>
    </row>
    <row r="645" spans="1:7">
      <c r="A645" s="9" t="s">
        <v>1711</v>
      </c>
      <c r="B645" s="9">
        <v>0.2</v>
      </c>
      <c r="C645" s="10">
        <v>1.1779999999999999</v>
      </c>
      <c r="D645" s="9" t="s">
        <v>1712</v>
      </c>
      <c r="E645" s="11" t="s">
        <v>1736</v>
      </c>
      <c r="F645" s="12" t="s">
        <v>1714</v>
      </c>
      <c r="G645" s="9" t="s">
        <v>1709</v>
      </c>
    </row>
    <row r="646" spans="1:7">
      <c r="A646" s="9" t="s">
        <v>1711</v>
      </c>
      <c r="B646" s="9">
        <v>0.2</v>
      </c>
      <c r="C646" s="10">
        <v>0.29099999999999998</v>
      </c>
      <c r="D646" s="9" t="s">
        <v>1712</v>
      </c>
      <c r="E646" s="11" t="s">
        <v>1736</v>
      </c>
      <c r="F646" s="12" t="s">
        <v>1714</v>
      </c>
      <c r="G646" s="9" t="s">
        <v>1709</v>
      </c>
    </row>
    <row r="647" spans="1:7">
      <c r="A647" s="9" t="s">
        <v>1711</v>
      </c>
      <c r="B647" s="9">
        <v>0.2</v>
      </c>
      <c r="C647" s="10">
        <v>0.29099999999999998</v>
      </c>
      <c r="D647" s="9" t="s">
        <v>1712</v>
      </c>
      <c r="E647" s="11" t="s">
        <v>1736</v>
      </c>
      <c r="F647" s="12" t="s">
        <v>1714</v>
      </c>
      <c r="G647" s="9" t="s">
        <v>1709</v>
      </c>
    </row>
    <row r="648" spans="1:7">
      <c r="A648" s="9" t="s">
        <v>1711</v>
      </c>
      <c r="B648" s="9">
        <v>0.2</v>
      </c>
      <c r="C648" s="10">
        <v>-4.8000000000000001E-2</v>
      </c>
      <c r="D648" s="9" t="s">
        <v>1709</v>
      </c>
      <c r="E648" s="11" t="s">
        <v>1710</v>
      </c>
      <c r="F648" s="12" t="s">
        <v>1710</v>
      </c>
      <c r="G648" s="9" t="s">
        <v>1709</v>
      </c>
    </row>
    <row r="649" spans="1:7">
      <c r="A649" s="9" t="s">
        <v>1711</v>
      </c>
      <c r="B649" s="9">
        <v>0.2</v>
      </c>
      <c r="C649" s="10">
        <v>1.1819999999999999</v>
      </c>
      <c r="D649" s="9" t="s">
        <v>1712</v>
      </c>
      <c r="E649" s="11" t="s">
        <v>1737</v>
      </c>
      <c r="F649" s="12" t="s">
        <v>1714</v>
      </c>
      <c r="G649" s="9" t="s">
        <v>1709</v>
      </c>
    </row>
    <row r="650" spans="1:7">
      <c r="A650" s="9" t="s">
        <v>1711</v>
      </c>
      <c r="B650" s="9">
        <v>0.2</v>
      </c>
      <c r="C650" s="10">
        <v>0.13900000000000001</v>
      </c>
      <c r="D650" s="9" t="s">
        <v>1712</v>
      </c>
      <c r="E650" s="11" t="s">
        <v>1736</v>
      </c>
      <c r="F650" s="12" t="s">
        <v>1714</v>
      </c>
      <c r="G650" s="9" t="s">
        <v>1709</v>
      </c>
    </row>
    <row r="651" spans="1:7">
      <c r="A651" s="9" t="s">
        <v>1711</v>
      </c>
      <c r="B651" s="9">
        <v>0.2</v>
      </c>
      <c r="C651" s="10">
        <v>0.13900000000000001</v>
      </c>
      <c r="D651" s="9" t="s">
        <v>1712</v>
      </c>
      <c r="E651" s="11" t="s">
        <v>1736</v>
      </c>
      <c r="F651" s="12" t="s">
        <v>1714</v>
      </c>
      <c r="G651" s="9" t="s">
        <v>1709</v>
      </c>
    </row>
    <row r="652" spans="1:7">
      <c r="A652" s="9" t="s">
        <v>1711</v>
      </c>
      <c r="B652" s="13">
        <v>0.2</v>
      </c>
      <c r="C652" s="10">
        <v>0.13900000000000001</v>
      </c>
      <c r="D652" s="9" t="s">
        <v>1712</v>
      </c>
      <c r="E652" s="11" t="s">
        <v>1736</v>
      </c>
      <c r="F652" s="12" t="s">
        <v>1714</v>
      </c>
      <c r="G652" s="9" t="s">
        <v>1709</v>
      </c>
    </row>
    <row r="653" spans="1:7">
      <c r="A653" s="9" t="s">
        <v>1711</v>
      </c>
      <c r="B653" s="13">
        <v>0.2</v>
      </c>
      <c r="C653" s="10">
        <v>0.13900000000000001</v>
      </c>
      <c r="D653" s="9" t="s">
        <v>1712</v>
      </c>
      <c r="E653" s="11" t="s">
        <v>1736</v>
      </c>
      <c r="F653" s="12" t="s">
        <v>1714</v>
      </c>
      <c r="G653" s="9" t="s">
        <v>1709</v>
      </c>
    </row>
    <row r="654" spans="1:7">
      <c r="A654" s="9" t="s">
        <v>1711</v>
      </c>
      <c r="B654" s="9">
        <v>0.2</v>
      </c>
      <c r="C654" s="10">
        <v>0.13900000000000001</v>
      </c>
      <c r="D654" s="9" t="s">
        <v>1712</v>
      </c>
      <c r="E654" s="11" t="s">
        <v>1736</v>
      </c>
      <c r="F654" s="12" t="s">
        <v>1714</v>
      </c>
      <c r="G654" s="9" t="s">
        <v>1709</v>
      </c>
    </row>
    <row r="655" spans="1:7">
      <c r="A655" s="9" t="s">
        <v>1711</v>
      </c>
      <c r="B655" s="13">
        <v>0.2</v>
      </c>
      <c r="C655" s="10">
        <v>0.13900000000000001</v>
      </c>
      <c r="D655" s="9" t="s">
        <v>1712</v>
      </c>
      <c r="E655" s="11" t="s">
        <v>1736</v>
      </c>
      <c r="F655" s="12" t="s">
        <v>1714</v>
      </c>
      <c r="G655" s="9" t="s">
        <v>1709</v>
      </c>
    </row>
    <row r="656" spans="1:7">
      <c r="A656" s="9" t="s">
        <v>1711</v>
      </c>
      <c r="B656" s="13">
        <v>0.2</v>
      </c>
      <c r="C656" s="10">
        <v>0.19600000000000001</v>
      </c>
      <c r="D656" s="9" t="s">
        <v>1712</v>
      </c>
      <c r="E656" s="11" t="s">
        <v>1736</v>
      </c>
      <c r="F656" s="12" t="s">
        <v>1714</v>
      </c>
      <c r="G656" s="9" t="s">
        <v>1709</v>
      </c>
    </row>
    <row r="657" spans="1:7">
      <c r="A657" s="9" t="s">
        <v>1711</v>
      </c>
      <c r="B657" s="13">
        <v>0.2</v>
      </c>
      <c r="C657" s="10">
        <v>-0.14599999999999999</v>
      </c>
      <c r="D657" s="9" t="s">
        <v>1709</v>
      </c>
      <c r="E657" s="11" t="s">
        <v>1710</v>
      </c>
      <c r="F657" s="12" t="s">
        <v>1710</v>
      </c>
      <c r="G657" s="9" t="s">
        <v>1709</v>
      </c>
    </row>
    <row r="658" spans="1:7">
      <c r="A658" s="9" t="s">
        <v>1711</v>
      </c>
      <c r="B658" s="13">
        <v>0.2</v>
      </c>
      <c r="C658" s="10">
        <v>-5.0000000000000001E-3</v>
      </c>
      <c r="D658" s="9" t="s">
        <v>1709</v>
      </c>
      <c r="E658" s="11" t="s">
        <v>1710</v>
      </c>
      <c r="F658" s="12" t="s">
        <v>1710</v>
      </c>
      <c r="G658" s="9" t="s">
        <v>1709</v>
      </c>
    </row>
    <row r="659" spans="1:7">
      <c r="A659" s="9" t="s">
        <v>1711</v>
      </c>
      <c r="B659" s="13">
        <v>0.2</v>
      </c>
      <c r="C659" s="10">
        <v>0.64100000000000001</v>
      </c>
      <c r="D659" s="9" t="s">
        <v>1712</v>
      </c>
      <c r="E659" s="11" t="s">
        <v>1715</v>
      </c>
      <c r="F659" s="12" t="s">
        <v>1714</v>
      </c>
      <c r="G659" s="9" t="s">
        <v>1709</v>
      </c>
    </row>
    <row r="660" spans="1:7">
      <c r="A660" s="9" t="s">
        <v>1711</v>
      </c>
      <c r="B660" s="9">
        <v>0.2</v>
      </c>
      <c r="C660" s="10">
        <v>0.64100000000000001</v>
      </c>
      <c r="D660" s="9" t="s">
        <v>1712</v>
      </c>
      <c r="E660" s="11" t="s">
        <v>1715</v>
      </c>
      <c r="F660" s="12" t="s">
        <v>1714</v>
      </c>
      <c r="G660" s="9" t="s">
        <v>1709</v>
      </c>
    </row>
    <row r="661" spans="1:7">
      <c r="A661" s="9" t="s">
        <v>1711</v>
      </c>
      <c r="B661" s="13">
        <v>0.2</v>
      </c>
      <c r="C661" s="10">
        <v>0.64100000000000001</v>
      </c>
      <c r="D661" s="9" t="s">
        <v>1712</v>
      </c>
      <c r="E661" s="11" t="s">
        <v>1715</v>
      </c>
      <c r="F661" s="12" t="s">
        <v>1714</v>
      </c>
      <c r="G661" s="9" t="s">
        <v>1709</v>
      </c>
    </row>
    <row r="662" spans="1:7">
      <c r="A662" s="9" t="s">
        <v>1711</v>
      </c>
      <c r="B662" s="13">
        <v>0.2</v>
      </c>
      <c r="C662" s="10">
        <v>0.184</v>
      </c>
      <c r="D662" s="9" t="s">
        <v>1712</v>
      </c>
      <c r="E662" s="11" t="s">
        <v>1736</v>
      </c>
      <c r="F662" s="12" t="s">
        <v>1714</v>
      </c>
      <c r="G662" s="9" t="s">
        <v>1709</v>
      </c>
    </row>
    <row r="663" spans="1:7">
      <c r="A663" s="9" t="s">
        <v>1711</v>
      </c>
      <c r="B663" s="13">
        <v>0.2</v>
      </c>
      <c r="C663" s="10">
        <v>0.76200000000000001</v>
      </c>
      <c r="D663" s="9" t="s">
        <v>1712</v>
      </c>
      <c r="E663" s="11" t="s">
        <v>1736</v>
      </c>
      <c r="F663" s="12" t="s">
        <v>1714</v>
      </c>
      <c r="G663" s="9" t="s">
        <v>1709</v>
      </c>
    </row>
    <row r="664" spans="1:7">
      <c r="A664" s="9" t="s">
        <v>1711</v>
      </c>
      <c r="B664" s="13">
        <v>0.2</v>
      </c>
      <c r="C664" s="10">
        <v>0.29099999999999998</v>
      </c>
      <c r="D664" s="9" t="s">
        <v>1712</v>
      </c>
      <c r="E664" s="11" t="s">
        <v>1736</v>
      </c>
      <c r="F664" s="12" t="s">
        <v>1714</v>
      </c>
      <c r="G664" s="9" t="s">
        <v>1709</v>
      </c>
    </row>
    <row r="665" spans="1:7">
      <c r="A665" s="9" t="s">
        <v>1711</v>
      </c>
      <c r="B665" s="13">
        <v>0.2</v>
      </c>
      <c r="C665" s="10">
        <v>0.19800000000000001</v>
      </c>
      <c r="D665" s="9" t="s">
        <v>1712</v>
      </c>
      <c r="E665" s="11" t="s">
        <v>1736</v>
      </c>
      <c r="F665" s="12" t="s">
        <v>1714</v>
      </c>
      <c r="G665" s="9" t="s">
        <v>1709</v>
      </c>
    </row>
    <row r="666" spans="1:7">
      <c r="A666" s="9" t="s">
        <v>1711</v>
      </c>
      <c r="B666" s="13">
        <v>0.2</v>
      </c>
      <c r="C666" s="10">
        <v>0.19800000000000001</v>
      </c>
      <c r="D666" s="9" t="s">
        <v>1712</v>
      </c>
      <c r="E666" s="11" t="s">
        <v>1736</v>
      </c>
      <c r="F666" s="12" t="s">
        <v>1714</v>
      </c>
      <c r="G666" s="9" t="s">
        <v>1709</v>
      </c>
    </row>
    <row r="667" spans="1:7">
      <c r="A667" s="9" t="s">
        <v>1711</v>
      </c>
      <c r="B667" s="13">
        <v>0.2</v>
      </c>
      <c r="C667" s="10">
        <v>0.93500000000000005</v>
      </c>
      <c r="D667" s="9" t="s">
        <v>1712</v>
      </c>
      <c r="E667" s="11" t="s">
        <v>1736</v>
      </c>
      <c r="F667" s="12" t="s">
        <v>1714</v>
      </c>
      <c r="G667" s="9" t="s">
        <v>1709</v>
      </c>
    </row>
    <row r="668" spans="1:7">
      <c r="A668" s="9" t="s">
        <v>1711</v>
      </c>
      <c r="B668" s="13">
        <v>0.2</v>
      </c>
      <c r="C668" s="10">
        <v>0.93500000000000005</v>
      </c>
      <c r="D668" s="9" t="s">
        <v>1712</v>
      </c>
      <c r="E668" s="11" t="s">
        <v>1736</v>
      </c>
      <c r="F668" s="12" t="s">
        <v>1714</v>
      </c>
      <c r="G668" s="9" t="s">
        <v>1709</v>
      </c>
    </row>
    <row r="669" spans="1:7">
      <c r="A669" s="9" t="s">
        <v>1711</v>
      </c>
      <c r="B669" s="13">
        <v>0.2</v>
      </c>
      <c r="C669" s="10">
        <v>0.48899999999999999</v>
      </c>
      <c r="D669" s="9" t="s">
        <v>1712</v>
      </c>
      <c r="E669" s="11" t="s">
        <v>1736</v>
      </c>
      <c r="F669" s="12" t="s">
        <v>1714</v>
      </c>
      <c r="G669" s="9" t="s">
        <v>1709</v>
      </c>
    </row>
    <row r="670" spans="1:7">
      <c r="A670" s="9" t="s">
        <v>1711</v>
      </c>
      <c r="B670" s="13">
        <v>0.2</v>
      </c>
      <c r="C670" s="10">
        <v>0.19600000000000001</v>
      </c>
      <c r="D670" s="9" t="s">
        <v>1712</v>
      </c>
      <c r="E670" s="11" t="s">
        <v>1736</v>
      </c>
      <c r="F670" s="12" t="s">
        <v>1714</v>
      </c>
      <c r="G670" s="9" t="s">
        <v>1709</v>
      </c>
    </row>
    <row r="671" spans="1:7">
      <c r="A671" s="9" t="s">
        <v>1711</v>
      </c>
      <c r="B671" s="13">
        <v>0.2</v>
      </c>
      <c r="C671" s="10">
        <v>0.13800000000000001</v>
      </c>
      <c r="D671" s="9" t="s">
        <v>1712</v>
      </c>
      <c r="E671" s="11" t="s">
        <v>1736</v>
      </c>
      <c r="F671" s="12" t="s">
        <v>1714</v>
      </c>
      <c r="G671" s="9" t="s">
        <v>1709</v>
      </c>
    </row>
    <row r="672" spans="1:7">
      <c r="A672" s="9" t="s">
        <v>1711</v>
      </c>
      <c r="B672" s="13">
        <v>0.2</v>
      </c>
      <c r="C672" s="10">
        <v>0.29399999999999998</v>
      </c>
      <c r="D672" s="9" t="s">
        <v>1712</v>
      </c>
      <c r="E672" s="11" t="s">
        <v>1736</v>
      </c>
      <c r="F672" s="12" t="s">
        <v>1714</v>
      </c>
      <c r="G672" s="9" t="s">
        <v>1709</v>
      </c>
    </row>
    <row r="673" spans="1:7">
      <c r="A673" s="9" t="s">
        <v>1711</v>
      </c>
      <c r="B673" s="13">
        <v>0.2</v>
      </c>
      <c r="C673" s="10">
        <v>0.64100000000000001</v>
      </c>
      <c r="D673" s="9" t="s">
        <v>1712</v>
      </c>
      <c r="E673" s="11" t="s">
        <v>1742</v>
      </c>
      <c r="F673" s="12" t="s">
        <v>1714</v>
      </c>
      <c r="G673" s="9" t="s">
        <v>1709</v>
      </c>
    </row>
    <row r="674" spans="1:7">
      <c r="A674" s="9" t="s">
        <v>1711</v>
      </c>
      <c r="B674" s="13">
        <v>0.2</v>
      </c>
      <c r="C674" s="10">
        <v>-0.19800000000000001</v>
      </c>
      <c r="D674" s="9" t="s">
        <v>1709</v>
      </c>
      <c r="E674" s="11" t="s">
        <v>1710</v>
      </c>
      <c r="F674" s="12" t="s">
        <v>1710</v>
      </c>
      <c r="G674" s="9" t="s">
        <v>1709</v>
      </c>
    </row>
    <row r="675" spans="1:7">
      <c r="A675" s="9" t="s">
        <v>1711</v>
      </c>
      <c r="B675" s="9">
        <v>0.2</v>
      </c>
      <c r="C675" s="10">
        <v>-5.7000000000000002E-2</v>
      </c>
      <c r="D675" s="9" t="s">
        <v>1709</v>
      </c>
      <c r="E675" s="11" t="s">
        <v>1710</v>
      </c>
      <c r="F675" s="12" t="s">
        <v>1710</v>
      </c>
      <c r="G675" s="9" t="s">
        <v>1709</v>
      </c>
    </row>
    <row r="676" spans="1:7">
      <c r="A676" s="9" t="s">
        <v>1711</v>
      </c>
      <c r="B676" s="13">
        <v>0.2</v>
      </c>
      <c r="C676" s="10">
        <v>-4.9000000000000002E-2</v>
      </c>
      <c r="D676" s="9" t="s">
        <v>1709</v>
      </c>
      <c r="E676" s="11" t="s">
        <v>1710</v>
      </c>
      <c r="F676" s="12" t="s">
        <v>1710</v>
      </c>
      <c r="G676" s="9" t="s">
        <v>1709</v>
      </c>
    </row>
    <row r="677" spans="1:7">
      <c r="A677" s="9" t="s">
        <v>1711</v>
      </c>
      <c r="B677" s="13">
        <v>0.2</v>
      </c>
      <c r="C677" s="10">
        <v>-5.8000000000000003E-2</v>
      </c>
      <c r="D677" s="9" t="s">
        <v>1709</v>
      </c>
      <c r="E677" s="11" t="s">
        <v>1710</v>
      </c>
      <c r="F677" s="12" t="s">
        <v>1710</v>
      </c>
      <c r="G677" s="9" t="s">
        <v>1709</v>
      </c>
    </row>
    <row r="678" spans="1:7">
      <c r="A678" s="9" t="s">
        <v>1711</v>
      </c>
      <c r="B678" s="13">
        <v>0.2</v>
      </c>
      <c r="C678" s="10">
        <v>-5.2999999999999999E-2</v>
      </c>
      <c r="D678" s="9" t="s">
        <v>1709</v>
      </c>
      <c r="E678" s="11" t="s">
        <v>1710</v>
      </c>
      <c r="F678" s="12" t="s">
        <v>1710</v>
      </c>
      <c r="G678" s="9" t="s">
        <v>1709</v>
      </c>
    </row>
    <row r="679" spans="1:7">
      <c r="A679" s="9" t="s">
        <v>1711</v>
      </c>
      <c r="B679" s="9">
        <v>0.2</v>
      </c>
      <c r="C679" s="10">
        <v>-0.06</v>
      </c>
      <c r="D679" s="9" t="s">
        <v>1709</v>
      </c>
      <c r="E679" s="11" t="s">
        <v>1710</v>
      </c>
      <c r="F679" s="12" t="s">
        <v>1710</v>
      </c>
      <c r="G679" s="9" t="s">
        <v>1709</v>
      </c>
    </row>
    <row r="680" spans="1:7">
      <c r="A680" s="9" t="s">
        <v>1711</v>
      </c>
      <c r="B680" s="9">
        <v>0.2</v>
      </c>
      <c r="C680" s="10">
        <v>-0.114</v>
      </c>
      <c r="D680" s="9" t="s">
        <v>1709</v>
      </c>
      <c r="E680" s="11" t="s">
        <v>1710</v>
      </c>
      <c r="F680" s="12" t="s">
        <v>1710</v>
      </c>
      <c r="G680" s="9" t="s">
        <v>1709</v>
      </c>
    </row>
    <row r="681" spans="1:7">
      <c r="A681" s="9" t="s">
        <v>1711</v>
      </c>
      <c r="B681" s="9">
        <v>0.2</v>
      </c>
      <c r="C681" s="10">
        <v>0.85199999999999998</v>
      </c>
      <c r="D681" s="9" t="s">
        <v>1712</v>
      </c>
      <c r="E681" s="11" t="s">
        <v>1715</v>
      </c>
      <c r="F681" s="12" t="s">
        <v>1714</v>
      </c>
      <c r="G681" s="9" t="s">
        <v>1709</v>
      </c>
    </row>
    <row r="682" spans="1:7">
      <c r="A682" s="9" t="s">
        <v>1711</v>
      </c>
      <c r="B682" s="9">
        <v>0.2</v>
      </c>
      <c r="C682" s="10">
        <v>0.85199999999999998</v>
      </c>
      <c r="D682" s="9" t="s">
        <v>1712</v>
      </c>
      <c r="E682" s="11" t="s">
        <v>1715</v>
      </c>
      <c r="F682" s="12" t="s">
        <v>1714</v>
      </c>
      <c r="G682" s="9" t="s">
        <v>1709</v>
      </c>
    </row>
    <row r="683" spans="1:7">
      <c r="A683" s="9" t="s">
        <v>1711</v>
      </c>
      <c r="B683" s="9">
        <v>0.2</v>
      </c>
      <c r="C683" s="10">
        <v>0.85199999999999998</v>
      </c>
      <c r="D683" s="9" t="s">
        <v>1712</v>
      </c>
      <c r="E683" s="11" t="s">
        <v>1715</v>
      </c>
      <c r="F683" s="12" t="s">
        <v>1714</v>
      </c>
      <c r="G683" s="9" t="s">
        <v>1709</v>
      </c>
    </row>
    <row r="684" spans="1:7">
      <c r="A684" s="9" t="s">
        <v>1711</v>
      </c>
      <c r="B684" s="9">
        <v>0.2</v>
      </c>
      <c r="C684" s="10">
        <v>0.85199999999999998</v>
      </c>
      <c r="D684" s="9" t="s">
        <v>1712</v>
      </c>
      <c r="E684" s="11" t="s">
        <v>1715</v>
      </c>
      <c r="F684" s="12" t="s">
        <v>1714</v>
      </c>
      <c r="G684" s="9" t="s">
        <v>1709</v>
      </c>
    </row>
    <row r="685" spans="1:7">
      <c r="A685" s="9" t="s">
        <v>1711</v>
      </c>
      <c r="B685" s="9">
        <v>0.2</v>
      </c>
      <c r="C685" s="10">
        <v>0.85199999999999998</v>
      </c>
      <c r="D685" s="9" t="s">
        <v>1712</v>
      </c>
      <c r="E685" s="11" t="s">
        <v>1715</v>
      </c>
      <c r="F685" s="12" t="s">
        <v>1714</v>
      </c>
      <c r="G685" s="9" t="s">
        <v>1709</v>
      </c>
    </row>
    <row r="686" spans="1:7">
      <c r="A686" s="9" t="s">
        <v>1711</v>
      </c>
      <c r="B686" s="9">
        <v>0.2</v>
      </c>
      <c r="C686" s="10">
        <v>0.85199999999999998</v>
      </c>
      <c r="D686" s="9" t="s">
        <v>1712</v>
      </c>
      <c r="E686" s="11" t="s">
        <v>1715</v>
      </c>
      <c r="F686" s="12" t="s">
        <v>1714</v>
      </c>
      <c r="G686" s="9" t="s">
        <v>1709</v>
      </c>
    </row>
    <row r="687" spans="1:7">
      <c r="A687" s="9" t="s">
        <v>1711</v>
      </c>
      <c r="B687" s="9">
        <v>0.2</v>
      </c>
      <c r="C687" s="10">
        <v>0.85199999999999998</v>
      </c>
      <c r="D687" s="9" t="s">
        <v>1712</v>
      </c>
      <c r="E687" s="11" t="s">
        <v>1715</v>
      </c>
      <c r="F687" s="12" t="s">
        <v>1714</v>
      </c>
      <c r="G687" s="9" t="s">
        <v>1709</v>
      </c>
    </row>
    <row r="688" spans="1:7">
      <c r="A688" s="9" t="s">
        <v>1711</v>
      </c>
      <c r="B688" s="9">
        <v>0.2</v>
      </c>
      <c r="C688" s="10">
        <v>0.51900000000000002</v>
      </c>
      <c r="D688" s="9" t="s">
        <v>1712</v>
      </c>
      <c r="E688" s="11" t="s">
        <v>1736</v>
      </c>
      <c r="F688" s="12" t="s">
        <v>1714</v>
      </c>
      <c r="G688" s="9" t="s">
        <v>1709</v>
      </c>
    </row>
    <row r="689" spans="1:7">
      <c r="A689" s="9" t="s">
        <v>1711</v>
      </c>
      <c r="B689" s="9">
        <v>0.2</v>
      </c>
      <c r="C689" s="10">
        <v>-5.0000000000000001E-3</v>
      </c>
      <c r="D689" s="9" t="s">
        <v>1709</v>
      </c>
      <c r="E689" s="11" t="s">
        <v>1710</v>
      </c>
      <c r="F689" s="12" t="s">
        <v>1710</v>
      </c>
      <c r="G689" s="9" t="s">
        <v>1709</v>
      </c>
    </row>
    <row r="690" spans="1:7">
      <c r="A690" s="9" t="s">
        <v>1711</v>
      </c>
      <c r="B690" s="9">
        <v>0.2</v>
      </c>
      <c r="C690" s="10">
        <v>0.76500000000000001</v>
      </c>
      <c r="D690" s="9" t="s">
        <v>1712</v>
      </c>
      <c r="E690" s="11" t="s">
        <v>1736</v>
      </c>
      <c r="F690" s="12" t="s">
        <v>1714</v>
      </c>
      <c r="G690" s="9" t="s">
        <v>1709</v>
      </c>
    </row>
    <row r="691" spans="1:7">
      <c r="A691" s="9" t="s">
        <v>1711</v>
      </c>
      <c r="B691" s="13">
        <v>0.2</v>
      </c>
      <c r="C691" s="10">
        <v>0.54100000000000004</v>
      </c>
      <c r="D691" s="9" t="s">
        <v>1712</v>
      </c>
      <c r="E691" s="11" t="s">
        <v>1736</v>
      </c>
      <c r="F691" s="12" t="s">
        <v>1714</v>
      </c>
      <c r="G691" s="9" t="s">
        <v>1709</v>
      </c>
    </row>
    <row r="692" spans="1:7">
      <c r="A692" s="9" t="s">
        <v>1711</v>
      </c>
      <c r="B692" s="13">
        <v>0.2</v>
      </c>
      <c r="C692" s="10">
        <v>1.9E-2</v>
      </c>
      <c r="D692" s="9" t="s">
        <v>1712</v>
      </c>
      <c r="E692" s="11" t="s">
        <v>1736</v>
      </c>
      <c r="F692" s="12" t="s">
        <v>1714</v>
      </c>
      <c r="G692" s="9" t="s">
        <v>1709</v>
      </c>
    </row>
    <row r="693" spans="1:7">
      <c r="A693" s="9" t="s">
        <v>1711</v>
      </c>
      <c r="B693" s="13">
        <v>0.2</v>
      </c>
      <c r="C693" s="10">
        <v>5.2999999999999999E-2</v>
      </c>
      <c r="D693" s="9" t="s">
        <v>1712</v>
      </c>
      <c r="E693" s="11" t="s">
        <v>1736</v>
      </c>
      <c r="F693" s="12" t="s">
        <v>1714</v>
      </c>
      <c r="G693" s="9" t="s">
        <v>1709</v>
      </c>
    </row>
    <row r="694" spans="1:7">
      <c r="A694" s="9" t="s">
        <v>1711</v>
      </c>
      <c r="B694" s="13">
        <v>0.2</v>
      </c>
      <c r="C694" s="10">
        <v>0.20499999999999999</v>
      </c>
      <c r="D694" s="9" t="s">
        <v>1712</v>
      </c>
      <c r="E694" s="11" t="s">
        <v>1736</v>
      </c>
      <c r="F694" s="12" t="s">
        <v>1714</v>
      </c>
      <c r="G694" s="9" t="s">
        <v>1709</v>
      </c>
    </row>
    <row r="695" spans="1:7">
      <c r="A695" s="9" t="s">
        <v>1711</v>
      </c>
      <c r="B695" s="13">
        <v>0.2</v>
      </c>
      <c r="C695" s="10">
        <v>0.55700000000000005</v>
      </c>
      <c r="D695" s="9" t="s">
        <v>1712</v>
      </c>
      <c r="E695" s="11" t="s">
        <v>1737</v>
      </c>
      <c r="F695" s="12" t="s">
        <v>1714</v>
      </c>
      <c r="G695" s="9" t="s">
        <v>1709</v>
      </c>
    </row>
    <row r="696" spans="1:7">
      <c r="A696" s="9" t="s">
        <v>1711</v>
      </c>
      <c r="B696" s="13">
        <v>0.2</v>
      </c>
      <c r="C696" s="10">
        <v>0.55700000000000005</v>
      </c>
      <c r="D696" s="9" t="s">
        <v>1712</v>
      </c>
      <c r="E696" s="11" t="s">
        <v>1737</v>
      </c>
      <c r="F696" s="12" t="s">
        <v>1714</v>
      </c>
      <c r="G696" s="9" t="s">
        <v>1709</v>
      </c>
    </row>
    <row r="697" spans="1:7">
      <c r="A697" s="9" t="s">
        <v>1711</v>
      </c>
      <c r="B697" s="13">
        <v>0.2</v>
      </c>
      <c r="C697" s="10">
        <v>0.55700000000000005</v>
      </c>
      <c r="D697" s="9" t="s">
        <v>1712</v>
      </c>
      <c r="E697" s="11" t="s">
        <v>1737</v>
      </c>
      <c r="F697" s="12" t="s">
        <v>1714</v>
      </c>
      <c r="G697" s="9" t="s">
        <v>1709</v>
      </c>
    </row>
    <row r="698" spans="1:7">
      <c r="A698" s="9" t="s">
        <v>1711</v>
      </c>
      <c r="B698" s="13">
        <v>0.2</v>
      </c>
      <c r="C698" s="10">
        <v>0.55700000000000005</v>
      </c>
      <c r="D698" s="9" t="s">
        <v>1712</v>
      </c>
      <c r="E698" s="11" t="s">
        <v>1737</v>
      </c>
      <c r="F698" s="12" t="s">
        <v>1714</v>
      </c>
      <c r="G698" s="9" t="s">
        <v>1709</v>
      </c>
    </row>
    <row r="699" spans="1:7">
      <c r="A699" s="9" t="s">
        <v>1711</v>
      </c>
      <c r="B699" s="13">
        <v>0.2</v>
      </c>
      <c r="C699" s="10">
        <v>0.55700000000000005</v>
      </c>
      <c r="D699" s="9" t="s">
        <v>1712</v>
      </c>
      <c r="E699" s="11" t="s">
        <v>1737</v>
      </c>
      <c r="F699" s="12" t="s">
        <v>1714</v>
      </c>
      <c r="G699" s="9" t="s">
        <v>1709</v>
      </c>
    </row>
    <row r="700" spans="1:7">
      <c r="A700" s="9" t="s">
        <v>1711</v>
      </c>
      <c r="B700" s="13">
        <v>0.2</v>
      </c>
      <c r="C700" s="10">
        <v>0.55700000000000005</v>
      </c>
      <c r="D700" s="9" t="s">
        <v>1712</v>
      </c>
      <c r="E700" s="11" t="s">
        <v>1737</v>
      </c>
      <c r="F700" s="12" t="s">
        <v>1714</v>
      </c>
      <c r="G700" s="9" t="s">
        <v>1709</v>
      </c>
    </row>
    <row r="701" spans="1:7">
      <c r="A701" s="9" t="s">
        <v>1711</v>
      </c>
      <c r="B701" s="13">
        <v>0.2</v>
      </c>
      <c r="C701" s="10">
        <v>0.126</v>
      </c>
      <c r="D701" s="9" t="s">
        <v>1712</v>
      </c>
      <c r="E701" s="11" t="s">
        <v>1736</v>
      </c>
      <c r="F701" s="12" t="s">
        <v>1714</v>
      </c>
      <c r="G701" s="9" t="s">
        <v>1709</v>
      </c>
    </row>
    <row r="702" spans="1:7">
      <c r="A702" s="9" t="s">
        <v>1711</v>
      </c>
      <c r="B702" s="13">
        <v>0.2</v>
      </c>
      <c r="C702" s="10">
        <v>0.64100000000000001</v>
      </c>
      <c r="D702" s="9" t="s">
        <v>1712</v>
      </c>
      <c r="E702" s="11" t="s">
        <v>1736</v>
      </c>
      <c r="F702" s="12" t="s">
        <v>1714</v>
      </c>
      <c r="G702" s="9" t="s">
        <v>1709</v>
      </c>
    </row>
    <row r="703" spans="1:7">
      <c r="A703" s="9" t="s">
        <v>1711</v>
      </c>
      <c r="B703" s="13">
        <v>0.2</v>
      </c>
      <c r="C703" s="10">
        <v>0.55500000000000005</v>
      </c>
      <c r="D703" s="9" t="s">
        <v>1712</v>
      </c>
      <c r="E703" s="11" t="s">
        <v>1736</v>
      </c>
      <c r="F703" s="12" t="s">
        <v>1714</v>
      </c>
      <c r="G703" s="9" t="s">
        <v>1709</v>
      </c>
    </row>
    <row r="704" spans="1:7">
      <c r="A704" s="9" t="s">
        <v>1711</v>
      </c>
      <c r="B704" s="13">
        <v>0.2</v>
      </c>
      <c r="C704" s="10">
        <v>-7.1000000000000008E-2</v>
      </c>
      <c r="D704" s="9" t="s">
        <v>1709</v>
      </c>
      <c r="E704" s="11" t="s">
        <v>1710</v>
      </c>
      <c r="F704" s="12" t="s">
        <v>1710</v>
      </c>
      <c r="G704" s="9" t="s">
        <v>1709</v>
      </c>
    </row>
    <row r="705" spans="1:7">
      <c r="A705" s="9" t="s">
        <v>1711</v>
      </c>
      <c r="B705" s="13">
        <v>0.2</v>
      </c>
      <c r="C705" s="10">
        <v>-7.1000000000000008E-2</v>
      </c>
      <c r="D705" s="9" t="s">
        <v>1709</v>
      </c>
      <c r="E705" s="11" t="s">
        <v>1710</v>
      </c>
      <c r="F705" s="12" t="s">
        <v>1710</v>
      </c>
      <c r="G705" s="9" t="s">
        <v>1709</v>
      </c>
    </row>
    <row r="706" spans="1:7">
      <c r="A706" s="9" t="s">
        <v>1711</v>
      </c>
      <c r="B706" s="13">
        <v>0.2</v>
      </c>
      <c r="C706" s="10">
        <v>-7.1000000000000008E-2</v>
      </c>
      <c r="D706" s="9" t="s">
        <v>1709</v>
      </c>
      <c r="E706" s="11" t="s">
        <v>1710</v>
      </c>
      <c r="F706" s="12" t="s">
        <v>1710</v>
      </c>
      <c r="G706" s="9" t="s">
        <v>1709</v>
      </c>
    </row>
    <row r="707" spans="1:7">
      <c r="A707" s="9" t="s">
        <v>1711</v>
      </c>
      <c r="B707" s="13">
        <v>0.2</v>
      </c>
      <c r="C707" s="10">
        <v>-8.6999999999999994E-2</v>
      </c>
      <c r="D707" s="9" t="s">
        <v>1709</v>
      </c>
      <c r="E707" s="11" t="s">
        <v>1710</v>
      </c>
      <c r="F707" s="12" t="s">
        <v>1710</v>
      </c>
      <c r="G707" s="9" t="s">
        <v>1709</v>
      </c>
    </row>
    <row r="708" spans="1:7">
      <c r="A708" s="9" t="s">
        <v>1711</v>
      </c>
      <c r="B708" s="13">
        <v>0.2</v>
      </c>
      <c r="C708" s="10">
        <v>-8.6999999999999994E-2</v>
      </c>
      <c r="D708" s="9" t="s">
        <v>1709</v>
      </c>
      <c r="E708" s="11" t="s">
        <v>1710</v>
      </c>
      <c r="F708" s="12" t="s">
        <v>1710</v>
      </c>
      <c r="G708" s="9" t="s">
        <v>1709</v>
      </c>
    </row>
    <row r="709" spans="1:7">
      <c r="A709" s="9" t="s">
        <v>1711</v>
      </c>
      <c r="B709" s="13">
        <v>0.2</v>
      </c>
      <c r="C709" s="10">
        <v>-8.6999999999999994E-2</v>
      </c>
      <c r="D709" s="9" t="s">
        <v>1709</v>
      </c>
      <c r="E709" s="11" t="s">
        <v>1710</v>
      </c>
      <c r="F709" s="12" t="s">
        <v>1710</v>
      </c>
      <c r="G709" s="9" t="s">
        <v>1709</v>
      </c>
    </row>
    <row r="710" spans="1:7">
      <c r="A710" s="9" t="s">
        <v>1711</v>
      </c>
      <c r="B710" s="13">
        <v>0.2</v>
      </c>
      <c r="C710" s="10">
        <v>-8.6999999999999994E-2</v>
      </c>
      <c r="D710" s="9" t="s">
        <v>1709</v>
      </c>
      <c r="E710" s="11" t="s">
        <v>1710</v>
      </c>
      <c r="F710" s="12" t="s">
        <v>1710</v>
      </c>
      <c r="G710" s="9" t="s">
        <v>1709</v>
      </c>
    </row>
    <row r="711" spans="1:7">
      <c r="A711" s="9" t="s">
        <v>1711</v>
      </c>
      <c r="B711" s="9">
        <v>0.2</v>
      </c>
      <c r="C711" s="10">
        <v>0.93500000000000005</v>
      </c>
      <c r="D711" s="9" t="s">
        <v>1712</v>
      </c>
      <c r="E711" s="11" t="s">
        <v>1736</v>
      </c>
      <c r="F711" s="12" t="s">
        <v>1714</v>
      </c>
      <c r="G711" s="9" t="s">
        <v>1709</v>
      </c>
    </row>
    <row r="712" spans="1:7">
      <c r="A712" s="9" t="s">
        <v>1711</v>
      </c>
      <c r="B712" s="9">
        <v>0.2</v>
      </c>
      <c r="C712" s="10">
        <v>1.1819999999999999</v>
      </c>
      <c r="D712" s="9" t="s">
        <v>1712</v>
      </c>
      <c r="E712" s="11" t="s">
        <v>1737</v>
      </c>
      <c r="F712" s="12" t="s">
        <v>1714</v>
      </c>
      <c r="G712" s="9" t="s">
        <v>1709</v>
      </c>
    </row>
    <row r="713" spans="1:7">
      <c r="A713" s="9" t="s">
        <v>1711</v>
      </c>
      <c r="B713" s="9">
        <v>0.2</v>
      </c>
      <c r="C713" s="10">
        <v>-2.4E-2</v>
      </c>
      <c r="D713" s="9" t="s">
        <v>1709</v>
      </c>
      <c r="E713" s="11" t="s">
        <v>1710</v>
      </c>
      <c r="F713" s="12" t="s">
        <v>1710</v>
      </c>
      <c r="G713" s="9" t="s">
        <v>1709</v>
      </c>
    </row>
    <row r="714" spans="1:7">
      <c r="A714" s="9" t="s">
        <v>1711</v>
      </c>
      <c r="B714" s="9">
        <v>0.2</v>
      </c>
      <c r="C714" s="10">
        <v>0.127</v>
      </c>
      <c r="D714" s="9" t="s">
        <v>1712</v>
      </c>
      <c r="E714" s="11" t="s">
        <v>1736</v>
      </c>
      <c r="F714" s="12" t="s">
        <v>1714</v>
      </c>
      <c r="G714" s="9" t="s">
        <v>1709</v>
      </c>
    </row>
    <row r="715" spans="1:7">
      <c r="A715" s="9" t="s">
        <v>1711</v>
      </c>
      <c r="B715" s="9">
        <v>0.2</v>
      </c>
      <c r="C715" s="10">
        <v>1.2549999999999999</v>
      </c>
      <c r="D715" s="9" t="s">
        <v>1712</v>
      </c>
      <c r="E715" s="11" t="s">
        <v>1736</v>
      </c>
      <c r="F715" s="12" t="s">
        <v>1714</v>
      </c>
      <c r="G715" s="9" t="s">
        <v>1709</v>
      </c>
    </row>
    <row r="716" spans="1:7">
      <c r="A716" s="9" t="s">
        <v>1711</v>
      </c>
      <c r="B716" s="9">
        <v>0.2</v>
      </c>
      <c r="C716" s="10">
        <v>-0.14599999999999999</v>
      </c>
      <c r="D716" s="9" t="s">
        <v>1709</v>
      </c>
      <c r="E716" s="11" t="s">
        <v>1710</v>
      </c>
      <c r="F716" s="12" t="s">
        <v>1710</v>
      </c>
      <c r="G716" s="9" t="s">
        <v>1709</v>
      </c>
    </row>
    <row r="717" spans="1:7">
      <c r="A717" s="9" t="s">
        <v>1711</v>
      </c>
      <c r="B717" s="9">
        <v>0.2</v>
      </c>
      <c r="C717" s="10">
        <v>-0.14599999999999999</v>
      </c>
      <c r="D717" s="9" t="s">
        <v>1709</v>
      </c>
      <c r="E717" s="11" t="s">
        <v>1710</v>
      </c>
      <c r="F717" s="12" t="s">
        <v>1710</v>
      </c>
      <c r="G717" s="9" t="s">
        <v>1709</v>
      </c>
    </row>
    <row r="718" spans="1:7">
      <c r="A718" s="9" t="s">
        <v>1711</v>
      </c>
      <c r="B718" s="9">
        <v>0.2</v>
      </c>
      <c r="C718" s="10">
        <v>0.9</v>
      </c>
      <c r="D718" s="9" t="s">
        <v>1712</v>
      </c>
      <c r="E718" s="11" t="s">
        <v>1736</v>
      </c>
      <c r="F718" s="12" t="s">
        <v>1714</v>
      </c>
      <c r="G718" s="9" t="s">
        <v>1709</v>
      </c>
    </row>
    <row r="719" spans="1:7">
      <c r="A719" s="9" t="s">
        <v>1711</v>
      </c>
      <c r="B719" s="9">
        <v>0.2</v>
      </c>
      <c r="C719" s="10">
        <v>-5.0000000000000001E-3</v>
      </c>
      <c r="D719" s="9" t="s">
        <v>1709</v>
      </c>
      <c r="E719" s="11" t="s">
        <v>1710</v>
      </c>
      <c r="F719" s="12" t="s">
        <v>1710</v>
      </c>
      <c r="G719" s="9" t="s">
        <v>1709</v>
      </c>
    </row>
    <row r="720" spans="1:7">
      <c r="A720" s="9" t="s">
        <v>1711</v>
      </c>
      <c r="B720" s="9">
        <v>0.2</v>
      </c>
      <c r="C720" s="10">
        <v>-0.188</v>
      </c>
      <c r="D720" s="9" t="s">
        <v>1709</v>
      </c>
      <c r="E720" s="11" t="s">
        <v>1710</v>
      </c>
      <c r="F720" s="12" t="s">
        <v>1710</v>
      </c>
      <c r="G720" s="9" t="s">
        <v>1709</v>
      </c>
    </row>
    <row r="721" spans="1:7">
      <c r="A721" s="9" t="s">
        <v>1711</v>
      </c>
      <c r="B721" s="9">
        <v>0.2</v>
      </c>
      <c r="C721" s="10">
        <v>0.84299999999999997</v>
      </c>
      <c r="D721" s="9" t="s">
        <v>1712</v>
      </c>
      <c r="E721" s="11" t="s">
        <v>1742</v>
      </c>
      <c r="F721" s="12" t="s">
        <v>1714</v>
      </c>
      <c r="G721" s="9" t="s">
        <v>1709</v>
      </c>
    </row>
    <row r="722" spans="1:7">
      <c r="A722" s="9" t="s">
        <v>1711</v>
      </c>
      <c r="B722" s="9">
        <v>0.2</v>
      </c>
      <c r="C722" s="10">
        <v>0.84299999999999997</v>
      </c>
      <c r="D722" s="9" t="s">
        <v>1712</v>
      </c>
      <c r="E722" s="11" t="s">
        <v>1742</v>
      </c>
      <c r="F722" s="12" t="s">
        <v>1714</v>
      </c>
      <c r="G722" s="9" t="s">
        <v>1709</v>
      </c>
    </row>
    <row r="723" spans="1:7">
      <c r="A723" s="9" t="s">
        <v>1711</v>
      </c>
      <c r="B723" s="9">
        <v>0.2</v>
      </c>
      <c r="C723" s="10">
        <v>0.84299999999999997</v>
      </c>
      <c r="D723" s="9" t="s">
        <v>1712</v>
      </c>
      <c r="E723" s="11" t="s">
        <v>1742</v>
      </c>
      <c r="F723" s="12" t="s">
        <v>1714</v>
      </c>
      <c r="G723" s="9" t="s">
        <v>1709</v>
      </c>
    </row>
    <row r="724" spans="1:7">
      <c r="A724" s="9" t="s">
        <v>1711</v>
      </c>
      <c r="B724" s="9">
        <v>0.2</v>
      </c>
      <c r="C724" s="10">
        <v>0.84299999999999997</v>
      </c>
      <c r="D724" s="9" t="s">
        <v>1712</v>
      </c>
      <c r="E724" s="11" t="s">
        <v>1742</v>
      </c>
      <c r="F724" s="12" t="s">
        <v>1714</v>
      </c>
      <c r="G724" s="9" t="s">
        <v>1709</v>
      </c>
    </row>
    <row r="725" spans="1:7">
      <c r="A725" s="9" t="s">
        <v>1711</v>
      </c>
      <c r="B725" s="9">
        <v>0.2</v>
      </c>
      <c r="C725" s="10">
        <v>0.84299999999999997</v>
      </c>
      <c r="D725" s="9" t="s">
        <v>1712</v>
      </c>
      <c r="E725" s="11" t="s">
        <v>1742</v>
      </c>
      <c r="F725" s="12" t="s">
        <v>1714</v>
      </c>
      <c r="G725" s="9" t="s">
        <v>1709</v>
      </c>
    </row>
    <row r="726" spans="1:7">
      <c r="A726" s="9" t="s">
        <v>1711</v>
      </c>
      <c r="B726" s="9">
        <v>0.2</v>
      </c>
      <c r="C726" s="10">
        <v>0.84299999999999997</v>
      </c>
      <c r="D726" s="9" t="s">
        <v>1712</v>
      </c>
      <c r="E726" s="11" t="s">
        <v>1742</v>
      </c>
      <c r="F726" s="12" t="s">
        <v>1714</v>
      </c>
      <c r="G726" s="9" t="s">
        <v>1709</v>
      </c>
    </row>
    <row r="727" spans="1:7">
      <c r="A727" s="9" t="s">
        <v>1711</v>
      </c>
      <c r="B727" s="9">
        <v>0.2</v>
      </c>
      <c r="C727" s="10">
        <v>0.84299999999999997</v>
      </c>
      <c r="D727" s="9" t="s">
        <v>1712</v>
      </c>
      <c r="E727" s="11" t="s">
        <v>1742</v>
      </c>
      <c r="F727" s="12" t="s">
        <v>1714</v>
      </c>
      <c r="G727" s="9" t="s">
        <v>1709</v>
      </c>
    </row>
    <row r="728" spans="1:7">
      <c r="A728" s="9" t="s">
        <v>1711</v>
      </c>
      <c r="B728" s="9">
        <v>0.2</v>
      </c>
      <c r="C728" s="10">
        <v>0.84299999999999997</v>
      </c>
      <c r="D728" s="9" t="s">
        <v>1712</v>
      </c>
      <c r="E728" s="11" t="s">
        <v>1742</v>
      </c>
      <c r="F728" s="12" t="s">
        <v>1714</v>
      </c>
      <c r="G728" s="9" t="s">
        <v>1709</v>
      </c>
    </row>
    <row r="729" spans="1:7">
      <c r="A729" s="9" t="s">
        <v>1711</v>
      </c>
      <c r="B729" s="9">
        <v>0.2</v>
      </c>
      <c r="C729" s="10">
        <v>0.84299999999999997</v>
      </c>
      <c r="D729" s="9" t="s">
        <v>1712</v>
      </c>
      <c r="E729" s="11" t="s">
        <v>1742</v>
      </c>
      <c r="F729" s="12" t="s">
        <v>1714</v>
      </c>
      <c r="G729" s="9" t="s">
        <v>1709</v>
      </c>
    </row>
    <row r="730" spans="1:7">
      <c r="A730" s="9" t="s">
        <v>1711</v>
      </c>
      <c r="B730" s="9">
        <v>0.2</v>
      </c>
      <c r="C730" s="10">
        <v>0.84299999999999997</v>
      </c>
      <c r="D730" s="9" t="s">
        <v>1712</v>
      </c>
      <c r="E730" s="11" t="s">
        <v>1742</v>
      </c>
      <c r="F730" s="12" t="s">
        <v>1714</v>
      </c>
      <c r="G730" s="9" t="s">
        <v>1709</v>
      </c>
    </row>
    <row r="731" spans="1:7">
      <c r="A731" s="9" t="s">
        <v>1711</v>
      </c>
      <c r="B731" s="9">
        <v>0.2</v>
      </c>
      <c r="C731" s="10">
        <v>0.84299999999999997</v>
      </c>
      <c r="D731" s="9" t="s">
        <v>1712</v>
      </c>
      <c r="E731" s="11" t="s">
        <v>1742</v>
      </c>
      <c r="F731" s="12" t="s">
        <v>1714</v>
      </c>
      <c r="G731" s="9" t="s">
        <v>1709</v>
      </c>
    </row>
    <row r="732" spans="1:7">
      <c r="A732" s="9" t="s">
        <v>1711</v>
      </c>
      <c r="B732" s="9">
        <v>0.2</v>
      </c>
      <c r="C732" s="10">
        <v>-3.4000000000000002E-2</v>
      </c>
      <c r="D732" s="9" t="s">
        <v>1709</v>
      </c>
      <c r="E732" s="11" t="s">
        <v>1710</v>
      </c>
      <c r="F732" s="12" t="s">
        <v>1710</v>
      </c>
      <c r="G732" s="9" t="s">
        <v>1709</v>
      </c>
    </row>
    <row r="733" spans="1:7">
      <c r="A733" s="9" t="s">
        <v>1711</v>
      </c>
      <c r="B733" s="9">
        <v>0.2</v>
      </c>
      <c r="C733" s="10">
        <v>-9.0999999999999998E-2</v>
      </c>
      <c r="D733" s="9" t="s">
        <v>1709</v>
      </c>
      <c r="E733" s="11" t="s">
        <v>1710</v>
      </c>
      <c r="F733" s="12" t="s">
        <v>1710</v>
      </c>
      <c r="G733" s="9" t="s">
        <v>1709</v>
      </c>
    </row>
    <row r="734" spans="1:7">
      <c r="A734" s="9" t="s">
        <v>1711</v>
      </c>
      <c r="B734" s="9">
        <v>0.2</v>
      </c>
      <c r="C734" s="10">
        <v>5.2999999999999999E-2</v>
      </c>
      <c r="D734" s="9" t="s">
        <v>1712</v>
      </c>
      <c r="E734" s="11" t="s">
        <v>1736</v>
      </c>
      <c r="F734" s="12" t="s">
        <v>1714</v>
      </c>
      <c r="G734" s="9" t="s">
        <v>1709</v>
      </c>
    </row>
    <row r="735" spans="1:7">
      <c r="A735" s="9" t="s">
        <v>1711</v>
      </c>
      <c r="B735" s="9">
        <v>0.2</v>
      </c>
      <c r="C735" s="10">
        <v>0.55500000000000005</v>
      </c>
      <c r="D735" s="9" t="s">
        <v>1712</v>
      </c>
      <c r="E735" s="11" t="s">
        <v>1736</v>
      </c>
      <c r="F735" s="12" t="s">
        <v>1714</v>
      </c>
      <c r="G735" s="9" t="s">
        <v>1709</v>
      </c>
    </row>
    <row r="736" spans="1:7">
      <c r="A736" s="9" t="s">
        <v>1711</v>
      </c>
      <c r="B736" s="9">
        <v>0.2</v>
      </c>
      <c r="C736" s="10">
        <v>2.1659999999999999</v>
      </c>
      <c r="D736" s="9" t="s">
        <v>1712</v>
      </c>
      <c r="E736" s="11" t="s">
        <v>1736</v>
      </c>
      <c r="F736" s="12" t="s">
        <v>1714</v>
      </c>
      <c r="G736" s="9" t="s">
        <v>1709</v>
      </c>
    </row>
    <row r="737" spans="1:7">
      <c r="A737" s="9" t="s">
        <v>1711</v>
      </c>
      <c r="B737" s="9">
        <v>0.2</v>
      </c>
      <c r="C737" s="10">
        <v>0.51900000000000002</v>
      </c>
      <c r="D737" s="9" t="s">
        <v>1712</v>
      </c>
      <c r="E737" s="11" t="s">
        <v>1736</v>
      </c>
      <c r="F737" s="12" t="s">
        <v>1714</v>
      </c>
      <c r="G737" s="9" t="s">
        <v>1709</v>
      </c>
    </row>
    <row r="738" spans="1:7">
      <c r="A738" s="9" t="s">
        <v>1711</v>
      </c>
      <c r="B738" s="13">
        <v>0.2</v>
      </c>
      <c r="C738" s="10">
        <v>1.4419999999999999</v>
      </c>
      <c r="D738" s="9" t="s">
        <v>1712</v>
      </c>
      <c r="E738" s="11" t="s">
        <v>1736</v>
      </c>
      <c r="F738" s="12" t="s">
        <v>1714</v>
      </c>
      <c r="G738" s="9" t="s">
        <v>1709</v>
      </c>
    </row>
    <row r="739" spans="1:7">
      <c r="A739" s="9" t="s">
        <v>1711</v>
      </c>
      <c r="B739" s="13">
        <v>0.2</v>
      </c>
      <c r="C739" s="10">
        <v>1.4419999999999999</v>
      </c>
      <c r="D739" s="9" t="s">
        <v>1712</v>
      </c>
      <c r="E739" s="11" t="s">
        <v>1736</v>
      </c>
      <c r="F739" s="12" t="s">
        <v>1714</v>
      </c>
      <c r="G739" s="9" t="s">
        <v>1709</v>
      </c>
    </row>
    <row r="740" spans="1:7">
      <c r="A740" s="9" t="s">
        <v>1711</v>
      </c>
      <c r="B740" s="13">
        <v>0.2</v>
      </c>
      <c r="C740" s="10">
        <v>1.4419999999999999</v>
      </c>
      <c r="D740" s="9" t="s">
        <v>1712</v>
      </c>
      <c r="E740" s="11" t="s">
        <v>1736</v>
      </c>
      <c r="F740" s="12" t="s">
        <v>1714</v>
      </c>
      <c r="G740" s="9" t="s">
        <v>1709</v>
      </c>
    </row>
    <row r="741" spans="1:7">
      <c r="A741" s="9" t="s">
        <v>1711</v>
      </c>
      <c r="B741" s="13">
        <v>0.2</v>
      </c>
      <c r="C741" s="10">
        <v>1.4419999999999999</v>
      </c>
      <c r="D741" s="9" t="s">
        <v>1712</v>
      </c>
      <c r="E741" s="11" t="s">
        <v>1736</v>
      </c>
      <c r="F741" s="12" t="s">
        <v>1714</v>
      </c>
      <c r="G741" s="9" t="s">
        <v>1709</v>
      </c>
    </row>
    <row r="742" spans="1:7">
      <c r="A742" s="9" t="s">
        <v>1711</v>
      </c>
      <c r="B742" s="13">
        <v>0.2</v>
      </c>
      <c r="C742" s="10">
        <v>-3.5000000000000003E-2</v>
      </c>
      <c r="D742" s="9" t="s">
        <v>1709</v>
      </c>
      <c r="E742" s="11" t="s">
        <v>1710</v>
      </c>
      <c r="F742" s="12" t="s">
        <v>1710</v>
      </c>
      <c r="G742" s="9" t="s">
        <v>1709</v>
      </c>
    </row>
    <row r="743" spans="1:7">
      <c r="A743" s="9" t="s">
        <v>1711</v>
      </c>
      <c r="B743" s="13">
        <v>0.2</v>
      </c>
      <c r="C743" s="10">
        <v>-0.09</v>
      </c>
      <c r="D743" s="9" t="s">
        <v>1709</v>
      </c>
      <c r="E743" s="11" t="s">
        <v>1710</v>
      </c>
      <c r="F743" s="12" t="s">
        <v>1710</v>
      </c>
      <c r="G743" s="9" t="s">
        <v>1709</v>
      </c>
    </row>
    <row r="744" spans="1:7">
      <c r="A744" s="9" t="s">
        <v>1711</v>
      </c>
      <c r="B744" s="13">
        <v>0.2</v>
      </c>
      <c r="C744" s="10">
        <v>-0.19800000000000001</v>
      </c>
      <c r="D744" s="9" t="s">
        <v>1709</v>
      </c>
      <c r="E744" s="11" t="s">
        <v>1710</v>
      </c>
      <c r="F744" s="12" t="s">
        <v>1710</v>
      </c>
      <c r="G744" s="9" t="s">
        <v>1709</v>
      </c>
    </row>
    <row r="745" spans="1:7">
      <c r="A745" s="9" t="s">
        <v>1711</v>
      </c>
      <c r="B745" s="13">
        <v>0.2</v>
      </c>
      <c r="C745" s="10">
        <v>-0.14599999999999999</v>
      </c>
      <c r="D745" s="9" t="s">
        <v>1709</v>
      </c>
      <c r="E745" s="11" t="s">
        <v>1710</v>
      </c>
      <c r="F745" s="12" t="s">
        <v>1710</v>
      </c>
      <c r="G745" s="9" t="s">
        <v>1709</v>
      </c>
    </row>
    <row r="746" spans="1:7">
      <c r="A746" s="9" t="s">
        <v>1711</v>
      </c>
      <c r="B746" s="13">
        <v>0.2</v>
      </c>
      <c r="C746" s="10">
        <v>0.93800000000000006</v>
      </c>
      <c r="D746" s="9" t="s">
        <v>1712</v>
      </c>
      <c r="E746" s="11" t="s">
        <v>1737</v>
      </c>
      <c r="F746" s="12" t="s">
        <v>1714</v>
      </c>
      <c r="G746" s="9" t="s">
        <v>1709</v>
      </c>
    </row>
    <row r="747" spans="1:7">
      <c r="A747" s="9" t="s">
        <v>1711</v>
      </c>
      <c r="B747" s="13">
        <v>0.2</v>
      </c>
      <c r="C747" s="10">
        <v>0.93800000000000006</v>
      </c>
      <c r="D747" s="9" t="s">
        <v>1712</v>
      </c>
      <c r="E747" s="11" t="s">
        <v>1737</v>
      </c>
      <c r="F747" s="12" t="s">
        <v>1714</v>
      </c>
      <c r="G747" s="9" t="s">
        <v>1709</v>
      </c>
    </row>
    <row r="748" spans="1:7">
      <c r="A748" s="9" t="s">
        <v>1711</v>
      </c>
      <c r="B748" s="13">
        <v>0.2</v>
      </c>
      <c r="C748" s="10">
        <v>0.48899999999999999</v>
      </c>
      <c r="D748" s="9" t="s">
        <v>1712</v>
      </c>
      <c r="E748" s="11" t="s">
        <v>1742</v>
      </c>
      <c r="F748" s="12" t="s">
        <v>1714</v>
      </c>
      <c r="G748" s="9" t="s">
        <v>1709</v>
      </c>
    </row>
    <row r="749" spans="1:7">
      <c r="A749" s="9" t="s">
        <v>1711</v>
      </c>
      <c r="B749" s="13">
        <v>0.2</v>
      </c>
      <c r="C749" s="10">
        <v>0.84299999999999997</v>
      </c>
      <c r="D749" s="9" t="s">
        <v>1712</v>
      </c>
      <c r="E749" s="11" t="s">
        <v>1742</v>
      </c>
      <c r="F749" s="12" t="s">
        <v>1714</v>
      </c>
      <c r="G749" s="9" t="s">
        <v>1709</v>
      </c>
    </row>
    <row r="750" spans="1:7">
      <c r="A750" s="9" t="s">
        <v>1711</v>
      </c>
      <c r="B750" s="13">
        <v>0.2</v>
      </c>
      <c r="C750" s="10">
        <v>0.84299999999999997</v>
      </c>
      <c r="D750" s="9" t="s">
        <v>1712</v>
      </c>
      <c r="E750" s="11" t="s">
        <v>1742</v>
      </c>
      <c r="F750" s="12" t="s">
        <v>1714</v>
      </c>
      <c r="G750" s="9" t="s">
        <v>1709</v>
      </c>
    </row>
    <row r="751" spans="1:7">
      <c r="A751" s="9" t="s">
        <v>1711</v>
      </c>
      <c r="B751" s="13">
        <v>0.2</v>
      </c>
      <c r="C751" s="10">
        <v>0.84299999999999997</v>
      </c>
      <c r="D751" s="9" t="s">
        <v>1712</v>
      </c>
      <c r="E751" s="11" t="s">
        <v>1742</v>
      </c>
      <c r="F751" s="12" t="s">
        <v>1714</v>
      </c>
      <c r="G751" s="9" t="s">
        <v>1709</v>
      </c>
    </row>
    <row r="752" spans="1:7">
      <c r="A752" s="9" t="s">
        <v>1711</v>
      </c>
      <c r="B752" s="13">
        <v>0.2</v>
      </c>
      <c r="C752" s="10">
        <v>0.13900000000000001</v>
      </c>
      <c r="D752" s="9" t="s">
        <v>1712</v>
      </c>
      <c r="E752" s="11" t="s">
        <v>1742</v>
      </c>
      <c r="F752" s="12" t="s">
        <v>1714</v>
      </c>
      <c r="G752" s="9" t="s">
        <v>1709</v>
      </c>
    </row>
    <row r="753" spans="1:7">
      <c r="A753" s="9" t="s">
        <v>1711</v>
      </c>
      <c r="B753" s="13">
        <v>0.2</v>
      </c>
      <c r="C753" s="10">
        <v>0.13900000000000001</v>
      </c>
      <c r="D753" s="9" t="s">
        <v>1712</v>
      </c>
      <c r="E753" s="11" t="s">
        <v>1742</v>
      </c>
      <c r="F753" s="12" t="s">
        <v>1714</v>
      </c>
      <c r="G753" s="9" t="s">
        <v>1709</v>
      </c>
    </row>
    <row r="754" spans="1:7">
      <c r="A754" s="9" t="s">
        <v>1711</v>
      </c>
      <c r="B754" s="13">
        <v>0.2</v>
      </c>
      <c r="C754" s="10">
        <v>0.13900000000000001</v>
      </c>
      <c r="D754" s="9" t="s">
        <v>1712</v>
      </c>
      <c r="E754" s="11" t="s">
        <v>1742</v>
      </c>
      <c r="F754" s="12" t="s">
        <v>1714</v>
      </c>
      <c r="G754" s="9" t="s">
        <v>1709</v>
      </c>
    </row>
    <row r="755" spans="1:7">
      <c r="A755" s="9" t="s">
        <v>1711</v>
      </c>
      <c r="B755" s="13">
        <v>0.2</v>
      </c>
      <c r="C755" s="10">
        <v>-3.0000000000000002E-2</v>
      </c>
      <c r="D755" s="9" t="s">
        <v>1709</v>
      </c>
      <c r="E755" s="11" t="s">
        <v>1710</v>
      </c>
      <c r="F755" s="12" t="s">
        <v>1710</v>
      </c>
      <c r="G755" s="9" t="s">
        <v>1709</v>
      </c>
    </row>
    <row r="756" spans="1:7">
      <c r="A756" s="9" t="s">
        <v>1711</v>
      </c>
      <c r="B756" s="13">
        <v>0.2</v>
      </c>
      <c r="C756" s="10">
        <v>0.9</v>
      </c>
      <c r="D756" s="9" t="s">
        <v>1712</v>
      </c>
      <c r="E756" s="11" t="s">
        <v>1736</v>
      </c>
      <c r="F756" s="12" t="s">
        <v>1714</v>
      </c>
      <c r="G756" s="9" t="s">
        <v>1709</v>
      </c>
    </row>
    <row r="757" spans="1:7">
      <c r="A757" s="9" t="s">
        <v>1711</v>
      </c>
      <c r="B757" s="13">
        <v>0.2</v>
      </c>
      <c r="C757" s="10">
        <v>1.6289999999999998</v>
      </c>
      <c r="D757" s="9" t="s">
        <v>1712</v>
      </c>
      <c r="E757" s="11" t="s">
        <v>1737</v>
      </c>
      <c r="F757" s="12" t="s">
        <v>1714</v>
      </c>
      <c r="G757" s="9" t="s">
        <v>1709</v>
      </c>
    </row>
    <row r="758" spans="1:7">
      <c r="A758" s="9" t="s">
        <v>1711</v>
      </c>
      <c r="B758" s="13">
        <v>0.2</v>
      </c>
      <c r="C758" s="10">
        <v>1.6289999999999998</v>
      </c>
      <c r="D758" s="9" t="s">
        <v>1712</v>
      </c>
      <c r="E758" s="11" t="s">
        <v>1737</v>
      </c>
      <c r="F758" s="12" t="s">
        <v>1714</v>
      </c>
      <c r="G758" s="9" t="s">
        <v>1709</v>
      </c>
    </row>
    <row r="759" spans="1:7">
      <c r="A759" s="9" t="s">
        <v>1711</v>
      </c>
      <c r="B759" s="13">
        <v>0.2</v>
      </c>
      <c r="C759" s="10">
        <v>1.6289999999999998</v>
      </c>
      <c r="D759" s="9" t="s">
        <v>1712</v>
      </c>
      <c r="E759" s="11" t="s">
        <v>1737</v>
      </c>
      <c r="F759" s="12" t="s">
        <v>1714</v>
      </c>
      <c r="G759" s="9" t="s">
        <v>1709</v>
      </c>
    </row>
    <row r="760" spans="1:7">
      <c r="A760" s="9" t="s">
        <v>1711</v>
      </c>
      <c r="B760" s="13">
        <v>0.2</v>
      </c>
      <c r="C760" s="10">
        <v>1.4419999999999999</v>
      </c>
      <c r="D760" s="9" t="s">
        <v>1712</v>
      </c>
      <c r="E760" s="11" t="s">
        <v>1737</v>
      </c>
      <c r="F760" s="12" t="s">
        <v>1714</v>
      </c>
      <c r="G760" s="9" t="s">
        <v>1709</v>
      </c>
    </row>
    <row r="761" spans="1:7">
      <c r="A761" s="9" t="s">
        <v>1711</v>
      </c>
      <c r="B761" s="13">
        <v>0.2</v>
      </c>
      <c r="C761" s="10">
        <v>-4.8000000000000001E-2</v>
      </c>
      <c r="D761" s="9" t="s">
        <v>1709</v>
      </c>
      <c r="E761" s="11" t="s">
        <v>1710</v>
      </c>
      <c r="F761" s="12" t="s">
        <v>1710</v>
      </c>
      <c r="G761" s="9" t="s">
        <v>1709</v>
      </c>
    </row>
    <row r="762" spans="1:7">
      <c r="A762" s="9" t="s">
        <v>1711</v>
      </c>
      <c r="B762" s="13">
        <v>0.2</v>
      </c>
      <c r="C762" s="10">
        <v>3.2759999999999998</v>
      </c>
      <c r="D762" s="9" t="s">
        <v>1712</v>
      </c>
      <c r="E762" s="11" t="s">
        <v>1736</v>
      </c>
      <c r="F762" s="12" t="s">
        <v>1714</v>
      </c>
      <c r="G762" s="9" t="s">
        <v>1709</v>
      </c>
    </row>
    <row r="763" spans="1:7">
      <c r="A763" s="9" t="s">
        <v>1711</v>
      </c>
      <c r="B763" s="13">
        <v>0.2</v>
      </c>
      <c r="C763" s="10">
        <v>0.9</v>
      </c>
      <c r="D763" s="9" t="s">
        <v>1712</v>
      </c>
      <c r="E763" s="11" t="s">
        <v>1736</v>
      </c>
      <c r="F763" s="12" t="s">
        <v>1714</v>
      </c>
      <c r="G763" s="9" t="s">
        <v>1709</v>
      </c>
    </row>
    <row r="764" spans="1:7">
      <c r="A764" s="9" t="s">
        <v>1711</v>
      </c>
      <c r="B764" s="13">
        <v>0.2</v>
      </c>
      <c r="C764" s="10">
        <v>-5.0000000000000001E-3</v>
      </c>
      <c r="D764" s="9" t="s">
        <v>1709</v>
      </c>
      <c r="E764" s="11" t="s">
        <v>1710</v>
      </c>
      <c r="F764" s="12" t="s">
        <v>1710</v>
      </c>
      <c r="G764" s="9" t="s">
        <v>1709</v>
      </c>
    </row>
    <row r="765" spans="1:7">
      <c r="A765" s="9" t="s">
        <v>1711</v>
      </c>
      <c r="B765" s="13">
        <v>0.2</v>
      </c>
      <c r="C765" s="10">
        <v>0.59899999999999998</v>
      </c>
      <c r="D765" s="9" t="s">
        <v>1712</v>
      </c>
      <c r="E765" s="11" t="s">
        <v>1715</v>
      </c>
      <c r="F765" s="12" t="s">
        <v>1714</v>
      </c>
      <c r="G765" s="9" t="s">
        <v>1709</v>
      </c>
    </row>
    <row r="766" spans="1:7">
      <c r="A766" s="9" t="s">
        <v>1711</v>
      </c>
      <c r="B766" s="13">
        <v>0.2</v>
      </c>
      <c r="C766" s="10">
        <v>0.59899999999999998</v>
      </c>
      <c r="D766" s="9" t="s">
        <v>1712</v>
      </c>
      <c r="E766" s="11" t="s">
        <v>1715</v>
      </c>
      <c r="F766" s="12" t="s">
        <v>1714</v>
      </c>
      <c r="G766" s="9" t="s">
        <v>1709</v>
      </c>
    </row>
    <row r="767" spans="1:7">
      <c r="A767" s="9" t="s">
        <v>1711</v>
      </c>
      <c r="B767" s="13">
        <v>0.2</v>
      </c>
      <c r="C767" s="10">
        <v>0.59899999999999998</v>
      </c>
      <c r="D767" s="9" t="s">
        <v>1712</v>
      </c>
      <c r="E767" s="11" t="s">
        <v>1715</v>
      </c>
      <c r="F767" s="12" t="s">
        <v>1714</v>
      </c>
      <c r="G767" s="9" t="s">
        <v>1709</v>
      </c>
    </row>
    <row r="768" spans="1:7">
      <c r="A768" s="9" t="s">
        <v>1711</v>
      </c>
      <c r="B768" s="13">
        <v>0.2</v>
      </c>
      <c r="C768" s="10">
        <v>0.59899999999999998</v>
      </c>
      <c r="D768" s="9" t="s">
        <v>1712</v>
      </c>
      <c r="E768" s="11" t="s">
        <v>1715</v>
      </c>
      <c r="F768" s="12" t="s">
        <v>1714</v>
      </c>
      <c r="G768" s="9" t="s">
        <v>1709</v>
      </c>
    </row>
    <row r="769" spans="1:7">
      <c r="A769" s="9" t="s">
        <v>1711</v>
      </c>
      <c r="B769" s="13">
        <v>0.2</v>
      </c>
      <c r="C769" s="10">
        <v>0.59899999999999998</v>
      </c>
      <c r="D769" s="9" t="s">
        <v>1712</v>
      </c>
      <c r="E769" s="11" t="s">
        <v>1715</v>
      </c>
      <c r="F769" s="12" t="s">
        <v>1714</v>
      </c>
      <c r="G769" s="9" t="s">
        <v>1709</v>
      </c>
    </row>
    <row r="770" spans="1:7">
      <c r="A770" s="9" t="s">
        <v>1711</v>
      </c>
      <c r="B770" s="9">
        <v>0.2</v>
      </c>
      <c r="C770" s="10">
        <v>0.59899999999999998</v>
      </c>
      <c r="D770" s="9" t="s">
        <v>1712</v>
      </c>
      <c r="E770" s="11" t="s">
        <v>1715</v>
      </c>
      <c r="F770" s="12" t="s">
        <v>1714</v>
      </c>
      <c r="G770" s="9" t="s">
        <v>1709</v>
      </c>
    </row>
    <row r="771" spans="1:7">
      <c r="A771" s="9" t="s">
        <v>1711</v>
      </c>
      <c r="B771" s="13">
        <v>0.2</v>
      </c>
      <c r="C771" s="10">
        <v>0.59899999999999998</v>
      </c>
      <c r="D771" s="9" t="s">
        <v>1712</v>
      </c>
      <c r="E771" s="11" t="s">
        <v>1715</v>
      </c>
      <c r="F771" s="12" t="s">
        <v>1714</v>
      </c>
      <c r="G771" s="9" t="s">
        <v>1709</v>
      </c>
    </row>
    <row r="772" spans="1:7">
      <c r="A772" s="9" t="s">
        <v>1711</v>
      </c>
      <c r="B772" s="13">
        <v>0.2</v>
      </c>
      <c r="C772" s="10">
        <v>0.59899999999999998</v>
      </c>
      <c r="D772" s="9" t="s">
        <v>1712</v>
      </c>
      <c r="E772" s="11" t="s">
        <v>1715</v>
      </c>
      <c r="F772" s="12" t="s">
        <v>1714</v>
      </c>
      <c r="G772" s="9" t="s">
        <v>1709</v>
      </c>
    </row>
    <row r="773" spans="1:7">
      <c r="A773" s="9" t="s">
        <v>1711</v>
      </c>
      <c r="B773" s="13">
        <v>0.2</v>
      </c>
      <c r="C773" s="10">
        <v>0.59899999999999998</v>
      </c>
      <c r="D773" s="9" t="s">
        <v>1712</v>
      </c>
      <c r="E773" s="11" t="s">
        <v>1715</v>
      </c>
      <c r="F773" s="12" t="s">
        <v>1714</v>
      </c>
      <c r="G773" s="9" t="s">
        <v>1709</v>
      </c>
    </row>
    <row r="774" spans="1:7">
      <c r="A774" s="9" t="s">
        <v>1711</v>
      </c>
      <c r="B774" s="13">
        <v>0.2</v>
      </c>
      <c r="C774" s="10">
        <v>0.59899999999999998</v>
      </c>
      <c r="D774" s="9" t="s">
        <v>1712</v>
      </c>
      <c r="E774" s="11" t="s">
        <v>1715</v>
      </c>
      <c r="F774" s="12" t="s">
        <v>1714</v>
      </c>
      <c r="G774" s="9" t="s">
        <v>1709</v>
      </c>
    </row>
    <row r="775" spans="1:7">
      <c r="A775" s="9" t="s">
        <v>1711</v>
      </c>
      <c r="B775" s="13">
        <v>0.2</v>
      </c>
      <c r="C775" s="10">
        <v>0.59899999999999998</v>
      </c>
      <c r="D775" s="9" t="s">
        <v>1712</v>
      </c>
      <c r="E775" s="11" t="s">
        <v>1715</v>
      </c>
      <c r="F775" s="12" t="s">
        <v>1714</v>
      </c>
      <c r="G775" s="9" t="s">
        <v>1709</v>
      </c>
    </row>
    <row r="776" spans="1:7">
      <c r="A776" s="9" t="s">
        <v>1711</v>
      </c>
      <c r="B776" s="13">
        <v>0.2</v>
      </c>
      <c r="C776" s="10">
        <v>0.59899999999999998</v>
      </c>
      <c r="D776" s="9" t="s">
        <v>1712</v>
      </c>
      <c r="E776" s="11" t="s">
        <v>1715</v>
      </c>
      <c r="F776" s="12" t="s">
        <v>1714</v>
      </c>
      <c r="G776" s="9" t="s">
        <v>1709</v>
      </c>
    </row>
    <row r="777" spans="1:7">
      <c r="A777" s="9" t="s">
        <v>1711</v>
      </c>
      <c r="B777" s="13">
        <v>0.2</v>
      </c>
      <c r="C777" s="10">
        <v>1.2E-2</v>
      </c>
      <c r="D777" s="9" t="s">
        <v>1712</v>
      </c>
      <c r="E777" s="11" t="s">
        <v>1713</v>
      </c>
      <c r="F777" s="12" t="s">
        <v>1714</v>
      </c>
      <c r="G777" s="9" t="s">
        <v>1709</v>
      </c>
    </row>
    <row r="778" spans="1:7">
      <c r="A778" s="9" t="s">
        <v>1711</v>
      </c>
      <c r="B778" s="13">
        <v>0.2</v>
      </c>
      <c r="C778" s="10">
        <v>1.2E-2</v>
      </c>
      <c r="D778" s="9" t="s">
        <v>1712</v>
      </c>
      <c r="E778" s="11" t="s">
        <v>1713</v>
      </c>
      <c r="F778" s="12" t="s">
        <v>1714</v>
      </c>
      <c r="G778" s="9" t="s">
        <v>1709</v>
      </c>
    </row>
    <row r="779" spans="1:7">
      <c r="A779" s="9" t="s">
        <v>1711</v>
      </c>
      <c r="B779" s="13">
        <v>0.2</v>
      </c>
      <c r="C779" s="10">
        <v>1.2E-2</v>
      </c>
      <c r="D779" s="9" t="s">
        <v>1712</v>
      </c>
      <c r="E779" s="11" t="s">
        <v>1713</v>
      </c>
      <c r="F779" s="12" t="s">
        <v>1714</v>
      </c>
      <c r="G779" s="9" t="s">
        <v>1709</v>
      </c>
    </row>
    <row r="780" spans="1:7">
      <c r="A780" s="9" t="s">
        <v>1711</v>
      </c>
      <c r="B780" s="13">
        <v>0.2</v>
      </c>
      <c r="C780" s="10">
        <v>8.0000000000000002E-3</v>
      </c>
      <c r="D780" s="9" t="s">
        <v>1712</v>
      </c>
      <c r="E780" s="11" t="s">
        <v>1713</v>
      </c>
      <c r="F780" s="12" t="s">
        <v>1714</v>
      </c>
      <c r="G780" s="9" t="s">
        <v>1709</v>
      </c>
    </row>
    <row r="781" spans="1:7">
      <c r="A781" s="9" t="s">
        <v>1711</v>
      </c>
      <c r="B781" s="13">
        <v>0.2</v>
      </c>
      <c r="C781" s="10">
        <v>8.0000000000000002E-3</v>
      </c>
      <c r="D781" s="9" t="s">
        <v>1712</v>
      </c>
      <c r="E781" s="11" t="s">
        <v>1713</v>
      </c>
      <c r="F781" s="12" t="s">
        <v>1714</v>
      </c>
      <c r="G781" s="9" t="s">
        <v>1709</v>
      </c>
    </row>
    <row r="782" spans="1:7">
      <c r="A782" s="9" t="s">
        <v>1711</v>
      </c>
      <c r="B782" s="13">
        <v>0.2</v>
      </c>
      <c r="C782" s="10">
        <v>8.0000000000000002E-3</v>
      </c>
      <c r="D782" s="9" t="s">
        <v>1712</v>
      </c>
      <c r="E782" s="11" t="s">
        <v>1713</v>
      </c>
      <c r="F782" s="12" t="s">
        <v>1714</v>
      </c>
      <c r="G782" s="9" t="s">
        <v>1709</v>
      </c>
    </row>
    <row r="783" spans="1:7">
      <c r="A783" s="9" t="s">
        <v>1711</v>
      </c>
      <c r="B783" s="13">
        <v>0.2</v>
      </c>
      <c r="C783" s="10">
        <v>-1E-3</v>
      </c>
      <c r="D783" s="9" t="s">
        <v>1709</v>
      </c>
      <c r="E783" s="11" t="s">
        <v>1710</v>
      </c>
      <c r="F783" s="12" t="s">
        <v>1710</v>
      </c>
      <c r="G783" s="9" t="s">
        <v>1709</v>
      </c>
    </row>
    <row r="784" spans="1:7">
      <c r="A784" s="9" t="s">
        <v>1711</v>
      </c>
      <c r="B784" s="13">
        <v>0.2</v>
      </c>
      <c r="C784" s="10">
        <v>-4.3999999999999997E-2</v>
      </c>
      <c r="D784" s="9" t="s">
        <v>1709</v>
      </c>
      <c r="E784" s="11" t="s">
        <v>1710</v>
      </c>
      <c r="F784" s="12" t="s">
        <v>1710</v>
      </c>
      <c r="G784" s="9" t="s">
        <v>1709</v>
      </c>
    </row>
    <row r="785" spans="1:7">
      <c r="A785" s="9" t="s">
        <v>1711</v>
      </c>
      <c r="B785" s="13">
        <v>0.2</v>
      </c>
      <c r="C785" s="10">
        <v>-6.5000000000000002E-2</v>
      </c>
      <c r="D785" s="9" t="s">
        <v>1709</v>
      </c>
      <c r="E785" s="11" t="s">
        <v>1710</v>
      </c>
      <c r="F785" s="12" t="s">
        <v>1710</v>
      </c>
      <c r="G785" s="9" t="s">
        <v>1709</v>
      </c>
    </row>
    <row r="786" spans="1:7">
      <c r="A786" s="9" t="s">
        <v>1711</v>
      </c>
      <c r="B786" s="13">
        <v>0.2</v>
      </c>
      <c r="C786" s="10">
        <v>-0.14599999999999999</v>
      </c>
      <c r="D786" s="9" t="s">
        <v>1709</v>
      </c>
      <c r="E786" s="11" t="s">
        <v>1710</v>
      </c>
      <c r="F786" s="12" t="s">
        <v>1710</v>
      </c>
      <c r="G786" s="9" t="s">
        <v>1709</v>
      </c>
    </row>
    <row r="787" spans="1:7">
      <c r="A787" s="9" t="s">
        <v>1711</v>
      </c>
      <c r="B787" s="13">
        <v>0.2</v>
      </c>
      <c r="C787" s="10">
        <v>-0.14599999999999999</v>
      </c>
      <c r="D787" s="9" t="s">
        <v>1709</v>
      </c>
      <c r="E787" s="11" t="s">
        <v>1710</v>
      </c>
      <c r="F787" s="12" t="s">
        <v>1710</v>
      </c>
      <c r="G787" s="9" t="s">
        <v>1709</v>
      </c>
    </row>
    <row r="788" spans="1:7">
      <c r="A788" s="9" t="s">
        <v>1711</v>
      </c>
      <c r="B788" s="13">
        <v>0.2</v>
      </c>
      <c r="C788" s="10">
        <v>0.13800000000000001</v>
      </c>
      <c r="D788" s="9" t="s">
        <v>1712</v>
      </c>
      <c r="E788" s="11" t="s">
        <v>1736</v>
      </c>
      <c r="F788" s="12" t="s">
        <v>1714</v>
      </c>
      <c r="G788" s="9" t="s">
        <v>1709</v>
      </c>
    </row>
    <row r="789" spans="1:7">
      <c r="A789" s="9" t="s">
        <v>1711</v>
      </c>
      <c r="B789" s="13">
        <v>0.2</v>
      </c>
      <c r="C789" s="10">
        <v>0.64100000000000001</v>
      </c>
      <c r="D789" s="9" t="s">
        <v>1712</v>
      </c>
      <c r="E789" s="11" t="s">
        <v>1736</v>
      </c>
      <c r="F789" s="12" t="s">
        <v>1714</v>
      </c>
      <c r="G789" s="9" t="s">
        <v>1709</v>
      </c>
    </row>
    <row r="790" spans="1:7">
      <c r="A790" s="9" t="s">
        <v>1711</v>
      </c>
      <c r="B790" s="13">
        <v>0.2</v>
      </c>
      <c r="C790" s="10">
        <v>-7.1000000000000008E-2</v>
      </c>
      <c r="D790" s="9" t="s">
        <v>1709</v>
      </c>
      <c r="E790" s="11" t="s">
        <v>1710</v>
      </c>
      <c r="F790" s="12" t="s">
        <v>1710</v>
      </c>
      <c r="G790" s="9" t="s">
        <v>1709</v>
      </c>
    </row>
    <row r="791" spans="1:7">
      <c r="A791" s="9" t="s">
        <v>1711</v>
      </c>
      <c r="B791" s="13">
        <v>0.2</v>
      </c>
      <c r="C791" s="10">
        <v>0.93800000000000006</v>
      </c>
      <c r="D791" s="9" t="s">
        <v>1712</v>
      </c>
      <c r="E791" s="11" t="s">
        <v>1736</v>
      </c>
      <c r="F791" s="12" t="s">
        <v>1714</v>
      </c>
      <c r="G791" s="9" t="s">
        <v>1709</v>
      </c>
    </row>
    <row r="792" spans="1:7">
      <c r="A792" s="9" t="s">
        <v>1711</v>
      </c>
      <c r="B792" s="13">
        <v>0.2</v>
      </c>
      <c r="C792" s="10">
        <v>1.6289999999999998</v>
      </c>
      <c r="D792" s="9" t="s">
        <v>1712</v>
      </c>
      <c r="E792" s="11" t="s">
        <v>1737</v>
      </c>
      <c r="F792" s="12" t="s">
        <v>1714</v>
      </c>
      <c r="G792" s="9" t="s">
        <v>1709</v>
      </c>
    </row>
    <row r="793" spans="1:7">
      <c r="A793" s="9" t="s">
        <v>1711</v>
      </c>
      <c r="B793" s="13">
        <v>0.2</v>
      </c>
      <c r="C793" s="10">
        <v>1.6289999999999998</v>
      </c>
      <c r="D793" s="9" t="s">
        <v>1712</v>
      </c>
      <c r="E793" s="11" t="s">
        <v>1737</v>
      </c>
      <c r="F793" s="12" t="s">
        <v>1714</v>
      </c>
      <c r="G793" s="9" t="s">
        <v>1709</v>
      </c>
    </row>
    <row r="794" spans="1:7">
      <c r="A794" s="9" t="s">
        <v>1711</v>
      </c>
      <c r="B794" s="13">
        <v>0.2</v>
      </c>
      <c r="C794" s="10">
        <v>1.6289999999999998</v>
      </c>
      <c r="D794" s="9" t="s">
        <v>1712</v>
      </c>
      <c r="E794" s="11" t="s">
        <v>1737</v>
      </c>
      <c r="F794" s="12" t="s">
        <v>1714</v>
      </c>
      <c r="G794" s="9" t="s">
        <v>1709</v>
      </c>
    </row>
    <row r="795" spans="1:7">
      <c r="A795" s="9" t="s">
        <v>1711</v>
      </c>
      <c r="B795" s="13">
        <v>0.2</v>
      </c>
      <c r="C795" s="10">
        <v>-5.0000000000000001E-3</v>
      </c>
      <c r="D795" s="9" t="s">
        <v>1709</v>
      </c>
      <c r="E795" s="11" t="s">
        <v>1710</v>
      </c>
      <c r="F795" s="12" t="s">
        <v>1710</v>
      </c>
      <c r="G795" s="9" t="s">
        <v>1709</v>
      </c>
    </row>
    <row r="796" spans="1:7">
      <c r="A796" s="9" t="s">
        <v>1711</v>
      </c>
      <c r="B796" s="13">
        <v>0.2</v>
      </c>
      <c r="C796" s="10">
        <v>-3.4000000000000002E-2</v>
      </c>
      <c r="D796" s="9" t="s">
        <v>1709</v>
      </c>
      <c r="E796" s="11" t="s">
        <v>1710</v>
      </c>
      <c r="F796" s="12" t="s">
        <v>1710</v>
      </c>
      <c r="G796" s="9" t="s">
        <v>1709</v>
      </c>
    </row>
    <row r="797" spans="1:7">
      <c r="A797" s="9" t="s">
        <v>1711</v>
      </c>
      <c r="B797" s="13">
        <v>0.2</v>
      </c>
      <c r="C797" s="10">
        <v>-7.0000000000000001E-3</v>
      </c>
      <c r="D797" s="9" t="s">
        <v>1709</v>
      </c>
      <c r="E797" s="11" t="s">
        <v>1710</v>
      </c>
      <c r="F797" s="12" t="s">
        <v>1710</v>
      </c>
      <c r="G797" s="9" t="s">
        <v>1709</v>
      </c>
    </row>
    <row r="798" spans="1:7">
      <c r="A798" s="9" t="s">
        <v>1711</v>
      </c>
      <c r="B798" s="13">
        <v>0.2</v>
      </c>
      <c r="C798" s="10">
        <v>-7.0000000000000001E-3</v>
      </c>
      <c r="D798" s="9" t="s">
        <v>1709</v>
      </c>
      <c r="E798" s="11" t="s">
        <v>1710</v>
      </c>
      <c r="F798" s="12" t="s">
        <v>1710</v>
      </c>
      <c r="G798" s="9" t="s">
        <v>1709</v>
      </c>
    </row>
    <row r="799" spans="1:7">
      <c r="A799" s="9" t="s">
        <v>1711</v>
      </c>
      <c r="B799" s="13">
        <v>0.2</v>
      </c>
      <c r="C799" s="10">
        <v>-7.0000000000000001E-3</v>
      </c>
      <c r="D799" s="9" t="s">
        <v>1709</v>
      </c>
      <c r="E799" s="11" t="s">
        <v>1710</v>
      </c>
      <c r="F799" s="12" t="s">
        <v>1710</v>
      </c>
      <c r="G799" s="9" t="s">
        <v>1709</v>
      </c>
    </row>
    <row r="800" spans="1:7">
      <c r="A800" s="9" t="s">
        <v>1711</v>
      </c>
      <c r="B800" s="13">
        <v>0.2</v>
      </c>
      <c r="C800" s="10">
        <v>3.15</v>
      </c>
      <c r="D800" s="9" t="s">
        <v>1712</v>
      </c>
      <c r="E800" s="11" t="s">
        <v>1736</v>
      </c>
      <c r="F800" s="12" t="s">
        <v>1714</v>
      </c>
      <c r="G800" s="9" t="s">
        <v>1709</v>
      </c>
    </row>
    <row r="801" spans="1:7">
      <c r="A801" s="9" t="s">
        <v>1711</v>
      </c>
      <c r="B801" s="13">
        <v>0.2</v>
      </c>
      <c r="C801" s="10">
        <v>3.15</v>
      </c>
      <c r="D801" s="9" t="s">
        <v>1712</v>
      </c>
      <c r="E801" s="11" t="s">
        <v>1736</v>
      </c>
      <c r="F801" s="12" t="s">
        <v>1714</v>
      </c>
      <c r="G801" s="9" t="s">
        <v>1709</v>
      </c>
    </row>
    <row r="802" spans="1:7">
      <c r="A802" s="9" t="s">
        <v>1711</v>
      </c>
      <c r="B802" s="13">
        <v>0.2</v>
      </c>
      <c r="C802" s="10">
        <v>0.93800000000000006</v>
      </c>
      <c r="D802" s="9" t="s">
        <v>1712</v>
      </c>
      <c r="E802" s="11" t="s">
        <v>1715</v>
      </c>
      <c r="F802" s="12" t="s">
        <v>1714</v>
      </c>
      <c r="G802" s="9" t="s">
        <v>1709</v>
      </c>
    </row>
    <row r="803" spans="1:7">
      <c r="A803" s="9" t="s">
        <v>1711</v>
      </c>
      <c r="B803" s="13">
        <v>0.2</v>
      </c>
      <c r="C803" s="10">
        <v>0.93800000000000006</v>
      </c>
      <c r="D803" s="9" t="s">
        <v>1712</v>
      </c>
      <c r="E803" s="11" t="s">
        <v>1715</v>
      </c>
      <c r="F803" s="12" t="s">
        <v>1714</v>
      </c>
      <c r="G803" s="9" t="s">
        <v>1709</v>
      </c>
    </row>
    <row r="804" spans="1:7">
      <c r="A804" s="9" t="s">
        <v>1711</v>
      </c>
      <c r="B804" s="13">
        <v>0.2</v>
      </c>
      <c r="C804" s="10">
        <v>0.93800000000000006</v>
      </c>
      <c r="D804" s="9" t="s">
        <v>1712</v>
      </c>
      <c r="E804" s="11" t="s">
        <v>1715</v>
      </c>
      <c r="F804" s="12" t="s">
        <v>1714</v>
      </c>
      <c r="G804" s="9" t="s">
        <v>1709</v>
      </c>
    </row>
    <row r="805" spans="1:7">
      <c r="A805" s="9" t="s">
        <v>1711</v>
      </c>
      <c r="B805" s="13">
        <v>0.2</v>
      </c>
      <c r="C805" s="10">
        <v>0.93800000000000006</v>
      </c>
      <c r="D805" s="9" t="s">
        <v>1712</v>
      </c>
      <c r="E805" s="11" t="s">
        <v>1715</v>
      </c>
      <c r="F805" s="12" t="s">
        <v>1714</v>
      </c>
      <c r="G805" s="9" t="s">
        <v>1709</v>
      </c>
    </row>
    <row r="806" spans="1:7">
      <c r="A806" s="9" t="s">
        <v>1711</v>
      </c>
      <c r="B806" s="13">
        <v>0.2</v>
      </c>
      <c r="C806" s="10">
        <v>0.93800000000000006</v>
      </c>
      <c r="D806" s="9" t="s">
        <v>1712</v>
      </c>
      <c r="E806" s="11" t="s">
        <v>1715</v>
      </c>
      <c r="F806" s="12" t="s">
        <v>1714</v>
      </c>
      <c r="G806" s="9" t="s">
        <v>1709</v>
      </c>
    </row>
    <row r="807" spans="1:7">
      <c r="A807" s="9" t="s">
        <v>1711</v>
      </c>
      <c r="B807" s="13">
        <v>0.2</v>
      </c>
      <c r="C807" s="10">
        <v>0.93800000000000006</v>
      </c>
      <c r="D807" s="9" t="s">
        <v>1712</v>
      </c>
      <c r="E807" s="11" t="s">
        <v>1715</v>
      </c>
      <c r="F807" s="12" t="s">
        <v>1714</v>
      </c>
      <c r="G807" s="9" t="s">
        <v>1709</v>
      </c>
    </row>
    <row r="808" spans="1:7">
      <c r="A808" s="9" t="s">
        <v>1711</v>
      </c>
      <c r="B808" s="13">
        <v>0.2</v>
      </c>
      <c r="C808" s="10">
        <v>0.20499999999999999</v>
      </c>
      <c r="D808" s="9" t="s">
        <v>1712</v>
      </c>
      <c r="E808" s="11" t="s">
        <v>1736</v>
      </c>
      <c r="F808" s="12" t="s">
        <v>1714</v>
      </c>
      <c r="G808" s="9" t="s">
        <v>1709</v>
      </c>
    </row>
    <row r="809" spans="1:7">
      <c r="A809" s="9" t="s">
        <v>1711</v>
      </c>
      <c r="B809" s="13">
        <v>0.2</v>
      </c>
      <c r="C809" s="10">
        <v>0.93500000000000005</v>
      </c>
      <c r="D809" s="9" t="s">
        <v>1712</v>
      </c>
      <c r="E809" s="11" t="s">
        <v>1736</v>
      </c>
      <c r="F809" s="12" t="s">
        <v>1714</v>
      </c>
      <c r="G809" s="9" t="s">
        <v>1709</v>
      </c>
    </row>
    <row r="810" spans="1:7">
      <c r="A810" s="9" t="s">
        <v>1711</v>
      </c>
      <c r="B810" s="13">
        <v>0.2</v>
      </c>
      <c r="C810" s="10">
        <v>0.48899999999999999</v>
      </c>
      <c r="D810" s="9" t="s">
        <v>1712</v>
      </c>
      <c r="E810" s="11" t="s">
        <v>1736</v>
      </c>
      <c r="F810" s="12" t="s">
        <v>1714</v>
      </c>
      <c r="G810" s="9" t="s">
        <v>1709</v>
      </c>
    </row>
    <row r="811" spans="1:7">
      <c r="A811" s="9" t="s">
        <v>1711</v>
      </c>
      <c r="B811" s="13">
        <v>0.2</v>
      </c>
      <c r="C811" s="10">
        <v>0.51900000000000002</v>
      </c>
      <c r="D811" s="9" t="s">
        <v>1712</v>
      </c>
      <c r="E811" s="11" t="s">
        <v>1736</v>
      </c>
      <c r="F811" s="12" t="s">
        <v>1714</v>
      </c>
      <c r="G811" s="9" t="s">
        <v>1709</v>
      </c>
    </row>
    <row r="812" spans="1:7">
      <c r="A812" s="9" t="s">
        <v>1711</v>
      </c>
      <c r="B812" s="9">
        <v>0.2</v>
      </c>
      <c r="C812" s="10">
        <v>5.2999999999999999E-2</v>
      </c>
      <c r="D812" s="9" t="s">
        <v>1712</v>
      </c>
      <c r="E812" s="11" t="s">
        <v>1736</v>
      </c>
      <c r="F812" s="12" t="s">
        <v>1714</v>
      </c>
      <c r="G812" s="9" t="s">
        <v>1709</v>
      </c>
    </row>
    <row r="813" spans="1:7">
      <c r="A813" s="9" t="s">
        <v>1711</v>
      </c>
      <c r="B813" s="9">
        <v>0.2</v>
      </c>
      <c r="C813" s="10">
        <v>-0.14599999999999999</v>
      </c>
      <c r="D813" s="9" t="s">
        <v>1709</v>
      </c>
      <c r="E813" s="11" t="s">
        <v>1710</v>
      </c>
      <c r="F813" s="12" t="s">
        <v>1710</v>
      </c>
      <c r="G813" s="9" t="s">
        <v>1709</v>
      </c>
    </row>
    <row r="814" spans="1:7">
      <c r="A814" s="9" t="s">
        <v>1711</v>
      </c>
      <c r="B814" s="9">
        <v>0.2</v>
      </c>
      <c r="C814" s="10">
        <v>0.93500000000000005</v>
      </c>
      <c r="D814" s="9" t="s">
        <v>1712</v>
      </c>
      <c r="E814" s="11" t="s">
        <v>1736</v>
      </c>
      <c r="F814" s="12" t="s">
        <v>1714</v>
      </c>
      <c r="G814" s="9" t="s">
        <v>1709</v>
      </c>
    </row>
    <row r="815" spans="1:7">
      <c r="A815" s="9" t="s">
        <v>1711</v>
      </c>
      <c r="B815" s="9">
        <v>0.2</v>
      </c>
      <c r="C815" s="10">
        <v>3.2759999999999998</v>
      </c>
      <c r="D815" s="9" t="s">
        <v>1712</v>
      </c>
      <c r="E815" s="11" t="s">
        <v>1736</v>
      </c>
      <c r="F815" s="12" t="s">
        <v>1714</v>
      </c>
      <c r="G815" s="9" t="s">
        <v>1709</v>
      </c>
    </row>
    <row r="816" spans="1:7">
      <c r="A816" s="9" t="s">
        <v>1711</v>
      </c>
      <c r="B816" s="9">
        <v>0.2</v>
      </c>
      <c r="C816" s="10">
        <v>3.2759999999999998</v>
      </c>
      <c r="D816" s="9" t="s">
        <v>1712</v>
      </c>
      <c r="E816" s="11" t="s">
        <v>1736</v>
      </c>
      <c r="F816" s="12" t="s">
        <v>1714</v>
      </c>
      <c r="G816" s="9" t="s">
        <v>1709</v>
      </c>
    </row>
    <row r="817" spans="1:7">
      <c r="A817" s="9" t="s">
        <v>1711</v>
      </c>
      <c r="B817" s="9">
        <v>0.2</v>
      </c>
      <c r="C817" s="10">
        <v>3.2759999999999998</v>
      </c>
      <c r="D817" s="9" t="s">
        <v>1712</v>
      </c>
      <c r="E817" s="11" t="s">
        <v>1736</v>
      </c>
      <c r="F817" s="12" t="s">
        <v>1714</v>
      </c>
      <c r="G817" s="9" t="s">
        <v>1709</v>
      </c>
    </row>
    <row r="818" spans="1:7">
      <c r="A818" s="9" t="s">
        <v>1711</v>
      </c>
      <c r="B818" s="13">
        <v>0.2</v>
      </c>
      <c r="C818" s="10">
        <v>0.9</v>
      </c>
      <c r="D818" s="9" t="s">
        <v>1712</v>
      </c>
      <c r="E818" s="11" t="s">
        <v>1736</v>
      </c>
      <c r="F818" s="12" t="s">
        <v>1714</v>
      </c>
      <c r="G818" s="9" t="s">
        <v>1709</v>
      </c>
    </row>
    <row r="819" spans="1:7">
      <c r="A819" s="9" t="s">
        <v>1711</v>
      </c>
      <c r="B819" s="9">
        <v>0.2</v>
      </c>
      <c r="C819" s="10">
        <v>0.9</v>
      </c>
      <c r="D819" s="9" t="s">
        <v>1712</v>
      </c>
      <c r="E819" s="11" t="s">
        <v>1736</v>
      </c>
      <c r="F819" s="12" t="s">
        <v>1714</v>
      </c>
      <c r="G819" s="9" t="s">
        <v>1709</v>
      </c>
    </row>
    <row r="820" spans="1:7">
      <c r="A820" s="9" t="s">
        <v>1711</v>
      </c>
      <c r="B820" s="9">
        <v>0.2</v>
      </c>
      <c r="C820" s="10">
        <v>0.9</v>
      </c>
      <c r="D820" s="9" t="s">
        <v>1712</v>
      </c>
      <c r="E820" s="11" t="s">
        <v>1736</v>
      </c>
      <c r="F820" s="12" t="s">
        <v>1714</v>
      </c>
      <c r="G820" s="9" t="s">
        <v>1709</v>
      </c>
    </row>
    <row r="821" spans="1:7">
      <c r="A821" s="9" t="s">
        <v>1711</v>
      </c>
      <c r="B821" s="13">
        <v>0.2</v>
      </c>
      <c r="C821" s="10">
        <v>0.93500000000000005</v>
      </c>
      <c r="D821" s="9" t="s">
        <v>1712</v>
      </c>
      <c r="E821" s="11" t="s">
        <v>1736</v>
      </c>
      <c r="F821" s="12" t="s">
        <v>1714</v>
      </c>
      <c r="G821" s="9" t="s">
        <v>1709</v>
      </c>
    </row>
    <row r="822" spans="1:7">
      <c r="A822" s="9" t="s">
        <v>1711</v>
      </c>
      <c r="B822" s="13">
        <v>0.2</v>
      </c>
      <c r="C822" s="10">
        <v>2.4E-2</v>
      </c>
      <c r="D822" s="9" t="s">
        <v>1712</v>
      </c>
      <c r="E822" s="11" t="s">
        <v>1736</v>
      </c>
      <c r="F822" s="12" t="s">
        <v>1714</v>
      </c>
      <c r="G822" s="9" t="s">
        <v>1709</v>
      </c>
    </row>
    <row r="823" spans="1:7">
      <c r="A823" s="9" t="s">
        <v>1711</v>
      </c>
      <c r="B823" s="13">
        <v>0.2</v>
      </c>
      <c r="C823" s="10">
        <v>2.7869999999999999</v>
      </c>
      <c r="D823" s="9" t="s">
        <v>1712</v>
      </c>
      <c r="E823" s="11" t="s">
        <v>1737</v>
      </c>
      <c r="F823" s="12" t="s">
        <v>1714</v>
      </c>
      <c r="G823" s="9" t="s">
        <v>1709</v>
      </c>
    </row>
    <row r="824" spans="1:7">
      <c r="A824" s="9" t="s">
        <v>1711</v>
      </c>
      <c r="B824" s="13">
        <v>0.2</v>
      </c>
      <c r="C824" s="10">
        <v>2.7869999999999999</v>
      </c>
      <c r="D824" s="9" t="s">
        <v>1712</v>
      </c>
      <c r="E824" s="11" t="s">
        <v>1737</v>
      </c>
      <c r="F824" s="12" t="s">
        <v>1714</v>
      </c>
      <c r="G824" s="9" t="s">
        <v>1709</v>
      </c>
    </row>
    <row r="825" spans="1:7">
      <c r="A825" s="9" t="s">
        <v>1711</v>
      </c>
      <c r="B825" s="13">
        <v>0.2</v>
      </c>
      <c r="C825" s="10">
        <v>2.7869999999999999</v>
      </c>
      <c r="D825" s="9" t="s">
        <v>1712</v>
      </c>
      <c r="E825" s="11" t="s">
        <v>1737</v>
      </c>
      <c r="F825" s="12" t="s">
        <v>1714</v>
      </c>
      <c r="G825" s="9" t="s">
        <v>1709</v>
      </c>
    </row>
    <row r="826" spans="1:7">
      <c r="A826" s="9" t="s">
        <v>1711</v>
      </c>
      <c r="B826" s="13">
        <v>0.2</v>
      </c>
      <c r="C826" s="10">
        <v>2.7869999999999999</v>
      </c>
      <c r="D826" s="9" t="s">
        <v>1712</v>
      </c>
      <c r="E826" s="11" t="s">
        <v>1737</v>
      </c>
      <c r="F826" s="12" t="s">
        <v>1714</v>
      </c>
      <c r="G826" s="9" t="s">
        <v>1709</v>
      </c>
    </row>
    <row r="827" spans="1:7">
      <c r="A827" s="9" t="s">
        <v>1711</v>
      </c>
      <c r="B827" s="13">
        <v>0.2</v>
      </c>
      <c r="C827" s="10">
        <v>2.7869999999999999</v>
      </c>
      <c r="D827" s="9" t="s">
        <v>1712</v>
      </c>
      <c r="E827" s="11" t="s">
        <v>1737</v>
      </c>
      <c r="F827" s="12" t="s">
        <v>1714</v>
      </c>
      <c r="G827" s="9" t="s">
        <v>1709</v>
      </c>
    </row>
    <row r="828" spans="1:7">
      <c r="A828" s="9" t="s">
        <v>1711</v>
      </c>
      <c r="B828" s="9">
        <v>0.2</v>
      </c>
      <c r="C828" s="10">
        <v>2.7869999999999999</v>
      </c>
      <c r="D828" s="9" t="s">
        <v>1712</v>
      </c>
      <c r="E828" s="11" t="s">
        <v>1737</v>
      </c>
      <c r="F828" s="12" t="s">
        <v>1714</v>
      </c>
      <c r="G828" s="9" t="s">
        <v>1709</v>
      </c>
    </row>
    <row r="829" spans="1:7">
      <c r="A829" s="9" t="s">
        <v>1711</v>
      </c>
      <c r="B829" s="9">
        <v>0.2</v>
      </c>
      <c r="C829" s="10">
        <v>2.7869999999999999</v>
      </c>
      <c r="D829" s="9" t="s">
        <v>1712</v>
      </c>
      <c r="E829" s="11" t="s">
        <v>1737</v>
      </c>
      <c r="F829" s="12" t="s">
        <v>1714</v>
      </c>
      <c r="G829" s="9" t="s">
        <v>1709</v>
      </c>
    </row>
    <row r="830" spans="1:7">
      <c r="A830" s="9" t="s">
        <v>1711</v>
      </c>
      <c r="B830" s="9">
        <v>0.2</v>
      </c>
      <c r="C830" s="10">
        <v>2.7869999999999999</v>
      </c>
      <c r="D830" s="9" t="s">
        <v>1712</v>
      </c>
      <c r="E830" s="11" t="s">
        <v>1737</v>
      </c>
      <c r="F830" s="12" t="s">
        <v>1714</v>
      </c>
      <c r="G830" s="9" t="s">
        <v>1709</v>
      </c>
    </row>
    <row r="831" spans="1:7">
      <c r="A831" s="9" t="s">
        <v>1711</v>
      </c>
      <c r="B831" s="13">
        <v>0.2</v>
      </c>
      <c r="C831" s="10">
        <v>2.7869999999999999</v>
      </c>
      <c r="D831" s="9" t="s">
        <v>1712</v>
      </c>
      <c r="E831" s="11" t="s">
        <v>1737</v>
      </c>
      <c r="F831" s="12" t="s">
        <v>1714</v>
      </c>
      <c r="G831" s="9" t="s">
        <v>1709</v>
      </c>
    </row>
    <row r="832" spans="1:7">
      <c r="A832" s="9" t="s">
        <v>1711</v>
      </c>
      <c r="B832" s="13">
        <v>0.2</v>
      </c>
      <c r="C832" s="10">
        <v>2.7869999999999999</v>
      </c>
      <c r="D832" s="9" t="s">
        <v>1712</v>
      </c>
      <c r="E832" s="11" t="s">
        <v>1737</v>
      </c>
      <c r="F832" s="12" t="s">
        <v>1714</v>
      </c>
      <c r="G832" s="9" t="s">
        <v>1709</v>
      </c>
    </row>
    <row r="833" spans="1:7">
      <c r="A833" s="9" t="s">
        <v>1711</v>
      </c>
      <c r="B833" s="13">
        <v>0.2</v>
      </c>
      <c r="C833" s="10">
        <v>2.7869999999999999</v>
      </c>
      <c r="D833" s="9" t="s">
        <v>1712</v>
      </c>
      <c r="E833" s="11" t="s">
        <v>1737</v>
      </c>
      <c r="F833" s="12" t="s">
        <v>1714</v>
      </c>
      <c r="G833" s="9" t="s">
        <v>1709</v>
      </c>
    </row>
    <row r="834" spans="1:7">
      <c r="A834" s="9" t="s">
        <v>1711</v>
      </c>
      <c r="B834" s="13">
        <v>0.2</v>
      </c>
      <c r="C834" s="10">
        <v>2.7869999999999999</v>
      </c>
      <c r="D834" s="9" t="s">
        <v>1712</v>
      </c>
      <c r="E834" s="11" t="s">
        <v>1737</v>
      </c>
      <c r="F834" s="12" t="s">
        <v>1714</v>
      </c>
      <c r="G834" s="9" t="s">
        <v>1709</v>
      </c>
    </row>
    <row r="835" spans="1:7">
      <c r="A835" s="9" t="s">
        <v>1711</v>
      </c>
      <c r="B835" s="13">
        <v>0.2</v>
      </c>
      <c r="C835" s="10">
        <v>2.7869999999999999</v>
      </c>
      <c r="D835" s="9" t="s">
        <v>1712</v>
      </c>
      <c r="E835" s="11" t="s">
        <v>1737</v>
      </c>
      <c r="F835" s="12" t="s">
        <v>1714</v>
      </c>
      <c r="G835" s="9" t="s">
        <v>1709</v>
      </c>
    </row>
    <row r="836" spans="1:7">
      <c r="A836" s="9" t="s">
        <v>1711</v>
      </c>
      <c r="B836" s="13">
        <v>0.2</v>
      </c>
      <c r="C836" s="10">
        <v>2.7869999999999999</v>
      </c>
      <c r="D836" s="9" t="s">
        <v>1712</v>
      </c>
      <c r="E836" s="11" t="s">
        <v>1737</v>
      </c>
      <c r="F836" s="12" t="s">
        <v>1714</v>
      </c>
      <c r="G836" s="9" t="s">
        <v>1709</v>
      </c>
    </row>
    <row r="837" spans="1:7">
      <c r="A837" s="9" t="s">
        <v>1711</v>
      </c>
      <c r="B837" s="13">
        <v>0.2</v>
      </c>
      <c r="C837" s="10">
        <v>2.7869999999999999</v>
      </c>
      <c r="D837" s="9" t="s">
        <v>1712</v>
      </c>
      <c r="E837" s="11" t="s">
        <v>1737</v>
      </c>
      <c r="F837" s="12" t="s">
        <v>1714</v>
      </c>
      <c r="G837" s="9" t="s">
        <v>1709</v>
      </c>
    </row>
    <row r="838" spans="1:7">
      <c r="A838" s="9" t="s">
        <v>1711</v>
      </c>
      <c r="B838" s="13">
        <v>0.2</v>
      </c>
      <c r="C838" s="10">
        <v>2.7869999999999999</v>
      </c>
      <c r="D838" s="9" t="s">
        <v>1712</v>
      </c>
      <c r="E838" s="11" t="s">
        <v>1737</v>
      </c>
      <c r="F838" s="12" t="s">
        <v>1714</v>
      </c>
      <c r="G838" s="9" t="s">
        <v>1709</v>
      </c>
    </row>
    <row r="839" spans="1:7">
      <c r="A839" s="9" t="s">
        <v>1711</v>
      </c>
      <c r="B839" s="13">
        <v>0.2</v>
      </c>
      <c r="C839" s="10">
        <v>2.7869999999999999</v>
      </c>
      <c r="D839" s="9" t="s">
        <v>1712</v>
      </c>
      <c r="E839" s="11" t="s">
        <v>1737</v>
      </c>
      <c r="F839" s="12" t="s">
        <v>1714</v>
      </c>
      <c r="G839" s="9" t="s">
        <v>1709</v>
      </c>
    </row>
    <row r="840" spans="1:7">
      <c r="A840" s="9" t="s">
        <v>1711</v>
      </c>
      <c r="B840" s="13">
        <v>0.2</v>
      </c>
      <c r="C840" s="10">
        <v>2.508</v>
      </c>
      <c r="D840" s="9" t="s">
        <v>1712</v>
      </c>
      <c r="E840" s="11" t="s">
        <v>1737</v>
      </c>
      <c r="F840" s="12" t="s">
        <v>1714</v>
      </c>
      <c r="G840" s="9" t="s">
        <v>1709</v>
      </c>
    </row>
    <row r="841" spans="1:7">
      <c r="A841" s="9" t="s">
        <v>1711</v>
      </c>
      <c r="B841" s="9">
        <v>0.2</v>
      </c>
      <c r="C841" s="10">
        <v>2.508</v>
      </c>
      <c r="D841" s="9" t="s">
        <v>1712</v>
      </c>
      <c r="E841" s="11" t="s">
        <v>1737</v>
      </c>
      <c r="F841" s="12" t="s">
        <v>1714</v>
      </c>
      <c r="G841" s="9" t="s">
        <v>1709</v>
      </c>
    </row>
    <row r="842" spans="1:7">
      <c r="A842" s="9" t="s">
        <v>1711</v>
      </c>
      <c r="B842" s="13">
        <v>0.2</v>
      </c>
      <c r="C842" s="10">
        <v>2.508</v>
      </c>
      <c r="D842" s="9" t="s">
        <v>1712</v>
      </c>
      <c r="E842" s="11" t="s">
        <v>1737</v>
      </c>
      <c r="F842" s="12" t="s">
        <v>1714</v>
      </c>
      <c r="G842" s="9" t="s">
        <v>1709</v>
      </c>
    </row>
    <row r="843" spans="1:7">
      <c r="A843" s="9" t="s">
        <v>1711</v>
      </c>
      <c r="B843" s="13">
        <v>0.2</v>
      </c>
      <c r="C843" s="10">
        <v>-5.8000000000000003E-2</v>
      </c>
      <c r="D843" s="9" t="s">
        <v>1709</v>
      </c>
      <c r="E843" s="11" t="s">
        <v>1710</v>
      </c>
      <c r="F843" s="12" t="s">
        <v>1710</v>
      </c>
      <c r="G843" s="9" t="s">
        <v>1709</v>
      </c>
    </row>
    <row r="844" spans="1:7">
      <c r="A844" s="9" t="s">
        <v>1711</v>
      </c>
      <c r="B844" s="13">
        <v>0.2</v>
      </c>
      <c r="C844" s="10">
        <v>-5.8000000000000003E-2</v>
      </c>
      <c r="D844" s="9" t="s">
        <v>1709</v>
      </c>
      <c r="E844" s="11" t="s">
        <v>1710</v>
      </c>
      <c r="F844" s="12" t="s">
        <v>1710</v>
      </c>
      <c r="G844" s="9" t="s">
        <v>1709</v>
      </c>
    </row>
    <row r="845" spans="1:7">
      <c r="A845" s="9" t="s">
        <v>1711</v>
      </c>
      <c r="B845" s="13">
        <v>0.2</v>
      </c>
      <c r="C845" s="10">
        <v>-7.0000000000000007E-2</v>
      </c>
      <c r="D845" s="9" t="s">
        <v>1709</v>
      </c>
      <c r="E845" s="11" t="s">
        <v>1710</v>
      </c>
      <c r="F845" s="12" t="s">
        <v>1710</v>
      </c>
      <c r="G845" s="9" t="s">
        <v>1709</v>
      </c>
    </row>
    <row r="846" spans="1:7">
      <c r="A846" s="9" t="s">
        <v>1711</v>
      </c>
      <c r="B846" s="13">
        <v>0.2</v>
      </c>
      <c r="C846" s="10">
        <v>-0.184</v>
      </c>
      <c r="D846" s="9" t="s">
        <v>1709</v>
      </c>
      <c r="E846" s="11" t="s">
        <v>1710</v>
      </c>
      <c r="F846" s="12" t="s">
        <v>1710</v>
      </c>
      <c r="G846" s="9" t="s">
        <v>1709</v>
      </c>
    </row>
    <row r="847" spans="1:7">
      <c r="A847" s="9" t="s">
        <v>1711</v>
      </c>
      <c r="B847" s="13">
        <v>0.2</v>
      </c>
      <c r="C847" s="10">
        <v>-7.1000000000000008E-2</v>
      </c>
      <c r="D847" s="9" t="s">
        <v>1709</v>
      </c>
      <c r="E847" s="11" t="s">
        <v>1710</v>
      </c>
      <c r="F847" s="12" t="s">
        <v>1710</v>
      </c>
      <c r="G847" s="9" t="s">
        <v>1709</v>
      </c>
    </row>
    <row r="848" spans="1:7">
      <c r="A848" s="9" t="s">
        <v>1711</v>
      </c>
      <c r="B848" s="13">
        <v>0.2</v>
      </c>
      <c r="C848" s="10">
        <v>0.77300000000000002</v>
      </c>
      <c r="D848" s="9" t="s">
        <v>1712</v>
      </c>
      <c r="E848" s="11" t="s">
        <v>1736</v>
      </c>
      <c r="F848" s="12" t="s">
        <v>1714</v>
      </c>
      <c r="G848" s="9" t="s">
        <v>1709</v>
      </c>
    </row>
    <row r="849" spans="1:7">
      <c r="A849" s="9" t="s">
        <v>1711</v>
      </c>
      <c r="B849" s="13">
        <v>0.2</v>
      </c>
      <c r="C849" s="10">
        <v>0.77300000000000002</v>
      </c>
      <c r="D849" s="9" t="s">
        <v>1712</v>
      </c>
      <c r="E849" s="11" t="s">
        <v>1736</v>
      </c>
      <c r="F849" s="12" t="s">
        <v>1714</v>
      </c>
      <c r="G849" s="9" t="s">
        <v>1709</v>
      </c>
    </row>
    <row r="850" spans="1:7">
      <c r="A850" s="9" t="s">
        <v>1711</v>
      </c>
      <c r="B850" s="13">
        <v>0.2</v>
      </c>
      <c r="C850" s="10">
        <v>0.77300000000000002</v>
      </c>
      <c r="D850" s="9" t="s">
        <v>1712</v>
      </c>
      <c r="E850" s="11" t="s">
        <v>1736</v>
      </c>
      <c r="F850" s="12" t="s">
        <v>1714</v>
      </c>
      <c r="G850" s="9" t="s">
        <v>1709</v>
      </c>
    </row>
    <row r="851" spans="1:7">
      <c r="A851" s="9" t="s">
        <v>1711</v>
      </c>
      <c r="B851" s="13">
        <v>0.2</v>
      </c>
      <c r="C851" s="10">
        <v>0.77300000000000002</v>
      </c>
      <c r="D851" s="9" t="s">
        <v>1712</v>
      </c>
      <c r="E851" s="11" t="s">
        <v>1736</v>
      </c>
      <c r="F851" s="12" t="s">
        <v>1714</v>
      </c>
      <c r="G851" s="9" t="s">
        <v>1709</v>
      </c>
    </row>
    <row r="852" spans="1:7">
      <c r="A852" s="9" t="s">
        <v>1711</v>
      </c>
      <c r="B852" s="13">
        <v>0.2</v>
      </c>
      <c r="C852" s="10">
        <v>1.1729999999999998</v>
      </c>
      <c r="D852" s="9" t="s">
        <v>1712</v>
      </c>
      <c r="E852" s="11" t="s">
        <v>1736</v>
      </c>
      <c r="F852" s="12" t="s">
        <v>1714</v>
      </c>
      <c r="G852" s="9" t="s">
        <v>1709</v>
      </c>
    </row>
    <row r="853" spans="1:7">
      <c r="A853" s="9" t="s">
        <v>1711</v>
      </c>
      <c r="B853" s="13">
        <v>0.2</v>
      </c>
      <c r="C853" s="10">
        <v>-7.1000000000000008E-2</v>
      </c>
      <c r="D853" s="9" t="s">
        <v>1709</v>
      </c>
      <c r="E853" s="11" t="s">
        <v>1710</v>
      </c>
      <c r="F853" s="12" t="s">
        <v>1710</v>
      </c>
      <c r="G853" s="9" t="s">
        <v>1709</v>
      </c>
    </row>
    <row r="854" spans="1:7">
      <c r="A854" s="9" t="s">
        <v>1711</v>
      </c>
      <c r="B854" s="13">
        <v>0.2</v>
      </c>
      <c r="C854" s="10">
        <v>5.2999999999999999E-2</v>
      </c>
      <c r="D854" s="9" t="s">
        <v>1712</v>
      </c>
      <c r="E854" s="11" t="s">
        <v>1736</v>
      </c>
      <c r="F854" s="12" t="s">
        <v>1714</v>
      </c>
      <c r="G854" s="9" t="s">
        <v>1709</v>
      </c>
    </row>
    <row r="855" spans="1:7">
      <c r="A855" s="9" t="s">
        <v>1711</v>
      </c>
      <c r="B855" s="13">
        <v>0.2</v>
      </c>
      <c r="C855" s="10">
        <v>-0.19800000000000001</v>
      </c>
      <c r="D855" s="9" t="s">
        <v>1709</v>
      </c>
      <c r="E855" s="11" t="s">
        <v>1710</v>
      </c>
      <c r="F855" s="12" t="s">
        <v>1710</v>
      </c>
      <c r="G855" s="9" t="s">
        <v>1709</v>
      </c>
    </row>
    <row r="856" spans="1:7">
      <c r="A856" s="9" t="s">
        <v>1711</v>
      </c>
      <c r="B856" s="13">
        <v>0.2</v>
      </c>
      <c r="C856" s="10">
        <v>7.9000000000000001E-2</v>
      </c>
      <c r="D856" s="9" t="s">
        <v>1712</v>
      </c>
      <c r="E856" s="11" t="s">
        <v>1737</v>
      </c>
      <c r="F856" s="12" t="s">
        <v>1714</v>
      </c>
      <c r="G856" s="9" t="s">
        <v>1709</v>
      </c>
    </row>
    <row r="857" spans="1:7">
      <c r="A857" s="9" t="s">
        <v>1711</v>
      </c>
      <c r="B857" s="13">
        <v>0.2</v>
      </c>
      <c r="C857" s="10">
        <v>7.9000000000000001E-2</v>
      </c>
      <c r="D857" s="9" t="s">
        <v>1712</v>
      </c>
      <c r="E857" s="11" t="s">
        <v>1737</v>
      </c>
      <c r="F857" s="12" t="s">
        <v>1714</v>
      </c>
      <c r="G857" s="9" t="s">
        <v>1709</v>
      </c>
    </row>
    <row r="858" spans="1:7">
      <c r="A858" s="9" t="s">
        <v>1711</v>
      </c>
      <c r="B858" s="13">
        <v>0.2</v>
      </c>
      <c r="C858" s="10">
        <v>1.1819999999999999</v>
      </c>
      <c r="D858" s="9" t="s">
        <v>1712</v>
      </c>
      <c r="E858" s="11" t="s">
        <v>1737</v>
      </c>
      <c r="F858" s="12" t="s">
        <v>1714</v>
      </c>
      <c r="G858" s="9" t="s">
        <v>1709</v>
      </c>
    </row>
    <row r="859" spans="1:7">
      <c r="A859" s="9" t="s">
        <v>1711</v>
      </c>
      <c r="B859" s="13">
        <v>0.2</v>
      </c>
      <c r="C859" s="10">
        <v>0.16600000000000001</v>
      </c>
      <c r="D859" s="9" t="s">
        <v>1712</v>
      </c>
      <c r="E859" s="11" t="s">
        <v>1736</v>
      </c>
      <c r="F859" s="12" t="s">
        <v>1714</v>
      </c>
      <c r="G859" s="9" t="s">
        <v>1709</v>
      </c>
    </row>
    <row r="860" spans="1:7">
      <c r="A860" s="9" t="s">
        <v>1711</v>
      </c>
      <c r="B860" s="13">
        <v>0.2</v>
      </c>
      <c r="C860" s="10">
        <v>1.1729999999999998</v>
      </c>
      <c r="D860" s="9" t="s">
        <v>1712</v>
      </c>
      <c r="E860" s="11" t="s">
        <v>1736</v>
      </c>
      <c r="F860" s="12" t="s">
        <v>1714</v>
      </c>
      <c r="G860" s="9" t="s">
        <v>1709</v>
      </c>
    </row>
    <row r="861" spans="1:7">
      <c r="A861" s="9" t="s">
        <v>1711</v>
      </c>
      <c r="B861" s="13">
        <v>0.2</v>
      </c>
      <c r="C861" s="10">
        <v>-0.193</v>
      </c>
      <c r="D861" s="9" t="s">
        <v>1709</v>
      </c>
      <c r="E861" s="11" t="s">
        <v>1710</v>
      </c>
      <c r="F861" s="12" t="s">
        <v>1710</v>
      </c>
      <c r="G861" s="9" t="s">
        <v>1709</v>
      </c>
    </row>
    <row r="862" spans="1:7">
      <c r="A862" s="9" t="s">
        <v>1711</v>
      </c>
      <c r="B862" s="13">
        <v>0.2</v>
      </c>
      <c r="C862" s="10">
        <v>-5.0000000000000001E-3</v>
      </c>
      <c r="D862" s="9" t="s">
        <v>1709</v>
      </c>
      <c r="E862" s="11" t="s">
        <v>1710</v>
      </c>
      <c r="F862" s="12" t="s">
        <v>1710</v>
      </c>
      <c r="G862" s="9" t="s">
        <v>1709</v>
      </c>
    </row>
    <row r="863" spans="1:7">
      <c r="A863" s="9" t="s">
        <v>1711</v>
      </c>
      <c r="B863" s="13">
        <v>0.2</v>
      </c>
      <c r="C863" s="10">
        <v>-0.14599999999999999</v>
      </c>
      <c r="D863" s="9" t="s">
        <v>1709</v>
      </c>
      <c r="E863" s="11" t="s">
        <v>1710</v>
      </c>
      <c r="F863" s="12" t="s">
        <v>1710</v>
      </c>
      <c r="G863" s="9" t="s">
        <v>1709</v>
      </c>
    </row>
    <row r="864" spans="1:7">
      <c r="A864" s="9" t="s">
        <v>1711</v>
      </c>
      <c r="B864" s="13">
        <v>0.2</v>
      </c>
      <c r="C864" s="10">
        <v>0.61299999999999999</v>
      </c>
      <c r="D864" s="9" t="s">
        <v>1712</v>
      </c>
      <c r="E864" s="11" t="s">
        <v>1715</v>
      </c>
      <c r="F864" s="12" t="s">
        <v>1714</v>
      </c>
      <c r="G864" s="9" t="s">
        <v>1709</v>
      </c>
    </row>
    <row r="865" spans="1:7">
      <c r="A865" s="9" t="s">
        <v>1711</v>
      </c>
      <c r="B865" s="13">
        <v>0.2</v>
      </c>
      <c r="C865" s="10">
        <v>0.61299999999999999</v>
      </c>
      <c r="D865" s="9" t="s">
        <v>1712</v>
      </c>
      <c r="E865" s="11" t="s">
        <v>1715</v>
      </c>
      <c r="F865" s="12" t="s">
        <v>1714</v>
      </c>
      <c r="G865" s="9" t="s">
        <v>1709</v>
      </c>
    </row>
    <row r="866" spans="1:7">
      <c r="A866" s="9" t="s">
        <v>1711</v>
      </c>
      <c r="B866" s="13">
        <v>0.2</v>
      </c>
      <c r="C866" s="10">
        <v>0.61299999999999999</v>
      </c>
      <c r="D866" s="9" t="s">
        <v>1712</v>
      </c>
      <c r="E866" s="11" t="s">
        <v>1715</v>
      </c>
      <c r="F866" s="12" t="s">
        <v>1714</v>
      </c>
      <c r="G866" s="9" t="s">
        <v>1709</v>
      </c>
    </row>
    <row r="867" spans="1:7">
      <c r="A867" s="9" t="s">
        <v>1711</v>
      </c>
      <c r="B867" s="13">
        <v>0.2</v>
      </c>
      <c r="C867" s="10">
        <v>0.61299999999999999</v>
      </c>
      <c r="D867" s="9" t="s">
        <v>1712</v>
      </c>
      <c r="E867" s="11" t="s">
        <v>1715</v>
      </c>
      <c r="F867" s="12" t="s">
        <v>1714</v>
      </c>
      <c r="G867" s="9" t="s">
        <v>1709</v>
      </c>
    </row>
    <row r="868" spans="1:7">
      <c r="A868" s="9" t="s">
        <v>1711</v>
      </c>
      <c r="B868" s="13">
        <v>0.2</v>
      </c>
      <c r="C868" s="10">
        <v>0.61299999999999999</v>
      </c>
      <c r="D868" s="9" t="s">
        <v>1712</v>
      </c>
      <c r="E868" s="11" t="s">
        <v>1715</v>
      </c>
      <c r="F868" s="12" t="s">
        <v>1714</v>
      </c>
      <c r="G868" s="9" t="s">
        <v>1709</v>
      </c>
    </row>
    <row r="869" spans="1:7">
      <c r="A869" s="9" t="s">
        <v>1711</v>
      </c>
      <c r="B869" s="13">
        <v>0.2</v>
      </c>
      <c r="C869" s="10">
        <v>0.61299999999999999</v>
      </c>
      <c r="D869" s="9" t="s">
        <v>1712</v>
      </c>
      <c r="E869" s="11" t="s">
        <v>1715</v>
      </c>
      <c r="F869" s="12" t="s">
        <v>1714</v>
      </c>
      <c r="G869" s="9" t="s">
        <v>1709</v>
      </c>
    </row>
    <row r="870" spans="1:7">
      <c r="A870" s="9" t="s">
        <v>1711</v>
      </c>
      <c r="B870" s="13">
        <v>0.2</v>
      </c>
      <c r="C870" s="10">
        <v>0.61299999999999999</v>
      </c>
      <c r="D870" s="9" t="s">
        <v>1712</v>
      </c>
      <c r="E870" s="11" t="s">
        <v>1715</v>
      </c>
      <c r="F870" s="12" t="s">
        <v>1714</v>
      </c>
      <c r="G870" s="9" t="s">
        <v>1709</v>
      </c>
    </row>
    <row r="871" spans="1:7">
      <c r="A871" s="9" t="s">
        <v>1711</v>
      </c>
      <c r="B871" s="13">
        <v>0.2</v>
      </c>
      <c r="C871" s="10">
        <v>0.61299999999999999</v>
      </c>
      <c r="D871" s="9" t="s">
        <v>1712</v>
      </c>
      <c r="E871" s="11" t="s">
        <v>1715</v>
      </c>
      <c r="F871" s="12" t="s">
        <v>1714</v>
      </c>
      <c r="G871" s="9" t="s">
        <v>1709</v>
      </c>
    </row>
    <row r="872" spans="1:7">
      <c r="A872" s="9" t="s">
        <v>1711</v>
      </c>
      <c r="B872" s="13">
        <v>0.2</v>
      </c>
      <c r="C872" s="10">
        <v>0.61299999999999999</v>
      </c>
      <c r="D872" s="9" t="s">
        <v>1712</v>
      </c>
      <c r="E872" s="11" t="s">
        <v>1715</v>
      </c>
      <c r="F872" s="12" t="s">
        <v>1714</v>
      </c>
      <c r="G872" s="9" t="s">
        <v>1709</v>
      </c>
    </row>
    <row r="873" spans="1:7">
      <c r="A873" s="9" t="s">
        <v>1711</v>
      </c>
      <c r="B873" s="9">
        <v>0.2</v>
      </c>
      <c r="C873" s="10">
        <v>0.61299999999999999</v>
      </c>
      <c r="D873" s="9" t="s">
        <v>1712</v>
      </c>
      <c r="E873" s="11" t="s">
        <v>1715</v>
      </c>
      <c r="F873" s="12" t="s">
        <v>1714</v>
      </c>
      <c r="G873" s="9" t="s">
        <v>1709</v>
      </c>
    </row>
    <row r="874" spans="1:7">
      <c r="A874" s="9" t="s">
        <v>1711</v>
      </c>
      <c r="B874" s="13">
        <v>0.2</v>
      </c>
      <c r="C874" s="10">
        <v>0.61299999999999999</v>
      </c>
      <c r="D874" s="9" t="s">
        <v>1712</v>
      </c>
      <c r="E874" s="11" t="s">
        <v>1715</v>
      </c>
      <c r="F874" s="12" t="s">
        <v>1714</v>
      </c>
      <c r="G874" s="9" t="s">
        <v>1709</v>
      </c>
    </row>
    <row r="875" spans="1:7">
      <c r="A875" s="9" t="s">
        <v>1711</v>
      </c>
      <c r="B875" s="13">
        <v>0.2</v>
      </c>
      <c r="C875" s="10">
        <v>5.2999999999999999E-2</v>
      </c>
      <c r="D875" s="9" t="s">
        <v>1712</v>
      </c>
      <c r="E875" s="11" t="s">
        <v>1736</v>
      </c>
      <c r="F875" s="12" t="s">
        <v>1714</v>
      </c>
      <c r="G875" s="9" t="s">
        <v>1709</v>
      </c>
    </row>
    <row r="876" spans="1:7">
      <c r="A876" s="9" t="s">
        <v>1711</v>
      </c>
      <c r="B876" s="13">
        <v>0.2</v>
      </c>
      <c r="C876" s="10">
        <v>1.2549999999999999</v>
      </c>
      <c r="D876" s="9" t="s">
        <v>1712</v>
      </c>
      <c r="E876" s="11" t="s">
        <v>1736</v>
      </c>
      <c r="F876" s="12" t="s">
        <v>1714</v>
      </c>
      <c r="G876" s="9" t="s">
        <v>1709</v>
      </c>
    </row>
    <row r="877" spans="1:7">
      <c r="A877" s="9" t="s">
        <v>1711</v>
      </c>
      <c r="B877" s="13">
        <v>0.2</v>
      </c>
      <c r="C877" s="10">
        <v>7.9000000000000001E-2</v>
      </c>
      <c r="D877" s="9" t="s">
        <v>1712</v>
      </c>
      <c r="E877" s="11" t="s">
        <v>1737</v>
      </c>
      <c r="F877" s="12" t="s">
        <v>1714</v>
      </c>
      <c r="G877" s="9" t="s">
        <v>1709</v>
      </c>
    </row>
    <row r="878" spans="1:7">
      <c r="A878" s="9" t="s">
        <v>1711</v>
      </c>
      <c r="B878" s="13">
        <v>0.2</v>
      </c>
      <c r="C878" s="10">
        <v>9.1869999999999994</v>
      </c>
      <c r="D878" s="9" t="s">
        <v>1712</v>
      </c>
      <c r="E878" s="11" t="s">
        <v>1736</v>
      </c>
      <c r="F878" s="12" t="s">
        <v>1714</v>
      </c>
      <c r="G878" s="9" t="s">
        <v>1709</v>
      </c>
    </row>
    <row r="879" spans="1:7">
      <c r="A879" s="9" t="s">
        <v>1711</v>
      </c>
      <c r="B879" s="13">
        <v>0.2</v>
      </c>
      <c r="C879" s="10">
        <v>0.17799999999999999</v>
      </c>
      <c r="D879" s="9" t="s">
        <v>1712</v>
      </c>
      <c r="E879" s="11" t="s">
        <v>1736</v>
      </c>
      <c r="F879" s="12" t="s">
        <v>1714</v>
      </c>
      <c r="G879" s="9" t="s">
        <v>1709</v>
      </c>
    </row>
    <row r="880" spans="1:7">
      <c r="A880" s="9" t="s">
        <v>1711</v>
      </c>
      <c r="B880" s="13">
        <v>0.2</v>
      </c>
      <c r="C880" s="10">
        <v>-7.1000000000000008E-2</v>
      </c>
      <c r="D880" s="9" t="s">
        <v>1709</v>
      </c>
      <c r="E880" s="11" t="s">
        <v>1710</v>
      </c>
      <c r="F880" s="12" t="s">
        <v>1710</v>
      </c>
      <c r="G880" s="9" t="s">
        <v>1709</v>
      </c>
    </row>
    <row r="881" spans="1:7">
      <c r="A881" s="9" t="s">
        <v>1711</v>
      </c>
      <c r="B881" s="13">
        <v>0.2</v>
      </c>
      <c r="C881" s="10">
        <v>0.14100000000000001</v>
      </c>
      <c r="D881" s="9" t="s">
        <v>1712</v>
      </c>
      <c r="E881" s="11" t="s">
        <v>1742</v>
      </c>
      <c r="F881" s="12" t="s">
        <v>1714</v>
      </c>
      <c r="G881" s="9" t="s">
        <v>1709</v>
      </c>
    </row>
    <row r="882" spans="1:7">
      <c r="A882" s="9" t="s">
        <v>1711</v>
      </c>
      <c r="B882" s="13">
        <v>0.2</v>
      </c>
      <c r="C882" s="10">
        <v>0.152</v>
      </c>
      <c r="D882" s="9" t="s">
        <v>1712</v>
      </c>
      <c r="E882" s="11" t="s">
        <v>1742</v>
      </c>
      <c r="F882" s="12" t="s">
        <v>1714</v>
      </c>
      <c r="G882" s="9" t="s">
        <v>1709</v>
      </c>
    </row>
    <row r="883" spans="1:7">
      <c r="A883" s="9" t="s">
        <v>1711</v>
      </c>
      <c r="B883" s="13">
        <v>0.2</v>
      </c>
      <c r="C883" s="10">
        <v>0.152</v>
      </c>
      <c r="D883" s="9" t="s">
        <v>1712</v>
      </c>
      <c r="E883" s="11" t="s">
        <v>1742</v>
      </c>
      <c r="F883" s="12" t="s">
        <v>1714</v>
      </c>
      <c r="G883" s="9" t="s">
        <v>1709</v>
      </c>
    </row>
    <row r="884" spans="1:7">
      <c r="A884" s="9" t="s">
        <v>1711</v>
      </c>
      <c r="B884" s="13">
        <v>0.2</v>
      </c>
      <c r="C884" s="10">
        <v>0.152</v>
      </c>
      <c r="D884" s="9" t="s">
        <v>1712</v>
      </c>
      <c r="E884" s="11" t="s">
        <v>1742</v>
      </c>
      <c r="F884" s="12" t="s">
        <v>1714</v>
      </c>
      <c r="G884" s="9" t="s">
        <v>1709</v>
      </c>
    </row>
    <row r="885" spans="1:7">
      <c r="A885" s="9" t="s">
        <v>1711</v>
      </c>
      <c r="B885" s="13">
        <v>0.2</v>
      </c>
      <c r="C885" s="10">
        <v>0.152</v>
      </c>
      <c r="D885" s="9" t="s">
        <v>1712</v>
      </c>
      <c r="E885" s="11" t="s">
        <v>1742</v>
      </c>
      <c r="F885" s="12" t="s">
        <v>1714</v>
      </c>
      <c r="G885" s="9" t="s">
        <v>1709</v>
      </c>
    </row>
    <row r="886" spans="1:7">
      <c r="A886" s="9" t="s">
        <v>1711</v>
      </c>
      <c r="B886" s="13">
        <v>0.2</v>
      </c>
      <c r="C886" s="10">
        <v>0.152</v>
      </c>
      <c r="D886" s="9" t="s">
        <v>1712</v>
      </c>
      <c r="E886" s="11" t="s">
        <v>1742</v>
      </c>
      <c r="F886" s="12" t="s">
        <v>1714</v>
      </c>
      <c r="G886" s="9" t="s">
        <v>1709</v>
      </c>
    </row>
    <row r="887" spans="1:7">
      <c r="A887" s="9" t="s">
        <v>1711</v>
      </c>
      <c r="B887" s="13">
        <v>0.2</v>
      </c>
      <c r="C887" s="10">
        <v>0.126</v>
      </c>
      <c r="D887" s="9" t="s">
        <v>1712</v>
      </c>
      <c r="E887" s="11" t="s">
        <v>1736</v>
      </c>
      <c r="F887" s="12" t="s">
        <v>1714</v>
      </c>
      <c r="G887" s="9" t="s">
        <v>1709</v>
      </c>
    </row>
    <row r="888" spans="1:7">
      <c r="A888" s="9" t="s">
        <v>1711</v>
      </c>
      <c r="B888" s="13">
        <v>0.2</v>
      </c>
      <c r="C888" s="10">
        <v>-5.0000000000000001E-3</v>
      </c>
      <c r="D888" s="9" t="s">
        <v>1709</v>
      </c>
      <c r="E888" s="11" t="s">
        <v>1710</v>
      </c>
      <c r="F888" s="12" t="s">
        <v>1710</v>
      </c>
      <c r="G888" s="9" t="s">
        <v>1709</v>
      </c>
    </row>
    <row r="889" spans="1:7">
      <c r="A889" s="9" t="s">
        <v>1711</v>
      </c>
      <c r="B889" s="13">
        <v>0.2</v>
      </c>
      <c r="C889" s="10">
        <v>0.17799999999999999</v>
      </c>
      <c r="D889" s="9" t="s">
        <v>1712</v>
      </c>
      <c r="E889" s="11" t="s">
        <v>1736</v>
      </c>
      <c r="F889" s="12" t="s">
        <v>1714</v>
      </c>
      <c r="G889" s="9" t="s">
        <v>1709</v>
      </c>
    </row>
    <row r="890" spans="1:7">
      <c r="A890" s="9" t="s">
        <v>1711</v>
      </c>
      <c r="B890" s="13">
        <v>0.2</v>
      </c>
      <c r="C890" s="10">
        <v>1.4419999999999999</v>
      </c>
      <c r="D890" s="9" t="s">
        <v>1712</v>
      </c>
      <c r="E890" s="11" t="s">
        <v>1737</v>
      </c>
      <c r="F890" s="12" t="s">
        <v>1714</v>
      </c>
      <c r="G890" s="9" t="s">
        <v>1709</v>
      </c>
    </row>
    <row r="891" spans="1:7">
      <c r="A891" s="9" t="s">
        <v>1711</v>
      </c>
      <c r="B891" s="13">
        <v>0.2</v>
      </c>
      <c r="C891" s="10">
        <v>-5.0000000000000001E-3</v>
      </c>
      <c r="D891" s="9" t="s">
        <v>1709</v>
      </c>
      <c r="E891" s="11" t="s">
        <v>1710</v>
      </c>
      <c r="F891" s="12" t="s">
        <v>1710</v>
      </c>
      <c r="G891" s="9" t="s">
        <v>1709</v>
      </c>
    </row>
    <row r="892" spans="1:7">
      <c r="A892" s="9" t="s">
        <v>1711</v>
      </c>
      <c r="B892" s="13">
        <v>0.2</v>
      </c>
      <c r="C892" s="10">
        <v>0.59899999999999998</v>
      </c>
      <c r="D892" s="9" t="s">
        <v>1712</v>
      </c>
      <c r="E892" s="11" t="s">
        <v>1737</v>
      </c>
      <c r="F892" s="12" t="s">
        <v>1714</v>
      </c>
      <c r="G892" s="9" t="s">
        <v>1709</v>
      </c>
    </row>
    <row r="893" spans="1:7">
      <c r="A893" s="9" t="s">
        <v>1711</v>
      </c>
      <c r="B893" s="13">
        <v>0.2</v>
      </c>
      <c r="C893" s="10">
        <v>0.59899999999999998</v>
      </c>
      <c r="D893" s="9" t="s">
        <v>1712</v>
      </c>
      <c r="E893" s="11" t="s">
        <v>1737</v>
      </c>
      <c r="F893" s="12" t="s">
        <v>1714</v>
      </c>
      <c r="G893" s="9" t="s">
        <v>1709</v>
      </c>
    </row>
    <row r="894" spans="1:7">
      <c r="A894" s="9" t="s">
        <v>1711</v>
      </c>
      <c r="B894" s="13">
        <v>0.2</v>
      </c>
      <c r="C894" s="10">
        <v>0.59899999999999998</v>
      </c>
      <c r="D894" s="9" t="s">
        <v>1712</v>
      </c>
      <c r="E894" s="11" t="s">
        <v>1737</v>
      </c>
      <c r="F894" s="12" t="s">
        <v>1714</v>
      </c>
      <c r="G894" s="9" t="s">
        <v>1709</v>
      </c>
    </row>
    <row r="895" spans="1:7">
      <c r="A895" s="9" t="s">
        <v>1711</v>
      </c>
      <c r="B895" s="13">
        <v>0.2</v>
      </c>
      <c r="C895" s="10">
        <v>0.59899999999999998</v>
      </c>
      <c r="D895" s="9" t="s">
        <v>1712</v>
      </c>
      <c r="E895" s="11" t="s">
        <v>1737</v>
      </c>
      <c r="F895" s="12" t="s">
        <v>1714</v>
      </c>
      <c r="G895" s="9" t="s">
        <v>1709</v>
      </c>
    </row>
    <row r="896" spans="1:7">
      <c r="A896" s="9" t="s">
        <v>1711</v>
      </c>
      <c r="B896" s="13">
        <v>0.2</v>
      </c>
      <c r="C896" s="10">
        <v>0.59899999999999998</v>
      </c>
      <c r="D896" s="9" t="s">
        <v>1712</v>
      </c>
      <c r="E896" s="11" t="s">
        <v>1737</v>
      </c>
      <c r="F896" s="12" t="s">
        <v>1714</v>
      </c>
      <c r="G896" s="9" t="s">
        <v>1709</v>
      </c>
    </row>
    <row r="897" spans="1:7">
      <c r="A897" s="9" t="s">
        <v>1711</v>
      </c>
      <c r="B897" s="13">
        <v>0.2</v>
      </c>
      <c r="C897" s="10">
        <v>1.4419999999999999</v>
      </c>
      <c r="D897" s="9" t="s">
        <v>1712</v>
      </c>
      <c r="E897" s="11" t="s">
        <v>1737</v>
      </c>
      <c r="F897" s="12" t="s">
        <v>1714</v>
      </c>
      <c r="G897" s="9" t="s">
        <v>1709</v>
      </c>
    </row>
    <row r="898" spans="1:7">
      <c r="A898" s="9" t="s">
        <v>1711</v>
      </c>
      <c r="B898" s="13">
        <v>0.2</v>
      </c>
      <c r="C898" s="10">
        <v>-5.0000000000000001E-3</v>
      </c>
      <c r="D898" s="9" t="s">
        <v>1709</v>
      </c>
      <c r="E898" s="11" t="s">
        <v>1710</v>
      </c>
      <c r="F898" s="12" t="s">
        <v>1710</v>
      </c>
      <c r="G898" s="9" t="s">
        <v>1709</v>
      </c>
    </row>
    <row r="899" spans="1:7">
      <c r="A899" s="9" t="s">
        <v>1711</v>
      </c>
      <c r="B899" s="13">
        <v>0.2</v>
      </c>
      <c r="C899" s="10">
        <v>1.1819999999999999</v>
      </c>
      <c r="D899" s="9" t="s">
        <v>1712</v>
      </c>
      <c r="E899" s="11" t="s">
        <v>1737</v>
      </c>
      <c r="F899" s="12" t="s">
        <v>1714</v>
      </c>
      <c r="G899" s="9" t="s">
        <v>1709</v>
      </c>
    </row>
    <row r="900" spans="1:7">
      <c r="A900" s="9" t="s">
        <v>1711</v>
      </c>
      <c r="B900" s="13">
        <v>0.2</v>
      </c>
      <c r="C900" s="10">
        <v>1.1819999999999999</v>
      </c>
      <c r="D900" s="9" t="s">
        <v>1712</v>
      </c>
      <c r="E900" s="11" t="s">
        <v>1737</v>
      </c>
      <c r="F900" s="12" t="s">
        <v>1714</v>
      </c>
      <c r="G900" s="9" t="s">
        <v>1709</v>
      </c>
    </row>
    <row r="901" spans="1:7">
      <c r="A901" s="9" t="s">
        <v>1711</v>
      </c>
      <c r="B901" s="13">
        <v>0.2</v>
      </c>
      <c r="C901" s="10">
        <v>2.7949999999999999</v>
      </c>
      <c r="D901" s="9" t="s">
        <v>1712</v>
      </c>
      <c r="E901" s="11" t="s">
        <v>1737</v>
      </c>
      <c r="F901" s="12" t="s">
        <v>1714</v>
      </c>
      <c r="G901" s="9" t="s">
        <v>1709</v>
      </c>
    </row>
    <row r="902" spans="1:7">
      <c r="A902" s="9" t="s">
        <v>1711</v>
      </c>
      <c r="B902" s="13">
        <v>0.2</v>
      </c>
      <c r="C902" s="10">
        <v>2.7949999999999999</v>
      </c>
      <c r="D902" s="9" t="s">
        <v>1712</v>
      </c>
      <c r="E902" s="11" t="s">
        <v>1737</v>
      </c>
      <c r="F902" s="12" t="s">
        <v>1714</v>
      </c>
      <c r="G902" s="9" t="s">
        <v>1709</v>
      </c>
    </row>
    <row r="903" spans="1:7">
      <c r="A903" s="9" t="s">
        <v>1711</v>
      </c>
      <c r="B903" s="13">
        <v>0.2</v>
      </c>
      <c r="C903" s="10">
        <v>2.7949999999999999</v>
      </c>
      <c r="D903" s="9" t="s">
        <v>1712</v>
      </c>
      <c r="E903" s="11" t="s">
        <v>1737</v>
      </c>
      <c r="F903" s="12" t="s">
        <v>1714</v>
      </c>
      <c r="G903" s="9" t="s">
        <v>1709</v>
      </c>
    </row>
    <row r="904" spans="1:7">
      <c r="A904" s="9" t="s">
        <v>1711</v>
      </c>
      <c r="B904" s="13">
        <v>0.2</v>
      </c>
      <c r="C904" s="10">
        <v>0.48899999999999999</v>
      </c>
      <c r="D904" s="9" t="s">
        <v>1712</v>
      </c>
      <c r="E904" s="11" t="s">
        <v>1736</v>
      </c>
      <c r="F904" s="12" t="s">
        <v>1714</v>
      </c>
      <c r="G904" s="9" t="s">
        <v>1709</v>
      </c>
    </row>
    <row r="905" spans="1:7">
      <c r="A905" s="9" t="s">
        <v>1711</v>
      </c>
      <c r="B905" s="13">
        <v>0.2</v>
      </c>
      <c r="C905" s="10">
        <v>6.2E-2</v>
      </c>
      <c r="D905" s="9" t="s">
        <v>1712</v>
      </c>
      <c r="E905" s="11" t="s">
        <v>1736</v>
      </c>
      <c r="F905" s="12" t="s">
        <v>1714</v>
      </c>
      <c r="G905" s="9" t="s">
        <v>1709</v>
      </c>
    </row>
    <row r="906" spans="1:7">
      <c r="A906" s="9" t="s">
        <v>1711</v>
      </c>
      <c r="B906" s="13">
        <v>0.2</v>
      </c>
      <c r="C906" s="10">
        <v>1.9E-2</v>
      </c>
      <c r="D906" s="9" t="s">
        <v>1712</v>
      </c>
      <c r="E906" s="11" t="s">
        <v>1736</v>
      </c>
      <c r="F906" s="12" t="s">
        <v>1714</v>
      </c>
      <c r="G906" s="9" t="s">
        <v>1709</v>
      </c>
    </row>
    <row r="907" spans="1:7">
      <c r="A907" s="9" t="s">
        <v>1711</v>
      </c>
      <c r="B907" s="13">
        <v>0.2</v>
      </c>
      <c r="C907" s="10">
        <v>-7.1999999999999995E-2</v>
      </c>
      <c r="D907" s="9" t="s">
        <v>1709</v>
      </c>
      <c r="E907" s="11" t="s">
        <v>1710</v>
      </c>
      <c r="F907" s="12" t="s">
        <v>1710</v>
      </c>
      <c r="G907" s="9" t="s">
        <v>1709</v>
      </c>
    </row>
    <row r="908" spans="1:7">
      <c r="A908" s="9" t="s">
        <v>1711</v>
      </c>
      <c r="B908" s="13">
        <v>0.2</v>
      </c>
      <c r="C908" s="10">
        <v>1.1819999999999999</v>
      </c>
      <c r="D908" s="9" t="s">
        <v>1712</v>
      </c>
      <c r="E908" s="11" t="s">
        <v>1736</v>
      </c>
      <c r="F908" s="12" t="s">
        <v>1714</v>
      </c>
      <c r="G908" s="9" t="s">
        <v>1709</v>
      </c>
    </row>
    <row r="909" spans="1:7">
      <c r="A909" s="9" t="s">
        <v>1711</v>
      </c>
      <c r="B909" s="13">
        <v>0.2</v>
      </c>
      <c r="C909" s="10">
        <v>-1E-3</v>
      </c>
      <c r="D909" s="9" t="s">
        <v>1709</v>
      </c>
      <c r="E909" s="11" t="s">
        <v>1710</v>
      </c>
      <c r="F909" s="12" t="s">
        <v>1710</v>
      </c>
      <c r="G909" s="9" t="s">
        <v>1709</v>
      </c>
    </row>
    <row r="910" spans="1:7">
      <c r="A910" s="9" t="s">
        <v>1711</v>
      </c>
      <c r="B910" s="13">
        <v>0.2</v>
      </c>
      <c r="C910" s="10">
        <v>-1E-3</v>
      </c>
      <c r="D910" s="9" t="s">
        <v>1709</v>
      </c>
      <c r="E910" s="11" t="s">
        <v>1710</v>
      </c>
      <c r="F910" s="12" t="s">
        <v>1710</v>
      </c>
      <c r="G910" s="9" t="s">
        <v>1709</v>
      </c>
    </row>
    <row r="911" spans="1:7">
      <c r="A911" s="9" t="s">
        <v>1711</v>
      </c>
      <c r="B911" s="13">
        <v>0.2</v>
      </c>
      <c r="C911" s="10">
        <v>-1E-3</v>
      </c>
      <c r="D911" s="9" t="s">
        <v>1709</v>
      </c>
      <c r="E911" s="11" t="s">
        <v>1710</v>
      </c>
      <c r="F911" s="12" t="s">
        <v>1710</v>
      </c>
      <c r="G911" s="9" t="s">
        <v>1709</v>
      </c>
    </row>
    <row r="912" spans="1:7">
      <c r="A912" s="9" t="s">
        <v>1711</v>
      </c>
      <c r="B912" s="13">
        <v>0.2</v>
      </c>
      <c r="C912" s="10">
        <v>-1E-3</v>
      </c>
      <c r="D912" s="9" t="s">
        <v>1709</v>
      </c>
      <c r="E912" s="11" t="s">
        <v>1710</v>
      </c>
      <c r="F912" s="12" t="s">
        <v>1710</v>
      </c>
      <c r="G912" s="9" t="s">
        <v>1709</v>
      </c>
    </row>
    <row r="913" spans="1:7">
      <c r="A913" s="9" t="s">
        <v>1711</v>
      </c>
      <c r="B913" s="13">
        <v>0.2</v>
      </c>
      <c r="C913" s="10">
        <v>-1E-3</v>
      </c>
      <c r="D913" s="9" t="s">
        <v>1709</v>
      </c>
      <c r="E913" s="11" t="s">
        <v>1710</v>
      </c>
      <c r="F913" s="12" t="s">
        <v>1710</v>
      </c>
      <c r="G913" s="9" t="s">
        <v>1709</v>
      </c>
    </row>
    <row r="914" spans="1:7">
      <c r="A914" s="9" t="s">
        <v>1711</v>
      </c>
      <c r="B914" s="13">
        <v>0.2</v>
      </c>
      <c r="C914" s="10">
        <v>-1E-3</v>
      </c>
      <c r="D914" s="9" t="s">
        <v>1709</v>
      </c>
      <c r="E914" s="11" t="s">
        <v>1710</v>
      </c>
      <c r="F914" s="12" t="s">
        <v>1710</v>
      </c>
      <c r="G914" s="9" t="s">
        <v>1709</v>
      </c>
    </row>
    <row r="915" spans="1:7">
      <c r="A915" s="9" t="s">
        <v>1711</v>
      </c>
      <c r="B915" s="13">
        <v>0.2</v>
      </c>
      <c r="C915" s="10">
        <v>-1E-3</v>
      </c>
      <c r="D915" s="9" t="s">
        <v>1709</v>
      </c>
      <c r="E915" s="11" t="s">
        <v>1710</v>
      </c>
      <c r="F915" s="12" t="s">
        <v>1710</v>
      </c>
      <c r="G915" s="9" t="s">
        <v>1709</v>
      </c>
    </row>
    <row r="916" spans="1:7">
      <c r="A916" s="9" t="s">
        <v>1711</v>
      </c>
      <c r="B916" s="13">
        <v>0.2</v>
      </c>
      <c r="C916" s="10">
        <v>-1E-3</v>
      </c>
      <c r="D916" s="9" t="s">
        <v>1709</v>
      </c>
      <c r="E916" s="11" t="s">
        <v>1710</v>
      </c>
      <c r="F916" s="12" t="s">
        <v>1710</v>
      </c>
      <c r="G916" s="9" t="s">
        <v>1709</v>
      </c>
    </row>
    <row r="917" spans="1:7">
      <c r="A917" s="9" t="s">
        <v>1711</v>
      </c>
      <c r="B917" s="13">
        <v>0.2</v>
      </c>
      <c r="C917" s="10">
        <v>-1E-3</v>
      </c>
      <c r="D917" s="9" t="s">
        <v>1709</v>
      </c>
      <c r="E917" s="11" t="s">
        <v>1710</v>
      </c>
      <c r="F917" s="12" t="s">
        <v>1710</v>
      </c>
      <c r="G917" s="9" t="s">
        <v>1709</v>
      </c>
    </row>
    <row r="918" spans="1:7">
      <c r="A918" s="9" t="s">
        <v>1711</v>
      </c>
      <c r="B918" s="13">
        <v>0.2</v>
      </c>
      <c r="C918" s="10">
        <v>-0.19800000000000001</v>
      </c>
      <c r="D918" s="9" t="s">
        <v>1709</v>
      </c>
      <c r="E918" s="11" t="s">
        <v>1710</v>
      </c>
      <c r="F918" s="12" t="s">
        <v>1710</v>
      </c>
      <c r="G918" s="9" t="s">
        <v>1709</v>
      </c>
    </row>
    <row r="919" spans="1:7">
      <c r="A919" s="9" t="s">
        <v>1711</v>
      </c>
      <c r="B919" s="13">
        <v>0.2</v>
      </c>
      <c r="C919" s="10">
        <v>0.93500000000000005</v>
      </c>
      <c r="D919" s="9" t="s">
        <v>1712</v>
      </c>
      <c r="E919" s="11" t="s">
        <v>1736</v>
      </c>
      <c r="F919" s="12" t="s">
        <v>1714</v>
      </c>
      <c r="G919" s="9" t="s">
        <v>1709</v>
      </c>
    </row>
    <row r="920" spans="1:7">
      <c r="A920" s="9" t="s">
        <v>1711</v>
      </c>
      <c r="B920" s="13">
        <v>0.2</v>
      </c>
      <c r="C920" s="10">
        <v>0.93500000000000005</v>
      </c>
      <c r="D920" s="9" t="s">
        <v>1712</v>
      </c>
      <c r="E920" s="11" t="s">
        <v>1736</v>
      </c>
      <c r="F920" s="12" t="s">
        <v>1714</v>
      </c>
      <c r="G920" s="9" t="s">
        <v>1709</v>
      </c>
    </row>
    <row r="921" spans="1:7">
      <c r="A921" s="9" t="s">
        <v>1711</v>
      </c>
      <c r="B921" s="13">
        <v>0.2</v>
      </c>
      <c r="C921" s="10">
        <v>0.93500000000000005</v>
      </c>
      <c r="D921" s="9" t="s">
        <v>1712</v>
      </c>
      <c r="E921" s="11" t="s">
        <v>1736</v>
      </c>
      <c r="F921" s="12" t="s">
        <v>1714</v>
      </c>
      <c r="G921" s="9" t="s">
        <v>1709</v>
      </c>
    </row>
    <row r="922" spans="1:7">
      <c r="A922" s="9" t="s">
        <v>1711</v>
      </c>
      <c r="B922" s="13">
        <v>0.2</v>
      </c>
      <c r="C922" s="10">
        <v>0.70599999999999996</v>
      </c>
      <c r="D922" s="9" t="s">
        <v>1712</v>
      </c>
      <c r="E922" s="11" t="s">
        <v>1715</v>
      </c>
      <c r="F922" s="12" t="s">
        <v>1714</v>
      </c>
      <c r="G922" s="9" t="s">
        <v>1709</v>
      </c>
    </row>
    <row r="923" spans="1:7">
      <c r="A923" s="9" t="s">
        <v>1711</v>
      </c>
      <c r="B923" s="13">
        <v>0.2</v>
      </c>
      <c r="C923" s="10">
        <v>0.70599999999999996</v>
      </c>
      <c r="D923" s="9" t="s">
        <v>1712</v>
      </c>
      <c r="E923" s="11" t="s">
        <v>1715</v>
      </c>
      <c r="F923" s="12" t="s">
        <v>1714</v>
      </c>
      <c r="G923" s="9" t="s">
        <v>1709</v>
      </c>
    </row>
    <row r="924" spans="1:7">
      <c r="A924" s="9" t="s">
        <v>1711</v>
      </c>
      <c r="B924" s="13">
        <v>0.2</v>
      </c>
      <c r="C924" s="10">
        <v>0.70599999999999996</v>
      </c>
      <c r="D924" s="9" t="s">
        <v>1712</v>
      </c>
      <c r="E924" s="11" t="s">
        <v>1715</v>
      </c>
      <c r="F924" s="12" t="s">
        <v>1714</v>
      </c>
      <c r="G924" s="9" t="s">
        <v>1709</v>
      </c>
    </row>
    <row r="925" spans="1:7">
      <c r="A925" s="9" t="s">
        <v>1711</v>
      </c>
      <c r="B925" s="9">
        <v>0.2</v>
      </c>
      <c r="C925" s="10">
        <v>0.70599999999999996</v>
      </c>
      <c r="D925" s="9" t="s">
        <v>1712</v>
      </c>
      <c r="E925" s="11" t="s">
        <v>1715</v>
      </c>
      <c r="F925" s="12" t="s">
        <v>1714</v>
      </c>
      <c r="G925" s="9" t="s">
        <v>1709</v>
      </c>
    </row>
    <row r="926" spans="1:7">
      <c r="A926" s="9" t="s">
        <v>1711</v>
      </c>
      <c r="B926" s="9">
        <v>0.2</v>
      </c>
      <c r="C926" s="10">
        <v>0.70599999999999996</v>
      </c>
      <c r="D926" s="9" t="s">
        <v>1712</v>
      </c>
      <c r="E926" s="11" t="s">
        <v>1715</v>
      </c>
      <c r="F926" s="12" t="s">
        <v>1714</v>
      </c>
      <c r="G926" s="9" t="s">
        <v>1709</v>
      </c>
    </row>
    <row r="927" spans="1:7">
      <c r="A927" s="9" t="s">
        <v>1711</v>
      </c>
      <c r="B927" s="9">
        <v>0.2</v>
      </c>
      <c r="C927" s="10">
        <v>0.70599999999999996</v>
      </c>
      <c r="D927" s="9" t="s">
        <v>1712</v>
      </c>
      <c r="E927" s="11" t="s">
        <v>1715</v>
      </c>
      <c r="F927" s="12" t="s">
        <v>1714</v>
      </c>
      <c r="G927" s="9" t="s">
        <v>1709</v>
      </c>
    </row>
    <row r="928" spans="1:7">
      <c r="A928" s="9" t="s">
        <v>1711</v>
      </c>
      <c r="B928" s="9">
        <v>0.2</v>
      </c>
      <c r="C928" s="10">
        <v>0.70599999999999996</v>
      </c>
      <c r="D928" s="9" t="s">
        <v>1712</v>
      </c>
      <c r="E928" s="11" t="s">
        <v>1715</v>
      </c>
      <c r="F928" s="12" t="s">
        <v>1714</v>
      </c>
      <c r="G928" s="9" t="s">
        <v>1709</v>
      </c>
    </row>
    <row r="929" spans="1:7">
      <c r="A929" s="9" t="s">
        <v>1711</v>
      </c>
      <c r="B929" s="9">
        <v>0.2</v>
      </c>
      <c r="C929" s="10">
        <v>0.70599999999999996</v>
      </c>
      <c r="D929" s="9" t="s">
        <v>1712</v>
      </c>
      <c r="E929" s="11" t="s">
        <v>1715</v>
      </c>
      <c r="F929" s="12" t="s">
        <v>1714</v>
      </c>
      <c r="G929" s="9" t="s">
        <v>1709</v>
      </c>
    </row>
    <row r="930" spans="1:7">
      <c r="A930" s="9" t="s">
        <v>1711</v>
      </c>
      <c r="B930" s="9">
        <v>0.2</v>
      </c>
      <c r="C930" s="10">
        <v>1.1589999999999998</v>
      </c>
      <c r="D930" s="9" t="s">
        <v>1712</v>
      </c>
      <c r="E930" s="11" t="s">
        <v>1715</v>
      </c>
      <c r="F930" s="12" t="s">
        <v>1714</v>
      </c>
      <c r="G930" s="9" t="s">
        <v>1709</v>
      </c>
    </row>
    <row r="931" spans="1:7">
      <c r="A931" s="9" t="s">
        <v>1711</v>
      </c>
      <c r="B931" s="9">
        <v>0.2</v>
      </c>
      <c r="C931" s="10">
        <v>1.1589999999999998</v>
      </c>
      <c r="D931" s="9" t="s">
        <v>1712</v>
      </c>
      <c r="E931" s="11" t="s">
        <v>1715</v>
      </c>
      <c r="F931" s="12" t="s">
        <v>1714</v>
      </c>
      <c r="G931" s="9" t="s">
        <v>1709</v>
      </c>
    </row>
    <row r="932" spans="1:7">
      <c r="A932" s="9" t="s">
        <v>1711</v>
      </c>
      <c r="B932" s="9">
        <v>0.2</v>
      </c>
      <c r="C932" s="10">
        <v>7.9000000000000001E-2</v>
      </c>
      <c r="D932" s="9" t="s">
        <v>1712</v>
      </c>
      <c r="E932" s="11" t="s">
        <v>1715</v>
      </c>
      <c r="F932" s="12" t="s">
        <v>1714</v>
      </c>
      <c r="G932" s="9" t="s">
        <v>1709</v>
      </c>
    </row>
    <row r="933" spans="1:7">
      <c r="A933" s="9" t="s">
        <v>1711</v>
      </c>
      <c r="B933" s="9">
        <v>0.2</v>
      </c>
      <c r="C933" s="10">
        <v>0.55700000000000005</v>
      </c>
      <c r="D933" s="9" t="s">
        <v>1712</v>
      </c>
      <c r="E933" s="11" t="s">
        <v>1715</v>
      </c>
      <c r="F933" s="12" t="s">
        <v>1714</v>
      </c>
      <c r="G933" s="9" t="s">
        <v>1709</v>
      </c>
    </row>
    <row r="934" spans="1:7">
      <c r="A934" s="9" t="s">
        <v>1711</v>
      </c>
      <c r="B934" s="9">
        <v>0.2</v>
      </c>
      <c r="C934" s="10">
        <v>0.55700000000000005</v>
      </c>
      <c r="D934" s="9" t="s">
        <v>1712</v>
      </c>
      <c r="E934" s="11" t="s">
        <v>1715</v>
      </c>
      <c r="F934" s="12" t="s">
        <v>1714</v>
      </c>
      <c r="G934" s="9" t="s">
        <v>1709</v>
      </c>
    </row>
    <row r="935" spans="1:7">
      <c r="A935" s="9" t="s">
        <v>1711</v>
      </c>
      <c r="B935" s="9">
        <v>0.2</v>
      </c>
      <c r="C935" s="10">
        <v>0.55700000000000005</v>
      </c>
      <c r="D935" s="9" t="s">
        <v>1712</v>
      </c>
      <c r="E935" s="11" t="s">
        <v>1715</v>
      </c>
      <c r="F935" s="12" t="s">
        <v>1714</v>
      </c>
      <c r="G935" s="9" t="s">
        <v>1709</v>
      </c>
    </row>
    <row r="936" spans="1:7">
      <c r="A936" s="9" t="s">
        <v>1711</v>
      </c>
      <c r="B936" s="9">
        <v>0.2</v>
      </c>
      <c r="C936" s="10">
        <v>0.55700000000000005</v>
      </c>
      <c r="D936" s="9" t="s">
        <v>1712</v>
      </c>
      <c r="E936" s="11" t="s">
        <v>1715</v>
      </c>
      <c r="F936" s="12" t="s">
        <v>1714</v>
      </c>
      <c r="G936" s="9" t="s">
        <v>1709</v>
      </c>
    </row>
    <row r="937" spans="1:7">
      <c r="A937" s="9" t="s">
        <v>1711</v>
      </c>
      <c r="B937" s="9">
        <v>0.2</v>
      </c>
      <c r="C937" s="10">
        <v>0.55700000000000005</v>
      </c>
      <c r="D937" s="9" t="s">
        <v>1712</v>
      </c>
      <c r="E937" s="11" t="s">
        <v>1715</v>
      </c>
      <c r="F937" s="12" t="s">
        <v>1714</v>
      </c>
      <c r="G937" s="9" t="s">
        <v>1709</v>
      </c>
    </row>
    <row r="938" spans="1:7">
      <c r="A938" s="9" t="s">
        <v>1711</v>
      </c>
      <c r="B938" s="9">
        <v>0.2</v>
      </c>
      <c r="C938" s="10">
        <v>0.55700000000000005</v>
      </c>
      <c r="D938" s="9" t="s">
        <v>1712</v>
      </c>
      <c r="E938" s="11" t="s">
        <v>1715</v>
      </c>
      <c r="F938" s="12" t="s">
        <v>1714</v>
      </c>
      <c r="G938" s="9" t="s">
        <v>1709</v>
      </c>
    </row>
    <row r="939" spans="1:7">
      <c r="A939" s="9" t="s">
        <v>1711</v>
      </c>
      <c r="B939" s="13">
        <v>0.2</v>
      </c>
      <c r="C939" s="10">
        <v>0.55700000000000005</v>
      </c>
      <c r="D939" s="9" t="s">
        <v>1712</v>
      </c>
      <c r="E939" s="11" t="s">
        <v>1715</v>
      </c>
      <c r="F939" s="12" t="s">
        <v>1714</v>
      </c>
      <c r="G939" s="9" t="s">
        <v>1709</v>
      </c>
    </row>
    <row r="940" spans="1:7">
      <c r="A940" s="9" t="s">
        <v>1711</v>
      </c>
      <c r="B940" s="9">
        <v>0.2</v>
      </c>
      <c r="C940" s="10">
        <v>2.7949999999999999</v>
      </c>
      <c r="D940" s="9" t="s">
        <v>1712</v>
      </c>
      <c r="E940" s="11" t="s">
        <v>1715</v>
      </c>
      <c r="F940" s="12" t="s">
        <v>1714</v>
      </c>
      <c r="G940" s="9" t="s">
        <v>1709</v>
      </c>
    </row>
    <row r="941" spans="1:7">
      <c r="A941" s="9" t="s">
        <v>1711</v>
      </c>
      <c r="B941" s="9">
        <v>0.2</v>
      </c>
      <c r="C941" s="10">
        <v>2.7949999999999999</v>
      </c>
      <c r="D941" s="9" t="s">
        <v>1712</v>
      </c>
      <c r="E941" s="11" t="s">
        <v>1715</v>
      </c>
      <c r="F941" s="12" t="s">
        <v>1714</v>
      </c>
      <c r="G941" s="9" t="s">
        <v>1709</v>
      </c>
    </row>
    <row r="942" spans="1:7">
      <c r="A942" s="9" t="s">
        <v>1711</v>
      </c>
      <c r="B942" s="9">
        <v>0.2</v>
      </c>
      <c r="C942" s="10">
        <v>-0.15</v>
      </c>
      <c r="D942" s="9" t="s">
        <v>1709</v>
      </c>
      <c r="E942" s="11" t="s">
        <v>1710</v>
      </c>
      <c r="F942" s="12" t="s">
        <v>1710</v>
      </c>
      <c r="G942" s="9" t="s">
        <v>1709</v>
      </c>
    </row>
    <row r="943" spans="1:7">
      <c r="A943" s="9" t="s">
        <v>1711</v>
      </c>
      <c r="B943" s="13">
        <v>0.2</v>
      </c>
      <c r="C943" s="10">
        <v>0.29399999999999998</v>
      </c>
      <c r="D943" s="9" t="s">
        <v>1712</v>
      </c>
      <c r="E943" s="11" t="s">
        <v>1736</v>
      </c>
      <c r="F943" s="12" t="s">
        <v>1714</v>
      </c>
      <c r="G943" s="9" t="s">
        <v>1709</v>
      </c>
    </row>
    <row r="944" spans="1:7">
      <c r="A944" s="9" t="s">
        <v>1711</v>
      </c>
      <c r="B944" s="13">
        <v>0.2</v>
      </c>
      <c r="C944" s="10">
        <v>1.6289999999999998</v>
      </c>
      <c r="D944" s="9" t="s">
        <v>1712</v>
      </c>
      <c r="E944" s="11" t="s">
        <v>1736</v>
      </c>
      <c r="F944" s="12" t="s">
        <v>1714</v>
      </c>
      <c r="G944" s="9" t="s">
        <v>1709</v>
      </c>
    </row>
    <row r="945" spans="1:7">
      <c r="A945" s="9" t="s">
        <v>1711</v>
      </c>
      <c r="B945" s="13">
        <v>0.2</v>
      </c>
      <c r="C945" s="10">
        <v>1.6289999999999998</v>
      </c>
      <c r="D945" s="9" t="s">
        <v>1712</v>
      </c>
      <c r="E945" s="11" t="s">
        <v>1736</v>
      </c>
      <c r="F945" s="12" t="s">
        <v>1714</v>
      </c>
      <c r="G945" s="9" t="s">
        <v>1709</v>
      </c>
    </row>
    <row r="946" spans="1:7">
      <c r="A946" s="9" t="s">
        <v>1711</v>
      </c>
      <c r="B946" s="9">
        <v>0.2</v>
      </c>
      <c r="C946" s="10">
        <v>1.6289999999999998</v>
      </c>
      <c r="D946" s="9" t="s">
        <v>1712</v>
      </c>
      <c r="E946" s="11" t="s">
        <v>1736</v>
      </c>
      <c r="F946" s="12" t="s">
        <v>1714</v>
      </c>
      <c r="G946" s="9" t="s">
        <v>1709</v>
      </c>
    </row>
    <row r="947" spans="1:7">
      <c r="A947" s="9" t="s">
        <v>1711</v>
      </c>
      <c r="B947" s="9">
        <v>0.2</v>
      </c>
      <c r="C947" s="10">
        <v>0.9</v>
      </c>
      <c r="D947" s="9" t="s">
        <v>1712</v>
      </c>
      <c r="E947" s="11" t="s">
        <v>1737</v>
      </c>
      <c r="F947" s="12" t="s">
        <v>1714</v>
      </c>
      <c r="G947" s="9" t="s">
        <v>1709</v>
      </c>
    </row>
    <row r="948" spans="1:7">
      <c r="A948" s="9" t="s">
        <v>1711</v>
      </c>
      <c r="B948" s="9">
        <v>0.2</v>
      </c>
      <c r="C948" s="10">
        <v>-0.19800000000000001</v>
      </c>
      <c r="D948" s="9" t="s">
        <v>1709</v>
      </c>
      <c r="E948" s="11" t="s">
        <v>1710</v>
      </c>
      <c r="F948" s="12" t="s">
        <v>1710</v>
      </c>
      <c r="G948" s="9" t="s">
        <v>1709</v>
      </c>
    </row>
    <row r="949" spans="1:7">
      <c r="A949" s="9" t="s">
        <v>1711</v>
      </c>
      <c r="B949" s="9">
        <v>0.2</v>
      </c>
      <c r="C949" s="10">
        <v>0.54700000000000004</v>
      </c>
      <c r="D949" s="9" t="s">
        <v>1712</v>
      </c>
      <c r="E949" s="11" t="s">
        <v>1736</v>
      </c>
      <c r="F949" s="12" t="s">
        <v>1714</v>
      </c>
      <c r="G949" s="9" t="s">
        <v>1709</v>
      </c>
    </row>
    <row r="950" spans="1:7">
      <c r="A950" s="9" t="s">
        <v>1711</v>
      </c>
      <c r="B950" s="9">
        <v>0.2</v>
      </c>
      <c r="C950" s="10">
        <v>0.54700000000000004</v>
      </c>
      <c r="D950" s="9" t="s">
        <v>1712</v>
      </c>
      <c r="E950" s="11" t="s">
        <v>1736</v>
      </c>
      <c r="F950" s="12" t="s">
        <v>1714</v>
      </c>
      <c r="G950" s="9" t="s">
        <v>1709</v>
      </c>
    </row>
    <row r="951" spans="1:7">
      <c r="A951" s="9" t="s">
        <v>1711</v>
      </c>
      <c r="B951" s="9">
        <v>0.2</v>
      </c>
      <c r="C951" s="10">
        <v>0.79600000000000004</v>
      </c>
      <c r="D951" s="9" t="s">
        <v>1712</v>
      </c>
      <c r="E951" s="11" t="s">
        <v>1736</v>
      </c>
      <c r="F951" s="12" t="s">
        <v>1714</v>
      </c>
      <c r="G951" s="9" t="s">
        <v>1709</v>
      </c>
    </row>
    <row r="952" spans="1:7">
      <c r="A952" s="9" t="s">
        <v>1711</v>
      </c>
      <c r="B952" s="9">
        <v>0.2</v>
      </c>
      <c r="C952" s="10">
        <v>0.14100000000000001</v>
      </c>
      <c r="D952" s="9" t="s">
        <v>1712</v>
      </c>
      <c r="E952" s="11" t="s">
        <v>1736</v>
      </c>
      <c r="F952" s="12" t="s">
        <v>1714</v>
      </c>
      <c r="G952" s="9" t="s">
        <v>1709</v>
      </c>
    </row>
    <row r="953" spans="1:7">
      <c r="A953" s="9" t="s">
        <v>1711</v>
      </c>
      <c r="B953" s="9">
        <v>0.2</v>
      </c>
      <c r="C953" s="10">
        <v>0.9</v>
      </c>
      <c r="D953" s="9" t="s">
        <v>1712</v>
      </c>
      <c r="E953" s="11" t="s">
        <v>1736</v>
      </c>
      <c r="F953" s="12" t="s">
        <v>1714</v>
      </c>
      <c r="G953" s="9" t="s">
        <v>1709</v>
      </c>
    </row>
    <row r="954" spans="1:7">
      <c r="A954" s="9" t="s">
        <v>1711</v>
      </c>
      <c r="B954" s="9">
        <v>0.2</v>
      </c>
      <c r="C954" s="10">
        <v>0.9</v>
      </c>
      <c r="D954" s="9" t="s">
        <v>1712</v>
      </c>
      <c r="E954" s="11" t="s">
        <v>1736</v>
      </c>
      <c r="F954" s="12" t="s">
        <v>1714</v>
      </c>
      <c r="G954" s="9" t="s">
        <v>1709</v>
      </c>
    </row>
    <row r="955" spans="1:7">
      <c r="A955" s="9" t="s">
        <v>1711</v>
      </c>
      <c r="B955" s="9">
        <v>0.2</v>
      </c>
      <c r="C955" s="10">
        <v>0.9</v>
      </c>
      <c r="D955" s="9" t="s">
        <v>1712</v>
      </c>
      <c r="E955" s="11" t="s">
        <v>1736</v>
      </c>
      <c r="F955" s="12" t="s">
        <v>1714</v>
      </c>
      <c r="G955" s="9" t="s">
        <v>1709</v>
      </c>
    </row>
    <row r="956" spans="1:7">
      <c r="A956" s="9" t="s">
        <v>1711</v>
      </c>
      <c r="B956" s="9">
        <v>0.2</v>
      </c>
      <c r="C956" s="10">
        <v>0.9</v>
      </c>
      <c r="D956" s="9" t="s">
        <v>1712</v>
      </c>
      <c r="E956" s="11" t="s">
        <v>1736</v>
      </c>
      <c r="F956" s="12" t="s">
        <v>1714</v>
      </c>
      <c r="G956" s="9" t="s">
        <v>1709</v>
      </c>
    </row>
    <row r="957" spans="1:7">
      <c r="A957" s="9" t="s">
        <v>1711</v>
      </c>
      <c r="B957" s="9">
        <v>0.2</v>
      </c>
      <c r="C957" s="10">
        <v>-0.14599999999999999</v>
      </c>
      <c r="D957" s="9" t="s">
        <v>1709</v>
      </c>
      <c r="E957" s="11" t="s">
        <v>1710</v>
      </c>
      <c r="F957" s="12" t="s">
        <v>1710</v>
      </c>
      <c r="G957" s="9" t="s">
        <v>1709</v>
      </c>
    </row>
    <row r="958" spans="1:7">
      <c r="A958" s="9" t="s">
        <v>1711</v>
      </c>
      <c r="B958" s="13">
        <v>0.2</v>
      </c>
      <c r="C958" s="10">
        <v>-0.14599999999999999</v>
      </c>
      <c r="D958" s="9" t="s">
        <v>1709</v>
      </c>
      <c r="E958" s="11" t="s">
        <v>1710</v>
      </c>
      <c r="F958" s="12" t="s">
        <v>1710</v>
      </c>
      <c r="G958" s="9" t="s">
        <v>1709</v>
      </c>
    </row>
    <row r="959" spans="1:7">
      <c r="A959" s="9" t="s">
        <v>1711</v>
      </c>
      <c r="B959" s="13">
        <v>0.2</v>
      </c>
      <c r="C959" s="10">
        <v>-0.14599999999999999</v>
      </c>
      <c r="D959" s="9" t="s">
        <v>1709</v>
      </c>
      <c r="E959" s="11" t="s">
        <v>1710</v>
      </c>
      <c r="F959" s="12" t="s">
        <v>1710</v>
      </c>
      <c r="G959" s="9" t="s">
        <v>1709</v>
      </c>
    </row>
    <row r="960" spans="1:7">
      <c r="A960" s="9" t="s">
        <v>1711</v>
      </c>
      <c r="B960" s="13">
        <v>0.2</v>
      </c>
      <c r="C960" s="10">
        <v>-0.14599999999999999</v>
      </c>
      <c r="D960" s="9" t="s">
        <v>1709</v>
      </c>
      <c r="E960" s="11" t="s">
        <v>1710</v>
      </c>
      <c r="F960" s="12" t="s">
        <v>1710</v>
      </c>
      <c r="G960" s="9" t="s">
        <v>1709</v>
      </c>
    </row>
    <row r="961" spans="1:7">
      <c r="A961" s="9" t="s">
        <v>1711</v>
      </c>
      <c r="B961" s="13">
        <v>0.2</v>
      </c>
      <c r="C961" s="10">
        <v>-0.14599999999999999</v>
      </c>
      <c r="D961" s="9" t="s">
        <v>1709</v>
      </c>
      <c r="E961" s="11" t="s">
        <v>1710</v>
      </c>
      <c r="F961" s="12" t="s">
        <v>1710</v>
      </c>
      <c r="G961" s="9" t="s">
        <v>1709</v>
      </c>
    </row>
    <row r="962" spans="1:7">
      <c r="A962" s="9" t="s">
        <v>1711</v>
      </c>
      <c r="B962" s="9">
        <v>0.2</v>
      </c>
      <c r="C962" s="10">
        <v>-0.16</v>
      </c>
      <c r="D962" s="9" t="s">
        <v>1709</v>
      </c>
      <c r="E962" s="11" t="s">
        <v>1710</v>
      </c>
      <c r="F962" s="12" t="s">
        <v>1710</v>
      </c>
      <c r="G962" s="9" t="s">
        <v>1709</v>
      </c>
    </row>
    <row r="963" spans="1:7">
      <c r="A963" s="9" t="s">
        <v>1711</v>
      </c>
      <c r="B963" s="9">
        <v>0.2</v>
      </c>
      <c r="C963" s="10">
        <v>0.51900000000000002</v>
      </c>
      <c r="D963" s="9" t="s">
        <v>1712</v>
      </c>
      <c r="E963" s="11" t="s">
        <v>1736</v>
      </c>
      <c r="F963" s="12" t="s">
        <v>1714</v>
      </c>
      <c r="G963" s="9" t="s">
        <v>1709</v>
      </c>
    </row>
    <row r="964" spans="1:7">
      <c r="A964" s="9" t="s">
        <v>1711</v>
      </c>
      <c r="B964" s="9">
        <v>0.2</v>
      </c>
      <c r="C964" s="10">
        <v>0.51900000000000002</v>
      </c>
      <c r="D964" s="9" t="s">
        <v>1712</v>
      </c>
      <c r="E964" s="11" t="s">
        <v>1736</v>
      </c>
      <c r="F964" s="12" t="s">
        <v>1714</v>
      </c>
      <c r="G964" s="9" t="s">
        <v>1709</v>
      </c>
    </row>
    <row r="965" spans="1:7">
      <c r="A965" s="9" t="s">
        <v>1711</v>
      </c>
      <c r="B965" s="9">
        <v>0.2</v>
      </c>
      <c r="C965" s="10">
        <v>0.51900000000000002</v>
      </c>
      <c r="D965" s="9" t="s">
        <v>1712</v>
      </c>
      <c r="E965" s="11" t="s">
        <v>1736</v>
      </c>
      <c r="F965" s="12" t="s">
        <v>1714</v>
      </c>
      <c r="G965" s="9" t="s">
        <v>1709</v>
      </c>
    </row>
    <row r="966" spans="1:7">
      <c r="A966" s="9" t="s">
        <v>1711</v>
      </c>
      <c r="B966" s="9">
        <v>0.2</v>
      </c>
      <c r="C966" s="10">
        <v>-8.2000000000000003E-2</v>
      </c>
      <c r="D966" s="9" t="s">
        <v>1709</v>
      </c>
      <c r="E966" s="11" t="s">
        <v>1710</v>
      </c>
      <c r="F966" s="12" t="s">
        <v>1710</v>
      </c>
      <c r="G966" s="9" t="s">
        <v>1709</v>
      </c>
    </row>
    <row r="967" spans="1:7">
      <c r="A967" s="9" t="s">
        <v>1711</v>
      </c>
      <c r="B967" s="9">
        <v>0.2</v>
      </c>
      <c r="C967" s="10">
        <v>2.8000000000000001E-2</v>
      </c>
      <c r="D967" s="9" t="s">
        <v>1712</v>
      </c>
      <c r="E967" s="11" t="s">
        <v>1736</v>
      </c>
      <c r="F967" s="12" t="s">
        <v>1714</v>
      </c>
      <c r="G967" s="9" t="s">
        <v>1709</v>
      </c>
    </row>
    <row r="968" spans="1:7">
      <c r="A968" s="9" t="s">
        <v>1711</v>
      </c>
      <c r="B968" s="9">
        <v>0.2</v>
      </c>
      <c r="C968" s="10">
        <v>0.77300000000000002</v>
      </c>
      <c r="D968" s="9" t="s">
        <v>1712</v>
      </c>
      <c r="E968" s="11" t="s">
        <v>1736</v>
      </c>
      <c r="F968" s="12" t="s">
        <v>1714</v>
      </c>
      <c r="G968" s="9" t="s">
        <v>1709</v>
      </c>
    </row>
    <row r="969" spans="1:7">
      <c r="A969" s="9" t="s">
        <v>1711</v>
      </c>
      <c r="B969" s="9">
        <v>0.2</v>
      </c>
      <c r="C969" s="10">
        <v>0.77300000000000002</v>
      </c>
      <c r="D969" s="9" t="s">
        <v>1712</v>
      </c>
      <c r="E969" s="11" t="s">
        <v>1736</v>
      </c>
      <c r="F969" s="12" t="s">
        <v>1714</v>
      </c>
      <c r="G969" s="9" t="s">
        <v>1709</v>
      </c>
    </row>
    <row r="970" spans="1:7">
      <c r="A970" s="9" t="s">
        <v>1711</v>
      </c>
      <c r="B970" s="9">
        <v>0.2</v>
      </c>
      <c r="C970" s="10">
        <v>0.9</v>
      </c>
      <c r="D970" s="9" t="s">
        <v>1712</v>
      </c>
      <c r="E970" s="11" t="s">
        <v>1736</v>
      </c>
      <c r="F970" s="12" t="s">
        <v>1714</v>
      </c>
      <c r="G970" s="9" t="s">
        <v>1709</v>
      </c>
    </row>
    <row r="971" spans="1:7">
      <c r="A971" s="9" t="s">
        <v>1711</v>
      </c>
      <c r="B971" s="9">
        <v>0.2</v>
      </c>
      <c r="C971" s="10">
        <v>0.9</v>
      </c>
      <c r="D971" s="9" t="s">
        <v>1712</v>
      </c>
      <c r="E971" s="11" t="s">
        <v>1736</v>
      </c>
      <c r="F971" s="12" t="s">
        <v>1714</v>
      </c>
      <c r="G971" s="9" t="s">
        <v>1709</v>
      </c>
    </row>
    <row r="972" spans="1:7">
      <c r="A972" s="9" t="s">
        <v>1711</v>
      </c>
      <c r="B972" s="9">
        <v>0.2</v>
      </c>
      <c r="C972" s="10">
        <v>0.9</v>
      </c>
      <c r="D972" s="9" t="s">
        <v>1712</v>
      </c>
      <c r="E972" s="11" t="s">
        <v>1736</v>
      </c>
      <c r="F972" s="12" t="s">
        <v>1714</v>
      </c>
      <c r="G972" s="9" t="s">
        <v>1709</v>
      </c>
    </row>
    <row r="973" spans="1:7">
      <c r="A973" s="9" t="s">
        <v>1711</v>
      </c>
      <c r="B973" s="9">
        <v>0.2</v>
      </c>
      <c r="C973" s="10">
        <v>0.9</v>
      </c>
      <c r="D973" s="9" t="s">
        <v>1712</v>
      </c>
      <c r="E973" s="11" t="s">
        <v>1736</v>
      </c>
      <c r="F973" s="12" t="s">
        <v>1714</v>
      </c>
      <c r="G973" s="9" t="s">
        <v>1709</v>
      </c>
    </row>
    <row r="974" spans="1:7">
      <c r="A974" s="9" t="s">
        <v>1711</v>
      </c>
      <c r="B974" s="9">
        <v>0.2</v>
      </c>
      <c r="C974" s="10">
        <v>0.9</v>
      </c>
      <c r="D974" s="9" t="s">
        <v>1712</v>
      </c>
      <c r="E974" s="11" t="s">
        <v>1736</v>
      </c>
      <c r="F974" s="12" t="s">
        <v>1714</v>
      </c>
      <c r="G974" s="9" t="s">
        <v>1709</v>
      </c>
    </row>
    <row r="975" spans="1:7">
      <c r="A975" s="9" t="s">
        <v>1711</v>
      </c>
      <c r="B975" s="9">
        <v>0.2</v>
      </c>
      <c r="C975" s="10">
        <v>0.9</v>
      </c>
      <c r="D975" s="9" t="s">
        <v>1712</v>
      </c>
      <c r="E975" s="11" t="s">
        <v>1736</v>
      </c>
      <c r="F975" s="12" t="s">
        <v>1714</v>
      </c>
      <c r="G975" s="9" t="s">
        <v>1709</v>
      </c>
    </row>
    <row r="976" spans="1:7">
      <c r="A976" s="9" t="s">
        <v>1711</v>
      </c>
      <c r="B976" s="9">
        <v>0.2</v>
      </c>
      <c r="C976" s="10">
        <v>0.9</v>
      </c>
      <c r="D976" s="9" t="s">
        <v>1712</v>
      </c>
      <c r="E976" s="11" t="s">
        <v>1736</v>
      </c>
      <c r="F976" s="12" t="s">
        <v>1714</v>
      </c>
      <c r="G976" s="9" t="s">
        <v>1709</v>
      </c>
    </row>
    <row r="977" spans="1:7">
      <c r="A977" s="9" t="s">
        <v>1711</v>
      </c>
      <c r="B977" s="9">
        <v>0.2</v>
      </c>
      <c r="C977" s="10">
        <v>0.9</v>
      </c>
      <c r="D977" s="9" t="s">
        <v>1712</v>
      </c>
      <c r="E977" s="11" t="s">
        <v>1736</v>
      </c>
      <c r="F977" s="12" t="s">
        <v>1714</v>
      </c>
      <c r="G977" s="9" t="s">
        <v>1709</v>
      </c>
    </row>
    <row r="978" spans="1:7">
      <c r="A978" s="9" t="s">
        <v>1711</v>
      </c>
      <c r="B978" s="9">
        <v>0.2</v>
      </c>
      <c r="C978" s="10">
        <v>0.9</v>
      </c>
      <c r="D978" s="9" t="s">
        <v>1712</v>
      </c>
      <c r="E978" s="11" t="s">
        <v>1736</v>
      </c>
      <c r="F978" s="12" t="s">
        <v>1714</v>
      </c>
      <c r="G978" s="9" t="s">
        <v>1709</v>
      </c>
    </row>
    <row r="979" spans="1:7">
      <c r="A979" s="9" t="s">
        <v>1711</v>
      </c>
      <c r="B979" s="9">
        <v>0.2</v>
      </c>
      <c r="C979" s="10">
        <v>0.9</v>
      </c>
      <c r="D979" s="9" t="s">
        <v>1712</v>
      </c>
      <c r="E979" s="11" t="s">
        <v>1736</v>
      </c>
      <c r="F979" s="12" t="s">
        <v>1714</v>
      </c>
      <c r="G979" s="9" t="s">
        <v>1709</v>
      </c>
    </row>
    <row r="980" spans="1:7">
      <c r="A980" s="9" t="s">
        <v>1711</v>
      </c>
      <c r="B980" s="9">
        <v>0.2</v>
      </c>
      <c r="C980" s="10">
        <v>0.9</v>
      </c>
      <c r="D980" s="9" t="s">
        <v>1712</v>
      </c>
      <c r="E980" s="11" t="s">
        <v>1736</v>
      </c>
      <c r="F980" s="12" t="s">
        <v>1714</v>
      </c>
      <c r="G980" s="9" t="s">
        <v>1709</v>
      </c>
    </row>
    <row r="981" spans="1:7">
      <c r="A981" s="9" t="s">
        <v>1711</v>
      </c>
      <c r="B981" s="9">
        <v>0.2</v>
      </c>
      <c r="C981" s="10">
        <v>0.9</v>
      </c>
      <c r="D981" s="9" t="s">
        <v>1712</v>
      </c>
      <c r="E981" s="11" t="s">
        <v>1736</v>
      </c>
      <c r="F981" s="12" t="s">
        <v>1714</v>
      </c>
      <c r="G981" s="9" t="s">
        <v>1709</v>
      </c>
    </row>
    <row r="982" spans="1:7">
      <c r="A982" s="9" t="s">
        <v>1711</v>
      </c>
      <c r="B982" s="9">
        <v>0.2</v>
      </c>
      <c r="C982" s="10">
        <v>0.9</v>
      </c>
      <c r="D982" s="9" t="s">
        <v>1712</v>
      </c>
      <c r="E982" s="11" t="s">
        <v>1736</v>
      </c>
      <c r="F982" s="12" t="s">
        <v>1714</v>
      </c>
      <c r="G982" s="9" t="s">
        <v>1709</v>
      </c>
    </row>
    <row r="983" spans="1:7">
      <c r="A983" s="9" t="s">
        <v>1711</v>
      </c>
      <c r="B983" s="9">
        <v>0.2</v>
      </c>
      <c r="C983" s="10">
        <v>-6.5000000000000002E-2</v>
      </c>
      <c r="D983" s="9" t="s">
        <v>1709</v>
      </c>
      <c r="E983" s="11" t="s">
        <v>1710</v>
      </c>
      <c r="F983" s="12" t="s">
        <v>1710</v>
      </c>
      <c r="G983" s="9" t="s">
        <v>1709</v>
      </c>
    </row>
    <row r="984" spans="1:7">
      <c r="A984" s="9" t="s">
        <v>1711</v>
      </c>
      <c r="B984" s="9">
        <v>0.2</v>
      </c>
      <c r="C984" s="10">
        <v>-7.0000000000000001E-3</v>
      </c>
      <c r="D984" s="9" t="s">
        <v>1709</v>
      </c>
      <c r="E984" s="11" t="s">
        <v>1710</v>
      </c>
      <c r="F984" s="12" t="s">
        <v>1710</v>
      </c>
      <c r="G984" s="9" t="s">
        <v>1709</v>
      </c>
    </row>
    <row r="985" spans="1:7">
      <c r="A985" s="9" t="s">
        <v>1711</v>
      </c>
      <c r="B985" s="9">
        <v>0.2</v>
      </c>
      <c r="C985" s="10">
        <v>-5.7000000000000002E-2</v>
      </c>
      <c r="D985" s="9" t="s">
        <v>1709</v>
      </c>
      <c r="E985" s="11" t="s">
        <v>1710</v>
      </c>
      <c r="F985" s="12" t="s">
        <v>1710</v>
      </c>
      <c r="G985" s="9" t="s">
        <v>1709</v>
      </c>
    </row>
    <row r="986" spans="1:7">
      <c r="A986" s="9" t="s">
        <v>1711</v>
      </c>
      <c r="B986" s="9">
        <v>0.2</v>
      </c>
      <c r="C986" s="10">
        <v>0.21199999999999999</v>
      </c>
      <c r="D986" s="9" t="s">
        <v>1712</v>
      </c>
      <c r="E986" s="11" t="s">
        <v>1715</v>
      </c>
      <c r="F986" s="12" t="s">
        <v>1714</v>
      </c>
      <c r="G986" s="9" t="s">
        <v>1709</v>
      </c>
    </row>
    <row r="987" spans="1:7">
      <c r="A987" s="9" t="s">
        <v>1711</v>
      </c>
      <c r="B987" s="9">
        <v>0.2</v>
      </c>
      <c r="C987" s="10">
        <v>0.53700000000000003</v>
      </c>
      <c r="D987" s="9" t="s">
        <v>1712</v>
      </c>
      <c r="E987" s="11" t="s">
        <v>1715</v>
      </c>
      <c r="F987" s="12" t="s">
        <v>1714</v>
      </c>
      <c r="G987" s="9" t="s">
        <v>1709</v>
      </c>
    </row>
    <row r="988" spans="1:7">
      <c r="A988" s="9" t="s">
        <v>1711</v>
      </c>
      <c r="B988" s="9">
        <v>0.2</v>
      </c>
      <c r="C988" s="10">
        <v>0.217</v>
      </c>
      <c r="D988" s="9" t="s">
        <v>1712</v>
      </c>
      <c r="E988" s="11" t="s">
        <v>1715</v>
      </c>
      <c r="F988" s="12" t="s">
        <v>1714</v>
      </c>
      <c r="G988" s="9" t="s">
        <v>1709</v>
      </c>
    </row>
    <row r="989" spans="1:7">
      <c r="A989" s="9" t="s">
        <v>1711</v>
      </c>
      <c r="B989" s="9">
        <v>0.2</v>
      </c>
      <c r="C989" s="10">
        <v>1.4999999999999999E-2</v>
      </c>
      <c r="D989" s="9" t="s">
        <v>1712</v>
      </c>
      <c r="E989" s="11" t="s">
        <v>1715</v>
      </c>
      <c r="F989" s="12" t="s">
        <v>1714</v>
      </c>
      <c r="G989" s="9" t="s">
        <v>1709</v>
      </c>
    </row>
    <row r="990" spans="1:7">
      <c r="A990" s="9" t="s">
        <v>1711</v>
      </c>
      <c r="B990" s="9">
        <v>0.2</v>
      </c>
      <c r="C990" s="10">
        <v>0.22900000000000001</v>
      </c>
      <c r="D990" s="9" t="s">
        <v>1712</v>
      </c>
      <c r="E990" s="11" t="s">
        <v>1715</v>
      </c>
      <c r="F990" s="12" t="s">
        <v>1714</v>
      </c>
      <c r="G990" s="9" t="s">
        <v>1709</v>
      </c>
    </row>
    <row r="991" spans="1:7">
      <c r="A991" s="9" t="s">
        <v>1711</v>
      </c>
      <c r="B991" s="9">
        <v>0.2</v>
      </c>
      <c r="C991" s="10">
        <v>0.22900000000000001</v>
      </c>
      <c r="D991" s="9" t="s">
        <v>1712</v>
      </c>
      <c r="E991" s="11" t="s">
        <v>1715</v>
      </c>
      <c r="F991" s="12" t="s">
        <v>1714</v>
      </c>
      <c r="G991" s="9" t="s">
        <v>1709</v>
      </c>
    </row>
    <row r="992" spans="1:7">
      <c r="A992" s="9" t="s">
        <v>1711</v>
      </c>
      <c r="B992" s="9">
        <v>0.2</v>
      </c>
      <c r="C992" s="10">
        <v>-6.2E-2</v>
      </c>
      <c r="D992" s="9" t="s">
        <v>1709</v>
      </c>
      <c r="E992" s="11" t="s">
        <v>1710</v>
      </c>
      <c r="F992" s="12" t="s">
        <v>1710</v>
      </c>
      <c r="G992" s="9" t="s">
        <v>1709</v>
      </c>
    </row>
    <row r="993" spans="1:7">
      <c r="A993" s="9" t="s">
        <v>1711</v>
      </c>
      <c r="B993" s="9">
        <v>0.2</v>
      </c>
      <c r="C993" s="10">
        <v>-9.1999999999999998E-2</v>
      </c>
      <c r="D993" s="9" t="s">
        <v>1709</v>
      </c>
      <c r="E993" s="11" t="s">
        <v>1710</v>
      </c>
      <c r="F993" s="12" t="s">
        <v>1710</v>
      </c>
      <c r="G993" s="9" t="s">
        <v>1709</v>
      </c>
    </row>
    <row r="994" spans="1:7">
      <c r="A994" s="9" t="s">
        <v>1711</v>
      </c>
      <c r="B994" s="9">
        <v>0.2</v>
      </c>
      <c r="C994" s="10">
        <v>1.2549999999999999</v>
      </c>
      <c r="D994" s="9" t="s">
        <v>1712</v>
      </c>
      <c r="E994" s="11" t="s">
        <v>1736</v>
      </c>
      <c r="F994" s="12" t="s">
        <v>1714</v>
      </c>
      <c r="G994" s="9" t="s">
        <v>1709</v>
      </c>
    </row>
    <row r="995" spans="1:7">
      <c r="A995" s="9" t="s">
        <v>1711</v>
      </c>
      <c r="B995" s="9">
        <v>0.2</v>
      </c>
      <c r="C995" s="10">
        <v>2.7479999999999998</v>
      </c>
      <c r="D995" s="9" t="s">
        <v>1712</v>
      </c>
      <c r="E995" s="11" t="s">
        <v>1736</v>
      </c>
      <c r="F995" s="12" t="s">
        <v>1714</v>
      </c>
      <c r="G995" s="9" t="s">
        <v>1709</v>
      </c>
    </row>
    <row r="996" spans="1:7">
      <c r="A996" s="9" t="s">
        <v>1711</v>
      </c>
      <c r="B996" s="9">
        <v>0.2</v>
      </c>
      <c r="C996" s="10">
        <v>1.2549999999999999</v>
      </c>
      <c r="D996" s="9" t="s">
        <v>1712</v>
      </c>
      <c r="E996" s="11" t="s">
        <v>1736</v>
      </c>
      <c r="F996" s="12" t="s">
        <v>1714</v>
      </c>
      <c r="G996" s="9" t="s">
        <v>1709</v>
      </c>
    </row>
    <row r="997" spans="1:7">
      <c r="A997" s="9" t="s">
        <v>1711</v>
      </c>
      <c r="B997" s="9">
        <v>0.2</v>
      </c>
      <c r="C997" s="10">
        <v>1.2549999999999999</v>
      </c>
      <c r="D997" s="9" t="s">
        <v>1712</v>
      </c>
      <c r="E997" s="11" t="s">
        <v>1736</v>
      </c>
      <c r="F997" s="12" t="s">
        <v>1714</v>
      </c>
      <c r="G997" s="9" t="s">
        <v>1709</v>
      </c>
    </row>
    <row r="998" spans="1:7">
      <c r="A998" s="9" t="s">
        <v>1711</v>
      </c>
      <c r="B998" s="9">
        <v>0.2</v>
      </c>
      <c r="C998" s="10">
        <v>0.93500000000000005</v>
      </c>
      <c r="D998" s="9" t="s">
        <v>1712</v>
      </c>
      <c r="E998" s="11" t="s">
        <v>1736</v>
      </c>
      <c r="F998" s="12" t="s">
        <v>1714</v>
      </c>
      <c r="G998" s="9" t="s">
        <v>1709</v>
      </c>
    </row>
    <row r="999" spans="1:7">
      <c r="A999" s="9" t="s">
        <v>1711</v>
      </c>
      <c r="B999" s="9">
        <v>0.2</v>
      </c>
      <c r="C999" s="10">
        <v>-3.4000000000000002E-2</v>
      </c>
      <c r="D999" s="9" t="s">
        <v>1709</v>
      </c>
      <c r="E999" s="11" t="s">
        <v>1710</v>
      </c>
      <c r="F999" s="12" t="s">
        <v>1710</v>
      </c>
      <c r="G999" s="9" t="s">
        <v>1709</v>
      </c>
    </row>
    <row r="1000" spans="1:7">
      <c r="A1000" s="9" t="s">
        <v>1711</v>
      </c>
      <c r="B1000" s="9">
        <v>0.2</v>
      </c>
      <c r="C1000" s="10">
        <v>0.93500000000000005</v>
      </c>
      <c r="D1000" s="9" t="s">
        <v>1712</v>
      </c>
      <c r="E1000" s="11" t="s">
        <v>1736</v>
      </c>
      <c r="F1000" s="12" t="s">
        <v>1714</v>
      </c>
      <c r="G1000" s="9" t="s">
        <v>1709</v>
      </c>
    </row>
    <row r="1001" spans="1:7">
      <c r="A1001" s="9" t="s">
        <v>1711</v>
      </c>
      <c r="B1001" s="9">
        <v>0.2</v>
      </c>
      <c r="C1001" s="10">
        <v>9.1869999999999994</v>
      </c>
      <c r="D1001" s="9" t="s">
        <v>1712</v>
      </c>
      <c r="E1001" s="11" t="s">
        <v>1736</v>
      </c>
      <c r="F1001" s="12" t="s">
        <v>1714</v>
      </c>
      <c r="G1001" s="9" t="s">
        <v>1709</v>
      </c>
    </row>
    <row r="1002" spans="1:7">
      <c r="A1002" s="9" t="s">
        <v>1711</v>
      </c>
      <c r="B1002" s="9">
        <v>0.2</v>
      </c>
      <c r="C1002" s="10">
        <v>0.93500000000000005</v>
      </c>
      <c r="D1002" s="9" t="s">
        <v>1712</v>
      </c>
      <c r="E1002" s="11" t="s">
        <v>1736</v>
      </c>
      <c r="F1002" s="12" t="s">
        <v>1714</v>
      </c>
      <c r="G1002" s="9" t="s">
        <v>1709</v>
      </c>
    </row>
    <row r="1003" spans="1:7">
      <c r="A1003" s="9" t="s">
        <v>1711</v>
      </c>
      <c r="B1003" s="9">
        <v>0.2</v>
      </c>
      <c r="C1003" s="10">
        <v>2.0869999999999997</v>
      </c>
      <c r="D1003" s="9" t="s">
        <v>1712</v>
      </c>
      <c r="E1003" s="11" t="s">
        <v>1736</v>
      </c>
      <c r="F1003" s="12" t="s">
        <v>1714</v>
      </c>
      <c r="G1003" s="9" t="s">
        <v>1709</v>
      </c>
    </row>
    <row r="1004" spans="1:7">
      <c r="A1004" s="9" t="s">
        <v>1711</v>
      </c>
      <c r="B1004" s="9">
        <v>0.2</v>
      </c>
      <c r="C1004" s="10">
        <v>2.0869999999999997</v>
      </c>
      <c r="D1004" s="9" t="s">
        <v>1712</v>
      </c>
      <c r="E1004" s="11" t="s">
        <v>1736</v>
      </c>
      <c r="F1004" s="12" t="s">
        <v>1714</v>
      </c>
      <c r="G1004" s="9" t="s">
        <v>1709</v>
      </c>
    </row>
    <row r="1005" spans="1:7">
      <c r="A1005" s="9" t="s">
        <v>1711</v>
      </c>
      <c r="B1005" s="9">
        <v>0.2</v>
      </c>
      <c r="C1005" s="10">
        <v>2.0869999999999997</v>
      </c>
      <c r="D1005" s="9" t="s">
        <v>1712</v>
      </c>
      <c r="E1005" s="11" t="s">
        <v>1736</v>
      </c>
      <c r="F1005" s="12" t="s">
        <v>1714</v>
      </c>
      <c r="G1005" s="9" t="s">
        <v>1709</v>
      </c>
    </row>
    <row r="1006" spans="1:7">
      <c r="A1006" s="9" t="s">
        <v>1711</v>
      </c>
      <c r="B1006" s="9">
        <v>0.2</v>
      </c>
      <c r="C1006" s="10">
        <v>2.7479999999999998</v>
      </c>
      <c r="D1006" s="9" t="s">
        <v>1712</v>
      </c>
      <c r="E1006" s="11" t="s">
        <v>1736</v>
      </c>
      <c r="F1006" s="12" t="s">
        <v>1714</v>
      </c>
      <c r="G1006" s="9" t="s">
        <v>1709</v>
      </c>
    </row>
    <row r="1007" spans="1:7">
      <c r="A1007" s="9" t="s">
        <v>1711</v>
      </c>
      <c r="B1007" s="9">
        <v>0.2</v>
      </c>
      <c r="C1007" s="10">
        <v>1.2549999999999999</v>
      </c>
      <c r="D1007" s="9" t="s">
        <v>1712</v>
      </c>
      <c r="E1007" s="11" t="s">
        <v>1742</v>
      </c>
      <c r="F1007" s="12" t="s">
        <v>1714</v>
      </c>
      <c r="G1007" s="9" t="s">
        <v>1709</v>
      </c>
    </row>
    <row r="1008" spans="1:7">
      <c r="A1008" s="9" t="s">
        <v>1711</v>
      </c>
      <c r="B1008" s="9">
        <v>0.2</v>
      </c>
      <c r="C1008" s="10">
        <v>1.2549999999999999</v>
      </c>
      <c r="D1008" s="9" t="s">
        <v>1712</v>
      </c>
      <c r="E1008" s="11" t="s">
        <v>1742</v>
      </c>
      <c r="F1008" s="12" t="s">
        <v>1714</v>
      </c>
      <c r="G1008" s="9" t="s">
        <v>1709</v>
      </c>
    </row>
    <row r="1009" spans="1:7">
      <c r="A1009" s="9" t="s">
        <v>1711</v>
      </c>
      <c r="B1009" s="13">
        <v>0.2</v>
      </c>
      <c r="C1009" s="10">
        <v>2.7479999999999998</v>
      </c>
      <c r="D1009" s="9" t="s">
        <v>1712</v>
      </c>
      <c r="E1009" s="11" t="s">
        <v>1742</v>
      </c>
      <c r="F1009" s="12" t="s">
        <v>1714</v>
      </c>
      <c r="G1009" s="9" t="s">
        <v>1709</v>
      </c>
    </row>
    <row r="1010" spans="1:7">
      <c r="A1010" s="9" t="s">
        <v>1711</v>
      </c>
      <c r="B1010" s="13">
        <v>0.2</v>
      </c>
      <c r="C1010" s="10">
        <v>1.21</v>
      </c>
      <c r="D1010" s="9" t="s">
        <v>1712</v>
      </c>
      <c r="E1010" s="11" t="s">
        <v>1736</v>
      </c>
      <c r="F1010" s="12" t="s">
        <v>1714</v>
      </c>
      <c r="G1010" s="9" t="s">
        <v>1709</v>
      </c>
    </row>
    <row r="1011" spans="1:7">
      <c r="A1011" s="9" t="s">
        <v>1711</v>
      </c>
      <c r="B1011" s="13">
        <v>0.2</v>
      </c>
      <c r="C1011" s="10">
        <v>9.1869999999999994</v>
      </c>
      <c r="D1011" s="9" t="s">
        <v>1712</v>
      </c>
      <c r="E1011" s="11" t="s">
        <v>1736</v>
      </c>
      <c r="F1011" s="12" t="s">
        <v>1714</v>
      </c>
      <c r="G1011" s="9" t="s">
        <v>1709</v>
      </c>
    </row>
    <row r="1012" spans="1:7">
      <c r="A1012" s="9" t="s">
        <v>1711</v>
      </c>
      <c r="B1012" s="13">
        <v>0.2</v>
      </c>
      <c r="C1012" s="10">
        <v>0.93500000000000005</v>
      </c>
      <c r="D1012" s="9" t="s">
        <v>1712</v>
      </c>
      <c r="E1012" s="11" t="s">
        <v>1736</v>
      </c>
      <c r="F1012" s="12" t="s">
        <v>1714</v>
      </c>
      <c r="G1012" s="9" t="s">
        <v>1709</v>
      </c>
    </row>
    <row r="1013" spans="1:7">
      <c r="A1013" s="9" t="s">
        <v>1711</v>
      </c>
      <c r="B1013" s="13">
        <v>0.2</v>
      </c>
      <c r="C1013" s="10">
        <v>2.0869999999999997</v>
      </c>
      <c r="D1013" s="9" t="s">
        <v>1712</v>
      </c>
      <c r="E1013" s="11" t="s">
        <v>1736</v>
      </c>
      <c r="F1013" s="12" t="s">
        <v>1714</v>
      </c>
      <c r="G1013" s="9" t="s">
        <v>1709</v>
      </c>
    </row>
    <row r="1014" spans="1:7">
      <c r="A1014" s="9" t="s">
        <v>1711</v>
      </c>
      <c r="B1014" s="13">
        <v>0.2</v>
      </c>
      <c r="C1014" s="10">
        <v>2.0869999999999997</v>
      </c>
      <c r="D1014" s="9" t="s">
        <v>1712</v>
      </c>
      <c r="E1014" s="11" t="s">
        <v>1736</v>
      </c>
      <c r="F1014" s="12" t="s">
        <v>1714</v>
      </c>
      <c r="G1014" s="9" t="s">
        <v>1709</v>
      </c>
    </row>
    <row r="1015" spans="1:7">
      <c r="A1015" s="9" t="s">
        <v>1711</v>
      </c>
      <c r="B1015" s="13">
        <v>0.2</v>
      </c>
      <c r="C1015" s="10">
        <v>0.27400000000000002</v>
      </c>
      <c r="D1015" s="9" t="s">
        <v>1712</v>
      </c>
      <c r="E1015" s="11" t="s">
        <v>1715</v>
      </c>
      <c r="F1015" s="12" t="s">
        <v>1714</v>
      </c>
      <c r="G1015" s="9" t="s">
        <v>1709</v>
      </c>
    </row>
    <row r="1016" spans="1:7">
      <c r="A1016" s="9" t="s">
        <v>1711</v>
      </c>
      <c r="B1016" s="13">
        <v>0.2</v>
      </c>
      <c r="C1016" s="10">
        <v>0.93500000000000005</v>
      </c>
      <c r="D1016" s="9" t="s">
        <v>1712</v>
      </c>
      <c r="E1016" s="11" t="s">
        <v>1715</v>
      </c>
      <c r="F1016" s="12" t="s">
        <v>1714</v>
      </c>
      <c r="G1016" s="9" t="s">
        <v>1709</v>
      </c>
    </row>
    <row r="1017" spans="1:7">
      <c r="A1017" s="9" t="s">
        <v>1711</v>
      </c>
      <c r="B1017" s="13">
        <v>0.2</v>
      </c>
      <c r="C1017" s="10">
        <v>0.8</v>
      </c>
      <c r="D1017" s="9" t="s">
        <v>1712</v>
      </c>
      <c r="E1017" s="11" t="s">
        <v>1715</v>
      </c>
      <c r="F1017" s="12" t="s">
        <v>1714</v>
      </c>
      <c r="G1017" s="9" t="s">
        <v>1709</v>
      </c>
    </row>
    <row r="1018" spans="1:7">
      <c r="A1018" s="9" t="s">
        <v>1711</v>
      </c>
      <c r="B1018" s="13">
        <v>0.2</v>
      </c>
      <c r="C1018" s="10">
        <v>2.7479999999999998</v>
      </c>
      <c r="D1018" s="9" t="s">
        <v>1712</v>
      </c>
      <c r="E1018" s="11" t="s">
        <v>1736</v>
      </c>
      <c r="F1018" s="12" t="s">
        <v>1714</v>
      </c>
      <c r="G1018" s="9" t="s">
        <v>1709</v>
      </c>
    </row>
    <row r="1019" spans="1:7">
      <c r="A1019" s="9" t="s">
        <v>1711</v>
      </c>
      <c r="B1019" s="13">
        <v>0.2</v>
      </c>
      <c r="C1019" s="10">
        <v>-0.113</v>
      </c>
      <c r="D1019" s="9" t="s">
        <v>1709</v>
      </c>
      <c r="E1019" s="11" t="s">
        <v>1710</v>
      </c>
      <c r="F1019" s="12" t="s">
        <v>1710</v>
      </c>
      <c r="G1019" s="9" t="s">
        <v>1709</v>
      </c>
    </row>
    <row r="1020" spans="1:7">
      <c r="A1020" s="9" t="s">
        <v>1711</v>
      </c>
      <c r="B1020" s="13">
        <v>0.2</v>
      </c>
      <c r="C1020" s="10">
        <v>0.93500000000000005</v>
      </c>
      <c r="D1020" s="9" t="s">
        <v>1712</v>
      </c>
      <c r="E1020" s="11" t="s">
        <v>1736</v>
      </c>
      <c r="F1020" s="12" t="s">
        <v>1714</v>
      </c>
      <c r="G1020" s="9" t="s">
        <v>1709</v>
      </c>
    </row>
    <row r="1021" spans="1:7">
      <c r="A1021" s="9" t="s">
        <v>1711</v>
      </c>
      <c r="B1021" s="13">
        <v>0.2</v>
      </c>
      <c r="C1021" s="10">
        <v>1.5109999999999999</v>
      </c>
      <c r="D1021" s="9" t="s">
        <v>1712</v>
      </c>
      <c r="E1021" s="11" t="s">
        <v>1736</v>
      </c>
      <c r="F1021" s="12" t="s">
        <v>1714</v>
      </c>
      <c r="G1021" s="9" t="s">
        <v>1709</v>
      </c>
    </row>
    <row r="1022" spans="1:7">
      <c r="A1022" s="9" t="s">
        <v>1711</v>
      </c>
      <c r="B1022" s="13">
        <v>0.2</v>
      </c>
      <c r="C1022" s="10">
        <v>-0.14599999999999999</v>
      </c>
      <c r="D1022" s="9" t="s">
        <v>1709</v>
      </c>
      <c r="E1022" s="11" t="s">
        <v>1710</v>
      </c>
      <c r="F1022" s="12" t="s">
        <v>1710</v>
      </c>
      <c r="G1022" s="9" t="s">
        <v>1709</v>
      </c>
    </row>
    <row r="1023" spans="1:7">
      <c r="A1023" s="9" t="s">
        <v>1711</v>
      </c>
      <c r="B1023" s="13">
        <v>0.2</v>
      </c>
      <c r="C1023" s="10">
        <v>2.0869999999999997</v>
      </c>
      <c r="D1023" s="9" t="s">
        <v>1712</v>
      </c>
      <c r="E1023" s="11" t="s">
        <v>1736</v>
      </c>
      <c r="F1023" s="12" t="s">
        <v>1714</v>
      </c>
      <c r="G1023" s="9" t="s">
        <v>1709</v>
      </c>
    </row>
    <row r="1024" spans="1:7">
      <c r="A1024" s="9" t="s">
        <v>1711</v>
      </c>
      <c r="B1024" s="13">
        <v>0.2</v>
      </c>
      <c r="C1024" s="10">
        <v>0.27400000000000002</v>
      </c>
      <c r="D1024" s="9" t="s">
        <v>1712</v>
      </c>
      <c r="E1024" s="11" t="s">
        <v>1736</v>
      </c>
      <c r="F1024" s="12" t="s">
        <v>1714</v>
      </c>
      <c r="G1024" s="9" t="s">
        <v>1709</v>
      </c>
    </row>
    <row r="1025" spans="1:7">
      <c r="A1025" s="9" t="s">
        <v>1711</v>
      </c>
      <c r="B1025" s="13">
        <v>0.2</v>
      </c>
      <c r="C1025" s="10">
        <v>0.155</v>
      </c>
      <c r="D1025" s="9" t="s">
        <v>1712</v>
      </c>
      <c r="E1025" s="11" t="s">
        <v>1742</v>
      </c>
      <c r="F1025" s="12" t="s">
        <v>1714</v>
      </c>
      <c r="G1025" s="9" t="s">
        <v>1709</v>
      </c>
    </row>
    <row r="1026" spans="1:7">
      <c r="A1026" s="9" t="s">
        <v>1711</v>
      </c>
      <c r="B1026" s="13">
        <v>0.2</v>
      </c>
      <c r="C1026" s="10">
        <v>0.14100000000000001</v>
      </c>
      <c r="D1026" s="9" t="s">
        <v>1712</v>
      </c>
      <c r="E1026" s="11" t="s">
        <v>1742</v>
      </c>
      <c r="F1026" s="12" t="s">
        <v>1714</v>
      </c>
      <c r="G1026" s="9" t="s">
        <v>1709</v>
      </c>
    </row>
    <row r="1027" spans="1:7">
      <c r="A1027" s="9" t="s">
        <v>1711</v>
      </c>
      <c r="B1027" s="13">
        <v>0.2</v>
      </c>
      <c r="C1027" s="10">
        <v>9.1869999999999994</v>
      </c>
      <c r="D1027" s="9" t="s">
        <v>1712</v>
      </c>
      <c r="E1027" s="11" t="s">
        <v>1715</v>
      </c>
      <c r="F1027" s="12" t="s">
        <v>1714</v>
      </c>
      <c r="G1027" s="9" t="s">
        <v>1709</v>
      </c>
    </row>
    <row r="1028" spans="1:7">
      <c r="A1028" s="9" t="s">
        <v>1711</v>
      </c>
      <c r="B1028" s="13">
        <v>0.2</v>
      </c>
      <c r="C1028" s="10">
        <v>9.1869999999999994</v>
      </c>
      <c r="D1028" s="9" t="s">
        <v>1712</v>
      </c>
      <c r="E1028" s="11" t="s">
        <v>1715</v>
      </c>
      <c r="F1028" s="12" t="s">
        <v>1714</v>
      </c>
      <c r="G1028" s="9" t="s">
        <v>1709</v>
      </c>
    </row>
    <row r="1029" spans="1:7">
      <c r="A1029" s="9" t="s">
        <v>1711</v>
      </c>
      <c r="B1029" s="13">
        <v>0.2</v>
      </c>
      <c r="C1029" s="10">
        <v>2.7479999999999998</v>
      </c>
      <c r="D1029" s="9" t="s">
        <v>1712</v>
      </c>
      <c r="E1029" s="11" t="s">
        <v>1736</v>
      </c>
      <c r="F1029" s="12" t="s">
        <v>1714</v>
      </c>
      <c r="G1029" s="9" t="s">
        <v>1709</v>
      </c>
    </row>
    <row r="1030" spans="1:7">
      <c r="A1030" s="9" t="s">
        <v>1711</v>
      </c>
      <c r="B1030" s="13">
        <v>0.2</v>
      </c>
      <c r="C1030" s="10">
        <v>0.22900000000000001</v>
      </c>
      <c r="D1030" s="9" t="s">
        <v>1712</v>
      </c>
      <c r="E1030" s="11" t="s">
        <v>1736</v>
      </c>
      <c r="F1030" s="12" t="s">
        <v>1714</v>
      </c>
      <c r="G1030" s="9" t="s">
        <v>1709</v>
      </c>
    </row>
    <row r="1031" spans="1:7">
      <c r="A1031" s="9" t="s">
        <v>1711</v>
      </c>
      <c r="B1031" s="13">
        <v>0.2</v>
      </c>
      <c r="C1031" s="10">
        <v>1.5959999999999999</v>
      </c>
      <c r="D1031" s="9" t="s">
        <v>1712</v>
      </c>
      <c r="E1031" s="11" t="s">
        <v>1736</v>
      </c>
      <c r="F1031" s="12" t="s">
        <v>1714</v>
      </c>
      <c r="G1031" s="9" t="s">
        <v>1709</v>
      </c>
    </row>
    <row r="1032" spans="1:7">
      <c r="A1032" s="9" t="s">
        <v>1711</v>
      </c>
      <c r="B1032" s="9">
        <v>0.2</v>
      </c>
      <c r="C1032" s="10">
        <v>1.5959999999999999</v>
      </c>
      <c r="D1032" s="9" t="s">
        <v>1712</v>
      </c>
      <c r="E1032" s="11" t="s">
        <v>1736</v>
      </c>
      <c r="F1032" s="12" t="s">
        <v>1714</v>
      </c>
      <c r="G1032" s="9" t="s">
        <v>1709</v>
      </c>
    </row>
    <row r="1033" spans="1:7">
      <c r="A1033" s="9" t="s">
        <v>1711</v>
      </c>
      <c r="B1033" s="9">
        <v>0.2</v>
      </c>
      <c r="C1033" s="10">
        <v>-0.16600000000000001</v>
      </c>
      <c r="D1033" s="9" t="s">
        <v>1709</v>
      </c>
      <c r="E1033" s="11" t="s">
        <v>1710</v>
      </c>
      <c r="F1033" s="12" t="s">
        <v>1710</v>
      </c>
      <c r="G1033" s="9" t="s">
        <v>1709</v>
      </c>
    </row>
    <row r="1034" spans="1:7">
      <c r="A1034" s="9" t="s">
        <v>1711</v>
      </c>
      <c r="B1034" s="13">
        <v>0.2</v>
      </c>
      <c r="C1034" s="10">
        <v>0.29399999999999998</v>
      </c>
      <c r="D1034" s="9" t="s">
        <v>1712</v>
      </c>
      <c r="E1034" s="11" t="s">
        <v>1736</v>
      </c>
      <c r="F1034" s="12" t="s">
        <v>1714</v>
      </c>
      <c r="G1034" s="9" t="s">
        <v>1709</v>
      </c>
    </row>
    <row r="1035" spans="1:7">
      <c r="A1035" s="9" t="s">
        <v>1711</v>
      </c>
      <c r="B1035" s="9">
        <v>0.2</v>
      </c>
      <c r="C1035" s="10">
        <v>-8.6999999999999994E-2</v>
      </c>
      <c r="D1035" s="9" t="s">
        <v>1709</v>
      </c>
      <c r="E1035" s="11" t="s">
        <v>1710</v>
      </c>
      <c r="F1035" s="12" t="s">
        <v>1710</v>
      </c>
      <c r="G1035" s="9" t="s">
        <v>1709</v>
      </c>
    </row>
    <row r="1036" spans="1:7">
      <c r="A1036" s="9" t="s">
        <v>1711</v>
      </c>
      <c r="B1036" s="9">
        <v>0.2</v>
      </c>
      <c r="C1036" s="10">
        <v>-8.6999999999999994E-2</v>
      </c>
      <c r="D1036" s="9" t="s">
        <v>1709</v>
      </c>
      <c r="E1036" s="11" t="s">
        <v>1710</v>
      </c>
      <c r="F1036" s="12" t="s">
        <v>1710</v>
      </c>
      <c r="G1036" s="9" t="s">
        <v>1709</v>
      </c>
    </row>
    <row r="1037" spans="1:7">
      <c r="A1037" s="9" t="s">
        <v>1711</v>
      </c>
      <c r="B1037" s="9">
        <v>0.2</v>
      </c>
      <c r="C1037" s="10">
        <v>-8.6999999999999994E-2</v>
      </c>
      <c r="D1037" s="9" t="s">
        <v>1709</v>
      </c>
      <c r="E1037" s="11" t="s">
        <v>1710</v>
      </c>
      <c r="F1037" s="12" t="s">
        <v>1710</v>
      </c>
      <c r="G1037" s="9" t="s">
        <v>1709</v>
      </c>
    </row>
    <row r="1038" spans="1:7">
      <c r="A1038" s="9" t="s">
        <v>1711</v>
      </c>
      <c r="B1038" s="9">
        <v>0.2</v>
      </c>
      <c r="C1038" s="10">
        <v>-8.6999999999999994E-2</v>
      </c>
      <c r="D1038" s="9" t="s">
        <v>1709</v>
      </c>
      <c r="E1038" s="11" t="s">
        <v>1710</v>
      </c>
      <c r="F1038" s="12" t="s">
        <v>1710</v>
      </c>
      <c r="G1038" s="9" t="s">
        <v>1709</v>
      </c>
    </row>
    <row r="1039" spans="1:7">
      <c r="A1039" s="9" t="s">
        <v>1711</v>
      </c>
      <c r="B1039" s="13">
        <v>0.2</v>
      </c>
      <c r="C1039" s="10">
        <v>-8.6999999999999994E-2</v>
      </c>
      <c r="D1039" s="9" t="s">
        <v>1709</v>
      </c>
      <c r="E1039" s="11" t="s">
        <v>1710</v>
      </c>
      <c r="F1039" s="12" t="s">
        <v>1710</v>
      </c>
      <c r="G1039" s="9" t="s">
        <v>1709</v>
      </c>
    </row>
    <row r="1040" spans="1:7">
      <c r="A1040" s="9" t="s">
        <v>1711</v>
      </c>
      <c r="B1040" s="13">
        <v>0.2</v>
      </c>
      <c r="C1040" s="10">
        <v>-8.6999999999999994E-2</v>
      </c>
      <c r="D1040" s="9" t="s">
        <v>1709</v>
      </c>
      <c r="E1040" s="11" t="s">
        <v>1710</v>
      </c>
      <c r="F1040" s="12" t="s">
        <v>1710</v>
      </c>
      <c r="G1040" s="9" t="s">
        <v>1709</v>
      </c>
    </row>
    <row r="1041" spans="1:7">
      <c r="A1041" s="9" t="s">
        <v>1711</v>
      </c>
      <c r="B1041" s="9">
        <v>0.2</v>
      </c>
      <c r="C1041" s="10">
        <v>-8.6999999999999994E-2</v>
      </c>
      <c r="D1041" s="9" t="s">
        <v>1709</v>
      </c>
      <c r="E1041" s="11" t="s">
        <v>1710</v>
      </c>
      <c r="F1041" s="12" t="s">
        <v>1710</v>
      </c>
      <c r="G1041" s="9" t="s">
        <v>1709</v>
      </c>
    </row>
    <row r="1042" spans="1:7">
      <c r="A1042" s="9" t="s">
        <v>1711</v>
      </c>
      <c r="B1042" s="9">
        <v>0.2</v>
      </c>
      <c r="C1042" s="10">
        <v>-8.6999999999999994E-2</v>
      </c>
      <c r="D1042" s="9" t="s">
        <v>1709</v>
      </c>
      <c r="E1042" s="11" t="s">
        <v>1710</v>
      </c>
      <c r="F1042" s="12" t="s">
        <v>1710</v>
      </c>
      <c r="G1042" s="9" t="s">
        <v>1709</v>
      </c>
    </row>
    <row r="1043" spans="1:7">
      <c r="A1043" s="9" t="s">
        <v>1711</v>
      </c>
      <c r="B1043" s="9">
        <v>0.2</v>
      </c>
      <c r="C1043" s="10">
        <v>-8.6999999999999994E-2</v>
      </c>
      <c r="D1043" s="9" t="s">
        <v>1709</v>
      </c>
      <c r="E1043" s="11" t="s">
        <v>1710</v>
      </c>
      <c r="F1043" s="12" t="s">
        <v>1710</v>
      </c>
      <c r="G1043" s="9" t="s">
        <v>1709</v>
      </c>
    </row>
    <row r="1044" spans="1:7">
      <c r="A1044" s="9" t="s">
        <v>1711</v>
      </c>
      <c r="B1044" s="13">
        <v>0.2</v>
      </c>
      <c r="C1044" s="10">
        <v>-8.6999999999999994E-2</v>
      </c>
      <c r="D1044" s="9" t="s">
        <v>1709</v>
      </c>
      <c r="E1044" s="11" t="s">
        <v>1710</v>
      </c>
      <c r="F1044" s="12" t="s">
        <v>1710</v>
      </c>
      <c r="G1044" s="9" t="s">
        <v>1709</v>
      </c>
    </row>
    <row r="1045" spans="1:7">
      <c r="A1045" s="9" t="s">
        <v>1711</v>
      </c>
      <c r="B1045" s="13">
        <v>0.2</v>
      </c>
      <c r="C1045" s="10">
        <v>-8.6999999999999994E-2</v>
      </c>
      <c r="D1045" s="9" t="s">
        <v>1709</v>
      </c>
      <c r="E1045" s="11" t="s">
        <v>1710</v>
      </c>
      <c r="F1045" s="12" t="s">
        <v>1710</v>
      </c>
      <c r="G1045" s="9" t="s">
        <v>1709</v>
      </c>
    </row>
    <row r="1046" spans="1:7">
      <c r="A1046" s="9" t="s">
        <v>1711</v>
      </c>
      <c r="B1046" s="9">
        <v>0.2</v>
      </c>
      <c r="C1046" s="10">
        <v>-8.6999999999999994E-2</v>
      </c>
      <c r="D1046" s="9" t="s">
        <v>1709</v>
      </c>
      <c r="E1046" s="11" t="s">
        <v>1710</v>
      </c>
      <c r="F1046" s="12" t="s">
        <v>1710</v>
      </c>
      <c r="G1046" s="9" t="s">
        <v>1709</v>
      </c>
    </row>
    <row r="1047" spans="1:7">
      <c r="A1047" s="9" t="s">
        <v>1711</v>
      </c>
      <c r="B1047" s="13">
        <v>0.2</v>
      </c>
      <c r="C1047" s="10">
        <v>-8.6999999999999994E-2</v>
      </c>
      <c r="D1047" s="9" t="s">
        <v>1709</v>
      </c>
      <c r="E1047" s="11" t="s">
        <v>1710</v>
      </c>
      <c r="F1047" s="12" t="s">
        <v>1710</v>
      </c>
      <c r="G1047" s="9" t="s">
        <v>1709</v>
      </c>
    </row>
    <row r="1048" spans="1:7">
      <c r="A1048" s="9" t="s">
        <v>1711</v>
      </c>
      <c r="B1048" s="13">
        <v>0.2</v>
      </c>
      <c r="C1048" s="10">
        <v>-8.6999999999999994E-2</v>
      </c>
      <c r="D1048" s="9" t="s">
        <v>1709</v>
      </c>
      <c r="E1048" s="11" t="s">
        <v>1710</v>
      </c>
      <c r="F1048" s="12" t="s">
        <v>1710</v>
      </c>
      <c r="G1048" s="9" t="s">
        <v>1709</v>
      </c>
    </row>
    <row r="1049" spans="1:7">
      <c r="A1049" s="9" t="s">
        <v>1711</v>
      </c>
      <c r="B1049" s="13">
        <v>0.2</v>
      </c>
      <c r="C1049" s="10">
        <v>-8.6999999999999994E-2</v>
      </c>
      <c r="D1049" s="9" t="s">
        <v>1709</v>
      </c>
      <c r="E1049" s="11" t="s">
        <v>1710</v>
      </c>
      <c r="F1049" s="12" t="s">
        <v>1710</v>
      </c>
      <c r="G1049" s="9" t="s">
        <v>1709</v>
      </c>
    </row>
    <row r="1050" spans="1:7">
      <c r="A1050" s="9" t="s">
        <v>1711</v>
      </c>
      <c r="B1050" s="13">
        <v>0.2</v>
      </c>
      <c r="C1050" s="10">
        <v>-8.6999999999999994E-2</v>
      </c>
      <c r="D1050" s="9" t="s">
        <v>1709</v>
      </c>
      <c r="E1050" s="11" t="s">
        <v>1710</v>
      </c>
      <c r="F1050" s="12" t="s">
        <v>1710</v>
      </c>
      <c r="G1050" s="9" t="s">
        <v>1709</v>
      </c>
    </row>
    <row r="1051" spans="1:7">
      <c r="A1051" s="9" t="s">
        <v>1711</v>
      </c>
      <c r="B1051" s="13">
        <v>0.2</v>
      </c>
      <c r="C1051" s="10">
        <v>-8.6999999999999994E-2</v>
      </c>
      <c r="D1051" s="9" t="s">
        <v>1709</v>
      </c>
      <c r="E1051" s="11" t="s">
        <v>1710</v>
      </c>
      <c r="F1051" s="12" t="s">
        <v>1710</v>
      </c>
      <c r="G1051" s="9" t="s">
        <v>1709</v>
      </c>
    </row>
    <row r="1052" spans="1:7">
      <c r="A1052" s="9" t="s">
        <v>1711</v>
      </c>
      <c r="B1052" s="13">
        <v>0.2</v>
      </c>
      <c r="C1052" s="10">
        <v>-8.6999999999999994E-2</v>
      </c>
      <c r="D1052" s="9" t="s">
        <v>1709</v>
      </c>
      <c r="E1052" s="11" t="s">
        <v>1710</v>
      </c>
      <c r="F1052" s="12" t="s">
        <v>1710</v>
      </c>
      <c r="G1052" s="9" t="s">
        <v>1709</v>
      </c>
    </row>
    <row r="1053" spans="1:7">
      <c r="A1053" s="9" t="s">
        <v>1711</v>
      </c>
      <c r="B1053" s="13">
        <v>0.2</v>
      </c>
      <c r="C1053" s="10">
        <v>0.59899999999999998</v>
      </c>
      <c r="D1053" s="9" t="s">
        <v>1712</v>
      </c>
      <c r="E1053" s="11" t="s">
        <v>1737</v>
      </c>
      <c r="F1053" s="12" t="s">
        <v>1714</v>
      </c>
      <c r="G1053" s="9" t="s">
        <v>1709</v>
      </c>
    </row>
    <row r="1054" spans="1:7">
      <c r="A1054" s="9" t="s">
        <v>1711</v>
      </c>
      <c r="B1054" s="13">
        <v>0.2</v>
      </c>
      <c r="C1054" s="10">
        <v>-5.0000000000000001E-3</v>
      </c>
      <c r="D1054" s="9" t="s">
        <v>1709</v>
      </c>
      <c r="E1054" s="11" t="s">
        <v>1710</v>
      </c>
      <c r="F1054" s="12" t="s">
        <v>1710</v>
      </c>
      <c r="G1054" s="9" t="s">
        <v>1709</v>
      </c>
    </row>
    <row r="1055" spans="1:7">
      <c r="A1055" s="9" t="s">
        <v>1711</v>
      </c>
      <c r="B1055" s="9">
        <v>0.2</v>
      </c>
      <c r="C1055" s="10">
        <v>-5.0000000000000001E-3</v>
      </c>
      <c r="D1055" s="9" t="s">
        <v>1709</v>
      </c>
      <c r="E1055" s="11" t="s">
        <v>1710</v>
      </c>
      <c r="F1055" s="12" t="s">
        <v>1710</v>
      </c>
      <c r="G1055" s="9" t="s">
        <v>1709</v>
      </c>
    </row>
    <row r="1056" spans="1:7">
      <c r="A1056" s="9" t="s">
        <v>1711</v>
      </c>
      <c r="B1056" s="9">
        <v>0.2</v>
      </c>
      <c r="C1056" s="10">
        <v>-0.19400000000000001</v>
      </c>
      <c r="D1056" s="9" t="s">
        <v>1709</v>
      </c>
      <c r="E1056" s="11" t="s">
        <v>1710</v>
      </c>
      <c r="F1056" s="12" t="s">
        <v>1710</v>
      </c>
      <c r="G1056" s="9" t="s">
        <v>1709</v>
      </c>
    </row>
    <row r="1057" spans="1:7">
      <c r="A1057" s="9" t="s">
        <v>1711</v>
      </c>
      <c r="B1057" s="9">
        <v>0.2</v>
      </c>
      <c r="C1057" s="10">
        <v>-0.19400000000000001</v>
      </c>
      <c r="D1057" s="9" t="s">
        <v>1709</v>
      </c>
      <c r="E1057" s="11" t="s">
        <v>1710</v>
      </c>
      <c r="F1057" s="12" t="s">
        <v>1710</v>
      </c>
      <c r="G1057" s="9" t="s">
        <v>1709</v>
      </c>
    </row>
    <row r="1058" spans="1:7">
      <c r="A1058" s="9" t="s">
        <v>1711</v>
      </c>
      <c r="B1058" s="9">
        <v>0.2</v>
      </c>
      <c r="C1058" s="10">
        <v>-0.19400000000000001</v>
      </c>
      <c r="D1058" s="9" t="s">
        <v>1709</v>
      </c>
      <c r="E1058" s="11" t="s">
        <v>1710</v>
      </c>
      <c r="F1058" s="12" t="s">
        <v>1710</v>
      </c>
      <c r="G1058" s="9" t="s">
        <v>1709</v>
      </c>
    </row>
    <row r="1059" spans="1:7">
      <c r="A1059" s="9" t="s">
        <v>1711</v>
      </c>
      <c r="B1059" s="9">
        <v>0.2</v>
      </c>
      <c r="C1059" s="10">
        <v>0.22900000000000001</v>
      </c>
      <c r="D1059" s="9" t="s">
        <v>1712</v>
      </c>
      <c r="E1059" s="11" t="s">
        <v>1736</v>
      </c>
      <c r="F1059" s="12" t="s">
        <v>1714</v>
      </c>
      <c r="G1059" s="9" t="s">
        <v>1709</v>
      </c>
    </row>
    <row r="1060" spans="1:7">
      <c r="A1060" s="9" t="s">
        <v>1711</v>
      </c>
      <c r="B1060" s="13">
        <v>0.2</v>
      </c>
      <c r="C1060" s="10">
        <v>0.126</v>
      </c>
      <c r="D1060" s="9" t="s">
        <v>1712</v>
      </c>
      <c r="E1060" s="11" t="s">
        <v>1736</v>
      </c>
      <c r="F1060" s="12" t="s">
        <v>1714</v>
      </c>
      <c r="G1060" s="9" t="s">
        <v>1709</v>
      </c>
    </row>
    <row r="1061" spans="1:7">
      <c r="A1061" s="9" t="s">
        <v>1711</v>
      </c>
      <c r="B1061" s="13">
        <v>0.2</v>
      </c>
      <c r="C1061" s="10">
        <v>0.22900000000000001</v>
      </c>
      <c r="D1061" s="9" t="s">
        <v>1712</v>
      </c>
      <c r="E1061" s="11" t="s">
        <v>1736</v>
      </c>
      <c r="F1061" s="12" t="s">
        <v>1714</v>
      </c>
      <c r="G1061" s="9" t="s">
        <v>1709</v>
      </c>
    </row>
    <row r="1062" spans="1:7">
      <c r="A1062" s="9" t="s">
        <v>1711</v>
      </c>
      <c r="B1062" s="13">
        <v>0.2</v>
      </c>
      <c r="C1062" s="10">
        <v>1.5959999999999999</v>
      </c>
      <c r="D1062" s="9" t="s">
        <v>1712</v>
      </c>
      <c r="E1062" s="11" t="s">
        <v>1736</v>
      </c>
      <c r="F1062" s="12" t="s">
        <v>1714</v>
      </c>
      <c r="G1062" s="9" t="s">
        <v>1709</v>
      </c>
    </row>
    <row r="1063" spans="1:7">
      <c r="A1063" s="9" t="s">
        <v>1711</v>
      </c>
      <c r="B1063" s="13">
        <v>0.2</v>
      </c>
      <c r="C1063" s="10">
        <v>1.5959999999999999</v>
      </c>
      <c r="D1063" s="9" t="s">
        <v>1712</v>
      </c>
      <c r="E1063" s="11" t="s">
        <v>1736</v>
      </c>
      <c r="F1063" s="12" t="s">
        <v>1714</v>
      </c>
      <c r="G1063" s="9" t="s">
        <v>1709</v>
      </c>
    </row>
    <row r="1064" spans="1:7">
      <c r="A1064" s="9" t="s">
        <v>1711</v>
      </c>
      <c r="B1064" s="9">
        <v>0.2</v>
      </c>
      <c r="C1064" s="10">
        <v>1.5959999999999999</v>
      </c>
      <c r="D1064" s="9" t="s">
        <v>1712</v>
      </c>
      <c r="E1064" s="11" t="s">
        <v>1736</v>
      </c>
      <c r="F1064" s="12" t="s">
        <v>1714</v>
      </c>
      <c r="G1064" s="9" t="s">
        <v>1709</v>
      </c>
    </row>
    <row r="1065" spans="1:7">
      <c r="A1065" s="9" t="s">
        <v>1711</v>
      </c>
      <c r="B1065" s="9">
        <v>0.2</v>
      </c>
      <c r="C1065" s="10">
        <v>1.5959999999999999</v>
      </c>
      <c r="D1065" s="9" t="s">
        <v>1712</v>
      </c>
      <c r="E1065" s="11" t="s">
        <v>1736</v>
      </c>
      <c r="F1065" s="12" t="s">
        <v>1714</v>
      </c>
      <c r="G1065" s="9" t="s">
        <v>1709</v>
      </c>
    </row>
    <row r="1066" spans="1:7">
      <c r="A1066" s="9" t="s">
        <v>1711</v>
      </c>
      <c r="B1066" s="9">
        <v>0.2</v>
      </c>
      <c r="C1066" s="10">
        <v>1.1729999999999998</v>
      </c>
      <c r="D1066" s="9" t="s">
        <v>1712</v>
      </c>
      <c r="E1066" s="11" t="s">
        <v>1736</v>
      </c>
      <c r="F1066" s="12" t="s">
        <v>1714</v>
      </c>
      <c r="G1066" s="9" t="s">
        <v>1709</v>
      </c>
    </row>
    <row r="1067" spans="1:7">
      <c r="A1067" s="9" t="s">
        <v>1711</v>
      </c>
      <c r="B1067" s="9">
        <v>0.2</v>
      </c>
      <c r="C1067" s="10">
        <v>1.1729999999999998</v>
      </c>
      <c r="D1067" s="9" t="s">
        <v>1712</v>
      </c>
      <c r="E1067" s="11" t="s">
        <v>1736</v>
      </c>
      <c r="F1067" s="12" t="s">
        <v>1714</v>
      </c>
      <c r="G1067" s="9" t="s">
        <v>1709</v>
      </c>
    </row>
    <row r="1068" spans="1:7">
      <c r="A1068" s="9" t="s">
        <v>1711</v>
      </c>
      <c r="B1068" s="9">
        <v>0.2</v>
      </c>
      <c r="C1068" s="10">
        <v>0.152</v>
      </c>
      <c r="D1068" s="9" t="s">
        <v>1712</v>
      </c>
      <c r="E1068" s="11" t="s">
        <v>1736</v>
      </c>
      <c r="F1068" s="12" t="s">
        <v>1714</v>
      </c>
      <c r="G1068" s="9" t="s">
        <v>1709</v>
      </c>
    </row>
    <row r="1069" spans="1:7">
      <c r="A1069" s="9" t="s">
        <v>1711</v>
      </c>
      <c r="B1069" s="9">
        <v>0.2</v>
      </c>
      <c r="C1069" s="10">
        <v>0.152</v>
      </c>
      <c r="D1069" s="9" t="s">
        <v>1712</v>
      </c>
      <c r="E1069" s="11" t="s">
        <v>1736</v>
      </c>
      <c r="F1069" s="12" t="s">
        <v>1714</v>
      </c>
      <c r="G1069" s="9" t="s">
        <v>1709</v>
      </c>
    </row>
    <row r="1070" spans="1:7">
      <c r="A1070" s="9" t="s">
        <v>1711</v>
      </c>
      <c r="B1070" s="13">
        <v>0.2</v>
      </c>
      <c r="C1070" s="10">
        <v>0.156</v>
      </c>
      <c r="D1070" s="9" t="s">
        <v>1712</v>
      </c>
      <c r="E1070" s="11" t="s">
        <v>1736</v>
      </c>
      <c r="F1070" s="12" t="s">
        <v>1714</v>
      </c>
      <c r="G1070" s="9" t="s">
        <v>1709</v>
      </c>
    </row>
    <row r="1071" spans="1:7">
      <c r="A1071" s="9" t="s">
        <v>1711</v>
      </c>
      <c r="B1071" s="13">
        <v>0.2</v>
      </c>
      <c r="C1071" s="10">
        <v>-0.14599999999999999</v>
      </c>
      <c r="D1071" s="9" t="s">
        <v>1709</v>
      </c>
      <c r="E1071" s="11" t="s">
        <v>1710</v>
      </c>
      <c r="F1071" s="12" t="s">
        <v>1710</v>
      </c>
      <c r="G1071" s="9" t="s">
        <v>1709</v>
      </c>
    </row>
    <row r="1072" spans="1:7">
      <c r="A1072" s="9" t="s">
        <v>1711</v>
      </c>
      <c r="B1072" s="13">
        <v>0.2</v>
      </c>
      <c r="C1072" s="10">
        <v>-0.14599999999999999</v>
      </c>
      <c r="D1072" s="9" t="s">
        <v>1709</v>
      </c>
      <c r="E1072" s="11" t="s">
        <v>1710</v>
      </c>
      <c r="F1072" s="12" t="s">
        <v>1710</v>
      </c>
      <c r="G1072" s="9" t="s">
        <v>1709</v>
      </c>
    </row>
    <row r="1073" spans="1:7">
      <c r="A1073" s="9" t="s">
        <v>1711</v>
      </c>
      <c r="B1073" s="13">
        <v>0.2</v>
      </c>
      <c r="C1073" s="10">
        <v>-0.14599999999999999</v>
      </c>
      <c r="D1073" s="9" t="s">
        <v>1709</v>
      </c>
      <c r="E1073" s="11" t="s">
        <v>1710</v>
      </c>
      <c r="F1073" s="12" t="s">
        <v>1710</v>
      </c>
      <c r="G1073" s="9" t="s">
        <v>1709</v>
      </c>
    </row>
    <row r="1074" spans="1:7">
      <c r="A1074" s="9" t="s">
        <v>1711</v>
      </c>
      <c r="B1074" s="13">
        <v>0.2</v>
      </c>
      <c r="C1074" s="10">
        <v>-0.14599999999999999</v>
      </c>
      <c r="D1074" s="9" t="s">
        <v>1709</v>
      </c>
      <c r="E1074" s="11" t="s">
        <v>1710</v>
      </c>
      <c r="F1074" s="12" t="s">
        <v>1710</v>
      </c>
      <c r="G1074" s="9" t="s">
        <v>1709</v>
      </c>
    </row>
    <row r="1075" spans="1:7">
      <c r="A1075" s="9" t="s">
        <v>1711</v>
      </c>
      <c r="B1075" s="13">
        <v>0.2</v>
      </c>
      <c r="C1075" s="10">
        <v>-0.14599999999999999</v>
      </c>
      <c r="D1075" s="9" t="s">
        <v>1709</v>
      </c>
      <c r="E1075" s="11" t="s">
        <v>1710</v>
      </c>
      <c r="F1075" s="12" t="s">
        <v>1710</v>
      </c>
      <c r="G1075" s="9" t="s">
        <v>1709</v>
      </c>
    </row>
    <row r="1076" spans="1:7">
      <c r="A1076" s="9" t="s">
        <v>1711</v>
      </c>
      <c r="B1076" s="13">
        <v>0.2</v>
      </c>
      <c r="C1076" s="10">
        <v>-0.14599999999999999</v>
      </c>
      <c r="D1076" s="9" t="s">
        <v>1709</v>
      </c>
      <c r="E1076" s="11" t="s">
        <v>1710</v>
      </c>
      <c r="F1076" s="12" t="s">
        <v>1710</v>
      </c>
      <c r="G1076" s="9" t="s">
        <v>1709</v>
      </c>
    </row>
    <row r="1077" spans="1:7">
      <c r="A1077" s="9" t="s">
        <v>1711</v>
      </c>
      <c r="B1077" s="13">
        <v>0.2</v>
      </c>
      <c r="C1077" s="10">
        <v>-0.14599999999999999</v>
      </c>
      <c r="D1077" s="9" t="s">
        <v>1709</v>
      </c>
      <c r="E1077" s="11" t="s">
        <v>1710</v>
      </c>
      <c r="F1077" s="12" t="s">
        <v>1710</v>
      </c>
      <c r="G1077" s="9" t="s">
        <v>1709</v>
      </c>
    </row>
    <row r="1078" spans="1:7">
      <c r="A1078" s="9" t="s">
        <v>1711</v>
      </c>
      <c r="B1078" s="13">
        <v>0.2</v>
      </c>
      <c r="C1078" s="10">
        <v>-0.14599999999999999</v>
      </c>
      <c r="D1078" s="9" t="s">
        <v>1709</v>
      </c>
      <c r="E1078" s="11" t="s">
        <v>1710</v>
      </c>
      <c r="F1078" s="12" t="s">
        <v>1710</v>
      </c>
      <c r="G1078" s="9" t="s">
        <v>1709</v>
      </c>
    </row>
    <row r="1079" spans="1:7">
      <c r="A1079" s="9" t="s">
        <v>1711</v>
      </c>
      <c r="B1079" s="13">
        <v>0.2</v>
      </c>
      <c r="C1079" s="10">
        <v>-0.14599999999999999</v>
      </c>
      <c r="D1079" s="9" t="s">
        <v>1709</v>
      </c>
      <c r="E1079" s="11" t="s">
        <v>1710</v>
      </c>
      <c r="F1079" s="12" t="s">
        <v>1710</v>
      </c>
      <c r="G1079" s="9" t="s">
        <v>1709</v>
      </c>
    </row>
    <row r="1080" spans="1:7">
      <c r="A1080" s="9" t="s">
        <v>1711</v>
      </c>
      <c r="B1080" s="13">
        <v>0.2</v>
      </c>
      <c r="C1080" s="10">
        <v>-0.14599999999999999</v>
      </c>
      <c r="D1080" s="9" t="s">
        <v>1709</v>
      </c>
      <c r="E1080" s="11" t="s">
        <v>1710</v>
      </c>
      <c r="F1080" s="12" t="s">
        <v>1710</v>
      </c>
      <c r="G1080" s="9" t="s">
        <v>1709</v>
      </c>
    </row>
    <row r="1081" spans="1:7">
      <c r="A1081" s="9" t="s">
        <v>1711</v>
      </c>
      <c r="B1081" s="13">
        <v>0.2</v>
      </c>
      <c r="C1081" s="10">
        <v>-0.14599999999999999</v>
      </c>
      <c r="D1081" s="9" t="s">
        <v>1709</v>
      </c>
      <c r="E1081" s="11" t="s">
        <v>1710</v>
      </c>
      <c r="F1081" s="12" t="s">
        <v>1710</v>
      </c>
      <c r="G1081" s="9" t="s">
        <v>1709</v>
      </c>
    </row>
    <row r="1082" spans="1:7">
      <c r="A1082" s="9" t="s">
        <v>1711</v>
      </c>
      <c r="B1082" s="13">
        <v>0.2</v>
      </c>
      <c r="C1082" s="10">
        <v>0.76400000000000001</v>
      </c>
      <c r="D1082" s="9" t="s">
        <v>1712</v>
      </c>
      <c r="E1082" s="11" t="s">
        <v>1736</v>
      </c>
      <c r="F1082" s="12" t="s">
        <v>1714</v>
      </c>
      <c r="G1082" s="9" t="s">
        <v>1709</v>
      </c>
    </row>
    <row r="1083" spans="1:7">
      <c r="A1083" s="9" t="s">
        <v>1711</v>
      </c>
      <c r="B1083" s="13">
        <v>0.2</v>
      </c>
      <c r="C1083" s="10">
        <v>1.5959999999999999</v>
      </c>
      <c r="D1083" s="9" t="s">
        <v>1712</v>
      </c>
      <c r="E1083" s="11" t="s">
        <v>1736</v>
      </c>
      <c r="F1083" s="12" t="s">
        <v>1714</v>
      </c>
      <c r="G1083" s="9" t="s">
        <v>1709</v>
      </c>
    </row>
    <row r="1084" spans="1:7">
      <c r="A1084" s="9" t="s">
        <v>1711</v>
      </c>
      <c r="B1084" s="9">
        <v>0.2</v>
      </c>
      <c r="C1084" s="10">
        <v>1.5959999999999999</v>
      </c>
      <c r="D1084" s="9" t="s">
        <v>1712</v>
      </c>
      <c r="E1084" s="11" t="s">
        <v>1736</v>
      </c>
      <c r="F1084" s="12" t="s">
        <v>1714</v>
      </c>
      <c r="G1084" s="9" t="s">
        <v>1709</v>
      </c>
    </row>
    <row r="1085" spans="1:7">
      <c r="A1085" s="9" t="s">
        <v>1711</v>
      </c>
      <c r="B1085" s="13">
        <v>0.2</v>
      </c>
      <c r="C1085" s="10">
        <v>-1.8000000000000002E-2</v>
      </c>
      <c r="D1085" s="9" t="s">
        <v>1709</v>
      </c>
      <c r="E1085" s="11" t="s">
        <v>1710</v>
      </c>
      <c r="F1085" s="12" t="s">
        <v>1710</v>
      </c>
      <c r="G1085" s="9" t="s">
        <v>1709</v>
      </c>
    </row>
    <row r="1086" spans="1:7">
      <c r="A1086" s="9" t="s">
        <v>1711</v>
      </c>
      <c r="B1086" s="13">
        <v>0.2</v>
      </c>
      <c r="C1086" s="10">
        <v>-1.8000000000000002E-2</v>
      </c>
      <c r="D1086" s="9" t="s">
        <v>1709</v>
      </c>
      <c r="E1086" s="11" t="s">
        <v>1710</v>
      </c>
      <c r="F1086" s="12" t="s">
        <v>1710</v>
      </c>
      <c r="G1086" s="9" t="s">
        <v>1709</v>
      </c>
    </row>
    <row r="1087" spans="1:7">
      <c r="A1087" s="9" t="s">
        <v>1711</v>
      </c>
      <c r="B1087" s="13">
        <v>0.2</v>
      </c>
      <c r="C1087" s="10">
        <v>0.59899999999999998</v>
      </c>
      <c r="D1087" s="9" t="s">
        <v>1712</v>
      </c>
      <c r="E1087" s="11" t="s">
        <v>1715</v>
      </c>
      <c r="F1087" s="12" t="s">
        <v>1714</v>
      </c>
      <c r="G1087" s="9" t="s">
        <v>1709</v>
      </c>
    </row>
    <row r="1088" spans="1:7">
      <c r="A1088" s="9" t="s">
        <v>1711</v>
      </c>
      <c r="B1088" s="13">
        <v>0.2</v>
      </c>
      <c r="C1088" s="10">
        <v>0.59899999999999998</v>
      </c>
      <c r="D1088" s="9" t="s">
        <v>1712</v>
      </c>
      <c r="E1088" s="11" t="s">
        <v>1715</v>
      </c>
      <c r="F1088" s="12" t="s">
        <v>1714</v>
      </c>
      <c r="G1088" s="9" t="s">
        <v>1709</v>
      </c>
    </row>
    <row r="1089" spans="1:7">
      <c r="A1089" s="9" t="s">
        <v>1711</v>
      </c>
      <c r="B1089" s="13">
        <v>0.2</v>
      </c>
      <c r="C1089" s="10">
        <v>0.59899999999999998</v>
      </c>
      <c r="D1089" s="9" t="s">
        <v>1712</v>
      </c>
      <c r="E1089" s="11" t="s">
        <v>1715</v>
      </c>
      <c r="F1089" s="12" t="s">
        <v>1714</v>
      </c>
      <c r="G1089" s="9" t="s">
        <v>1709</v>
      </c>
    </row>
    <row r="1090" spans="1:7">
      <c r="A1090" s="9" t="s">
        <v>1711</v>
      </c>
      <c r="B1090" s="13">
        <v>0.2</v>
      </c>
      <c r="C1090" s="10">
        <v>-0.184</v>
      </c>
      <c r="D1090" s="9" t="s">
        <v>1709</v>
      </c>
      <c r="E1090" s="11" t="s">
        <v>1710</v>
      </c>
      <c r="F1090" s="12" t="s">
        <v>1710</v>
      </c>
      <c r="G1090" s="9" t="s">
        <v>1709</v>
      </c>
    </row>
    <row r="1091" spans="1:7">
      <c r="A1091" s="9" t="s">
        <v>1711</v>
      </c>
      <c r="B1091" s="13">
        <v>0.2</v>
      </c>
      <c r="C1091" s="10">
        <v>0.29099999999999998</v>
      </c>
      <c r="D1091" s="9" t="s">
        <v>1712</v>
      </c>
      <c r="E1091" s="11" t="s">
        <v>1736</v>
      </c>
      <c r="F1091" s="12" t="s">
        <v>1714</v>
      </c>
      <c r="G1091" s="9" t="s">
        <v>1709</v>
      </c>
    </row>
    <row r="1092" spans="1:7">
      <c r="A1092" s="9" t="s">
        <v>1711</v>
      </c>
      <c r="B1092" s="13">
        <v>0.2</v>
      </c>
      <c r="C1092" s="10">
        <v>0.47799999999999998</v>
      </c>
      <c r="D1092" s="9" t="s">
        <v>1712</v>
      </c>
      <c r="E1092" s="11" t="s">
        <v>1715</v>
      </c>
      <c r="F1092" s="12" t="s">
        <v>1714</v>
      </c>
      <c r="G1092" s="9" t="s">
        <v>1709</v>
      </c>
    </row>
    <row r="1093" spans="1:7">
      <c r="A1093" s="9" t="s">
        <v>1711</v>
      </c>
      <c r="B1093" s="9">
        <v>0.2</v>
      </c>
      <c r="C1093" s="10">
        <v>0.47799999999999998</v>
      </c>
      <c r="D1093" s="9" t="s">
        <v>1712</v>
      </c>
      <c r="E1093" s="11" t="s">
        <v>1715</v>
      </c>
      <c r="F1093" s="12" t="s">
        <v>1714</v>
      </c>
      <c r="G1093" s="9" t="s">
        <v>1709</v>
      </c>
    </row>
    <row r="1094" spans="1:7">
      <c r="A1094" s="9" t="s">
        <v>1711</v>
      </c>
      <c r="B1094" s="9">
        <v>0.2</v>
      </c>
      <c r="C1094" s="10">
        <v>0.47799999999999998</v>
      </c>
      <c r="D1094" s="9" t="s">
        <v>1712</v>
      </c>
      <c r="E1094" s="11" t="s">
        <v>1715</v>
      </c>
      <c r="F1094" s="12" t="s">
        <v>1714</v>
      </c>
      <c r="G1094" s="9" t="s">
        <v>1709</v>
      </c>
    </row>
    <row r="1095" spans="1:7">
      <c r="A1095" s="9" t="s">
        <v>1711</v>
      </c>
      <c r="B1095" s="9">
        <v>0.2</v>
      </c>
      <c r="C1095" s="10">
        <v>0.63600000000000001</v>
      </c>
      <c r="D1095" s="9" t="s">
        <v>1712</v>
      </c>
      <c r="E1095" s="11" t="s">
        <v>1715</v>
      </c>
      <c r="F1095" s="12" t="s">
        <v>1714</v>
      </c>
      <c r="G1095" s="9" t="s">
        <v>1709</v>
      </c>
    </row>
    <row r="1096" spans="1:7">
      <c r="A1096" s="9" t="s">
        <v>1711</v>
      </c>
      <c r="B1096" s="9">
        <v>0.2</v>
      </c>
      <c r="C1096" s="10">
        <v>5.2999999999999999E-2</v>
      </c>
      <c r="D1096" s="9" t="s">
        <v>1712</v>
      </c>
      <c r="E1096" s="11" t="s">
        <v>1736</v>
      </c>
      <c r="F1096" s="12" t="s">
        <v>1714</v>
      </c>
      <c r="G1096" s="9" t="s">
        <v>1709</v>
      </c>
    </row>
    <row r="1097" spans="1:7">
      <c r="A1097" s="9" t="s">
        <v>1711</v>
      </c>
      <c r="B1097" s="9">
        <v>0.2</v>
      </c>
      <c r="C1097" s="10">
        <v>-4.8000000000000001E-2</v>
      </c>
      <c r="D1097" s="9" t="s">
        <v>1709</v>
      </c>
      <c r="E1097" s="11" t="s">
        <v>1710</v>
      </c>
      <c r="F1097" s="12" t="s">
        <v>1710</v>
      </c>
      <c r="G1097" s="9" t="s">
        <v>1709</v>
      </c>
    </row>
    <row r="1098" spans="1:7">
      <c r="A1098" s="9" t="s">
        <v>1711</v>
      </c>
      <c r="B1098" s="13">
        <v>0.2</v>
      </c>
      <c r="C1098" s="10">
        <v>-4.8000000000000001E-2</v>
      </c>
      <c r="D1098" s="9" t="s">
        <v>1709</v>
      </c>
      <c r="E1098" s="11" t="s">
        <v>1710</v>
      </c>
      <c r="F1098" s="12" t="s">
        <v>1710</v>
      </c>
      <c r="G1098" s="9" t="s">
        <v>1709</v>
      </c>
    </row>
    <row r="1099" spans="1:7">
      <c r="A1099" s="9" t="s">
        <v>1711</v>
      </c>
      <c r="B1099" s="9">
        <v>0.2</v>
      </c>
      <c r="C1099" s="10">
        <v>0.20100000000000001</v>
      </c>
      <c r="D1099" s="9" t="s">
        <v>1712</v>
      </c>
      <c r="E1099" s="11" t="s">
        <v>1736</v>
      </c>
      <c r="F1099" s="12" t="s">
        <v>1714</v>
      </c>
      <c r="G1099" s="9" t="s">
        <v>1709</v>
      </c>
    </row>
    <row r="1100" spans="1:7">
      <c r="A1100" s="9" t="s">
        <v>1711</v>
      </c>
      <c r="B1100" s="13">
        <v>0.2</v>
      </c>
      <c r="C1100" s="10">
        <v>0.59899999999999998</v>
      </c>
      <c r="D1100" s="9" t="s">
        <v>1712</v>
      </c>
      <c r="E1100" s="11" t="s">
        <v>1737</v>
      </c>
      <c r="F1100" s="12" t="s">
        <v>1714</v>
      </c>
      <c r="G1100" s="9" t="s">
        <v>1709</v>
      </c>
    </row>
    <row r="1101" spans="1:7">
      <c r="A1101" s="9" t="s">
        <v>1711</v>
      </c>
      <c r="B1101" s="13">
        <v>0.2</v>
      </c>
      <c r="C1101" s="10">
        <v>-0.188</v>
      </c>
      <c r="D1101" s="9" t="s">
        <v>1709</v>
      </c>
      <c r="E1101" s="11" t="s">
        <v>1710</v>
      </c>
      <c r="F1101" s="12" t="s">
        <v>1710</v>
      </c>
      <c r="G1101" s="9" t="s">
        <v>1709</v>
      </c>
    </row>
    <row r="1102" spans="1:7">
      <c r="A1102" s="9" t="s">
        <v>1711</v>
      </c>
      <c r="B1102" s="13">
        <v>0.2</v>
      </c>
      <c r="C1102" s="10">
        <v>-0.188</v>
      </c>
      <c r="D1102" s="9" t="s">
        <v>1709</v>
      </c>
      <c r="E1102" s="11" t="s">
        <v>1710</v>
      </c>
      <c r="F1102" s="12" t="s">
        <v>1710</v>
      </c>
      <c r="G1102" s="9" t="s">
        <v>1709</v>
      </c>
    </row>
    <row r="1103" spans="1:7">
      <c r="A1103" s="9" t="s">
        <v>1711</v>
      </c>
      <c r="B1103" s="13">
        <v>0.2</v>
      </c>
      <c r="C1103" s="10">
        <v>0.64100000000000001</v>
      </c>
      <c r="D1103" s="9" t="s">
        <v>1712</v>
      </c>
      <c r="E1103" s="11" t="s">
        <v>1736</v>
      </c>
      <c r="F1103" s="12" t="s">
        <v>1714</v>
      </c>
      <c r="G1103" s="9" t="s">
        <v>1709</v>
      </c>
    </row>
    <row r="1104" spans="1:7">
      <c r="A1104" s="9" t="s">
        <v>1711</v>
      </c>
      <c r="B1104" s="13">
        <v>0.2</v>
      </c>
      <c r="C1104" s="10">
        <v>7.2999999999999995E-2</v>
      </c>
      <c r="D1104" s="9" t="s">
        <v>1712</v>
      </c>
      <c r="E1104" s="11" t="s">
        <v>1736</v>
      </c>
      <c r="F1104" s="12" t="s">
        <v>1714</v>
      </c>
      <c r="G1104" s="9" t="s">
        <v>1709</v>
      </c>
    </row>
    <row r="1105" spans="1:7">
      <c r="A1105" s="9" t="s">
        <v>1711</v>
      </c>
      <c r="B1105" s="13">
        <v>0.2</v>
      </c>
      <c r="C1105" s="10">
        <v>5.2999999999999999E-2</v>
      </c>
      <c r="D1105" s="9" t="s">
        <v>1712</v>
      </c>
      <c r="E1105" s="11" t="s">
        <v>1736</v>
      </c>
      <c r="F1105" s="12" t="s">
        <v>1714</v>
      </c>
      <c r="G1105" s="9" t="s">
        <v>1709</v>
      </c>
    </row>
    <row r="1106" spans="1:7">
      <c r="A1106" s="9" t="s">
        <v>1711</v>
      </c>
      <c r="B1106" s="13">
        <v>0.2</v>
      </c>
      <c r="C1106" s="10">
        <v>5.2999999999999999E-2</v>
      </c>
      <c r="D1106" s="9" t="s">
        <v>1712</v>
      </c>
      <c r="E1106" s="11" t="s">
        <v>1736</v>
      </c>
      <c r="F1106" s="12" t="s">
        <v>1714</v>
      </c>
      <c r="G1106" s="9" t="s">
        <v>1709</v>
      </c>
    </row>
    <row r="1107" spans="1:7">
      <c r="A1107" s="9" t="s">
        <v>1711</v>
      </c>
      <c r="B1107" s="13">
        <v>0.2</v>
      </c>
      <c r="C1107" s="10">
        <v>-0.11</v>
      </c>
      <c r="D1107" s="9" t="s">
        <v>1709</v>
      </c>
      <c r="E1107" s="11" t="s">
        <v>1710</v>
      </c>
      <c r="F1107" s="12" t="s">
        <v>1710</v>
      </c>
      <c r="G1107" s="9" t="s">
        <v>1709</v>
      </c>
    </row>
    <row r="1108" spans="1:7">
      <c r="A1108" s="9" t="s">
        <v>1711</v>
      </c>
      <c r="B1108" s="13">
        <v>0.2</v>
      </c>
      <c r="C1108" s="10">
        <v>0.22900000000000001</v>
      </c>
      <c r="D1108" s="9" t="s">
        <v>1712</v>
      </c>
      <c r="E1108" s="11" t="s">
        <v>1715</v>
      </c>
      <c r="F1108" s="12" t="s">
        <v>1714</v>
      </c>
      <c r="G1108" s="9" t="s">
        <v>1709</v>
      </c>
    </row>
    <row r="1109" spans="1:7">
      <c r="A1109" s="9" t="s">
        <v>1711</v>
      </c>
      <c r="B1109" s="13">
        <v>0.2</v>
      </c>
      <c r="C1109" s="10">
        <v>-8.8999999999999996E-2</v>
      </c>
      <c r="D1109" s="9" t="s">
        <v>1709</v>
      </c>
      <c r="E1109" s="11" t="s">
        <v>1710</v>
      </c>
      <c r="F1109" s="12" t="s">
        <v>1710</v>
      </c>
      <c r="G1109" s="9" t="s">
        <v>1709</v>
      </c>
    </row>
    <row r="1110" spans="1:7">
      <c r="A1110" s="9" t="s">
        <v>1711</v>
      </c>
      <c r="B1110" s="13">
        <v>0.2</v>
      </c>
      <c r="C1110" s="10">
        <v>-8.8999999999999996E-2</v>
      </c>
      <c r="D1110" s="9" t="s">
        <v>1709</v>
      </c>
      <c r="E1110" s="11" t="s">
        <v>1710</v>
      </c>
      <c r="F1110" s="12" t="s">
        <v>1710</v>
      </c>
      <c r="G1110" s="9" t="s">
        <v>1709</v>
      </c>
    </row>
    <row r="1111" spans="1:7">
      <c r="A1111" s="9" t="s">
        <v>1711</v>
      </c>
      <c r="B1111" s="13">
        <v>0.2</v>
      </c>
      <c r="C1111" s="10">
        <v>1.0439999999999998</v>
      </c>
      <c r="D1111" s="9" t="s">
        <v>1712</v>
      </c>
      <c r="E1111" s="11" t="s">
        <v>1715</v>
      </c>
      <c r="F1111" s="12" t="s">
        <v>1714</v>
      </c>
      <c r="G1111" s="9" t="s">
        <v>1709</v>
      </c>
    </row>
    <row r="1112" spans="1:7">
      <c r="A1112" s="9" t="s">
        <v>1711</v>
      </c>
      <c r="B1112" s="9">
        <v>0.2</v>
      </c>
      <c r="C1112" s="10">
        <v>0.254</v>
      </c>
      <c r="D1112" s="9" t="s">
        <v>1712</v>
      </c>
      <c r="E1112" s="11" t="s">
        <v>1715</v>
      </c>
      <c r="F1112" s="12" t="s">
        <v>1714</v>
      </c>
      <c r="G1112" s="9" t="s">
        <v>1709</v>
      </c>
    </row>
    <row r="1113" spans="1:7">
      <c r="A1113" s="9" t="s">
        <v>1711</v>
      </c>
      <c r="B1113" s="9">
        <v>0.2</v>
      </c>
      <c r="C1113" s="10">
        <v>0.90900000000000003</v>
      </c>
      <c r="D1113" s="9" t="s">
        <v>1712</v>
      </c>
      <c r="E1113" s="11" t="s">
        <v>1715</v>
      </c>
      <c r="F1113" s="12" t="s">
        <v>1714</v>
      </c>
      <c r="G1113" s="9" t="s">
        <v>1709</v>
      </c>
    </row>
    <row r="1114" spans="1:7">
      <c r="A1114" s="9" t="s">
        <v>1711</v>
      </c>
      <c r="B1114" s="9">
        <v>0.2</v>
      </c>
      <c r="C1114" s="10">
        <v>1.8599999999999999</v>
      </c>
      <c r="D1114" s="9" t="s">
        <v>1712</v>
      </c>
      <c r="E1114" s="11" t="s">
        <v>1715</v>
      </c>
      <c r="F1114" s="12" t="s">
        <v>1714</v>
      </c>
      <c r="G1114" s="9" t="s">
        <v>1709</v>
      </c>
    </row>
    <row r="1115" spans="1:7">
      <c r="A1115" s="9" t="s">
        <v>1711</v>
      </c>
      <c r="B1115" s="9">
        <v>0.2</v>
      </c>
      <c r="C1115" s="10">
        <v>1.8599999999999999</v>
      </c>
      <c r="D1115" s="9" t="s">
        <v>1712</v>
      </c>
      <c r="E1115" s="11" t="s">
        <v>1715</v>
      </c>
      <c r="F1115" s="12" t="s">
        <v>1714</v>
      </c>
      <c r="G1115" s="9" t="s">
        <v>1709</v>
      </c>
    </row>
    <row r="1116" spans="1:7">
      <c r="A1116" s="9" t="s">
        <v>1711</v>
      </c>
      <c r="B1116" s="9">
        <v>0.2</v>
      </c>
      <c r="C1116" s="10">
        <v>1.8599999999999999</v>
      </c>
      <c r="D1116" s="9" t="s">
        <v>1712</v>
      </c>
      <c r="E1116" s="11" t="s">
        <v>1715</v>
      </c>
      <c r="F1116" s="12" t="s">
        <v>1714</v>
      </c>
      <c r="G1116" s="9" t="s">
        <v>1709</v>
      </c>
    </row>
    <row r="1117" spans="1:7">
      <c r="A1117" s="9" t="s">
        <v>1711</v>
      </c>
      <c r="B1117" s="9">
        <v>0.2</v>
      </c>
      <c r="C1117" s="10">
        <v>1.0219999999999998</v>
      </c>
      <c r="D1117" s="9" t="s">
        <v>1712</v>
      </c>
      <c r="E1117" s="11" t="s">
        <v>1715</v>
      </c>
      <c r="F1117" s="12" t="s">
        <v>1714</v>
      </c>
      <c r="G1117" s="9" t="s">
        <v>1709</v>
      </c>
    </row>
    <row r="1118" spans="1:7">
      <c r="A1118" s="9" t="s">
        <v>1711</v>
      </c>
      <c r="B1118" s="9">
        <v>0.2</v>
      </c>
      <c r="C1118" s="10">
        <v>1.0219999999999998</v>
      </c>
      <c r="D1118" s="9" t="s">
        <v>1712</v>
      </c>
      <c r="E1118" s="11" t="s">
        <v>1715</v>
      </c>
      <c r="F1118" s="12" t="s">
        <v>1714</v>
      </c>
      <c r="G1118" s="9" t="s">
        <v>1709</v>
      </c>
    </row>
    <row r="1119" spans="1:7">
      <c r="A1119" s="9" t="s">
        <v>1711</v>
      </c>
      <c r="B1119" s="9">
        <v>0.2</v>
      </c>
      <c r="C1119" s="10">
        <v>1.0219999999999998</v>
      </c>
      <c r="D1119" s="9" t="s">
        <v>1712</v>
      </c>
      <c r="E1119" s="11" t="s">
        <v>1715</v>
      </c>
      <c r="F1119" s="12" t="s">
        <v>1714</v>
      </c>
      <c r="G1119" s="9" t="s">
        <v>1709</v>
      </c>
    </row>
    <row r="1120" spans="1:7">
      <c r="A1120" s="9" t="s">
        <v>1711</v>
      </c>
      <c r="B1120" s="9">
        <v>0.2</v>
      </c>
      <c r="C1120" s="10">
        <v>1.0219999999999998</v>
      </c>
      <c r="D1120" s="9" t="s">
        <v>1712</v>
      </c>
      <c r="E1120" s="11" t="s">
        <v>1715</v>
      </c>
      <c r="F1120" s="12" t="s">
        <v>1714</v>
      </c>
      <c r="G1120" s="9" t="s">
        <v>1709</v>
      </c>
    </row>
    <row r="1121" spans="1:7">
      <c r="A1121" s="9" t="s">
        <v>1711</v>
      </c>
      <c r="B1121" s="9">
        <v>0.2</v>
      </c>
      <c r="C1121" s="10">
        <v>1.0219999999999998</v>
      </c>
      <c r="D1121" s="9" t="s">
        <v>1712</v>
      </c>
      <c r="E1121" s="11" t="s">
        <v>1715</v>
      </c>
      <c r="F1121" s="12" t="s">
        <v>1714</v>
      </c>
      <c r="G1121" s="9" t="s">
        <v>1709</v>
      </c>
    </row>
    <row r="1122" spans="1:7">
      <c r="A1122" s="9" t="s">
        <v>1711</v>
      </c>
      <c r="B1122" s="9">
        <v>0.2</v>
      </c>
      <c r="C1122" s="10">
        <v>1.0219999999999998</v>
      </c>
      <c r="D1122" s="9" t="s">
        <v>1712</v>
      </c>
      <c r="E1122" s="11" t="s">
        <v>1715</v>
      </c>
      <c r="F1122" s="12" t="s">
        <v>1714</v>
      </c>
      <c r="G1122" s="9" t="s">
        <v>1709</v>
      </c>
    </row>
    <row r="1123" spans="1:7">
      <c r="A1123" s="9" t="s">
        <v>1711</v>
      </c>
      <c r="B1123" s="9">
        <v>0.2</v>
      </c>
      <c r="C1123" s="10">
        <v>1.0219999999999998</v>
      </c>
      <c r="D1123" s="9" t="s">
        <v>1712</v>
      </c>
      <c r="E1123" s="11" t="s">
        <v>1715</v>
      </c>
      <c r="F1123" s="12" t="s">
        <v>1714</v>
      </c>
      <c r="G1123" s="9" t="s">
        <v>1709</v>
      </c>
    </row>
    <row r="1124" spans="1:7">
      <c r="A1124" s="9" t="s">
        <v>1711</v>
      </c>
      <c r="B1124" s="9">
        <v>0.2</v>
      </c>
      <c r="C1124" s="10">
        <v>1.0219999999999998</v>
      </c>
      <c r="D1124" s="9" t="s">
        <v>1712</v>
      </c>
      <c r="E1124" s="11" t="s">
        <v>1715</v>
      </c>
      <c r="F1124" s="12" t="s">
        <v>1714</v>
      </c>
      <c r="G1124" s="9" t="s">
        <v>1709</v>
      </c>
    </row>
    <row r="1125" spans="1:7">
      <c r="A1125" s="9" t="s">
        <v>1711</v>
      </c>
      <c r="B1125" s="9">
        <v>0.2</v>
      </c>
      <c r="C1125" s="10">
        <v>1.0219999999999998</v>
      </c>
      <c r="D1125" s="9" t="s">
        <v>1712</v>
      </c>
      <c r="E1125" s="11" t="s">
        <v>1715</v>
      </c>
      <c r="F1125" s="12" t="s">
        <v>1714</v>
      </c>
      <c r="G1125" s="9" t="s">
        <v>1709</v>
      </c>
    </row>
    <row r="1126" spans="1:7">
      <c r="A1126" s="9" t="s">
        <v>1711</v>
      </c>
      <c r="B1126" s="9">
        <v>0.2</v>
      </c>
      <c r="C1126" s="10">
        <v>1.0219999999999998</v>
      </c>
      <c r="D1126" s="9" t="s">
        <v>1712</v>
      </c>
      <c r="E1126" s="11" t="s">
        <v>1715</v>
      </c>
      <c r="F1126" s="12" t="s">
        <v>1714</v>
      </c>
      <c r="G1126" s="9" t="s">
        <v>1709</v>
      </c>
    </row>
    <row r="1127" spans="1:7">
      <c r="A1127" s="9" t="s">
        <v>1711</v>
      </c>
      <c r="B1127" s="9">
        <v>0.2</v>
      </c>
      <c r="C1127" s="10">
        <v>0.13</v>
      </c>
      <c r="D1127" s="9" t="s">
        <v>1712</v>
      </c>
      <c r="E1127" s="11" t="s">
        <v>1715</v>
      </c>
      <c r="F1127" s="12" t="s">
        <v>1714</v>
      </c>
      <c r="G1127" s="9" t="s">
        <v>1709</v>
      </c>
    </row>
    <row r="1128" spans="1:7">
      <c r="A1128" s="9" t="s">
        <v>1711</v>
      </c>
      <c r="B1128" s="9">
        <v>0.2</v>
      </c>
      <c r="C1128" s="10">
        <v>0.14000000000000001</v>
      </c>
      <c r="D1128" s="9" t="s">
        <v>1712</v>
      </c>
      <c r="E1128" s="11" t="s">
        <v>1715</v>
      </c>
      <c r="F1128" s="12" t="s">
        <v>1714</v>
      </c>
      <c r="G1128" s="9" t="s">
        <v>1709</v>
      </c>
    </row>
    <row r="1129" spans="1:7">
      <c r="A1129" s="9" t="s">
        <v>1711</v>
      </c>
      <c r="B1129" s="9">
        <v>0.2</v>
      </c>
      <c r="C1129" s="10">
        <v>0.91700000000000004</v>
      </c>
      <c r="D1129" s="9" t="s">
        <v>1712</v>
      </c>
      <c r="E1129" s="11" t="s">
        <v>1715</v>
      </c>
      <c r="F1129" s="12" t="s">
        <v>1714</v>
      </c>
      <c r="G1129" s="9" t="s">
        <v>1709</v>
      </c>
    </row>
    <row r="1130" spans="1:7">
      <c r="A1130" s="9" t="s">
        <v>1711</v>
      </c>
      <c r="B1130" s="9">
        <v>0.2</v>
      </c>
      <c r="C1130" s="10">
        <v>0.91700000000000004</v>
      </c>
      <c r="D1130" s="9" t="s">
        <v>1712</v>
      </c>
      <c r="E1130" s="11" t="s">
        <v>1715</v>
      </c>
      <c r="F1130" s="12" t="s">
        <v>1714</v>
      </c>
      <c r="G1130" s="9" t="s">
        <v>1709</v>
      </c>
    </row>
    <row r="1131" spans="1:7">
      <c r="A1131" s="9" t="s">
        <v>1711</v>
      </c>
      <c r="B1131" s="9">
        <v>0.2</v>
      </c>
      <c r="C1131" s="10">
        <v>0.91700000000000004</v>
      </c>
      <c r="D1131" s="9" t="s">
        <v>1712</v>
      </c>
      <c r="E1131" s="11" t="s">
        <v>1715</v>
      </c>
      <c r="F1131" s="12" t="s">
        <v>1714</v>
      </c>
      <c r="G1131" s="9" t="s">
        <v>1709</v>
      </c>
    </row>
    <row r="1132" spans="1:7">
      <c r="A1132" s="9" t="s">
        <v>1711</v>
      </c>
      <c r="B1132" s="9">
        <v>0.2</v>
      </c>
      <c r="C1132" s="10">
        <v>0.91700000000000004</v>
      </c>
      <c r="D1132" s="9" t="s">
        <v>1712</v>
      </c>
      <c r="E1132" s="11" t="s">
        <v>1715</v>
      </c>
      <c r="F1132" s="12" t="s">
        <v>1714</v>
      </c>
      <c r="G1132" s="9" t="s">
        <v>1709</v>
      </c>
    </row>
    <row r="1133" spans="1:7">
      <c r="A1133" s="9" t="s">
        <v>1711</v>
      </c>
      <c r="B1133" s="9">
        <v>0.2</v>
      </c>
      <c r="C1133" s="10">
        <v>0.91700000000000004</v>
      </c>
      <c r="D1133" s="9" t="s">
        <v>1712</v>
      </c>
      <c r="E1133" s="11" t="s">
        <v>1715</v>
      </c>
      <c r="F1133" s="12" t="s">
        <v>1714</v>
      </c>
      <c r="G1133" s="9" t="s">
        <v>1709</v>
      </c>
    </row>
    <row r="1134" spans="1:7">
      <c r="A1134" s="9" t="s">
        <v>1711</v>
      </c>
      <c r="B1134" s="9">
        <v>0.2</v>
      </c>
      <c r="C1134" s="10">
        <v>0.91700000000000004</v>
      </c>
      <c r="D1134" s="9" t="s">
        <v>1712</v>
      </c>
      <c r="E1134" s="11" t="s">
        <v>1715</v>
      </c>
      <c r="F1134" s="12" t="s">
        <v>1714</v>
      </c>
      <c r="G1134" s="9" t="s">
        <v>1709</v>
      </c>
    </row>
    <row r="1135" spans="1:7">
      <c r="A1135" s="9" t="s">
        <v>1711</v>
      </c>
      <c r="B1135" s="9">
        <v>0.2</v>
      </c>
      <c r="C1135" s="10">
        <v>0.91700000000000004</v>
      </c>
      <c r="D1135" s="9" t="s">
        <v>1712</v>
      </c>
      <c r="E1135" s="11" t="s">
        <v>1715</v>
      </c>
      <c r="F1135" s="12" t="s">
        <v>1714</v>
      </c>
      <c r="G1135" s="9" t="s">
        <v>1709</v>
      </c>
    </row>
    <row r="1136" spans="1:7">
      <c r="A1136" s="9" t="s">
        <v>1711</v>
      </c>
      <c r="B1136" s="9">
        <v>0.2</v>
      </c>
      <c r="C1136" s="10">
        <v>0.91700000000000004</v>
      </c>
      <c r="D1136" s="9" t="s">
        <v>1712</v>
      </c>
      <c r="E1136" s="11" t="s">
        <v>1715</v>
      </c>
      <c r="F1136" s="12" t="s">
        <v>1714</v>
      </c>
      <c r="G1136" s="9" t="s">
        <v>1709</v>
      </c>
    </row>
    <row r="1137" spans="1:7">
      <c r="A1137" s="9" t="s">
        <v>1711</v>
      </c>
      <c r="B1137" s="9">
        <v>0.2</v>
      </c>
      <c r="C1137" s="10">
        <v>0.91700000000000004</v>
      </c>
      <c r="D1137" s="9" t="s">
        <v>1712</v>
      </c>
      <c r="E1137" s="11" t="s">
        <v>1715</v>
      </c>
      <c r="F1137" s="12" t="s">
        <v>1714</v>
      </c>
      <c r="G1137" s="9" t="s">
        <v>1709</v>
      </c>
    </row>
    <row r="1138" spans="1:7">
      <c r="A1138" s="9" t="s">
        <v>1711</v>
      </c>
      <c r="B1138" s="9">
        <v>0.2</v>
      </c>
      <c r="C1138" s="10">
        <v>0.91700000000000004</v>
      </c>
      <c r="D1138" s="9" t="s">
        <v>1712</v>
      </c>
      <c r="E1138" s="11" t="s">
        <v>1715</v>
      </c>
      <c r="F1138" s="12" t="s">
        <v>1714</v>
      </c>
      <c r="G1138" s="9" t="s">
        <v>1709</v>
      </c>
    </row>
    <row r="1139" spans="1:7">
      <c r="A1139" s="9" t="s">
        <v>1711</v>
      </c>
      <c r="B1139" s="9">
        <v>0.2</v>
      </c>
      <c r="C1139" s="10">
        <v>0.91700000000000004</v>
      </c>
      <c r="D1139" s="9" t="s">
        <v>1712</v>
      </c>
      <c r="E1139" s="11" t="s">
        <v>1715</v>
      </c>
      <c r="F1139" s="12" t="s">
        <v>1714</v>
      </c>
      <c r="G1139" s="9" t="s">
        <v>1709</v>
      </c>
    </row>
    <row r="1140" spans="1:7">
      <c r="A1140" s="9" t="s">
        <v>1711</v>
      </c>
      <c r="B1140" s="9">
        <v>0.2</v>
      </c>
      <c r="C1140" s="10">
        <v>0.91700000000000004</v>
      </c>
      <c r="D1140" s="9" t="s">
        <v>1712</v>
      </c>
      <c r="E1140" s="11" t="s">
        <v>1715</v>
      </c>
      <c r="F1140" s="12" t="s">
        <v>1714</v>
      </c>
      <c r="G1140" s="9" t="s">
        <v>1709</v>
      </c>
    </row>
    <row r="1141" spans="1:7">
      <c r="A1141" s="9" t="s">
        <v>1711</v>
      </c>
      <c r="B1141" s="9">
        <v>0.2</v>
      </c>
      <c r="C1141" s="10">
        <v>0.91700000000000004</v>
      </c>
      <c r="D1141" s="9" t="s">
        <v>1712</v>
      </c>
      <c r="E1141" s="11" t="s">
        <v>1715</v>
      </c>
      <c r="F1141" s="12" t="s">
        <v>1714</v>
      </c>
      <c r="G1141" s="9" t="s">
        <v>1709</v>
      </c>
    </row>
    <row r="1142" spans="1:7">
      <c r="A1142" s="9" t="s">
        <v>1711</v>
      </c>
      <c r="B1142" s="9">
        <v>0.2</v>
      </c>
      <c r="C1142" s="10">
        <v>0.91700000000000004</v>
      </c>
      <c r="D1142" s="9" t="s">
        <v>1712</v>
      </c>
      <c r="E1142" s="11" t="s">
        <v>1715</v>
      </c>
      <c r="F1142" s="12" t="s">
        <v>1714</v>
      </c>
      <c r="G1142" s="9" t="s">
        <v>1709</v>
      </c>
    </row>
    <row r="1143" spans="1:7">
      <c r="A1143" s="9" t="s">
        <v>1711</v>
      </c>
      <c r="B1143" s="9">
        <v>0.2</v>
      </c>
      <c r="C1143" s="10">
        <v>0.24399999999999999</v>
      </c>
      <c r="D1143" s="9" t="s">
        <v>1712</v>
      </c>
      <c r="E1143" s="11" t="s">
        <v>1715</v>
      </c>
      <c r="F1143" s="12" t="s">
        <v>1714</v>
      </c>
      <c r="G1143" s="9" t="s">
        <v>1709</v>
      </c>
    </row>
    <row r="1144" spans="1:7">
      <c r="A1144" s="9" t="s">
        <v>1711</v>
      </c>
      <c r="B1144" s="9">
        <v>0.2</v>
      </c>
      <c r="C1144" s="10">
        <v>0.64100000000000001</v>
      </c>
      <c r="D1144" s="9" t="s">
        <v>1712</v>
      </c>
      <c r="E1144" s="11" t="s">
        <v>1736</v>
      </c>
      <c r="F1144" s="12" t="s">
        <v>1714</v>
      </c>
      <c r="G1144" s="9" t="s">
        <v>1709</v>
      </c>
    </row>
    <row r="1145" spans="1:7">
      <c r="A1145" s="9" t="s">
        <v>1711</v>
      </c>
      <c r="B1145" s="9">
        <v>0.2</v>
      </c>
      <c r="C1145" s="10">
        <v>1.8000000000000002E-2</v>
      </c>
      <c r="D1145" s="9" t="s">
        <v>1712</v>
      </c>
      <c r="E1145" s="11" t="s">
        <v>1736</v>
      </c>
      <c r="F1145" s="12" t="s">
        <v>1714</v>
      </c>
      <c r="G1145" s="9" t="s">
        <v>1709</v>
      </c>
    </row>
    <row r="1146" spans="1:7">
      <c r="A1146" s="9" t="s">
        <v>1711</v>
      </c>
      <c r="B1146" s="9">
        <v>0.2</v>
      </c>
      <c r="C1146" s="10">
        <v>-0.18</v>
      </c>
      <c r="D1146" s="9" t="s">
        <v>1709</v>
      </c>
      <c r="E1146" s="11" t="s">
        <v>1710</v>
      </c>
      <c r="F1146" s="12" t="s">
        <v>1710</v>
      </c>
      <c r="G1146" s="9" t="s">
        <v>1709</v>
      </c>
    </row>
    <row r="1147" spans="1:7">
      <c r="A1147" s="9" t="s">
        <v>1711</v>
      </c>
      <c r="B1147" s="9">
        <v>0.2</v>
      </c>
      <c r="C1147" s="10">
        <v>-0.13200000000000001</v>
      </c>
      <c r="D1147" s="9" t="s">
        <v>1709</v>
      </c>
      <c r="E1147" s="11" t="s">
        <v>1710</v>
      </c>
      <c r="F1147" s="12" t="s">
        <v>1710</v>
      </c>
      <c r="G1147" s="9" t="s">
        <v>1709</v>
      </c>
    </row>
    <row r="1148" spans="1:7">
      <c r="A1148" s="9" t="s">
        <v>1711</v>
      </c>
      <c r="B1148" s="9">
        <v>0.2</v>
      </c>
      <c r="C1148" s="10">
        <v>0.22900000000000001</v>
      </c>
      <c r="D1148" s="9" t="s">
        <v>1712</v>
      </c>
      <c r="E1148" s="11" t="s">
        <v>1742</v>
      </c>
      <c r="F1148" s="12" t="s">
        <v>1714</v>
      </c>
      <c r="G1148" s="9" t="s">
        <v>1709</v>
      </c>
    </row>
    <row r="1149" spans="1:7">
      <c r="A1149" s="9" t="s">
        <v>1711</v>
      </c>
      <c r="B1149" s="9">
        <v>0.2</v>
      </c>
      <c r="C1149" s="10">
        <v>-4.8000000000000001E-2</v>
      </c>
      <c r="D1149" s="9" t="s">
        <v>1709</v>
      </c>
      <c r="E1149" s="11" t="s">
        <v>1710</v>
      </c>
      <c r="F1149" s="12" t="s">
        <v>1710</v>
      </c>
      <c r="G1149" s="9" t="s">
        <v>1709</v>
      </c>
    </row>
    <row r="1150" spans="1:7">
      <c r="A1150" s="9" t="s">
        <v>1711</v>
      </c>
      <c r="B1150" s="9">
        <v>0.2</v>
      </c>
      <c r="C1150" s="10">
        <v>0.61299999999999999</v>
      </c>
      <c r="D1150" s="9" t="s">
        <v>1712</v>
      </c>
      <c r="E1150" s="11" t="s">
        <v>1715</v>
      </c>
      <c r="F1150" s="12" t="s">
        <v>1714</v>
      </c>
      <c r="G1150" s="9" t="s">
        <v>1709</v>
      </c>
    </row>
    <row r="1151" spans="1:7">
      <c r="A1151" s="9" t="s">
        <v>1711</v>
      </c>
      <c r="B1151" s="9">
        <v>0.2</v>
      </c>
      <c r="C1151" s="10">
        <v>0.61299999999999999</v>
      </c>
      <c r="D1151" s="9" t="s">
        <v>1712</v>
      </c>
      <c r="E1151" s="11" t="s">
        <v>1715</v>
      </c>
      <c r="F1151" s="12" t="s">
        <v>1714</v>
      </c>
      <c r="G1151" s="9" t="s">
        <v>1709</v>
      </c>
    </row>
    <row r="1152" spans="1:7">
      <c r="A1152" s="9" t="s">
        <v>1711</v>
      </c>
      <c r="B1152" s="9">
        <v>0.2</v>
      </c>
      <c r="C1152" s="10">
        <v>0.61299999999999999</v>
      </c>
      <c r="D1152" s="9" t="s">
        <v>1712</v>
      </c>
      <c r="E1152" s="11" t="s">
        <v>1715</v>
      </c>
      <c r="F1152" s="12" t="s">
        <v>1714</v>
      </c>
      <c r="G1152" s="9" t="s">
        <v>1709</v>
      </c>
    </row>
    <row r="1153" spans="1:7">
      <c r="A1153" s="9" t="s">
        <v>1711</v>
      </c>
      <c r="B1153" s="9">
        <v>0.2</v>
      </c>
      <c r="C1153" s="10">
        <v>0.61299999999999999</v>
      </c>
      <c r="D1153" s="9" t="s">
        <v>1712</v>
      </c>
      <c r="E1153" s="11" t="s">
        <v>1715</v>
      </c>
      <c r="F1153" s="12" t="s">
        <v>1714</v>
      </c>
      <c r="G1153" s="9" t="s">
        <v>1709</v>
      </c>
    </row>
    <row r="1154" spans="1:7">
      <c r="A1154" s="9" t="s">
        <v>1711</v>
      </c>
      <c r="B1154" s="9">
        <v>0.2</v>
      </c>
      <c r="C1154" s="10">
        <v>0.61299999999999999</v>
      </c>
      <c r="D1154" s="9" t="s">
        <v>1712</v>
      </c>
      <c r="E1154" s="11" t="s">
        <v>1715</v>
      </c>
      <c r="F1154" s="12" t="s">
        <v>1714</v>
      </c>
      <c r="G1154" s="9" t="s">
        <v>1709</v>
      </c>
    </row>
    <row r="1155" spans="1:7">
      <c r="A1155" s="9" t="s">
        <v>1711</v>
      </c>
      <c r="B1155" s="9">
        <v>0.2</v>
      </c>
      <c r="C1155" s="10">
        <v>0.61299999999999999</v>
      </c>
      <c r="D1155" s="9" t="s">
        <v>1712</v>
      </c>
      <c r="E1155" s="11" t="s">
        <v>1715</v>
      </c>
      <c r="F1155" s="12" t="s">
        <v>1714</v>
      </c>
      <c r="G1155" s="9" t="s">
        <v>1709</v>
      </c>
    </row>
    <row r="1156" spans="1:7">
      <c r="A1156" s="9" t="s">
        <v>1711</v>
      </c>
      <c r="B1156" s="9">
        <v>0.2</v>
      </c>
      <c r="C1156" s="10">
        <v>0.61299999999999999</v>
      </c>
      <c r="D1156" s="9" t="s">
        <v>1712</v>
      </c>
      <c r="E1156" s="11" t="s">
        <v>1715</v>
      </c>
      <c r="F1156" s="12" t="s">
        <v>1714</v>
      </c>
      <c r="G1156" s="9" t="s">
        <v>1709</v>
      </c>
    </row>
    <row r="1157" spans="1:7">
      <c r="A1157" s="9" t="s">
        <v>1711</v>
      </c>
      <c r="B1157" s="9">
        <v>0.2</v>
      </c>
      <c r="C1157" s="10">
        <v>0.61299999999999999</v>
      </c>
      <c r="D1157" s="9" t="s">
        <v>1712</v>
      </c>
      <c r="E1157" s="11" t="s">
        <v>1715</v>
      </c>
      <c r="F1157" s="12" t="s">
        <v>1714</v>
      </c>
      <c r="G1157" s="9" t="s">
        <v>1709</v>
      </c>
    </row>
    <row r="1158" spans="1:7">
      <c r="A1158" s="9" t="s">
        <v>1711</v>
      </c>
      <c r="B1158" s="9">
        <v>0.2</v>
      </c>
      <c r="C1158" s="10">
        <v>0.61299999999999999</v>
      </c>
      <c r="D1158" s="9" t="s">
        <v>1712</v>
      </c>
      <c r="E1158" s="11" t="s">
        <v>1715</v>
      </c>
      <c r="F1158" s="12" t="s">
        <v>1714</v>
      </c>
      <c r="G1158" s="9" t="s">
        <v>1709</v>
      </c>
    </row>
    <row r="1159" spans="1:7">
      <c r="A1159" s="9" t="s">
        <v>1711</v>
      </c>
      <c r="B1159" s="9">
        <v>0.2</v>
      </c>
      <c r="C1159" s="10">
        <v>0.61299999999999999</v>
      </c>
      <c r="D1159" s="9" t="s">
        <v>1712</v>
      </c>
      <c r="E1159" s="11" t="s">
        <v>1715</v>
      </c>
      <c r="F1159" s="12" t="s">
        <v>1714</v>
      </c>
      <c r="G1159" s="9" t="s">
        <v>1709</v>
      </c>
    </row>
    <row r="1160" spans="1:7">
      <c r="A1160" s="9" t="s">
        <v>1711</v>
      </c>
      <c r="B1160" s="9">
        <v>0.2</v>
      </c>
      <c r="C1160" s="10">
        <v>7.2999999999999995E-2</v>
      </c>
      <c r="D1160" s="9" t="s">
        <v>1712</v>
      </c>
      <c r="E1160" s="11" t="s">
        <v>1715</v>
      </c>
      <c r="F1160" s="12" t="s">
        <v>1714</v>
      </c>
      <c r="G1160" s="9" t="s">
        <v>1709</v>
      </c>
    </row>
    <row r="1161" spans="1:7">
      <c r="A1161" s="9" t="s">
        <v>1711</v>
      </c>
      <c r="B1161" s="9">
        <v>0.2</v>
      </c>
      <c r="C1161" s="10">
        <v>0.11800000000000001</v>
      </c>
      <c r="D1161" s="9" t="s">
        <v>1712</v>
      </c>
      <c r="E1161" s="11" t="s">
        <v>1715</v>
      </c>
      <c r="F1161" s="12" t="s">
        <v>1714</v>
      </c>
      <c r="G1161" s="9" t="s">
        <v>1709</v>
      </c>
    </row>
    <row r="1162" spans="1:7">
      <c r="A1162" s="9" t="s">
        <v>1711</v>
      </c>
      <c r="B1162" s="13">
        <v>0.2</v>
      </c>
      <c r="C1162" s="10">
        <v>7.2999999999999995E-2</v>
      </c>
      <c r="D1162" s="9" t="s">
        <v>1712</v>
      </c>
      <c r="E1162" s="11" t="s">
        <v>1715</v>
      </c>
      <c r="F1162" s="12" t="s">
        <v>1714</v>
      </c>
      <c r="G1162" s="9" t="s">
        <v>1709</v>
      </c>
    </row>
    <row r="1163" spans="1:7">
      <c r="A1163" s="9" t="s">
        <v>1711</v>
      </c>
      <c r="B1163" s="13">
        <v>0.2</v>
      </c>
      <c r="C1163" s="10">
        <v>7.9000000000000001E-2</v>
      </c>
      <c r="D1163" s="9" t="s">
        <v>1712</v>
      </c>
      <c r="E1163" s="11" t="s">
        <v>1715</v>
      </c>
      <c r="F1163" s="12" t="s">
        <v>1714</v>
      </c>
      <c r="G1163" s="9" t="s">
        <v>1709</v>
      </c>
    </row>
    <row r="1164" spans="1:7">
      <c r="A1164" s="9" t="s">
        <v>1711</v>
      </c>
      <c r="B1164" s="9">
        <v>0.2</v>
      </c>
      <c r="C1164" s="10">
        <v>7.9000000000000001E-2</v>
      </c>
      <c r="D1164" s="9" t="s">
        <v>1712</v>
      </c>
      <c r="E1164" s="11" t="s">
        <v>1715</v>
      </c>
      <c r="F1164" s="12" t="s">
        <v>1714</v>
      </c>
      <c r="G1164" s="9" t="s">
        <v>1709</v>
      </c>
    </row>
    <row r="1165" spans="1:7">
      <c r="A1165" s="9" t="s">
        <v>1711</v>
      </c>
      <c r="B1165" s="13">
        <v>0.2</v>
      </c>
      <c r="C1165" s="10">
        <v>7.9000000000000001E-2</v>
      </c>
      <c r="D1165" s="9" t="s">
        <v>1712</v>
      </c>
      <c r="E1165" s="11" t="s">
        <v>1715</v>
      </c>
      <c r="F1165" s="12" t="s">
        <v>1714</v>
      </c>
      <c r="G1165" s="9" t="s">
        <v>1709</v>
      </c>
    </row>
    <row r="1166" spans="1:7">
      <c r="A1166" s="9" t="s">
        <v>1711</v>
      </c>
      <c r="B1166" s="9">
        <v>0.2</v>
      </c>
      <c r="C1166" s="10">
        <v>7.9000000000000001E-2</v>
      </c>
      <c r="D1166" s="9" t="s">
        <v>1712</v>
      </c>
      <c r="E1166" s="11" t="s">
        <v>1715</v>
      </c>
      <c r="F1166" s="12" t="s">
        <v>1714</v>
      </c>
      <c r="G1166" s="9" t="s">
        <v>1709</v>
      </c>
    </row>
    <row r="1167" spans="1:7">
      <c r="A1167" s="9" t="s">
        <v>1711</v>
      </c>
      <c r="B1167" s="13">
        <v>0.2</v>
      </c>
      <c r="C1167" s="10">
        <v>7.2999999999999995E-2</v>
      </c>
      <c r="D1167" s="9" t="s">
        <v>1712</v>
      </c>
      <c r="E1167" s="11" t="s">
        <v>1715</v>
      </c>
      <c r="F1167" s="12" t="s">
        <v>1714</v>
      </c>
      <c r="G1167" s="9" t="s">
        <v>1709</v>
      </c>
    </row>
    <row r="1168" spans="1:7">
      <c r="A1168" s="9" t="s">
        <v>1711</v>
      </c>
      <c r="B1168" s="13">
        <v>0.2</v>
      </c>
      <c r="C1168" s="10">
        <v>0.09</v>
      </c>
      <c r="D1168" s="9" t="s">
        <v>1712</v>
      </c>
      <c r="E1168" s="11" t="s">
        <v>1715</v>
      </c>
      <c r="F1168" s="12" t="s">
        <v>1714</v>
      </c>
      <c r="G1168" s="9" t="s">
        <v>1709</v>
      </c>
    </row>
    <row r="1169" spans="1:7">
      <c r="A1169" s="9" t="s">
        <v>1711</v>
      </c>
      <c r="B1169" s="13">
        <v>0.2</v>
      </c>
      <c r="C1169" s="10">
        <v>0.85199999999999998</v>
      </c>
      <c r="D1169" s="9" t="s">
        <v>1712</v>
      </c>
      <c r="E1169" s="11" t="s">
        <v>1736</v>
      </c>
      <c r="F1169" s="12" t="s">
        <v>1714</v>
      </c>
      <c r="G1169" s="9" t="s">
        <v>1709</v>
      </c>
    </row>
    <row r="1170" spans="1:7">
      <c r="A1170" s="9" t="s">
        <v>1711</v>
      </c>
      <c r="B1170" s="13">
        <v>0.2</v>
      </c>
      <c r="C1170" s="10">
        <v>0.85199999999999998</v>
      </c>
      <c r="D1170" s="9" t="s">
        <v>1712</v>
      </c>
      <c r="E1170" s="11" t="s">
        <v>1736</v>
      </c>
      <c r="F1170" s="12" t="s">
        <v>1714</v>
      </c>
      <c r="G1170" s="9" t="s">
        <v>1709</v>
      </c>
    </row>
    <row r="1171" spans="1:7">
      <c r="A1171" s="9" t="s">
        <v>1711</v>
      </c>
      <c r="B1171" s="13">
        <v>0.2</v>
      </c>
      <c r="C1171" s="10">
        <v>0.85199999999999998</v>
      </c>
      <c r="D1171" s="9" t="s">
        <v>1712</v>
      </c>
      <c r="E1171" s="11" t="s">
        <v>1736</v>
      </c>
      <c r="F1171" s="12" t="s">
        <v>1714</v>
      </c>
      <c r="G1171" s="9" t="s">
        <v>1709</v>
      </c>
    </row>
    <row r="1172" spans="1:7">
      <c r="A1172" s="9" t="s">
        <v>1711</v>
      </c>
      <c r="B1172" s="13">
        <v>0.2</v>
      </c>
      <c r="C1172" s="10">
        <v>-8.8999999999999996E-2</v>
      </c>
      <c r="D1172" s="9" t="s">
        <v>1709</v>
      </c>
      <c r="E1172" s="11" t="s">
        <v>1710</v>
      </c>
      <c r="F1172" s="12" t="s">
        <v>1710</v>
      </c>
      <c r="G1172" s="9" t="s">
        <v>1709</v>
      </c>
    </row>
    <row r="1173" spans="1:7">
      <c r="A1173" s="9" t="s">
        <v>1711</v>
      </c>
      <c r="B1173" s="13">
        <v>0.2</v>
      </c>
      <c r="C1173" s="10">
        <v>-8.8999999999999996E-2</v>
      </c>
      <c r="D1173" s="9" t="s">
        <v>1709</v>
      </c>
      <c r="E1173" s="11" t="s">
        <v>1710</v>
      </c>
      <c r="F1173" s="12" t="s">
        <v>1710</v>
      </c>
      <c r="G1173" s="9" t="s">
        <v>1709</v>
      </c>
    </row>
    <row r="1174" spans="1:7">
      <c r="A1174" s="9" t="s">
        <v>1711</v>
      </c>
      <c r="B1174" s="13">
        <v>0.2</v>
      </c>
      <c r="C1174" s="10">
        <v>-9.4E-2</v>
      </c>
      <c r="D1174" s="9" t="s">
        <v>1709</v>
      </c>
      <c r="E1174" s="11" t="s">
        <v>1710</v>
      </c>
      <c r="F1174" s="12" t="s">
        <v>1710</v>
      </c>
      <c r="G1174" s="9" t="s">
        <v>1709</v>
      </c>
    </row>
    <row r="1175" spans="1:7">
      <c r="A1175" s="9" t="s">
        <v>1711</v>
      </c>
      <c r="B1175" s="9">
        <v>0.2</v>
      </c>
      <c r="C1175" s="10">
        <v>-8.6999999999999994E-2</v>
      </c>
      <c r="D1175" s="9" t="s">
        <v>1709</v>
      </c>
      <c r="E1175" s="11" t="s">
        <v>1710</v>
      </c>
      <c r="F1175" s="12" t="s">
        <v>1710</v>
      </c>
      <c r="G1175" s="9" t="s">
        <v>1709</v>
      </c>
    </row>
    <row r="1176" spans="1:7">
      <c r="A1176" s="9" t="s">
        <v>1711</v>
      </c>
      <c r="B1176" s="13">
        <v>0.2</v>
      </c>
      <c r="C1176" s="10">
        <v>-8.8999999999999996E-2</v>
      </c>
      <c r="D1176" s="9" t="s">
        <v>1709</v>
      </c>
      <c r="E1176" s="11" t="s">
        <v>1710</v>
      </c>
      <c r="F1176" s="12" t="s">
        <v>1710</v>
      </c>
      <c r="G1176" s="9" t="s">
        <v>1709</v>
      </c>
    </row>
    <row r="1177" spans="1:7">
      <c r="A1177" s="9" t="s">
        <v>1711</v>
      </c>
      <c r="B1177" s="13">
        <v>0.2</v>
      </c>
      <c r="C1177" s="10">
        <v>-3.7999999999999999E-2</v>
      </c>
      <c r="D1177" s="9" t="s">
        <v>1709</v>
      </c>
      <c r="E1177" s="11" t="s">
        <v>1710</v>
      </c>
      <c r="F1177" s="12" t="s">
        <v>1710</v>
      </c>
      <c r="G1177" s="9" t="s">
        <v>1709</v>
      </c>
    </row>
    <row r="1178" spans="1:7">
      <c r="A1178" s="9" t="s">
        <v>1711</v>
      </c>
      <c r="B1178" s="13">
        <v>0.2</v>
      </c>
      <c r="C1178" s="10">
        <v>3.0369999999999999</v>
      </c>
      <c r="D1178" s="9" t="s">
        <v>1712</v>
      </c>
      <c r="E1178" s="11" t="s">
        <v>1742</v>
      </c>
      <c r="F1178" s="12" t="s">
        <v>1714</v>
      </c>
      <c r="G1178" s="9" t="s">
        <v>1709</v>
      </c>
    </row>
    <row r="1179" spans="1:7">
      <c r="A1179" s="9" t="s">
        <v>1711</v>
      </c>
      <c r="B1179" s="13">
        <v>0.2</v>
      </c>
      <c r="C1179" s="10">
        <v>0.76400000000000001</v>
      </c>
      <c r="D1179" s="9" t="s">
        <v>1712</v>
      </c>
      <c r="E1179" s="11" t="s">
        <v>1742</v>
      </c>
      <c r="F1179" s="12" t="s">
        <v>1714</v>
      </c>
      <c r="G1179" s="9" t="s">
        <v>1709</v>
      </c>
    </row>
    <row r="1180" spans="1:7">
      <c r="A1180" s="9" t="s">
        <v>1711</v>
      </c>
      <c r="B1180" s="13">
        <v>0.2</v>
      </c>
      <c r="C1180" s="10">
        <v>0.14000000000000001</v>
      </c>
      <c r="D1180" s="9" t="s">
        <v>1712</v>
      </c>
      <c r="E1180" s="11" t="s">
        <v>1742</v>
      </c>
      <c r="F1180" s="12" t="s">
        <v>1714</v>
      </c>
      <c r="G1180" s="9" t="s">
        <v>1709</v>
      </c>
    </row>
    <row r="1181" spans="1:7">
      <c r="A1181" s="9" t="s">
        <v>1711</v>
      </c>
      <c r="B1181" s="13">
        <v>0.2</v>
      </c>
      <c r="C1181" s="10">
        <v>7.9000000000000001E-2</v>
      </c>
      <c r="D1181" s="9" t="s">
        <v>1712</v>
      </c>
      <c r="E1181" s="11" t="s">
        <v>1736</v>
      </c>
      <c r="F1181" s="12" t="s">
        <v>1714</v>
      </c>
      <c r="G1181" s="9" t="s">
        <v>1709</v>
      </c>
    </row>
    <row r="1182" spans="1:7">
      <c r="A1182" s="9" t="s">
        <v>1711</v>
      </c>
      <c r="B1182" s="13">
        <v>0.2</v>
      </c>
      <c r="C1182" s="10">
        <v>7.9000000000000001E-2</v>
      </c>
      <c r="D1182" s="9" t="s">
        <v>1712</v>
      </c>
      <c r="E1182" s="11" t="s">
        <v>1736</v>
      </c>
      <c r="F1182" s="12" t="s">
        <v>1714</v>
      </c>
      <c r="G1182" s="9" t="s">
        <v>1709</v>
      </c>
    </row>
    <row r="1183" spans="1:7">
      <c r="A1183" s="9" t="s">
        <v>1711</v>
      </c>
      <c r="B1183" s="13">
        <v>0.2</v>
      </c>
      <c r="C1183" s="10">
        <v>7.9000000000000001E-2</v>
      </c>
      <c r="D1183" s="9" t="s">
        <v>1712</v>
      </c>
      <c r="E1183" s="11" t="s">
        <v>1736</v>
      </c>
      <c r="F1183" s="12" t="s">
        <v>1714</v>
      </c>
      <c r="G1183" s="9" t="s">
        <v>1709</v>
      </c>
    </row>
    <row r="1184" spans="1:7">
      <c r="A1184" s="9" t="s">
        <v>1711</v>
      </c>
      <c r="B1184" s="13">
        <v>0.2</v>
      </c>
      <c r="C1184" s="10">
        <v>7.9000000000000001E-2</v>
      </c>
      <c r="D1184" s="9" t="s">
        <v>1712</v>
      </c>
      <c r="E1184" s="11" t="s">
        <v>1736</v>
      </c>
      <c r="F1184" s="12" t="s">
        <v>1714</v>
      </c>
      <c r="G1184" s="9" t="s">
        <v>1709</v>
      </c>
    </row>
    <row r="1185" spans="1:7">
      <c r="A1185" s="9" t="s">
        <v>1711</v>
      </c>
      <c r="B1185" s="13">
        <v>0.2</v>
      </c>
      <c r="C1185" s="10">
        <v>-0.191</v>
      </c>
      <c r="D1185" s="9" t="s">
        <v>1709</v>
      </c>
      <c r="E1185" s="11" t="s">
        <v>1710</v>
      </c>
      <c r="F1185" s="12" t="s">
        <v>1710</v>
      </c>
      <c r="G1185" s="9" t="s">
        <v>1709</v>
      </c>
    </row>
    <row r="1186" spans="1:7">
      <c r="A1186" s="9" t="s">
        <v>1711</v>
      </c>
      <c r="B1186" s="13">
        <v>0.2</v>
      </c>
      <c r="C1186" s="10">
        <v>-0.191</v>
      </c>
      <c r="D1186" s="9" t="s">
        <v>1709</v>
      </c>
      <c r="E1186" s="11" t="s">
        <v>1710</v>
      </c>
      <c r="F1186" s="12" t="s">
        <v>1710</v>
      </c>
      <c r="G1186" s="9" t="s">
        <v>1709</v>
      </c>
    </row>
    <row r="1187" spans="1:7">
      <c r="A1187" s="9" t="s">
        <v>1711</v>
      </c>
      <c r="B1187" s="13">
        <v>0.2</v>
      </c>
      <c r="C1187" s="10">
        <v>0.77300000000000002</v>
      </c>
      <c r="D1187" s="9" t="s">
        <v>1712</v>
      </c>
      <c r="E1187" s="11" t="s">
        <v>1736</v>
      </c>
      <c r="F1187" s="12" t="s">
        <v>1714</v>
      </c>
      <c r="G1187" s="9" t="s">
        <v>1709</v>
      </c>
    </row>
    <row r="1188" spans="1:7">
      <c r="A1188" s="9" t="s">
        <v>1711</v>
      </c>
      <c r="B1188" s="13">
        <v>0.2</v>
      </c>
      <c r="C1188" s="10">
        <v>3.2759999999999998</v>
      </c>
      <c r="D1188" s="9" t="s">
        <v>1712</v>
      </c>
      <c r="E1188" s="11" t="s">
        <v>1736</v>
      </c>
      <c r="F1188" s="12" t="s">
        <v>1714</v>
      </c>
      <c r="G1188" s="9" t="s">
        <v>1709</v>
      </c>
    </row>
    <row r="1189" spans="1:7">
      <c r="A1189" s="9" t="s">
        <v>1711</v>
      </c>
      <c r="B1189" s="13">
        <v>0.2</v>
      </c>
      <c r="C1189" s="10">
        <v>-7.1000000000000008E-2</v>
      </c>
      <c r="D1189" s="9" t="s">
        <v>1709</v>
      </c>
      <c r="E1189" s="11" t="s">
        <v>1710</v>
      </c>
      <c r="F1189" s="12" t="s">
        <v>1710</v>
      </c>
      <c r="G1189" s="9" t="s">
        <v>1709</v>
      </c>
    </row>
    <row r="1190" spans="1:7">
      <c r="A1190" s="9" t="s">
        <v>1711</v>
      </c>
      <c r="B1190" s="13">
        <v>0.2</v>
      </c>
      <c r="C1190" s="10">
        <v>1.1729999999999998</v>
      </c>
      <c r="D1190" s="9" t="s">
        <v>1712</v>
      </c>
      <c r="E1190" s="11" t="s">
        <v>1736</v>
      </c>
      <c r="F1190" s="12" t="s">
        <v>1714</v>
      </c>
      <c r="G1190" s="9" t="s">
        <v>1709</v>
      </c>
    </row>
    <row r="1191" spans="1:7">
      <c r="A1191" s="9" t="s">
        <v>1711</v>
      </c>
      <c r="B1191" s="13">
        <v>0.2</v>
      </c>
      <c r="C1191" s="10">
        <v>0.152</v>
      </c>
      <c r="D1191" s="9" t="s">
        <v>1712</v>
      </c>
      <c r="E1191" s="11" t="s">
        <v>1742</v>
      </c>
      <c r="F1191" s="12" t="s">
        <v>1714</v>
      </c>
      <c r="G1191" s="9" t="s">
        <v>1709</v>
      </c>
    </row>
    <row r="1192" spans="1:7">
      <c r="A1192" s="9" t="s">
        <v>1711</v>
      </c>
      <c r="B1192" s="13">
        <v>0.2</v>
      </c>
      <c r="C1192" s="10">
        <v>0.152</v>
      </c>
      <c r="D1192" s="9" t="s">
        <v>1712</v>
      </c>
      <c r="E1192" s="11" t="s">
        <v>1742</v>
      </c>
      <c r="F1192" s="12" t="s">
        <v>1714</v>
      </c>
      <c r="G1192" s="9" t="s">
        <v>1709</v>
      </c>
    </row>
    <row r="1193" spans="1:7">
      <c r="A1193" s="9" t="s">
        <v>1711</v>
      </c>
      <c r="B1193" s="13">
        <v>0.2</v>
      </c>
      <c r="C1193" s="10">
        <v>1.1819999999999999</v>
      </c>
      <c r="D1193" s="9" t="s">
        <v>1712</v>
      </c>
      <c r="E1193" s="11" t="s">
        <v>1742</v>
      </c>
      <c r="F1193" s="12" t="s">
        <v>1714</v>
      </c>
      <c r="G1193" s="9" t="s">
        <v>1709</v>
      </c>
    </row>
    <row r="1194" spans="1:7">
      <c r="A1194" s="9" t="s">
        <v>1711</v>
      </c>
      <c r="B1194" s="13">
        <v>0.2</v>
      </c>
      <c r="C1194" s="10">
        <v>1.1819999999999999</v>
      </c>
      <c r="D1194" s="9" t="s">
        <v>1712</v>
      </c>
      <c r="E1194" s="11" t="s">
        <v>1742</v>
      </c>
      <c r="F1194" s="12" t="s">
        <v>1714</v>
      </c>
      <c r="G1194" s="9" t="s">
        <v>1709</v>
      </c>
    </row>
    <row r="1195" spans="1:7">
      <c r="A1195" s="9" t="s">
        <v>1711</v>
      </c>
      <c r="B1195" s="13">
        <v>0.2</v>
      </c>
      <c r="C1195" s="10">
        <v>1.1819999999999999</v>
      </c>
      <c r="D1195" s="9" t="s">
        <v>1712</v>
      </c>
      <c r="E1195" s="11" t="s">
        <v>1742</v>
      </c>
      <c r="F1195" s="12" t="s">
        <v>1714</v>
      </c>
      <c r="G1195" s="9" t="s">
        <v>1709</v>
      </c>
    </row>
    <row r="1196" spans="1:7">
      <c r="A1196" s="9" t="s">
        <v>1711</v>
      </c>
      <c r="B1196" s="13">
        <v>0.2</v>
      </c>
      <c r="C1196" s="10">
        <v>1.1819999999999999</v>
      </c>
      <c r="D1196" s="9" t="s">
        <v>1712</v>
      </c>
      <c r="E1196" s="11" t="s">
        <v>1742</v>
      </c>
      <c r="F1196" s="12" t="s">
        <v>1714</v>
      </c>
      <c r="G1196" s="9" t="s">
        <v>1709</v>
      </c>
    </row>
    <row r="1197" spans="1:7">
      <c r="A1197" s="9" t="s">
        <v>1711</v>
      </c>
      <c r="B1197" s="13">
        <v>0.2</v>
      </c>
      <c r="C1197" s="10">
        <v>1.1819999999999999</v>
      </c>
      <c r="D1197" s="9" t="s">
        <v>1712</v>
      </c>
      <c r="E1197" s="11" t="s">
        <v>1742</v>
      </c>
      <c r="F1197" s="12" t="s">
        <v>1714</v>
      </c>
      <c r="G1197" s="9" t="s">
        <v>1709</v>
      </c>
    </row>
    <row r="1198" spans="1:7">
      <c r="A1198" s="9" t="s">
        <v>1711</v>
      </c>
      <c r="B1198" s="13">
        <v>0.2</v>
      </c>
      <c r="C1198" s="10">
        <v>1.1819999999999999</v>
      </c>
      <c r="D1198" s="9" t="s">
        <v>1712</v>
      </c>
      <c r="E1198" s="11" t="s">
        <v>1742</v>
      </c>
      <c r="F1198" s="12" t="s">
        <v>1714</v>
      </c>
      <c r="G1198" s="9" t="s">
        <v>1709</v>
      </c>
    </row>
    <row r="1199" spans="1:7">
      <c r="A1199" s="9" t="s">
        <v>1711</v>
      </c>
      <c r="B1199" s="13">
        <v>0.2</v>
      </c>
      <c r="C1199" s="10">
        <v>1.1819999999999999</v>
      </c>
      <c r="D1199" s="9" t="s">
        <v>1712</v>
      </c>
      <c r="E1199" s="11" t="s">
        <v>1742</v>
      </c>
      <c r="F1199" s="12" t="s">
        <v>1714</v>
      </c>
      <c r="G1199" s="9" t="s">
        <v>1709</v>
      </c>
    </row>
    <row r="1200" spans="1:7">
      <c r="A1200" s="9" t="s">
        <v>1711</v>
      </c>
      <c r="B1200" s="13">
        <v>0.2</v>
      </c>
      <c r="C1200" s="10">
        <v>1.1819999999999999</v>
      </c>
      <c r="D1200" s="9" t="s">
        <v>1712</v>
      </c>
      <c r="E1200" s="11" t="s">
        <v>1742</v>
      </c>
      <c r="F1200" s="12" t="s">
        <v>1714</v>
      </c>
      <c r="G1200" s="9" t="s">
        <v>1709</v>
      </c>
    </row>
    <row r="1201" spans="1:7">
      <c r="A1201" s="9" t="s">
        <v>1711</v>
      </c>
      <c r="B1201" s="13">
        <v>0.2</v>
      </c>
      <c r="C1201" s="10">
        <v>1.1819999999999999</v>
      </c>
      <c r="D1201" s="9" t="s">
        <v>1712</v>
      </c>
      <c r="E1201" s="11" t="s">
        <v>1742</v>
      </c>
      <c r="F1201" s="12" t="s">
        <v>1714</v>
      </c>
      <c r="G1201" s="9" t="s">
        <v>1709</v>
      </c>
    </row>
    <row r="1202" spans="1:7">
      <c r="A1202" s="9" t="s">
        <v>1711</v>
      </c>
      <c r="B1202" s="13">
        <v>0.2</v>
      </c>
      <c r="C1202" s="10">
        <v>1.1819999999999999</v>
      </c>
      <c r="D1202" s="9" t="s">
        <v>1712</v>
      </c>
      <c r="E1202" s="11" t="s">
        <v>1742</v>
      </c>
      <c r="F1202" s="12" t="s">
        <v>1714</v>
      </c>
      <c r="G1202" s="9" t="s">
        <v>1709</v>
      </c>
    </row>
    <row r="1203" spans="1:7">
      <c r="A1203" s="9" t="s">
        <v>1711</v>
      </c>
      <c r="B1203" s="13">
        <v>0.2</v>
      </c>
      <c r="C1203" s="10">
        <v>1.1819999999999999</v>
      </c>
      <c r="D1203" s="9" t="s">
        <v>1712</v>
      </c>
      <c r="E1203" s="11" t="s">
        <v>1742</v>
      </c>
      <c r="F1203" s="12" t="s">
        <v>1714</v>
      </c>
      <c r="G1203" s="9" t="s">
        <v>1709</v>
      </c>
    </row>
    <row r="1204" spans="1:7">
      <c r="A1204" s="9" t="s">
        <v>1711</v>
      </c>
      <c r="B1204" s="13">
        <v>0.2</v>
      </c>
      <c r="C1204" s="10">
        <v>1.1819999999999999</v>
      </c>
      <c r="D1204" s="9" t="s">
        <v>1712</v>
      </c>
      <c r="E1204" s="11" t="s">
        <v>1742</v>
      </c>
      <c r="F1204" s="12" t="s">
        <v>1714</v>
      </c>
      <c r="G1204" s="9" t="s">
        <v>1709</v>
      </c>
    </row>
    <row r="1205" spans="1:7">
      <c r="A1205" s="9" t="s">
        <v>1711</v>
      </c>
      <c r="B1205" s="13">
        <v>0.2</v>
      </c>
      <c r="C1205" s="10">
        <v>0.61299999999999999</v>
      </c>
      <c r="D1205" s="9" t="s">
        <v>1712</v>
      </c>
      <c r="E1205" s="11" t="s">
        <v>1736</v>
      </c>
      <c r="F1205" s="12" t="s">
        <v>1714</v>
      </c>
      <c r="G1205" s="9" t="s">
        <v>1709</v>
      </c>
    </row>
    <row r="1206" spans="1:7">
      <c r="A1206" s="9" t="s">
        <v>1711</v>
      </c>
      <c r="B1206" s="13">
        <v>0.2</v>
      </c>
      <c r="C1206" s="10">
        <v>0.9</v>
      </c>
      <c r="D1206" s="9" t="s">
        <v>1712</v>
      </c>
      <c r="E1206" s="11" t="s">
        <v>1742</v>
      </c>
      <c r="F1206" s="12" t="s">
        <v>1714</v>
      </c>
      <c r="G1206" s="9" t="s">
        <v>1709</v>
      </c>
    </row>
    <row r="1207" spans="1:7">
      <c r="A1207" s="9" t="s">
        <v>1711</v>
      </c>
      <c r="B1207" s="13">
        <v>0.2</v>
      </c>
      <c r="C1207" s="10">
        <v>0.9</v>
      </c>
      <c r="D1207" s="9" t="s">
        <v>1712</v>
      </c>
      <c r="E1207" s="11" t="s">
        <v>1742</v>
      </c>
      <c r="F1207" s="12" t="s">
        <v>1714</v>
      </c>
      <c r="G1207" s="9" t="s">
        <v>1709</v>
      </c>
    </row>
    <row r="1208" spans="1:7">
      <c r="A1208" s="9" t="s">
        <v>1711</v>
      </c>
      <c r="B1208" s="13">
        <v>0.2</v>
      </c>
      <c r="C1208" s="10">
        <v>0.9</v>
      </c>
      <c r="D1208" s="9" t="s">
        <v>1712</v>
      </c>
      <c r="E1208" s="11" t="s">
        <v>1742</v>
      </c>
      <c r="F1208" s="12" t="s">
        <v>1714</v>
      </c>
      <c r="G1208" s="9" t="s">
        <v>1709</v>
      </c>
    </row>
    <row r="1209" spans="1:7">
      <c r="A1209" s="9" t="s">
        <v>1711</v>
      </c>
      <c r="B1209" s="13">
        <v>0.2</v>
      </c>
      <c r="C1209" s="10">
        <v>0.9</v>
      </c>
      <c r="D1209" s="9" t="s">
        <v>1712</v>
      </c>
      <c r="E1209" s="11" t="s">
        <v>1742</v>
      </c>
      <c r="F1209" s="12" t="s">
        <v>1714</v>
      </c>
      <c r="G1209" s="9" t="s">
        <v>1709</v>
      </c>
    </row>
    <row r="1210" spans="1:7">
      <c r="A1210" s="9" t="s">
        <v>1711</v>
      </c>
      <c r="B1210" s="13">
        <v>0.2</v>
      </c>
      <c r="C1210" s="10">
        <v>0.9</v>
      </c>
      <c r="D1210" s="9" t="s">
        <v>1712</v>
      </c>
      <c r="E1210" s="11" t="s">
        <v>1742</v>
      </c>
      <c r="F1210" s="12" t="s">
        <v>1714</v>
      </c>
      <c r="G1210" s="9" t="s">
        <v>1709</v>
      </c>
    </row>
    <row r="1211" spans="1:7">
      <c r="A1211" s="9" t="s">
        <v>1711</v>
      </c>
      <c r="B1211" s="13">
        <v>0.2</v>
      </c>
      <c r="C1211" s="10">
        <v>0.9</v>
      </c>
      <c r="D1211" s="9" t="s">
        <v>1712</v>
      </c>
      <c r="E1211" s="11" t="s">
        <v>1742</v>
      </c>
      <c r="F1211" s="12" t="s">
        <v>1714</v>
      </c>
      <c r="G1211" s="9" t="s">
        <v>1709</v>
      </c>
    </row>
    <row r="1212" spans="1:7">
      <c r="A1212" s="9" t="s">
        <v>1711</v>
      </c>
      <c r="B1212" s="13">
        <v>0.2</v>
      </c>
      <c r="C1212" s="10">
        <v>0.9</v>
      </c>
      <c r="D1212" s="9" t="s">
        <v>1712</v>
      </c>
      <c r="E1212" s="11" t="s">
        <v>1742</v>
      </c>
      <c r="F1212" s="12" t="s">
        <v>1714</v>
      </c>
      <c r="G1212" s="9" t="s">
        <v>1709</v>
      </c>
    </row>
    <row r="1213" spans="1:7">
      <c r="A1213" s="9" t="s">
        <v>1711</v>
      </c>
      <c r="B1213" s="13">
        <v>0.2</v>
      </c>
      <c r="C1213" s="10">
        <v>0.9</v>
      </c>
      <c r="D1213" s="9" t="s">
        <v>1712</v>
      </c>
      <c r="E1213" s="11" t="s">
        <v>1742</v>
      </c>
      <c r="F1213" s="12" t="s">
        <v>1714</v>
      </c>
      <c r="G1213" s="9" t="s">
        <v>1709</v>
      </c>
    </row>
    <row r="1214" spans="1:7">
      <c r="A1214" s="9" t="s">
        <v>1711</v>
      </c>
      <c r="B1214" s="13">
        <v>0.2</v>
      </c>
      <c r="C1214" s="10">
        <v>0.9</v>
      </c>
      <c r="D1214" s="9" t="s">
        <v>1712</v>
      </c>
      <c r="E1214" s="11" t="s">
        <v>1742</v>
      </c>
      <c r="F1214" s="12" t="s">
        <v>1714</v>
      </c>
      <c r="G1214" s="9" t="s">
        <v>1709</v>
      </c>
    </row>
    <row r="1215" spans="1:7">
      <c r="A1215" s="9" t="s">
        <v>1711</v>
      </c>
      <c r="B1215" s="13">
        <v>0.2</v>
      </c>
      <c r="C1215" s="10">
        <v>-0.14599999999999999</v>
      </c>
      <c r="D1215" s="9" t="s">
        <v>1709</v>
      </c>
      <c r="E1215" s="11" t="s">
        <v>1710</v>
      </c>
      <c r="F1215" s="12" t="s">
        <v>1710</v>
      </c>
      <c r="G1215" s="9" t="s">
        <v>1709</v>
      </c>
    </row>
    <row r="1216" spans="1:7">
      <c r="A1216" s="9" t="s">
        <v>1711</v>
      </c>
      <c r="B1216" s="13">
        <v>0.2</v>
      </c>
      <c r="C1216" s="10">
        <v>-0.14599999999999999</v>
      </c>
      <c r="D1216" s="9" t="s">
        <v>1709</v>
      </c>
      <c r="E1216" s="11" t="s">
        <v>1710</v>
      </c>
      <c r="F1216" s="12" t="s">
        <v>1710</v>
      </c>
      <c r="G1216" s="9" t="s">
        <v>1709</v>
      </c>
    </row>
    <row r="1217" spans="1:7">
      <c r="A1217" s="9" t="s">
        <v>1711</v>
      </c>
      <c r="B1217" s="13">
        <v>0.2</v>
      </c>
      <c r="C1217" s="10">
        <v>-0.14599999999999999</v>
      </c>
      <c r="D1217" s="9" t="s">
        <v>1709</v>
      </c>
      <c r="E1217" s="11" t="s">
        <v>1710</v>
      </c>
      <c r="F1217" s="12" t="s">
        <v>1710</v>
      </c>
      <c r="G1217" s="9" t="s">
        <v>1709</v>
      </c>
    </row>
    <row r="1218" spans="1:7">
      <c r="A1218" s="9" t="s">
        <v>1711</v>
      </c>
      <c r="B1218" s="13">
        <v>0.2</v>
      </c>
      <c r="C1218" s="10">
        <v>-3.5000000000000003E-2</v>
      </c>
      <c r="D1218" s="9" t="s">
        <v>1709</v>
      </c>
      <c r="E1218" s="11" t="s">
        <v>1710</v>
      </c>
      <c r="F1218" s="12" t="s">
        <v>1710</v>
      </c>
      <c r="G1218" s="9" t="s">
        <v>1709</v>
      </c>
    </row>
    <row r="1219" spans="1:7">
      <c r="A1219" s="9" t="s">
        <v>1711</v>
      </c>
      <c r="B1219" s="13">
        <v>0.2</v>
      </c>
      <c r="C1219" s="10">
        <v>1.1819999999999999</v>
      </c>
      <c r="D1219" s="9" t="s">
        <v>1712</v>
      </c>
      <c r="E1219" s="11" t="s">
        <v>1737</v>
      </c>
      <c r="F1219" s="12" t="s">
        <v>1714</v>
      </c>
      <c r="G1219" s="9" t="s">
        <v>1709</v>
      </c>
    </row>
    <row r="1220" spans="1:7">
      <c r="A1220" s="9" t="s">
        <v>1711</v>
      </c>
      <c r="B1220" s="13">
        <v>0.2</v>
      </c>
      <c r="C1220" s="10">
        <v>1.1819999999999999</v>
      </c>
      <c r="D1220" s="9" t="s">
        <v>1712</v>
      </c>
      <c r="E1220" s="11" t="s">
        <v>1737</v>
      </c>
      <c r="F1220" s="12" t="s">
        <v>1714</v>
      </c>
      <c r="G1220" s="9" t="s">
        <v>1709</v>
      </c>
    </row>
    <row r="1221" spans="1:7">
      <c r="A1221" s="9" t="s">
        <v>1711</v>
      </c>
      <c r="B1221" s="13">
        <v>0.2</v>
      </c>
      <c r="C1221" s="10">
        <v>1.4419999999999999</v>
      </c>
      <c r="D1221" s="9" t="s">
        <v>1712</v>
      </c>
      <c r="E1221" s="11" t="s">
        <v>1736</v>
      </c>
      <c r="F1221" s="12" t="s">
        <v>1714</v>
      </c>
      <c r="G1221" s="9" t="s">
        <v>1709</v>
      </c>
    </row>
    <row r="1222" spans="1:7">
      <c r="A1222" s="9" t="s">
        <v>1711</v>
      </c>
      <c r="B1222" s="13">
        <v>0.2</v>
      </c>
      <c r="C1222" s="10">
        <v>1.1729999999999998</v>
      </c>
      <c r="D1222" s="9" t="s">
        <v>1712</v>
      </c>
      <c r="E1222" s="11" t="s">
        <v>1736</v>
      </c>
      <c r="F1222" s="12" t="s">
        <v>1714</v>
      </c>
      <c r="G1222" s="9" t="s">
        <v>1709</v>
      </c>
    </row>
    <row r="1223" spans="1:7">
      <c r="A1223" s="9" t="s">
        <v>1711</v>
      </c>
      <c r="B1223" s="13">
        <v>0.2</v>
      </c>
      <c r="C1223" s="10">
        <v>1.1729999999999998</v>
      </c>
      <c r="D1223" s="9" t="s">
        <v>1712</v>
      </c>
      <c r="E1223" s="11" t="s">
        <v>1736</v>
      </c>
      <c r="F1223" s="12" t="s">
        <v>1714</v>
      </c>
      <c r="G1223" s="9" t="s">
        <v>1709</v>
      </c>
    </row>
    <row r="1224" spans="1:7">
      <c r="A1224" s="9" t="s">
        <v>1711</v>
      </c>
      <c r="B1224" s="13">
        <v>0.2</v>
      </c>
      <c r="C1224" s="10">
        <v>1.1729999999999998</v>
      </c>
      <c r="D1224" s="9" t="s">
        <v>1712</v>
      </c>
      <c r="E1224" s="11" t="s">
        <v>1736</v>
      </c>
      <c r="F1224" s="12" t="s">
        <v>1714</v>
      </c>
      <c r="G1224" s="9" t="s">
        <v>1709</v>
      </c>
    </row>
    <row r="1225" spans="1:7">
      <c r="A1225" s="9" t="s">
        <v>1711</v>
      </c>
      <c r="B1225" s="13">
        <v>0.2</v>
      </c>
      <c r="C1225" s="10">
        <v>1.9E-2</v>
      </c>
      <c r="D1225" s="9" t="s">
        <v>1712</v>
      </c>
      <c r="E1225" s="11" t="s">
        <v>1736</v>
      </c>
      <c r="F1225" s="12" t="s">
        <v>1714</v>
      </c>
      <c r="G1225" s="9" t="s">
        <v>1709</v>
      </c>
    </row>
    <row r="1226" spans="1:7">
      <c r="A1226" s="9" t="s">
        <v>1711</v>
      </c>
      <c r="B1226" s="13">
        <v>0.2</v>
      </c>
      <c r="C1226" s="10">
        <v>1.9E-2</v>
      </c>
      <c r="D1226" s="9" t="s">
        <v>1712</v>
      </c>
      <c r="E1226" s="11" t="s">
        <v>1736</v>
      </c>
      <c r="F1226" s="12" t="s">
        <v>1714</v>
      </c>
      <c r="G1226" s="9" t="s">
        <v>1709</v>
      </c>
    </row>
    <row r="1227" spans="1:7">
      <c r="A1227" s="9" t="s">
        <v>1711</v>
      </c>
      <c r="B1227" s="13">
        <v>0.2</v>
      </c>
      <c r="C1227" s="10">
        <v>1.9E-2</v>
      </c>
      <c r="D1227" s="9" t="s">
        <v>1712</v>
      </c>
      <c r="E1227" s="11" t="s">
        <v>1736</v>
      </c>
      <c r="F1227" s="12" t="s">
        <v>1714</v>
      </c>
      <c r="G1227" s="9" t="s">
        <v>1709</v>
      </c>
    </row>
    <row r="1228" spans="1:7">
      <c r="A1228" s="9" t="s">
        <v>1711</v>
      </c>
      <c r="B1228" s="9">
        <v>0.2</v>
      </c>
      <c r="C1228" s="10">
        <v>1.9E-2</v>
      </c>
      <c r="D1228" s="9" t="s">
        <v>1712</v>
      </c>
      <c r="E1228" s="11" t="s">
        <v>1736</v>
      </c>
      <c r="F1228" s="12" t="s">
        <v>1714</v>
      </c>
      <c r="G1228" s="9" t="s">
        <v>1709</v>
      </c>
    </row>
    <row r="1229" spans="1:7">
      <c r="A1229" s="9" t="s">
        <v>1711</v>
      </c>
      <c r="B1229" s="9">
        <v>0.2</v>
      </c>
      <c r="C1229" s="10">
        <v>1.9E-2</v>
      </c>
      <c r="D1229" s="9" t="s">
        <v>1712</v>
      </c>
      <c r="E1229" s="11" t="s">
        <v>1736</v>
      </c>
      <c r="F1229" s="12" t="s">
        <v>1714</v>
      </c>
      <c r="G1229" s="9" t="s">
        <v>1709</v>
      </c>
    </row>
    <row r="1230" spans="1:7">
      <c r="A1230" s="9" t="s">
        <v>1711</v>
      </c>
      <c r="B1230" s="9">
        <v>0.2</v>
      </c>
      <c r="C1230" s="10">
        <v>1.9E-2</v>
      </c>
      <c r="D1230" s="9" t="s">
        <v>1712</v>
      </c>
      <c r="E1230" s="11" t="s">
        <v>1736</v>
      </c>
      <c r="F1230" s="12" t="s">
        <v>1714</v>
      </c>
      <c r="G1230" s="9" t="s">
        <v>1709</v>
      </c>
    </row>
    <row r="1231" spans="1:7">
      <c r="A1231" s="9" t="s">
        <v>1711</v>
      </c>
      <c r="B1231" s="9">
        <v>0.2</v>
      </c>
      <c r="C1231" s="10">
        <v>1.2549999999999999</v>
      </c>
      <c r="D1231" s="9" t="s">
        <v>1712</v>
      </c>
      <c r="E1231" s="11" t="s">
        <v>1736</v>
      </c>
      <c r="F1231" s="12" t="s">
        <v>1714</v>
      </c>
      <c r="G1231" s="9" t="s">
        <v>1709</v>
      </c>
    </row>
    <row r="1232" spans="1:7">
      <c r="A1232" s="9" t="s">
        <v>1711</v>
      </c>
      <c r="B1232" s="9">
        <v>0.2</v>
      </c>
      <c r="C1232" s="10">
        <v>1.2549999999999999</v>
      </c>
      <c r="D1232" s="9" t="s">
        <v>1712</v>
      </c>
      <c r="E1232" s="11" t="s">
        <v>1736</v>
      </c>
      <c r="F1232" s="12" t="s">
        <v>1714</v>
      </c>
      <c r="G1232" s="9" t="s">
        <v>1709</v>
      </c>
    </row>
    <row r="1233" spans="1:7">
      <c r="A1233" s="9" t="s">
        <v>1711</v>
      </c>
      <c r="B1233" s="9">
        <v>0.2</v>
      </c>
      <c r="C1233" s="10">
        <v>1.2549999999999999</v>
      </c>
      <c r="D1233" s="9" t="s">
        <v>1712</v>
      </c>
      <c r="E1233" s="11" t="s">
        <v>1736</v>
      </c>
      <c r="F1233" s="12" t="s">
        <v>1714</v>
      </c>
      <c r="G1233" s="9" t="s">
        <v>1709</v>
      </c>
    </row>
    <row r="1234" spans="1:7">
      <c r="A1234" s="9" t="s">
        <v>1711</v>
      </c>
      <c r="B1234" s="9">
        <v>0.2</v>
      </c>
      <c r="C1234" s="10">
        <v>1.2549999999999999</v>
      </c>
      <c r="D1234" s="9" t="s">
        <v>1712</v>
      </c>
      <c r="E1234" s="11" t="s">
        <v>1736</v>
      </c>
      <c r="F1234" s="12" t="s">
        <v>1714</v>
      </c>
      <c r="G1234" s="9" t="s">
        <v>1709</v>
      </c>
    </row>
    <row r="1235" spans="1:7">
      <c r="A1235" s="9" t="s">
        <v>1711</v>
      </c>
      <c r="B1235" s="9">
        <v>0.2</v>
      </c>
      <c r="C1235" s="10">
        <v>1.2549999999999999</v>
      </c>
      <c r="D1235" s="9" t="s">
        <v>1712</v>
      </c>
      <c r="E1235" s="11" t="s">
        <v>1736</v>
      </c>
      <c r="F1235" s="12" t="s">
        <v>1714</v>
      </c>
      <c r="G1235" s="9" t="s">
        <v>1709</v>
      </c>
    </row>
    <row r="1236" spans="1:7">
      <c r="A1236" s="9" t="s">
        <v>1711</v>
      </c>
      <c r="B1236" s="9">
        <v>0.2</v>
      </c>
      <c r="C1236" s="10">
        <v>1.2549999999999999</v>
      </c>
      <c r="D1236" s="9" t="s">
        <v>1712</v>
      </c>
      <c r="E1236" s="11" t="s">
        <v>1736</v>
      </c>
      <c r="F1236" s="12" t="s">
        <v>1714</v>
      </c>
      <c r="G1236" s="9" t="s">
        <v>1709</v>
      </c>
    </row>
    <row r="1237" spans="1:7">
      <c r="A1237" s="9" t="s">
        <v>1711</v>
      </c>
      <c r="B1237" s="9">
        <v>0.2</v>
      </c>
      <c r="C1237" s="10">
        <v>1.2549999999999999</v>
      </c>
      <c r="D1237" s="9" t="s">
        <v>1712</v>
      </c>
      <c r="E1237" s="11" t="s">
        <v>1736</v>
      </c>
      <c r="F1237" s="12" t="s">
        <v>1714</v>
      </c>
      <c r="G1237" s="9" t="s">
        <v>1709</v>
      </c>
    </row>
    <row r="1238" spans="1:7">
      <c r="A1238" s="9" t="s">
        <v>1711</v>
      </c>
      <c r="B1238" s="9">
        <v>0.2</v>
      </c>
      <c r="C1238" s="10">
        <v>-1E-3</v>
      </c>
      <c r="D1238" s="9" t="s">
        <v>1709</v>
      </c>
      <c r="E1238" s="11" t="s">
        <v>1710</v>
      </c>
      <c r="F1238" s="12" t="s">
        <v>1710</v>
      </c>
      <c r="G1238" s="9" t="s">
        <v>1709</v>
      </c>
    </row>
    <row r="1239" spans="1:7">
      <c r="A1239" s="9" t="s">
        <v>1711</v>
      </c>
      <c r="B1239" s="9">
        <v>0.2</v>
      </c>
      <c r="C1239" s="10">
        <v>1.5959999999999999</v>
      </c>
      <c r="D1239" s="9" t="s">
        <v>1712</v>
      </c>
      <c r="E1239" s="11" t="s">
        <v>1736</v>
      </c>
      <c r="F1239" s="12" t="s">
        <v>1714</v>
      </c>
      <c r="G1239" s="9" t="s">
        <v>1709</v>
      </c>
    </row>
    <row r="1240" spans="1:7">
      <c r="A1240" s="9" t="s">
        <v>1711</v>
      </c>
      <c r="B1240" s="9">
        <v>0.2</v>
      </c>
      <c r="C1240" s="10">
        <v>1.4419999999999999</v>
      </c>
      <c r="D1240" s="9" t="s">
        <v>1712</v>
      </c>
      <c r="E1240" s="11" t="s">
        <v>1736</v>
      </c>
      <c r="F1240" s="12" t="s">
        <v>1714</v>
      </c>
      <c r="G1240" s="9" t="s">
        <v>1709</v>
      </c>
    </row>
    <row r="1241" spans="1:7">
      <c r="A1241" s="9" t="s">
        <v>1711</v>
      </c>
      <c r="B1241" s="9">
        <v>0.2</v>
      </c>
      <c r="C1241" s="10">
        <v>-0.122</v>
      </c>
      <c r="D1241" s="9" t="s">
        <v>1709</v>
      </c>
      <c r="E1241" s="11" t="s">
        <v>1710</v>
      </c>
      <c r="F1241" s="12" t="s">
        <v>1710</v>
      </c>
      <c r="G1241" s="9" t="s">
        <v>1709</v>
      </c>
    </row>
    <row r="1242" spans="1:7">
      <c r="A1242" s="9" t="s">
        <v>1711</v>
      </c>
      <c r="B1242" s="9">
        <v>0.2</v>
      </c>
      <c r="C1242" s="10">
        <v>1.4419999999999999</v>
      </c>
      <c r="D1242" s="9" t="s">
        <v>1712</v>
      </c>
      <c r="E1242" s="11" t="s">
        <v>1736</v>
      </c>
      <c r="F1242" s="12" t="s">
        <v>1714</v>
      </c>
      <c r="G1242" s="9" t="s">
        <v>1709</v>
      </c>
    </row>
    <row r="1243" spans="1:7">
      <c r="A1243" s="9" t="s">
        <v>1711</v>
      </c>
      <c r="B1243" s="13">
        <v>0.2</v>
      </c>
      <c r="C1243" s="10">
        <v>-3.9E-2</v>
      </c>
      <c r="D1243" s="9" t="s">
        <v>1709</v>
      </c>
      <c r="E1243" s="11" t="s">
        <v>1710</v>
      </c>
      <c r="F1243" s="12" t="s">
        <v>1710</v>
      </c>
      <c r="G1243" s="9" t="s">
        <v>1709</v>
      </c>
    </row>
    <row r="1244" spans="1:7">
      <c r="A1244" s="9" t="s">
        <v>1711</v>
      </c>
      <c r="B1244" s="9">
        <v>0.2</v>
      </c>
      <c r="C1244" s="10">
        <v>1.4419999999999999</v>
      </c>
      <c r="D1244" s="9" t="s">
        <v>1712</v>
      </c>
      <c r="E1244" s="11" t="s">
        <v>1736</v>
      </c>
      <c r="F1244" s="12" t="s">
        <v>1714</v>
      </c>
      <c r="G1244" s="9" t="s">
        <v>1709</v>
      </c>
    </row>
    <row r="1245" spans="1:7">
      <c r="A1245" s="9" t="s">
        <v>1711</v>
      </c>
      <c r="B1245" s="13">
        <v>0.2</v>
      </c>
      <c r="C1245" s="10">
        <v>1.4419999999999999</v>
      </c>
      <c r="D1245" s="9" t="s">
        <v>1712</v>
      </c>
      <c r="E1245" s="11" t="s">
        <v>1736</v>
      </c>
      <c r="F1245" s="12" t="s">
        <v>1714</v>
      </c>
      <c r="G1245" s="9" t="s">
        <v>1709</v>
      </c>
    </row>
    <row r="1246" spans="1:7">
      <c r="A1246" s="9" t="s">
        <v>1711</v>
      </c>
      <c r="B1246" s="13">
        <v>0.2</v>
      </c>
      <c r="C1246" s="10">
        <v>1.4419999999999999</v>
      </c>
      <c r="D1246" s="9" t="s">
        <v>1712</v>
      </c>
      <c r="E1246" s="11" t="s">
        <v>1736</v>
      </c>
      <c r="F1246" s="12" t="s">
        <v>1714</v>
      </c>
      <c r="G1246" s="9" t="s">
        <v>1709</v>
      </c>
    </row>
    <row r="1247" spans="1:7">
      <c r="A1247" s="9" t="s">
        <v>1711</v>
      </c>
      <c r="B1247" s="13">
        <v>0.2</v>
      </c>
      <c r="C1247" s="10">
        <v>4.1050000000000004</v>
      </c>
      <c r="D1247" s="9" t="s">
        <v>1712</v>
      </c>
      <c r="E1247" s="11" t="s">
        <v>1736</v>
      </c>
      <c r="F1247" s="12" t="s">
        <v>1714</v>
      </c>
      <c r="G1247" s="9" t="s">
        <v>1709</v>
      </c>
    </row>
    <row r="1248" spans="1:7">
      <c r="A1248" s="9" t="s">
        <v>1711</v>
      </c>
      <c r="B1248" s="13">
        <v>0.2</v>
      </c>
      <c r="C1248" s="10">
        <v>4.1050000000000004</v>
      </c>
      <c r="D1248" s="9" t="s">
        <v>1712</v>
      </c>
      <c r="E1248" s="11" t="s">
        <v>1736</v>
      </c>
      <c r="F1248" s="12" t="s">
        <v>1714</v>
      </c>
      <c r="G1248" s="9" t="s">
        <v>1709</v>
      </c>
    </row>
    <row r="1249" spans="1:7">
      <c r="A1249" s="9" t="s">
        <v>1711</v>
      </c>
      <c r="B1249" s="13">
        <v>0.2</v>
      </c>
      <c r="C1249" s="10">
        <v>0.25700000000000001</v>
      </c>
      <c r="D1249" s="9" t="s">
        <v>1712</v>
      </c>
      <c r="E1249" s="11" t="s">
        <v>1736</v>
      </c>
      <c r="F1249" s="12" t="s">
        <v>1714</v>
      </c>
      <c r="G1249" s="9" t="s">
        <v>1709</v>
      </c>
    </row>
    <row r="1250" spans="1:7">
      <c r="A1250" s="9" t="s">
        <v>1711</v>
      </c>
      <c r="B1250" s="13">
        <v>0.2</v>
      </c>
      <c r="C1250" s="10">
        <v>0.314</v>
      </c>
      <c r="D1250" s="9" t="s">
        <v>1712</v>
      </c>
      <c r="E1250" s="11" t="s">
        <v>1736</v>
      </c>
      <c r="F1250" s="12" t="s">
        <v>1714</v>
      </c>
      <c r="G1250" s="9" t="s">
        <v>1709</v>
      </c>
    </row>
    <row r="1251" spans="1:7">
      <c r="A1251" s="9" t="s">
        <v>1711</v>
      </c>
      <c r="B1251" s="13">
        <v>0.2</v>
      </c>
      <c r="C1251" s="10">
        <v>0.77300000000000002</v>
      </c>
      <c r="D1251" s="9" t="s">
        <v>1712</v>
      </c>
      <c r="E1251" s="11" t="s">
        <v>1736</v>
      </c>
      <c r="F1251" s="12" t="s">
        <v>1714</v>
      </c>
      <c r="G1251" s="9" t="s">
        <v>1709</v>
      </c>
    </row>
    <row r="1252" spans="1:7">
      <c r="A1252" s="9" t="s">
        <v>1711</v>
      </c>
      <c r="B1252" s="13">
        <v>0.2</v>
      </c>
      <c r="C1252" s="10">
        <v>0.77300000000000002</v>
      </c>
      <c r="D1252" s="9" t="s">
        <v>1712</v>
      </c>
      <c r="E1252" s="11" t="s">
        <v>1736</v>
      </c>
      <c r="F1252" s="12" t="s">
        <v>1714</v>
      </c>
      <c r="G1252" s="9" t="s">
        <v>1709</v>
      </c>
    </row>
    <row r="1253" spans="1:7">
      <c r="A1253" s="9" t="s">
        <v>1711</v>
      </c>
      <c r="B1253" s="13">
        <v>0.2</v>
      </c>
      <c r="C1253" s="10">
        <v>0.77300000000000002</v>
      </c>
      <c r="D1253" s="9" t="s">
        <v>1712</v>
      </c>
      <c r="E1253" s="11" t="s">
        <v>1736</v>
      </c>
      <c r="F1253" s="12" t="s">
        <v>1714</v>
      </c>
      <c r="G1253" s="9" t="s">
        <v>1709</v>
      </c>
    </row>
    <row r="1254" spans="1:7">
      <c r="A1254" s="9" t="s">
        <v>1711</v>
      </c>
      <c r="B1254" s="13">
        <v>0.2</v>
      </c>
      <c r="C1254" s="10">
        <v>0.77300000000000002</v>
      </c>
      <c r="D1254" s="9" t="s">
        <v>1712</v>
      </c>
      <c r="E1254" s="11" t="s">
        <v>1736</v>
      </c>
      <c r="F1254" s="12" t="s">
        <v>1714</v>
      </c>
      <c r="G1254" s="9" t="s">
        <v>1709</v>
      </c>
    </row>
    <row r="1255" spans="1:7">
      <c r="A1255" s="9" t="s">
        <v>1711</v>
      </c>
      <c r="B1255" s="13">
        <v>0.2</v>
      </c>
      <c r="C1255" s="10">
        <v>-4.8000000000000001E-2</v>
      </c>
      <c r="D1255" s="9" t="s">
        <v>1709</v>
      </c>
      <c r="E1255" s="11" t="s">
        <v>1710</v>
      </c>
      <c r="F1255" s="12" t="s">
        <v>1710</v>
      </c>
      <c r="G1255" s="9" t="s">
        <v>1709</v>
      </c>
    </row>
    <row r="1256" spans="1:7">
      <c r="A1256" s="9" t="s">
        <v>1711</v>
      </c>
      <c r="B1256" s="13">
        <v>0.2</v>
      </c>
      <c r="C1256" s="10">
        <v>0.93500000000000005</v>
      </c>
      <c r="D1256" s="9" t="s">
        <v>1712</v>
      </c>
      <c r="E1256" s="11" t="s">
        <v>1736</v>
      </c>
      <c r="F1256" s="12" t="s">
        <v>1714</v>
      </c>
      <c r="G1256" s="9" t="s">
        <v>1709</v>
      </c>
    </row>
    <row r="1257" spans="1:7">
      <c r="A1257" s="9" t="s">
        <v>1711</v>
      </c>
      <c r="B1257" s="13">
        <v>0.2</v>
      </c>
      <c r="C1257" s="10">
        <v>0.59899999999999998</v>
      </c>
      <c r="D1257" s="9" t="s">
        <v>1712</v>
      </c>
      <c r="E1257" s="11" t="s">
        <v>1736</v>
      </c>
      <c r="F1257" s="12" t="s">
        <v>1714</v>
      </c>
      <c r="G1257" s="9" t="s">
        <v>1709</v>
      </c>
    </row>
    <row r="1258" spans="1:7">
      <c r="A1258" s="9" t="s">
        <v>1711</v>
      </c>
      <c r="B1258" s="13">
        <v>0.2</v>
      </c>
      <c r="C1258" s="10">
        <v>0.59899999999999998</v>
      </c>
      <c r="D1258" s="9" t="s">
        <v>1712</v>
      </c>
      <c r="E1258" s="11" t="s">
        <v>1736</v>
      </c>
      <c r="F1258" s="12" t="s">
        <v>1714</v>
      </c>
      <c r="G1258" s="9" t="s">
        <v>1709</v>
      </c>
    </row>
    <row r="1259" spans="1:7">
      <c r="A1259" s="9" t="s">
        <v>1711</v>
      </c>
      <c r="B1259" s="13">
        <v>0.2</v>
      </c>
      <c r="C1259" s="10">
        <v>-0.191</v>
      </c>
      <c r="D1259" s="9" t="s">
        <v>1709</v>
      </c>
      <c r="E1259" s="11" t="s">
        <v>1710</v>
      </c>
      <c r="F1259" s="12" t="s">
        <v>1710</v>
      </c>
      <c r="G1259" s="9" t="s">
        <v>1709</v>
      </c>
    </row>
    <row r="1260" spans="1:7">
      <c r="A1260" s="9" t="s">
        <v>1711</v>
      </c>
      <c r="B1260" s="13">
        <v>0.2</v>
      </c>
      <c r="C1260" s="10">
        <v>-0.14399999999999999</v>
      </c>
      <c r="D1260" s="9" t="s">
        <v>1709</v>
      </c>
      <c r="E1260" s="11" t="s">
        <v>1710</v>
      </c>
      <c r="F1260" s="12" t="s">
        <v>1710</v>
      </c>
      <c r="G1260" s="9" t="s">
        <v>1709</v>
      </c>
    </row>
    <row r="1261" spans="1:7">
      <c r="A1261" s="9" t="s">
        <v>1711</v>
      </c>
      <c r="B1261" s="13">
        <v>0.2</v>
      </c>
      <c r="C1261" s="10">
        <v>-0.13700000000000001</v>
      </c>
      <c r="D1261" s="9" t="s">
        <v>1709</v>
      </c>
      <c r="E1261" s="11" t="s">
        <v>1710</v>
      </c>
      <c r="F1261" s="12" t="s">
        <v>1710</v>
      </c>
      <c r="G1261" s="9" t="s">
        <v>1709</v>
      </c>
    </row>
    <row r="1262" spans="1:7">
      <c r="A1262" s="9" t="s">
        <v>1711</v>
      </c>
      <c r="B1262" s="13">
        <v>0.2</v>
      </c>
      <c r="C1262" s="10">
        <v>0.92</v>
      </c>
      <c r="D1262" s="9" t="s">
        <v>1712</v>
      </c>
      <c r="E1262" s="11" t="s">
        <v>1715</v>
      </c>
      <c r="F1262" s="12" t="s">
        <v>1714</v>
      </c>
      <c r="G1262" s="9" t="s">
        <v>1709</v>
      </c>
    </row>
    <row r="1263" spans="1:7">
      <c r="A1263" s="9" t="s">
        <v>1711</v>
      </c>
      <c r="B1263" s="13">
        <v>0.2</v>
      </c>
      <c r="C1263" s="10">
        <v>0.92</v>
      </c>
      <c r="D1263" s="9" t="s">
        <v>1712</v>
      </c>
      <c r="E1263" s="11" t="s">
        <v>1715</v>
      </c>
      <c r="F1263" s="12" t="s">
        <v>1714</v>
      </c>
      <c r="G1263" s="9" t="s">
        <v>1709</v>
      </c>
    </row>
    <row r="1264" spans="1:7">
      <c r="A1264" s="9" t="s">
        <v>1711</v>
      </c>
      <c r="B1264" s="13">
        <v>0.2</v>
      </c>
      <c r="C1264" s="10">
        <v>0.92</v>
      </c>
      <c r="D1264" s="9" t="s">
        <v>1712</v>
      </c>
      <c r="E1264" s="11" t="s">
        <v>1715</v>
      </c>
      <c r="F1264" s="12" t="s">
        <v>1714</v>
      </c>
      <c r="G1264" s="9" t="s">
        <v>1709</v>
      </c>
    </row>
    <row r="1265" spans="1:7">
      <c r="A1265" s="9" t="s">
        <v>1711</v>
      </c>
      <c r="B1265" s="13">
        <v>0.2</v>
      </c>
      <c r="C1265" s="10">
        <v>0.27200000000000002</v>
      </c>
      <c r="D1265" s="9" t="s">
        <v>1712</v>
      </c>
      <c r="E1265" s="11" t="s">
        <v>1715</v>
      </c>
      <c r="F1265" s="12" t="s">
        <v>1714</v>
      </c>
      <c r="G1265" s="9" t="s">
        <v>1709</v>
      </c>
    </row>
    <row r="1266" spans="1:7">
      <c r="A1266" s="9" t="s">
        <v>1711</v>
      </c>
      <c r="B1266" s="13">
        <v>0.2</v>
      </c>
      <c r="C1266" s="10">
        <v>0.27200000000000002</v>
      </c>
      <c r="D1266" s="9" t="s">
        <v>1712</v>
      </c>
      <c r="E1266" s="11" t="s">
        <v>1715</v>
      </c>
      <c r="F1266" s="12" t="s">
        <v>1714</v>
      </c>
      <c r="G1266" s="9" t="s">
        <v>1709</v>
      </c>
    </row>
    <row r="1267" spans="1:7">
      <c r="A1267" s="9" t="s">
        <v>1711</v>
      </c>
      <c r="B1267" s="13">
        <v>0.2</v>
      </c>
      <c r="C1267" s="10">
        <v>0.27200000000000002</v>
      </c>
      <c r="D1267" s="9" t="s">
        <v>1712</v>
      </c>
      <c r="E1267" s="11" t="s">
        <v>1715</v>
      </c>
      <c r="F1267" s="12" t="s">
        <v>1714</v>
      </c>
      <c r="G1267" s="9" t="s">
        <v>1709</v>
      </c>
    </row>
    <row r="1268" spans="1:7">
      <c r="A1268" s="9" t="s">
        <v>1711</v>
      </c>
      <c r="B1268" s="13">
        <v>0.2</v>
      </c>
      <c r="C1268" s="10">
        <v>0.27200000000000002</v>
      </c>
      <c r="D1268" s="9" t="s">
        <v>1712</v>
      </c>
      <c r="E1268" s="11" t="s">
        <v>1715</v>
      </c>
      <c r="F1268" s="12" t="s">
        <v>1714</v>
      </c>
      <c r="G1268" s="9" t="s">
        <v>1709</v>
      </c>
    </row>
    <row r="1269" spans="1:7">
      <c r="A1269" s="9" t="s">
        <v>1711</v>
      </c>
      <c r="B1269" s="13">
        <v>0.2</v>
      </c>
      <c r="C1269" s="10">
        <v>0.27200000000000002</v>
      </c>
      <c r="D1269" s="9" t="s">
        <v>1712</v>
      </c>
      <c r="E1269" s="11" t="s">
        <v>1715</v>
      </c>
      <c r="F1269" s="12" t="s">
        <v>1714</v>
      </c>
      <c r="G1269" s="9" t="s">
        <v>1709</v>
      </c>
    </row>
    <row r="1270" spans="1:7">
      <c r="A1270" s="9" t="s">
        <v>1711</v>
      </c>
      <c r="B1270" s="13">
        <v>0.2</v>
      </c>
      <c r="C1270" s="10">
        <v>0.27200000000000002</v>
      </c>
      <c r="D1270" s="9" t="s">
        <v>1712</v>
      </c>
      <c r="E1270" s="11" t="s">
        <v>1715</v>
      </c>
      <c r="F1270" s="12" t="s">
        <v>1714</v>
      </c>
      <c r="G1270" s="9" t="s">
        <v>1709</v>
      </c>
    </row>
    <row r="1271" spans="1:7">
      <c r="A1271" s="9" t="s">
        <v>1711</v>
      </c>
      <c r="B1271" s="13">
        <v>0.2</v>
      </c>
      <c r="C1271" s="10">
        <v>0.27200000000000002</v>
      </c>
      <c r="D1271" s="9" t="s">
        <v>1712</v>
      </c>
      <c r="E1271" s="11" t="s">
        <v>1715</v>
      </c>
      <c r="F1271" s="12" t="s">
        <v>1714</v>
      </c>
      <c r="G1271" s="9" t="s">
        <v>1709</v>
      </c>
    </row>
    <row r="1272" spans="1:7">
      <c r="A1272" s="9" t="s">
        <v>1711</v>
      </c>
      <c r="B1272" s="13">
        <v>0.2</v>
      </c>
      <c r="C1272" s="10">
        <v>0.27200000000000002</v>
      </c>
      <c r="D1272" s="9" t="s">
        <v>1712</v>
      </c>
      <c r="E1272" s="11" t="s">
        <v>1715</v>
      </c>
      <c r="F1272" s="12" t="s">
        <v>1714</v>
      </c>
      <c r="G1272" s="9" t="s">
        <v>1709</v>
      </c>
    </row>
    <row r="1273" spans="1:7">
      <c r="A1273" s="9" t="s">
        <v>1711</v>
      </c>
      <c r="B1273" s="13">
        <v>0.2</v>
      </c>
      <c r="C1273" s="10">
        <v>1.1599999999999999</v>
      </c>
      <c r="D1273" s="9" t="s">
        <v>1712</v>
      </c>
      <c r="E1273" s="11" t="s">
        <v>1715</v>
      </c>
      <c r="F1273" s="12" t="s">
        <v>1714</v>
      </c>
      <c r="G1273" s="9" t="s">
        <v>1709</v>
      </c>
    </row>
    <row r="1274" spans="1:7">
      <c r="A1274" s="9" t="s">
        <v>1711</v>
      </c>
      <c r="B1274" s="13">
        <v>0.2</v>
      </c>
      <c r="C1274" s="10">
        <v>0.9</v>
      </c>
      <c r="D1274" s="9" t="s">
        <v>1712</v>
      </c>
      <c r="E1274" s="11" t="s">
        <v>1736</v>
      </c>
      <c r="F1274" s="12" t="s">
        <v>1714</v>
      </c>
      <c r="G1274" s="9" t="s">
        <v>1709</v>
      </c>
    </row>
    <row r="1275" spans="1:7">
      <c r="A1275" s="9" t="s">
        <v>1711</v>
      </c>
      <c r="B1275" s="13">
        <v>0.2</v>
      </c>
      <c r="C1275" s="10">
        <v>0.9</v>
      </c>
      <c r="D1275" s="9" t="s">
        <v>1712</v>
      </c>
      <c r="E1275" s="11" t="s">
        <v>1739</v>
      </c>
      <c r="F1275" s="12" t="s">
        <v>1714</v>
      </c>
      <c r="G1275" s="9" t="s">
        <v>1709</v>
      </c>
    </row>
    <row r="1276" spans="1:7">
      <c r="A1276" s="9" t="s">
        <v>1711</v>
      </c>
      <c r="B1276" s="13">
        <v>0.2</v>
      </c>
      <c r="C1276" s="10">
        <v>0.9</v>
      </c>
      <c r="D1276" s="9" t="s">
        <v>1712</v>
      </c>
      <c r="E1276" s="11" t="s">
        <v>1736</v>
      </c>
      <c r="F1276" s="12" t="s">
        <v>1714</v>
      </c>
      <c r="G1276" s="9" t="s">
        <v>1709</v>
      </c>
    </row>
    <row r="1277" spans="1:7">
      <c r="A1277" s="9" t="s">
        <v>1711</v>
      </c>
      <c r="B1277" s="13">
        <v>0.2</v>
      </c>
      <c r="C1277" s="10">
        <v>-7.1999999999999995E-2</v>
      </c>
      <c r="D1277" s="9" t="s">
        <v>1709</v>
      </c>
      <c r="E1277" s="11" t="s">
        <v>1710</v>
      </c>
      <c r="F1277" s="12" t="s">
        <v>1710</v>
      </c>
      <c r="G1277" s="9" t="s">
        <v>1709</v>
      </c>
    </row>
    <row r="1278" spans="1:7">
      <c r="A1278" s="9" t="s">
        <v>1711</v>
      </c>
      <c r="B1278" s="13">
        <v>0.2</v>
      </c>
      <c r="C1278" s="10">
        <v>-4.8000000000000001E-2</v>
      </c>
      <c r="D1278" s="9" t="s">
        <v>1709</v>
      </c>
      <c r="E1278" s="11" t="s">
        <v>1710</v>
      </c>
      <c r="F1278" s="12" t="s">
        <v>1710</v>
      </c>
      <c r="G1278" s="9" t="s">
        <v>1709</v>
      </c>
    </row>
    <row r="1279" spans="1:7">
      <c r="A1279" s="9" t="s">
        <v>1711</v>
      </c>
      <c r="B1279" s="13">
        <v>0.2</v>
      </c>
      <c r="C1279" s="10">
        <v>1.1819999999999999</v>
      </c>
      <c r="D1279" s="9" t="s">
        <v>1712</v>
      </c>
      <c r="E1279" s="11" t="s">
        <v>1737</v>
      </c>
      <c r="F1279" s="12" t="s">
        <v>1714</v>
      </c>
      <c r="G1279" s="9" t="s">
        <v>1709</v>
      </c>
    </row>
    <row r="1280" spans="1:7">
      <c r="A1280" s="9" t="s">
        <v>1711</v>
      </c>
      <c r="B1280" s="13">
        <v>0.2</v>
      </c>
      <c r="C1280" s="10">
        <v>1.1819999999999999</v>
      </c>
      <c r="D1280" s="9" t="s">
        <v>1712</v>
      </c>
      <c r="E1280" s="11" t="s">
        <v>1737</v>
      </c>
      <c r="F1280" s="12" t="s">
        <v>1714</v>
      </c>
      <c r="G1280" s="9" t="s">
        <v>1709</v>
      </c>
    </row>
    <row r="1281" spans="1:7">
      <c r="A1281" s="9" t="s">
        <v>1711</v>
      </c>
      <c r="B1281" s="13">
        <v>0.2</v>
      </c>
      <c r="C1281" s="10">
        <v>1.1819999999999999</v>
      </c>
      <c r="D1281" s="9" t="s">
        <v>1712</v>
      </c>
      <c r="E1281" s="11" t="s">
        <v>1737</v>
      </c>
      <c r="F1281" s="12" t="s">
        <v>1714</v>
      </c>
      <c r="G1281" s="9" t="s">
        <v>1709</v>
      </c>
    </row>
    <row r="1282" spans="1:7">
      <c r="A1282" s="9" t="s">
        <v>1711</v>
      </c>
      <c r="B1282" s="13">
        <v>0.2</v>
      </c>
      <c r="C1282" s="10">
        <v>1.1819999999999999</v>
      </c>
      <c r="D1282" s="9" t="s">
        <v>1712</v>
      </c>
      <c r="E1282" s="11" t="s">
        <v>1737</v>
      </c>
      <c r="F1282" s="12" t="s">
        <v>1714</v>
      </c>
      <c r="G1282" s="9" t="s">
        <v>1709</v>
      </c>
    </row>
    <row r="1283" spans="1:7">
      <c r="A1283" s="9" t="s">
        <v>1711</v>
      </c>
      <c r="B1283" s="13">
        <v>0.2</v>
      </c>
      <c r="C1283" s="10">
        <v>1.1819999999999999</v>
      </c>
      <c r="D1283" s="9" t="s">
        <v>1712</v>
      </c>
      <c r="E1283" s="11" t="s">
        <v>1737</v>
      </c>
      <c r="F1283" s="12" t="s">
        <v>1714</v>
      </c>
      <c r="G1283" s="9" t="s">
        <v>1709</v>
      </c>
    </row>
    <row r="1284" spans="1:7">
      <c r="A1284" s="9" t="s">
        <v>1711</v>
      </c>
      <c r="B1284" s="13">
        <v>0.2</v>
      </c>
      <c r="C1284" s="10">
        <v>1.1819999999999999</v>
      </c>
      <c r="D1284" s="9" t="s">
        <v>1712</v>
      </c>
      <c r="E1284" s="11" t="s">
        <v>1737</v>
      </c>
      <c r="F1284" s="12" t="s">
        <v>1714</v>
      </c>
      <c r="G1284" s="9" t="s">
        <v>1709</v>
      </c>
    </row>
    <row r="1285" spans="1:7">
      <c r="A1285" s="9" t="s">
        <v>1711</v>
      </c>
      <c r="B1285" s="13">
        <v>0.2</v>
      </c>
      <c r="C1285" s="10">
        <v>0.9</v>
      </c>
      <c r="D1285" s="9" t="s">
        <v>1712</v>
      </c>
      <c r="E1285" s="11" t="s">
        <v>1736</v>
      </c>
      <c r="F1285" s="12" t="s">
        <v>1714</v>
      </c>
      <c r="G1285" s="9" t="s">
        <v>1709</v>
      </c>
    </row>
    <row r="1286" spans="1:7">
      <c r="A1286" s="9" t="s">
        <v>1711</v>
      </c>
      <c r="B1286" s="13">
        <v>0.2</v>
      </c>
      <c r="C1286" s="10">
        <v>1.1819999999999999</v>
      </c>
      <c r="D1286" s="9" t="s">
        <v>1712</v>
      </c>
      <c r="E1286" s="11" t="s">
        <v>1737</v>
      </c>
      <c r="F1286" s="12" t="s">
        <v>1714</v>
      </c>
      <c r="G1286" s="9" t="s">
        <v>1709</v>
      </c>
    </row>
    <row r="1287" spans="1:7">
      <c r="A1287" s="9" t="s">
        <v>1711</v>
      </c>
      <c r="B1287" s="13">
        <v>0.2</v>
      </c>
      <c r="C1287" s="10">
        <v>1.1819999999999999</v>
      </c>
      <c r="D1287" s="9" t="s">
        <v>1712</v>
      </c>
      <c r="E1287" s="11" t="s">
        <v>1737</v>
      </c>
      <c r="F1287" s="12" t="s">
        <v>1714</v>
      </c>
      <c r="G1287" s="9" t="s">
        <v>1709</v>
      </c>
    </row>
    <row r="1288" spans="1:7">
      <c r="A1288" s="9" t="s">
        <v>1711</v>
      </c>
      <c r="B1288" s="13">
        <v>0.2</v>
      </c>
      <c r="C1288" s="10">
        <v>0.27500000000000002</v>
      </c>
      <c r="D1288" s="9" t="s">
        <v>1712</v>
      </c>
      <c r="E1288" s="11" t="s">
        <v>1736</v>
      </c>
      <c r="F1288" s="12" t="s">
        <v>1714</v>
      </c>
      <c r="G1288" s="9" t="s">
        <v>1709</v>
      </c>
    </row>
    <row r="1289" spans="1:7">
      <c r="A1289" s="9" t="s">
        <v>1711</v>
      </c>
      <c r="B1289" s="13">
        <v>0.2</v>
      </c>
      <c r="C1289" s="10">
        <v>6.3E-2</v>
      </c>
      <c r="D1289" s="9" t="s">
        <v>1712</v>
      </c>
      <c r="E1289" s="11" t="s">
        <v>1736</v>
      </c>
      <c r="F1289" s="12" t="s">
        <v>1714</v>
      </c>
      <c r="G1289" s="9" t="s">
        <v>1709</v>
      </c>
    </row>
    <row r="1290" spans="1:7">
      <c r="A1290" s="9" t="s">
        <v>1711</v>
      </c>
      <c r="B1290" s="13">
        <v>0.2</v>
      </c>
      <c r="C1290" s="10">
        <v>6.3E-2</v>
      </c>
      <c r="D1290" s="9" t="s">
        <v>1712</v>
      </c>
      <c r="E1290" s="11" t="s">
        <v>1736</v>
      </c>
      <c r="F1290" s="12" t="s">
        <v>1714</v>
      </c>
      <c r="G1290" s="9" t="s">
        <v>1709</v>
      </c>
    </row>
    <row r="1291" spans="1:7">
      <c r="A1291" s="9" t="s">
        <v>1711</v>
      </c>
      <c r="B1291" s="13">
        <v>0.2</v>
      </c>
      <c r="C1291" s="10">
        <v>6.3E-2</v>
      </c>
      <c r="D1291" s="9" t="s">
        <v>1712</v>
      </c>
      <c r="E1291" s="11" t="s">
        <v>1736</v>
      </c>
      <c r="F1291" s="12" t="s">
        <v>1714</v>
      </c>
      <c r="G1291" s="9" t="s">
        <v>1709</v>
      </c>
    </row>
    <row r="1292" spans="1:7">
      <c r="A1292" s="9" t="s">
        <v>1711</v>
      </c>
      <c r="B1292" s="13">
        <v>0.2</v>
      </c>
      <c r="C1292" s="10">
        <v>-9.2999999999999999E-2</v>
      </c>
      <c r="D1292" s="9" t="s">
        <v>1709</v>
      </c>
      <c r="E1292" s="11" t="s">
        <v>1710</v>
      </c>
      <c r="F1292" s="12" t="s">
        <v>1710</v>
      </c>
      <c r="G1292" s="9" t="s">
        <v>1709</v>
      </c>
    </row>
    <row r="1293" spans="1:7">
      <c r="A1293" s="9" t="s">
        <v>1711</v>
      </c>
      <c r="B1293" s="13">
        <v>0.2</v>
      </c>
      <c r="C1293" s="10">
        <v>-9.2999999999999999E-2</v>
      </c>
      <c r="D1293" s="9" t="s">
        <v>1709</v>
      </c>
      <c r="E1293" s="11" t="s">
        <v>1710</v>
      </c>
      <c r="F1293" s="12" t="s">
        <v>1710</v>
      </c>
      <c r="G1293" s="9" t="s">
        <v>1709</v>
      </c>
    </row>
    <row r="1294" spans="1:7">
      <c r="A1294" s="9" t="s">
        <v>1711</v>
      </c>
      <c r="B1294" s="13">
        <v>0.2</v>
      </c>
      <c r="C1294" s="10">
        <v>-3.2000000000000001E-2</v>
      </c>
      <c r="D1294" s="9" t="s">
        <v>1709</v>
      </c>
      <c r="E1294" s="11" t="s">
        <v>1710</v>
      </c>
      <c r="F1294" s="12" t="s">
        <v>1710</v>
      </c>
      <c r="G1294" s="9" t="s">
        <v>1709</v>
      </c>
    </row>
    <row r="1295" spans="1:7">
      <c r="A1295" s="9" t="s">
        <v>1711</v>
      </c>
      <c r="B1295" s="13">
        <v>0.2</v>
      </c>
      <c r="C1295" s="10">
        <v>0.77300000000000002</v>
      </c>
      <c r="D1295" s="9" t="s">
        <v>1712</v>
      </c>
      <c r="E1295" s="11" t="s">
        <v>1736</v>
      </c>
      <c r="F1295" s="12" t="s">
        <v>1714</v>
      </c>
      <c r="G1295" s="9" t="s">
        <v>1709</v>
      </c>
    </row>
    <row r="1296" spans="1:7">
      <c r="A1296" s="9" t="s">
        <v>1711</v>
      </c>
      <c r="B1296" s="13">
        <v>0.2</v>
      </c>
      <c r="C1296" s="10">
        <v>0.872</v>
      </c>
      <c r="D1296" s="9" t="s">
        <v>1712</v>
      </c>
      <c r="E1296" s="11" t="s">
        <v>1736</v>
      </c>
      <c r="F1296" s="12" t="s">
        <v>1714</v>
      </c>
      <c r="G1296" s="9" t="s">
        <v>1709</v>
      </c>
    </row>
    <row r="1297" spans="1:7">
      <c r="A1297" s="9" t="s">
        <v>1711</v>
      </c>
      <c r="B1297" s="13">
        <v>0.2</v>
      </c>
      <c r="C1297" s="10">
        <v>1.2549999999999999</v>
      </c>
      <c r="D1297" s="9" t="s">
        <v>1712</v>
      </c>
      <c r="E1297" s="11" t="s">
        <v>1736</v>
      </c>
      <c r="F1297" s="12" t="s">
        <v>1714</v>
      </c>
      <c r="G1297" s="9" t="s">
        <v>1709</v>
      </c>
    </row>
    <row r="1298" spans="1:7">
      <c r="A1298" s="9" t="s">
        <v>1711</v>
      </c>
      <c r="B1298" s="9">
        <v>0.2</v>
      </c>
      <c r="C1298" s="10">
        <v>2.323</v>
      </c>
      <c r="D1298" s="9" t="s">
        <v>1712</v>
      </c>
      <c r="E1298" s="11" t="s">
        <v>1737</v>
      </c>
      <c r="F1298" s="12" t="s">
        <v>1714</v>
      </c>
      <c r="G1298" s="9" t="s">
        <v>1709</v>
      </c>
    </row>
    <row r="1299" spans="1:7">
      <c r="A1299" s="9" t="s">
        <v>1711</v>
      </c>
      <c r="B1299" s="13">
        <v>0.2</v>
      </c>
      <c r="C1299" s="10">
        <v>1.2529999999999999</v>
      </c>
      <c r="D1299" s="9" t="s">
        <v>1712</v>
      </c>
      <c r="E1299" s="11" t="s">
        <v>1713</v>
      </c>
      <c r="F1299" s="12" t="s">
        <v>1714</v>
      </c>
      <c r="G1299" s="9" t="s">
        <v>1709</v>
      </c>
    </row>
    <row r="1300" spans="1:7">
      <c r="A1300" s="9" t="s">
        <v>1711</v>
      </c>
      <c r="B1300" s="13">
        <v>0.2</v>
      </c>
      <c r="C1300" s="10">
        <v>0.13700000000000001</v>
      </c>
      <c r="D1300" s="9" t="s">
        <v>1712</v>
      </c>
      <c r="E1300" s="11" t="s">
        <v>1713</v>
      </c>
      <c r="F1300" s="12" t="s">
        <v>1714</v>
      </c>
      <c r="G1300" s="9" t="s">
        <v>1709</v>
      </c>
    </row>
    <row r="1301" spans="1:7">
      <c r="A1301" s="9" t="s">
        <v>1711</v>
      </c>
      <c r="B1301" s="13">
        <v>0.2</v>
      </c>
      <c r="C1301" s="10">
        <v>0.372</v>
      </c>
      <c r="D1301" s="9" t="s">
        <v>1712</v>
      </c>
      <c r="E1301" s="11" t="s">
        <v>1713</v>
      </c>
      <c r="F1301" s="12" t="s">
        <v>1714</v>
      </c>
      <c r="G1301" s="9" t="s">
        <v>1709</v>
      </c>
    </row>
    <row r="1302" spans="1:7">
      <c r="A1302" s="9" t="s">
        <v>1711</v>
      </c>
      <c r="B1302" s="13">
        <v>0.2</v>
      </c>
      <c r="C1302" s="10">
        <v>0.372</v>
      </c>
      <c r="D1302" s="9" t="s">
        <v>1712</v>
      </c>
      <c r="E1302" s="11" t="s">
        <v>1713</v>
      </c>
      <c r="F1302" s="12" t="s">
        <v>1714</v>
      </c>
      <c r="G1302" s="9" t="s">
        <v>1709</v>
      </c>
    </row>
    <row r="1303" spans="1:7">
      <c r="A1303" s="9" t="s">
        <v>1711</v>
      </c>
      <c r="B1303" s="13">
        <v>0.2</v>
      </c>
      <c r="C1303" s="10">
        <v>0.24099999999999999</v>
      </c>
      <c r="D1303" s="9" t="s">
        <v>1712</v>
      </c>
      <c r="E1303" s="11" t="s">
        <v>1713</v>
      </c>
      <c r="F1303" s="12" t="s">
        <v>1714</v>
      </c>
      <c r="G1303" s="9" t="s">
        <v>1709</v>
      </c>
    </row>
    <row r="1304" spans="1:7">
      <c r="A1304" s="9" t="s">
        <v>1711</v>
      </c>
      <c r="B1304" s="13">
        <v>0.2</v>
      </c>
      <c r="C1304" s="10">
        <v>0.24099999999999999</v>
      </c>
      <c r="D1304" s="9" t="s">
        <v>1712</v>
      </c>
      <c r="E1304" s="11" t="s">
        <v>1713</v>
      </c>
      <c r="F1304" s="12" t="s">
        <v>1714</v>
      </c>
      <c r="G1304" s="9" t="s">
        <v>1709</v>
      </c>
    </row>
    <row r="1305" spans="1:7">
      <c r="A1305" s="9" t="s">
        <v>1711</v>
      </c>
      <c r="B1305" s="13">
        <v>0.2</v>
      </c>
      <c r="C1305" s="10">
        <v>0.24099999999999999</v>
      </c>
      <c r="D1305" s="9" t="s">
        <v>1712</v>
      </c>
      <c r="E1305" s="11" t="s">
        <v>1713</v>
      </c>
      <c r="F1305" s="12" t="s">
        <v>1714</v>
      </c>
      <c r="G1305" s="9" t="s">
        <v>1709</v>
      </c>
    </row>
    <row r="1306" spans="1:7">
      <c r="A1306" s="9" t="s">
        <v>1711</v>
      </c>
      <c r="B1306" s="9">
        <v>0.2</v>
      </c>
      <c r="C1306" s="10">
        <v>0.24099999999999999</v>
      </c>
      <c r="D1306" s="9" t="s">
        <v>1712</v>
      </c>
      <c r="E1306" s="11" t="s">
        <v>1713</v>
      </c>
      <c r="F1306" s="12" t="s">
        <v>1714</v>
      </c>
      <c r="G1306" s="9" t="s">
        <v>1709</v>
      </c>
    </row>
    <row r="1307" spans="1:7">
      <c r="A1307" s="9" t="s">
        <v>1711</v>
      </c>
      <c r="B1307" s="9">
        <v>0.2</v>
      </c>
      <c r="C1307" s="10">
        <v>-0.11</v>
      </c>
      <c r="D1307" s="9" t="s">
        <v>1709</v>
      </c>
      <c r="E1307" s="11" t="s">
        <v>1710</v>
      </c>
      <c r="F1307" s="12" t="s">
        <v>1710</v>
      </c>
      <c r="G1307" s="9" t="s">
        <v>1709</v>
      </c>
    </row>
    <row r="1308" spans="1:7">
      <c r="A1308" s="9" t="s">
        <v>1711</v>
      </c>
      <c r="B1308" s="9">
        <v>0.2</v>
      </c>
      <c r="C1308" s="10">
        <v>0.14599999999999999</v>
      </c>
      <c r="D1308" s="9" t="s">
        <v>1712</v>
      </c>
      <c r="E1308" s="11" t="s">
        <v>1713</v>
      </c>
      <c r="F1308" s="12" t="s">
        <v>1714</v>
      </c>
      <c r="G1308" s="9" t="s">
        <v>1709</v>
      </c>
    </row>
    <row r="1309" spans="1:7">
      <c r="A1309" s="9" t="s">
        <v>1711</v>
      </c>
      <c r="B1309" s="13">
        <v>0.2</v>
      </c>
      <c r="C1309" s="10">
        <v>-4.3999999999999997E-2</v>
      </c>
      <c r="D1309" s="9" t="s">
        <v>1709</v>
      </c>
      <c r="E1309" s="11" t="s">
        <v>1710</v>
      </c>
      <c r="F1309" s="12" t="s">
        <v>1710</v>
      </c>
      <c r="G1309" s="9" t="s">
        <v>1709</v>
      </c>
    </row>
    <row r="1310" spans="1:7">
      <c r="A1310" s="9" t="s">
        <v>1711</v>
      </c>
      <c r="B1310" s="13">
        <v>0.2</v>
      </c>
      <c r="C1310" s="10">
        <v>-4.3999999999999997E-2</v>
      </c>
      <c r="D1310" s="9" t="s">
        <v>1709</v>
      </c>
      <c r="E1310" s="11" t="s">
        <v>1710</v>
      </c>
      <c r="F1310" s="12" t="s">
        <v>1710</v>
      </c>
      <c r="G1310" s="9" t="s">
        <v>1709</v>
      </c>
    </row>
    <row r="1311" spans="1:7">
      <c r="A1311" s="9" t="s">
        <v>1711</v>
      </c>
      <c r="B1311" s="13">
        <v>0.2</v>
      </c>
      <c r="C1311" s="10">
        <v>0.154</v>
      </c>
      <c r="D1311" s="9" t="s">
        <v>1712</v>
      </c>
      <c r="E1311" s="11" t="s">
        <v>1713</v>
      </c>
      <c r="F1311" s="12" t="s">
        <v>1714</v>
      </c>
      <c r="G1311" s="9" t="s">
        <v>1709</v>
      </c>
    </row>
    <row r="1312" spans="1:7">
      <c r="A1312" s="9" t="s">
        <v>1711</v>
      </c>
      <c r="B1312" s="13">
        <v>0.2</v>
      </c>
      <c r="C1312" s="10">
        <v>0.252</v>
      </c>
      <c r="D1312" s="9" t="s">
        <v>1712</v>
      </c>
      <c r="E1312" s="11" t="s">
        <v>1713</v>
      </c>
      <c r="F1312" s="12" t="s">
        <v>1714</v>
      </c>
      <c r="G1312" s="9" t="s">
        <v>1709</v>
      </c>
    </row>
    <row r="1313" spans="1:7">
      <c r="A1313" s="9" t="s">
        <v>1711</v>
      </c>
      <c r="B1313" s="13">
        <v>0.2</v>
      </c>
      <c r="C1313" s="10">
        <v>-3.1E-2</v>
      </c>
      <c r="D1313" s="9" t="s">
        <v>1709</v>
      </c>
      <c r="E1313" s="11" t="s">
        <v>1710</v>
      </c>
      <c r="F1313" s="12" t="s">
        <v>1710</v>
      </c>
      <c r="G1313" s="9" t="s">
        <v>1709</v>
      </c>
    </row>
    <row r="1314" spans="1:7">
      <c r="A1314" s="9" t="s">
        <v>1711</v>
      </c>
      <c r="B1314" s="13">
        <v>0.2</v>
      </c>
      <c r="C1314" s="10">
        <v>0.58499999999999996</v>
      </c>
      <c r="D1314" s="9" t="s">
        <v>1712</v>
      </c>
      <c r="E1314" s="11" t="s">
        <v>1713</v>
      </c>
      <c r="F1314" s="12" t="s">
        <v>1714</v>
      </c>
      <c r="G1314" s="9" t="s">
        <v>1709</v>
      </c>
    </row>
    <row r="1315" spans="1:7">
      <c r="A1315" s="9" t="s">
        <v>1711</v>
      </c>
      <c r="B1315" s="13">
        <v>0.2</v>
      </c>
      <c r="C1315" s="10">
        <v>0.375</v>
      </c>
      <c r="D1315" s="9" t="s">
        <v>1712</v>
      </c>
      <c r="E1315" s="11" t="s">
        <v>1713</v>
      </c>
      <c r="F1315" s="12" t="s">
        <v>1714</v>
      </c>
      <c r="G1315" s="9" t="s">
        <v>1709</v>
      </c>
    </row>
    <row r="1316" spans="1:7">
      <c r="A1316" s="9" t="s">
        <v>1711</v>
      </c>
      <c r="B1316" s="9">
        <v>0.2</v>
      </c>
      <c r="C1316" s="10">
        <v>0.11899999999999999</v>
      </c>
      <c r="D1316" s="9" t="s">
        <v>1712</v>
      </c>
      <c r="E1316" s="11" t="s">
        <v>1713</v>
      </c>
      <c r="F1316" s="12" t="s">
        <v>1714</v>
      </c>
      <c r="G1316" s="9" t="s">
        <v>1709</v>
      </c>
    </row>
    <row r="1317" spans="1:7">
      <c r="A1317" s="9" t="s">
        <v>1711</v>
      </c>
      <c r="B1317" s="9">
        <v>0.2</v>
      </c>
      <c r="C1317" s="10">
        <v>0.17599999999999999</v>
      </c>
      <c r="D1317" s="9" t="s">
        <v>1712</v>
      </c>
      <c r="E1317" s="11" t="s">
        <v>1736</v>
      </c>
      <c r="F1317" s="12" t="s">
        <v>1714</v>
      </c>
      <c r="G1317" s="9" t="s">
        <v>1709</v>
      </c>
    </row>
    <row r="1318" spans="1:7">
      <c r="A1318" s="9" t="s">
        <v>1711</v>
      </c>
      <c r="B1318" s="13">
        <v>0.2</v>
      </c>
      <c r="C1318" s="10">
        <v>-4.7E-2</v>
      </c>
      <c r="D1318" s="9" t="s">
        <v>1709</v>
      </c>
      <c r="E1318" s="11" t="s">
        <v>1710</v>
      </c>
      <c r="F1318" s="12" t="s">
        <v>1710</v>
      </c>
      <c r="G1318" s="9" t="s">
        <v>1709</v>
      </c>
    </row>
    <row r="1319" spans="1:7">
      <c r="A1319" s="9" t="s">
        <v>1711</v>
      </c>
      <c r="B1319" s="9">
        <v>0.2</v>
      </c>
      <c r="C1319" s="10">
        <v>6.9000000000000006E-2</v>
      </c>
      <c r="D1319" s="9" t="s">
        <v>1712</v>
      </c>
      <c r="E1319" s="11" t="s">
        <v>1738</v>
      </c>
      <c r="F1319" s="12" t="s">
        <v>1714</v>
      </c>
      <c r="G1319" s="9" t="s">
        <v>1709</v>
      </c>
    </row>
    <row r="1320" spans="1:7">
      <c r="A1320" s="9" t="s">
        <v>1711</v>
      </c>
      <c r="B1320" s="9">
        <v>0.2</v>
      </c>
      <c r="C1320" s="10">
        <v>1.601</v>
      </c>
      <c r="D1320" s="9" t="s">
        <v>1712</v>
      </c>
      <c r="E1320" s="11" t="s">
        <v>1740</v>
      </c>
      <c r="F1320" s="12" t="s">
        <v>1714</v>
      </c>
      <c r="G1320" s="9" t="s">
        <v>1709</v>
      </c>
    </row>
    <row r="1321" spans="1:7">
      <c r="A1321" s="9" t="s">
        <v>1711</v>
      </c>
      <c r="B1321" s="9">
        <v>0.2</v>
      </c>
      <c r="C1321" s="10">
        <v>1.601</v>
      </c>
      <c r="D1321" s="9" t="s">
        <v>1712</v>
      </c>
      <c r="E1321" s="11" t="s">
        <v>1740</v>
      </c>
      <c r="F1321" s="12" t="s">
        <v>1714</v>
      </c>
      <c r="G1321" s="9" t="s">
        <v>1709</v>
      </c>
    </row>
    <row r="1322" spans="1:7">
      <c r="A1322" s="9" t="s">
        <v>1711</v>
      </c>
      <c r="B1322" s="9">
        <v>0.2</v>
      </c>
      <c r="C1322" s="10">
        <v>1.601</v>
      </c>
      <c r="D1322" s="9" t="s">
        <v>1712</v>
      </c>
      <c r="E1322" s="11" t="s">
        <v>1740</v>
      </c>
      <c r="F1322" s="12" t="s">
        <v>1714</v>
      </c>
      <c r="G1322" s="9" t="s">
        <v>1709</v>
      </c>
    </row>
    <row r="1323" spans="1:7">
      <c r="A1323" s="9" t="s">
        <v>1711</v>
      </c>
      <c r="B1323" s="13">
        <v>0.2</v>
      </c>
      <c r="C1323" s="10">
        <v>1.601</v>
      </c>
      <c r="D1323" s="9" t="s">
        <v>1712</v>
      </c>
      <c r="E1323" s="11" t="s">
        <v>1740</v>
      </c>
      <c r="F1323" s="12" t="s">
        <v>1714</v>
      </c>
      <c r="G1323" s="9" t="s">
        <v>1709</v>
      </c>
    </row>
    <row r="1324" spans="1:7">
      <c r="A1324" s="9" t="s">
        <v>1711</v>
      </c>
      <c r="B1324" s="9">
        <v>0.2</v>
      </c>
      <c r="C1324" s="10">
        <v>1.601</v>
      </c>
      <c r="D1324" s="9" t="s">
        <v>1712</v>
      </c>
      <c r="E1324" s="11" t="s">
        <v>1740</v>
      </c>
      <c r="F1324" s="12" t="s">
        <v>1714</v>
      </c>
      <c r="G1324" s="9" t="s">
        <v>1709</v>
      </c>
    </row>
    <row r="1325" spans="1:7">
      <c r="A1325" s="9" t="s">
        <v>1711</v>
      </c>
      <c r="B1325" s="13">
        <v>0.2</v>
      </c>
      <c r="C1325" s="10">
        <v>1.601</v>
      </c>
      <c r="D1325" s="9" t="s">
        <v>1712</v>
      </c>
      <c r="E1325" s="11" t="s">
        <v>1740</v>
      </c>
      <c r="F1325" s="12" t="s">
        <v>1714</v>
      </c>
      <c r="G1325" s="9" t="s">
        <v>1709</v>
      </c>
    </row>
    <row r="1326" spans="1:7">
      <c r="A1326" s="9" t="s">
        <v>1711</v>
      </c>
      <c r="B1326" s="13">
        <v>0.2</v>
      </c>
      <c r="C1326" s="10">
        <v>1.601</v>
      </c>
      <c r="D1326" s="9" t="s">
        <v>1712</v>
      </c>
      <c r="E1326" s="11" t="s">
        <v>1740</v>
      </c>
      <c r="F1326" s="12" t="s">
        <v>1714</v>
      </c>
      <c r="G1326" s="9" t="s">
        <v>1709</v>
      </c>
    </row>
    <row r="1327" spans="1:7">
      <c r="A1327" s="9" t="s">
        <v>1711</v>
      </c>
      <c r="B1327" s="13">
        <v>0.2</v>
      </c>
      <c r="C1327" s="10">
        <v>1.601</v>
      </c>
      <c r="D1327" s="9" t="s">
        <v>1712</v>
      </c>
      <c r="E1327" s="11" t="s">
        <v>1740</v>
      </c>
      <c r="F1327" s="12" t="s">
        <v>1714</v>
      </c>
      <c r="G1327" s="9" t="s">
        <v>1709</v>
      </c>
    </row>
    <row r="1328" spans="1:7">
      <c r="A1328" s="9" t="s">
        <v>1711</v>
      </c>
      <c r="B1328" s="13">
        <v>0.2</v>
      </c>
      <c r="C1328" s="10">
        <v>1.601</v>
      </c>
      <c r="D1328" s="9" t="s">
        <v>1712</v>
      </c>
      <c r="E1328" s="11" t="s">
        <v>1740</v>
      </c>
      <c r="F1328" s="12" t="s">
        <v>1714</v>
      </c>
      <c r="G1328" s="9" t="s">
        <v>1709</v>
      </c>
    </row>
    <row r="1329" spans="1:7">
      <c r="A1329" s="9" t="s">
        <v>1711</v>
      </c>
      <c r="B1329" s="13">
        <v>0.2</v>
      </c>
      <c r="C1329" s="10">
        <v>1.601</v>
      </c>
      <c r="D1329" s="9" t="s">
        <v>1712</v>
      </c>
      <c r="E1329" s="11" t="s">
        <v>1740</v>
      </c>
      <c r="F1329" s="12" t="s">
        <v>1714</v>
      </c>
      <c r="G1329" s="9" t="s">
        <v>1709</v>
      </c>
    </row>
    <row r="1330" spans="1:7">
      <c r="A1330" s="9" t="s">
        <v>1711</v>
      </c>
      <c r="B1330" s="9">
        <v>0.2</v>
      </c>
      <c r="C1330" s="10">
        <v>9.9999999999999985E-3</v>
      </c>
      <c r="D1330" s="9" t="s">
        <v>1712</v>
      </c>
      <c r="E1330" s="11" t="s">
        <v>1736</v>
      </c>
      <c r="F1330" s="12" t="s">
        <v>1714</v>
      </c>
      <c r="G1330" s="9" t="s">
        <v>1709</v>
      </c>
    </row>
    <row r="1331" spans="1:7">
      <c r="A1331" s="9" t="s">
        <v>1711</v>
      </c>
      <c r="B1331" s="9">
        <v>0.2</v>
      </c>
      <c r="C1331" s="10">
        <v>-7.8E-2</v>
      </c>
      <c r="D1331" s="9" t="s">
        <v>1709</v>
      </c>
      <c r="E1331" s="11" t="s">
        <v>1710</v>
      </c>
      <c r="F1331" s="12" t="s">
        <v>1710</v>
      </c>
      <c r="G1331" s="9" t="s">
        <v>1709</v>
      </c>
    </row>
    <row r="1332" spans="1:7">
      <c r="A1332" s="9" t="s">
        <v>1711</v>
      </c>
      <c r="B1332" s="13">
        <v>0.2</v>
      </c>
      <c r="C1332" s="10">
        <v>-9.8000000000000004E-2</v>
      </c>
      <c r="D1332" s="9" t="s">
        <v>1709</v>
      </c>
      <c r="E1332" s="11" t="s">
        <v>1710</v>
      </c>
      <c r="F1332" s="12" t="s">
        <v>1710</v>
      </c>
      <c r="G1332" s="9" t="s">
        <v>1709</v>
      </c>
    </row>
    <row r="1333" spans="1:7">
      <c r="A1333" s="9" t="s">
        <v>1711</v>
      </c>
      <c r="B1333" s="13">
        <v>0.2</v>
      </c>
      <c r="C1333" s="10">
        <v>0.08</v>
      </c>
      <c r="D1333" s="9" t="s">
        <v>1712</v>
      </c>
      <c r="E1333" s="11" t="s">
        <v>1736</v>
      </c>
      <c r="F1333" s="12" t="s">
        <v>1714</v>
      </c>
      <c r="G1333" s="9" t="s">
        <v>1709</v>
      </c>
    </row>
    <row r="1334" spans="1:7">
      <c r="A1334" s="9" t="s">
        <v>1711</v>
      </c>
      <c r="B1334" s="13">
        <v>0.2</v>
      </c>
      <c r="C1334" s="10">
        <v>-0.10299999999999999</v>
      </c>
      <c r="D1334" s="9" t="s">
        <v>1709</v>
      </c>
      <c r="E1334" s="11" t="s">
        <v>1710</v>
      </c>
      <c r="F1334" s="12" t="s">
        <v>1710</v>
      </c>
      <c r="G1334" s="9" t="s">
        <v>1709</v>
      </c>
    </row>
    <row r="1335" spans="1:7">
      <c r="A1335" s="9" t="s">
        <v>1711</v>
      </c>
      <c r="B1335" s="13">
        <v>0.2</v>
      </c>
      <c r="C1335" s="10">
        <v>5.3999999999999999E-2</v>
      </c>
      <c r="D1335" s="9" t="s">
        <v>1712</v>
      </c>
      <c r="E1335" s="11" t="s">
        <v>1737</v>
      </c>
      <c r="F1335" s="12" t="s">
        <v>1714</v>
      </c>
      <c r="G1335" s="9" t="s">
        <v>1709</v>
      </c>
    </row>
    <row r="1336" spans="1:7">
      <c r="A1336" s="9" t="s">
        <v>1711</v>
      </c>
      <c r="B1336" s="9">
        <v>0.2</v>
      </c>
      <c r="C1336" s="10">
        <v>0.64100000000000001</v>
      </c>
      <c r="D1336" s="9" t="s">
        <v>1712</v>
      </c>
      <c r="E1336" s="11" t="s">
        <v>1713</v>
      </c>
      <c r="F1336" s="12" t="s">
        <v>1714</v>
      </c>
      <c r="G1336" s="9" t="s">
        <v>1709</v>
      </c>
    </row>
    <row r="1337" spans="1:7">
      <c r="A1337" s="9" t="s">
        <v>1711</v>
      </c>
      <c r="B1337" s="9">
        <v>0.2</v>
      </c>
      <c r="C1337" s="10">
        <v>0.23200000000000001</v>
      </c>
      <c r="D1337" s="9" t="s">
        <v>1712</v>
      </c>
      <c r="E1337" s="11" t="s">
        <v>1737</v>
      </c>
      <c r="F1337" s="12" t="s">
        <v>1714</v>
      </c>
      <c r="G1337" s="9" t="s">
        <v>1709</v>
      </c>
    </row>
    <row r="1338" spans="1:7">
      <c r="A1338" s="9" t="s">
        <v>1711</v>
      </c>
      <c r="B1338" s="9">
        <v>0.2</v>
      </c>
      <c r="C1338" s="10">
        <v>0.23200000000000001</v>
      </c>
      <c r="D1338" s="9" t="s">
        <v>1712</v>
      </c>
      <c r="E1338" s="11" t="s">
        <v>1737</v>
      </c>
      <c r="F1338" s="12" t="s">
        <v>1714</v>
      </c>
      <c r="G1338" s="9" t="s">
        <v>1709</v>
      </c>
    </row>
    <row r="1339" spans="1:7">
      <c r="A1339" s="9" t="s">
        <v>1711</v>
      </c>
      <c r="B1339" s="9">
        <v>0.2</v>
      </c>
      <c r="C1339" s="10">
        <v>0.23200000000000001</v>
      </c>
      <c r="D1339" s="9" t="s">
        <v>1712</v>
      </c>
      <c r="E1339" s="11" t="s">
        <v>1737</v>
      </c>
      <c r="F1339" s="12" t="s">
        <v>1714</v>
      </c>
      <c r="G1339" s="9" t="s">
        <v>1709</v>
      </c>
    </row>
    <row r="1340" spans="1:7">
      <c r="A1340" s="9" t="s">
        <v>1711</v>
      </c>
      <c r="B1340" s="9">
        <v>0.2</v>
      </c>
      <c r="C1340" s="10">
        <v>0.23200000000000001</v>
      </c>
      <c r="D1340" s="9" t="s">
        <v>1712</v>
      </c>
      <c r="E1340" s="11" t="s">
        <v>1737</v>
      </c>
      <c r="F1340" s="12" t="s">
        <v>1714</v>
      </c>
      <c r="G1340" s="9" t="s">
        <v>1709</v>
      </c>
    </row>
    <row r="1341" spans="1:7">
      <c r="A1341" s="9" t="s">
        <v>1711</v>
      </c>
      <c r="B1341" s="9">
        <v>0.2</v>
      </c>
      <c r="C1341" s="10">
        <v>0.23200000000000001</v>
      </c>
      <c r="D1341" s="9" t="s">
        <v>1712</v>
      </c>
      <c r="E1341" s="11" t="s">
        <v>1737</v>
      </c>
      <c r="F1341" s="12" t="s">
        <v>1714</v>
      </c>
      <c r="G1341" s="9" t="s">
        <v>1709</v>
      </c>
    </row>
    <row r="1342" spans="1:7">
      <c r="A1342" s="9" t="s">
        <v>1711</v>
      </c>
      <c r="B1342" s="9">
        <v>0.2</v>
      </c>
      <c r="C1342" s="10">
        <v>-9.9000000000000005E-2</v>
      </c>
      <c r="D1342" s="9" t="s">
        <v>1709</v>
      </c>
      <c r="E1342" s="11" t="s">
        <v>1710</v>
      </c>
      <c r="F1342" s="12" t="s">
        <v>1710</v>
      </c>
      <c r="G1342" s="9" t="s">
        <v>1709</v>
      </c>
    </row>
    <row r="1343" spans="1:7">
      <c r="A1343" s="9" t="s">
        <v>1711</v>
      </c>
      <c r="B1343" s="9">
        <v>0.2</v>
      </c>
      <c r="C1343" s="10">
        <v>1.8379999999999999</v>
      </c>
      <c r="D1343" s="9" t="s">
        <v>1712</v>
      </c>
      <c r="E1343" s="11" t="s">
        <v>1737</v>
      </c>
      <c r="F1343" s="12" t="s">
        <v>1714</v>
      </c>
      <c r="G1343" s="9" t="s">
        <v>1709</v>
      </c>
    </row>
    <row r="1344" spans="1:7">
      <c r="A1344" s="9" t="s">
        <v>1711</v>
      </c>
      <c r="B1344" s="9">
        <v>0.2</v>
      </c>
      <c r="C1344" s="10">
        <v>0.34499999999999997</v>
      </c>
      <c r="D1344" s="9" t="s">
        <v>1712</v>
      </c>
      <c r="E1344" s="11" t="s">
        <v>1737</v>
      </c>
      <c r="F1344" s="12" t="s">
        <v>1714</v>
      </c>
      <c r="G1344" s="9" t="s">
        <v>1709</v>
      </c>
    </row>
    <row r="1345" spans="1:7">
      <c r="A1345" s="9" t="s">
        <v>1711</v>
      </c>
      <c r="B1345" s="13">
        <v>0.2</v>
      </c>
      <c r="C1345" s="10">
        <v>0.51700000000000002</v>
      </c>
      <c r="D1345" s="9" t="s">
        <v>1712</v>
      </c>
      <c r="E1345" s="11" t="s">
        <v>1713</v>
      </c>
      <c r="F1345" s="12" t="s">
        <v>1714</v>
      </c>
      <c r="G1345" s="9" t="s">
        <v>1709</v>
      </c>
    </row>
    <row r="1346" spans="1:7">
      <c r="A1346" s="9" t="s">
        <v>1711</v>
      </c>
      <c r="B1346" s="13">
        <v>0.2</v>
      </c>
      <c r="C1346" s="10">
        <v>-4.7E-2</v>
      </c>
      <c r="D1346" s="9" t="s">
        <v>1709</v>
      </c>
      <c r="E1346" s="11" t="s">
        <v>1710</v>
      </c>
      <c r="F1346" s="12" t="s">
        <v>1710</v>
      </c>
      <c r="G1346" s="9" t="s">
        <v>1709</v>
      </c>
    </row>
    <row r="1347" spans="1:7">
      <c r="A1347" s="9" t="s">
        <v>1711</v>
      </c>
      <c r="B1347" s="13">
        <v>0.2</v>
      </c>
      <c r="C1347" s="10">
        <v>1.2549999999999999</v>
      </c>
      <c r="D1347" s="9" t="s">
        <v>1712</v>
      </c>
      <c r="E1347" s="11" t="s">
        <v>1737</v>
      </c>
      <c r="F1347" s="12" t="s">
        <v>1714</v>
      </c>
      <c r="G1347" s="9" t="s">
        <v>1709</v>
      </c>
    </row>
    <row r="1348" spans="1:7">
      <c r="A1348" s="9" t="s">
        <v>1711</v>
      </c>
      <c r="B1348" s="13">
        <v>0.2</v>
      </c>
      <c r="C1348" s="10">
        <v>-0.19</v>
      </c>
      <c r="D1348" s="9" t="s">
        <v>1709</v>
      </c>
      <c r="E1348" s="11" t="s">
        <v>1710</v>
      </c>
      <c r="F1348" s="12" t="s">
        <v>1710</v>
      </c>
      <c r="G1348" s="9" t="s">
        <v>1709</v>
      </c>
    </row>
    <row r="1349" spans="1:7">
      <c r="A1349" s="9" t="s">
        <v>1711</v>
      </c>
      <c r="B1349" s="13">
        <v>0.2</v>
      </c>
      <c r="C1349" s="10">
        <v>1.1819999999999999</v>
      </c>
      <c r="D1349" s="9" t="s">
        <v>1712</v>
      </c>
      <c r="E1349" s="11" t="s">
        <v>1737</v>
      </c>
      <c r="F1349" s="12" t="s">
        <v>1714</v>
      </c>
      <c r="G1349" s="9" t="s">
        <v>1709</v>
      </c>
    </row>
    <row r="1350" spans="1:7">
      <c r="A1350" s="9" t="s">
        <v>1711</v>
      </c>
      <c r="B1350" s="9">
        <v>0.2</v>
      </c>
      <c r="C1350" s="10">
        <v>1.1819999999999999</v>
      </c>
      <c r="D1350" s="9" t="s">
        <v>1712</v>
      </c>
      <c r="E1350" s="11" t="s">
        <v>1737</v>
      </c>
      <c r="F1350" s="12" t="s">
        <v>1714</v>
      </c>
      <c r="G1350" s="9" t="s">
        <v>1709</v>
      </c>
    </row>
    <row r="1351" spans="1:7">
      <c r="A1351" s="9" t="s">
        <v>1711</v>
      </c>
      <c r="B1351" s="9">
        <v>0.2</v>
      </c>
      <c r="C1351" s="10">
        <v>1.1819999999999999</v>
      </c>
      <c r="D1351" s="9" t="s">
        <v>1712</v>
      </c>
      <c r="E1351" s="11" t="s">
        <v>1737</v>
      </c>
      <c r="F1351" s="12" t="s">
        <v>1714</v>
      </c>
      <c r="G1351" s="9" t="s">
        <v>1709</v>
      </c>
    </row>
    <row r="1352" spans="1:7">
      <c r="A1352" s="9" t="s">
        <v>1711</v>
      </c>
      <c r="B1352" s="13">
        <v>0.2</v>
      </c>
      <c r="C1352" s="10">
        <v>2.1160000000000001</v>
      </c>
      <c r="D1352" s="9" t="s">
        <v>1712</v>
      </c>
      <c r="E1352" s="11" t="s">
        <v>1738</v>
      </c>
      <c r="F1352" s="12" t="s">
        <v>1714</v>
      </c>
      <c r="G1352" s="9" t="s">
        <v>1709</v>
      </c>
    </row>
    <row r="1353" spans="1:7">
      <c r="A1353" s="9" t="s">
        <v>1711</v>
      </c>
      <c r="B1353" s="13">
        <v>0.2</v>
      </c>
      <c r="C1353" s="10">
        <v>2.7479999999999998</v>
      </c>
      <c r="D1353" s="9" t="s">
        <v>1712</v>
      </c>
      <c r="E1353" s="11" t="s">
        <v>1738</v>
      </c>
      <c r="F1353" s="12" t="s">
        <v>1714</v>
      </c>
      <c r="G1353" s="9" t="s">
        <v>1709</v>
      </c>
    </row>
    <row r="1354" spans="1:7">
      <c r="A1354" s="9" t="s">
        <v>1711</v>
      </c>
      <c r="B1354" s="9">
        <v>0.2</v>
      </c>
      <c r="C1354" s="10">
        <v>1.601</v>
      </c>
      <c r="D1354" s="9" t="s">
        <v>1712</v>
      </c>
      <c r="E1354" s="11" t="s">
        <v>1737</v>
      </c>
      <c r="F1354" s="12" t="s">
        <v>1714</v>
      </c>
      <c r="G1354" s="9" t="s">
        <v>1709</v>
      </c>
    </row>
    <row r="1355" spans="1:7">
      <c r="A1355" s="9" t="s">
        <v>1711</v>
      </c>
      <c r="B1355" s="13">
        <v>0.2</v>
      </c>
      <c r="C1355" s="10">
        <v>-0.19400000000000001</v>
      </c>
      <c r="D1355" s="9" t="s">
        <v>1709</v>
      </c>
      <c r="E1355" s="11" t="s">
        <v>1710</v>
      </c>
      <c r="F1355" s="12" t="s">
        <v>1710</v>
      </c>
      <c r="G1355" s="9" t="s">
        <v>1709</v>
      </c>
    </row>
    <row r="1356" spans="1:7">
      <c r="A1356" s="9" t="s">
        <v>1711</v>
      </c>
      <c r="B1356" s="9">
        <v>0.2</v>
      </c>
      <c r="C1356" s="10">
        <v>0.55300000000000005</v>
      </c>
      <c r="D1356" s="9" t="s">
        <v>1712</v>
      </c>
      <c r="E1356" s="11" t="s">
        <v>1736</v>
      </c>
      <c r="F1356" s="12" t="s">
        <v>1714</v>
      </c>
      <c r="G1356" s="9" t="s">
        <v>1709</v>
      </c>
    </row>
    <row r="1357" spans="1:7">
      <c r="A1357" s="9" t="s">
        <v>1711</v>
      </c>
      <c r="B1357" s="9">
        <v>0.2</v>
      </c>
      <c r="C1357" s="10">
        <v>-3.1E-2</v>
      </c>
      <c r="D1357" s="9" t="s">
        <v>1709</v>
      </c>
      <c r="E1357" s="11" t="s">
        <v>1710</v>
      </c>
      <c r="F1357" s="12" t="s">
        <v>1710</v>
      </c>
      <c r="G1357" s="9" t="s">
        <v>1709</v>
      </c>
    </row>
    <row r="1358" spans="1:7">
      <c r="A1358" s="9" t="s">
        <v>1711</v>
      </c>
      <c r="B1358" s="13">
        <v>0.2</v>
      </c>
      <c r="C1358" s="10">
        <v>-3.1E-2</v>
      </c>
      <c r="D1358" s="9" t="s">
        <v>1709</v>
      </c>
      <c r="E1358" s="11" t="s">
        <v>1710</v>
      </c>
      <c r="F1358" s="12" t="s">
        <v>1710</v>
      </c>
      <c r="G1358" s="9" t="s">
        <v>1709</v>
      </c>
    </row>
    <row r="1359" spans="1:7">
      <c r="A1359" s="9" t="s">
        <v>1711</v>
      </c>
      <c r="B1359" s="9">
        <v>0.2</v>
      </c>
      <c r="C1359" s="10">
        <v>-4.1000000000000002E-2</v>
      </c>
      <c r="D1359" s="9" t="s">
        <v>1709</v>
      </c>
      <c r="E1359" s="11" t="s">
        <v>1710</v>
      </c>
      <c r="F1359" s="12" t="s">
        <v>1710</v>
      </c>
      <c r="G1359" s="9" t="s">
        <v>1709</v>
      </c>
    </row>
    <row r="1360" spans="1:7">
      <c r="A1360" s="9" t="s">
        <v>1711</v>
      </c>
      <c r="B1360" s="9">
        <v>0.2</v>
      </c>
      <c r="C1360" s="10">
        <v>0.14599999999999999</v>
      </c>
      <c r="D1360" s="9" t="s">
        <v>1712</v>
      </c>
      <c r="E1360" s="11" t="s">
        <v>1736</v>
      </c>
      <c r="F1360" s="12" t="s">
        <v>1714</v>
      </c>
      <c r="G1360" s="9" t="s">
        <v>1709</v>
      </c>
    </row>
    <row r="1361" spans="1:7">
      <c r="A1361" s="9" t="s">
        <v>1711</v>
      </c>
      <c r="B1361" s="13">
        <v>0.2</v>
      </c>
      <c r="C1361" s="10">
        <v>1.0919999999999999</v>
      </c>
      <c r="D1361" s="9" t="s">
        <v>1712</v>
      </c>
      <c r="E1361" s="11" t="s">
        <v>1737</v>
      </c>
      <c r="F1361" s="12" t="s">
        <v>1714</v>
      </c>
      <c r="G1361" s="9" t="s">
        <v>1709</v>
      </c>
    </row>
    <row r="1362" spans="1:7">
      <c r="A1362" s="9" t="s">
        <v>1711</v>
      </c>
      <c r="B1362" s="13">
        <v>0.2</v>
      </c>
      <c r="C1362" s="10">
        <v>1.0919999999999999</v>
      </c>
      <c r="D1362" s="9" t="s">
        <v>1712</v>
      </c>
      <c r="E1362" s="11" t="s">
        <v>1737</v>
      </c>
      <c r="F1362" s="12" t="s">
        <v>1714</v>
      </c>
      <c r="G1362" s="9" t="s">
        <v>1709</v>
      </c>
    </row>
    <row r="1363" spans="1:7">
      <c r="A1363" s="9" t="s">
        <v>1711</v>
      </c>
      <c r="B1363" s="9">
        <v>0.2</v>
      </c>
      <c r="C1363" s="10">
        <v>1.0919999999999999</v>
      </c>
      <c r="D1363" s="9" t="s">
        <v>1712</v>
      </c>
      <c r="E1363" s="11" t="s">
        <v>1737</v>
      </c>
      <c r="F1363" s="12" t="s">
        <v>1714</v>
      </c>
      <c r="G1363" s="9" t="s">
        <v>1709</v>
      </c>
    </row>
    <row r="1364" spans="1:7">
      <c r="A1364" s="9" t="s">
        <v>1711</v>
      </c>
      <c r="B1364" s="9">
        <v>0.2</v>
      </c>
      <c r="C1364" s="10">
        <v>1.0919999999999999</v>
      </c>
      <c r="D1364" s="9" t="s">
        <v>1712</v>
      </c>
      <c r="E1364" s="11" t="s">
        <v>1737</v>
      </c>
      <c r="F1364" s="12" t="s">
        <v>1714</v>
      </c>
      <c r="G1364" s="9" t="s">
        <v>1709</v>
      </c>
    </row>
    <row r="1365" spans="1:7">
      <c r="A1365" s="9" t="s">
        <v>1711</v>
      </c>
      <c r="B1365" s="9">
        <v>0.2</v>
      </c>
      <c r="C1365" s="10">
        <v>1.0919999999999999</v>
      </c>
      <c r="D1365" s="9" t="s">
        <v>1712</v>
      </c>
      <c r="E1365" s="11" t="s">
        <v>1737</v>
      </c>
      <c r="F1365" s="12" t="s">
        <v>1714</v>
      </c>
      <c r="G1365" s="9" t="s">
        <v>1709</v>
      </c>
    </row>
    <row r="1366" spans="1:7">
      <c r="A1366" s="9" t="s">
        <v>1711</v>
      </c>
      <c r="B1366" s="9">
        <v>0.2</v>
      </c>
      <c r="C1366" s="10">
        <v>1.0919999999999999</v>
      </c>
      <c r="D1366" s="9" t="s">
        <v>1712</v>
      </c>
      <c r="E1366" s="11" t="s">
        <v>1737</v>
      </c>
      <c r="F1366" s="12" t="s">
        <v>1714</v>
      </c>
      <c r="G1366" s="9" t="s">
        <v>1709</v>
      </c>
    </row>
    <row r="1367" spans="1:7">
      <c r="A1367" s="9" t="s">
        <v>1711</v>
      </c>
      <c r="B1367" s="9">
        <v>0.2</v>
      </c>
      <c r="C1367" s="10">
        <v>1.0919999999999999</v>
      </c>
      <c r="D1367" s="9" t="s">
        <v>1712</v>
      </c>
      <c r="E1367" s="11" t="s">
        <v>1737</v>
      </c>
      <c r="F1367" s="12" t="s">
        <v>1714</v>
      </c>
      <c r="G1367" s="9" t="s">
        <v>1709</v>
      </c>
    </row>
    <row r="1368" spans="1:7">
      <c r="A1368" s="9" t="s">
        <v>1711</v>
      </c>
      <c r="B1368" s="9">
        <v>0.2</v>
      </c>
      <c r="C1368" s="10">
        <v>1.0919999999999999</v>
      </c>
      <c r="D1368" s="9" t="s">
        <v>1712</v>
      </c>
      <c r="E1368" s="11" t="s">
        <v>1737</v>
      </c>
      <c r="F1368" s="12" t="s">
        <v>1714</v>
      </c>
      <c r="G1368" s="9" t="s">
        <v>1709</v>
      </c>
    </row>
    <row r="1369" spans="1:7">
      <c r="A1369" s="9" t="s">
        <v>1711</v>
      </c>
      <c r="B1369" s="13">
        <v>0.2</v>
      </c>
      <c r="C1369" s="10">
        <v>-6.0999999999999999E-2</v>
      </c>
      <c r="D1369" s="9" t="s">
        <v>1709</v>
      </c>
      <c r="E1369" s="11" t="s">
        <v>1710</v>
      </c>
      <c r="F1369" s="12" t="s">
        <v>1710</v>
      </c>
      <c r="G1369" s="9" t="s">
        <v>1709</v>
      </c>
    </row>
    <row r="1370" spans="1:7">
      <c r="A1370" s="9" t="s">
        <v>1711</v>
      </c>
      <c r="B1370" s="9">
        <v>0.2</v>
      </c>
      <c r="C1370" s="10">
        <v>-6.0999999999999999E-2</v>
      </c>
      <c r="D1370" s="9" t="s">
        <v>1709</v>
      </c>
      <c r="E1370" s="11" t="s">
        <v>1710</v>
      </c>
      <c r="F1370" s="12" t="s">
        <v>1710</v>
      </c>
      <c r="G1370" s="9" t="s">
        <v>1709</v>
      </c>
    </row>
    <row r="1371" spans="1:7">
      <c r="A1371" s="9" t="s">
        <v>1711</v>
      </c>
      <c r="B1371" s="13">
        <v>0.2</v>
      </c>
      <c r="C1371" s="10">
        <v>-0.124</v>
      </c>
      <c r="D1371" s="9" t="s">
        <v>1709</v>
      </c>
      <c r="E1371" s="11" t="s">
        <v>1710</v>
      </c>
      <c r="F1371" s="12" t="s">
        <v>1710</v>
      </c>
      <c r="G1371" s="9" t="s">
        <v>1709</v>
      </c>
    </row>
    <row r="1372" spans="1:7">
      <c r="A1372" s="9" t="s">
        <v>1711</v>
      </c>
      <c r="B1372" s="9">
        <v>0.2</v>
      </c>
      <c r="C1372" s="10">
        <v>-0.124</v>
      </c>
      <c r="D1372" s="9" t="s">
        <v>1709</v>
      </c>
      <c r="E1372" s="11" t="s">
        <v>1710</v>
      </c>
      <c r="F1372" s="12" t="s">
        <v>1710</v>
      </c>
      <c r="G1372" s="9" t="s">
        <v>1709</v>
      </c>
    </row>
    <row r="1373" spans="1:7">
      <c r="A1373" s="9" t="s">
        <v>1711</v>
      </c>
      <c r="B1373" s="9">
        <v>0.2</v>
      </c>
      <c r="C1373" s="10">
        <v>-0.124</v>
      </c>
      <c r="D1373" s="9" t="s">
        <v>1709</v>
      </c>
      <c r="E1373" s="11" t="s">
        <v>1710</v>
      </c>
      <c r="F1373" s="12" t="s">
        <v>1710</v>
      </c>
      <c r="G1373" s="9" t="s">
        <v>1709</v>
      </c>
    </row>
    <row r="1374" spans="1:7">
      <c r="A1374" s="9" t="s">
        <v>1711</v>
      </c>
      <c r="B1374" s="9">
        <v>0.2</v>
      </c>
      <c r="C1374" s="10">
        <v>-0.124</v>
      </c>
      <c r="D1374" s="9" t="s">
        <v>1709</v>
      </c>
      <c r="E1374" s="11" t="s">
        <v>1710</v>
      </c>
      <c r="F1374" s="12" t="s">
        <v>1710</v>
      </c>
      <c r="G1374" s="9" t="s">
        <v>1709</v>
      </c>
    </row>
    <row r="1375" spans="1:7">
      <c r="A1375" s="9" t="s">
        <v>1711</v>
      </c>
      <c r="B1375" s="9">
        <v>0.2</v>
      </c>
      <c r="C1375" s="10">
        <v>-0.124</v>
      </c>
      <c r="D1375" s="9" t="s">
        <v>1709</v>
      </c>
      <c r="E1375" s="11" t="s">
        <v>1710</v>
      </c>
      <c r="F1375" s="12" t="s">
        <v>1710</v>
      </c>
      <c r="G1375" s="9" t="s">
        <v>1709</v>
      </c>
    </row>
    <row r="1376" spans="1:7">
      <c r="A1376" s="9" t="s">
        <v>1711</v>
      </c>
      <c r="B1376" s="9">
        <v>0.2</v>
      </c>
      <c r="C1376" s="10">
        <v>-0.124</v>
      </c>
      <c r="D1376" s="9" t="s">
        <v>1709</v>
      </c>
      <c r="E1376" s="11" t="s">
        <v>1710</v>
      </c>
      <c r="F1376" s="12" t="s">
        <v>1710</v>
      </c>
      <c r="G1376" s="9" t="s">
        <v>1709</v>
      </c>
    </row>
    <row r="1377" spans="1:7">
      <c r="A1377" s="9" t="s">
        <v>1711</v>
      </c>
      <c r="B1377" s="9">
        <v>0.2</v>
      </c>
      <c r="C1377" s="10">
        <v>-0.124</v>
      </c>
      <c r="D1377" s="9" t="s">
        <v>1709</v>
      </c>
      <c r="E1377" s="11" t="s">
        <v>1710</v>
      </c>
      <c r="F1377" s="12" t="s">
        <v>1710</v>
      </c>
      <c r="G1377" s="9" t="s">
        <v>1709</v>
      </c>
    </row>
    <row r="1378" spans="1:7">
      <c r="A1378" s="9" t="s">
        <v>1711</v>
      </c>
      <c r="B1378" s="9">
        <v>0.2</v>
      </c>
      <c r="C1378" s="10">
        <v>-0.124</v>
      </c>
      <c r="D1378" s="9" t="s">
        <v>1709</v>
      </c>
      <c r="E1378" s="11" t="s">
        <v>1710</v>
      </c>
      <c r="F1378" s="12" t="s">
        <v>1710</v>
      </c>
      <c r="G1378" s="9" t="s">
        <v>1709</v>
      </c>
    </row>
    <row r="1379" spans="1:7">
      <c r="A1379" s="9" t="s">
        <v>1711</v>
      </c>
      <c r="B1379" s="9">
        <v>0.2</v>
      </c>
      <c r="C1379" s="10">
        <v>-0.124</v>
      </c>
      <c r="D1379" s="9" t="s">
        <v>1709</v>
      </c>
      <c r="E1379" s="11" t="s">
        <v>1710</v>
      </c>
      <c r="F1379" s="12" t="s">
        <v>1710</v>
      </c>
      <c r="G1379" s="9" t="s">
        <v>1709</v>
      </c>
    </row>
    <row r="1380" spans="1:7">
      <c r="A1380" s="9" t="s">
        <v>1711</v>
      </c>
      <c r="B1380" s="13">
        <v>0.2</v>
      </c>
      <c r="C1380" s="10">
        <v>-0.124</v>
      </c>
      <c r="D1380" s="9" t="s">
        <v>1709</v>
      </c>
      <c r="E1380" s="11" t="s">
        <v>1710</v>
      </c>
      <c r="F1380" s="12" t="s">
        <v>1710</v>
      </c>
      <c r="G1380" s="9" t="s">
        <v>1709</v>
      </c>
    </row>
    <row r="1381" spans="1:7">
      <c r="A1381" s="9" t="s">
        <v>1711</v>
      </c>
      <c r="B1381" s="9">
        <v>0.2</v>
      </c>
      <c r="C1381" s="10">
        <v>-0.124</v>
      </c>
      <c r="D1381" s="9" t="s">
        <v>1709</v>
      </c>
      <c r="E1381" s="11" t="s">
        <v>1710</v>
      </c>
      <c r="F1381" s="12" t="s">
        <v>1710</v>
      </c>
      <c r="G1381" s="9" t="s">
        <v>1709</v>
      </c>
    </row>
    <row r="1382" spans="1:7">
      <c r="A1382" s="9" t="s">
        <v>1711</v>
      </c>
      <c r="B1382" s="13">
        <v>0.2</v>
      </c>
      <c r="C1382" s="10">
        <v>-5.0000000000000001E-3</v>
      </c>
      <c r="D1382" s="9" t="s">
        <v>1709</v>
      </c>
      <c r="E1382" s="11" t="s">
        <v>1710</v>
      </c>
      <c r="F1382" s="12" t="s">
        <v>1710</v>
      </c>
      <c r="G1382" s="9" t="s">
        <v>1709</v>
      </c>
    </row>
    <row r="1383" spans="1:7">
      <c r="A1383" s="9" t="s">
        <v>1711</v>
      </c>
      <c r="B1383" s="9">
        <v>0.2</v>
      </c>
      <c r="C1383" s="10">
        <v>0.17799999999999999</v>
      </c>
      <c r="D1383" s="9" t="s">
        <v>1712</v>
      </c>
      <c r="E1383" s="11" t="s">
        <v>1713</v>
      </c>
      <c r="F1383" s="12" t="s">
        <v>1714</v>
      </c>
      <c r="G1383" s="9" t="s">
        <v>1709</v>
      </c>
    </row>
    <row r="1384" spans="1:7">
      <c r="A1384" s="9" t="s">
        <v>1711</v>
      </c>
      <c r="B1384" s="9">
        <v>0.2</v>
      </c>
      <c r="C1384" s="10">
        <v>1.1399999999999999</v>
      </c>
      <c r="D1384" s="9" t="s">
        <v>1712</v>
      </c>
      <c r="E1384" s="11" t="s">
        <v>1713</v>
      </c>
      <c r="F1384" s="12" t="s">
        <v>1714</v>
      </c>
      <c r="G1384" s="9" t="s">
        <v>1709</v>
      </c>
    </row>
    <row r="1385" spans="1:7">
      <c r="A1385" s="9" t="s">
        <v>1711</v>
      </c>
      <c r="B1385" s="9">
        <v>0.2</v>
      </c>
      <c r="C1385" s="10">
        <v>-6.7000000000000004E-2</v>
      </c>
      <c r="D1385" s="9" t="s">
        <v>1709</v>
      </c>
      <c r="E1385" s="11" t="s">
        <v>1710</v>
      </c>
      <c r="F1385" s="12" t="s">
        <v>1710</v>
      </c>
      <c r="G1385" s="9" t="s">
        <v>1709</v>
      </c>
    </row>
    <row r="1386" spans="1:7">
      <c r="A1386" s="9" t="s">
        <v>1711</v>
      </c>
      <c r="B1386" s="9">
        <v>0.2</v>
      </c>
      <c r="C1386" s="10">
        <v>-3.6999999999999998E-2</v>
      </c>
      <c r="D1386" s="9" t="s">
        <v>1709</v>
      </c>
      <c r="E1386" s="11" t="s">
        <v>1710</v>
      </c>
      <c r="F1386" s="12" t="s">
        <v>1710</v>
      </c>
      <c r="G1386" s="9" t="s">
        <v>1709</v>
      </c>
    </row>
    <row r="1387" spans="1:7">
      <c r="A1387" s="9" t="s">
        <v>1711</v>
      </c>
      <c r="B1387" s="9">
        <v>0.2</v>
      </c>
      <c r="C1387" s="10">
        <v>-9.1999999999999998E-2</v>
      </c>
      <c r="D1387" s="9" t="s">
        <v>1709</v>
      </c>
      <c r="E1387" s="11" t="s">
        <v>1710</v>
      </c>
      <c r="F1387" s="12" t="s">
        <v>1710</v>
      </c>
      <c r="G1387" s="9" t="s">
        <v>1709</v>
      </c>
    </row>
    <row r="1388" spans="1:7">
      <c r="A1388" s="9" t="s">
        <v>1711</v>
      </c>
      <c r="B1388" s="9">
        <v>0.2</v>
      </c>
      <c r="C1388" s="10">
        <v>1.4999999999999999E-2</v>
      </c>
      <c r="D1388" s="9" t="s">
        <v>1712</v>
      </c>
      <c r="E1388" s="11" t="s">
        <v>1713</v>
      </c>
      <c r="F1388" s="12" t="s">
        <v>1714</v>
      </c>
      <c r="G1388" s="9" t="s">
        <v>1709</v>
      </c>
    </row>
    <row r="1389" spans="1:7">
      <c r="A1389" s="9" t="s">
        <v>1711</v>
      </c>
      <c r="B1389" s="13">
        <v>0.2</v>
      </c>
      <c r="C1389" s="10">
        <v>0.17799999999999999</v>
      </c>
      <c r="D1389" s="9" t="s">
        <v>1712</v>
      </c>
      <c r="E1389" s="11" t="s">
        <v>1713</v>
      </c>
      <c r="F1389" s="12" t="s">
        <v>1714</v>
      </c>
      <c r="G1389" s="9" t="s">
        <v>1709</v>
      </c>
    </row>
    <row r="1390" spans="1:7">
      <c r="A1390" s="9" t="s">
        <v>1711</v>
      </c>
      <c r="B1390" s="9">
        <v>0.2</v>
      </c>
      <c r="C1390" s="10">
        <v>0.17799999999999999</v>
      </c>
      <c r="D1390" s="9" t="s">
        <v>1712</v>
      </c>
      <c r="E1390" s="11" t="s">
        <v>1713</v>
      </c>
      <c r="F1390" s="12" t="s">
        <v>1714</v>
      </c>
      <c r="G1390" s="9" t="s">
        <v>1709</v>
      </c>
    </row>
    <row r="1391" spans="1:7">
      <c r="A1391" s="9" t="s">
        <v>1711</v>
      </c>
      <c r="B1391" s="9">
        <v>0.2</v>
      </c>
      <c r="C1391" s="10">
        <v>-5.6000000000000001E-2</v>
      </c>
      <c r="D1391" s="9" t="s">
        <v>1709</v>
      </c>
      <c r="E1391" s="11" t="s">
        <v>1710</v>
      </c>
      <c r="F1391" s="12" t="s">
        <v>1710</v>
      </c>
      <c r="G1391" s="9" t="s">
        <v>1709</v>
      </c>
    </row>
    <row r="1392" spans="1:7">
      <c r="A1392" s="9" t="s">
        <v>1711</v>
      </c>
      <c r="B1392" s="9">
        <v>0.2</v>
      </c>
      <c r="C1392" s="10">
        <v>-5.6000000000000001E-2</v>
      </c>
      <c r="D1392" s="9" t="s">
        <v>1709</v>
      </c>
      <c r="E1392" s="11" t="s">
        <v>1710</v>
      </c>
      <c r="F1392" s="12" t="s">
        <v>1710</v>
      </c>
      <c r="G1392" s="9" t="s">
        <v>1709</v>
      </c>
    </row>
    <row r="1393" spans="1:7">
      <c r="A1393" s="9" t="s">
        <v>1711</v>
      </c>
      <c r="B1393" s="9">
        <v>0.2</v>
      </c>
      <c r="C1393" s="10">
        <v>1.109</v>
      </c>
      <c r="D1393" s="9" t="s">
        <v>1712</v>
      </c>
      <c r="E1393" s="11" t="s">
        <v>1715</v>
      </c>
      <c r="F1393" s="12" t="s">
        <v>1714</v>
      </c>
      <c r="G1393" s="9" t="s">
        <v>1709</v>
      </c>
    </row>
    <row r="1394" spans="1:7">
      <c r="A1394" s="9" t="s">
        <v>1711</v>
      </c>
      <c r="B1394" s="13">
        <v>0.2</v>
      </c>
      <c r="C1394" s="10">
        <v>1.109</v>
      </c>
      <c r="D1394" s="9" t="s">
        <v>1712</v>
      </c>
      <c r="E1394" s="11" t="s">
        <v>1715</v>
      </c>
      <c r="F1394" s="12" t="s">
        <v>1714</v>
      </c>
      <c r="G1394" s="9" t="s">
        <v>1709</v>
      </c>
    </row>
    <row r="1395" spans="1:7">
      <c r="A1395" s="9" t="s">
        <v>1711</v>
      </c>
      <c r="B1395" s="13">
        <v>0.2</v>
      </c>
      <c r="C1395" s="10">
        <v>1.109</v>
      </c>
      <c r="D1395" s="9" t="s">
        <v>1712</v>
      </c>
      <c r="E1395" s="11" t="s">
        <v>1715</v>
      </c>
      <c r="F1395" s="12" t="s">
        <v>1714</v>
      </c>
      <c r="G1395" s="9" t="s">
        <v>1709</v>
      </c>
    </row>
    <row r="1396" spans="1:7">
      <c r="A1396" s="9" t="s">
        <v>1711</v>
      </c>
      <c r="B1396" s="9">
        <v>0.2</v>
      </c>
      <c r="C1396" s="10">
        <v>2.1309999999999998</v>
      </c>
      <c r="D1396" s="9" t="s">
        <v>1712</v>
      </c>
      <c r="E1396" s="11" t="s">
        <v>1715</v>
      </c>
      <c r="F1396" s="12" t="s">
        <v>1714</v>
      </c>
      <c r="G1396" s="9" t="s">
        <v>1709</v>
      </c>
    </row>
    <row r="1397" spans="1:7">
      <c r="A1397" s="9" t="s">
        <v>1711</v>
      </c>
      <c r="B1397" s="9">
        <v>0.2</v>
      </c>
      <c r="C1397" s="10">
        <v>3.15</v>
      </c>
      <c r="D1397" s="9" t="s">
        <v>1712</v>
      </c>
      <c r="E1397" s="11" t="s">
        <v>1715</v>
      </c>
      <c r="F1397" s="12" t="s">
        <v>1714</v>
      </c>
      <c r="G1397" s="9" t="s">
        <v>1709</v>
      </c>
    </row>
    <row r="1398" spans="1:7">
      <c r="A1398" s="9" t="s">
        <v>1711</v>
      </c>
      <c r="B1398" s="9">
        <v>0.2</v>
      </c>
      <c r="C1398" s="10">
        <v>3.15</v>
      </c>
      <c r="D1398" s="9" t="s">
        <v>1712</v>
      </c>
      <c r="E1398" s="11" t="s">
        <v>1715</v>
      </c>
      <c r="F1398" s="12" t="s">
        <v>1714</v>
      </c>
      <c r="G1398" s="9" t="s">
        <v>1709</v>
      </c>
    </row>
    <row r="1399" spans="1:7">
      <c r="A1399" s="9" t="s">
        <v>1711</v>
      </c>
      <c r="B1399" s="9">
        <v>0.2</v>
      </c>
      <c r="C1399" s="10">
        <v>3.15</v>
      </c>
      <c r="D1399" s="9" t="s">
        <v>1712</v>
      </c>
      <c r="E1399" s="11" t="s">
        <v>1715</v>
      </c>
      <c r="F1399" s="12" t="s">
        <v>1714</v>
      </c>
      <c r="G1399" s="9" t="s">
        <v>1709</v>
      </c>
    </row>
    <row r="1400" spans="1:7">
      <c r="A1400" s="9" t="s">
        <v>1711</v>
      </c>
      <c r="B1400" s="9">
        <v>0.2</v>
      </c>
      <c r="C1400" s="10">
        <v>3.15</v>
      </c>
      <c r="D1400" s="9" t="s">
        <v>1712</v>
      </c>
      <c r="E1400" s="11" t="s">
        <v>1715</v>
      </c>
      <c r="F1400" s="12" t="s">
        <v>1714</v>
      </c>
      <c r="G1400" s="9" t="s">
        <v>1709</v>
      </c>
    </row>
    <row r="1401" spans="1:7">
      <c r="A1401" s="9" t="s">
        <v>1711</v>
      </c>
      <c r="B1401" s="9">
        <v>0.2</v>
      </c>
      <c r="C1401" s="10">
        <v>3.15</v>
      </c>
      <c r="D1401" s="9" t="s">
        <v>1712</v>
      </c>
      <c r="E1401" s="11" t="s">
        <v>1715</v>
      </c>
      <c r="F1401" s="12" t="s">
        <v>1714</v>
      </c>
      <c r="G1401" s="9" t="s">
        <v>1709</v>
      </c>
    </row>
    <row r="1402" spans="1:7">
      <c r="A1402" s="9" t="s">
        <v>1711</v>
      </c>
      <c r="B1402" s="9">
        <v>0.2</v>
      </c>
      <c r="C1402" s="10">
        <v>3.15</v>
      </c>
      <c r="D1402" s="9" t="s">
        <v>1712</v>
      </c>
      <c r="E1402" s="11" t="s">
        <v>1715</v>
      </c>
      <c r="F1402" s="12" t="s">
        <v>1714</v>
      </c>
      <c r="G1402" s="9" t="s">
        <v>1709</v>
      </c>
    </row>
    <row r="1403" spans="1:7">
      <c r="A1403" s="9" t="s">
        <v>1711</v>
      </c>
      <c r="B1403" s="9">
        <v>0.2</v>
      </c>
      <c r="C1403" s="10">
        <v>3.15</v>
      </c>
      <c r="D1403" s="9" t="s">
        <v>1712</v>
      </c>
      <c r="E1403" s="11" t="s">
        <v>1715</v>
      </c>
      <c r="F1403" s="12" t="s">
        <v>1714</v>
      </c>
      <c r="G1403" s="9" t="s">
        <v>1709</v>
      </c>
    </row>
    <row r="1404" spans="1:7">
      <c r="A1404" s="9" t="s">
        <v>1711</v>
      </c>
      <c r="B1404" s="9">
        <v>0.2</v>
      </c>
      <c r="C1404" s="10">
        <v>3.15</v>
      </c>
      <c r="D1404" s="9" t="s">
        <v>1712</v>
      </c>
      <c r="E1404" s="11" t="s">
        <v>1715</v>
      </c>
      <c r="F1404" s="12" t="s">
        <v>1714</v>
      </c>
      <c r="G1404" s="9" t="s">
        <v>1709</v>
      </c>
    </row>
    <row r="1405" spans="1:7">
      <c r="A1405" s="9" t="s">
        <v>1711</v>
      </c>
      <c r="B1405" s="9">
        <v>0.2</v>
      </c>
      <c r="C1405" s="10">
        <v>3.15</v>
      </c>
      <c r="D1405" s="9" t="s">
        <v>1712</v>
      </c>
      <c r="E1405" s="11" t="s">
        <v>1715</v>
      </c>
      <c r="F1405" s="12" t="s">
        <v>1714</v>
      </c>
      <c r="G1405" s="9" t="s">
        <v>1709</v>
      </c>
    </row>
    <row r="1406" spans="1:7">
      <c r="A1406" s="9" t="s">
        <v>1711</v>
      </c>
      <c r="B1406" s="9">
        <v>0.2</v>
      </c>
      <c r="C1406" s="10">
        <v>3.15</v>
      </c>
      <c r="D1406" s="9" t="s">
        <v>1712</v>
      </c>
      <c r="E1406" s="11" t="s">
        <v>1715</v>
      </c>
      <c r="F1406" s="12" t="s">
        <v>1714</v>
      </c>
      <c r="G1406" s="9" t="s">
        <v>1709</v>
      </c>
    </row>
    <row r="1407" spans="1:7">
      <c r="A1407" s="9" t="s">
        <v>1711</v>
      </c>
      <c r="B1407" s="9">
        <v>0.2</v>
      </c>
      <c r="C1407" s="10">
        <v>3.15</v>
      </c>
      <c r="D1407" s="9" t="s">
        <v>1712</v>
      </c>
      <c r="E1407" s="11" t="s">
        <v>1715</v>
      </c>
      <c r="F1407" s="12" t="s">
        <v>1714</v>
      </c>
      <c r="G1407" s="9" t="s">
        <v>1709</v>
      </c>
    </row>
    <row r="1408" spans="1:7">
      <c r="A1408" s="9" t="s">
        <v>1711</v>
      </c>
      <c r="B1408" s="9">
        <v>0.2</v>
      </c>
      <c r="C1408" s="10">
        <v>3.15</v>
      </c>
      <c r="D1408" s="9" t="s">
        <v>1712</v>
      </c>
      <c r="E1408" s="11" t="s">
        <v>1715</v>
      </c>
      <c r="F1408" s="12" t="s">
        <v>1714</v>
      </c>
      <c r="G1408" s="9" t="s">
        <v>1709</v>
      </c>
    </row>
    <row r="1409" spans="1:7">
      <c r="A1409" s="9" t="s">
        <v>1711</v>
      </c>
      <c r="B1409" s="9">
        <v>0.2</v>
      </c>
      <c r="C1409" s="10">
        <v>3.15</v>
      </c>
      <c r="D1409" s="9" t="s">
        <v>1712</v>
      </c>
      <c r="E1409" s="11" t="s">
        <v>1715</v>
      </c>
      <c r="F1409" s="12" t="s">
        <v>1714</v>
      </c>
      <c r="G1409" s="9" t="s">
        <v>1709</v>
      </c>
    </row>
    <row r="1410" spans="1:7">
      <c r="A1410" s="9" t="s">
        <v>1711</v>
      </c>
      <c r="B1410" s="9">
        <v>0.2</v>
      </c>
      <c r="C1410" s="10">
        <v>3.15</v>
      </c>
      <c r="D1410" s="9" t="s">
        <v>1712</v>
      </c>
      <c r="E1410" s="11" t="s">
        <v>1715</v>
      </c>
      <c r="F1410" s="12" t="s">
        <v>1714</v>
      </c>
      <c r="G1410" s="9" t="s">
        <v>1709</v>
      </c>
    </row>
    <row r="1411" spans="1:7">
      <c r="A1411" s="9" t="s">
        <v>1711</v>
      </c>
      <c r="B1411" s="13">
        <v>0.2</v>
      </c>
      <c r="C1411" s="10">
        <v>3.15</v>
      </c>
      <c r="D1411" s="9" t="s">
        <v>1712</v>
      </c>
      <c r="E1411" s="11" t="s">
        <v>1715</v>
      </c>
      <c r="F1411" s="12" t="s">
        <v>1714</v>
      </c>
      <c r="G1411" s="9" t="s">
        <v>1709</v>
      </c>
    </row>
    <row r="1412" spans="1:7">
      <c r="A1412" s="9" t="s">
        <v>1711</v>
      </c>
      <c r="B1412" s="13">
        <v>0.2</v>
      </c>
      <c r="C1412" s="10">
        <v>3.15</v>
      </c>
      <c r="D1412" s="9" t="s">
        <v>1712</v>
      </c>
      <c r="E1412" s="11" t="s">
        <v>1715</v>
      </c>
      <c r="F1412" s="12" t="s">
        <v>1714</v>
      </c>
      <c r="G1412" s="9" t="s">
        <v>1709</v>
      </c>
    </row>
    <row r="1413" spans="1:7">
      <c r="A1413" s="9" t="s">
        <v>1711</v>
      </c>
      <c r="B1413" s="13">
        <v>0.2</v>
      </c>
      <c r="C1413" s="10">
        <v>3.15</v>
      </c>
      <c r="D1413" s="9" t="s">
        <v>1712</v>
      </c>
      <c r="E1413" s="11" t="s">
        <v>1715</v>
      </c>
      <c r="F1413" s="12" t="s">
        <v>1714</v>
      </c>
      <c r="G1413" s="9" t="s">
        <v>1709</v>
      </c>
    </row>
    <row r="1414" spans="1:7">
      <c r="A1414" s="9" t="s">
        <v>1711</v>
      </c>
      <c r="B1414" s="13">
        <v>0.2</v>
      </c>
      <c r="C1414" s="10">
        <v>3.15</v>
      </c>
      <c r="D1414" s="9" t="s">
        <v>1712</v>
      </c>
      <c r="E1414" s="11" t="s">
        <v>1715</v>
      </c>
      <c r="F1414" s="12" t="s">
        <v>1714</v>
      </c>
      <c r="G1414" s="9" t="s">
        <v>1709</v>
      </c>
    </row>
    <row r="1415" spans="1:7">
      <c r="A1415" s="9" t="s">
        <v>1711</v>
      </c>
      <c r="B1415" s="13">
        <v>0.2</v>
      </c>
      <c r="C1415" s="10">
        <v>3.15</v>
      </c>
      <c r="D1415" s="9" t="s">
        <v>1712</v>
      </c>
      <c r="E1415" s="11" t="s">
        <v>1715</v>
      </c>
      <c r="F1415" s="12" t="s">
        <v>1714</v>
      </c>
      <c r="G1415" s="9" t="s">
        <v>1709</v>
      </c>
    </row>
    <row r="1416" spans="1:7">
      <c r="A1416" s="9" t="s">
        <v>1711</v>
      </c>
      <c r="B1416" s="13">
        <v>0.2</v>
      </c>
      <c r="C1416" s="10">
        <v>7.0000000000000001E-3</v>
      </c>
      <c r="D1416" s="9" t="s">
        <v>1712</v>
      </c>
      <c r="E1416" s="11" t="s">
        <v>1715</v>
      </c>
      <c r="F1416" s="12" t="s">
        <v>1714</v>
      </c>
      <c r="G1416" s="9" t="s">
        <v>1709</v>
      </c>
    </row>
    <row r="1417" spans="1:7">
      <c r="A1417" s="9" t="s">
        <v>1711</v>
      </c>
      <c r="B1417" s="13">
        <v>0.2</v>
      </c>
      <c r="C1417" s="10">
        <v>7.0000000000000001E-3</v>
      </c>
      <c r="D1417" s="9" t="s">
        <v>1712</v>
      </c>
      <c r="E1417" s="11" t="s">
        <v>1715</v>
      </c>
      <c r="F1417" s="12" t="s">
        <v>1714</v>
      </c>
      <c r="G1417" s="9" t="s">
        <v>1709</v>
      </c>
    </row>
    <row r="1418" spans="1:7">
      <c r="A1418" s="9" t="s">
        <v>1711</v>
      </c>
      <c r="B1418" s="13">
        <v>0.2</v>
      </c>
      <c r="C1418" s="10">
        <v>7.0000000000000001E-3</v>
      </c>
      <c r="D1418" s="9" t="s">
        <v>1712</v>
      </c>
      <c r="E1418" s="11" t="s">
        <v>1715</v>
      </c>
      <c r="F1418" s="12" t="s">
        <v>1714</v>
      </c>
      <c r="G1418" s="9" t="s">
        <v>1709</v>
      </c>
    </row>
    <row r="1419" spans="1:7">
      <c r="A1419" s="9" t="s">
        <v>1711</v>
      </c>
      <c r="B1419" s="13">
        <v>0.2</v>
      </c>
      <c r="C1419" s="10">
        <v>0.67200000000000004</v>
      </c>
      <c r="D1419" s="9" t="s">
        <v>1712</v>
      </c>
      <c r="E1419" s="11" t="s">
        <v>1736</v>
      </c>
      <c r="F1419" s="12" t="s">
        <v>1714</v>
      </c>
      <c r="G1419" s="9" t="s">
        <v>1709</v>
      </c>
    </row>
    <row r="1420" spans="1:7">
      <c r="A1420" s="9" t="s">
        <v>1711</v>
      </c>
      <c r="B1420" s="13">
        <v>0.2</v>
      </c>
      <c r="C1420" s="10">
        <v>1.0139999999999998</v>
      </c>
      <c r="D1420" s="9" t="s">
        <v>1712</v>
      </c>
      <c r="E1420" s="11" t="s">
        <v>1737</v>
      </c>
      <c r="F1420" s="12" t="s">
        <v>1714</v>
      </c>
      <c r="G1420" s="9" t="s">
        <v>1709</v>
      </c>
    </row>
    <row r="1421" spans="1:7">
      <c r="A1421" s="9" t="s">
        <v>1711</v>
      </c>
      <c r="B1421" s="9">
        <v>0.2</v>
      </c>
      <c r="C1421" s="10">
        <v>-5.8000000000000003E-2</v>
      </c>
      <c r="D1421" s="9" t="s">
        <v>1709</v>
      </c>
      <c r="E1421" s="11" t="s">
        <v>1710</v>
      </c>
      <c r="F1421" s="12" t="s">
        <v>1710</v>
      </c>
      <c r="G1421" s="9" t="s">
        <v>1709</v>
      </c>
    </row>
    <row r="1422" spans="1:7">
      <c r="A1422" s="9" t="s">
        <v>1711</v>
      </c>
      <c r="B1422" s="13">
        <v>0.2</v>
      </c>
      <c r="C1422" s="10">
        <v>-4.5999999999999999E-2</v>
      </c>
      <c r="D1422" s="9" t="s">
        <v>1709</v>
      </c>
      <c r="E1422" s="11" t="s">
        <v>1710</v>
      </c>
      <c r="F1422" s="12" t="s">
        <v>1710</v>
      </c>
      <c r="G1422" s="9" t="s">
        <v>1709</v>
      </c>
    </row>
    <row r="1423" spans="1:7">
      <c r="A1423" s="9" t="s">
        <v>1711</v>
      </c>
      <c r="B1423" s="13">
        <v>0.2</v>
      </c>
      <c r="C1423" s="10">
        <v>-7.1999999999999995E-2</v>
      </c>
      <c r="D1423" s="9" t="s">
        <v>1709</v>
      </c>
      <c r="E1423" s="11" t="s">
        <v>1710</v>
      </c>
      <c r="F1423" s="12" t="s">
        <v>1710</v>
      </c>
      <c r="G1423" s="9" t="s">
        <v>1709</v>
      </c>
    </row>
    <row r="1424" spans="1:7">
      <c r="A1424" s="9" t="s">
        <v>1711</v>
      </c>
      <c r="B1424" s="13">
        <v>0.2</v>
      </c>
      <c r="C1424" s="10">
        <v>0.154</v>
      </c>
      <c r="D1424" s="9" t="s">
        <v>1712</v>
      </c>
      <c r="E1424" s="11" t="s">
        <v>1738</v>
      </c>
      <c r="F1424" s="12" t="s">
        <v>1714</v>
      </c>
      <c r="G1424" s="9" t="s">
        <v>1709</v>
      </c>
    </row>
    <row r="1425" spans="1:7">
      <c r="A1425" s="9" t="s">
        <v>1711</v>
      </c>
      <c r="B1425" s="13">
        <v>0.2</v>
      </c>
      <c r="C1425" s="10">
        <v>0.154</v>
      </c>
      <c r="D1425" s="9" t="s">
        <v>1712</v>
      </c>
      <c r="E1425" s="11" t="s">
        <v>1738</v>
      </c>
      <c r="F1425" s="12" t="s">
        <v>1714</v>
      </c>
      <c r="G1425" s="9" t="s">
        <v>1709</v>
      </c>
    </row>
    <row r="1426" spans="1:7">
      <c r="A1426" s="9" t="s">
        <v>1711</v>
      </c>
      <c r="B1426" s="13">
        <v>0.2</v>
      </c>
      <c r="C1426" s="10">
        <v>0.154</v>
      </c>
      <c r="D1426" s="9" t="s">
        <v>1712</v>
      </c>
      <c r="E1426" s="11" t="s">
        <v>1738</v>
      </c>
      <c r="F1426" s="12" t="s">
        <v>1714</v>
      </c>
      <c r="G1426" s="9" t="s">
        <v>1709</v>
      </c>
    </row>
    <row r="1427" spans="1:7">
      <c r="A1427" s="9" t="s">
        <v>1711</v>
      </c>
      <c r="B1427" s="13">
        <v>0.2</v>
      </c>
      <c r="C1427" s="10">
        <v>0.126</v>
      </c>
      <c r="D1427" s="9" t="s">
        <v>1712</v>
      </c>
      <c r="E1427" s="11" t="s">
        <v>1738</v>
      </c>
      <c r="F1427" s="12" t="s">
        <v>1714</v>
      </c>
      <c r="G1427" s="9" t="s">
        <v>1709</v>
      </c>
    </row>
    <row r="1428" spans="1:7">
      <c r="A1428" s="9" t="s">
        <v>1711</v>
      </c>
      <c r="B1428" s="13">
        <v>0.2</v>
      </c>
      <c r="C1428" s="10">
        <v>0.14100000000000001</v>
      </c>
      <c r="D1428" s="9" t="s">
        <v>1712</v>
      </c>
      <c r="E1428" s="11" t="s">
        <v>1738</v>
      </c>
      <c r="F1428" s="12" t="s">
        <v>1714</v>
      </c>
      <c r="G1428" s="9" t="s">
        <v>1709</v>
      </c>
    </row>
    <row r="1429" spans="1:7">
      <c r="A1429" s="9" t="s">
        <v>1711</v>
      </c>
      <c r="B1429" s="13">
        <v>0.2</v>
      </c>
      <c r="C1429" s="10">
        <v>3.198</v>
      </c>
      <c r="D1429" s="9" t="s">
        <v>1712</v>
      </c>
      <c r="E1429" s="11" t="s">
        <v>1739</v>
      </c>
      <c r="F1429" s="12" t="s">
        <v>1714</v>
      </c>
      <c r="G1429" s="9" t="s">
        <v>1709</v>
      </c>
    </row>
    <row r="1430" spans="1:7">
      <c r="A1430" s="9" t="s">
        <v>1711</v>
      </c>
      <c r="B1430" s="13">
        <v>0.2</v>
      </c>
      <c r="C1430" s="10">
        <v>3.198</v>
      </c>
      <c r="D1430" s="9" t="s">
        <v>1712</v>
      </c>
      <c r="E1430" s="11" t="s">
        <v>1739</v>
      </c>
      <c r="F1430" s="12" t="s">
        <v>1714</v>
      </c>
      <c r="G1430" s="9" t="s">
        <v>1709</v>
      </c>
    </row>
    <row r="1431" spans="1:7">
      <c r="A1431" s="9" t="s">
        <v>1711</v>
      </c>
      <c r="B1431" s="13">
        <v>0.2</v>
      </c>
      <c r="C1431" s="10">
        <v>3.198</v>
      </c>
      <c r="D1431" s="9" t="s">
        <v>1712</v>
      </c>
      <c r="E1431" s="11" t="s">
        <v>1739</v>
      </c>
      <c r="F1431" s="12" t="s">
        <v>1714</v>
      </c>
      <c r="G1431" s="9" t="s">
        <v>1709</v>
      </c>
    </row>
    <row r="1432" spans="1:7">
      <c r="A1432" s="9" t="s">
        <v>1711</v>
      </c>
      <c r="B1432" s="13">
        <v>0.2</v>
      </c>
      <c r="C1432" s="10">
        <v>3.198</v>
      </c>
      <c r="D1432" s="9" t="s">
        <v>1712</v>
      </c>
      <c r="E1432" s="11" t="s">
        <v>1739</v>
      </c>
      <c r="F1432" s="12" t="s">
        <v>1714</v>
      </c>
      <c r="G1432" s="9" t="s">
        <v>1709</v>
      </c>
    </row>
    <row r="1433" spans="1:7">
      <c r="A1433" s="9" t="s">
        <v>1711</v>
      </c>
      <c r="B1433" s="13">
        <v>0.2</v>
      </c>
      <c r="C1433" s="10">
        <v>3.198</v>
      </c>
      <c r="D1433" s="9" t="s">
        <v>1712</v>
      </c>
      <c r="E1433" s="11" t="s">
        <v>1739</v>
      </c>
      <c r="F1433" s="12" t="s">
        <v>1714</v>
      </c>
      <c r="G1433" s="9" t="s">
        <v>1709</v>
      </c>
    </row>
    <row r="1434" spans="1:7">
      <c r="A1434" s="9" t="s">
        <v>1711</v>
      </c>
      <c r="B1434" s="13">
        <v>0.2</v>
      </c>
      <c r="C1434" s="10">
        <v>3.198</v>
      </c>
      <c r="D1434" s="9" t="s">
        <v>1712</v>
      </c>
      <c r="E1434" s="11" t="s">
        <v>1739</v>
      </c>
      <c r="F1434" s="12" t="s">
        <v>1714</v>
      </c>
      <c r="G1434" s="9" t="s">
        <v>1709</v>
      </c>
    </row>
    <row r="1435" spans="1:7">
      <c r="A1435" s="9" t="s">
        <v>1711</v>
      </c>
      <c r="B1435" s="13">
        <v>0.2</v>
      </c>
      <c r="C1435" s="10">
        <v>0.161</v>
      </c>
      <c r="D1435" s="9" t="s">
        <v>1712</v>
      </c>
      <c r="E1435" s="11" t="s">
        <v>1737</v>
      </c>
      <c r="F1435" s="12" t="s">
        <v>1714</v>
      </c>
      <c r="G1435" s="9" t="s">
        <v>1709</v>
      </c>
    </row>
    <row r="1436" spans="1:7">
      <c r="A1436" s="9" t="s">
        <v>1711</v>
      </c>
      <c r="B1436" s="13">
        <v>0.2</v>
      </c>
      <c r="C1436" s="10">
        <v>1.1589999999999998</v>
      </c>
      <c r="D1436" s="9" t="s">
        <v>1712</v>
      </c>
      <c r="E1436" s="11" t="s">
        <v>1737</v>
      </c>
      <c r="F1436" s="12" t="s">
        <v>1714</v>
      </c>
      <c r="G1436" s="9" t="s">
        <v>1709</v>
      </c>
    </row>
    <row r="1437" spans="1:7">
      <c r="A1437" s="9" t="s">
        <v>1711</v>
      </c>
      <c r="B1437" s="13">
        <v>0.2</v>
      </c>
      <c r="C1437" s="10">
        <v>2.1000000000000001E-2</v>
      </c>
      <c r="D1437" s="9" t="s">
        <v>1712</v>
      </c>
      <c r="E1437" s="11" t="s">
        <v>1737</v>
      </c>
      <c r="F1437" s="12" t="s">
        <v>1714</v>
      </c>
      <c r="G1437" s="9" t="s">
        <v>1709</v>
      </c>
    </row>
    <row r="1438" spans="1:7">
      <c r="A1438" s="9" t="s">
        <v>1711</v>
      </c>
      <c r="B1438" s="9">
        <v>0.2</v>
      </c>
      <c r="C1438" s="10">
        <v>2.1000000000000001E-2</v>
      </c>
      <c r="D1438" s="9" t="s">
        <v>1712</v>
      </c>
      <c r="E1438" s="11" t="s">
        <v>1737</v>
      </c>
      <c r="F1438" s="12" t="s">
        <v>1714</v>
      </c>
      <c r="G1438" s="9" t="s">
        <v>1709</v>
      </c>
    </row>
    <row r="1439" spans="1:7">
      <c r="A1439" s="9" t="s">
        <v>1711</v>
      </c>
      <c r="B1439" s="13">
        <v>0.2</v>
      </c>
      <c r="C1439" s="10">
        <v>1.1729999999999998</v>
      </c>
      <c r="D1439" s="9" t="s">
        <v>1712</v>
      </c>
      <c r="E1439" s="11" t="s">
        <v>1737</v>
      </c>
      <c r="F1439" s="12" t="s">
        <v>1714</v>
      </c>
      <c r="G1439" s="9" t="s">
        <v>1709</v>
      </c>
    </row>
    <row r="1440" spans="1:7">
      <c r="A1440" s="9" t="s">
        <v>1711</v>
      </c>
      <c r="B1440" s="13">
        <v>0.2</v>
      </c>
      <c r="C1440" s="10">
        <v>-0.16500000000000001</v>
      </c>
      <c r="D1440" s="9" t="s">
        <v>1709</v>
      </c>
      <c r="E1440" s="11" t="s">
        <v>1710</v>
      </c>
      <c r="F1440" s="12" t="s">
        <v>1710</v>
      </c>
      <c r="G1440" s="9" t="s">
        <v>1709</v>
      </c>
    </row>
    <row r="1441" spans="1:7">
      <c r="A1441" s="9" t="s">
        <v>1711</v>
      </c>
      <c r="B1441" s="13">
        <v>0.2</v>
      </c>
      <c r="C1441" s="10">
        <v>-0.16500000000000001</v>
      </c>
      <c r="D1441" s="9" t="s">
        <v>1709</v>
      </c>
      <c r="E1441" s="11" t="s">
        <v>1710</v>
      </c>
      <c r="F1441" s="12" t="s">
        <v>1710</v>
      </c>
      <c r="G1441" s="9" t="s">
        <v>1709</v>
      </c>
    </row>
    <row r="1442" spans="1:7">
      <c r="A1442" s="9" t="s">
        <v>1711</v>
      </c>
      <c r="B1442" s="13">
        <v>0.2</v>
      </c>
      <c r="C1442" s="10">
        <v>-0.16500000000000001</v>
      </c>
      <c r="D1442" s="9" t="s">
        <v>1709</v>
      </c>
      <c r="E1442" s="11" t="s">
        <v>1710</v>
      </c>
      <c r="F1442" s="12" t="s">
        <v>1710</v>
      </c>
      <c r="G1442" s="9" t="s">
        <v>1709</v>
      </c>
    </row>
    <row r="1443" spans="1:7">
      <c r="A1443" s="9" t="s">
        <v>1711</v>
      </c>
      <c r="B1443" s="13">
        <v>0.2</v>
      </c>
      <c r="C1443" s="10">
        <v>1.222</v>
      </c>
      <c r="D1443" s="9" t="s">
        <v>1712</v>
      </c>
      <c r="E1443" s="11" t="s">
        <v>1739</v>
      </c>
      <c r="F1443" s="12" t="s">
        <v>1714</v>
      </c>
      <c r="G1443" s="9" t="s">
        <v>1709</v>
      </c>
    </row>
    <row r="1444" spans="1:7">
      <c r="A1444" s="9" t="s">
        <v>1711</v>
      </c>
      <c r="B1444" s="13">
        <v>0.2</v>
      </c>
      <c r="C1444" s="10">
        <v>0.23200000000000001</v>
      </c>
      <c r="D1444" s="9" t="s">
        <v>1712</v>
      </c>
      <c r="E1444" s="11" t="s">
        <v>1738</v>
      </c>
      <c r="F1444" s="12" t="s">
        <v>1714</v>
      </c>
      <c r="G1444" s="9" t="s">
        <v>1709</v>
      </c>
    </row>
    <row r="1445" spans="1:7">
      <c r="A1445" s="9" t="s">
        <v>1711</v>
      </c>
      <c r="B1445" s="13">
        <v>0.2</v>
      </c>
      <c r="C1445" s="10">
        <v>-0.123</v>
      </c>
      <c r="D1445" s="9" t="s">
        <v>1709</v>
      </c>
      <c r="E1445" s="11" t="s">
        <v>1710</v>
      </c>
      <c r="F1445" s="12" t="s">
        <v>1710</v>
      </c>
      <c r="G1445" s="9" t="s">
        <v>1709</v>
      </c>
    </row>
    <row r="1446" spans="1:7">
      <c r="A1446" s="9" t="s">
        <v>1711</v>
      </c>
      <c r="B1446" s="13">
        <v>0.2</v>
      </c>
      <c r="C1446" s="10">
        <v>-0.123</v>
      </c>
      <c r="D1446" s="9" t="s">
        <v>1709</v>
      </c>
      <c r="E1446" s="11" t="s">
        <v>1710</v>
      </c>
      <c r="F1446" s="12" t="s">
        <v>1710</v>
      </c>
      <c r="G1446" s="9" t="s">
        <v>1709</v>
      </c>
    </row>
    <row r="1447" spans="1:7">
      <c r="A1447" s="9" t="s">
        <v>1711</v>
      </c>
      <c r="B1447" s="13">
        <v>0.2</v>
      </c>
      <c r="C1447" s="10">
        <v>2.63</v>
      </c>
      <c r="D1447" s="9" t="s">
        <v>1712</v>
      </c>
      <c r="E1447" s="11" t="s">
        <v>1737</v>
      </c>
      <c r="F1447" s="12" t="s">
        <v>1714</v>
      </c>
      <c r="G1447" s="9" t="s">
        <v>1709</v>
      </c>
    </row>
    <row r="1448" spans="1:7">
      <c r="A1448" s="9" t="s">
        <v>1711</v>
      </c>
      <c r="B1448" s="13">
        <v>0.2</v>
      </c>
      <c r="C1448" s="10">
        <v>-0.193</v>
      </c>
      <c r="D1448" s="9" t="s">
        <v>1709</v>
      </c>
      <c r="E1448" s="11" t="s">
        <v>1710</v>
      </c>
      <c r="F1448" s="12" t="s">
        <v>1710</v>
      </c>
      <c r="G1448" s="9" t="s">
        <v>1709</v>
      </c>
    </row>
    <row r="1449" spans="1:7">
      <c r="A1449" s="9" t="s">
        <v>1711</v>
      </c>
      <c r="B1449" s="13">
        <v>0.2</v>
      </c>
      <c r="C1449" s="10">
        <v>6.9000000000000006E-2</v>
      </c>
      <c r="D1449" s="9" t="s">
        <v>1712</v>
      </c>
      <c r="E1449" s="11" t="s">
        <v>1743</v>
      </c>
      <c r="F1449" s="12" t="s">
        <v>1744</v>
      </c>
      <c r="G1449" s="9" t="s">
        <v>1712</v>
      </c>
    </row>
    <row r="1450" spans="1:7">
      <c r="A1450" s="9" t="s">
        <v>1711</v>
      </c>
      <c r="B1450" s="13">
        <v>0.2</v>
      </c>
      <c r="C1450" s="10">
        <v>0.55200000000000005</v>
      </c>
      <c r="D1450" s="9" t="s">
        <v>1712</v>
      </c>
      <c r="E1450" s="11" t="s">
        <v>1737</v>
      </c>
      <c r="F1450" s="12" t="s">
        <v>1714</v>
      </c>
      <c r="G1450" s="9" t="s">
        <v>1709</v>
      </c>
    </row>
    <row r="1451" spans="1:7">
      <c r="A1451" s="9" t="s">
        <v>1711</v>
      </c>
      <c r="B1451" s="13">
        <v>0.2</v>
      </c>
      <c r="C1451" s="10">
        <v>2.7479999999999998</v>
      </c>
      <c r="D1451" s="9" t="s">
        <v>1712</v>
      </c>
      <c r="E1451" s="11" t="s">
        <v>1736</v>
      </c>
      <c r="F1451" s="12" t="s">
        <v>1714</v>
      </c>
      <c r="G1451" s="9" t="s">
        <v>1709</v>
      </c>
    </row>
    <row r="1452" spans="1:7">
      <c r="A1452" s="9" t="s">
        <v>1711</v>
      </c>
      <c r="B1452" s="13">
        <v>0.2</v>
      </c>
      <c r="C1452" s="10">
        <v>2.7479999999999998</v>
      </c>
      <c r="D1452" s="9" t="s">
        <v>1712</v>
      </c>
      <c r="E1452" s="11" t="s">
        <v>1736</v>
      </c>
      <c r="F1452" s="12" t="s">
        <v>1714</v>
      </c>
      <c r="G1452" s="9" t="s">
        <v>1709</v>
      </c>
    </row>
    <row r="1453" spans="1:7">
      <c r="A1453" s="9" t="s">
        <v>1711</v>
      </c>
      <c r="B1453" s="9">
        <v>0.2</v>
      </c>
      <c r="C1453" s="10">
        <v>-0.126</v>
      </c>
      <c r="D1453" s="9" t="s">
        <v>1709</v>
      </c>
      <c r="E1453" s="11" t="s">
        <v>1710</v>
      </c>
      <c r="F1453" s="12" t="s">
        <v>1710</v>
      </c>
      <c r="G1453" s="9" t="s">
        <v>1709</v>
      </c>
    </row>
    <row r="1454" spans="1:7">
      <c r="A1454" s="9" t="s">
        <v>1711</v>
      </c>
      <c r="B1454" s="9">
        <v>0.2</v>
      </c>
      <c r="C1454" s="10">
        <v>-0.126</v>
      </c>
      <c r="D1454" s="9" t="s">
        <v>1709</v>
      </c>
      <c r="E1454" s="11" t="s">
        <v>1710</v>
      </c>
      <c r="F1454" s="12" t="s">
        <v>1710</v>
      </c>
      <c r="G1454" s="9" t="s">
        <v>1709</v>
      </c>
    </row>
    <row r="1455" spans="1:7">
      <c r="A1455" s="9" t="s">
        <v>1711</v>
      </c>
      <c r="B1455" s="9">
        <v>0.2</v>
      </c>
      <c r="C1455" s="10">
        <v>1.2E-2</v>
      </c>
      <c r="D1455" s="9" t="s">
        <v>1712</v>
      </c>
      <c r="E1455" s="11" t="s">
        <v>1713</v>
      </c>
      <c r="F1455" s="12" t="s">
        <v>1714</v>
      </c>
      <c r="G1455" s="9" t="s">
        <v>1709</v>
      </c>
    </row>
    <row r="1456" spans="1:7">
      <c r="A1456" s="9" t="s">
        <v>1711</v>
      </c>
      <c r="B1456" s="9">
        <v>0.2</v>
      </c>
      <c r="C1456" s="10">
        <v>6.3E-2</v>
      </c>
      <c r="D1456" s="9" t="s">
        <v>1712</v>
      </c>
      <c r="E1456" s="11" t="s">
        <v>1715</v>
      </c>
      <c r="F1456" s="12" t="s">
        <v>1714</v>
      </c>
      <c r="G1456" s="9" t="s">
        <v>1709</v>
      </c>
    </row>
    <row r="1457" spans="1:7">
      <c r="A1457" s="9" t="s">
        <v>1711</v>
      </c>
      <c r="B1457" s="9">
        <v>0.2</v>
      </c>
      <c r="C1457" s="10">
        <v>6.3E-2</v>
      </c>
      <c r="D1457" s="9" t="s">
        <v>1712</v>
      </c>
      <c r="E1457" s="11" t="s">
        <v>1715</v>
      </c>
      <c r="F1457" s="12" t="s">
        <v>1714</v>
      </c>
      <c r="G1457" s="9" t="s">
        <v>1709</v>
      </c>
    </row>
    <row r="1458" spans="1:7">
      <c r="A1458" s="9" t="s">
        <v>1711</v>
      </c>
      <c r="B1458" s="9">
        <v>0.2</v>
      </c>
      <c r="C1458" s="10">
        <v>6.3E-2</v>
      </c>
      <c r="D1458" s="9" t="s">
        <v>1712</v>
      </c>
      <c r="E1458" s="11" t="s">
        <v>1715</v>
      </c>
      <c r="F1458" s="12" t="s">
        <v>1714</v>
      </c>
      <c r="G1458" s="9" t="s">
        <v>1709</v>
      </c>
    </row>
    <row r="1459" spans="1:7">
      <c r="A1459" s="9" t="s">
        <v>1711</v>
      </c>
      <c r="B1459" s="13">
        <v>0.2</v>
      </c>
      <c r="C1459" s="10">
        <v>6.3E-2</v>
      </c>
      <c r="D1459" s="9" t="s">
        <v>1712</v>
      </c>
      <c r="E1459" s="11" t="s">
        <v>1715</v>
      </c>
      <c r="F1459" s="12" t="s">
        <v>1714</v>
      </c>
      <c r="G1459" s="9" t="s">
        <v>1709</v>
      </c>
    </row>
    <row r="1460" spans="1:7">
      <c r="A1460" s="9" t="s">
        <v>1711</v>
      </c>
      <c r="B1460" s="13">
        <v>0.2</v>
      </c>
      <c r="C1460" s="10">
        <v>2.5680000000000001</v>
      </c>
      <c r="D1460" s="9" t="s">
        <v>1712</v>
      </c>
      <c r="E1460" s="11" t="s">
        <v>1715</v>
      </c>
      <c r="F1460" s="12" t="s">
        <v>1714</v>
      </c>
      <c r="G1460" s="9" t="s">
        <v>1709</v>
      </c>
    </row>
    <row r="1461" spans="1:7">
      <c r="A1461" s="9" t="s">
        <v>1711</v>
      </c>
      <c r="B1461" s="13">
        <v>0.2</v>
      </c>
      <c r="C1461" s="10">
        <v>2.5680000000000001</v>
      </c>
      <c r="D1461" s="9" t="s">
        <v>1712</v>
      </c>
      <c r="E1461" s="11" t="s">
        <v>1715</v>
      </c>
      <c r="F1461" s="12" t="s">
        <v>1714</v>
      </c>
      <c r="G1461" s="9" t="s">
        <v>1709</v>
      </c>
    </row>
    <row r="1462" spans="1:7">
      <c r="A1462" s="9" t="s">
        <v>1711</v>
      </c>
      <c r="B1462" s="13">
        <v>0.2</v>
      </c>
      <c r="C1462" s="10">
        <v>1.853</v>
      </c>
      <c r="D1462" s="9" t="s">
        <v>1712</v>
      </c>
      <c r="E1462" s="11" t="s">
        <v>1739</v>
      </c>
      <c r="F1462" s="12" t="s">
        <v>1714</v>
      </c>
      <c r="G1462" s="9" t="s">
        <v>1709</v>
      </c>
    </row>
    <row r="1463" spans="1:7">
      <c r="A1463" s="9" t="s">
        <v>1711</v>
      </c>
      <c r="B1463" s="13">
        <v>0.2</v>
      </c>
      <c r="C1463" s="10">
        <v>3.198</v>
      </c>
      <c r="D1463" s="9" t="s">
        <v>1712</v>
      </c>
      <c r="E1463" s="11" t="s">
        <v>1737</v>
      </c>
      <c r="F1463" s="12" t="s">
        <v>1714</v>
      </c>
      <c r="G1463" s="9" t="s">
        <v>1709</v>
      </c>
    </row>
    <row r="1464" spans="1:7">
      <c r="A1464" s="9" t="s">
        <v>1711</v>
      </c>
      <c r="B1464" s="13">
        <v>0.2</v>
      </c>
      <c r="C1464" s="10">
        <v>0.27800000000000002</v>
      </c>
      <c r="D1464" s="9" t="s">
        <v>1712</v>
      </c>
      <c r="E1464" s="11" t="s">
        <v>1738</v>
      </c>
      <c r="F1464" s="12" t="s">
        <v>1714</v>
      </c>
      <c r="G1464" s="9" t="s">
        <v>1709</v>
      </c>
    </row>
    <row r="1465" spans="1:7">
      <c r="A1465" s="9" t="s">
        <v>1711</v>
      </c>
      <c r="B1465" s="9">
        <v>0.2</v>
      </c>
      <c r="C1465" s="10">
        <v>-0.104</v>
      </c>
      <c r="D1465" s="9" t="s">
        <v>1709</v>
      </c>
      <c r="E1465" s="11" t="s">
        <v>1710</v>
      </c>
      <c r="F1465" s="12" t="s">
        <v>1710</v>
      </c>
      <c r="G1465" s="9" t="s">
        <v>1709</v>
      </c>
    </row>
    <row r="1466" spans="1:7">
      <c r="A1466" s="9" t="s">
        <v>1711</v>
      </c>
      <c r="B1466" s="9">
        <v>0.2</v>
      </c>
      <c r="C1466" s="10">
        <v>2.8439999999999999</v>
      </c>
      <c r="D1466" s="9" t="s">
        <v>1712</v>
      </c>
      <c r="E1466" s="11" t="s">
        <v>1737</v>
      </c>
      <c r="F1466" s="12" t="s">
        <v>1714</v>
      </c>
      <c r="G1466" s="9" t="s">
        <v>1709</v>
      </c>
    </row>
    <row r="1467" spans="1:7">
      <c r="A1467" s="9" t="s">
        <v>1711</v>
      </c>
      <c r="B1467" s="9">
        <v>0.2</v>
      </c>
      <c r="C1467" s="10">
        <v>2.323</v>
      </c>
      <c r="D1467" s="9" t="s">
        <v>1712</v>
      </c>
      <c r="E1467" s="11" t="s">
        <v>1737</v>
      </c>
      <c r="F1467" s="12" t="s">
        <v>1714</v>
      </c>
      <c r="G1467" s="9" t="s">
        <v>1709</v>
      </c>
    </row>
    <row r="1468" spans="1:7">
      <c r="A1468" s="9" t="s">
        <v>1711</v>
      </c>
      <c r="B1468" s="13">
        <v>0.2</v>
      </c>
      <c r="C1468" s="10">
        <v>0.79900000000000004</v>
      </c>
      <c r="D1468" s="9" t="s">
        <v>1712</v>
      </c>
      <c r="E1468" s="11" t="s">
        <v>1737</v>
      </c>
      <c r="F1468" s="12" t="s">
        <v>1714</v>
      </c>
      <c r="G1468" s="9" t="s">
        <v>1709</v>
      </c>
    </row>
    <row r="1469" spans="1:7">
      <c r="A1469" s="9" t="s">
        <v>1711</v>
      </c>
      <c r="B1469" s="13">
        <v>0.2</v>
      </c>
      <c r="C1469" s="10">
        <v>-3.2000000000000001E-2</v>
      </c>
      <c r="D1469" s="9" t="s">
        <v>1709</v>
      </c>
      <c r="E1469" s="11" t="s">
        <v>1710</v>
      </c>
      <c r="F1469" s="12" t="s">
        <v>1710</v>
      </c>
      <c r="G1469" s="9" t="s">
        <v>1709</v>
      </c>
    </row>
    <row r="1470" spans="1:7">
      <c r="A1470" s="9" t="s">
        <v>1711</v>
      </c>
      <c r="B1470" s="13">
        <v>0.2</v>
      </c>
      <c r="C1470" s="10">
        <v>0.13700000000000001</v>
      </c>
      <c r="D1470" s="9" t="s">
        <v>1712</v>
      </c>
      <c r="E1470" s="11" t="s">
        <v>1715</v>
      </c>
      <c r="F1470" s="12" t="s">
        <v>1714</v>
      </c>
      <c r="G1470" s="9" t="s">
        <v>1709</v>
      </c>
    </row>
    <row r="1471" spans="1:7">
      <c r="A1471" s="9" t="s">
        <v>1711</v>
      </c>
      <c r="B1471" s="13">
        <v>0.2</v>
      </c>
      <c r="C1471" s="10">
        <v>0.13700000000000001</v>
      </c>
      <c r="D1471" s="9" t="s">
        <v>1712</v>
      </c>
      <c r="E1471" s="11" t="s">
        <v>1715</v>
      </c>
      <c r="F1471" s="12" t="s">
        <v>1714</v>
      </c>
      <c r="G1471" s="9" t="s">
        <v>1709</v>
      </c>
    </row>
    <row r="1472" spans="1:7">
      <c r="A1472" s="9" t="s">
        <v>1711</v>
      </c>
      <c r="B1472" s="13">
        <v>0.2</v>
      </c>
      <c r="C1472" s="10">
        <v>0.22600000000000001</v>
      </c>
      <c r="D1472" s="9" t="s">
        <v>1712</v>
      </c>
      <c r="E1472" s="11" t="s">
        <v>1737</v>
      </c>
      <c r="F1472" s="12" t="s">
        <v>1714</v>
      </c>
      <c r="G1472" s="9" t="s">
        <v>1709</v>
      </c>
    </row>
    <row r="1473" spans="1:7">
      <c r="A1473" s="9" t="s">
        <v>1711</v>
      </c>
      <c r="B1473" s="13">
        <v>0.2</v>
      </c>
      <c r="C1473" s="10">
        <v>2.7479999999999998</v>
      </c>
      <c r="D1473" s="9" t="s">
        <v>1712</v>
      </c>
      <c r="E1473" s="11" t="s">
        <v>1737</v>
      </c>
      <c r="F1473" s="12" t="s">
        <v>1714</v>
      </c>
      <c r="G1473" s="9" t="s">
        <v>1709</v>
      </c>
    </row>
    <row r="1474" spans="1:7">
      <c r="A1474" s="9" t="s">
        <v>1711</v>
      </c>
      <c r="B1474" s="13">
        <v>0.2</v>
      </c>
      <c r="C1474" s="10">
        <v>1.819</v>
      </c>
      <c r="D1474" s="9" t="s">
        <v>1712</v>
      </c>
      <c r="E1474" s="11" t="s">
        <v>1737</v>
      </c>
      <c r="F1474" s="12" t="s">
        <v>1714</v>
      </c>
      <c r="G1474" s="9" t="s">
        <v>1709</v>
      </c>
    </row>
    <row r="1475" spans="1:7">
      <c r="A1475" s="9" t="s">
        <v>1711</v>
      </c>
      <c r="B1475" s="13">
        <v>0.2</v>
      </c>
      <c r="C1475" s="10">
        <v>1.819</v>
      </c>
      <c r="D1475" s="9" t="s">
        <v>1712</v>
      </c>
      <c r="E1475" s="11" t="s">
        <v>1737</v>
      </c>
      <c r="F1475" s="12" t="s">
        <v>1714</v>
      </c>
      <c r="G1475" s="9" t="s">
        <v>1709</v>
      </c>
    </row>
    <row r="1476" spans="1:7">
      <c r="A1476" s="9" t="s">
        <v>1711</v>
      </c>
      <c r="B1476" s="13">
        <v>0.2</v>
      </c>
      <c r="C1476" s="10">
        <v>0.86399999999999999</v>
      </c>
      <c r="D1476" s="9" t="s">
        <v>1712</v>
      </c>
      <c r="E1476" s="11" t="s">
        <v>1738</v>
      </c>
      <c r="F1476" s="12" t="s">
        <v>1714</v>
      </c>
      <c r="G1476" s="9" t="s">
        <v>1709</v>
      </c>
    </row>
    <row r="1477" spans="1:7">
      <c r="A1477" s="9" t="s">
        <v>1711</v>
      </c>
      <c r="B1477" s="13">
        <v>0.2</v>
      </c>
      <c r="C1477" s="10">
        <v>7.8E-2</v>
      </c>
      <c r="D1477" s="9" t="s">
        <v>1712</v>
      </c>
      <c r="E1477" s="11" t="s">
        <v>1739</v>
      </c>
      <c r="F1477" s="12" t="s">
        <v>1714</v>
      </c>
      <c r="G1477" s="9" t="s">
        <v>1709</v>
      </c>
    </row>
    <row r="1478" spans="1:7">
      <c r="A1478" s="9" t="s">
        <v>1711</v>
      </c>
      <c r="B1478" s="13">
        <v>0.2</v>
      </c>
      <c r="C1478" s="10">
        <v>0.56899999999999995</v>
      </c>
      <c r="D1478" s="9" t="s">
        <v>1712</v>
      </c>
      <c r="E1478" s="11" t="s">
        <v>1738</v>
      </c>
      <c r="F1478" s="12" t="s">
        <v>1714</v>
      </c>
      <c r="G1478" s="9" t="s">
        <v>1709</v>
      </c>
    </row>
    <row r="1479" spans="1:7">
      <c r="A1479" s="9" t="s">
        <v>1711</v>
      </c>
      <c r="B1479" s="13">
        <v>0.2</v>
      </c>
      <c r="C1479" s="10">
        <v>0.312</v>
      </c>
      <c r="D1479" s="9" t="s">
        <v>1712</v>
      </c>
      <c r="E1479" s="11" t="s">
        <v>1737</v>
      </c>
      <c r="F1479" s="12" t="s">
        <v>1714</v>
      </c>
      <c r="G1479" s="9" t="s">
        <v>1709</v>
      </c>
    </row>
    <row r="1480" spans="1:7">
      <c r="A1480" s="9" t="s">
        <v>1711</v>
      </c>
      <c r="B1480" s="13">
        <v>0.2</v>
      </c>
      <c r="C1480" s="10">
        <v>0.64100000000000001</v>
      </c>
      <c r="D1480" s="9" t="s">
        <v>1712</v>
      </c>
      <c r="E1480" s="11" t="s">
        <v>1738</v>
      </c>
      <c r="F1480" s="12" t="s">
        <v>1714</v>
      </c>
      <c r="G1480" s="9" t="s">
        <v>1709</v>
      </c>
    </row>
    <row r="1481" spans="1:7">
      <c r="A1481" s="9" t="s">
        <v>1711</v>
      </c>
      <c r="B1481" s="13">
        <v>0.2</v>
      </c>
      <c r="C1481" s="10">
        <v>2.2239999999999998</v>
      </c>
      <c r="D1481" s="9" t="s">
        <v>1712</v>
      </c>
      <c r="E1481" s="11" t="s">
        <v>1738</v>
      </c>
      <c r="F1481" s="12" t="s">
        <v>1714</v>
      </c>
      <c r="G1481" s="9" t="s">
        <v>1709</v>
      </c>
    </row>
    <row r="1482" spans="1:7">
      <c r="A1482" s="9" t="s">
        <v>1711</v>
      </c>
      <c r="B1482" s="13">
        <v>0.2</v>
      </c>
      <c r="C1482" s="10">
        <v>1.8659999999999999</v>
      </c>
      <c r="D1482" s="9" t="s">
        <v>1712</v>
      </c>
      <c r="E1482" s="11" t="s">
        <v>1738</v>
      </c>
      <c r="F1482" s="12" t="s">
        <v>1714</v>
      </c>
      <c r="G1482" s="9" t="s">
        <v>1709</v>
      </c>
    </row>
    <row r="1483" spans="1:7">
      <c r="A1483" s="9" t="s">
        <v>1711</v>
      </c>
      <c r="B1483" s="13">
        <v>0.2</v>
      </c>
      <c r="C1483" s="10">
        <v>0.26600000000000001</v>
      </c>
      <c r="D1483" s="9" t="s">
        <v>1712</v>
      </c>
      <c r="E1483" s="11" t="s">
        <v>1738</v>
      </c>
      <c r="F1483" s="12" t="s">
        <v>1714</v>
      </c>
      <c r="G1483" s="9" t="s">
        <v>1709</v>
      </c>
    </row>
    <row r="1484" spans="1:7">
      <c r="A1484" s="9" t="s">
        <v>1711</v>
      </c>
      <c r="B1484" s="13">
        <v>0.2</v>
      </c>
      <c r="C1484" s="10">
        <v>2.81</v>
      </c>
      <c r="D1484" s="9" t="s">
        <v>1712</v>
      </c>
      <c r="E1484" s="11" t="s">
        <v>1713</v>
      </c>
      <c r="F1484" s="12" t="s">
        <v>1714</v>
      </c>
      <c r="G1484" s="9" t="s">
        <v>1709</v>
      </c>
    </row>
    <row r="1485" spans="1:7">
      <c r="A1485" s="9" t="s">
        <v>1711</v>
      </c>
      <c r="B1485" s="13">
        <v>0.2</v>
      </c>
      <c r="C1485" s="10">
        <v>2.81</v>
      </c>
      <c r="D1485" s="9" t="s">
        <v>1712</v>
      </c>
      <c r="E1485" s="11" t="s">
        <v>1713</v>
      </c>
      <c r="F1485" s="12" t="s">
        <v>1714</v>
      </c>
      <c r="G1485" s="9" t="s">
        <v>1709</v>
      </c>
    </row>
    <row r="1486" spans="1:7">
      <c r="A1486" s="9" t="s">
        <v>1711</v>
      </c>
      <c r="B1486" s="13">
        <v>0.2</v>
      </c>
      <c r="C1486" s="10">
        <v>2.81</v>
      </c>
      <c r="D1486" s="9" t="s">
        <v>1712</v>
      </c>
      <c r="E1486" s="11" t="s">
        <v>1713</v>
      </c>
      <c r="F1486" s="12" t="s">
        <v>1714</v>
      </c>
      <c r="G1486" s="9" t="s">
        <v>1709</v>
      </c>
    </row>
    <row r="1487" spans="1:7">
      <c r="A1487" s="9" t="s">
        <v>1711</v>
      </c>
      <c r="B1487" s="13">
        <v>0.2</v>
      </c>
      <c r="C1487" s="10">
        <v>2.81</v>
      </c>
      <c r="D1487" s="9" t="s">
        <v>1712</v>
      </c>
      <c r="E1487" s="11" t="s">
        <v>1713</v>
      </c>
      <c r="F1487" s="12" t="s">
        <v>1714</v>
      </c>
      <c r="G1487" s="9" t="s">
        <v>1709</v>
      </c>
    </row>
    <row r="1488" spans="1:7">
      <c r="A1488" s="9" t="s">
        <v>1711</v>
      </c>
      <c r="B1488" s="13">
        <v>0.2</v>
      </c>
      <c r="C1488" s="10">
        <v>2.81</v>
      </c>
      <c r="D1488" s="9" t="s">
        <v>1712</v>
      </c>
      <c r="E1488" s="11" t="s">
        <v>1713</v>
      </c>
      <c r="F1488" s="12" t="s">
        <v>1714</v>
      </c>
      <c r="G1488" s="9" t="s">
        <v>1709</v>
      </c>
    </row>
    <row r="1489" spans="1:7">
      <c r="A1489" s="9" t="s">
        <v>1711</v>
      </c>
      <c r="B1489" s="13">
        <v>0.2</v>
      </c>
      <c r="C1489" s="10">
        <v>-0.16</v>
      </c>
      <c r="D1489" s="9" t="s">
        <v>1709</v>
      </c>
      <c r="E1489" s="11" t="s">
        <v>1710</v>
      </c>
      <c r="F1489" s="12" t="s">
        <v>1710</v>
      </c>
      <c r="G1489" s="9" t="s">
        <v>1709</v>
      </c>
    </row>
    <row r="1490" spans="1:7">
      <c r="A1490" s="9" t="s">
        <v>1711</v>
      </c>
      <c r="B1490" s="13">
        <v>0.2</v>
      </c>
      <c r="C1490" s="10">
        <v>-0.124</v>
      </c>
      <c r="D1490" s="9" t="s">
        <v>1709</v>
      </c>
      <c r="E1490" s="11" t="s">
        <v>1710</v>
      </c>
      <c r="F1490" s="12" t="s">
        <v>1710</v>
      </c>
      <c r="G1490" s="9" t="s">
        <v>1709</v>
      </c>
    </row>
    <row r="1491" spans="1:7">
      <c r="A1491" s="9" t="s">
        <v>1711</v>
      </c>
      <c r="B1491" s="13">
        <v>0.2</v>
      </c>
      <c r="C1491" s="10">
        <v>-0.124</v>
      </c>
      <c r="D1491" s="9" t="s">
        <v>1709</v>
      </c>
      <c r="E1491" s="11" t="s">
        <v>1710</v>
      </c>
      <c r="F1491" s="12" t="s">
        <v>1710</v>
      </c>
      <c r="G1491" s="9" t="s">
        <v>1709</v>
      </c>
    </row>
    <row r="1492" spans="1:7">
      <c r="A1492" s="9" t="s">
        <v>1711</v>
      </c>
      <c r="B1492" s="13">
        <v>0.2</v>
      </c>
      <c r="C1492" s="10">
        <v>-0.124</v>
      </c>
      <c r="D1492" s="9" t="s">
        <v>1709</v>
      </c>
      <c r="E1492" s="11" t="s">
        <v>1710</v>
      </c>
      <c r="F1492" s="12" t="s">
        <v>1710</v>
      </c>
      <c r="G1492" s="9" t="s">
        <v>1709</v>
      </c>
    </row>
    <row r="1493" spans="1:7">
      <c r="A1493" s="9" t="s">
        <v>1711</v>
      </c>
      <c r="B1493" s="13">
        <v>0.2</v>
      </c>
      <c r="C1493" s="10">
        <v>-0.124</v>
      </c>
      <c r="D1493" s="9" t="s">
        <v>1709</v>
      </c>
      <c r="E1493" s="11" t="s">
        <v>1710</v>
      </c>
      <c r="F1493" s="12" t="s">
        <v>1710</v>
      </c>
      <c r="G1493" s="9" t="s">
        <v>1709</v>
      </c>
    </row>
    <row r="1494" spans="1:7">
      <c r="A1494" s="9" t="s">
        <v>1711</v>
      </c>
      <c r="B1494" s="13">
        <v>0.2</v>
      </c>
      <c r="C1494" s="10">
        <v>-0.124</v>
      </c>
      <c r="D1494" s="9" t="s">
        <v>1709</v>
      </c>
      <c r="E1494" s="11" t="s">
        <v>1710</v>
      </c>
      <c r="F1494" s="12" t="s">
        <v>1710</v>
      </c>
      <c r="G1494" s="9" t="s">
        <v>1709</v>
      </c>
    </row>
    <row r="1495" spans="1:7">
      <c r="A1495" s="9" t="s">
        <v>1711</v>
      </c>
      <c r="B1495" s="13">
        <v>0.2</v>
      </c>
      <c r="C1495" s="10">
        <v>-0.124</v>
      </c>
      <c r="D1495" s="9" t="s">
        <v>1709</v>
      </c>
      <c r="E1495" s="11" t="s">
        <v>1710</v>
      </c>
      <c r="F1495" s="12" t="s">
        <v>1710</v>
      </c>
      <c r="G1495" s="9" t="s">
        <v>1709</v>
      </c>
    </row>
    <row r="1496" spans="1:7">
      <c r="A1496" s="9" t="s">
        <v>1711</v>
      </c>
      <c r="B1496" s="13">
        <v>0.2</v>
      </c>
      <c r="C1496" s="10">
        <v>-0.124</v>
      </c>
      <c r="D1496" s="9" t="s">
        <v>1709</v>
      </c>
      <c r="E1496" s="11" t="s">
        <v>1710</v>
      </c>
      <c r="F1496" s="12" t="s">
        <v>1710</v>
      </c>
      <c r="G1496" s="9" t="s">
        <v>1709</v>
      </c>
    </row>
    <row r="1497" spans="1:7">
      <c r="A1497" s="9" t="s">
        <v>1711</v>
      </c>
      <c r="B1497" s="13">
        <v>0.2</v>
      </c>
      <c r="C1497" s="10">
        <v>-0.124</v>
      </c>
      <c r="D1497" s="9" t="s">
        <v>1709</v>
      </c>
      <c r="E1497" s="11" t="s">
        <v>1710</v>
      </c>
      <c r="F1497" s="12" t="s">
        <v>1710</v>
      </c>
      <c r="G1497" s="9" t="s">
        <v>1709</v>
      </c>
    </row>
    <row r="1498" spans="1:7">
      <c r="A1498" s="9" t="s">
        <v>1711</v>
      </c>
      <c r="B1498" s="13">
        <v>0.2</v>
      </c>
      <c r="C1498" s="10">
        <v>0.53700000000000003</v>
      </c>
      <c r="D1498" s="9" t="s">
        <v>1712</v>
      </c>
      <c r="E1498" s="11" t="s">
        <v>1713</v>
      </c>
      <c r="F1498" s="12" t="s">
        <v>1714</v>
      </c>
      <c r="G1498" s="9" t="s">
        <v>1709</v>
      </c>
    </row>
    <row r="1499" spans="1:7">
      <c r="A1499" s="9" t="s">
        <v>1711</v>
      </c>
      <c r="B1499" s="13">
        <v>0.2</v>
      </c>
      <c r="C1499" s="10">
        <v>0.53700000000000003</v>
      </c>
      <c r="D1499" s="9" t="s">
        <v>1712</v>
      </c>
      <c r="E1499" s="11" t="s">
        <v>1713</v>
      </c>
      <c r="F1499" s="12" t="s">
        <v>1714</v>
      </c>
      <c r="G1499" s="9" t="s">
        <v>1709</v>
      </c>
    </row>
    <row r="1500" spans="1:7">
      <c r="A1500" s="9" t="s">
        <v>1711</v>
      </c>
      <c r="B1500" s="13">
        <v>0.2</v>
      </c>
      <c r="C1500" s="10">
        <v>0.57599999999999996</v>
      </c>
      <c r="D1500" s="9" t="s">
        <v>1712</v>
      </c>
      <c r="E1500" s="11" t="s">
        <v>1713</v>
      </c>
      <c r="F1500" s="12" t="s">
        <v>1714</v>
      </c>
      <c r="G1500" s="9" t="s">
        <v>1709</v>
      </c>
    </row>
    <row r="1501" spans="1:7">
      <c r="A1501" s="9" t="s">
        <v>1711</v>
      </c>
      <c r="B1501" s="9">
        <v>0.2</v>
      </c>
      <c r="C1501" s="10">
        <v>0.54700000000000004</v>
      </c>
      <c r="D1501" s="9" t="s">
        <v>1712</v>
      </c>
      <c r="E1501" s="11" t="s">
        <v>1713</v>
      </c>
      <c r="F1501" s="12" t="s">
        <v>1714</v>
      </c>
      <c r="G1501" s="9" t="s">
        <v>1709</v>
      </c>
    </row>
    <row r="1502" spans="1:7">
      <c r="A1502" s="9" t="s">
        <v>1711</v>
      </c>
      <c r="B1502" s="9">
        <v>0.2</v>
      </c>
      <c r="C1502" s="10">
        <v>1.3999999999999999E-2</v>
      </c>
      <c r="D1502" s="9" t="s">
        <v>1712</v>
      </c>
      <c r="E1502" s="11" t="s">
        <v>1737</v>
      </c>
      <c r="F1502" s="12" t="s">
        <v>1714</v>
      </c>
      <c r="G1502" s="9" t="s">
        <v>1709</v>
      </c>
    </row>
    <row r="1503" spans="1:7">
      <c r="A1503" s="9" t="s">
        <v>1711</v>
      </c>
      <c r="B1503" s="9">
        <v>0.2</v>
      </c>
      <c r="C1503" s="10">
        <v>1.601</v>
      </c>
      <c r="D1503" s="9" t="s">
        <v>1712</v>
      </c>
      <c r="E1503" s="11" t="s">
        <v>1737</v>
      </c>
      <c r="F1503" s="12" t="s">
        <v>1714</v>
      </c>
      <c r="G1503" s="9" t="s">
        <v>1709</v>
      </c>
    </row>
    <row r="1504" spans="1:7">
      <c r="A1504" s="9" t="s">
        <v>1711</v>
      </c>
      <c r="B1504" s="9">
        <v>0.2</v>
      </c>
      <c r="C1504" s="10">
        <v>1.601</v>
      </c>
      <c r="D1504" s="9" t="s">
        <v>1712</v>
      </c>
      <c r="E1504" s="11" t="s">
        <v>1737</v>
      </c>
      <c r="F1504" s="12" t="s">
        <v>1714</v>
      </c>
      <c r="G1504" s="9" t="s">
        <v>1709</v>
      </c>
    </row>
    <row r="1505" spans="1:7">
      <c r="A1505" s="9" t="s">
        <v>1711</v>
      </c>
      <c r="B1505" s="9">
        <v>0.2</v>
      </c>
      <c r="C1505" s="10">
        <v>1.6289999999999998</v>
      </c>
      <c r="D1505" s="9" t="s">
        <v>1712</v>
      </c>
      <c r="E1505" s="11" t="s">
        <v>1713</v>
      </c>
      <c r="F1505" s="12" t="s">
        <v>1714</v>
      </c>
      <c r="G1505" s="9" t="s">
        <v>1709</v>
      </c>
    </row>
    <row r="1506" spans="1:7">
      <c r="A1506" s="9" t="s">
        <v>1711</v>
      </c>
      <c r="B1506" s="13">
        <v>0.2</v>
      </c>
      <c r="C1506" s="10">
        <v>1.6289999999999998</v>
      </c>
      <c r="D1506" s="9" t="s">
        <v>1712</v>
      </c>
      <c r="E1506" s="11" t="s">
        <v>1713</v>
      </c>
      <c r="F1506" s="12" t="s">
        <v>1714</v>
      </c>
      <c r="G1506" s="9" t="s">
        <v>1709</v>
      </c>
    </row>
    <row r="1507" spans="1:7">
      <c r="A1507" s="9" t="s">
        <v>1711</v>
      </c>
      <c r="B1507" s="13">
        <v>0.2</v>
      </c>
      <c r="C1507" s="10">
        <v>-0.126</v>
      </c>
      <c r="D1507" s="9" t="s">
        <v>1709</v>
      </c>
      <c r="E1507" s="11" t="s">
        <v>1710</v>
      </c>
      <c r="F1507" s="12" t="s">
        <v>1710</v>
      </c>
      <c r="G1507" s="9" t="s">
        <v>1709</v>
      </c>
    </row>
    <row r="1508" spans="1:7">
      <c r="A1508" s="9" t="s">
        <v>1711</v>
      </c>
      <c r="B1508" s="13">
        <v>0.2</v>
      </c>
      <c r="C1508" s="10">
        <v>-0.126</v>
      </c>
      <c r="D1508" s="9" t="s">
        <v>1709</v>
      </c>
      <c r="E1508" s="11" t="s">
        <v>1710</v>
      </c>
      <c r="F1508" s="12" t="s">
        <v>1710</v>
      </c>
      <c r="G1508" s="9" t="s">
        <v>1709</v>
      </c>
    </row>
    <row r="1509" spans="1:7">
      <c r="A1509" s="9" t="s">
        <v>1711</v>
      </c>
      <c r="B1509" s="13">
        <v>0.2</v>
      </c>
      <c r="C1509" s="10">
        <v>-0.126</v>
      </c>
      <c r="D1509" s="9" t="s">
        <v>1709</v>
      </c>
      <c r="E1509" s="11" t="s">
        <v>1710</v>
      </c>
      <c r="F1509" s="12" t="s">
        <v>1710</v>
      </c>
      <c r="G1509" s="9" t="s">
        <v>1709</v>
      </c>
    </row>
    <row r="1510" spans="1:7">
      <c r="A1510" s="9" t="s">
        <v>1711</v>
      </c>
      <c r="B1510" s="13">
        <v>0.2</v>
      </c>
      <c r="C1510" s="10">
        <v>-0.126</v>
      </c>
      <c r="D1510" s="9" t="s">
        <v>1709</v>
      </c>
      <c r="E1510" s="11" t="s">
        <v>1710</v>
      </c>
      <c r="F1510" s="12" t="s">
        <v>1710</v>
      </c>
      <c r="G1510" s="9" t="s">
        <v>1709</v>
      </c>
    </row>
    <row r="1511" spans="1:7">
      <c r="A1511" s="9" t="s">
        <v>1711</v>
      </c>
      <c r="B1511" s="13">
        <v>0.2</v>
      </c>
      <c r="C1511" s="10">
        <v>-0.126</v>
      </c>
      <c r="D1511" s="9" t="s">
        <v>1709</v>
      </c>
      <c r="E1511" s="11" t="s">
        <v>1710</v>
      </c>
      <c r="F1511" s="12" t="s">
        <v>1710</v>
      </c>
      <c r="G1511" s="9" t="s">
        <v>1709</v>
      </c>
    </row>
    <row r="1512" spans="1:7">
      <c r="A1512" s="9" t="s">
        <v>1711</v>
      </c>
      <c r="B1512" s="13">
        <v>0.2</v>
      </c>
      <c r="C1512" s="10">
        <v>0.10100000000000001</v>
      </c>
      <c r="D1512" s="9" t="s">
        <v>1712</v>
      </c>
      <c r="E1512" s="11" t="s">
        <v>1737</v>
      </c>
      <c r="F1512" s="12" t="s">
        <v>1714</v>
      </c>
      <c r="G1512" s="9" t="s">
        <v>1709</v>
      </c>
    </row>
    <row r="1513" spans="1:7">
      <c r="A1513" s="9" t="s">
        <v>1711</v>
      </c>
      <c r="B1513" s="13">
        <v>0.2</v>
      </c>
      <c r="C1513" s="10">
        <v>5.1000000000000004E-2</v>
      </c>
      <c r="D1513" s="9" t="s">
        <v>1712</v>
      </c>
      <c r="E1513" s="11" t="s">
        <v>1715</v>
      </c>
      <c r="F1513" s="12" t="s">
        <v>1714</v>
      </c>
      <c r="G1513" s="9" t="s">
        <v>1709</v>
      </c>
    </row>
    <row r="1514" spans="1:7">
      <c r="A1514" s="9" t="s">
        <v>1711</v>
      </c>
      <c r="B1514" s="13">
        <v>0.2</v>
      </c>
      <c r="C1514" s="10">
        <v>1.222</v>
      </c>
      <c r="D1514" s="9" t="s">
        <v>1712</v>
      </c>
      <c r="E1514" s="11" t="s">
        <v>1737</v>
      </c>
      <c r="F1514" s="12" t="s">
        <v>1714</v>
      </c>
      <c r="G1514" s="9" t="s">
        <v>1709</v>
      </c>
    </row>
    <row r="1515" spans="1:7">
      <c r="A1515" s="9" t="s">
        <v>1711</v>
      </c>
      <c r="B1515" s="13">
        <v>0.2</v>
      </c>
      <c r="C1515" s="10">
        <v>-6.7000000000000004E-2</v>
      </c>
      <c r="D1515" s="9" t="s">
        <v>1709</v>
      </c>
      <c r="E1515" s="11" t="s">
        <v>1710</v>
      </c>
      <c r="F1515" s="12" t="s">
        <v>1710</v>
      </c>
      <c r="G1515" s="9" t="s">
        <v>1709</v>
      </c>
    </row>
    <row r="1516" spans="1:7">
      <c r="A1516" s="9" t="s">
        <v>1711</v>
      </c>
      <c r="B1516" s="13">
        <v>0.2</v>
      </c>
      <c r="C1516" s="10">
        <v>-4.5999999999999999E-2</v>
      </c>
      <c r="D1516" s="9" t="s">
        <v>1709</v>
      </c>
      <c r="E1516" s="11" t="s">
        <v>1710</v>
      </c>
      <c r="F1516" s="12" t="s">
        <v>1710</v>
      </c>
      <c r="G1516" s="9" t="s">
        <v>1709</v>
      </c>
    </row>
    <row r="1517" spans="1:7">
      <c r="A1517" s="9" t="s">
        <v>1711</v>
      </c>
      <c r="B1517" s="13">
        <v>0.2</v>
      </c>
      <c r="C1517" s="10">
        <v>-7.1999999999999995E-2</v>
      </c>
      <c r="D1517" s="9" t="s">
        <v>1709</v>
      </c>
      <c r="E1517" s="11" t="s">
        <v>1710</v>
      </c>
      <c r="F1517" s="12" t="s">
        <v>1710</v>
      </c>
      <c r="G1517" s="9" t="s">
        <v>1709</v>
      </c>
    </row>
    <row r="1518" spans="1:7">
      <c r="A1518" s="9" t="s">
        <v>1711</v>
      </c>
      <c r="B1518" s="13">
        <v>0.2</v>
      </c>
      <c r="C1518" s="10">
        <v>0.23200000000000001</v>
      </c>
      <c r="D1518" s="9" t="s">
        <v>1712</v>
      </c>
      <c r="E1518" s="11" t="s">
        <v>1736</v>
      </c>
      <c r="F1518" s="12" t="s">
        <v>1714</v>
      </c>
      <c r="G1518" s="9" t="s">
        <v>1709</v>
      </c>
    </row>
    <row r="1519" spans="1:7">
      <c r="A1519" s="9" t="s">
        <v>1711</v>
      </c>
      <c r="B1519" s="13">
        <v>0.2</v>
      </c>
      <c r="C1519" s="10">
        <v>0.23200000000000001</v>
      </c>
      <c r="D1519" s="9" t="s">
        <v>1712</v>
      </c>
      <c r="E1519" s="11" t="s">
        <v>1736</v>
      </c>
      <c r="F1519" s="12" t="s">
        <v>1714</v>
      </c>
      <c r="G1519" s="9" t="s">
        <v>1709</v>
      </c>
    </row>
    <row r="1520" spans="1:7">
      <c r="A1520" s="9" t="s">
        <v>1711</v>
      </c>
      <c r="B1520" s="13">
        <v>0.2</v>
      </c>
      <c r="C1520" s="10">
        <v>0.23200000000000001</v>
      </c>
      <c r="D1520" s="9" t="s">
        <v>1712</v>
      </c>
      <c r="E1520" s="11" t="s">
        <v>1736</v>
      </c>
      <c r="F1520" s="12" t="s">
        <v>1714</v>
      </c>
      <c r="G1520" s="9" t="s">
        <v>1709</v>
      </c>
    </row>
    <row r="1521" spans="1:7">
      <c r="A1521" s="9" t="s">
        <v>1711</v>
      </c>
      <c r="B1521" s="13">
        <v>0.2</v>
      </c>
      <c r="C1521" s="10">
        <v>-0.10100000000000001</v>
      </c>
      <c r="D1521" s="9" t="s">
        <v>1709</v>
      </c>
      <c r="E1521" s="11" t="s">
        <v>1710</v>
      </c>
      <c r="F1521" s="12" t="s">
        <v>1710</v>
      </c>
      <c r="G1521" s="9" t="s">
        <v>1709</v>
      </c>
    </row>
    <row r="1522" spans="1:7">
      <c r="A1522" s="9" t="s">
        <v>1711</v>
      </c>
      <c r="B1522" s="13">
        <v>0.2</v>
      </c>
      <c r="C1522" s="10">
        <v>0.52900000000000003</v>
      </c>
      <c r="D1522" s="9" t="s">
        <v>1712</v>
      </c>
      <c r="E1522" s="11" t="s">
        <v>1739</v>
      </c>
      <c r="F1522" s="12" t="s">
        <v>1714</v>
      </c>
      <c r="G1522" s="9" t="s">
        <v>1709</v>
      </c>
    </row>
    <row r="1523" spans="1:7">
      <c r="A1523" s="9" t="s">
        <v>1711</v>
      </c>
      <c r="B1523" s="13">
        <v>0.2</v>
      </c>
      <c r="C1523" s="10">
        <v>1.601</v>
      </c>
      <c r="D1523" s="9" t="s">
        <v>1712</v>
      </c>
      <c r="E1523" s="11" t="s">
        <v>1737</v>
      </c>
      <c r="F1523" s="12" t="s">
        <v>1714</v>
      </c>
      <c r="G1523" s="9" t="s">
        <v>1709</v>
      </c>
    </row>
    <row r="1524" spans="1:7">
      <c r="A1524" s="9" t="s">
        <v>1711</v>
      </c>
      <c r="B1524" s="13">
        <v>0.2</v>
      </c>
      <c r="C1524" s="10">
        <v>0.64100000000000001</v>
      </c>
      <c r="D1524" s="9" t="s">
        <v>1712</v>
      </c>
      <c r="E1524" s="11" t="s">
        <v>1738</v>
      </c>
      <c r="F1524" s="12" t="s">
        <v>1714</v>
      </c>
      <c r="G1524" s="9" t="s">
        <v>1709</v>
      </c>
    </row>
    <row r="1525" spans="1:7">
      <c r="A1525" s="9" t="s">
        <v>1711</v>
      </c>
      <c r="B1525" s="13">
        <v>0.2</v>
      </c>
      <c r="C1525" s="10">
        <v>0.375</v>
      </c>
      <c r="D1525" s="9" t="s">
        <v>1712</v>
      </c>
      <c r="E1525" s="11" t="s">
        <v>1738</v>
      </c>
      <c r="F1525" s="12" t="s">
        <v>1714</v>
      </c>
      <c r="G1525" s="9" t="s">
        <v>1709</v>
      </c>
    </row>
    <row r="1526" spans="1:7">
      <c r="A1526" s="9" t="s">
        <v>1711</v>
      </c>
      <c r="B1526" s="13">
        <v>0.2</v>
      </c>
      <c r="C1526" s="10">
        <v>2.7479999999999998</v>
      </c>
      <c r="D1526" s="9" t="s">
        <v>1712</v>
      </c>
      <c r="E1526" s="11" t="s">
        <v>1736</v>
      </c>
      <c r="F1526" s="12" t="s">
        <v>1714</v>
      </c>
      <c r="G1526" s="9" t="s">
        <v>1709</v>
      </c>
    </row>
    <row r="1527" spans="1:7">
      <c r="A1527" s="9" t="s">
        <v>1711</v>
      </c>
      <c r="B1527" s="13">
        <v>0.2</v>
      </c>
      <c r="C1527" s="10">
        <v>1.1819999999999999</v>
      </c>
      <c r="D1527" s="9" t="s">
        <v>1712</v>
      </c>
      <c r="E1527" s="11" t="s">
        <v>1739</v>
      </c>
      <c r="F1527" s="12" t="s">
        <v>1714</v>
      </c>
      <c r="G1527" s="9" t="s">
        <v>1709</v>
      </c>
    </row>
    <row r="1528" spans="1:7">
      <c r="A1528" s="9" t="s">
        <v>1711</v>
      </c>
      <c r="B1528" s="9">
        <v>0.2</v>
      </c>
      <c r="C1528" s="10">
        <v>6.9000000000000006E-2</v>
      </c>
      <c r="D1528" s="9" t="s">
        <v>1712</v>
      </c>
      <c r="E1528" s="11" t="s">
        <v>1715</v>
      </c>
      <c r="F1528" s="12" t="s">
        <v>1714</v>
      </c>
      <c r="G1528" s="9" t="s">
        <v>1709</v>
      </c>
    </row>
    <row r="1529" spans="1:7">
      <c r="A1529" s="9" t="s">
        <v>1711</v>
      </c>
      <c r="B1529" s="9">
        <v>0.2</v>
      </c>
      <c r="C1529" s="10">
        <v>-9.9999999999999985E-3</v>
      </c>
      <c r="D1529" s="9" t="s">
        <v>1709</v>
      </c>
      <c r="E1529" s="11" t="s">
        <v>1710</v>
      </c>
      <c r="F1529" s="12" t="s">
        <v>1710</v>
      </c>
      <c r="G1529" s="9" t="s">
        <v>1709</v>
      </c>
    </row>
    <row r="1530" spans="1:7">
      <c r="A1530" s="9" t="s">
        <v>1711</v>
      </c>
      <c r="B1530" s="9">
        <v>0.2</v>
      </c>
      <c r="C1530" s="10">
        <v>4.1000000000000002E-2</v>
      </c>
      <c r="D1530" s="9" t="s">
        <v>1712</v>
      </c>
      <c r="E1530" s="11" t="s">
        <v>1737</v>
      </c>
      <c r="F1530" s="12" t="s">
        <v>1714</v>
      </c>
      <c r="G1530" s="9" t="s">
        <v>1709</v>
      </c>
    </row>
    <row r="1531" spans="1:7">
      <c r="A1531" s="9" t="s">
        <v>1711</v>
      </c>
      <c r="B1531" s="9">
        <v>0.2</v>
      </c>
      <c r="C1531" s="10">
        <v>4.1000000000000002E-2</v>
      </c>
      <c r="D1531" s="9" t="s">
        <v>1712</v>
      </c>
      <c r="E1531" s="11" t="s">
        <v>1737</v>
      </c>
      <c r="F1531" s="12" t="s">
        <v>1714</v>
      </c>
      <c r="G1531" s="9" t="s">
        <v>1709</v>
      </c>
    </row>
    <row r="1532" spans="1:7">
      <c r="A1532" s="9" t="s">
        <v>1711</v>
      </c>
      <c r="B1532" s="9">
        <v>0.2</v>
      </c>
      <c r="C1532" s="10">
        <v>4.1000000000000002E-2</v>
      </c>
      <c r="D1532" s="9" t="s">
        <v>1712</v>
      </c>
      <c r="E1532" s="11" t="s">
        <v>1737</v>
      </c>
      <c r="F1532" s="12" t="s">
        <v>1714</v>
      </c>
      <c r="G1532" s="9" t="s">
        <v>1709</v>
      </c>
    </row>
    <row r="1533" spans="1:7">
      <c r="A1533" s="9" t="s">
        <v>1711</v>
      </c>
      <c r="B1533" s="9">
        <v>0.2</v>
      </c>
      <c r="C1533" s="10">
        <v>4.1000000000000002E-2</v>
      </c>
      <c r="D1533" s="9" t="s">
        <v>1712</v>
      </c>
      <c r="E1533" s="11" t="s">
        <v>1737</v>
      </c>
      <c r="F1533" s="12" t="s">
        <v>1714</v>
      </c>
      <c r="G1533" s="9" t="s">
        <v>1709</v>
      </c>
    </row>
    <row r="1534" spans="1:7">
      <c r="A1534" s="9" t="s">
        <v>1711</v>
      </c>
      <c r="B1534" s="9">
        <v>0.2</v>
      </c>
      <c r="C1534" s="10">
        <v>-0.126</v>
      </c>
      <c r="D1534" s="9" t="s">
        <v>1709</v>
      </c>
      <c r="E1534" s="11" t="s">
        <v>1710</v>
      </c>
      <c r="F1534" s="12" t="s">
        <v>1710</v>
      </c>
      <c r="G1534" s="9" t="s">
        <v>1709</v>
      </c>
    </row>
    <row r="1535" spans="1:7">
      <c r="A1535" s="9" t="s">
        <v>1711</v>
      </c>
      <c r="B1535" s="9">
        <v>0.2</v>
      </c>
      <c r="C1535" s="10">
        <v>0.10100000000000001</v>
      </c>
      <c r="D1535" s="9" t="s">
        <v>1712</v>
      </c>
      <c r="E1535" s="11" t="s">
        <v>1737</v>
      </c>
      <c r="F1535" s="12" t="s">
        <v>1714</v>
      </c>
      <c r="G1535" s="9" t="s">
        <v>1709</v>
      </c>
    </row>
    <row r="1536" spans="1:7">
      <c r="A1536" s="9" t="s">
        <v>1711</v>
      </c>
      <c r="B1536" s="9">
        <v>0.2</v>
      </c>
      <c r="C1536" s="10">
        <v>0.10100000000000001</v>
      </c>
      <c r="D1536" s="9" t="s">
        <v>1712</v>
      </c>
      <c r="E1536" s="11" t="s">
        <v>1737</v>
      </c>
      <c r="F1536" s="12" t="s">
        <v>1714</v>
      </c>
      <c r="G1536" s="9" t="s">
        <v>1709</v>
      </c>
    </row>
    <row r="1537" spans="1:7">
      <c r="A1537" s="9" t="s">
        <v>1711</v>
      </c>
      <c r="B1537" s="9">
        <v>0.2</v>
      </c>
      <c r="C1537" s="10">
        <v>0.10100000000000001</v>
      </c>
      <c r="D1537" s="9" t="s">
        <v>1712</v>
      </c>
      <c r="E1537" s="11" t="s">
        <v>1737</v>
      </c>
      <c r="F1537" s="12" t="s">
        <v>1714</v>
      </c>
      <c r="G1537" s="9" t="s">
        <v>1709</v>
      </c>
    </row>
    <row r="1538" spans="1:7">
      <c r="A1538" s="9" t="s">
        <v>1711</v>
      </c>
      <c r="B1538" s="13">
        <v>0.2</v>
      </c>
      <c r="C1538" s="10">
        <v>6.9000000000000006E-2</v>
      </c>
      <c r="D1538" s="9" t="s">
        <v>1712</v>
      </c>
      <c r="E1538" s="11" t="s">
        <v>1738</v>
      </c>
      <c r="F1538" s="12" t="s">
        <v>1714</v>
      </c>
      <c r="G1538" s="9" t="s">
        <v>1709</v>
      </c>
    </row>
    <row r="1539" spans="1:7">
      <c r="A1539" s="9" t="s">
        <v>1711</v>
      </c>
      <c r="B1539" s="13">
        <v>0.2</v>
      </c>
      <c r="C1539" s="10">
        <v>0.55200000000000005</v>
      </c>
      <c r="D1539" s="9" t="s">
        <v>1712</v>
      </c>
      <c r="E1539" s="11" t="s">
        <v>1738</v>
      </c>
      <c r="F1539" s="12" t="s">
        <v>1714</v>
      </c>
      <c r="G1539" s="9" t="s">
        <v>1709</v>
      </c>
    </row>
    <row r="1540" spans="1:7">
      <c r="A1540" s="9" t="s">
        <v>1711</v>
      </c>
      <c r="B1540" s="13">
        <v>0.2</v>
      </c>
      <c r="C1540" s="10">
        <v>0.55200000000000005</v>
      </c>
      <c r="D1540" s="9" t="s">
        <v>1712</v>
      </c>
      <c r="E1540" s="11" t="s">
        <v>1738</v>
      </c>
      <c r="F1540" s="12" t="s">
        <v>1714</v>
      </c>
      <c r="G1540" s="9" t="s">
        <v>1709</v>
      </c>
    </row>
    <row r="1541" spans="1:7">
      <c r="A1541" s="9" t="s">
        <v>1711</v>
      </c>
      <c r="B1541" s="13">
        <v>0.2</v>
      </c>
      <c r="C1541" s="10">
        <v>0.23500000000000001</v>
      </c>
      <c r="D1541" s="9" t="s">
        <v>1712</v>
      </c>
      <c r="E1541" s="11" t="s">
        <v>1715</v>
      </c>
      <c r="F1541" s="12" t="s">
        <v>1714</v>
      </c>
      <c r="G1541" s="9" t="s">
        <v>1709</v>
      </c>
    </row>
    <row r="1542" spans="1:7">
      <c r="A1542" s="9" t="s">
        <v>1711</v>
      </c>
      <c r="B1542" s="13">
        <v>0.2</v>
      </c>
      <c r="C1542" s="10">
        <v>0.23500000000000001</v>
      </c>
      <c r="D1542" s="9" t="s">
        <v>1712</v>
      </c>
      <c r="E1542" s="11" t="s">
        <v>1715</v>
      </c>
      <c r="F1542" s="12" t="s">
        <v>1714</v>
      </c>
      <c r="G1542" s="9" t="s">
        <v>1709</v>
      </c>
    </row>
    <row r="1543" spans="1:7">
      <c r="A1543" s="9" t="s">
        <v>1711</v>
      </c>
      <c r="B1543" s="13">
        <v>0.2</v>
      </c>
      <c r="C1543" s="10">
        <v>0.23500000000000001</v>
      </c>
      <c r="D1543" s="9" t="s">
        <v>1712</v>
      </c>
      <c r="E1543" s="11" t="s">
        <v>1715</v>
      </c>
      <c r="F1543" s="12" t="s">
        <v>1714</v>
      </c>
      <c r="G1543" s="9" t="s">
        <v>1709</v>
      </c>
    </row>
    <row r="1544" spans="1:7">
      <c r="A1544" s="9" t="s">
        <v>1711</v>
      </c>
      <c r="B1544" s="13">
        <v>0.2</v>
      </c>
      <c r="C1544" s="10">
        <v>0.23500000000000001</v>
      </c>
      <c r="D1544" s="9" t="s">
        <v>1712</v>
      </c>
      <c r="E1544" s="11" t="s">
        <v>1715</v>
      </c>
      <c r="F1544" s="12" t="s">
        <v>1714</v>
      </c>
      <c r="G1544" s="9" t="s">
        <v>1709</v>
      </c>
    </row>
    <row r="1545" spans="1:7">
      <c r="A1545" s="9" t="s">
        <v>1711</v>
      </c>
      <c r="B1545" s="13">
        <v>0.2</v>
      </c>
      <c r="C1545" s="10">
        <v>0.23500000000000001</v>
      </c>
      <c r="D1545" s="9" t="s">
        <v>1712</v>
      </c>
      <c r="E1545" s="11" t="s">
        <v>1715</v>
      </c>
      <c r="F1545" s="12" t="s">
        <v>1714</v>
      </c>
      <c r="G1545" s="9" t="s">
        <v>1709</v>
      </c>
    </row>
    <row r="1546" spans="1:7">
      <c r="A1546" s="9" t="s">
        <v>1711</v>
      </c>
      <c r="B1546" s="13">
        <v>0.2</v>
      </c>
      <c r="C1546" s="10">
        <v>0.23500000000000001</v>
      </c>
      <c r="D1546" s="9" t="s">
        <v>1712</v>
      </c>
      <c r="E1546" s="11" t="s">
        <v>1715</v>
      </c>
      <c r="F1546" s="12" t="s">
        <v>1714</v>
      </c>
      <c r="G1546" s="9" t="s">
        <v>1709</v>
      </c>
    </row>
    <row r="1547" spans="1:7">
      <c r="A1547" s="9" t="s">
        <v>1711</v>
      </c>
      <c r="B1547" s="13">
        <v>0.2</v>
      </c>
      <c r="C1547" s="10">
        <v>0.23500000000000001</v>
      </c>
      <c r="D1547" s="9" t="s">
        <v>1712</v>
      </c>
      <c r="E1547" s="11" t="s">
        <v>1715</v>
      </c>
      <c r="F1547" s="12" t="s">
        <v>1714</v>
      </c>
      <c r="G1547" s="9" t="s">
        <v>1709</v>
      </c>
    </row>
    <row r="1548" spans="1:7">
      <c r="A1548" s="9" t="s">
        <v>1711</v>
      </c>
      <c r="B1548" s="13">
        <v>0.2</v>
      </c>
      <c r="C1548" s="10">
        <v>0.124</v>
      </c>
      <c r="D1548" s="9" t="s">
        <v>1712</v>
      </c>
      <c r="E1548" s="11" t="s">
        <v>1715</v>
      </c>
      <c r="F1548" s="12" t="s">
        <v>1714</v>
      </c>
      <c r="G1548" s="9" t="s">
        <v>1709</v>
      </c>
    </row>
    <row r="1549" spans="1:7">
      <c r="A1549" s="9" t="s">
        <v>1711</v>
      </c>
      <c r="B1549" s="13">
        <v>0.2</v>
      </c>
      <c r="C1549" s="10">
        <v>0.124</v>
      </c>
      <c r="D1549" s="9" t="s">
        <v>1712</v>
      </c>
      <c r="E1549" s="11" t="s">
        <v>1715</v>
      </c>
      <c r="F1549" s="12" t="s">
        <v>1714</v>
      </c>
      <c r="G1549" s="9" t="s">
        <v>1709</v>
      </c>
    </row>
    <row r="1550" spans="1:7">
      <c r="A1550" s="9" t="s">
        <v>1711</v>
      </c>
      <c r="B1550" s="13">
        <v>0.2</v>
      </c>
      <c r="C1550" s="10">
        <v>0.124</v>
      </c>
      <c r="D1550" s="9" t="s">
        <v>1712</v>
      </c>
      <c r="E1550" s="11" t="s">
        <v>1715</v>
      </c>
      <c r="F1550" s="12" t="s">
        <v>1714</v>
      </c>
      <c r="G1550" s="9" t="s">
        <v>1709</v>
      </c>
    </row>
    <row r="1551" spans="1:7">
      <c r="A1551" s="9" t="s">
        <v>1711</v>
      </c>
      <c r="B1551" s="9">
        <v>0.2</v>
      </c>
      <c r="C1551" s="10">
        <v>0.124</v>
      </c>
      <c r="D1551" s="9" t="s">
        <v>1712</v>
      </c>
      <c r="E1551" s="11" t="s">
        <v>1715</v>
      </c>
      <c r="F1551" s="12" t="s">
        <v>1714</v>
      </c>
      <c r="G1551" s="9" t="s">
        <v>1709</v>
      </c>
    </row>
    <row r="1552" spans="1:7">
      <c r="A1552" s="9" t="s">
        <v>1711</v>
      </c>
      <c r="B1552" s="13">
        <v>0.2</v>
      </c>
      <c r="C1552" s="10">
        <v>0.124</v>
      </c>
      <c r="D1552" s="9" t="s">
        <v>1712</v>
      </c>
      <c r="E1552" s="11" t="s">
        <v>1715</v>
      </c>
      <c r="F1552" s="12" t="s">
        <v>1714</v>
      </c>
      <c r="G1552" s="9" t="s">
        <v>1709</v>
      </c>
    </row>
    <row r="1553" spans="1:7">
      <c r="A1553" s="9" t="s">
        <v>1711</v>
      </c>
      <c r="B1553" s="13">
        <v>0.2</v>
      </c>
      <c r="C1553" s="10">
        <v>0.13</v>
      </c>
      <c r="D1553" s="9" t="s">
        <v>1712</v>
      </c>
      <c r="E1553" s="11" t="s">
        <v>1715</v>
      </c>
      <c r="F1553" s="12" t="s">
        <v>1714</v>
      </c>
      <c r="G1553" s="9" t="s">
        <v>1709</v>
      </c>
    </row>
    <row r="1554" spans="1:7">
      <c r="A1554" s="9" t="s">
        <v>1711</v>
      </c>
      <c r="B1554" s="13">
        <v>0.2</v>
      </c>
      <c r="C1554" s="10">
        <v>1.222</v>
      </c>
      <c r="D1554" s="9" t="s">
        <v>1712</v>
      </c>
      <c r="E1554" s="11" t="s">
        <v>1715</v>
      </c>
      <c r="F1554" s="12" t="s">
        <v>1714</v>
      </c>
      <c r="G1554" s="9" t="s">
        <v>1709</v>
      </c>
    </row>
    <row r="1555" spans="1:7">
      <c r="A1555" s="9" t="s">
        <v>1711</v>
      </c>
      <c r="B1555" s="13">
        <v>0.2</v>
      </c>
      <c r="C1555" s="10">
        <v>1.222</v>
      </c>
      <c r="D1555" s="9" t="s">
        <v>1712</v>
      </c>
      <c r="E1555" s="11" t="s">
        <v>1715</v>
      </c>
      <c r="F1555" s="12" t="s">
        <v>1714</v>
      </c>
      <c r="G1555" s="9" t="s">
        <v>1709</v>
      </c>
    </row>
    <row r="1556" spans="1:7">
      <c r="A1556" s="9" t="s">
        <v>1711</v>
      </c>
      <c r="B1556" s="13">
        <v>0.2</v>
      </c>
      <c r="C1556" s="10">
        <v>1.222</v>
      </c>
      <c r="D1556" s="9" t="s">
        <v>1712</v>
      </c>
      <c r="E1556" s="11" t="s">
        <v>1715</v>
      </c>
      <c r="F1556" s="12" t="s">
        <v>1714</v>
      </c>
      <c r="G1556" s="9" t="s">
        <v>1709</v>
      </c>
    </row>
    <row r="1557" spans="1:7">
      <c r="A1557" s="9" t="s">
        <v>1711</v>
      </c>
      <c r="B1557" s="13">
        <v>0.2</v>
      </c>
      <c r="C1557" s="10">
        <v>1.222</v>
      </c>
      <c r="D1557" s="9" t="s">
        <v>1712</v>
      </c>
      <c r="E1557" s="11" t="s">
        <v>1715</v>
      </c>
      <c r="F1557" s="12" t="s">
        <v>1714</v>
      </c>
      <c r="G1557" s="9" t="s">
        <v>1709</v>
      </c>
    </row>
    <row r="1558" spans="1:7">
      <c r="A1558" s="9" t="s">
        <v>1711</v>
      </c>
      <c r="B1558" s="13">
        <v>0.2</v>
      </c>
      <c r="C1558" s="10">
        <v>1.222</v>
      </c>
      <c r="D1558" s="9" t="s">
        <v>1712</v>
      </c>
      <c r="E1558" s="11" t="s">
        <v>1715</v>
      </c>
      <c r="F1558" s="12" t="s">
        <v>1714</v>
      </c>
      <c r="G1558" s="9" t="s">
        <v>1709</v>
      </c>
    </row>
    <row r="1559" spans="1:7">
      <c r="A1559" s="9" t="s">
        <v>1711</v>
      </c>
      <c r="B1559" s="13">
        <v>0.2</v>
      </c>
      <c r="C1559" s="10">
        <v>1.222</v>
      </c>
      <c r="D1559" s="9" t="s">
        <v>1712</v>
      </c>
      <c r="E1559" s="11" t="s">
        <v>1715</v>
      </c>
      <c r="F1559" s="12" t="s">
        <v>1714</v>
      </c>
      <c r="G1559" s="9" t="s">
        <v>1709</v>
      </c>
    </row>
    <row r="1560" spans="1:7">
      <c r="A1560" s="9" t="s">
        <v>1711</v>
      </c>
      <c r="B1560" s="13">
        <v>0.2</v>
      </c>
      <c r="C1560" s="10">
        <v>1.222</v>
      </c>
      <c r="D1560" s="9" t="s">
        <v>1712</v>
      </c>
      <c r="E1560" s="11" t="s">
        <v>1715</v>
      </c>
      <c r="F1560" s="12" t="s">
        <v>1714</v>
      </c>
      <c r="G1560" s="9" t="s">
        <v>1709</v>
      </c>
    </row>
    <row r="1561" spans="1:7">
      <c r="A1561" s="9" t="s">
        <v>1711</v>
      </c>
      <c r="B1561" s="13">
        <v>0.2</v>
      </c>
      <c r="C1561" s="10">
        <v>1.222</v>
      </c>
      <c r="D1561" s="9" t="s">
        <v>1712</v>
      </c>
      <c r="E1561" s="11" t="s">
        <v>1715</v>
      </c>
      <c r="F1561" s="12" t="s">
        <v>1714</v>
      </c>
      <c r="G1561" s="9" t="s">
        <v>1709</v>
      </c>
    </row>
    <row r="1562" spans="1:7">
      <c r="A1562" s="9" t="s">
        <v>1711</v>
      </c>
      <c r="B1562" s="13">
        <v>0.2</v>
      </c>
      <c r="C1562" s="10">
        <v>1.222</v>
      </c>
      <c r="D1562" s="9" t="s">
        <v>1712</v>
      </c>
      <c r="E1562" s="11" t="s">
        <v>1715</v>
      </c>
      <c r="F1562" s="12" t="s">
        <v>1714</v>
      </c>
      <c r="G1562" s="9" t="s">
        <v>1709</v>
      </c>
    </row>
    <row r="1563" spans="1:7">
      <c r="A1563" s="9" t="s">
        <v>1711</v>
      </c>
      <c r="B1563" s="9">
        <v>0.2</v>
      </c>
      <c r="C1563" s="10">
        <v>2.5680000000000001</v>
      </c>
      <c r="D1563" s="9" t="s">
        <v>1712</v>
      </c>
      <c r="E1563" s="11" t="s">
        <v>1715</v>
      </c>
      <c r="F1563" s="12" t="s">
        <v>1714</v>
      </c>
      <c r="G1563" s="9" t="s">
        <v>1709</v>
      </c>
    </row>
    <row r="1564" spans="1:7">
      <c r="A1564" s="9" t="s">
        <v>1711</v>
      </c>
      <c r="B1564" s="9">
        <v>0.2</v>
      </c>
      <c r="C1564" s="10">
        <v>2.5680000000000001</v>
      </c>
      <c r="D1564" s="9" t="s">
        <v>1712</v>
      </c>
      <c r="E1564" s="11" t="s">
        <v>1715</v>
      </c>
      <c r="F1564" s="12" t="s">
        <v>1714</v>
      </c>
      <c r="G1564" s="9" t="s">
        <v>1709</v>
      </c>
    </row>
    <row r="1565" spans="1:7">
      <c r="A1565" s="9" t="s">
        <v>1711</v>
      </c>
      <c r="B1565" s="9">
        <v>0.2</v>
      </c>
      <c r="C1565" s="10">
        <v>0.23200000000000001</v>
      </c>
      <c r="D1565" s="9" t="s">
        <v>1712</v>
      </c>
      <c r="E1565" s="11" t="s">
        <v>1737</v>
      </c>
      <c r="F1565" s="12" t="s">
        <v>1714</v>
      </c>
      <c r="G1565" s="9" t="s">
        <v>1709</v>
      </c>
    </row>
    <row r="1566" spans="1:7">
      <c r="A1566" s="9" t="s">
        <v>1711</v>
      </c>
      <c r="B1566" s="9">
        <v>0.2</v>
      </c>
      <c r="C1566" s="10">
        <v>0.23200000000000001</v>
      </c>
      <c r="D1566" s="9" t="s">
        <v>1712</v>
      </c>
      <c r="E1566" s="11" t="s">
        <v>1737</v>
      </c>
      <c r="F1566" s="12" t="s">
        <v>1714</v>
      </c>
      <c r="G1566" s="9" t="s">
        <v>1709</v>
      </c>
    </row>
    <row r="1567" spans="1:7">
      <c r="A1567" s="9" t="s">
        <v>1711</v>
      </c>
      <c r="B1567" s="9">
        <v>0.2</v>
      </c>
      <c r="C1567" s="10">
        <v>2.7479999999999998</v>
      </c>
      <c r="D1567" s="9" t="s">
        <v>1712</v>
      </c>
      <c r="E1567" s="11" t="s">
        <v>1739</v>
      </c>
      <c r="F1567" s="12" t="s">
        <v>1714</v>
      </c>
      <c r="G1567" s="9" t="s">
        <v>1709</v>
      </c>
    </row>
    <row r="1568" spans="1:7">
      <c r="A1568" s="9" t="s">
        <v>1711</v>
      </c>
      <c r="B1568" s="9">
        <v>0.2</v>
      </c>
      <c r="C1568" s="10">
        <v>-0.17299999999999999</v>
      </c>
      <c r="D1568" s="9" t="s">
        <v>1709</v>
      </c>
      <c r="E1568" s="11" t="s">
        <v>1710</v>
      </c>
      <c r="F1568" s="12" t="s">
        <v>1710</v>
      </c>
      <c r="G1568" s="9" t="s">
        <v>1709</v>
      </c>
    </row>
    <row r="1569" spans="1:7">
      <c r="A1569" s="9" t="s">
        <v>1711</v>
      </c>
      <c r="B1569" s="9">
        <v>0.2</v>
      </c>
      <c r="C1569" s="10">
        <v>0.23200000000000001</v>
      </c>
      <c r="D1569" s="9" t="s">
        <v>1712</v>
      </c>
      <c r="E1569" s="11" t="s">
        <v>1715</v>
      </c>
      <c r="F1569" s="12" t="s">
        <v>1714</v>
      </c>
      <c r="G1569" s="9" t="s">
        <v>1709</v>
      </c>
    </row>
    <row r="1570" spans="1:7">
      <c r="A1570" s="9" t="s">
        <v>1711</v>
      </c>
      <c r="B1570" s="13">
        <v>0.2</v>
      </c>
      <c r="C1570" s="10">
        <v>-0.156</v>
      </c>
      <c r="D1570" s="9" t="s">
        <v>1709</v>
      </c>
      <c r="E1570" s="11" t="s">
        <v>1710</v>
      </c>
      <c r="F1570" s="12" t="s">
        <v>1710</v>
      </c>
      <c r="G1570" s="9" t="s">
        <v>1709</v>
      </c>
    </row>
    <row r="1571" spans="1:7">
      <c r="A1571" s="9" t="s">
        <v>1711</v>
      </c>
      <c r="B1571" s="13">
        <v>0.2</v>
      </c>
      <c r="C1571" s="10">
        <v>0.13700000000000001</v>
      </c>
      <c r="D1571" s="9" t="s">
        <v>1712</v>
      </c>
      <c r="E1571" s="11" t="s">
        <v>1738</v>
      </c>
      <c r="F1571" s="12" t="s">
        <v>1714</v>
      </c>
      <c r="G1571" s="9" t="s">
        <v>1709</v>
      </c>
    </row>
    <row r="1572" spans="1:7">
      <c r="A1572" s="9" t="s">
        <v>1711</v>
      </c>
      <c r="B1572" s="13">
        <v>0.2</v>
      </c>
      <c r="C1572" s="10">
        <v>0.80200000000000005</v>
      </c>
      <c r="D1572" s="9" t="s">
        <v>1712</v>
      </c>
      <c r="E1572" s="11" t="s">
        <v>1713</v>
      </c>
      <c r="F1572" s="12" t="s">
        <v>1714</v>
      </c>
      <c r="G1572" s="9" t="s">
        <v>1709</v>
      </c>
    </row>
    <row r="1573" spans="1:7">
      <c r="A1573" s="9" t="s">
        <v>1711</v>
      </c>
      <c r="B1573" s="13">
        <v>0.2</v>
      </c>
      <c r="C1573" s="10">
        <v>0.80200000000000005</v>
      </c>
      <c r="D1573" s="9" t="s">
        <v>1712</v>
      </c>
      <c r="E1573" s="11" t="s">
        <v>1713</v>
      </c>
      <c r="F1573" s="12" t="s">
        <v>1714</v>
      </c>
      <c r="G1573" s="9" t="s">
        <v>1709</v>
      </c>
    </row>
    <row r="1574" spans="1:7">
      <c r="A1574" s="9" t="s">
        <v>1711</v>
      </c>
      <c r="B1574" s="13">
        <v>0.2</v>
      </c>
      <c r="C1574" s="10">
        <v>0.80200000000000005</v>
      </c>
      <c r="D1574" s="9" t="s">
        <v>1712</v>
      </c>
      <c r="E1574" s="11" t="s">
        <v>1713</v>
      </c>
      <c r="F1574" s="12" t="s">
        <v>1714</v>
      </c>
      <c r="G1574" s="9" t="s">
        <v>1709</v>
      </c>
    </row>
    <row r="1575" spans="1:7">
      <c r="A1575" s="9" t="s">
        <v>1711</v>
      </c>
      <c r="B1575" s="13">
        <v>0.2</v>
      </c>
      <c r="C1575" s="10">
        <v>0.80200000000000005</v>
      </c>
      <c r="D1575" s="9" t="s">
        <v>1712</v>
      </c>
      <c r="E1575" s="11" t="s">
        <v>1713</v>
      </c>
      <c r="F1575" s="12" t="s">
        <v>1714</v>
      </c>
      <c r="G1575" s="9" t="s">
        <v>1709</v>
      </c>
    </row>
    <row r="1576" spans="1:7">
      <c r="A1576" s="9" t="s">
        <v>1711</v>
      </c>
      <c r="B1576" s="13">
        <v>0.2</v>
      </c>
      <c r="C1576" s="10">
        <v>0.80200000000000005</v>
      </c>
      <c r="D1576" s="9" t="s">
        <v>1712</v>
      </c>
      <c r="E1576" s="11" t="s">
        <v>1713</v>
      </c>
      <c r="F1576" s="12" t="s">
        <v>1714</v>
      </c>
      <c r="G1576" s="9" t="s">
        <v>1709</v>
      </c>
    </row>
    <row r="1577" spans="1:7">
      <c r="A1577" s="9" t="s">
        <v>1711</v>
      </c>
      <c r="B1577" s="13">
        <v>0.2</v>
      </c>
      <c r="C1577" s="10">
        <v>0.80200000000000005</v>
      </c>
      <c r="D1577" s="9" t="s">
        <v>1712</v>
      </c>
      <c r="E1577" s="11" t="s">
        <v>1713</v>
      </c>
      <c r="F1577" s="12" t="s">
        <v>1714</v>
      </c>
      <c r="G1577" s="9" t="s">
        <v>1709</v>
      </c>
    </row>
    <row r="1578" spans="1:7">
      <c r="A1578" s="9" t="s">
        <v>1711</v>
      </c>
      <c r="B1578" s="9">
        <v>0.2</v>
      </c>
      <c r="C1578" s="10">
        <v>0.80200000000000005</v>
      </c>
      <c r="D1578" s="9" t="s">
        <v>1712</v>
      </c>
      <c r="E1578" s="11" t="s">
        <v>1713</v>
      </c>
      <c r="F1578" s="12" t="s">
        <v>1714</v>
      </c>
      <c r="G1578" s="9" t="s">
        <v>1709</v>
      </c>
    </row>
    <row r="1579" spans="1:7">
      <c r="A1579" s="9" t="s">
        <v>1711</v>
      </c>
      <c r="B1579" s="13">
        <v>0.2</v>
      </c>
      <c r="C1579" s="10">
        <v>0.80200000000000005</v>
      </c>
      <c r="D1579" s="9" t="s">
        <v>1712</v>
      </c>
      <c r="E1579" s="11" t="s">
        <v>1713</v>
      </c>
      <c r="F1579" s="12" t="s">
        <v>1714</v>
      </c>
      <c r="G1579" s="9" t="s">
        <v>1709</v>
      </c>
    </row>
    <row r="1580" spans="1:7">
      <c r="A1580" s="9" t="s">
        <v>1711</v>
      </c>
      <c r="B1580" s="13">
        <v>0.2</v>
      </c>
      <c r="C1580" s="10">
        <v>0.80200000000000005</v>
      </c>
      <c r="D1580" s="9" t="s">
        <v>1712</v>
      </c>
      <c r="E1580" s="11" t="s">
        <v>1713</v>
      </c>
      <c r="F1580" s="12" t="s">
        <v>1714</v>
      </c>
      <c r="G1580" s="9" t="s">
        <v>1709</v>
      </c>
    </row>
    <row r="1581" spans="1:7">
      <c r="A1581" s="9" t="s">
        <v>1711</v>
      </c>
      <c r="B1581" s="13">
        <v>0.2</v>
      </c>
      <c r="C1581" s="10">
        <v>1.853</v>
      </c>
      <c r="D1581" s="9" t="s">
        <v>1712</v>
      </c>
      <c r="E1581" s="11" t="s">
        <v>1736</v>
      </c>
      <c r="F1581" s="12" t="s">
        <v>1714</v>
      </c>
      <c r="G1581" s="9" t="s">
        <v>1709</v>
      </c>
    </row>
    <row r="1582" spans="1:7">
      <c r="A1582" s="9" t="s">
        <v>1711</v>
      </c>
      <c r="B1582" s="13">
        <v>0.2</v>
      </c>
      <c r="C1582" s="10">
        <v>3.198</v>
      </c>
      <c r="D1582" s="9" t="s">
        <v>1712</v>
      </c>
      <c r="E1582" s="11" t="s">
        <v>1738</v>
      </c>
      <c r="F1582" s="12" t="s">
        <v>1714</v>
      </c>
      <c r="G1582" s="9" t="s">
        <v>1709</v>
      </c>
    </row>
    <row r="1583" spans="1:7">
      <c r="A1583" s="9" t="s">
        <v>1711</v>
      </c>
      <c r="B1583" s="13">
        <v>0.2</v>
      </c>
      <c r="C1583" s="10">
        <v>-0.19400000000000001</v>
      </c>
      <c r="D1583" s="9" t="s">
        <v>1709</v>
      </c>
      <c r="E1583" s="11" t="s">
        <v>1710</v>
      </c>
      <c r="F1583" s="12" t="s">
        <v>1710</v>
      </c>
      <c r="G1583" s="9" t="s">
        <v>1709</v>
      </c>
    </row>
    <row r="1584" spans="1:7">
      <c r="A1584" s="9" t="s">
        <v>1711</v>
      </c>
      <c r="B1584" s="13">
        <v>0.2</v>
      </c>
      <c r="C1584" s="10">
        <v>0.55200000000000005</v>
      </c>
      <c r="D1584" s="9" t="s">
        <v>1712</v>
      </c>
      <c r="E1584" s="11" t="s">
        <v>1737</v>
      </c>
      <c r="F1584" s="12" t="s">
        <v>1714</v>
      </c>
      <c r="G1584" s="9" t="s">
        <v>1709</v>
      </c>
    </row>
    <row r="1585" spans="1:7">
      <c r="A1585" s="9" t="s">
        <v>1711</v>
      </c>
      <c r="B1585" s="13">
        <v>0.2</v>
      </c>
      <c r="C1585" s="10">
        <v>4.1000000000000002E-2</v>
      </c>
      <c r="D1585" s="9" t="s">
        <v>1712</v>
      </c>
      <c r="E1585" s="11" t="s">
        <v>1737</v>
      </c>
      <c r="F1585" s="12" t="s">
        <v>1714</v>
      </c>
      <c r="G1585" s="9" t="s">
        <v>1709</v>
      </c>
    </row>
    <row r="1586" spans="1:7">
      <c r="A1586" s="9" t="s">
        <v>1711</v>
      </c>
      <c r="B1586" s="13">
        <v>0.2</v>
      </c>
      <c r="C1586" s="10">
        <v>-4.1000000000000002E-2</v>
      </c>
      <c r="D1586" s="9" t="s">
        <v>1709</v>
      </c>
      <c r="E1586" s="11" t="s">
        <v>1710</v>
      </c>
      <c r="F1586" s="12" t="s">
        <v>1710</v>
      </c>
      <c r="G1586" s="9" t="s">
        <v>1709</v>
      </c>
    </row>
    <row r="1587" spans="1:7">
      <c r="A1587" s="9" t="s">
        <v>1711</v>
      </c>
      <c r="B1587" s="13">
        <v>0.2</v>
      </c>
      <c r="C1587" s="10">
        <v>4.1000000000000002E-2</v>
      </c>
      <c r="D1587" s="9" t="s">
        <v>1712</v>
      </c>
      <c r="E1587" s="11" t="s">
        <v>1737</v>
      </c>
      <c r="F1587" s="12" t="s">
        <v>1714</v>
      </c>
      <c r="G1587" s="9" t="s">
        <v>1709</v>
      </c>
    </row>
    <row r="1588" spans="1:7">
      <c r="A1588" s="9" t="s">
        <v>1711</v>
      </c>
      <c r="B1588" s="13">
        <v>0.2</v>
      </c>
      <c r="C1588" s="10">
        <v>1.1099999999999999</v>
      </c>
      <c r="D1588" s="9" t="s">
        <v>1712</v>
      </c>
      <c r="E1588" s="11" t="s">
        <v>1736</v>
      </c>
      <c r="F1588" s="12" t="s">
        <v>1714</v>
      </c>
      <c r="G1588" s="9" t="s">
        <v>1709</v>
      </c>
    </row>
    <row r="1589" spans="1:7">
      <c r="A1589" s="9" t="s">
        <v>1711</v>
      </c>
      <c r="B1589" s="13">
        <v>0.2</v>
      </c>
      <c r="C1589" s="10">
        <v>0.93800000000000006</v>
      </c>
      <c r="D1589" s="9" t="s">
        <v>1712</v>
      </c>
      <c r="E1589" s="11" t="s">
        <v>1738</v>
      </c>
      <c r="F1589" s="12" t="s">
        <v>1714</v>
      </c>
      <c r="G1589" s="9" t="s">
        <v>1709</v>
      </c>
    </row>
    <row r="1590" spans="1:7">
      <c r="A1590" s="9" t="s">
        <v>1711</v>
      </c>
      <c r="B1590" s="13">
        <v>0.2</v>
      </c>
      <c r="C1590" s="10">
        <v>0.64100000000000001</v>
      </c>
      <c r="D1590" s="9" t="s">
        <v>1712</v>
      </c>
      <c r="E1590" s="11" t="s">
        <v>1738</v>
      </c>
      <c r="F1590" s="12" t="s">
        <v>1714</v>
      </c>
      <c r="G1590" s="9" t="s">
        <v>1709</v>
      </c>
    </row>
    <row r="1591" spans="1:7">
      <c r="A1591" s="9" t="s">
        <v>1711</v>
      </c>
      <c r="B1591" s="13">
        <v>0.2</v>
      </c>
      <c r="C1591" s="10">
        <v>0.13200000000000001</v>
      </c>
      <c r="D1591" s="9" t="s">
        <v>1712</v>
      </c>
      <c r="E1591" s="11" t="s">
        <v>1713</v>
      </c>
      <c r="F1591" s="12" t="s">
        <v>1714</v>
      </c>
      <c r="G1591" s="9" t="s">
        <v>1709</v>
      </c>
    </row>
    <row r="1592" spans="1:7">
      <c r="A1592" s="9" t="s">
        <v>1711</v>
      </c>
      <c r="B1592" s="13">
        <v>0.2</v>
      </c>
      <c r="C1592" s="10">
        <v>2.4670000000000001</v>
      </c>
      <c r="D1592" s="9" t="s">
        <v>1712</v>
      </c>
      <c r="E1592" s="11" t="s">
        <v>1738</v>
      </c>
      <c r="F1592" s="12" t="s">
        <v>1714</v>
      </c>
      <c r="G1592" s="9" t="s">
        <v>1709</v>
      </c>
    </row>
    <row r="1593" spans="1:7">
      <c r="A1593" s="9" t="s">
        <v>1711</v>
      </c>
      <c r="B1593" s="13">
        <v>0.2</v>
      </c>
      <c r="C1593" s="10">
        <v>2.4670000000000001</v>
      </c>
      <c r="D1593" s="9" t="s">
        <v>1712</v>
      </c>
      <c r="E1593" s="11" t="s">
        <v>1738</v>
      </c>
      <c r="F1593" s="12" t="s">
        <v>1714</v>
      </c>
      <c r="G1593" s="9" t="s">
        <v>1709</v>
      </c>
    </row>
    <row r="1594" spans="1:7">
      <c r="A1594" s="9" t="s">
        <v>1711</v>
      </c>
      <c r="B1594" s="13">
        <v>0.2</v>
      </c>
      <c r="C1594" s="10">
        <v>0.187</v>
      </c>
      <c r="D1594" s="9" t="s">
        <v>1712</v>
      </c>
      <c r="E1594" s="11" t="s">
        <v>1736</v>
      </c>
      <c r="F1594" s="12" t="s">
        <v>1714</v>
      </c>
      <c r="G1594" s="9" t="s">
        <v>1709</v>
      </c>
    </row>
    <row r="1595" spans="1:7">
      <c r="A1595" s="9" t="s">
        <v>1711</v>
      </c>
      <c r="B1595" s="13">
        <v>0.2</v>
      </c>
      <c r="C1595" s="10">
        <v>0.64100000000000001</v>
      </c>
      <c r="D1595" s="9" t="s">
        <v>1712</v>
      </c>
      <c r="E1595" s="11" t="s">
        <v>1737</v>
      </c>
      <c r="F1595" s="12" t="s">
        <v>1714</v>
      </c>
      <c r="G1595" s="9" t="s">
        <v>1709</v>
      </c>
    </row>
    <row r="1596" spans="1:7">
      <c r="A1596" s="9" t="s">
        <v>1711</v>
      </c>
      <c r="B1596" s="13">
        <v>0.2</v>
      </c>
      <c r="C1596" s="10">
        <v>0.51700000000000002</v>
      </c>
      <c r="D1596" s="9" t="s">
        <v>1712</v>
      </c>
      <c r="E1596" s="11" t="s">
        <v>1737</v>
      </c>
      <c r="F1596" s="12" t="s">
        <v>1714</v>
      </c>
      <c r="G1596" s="9" t="s">
        <v>1709</v>
      </c>
    </row>
    <row r="1597" spans="1:7">
      <c r="A1597" s="9" t="s">
        <v>1711</v>
      </c>
      <c r="B1597" s="13">
        <v>0.2</v>
      </c>
      <c r="C1597" s="10">
        <v>1.6289999999999998</v>
      </c>
      <c r="D1597" s="9" t="s">
        <v>1712</v>
      </c>
      <c r="E1597" s="11" t="s">
        <v>1737</v>
      </c>
      <c r="F1597" s="12" t="s">
        <v>1714</v>
      </c>
      <c r="G1597" s="9" t="s">
        <v>1709</v>
      </c>
    </row>
    <row r="1598" spans="1:7">
      <c r="A1598" s="9" t="s">
        <v>1711</v>
      </c>
      <c r="B1598" s="13">
        <v>0.2</v>
      </c>
      <c r="C1598" s="10">
        <v>0.51700000000000002</v>
      </c>
      <c r="D1598" s="9" t="s">
        <v>1712</v>
      </c>
      <c r="E1598" s="11" t="s">
        <v>1737</v>
      </c>
      <c r="F1598" s="12" t="s">
        <v>1714</v>
      </c>
      <c r="G1598" s="9" t="s">
        <v>1709</v>
      </c>
    </row>
    <row r="1599" spans="1:7">
      <c r="A1599" s="9" t="s">
        <v>1711</v>
      </c>
      <c r="B1599" s="9">
        <v>0.2</v>
      </c>
      <c r="C1599" s="10">
        <v>2.81</v>
      </c>
      <c r="D1599" s="9" t="s">
        <v>1712</v>
      </c>
      <c r="E1599" s="11" t="s">
        <v>1737</v>
      </c>
      <c r="F1599" s="12" t="s">
        <v>1714</v>
      </c>
      <c r="G1599" s="9" t="s">
        <v>1709</v>
      </c>
    </row>
    <row r="1600" spans="1:7">
      <c r="A1600" s="9" t="s">
        <v>1711</v>
      </c>
      <c r="B1600" s="9">
        <v>0.2</v>
      </c>
      <c r="C1600" s="10">
        <v>-6.0000000000000001E-3</v>
      </c>
      <c r="D1600" s="9" t="s">
        <v>1709</v>
      </c>
      <c r="E1600" s="11" t="s">
        <v>1710</v>
      </c>
      <c r="F1600" s="12" t="s">
        <v>1710</v>
      </c>
      <c r="G1600" s="9" t="s">
        <v>1709</v>
      </c>
    </row>
    <row r="1601" spans="1:7">
      <c r="A1601" s="9" t="s">
        <v>1711</v>
      </c>
      <c r="B1601" s="13">
        <v>0.2</v>
      </c>
      <c r="C1601" s="10">
        <v>0.38100000000000001</v>
      </c>
      <c r="D1601" s="9" t="s">
        <v>1712</v>
      </c>
      <c r="E1601" s="11" t="s">
        <v>1738</v>
      </c>
      <c r="F1601" s="12" t="s">
        <v>1714</v>
      </c>
      <c r="G1601" s="9" t="s">
        <v>1709</v>
      </c>
    </row>
    <row r="1602" spans="1:7">
      <c r="A1602" s="9" t="s">
        <v>1711</v>
      </c>
      <c r="B1602" s="13">
        <v>0.2</v>
      </c>
      <c r="C1602" s="10">
        <v>-0.126</v>
      </c>
      <c r="D1602" s="9" t="s">
        <v>1709</v>
      </c>
      <c r="E1602" s="11" t="s">
        <v>1710</v>
      </c>
      <c r="F1602" s="12" t="s">
        <v>1710</v>
      </c>
      <c r="G1602" s="9" t="s">
        <v>1709</v>
      </c>
    </row>
    <row r="1603" spans="1:7">
      <c r="A1603" s="9" t="s">
        <v>1711</v>
      </c>
      <c r="B1603" s="13">
        <v>0.2</v>
      </c>
      <c r="C1603" s="10">
        <v>-0.126</v>
      </c>
      <c r="D1603" s="9" t="s">
        <v>1709</v>
      </c>
      <c r="E1603" s="11" t="s">
        <v>1710</v>
      </c>
      <c r="F1603" s="12" t="s">
        <v>1710</v>
      </c>
      <c r="G1603" s="9" t="s">
        <v>1709</v>
      </c>
    </row>
    <row r="1604" spans="1:7">
      <c r="A1604" s="9" t="s">
        <v>1711</v>
      </c>
      <c r="B1604" s="13">
        <v>0.2</v>
      </c>
      <c r="C1604" s="10">
        <v>-8.8999999999999996E-2</v>
      </c>
      <c r="D1604" s="9" t="s">
        <v>1709</v>
      </c>
      <c r="E1604" s="11" t="s">
        <v>1710</v>
      </c>
      <c r="F1604" s="12" t="s">
        <v>1710</v>
      </c>
      <c r="G1604" s="9" t="s">
        <v>1709</v>
      </c>
    </row>
    <row r="1605" spans="1:7">
      <c r="A1605" s="9" t="s">
        <v>1711</v>
      </c>
      <c r="B1605" s="13">
        <v>0.2</v>
      </c>
      <c r="C1605" s="10">
        <v>1.829</v>
      </c>
      <c r="D1605" s="9" t="s">
        <v>1712</v>
      </c>
      <c r="E1605" s="11" t="s">
        <v>1737</v>
      </c>
      <c r="F1605" s="12" t="s">
        <v>1714</v>
      </c>
      <c r="G1605" s="9" t="s">
        <v>1709</v>
      </c>
    </row>
    <row r="1606" spans="1:7">
      <c r="A1606" s="9" t="s">
        <v>1711</v>
      </c>
      <c r="B1606" s="13">
        <v>0.2</v>
      </c>
      <c r="C1606" s="10">
        <v>0.254</v>
      </c>
      <c r="D1606" s="9" t="s">
        <v>1712</v>
      </c>
      <c r="E1606" s="11" t="s">
        <v>1737</v>
      </c>
      <c r="F1606" s="12" t="s">
        <v>1714</v>
      </c>
      <c r="G1606" s="9" t="s">
        <v>1709</v>
      </c>
    </row>
    <row r="1607" spans="1:7">
      <c r="A1607" s="9" t="s">
        <v>1711</v>
      </c>
      <c r="B1607" s="13">
        <v>0.2</v>
      </c>
      <c r="C1607" s="10">
        <v>-0.123</v>
      </c>
      <c r="D1607" s="9" t="s">
        <v>1709</v>
      </c>
      <c r="E1607" s="11" t="s">
        <v>1710</v>
      </c>
      <c r="F1607" s="12" t="s">
        <v>1710</v>
      </c>
      <c r="G1607" s="9" t="s">
        <v>1709</v>
      </c>
    </row>
    <row r="1608" spans="1:7">
      <c r="A1608" s="9" t="s">
        <v>1711</v>
      </c>
      <c r="B1608" s="13">
        <v>0.2</v>
      </c>
      <c r="C1608" s="10">
        <v>-0.123</v>
      </c>
      <c r="D1608" s="9" t="s">
        <v>1709</v>
      </c>
      <c r="E1608" s="11" t="s">
        <v>1710</v>
      </c>
      <c r="F1608" s="12" t="s">
        <v>1710</v>
      </c>
      <c r="G1608" s="9" t="s">
        <v>1709</v>
      </c>
    </row>
    <row r="1609" spans="1:7">
      <c r="A1609" s="9" t="s">
        <v>1711</v>
      </c>
      <c r="B1609" s="13">
        <v>0.2</v>
      </c>
      <c r="C1609" s="10">
        <v>-0.123</v>
      </c>
      <c r="D1609" s="9" t="s">
        <v>1709</v>
      </c>
      <c r="E1609" s="11" t="s">
        <v>1710</v>
      </c>
      <c r="F1609" s="12" t="s">
        <v>1710</v>
      </c>
      <c r="G1609" s="9" t="s">
        <v>1709</v>
      </c>
    </row>
    <row r="1610" spans="1:7">
      <c r="A1610" s="9" t="s">
        <v>1711</v>
      </c>
      <c r="B1610" s="13">
        <v>0.2</v>
      </c>
      <c r="C1610" s="10">
        <v>-0.123</v>
      </c>
      <c r="D1610" s="9" t="s">
        <v>1709</v>
      </c>
      <c r="E1610" s="11" t="s">
        <v>1710</v>
      </c>
      <c r="F1610" s="12" t="s">
        <v>1710</v>
      </c>
      <c r="G1610" s="9" t="s">
        <v>1709</v>
      </c>
    </row>
    <row r="1611" spans="1:7">
      <c r="A1611" s="9" t="s">
        <v>1711</v>
      </c>
      <c r="B1611" s="13">
        <v>0.2</v>
      </c>
      <c r="C1611" s="10">
        <v>-0.123</v>
      </c>
      <c r="D1611" s="9" t="s">
        <v>1709</v>
      </c>
      <c r="E1611" s="11" t="s">
        <v>1710</v>
      </c>
      <c r="F1611" s="12" t="s">
        <v>1710</v>
      </c>
      <c r="G1611" s="9" t="s">
        <v>1709</v>
      </c>
    </row>
    <row r="1612" spans="1:7">
      <c r="A1612" s="9" t="s">
        <v>1711</v>
      </c>
      <c r="B1612" s="13">
        <v>0.2</v>
      </c>
      <c r="C1612" s="10">
        <v>-7.3999999999999996E-2</v>
      </c>
      <c r="D1612" s="9" t="s">
        <v>1709</v>
      </c>
      <c r="E1612" s="11" t="s">
        <v>1710</v>
      </c>
      <c r="F1612" s="12" t="s">
        <v>1710</v>
      </c>
      <c r="G1612" s="9" t="s">
        <v>1709</v>
      </c>
    </row>
    <row r="1613" spans="1:7">
      <c r="A1613" s="9" t="s">
        <v>1711</v>
      </c>
      <c r="B1613" s="13">
        <v>0.2</v>
      </c>
      <c r="C1613" s="10">
        <v>1.7889999999999999</v>
      </c>
      <c r="D1613" s="9" t="s">
        <v>1712</v>
      </c>
      <c r="E1613" s="11" t="s">
        <v>1738</v>
      </c>
      <c r="F1613" s="12" t="s">
        <v>1714</v>
      </c>
      <c r="G1613" s="9" t="s">
        <v>1709</v>
      </c>
    </row>
    <row r="1614" spans="1:7">
      <c r="A1614" s="9" t="s">
        <v>1711</v>
      </c>
      <c r="B1614" s="13">
        <v>0.2</v>
      </c>
      <c r="C1614" s="10">
        <v>-7.2999999999999995E-2</v>
      </c>
      <c r="D1614" s="9" t="s">
        <v>1709</v>
      </c>
      <c r="E1614" s="11" t="s">
        <v>1710</v>
      </c>
      <c r="F1614" s="12" t="s">
        <v>1710</v>
      </c>
      <c r="G1614" s="9" t="s">
        <v>1709</v>
      </c>
    </row>
    <row r="1615" spans="1:7">
      <c r="A1615" s="9" t="s">
        <v>1711</v>
      </c>
      <c r="B1615" s="13">
        <v>0.2</v>
      </c>
      <c r="C1615" s="10">
        <v>-0.02</v>
      </c>
      <c r="D1615" s="9" t="s">
        <v>1709</v>
      </c>
      <c r="E1615" s="11" t="s">
        <v>1710</v>
      </c>
      <c r="F1615" s="12" t="s">
        <v>1710</v>
      </c>
      <c r="G1615" s="9" t="s">
        <v>1709</v>
      </c>
    </row>
    <row r="1616" spans="1:7">
      <c r="A1616" s="9" t="s">
        <v>1711</v>
      </c>
      <c r="B1616" s="13">
        <v>0.2</v>
      </c>
      <c r="C1616" s="10">
        <v>2.63</v>
      </c>
      <c r="D1616" s="9" t="s">
        <v>1712</v>
      </c>
      <c r="E1616" s="11" t="s">
        <v>1737</v>
      </c>
      <c r="F1616" s="12" t="s">
        <v>1714</v>
      </c>
      <c r="G1616" s="9" t="s">
        <v>1709</v>
      </c>
    </row>
    <row r="1617" spans="1:7">
      <c r="A1617" s="9" t="s">
        <v>1711</v>
      </c>
      <c r="B1617" s="13">
        <v>0.2</v>
      </c>
      <c r="C1617" s="10">
        <v>9.9999999999999985E-3</v>
      </c>
      <c r="D1617" s="9" t="s">
        <v>1712</v>
      </c>
      <c r="E1617" s="11" t="s">
        <v>1715</v>
      </c>
      <c r="F1617" s="12" t="s">
        <v>1714</v>
      </c>
      <c r="G1617" s="9" t="s">
        <v>1709</v>
      </c>
    </row>
    <row r="1618" spans="1:7">
      <c r="A1618" s="9" t="s">
        <v>1711</v>
      </c>
      <c r="B1618" s="13">
        <v>0.2</v>
      </c>
      <c r="C1618" s="10">
        <v>2.7479999999999998</v>
      </c>
      <c r="D1618" s="9" t="s">
        <v>1712</v>
      </c>
      <c r="E1618" s="11" t="s">
        <v>1739</v>
      </c>
      <c r="F1618" s="12" t="s">
        <v>1714</v>
      </c>
      <c r="G1618" s="9" t="s">
        <v>1709</v>
      </c>
    </row>
    <row r="1619" spans="1:7">
      <c r="A1619" s="9" t="s">
        <v>1711</v>
      </c>
      <c r="B1619" s="13">
        <v>0.2</v>
      </c>
      <c r="C1619" s="10">
        <v>-7.1999999999999995E-2</v>
      </c>
      <c r="D1619" s="9" t="s">
        <v>1709</v>
      </c>
      <c r="E1619" s="11" t="s">
        <v>1710</v>
      </c>
      <c r="F1619" s="12" t="s">
        <v>1710</v>
      </c>
      <c r="G1619" s="9" t="s">
        <v>1709</v>
      </c>
    </row>
    <row r="1620" spans="1:7">
      <c r="A1620" s="9" t="s">
        <v>1711</v>
      </c>
      <c r="B1620" s="13">
        <v>0.2</v>
      </c>
      <c r="C1620" s="10">
        <v>-6.9000000000000006E-2</v>
      </c>
      <c r="D1620" s="9" t="s">
        <v>1709</v>
      </c>
      <c r="E1620" s="11" t="s">
        <v>1710</v>
      </c>
      <c r="F1620" s="12" t="s">
        <v>1710</v>
      </c>
      <c r="G1620" s="9" t="s">
        <v>1709</v>
      </c>
    </row>
    <row r="1621" spans="1:7">
      <c r="A1621" s="9" t="s">
        <v>1711</v>
      </c>
      <c r="B1621" s="13">
        <v>0.2</v>
      </c>
      <c r="C1621" s="10">
        <v>-6.9000000000000006E-2</v>
      </c>
      <c r="D1621" s="9" t="s">
        <v>1709</v>
      </c>
      <c r="E1621" s="11" t="s">
        <v>1710</v>
      </c>
      <c r="F1621" s="12" t="s">
        <v>1710</v>
      </c>
      <c r="G1621" s="9" t="s">
        <v>1709</v>
      </c>
    </row>
    <row r="1622" spans="1:7">
      <c r="A1622" s="9" t="s">
        <v>1711</v>
      </c>
      <c r="B1622" s="13">
        <v>0.2</v>
      </c>
      <c r="C1622" s="10">
        <v>0.23699999999999999</v>
      </c>
      <c r="D1622" s="9" t="s">
        <v>1712</v>
      </c>
      <c r="E1622" s="11" t="s">
        <v>1737</v>
      </c>
      <c r="F1622" s="12" t="s">
        <v>1714</v>
      </c>
      <c r="G1622" s="9" t="s">
        <v>1709</v>
      </c>
    </row>
    <row r="1623" spans="1:7">
      <c r="A1623" s="9" t="s">
        <v>1711</v>
      </c>
      <c r="B1623" s="13">
        <v>0.2</v>
      </c>
      <c r="C1623" s="10">
        <v>-0.121</v>
      </c>
      <c r="D1623" s="9" t="s">
        <v>1709</v>
      </c>
      <c r="E1623" s="11" t="s">
        <v>1710</v>
      </c>
      <c r="F1623" s="12" t="s">
        <v>1710</v>
      </c>
      <c r="G1623" s="9" t="s">
        <v>1709</v>
      </c>
    </row>
    <row r="1624" spans="1:7">
      <c r="A1624" s="9" t="s">
        <v>1711</v>
      </c>
      <c r="B1624" s="9">
        <v>0.2</v>
      </c>
      <c r="C1624" s="10">
        <v>-7.1999999999999995E-2</v>
      </c>
      <c r="D1624" s="9" t="s">
        <v>1709</v>
      </c>
      <c r="E1624" s="11" t="s">
        <v>1710</v>
      </c>
      <c r="F1624" s="12" t="s">
        <v>1710</v>
      </c>
      <c r="G1624" s="9" t="s">
        <v>1709</v>
      </c>
    </row>
    <row r="1625" spans="1:7">
      <c r="A1625" s="9" t="s">
        <v>1711</v>
      </c>
      <c r="B1625" s="13">
        <v>0.2</v>
      </c>
      <c r="C1625" s="10">
        <v>0.52900000000000003</v>
      </c>
      <c r="D1625" s="9" t="s">
        <v>1712</v>
      </c>
      <c r="E1625" s="11" t="s">
        <v>1738</v>
      </c>
      <c r="F1625" s="12" t="s">
        <v>1714</v>
      </c>
      <c r="G1625" s="9" t="s">
        <v>1709</v>
      </c>
    </row>
    <row r="1626" spans="1:7">
      <c r="A1626" s="9" t="s">
        <v>1711</v>
      </c>
      <c r="B1626" s="9">
        <v>0.2</v>
      </c>
      <c r="C1626" s="10">
        <v>2.7479999999999998</v>
      </c>
      <c r="D1626" s="9" t="s">
        <v>1712</v>
      </c>
      <c r="E1626" s="11" t="s">
        <v>1738</v>
      </c>
      <c r="F1626" s="12" t="s">
        <v>1714</v>
      </c>
      <c r="G1626" s="9" t="s">
        <v>1709</v>
      </c>
    </row>
    <row r="1627" spans="1:7">
      <c r="A1627" s="9" t="s">
        <v>1711</v>
      </c>
      <c r="B1627" s="9">
        <v>0.2</v>
      </c>
      <c r="C1627" s="10">
        <v>0.11600000000000001</v>
      </c>
      <c r="D1627" s="9" t="s">
        <v>1712</v>
      </c>
      <c r="E1627" s="11" t="s">
        <v>1713</v>
      </c>
      <c r="F1627" s="12" t="s">
        <v>1714</v>
      </c>
      <c r="G1627" s="9" t="s">
        <v>1709</v>
      </c>
    </row>
    <row r="1628" spans="1:7">
      <c r="A1628" s="9" t="s">
        <v>1711</v>
      </c>
      <c r="B1628" s="9">
        <v>0.2</v>
      </c>
      <c r="C1628" s="10">
        <v>-7.1000000000000008E-2</v>
      </c>
      <c r="D1628" s="9" t="s">
        <v>1709</v>
      </c>
      <c r="E1628" s="11" t="s">
        <v>1710</v>
      </c>
      <c r="F1628" s="12" t="s">
        <v>1710</v>
      </c>
      <c r="G1628" s="9" t="s">
        <v>1709</v>
      </c>
    </row>
    <row r="1629" spans="1:7">
      <c r="A1629" s="9" t="s">
        <v>1711</v>
      </c>
      <c r="B1629" s="9">
        <v>0.2</v>
      </c>
      <c r="C1629" s="10">
        <v>0.24199999999999999</v>
      </c>
      <c r="D1629" s="9" t="s">
        <v>1712</v>
      </c>
      <c r="E1629" s="11" t="s">
        <v>1715</v>
      </c>
      <c r="F1629" s="12" t="s">
        <v>1714</v>
      </c>
      <c r="G1629" s="9" t="s">
        <v>1709</v>
      </c>
    </row>
    <row r="1630" spans="1:7">
      <c r="A1630" s="9" t="s">
        <v>1711</v>
      </c>
      <c r="B1630" s="13">
        <v>0.2</v>
      </c>
      <c r="C1630" s="10">
        <v>6.2E-2</v>
      </c>
      <c r="D1630" s="9" t="s">
        <v>1712</v>
      </c>
      <c r="E1630" s="11" t="s">
        <v>1715</v>
      </c>
      <c r="F1630" s="12" t="s">
        <v>1714</v>
      </c>
      <c r="G1630" s="9" t="s">
        <v>1709</v>
      </c>
    </row>
    <row r="1631" spans="1:7">
      <c r="A1631" s="9" t="s">
        <v>1711</v>
      </c>
      <c r="B1631" s="13">
        <v>0.2</v>
      </c>
      <c r="C1631" s="10">
        <v>0.98499999999999999</v>
      </c>
      <c r="D1631" s="9" t="s">
        <v>1712</v>
      </c>
      <c r="E1631" s="11" t="s">
        <v>1715</v>
      </c>
      <c r="F1631" s="12" t="s">
        <v>1714</v>
      </c>
      <c r="G1631" s="9" t="s">
        <v>1709</v>
      </c>
    </row>
    <row r="1632" spans="1:7">
      <c r="A1632" s="9" t="s">
        <v>1711</v>
      </c>
      <c r="B1632" s="13">
        <v>0.2</v>
      </c>
      <c r="C1632" s="10">
        <v>-9.1999999999999998E-2</v>
      </c>
      <c r="D1632" s="9" t="s">
        <v>1709</v>
      </c>
      <c r="E1632" s="11" t="s">
        <v>1710</v>
      </c>
      <c r="F1632" s="12" t="s">
        <v>1710</v>
      </c>
      <c r="G1632" s="9" t="s">
        <v>1709</v>
      </c>
    </row>
    <row r="1633" spans="1:7">
      <c r="A1633" s="9" t="s">
        <v>1711</v>
      </c>
      <c r="B1633" s="13">
        <v>0.2</v>
      </c>
      <c r="C1633" s="10">
        <v>-8.5000000000000006E-2</v>
      </c>
      <c r="D1633" s="9" t="s">
        <v>1709</v>
      </c>
      <c r="E1633" s="11" t="s">
        <v>1710</v>
      </c>
      <c r="F1633" s="12" t="s">
        <v>1710</v>
      </c>
      <c r="G1633" s="9" t="s">
        <v>1709</v>
      </c>
    </row>
    <row r="1634" spans="1:7">
      <c r="A1634" s="9" t="s">
        <v>1711</v>
      </c>
      <c r="B1634" s="13">
        <v>0.2</v>
      </c>
      <c r="C1634" s="10">
        <v>1.7999999999999998</v>
      </c>
      <c r="D1634" s="9" t="s">
        <v>1712</v>
      </c>
      <c r="E1634" s="11" t="s">
        <v>1738</v>
      </c>
      <c r="F1634" s="12" t="s">
        <v>1714</v>
      </c>
      <c r="G1634" s="9" t="s">
        <v>1709</v>
      </c>
    </row>
    <row r="1635" spans="1:7">
      <c r="A1635" s="9" t="s">
        <v>1711</v>
      </c>
      <c r="B1635" s="9">
        <v>0.2</v>
      </c>
      <c r="C1635" s="10">
        <v>0.89500000000000002</v>
      </c>
      <c r="D1635" s="9" t="s">
        <v>1712</v>
      </c>
      <c r="E1635" s="11" t="s">
        <v>1738</v>
      </c>
      <c r="F1635" s="12" t="s">
        <v>1714</v>
      </c>
      <c r="G1635" s="9" t="s">
        <v>1709</v>
      </c>
    </row>
    <row r="1636" spans="1:7">
      <c r="A1636" s="9" t="s">
        <v>1711</v>
      </c>
      <c r="B1636" s="9">
        <v>0.2</v>
      </c>
      <c r="C1636" s="10">
        <v>0.89500000000000002</v>
      </c>
      <c r="D1636" s="9" t="s">
        <v>1712</v>
      </c>
      <c r="E1636" s="11" t="s">
        <v>1738</v>
      </c>
      <c r="F1636" s="12" t="s">
        <v>1714</v>
      </c>
      <c r="G1636" s="9" t="s">
        <v>1709</v>
      </c>
    </row>
    <row r="1637" spans="1:7">
      <c r="A1637" s="9" t="s">
        <v>1711</v>
      </c>
      <c r="B1637" s="9">
        <v>0.2</v>
      </c>
      <c r="C1637" s="10">
        <v>0.89500000000000002</v>
      </c>
      <c r="D1637" s="9" t="s">
        <v>1712</v>
      </c>
      <c r="E1637" s="11" t="s">
        <v>1738</v>
      </c>
      <c r="F1637" s="12" t="s">
        <v>1714</v>
      </c>
      <c r="G1637" s="9" t="s">
        <v>1709</v>
      </c>
    </row>
    <row r="1638" spans="1:7">
      <c r="A1638" s="9" t="s">
        <v>1711</v>
      </c>
      <c r="B1638" s="13">
        <v>0.2</v>
      </c>
      <c r="C1638" s="10">
        <v>0.89500000000000002</v>
      </c>
      <c r="D1638" s="9" t="s">
        <v>1712</v>
      </c>
      <c r="E1638" s="11" t="s">
        <v>1738</v>
      </c>
      <c r="F1638" s="12" t="s">
        <v>1714</v>
      </c>
      <c r="G1638" s="9" t="s">
        <v>1709</v>
      </c>
    </row>
    <row r="1639" spans="1:7">
      <c r="A1639" s="9" t="s">
        <v>1711</v>
      </c>
      <c r="B1639" s="13">
        <v>0.2</v>
      </c>
      <c r="C1639" s="10">
        <v>0.17799999999999999</v>
      </c>
      <c r="D1639" s="9" t="s">
        <v>1712</v>
      </c>
      <c r="E1639" s="11" t="s">
        <v>1738</v>
      </c>
      <c r="F1639" s="12" t="s">
        <v>1714</v>
      </c>
      <c r="G1639" s="9" t="s">
        <v>1709</v>
      </c>
    </row>
    <row r="1640" spans="1:7">
      <c r="A1640" s="9" t="s">
        <v>1711</v>
      </c>
      <c r="B1640" s="13">
        <v>0.2</v>
      </c>
      <c r="C1640" s="10">
        <v>0.17799999999999999</v>
      </c>
      <c r="D1640" s="9" t="s">
        <v>1712</v>
      </c>
      <c r="E1640" s="11" t="s">
        <v>1738</v>
      </c>
      <c r="F1640" s="12" t="s">
        <v>1714</v>
      </c>
      <c r="G1640" s="9" t="s">
        <v>1709</v>
      </c>
    </row>
    <row r="1641" spans="1:7">
      <c r="A1641" s="9" t="s">
        <v>1711</v>
      </c>
      <c r="B1641" s="13">
        <v>0.2</v>
      </c>
      <c r="C1641" s="10">
        <v>0.223</v>
      </c>
      <c r="D1641" s="9" t="s">
        <v>1712</v>
      </c>
      <c r="E1641" s="11" t="s">
        <v>1738</v>
      </c>
      <c r="F1641" s="12" t="s">
        <v>1714</v>
      </c>
      <c r="G1641" s="9" t="s">
        <v>1709</v>
      </c>
    </row>
    <row r="1642" spans="1:7">
      <c r="A1642" s="9" t="s">
        <v>1711</v>
      </c>
      <c r="B1642" s="13">
        <v>0.2</v>
      </c>
      <c r="C1642" s="10">
        <v>0.79400000000000004</v>
      </c>
      <c r="D1642" s="9" t="s">
        <v>1712</v>
      </c>
      <c r="E1642" s="11" t="s">
        <v>1738</v>
      </c>
      <c r="F1642" s="12" t="s">
        <v>1714</v>
      </c>
      <c r="G1642" s="9" t="s">
        <v>1709</v>
      </c>
    </row>
    <row r="1643" spans="1:7">
      <c r="A1643" s="9" t="s">
        <v>1711</v>
      </c>
      <c r="B1643" s="13">
        <v>0.2</v>
      </c>
      <c r="C1643" s="10">
        <v>-0.06</v>
      </c>
      <c r="D1643" s="9" t="s">
        <v>1709</v>
      </c>
      <c r="E1643" s="11" t="s">
        <v>1710</v>
      </c>
      <c r="F1643" s="12" t="s">
        <v>1710</v>
      </c>
      <c r="G1643" s="9" t="s">
        <v>1709</v>
      </c>
    </row>
    <row r="1644" spans="1:7">
      <c r="A1644" s="9" t="s">
        <v>1711</v>
      </c>
      <c r="B1644" s="13">
        <v>0.2</v>
      </c>
      <c r="C1644" s="10">
        <v>0.98699999999999999</v>
      </c>
      <c r="D1644" s="9" t="s">
        <v>1712</v>
      </c>
      <c r="E1644" s="11" t="s">
        <v>1738</v>
      </c>
      <c r="F1644" s="12" t="s">
        <v>1714</v>
      </c>
      <c r="G1644" s="9" t="s">
        <v>1709</v>
      </c>
    </row>
    <row r="1645" spans="1:7">
      <c r="A1645" s="9" t="s">
        <v>1711</v>
      </c>
      <c r="B1645" s="13">
        <v>0.2</v>
      </c>
      <c r="C1645" s="10">
        <v>0.98699999999999999</v>
      </c>
      <c r="D1645" s="9" t="s">
        <v>1712</v>
      </c>
      <c r="E1645" s="11" t="s">
        <v>1738</v>
      </c>
      <c r="F1645" s="12" t="s">
        <v>1714</v>
      </c>
      <c r="G1645" s="9" t="s">
        <v>1709</v>
      </c>
    </row>
    <row r="1646" spans="1:7">
      <c r="A1646" s="9" t="s">
        <v>1711</v>
      </c>
      <c r="B1646" s="9">
        <v>0.2</v>
      </c>
      <c r="C1646" s="10">
        <v>0.98699999999999999</v>
      </c>
      <c r="D1646" s="9" t="s">
        <v>1712</v>
      </c>
      <c r="E1646" s="11" t="s">
        <v>1738</v>
      </c>
      <c r="F1646" s="12" t="s">
        <v>1714</v>
      </c>
      <c r="G1646" s="9" t="s">
        <v>1709</v>
      </c>
    </row>
    <row r="1647" spans="1:7">
      <c r="A1647" s="9" t="s">
        <v>1711</v>
      </c>
      <c r="B1647" s="9">
        <v>0.2</v>
      </c>
      <c r="C1647" s="10">
        <v>-0.16200000000000001</v>
      </c>
      <c r="D1647" s="9" t="s">
        <v>1709</v>
      </c>
      <c r="E1647" s="11" t="s">
        <v>1710</v>
      </c>
      <c r="F1647" s="12" t="s">
        <v>1710</v>
      </c>
      <c r="G1647" s="9" t="s">
        <v>1709</v>
      </c>
    </row>
    <row r="1648" spans="1:7">
      <c r="A1648" s="9" t="s">
        <v>1711</v>
      </c>
      <c r="B1648" s="9">
        <v>0.2</v>
      </c>
      <c r="C1648" s="10">
        <v>9.9999999999999985E-3</v>
      </c>
      <c r="D1648" s="9" t="s">
        <v>1712</v>
      </c>
      <c r="E1648" s="11" t="s">
        <v>1738</v>
      </c>
      <c r="F1648" s="12" t="s">
        <v>1714</v>
      </c>
      <c r="G1648" s="9" t="s">
        <v>1709</v>
      </c>
    </row>
    <row r="1649" spans="1:7">
      <c r="A1649" s="9" t="s">
        <v>1711</v>
      </c>
      <c r="B1649" s="9">
        <v>0.2</v>
      </c>
      <c r="C1649" s="10">
        <v>0.254</v>
      </c>
      <c r="D1649" s="9" t="s">
        <v>1712</v>
      </c>
      <c r="E1649" s="11" t="s">
        <v>1738</v>
      </c>
      <c r="F1649" s="12" t="s">
        <v>1714</v>
      </c>
      <c r="G1649" s="9" t="s">
        <v>1709</v>
      </c>
    </row>
    <row r="1650" spans="1:7">
      <c r="A1650" s="9" t="s">
        <v>1711</v>
      </c>
      <c r="B1650" s="9">
        <v>0.2</v>
      </c>
      <c r="C1650" s="10">
        <v>-1.7000000000000001E-2</v>
      </c>
      <c r="D1650" s="9" t="s">
        <v>1709</v>
      </c>
      <c r="E1650" s="11" t="s">
        <v>1710</v>
      </c>
      <c r="F1650" s="12" t="s">
        <v>1710</v>
      </c>
      <c r="G1650" s="9" t="s">
        <v>1709</v>
      </c>
    </row>
    <row r="1651" spans="1:7">
      <c r="A1651" s="9" t="s">
        <v>1711</v>
      </c>
      <c r="B1651" s="13">
        <v>0.2</v>
      </c>
      <c r="C1651" s="10">
        <v>-1.7000000000000001E-2</v>
      </c>
      <c r="D1651" s="9" t="s">
        <v>1709</v>
      </c>
      <c r="E1651" s="11" t="s">
        <v>1710</v>
      </c>
      <c r="F1651" s="12" t="s">
        <v>1710</v>
      </c>
      <c r="G1651" s="9" t="s">
        <v>1709</v>
      </c>
    </row>
    <row r="1652" spans="1:7">
      <c r="A1652" s="9" t="s">
        <v>1711</v>
      </c>
      <c r="B1652" s="9">
        <v>0.2</v>
      </c>
      <c r="C1652" s="10">
        <v>-0.13900000000000001</v>
      </c>
      <c r="D1652" s="9" t="s">
        <v>1709</v>
      </c>
      <c r="E1652" s="11" t="s">
        <v>1710</v>
      </c>
      <c r="F1652" s="12" t="s">
        <v>1710</v>
      </c>
      <c r="G1652" s="9" t="s">
        <v>1709</v>
      </c>
    </row>
    <row r="1653" spans="1:7">
      <c r="A1653" s="9" t="s">
        <v>1711</v>
      </c>
      <c r="B1653" s="13">
        <v>0.2</v>
      </c>
      <c r="C1653" s="10">
        <v>-0.13900000000000001</v>
      </c>
      <c r="D1653" s="9" t="s">
        <v>1709</v>
      </c>
      <c r="E1653" s="11" t="s">
        <v>1710</v>
      </c>
      <c r="F1653" s="12" t="s">
        <v>1710</v>
      </c>
      <c r="G1653" s="9" t="s">
        <v>1709</v>
      </c>
    </row>
    <row r="1654" spans="1:7">
      <c r="A1654" s="9" t="s">
        <v>1711</v>
      </c>
      <c r="B1654" s="9">
        <v>0.2</v>
      </c>
      <c r="C1654" s="10">
        <v>0.79800000000000004</v>
      </c>
      <c r="D1654" s="9" t="s">
        <v>1712</v>
      </c>
      <c r="E1654" s="11" t="s">
        <v>1713</v>
      </c>
      <c r="F1654" s="12" t="s">
        <v>1714</v>
      </c>
      <c r="G1654" s="9" t="s">
        <v>1709</v>
      </c>
    </row>
    <row r="1655" spans="1:7">
      <c r="A1655" s="9" t="s">
        <v>1711</v>
      </c>
      <c r="B1655" s="9">
        <v>0.2</v>
      </c>
      <c r="C1655" s="10">
        <v>0.79800000000000004</v>
      </c>
      <c r="D1655" s="9" t="s">
        <v>1712</v>
      </c>
      <c r="E1655" s="11" t="s">
        <v>1713</v>
      </c>
      <c r="F1655" s="12" t="s">
        <v>1714</v>
      </c>
      <c r="G1655" s="9" t="s">
        <v>1709</v>
      </c>
    </row>
    <row r="1656" spans="1:7">
      <c r="A1656" s="9" t="s">
        <v>1711</v>
      </c>
      <c r="B1656" s="13">
        <v>0.2</v>
      </c>
      <c r="C1656" s="10">
        <v>0.79800000000000004</v>
      </c>
      <c r="D1656" s="9" t="s">
        <v>1712</v>
      </c>
      <c r="E1656" s="11" t="s">
        <v>1713</v>
      </c>
      <c r="F1656" s="12" t="s">
        <v>1714</v>
      </c>
      <c r="G1656" s="9" t="s">
        <v>1709</v>
      </c>
    </row>
    <row r="1657" spans="1:7">
      <c r="A1657" s="9" t="s">
        <v>1711</v>
      </c>
      <c r="B1657" s="13">
        <v>0.2</v>
      </c>
      <c r="C1657" s="10">
        <v>0.24199999999999999</v>
      </c>
      <c r="D1657" s="9" t="s">
        <v>1712</v>
      </c>
      <c r="E1657" s="11" t="s">
        <v>1737</v>
      </c>
      <c r="F1657" s="12" t="s">
        <v>1714</v>
      </c>
      <c r="G1657" s="9" t="s">
        <v>1709</v>
      </c>
    </row>
    <row r="1658" spans="1:7">
      <c r="A1658" s="9" t="s">
        <v>1711</v>
      </c>
      <c r="B1658" s="13">
        <v>0.2</v>
      </c>
      <c r="C1658" s="10">
        <v>2.81</v>
      </c>
      <c r="D1658" s="9" t="s">
        <v>1712</v>
      </c>
      <c r="E1658" s="11" t="s">
        <v>1738</v>
      </c>
      <c r="F1658" s="12" t="s">
        <v>1714</v>
      </c>
      <c r="G1658" s="9" t="s">
        <v>1709</v>
      </c>
    </row>
    <row r="1659" spans="1:7">
      <c r="A1659" s="9" t="s">
        <v>1711</v>
      </c>
      <c r="B1659" s="13">
        <v>0.2</v>
      </c>
      <c r="C1659" s="10">
        <v>0.23699999999999999</v>
      </c>
      <c r="D1659" s="9" t="s">
        <v>1712</v>
      </c>
      <c r="E1659" s="11" t="s">
        <v>1713</v>
      </c>
      <c r="F1659" s="12" t="s">
        <v>1714</v>
      </c>
      <c r="G1659" s="9" t="s">
        <v>1709</v>
      </c>
    </row>
    <row r="1660" spans="1:7">
      <c r="A1660" s="9" t="s">
        <v>1711</v>
      </c>
      <c r="B1660" s="13">
        <v>0.2</v>
      </c>
      <c r="C1660" s="10">
        <v>1.9E-2</v>
      </c>
      <c r="D1660" s="9" t="s">
        <v>1712</v>
      </c>
      <c r="E1660" s="11" t="s">
        <v>1737</v>
      </c>
      <c r="F1660" s="12" t="s">
        <v>1714</v>
      </c>
      <c r="G1660" s="9" t="s">
        <v>1709</v>
      </c>
    </row>
    <row r="1661" spans="1:7">
      <c r="A1661" s="9" t="s">
        <v>1711</v>
      </c>
      <c r="B1661" s="9">
        <v>0.2</v>
      </c>
      <c r="C1661" s="10">
        <v>-8.3000000000000004E-2</v>
      </c>
      <c r="D1661" s="9" t="s">
        <v>1709</v>
      </c>
      <c r="E1661" s="11" t="s">
        <v>1710</v>
      </c>
      <c r="F1661" s="12" t="s">
        <v>1710</v>
      </c>
      <c r="G1661" s="9" t="s">
        <v>1709</v>
      </c>
    </row>
    <row r="1662" spans="1:7">
      <c r="A1662" s="9" t="s">
        <v>1711</v>
      </c>
      <c r="B1662" s="9">
        <v>0.2</v>
      </c>
      <c r="C1662" s="10">
        <v>-8.3000000000000004E-2</v>
      </c>
      <c r="D1662" s="9" t="s">
        <v>1709</v>
      </c>
      <c r="E1662" s="11" t="s">
        <v>1710</v>
      </c>
      <c r="F1662" s="12" t="s">
        <v>1710</v>
      </c>
      <c r="G1662" s="9" t="s">
        <v>1709</v>
      </c>
    </row>
    <row r="1663" spans="1:7">
      <c r="A1663" s="9" t="s">
        <v>1711</v>
      </c>
      <c r="B1663" s="9">
        <v>0.2</v>
      </c>
      <c r="C1663" s="10">
        <v>-7.8E-2</v>
      </c>
      <c r="D1663" s="9" t="s">
        <v>1709</v>
      </c>
      <c r="E1663" s="11" t="s">
        <v>1710</v>
      </c>
      <c r="F1663" s="12" t="s">
        <v>1710</v>
      </c>
      <c r="G1663" s="9" t="s">
        <v>1709</v>
      </c>
    </row>
    <row r="1664" spans="1:7">
      <c r="A1664" s="9" t="s">
        <v>1711</v>
      </c>
      <c r="B1664" s="9">
        <v>0.2</v>
      </c>
      <c r="C1664" s="10">
        <v>-7.5999999999999998E-2</v>
      </c>
      <c r="D1664" s="9" t="s">
        <v>1709</v>
      </c>
      <c r="E1664" s="11" t="s">
        <v>1710</v>
      </c>
      <c r="F1664" s="12" t="s">
        <v>1710</v>
      </c>
      <c r="G1664" s="9" t="s">
        <v>1709</v>
      </c>
    </row>
    <row r="1665" spans="1:7">
      <c r="A1665" s="9" t="s">
        <v>1711</v>
      </c>
      <c r="B1665" s="9">
        <v>0.2</v>
      </c>
      <c r="C1665" s="10">
        <v>-0.08</v>
      </c>
      <c r="D1665" s="9" t="s">
        <v>1709</v>
      </c>
      <c r="E1665" s="11" t="s">
        <v>1710</v>
      </c>
      <c r="F1665" s="12" t="s">
        <v>1710</v>
      </c>
      <c r="G1665" s="9" t="s">
        <v>1709</v>
      </c>
    </row>
    <row r="1666" spans="1:7">
      <c r="A1666" s="9" t="s">
        <v>1711</v>
      </c>
      <c r="B1666" s="13">
        <v>0.2</v>
      </c>
      <c r="C1666" s="10">
        <v>-0.04</v>
      </c>
      <c r="D1666" s="9" t="s">
        <v>1709</v>
      </c>
      <c r="E1666" s="11" t="s">
        <v>1710</v>
      </c>
      <c r="F1666" s="12" t="s">
        <v>1710</v>
      </c>
      <c r="G1666" s="9" t="s">
        <v>1709</v>
      </c>
    </row>
    <row r="1667" spans="1:7">
      <c r="A1667" s="9" t="s">
        <v>1711</v>
      </c>
      <c r="B1667" s="13">
        <v>0.2</v>
      </c>
      <c r="C1667" s="10">
        <v>-0.06</v>
      </c>
      <c r="D1667" s="9" t="s">
        <v>1709</v>
      </c>
      <c r="E1667" s="11" t="s">
        <v>1710</v>
      </c>
      <c r="F1667" s="12" t="s">
        <v>1710</v>
      </c>
      <c r="G1667" s="9" t="s">
        <v>1709</v>
      </c>
    </row>
    <row r="1668" spans="1:7">
      <c r="A1668" s="9" t="s">
        <v>1711</v>
      </c>
      <c r="B1668" s="13">
        <v>0.2</v>
      </c>
      <c r="C1668" s="10">
        <v>-5.6000000000000001E-2</v>
      </c>
      <c r="D1668" s="9" t="s">
        <v>1709</v>
      </c>
      <c r="E1668" s="11" t="s">
        <v>1710</v>
      </c>
      <c r="F1668" s="12" t="s">
        <v>1710</v>
      </c>
      <c r="G1668" s="9" t="s">
        <v>1709</v>
      </c>
    </row>
    <row r="1669" spans="1:7">
      <c r="A1669" s="9" t="s">
        <v>1711</v>
      </c>
      <c r="B1669" s="13">
        <v>0.2</v>
      </c>
      <c r="C1669" s="10">
        <v>-0.08</v>
      </c>
      <c r="D1669" s="9" t="s">
        <v>1709</v>
      </c>
      <c r="E1669" s="11" t="s">
        <v>1710</v>
      </c>
      <c r="F1669" s="12" t="s">
        <v>1710</v>
      </c>
      <c r="G1669" s="9" t="s">
        <v>1709</v>
      </c>
    </row>
    <row r="1670" spans="1:7">
      <c r="A1670" s="9" t="s">
        <v>1711</v>
      </c>
      <c r="B1670" s="13">
        <v>0.2</v>
      </c>
      <c r="C1670" s="10">
        <v>-0.08</v>
      </c>
      <c r="D1670" s="9" t="s">
        <v>1709</v>
      </c>
      <c r="E1670" s="11" t="s">
        <v>1710</v>
      </c>
      <c r="F1670" s="12" t="s">
        <v>1710</v>
      </c>
      <c r="G1670" s="9" t="s">
        <v>1709</v>
      </c>
    </row>
    <row r="1671" spans="1:7">
      <c r="A1671" s="9" t="s">
        <v>1711</v>
      </c>
      <c r="B1671" s="13">
        <v>0.2</v>
      </c>
      <c r="C1671" s="10">
        <v>-0.11600000000000001</v>
      </c>
      <c r="D1671" s="9" t="s">
        <v>1709</v>
      </c>
      <c r="E1671" s="11" t="s">
        <v>1710</v>
      </c>
      <c r="F1671" s="12" t="s">
        <v>1710</v>
      </c>
      <c r="G1671" s="9" t="s">
        <v>1709</v>
      </c>
    </row>
    <row r="1672" spans="1:7">
      <c r="A1672" s="9" t="s">
        <v>1711</v>
      </c>
      <c r="B1672" s="13">
        <v>0.2</v>
      </c>
      <c r="C1672" s="10">
        <v>-0.11600000000000001</v>
      </c>
      <c r="D1672" s="9" t="s">
        <v>1709</v>
      </c>
      <c r="E1672" s="11" t="s">
        <v>1710</v>
      </c>
      <c r="F1672" s="12" t="s">
        <v>1710</v>
      </c>
      <c r="G1672" s="9" t="s">
        <v>1709</v>
      </c>
    </row>
    <row r="1673" spans="1:7">
      <c r="A1673" s="9" t="s">
        <v>1711</v>
      </c>
      <c r="B1673" s="9">
        <v>0.2</v>
      </c>
      <c r="C1673" s="10">
        <v>-7.4999999999999997E-2</v>
      </c>
      <c r="D1673" s="9" t="s">
        <v>1709</v>
      </c>
      <c r="E1673" s="11" t="s">
        <v>1710</v>
      </c>
      <c r="F1673" s="12" t="s">
        <v>1710</v>
      </c>
      <c r="G1673" s="9" t="s">
        <v>1709</v>
      </c>
    </row>
    <row r="1674" spans="1:7">
      <c r="A1674" s="9" t="s">
        <v>1711</v>
      </c>
      <c r="B1674" s="9">
        <v>0.2</v>
      </c>
      <c r="C1674" s="10">
        <v>-7.4999999999999997E-2</v>
      </c>
      <c r="D1674" s="9" t="s">
        <v>1709</v>
      </c>
      <c r="E1674" s="11" t="s">
        <v>1710</v>
      </c>
      <c r="F1674" s="12" t="s">
        <v>1710</v>
      </c>
      <c r="G1674" s="9" t="s">
        <v>1709</v>
      </c>
    </row>
    <row r="1675" spans="1:7">
      <c r="A1675" s="9" t="s">
        <v>1711</v>
      </c>
      <c r="B1675" s="13">
        <v>0.2</v>
      </c>
      <c r="C1675" s="10">
        <v>-0.08</v>
      </c>
      <c r="D1675" s="9" t="s">
        <v>1709</v>
      </c>
      <c r="E1675" s="11" t="s">
        <v>1710</v>
      </c>
      <c r="F1675" s="12" t="s">
        <v>1710</v>
      </c>
      <c r="G1675" s="9" t="s">
        <v>1709</v>
      </c>
    </row>
    <row r="1676" spans="1:7">
      <c r="A1676" s="9" t="s">
        <v>1711</v>
      </c>
      <c r="B1676" s="9">
        <v>0.2</v>
      </c>
      <c r="C1676" s="10">
        <v>-0.08</v>
      </c>
      <c r="D1676" s="9" t="s">
        <v>1709</v>
      </c>
      <c r="E1676" s="11" t="s">
        <v>1710</v>
      </c>
      <c r="F1676" s="12" t="s">
        <v>1710</v>
      </c>
      <c r="G1676" s="9" t="s">
        <v>1709</v>
      </c>
    </row>
    <row r="1677" spans="1:7">
      <c r="A1677" s="9" t="s">
        <v>1711</v>
      </c>
      <c r="B1677" s="13">
        <v>0.2</v>
      </c>
      <c r="C1677" s="10">
        <v>5.0000000000000001E-3</v>
      </c>
      <c r="D1677" s="9" t="s">
        <v>1712</v>
      </c>
      <c r="E1677" s="11" t="s">
        <v>1715</v>
      </c>
      <c r="F1677" s="12" t="s">
        <v>1714</v>
      </c>
      <c r="G1677" s="9" t="s">
        <v>1709</v>
      </c>
    </row>
    <row r="1678" spans="1:7">
      <c r="A1678" s="9" t="s">
        <v>1711</v>
      </c>
      <c r="B1678" s="13">
        <v>0.2</v>
      </c>
      <c r="C1678" s="10">
        <v>0.80200000000000005</v>
      </c>
      <c r="D1678" s="9" t="s">
        <v>1712</v>
      </c>
      <c r="E1678" s="11" t="s">
        <v>1738</v>
      </c>
      <c r="F1678" s="12" t="s">
        <v>1714</v>
      </c>
      <c r="G1678" s="9" t="s">
        <v>1709</v>
      </c>
    </row>
    <row r="1679" spans="1:7">
      <c r="A1679" s="9" t="s">
        <v>1711</v>
      </c>
      <c r="B1679" s="13">
        <v>0.2</v>
      </c>
      <c r="C1679" s="10">
        <v>0.80200000000000005</v>
      </c>
      <c r="D1679" s="9" t="s">
        <v>1712</v>
      </c>
      <c r="E1679" s="11" t="s">
        <v>1738</v>
      </c>
      <c r="F1679" s="12" t="s">
        <v>1714</v>
      </c>
      <c r="G1679" s="9" t="s">
        <v>1709</v>
      </c>
    </row>
    <row r="1680" spans="1:7">
      <c r="A1680" s="9" t="s">
        <v>1711</v>
      </c>
      <c r="B1680" s="13">
        <v>0.2</v>
      </c>
      <c r="C1680" s="10">
        <v>0.80200000000000005</v>
      </c>
      <c r="D1680" s="9" t="s">
        <v>1712</v>
      </c>
      <c r="E1680" s="11" t="s">
        <v>1738</v>
      </c>
      <c r="F1680" s="12" t="s">
        <v>1714</v>
      </c>
      <c r="G1680" s="9" t="s">
        <v>1709</v>
      </c>
    </row>
    <row r="1681" spans="1:7">
      <c r="A1681" s="9" t="s">
        <v>1711</v>
      </c>
      <c r="B1681" s="13">
        <v>0.2</v>
      </c>
      <c r="C1681" s="10">
        <v>0.80200000000000005</v>
      </c>
      <c r="D1681" s="9" t="s">
        <v>1712</v>
      </c>
      <c r="E1681" s="11" t="s">
        <v>1738</v>
      </c>
      <c r="F1681" s="12" t="s">
        <v>1714</v>
      </c>
      <c r="G1681" s="9" t="s">
        <v>1709</v>
      </c>
    </row>
    <row r="1682" spans="1:7">
      <c r="A1682" s="9" t="s">
        <v>1711</v>
      </c>
      <c r="B1682" s="13">
        <v>0.2</v>
      </c>
      <c r="C1682" s="10">
        <v>0.109</v>
      </c>
      <c r="D1682" s="9" t="s">
        <v>1712</v>
      </c>
      <c r="E1682" s="11" t="s">
        <v>1738</v>
      </c>
      <c r="F1682" s="12" t="s">
        <v>1714</v>
      </c>
      <c r="G1682" s="9" t="s">
        <v>1709</v>
      </c>
    </row>
    <row r="1683" spans="1:7">
      <c r="A1683" s="9" t="s">
        <v>1711</v>
      </c>
      <c r="B1683" s="13">
        <v>0.2</v>
      </c>
      <c r="C1683" s="10">
        <v>0.109</v>
      </c>
      <c r="D1683" s="9" t="s">
        <v>1712</v>
      </c>
      <c r="E1683" s="11" t="s">
        <v>1738</v>
      </c>
      <c r="F1683" s="12" t="s">
        <v>1714</v>
      </c>
      <c r="G1683" s="9" t="s">
        <v>1709</v>
      </c>
    </row>
    <row r="1684" spans="1:7">
      <c r="A1684" s="9" t="s">
        <v>1711</v>
      </c>
      <c r="B1684" s="13">
        <v>0.2</v>
      </c>
      <c r="C1684" s="10">
        <v>0.109</v>
      </c>
      <c r="D1684" s="9" t="s">
        <v>1712</v>
      </c>
      <c r="E1684" s="11" t="s">
        <v>1738</v>
      </c>
      <c r="F1684" s="12" t="s">
        <v>1714</v>
      </c>
      <c r="G1684" s="9" t="s">
        <v>1709</v>
      </c>
    </row>
    <row r="1685" spans="1:7">
      <c r="A1685" s="9" t="s">
        <v>1711</v>
      </c>
      <c r="B1685" s="13">
        <v>0.2</v>
      </c>
      <c r="C1685" s="10">
        <v>0.27800000000000002</v>
      </c>
      <c r="D1685" s="9" t="s">
        <v>1712</v>
      </c>
      <c r="E1685" s="11" t="s">
        <v>1738</v>
      </c>
      <c r="F1685" s="12" t="s">
        <v>1714</v>
      </c>
      <c r="G1685" s="9" t="s">
        <v>1709</v>
      </c>
    </row>
    <row r="1686" spans="1:7">
      <c r="A1686" s="9" t="s">
        <v>1711</v>
      </c>
      <c r="B1686" s="13">
        <v>0.2</v>
      </c>
      <c r="C1686" s="10">
        <v>0.70099999999999996</v>
      </c>
      <c r="D1686" s="9" t="s">
        <v>1712</v>
      </c>
      <c r="E1686" s="11" t="s">
        <v>1713</v>
      </c>
      <c r="F1686" s="12" t="s">
        <v>1714</v>
      </c>
      <c r="G1686" s="9" t="s">
        <v>1709</v>
      </c>
    </row>
    <row r="1687" spans="1:7">
      <c r="A1687" s="9" t="s">
        <v>1711</v>
      </c>
      <c r="B1687" s="13">
        <v>0.2</v>
      </c>
      <c r="C1687" s="10">
        <v>-0.19</v>
      </c>
      <c r="D1687" s="9" t="s">
        <v>1709</v>
      </c>
      <c r="E1687" s="11" t="s">
        <v>1710</v>
      </c>
      <c r="F1687" s="12" t="s">
        <v>1710</v>
      </c>
      <c r="G1687" s="9" t="s">
        <v>1709</v>
      </c>
    </row>
    <row r="1688" spans="1:7">
      <c r="A1688" s="9" t="s">
        <v>1711</v>
      </c>
      <c r="B1688" s="13">
        <v>0.2</v>
      </c>
      <c r="C1688" s="10">
        <v>2.5680000000000001</v>
      </c>
      <c r="D1688" s="9" t="s">
        <v>1712</v>
      </c>
      <c r="E1688" s="11" t="s">
        <v>1737</v>
      </c>
      <c r="F1688" s="12" t="s">
        <v>1714</v>
      </c>
      <c r="G1688" s="9" t="s">
        <v>1709</v>
      </c>
    </row>
    <row r="1689" spans="1:7">
      <c r="A1689" s="9" t="s">
        <v>1711</v>
      </c>
      <c r="B1689" s="13">
        <v>0.2</v>
      </c>
      <c r="C1689" s="10">
        <v>2.5680000000000001</v>
      </c>
      <c r="D1689" s="9" t="s">
        <v>1712</v>
      </c>
      <c r="E1689" s="11" t="s">
        <v>1737</v>
      </c>
      <c r="F1689" s="12" t="s">
        <v>1714</v>
      </c>
      <c r="G1689" s="9" t="s">
        <v>1709</v>
      </c>
    </row>
    <row r="1690" spans="1:7">
      <c r="A1690" s="9" t="s">
        <v>1711</v>
      </c>
      <c r="B1690" s="13">
        <v>0.2</v>
      </c>
      <c r="C1690" s="10">
        <v>2.5680000000000001</v>
      </c>
      <c r="D1690" s="9" t="s">
        <v>1712</v>
      </c>
      <c r="E1690" s="11" t="s">
        <v>1737</v>
      </c>
      <c r="F1690" s="12" t="s">
        <v>1714</v>
      </c>
      <c r="G1690" s="9" t="s">
        <v>1709</v>
      </c>
    </row>
    <row r="1691" spans="1:7">
      <c r="A1691" s="9" t="s">
        <v>1711</v>
      </c>
      <c r="B1691" s="13">
        <v>0.2</v>
      </c>
      <c r="C1691" s="10">
        <v>2.5680000000000001</v>
      </c>
      <c r="D1691" s="9" t="s">
        <v>1712</v>
      </c>
      <c r="E1691" s="11" t="s">
        <v>1737</v>
      </c>
      <c r="F1691" s="12" t="s">
        <v>1714</v>
      </c>
      <c r="G1691" s="9" t="s">
        <v>1709</v>
      </c>
    </row>
    <row r="1692" spans="1:7">
      <c r="A1692" s="9" t="s">
        <v>1711</v>
      </c>
      <c r="B1692" s="13">
        <v>0.2</v>
      </c>
      <c r="C1692" s="10">
        <v>2.5680000000000001</v>
      </c>
      <c r="D1692" s="9" t="s">
        <v>1712</v>
      </c>
      <c r="E1692" s="11" t="s">
        <v>1737</v>
      </c>
      <c r="F1692" s="12" t="s">
        <v>1714</v>
      </c>
      <c r="G1692" s="9" t="s">
        <v>1709</v>
      </c>
    </row>
    <row r="1693" spans="1:7">
      <c r="A1693" s="9" t="s">
        <v>1711</v>
      </c>
      <c r="B1693" s="13">
        <v>0.2</v>
      </c>
      <c r="C1693" s="10">
        <v>2.5680000000000001</v>
      </c>
      <c r="D1693" s="9" t="s">
        <v>1712</v>
      </c>
      <c r="E1693" s="11" t="s">
        <v>1737</v>
      </c>
      <c r="F1693" s="12" t="s">
        <v>1714</v>
      </c>
      <c r="G1693" s="9" t="s">
        <v>1709</v>
      </c>
    </row>
    <row r="1694" spans="1:7">
      <c r="A1694" s="9" t="s">
        <v>1711</v>
      </c>
      <c r="B1694" s="13">
        <v>0.2</v>
      </c>
      <c r="C1694" s="10">
        <v>2.5680000000000001</v>
      </c>
      <c r="D1694" s="9" t="s">
        <v>1712</v>
      </c>
      <c r="E1694" s="11" t="s">
        <v>1737</v>
      </c>
      <c r="F1694" s="12" t="s">
        <v>1714</v>
      </c>
      <c r="G1694" s="9" t="s">
        <v>1709</v>
      </c>
    </row>
    <row r="1695" spans="1:7">
      <c r="A1695" s="9" t="s">
        <v>1711</v>
      </c>
      <c r="B1695" s="13">
        <v>0.2</v>
      </c>
      <c r="C1695" s="10">
        <v>0.93800000000000006</v>
      </c>
      <c r="D1695" s="9" t="s">
        <v>1712</v>
      </c>
      <c r="E1695" s="11" t="s">
        <v>1737</v>
      </c>
      <c r="F1695" s="12" t="s">
        <v>1714</v>
      </c>
      <c r="G1695" s="9" t="s">
        <v>1709</v>
      </c>
    </row>
    <row r="1696" spans="1:7">
      <c r="A1696" s="9" t="s">
        <v>1711</v>
      </c>
      <c r="B1696" s="13">
        <v>0.2</v>
      </c>
      <c r="C1696" s="10">
        <v>-0.04</v>
      </c>
      <c r="D1696" s="9" t="s">
        <v>1709</v>
      </c>
      <c r="E1696" s="11" t="s">
        <v>1710</v>
      </c>
      <c r="F1696" s="12" t="s">
        <v>1710</v>
      </c>
      <c r="G1696" s="9" t="s">
        <v>1709</v>
      </c>
    </row>
    <row r="1697" spans="1:7">
      <c r="A1697" s="9" t="s">
        <v>1711</v>
      </c>
      <c r="B1697" s="13">
        <v>0.2</v>
      </c>
      <c r="C1697" s="10">
        <v>9.9999999999999985E-3</v>
      </c>
      <c r="D1697" s="9" t="s">
        <v>1712</v>
      </c>
      <c r="E1697" s="11" t="s">
        <v>1736</v>
      </c>
      <c r="F1697" s="12" t="s">
        <v>1714</v>
      </c>
      <c r="G1697" s="9" t="s">
        <v>1709</v>
      </c>
    </row>
    <row r="1698" spans="1:7">
      <c r="A1698" s="9" t="s">
        <v>1711</v>
      </c>
      <c r="B1698" s="13">
        <v>0.2</v>
      </c>
      <c r="C1698" s="10">
        <v>7.1999999999999995E-2</v>
      </c>
      <c r="D1698" s="9" t="s">
        <v>1712</v>
      </c>
      <c r="E1698" s="11" t="s">
        <v>1738</v>
      </c>
      <c r="F1698" s="12" t="s">
        <v>1714</v>
      </c>
      <c r="G1698" s="9" t="s">
        <v>1709</v>
      </c>
    </row>
    <row r="1699" spans="1:7">
      <c r="A1699" s="9" t="s">
        <v>1711</v>
      </c>
      <c r="B1699" s="13">
        <v>0.2</v>
      </c>
      <c r="C1699" s="10">
        <v>-9.9999999999999985E-3</v>
      </c>
      <c r="D1699" s="9" t="s">
        <v>1709</v>
      </c>
      <c r="E1699" s="11" t="s">
        <v>1710</v>
      </c>
      <c r="F1699" s="12" t="s">
        <v>1710</v>
      </c>
      <c r="G1699" s="9" t="s">
        <v>1709</v>
      </c>
    </row>
    <row r="1700" spans="1:7">
      <c r="A1700" s="9" t="s">
        <v>1711</v>
      </c>
      <c r="B1700" s="13">
        <v>0.2</v>
      </c>
      <c r="C1700" s="10">
        <v>1.222</v>
      </c>
      <c r="D1700" s="9" t="s">
        <v>1712</v>
      </c>
      <c r="E1700" s="11" t="s">
        <v>1737</v>
      </c>
      <c r="F1700" s="12" t="s">
        <v>1714</v>
      </c>
      <c r="G1700" s="9" t="s">
        <v>1709</v>
      </c>
    </row>
    <row r="1701" spans="1:7">
      <c r="A1701" s="9" t="s">
        <v>1711</v>
      </c>
      <c r="B1701" s="13">
        <v>0.2</v>
      </c>
      <c r="C1701" s="10">
        <v>8.3000000000000004E-2</v>
      </c>
      <c r="D1701" s="9" t="s">
        <v>1712</v>
      </c>
      <c r="E1701" s="11" t="s">
        <v>1737</v>
      </c>
      <c r="F1701" s="12" t="s">
        <v>1714</v>
      </c>
      <c r="G1701" s="9" t="s">
        <v>1709</v>
      </c>
    </row>
    <row r="1702" spans="1:7">
      <c r="A1702" s="9" t="s">
        <v>1711</v>
      </c>
      <c r="B1702" s="13">
        <v>0.2</v>
      </c>
      <c r="C1702" s="10">
        <v>6.3E-2</v>
      </c>
      <c r="D1702" s="9" t="s">
        <v>1712</v>
      </c>
      <c r="E1702" s="11" t="s">
        <v>1737</v>
      </c>
      <c r="F1702" s="12" t="s">
        <v>1714</v>
      </c>
      <c r="G1702" s="9" t="s">
        <v>1709</v>
      </c>
    </row>
    <row r="1703" spans="1:7">
      <c r="A1703" s="9" t="s">
        <v>1711</v>
      </c>
      <c r="B1703" s="13">
        <v>0.2</v>
      </c>
      <c r="C1703" s="10">
        <v>6.3E-2</v>
      </c>
      <c r="D1703" s="9" t="s">
        <v>1712</v>
      </c>
      <c r="E1703" s="11" t="s">
        <v>1737</v>
      </c>
      <c r="F1703" s="12" t="s">
        <v>1714</v>
      </c>
      <c r="G1703" s="9" t="s">
        <v>1709</v>
      </c>
    </row>
    <row r="1704" spans="1:7">
      <c r="A1704" s="9" t="s">
        <v>1711</v>
      </c>
      <c r="B1704" s="9">
        <v>0.2</v>
      </c>
      <c r="C1704" s="10">
        <v>2.7479999999999998</v>
      </c>
      <c r="D1704" s="9" t="s">
        <v>1712</v>
      </c>
      <c r="E1704" s="11" t="s">
        <v>1736</v>
      </c>
      <c r="F1704" s="12" t="s">
        <v>1714</v>
      </c>
      <c r="G1704" s="9" t="s">
        <v>1709</v>
      </c>
    </row>
    <row r="1705" spans="1:7">
      <c r="A1705" s="9" t="s">
        <v>1711</v>
      </c>
      <c r="B1705" s="9">
        <v>0.2</v>
      </c>
      <c r="C1705" s="10">
        <v>-7.6999999999999999E-2</v>
      </c>
      <c r="D1705" s="9" t="s">
        <v>1709</v>
      </c>
      <c r="E1705" s="11" t="s">
        <v>1710</v>
      </c>
      <c r="F1705" s="12" t="s">
        <v>1710</v>
      </c>
      <c r="G1705" s="9" t="s">
        <v>1709</v>
      </c>
    </row>
    <row r="1706" spans="1:7">
      <c r="A1706" s="9" t="s">
        <v>1711</v>
      </c>
      <c r="B1706" s="9">
        <v>0.2</v>
      </c>
      <c r="C1706" s="10">
        <v>6.0000000000000001E-3</v>
      </c>
      <c r="D1706" s="9" t="s">
        <v>1712</v>
      </c>
      <c r="E1706" s="11" t="s">
        <v>1738</v>
      </c>
      <c r="F1706" s="12" t="s">
        <v>1714</v>
      </c>
      <c r="G1706" s="9" t="s">
        <v>1709</v>
      </c>
    </row>
    <row r="1707" spans="1:7">
      <c r="A1707" s="9" t="s">
        <v>1711</v>
      </c>
      <c r="B1707" s="9">
        <v>0.2</v>
      </c>
      <c r="C1707" s="10">
        <v>0.51900000000000002</v>
      </c>
      <c r="D1707" s="9" t="s">
        <v>1712</v>
      </c>
      <c r="E1707" s="11" t="s">
        <v>1737</v>
      </c>
      <c r="F1707" s="12" t="s">
        <v>1714</v>
      </c>
      <c r="G1707" s="9" t="s">
        <v>1709</v>
      </c>
    </row>
    <row r="1708" spans="1:7">
      <c r="A1708" s="9" t="s">
        <v>1711</v>
      </c>
      <c r="B1708" s="9">
        <v>0.2</v>
      </c>
      <c r="C1708" s="10">
        <v>0.19800000000000001</v>
      </c>
      <c r="D1708" s="9" t="s">
        <v>1712</v>
      </c>
      <c r="E1708" s="11" t="s">
        <v>1738</v>
      </c>
      <c r="F1708" s="12" t="s">
        <v>1714</v>
      </c>
      <c r="G1708" s="9" t="s">
        <v>1709</v>
      </c>
    </row>
    <row r="1709" spans="1:7">
      <c r="A1709" s="9" t="s">
        <v>1711</v>
      </c>
      <c r="B1709" s="9">
        <v>0.2</v>
      </c>
      <c r="C1709" s="10">
        <v>6.6000000000000003E-2</v>
      </c>
      <c r="D1709" s="9" t="s">
        <v>1712</v>
      </c>
      <c r="E1709" s="11" t="s">
        <v>1737</v>
      </c>
      <c r="F1709" s="12" t="s">
        <v>1714</v>
      </c>
      <c r="G1709" s="9" t="s">
        <v>1709</v>
      </c>
    </row>
    <row r="1710" spans="1:7">
      <c r="A1710" s="9" t="s">
        <v>1711</v>
      </c>
      <c r="B1710" s="9">
        <v>0.2</v>
      </c>
      <c r="C1710" s="10">
        <v>-0.193</v>
      </c>
      <c r="D1710" s="9" t="s">
        <v>1709</v>
      </c>
      <c r="E1710" s="11" t="s">
        <v>1710</v>
      </c>
      <c r="F1710" s="12" t="s">
        <v>1710</v>
      </c>
      <c r="G1710" s="9" t="s">
        <v>1709</v>
      </c>
    </row>
    <row r="1711" spans="1:7">
      <c r="A1711" s="9" t="s">
        <v>1711</v>
      </c>
      <c r="B1711" s="9">
        <v>0.2</v>
      </c>
      <c r="C1711" s="10">
        <v>-0.19400000000000001</v>
      </c>
      <c r="D1711" s="9" t="s">
        <v>1709</v>
      </c>
      <c r="E1711" s="11" t="s">
        <v>1710</v>
      </c>
      <c r="F1711" s="12" t="s">
        <v>1710</v>
      </c>
      <c r="G1711" s="9" t="s">
        <v>1709</v>
      </c>
    </row>
    <row r="1712" spans="1:7">
      <c r="A1712" s="9" t="s">
        <v>1711</v>
      </c>
      <c r="B1712" s="9">
        <v>0.2</v>
      </c>
      <c r="C1712" s="10">
        <v>1.6289999999999998</v>
      </c>
      <c r="D1712" s="9" t="s">
        <v>1712</v>
      </c>
      <c r="E1712" s="11" t="s">
        <v>1737</v>
      </c>
      <c r="F1712" s="12" t="s">
        <v>1714</v>
      </c>
      <c r="G1712" s="9" t="s">
        <v>1709</v>
      </c>
    </row>
    <row r="1713" spans="1:7">
      <c r="A1713" s="9" t="s">
        <v>1711</v>
      </c>
      <c r="B1713" s="9">
        <v>0.2</v>
      </c>
      <c r="C1713" s="10">
        <v>1.6289999999999998</v>
      </c>
      <c r="D1713" s="9" t="s">
        <v>1712</v>
      </c>
      <c r="E1713" s="11" t="s">
        <v>1737</v>
      </c>
      <c r="F1713" s="12" t="s">
        <v>1714</v>
      </c>
      <c r="G1713" s="9" t="s">
        <v>1709</v>
      </c>
    </row>
    <row r="1714" spans="1:7">
      <c r="A1714" s="9" t="s">
        <v>1711</v>
      </c>
      <c r="B1714" s="9">
        <v>0.2</v>
      </c>
      <c r="C1714" s="10">
        <v>1.6289999999999998</v>
      </c>
      <c r="D1714" s="9" t="s">
        <v>1712</v>
      </c>
      <c r="E1714" s="11" t="s">
        <v>1737</v>
      </c>
      <c r="F1714" s="12" t="s">
        <v>1714</v>
      </c>
      <c r="G1714" s="9" t="s">
        <v>1709</v>
      </c>
    </row>
    <row r="1715" spans="1:7">
      <c r="A1715" s="9" t="s">
        <v>1711</v>
      </c>
      <c r="B1715" s="9">
        <v>0.2</v>
      </c>
      <c r="C1715" s="10">
        <v>0.55200000000000005</v>
      </c>
      <c r="D1715" s="9" t="s">
        <v>1712</v>
      </c>
      <c r="E1715" s="11" t="s">
        <v>1713</v>
      </c>
      <c r="F1715" s="12" t="s">
        <v>1714</v>
      </c>
      <c r="G1715" s="9" t="s">
        <v>1709</v>
      </c>
    </row>
    <row r="1716" spans="1:7">
      <c r="A1716" s="9" t="s">
        <v>1711</v>
      </c>
      <c r="B1716" s="9">
        <v>0.2</v>
      </c>
      <c r="C1716" s="10">
        <v>0.55200000000000005</v>
      </c>
      <c r="D1716" s="9" t="s">
        <v>1712</v>
      </c>
      <c r="E1716" s="11" t="s">
        <v>1737</v>
      </c>
      <c r="F1716" s="12" t="s">
        <v>1714</v>
      </c>
      <c r="G1716" s="9" t="s">
        <v>1709</v>
      </c>
    </row>
    <row r="1717" spans="1:7">
      <c r="A1717" s="9" t="s">
        <v>1711</v>
      </c>
      <c r="B1717" s="13">
        <v>0.2</v>
      </c>
      <c r="C1717" s="10">
        <v>1.827</v>
      </c>
      <c r="D1717" s="9" t="s">
        <v>1712</v>
      </c>
      <c r="E1717" s="11" t="s">
        <v>1737</v>
      </c>
      <c r="F1717" s="12" t="s">
        <v>1714</v>
      </c>
      <c r="G1717" s="9" t="s">
        <v>1709</v>
      </c>
    </row>
    <row r="1718" spans="1:7">
      <c r="A1718" s="9" t="s">
        <v>1711</v>
      </c>
      <c r="B1718" s="13">
        <v>0.2</v>
      </c>
      <c r="C1718" s="10">
        <v>0.16400000000000001</v>
      </c>
      <c r="D1718" s="9" t="s">
        <v>1712</v>
      </c>
      <c r="E1718" s="11" t="s">
        <v>1737</v>
      </c>
      <c r="F1718" s="12" t="s">
        <v>1714</v>
      </c>
      <c r="G1718" s="9" t="s">
        <v>1709</v>
      </c>
    </row>
    <row r="1719" spans="1:7">
      <c r="A1719" s="9" t="s">
        <v>1711</v>
      </c>
      <c r="B1719" s="13">
        <v>0.2</v>
      </c>
      <c r="C1719" s="10">
        <v>6.9000000000000006E-2</v>
      </c>
      <c r="D1719" s="9" t="s">
        <v>1712</v>
      </c>
      <c r="E1719" s="11" t="s">
        <v>1715</v>
      </c>
      <c r="F1719" s="12" t="s">
        <v>1714</v>
      </c>
      <c r="G1719" s="9" t="s">
        <v>1709</v>
      </c>
    </row>
    <row r="1720" spans="1:7">
      <c r="A1720" s="9" t="s">
        <v>1711</v>
      </c>
      <c r="B1720" s="13">
        <v>0.2</v>
      </c>
      <c r="C1720" s="10">
        <v>2.7949999999999999</v>
      </c>
      <c r="D1720" s="9" t="s">
        <v>1712</v>
      </c>
      <c r="E1720" s="11" t="s">
        <v>1713</v>
      </c>
      <c r="F1720" s="12" t="s">
        <v>1714</v>
      </c>
      <c r="G1720" s="9" t="s">
        <v>1709</v>
      </c>
    </row>
    <row r="1721" spans="1:7">
      <c r="A1721" s="9" t="s">
        <v>1711</v>
      </c>
      <c r="B1721" s="9">
        <v>0.2</v>
      </c>
      <c r="C1721" s="10">
        <v>2.7949999999999999</v>
      </c>
      <c r="D1721" s="9" t="s">
        <v>1712</v>
      </c>
      <c r="E1721" s="11" t="s">
        <v>1713</v>
      </c>
      <c r="F1721" s="12" t="s">
        <v>1714</v>
      </c>
      <c r="G1721" s="9" t="s">
        <v>1709</v>
      </c>
    </row>
    <row r="1722" spans="1:7">
      <c r="A1722" s="9" t="s">
        <v>1711</v>
      </c>
      <c r="B1722" s="9">
        <v>0.2</v>
      </c>
      <c r="C1722" s="10">
        <v>2.7949999999999999</v>
      </c>
      <c r="D1722" s="9" t="s">
        <v>1712</v>
      </c>
      <c r="E1722" s="11" t="s">
        <v>1713</v>
      </c>
      <c r="F1722" s="12" t="s">
        <v>1714</v>
      </c>
      <c r="G1722" s="9" t="s">
        <v>1709</v>
      </c>
    </row>
    <row r="1723" spans="1:7">
      <c r="A1723" s="9" t="s">
        <v>1711</v>
      </c>
      <c r="B1723" s="9">
        <v>0.2</v>
      </c>
      <c r="C1723" s="10">
        <v>2.7949999999999999</v>
      </c>
      <c r="D1723" s="9" t="s">
        <v>1712</v>
      </c>
      <c r="E1723" s="11" t="s">
        <v>1713</v>
      </c>
      <c r="F1723" s="12" t="s">
        <v>1714</v>
      </c>
      <c r="G1723" s="9" t="s">
        <v>1709</v>
      </c>
    </row>
    <row r="1724" spans="1:7">
      <c r="A1724" s="9" t="s">
        <v>1711</v>
      </c>
      <c r="B1724" s="9">
        <v>0.2</v>
      </c>
      <c r="C1724" s="10">
        <v>-0.126</v>
      </c>
      <c r="D1724" s="9" t="s">
        <v>1709</v>
      </c>
      <c r="E1724" s="11" t="s">
        <v>1710</v>
      </c>
      <c r="F1724" s="12" t="s">
        <v>1710</v>
      </c>
      <c r="G1724" s="9" t="s">
        <v>1709</v>
      </c>
    </row>
    <row r="1725" spans="1:7">
      <c r="A1725" s="9" t="s">
        <v>1711</v>
      </c>
      <c r="B1725" s="13">
        <v>0.2</v>
      </c>
      <c r="C1725" s="10">
        <v>1.2549999999999999</v>
      </c>
      <c r="D1725" s="9" t="s">
        <v>1712</v>
      </c>
      <c r="E1725" s="11" t="s">
        <v>1737</v>
      </c>
      <c r="F1725" s="12" t="s">
        <v>1714</v>
      </c>
      <c r="G1725" s="9" t="s">
        <v>1709</v>
      </c>
    </row>
    <row r="1726" spans="1:7">
      <c r="A1726" s="9" t="s">
        <v>1711</v>
      </c>
      <c r="B1726" s="13">
        <v>0.2</v>
      </c>
      <c r="C1726" s="10">
        <v>0.23699999999999999</v>
      </c>
      <c r="D1726" s="9" t="s">
        <v>1712</v>
      </c>
      <c r="E1726" s="11" t="s">
        <v>1738</v>
      </c>
      <c r="F1726" s="12" t="s">
        <v>1714</v>
      </c>
      <c r="G1726" s="9" t="s">
        <v>1709</v>
      </c>
    </row>
    <row r="1727" spans="1:7">
      <c r="A1727" s="9" t="s">
        <v>1711</v>
      </c>
      <c r="B1727" s="13">
        <v>0.2</v>
      </c>
      <c r="C1727" s="10">
        <v>0.23699999999999999</v>
      </c>
      <c r="D1727" s="9" t="s">
        <v>1712</v>
      </c>
      <c r="E1727" s="11" t="s">
        <v>1738</v>
      </c>
      <c r="F1727" s="12" t="s">
        <v>1714</v>
      </c>
      <c r="G1727" s="9" t="s">
        <v>1709</v>
      </c>
    </row>
    <row r="1728" spans="1:7">
      <c r="A1728" s="9" t="s">
        <v>1711</v>
      </c>
      <c r="B1728" s="13">
        <v>0.2</v>
      </c>
      <c r="C1728" s="10">
        <v>0.23699999999999999</v>
      </c>
      <c r="D1728" s="9" t="s">
        <v>1712</v>
      </c>
      <c r="E1728" s="11" t="s">
        <v>1738</v>
      </c>
      <c r="F1728" s="12" t="s">
        <v>1714</v>
      </c>
      <c r="G1728" s="9" t="s">
        <v>1709</v>
      </c>
    </row>
    <row r="1729" spans="1:7">
      <c r="A1729" s="9" t="s">
        <v>1711</v>
      </c>
      <c r="B1729" s="13">
        <v>0.2</v>
      </c>
      <c r="C1729" s="10">
        <v>0.79800000000000004</v>
      </c>
      <c r="D1729" s="9" t="s">
        <v>1712</v>
      </c>
      <c r="E1729" s="11" t="s">
        <v>1739</v>
      </c>
      <c r="F1729" s="12" t="s">
        <v>1714</v>
      </c>
      <c r="G1729" s="9" t="s">
        <v>1709</v>
      </c>
    </row>
    <row r="1730" spans="1:7">
      <c r="A1730" s="9" t="s">
        <v>1711</v>
      </c>
      <c r="B1730" s="13">
        <v>0.2</v>
      </c>
      <c r="C1730" s="10">
        <v>0.79800000000000004</v>
      </c>
      <c r="D1730" s="9" t="s">
        <v>1712</v>
      </c>
      <c r="E1730" s="11" t="s">
        <v>1739</v>
      </c>
      <c r="F1730" s="12" t="s">
        <v>1714</v>
      </c>
      <c r="G1730" s="9" t="s">
        <v>1709</v>
      </c>
    </row>
    <row r="1731" spans="1:7">
      <c r="A1731" s="9" t="s">
        <v>1711</v>
      </c>
      <c r="B1731" s="9">
        <v>0.2</v>
      </c>
      <c r="C1731" s="10">
        <v>0.79800000000000004</v>
      </c>
      <c r="D1731" s="9" t="s">
        <v>1712</v>
      </c>
      <c r="E1731" s="11" t="s">
        <v>1739</v>
      </c>
      <c r="F1731" s="12" t="s">
        <v>1714</v>
      </c>
      <c r="G1731" s="9" t="s">
        <v>1709</v>
      </c>
    </row>
    <row r="1732" spans="1:7">
      <c r="A1732" s="9" t="s">
        <v>1711</v>
      </c>
      <c r="B1732" s="13">
        <v>0.2</v>
      </c>
      <c r="C1732" s="10">
        <v>0.79800000000000004</v>
      </c>
      <c r="D1732" s="9" t="s">
        <v>1712</v>
      </c>
      <c r="E1732" s="11" t="s">
        <v>1739</v>
      </c>
      <c r="F1732" s="12" t="s">
        <v>1714</v>
      </c>
      <c r="G1732" s="9" t="s">
        <v>1709</v>
      </c>
    </row>
    <row r="1733" spans="1:7">
      <c r="A1733" s="9" t="s">
        <v>1711</v>
      </c>
      <c r="B1733" s="13">
        <v>0.2</v>
      </c>
      <c r="C1733" s="10">
        <v>0.79800000000000004</v>
      </c>
      <c r="D1733" s="9" t="s">
        <v>1712</v>
      </c>
      <c r="E1733" s="11" t="s">
        <v>1739</v>
      </c>
      <c r="F1733" s="12" t="s">
        <v>1714</v>
      </c>
      <c r="G1733" s="9" t="s">
        <v>1709</v>
      </c>
    </row>
    <row r="1734" spans="1:7">
      <c r="A1734" s="9" t="s">
        <v>1711</v>
      </c>
      <c r="B1734" s="13">
        <v>0.2</v>
      </c>
      <c r="C1734" s="10">
        <v>0.79800000000000004</v>
      </c>
      <c r="D1734" s="9" t="s">
        <v>1712</v>
      </c>
      <c r="E1734" s="11" t="s">
        <v>1739</v>
      </c>
      <c r="F1734" s="12" t="s">
        <v>1714</v>
      </c>
      <c r="G1734" s="9" t="s">
        <v>1709</v>
      </c>
    </row>
    <row r="1735" spans="1:7">
      <c r="A1735" s="9" t="s">
        <v>1711</v>
      </c>
      <c r="B1735" s="13">
        <v>0.2</v>
      </c>
      <c r="C1735" s="10">
        <v>0.19800000000000001</v>
      </c>
      <c r="D1735" s="9" t="s">
        <v>1712</v>
      </c>
      <c r="E1735" s="11" t="s">
        <v>1737</v>
      </c>
      <c r="F1735" s="12" t="s">
        <v>1714</v>
      </c>
      <c r="G1735" s="9" t="s">
        <v>1709</v>
      </c>
    </row>
    <row r="1736" spans="1:7">
      <c r="A1736" s="9" t="s">
        <v>1711</v>
      </c>
      <c r="B1736" s="13">
        <v>0.2</v>
      </c>
      <c r="C1736" s="10">
        <v>0.19800000000000001</v>
      </c>
      <c r="D1736" s="9" t="s">
        <v>1712</v>
      </c>
      <c r="E1736" s="11" t="s">
        <v>1737</v>
      </c>
      <c r="F1736" s="12" t="s">
        <v>1714</v>
      </c>
      <c r="G1736" s="9" t="s">
        <v>1709</v>
      </c>
    </row>
    <row r="1737" spans="1:7">
      <c r="A1737" s="9" t="s">
        <v>1711</v>
      </c>
      <c r="B1737" s="13">
        <v>0.2</v>
      </c>
      <c r="C1737" s="10">
        <v>0.246</v>
      </c>
      <c r="D1737" s="9" t="s">
        <v>1712</v>
      </c>
      <c r="E1737" s="11" t="s">
        <v>1737</v>
      </c>
      <c r="F1737" s="12" t="s">
        <v>1714</v>
      </c>
      <c r="G1737" s="9" t="s">
        <v>1709</v>
      </c>
    </row>
    <row r="1738" spans="1:7">
      <c r="A1738" s="9" t="s">
        <v>1711</v>
      </c>
      <c r="B1738" s="13">
        <v>0.2</v>
      </c>
      <c r="C1738" s="10">
        <v>2.0709999999999997</v>
      </c>
      <c r="D1738" s="9" t="s">
        <v>1712</v>
      </c>
      <c r="E1738" s="11" t="s">
        <v>1737</v>
      </c>
      <c r="F1738" s="12" t="s">
        <v>1714</v>
      </c>
      <c r="G1738" s="9" t="s">
        <v>1709</v>
      </c>
    </row>
    <row r="1739" spans="1:7">
      <c r="A1739" s="9" t="s">
        <v>1711</v>
      </c>
      <c r="B1739" s="13">
        <v>0.2</v>
      </c>
      <c r="C1739" s="10">
        <v>0.3</v>
      </c>
      <c r="D1739" s="9" t="s">
        <v>1712</v>
      </c>
      <c r="E1739" s="11" t="s">
        <v>1737</v>
      </c>
      <c r="F1739" s="12" t="s">
        <v>1714</v>
      </c>
      <c r="G1739" s="9" t="s">
        <v>1709</v>
      </c>
    </row>
    <row r="1740" spans="1:7">
      <c r="A1740" s="9" t="s">
        <v>1711</v>
      </c>
      <c r="B1740" s="13">
        <v>0.2</v>
      </c>
      <c r="C1740" s="10">
        <v>1.3999999999999999E-2</v>
      </c>
      <c r="D1740" s="9" t="s">
        <v>1712</v>
      </c>
      <c r="E1740" s="11" t="s">
        <v>1739</v>
      </c>
      <c r="F1740" s="12" t="s">
        <v>1714</v>
      </c>
      <c r="G1740" s="9" t="s">
        <v>1709</v>
      </c>
    </row>
    <row r="1741" spans="1:7">
      <c r="A1741" s="9" t="s">
        <v>1711</v>
      </c>
      <c r="B1741" s="13">
        <v>0.2</v>
      </c>
      <c r="C1741" s="10">
        <v>0.79300000000000004</v>
      </c>
      <c r="D1741" s="9" t="s">
        <v>1712</v>
      </c>
      <c r="E1741" s="11" t="s">
        <v>1739</v>
      </c>
      <c r="F1741" s="12" t="s">
        <v>1714</v>
      </c>
      <c r="G1741" s="9" t="s">
        <v>1709</v>
      </c>
    </row>
    <row r="1742" spans="1:7">
      <c r="A1742" s="9" t="s">
        <v>1711</v>
      </c>
      <c r="B1742" s="13">
        <v>0.2</v>
      </c>
      <c r="C1742" s="10">
        <v>-7.1999999999999995E-2</v>
      </c>
      <c r="D1742" s="9" t="s">
        <v>1709</v>
      </c>
      <c r="E1742" s="11" t="s">
        <v>1710</v>
      </c>
      <c r="F1742" s="12" t="s">
        <v>1710</v>
      </c>
      <c r="G1742" s="9" t="s">
        <v>1709</v>
      </c>
    </row>
    <row r="1743" spans="1:7">
      <c r="A1743" s="9" t="s">
        <v>1711</v>
      </c>
      <c r="B1743" s="13">
        <v>0.2</v>
      </c>
      <c r="C1743" s="10">
        <v>0.20300000000000001</v>
      </c>
      <c r="D1743" s="9" t="s">
        <v>1712</v>
      </c>
      <c r="E1743" s="11" t="s">
        <v>1736</v>
      </c>
      <c r="F1743" s="12" t="s">
        <v>1714</v>
      </c>
      <c r="G1743" s="9" t="s">
        <v>1709</v>
      </c>
    </row>
    <row r="1744" spans="1:7">
      <c r="A1744" s="9" t="s">
        <v>1711</v>
      </c>
      <c r="B1744" s="13">
        <v>0.2</v>
      </c>
      <c r="C1744" s="10">
        <v>-0.05</v>
      </c>
      <c r="D1744" s="9" t="s">
        <v>1709</v>
      </c>
      <c r="E1744" s="11" t="s">
        <v>1710</v>
      </c>
      <c r="F1744" s="12" t="s">
        <v>1710</v>
      </c>
      <c r="G1744" s="9" t="s">
        <v>1709</v>
      </c>
    </row>
    <row r="1745" spans="1:7">
      <c r="A1745" s="9" t="s">
        <v>1711</v>
      </c>
      <c r="B1745" s="13">
        <v>0.2</v>
      </c>
      <c r="C1745" s="10">
        <v>-7.2999999999999995E-2</v>
      </c>
      <c r="D1745" s="9" t="s">
        <v>1709</v>
      </c>
      <c r="E1745" s="11" t="s">
        <v>1710</v>
      </c>
      <c r="F1745" s="12" t="s">
        <v>1710</v>
      </c>
      <c r="G1745" s="9" t="s">
        <v>1709</v>
      </c>
    </row>
    <row r="1746" spans="1:7">
      <c r="A1746" s="9" t="s">
        <v>1711</v>
      </c>
      <c r="B1746" s="13">
        <v>0.2</v>
      </c>
      <c r="C1746" s="10">
        <v>1.6289999999999998</v>
      </c>
      <c r="D1746" s="9" t="s">
        <v>1712</v>
      </c>
      <c r="E1746" s="11" t="s">
        <v>1736</v>
      </c>
      <c r="F1746" s="12" t="s">
        <v>1714</v>
      </c>
      <c r="G1746" s="9" t="s">
        <v>1709</v>
      </c>
    </row>
    <row r="1747" spans="1:7">
      <c r="A1747" s="9" t="s">
        <v>1711</v>
      </c>
      <c r="B1747" s="13">
        <v>0.2</v>
      </c>
      <c r="C1747" s="10">
        <v>0.14699999999999999</v>
      </c>
      <c r="D1747" s="9" t="s">
        <v>1712</v>
      </c>
      <c r="E1747" s="11" t="s">
        <v>1737</v>
      </c>
      <c r="F1747" s="12" t="s">
        <v>1714</v>
      </c>
      <c r="G1747" s="9" t="s">
        <v>1709</v>
      </c>
    </row>
    <row r="1748" spans="1:7">
      <c r="A1748" s="9" t="s">
        <v>1711</v>
      </c>
      <c r="B1748" s="13">
        <v>0.2</v>
      </c>
      <c r="C1748" s="10">
        <v>0.27500000000000002</v>
      </c>
      <c r="D1748" s="9" t="s">
        <v>1712</v>
      </c>
      <c r="E1748" s="11" t="s">
        <v>1737</v>
      </c>
      <c r="F1748" s="12" t="s">
        <v>1714</v>
      </c>
      <c r="G1748" s="9" t="s">
        <v>1709</v>
      </c>
    </row>
    <row r="1749" spans="1:7">
      <c r="A1749" s="9" t="s">
        <v>1711</v>
      </c>
      <c r="B1749" s="13">
        <v>0.2</v>
      </c>
      <c r="C1749" s="10">
        <v>0.375</v>
      </c>
      <c r="D1749" s="9" t="s">
        <v>1712</v>
      </c>
      <c r="E1749" s="11" t="s">
        <v>1739</v>
      </c>
      <c r="F1749" s="12" t="s">
        <v>1714</v>
      </c>
      <c r="G1749" s="9" t="s">
        <v>1709</v>
      </c>
    </row>
    <row r="1750" spans="1:7">
      <c r="A1750" s="9" t="s">
        <v>1711</v>
      </c>
      <c r="B1750" s="13">
        <v>0.2</v>
      </c>
      <c r="C1750" s="10">
        <v>0.11600000000000001</v>
      </c>
      <c r="D1750" s="9" t="s">
        <v>1712</v>
      </c>
      <c r="E1750" s="11" t="s">
        <v>1737</v>
      </c>
      <c r="F1750" s="12" t="s">
        <v>1714</v>
      </c>
      <c r="G1750" s="9" t="s">
        <v>1709</v>
      </c>
    </row>
    <row r="1751" spans="1:7">
      <c r="A1751" s="9" t="s">
        <v>1711</v>
      </c>
      <c r="B1751" s="13">
        <v>0.2</v>
      </c>
      <c r="C1751" s="10">
        <v>2.63</v>
      </c>
      <c r="D1751" s="9" t="s">
        <v>1712</v>
      </c>
      <c r="E1751" s="11" t="s">
        <v>1737</v>
      </c>
      <c r="F1751" s="12" t="s">
        <v>1714</v>
      </c>
      <c r="G1751" s="9" t="s">
        <v>1709</v>
      </c>
    </row>
    <row r="1752" spans="1:7">
      <c r="A1752" s="9" t="s">
        <v>1711</v>
      </c>
      <c r="B1752" s="13">
        <v>0.2</v>
      </c>
      <c r="C1752" s="10">
        <v>2.63</v>
      </c>
      <c r="D1752" s="9" t="s">
        <v>1712</v>
      </c>
      <c r="E1752" s="11" t="s">
        <v>1737</v>
      </c>
      <c r="F1752" s="12" t="s">
        <v>1714</v>
      </c>
      <c r="G1752" s="9" t="s">
        <v>1709</v>
      </c>
    </row>
    <row r="1753" spans="1:7">
      <c r="A1753" s="9" t="s">
        <v>1711</v>
      </c>
      <c r="B1753" s="13">
        <v>0.2</v>
      </c>
      <c r="C1753" s="10">
        <v>0.51700000000000002</v>
      </c>
      <c r="D1753" s="9" t="s">
        <v>1712</v>
      </c>
      <c r="E1753" s="11" t="s">
        <v>1737</v>
      </c>
      <c r="F1753" s="12" t="s">
        <v>1714</v>
      </c>
      <c r="G1753" s="9" t="s">
        <v>1709</v>
      </c>
    </row>
    <row r="1754" spans="1:7">
      <c r="A1754" s="9" t="s">
        <v>1711</v>
      </c>
      <c r="B1754" s="13">
        <v>0.2</v>
      </c>
      <c r="C1754" s="10">
        <v>0.27800000000000002</v>
      </c>
      <c r="D1754" s="9" t="s">
        <v>1712</v>
      </c>
      <c r="E1754" s="11" t="s">
        <v>1738</v>
      </c>
      <c r="F1754" s="12" t="s">
        <v>1714</v>
      </c>
      <c r="G1754" s="9" t="s">
        <v>1709</v>
      </c>
    </row>
    <row r="1755" spans="1:7">
      <c r="A1755" s="9" t="s">
        <v>1711</v>
      </c>
      <c r="B1755" s="13">
        <v>0.2</v>
      </c>
      <c r="C1755" s="10">
        <v>0.27800000000000002</v>
      </c>
      <c r="D1755" s="9" t="s">
        <v>1712</v>
      </c>
      <c r="E1755" s="11" t="s">
        <v>1738</v>
      </c>
      <c r="F1755" s="12" t="s">
        <v>1714</v>
      </c>
      <c r="G1755" s="9" t="s">
        <v>1709</v>
      </c>
    </row>
    <row r="1756" spans="1:7">
      <c r="A1756" s="9" t="s">
        <v>1711</v>
      </c>
      <c r="B1756" s="13">
        <v>0.2</v>
      </c>
      <c r="C1756" s="10">
        <v>1.607</v>
      </c>
      <c r="D1756" s="9" t="s">
        <v>1712</v>
      </c>
      <c r="E1756" s="11" t="s">
        <v>1713</v>
      </c>
      <c r="F1756" s="12" t="s">
        <v>1714</v>
      </c>
      <c r="G1756" s="9" t="s">
        <v>1709</v>
      </c>
    </row>
    <row r="1757" spans="1:7">
      <c r="A1757" s="9" t="s">
        <v>1711</v>
      </c>
      <c r="B1757" s="13">
        <v>0.2</v>
      </c>
      <c r="C1757" s="10">
        <v>-0.17899999999999999</v>
      </c>
      <c r="D1757" s="9" t="s">
        <v>1709</v>
      </c>
      <c r="E1757" s="11" t="s">
        <v>1710</v>
      </c>
      <c r="F1757" s="12" t="s">
        <v>1710</v>
      </c>
      <c r="G1757" s="9" t="s">
        <v>1709</v>
      </c>
    </row>
    <row r="1758" spans="1:7">
      <c r="A1758" s="9" t="s">
        <v>1711</v>
      </c>
      <c r="B1758" s="13">
        <v>0.2</v>
      </c>
      <c r="C1758" s="10">
        <v>0.27800000000000002</v>
      </c>
      <c r="D1758" s="9" t="s">
        <v>1712</v>
      </c>
      <c r="E1758" s="11" t="s">
        <v>1738</v>
      </c>
      <c r="F1758" s="12" t="s">
        <v>1714</v>
      </c>
      <c r="G1758" s="9" t="s">
        <v>1709</v>
      </c>
    </row>
    <row r="1759" spans="1:7">
      <c r="A1759" s="9" t="s">
        <v>1711</v>
      </c>
      <c r="B1759" s="13">
        <v>0.2</v>
      </c>
      <c r="C1759" s="10">
        <v>0.51700000000000002</v>
      </c>
      <c r="D1759" s="9" t="s">
        <v>1712</v>
      </c>
      <c r="E1759" s="11" t="s">
        <v>1736</v>
      </c>
      <c r="F1759" s="12" t="s">
        <v>1714</v>
      </c>
      <c r="G1759" s="9" t="s">
        <v>1709</v>
      </c>
    </row>
    <row r="1760" spans="1:7">
      <c r="A1760" s="9" t="s">
        <v>1711</v>
      </c>
      <c r="B1760" s="9">
        <v>0.2</v>
      </c>
      <c r="C1760" s="10">
        <v>1.8659999999999999</v>
      </c>
      <c r="D1760" s="9" t="s">
        <v>1712</v>
      </c>
      <c r="E1760" s="11" t="s">
        <v>1738</v>
      </c>
      <c r="F1760" s="12" t="s">
        <v>1714</v>
      </c>
      <c r="G1760" s="9" t="s">
        <v>1709</v>
      </c>
    </row>
    <row r="1761" spans="1:7">
      <c r="A1761" s="9" t="s">
        <v>1711</v>
      </c>
      <c r="B1761" s="9">
        <v>0.2</v>
      </c>
      <c r="C1761" s="10">
        <v>0.56899999999999995</v>
      </c>
      <c r="D1761" s="9" t="s">
        <v>1712</v>
      </c>
      <c r="E1761" s="11" t="s">
        <v>1736</v>
      </c>
      <c r="F1761" s="12" t="s">
        <v>1714</v>
      </c>
      <c r="G1761" s="9" t="s">
        <v>1709</v>
      </c>
    </row>
    <row r="1762" spans="1:7">
      <c r="A1762" s="9" t="s">
        <v>1711</v>
      </c>
      <c r="B1762" s="9">
        <v>0.2</v>
      </c>
      <c r="C1762" s="10">
        <v>1.6289999999999998</v>
      </c>
      <c r="D1762" s="9" t="s">
        <v>1712</v>
      </c>
      <c r="E1762" s="11" t="s">
        <v>1736</v>
      </c>
      <c r="F1762" s="12" t="s">
        <v>1714</v>
      </c>
      <c r="G1762" s="9" t="s">
        <v>1709</v>
      </c>
    </row>
    <row r="1763" spans="1:7">
      <c r="A1763" s="9" t="s">
        <v>1711</v>
      </c>
      <c r="B1763" s="9">
        <v>0.2</v>
      </c>
      <c r="C1763" s="10">
        <v>-3.9E-2</v>
      </c>
      <c r="D1763" s="9" t="s">
        <v>1709</v>
      </c>
      <c r="E1763" s="11" t="s">
        <v>1710</v>
      </c>
      <c r="F1763" s="12" t="s">
        <v>1710</v>
      </c>
      <c r="G1763" s="9" t="s">
        <v>1709</v>
      </c>
    </row>
    <row r="1764" spans="1:7">
      <c r="A1764" s="9" t="s">
        <v>1711</v>
      </c>
      <c r="B1764" s="9">
        <v>0.2</v>
      </c>
      <c r="C1764" s="10">
        <v>0.77500000000000002</v>
      </c>
      <c r="D1764" s="9" t="s">
        <v>1712</v>
      </c>
      <c r="E1764" s="11" t="s">
        <v>1737</v>
      </c>
      <c r="F1764" s="12" t="s">
        <v>1714</v>
      </c>
      <c r="G1764" s="9" t="s">
        <v>1709</v>
      </c>
    </row>
    <row r="1765" spans="1:7">
      <c r="A1765" s="9" t="s">
        <v>1711</v>
      </c>
      <c r="B1765" s="13">
        <v>0.2</v>
      </c>
      <c r="C1765" s="10">
        <v>0.91100000000000003</v>
      </c>
      <c r="D1765" s="9" t="s">
        <v>1712</v>
      </c>
      <c r="E1765" s="11" t="s">
        <v>1737</v>
      </c>
      <c r="F1765" s="12" t="s">
        <v>1714</v>
      </c>
      <c r="G1765" s="9" t="s">
        <v>1709</v>
      </c>
    </row>
    <row r="1766" spans="1:7">
      <c r="A1766" s="9" t="s">
        <v>1711</v>
      </c>
      <c r="B1766" s="13">
        <v>0.2</v>
      </c>
      <c r="C1766" s="10">
        <v>0.77600000000000002</v>
      </c>
      <c r="D1766" s="9" t="s">
        <v>1712</v>
      </c>
      <c r="E1766" s="11" t="s">
        <v>1737</v>
      </c>
      <c r="F1766" s="12" t="s">
        <v>1714</v>
      </c>
      <c r="G1766" s="9" t="s">
        <v>1709</v>
      </c>
    </row>
    <row r="1767" spans="1:7">
      <c r="A1767" s="9" t="s">
        <v>1711</v>
      </c>
      <c r="B1767" s="13">
        <v>0.2</v>
      </c>
      <c r="C1767" s="10">
        <v>0.77600000000000002</v>
      </c>
      <c r="D1767" s="9" t="s">
        <v>1712</v>
      </c>
      <c r="E1767" s="11" t="s">
        <v>1737</v>
      </c>
      <c r="F1767" s="12" t="s">
        <v>1714</v>
      </c>
      <c r="G1767" s="9" t="s">
        <v>1709</v>
      </c>
    </row>
    <row r="1768" spans="1:7">
      <c r="A1768" s="9" t="s">
        <v>1711</v>
      </c>
      <c r="B1768" s="13">
        <v>0.2</v>
      </c>
      <c r="C1768" s="10">
        <v>0.76800000000000002</v>
      </c>
      <c r="D1768" s="9" t="s">
        <v>1712</v>
      </c>
      <c r="E1768" s="11" t="s">
        <v>1737</v>
      </c>
      <c r="F1768" s="12" t="s">
        <v>1714</v>
      </c>
      <c r="G1768" s="9" t="s">
        <v>1709</v>
      </c>
    </row>
    <row r="1769" spans="1:7">
      <c r="A1769" s="9" t="s">
        <v>1711</v>
      </c>
      <c r="B1769" s="13">
        <v>0.2</v>
      </c>
      <c r="C1769" s="10">
        <v>9.9999999999999985E-3</v>
      </c>
      <c r="D1769" s="9" t="s">
        <v>1712</v>
      </c>
      <c r="E1769" s="11" t="s">
        <v>1736</v>
      </c>
      <c r="F1769" s="12" t="s">
        <v>1714</v>
      </c>
      <c r="G1769" s="9" t="s">
        <v>1709</v>
      </c>
    </row>
    <row r="1770" spans="1:7">
      <c r="A1770" s="9" t="s">
        <v>1711</v>
      </c>
      <c r="B1770" s="9">
        <v>0.2</v>
      </c>
      <c r="C1770" s="10">
        <v>-3.0000000000000002E-2</v>
      </c>
      <c r="D1770" s="9" t="s">
        <v>1709</v>
      </c>
      <c r="E1770" s="11" t="s">
        <v>1710</v>
      </c>
      <c r="F1770" s="12" t="s">
        <v>1710</v>
      </c>
      <c r="G1770" s="9" t="s">
        <v>1709</v>
      </c>
    </row>
    <row r="1771" spans="1:7">
      <c r="A1771" s="9" t="s">
        <v>1711</v>
      </c>
      <c r="B1771" s="9">
        <v>0.2</v>
      </c>
      <c r="C1771" s="10">
        <v>-9.4E-2</v>
      </c>
      <c r="D1771" s="9" t="s">
        <v>1709</v>
      </c>
      <c r="E1771" s="11" t="s">
        <v>1710</v>
      </c>
      <c r="F1771" s="12" t="s">
        <v>1710</v>
      </c>
      <c r="G1771" s="9" t="s">
        <v>1709</v>
      </c>
    </row>
    <row r="1772" spans="1:7">
      <c r="A1772" s="9" t="s">
        <v>1711</v>
      </c>
      <c r="B1772" s="9">
        <v>0.2</v>
      </c>
      <c r="C1772" s="10">
        <v>-2.9000000000000001E-2</v>
      </c>
      <c r="D1772" s="9" t="s">
        <v>1709</v>
      </c>
      <c r="E1772" s="11" t="s">
        <v>1710</v>
      </c>
      <c r="F1772" s="12" t="s">
        <v>1710</v>
      </c>
      <c r="G1772" s="9" t="s">
        <v>1709</v>
      </c>
    </row>
    <row r="1773" spans="1:7">
      <c r="A1773" s="9" t="s">
        <v>1711</v>
      </c>
      <c r="B1773" s="9">
        <v>0.2</v>
      </c>
      <c r="C1773" s="10">
        <v>-8.0000000000000002E-3</v>
      </c>
      <c r="D1773" s="9" t="s">
        <v>1709</v>
      </c>
      <c r="E1773" s="11" t="s">
        <v>1710</v>
      </c>
      <c r="F1773" s="12" t="s">
        <v>1710</v>
      </c>
      <c r="G1773" s="9" t="s">
        <v>1709</v>
      </c>
    </row>
    <row r="1774" spans="1:7">
      <c r="A1774" s="9" t="s">
        <v>1711</v>
      </c>
      <c r="B1774" s="9">
        <v>0.2</v>
      </c>
      <c r="C1774" s="10">
        <v>6.9000000000000006E-2</v>
      </c>
      <c r="D1774" s="9" t="s">
        <v>1712</v>
      </c>
      <c r="E1774" s="11" t="s">
        <v>1738</v>
      </c>
      <c r="F1774" s="12" t="s">
        <v>1714</v>
      </c>
      <c r="G1774" s="9" t="s">
        <v>1709</v>
      </c>
    </row>
    <row r="1775" spans="1:7">
      <c r="A1775" s="9" t="s">
        <v>1711</v>
      </c>
      <c r="B1775" s="13">
        <v>0.2</v>
      </c>
      <c r="C1775" s="10">
        <v>0.55300000000000005</v>
      </c>
      <c r="D1775" s="9" t="s">
        <v>1712</v>
      </c>
      <c r="E1775" s="11" t="s">
        <v>1713</v>
      </c>
      <c r="F1775" s="12" t="s">
        <v>1714</v>
      </c>
      <c r="G1775" s="9" t="s">
        <v>1709</v>
      </c>
    </row>
    <row r="1776" spans="1:7">
      <c r="A1776" s="9" t="s">
        <v>1711</v>
      </c>
      <c r="B1776" s="13">
        <v>0.2</v>
      </c>
      <c r="C1776" s="10">
        <v>0.55300000000000005</v>
      </c>
      <c r="D1776" s="9" t="s">
        <v>1712</v>
      </c>
      <c r="E1776" s="11" t="s">
        <v>1713</v>
      </c>
      <c r="F1776" s="12" t="s">
        <v>1714</v>
      </c>
      <c r="G1776" s="9" t="s">
        <v>1709</v>
      </c>
    </row>
    <row r="1777" spans="1:7">
      <c r="A1777" s="9" t="s">
        <v>1711</v>
      </c>
      <c r="B1777" s="13">
        <v>0.2</v>
      </c>
      <c r="C1777" s="10">
        <v>0.55300000000000005</v>
      </c>
      <c r="D1777" s="9" t="s">
        <v>1712</v>
      </c>
      <c r="E1777" s="11" t="s">
        <v>1713</v>
      </c>
      <c r="F1777" s="12" t="s">
        <v>1714</v>
      </c>
      <c r="G1777" s="9" t="s">
        <v>1709</v>
      </c>
    </row>
    <row r="1778" spans="1:7">
      <c r="A1778" s="9" t="s">
        <v>1711</v>
      </c>
      <c r="B1778" s="13">
        <v>0.2</v>
      </c>
      <c r="C1778" s="10">
        <v>0.38100000000000001</v>
      </c>
      <c r="D1778" s="9" t="s">
        <v>1712</v>
      </c>
      <c r="E1778" s="11" t="s">
        <v>1713</v>
      </c>
      <c r="F1778" s="12" t="s">
        <v>1714</v>
      </c>
      <c r="G1778" s="9" t="s">
        <v>1709</v>
      </c>
    </row>
    <row r="1779" spans="1:7">
      <c r="A1779" s="9" t="s">
        <v>1711</v>
      </c>
      <c r="B1779" s="13">
        <v>0.2</v>
      </c>
      <c r="C1779" s="10">
        <v>0.38</v>
      </c>
      <c r="D1779" s="9" t="s">
        <v>1712</v>
      </c>
      <c r="E1779" s="11" t="s">
        <v>1713</v>
      </c>
      <c r="F1779" s="12" t="s">
        <v>1714</v>
      </c>
      <c r="G1779" s="9" t="s">
        <v>1709</v>
      </c>
    </row>
    <row r="1780" spans="1:7">
      <c r="A1780" s="9" t="s">
        <v>1711</v>
      </c>
      <c r="B1780" s="13">
        <v>0.2</v>
      </c>
      <c r="C1780" s="10">
        <v>0.23500000000000001</v>
      </c>
      <c r="D1780" s="9" t="s">
        <v>1712</v>
      </c>
      <c r="E1780" s="11" t="s">
        <v>1713</v>
      </c>
      <c r="F1780" s="12" t="s">
        <v>1714</v>
      </c>
      <c r="G1780" s="9" t="s">
        <v>1709</v>
      </c>
    </row>
    <row r="1781" spans="1:7">
      <c r="A1781" s="9" t="s">
        <v>1711</v>
      </c>
      <c r="B1781" s="13">
        <v>0.2</v>
      </c>
      <c r="C1781" s="10">
        <v>0.64900000000000002</v>
      </c>
      <c r="D1781" s="9" t="s">
        <v>1712</v>
      </c>
      <c r="E1781" s="11" t="s">
        <v>1713</v>
      </c>
      <c r="F1781" s="12" t="s">
        <v>1714</v>
      </c>
      <c r="G1781" s="9" t="s">
        <v>1709</v>
      </c>
    </row>
    <row r="1782" spans="1:7">
      <c r="A1782" s="9" t="s">
        <v>1711</v>
      </c>
      <c r="B1782" s="13">
        <v>0.2</v>
      </c>
      <c r="C1782" s="10">
        <v>1.4649999999999999</v>
      </c>
      <c r="D1782" s="9" t="s">
        <v>1712</v>
      </c>
      <c r="E1782" s="11" t="s">
        <v>1713</v>
      </c>
      <c r="F1782" s="12" t="s">
        <v>1714</v>
      </c>
      <c r="G1782" s="9" t="s">
        <v>1709</v>
      </c>
    </row>
    <row r="1783" spans="1:7">
      <c r="A1783" s="9" t="s">
        <v>1711</v>
      </c>
      <c r="B1783" s="13">
        <v>0.2</v>
      </c>
      <c r="C1783" s="10">
        <v>1.4649999999999999</v>
      </c>
      <c r="D1783" s="9" t="s">
        <v>1712</v>
      </c>
      <c r="E1783" s="11" t="s">
        <v>1713</v>
      </c>
      <c r="F1783" s="12" t="s">
        <v>1714</v>
      </c>
      <c r="G1783" s="9" t="s">
        <v>1709</v>
      </c>
    </row>
    <row r="1784" spans="1:7">
      <c r="A1784" s="9" t="s">
        <v>1711</v>
      </c>
      <c r="B1784" s="13">
        <v>0.2</v>
      </c>
      <c r="C1784" s="10">
        <v>1.4649999999999999</v>
      </c>
      <c r="D1784" s="9" t="s">
        <v>1712</v>
      </c>
      <c r="E1784" s="11" t="s">
        <v>1713</v>
      </c>
      <c r="F1784" s="12" t="s">
        <v>1714</v>
      </c>
      <c r="G1784" s="9" t="s">
        <v>1709</v>
      </c>
    </row>
    <row r="1785" spans="1:7">
      <c r="A1785" s="9" t="s">
        <v>1711</v>
      </c>
      <c r="B1785" s="13">
        <v>0.2</v>
      </c>
      <c r="C1785" s="10">
        <v>1.4649999999999999</v>
      </c>
      <c r="D1785" s="9" t="s">
        <v>1712</v>
      </c>
      <c r="E1785" s="11" t="s">
        <v>1713</v>
      </c>
      <c r="F1785" s="12" t="s">
        <v>1714</v>
      </c>
      <c r="G1785" s="9" t="s">
        <v>1709</v>
      </c>
    </row>
    <row r="1786" spans="1:7">
      <c r="A1786" s="9" t="s">
        <v>1711</v>
      </c>
      <c r="B1786" s="13">
        <v>0.2</v>
      </c>
      <c r="C1786" s="10">
        <v>0.223</v>
      </c>
      <c r="D1786" s="9" t="s">
        <v>1712</v>
      </c>
      <c r="E1786" s="11" t="s">
        <v>1737</v>
      </c>
      <c r="F1786" s="12" t="s">
        <v>1714</v>
      </c>
      <c r="G1786" s="9" t="s">
        <v>1709</v>
      </c>
    </row>
    <row r="1787" spans="1:7">
      <c r="A1787" s="9" t="s">
        <v>1711</v>
      </c>
      <c r="B1787" s="13">
        <v>0.2</v>
      </c>
      <c r="C1787" s="10">
        <v>0.223</v>
      </c>
      <c r="D1787" s="9" t="s">
        <v>1712</v>
      </c>
      <c r="E1787" s="11" t="s">
        <v>1737</v>
      </c>
      <c r="F1787" s="12" t="s">
        <v>1714</v>
      </c>
      <c r="G1787" s="9" t="s">
        <v>1709</v>
      </c>
    </row>
    <row r="1788" spans="1:7">
      <c r="A1788" s="9" t="s">
        <v>1711</v>
      </c>
      <c r="B1788" s="13">
        <v>0.2</v>
      </c>
      <c r="C1788" s="10">
        <v>0.104</v>
      </c>
      <c r="D1788" s="9" t="s">
        <v>1712</v>
      </c>
      <c r="E1788" s="11" t="s">
        <v>1738</v>
      </c>
      <c r="F1788" s="12" t="s">
        <v>1714</v>
      </c>
      <c r="G1788" s="9" t="s">
        <v>1709</v>
      </c>
    </row>
    <row r="1789" spans="1:7">
      <c r="A1789" s="9" t="s">
        <v>1711</v>
      </c>
      <c r="B1789" s="13">
        <v>0.2</v>
      </c>
      <c r="C1789" s="10">
        <v>0.67200000000000004</v>
      </c>
      <c r="D1789" s="9" t="s">
        <v>1712</v>
      </c>
      <c r="E1789" s="11" t="s">
        <v>1713</v>
      </c>
      <c r="F1789" s="12" t="s">
        <v>1714</v>
      </c>
      <c r="G1789" s="9" t="s">
        <v>1709</v>
      </c>
    </row>
    <row r="1790" spans="1:7">
      <c r="A1790" s="9" t="s">
        <v>1711</v>
      </c>
      <c r="B1790" s="13">
        <v>0.2</v>
      </c>
      <c r="C1790" s="10">
        <v>0.67200000000000004</v>
      </c>
      <c r="D1790" s="9" t="s">
        <v>1712</v>
      </c>
      <c r="E1790" s="11" t="s">
        <v>1713</v>
      </c>
      <c r="F1790" s="12" t="s">
        <v>1714</v>
      </c>
      <c r="G1790" s="9" t="s">
        <v>1709</v>
      </c>
    </row>
    <row r="1791" spans="1:7">
      <c r="A1791" s="9" t="s">
        <v>1711</v>
      </c>
      <c r="B1791" s="13">
        <v>0.2</v>
      </c>
      <c r="C1791" s="10">
        <v>0.67200000000000004</v>
      </c>
      <c r="D1791" s="9" t="s">
        <v>1712</v>
      </c>
      <c r="E1791" s="11" t="s">
        <v>1713</v>
      </c>
      <c r="F1791" s="12" t="s">
        <v>1714</v>
      </c>
      <c r="G1791" s="9" t="s">
        <v>1709</v>
      </c>
    </row>
    <row r="1792" spans="1:7">
      <c r="A1792" s="9" t="s">
        <v>1711</v>
      </c>
      <c r="B1792" s="13">
        <v>0.2</v>
      </c>
      <c r="C1792" s="10">
        <v>-0.126</v>
      </c>
      <c r="D1792" s="9" t="s">
        <v>1709</v>
      </c>
      <c r="E1792" s="11" t="s">
        <v>1710</v>
      </c>
      <c r="F1792" s="12" t="s">
        <v>1710</v>
      </c>
      <c r="G1792" s="9" t="s">
        <v>1709</v>
      </c>
    </row>
    <row r="1793" spans="1:7">
      <c r="A1793" s="9" t="s">
        <v>1711</v>
      </c>
      <c r="B1793" s="13">
        <v>0.2</v>
      </c>
      <c r="C1793" s="10">
        <v>2.63</v>
      </c>
      <c r="D1793" s="9" t="s">
        <v>1712</v>
      </c>
      <c r="E1793" s="11" t="s">
        <v>1736</v>
      </c>
      <c r="F1793" s="12" t="s">
        <v>1714</v>
      </c>
      <c r="G1793" s="9" t="s">
        <v>1709</v>
      </c>
    </row>
    <row r="1794" spans="1:7">
      <c r="A1794" s="9" t="s">
        <v>1711</v>
      </c>
      <c r="B1794" s="9">
        <v>0.2</v>
      </c>
      <c r="C1794" s="10">
        <v>1.827</v>
      </c>
      <c r="D1794" s="9" t="s">
        <v>1712</v>
      </c>
      <c r="E1794" s="11" t="s">
        <v>1736</v>
      </c>
      <c r="F1794" s="12" t="s">
        <v>1714</v>
      </c>
      <c r="G1794" s="9" t="s">
        <v>1709</v>
      </c>
    </row>
    <row r="1795" spans="1:7">
      <c r="A1795" s="9" t="s">
        <v>1711</v>
      </c>
      <c r="B1795" s="13">
        <v>0.2</v>
      </c>
      <c r="C1795" s="10">
        <v>-3.0000000000000002E-2</v>
      </c>
      <c r="D1795" s="9" t="s">
        <v>1709</v>
      </c>
      <c r="E1795" s="11" t="s">
        <v>1710</v>
      </c>
      <c r="F1795" s="12" t="s">
        <v>1710</v>
      </c>
      <c r="G1795" s="9" t="s">
        <v>1709</v>
      </c>
    </row>
    <row r="1796" spans="1:7">
      <c r="A1796" s="9" t="s">
        <v>1711</v>
      </c>
      <c r="B1796" s="9">
        <v>0.2</v>
      </c>
      <c r="C1796" s="10">
        <v>1.853</v>
      </c>
      <c r="D1796" s="9" t="s">
        <v>1712</v>
      </c>
      <c r="E1796" s="11" t="s">
        <v>1736</v>
      </c>
      <c r="F1796" s="12" t="s">
        <v>1714</v>
      </c>
      <c r="G1796" s="9" t="s">
        <v>1709</v>
      </c>
    </row>
    <row r="1797" spans="1:7">
      <c r="A1797" s="9" t="s">
        <v>1711</v>
      </c>
      <c r="B1797" s="9">
        <v>0.2</v>
      </c>
      <c r="C1797" s="10">
        <v>0.38600000000000001</v>
      </c>
      <c r="D1797" s="9" t="s">
        <v>1712</v>
      </c>
      <c r="E1797" s="11" t="s">
        <v>1737</v>
      </c>
      <c r="F1797" s="12" t="s">
        <v>1714</v>
      </c>
      <c r="G1797" s="9" t="s">
        <v>1709</v>
      </c>
    </row>
    <row r="1798" spans="1:7">
      <c r="A1798" s="9" t="s">
        <v>1711</v>
      </c>
      <c r="B1798" s="9">
        <v>0.2</v>
      </c>
      <c r="C1798" s="10">
        <v>1.8279999999999998</v>
      </c>
      <c r="D1798" s="9" t="s">
        <v>1712</v>
      </c>
      <c r="E1798" s="11" t="s">
        <v>1715</v>
      </c>
      <c r="F1798" s="12" t="s">
        <v>1714</v>
      </c>
      <c r="G1798" s="9" t="s">
        <v>1709</v>
      </c>
    </row>
    <row r="1799" spans="1:7">
      <c r="A1799" s="9" t="s">
        <v>1711</v>
      </c>
      <c r="B1799" s="9">
        <v>0.2</v>
      </c>
      <c r="C1799" s="10">
        <v>0.13700000000000001</v>
      </c>
      <c r="D1799" s="9" t="s">
        <v>1712</v>
      </c>
      <c r="E1799" s="11" t="s">
        <v>1738</v>
      </c>
      <c r="F1799" s="12" t="s">
        <v>1714</v>
      </c>
      <c r="G1799" s="9" t="s">
        <v>1709</v>
      </c>
    </row>
    <row r="1800" spans="1:7">
      <c r="A1800" s="9" t="s">
        <v>1711</v>
      </c>
      <c r="B1800" s="9">
        <v>0.2</v>
      </c>
      <c r="C1800" s="10">
        <v>0.13700000000000001</v>
      </c>
      <c r="D1800" s="9" t="s">
        <v>1712</v>
      </c>
      <c r="E1800" s="11" t="s">
        <v>1738</v>
      </c>
      <c r="F1800" s="12" t="s">
        <v>1714</v>
      </c>
      <c r="G1800" s="9" t="s">
        <v>1709</v>
      </c>
    </row>
    <row r="1801" spans="1:7">
      <c r="A1801" s="9" t="s">
        <v>1711</v>
      </c>
      <c r="B1801" s="9">
        <v>0.2</v>
      </c>
      <c r="C1801" s="10">
        <v>0.13700000000000001</v>
      </c>
      <c r="D1801" s="9" t="s">
        <v>1712</v>
      </c>
      <c r="E1801" s="11" t="s">
        <v>1738</v>
      </c>
      <c r="F1801" s="12" t="s">
        <v>1714</v>
      </c>
      <c r="G1801" s="9" t="s">
        <v>1709</v>
      </c>
    </row>
    <row r="1802" spans="1:7">
      <c r="A1802" s="9" t="s">
        <v>1711</v>
      </c>
      <c r="B1802" s="9">
        <v>0.2</v>
      </c>
      <c r="C1802" s="10">
        <v>-0.19400000000000001</v>
      </c>
      <c r="D1802" s="9" t="s">
        <v>1709</v>
      </c>
      <c r="E1802" s="11" t="s">
        <v>1710</v>
      </c>
      <c r="F1802" s="12" t="s">
        <v>1710</v>
      </c>
      <c r="G1802" s="9" t="s">
        <v>1709</v>
      </c>
    </row>
    <row r="1803" spans="1:7">
      <c r="A1803" s="9" t="s">
        <v>1711</v>
      </c>
      <c r="B1803" s="9">
        <v>0.2</v>
      </c>
      <c r="C1803" s="10">
        <v>1.8459999999999999</v>
      </c>
      <c r="D1803" s="9" t="s">
        <v>1712</v>
      </c>
      <c r="E1803" s="11" t="s">
        <v>1738</v>
      </c>
      <c r="F1803" s="12" t="s">
        <v>1714</v>
      </c>
      <c r="G1803" s="9" t="s">
        <v>1709</v>
      </c>
    </row>
    <row r="1804" spans="1:7">
      <c r="A1804" s="9" t="s">
        <v>1711</v>
      </c>
      <c r="B1804" s="9">
        <v>0.2</v>
      </c>
      <c r="C1804" s="10">
        <v>-0.193</v>
      </c>
      <c r="D1804" s="9" t="s">
        <v>1709</v>
      </c>
      <c r="E1804" s="11" t="s">
        <v>1710</v>
      </c>
      <c r="F1804" s="12" t="s">
        <v>1710</v>
      </c>
      <c r="G1804" s="9" t="s">
        <v>1709</v>
      </c>
    </row>
    <row r="1805" spans="1:7">
      <c r="A1805" s="9" t="s">
        <v>1711</v>
      </c>
      <c r="B1805" s="9">
        <v>0.2</v>
      </c>
      <c r="C1805" s="10">
        <v>-0.193</v>
      </c>
      <c r="D1805" s="9" t="s">
        <v>1709</v>
      </c>
      <c r="E1805" s="11" t="s">
        <v>1710</v>
      </c>
      <c r="F1805" s="12" t="s">
        <v>1710</v>
      </c>
      <c r="G1805" s="9" t="s">
        <v>1709</v>
      </c>
    </row>
    <row r="1806" spans="1:7">
      <c r="A1806" s="9" t="s">
        <v>1711</v>
      </c>
      <c r="B1806" s="9">
        <v>0.2</v>
      </c>
      <c r="C1806" s="10">
        <v>1.9319999999999999</v>
      </c>
      <c r="D1806" s="9" t="s">
        <v>1712</v>
      </c>
      <c r="E1806" s="11" t="s">
        <v>1738</v>
      </c>
      <c r="F1806" s="12" t="s">
        <v>1714</v>
      </c>
      <c r="G1806" s="9" t="s">
        <v>1709</v>
      </c>
    </row>
    <row r="1807" spans="1:7">
      <c r="A1807" s="9" t="s">
        <v>1711</v>
      </c>
      <c r="B1807" s="9">
        <v>0.2</v>
      </c>
      <c r="C1807" s="10">
        <v>6.2E-2</v>
      </c>
      <c r="D1807" s="9" t="s">
        <v>1712</v>
      </c>
      <c r="E1807" s="11" t="s">
        <v>1738</v>
      </c>
      <c r="F1807" s="12" t="s">
        <v>1714</v>
      </c>
      <c r="G1807" s="9" t="s">
        <v>1709</v>
      </c>
    </row>
    <row r="1808" spans="1:7">
      <c r="A1808" s="9" t="s">
        <v>1711</v>
      </c>
      <c r="B1808" s="9">
        <v>0.2</v>
      </c>
      <c r="C1808" s="10">
        <v>6.2E-2</v>
      </c>
      <c r="D1808" s="9" t="s">
        <v>1712</v>
      </c>
      <c r="E1808" s="11" t="s">
        <v>1738</v>
      </c>
      <c r="F1808" s="12" t="s">
        <v>1714</v>
      </c>
      <c r="G1808" s="9" t="s">
        <v>1709</v>
      </c>
    </row>
    <row r="1809" spans="1:7">
      <c r="A1809" s="9" t="s">
        <v>1711</v>
      </c>
      <c r="B1809" s="13">
        <v>0.2</v>
      </c>
      <c r="C1809" s="10">
        <v>5.9000000000000004E-2</v>
      </c>
      <c r="D1809" s="9" t="s">
        <v>1712</v>
      </c>
      <c r="E1809" s="11" t="s">
        <v>1738</v>
      </c>
      <c r="F1809" s="12" t="s">
        <v>1714</v>
      </c>
      <c r="G1809" s="9" t="s">
        <v>1709</v>
      </c>
    </row>
    <row r="1810" spans="1:7">
      <c r="A1810" s="9" t="s">
        <v>1711</v>
      </c>
      <c r="B1810" s="13">
        <v>0.2</v>
      </c>
      <c r="C1810" s="10">
        <v>-2.6000000000000002E-2</v>
      </c>
      <c r="D1810" s="9" t="s">
        <v>1709</v>
      </c>
      <c r="E1810" s="11" t="s">
        <v>1710</v>
      </c>
      <c r="F1810" s="12" t="s">
        <v>1710</v>
      </c>
      <c r="G1810" s="9" t="s">
        <v>1709</v>
      </c>
    </row>
    <row r="1811" spans="1:7">
      <c r="A1811" s="9" t="s">
        <v>1711</v>
      </c>
      <c r="B1811" s="13">
        <v>0.2</v>
      </c>
      <c r="C1811" s="10">
        <v>-1.8000000000000002E-2</v>
      </c>
      <c r="D1811" s="9" t="s">
        <v>1709</v>
      </c>
      <c r="E1811" s="11" t="s">
        <v>1710</v>
      </c>
      <c r="F1811" s="12" t="s">
        <v>1710</v>
      </c>
      <c r="G1811" s="9" t="s">
        <v>1709</v>
      </c>
    </row>
    <row r="1812" spans="1:7">
      <c r="A1812" s="9" t="s">
        <v>1711</v>
      </c>
      <c r="B1812" s="13">
        <v>0.2</v>
      </c>
      <c r="C1812" s="10">
        <v>-6.4000000000000001E-2</v>
      </c>
      <c r="D1812" s="9" t="s">
        <v>1709</v>
      </c>
      <c r="E1812" s="11" t="s">
        <v>1710</v>
      </c>
      <c r="F1812" s="12" t="s">
        <v>1710</v>
      </c>
      <c r="G1812" s="9" t="s">
        <v>1709</v>
      </c>
    </row>
    <row r="1813" spans="1:7">
      <c r="A1813" s="9" t="s">
        <v>1711</v>
      </c>
      <c r="B1813" s="13">
        <v>0.2</v>
      </c>
      <c r="C1813" s="10">
        <v>1.1119999999999999</v>
      </c>
      <c r="D1813" s="9" t="s">
        <v>1712</v>
      </c>
      <c r="E1813" s="11" t="s">
        <v>1738</v>
      </c>
      <c r="F1813" s="12" t="s">
        <v>1714</v>
      </c>
      <c r="G1813" s="9" t="s">
        <v>1709</v>
      </c>
    </row>
    <row r="1814" spans="1:7">
      <c r="A1814" s="9" t="s">
        <v>1711</v>
      </c>
      <c r="B1814" s="13">
        <v>0.2</v>
      </c>
      <c r="C1814" s="10">
        <v>1.1119999999999999</v>
      </c>
      <c r="D1814" s="9" t="s">
        <v>1712</v>
      </c>
      <c r="E1814" s="11" t="s">
        <v>1738</v>
      </c>
      <c r="F1814" s="12" t="s">
        <v>1714</v>
      </c>
      <c r="G1814" s="9" t="s">
        <v>1709</v>
      </c>
    </row>
    <row r="1815" spans="1:7">
      <c r="A1815" s="9" t="s">
        <v>1711</v>
      </c>
      <c r="B1815" s="13">
        <v>0.2</v>
      </c>
      <c r="C1815" s="10">
        <v>1.1119999999999999</v>
      </c>
      <c r="D1815" s="9" t="s">
        <v>1712</v>
      </c>
      <c r="E1815" s="11" t="s">
        <v>1738</v>
      </c>
      <c r="F1815" s="12" t="s">
        <v>1714</v>
      </c>
      <c r="G1815" s="9" t="s">
        <v>1709</v>
      </c>
    </row>
    <row r="1816" spans="1:7">
      <c r="A1816" s="9" t="s">
        <v>1711</v>
      </c>
      <c r="B1816" s="13">
        <v>0.2</v>
      </c>
      <c r="C1816" s="10">
        <v>1.1119999999999999</v>
      </c>
      <c r="D1816" s="9" t="s">
        <v>1712</v>
      </c>
      <c r="E1816" s="11" t="s">
        <v>1738</v>
      </c>
      <c r="F1816" s="12" t="s">
        <v>1714</v>
      </c>
      <c r="G1816" s="9" t="s">
        <v>1709</v>
      </c>
    </row>
    <row r="1817" spans="1:7">
      <c r="A1817" s="9" t="s">
        <v>1711</v>
      </c>
      <c r="B1817" s="13">
        <v>0.2</v>
      </c>
      <c r="C1817" s="10">
        <v>-9.1999999999999998E-2</v>
      </c>
      <c r="D1817" s="9" t="s">
        <v>1709</v>
      </c>
      <c r="E1817" s="11" t="s">
        <v>1710</v>
      </c>
      <c r="F1817" s="12" t="s">
        <v>1710</v>
      </c>
      <c r="G1817" s="9" t="s">
        <v>1709</v>
      </c>
    </row>
    <row r="1818" spans="1:7">
      <c r="A1818" s="9" t="s">
        <v>1711</v>
      </c>
      <c r="B1818" s="13">
        <v>0.2</v>
      </c>
      <c r="C1818" s="10">
        <v>-9.1999999999999998E-2</v>
      </c>
      <c r="D1818" s="9" t="s">
        <v>1709</v>
      </c>
      <c r="E1818" s="11" t="s">
        <v>1710</v>
      </c>
      <c r="F1818" s="12" t="s">
        <v>1710</v>
      </c>
      <c r="G1818" s="9" t="s">
        <v>1709</v>
      </c>
    </row>
    <row r="1819" spans="1:7">
      <c r="A1819" s="9" t="s">
        <v>1711</v>
      </c>
      <c r="B1819" s="13">
        <v>0.2</v>
      </c>
      <c r="C1819" s="10">
        <v>-9.1999999999999998E-2</v>
      </c>
      <c r="D1819" s="9" t="s">
        <v>1709</v>
      </c>
      <c r="E1819" s="11" t="s">
        <v>1710</v>
      </c>
      <c r="F1819" s="12" t="s">
        <v>1710</v>
      </c>
      <c r="G1819" s="9" t="s">
        <v>1709</v>
      </c>
    </row>
    <row r="1820" spans="1:7">
      <c r="A1820" s="9" t="s">
        <v>1711</v>
      </c>
      <c r="B1820" s="13">
        <v>0.2</v>
      </c>
      <c r="C1820" s="10">
        <v>2.7949999999999999</v>
      </c>
      <c r="D1820" s="9" t="s">
        <v>1712</v>
      </c>
      <c r="E1820" s="11" t="s">
        <v>1737</v>
      </c>
      <c r="F1820" s="12" t="s">
        <v>1714</v>
      </c>
      <c r="G1820" s="9" t="s">
        <v>1709</v>
      </c>
    </row>
    <row r="1821" spans="1:7">
      <c r="A1821" s="9" t="s">
        <v>1711</v>
      </c>
      <c r="B1821" s="13">
        <v>0.2</v>
      </c>
      <c r="C1821" s="10">
        <v>2.7949999999999999</v>
      </c>
      <c r="D1821" s="9" t="s">
        <v>1712</v>
      </c>
      <c r="E1821" s="11" t="s">
        <v>1737</v>
      </c>
      <c r="F1821" s="12" t="s">
        <v>1714</v>
      </c>
      <c r="G1821" s="9" t="s">
        <v>1709</v>
      </c>
    </row>
    <row r="1822" spans="1:7">
      <c r="A1822" s="9" t="s">
        <v>1711</v>
      </c>
      <c r="B1822" s="13">
        <v>0.2</v>
      </c>
      <c r="C1822" s="10">
        <v>1.601</v>
      </c>
      <c r="D1822" s="9" t="s">
        <v>1712</v>
      </c>
      <c r="E1822" s="11" t="s">
        <v>1737</v>
      </c>
      <c r="F1822" s="12" t="s">
        <v>1714</v>
      </c>
      <c r="G1822" s="9" t="s">
        <v>1709</v>
      </c>
    </row>
    <row r="1823" spans="1:7">
      <c r="A1823" s="9" t="s">
        <v>1711</v>
      </c>
      <c r="B1823" s="13">
        <v>0.2</v>
      </c>
      <c r="C1823" s="10">
        <v>1.601</v>
      </c>
      <c r="D1823" s="9" t="s">
        <v>1712</v>
      </c>
      <c r="E1823" s="11" t="s">
        <v>1713</v>
      </c>
      <c r="F1823" s="12" t="s">
        <v>1714</v>
      </c>
      <c r="G1823" s="9" t="s">
        <v>1709</v>
      </c>
    </row>
    <row r="1824" spans="1:7">
      <c r="A1824" s="9" t="s">
        <v>1711</v>
      </c>
      <c r="B1824" s="13">
        <v>0.2</v>
      </c>
      <c r="C1824" s="10">
        <v>1.601</v>
      </c>
      <c r="D1824" s="9" t="s">
        <v>1712</v>
      </c>
      <c r="E1824" s="11" t="s">
        <v>1713</v>
      </c>
      <c r="F1824" s="12" t="s">
        <v>1714</v>
      </c>
      <c r="G1824" s="9" t="s">
        <v>1709</v>
      </c>
    </row>
    <row r="1825" spans="1:7">
      <c r="A1825" s="9" t="s">
        <v>1711</v>
      </c>
      <c r="B1825" s="13">
        <v>0.2</v>
      </c>
      <c r="C1825" s="10">
        <v>1.601</v>
      </c>
      <c r="D1825" s="9" t="s">
        <v>1712</v>
      </c>
      <c r="E1825" s="11" t="s">
        <v>1713</v>
      </c>
      <c r="F1825" s="12" t="s">
        <v>1714</v>
      </c>
      <c r="G1825" s="9" t="s">
        <v>1709</v>
      </c>
    </row>
    <row r="1826" spans="1:7">
      <c r="A1826" s="9" t="s">
        <v>1711</v>
      </c>
      <c r="B1826" s="13">
        <v>0.2</v>
      </c>
      <c r="C1826" s="10">
        <v>1.601</v>
      </c>
      <c r="D1826" s="9" t="s">
        <v>1712</v>
      </c>
      <c r="E1826" s="11" t="s">
        <v>1713</v>
      </c>
      <c r="F1826" s="12" t="s">
        <v>1714</v>
      </c>
      <c r="G1826" s="9" t="s">
        <v>1709</v>
      </c>
    </row>
    <row r="1827" spans="1:7">
      <c r="A1827" s="9" t="s">
        <v>1711</v>
      </c>
      <c r="B1827" s="13">
        <v>0.2</v>
      </c>
      <c r="C1827" s="10">
        <v>1.601</v>
      </c>
      <c r="D1827" s="9" t="s">
        <v>1712</v>
      </c>
      <c r="E1827" s="11" t="s">
        <v>1713</v>
      </c>
      <c r="F1827" s="12" t="s">
        <v>1714</v>
      </c>
      <c r="G1827" s="9" t="s">
        <v>1709</v>
      </c>
    </row>
    <row r="1828" spans="1:7">
      <c r="A1828" s="9" t="s">
        <v>1711</v>
      </c>
      <c r="B1828" s="13">
        <v>0.2</v>
      </c>
      <c r="C1828" s="10">
        <v>1.601</v>
      </c>
      <c r="D1828" s="9" t="s">
        <v>1712</v>
      </c>
      <c r="E1828" s="11" t="s">
        <v>1713</v>
      </c>
      <c r="F1828" s="12" t="s">
        <v>1714</v>
      </c>
      <c r="G1828" s="9" t="s">
        <v>1709</v>
      </c>
    </row>
    <row r="1829" spans="1:7">
      <c r="A1829" s="9" t="s">
        <v>1711</v>
      </c>
      <c r="B1829" s="13">
        <v>0.2</v>
      </c>
      <c r="C1829" s="10">
        <v>1.601</v>
      </c>
      <c r="D1829" s="9" t="s">
        <v>1712</v>
      </c>
      <c r="E1829" s="11" t="s">
        <v>1713</v>
      </c>
      <c r="F1829" s="12" t="s">
        <v>1714</v>
      </c>
      <c r="G1829" s="9" t="s">
        <v>1709</v>
      </c>
    </row>
    <row r="1830" spans="1:7">
      <c r="A1830" s="9" t="s">
        <v>1711</v>
      </c>
      <c r="B1830" s="13">
        <v>0.2</v>
      </c>
      <c r="C1830" s="10">
        <v>1.601</v>
      </c>
      <c r="D1830" s="9" t="s">
        <v>1712</v>
      </c>
      <c r="E1830" s="11" t="s">
        <v>1713</v>
      </c>
      <c r="F1830" s="12" t="s">
        <v>1714</v>
      </c>
      <c r="G1830" s="9" t="s">
        <v>1709</v>
      </c>
    </row>
    <row r="1831" spans="1:7">
      <c r="A1831" s="9" t="s">
        <v>1711</v>
      </c>
      <c r="B1831" s="13">
        <v>0.2</v>
      </c>
      <c r="C1831" s="10">
        <v>2.81</v>
      </c>
      <c r="D1831" s="9" t="s">
        <v>1712</v>
      </c>
      <c r="E1831" s="11" t="s">
        <v>1713</v>
      </c>
      <c r="F1831" s="12" t="s">
        <v>1714</v>
      </c>
      <c r="G1831" s="9" t="s">
        <v>1709</v>
      </c>
    </row>
    <row r="1832" spans="1:7">
      <c r="A1832" s="9" t="s">
        <v>1711</v>
      </c>
      <c r="B1832" s="13">
        <v>0.2</v>
      </c>
      <c r="C1832" s="10">
        <v>2.7479999999999998</v>
      </c>
      <c r="D1832" s="9" t="s">
        <v>1712</v>
      </c>
      <c r="E1832" s="11" t="s">
        <v>1737</v>
      </c>
      <c r="F1832" s="12" t="s">
        <v>1714</v>
      </c>
      <c r="G1832" s="9" t="s">
        <v>1709</v>
      </c>
    </row>
    <row r="1833" spans="1:7">
      <c r="A1833" s="9" t="s">
        <v>1711</v>
      </c>
      <c r="B1833" s="13">
        <v>0.2</v>
      </c>
      <c r="C1833" s="10">
        <v>0.33700000000000002</v>
      </c>
      <c r="D1833" s="9" t="s">
        <v>1712</v>
      </c>
      <c r="E1833" s="11" t="s">
        <v>1715</v>
      </c>
      <c r="F1833" s="12" t="s">
        <v>1714</v>
      </c>
      <c r="G1833" s="9" t="s">
        <v>1709</v>
      </c>
    </row>
    <row r="1834" spans="1:7">
      <c r="A1834" s="9" t="s">
        <v>1711</v>
      </c>
      <c r="B1834" s="13">
        <v>0.2</v>
      </c>
      <c r="C1834" s="10">
        <v>-9.0999999999999998E-2</v>
      </c>
      <c r="D1834" s="9" t="s">
        <v>1709</v>
      </c>
      <c r="E1834" s="11" t="s">
        <v>1710</v>
      </c>
      <c r="F1834" s="12" t="s">
        <v>1710</v>
      </c>
      <c r="G1834" s="9" t="s">
        <v>1709</v>
      </c>
    </row>
    <row r="1835" spans="1:7">
      <c r="A1835" s="9" t="s">
        <v>1711</v>
      </c>
      <c r="B1835" s="13">
        <v>0.2</v>
      </c>
      <c r="C1835" s="10">
        <v>0.99099999999999999</v>
      </c>
      <c r="D1835" s="9" t="s">
        <v>1712</v>
      </c>
      <c r="E1835" s="11" t="s">
        <v>1737</v>
      </c>
      <c r="F1835" s="12" t="s">
        <v>1714</v>
      </c>
      <c r="G1835" s="9" t="s">
        <v>1709</v>
      </c>
    </row>
    <row r="1836" spans="1:7">
      <c r="A1836" s="9" t="s">
        <v>1711</v>
      </c>
      <c r="B1836" s="13">
        <v>0.2</v>
      </c>
      <c r="C1836" s="10">
        <v>0.56899999999999995</v>
      </c>
      <c r="D1836" s="9" t="s">
        <v>1712</v>
      </c>
      <c r="E1836" s="11" t="s">
        <v>1738</v>
      </c>
      <c r="F1836" s="12" t="s">
        <v>1714</v>
      </c>
      <c r="G1836" s="9" t="s">
        <v>1709</v>
      </c>
    </row>
    <row r="1837" spans="1:7">
      <c r="A1837" s="9" t="s">
        <v>1711</v>
      </c>
      <c r="B1837" s="13">
        <v>0.2</v>
      </c>
      <c r="C1837" s="10">
        <v>-0.126</v>
      </c>
      <c r="D1837" s="9" t="s">
        <v>1709</v>
      </c>
      <c r="E1837" s="11" t="s">
        <v>1710</v>
      </c>
      <c r="F1837" s="12" t="s">
        <v>1710</v>
      </c>
      <c r="G1837" s="9" t="s">
        <v>1709</v>
      </c>
    </row>
    <row r="1838" spans="1:7">
      <c r="A1838" s="9" t="s">
        <v>1711</v>
      </c>
      <c r="B1838" s="13">
        <v>0.2</v>
      </c>
      <c r="C1838" s="10">
        <v>-0.126</v>
      </c>
      <c r="D1838" s="9" t="s">
        <v>1709</v>
      </c>
      <c r="E1838" s="11" t="s">
        <v>1710</v>
      </c>
      <c r="F1838" s="12" t="s">
        <v>1710</v>
      </c>
      <c r="G1838" s="9" t="s">
        <v>1709</v>
      </c>
    </row>
    <row r="1839" spans="1:7">
      <c r="A1839" s="9" t="s">
        <v>1711</v>
      </c>
      <c r="B1839" s="13">
        <v>0.2</v>
      </c>
      <c r="C1839" s="10">
        <v>-0.126</v>
      </c>
      <c r="D1839" s="9" t="s">
        <v>1709</v>
      </c>
      <c r="E1839" s="11" t="s">
        <v>1710</v>
      </c>
      <c r="F1839" s="12" t="s">
        <v>1710</v>
      </c>
      <c r="G1839" s="9" t="s">
        <v>1709</v>
      </c>
    </row>
    <row r="1840" spans="1:7">
      <c r="A1840" s="9" t="s">
        <v>1711</v>
      </c>
      <c r="B1840" s="13">
        <v>0.2</v>
      </c>
      <c r="C1840" s="10">
        <v>-0.126</v>
      </c>
      <c r="D1840" s="9" t="s">
        <v>1709</v>
      </c>
      <c r="E1840" s="11" t="s">
        <v>1710</v>
      </c>
      <c r="F1840" s="12" t="s">
        <v>1710</v>
      </c>
      <c r="G1840" s="9" t="s">
        <v>1709</v>
      </c>
    </row>
    <row r="1841" spans="1:7">
      <c r="A1841" s="9" t="s">
        <v>1711</v>
      </c>
      <c r="B1841" s="13">
        <v>0.2</v>
      </c>
      <c r="C1841" s="10">
        <v>-0.126</v>
      </c>
      <c r="D1841" s="9" t="s">
        <v>1709</v>
      </c>
      <c r="E1841" s="11" t="s">
        <v>1710</v>
      </c>
      <c r="F1841" s="12" t="s">
        <v>1710</v>
      </c>
      <c r="G1841" s="9" t="s">
        <v>1709</v>
      </c>
    </row>
    <row r="1842" spans="1:7">
      <c r="A1842" s="9" t="s">
        <v>1711</v>
      </c>
      <c r="B1842" s="13">
        <v>0.2</v>
      </c>
      <c r="C1842" s="10">
        <v>-0.126</v>
      </c>
      <c r="D1842" s="9" t="s">
        <v>1709</v>
      </c>
      <c r="E1842" s="11" t="s">
        <v>1710</v>
      </c>
      <c r="F1842" s="12" t="s">
        <v>1710</v>
      </c>
      <c r="G1842" s="9" t="s">
        <v>1709</v>
      </c>
    </row>
    <row r="1843" spans="1:7">
      <c r="A1843" s="9" t="s">
        <v>1711</v>
      </c>
      <c r="B1843" s="13">
        <v>0.2</v>
      </c>
      <c r="C1843" s="10">
        <v>-0.126</v>
      </c>
      <c r="D1843" s="9" t="s">
        <v>1709</v>
      </c>
      <c r="E1843" s="11" t="s">
        <v>1710</v>
      </c>
      <c r="F1843" s="12" t="s">
        <v>1710</v>
      </c>
      <c r="G1843" s="9" t="s">
        <v>1709</v>
      </c>
    </row>
    <row r="1844" spans="1:7">
      <c r="A1844" s="9" t="s">
        <v>1711</v>
      </c>
      <c r="B1844" s="13">
        <v>0.2</v>
      </c>
      <c r="C1844" s="10">
        <v>-0.126</v>
      </c>
      <c r="D1844" s="9" t="s">
        <v>1709</v>
      </c>
      <c r="E1844" s="11" t="s">
        <v>1710</v>
      </c>
      <c r="F1844" s="12" t="s">
        <v>1710</v>
      </c>
      <c r="G1844" s="9" t="s">
        <v>1709</v>
      </c>
    </row>
    <row r="1845" spans="1:7">
      <c r="A1845" s="9" t="s">
        <v>1711</v>
      </c>
      <c r="B1845" s="13">
        <v>0.2</v>
      </c>
      <c r="C1845" s="10">
        <v>-0.126</v>
      </c>
      <c r="D1845" s="9" t="s">
        <v>1709</v>
      </c>
      <c r="E1845" s="11" t="s">
        <v>1710</v>
      </c>
      <c r="F1845" s="12" t="s">
        <v>1710</v>
      </c>
      <c r="G1845" s="9" t="s">
        <v>1709</v>
      </c>
    </row>
    <row r="1846" spans="1:7">
      <c r="A1846" s="9" t="s">
        <v>1711</v>
      </c>
      <c r="B1846" s="13">
        <v>0.2</v>
      </c>
      <c r="C1846" s="10">
        <v>-0.126</v>
      </c>
      <c r="D1846" s="9" t="s">
        <v>1709</v>
      </c>
      <c r="E1846" s="11" t="s">
        <v>1710</v>
      </c>
      <c r="F1846" s="12" t="s">
        <v>1710</v>
      </c>
      <c r="G1846" s="9" t="s">
        <v>1709</v>
      </c>
    </row>
    <row r="1847" spans="1:7">
      <c r="A1847" s="9" t="s">
        <v>1711</v>
      </c>
      <c r="B1847" s="13">
        <v>0.2</v>
      </c>
      <c r="C1847" s="10">
        <v>-0.126</v>
      </c>
      <c r="D1847" s="9" t="s">
        <v>1709</v>
      </c>
      <c r="E1847" s="11" t="s">
        <v>1710</v>
      </c>
      <c r="F1847" s="12" t="s">
        <v>1710</v>
      </c>
      <c r="G1847" s="9" t="s">
        <v>1709</v>
      </c>
    </row>
    <row r="1848" spans="1:7">
      <c r="A1848" s="9" t="s">
        <v>1711</v>
      </c>
      <c r="B1848" s="13">
        <v>0.2</v>
      </c>
      <c r="C1848" s="10">
        <v>-0.126</v>
      </c>
      <c r="D1848" s="9" t="s">
        <v>1709</v>
      </c>
      <c r="E1848" s="11" t="s">
        <v>1710</v>
      </c>
      <c r="F1848" s="12" t="s">
        <v>1710</v>
      </c>
      <c r="G1848" s="9" t="s">
        <v>1709</v>
      </c>
    </row>
    <row r="1849" spans="1:7">
      <c r="A1849" s="9" t="s">
        <v>1711</v>
      </c>
      <c r="B1849" s="13">
        <v>0.2</v>
      </c>
      <c r="C1849" s="10">
        <v>-0.126</v>
      </c>
      <c r="D1849" s="9" t="s">
        <v>1709</v>
      </c>
      <c r="E1849" s="11" t="s">
        <v>1710</v>
      </c>
      <c r="F1849" s="12" t="s">
        <v>1710</v>
      </c>
      <c r="G1849" s="9" t="s">
        <v>1709</v>
      </c>
    </row>
    <row r="1850" spans="1:7">
      <c r="A1850" s="9" t="s">
        <v>1711</v>
      </c>
      <c r="B1850" s="13">
        <v>0.2</v>
      </c>
      <c r="C1850" s="10">
        <v>-0.126</v>
      </c>
      <c r="D1850" s="9" t="s">
        <v>1709</v>
      </c>
      <c r="E1850" s="11" t="s">
        <v>1710</v>
      </c>
      <c r="F1850" s="12" t="s">
        <v>1710</v>
      </c>
      <c r="G1850" s="9" t="s">
        <v>1709</v>
      </c>
    </row>
    <row r="1851" spans="1:7">
      <c r="A1851" s="9" t="s">
        <v>1711</v>
      </c>
      <c r="B1851" s="13">
        <v>0.2</v>
      </c>
      <c r="C1851" s="10">
        <v>-0.126</v>
      </c>
      <c r="D1851" s="9" t="s">
        <v>1709</v>
      </c>
      <c r="E1851" s="11" t="s">
        <v>1710</v>
      </c>
      <c r="F1851" s="12" t="s">
        <v>1710</v>
      </c>
      <c r="G1851" s="9" t="s">
        <v>1709</v>
      </c>
    </row>
    <row r="1852" spans="1:7">
      <c r="A1852" s="9" t="s">
        <v>1711</v>
      </c>
      <c r="B1852" s="13">
        <v>0.2</v>
      </c>
      <c r="C1852" s="10">
        <v>0.67200000000000004</v>
      </c>
      <c r="D1852" s="9" t="s">
        <v>1712</v>
      </c>
      <c r="E1852" s="11" t="s">
        <v>1738</v>
      </c>
      <c r="F1852" s="12" t="s">
        <v>1714</v>
      </c>
      <c r="G1852" s="9" t="s">
        <v>1709</v>
      </c>
    </row>
    <row r="1853" spans="1:7">
      <c r="A1853" s="9" t="s">
        <v>1711</v>
      </c>
      <c r="B1853" s="13">
        <v>0.2</v>
      </c>
      <c r="C1853" s="10">
        <v>0.14100000000000001</v>
      </c>
      <c r="D1853" s="9" t="s">
        <v>1712</v>
      </c>
      <c r="E1853" s="11" t="s">
        <v>1738</v>
      </c>
      <c r="F1853" s="12" t="s">
        <v>1714</v>
      </c>
      <c r="G1853" s="9" t="s">
        <v>1709</v>
      </c>
    </row>
    <row r="1854" spans="1:7">
      <c r="A1854" s="9" t="s">
        <v>1711</v>
      </c>
      <c r="B1854" s="13">
        <v>0.2</v>
      </c>
      <c r="C1854" s="10">
        <v>0.109</v>
      </c>
      <c r="D1854" s="9" t="s">
        <v>1712</v>
      </c>
      <c r="E1854" s="11" t="s">
        <v>1737</v>
      </c>
      <c r="F1854" s="12" t="s">
        <v>1714</v>
      </c>
      <c r="G1854" s="9" t="s">
        <v>1709</v>
      </c>
    </row>
    <row r="1855" spans="1:7">
      <c r="A1855" s="9" t="s">
        <v>1711</v>
      </c>
      <c r="B1855" s="13">
        <v>0.2</v>
      </c>
      <c r="C1855" s="10">
        <v>0.109</v>
      </c>
      <c r="D1855" s="9" t="s">
        <v>1712</v>
      </c>
      <c r="E1855" s="11" t="s">
        <v>1737</v>
      </c>
      <c r="F1855" s="12" t="s">
        <v>1714</v>
      </c>
      <c r="G1855" s="9" t="s">
        <v>1709</v>
      </c>
    </row>
    <row r="1856" spans="1:7">
      <c r="A1856" s="9" t="s">
        <v>1711</v>
      </c>
      <c r="B1856" s="13">
        <v>0.2</v>
      </c>
      <c r="C1856" s="10">
        <v>4.1000000000000002E-2</v>
      </c>
      <c r="D1856" s="9" t="s">
        <v>1712</v>
      </c>
      <c r="E1856" s="11" t="s">
        <v>1737</v>
      </c>
      <c r="F1856" s="12" t="s">
        <v>1714</v>
      </c>
      <c r="G1856" s="9" t="s">
        <v>1709</v>
      </c>
    </row>
    <row r="1857" spans="1:7">
      <c r="A1857" s="9" t="s">
        <v>1711</v>
      </c>
      <c r="B1857" s="9">
        <v>0.2</v>
      </c>
      <c r="C1857" s="10">
        <v>4.1000000000000002E-2</v>
      </c>
      <c r="D1857" s="9" t="s">
        <v>1712</v>
      </c>
      <c r="E1857" s="11" t="s">
        <v>1737</v>
      </c>
      <c r="F1857" s="12" t="s">
        <v>1714</v>
      </c>
      <c r="G1857" s="9" t="s">
        <v>1709</v>
      </c>
    </row>
    <row r="1858" spans="1:7">
      <c r="A1858" s="9" t="s">
        <v>1711</v>
      </c>
      <c r="B1858" s="13">
        <v>0.2</v>
      </c>
      <c r="C1858" s="10">
        <v>9.9999999999999985E-3</v>
      </c>
      <c r="D1858" s="9" t="s">
        <v>1712</v>
      </c>
      <c r="E1858" s="11" t="s">
        <v>1736</v>
      </c>
      <c r="F1858" s="12" t="s">
        <v>1714</v>
      </c>
      <c r="G1858" s="9" t="s">
        <v>1709</v>
      </c>
    </row>
    <row r="1859" spans="1:7">
      <c r="A1859" s="9" t="s">
        <v>1711</v>
      </c>
      <c r="B1859" s="13">
        <v>0.2</v>
      </c>
      <c r="C1859" s="10">
        <v>2.8439999999999999</v>
      </c>
      <c r="D1859" s="9" t="s">
        <v>1712</v>
      </c>
      <c r="E1859" s="11" t="s">
        <v>1739</v>
      </c>
      <c r="F1859" s="12" t="s">
        <v>1714</v>
      </c>
      <c r="G1859" s="9" t="s">
        <v>1709</v>
      </c>
    </row>
    <row r="1860" spans="1:7">
      <c r="A1860" s="9" t="s">
        <v>1711</v>
      </c>
      <c r="B1860" s="13">
        <v>0.2</v>
      </c>
      <c r="C1860" s="10">
        <v>0.55200000000000005</v>
      </c>
      <c r="D1860" s="9" t="s">
        <v>1712</v>
      </c>
      <c r="E1860" s="11" t="s">
        <v>1737</v>
      </c>
      <c r="F1860" s="12" t="s">
        <v>1714</v>
      </c>
      <c r="G1860" s="9" t="s">
        <v>1709</v>
      </c>
    </row>
    <row r="1861" spans="1:7">
      <c r="A1861" s="9" t="s">
        <v>1711</v>
      </c>
      <c r="B1861" s="9">
        <v>0.2</v>
      </c>
      <c r="C1861" s="10">
        <v>3.11</v>
      </c>
      <c r="D1861" s="9" t="s">
        <v>1712</v>
      </c>
      <c r="E1861" s="11" t="s">
        <v>1713</v>
      </c>
      <c r="F1861" s="12" t="s">
        <v>1714</v>
      </c>
      <c r="G1861" s="9" t="s">
        <v>1709</v>
      </c>
    </row>
    <row r="1862" spans="1:7">
      <c r="A1862" s="9" t="s">
        <v>1711</v>
      </c>
      <c r="B1862" s="9">
        <v>0.2</v>
      </c>
      <c r="C1862" s="10">
        <v>-0.11700000000000001</v>
      </c>
      <c r="D1862" s="9" t="s">
        <v>1709</v>
      </c>
      <c r="E1862" s="11" t="s">
        <v>1710</v>
      </c>
      <c r="F1862" s="12" t="s">
        <v>1710</v>
      </c>
      <c r="G1862" s="9" t="s">
        <v>1709</v>
      </c>
    </row>
    <row r="1863" spans="1:7">
      <c r="A1863" s="9" t="s">
        <v>1711</v>
      </c>
      <c r="B1863" s="9">
        <v>0.2</v>
      </c>
      <c r="C1863" s="10">
        <v>0.73699999999999999</v>
      </c>
      <c r="D1863" s="9" t="s">
        <v>1712</v>
      </c>
      <c r="E1863" s="11" t="s">
        <v>1737</v>
      </c>
      <c r="F1863" s="12" t="s">
        <v>1714</v>
      </c>
      <c r="G1863" s="9" t="s">
        <v>1709</v>
      </c>
    </row>
    <row r="1864" spans="1:7">
      <c r="A1864" s="9" t="s">
        <v>1711</v>
      </c>
      <c r="B1864" s="9">
        <v>0.2</v>
      </c>
      <c r="C1864" s="10">
        <v>-8.0000000000000002E-3</v>
      </c>
      <c r="D1864" s="9" t="s">
        <v>1709</v>
      </c>
      <c r="E1864" s="11" t="s">
        <v>1710</v>
      </c>
      <c r="F1864" s="12" t="s">
        <v>1710</v>
      </c>
      <c r="G1864" s="9" t="s">
        <v>1709</v>
      </c>
    </row>
    <row r="1865" spans="1:7">
      <c r="A1865" s="9" t="s">
        <v>1711</v>
      </c>
      <c r="B1865" s="9">
        <v>0.2</v>
      </c>
      <c r="C1865" s="10">
        <v>9.9999999999999985E-3</v>
      </c>
      <c r="D1865" s="9" t="s">
        <v>1712</v>
      </c>
      <c r="E1865" s="11" t="s">
        <v>1737</v>
      </c>
      <c r="F1865" s="12" t="s">
        <v>1714</v>
      </c>
      <c r="G1865" s="9" t="s">
        <v>1709</v>
      </c>
    </row>
    <row r="1866" spans="1:7">
      <c r="A1866" s="9" t="s">
        <v>1711</v>
      </c>
      <c r="B1866" s="13">
        <v>0.2</v>
      </c>
      <c r="C1866" s="10">
        <v>9.9999999999999985E-3</v>
      </c>
      <c r="D1866" s="9" t="s">
        <v>1712</v>
      </c>
      <c r="E1866" s="11" t="s">
        <v>1737</v>
      </c>
      <c r="F1866" s="12" t="s">
        <v>1714</v>
      </c>
      <c r="G1866" s="9" t="s">
        <v>1709</v>
      </c>
    </row>
    <row r="1867" spans="1:7">
      <c r="A1867" s="9" t="s">
        <v>1711</v>
      </c>
      <c r="B1867" s="13">
        <v>0.2</v>
      </c>
      <c r="C1867" s="10">
        <v>0.91300000000000003</v>
      </c>
      <c r="D1867" s="9" t="s">
        <v>1712</v>
      </c>
      <c r="E1867" s="11" t="s">
        <v>1737</v>
      </c>
      <c r="F1867" s="12" t="s">
        <v>1714</v>
      </c>
      <c r="G1867" s="9" t="s">
        <v>1709</v>
      </c>
    </row>
    <row r="1868" spans="1:7">
      <c r="A1868" s="9" t="s">
        <v>1711</v>
      </c>
      <c r="B1868" s="13">
        <v>0.2</v>
      </c>
      <c r="C1868" s="10">
        <v>1.8659999999999999</v>
      </c>
      <c r="D1868" s="9" t="s">
        <v>1712</v>
      </c>
      <c r="E1868" s="11" t="s">
        <v>1713</v>
      </c>
      <c r="F1868" s="12" t="s">
        <v>1714</v>
      </c>
      <c r="G1868" s="9" t="s">
        <v>1709</v>
      </c>
    </row>
    <row r="1869" spans="1:7">
      <c r="A1869" s="9" t="s">
        <v>1711</v>
      </c>
      <c r="B1869" s="13">
        <v>0.2</v>
      </c>
      <c r="C1869" s="10">
        <v>0.55200000000000005</v>
      </c>
      <c r="D1869" s="9" t="s">
        <v>1712</v>
      </c>
      <c r="E1869" s="11" t="s">
        <v>1737</v>
      </c>
      <c r="F1869" s="12" t="s">
        <v>1714</v>
      </c>
      <c r="G1869" s="9" t="s">
        <v>1709</v>
      </c>
    </row>
    <row r="1870" spans="1:7">
      <c r="A1870" s="9" t="s">
        <v>1711</v>
      </c>
      <c r="B1870" s="13">
        <v>0.2</v>
      </c>
      <c r="C1870" s="10">
        <v>-0.124</v>
      </c>
      <c r="D1870" s="9" t="s">
        <v>1709</v>
      </c>
      <c r="E1870" s="11" t="s">
        <v>1710</v>
      </c>
      <c r="F1870" s="12" t="s">
        <v>1710</v>
      </c>
      <c r="G1870" s="9" t="s">
        <v>1709</v>
      </c>
    </row>
    <row r="1871" spans="1:7">
      <c r="A1871" s="9" t="s">
        <v>1711</v>
      </c>
      <c r="B1871" s="13">
        <v>0.2</v>
      </c>
      <c r="C1871" s="10">
        <v>-0.124</v>
      </c>
      <c r="D1871" s="9" t="s">
        <v>1709</v>
      </c>
      <c r="E1871" s="11" t="s">
        <v>1710</v>
      </c>
      <c r="F1871" s="12" t="s">
        <v>1710</v>
      </c>
      <c r="G1871" s="9" t="s">
        <v>1709</v>
      </c>
    </row>
    <row r="1872" spans="1:7">
      <c r="A1872" s="9" t="s">
        <v>1711</v>
      </c>
      <c r="B1872" s="13">
        <v>0.2</v>
      </c>
      <c r="C1872" s="10">
        <v>-0.124</v>
      </c>
      <c r="D1872" s="9" t="s">
        <v>1709</v>
      </c>
      <c r="E1872" s="11" t="s">
        <v>1710</v>
      </c>
      <c r="F1872" s="12" t="s">
        <v>1710</v>
      </c>
      <c r="G1872" s="9" t="s">
        <v>1709</v>
      </c>
    </row>
    <row r="1873" spans="1:7">
      <c r="A1873" s="9" t="s">
        <v>1711</v>
      </c>
      <c r="B1873" s="13">
        <v>0.2</v>
      </c>
      <c r="C1873" s="10">
        <v>-0.124</v>
      </c>
      <c r="D1873" s="9" t="s">
        <v>1709</v>
      </c>
      <c r="E1873" s="11" t="s">
        <v>1710</v>
      </c>
      <c r="F1873" s="12" t="s">
        <v>1710</v>
      </c>
      <c r="G1873" s="9" t="s">
        <v>1709</v>
      </c>
    </row>
    <row r="1874" spans="1:7">
      <c r="A1874" s="9" t="s">
        <v>1711</v>
      </c>
      <c r="B1874" s="13">
        <v>0.2</v>
      </c>
      <c r="C1874" s="10">
        <v>-0.124</v>
      </c>
      <c r="D1874" s="9" t="s">
        <v>1709</v>
      </c>
      <c r="E1874" s="11" t="s">
        <v>1710</v>
      </c>
      <c r="F1874" s="12" t="s">
        <v>1710</v>
      </c>
      <c r="G1874" s="9" t="s">
        <v>1709</v>
      </c>
    </row>
    <row r="1875" spans="1:7">
      <c r="A1875" s="9" t="s">
        <v>1711</v>
      </c>
      <c r="B1875" s="9">
        <v>0.2</v>
      </c>
      <c r="C1875" s="10">
        <v>-0.124</v>
      </c>
      <c r="D1875" s="9" t="s">
        <v>1709</v>
      </c>
      <c r="E1875" s="11" t="s">
        <v>1710</v>
      </c>
      <c r="F1875" s="12" t="s">
        <v>1710</v>
      </c>
      <c r="G1875" s="9" t="s">
        <v>1709</v>
      </c>
    </row>
    <row r="1876" spans="1:7">
      <c r="A1876" s="9" t="s">
        <v>1711</v>
      </c>
      <c r="B1876" s="13">
        <v>0.2</v>
      </c>
      <c r="C1876" s="10">
        <v>-0.183</v>
      </c>
      <c r="D1876" s="9" t="s">
        <v>1709</v>
      </c>
      <c r="E1876" s="11" t="s">
        <v>1710</v>
      </c>
      <c r="F1876" s="12" t="s">
        <v>1710</v>
      </c>
      <c r="G1876" s="9" t="s">
        <v>1709</v>
      </c>
    </row>
    <row r="1877" spans="1:7">
      <c r="A1877" s="9" t="s">
        <v>1711</v>
      </c>
      <c r="B1877" s="13">
        <v>0.2</v>
      </c>
      <c r="C1877" s="10">
        <v>-0.183</v>
      </c>
      <c r="D1877" s="9" t="s">
        <v>1709</v>
      </c>
      <c r="E1877" s="11" t="s">
        <v>1710</v>
      </c>
      <c r="F1877" s="12" t="s">
        <v>1710</v>
      </c>
      <c r="G1877" s="9" t="s">
        <v>1709</v>
      </c>
    </row>
    <row r="1878" spans="1:7">
      <c r="A1878" s="9" t="s">
        <v>1711</v>
      </c>
      <c r="B1878" s="13">
        <v>0.2</v>
      </c>
      <c r="C1878" s="10">
        <v>-0.183</v>
      </c>
      <c r="D1878" s="9" t="s">
        <v>1709</v>
      </c>
      <c r="E1878" s="11" t="s">
        <v>1710</v>
      </c>
      <c r="F1878" s="12" t="s">
        <v>1710</v>
      </c>
      <c r="G1878" s="9" t="s">
        <v>1709</v>
      </c>
    </row>
    <row r="1879" spans="1:7">
      <c r="A1879" s="9" t="s">
        <v>1711</v>
      </c>
      <c r="B1879" s="9">
        <v>0.2</v>
      </c>
      <c r="C1879" s="10">
        <v>1.0439999999999998</v>
      </c>
      <c r="D1879" s="9" t="s">
        <v>1712</v>
      </c>
      <c r="E1879" s="11" t="s">
        <v>1713</v>
      </c>
      <c r="F1879" s="12" t="s">
        <v>1714</v>
      </c>
      <c r="G1879" s="9" t="s">
        <v>1709</v>
      </c>
    </row>
    <row r="1880" spans="1:7">
      <c r="A1880" s="9" t="s">
        <v>1711</v>
      </c>
      <c r="B1880" s="9">
        <v>0.2</v>
      </c>
      <c r="C1880" s="10">
        <v>0.19800000000000001</v>
      </c>
      <c r="D1880" s="9" t="s">
        <v>1712</v>
      </c>
      <c r="E1880" s="11" t="s">
        <v>1715</v>
      </c>
      <c r="F1880" s="12" t="s">
        <v>1714</v>
      </c>
      <c r="G1880" s="9" t="s">
        <v>1709</v>
      </c>
    </row>
    <row r="1881" spans="1:7">
      <c r="A1881" s="9" t="s">
        <v>1711</v>
      </c>
      <c r="B1881" s="9">
        <v>0.2</v>
      </c>
      <c r="C1881" s="10">
        <v>-2.4E-2</v>
      </c>
      <c r="D1881" s="9" t="s">
        <v>1709</v>
      </c>
      <c r="E1881" s="11" t="s">
        <v>1710</v>
      </c>
      <c r="F1881" s="12" t="s">
        <v>1710</v>
      </c>
      <c r="G1881" s="9" t="s">
        <v>1709</v>
      </c>
    </row>
    <row r="1882" spans="1:7">
      <c r="A1882" s="9" t="s">
        <v>1711</v>
      </c>
      <c r="B1882" s="9">
        <v>0.2</v>
      </c>
      <c r="C1882" s="10">
        <v>1.119</v>
      </c>
      <c r="D1882" s="9" t="s">
        <v>1712</v>
      </c>
      <c r="E1882" s="11" t="s">
        <v>1738</v>
      </c>
      <c r="F1882" s="12" t="s">
        <v>1714</v>
      </c>
      <c r="G1882" s="9" t="s">
        <v>1709</v>
      </c>
    </row>
    <row r="1883" spans="1:7">
      <c r="A1883" s="9" t="s">
        <v>1711</v>
      </c>
      <c r="B1883" s="9">
        <v>0.2</v>
      </c>
      <c r="C1883" s="10">
        <v>1.119</v>
      </c>
      <c r="D1883" s="9" t="s">
        <v>1712</v>
      </c>
      <c r="E1883" s="11" t="s">
        <v>1738</v>
      </c>
      <c r="F1883" s="12" t="s">
        <v>1714</v>
      </c>
      <c r="G1883" s="9" t="s">
        <v>1709</v>
      </c>
    </row>
    <row r="1884" spans="1:7">
      <c r="A1884" s="9" t="s">
        <v>1711</v>
      </c>
      <c r="B1884" s="13">
        <v>0.2</v>
      </c>
      <c r="C1884" s="10">
        <v>1.119</v>
      </c>
      <c r="D1884" s="9" t="s">
        <v>1712</v>
      </c>
      <c r="E1884" s="11" t="s">
        <v>1738</v>
      </c>
      <c r="F1884" s="12" t="s">
        <v>1714</v>
      </c>
      <c r="G1884" s="9" t="s">
        <v>1709</v>
      </c>
    </row>
    <row r="1885" spans="1:7">
      <c r="A1885" s="9" t="s">
        <v>1711</v>
      </c>
      <c r="B1885" s="13">
        <v>0.2</v>
      </c>
      <c r="C1885" s="10">
        <v>1.119</v>
      </c>
      <c r="D1885" s="9" t="s">
        <v>1712</v>
      </c>
      <c r="E1885" s="11" t="s">
        <v>1738</v>
      </c>
      <c r="F1885" s="12" t="s">
        <v>1714</v>
      </c>
      <c r="G1885" s="9" t="s">
        <v>1709</v>
      </c>
    </row>
    <row r="1886" spans="1:7">
      <c r="A1886" s="9" t="s">
        <v>1711</v>
      </c>
      <c r="B1886" s="13">
        <v>0.2</v>
      </c>
      <c r="C1886" s="10">
        <v>1.119</v>
      </c>
      <c r="D1886" s="9" t="s">
        <v>1712</v>
      </c>
      <c r="E1886" s="11" t="s">
        <v>1738</v>
      </c>
      <c r="F1886" s="12" t="s">
        <v>1714</v>
      </c>
      <c r="G1886" s="9" t="s">
        <v>1709</v>
      </c>
    </row>
    <row r="1887" spans="1:7">
      <c r="A1887" s="9" t="s">
        <v>1711</v>
      </c>
      <c r="B1887" s="13">
        <v>0.2</v>
      </c>
      <c r="C1887" s="10">
        <v>0.84699999999999998</v>
      </c>
      <c r="D1887" s="9" t="s">
        <v>1712</v>
      </c>
      <c r="E1887" s="11" t="s">
        <v>1737</v>
      </c>
      <c r="F1887" s="12" t="s">
        <v>1714</v>
      </c>
      <c r="G1887" s="9" t="s">
        <v>1709</v>
      </c>
    </row>
    <row r="1888" spans="1:7">
      <c r="A1888" s="9" t="s">
        <v>1711</v>
      </c>
      <c r="B1888" s="13">
        <v>0.2</v>
      </c>
      <c r="C1888" s="10">
        <v>1.827</v>
      </c>
      <c r="D1888" s="9" t="s">
        <v>1712</v>
      </c>
      <c r="E1888" s="11" t="s">
        <v>1736</v>
      </c>
      <c r="F1888" s="12" t="s">
        <v>1714</v>
      </c>
      <c r="G1888" s="9" t="s">
        <v>1709</v>
      </c>
    </row>
    <row r="1889" spans="1:7">
      <c r="A1889" s="9" t="s">
        <v>1711</v>
      </c>
      <c r="B1889" s="9">
        <v>0.2</v>
      </c>
      <c r="C1889" s="10">
        <v>0.79600000000000004</v>
      </c>
      <c r="D1889" s="9" t="s">
        <v>1712</v>
      </c>
      <c r="E1889" s="11" t="s">
        <v>1715</v>
      </c>
      <c r="F1889" s="12" t="s">
        <v>1714</v>
      </c>
      <c r="G1889" s="9" t="s">
        <v>1709</v>
      </c>
    </row>
    <row r="1890" spans="1:7">
      <c r="A1890" s="9" t="s">
        <v>1711</v>
      </c>
      <c r="B1890" s="9">
        <v>0.2</v>
      </c>
      <c r="C1890" s="10">
        <v>0.76900000000000002</v>
      </c>
      <c r="D1890" s="9" t="s">
        <v>1712</v>
      </c>
      <c r="E1890" s="11" t="s">
        <v>1715</v>
      </c>
      <c r="F1890" s="12" t="s">
        <v>1714</v>
      </c>
      <c r="G1890" s="9" t="s">
        <v>1709</v>
      </c>
    </row>
    <row r="1891" spans="1:7">
      <c r="A1891" s="9" t="s">
        <v>1711</v>
      </c>
      <c r="B1891" s="9">
        <v>0.2</v>
      </c>
      <c r="C1891" s="10">
        <v>0.76900000000000002</v>
      </c>
      <c r="D1891" s="9" t="s">
        <v>1712</v>
      </c>
      <c r="E1891" s="11" t="s">
        <v>1715</v>
      </c>
      <c r="F1891" s="12" t="s">
        <v>1714</v>
      </c>
      <c r="G1891" s="9" t="s">
        <v>1709</v>
      </c>
    </row>
    <row r="1892" spans="1:7">
      <c r="A1892" s="9" t="s">
        <v>1711</v>
      </c>
      <c r="B1892" s="9">
        <v>0.2</v>
      </c>
      <c r="C1892" s="10">
        <v>0.77900000000000003</v>
      </c>
      <c r="D1892" s="9" t="s">
        <v>1712</v>
      </c>
      <c r="E1892" s="11" t="s">
        <v>1715</v>
      </c>
      <c r="F1892" s="12" t="s">
        <v>1714</v>
      </c>
      <c r="G1892" s="9" t="s">
        <v>1709</v>
      </c>
    </row>
    <row r="1893" spans="1:7">
      <c r="A1893" s="9" t="s">
        <v>1711</v>
      </c>
      <c r="B1893" s="13">
        <v>0.2</v>
      </c>
      <c r="C1893" s="10">
        <v>0.77900000000000003</v>
      </c>
      <c r="D1893" s="9" t="s">
        <v>1712</v>
      </c>
      <c r="E1893" s="11" t="s">
        <v>1715</v>
      </c>
      <c r="F1893" s="12" t="s">
        <v>1714</v>
      </c>
      <c r="G1893" s="9" t="s">
        <v>1709</v>
      </c>
    </row>
    <row r="1894" spans="1:7">
      <c r="A1894" s="9" t="s">
        <v>1711</v>
      </c>
      <c r="B1894" s="9">
        <v>0.2</v>
      </c>
      <c r="C1894" s="10">
        <v>1.6289999999999998</v>
      </c>
      <c r="D1894" s="9" t="s">
        <v>1712</v>
      </c>
      <c r="E1894" s="11" t="s">
        <v>1736</v>
      </c>
      <c r="F1894" s="12" t="s">
        <v>1714</v>
      </c>
      <c r="G1894" s="9" t="s">
        <v>1709</v>
      </c>
    </row>
    <row r="1895" spans="1:7">
      <c r="A1895" s="9" t="s">
        <v>1711</v>
      </c>
      <c r="B1895" s="13">
        <v>0.2</v>
      </c>
      <c r="C1895" s="10">
        <v>6.9000000000000006E-2</v>
      </c>
      <c r="D1895" s="9" t="s">
        <v>1712</v>
      </c>
      <c r="E1895" s="11" t="s">
        <v>1738</v>
      </c>
      <c r="F1895" s="12" t="s">
        <v>1714</v>
      </c>
      <c r="G1895" s="9" t="s">
        <v>1709</v>
      </c>
    </row>
    <row r="1896" spans="1:7">
      <c r="A1896" s="9" t="s">
        <v>1711</v>
      </c>
      <c r="B1896" s="13">
        <v>0.2</v>
      </c>
      <c r="C1896" s="10">
        <v>2.7479999999999998</v>
      </c>
      <c r="D1896" s="9" t="s">
        <v>1712</v>
      </c>
      <c r="E1896" s="11" t="s">
        <v>1738</v>
      </c>
      <c r="F1896" s="12" t="s">
        <v>1714</v>
      </c>
      <c r="G1896" s="9" t="s">
        <v>1709</v>
      </c>
    </row>
    <row r="1897" spans="1:7">
      <c r="A1897" s="9" t="s">
        <v>1711</v>
      </c>
      <c r="B1897" s="13">
        <v>0.2</v>
      </c>
      <c r="C1897" s="10">
        <v>0.52900000000000003</v>
      </c>
      <c r="D1897" s="9" t="s">
        <v>1712</v>
      </c>
      <c r="E1897" s="11" t="s">
        <v>1713</v>
      </c>
      <c r="F1897" s="12" t="s">
        <v>1714</v>
      </c>
      <c r="G1897" s="9" t="s">
        <v>1709</v>
      </c>
    </row>
    <row r="1898" spans="1:7">
      <c r="A1898" s="9" t="s">
        <v>1711</v>
      </c>
      <c r="B1898" s="13">
        <v>0.2</v>
      </c>
      <c r="C1898" s="10">
        <v>0.77400000000000002</v>
      </c>
      <c r="D1898" s="9" t="s">
        <v>1712</v>
      </c>
      <c r="E1898" s="11" t="s">
        <v>1737</v>
      </c>
      <c r="F1898" s="12" t="s">
        <v>1714</v>
      </c>
      <c r="G1898" s="9" t="s">
        <v>1709</v>
      </c>
    </row>
    <row r="1899" spans="1:7">
      <c r="A1899" s="9" t="s">
        <v>1711</v>
      </c>
      <c r="B1899" s="13">
        <v>0.2</v>
      </c>
      <c r="C1899" s="10">
        <v>0.77400000000000002</v>
      </c>
      <c r="D1899" s="9" t="s">
        <v>1712</v>
      </c>
      <c r="E1899" s="11" t="s">
        <v>1737</v>
      </c>
      <c r="F1899" s="12" t="s">
        <v>1714</v>
      </c>
      <c r="G1899" s="9" t="s">
        <v>1709</v>
      </c>
    </row>
    <row r="1900" spans="1:7">
      <c r="A1900" s="9" t="s">
        <v>1711</v>
      </c>
      <c r="B1900" s="13">
        <v>0.2</v>
      </c>
      <c r="C1900" s="10">
        <v>6.9000000000000006E-2</v>
      </c>
      <c r="D1900" s="9" t="s">
        <v>1712</v>
      </c>
      <c r="E1900" s="11" t="s">
        <v>1715</v>
      </c>
      <c r="F1900" s="12" t="s">
        <v>1714</v>
      </c>
      <c r="G1900" s="9" t="s">
        <v>1709</v>
      </c>
    </row>
    <row r="1901" spans="1:7">
      <c r="A1901" s="9" t="s">
        <v>1711</v>
      </c>
      <c r="B1901" s="13">
        <v>0.2</v>
      </c>
      <c r="C1901" s="10">
        <v>6.9000000000000006E-2</v>
      </c>
      <c r="D1901" s="9" t="s">
        <v>1712</v>
      </c>
      <c r="E1901" s="11" t="s">
        <v>1738</v>
      </c>
      <c r="F1901" s="12" t="s">
        <v>1714</v>
      </c>
      <c r="G1901" s="9" t="s">
        <v>1709</v>
      </c>
    </row>
    <row r="1902" spans="1:7">
      <c r="A1902" s="9" t="s">
        <v>1711</v>
      </c>
      <c r="B1902" s="13">
        <v>0.2</v>
      </c>
      <c r="C1902" s="10">
        <v>1.1819999999999999</v>
      </c>
      <c r="D1902" s="9" t="s">
        <v>1712</v>
      </c>
      <c r="E1902" s="11" t="s">
        <v>1739</v>
      </c>
      <c r="F1902" s="12" t="s">
        <v>1714</v>
      </c>
      <c r="G1902" s="9" t="s">
        <v>1709</v>
      </c>
    </row>
    <row r="1903" spans="1:7">
      <c r="A1903" s="9" t="s">
        <v>1711</v>
      </c>
      <c r="B1903" s="13">
        <v>0.2</v>
      </c>
      <c r="C1903" s="10">
        <v>1.1819999999999999</v>
      </c>
      <c r="D1903" s="9" t="s">
        <v>1712</v>
      </c>
      <c r="E1903" s="11" t="s">
        <v>1739</v>
      </c>
      <c r="F1903" s="12" t="s">
        <v>1714</v>
      </c>
      <c r="G1903" s="9" t="s">
        <v>1709</v>
      </c>
    </row>
    <row r="1904" spans="1:7">
      <c r="A1904" s="9" t="s">
        <v>1711</v>
      </c>
      <c r="B1904" s="13">
        <v>0.2</v>
      </c>
      <c r="C1904" s="10">
        <v>1.1819999999999999</v>
      </c>
      <c r="D1904" s="9" t="s">
        <v>1712</v>
      </c>
      <c r="E1904" s="11" t="s">
        <v>1739</v>
      </c>
      <c r="F1904" s="12" t="s">
        <v>1714</v>
      </c>
      <c r="G1904" s="9" t="s">
        <v>1709</v>
      </c>
    </row>
    <row r="1905" spans="1:7">
      <c r="A1905" s="9" t="s">
        <v>1711</v>
      </c>
      <c r="B1905" s="13">
        <v>0.2</v>
      </c>
      <c r="C1905" s="10">
        <v>-0.126</v>
      </c>
      <c r="D1905" s="9" t="s">
        <v>1709</v>
      </c>
      <c r="E1905" s="11" t="s">
        <v>1710</v>
      </c>
      <c r="F1905" s="12" t="s">
        <v>1710</v>
      </c>
      <c r="G1905" s="9" t="s">
        <v>1709</v>
      </c>
    </row>
    <row r="1906" spans="1:7">
      <c r="A1906" s="9" t="s">
        <v>1711</v>
      </c>
      <c r="B1906" s="13">
        <v>0.2</v>
      </c>
      <c r="C1906" s="10">
        <v>-0.126</v>
      </c>
      <c r="D1906" s="9" t="s">
        <v>1709</v>
      </c>
      <c r="E1906" s="11" t="s">
        <v>1710</v>
      </c>
      <c r="F1906" s="12" t="s">
        <v>1710</v>
      </c>
      <c r="G1906" s="9" t="s">
        <v>1709</v>
      </c>
    </row>
    <row r="1907" spans="1:7">
      <c r="A1907" s="9" t="s">
        <v>1711</v>
      </c>
      <c r="B1907" s="13">
        <v>0.2</v>
      </c>
      <c r="C1907" s="10">
        <v>-4.1000000000000002E-2</v>
      </c>
      <c r="D1907" s="9" t="s">
        <v>1709</v>
      </c>
      <c r="E1907" s="11" t="s">
        <v>1710</v>
      </c>
      <c r="F1907" s="12" t="s">
        <v>1710</v>
      </c>
      <c r="G1907" s="9" t="s">
        <v>1709</v>
      </c>
    </row>
    <row r="1908" spans="1:7">
      <c r="A1908" s="9" t="s">
        <v>1711</v>
      </c>
      <c r="B1908" s="13">
        <v>0.2</v>
      </c>
      <c r="C1908" s="10">
        <v>0.316</v>
      </c>
      <c r="D1908" s="9" t="s">
        <v>1712</v>
      </c>
      <c r="E1908" s="11" t="s">
        <v>1715</v>
      </c>
      <c r="F1908" s="12" t="s">
        <v>1714</v>
      </c>
      <c r="G1908" s="9" t="s">
        <v>1709</v>
      </c>
    </row>
    <row r="1909" spans="1:7">
      <c r="A1909" s="9" t="s">
        <v>1711</v>
      </c>
      <c r="B1909" s="13">
        <v>0.2</v>
      </c>
      <c r="C1909" s="10">
        <v>0.17499999999999999</v>
      </c>
      <c r="D1909" s="9" t="s">
        <v>1712</v>
      </c>
      <c r="E1909" s="11" t="s">
        <v>1715</v>
      </c>
      <c r="F1909" s="12" t="s">
        <v>1714</v>
      </c>
      <c r="G1909" s="9" t="s">
        <v>1709</v>
      </c>
    </row>
    <row r="1910" spans="1:7">
      <c r="A1910" s="9" t="s">
        <v>1711</v>
      </c>
      <c r="B1910" s="13">
        <v>0.2</v>
      </c>
      <c r="C1910" s="10">
        <v>0.17499999999999999</v>
      </c>
      <c r="D1910" s="9" t="s">
        <v>1712</v>
      </c>
      <c r="E1910" s="11" t="s">
        <v>1715</v>
      </c>
      <c r="F1910" s="12" t="s">
        <v>1714</v>
      </c>
      <c r="G1910" s="9" t="s">
        <v>1709</v>
      </c>
    </row>
    <row r="1911" spans="1:7">
      <c r="A1911" s="9" t="s">
        <v>1711</v>
      </c>
      <c r="B1911" s="13">
        <v>0.2</v>
      </c>
      <c r="C1911" s="10">
        <v>1.607</v>
      </c>
      <c r="D1911" s="9" t="s">
        <v>1712</v>
      </c>
      <c r="E1911" s="11" t="s">
        <v>1715</v>
      </c>
      <c r="F1911" s="12" t="s">
        <v>1714</v>
      </c>
      <c r="G1911" s="9" t="s">
        <v>1709</v>
      </c>
    </row>
    <row r="1912" spans="1:7">
      <c r="A1912" s="9" t="s">
        <v>1711</v>
      </c>
      <c r="B1912" s="13">
        <v>0.2</v>
      </c>
      <c r="C1912" s="10">
        <v>0.56899999999999995</v>
      </c>
      <c r="D1912" s="9" t="s">
        <v>1712</v>
      </c>
      <c r="E1912" s="11" t="s">
        <v>1713</v>
      </c>
      <c r="F1912" s="12" t="s">
        <v>1714</v>
      </c>
      <c r="G1912" s="9" t="s">
        <v>1709</v>
      </c>
    </row>
    <row r="1913" spans="1:7">
      <c r="A1913" s="9" t="s">
        <v>1711</v>
      </c>
      <c r="B1913" s="13">
        <v>0.2</v>
      </c>
      <c r="C1913" s="10">
        <v>0.56899999999999995</v>
      </c>
      <c r="D1913" s="9" t="s">
        <v>1712</v>
      </c>
      <c r="E1913" s="11" t="s">
        <v>1713</v>
      </c>
      <c r="F1913" s="12" t="s">
        <v>1714</v>
      </c>
      <c r="G1913" s="9" t="s">
        <v>1709</v>
      </c>
    </row>
    <row r="1914" spans="1:7">
      <c r="A1914" s="9" t="s">
        <v>1711</v>
      </c>
      <c r="B1914" s="13">
        <v>0.2</v>
      </c>
      <c r="C1914" s="10">
        <v>0.56899999999999995</v>
      </c>
      <c r="D1914" s="9" t="s">
        <v>1712</v>
      </c>
      <c r="E1914" s="11" t="s">
        <v>1713</v>
      </c>
      <c r="F1914" s="12" t="s">
        <v>1714</v>
      </c>
      <c r="G1914" s="9" t="s">
        <v>1709</v>
      </c>
    </row>
    <row r="1915" spans="1:7">
      <c r="A1915" s="9" t="s">
        <v>1711</v>
      </c>
      <c r="B1915" s="13">
        <v>0.2</v>
      </c>
      <c r="C1915" s="10">
        <v>0.56899999999999995</v>
      </c>
      <c r="D1915" s="9" t="s">
        <v>1712</v>
      </c>
      <c r="E1915" s="11" t="s">
        <v>1713</v>
      </c>
      <c r="F1915" s="12" t="s">
        <v>1714</v>
      </c>
      <c r="G1915" s="9" t="s">
        <v>1709</v>
      </c>
    </row>
    <row r="1916" spans="1:7">
      <c r="A1916" s="9" t="s">
        <v>1711</v>
      </c>
      <c r="B1916" s="13">
        <v>0.2</v>
      </c>
      <c r="C1916" s="10">
        <v>0.56899999999999995</v>
      </c>
      <c r="D1916" s="9" t="s">
        <v>1712</v>
      </c>
      <c r="E1916" s="11" t="s">
        <v>1713</v>
      </c>
      <c r="F1916" s="12" t="s">
        <v>1714</v>
      </c>
      <c r="G1916" s="9" t="s">
        <v>1709</v>
      </c>
    </row>
    <row r="1917" spans="1:7">
      <c r="A1917" s="9" t="s">
        <v>1711</v>
      </c>
      <c r="B1917" s="13">
        <v>0.2</v>
      </c>
      <c r="C1917" s="10">
        <v>0.56899999999999995</v>
      </c>
      <c r="D1917" s="9" t="s">
        <v>1712</v>
      </c>
      <c r="E1917" s="11" t="s">
        <v>1713</v>
      </c>
      <c r="F1917" s="12" t="s">
        <v>1714</v>
      </c>
      <c r="G1917" s="9" t="s">
        <v>1709</v>
      </c>
    </row>
    <row r="1918" spans="1:7">
      <c r="A1918" s="9" t="s">
        <v>1711</v>
      </c>
      <c r="B1918" s="9">
        <v>0.2</v>
      </c>
      <c r="C1918" s="10">
        <v>0.56899999999999995</v>
      </c>
      <c r="D1918" s="9" t="s">
        <v>1712</v>
      </c>
      <c r="E1918" s="11" t="s">
        <v>1713</v>
      </c>
      <c r="F1918" s="12" t="s">
        <v>1714</v>
      </c>
      <c r="G1918" s="9" t="s">
        <v>1709</v>
      </c>
    </row>
    <row r="1919" spans="1:7">
      <c r="A1919" s="9" t="s">
        <v>1711</v>
      </c>
      <c r="B1919" s="13">
        <v>0.2</v>
      </c>
      <c r="C1919" s="10">
        <v>0.56899999999999995</v>
      </c>
      <c r="D1919" s="9" t="s">
        <v>1712</v>
      </c>
      <c r="E1919" s="11" t="s">
        <v>1713</v>
      </c>
      <c r="F1919" s="12" t="s">
        <v>1714</v>
      </c>
      <c r="G1919" s="9" t="s">
        <v>1709</v>
      </c>
    </row>
    <row r="1920" spans="1:7">
      <c r="A1920" s="9" t="s">
        <v>1711</v>
      </c>
      <c r="B1920" s="13">
        <v>0.2</v>
      </c>
      <c r="C1920" s="10">
        <v>0.56899999999999995</v>
      </c>
      <c r="D1920" s="9" t="s">
        <v>1712</v>
      </c>
      <c r="E1920" s="11" t="s">
        <v>1713</v>
      </c>
      <c r="F1920" s="12" t="s">
        <v>1714</v>
      </c>
      <c r="G1920" s="9" t="s">
        <v>1709</v>
      </c>
    </row>
    <row r="1921" spans="1:7">
      <c r="A1921" s="9" t="s">
        <v>1711</v>
      </c>
      <c r="B1921" s="13">
        <v>0.2</v>
      </c>
      <c r="C1921" s="10">
        <v>1.5109999999999999</v>
      </c>
      <c r="D1921" s="9" t="s">
        <v>1712</v>
      </c>
      <c r="E1921" s="11" t="s">
        <v>1713</v>
      </c>
      <c r="F1921" s="12" t="s">
        <v>1714</v>
      </c>
      <c r="G1921" s="9" t="s">
        <v>1709</v>
      </c>
    </row>
    <row r="1922" spans="1:7">
      <c r="A1922" s="9" t="s">
        <v>1711</v>
      </c>
      <c r="B1922" s="13">
        <v>0.2</v>
      </c>
      <c r="C1922" s="10">
        <v>1.5109999999999999</v>
      </c>
      <c r="D1922" s="9" t="s">
        <v>1712</v>
      </c>
      <c r="E1922" s="11" t="s">
        <v>1713</v>
      </c>
      <c r="F1922" s="12" t="s">
        <v>1714</v>
      </c>
      <c r="G1922" s="9" t="s">
        <v>1709</v>
      </c>
    </row>
    <row r="1923" spans="1:7">
      <c r="A1923" s="9" t="s">
        <v>1711</v>
      </c>
      <c r="B1923" s="9">
        <v>0.2</v>
      </c>
      <c r="C1923" s="10">
        <v>1.7719999999999998</v>
      </c>
      <c r="D1923" s="9" t="s">
        <v>1712</v>
      </c>
      <c r="E1923" s="11" t="s">
        <v>1713</v>
      </c>
      <c r="F1923" s="12" t="s">
        <v>1714</v>
      </c>
      <c r="G1923" s="9" t="s">
        <v>1709</v>
      </c>
    </row>
    <row r="1924" spans="1:7">
      <c r="A1924" s="9" t="s">
        <v>1711</v>
      </c>
      <c r="B1924" s="13">
        <v>0.2</v>
      </c>
      <c r="C1924" s="10">
        <v>1.7719999999999998</v>
      </c>
      <c r="D1924" s="9" t="s">
        <v>1712</v>
      </c>
      <c r="E1924" s="11" t="s">
        <v>1713</v>
      </c>
      <c r="F1924" s="12" t="s">
        <v>1714</v>
      </c>
      <c r="G1924" s="9" t="s">
        <v>1709</v>
      </c>
    </row>
    <row r="1925" spans="1:7">
      <c r="A1925" s="9" t="s">
        <v>1711</v>
      </c>
      <c r="B1925" s="13">
        <v>0.2</v>
      </c>
      <c r="C1925" s="10">
        <v>-0.106</v>
      </c>
      <c r="D1925" s="9" t="s">
        <v>1709</v>
      </c>
      <c r="E1925" s="11" t="s">
        <v>1710</v>
      </c>
      <c r="F1925" s="12" t="s">
        <v>1710</v>
      </c>
      <c r="G1925" s="9" t="s">
        <v>1709</v>
      </c>
    </row>
    <row r="1926" spans="1:7">
      <c r="A1926" s="9" t="s">
        <v>1711</v>
      </c>
      <c r="B1926" s="13">
        <v>0.2</v>
      </c>
      <c r="C1926" s="10">
        <v>0.55500000000000005</v>
      </c>
      <c r="D1926" s="9" t="s">
        <v>1712</v>
      </c>
      <c r="E1926" s="11" t="s">
        <v>1715</v>
      </c>
      <c r="F1926" s="12" t="s">
        <v>1714</v>
      </c>
      <c r="G1926" s="9" t="s">
        <v>1709</v>
      </c>
    </row>
    <row r="1927" spans="1:7">
      <c r="A1927" s="9" t="s">
        <v>1711</v>
      </c>
      <c r="B1927" s="13">
        <v>0.2</v>
      </c>
      <c r="C1927" s="10">
        <v>0.64100000000000001</v>
      </c>
      <c r="D1927" s="9" t="s">
        <v>1712</v>
      </c>
      <c r="E1927" s="11" t="s">
        <v>1738</v>
      </c>
      <c r="F1927" s="12" t="s">
        <v>1714</v>
      </c>
      <c r="G1927" s="9" t="s">
        <v>1709</v>
      </c>
    </row>
    <row r="1928" spans="1:7">
      <c r="A1928" s="9" t="s">
        <v>1711</v>
      </c>
      <c r="B1928" s="13">
        <v>0.2</v>
      </c>
      <c r="C1928" s="10">
        <v>-0.19400000000000001</v>
      </c>
      <c r="D1928" s="9" t="s">
        <v>1709</v>
      </c>
      <c r="E1928" s="11" t="s">
        <v>1710</v>
      </c>
      <c r="F1928" s="12" t="s">
        <v>1710</v>
      </c>
      <c r="G1928" s="9" t="s">
        <v>1709</v>
      </c>
    </row>
    <row r="1929" spans="1:7">
      <c r="A1929" s="9" t="s">
        <v>1711</v>
      </c>
      <c r="B1929" s="13">
        <v>0.2</v>
      </c>
      <c r="C1929" s="10">
        <v>-0.126</v>
      </c>
      <c r="D1929" s="9" t="s">
        <v>1709</v>
      </c>
      <c r="E1929" s="11" t="s">
        <v>1710</v>
      </c>
      <c r="F1929" s="12" t="s">
        <v>1710</v>
      </c>
      <c r="G1929" s="9" t="s">
        <v>1709</v>
      </c>
    </row>
    <row r="1930" spans="1:7">
      <c r="A1930" s="9" t="s">
        <v>1711</v>
      </c>
      <c r="B1930" s="13">
        <v>0.2</v>
      </c>
      <c r="C1930" s="10">
        <v>-0.126</v>
      </c>
      <c r="D1930" s="9" t="s">
        <v>1709</v>
      </c>
      <c r="E1930" s="11" t="s">
        <v>1710</v>
      </c>
      <c r="F1930" s="12" t="s">
        <v>1710</v>
      </c>
      <c r="G1930" s="9" t="s">
        <v>1709</v>
      </c>
    </row>
    <row r="1931" spans="1:7">
      <c r="A1931" s="9" t="s">
        <v>1711</v>
      </c>
      <c r="B1931" s="13">
        <v>0.2</v>
      </c>
      <c r="C1931" s="10">
        <v>-0.126</v>
      </c>
      <c r="D1931" s="9" t="s">
        <v>1709</v>
      </c>
      <c r="E1931" s="11" t="s">
        <v>1710</v>
      </c>
      <c r="F1931" s="12" t="s">
        <v>1710</v>
      </c>
      <c r="G1931" s="9" t="s">
        <v>1709</v>
      </c>
    </row>
    <row r="1932" spans="1:7">
      <c r="A1932" s="9" t="s">
        <v>1711</v>
      </c>
      <c r="B1932" s="13">
        <v>0.2</v>
      </c>
      <c r="C1932" s="10">
        <v>-0.126</v>
      </c>
      <c r="D1932" s="9" t="s">
        <v>1709</v>
      </c>
      <c r="E1932" s="11" t="s">
        <v>1710</v>
      </c>
      <c r="F1932" s="12" t="s">
        <v>1710</v>
      </c>
      <c r="G1932" s="9" t="s">
        <v>1709</v>
      </c>
    </row>
    <row r="1933" spans="1:7">
      <c r="A1933" s="9" t="s">
        <v>1711</v>
      </c>
      <c r="B1933" s="13">
        <v>0.2</v>
      </c>
      <c r="C1933" s="10">
        <v>5.2999999999999999E-2</v>
      </c>
      <c r="D1933" s="9" t="s">
        <v>1712</v>
      </c>
      <c r="E1933" s="11" t="s">
        <v>1737</v>
      </c>
      <c r="F1933" s="12" t="s">
        <v>1714</v>
      </c>
      <c r="G1933" s="9" t="s">
        <v>1709</v>
      </c>
    </row>
    <row r="1934" spans="1:7">
      <c r="A1934" s="9" t="s">
        <v>1711</v>
      </c>
      <c r="B1934" s="13">
        <v>0.2</v>
      </c>
      <c r="C1934" s="10">
        <v>0.55200000000000005</v>
      </c>
      <c r="D1934" s="9" t="s">
        <v>1712</v>
      </c>
      <c r="E1934" s="11" t="s">
        <v>1738</v>
      </c>
      <c r="F1934" s="12" t="s">
        <v>1714</v>
      </c>
      <c r="G1934" s="9" t="s">
        <v>1709</v>
      </c>
    </row>
    <row r="1935" spans="1:7">
      <c r="A1935" s="9" t="s">
        <v>1711</v>
      </c>
      <c r="B1935" s="13">
        <v>0.2</v>
      </c>
      <c r="C1935" s="10">
        <v>0.55200000000000005</v>
      </c>
      <c r="D1935" s="9" t="s">
        <v>1712</v>
      </c>
      <c r="E1935" s="11" t="s">
        <v>1738</v>
      </c>
      <c r="F1935" s="12" t="s">
        <v>1714</v>
      </c>
      <c r="G1935" s="9" t="s">
        <v>1709</v>
      </c>
    </row>
    <row r="1936" spans="1:7">
      <c r="A1936" s="9" t="s">
        <v>1711</v>
      </c>
      <c r="B1936" s="13">
        <v>0.2</v>
      </c>
      <c r="C1936" s="10">
        <v>0.55200000000000005</v>
      </c>
      <c r="D1936" s="9" t="s">
        <v>1712</v>
      </c>
      <c r="E1936" s="11" t="s">
        <v>1738</v>
      </c>
      <c r="F1936" s="12" t="s">
        <v>1714</v>
      </c>
      <c r="G1936" s="9" t="s">
        <v>1709</v>
      </c>
    </row>
    <row r="1937" spans="1:7">
      <c r="A1937" s="9" t="s">
        <v>1711</v>
      </c>
      <c r="B1937" s="13">
        <v>0.2</v>
      </c>
      <c r="C1937" s="10">
        <v>0.55200000000000005</v>
      </c>
      <c r="D1937" s="9" t="s">
        <v>1712</v>
      </c>
      <c r="E1937" s="11" t="s">
        <v>1738</v>
      </c>
      <c r="F1937" s="12" t="s">
        <v>1714</v>
      </c>
      <c r="G1937" s="9" t="s">
        <v>1709</v>
      </c>
    </row>
    <row r="1938" spans="1:7">
      <c r="A1938" s="9" t="s">
        <v>1711</v>
      </c>
      <c r="B1938" s="13">
        <v>0.2</v>
      </c>
      <c r="C1938" s="10">
        <v>0.55200000000000005</v>
      </c>
      <c r="D1938" s="9" t="s">
        <v>1712</v>
      </c>
      <c r="E1938" s="11" t="s">
        <v>1738</v>
      </c>
      <c r="F1938" s="12" t="s">
        <v>1714</v>
      </c>
      <c r="G1938" s="9" t="s">
        <v>1709</v>
      </c>
    </row>
    <row r="1939" spans="1:7">
      <c r="A1939" s="9" t="s">
        <v>1711</v>
      </c>
      <c r="B1939" s="13">
        <v>0.2</v>
      </c>
      <c r="C1939" s="10">
        <v>0.55200000000000005</v>
      </c>
      <c r="D1939" s="9" t="s">
        <v>1712</v>
      </c>
      <c r="E1939" s="11" t="s">
        <v>1738</v>
      </c>
      <c r="F1939" s="12" t="s">
        <v>1714</v>
      </c>
      <c r="G1939" s="9" t="s">
        <v>1709</v>
      </c>
    </row>
    <row r="1940" spans="1:7">
      <c r="A1940" s="9" t="s">
        <v>1711</v>
      </c>
      <c r="B1940" s="13">
        <v>0.2</v>
      </c>
      <c r="C1940" s="10">
        <v>0.55200000000000005</v>
      </c>
      <c r="D1940" s="9" t="s">
        <v>1712</v>
      </c>
      <c r="E1940" s="11" t="s">
        <v>1738</v>
      </c>
      <c r="F1940" s="12" t="s">
        <v>1714</v>
      </c>
      <c r="G1940" s="9" t="s">
        <v>1709</v>
      </c>
    </row>
    <row r="1941" spans="1:7">
      <c r="A1941" s="9" t="s">
        <v>1711</v>
      </c>
      <c r="B1941" s="13">
        <v>0.2</v>
      </c>
      <c r="C1941" s="10">
        <v>-5.7000000000000002E-2</v>
      </c>
      <c r="D1941" s="9" t="s">
        <v>1709</v>
      </c>
      <c r="E1941" s="11" t="s">
        <v>1710</v>
      </c>
      <c r="F1941" s="12" t="s">
        <v>1710</v>
      </c>
      <c r="G1941" s="9" t="s">
        <v>1709</v>
      </c>
    </row>
    <row r="1942" spans="1:7">
      <c r="A1942" s="9" t="s">
        <v>1711</v>
      </c>
      <c r="B1942" s="13">
        <v>0.2</v>
      </c>
      <c r="C1942" s="10">
        <v>-5.7000000000000002E-2</v>
      </c>
      <c r="D1942" s="9" t="s">
        <v>1709</v>
      </c>
      <c r="E1942" s="11" t="s">
        <v>1710</v>
      </c>
      <c r="F1942" s="12" t="s">
        <v>1710</v>
      </c>
      <c r="G1942" s="9" t="s">
        <v>1709</v>
      </c>
    </row>
    <row r="1943" spans="1:7">
      <c r="A1943" s="9" t="s">
        <v>1711</v>
      </c>
      <c r="B1943" s="13">
        <v>0.2</v>
      </c>
      <c r="C1943" s="10">
        <v>1.1119999999999999</v>
      </c>
      <c r="D1943" s="9" t="s">
        <v>1712</v>
      </c>
      <c r="E1943" s="11" t="s">
        <v>1737</v>
      </c>
      <c r="F1943" s="12" t="s">
        <v>1714</v>
      </c>
      <c r="G1943" s="9" t="s">
        <v>1709</v>
      </c>
    </row>
    <row r="1944" spans="1:7">
      <c r="A1944" s="9" t="s">
        <v>1711</v>
      </c>
      <c r="B1944" s="13">
        <v>0.2</v>
      </c>
      <c r="C1944" s="10">
        <v>1.119</v>
      </c>
      <c r="D1944" s="9" t="s">
        <v>1712</v>
      </c>
      <c r="E1944" s="11" t="s">
        <v>1739</v>
      </c>
      <c r="F1944" s="12" t="s">
        <v>1714</v>
      </c>
      <c r="G1944" s="9" t="s">
        <v>1709</v>
      </c>
    </row>
    <row r="1945" spans="1:7">
      <c r="A1945" s="9" t="s">
        <v>1711</v>
      </c>
      <c r="B1945" s="13">
        <v>0.2</v>
      </c>
      <c r="C1945" s="10">
        <v>0.38500000000000001</v>
      </c>
      <c r="D1945" s="9" t="s">
        <v>1712</v>
      </c>
      <c r="E1945" s="11" t="s">
        <v>1737</v>
      </c>
      <c r="F1945" s="12" t="s">
        <v>1714</v>
      </c>
      <c r="G1945" s="9" t="s">
        <v>1709</v>
      </c>
    </row>
    <row r="1946" spans="1:7">
      <c r="A1946" s="9" t="s">
        <v>1711</v>
      </c>
      <c r="B1946" s="13">
        <v>0.2</v>
      </c>
      <c r="C1946" s="10">
        <v>0.55300000000000005</v>
      </c>
      <c r="D1946" s="9" t="s">
        <v>1712</v>
      </c>
      <c r="E1946" s="11" t="s">
        <v>1738</v>
      </c>
      <c r="F1946" s="12" t="s">
        <v>1714</v>
      </c>
      <c r="G1946" s="9" t="s">
        <v>1709</v>
      </c>
    </row>
    <row r="1947" spans="1:7">
      <c r="A1947" s="9" t="s">
        <v>1711</v>
      </c>
      <c r="B1947" s="13">
        <v>0.2</v>
      </c>
      <c r="C1947" s="10">
        <v>0.52900000000000003</v>
      </c>
      <c r="D1947" s="9" t="s">
        <v>1712</v>
      </c>
      <c r="E1947" s="11" t="s">
        <v>1737</v>
      </c>
      <c r="F1947" s="12" t="s">
        <v>1714</v>
      </c>
      <c r="G1947" s="9" t="s">
        <v>1709</v>
      </c>
    </row>
    <row r="1948" spans="1:7">
      <c r="A1948" s="9" t="s">
        <v>1711</v>
      </c>
      <c r="B1948" s="13">
        <v>0.2</v>
      </c>
      <c r="C1948" s="10">
        <v>2.4E-2</v>
      </c>
      <c r="D1948" s="9" t="s">
        <v>1712</v>
      </c>
      <c r="E1948" s="11" t="s">
        <v>1737</v>
      </c>
      <c r="F1948" s="12" t="s">
        <v>1714</v>
      </c>
      <c r="G1948" s="9" t="s">
        <v>1709</v>
      </c>
    </row>
    <row r="1949" spans="1:7">
      <c r="A1949" s="9" t="s">
        <v>1711</v>
      </c>
      <c r="B1949" s="9">
        <v>0.2</v>
      </c>
      <c r="C1949" s="10">
        <v>5.2999999999999999E-2</v>
      </c>
      <c r="D1949" s="9" t="s">
        <v>1712</v>
      </c>
      <c r="E1949" s="11" t="s">
        <v>1737</v>
      </c>
      <c r="F1949" s="12" t="s">
        <v>1714</v>
      </c>
      <c r="G1949" s="9" t="s">
        <v>1709</v>
      </c>
    </row>
    <row r="1950" spans="1:7">
      <c r="A1950" s="9" t="s">
        <v>1711</v>
      </c>
      <c r="B1950" s="9">
        <v>0.2</v>
      </c>
      <c r="C1950" s="10">
        <v>3.6000000000000004E-2</v>
      </c>
      <c r="D1950" s="9" t="s">
        <v>1712</v>
      </c>
      <c r="E1950" s="11" t="s">
        <v>1737</v>
      </c>
      <c r="F1950" s="12" t="s">
        <v>1714</v>
      </c>
      <c r="G1950" s="9" t="s">
        <v>1709</v>
      </c>
    </row>
    <row r="1951" spans="1:7">
      <c r="A1951" s="9" t="s">
        <v>1711</v>
      </c>
      <c r="B1951" s="9">
        <v>0.2</v>
      </c>
      <c r="C1951" s="10">
        <v>5.1000000000000004E-2</v>
      </c>
      <c r="D1951" s="9" t="s">
        <v>1712</v>
      </c>
      <c r="E1951" s="11" t="s">
        <v>1737</v>
      </c>
      <c r="F1951" s="12" t="s">
        <v>1714</v>
      </c>
      <c r="G1951" s="9" t="s">
        <v>1709</v>
      </c>
    </row>
    <row r="1952" spans="1:7">
      <c r="A1952" s="9" t="s">
        <v>1711</v>
      </c>
      <c r="B1952" s="13">
        <v>0.2</v>
      </c>
      <c r="C1952" s="10">
        <v>5.1000000000000004E-2</v>
      </c>
      <c r="D1952" s="9" t="s">
        <v>1712</v>
      </c>
      <c r="E1952" s="11" t="s">
        <v>1737</v>
      </c>
      <c r="F1952" s="12" t="s">
        <v>1714</v>
      </c>
      <c r="G1952" s="9" t="s">
        <v>1709</v>
      </c>
    </row>
    <row r="1953" spans="1:7">
      <c r="A1953" s="9" t="s">
        <v>1711</v>
      </c>
      <c r="B1953" s="9">
        <v>0.2</v>
      </c>
      <c r="C1953" s="10">
        <v>5.1000000000000004E-2</v>
      </c>
      <c r="D1953" s="9" t="s">
        <v>1712</v>
      </c>
      <c r="E1953" s="11" t="s">
        <v>1737</v>
      </c>
      <c r="F1953" s="12" t="s">
        <v>1714</v>
      </c>
      <c r="G1953" s="9" t="s">
        <v>1709</v>
      </c>
    </row>
    <row r="1954" spans="1:7">
      <c r="A1954" s="9" t="s">
        <v>1711</v>
      </c>
      <c r="B1954" s="9">
        <v>0.2</v>
      </c>
      <c r="C1954" s="10">
        <v>5.2999999999999999E-2</v>
      </c>
      <c r="D1954" s="9" t="s">
        <v>1712</v>
      </c>
      <c r="E1954" s="11" t="s">
        <v>1737</v>
      </c>
      <c r="F1954" s="12" t="s">
        <v>1714</v>
      </c>
      <c r="G1954" s="9" t="s">
        <v>1709</v>
      </c>
    </row>
    <row r="1955" spans="1:7">
      <c r="A1955" s="9" t="s">
        <v>1711</v>
      </c>
      <c r="B1955" s="9">
        <v>0.2</v>
      </c>
      <c r="C1955" s="10">
        <v>5.2999999999999999E-2</v>
      </c>
      <c r="D1955" s="9" t="s">
        <v>1712</v>
      </c>
      <c r="E1955" s="11" t="s">
        <v>1737</v>
      </c>
      <c r="F1955" s="12" t="s">
        <v>1714</v>
      </c>
      <c r="G1955" s="9" t="s">
        <v>1709</v>
      </c>
    </row>
    <row r="1956" spans="1:7">
      <c r="A1956" s="9" t="s">
        <v>1711</v>
      </c>
      <c r="B1956" s="9">
        <v>0.2</v>
      </c>
      <c r="C1956" s="10">
        <v>6.9000000000000006E-2</v>
      </c>
      <c r="D1956" s="9" t="s">
        <v>1712</v>
      </c>
      <c r="E1956" s="11" t="s">
        <v>1737</v>
      </c>
      <c r="F1956" s="12" t="s">
        <v>1714</v>
      </c>
      <c r="G1956" s="9" t="s">
        <v>1709</v>
      </c>
    </row>
    <row r="1957" spans="1:7">
      <c r="A1957" s="9" t="s">
        <v>1711</v>
      </c>
      <c r="B1957" s="13">
        <v>0.2</v>
      </c>
      <c r="C1957" s="10">
        <v>-0.19</v>
      </c>
      <c r="D1957" s="9" t="s">
        <v>1709</v>
      </c>
      <c r="E1957" s="11" t="s">
        <v>1710</v>
      </c>
      <c r="F1957" s="12" t="s">
        <v>1710</v>
      </c>
      <c r="G1957" s="9" t="s">
        <v>1709</v>
      </c>
    </row>
    <row r="1958" spans="1:7">
      <c r="A1958" s="9" t="s">
        <v>1711</v>
      </c>
      <c r="B1958" s="13">
        <v>0.2</v>
      </c>
      <c r="C1958" s="10">
        <v>2.7479999999999998</v>
      </c>
      <c r="D1958" s="9" t="s">
        <v>1712</v>
      </c>
      <c r="E1958" s="11" t="s">
        <v>1737</v>
      </c>
      <c r="F1958" s="12" t="s">
        <v>1714</v>
      </c>
      <c r="G1958" s="9" t="s">
        <v>1709</v>
      </c>
    </row>
    <row r="1959" spans="1:7">
      <c r="A1959" s="9" t="s">
        <v>1711</v>
      </c>
      <c r="B1959" s="13">
        <v>0.2</v>
      </c>
      <c r="C1959" s="10">
        <v>6.9000000000000006E-2</v>
      </c>
      <c r="D1959" s="9" t="s">
        <v>1712</v>
      </c>
      <c r="E1959" s="11" t="s">
        <v>1737</v>
      </c>
      <c r="F1959" s="12" t="s">
        <v>1714</v>
      </c>
      <c r="G1959" s="9" t="s">
        <v>1709</v>
      </c>
    </row>
    <row r="1960" spans="1:7">
      <c r="A1960" s="9" t="s">
        <v>1711</v>
      </c>
      <c r="B1960" s="13">
        <v>0.2</v>
      </c>
      <c r="C1960" s="10">
        <v>0.52900000000000003</v>
      </c>
      <c r="D1960" s="9" t="s">
        <v>1712</v>
      </c>
      <c r="E1960" s="11" t="s">
        <v>1737</v>
      </c>
      <c r="F1960" s="12" t="s">
        <v>1714</v>
      </c>
      <c r="G1960" s="9" t="s">
        <v>1709</v>
      </c>
    </row>
    <row r="1961" spans="1:7">
      <c r="A1961" s="9" t="s">
        <v>1711</v>
      </c>
      <c r="B1961" s="13">
        <v>0.2</v>
      </c>
      <c r="C1961" s="10">
        <v>1.853</v>
      </c>
      <c r="D1961" s="9" t="s">
        <v>1712</v>
      </c>
      <c r="E1961" s="11" t="s">
        <v>1736</v>
      </c>
      <c r="F1961" s="12" t="s">
        <v>1714</v>
      </c>
      <c r="G1961" s="9" t="s">
        <v>1709</v>
      </c>
    </row>
    <row r="1962" spans="1:7">
      <c r="A1962" s="9" t="s">
        <v>1711</v>
      </c>
      <c r="B1962" s="13">
        <v>0.2</v>
      </c>
      <c r="C1962" s="10">
        <v>0.375</v>
      </c>
      <c r="D1962" s="9" t="s">
        <v>1712</v>
      </c>
      <c r="E1962" s="11" t="s">
        <v>1737</v>
      </c>
      <c r="F1962" s="12" t="s">
        <v>1714</v>
      </c>
      <c r="G1962" s="9" t="s">
        <v>1709</v>
      </c>
    </row>
    <row r="1963" spans="1:7">
      <c r="A1963" s="9" t="s">
        <v>1711</v>
      </c>
      <c r="B1963" s="13">
        <v>0.2</v>
      </c>
      <c r="C1963" s="10">
        <v>0.91200000000000003</v>
      </c>
      <c r="D1963" s="9" t="s">
        <v>1712</v>
      </c>
      <c r="E1963" s="11" t="s">
        <v>1737</v>
      </c>
      <c r="F1963" s="12" t="s">
        <v>1714</v>
      </c>
      <c r="G1963" s="9" t="s">
        <v>1709</v>
      </c>
    </row>
    <row r="1964" spans="1:7">
      <c r="A1964" s="9" t="s">
        <v>1711</v>
      </c>
      <c r="B1964" s="13">
        <v>0.2</v>
      </c>
      <c r="C1964" s="10">
        <v>1.222</v>
      </c>
      <c r="D1964" s="9" t="s">
        <v>1712</v>
      </c>
      <c r="E1964" s="11" t="s">
        <v>1737</v>
      </c>
      <c r="F1964" s="12" t="s">
        <v>1714</v>
      </c>
      <c r="G1964" s="9" t="s">
        <v>1709</v>
      </c>
    </row>
    <row r="1965" spans="1:7">
      <c r="A1965" s="9" t="s">
        <v>1711</v>
      </c>
      <c r="B1965" s="9">
        <v>0.2</v>
      </c>
      <c r="C1965" s="10">
        <v>-0.19</v>
      </c>
      <c r="D1965" s="9" t="s">
        <v>1709</v>
      </c>
      <c r="E1965" s="11" t="s">
        <v>1710</v>
      </c>
      <c r="F1965" s="12" t="s">
        <v>1710</v>
      </c>
      <c r="G1965" s="9" t="s">
        <v>1709</v>
      </c>
    </row>
    <row r="1966" spans="1:7">
      <c r="A1966" s="9" t="s">
        <v>1711</v>
      </c>
      <c r="B1966" s="9">
        <v>0.2</v>
      </c>
      <c r="C1966" s="10">
        <v>-0.19</v>
      </c>
      <c r="D1966" s="9" t="s">
        <v>1709</v>
      </c>
      <c r="E1966" s="11" t="s">
        <v>1710</v>
      </c>
      <c r="F1966" s="12" t="s">
        <v>1710</v>
      </c>
      <c r="G1966" s="9" t="s">
        <v>1709</v>
      </c>
    </row>
    <row r="1967" spans="1:7">
      <c r="A1967" s="9" t="s">
        <v>1711</v>
      </c>
      <c r="B1967" s="9">
        <v>0.2</v>
      </c>
      <c r="C1967" s="10">
        <v>1.222</v>
      </c>
      <c r="D1967" s="9" t="s">
        <v>1712</v>
      </c>
      <c r="E1967" s="11" t="s">
        <v>1737</v>
      </c>
      <c r="F1967" s="12" t="s">
        <v>1714</v>
      </c>
      <c r="G1967" s="9" t="s">
        <v>1709</v>
      </c>
    </row>
    <row r="1968" spans="1:7">
      <c r="A1968" s="9" t="s">
        <v>1711</v>
      </c>
      <c r="B1968" s="13">
        <v>0.2</v>
      </c>
      <c r="C1968" s="10">
        <v>3.6999999999999998E-2</v>
      </c>
      <c r="D1968" s="9" t="s">
        <v>1712</v>
      </c>
      <c r="E1968" s="11" t="s">
        <v>1738</v>
      </c>
      <c r="F1968" s="12" t="s">
        <v>1714</v>
      </c>
      <c r="G1968" s="9" t="s">
        <v>1709</v>
      </c>
    </row>
    <row r="1969" spans="1:7">
      <c r="A1969" s="9" t="s">
        <v>1711</v>
      </c>
      <c r="B1969" s="9">
        <v>0.2</v>
      </c>
      <c r="C1969" s="10">
        <v>1.819</v>
      </c>
      <c r="D1969" s="9" t="s">
        <v>1712</v>
      </c>
      <c r="E1969" s="11" t="s">
        <v>1737</v>
      </c>
      <c r="F1969" s="12" t="s">
        <v>1714</v>
      </c>
      <c r="G1969" s="9" t="s">
        <v>1709</v>
      </c>
    </row>
    <row r="1970" spans="1:7">
      <c r="A1970" s="9" t="s">
        <v>1711</v>
      </c>
      <c r="B1970" s="13">
        <v>0.2</v>
      </c>
      <c r="C1970" s="10">
        <v>6.9000000000000006E-2</v>
      </c>
      <c r="D1970" s="9" t="s">
        <v>1712</v>
      </c>
      <c r="E1970" s="11" t="s">
        <v>1713</v>
      </c>
      <c r="F1970" s="12" t="s">
        <v>1714</v>
      </c>
      <c r="G1970" s="9" t="s">
        <v>1709</v>
      </c>
    </row>
    <row r="1971" spans="1:7">
      <c r="A1971" s="9" t="s">
        <v>1711</v>
      </c>
      <c r="B1971" s="13">
        <v>0.2</v>
      </c>
      <c r="C1971" s="10">
        <v>5.1000000000000004E-2</v>
      </c>
      <c r="D1971" s="9" t="s">
        <v>1712</v>
      </c>
      <c r="E1971" s="11" t="s">
        <v>1737</v>
      </c>
      <c r="F1971" s="12" t="s">
        <v>1714</v>
      </c>
      <c r="G1971" s="9" t="s">
        <v>1709</v>
      </c>
    </row>
    <row r="1972" spans="1:7">
      <c r="A1972" s="9" t="s">
        <v>1711</v>
      </c>
      <c r="B1972" s="13">
        <v>0.2</v>
      </c>
      <c r="C1972" s="10">
        <v>3.198</v>
      </c>
      <c r="D1972" s="9" t="s">
        <v>1712</v>
      </c>
      <c r="E1972" s="11" t="s">
        <v>1738</v>
      </c>
      <c r="F1972" s="12" t="s">
        <v>1714</v>
      </c>
      <c r="G1972" s="9" t="s">
        <v>1709</v>
      </c>
    </row>
    <row r="1973" spans="1:7">
      <c r="A1973" s="9" t="s">
        <v>1711</v>
      </c>
      <c r="B1973" s="13">
        <v>0.2</v>
      </c>
      <c r="C1973" s="10">
        <v>1.853</v>
      </c>
      <c r="D1973" s="9" t="s">
        <v>1712</v>
      </c>
      <c r="E1973" s="11" t="s">
        <v>1737</v>
      </c>
      <c r="F1973" s="12" t="s">
        <v>1714</v>
      </c>
      <c r="G1973" s="9" t="s">
        <v>1709</v>
      </c>
    </row>
    <row r="1974" spans="1:7">
      <c r="A1974" s="9" t="s">
        <v>1711</v>
      </c>
      <c r="B1974" s="13">
        <v>0.2</v>
      </c>
      <c r="C1974" s="10">
        <v>0.95499999999999996</v>
      </c>
      <c r="D1974" s="9" t="s">
        <v>1712</v>
      </c>
      <c r="E1974" s="11" t="s">
        <v>1737</v>
      </c>
      <c r="F1974" s="12" t="s">
        <v>1714</v>
      </c>
      <c r="G1974" s="9" t="s">
        <v>1709</v>
      </c>
    </row>
    <row r="1975" spans="1:7">
      <c r="A1975" s="9" t="s">
        <v>1711</v>
      </c>
      <c r="B1975" s="13">
        <v>0.2</v>
      </c>
      <c r="C1975" s="10">
        <v>2.63</v>
      </c>
      <c r="D1975" s="9" t="s">
        <v>1712</v>
      </c>
      <c r="E1975" s="11" t="s">
        <v>1713</v>
      </c>
      <c r="F1975" s="12" t="s">
        <v>1714</v>
      </c>
      <c r="G1975" s="9" t="s">
        <v>1709</v>
      </c>
    </row>
    <row r="1976" spans="1:7">
      <c r="A1976" s="9" t="s">
        <v>1711</v>
      </c>
      <c r="B1976" s="13">
        <v>0.2</v>
      </c>
      <c r="C1976" s="10">
        <v>2.63</v>
      </c>
      <c r="D1976" s="9" t="s">
        <v>1712</v>
      </c>
      <c r="E1976" s="11" t="s">
        <v>1713</v>
      </c>
      <c r="F1976" s="12" t="s">
        <v>1714</v>
      </c>
      <c r="G1976" s="9" t="s">
        <v>1709</v>
      </c>
    </row>
    <row r="1977" spans="1:7">
      <c r="A1977" s="9" t="s">
        <v>1711</v>
      </c>
      <c r="B1977" s="13">
        <v>0.2</v>
      </c>
      <c r="C1977" s="10">
        <v>2.63</v>
      </c>
      <c r="D1977" s="9" t="s">
        <v>1712</v>
      </c>
      <c r="E1977" s="11" t="s">
        <v>1737</v>
      </c>
      <c r="F1977" s="12" t="s">
        <v>1714</v>
      </c>
      <c r="G1977" s="9" t="s">
        <v>1709</v>
      </c>
    </row>
    <row r="1978" spans="1:7">
      <c r="A1978" s="9" t="s">
        <v>1711</v>
      </c>
      <c r="B1978" s="13">
        <v>0.2</v>
      </c>
      <c r="C1978" s="10">
        <v>-0.19800000000000001</v>
      </c>
      <c r="D1978" s="9" t="s">
        <v>1709</v>
      </c>
      <c r="E1978" s="11" t="s">
        <v>1710</v>
      </c>
      <c r="F1978" s="12" t="s">
        <v>1710</v>
      </c>
      <c r="G1978" s="9" t="s">
        <v>1709</v>
      </c>
    </row>
    <row r="1979" spans="1:7">
      <c r="A1979" s="9" t="s">
        <v>1711</v>
      </c>
      <c r="B1979" s="13">
        <v>0.2</v>
      </c>
      <c r="C1979" s="10">
        <v>-0.19800000000000001</v>
      </c>
      <c r="D1979" s="9" t="s">
        <v>1709</v>
      </c>
      <c r="E1979" s="11" t="s">
        <v>1710</v>
      </c>
      <c r="F1979" s="12" t="s">
        <v>1710</v>
      </c>
      <c r="G1979" s="9" t="s">
        <v>1709</v>
      </c>
    </row>
    <row r="1980" spans="1:7">
      <c r="A1980" s="9" t="s">
        <v>1711</v>
      </c>
      <c r="B1980" s="13">
        <v>0.2</v>
      </c>
      <c r="C1980" s="10">
        <v>-0.19800000000000001</v>
      </c>
      <c r="D1980" s="9" t="s">
        <v>1709</v>
      </c>
      <c r="E1980" s="11" t="s">
        <v>1710</v>
      </c>
      <c r="F1980" s="12" t="s">
        <v>1710</v>
      </c>
      <c r="G1980" s="9" t="s">
        <v>1709</v>
      </c>
    </row>
    <row r="1981" spans="1:7">
      <c r="A1981" s="9" t="s">
        <v>1711</v>
      </c>
      <c r="B1981" s="13">
        <v>0.2</v>
      </c>
      <c r="C1981" s="10">
        <v>0.11600000000000001</v>
      </c>
      <c r="D1981" s="9" t="s">
        <v>1712</v>
      </c>
      <c r="E1981" s="11" t="s">
        <v>1737</v>
      </c>
      <c r="F1981" s="12" t="s">
        <v>1714</v>
      </c>
      <c r="G1981" s="9" t="s">
        <v>1709</v>
      </c>
    </row>
    <row r="1982" spans="1:7">
      <c r="A1982" s="9" t="s">
        <v>1711</v>
      </c>
      <c r="B1982" s="13">
        <v>0.2</v>
      </c>
      <c r="C1982" s="10">
        <v>2.323</v>
      </c>
      <c r="D1982" s="9" t="s">
        <v>1712</v>
      </c>
      <c r="E1982" s="11" t="s">
        <v>1737</v>
      </c>
      <c r="F1982" s="12" t="s">
        <v>1714</v>
      </c>
      <c r="G1982" s="9" t="s">
        <v>1709</v>
      </c>
    </row>
    <row r="1983" spans="1:7">
      <c r="A1983" s="9" t="s">
        <v>1711</v>
      </c>
      <c r="B1983" s="9">
        <v>0.2</v>
      </c>
      <c r="C1983" s="10">
        <v>2.323</v>
      </c>
      <c r="D1983" s="9" t="s">
        <v>1712</v>
      </c>
      <c r="E1983" s="11" t="s">
        <v>1738</v>
      </c>
      <c r="F1983" s="12" t="s">
        <v>1714</v>
      </c>
      <c r="G1983" s="9" t="s">
        <v>1709</v>
      </c>
    </row>
    <row r="1984" spans="1:7">
      <c r="A1984" s="9" t="s">
        <v>1711</v>
      </c>
      <c r="B1984" s="9">
        <v>0.2</v>
      </c>
      <c r="C1984" s="10">
        <v>-0.04</v>
      </c>
      <c r="D1984" s="9" t="s">
        <v>1709</v>
      </c>
      <c r="E1984" s="11" t="s">
        <v>1710</v>
      </c>
      <c r="F1984" s="12" t="s">
        <v>1710</v>
      </c>
      <c r="G1984" s="9" t="s">
        <v>1709</v>
      </c>
    </row>
    <row r="1985" spans="1:7">
      <c r="A1985" s="9" t="s">
        <v>1711</v>
      </c>
      <c r="B1985" s="13">
        <v>0.2</v>
      </c>
      <c r="C1985" s="10">
        <v>-0.13200000000000001</v>
      </c>
      <c r="D1985" s="9" t="s">
        <v>1709</v>
      </c>
      <c r="E1985" s="11" t="s">
        <v>1710</v>
      </c>
      <c r="F1985" s="12" t="s">
        <v>1710</v>
      </c>
      <c r="G1985" s="9" t="s">
        <v>1709</v>
      </c>
    </row>
    <row r="1986" spans="1:7">
      <c r="A1986" s="9" t="s">
        <v>1711</v>
      </c>
      <c r="B1986" s="13">
        <v>0.2</v>
      </c>
      <c r="C1986" s="10">
        <v>3.0000000000000002E-2</v>
      </c>
      <c r="D1986" s="9" t="s">
        <v>1712</v>
      </c>
      <c r="E1986" s="11" t="s">
        <v>1715</v>
      </c>
      <c r="F1986" s="12" t="s">
        <v>1714</v>
      </c>
      <c r="G1986" s="9" t="s">
        <v>1709</v>
      </c>
    </row>
    <row r="1987" spans="1:7">
      <c r="A1987" s="9" t="s">
        <v>1711</v>
      </c>
      <c r="B1987" s="13">
        <v>0.2</v>
      </c>
      <c r="C1987" s="10">
        <v>3.0000000000000002E-2</v>
      </c>
      <c r="D1987" s="9" t="s">
        <v>1712</v>
      </c>
      <c r="E1987" s="11" t="s">
        <v>1715</v>
      </c>
      <c r="F1987" s="12" t="s">
        <v>1714</v>
      </c>
      <c r="G1987" s="9" t="s">
        <v>1709</v>
      </c>
    </row>
    <row r="1988" spans="1:7">
      <c r="A1988" s="9" t="s">
        <v>1711</v>
      </c>
      <c r="B1988" s="13">
        <v>0.2</v>
      </c>
      <c r="C1988" s="10">
        <v>-0.125</v>
      </c>
      <c r="D1988" s="9" t="s">
        <v>1709</v>
      </c>
      <c r="E1988" s="11" t="s">
        <v>1710</v>
      </c>
      <c r="F1988" s="12" t="s">
        <v>1710</v>
      </c>
      <c r="G1988" s="9" t="s">
        <v>1709</v>
      </c>
    </row>
    <row r="1989" spans="1:7">
      <c r="A1989" s="9" t="s">
        <v>1711</v>
      </c>
      <c r="B1989" s="13">
        <v>0.2</v>
      </c>
      <c r="C1989" s="10">
        <v>0.29099999999999998</v>
      </c>
      <c r="D1989" s="9" t="s">
        <v>1712</v>
      </c>
      <c r="E1989" s="11" t="s">
        <v>1715</v>
      </c>
      <c r="F1989" s="12" t="s">
        <v>1714</v>
      </c>
      <c r="G1989" s="9" t="s">
        <v>1709</v>
      </c>
    </row>
    <row r="1990" spans="1:7">
      <c r="A1990" s="9" t="s">
        <v>1711</v>
      </c>
      <c r="B1990" s="13">
        <v>0.2</v>
      </c>
      <c r="C1990" s="10">
        <v>0.16500000000000001</v>
      </c>
      <c r="D1990" s="9" t="s">
        <v>1712</v>
      </c>
      <c r="E1990" s="11" t="s">
        <v>1737</v>
      </c>
      <c r="F1990" s="12" t="s">
        <v>1714</v>
      </c>
      <c r="G1990" s="9" t="s">
        <v>1709</v>
      </c>
    </row>
    <row r="1991" spans="1:7">
      <c r="A1991" s="9" t="s">
        <v>1711</v>
      </c>
      <c r="B1991" s="9">
        <v>0.2</v>
      </c>
      <c r="C1991" s="10">
        <v>3.198</v>
      </c>
      <c r="D1991" s="9" t="s">
        <v>1712</v>
      </c>
      <c r="E1991" s="11" t="s">
        <v>1738</v>
      </c>
      <c r="F1991" s="12" t="s">
        <v>1714</v>
      </c>
      <c r="G1991" s="9" t="s">
        <v>1709</v>
      </c>
    </row>
    <row r="1992" spans="1:7">
      <c r="A1992" s="9" t="s">
        <v>1711</v>
      </c>
      <c r="B1992" s="9">
        <v>0.2</v>
      </c>
      <c r="C1992" s="10">
        <v>3.198</v>
      </c>
      <c r="D1992" s="9" t="s">
        <v>1712</v>
      </c>
      <c r="E1992" s="11" t="s">
        <v>1713</v>
      </c>
      <c r="F1992" s="12" t="s">
        <v>1714</v>
      </c>
      <c r="G1992" s="9" t="s">
        <v>1709</v>
      </c>
    </row>
    <row r="1993" spans="1:7">
      <c r="A1993" s="9" t="s">
        <v>1711</v>
      </c>
      <c r="B1993" s="9">
        <v>0.2</v>
      </c>
      <c r="C1993" s="10">
        <v>3.198</v>
      </c>
      <c r="D1993" s="9" t="s">
        <v>1712</v>
      </c>
      <c r="E1993" s="11" t="s">
        <v>1738</v>
      </c>
      <c r="F1993" s="12" t="s">
        <v>1714</v>
      </c>
      <c r="G1993" s="9" t="s">
        <v>1709</v>
      </c>
    </row>
    <row r="1994" spans="1:7">
      <c r="A1994" s="9" t="s">
        <v>1711</v>
      </c>
      <c r="B1994" s="13">
        <v>0.2</v>
      </c>
      <c r="C1994" s="10">
        <v>0.64100000000000001</v>
      </c>
      <c r="D1994" s="9" t="s">
        <v>1712</v>
      </c>
      <c r="E1994" s="11" t="s">
        <v>1715</v>
      </c>
      <c r="F1994" s="12" t="s">
        <v>1714</v>
      </c>
      <c r="G1994" s="9" t="s">
        <v>1709</v>
      </c>
    </row>
    <row r="1995" spans="1:7">
      <c r="A1995" s="9" t="s">
        <v>1711</v>
      </c>
      <c r="B1995" s="13">
        <v>0.2</v>
      </c>
      <c r="C1995" s="10">
        <v>2.81</v>
      </c>
      <c r="D1995" s="9" t="s">
        <v>1712</v>
      </c>
      <c r="E1995" s="11" t="s">
        <v>1737</v>
      </c>
      <c r="F1995" s="12" t="s">
        <v>1714</v>
      </c>
      <c r="G1995" s="9" t="s">
        <v>1709</v>
      </c>
    </row>
    <row r="1996" spans="1:7">
      <c r="A1996" s="9" t="s">
        <v>1711</v>
      </c>
      <c r="B1996" s="13">
        <v>0.2</v>
      </c>
      <c r="C1996" s="10">
        <v>1.8599999999999999</v>
      </c>
      <c r="D1996" s="9" t="s">
        <v>1712</v>
      </c>
      <c r="E1996" s="11" t="s">
        <v>1738</v>
      </c>
      <c r="F1996" s="12" t="s">
        <v>1714</v>
      </c>
      <c r="G1996" s="9" t="s">
        <v>1709</v>
      </c>
    </row>
    <row r="1997" spans="1:7">
      <c r="A1997" s="9" t="s">
        <v>1711</v>
      </c>
      <c r="B1997" s="9">
        <v>0.2</v>
      </c>
      <c r="C1997" s="10">
        <v>0.64100000000000001</v>
      </c>
      <c r="D1997" s="9" t="s">
        <v>1712</v>
      </c>
      <c r="E1997" s="11" t="s">
        <v>1737</v>
      </c>
      <c r="F1997" s="12" t="s">
        <v>1714</v>
      </c>
      <c r="G1997" s="9" t="s">
        <v>1709</v>
      </c>
    </row>
    <row r="1998" spans="1:7">
      <c r="A1998" s="9" t="s">
        <v>1711</v>
      </c>
      <c r="B1998" s="9">
        <v>0.2</v>
      </c>
      <c r="C1998" s="10">
        <v>0.64100000000000001</v>
      </c>
      <c r="D1998" s="9" t="s">
        <v>1712</v>
      </c>
      <c r="E1998" s="11" t="s">
        <v>1741</v>
      </c>
      <c r="F1998" s="12" t="s">
        <v>1714</v>
      </c>
      <c r="G1998" s="9" t="s">
        <v>1709</v>
      </c>
    </row>
    <row r="1999" spans="1:7">
      <c r="A1999" s="9" t="s">
        <v>1711</v>
      </c>
      <c r="B1999" s="9">
        <v>0.2</v>
      </c>
      <c r="C1999" s="10">
        <v>2.7479999999999998</v>
      </c>
      <c r="D1999" s="9" t="s">
        <v>1712</v>
      </c>
      <c r="E1999" s="11" t="s">
        <v>1738</v>
      </c>
      <c r="F1999" s="12" t="s">
        <v>1714</v>
      </c>
      <c r="G1999" s="9" t="s">
        <v>1709</v>
      </c>
    </row>
    <row r="2000" spans="1:7">
      <c r="A2000" s="9" t="s">
        <v>1711</v>
      </c>
      <c r="B2000" s="13">
        <v>0.2</v>
      </c>
      <c r="C2000" s="10">
        <v>2.7479999999999998</v>
      </c>
      <c r="D2000" s="9" t="s">
        <v>1712</v>
      </c>
      <c r="E2000" s="11" t="s">
        <v>1738</v>
      </c>
      <c r="F2000" s="12" t="s">
        <v>1714</v>
      </c>
      <c r="G2000" s="9" t="s">
        <v>1709</v>
      </c>
    </row>
    <row r="2001" spans="1:7">
      <c r="A2001" s="9" t="s">
        <v>1711</v>
      </c>
      <c r="B2001" s="13">
        <v>0.2</v>
      </c>
      <c r="C2001" s="10">
        <v>2.7479999999999998</v>
      </c>
      <c r="D2001" s="9" t="s">
        <v>1712</v>
      </c>
      <c r="E2001" s="11" t="s">
        <v>1738</v>
      </c>
      <c r="F2001" s="12" t="s">
        <v>1714</v>
      </c>
      <c r="G2001" s="9" t="s">
        <v>1709</v>
      </c>
    </row>
    <row r="2002" spans="1:7">
      <c r="A2002" s="9" t="s">
        <v>1711</v>
      </c>
      <c r="B2002" s="9">
        <v>0.2</v>
      </c>
      <c r="C2002" s="10">
        <v>7.1999999999999995E-2</v>
      </c>
      <c r="D2002" s="9" t="s">
        <v>1712</v>
      </c>
      <c r="E2002" s="11" t="s">
        <v>1737</v>
      </c>
      <c r="F2002" s="12" t="s">
        <v>1714</v>
      </c>
      <c r="G2002" s="9" t="s">
        <v>1709</v>
      </c>
    </row>
    <row r="2003" spans="1:7">
      <c r="A2003" s="9" t="s">
        <v>1711</v>
      </c>
      <c r="B2003" s="9">
        <v>0.2</v>
      </c>
      <c r="C2003" s="10">
        <v>0.23200000000000001</v>
      </c>
      <c r="D2003" s="9" t="s">
        <v>1712</v>
      </c>
      <c r="E2003" s="11" t="s">
        <v>1737</v>
      </c>
      <c r="F2003" s="12" t="s">
        <v>1714</v>
      </c>
      <c r="G2003" s="9" t="s">
        <v>1709</v>
      </c>
    </row>
    <row r="2004" spans="1:7">
      <c r="A2004" s="9" t="s">
        <v>1711</v>
      </c>
      <c r="B2004" s="9">
        <v>0.2</v>
      </c>
      <c r="C2004" s="10">
        <v>0.254</v>
      </c>
      <c r="D2004" s="9" t="s">
        <v>1712</v>
      </c>
      <c r="E2004" s="11" t="s">
        <v>1738</v>
      </c>
      <c r="F2004" s="12" t="s">
        <v>1714</v>
      </c>
      <c r="G2004" s="9" t="s">
        <v>1709</v>
      </c>
    </row>
    <row r="2005" spans="1:7">
      <c r="A2005" s="9" t="s">
        <v>1711</v>
      </c>
      <c r="B2005" s="13">
        <v>0.2</v>
      </c>
      <c r="C2005" s="10">
        <v>0.254</v>
      </c>
      <c r="D2005" s="9" t="s">
        <v>1712</v>
      </c>
      <c r="E2005" s="11" t="s">
        <v>1738</v>
      </c>
      <c r="F2005" s="12" t="s">
        <v>1714</v>
      </c>
      <c r="G2005" s="9" t="s">
        <v>1709</v>
      </c>
    </row>
    <row r="2006" spans="1:7">
      <c r="A2006" s="9" t="s">
        <v>1711</v>
      </c>
      <c r="B2006" s="9">
        <v>0.2</v>
      </c>
      <c r="C2006" s="10">
        <v>0.254</v>
      </c>
      <c r="D2006" s="9" t="s">
        <v>1712</v>
      </c>
      <c r="E2006" s="11" t="s">
        <v>1738</v>
      </c>
      <c r="F2006" s="12" t="s">
        <v>1714</v>
      </c>
      <c r="G2006" s="9" t="s">
        <v>1709</v>
      </c>
    </row>
    <row r="2007" spans="1:7">
      <c r="A2007" s="9" t="s">
        <v>1711</v>
      </c>
      <c r="B2007" s="9">
        <v>0.2</v>
      </c>
      <c r="C2007" s="10">
        <v>0.254</v>
      </c>
      <c r="D2007" s="9" t="s">
        <v>1712</v>
      </c>
      <c r="E2007" s="11" t="s">
        <v>1738</v>
      </c>
      <c r="F2007" s="12" t="s">
        <v>1714</v>
      </c>
      <c r="G2007" s="9" t="s">
        <v>1709</v>
      </c>
    </row>
    <row r="2008" spans="1:7">
      <c r="A2008" s="9" t="s">
        <v>1711</v>
      </c>
      <c r="B2008" s="13">
        <v>0.2</v>
      </c>
      <c r="C2008" s="10">
        <v>0.254</v>
      </c>
      <c r="D2008" s="9" t="s">
        <v>1712</v>
      </c>
      <c r="E2008" s="11" t="s">
        <v>1738</v>
      </c>
      <c r="F2008" s="12" t="s">
        <v>1714</v>
      </c>
      <c r="G2008" s="9" t="s">
        <v>1709</v>
      </c>
    </row>
    <row r="2009" spans="1:7">
      <c r="A2009" s="9" t="s">
        <v>1711</v>
      </c>
      <c r="B2009" s="13">
        <v>0.2</v>
      </c>
      <c r="C2009" s="10">
        <v>0.254</v>
      </c>
      <c r="D2009" s="9" t="s">
        <v>1712</v>
      </c>
      <c r="E2009" s="11" t="s">
        <v>1738</v>
      </c>
      <c r="F2009" s="12" t="s">
        <v>1714</v>
      </c>
      <c r="G2009" s="9" t="s">
        <v>1709</v>
      </c>
    </row>
    <row r="2010" spans="1:7">
      <c r="A2010" s="9" t="s">
        <v>1711</v>
      </c>
      <c r="B2010" s="13">
        <v>0.2</v>
      </c>
      <c r="C2010" s="10">
        <v>1.6E-2</v>
      </c>
      <c r="D2010" s="9" t="s">
        <v>1712</v>
      </c>
      <c r="E2010" s="11" t="s">
        <v>1738</v>
      </c>
      <c r="F2010" s="12" t="s">
        <v>1714</v>
      </c>
      <c r="G2010" s="9" t="s">
        <v>1709</v>
      </c>
    </row>
    <row r="2011" spans="1:7">
      <c r="A2011" s="9" t="s">
        <v>1711</v>
      </c>
      <c r="B2011" s="13">
        <v>0.2</v>
      </c>
      <c r="C2011" s="10">
        <v>1.6E-2</v>
      </c>
      <c r="D2011" s="9" t="s">
        <v>1712</v>
      </c>
      <c r="E2011" s="11" t="s">
        <v>1738</v>
      </c>
      <c r="F2011" s="12" t="s">
        <v>1714</v>
      </c>
      <c r="G2011" s="9" t="s">
        <v>1709</v>
      </c>
    </row>
    <row r="2012" spans="1:7">
      <c r="A2012" s="9" t="s">
        <v>1711</v>
      </c>
      <c r="B2012" s="13">
        <v>0.2</v>
      </c>
      <c r="C2012" s="10">
        <v>0.105</v>
      </c>
      <c r="D2012" s="9" t="s">
        <v>1712</v>
      </c>
      <c r="E2012" s="11" t="s">
        <v>1738</v>
      </c>
      <c r="F2012" s="12" t="s">
        <v>1714</v>
      </c>
      <c r="G2012" s="9" t="s">
        <v>1709</v>
      </c>
    </row>
    <row r="2013" spans="1:7">
      <c r="A2013" s="9" t="s">
        <v>1711</v>
      </c>
      <c r="B2013" s="13">
        <v>0.2</v>
      </c>
      <c r="C2013" s="10">
        <v>7.2999999999999995E-2</v>
      </c>
      <c r="D2013" s="9" t="s">
        <v>1712</v>
      </c>
      <c r="E2013" s="11" t="s">
        <v>1713</v>
      </c>
      <c r="F2013" s="12" t="s">
        <v>1714</v>
      </c>
      <c r="G2013" s="9" t="s">
        <v>1709</v>
      </c>
    </row>
    <row r="2014" spans="1:7">
      <c r="A2014" s="9" t="s">
        <v>1711</v>
      </c>
      <c r="B2014" s="13">
        <v>0.2</v>
      </c>
      <c r="C2014" s="10">
        <v>7.2999999999999995E-2</v>
      </c>
      <c r="D2014" s="9" t="s">
        <v>1712</v>
      </c>
      <c r="E2014" s="11" t="s">
        <v>1713</v>
      </c>
      <c r="F2014" s="12" t="s">
        <v>1714</v>
      </c>
      <c r="G2014" s="9" t="s">
        <v>1709</v>
      </c>
    </row>
    <row r="2015" spans="1:7">
      <c r="A2015" s="9" t="s">
        <v>1711</v>
      </c>
      <c r="B2015" s="13">
        <v>0.2</v>
      </c>
      <c r="C2015" s="10">
        <v>7.2999999999999995E-2</v>
      </c>
      <c r="D2015" s="9" t="s">
        <v>1712</v>
      </c>
      <c r="E2015" s="11" t="s">
        <v>1713</v>
      </c>
      <c r="F2015" s="12" t="s">
        <v>1714</v>
      </c>
      <c r="G2015" s="9" t="s">
        <v>1709</v>
      </c>
    </row>
    <row r="2016" spans="1:7">
      <c r="A2016" s="9" t="s">
        <v>1711</v>
      </c>
      <c r="B2016" s="13">
        <v>0.2</v>
      </c>
      <c r="C2016" s="10">
        <v>7.2999999999999995E-2</v>
      </c>
      <c r="D2016" s="9" t="s">
        <v>1712</v>
      </c>
      <c r="E2016" s="11" t="s">
        <v>1713</v>
      </c>
      <c r="F2016" s="12" t="s">
        <v>1714</v>
      </c>
      <c r="G2016" s="9" t="s">
        <v>1709</v>
      </c>
    </row>
    <row r="2017" spans="1:7">
      <c r="A2017" s="9" t="s">
        <v>1711</v>
      </c>
      <c r="B2017" s="9">
        <v>0.2</v>
      </c>
      <c r="C2017" s="10">
        <v>1.0919999999999999</v>
      </c>
      <c r="D2017" s="9" t="s">
        <v>1712</v>
      </c>
      <c r="E2017" s="11" t="s">
        <v>1713</v>
      </c>
      <c r="F2017" s="12" t="s">
        <v>1714</v>
      </c>
      <c r="G2017" s="9" t="s">
        <v>1709</v>
      </c>
    </row>
    <row r="2018" spans="1:7">
      <c r="A2018" s="9" t="s">
        <v>1711</v>
      </c>
      <c r="B2018" s="13">
        <v>0.2</v>
      </c>
      <c r="C2018" s="10">
        <v>1.0919999999999999</v>
      </c>
      <c r="D2018" s="9" t="s">
        <v>1712</v>
      </c>
      <c r="E2018" s="11" t="s">
        <v>1713</v>
      </c>
      <c r="F2018" s="12" t="s">
        <v>1714</v>
      </c>
      <c r="G2018" s="9" t="s">
        <v>1709</v>
      </c>
    </row>
    <row r="2019" spans="1:7">
      <c r="A2019" s="9" t="s">
        <v>1711</v>
      </c>
      <c r="B2019" s="13">
        <v>0.2</v>
      </c>
      <c r="C2019" s="10">
        <v>1.0919999999999999</v>
      </c>
      <c r="D2019" s="9" t="s">
        <v>1712</v>
      </c>
      <c r="E2019" s="11" t="s">
        <v>1713</v>
      </c>
      <c r="F2019" s="12" t="s">
        <v>1714</v>
      </c>
      <c r="G2019" s="9" t="s">
        <v>1709</v>
      </c>
    </row>
    <row r="2020" spans="1:7">
      <c r="A2020" s="9" t="s">
        <v>1711</v>
      </c>
      <c r="B2020" s="9">
        <v>0.2</v>
      </c>
      <c r="C2020" s="10">
        <v>1.0919999999999999</v>
      </c>
      <c r="D2020" s="9" t="s">
        <v>1712</v>
      </c>
      <c r="E2020" s="11" t="s">
        <v>1713</v>
      </c>
      <c r="F2020" s="12" t="s">
        <v>1714</v>
      </c>
      <c r="G2020" s="9" t="s">
        <v>1709</v>
      </c>
    </row>
    <row r="2021" spans="1:7">
      <c r="A2021" s="9" t="s">
        <v>1711</v>
      </c>
      <c r="B2021" s="9">
        <v>0.2</v>
      </c>
      <c r="C2021" s="10">
        <v>1.0919999999999999</v>
      </c>
      <c r="D2021" s="9" t="s">
        <v>1712</v>
      </c>
      <c r="E2021" s="11" t="s">
        <v>1713</v>
      </c>
      <c r="F2021" s="12" t="s">
        <v>1714</v>
      </c>
      <c r="G2021" s="9" t="s">
        <v>1709</v>
      </c>
    </row>
    <row r="2022" spans="1:7">
      <c r="A2022" s="9" t="s">
        <v>1711</v>
      </c>
      <c r="B2022" s="13">
        <v>0.2</v>
      </c>
      <c r="C2022" s="10">
        <v>1.0919999999999999</v>
      </c>
      <c r="D2022" s="9" t="s">
        <v>1712</v>
      </c>
      <c r="E2022" s="11" t="s">
        <v>1713</v>
      </c>
      <c r="F2022" s="12" t="s">
        <v>1714</v>
      </c>
      <c r="G2022" s="9" t="s">
        <v>1709</v>
      </c>
    </row>
    <row r="2023" spans="1:7">
      <c r="A2023" s="9" t="s">
        <v>1711</v>
      </c>
      <c r="B2023" s="9">
        <v>0.2</v>
      </c>
      <c r="C2023" s="10">
        <v>1.0919999999999999</v>
      </c>
      <c r="D2023" s="9" t="s">
        <v>1712</v>
      </c>
      <c r="E2023" s="11" t="s">
        <v>1713</v>
      </c>
      <c r="F2023" s="12" t="s">
        <v>1714</v>
      </c>
      <c r="G2023" s="9" t="s">
        <v>1709</v>
      </c>
    </row>
    <row r="2024" spans="1:7">
      <c r="A2024" s="9" t="s">
        <v>1711</v>
      </c>
      <c r="B2024" s="9">
        <v>0.2</v>
      </c>
      <c r="C2024" s="10">
        <v>1.0919999999999999</v>
      </c>
      <c r="D2024" s="9" t="s">
        <v>1712</v>
      </c>
      <c r="E2024" s="11" t="s">
        <v>1713</v>
      </c>
      <c r="F2024" s="12" t="s">
        <v>1714</v>
      </c>
      <c r="G2024" s="9" t="s">
        <v>1709</v>
      </c>
    </row>
    <row r="2025" spans="1:7">
      <c r="A2025" s="9" t="s">
        <v>1711</v>
      </c>
      <c r="B2025" s="13">
        <v>0.2</v>
      </c>
      <c r="C2025" s="10">
        <v>1.0919999999999999</v>
      </c>
      <c r="D2025" s="9" t="s">
        <v>1712</v>
      </c>
      <c r="E2025" s="11" t="s">
        <v>1713</v>
      </c>
      <c r="F2025" s="12" t="s">
        <v>1714</v>
      </c>
      <c r="G2025" s="9" t="s">
        <v>1709</v>
      </c>
    </row>
    <row r="2026" spans="1:7">
      <c r="A2026" s="9" t="s">
        <v>1711</v>
      </c>
      <c r="B2026" s="9">
        <v>0.2</v>
      </c>
      <c r="C2026" s="10">
        <v>-0.19</v>
      </c>
      <c r="D2026" s="9" t="s">
        <v>1709</v>
      </c>
      <c r="E2026" s="11" t="s">
        <v>1710</v>
      </c>
      <c r="F2026" s="12" t="s">
        <v>1710</v>
      </c>
      <c r="G2026" s="9" t="s">
        <v>1709</v>
      </c>
    </row>
    <row r="2027" spans="1:7">
      <c r="A2027" s="9" t="s">
        <v>1711</v>
      </c>
      <c r="B2027" s="13">
        <v>0.2</v>
      </c>
      <c r="C2027" s="10">
        <v>-0.19</v>
      </c>
      <c r="D2027" s="9" t="s">
        <v>1709</v>
      </c>
      <c r="E2027" s="11" t="s">
        <v>1710</v>
      </c>
      <c r="F2027" s="12" t="s">
        <v>1710</v>
      </c>
      <c r="G2027" s="9" t="s">
        <v>1709</v>
      </c>
    </row>
    <row r="2028" spans="1:7">
      <c r="A2028" s="9" t="s">
        <v>1711</v>
      </c>
      <c r="B2028" s="13">
        <v>0.2</v>
      </c>
      <c r="C2028" s="10">
        <v>-0.19</v>
      </c>
      <c r="D2028" s="9" t="s">
        <v>1709</v>
      </c>
      <c r="E2028" s="11" t="s">
        <v>1710</v>
      </c>
      <c r="F2028" s="12" t="s">
        <v>1710</v>
      </c>
      <c r="G2028" s="9" t="s">
        <v>1709</v>
      </c>
    </row>
    <row r="2029" spans="1:7">
      <c r="A2029" s="9" t="s">
        <v>1711</v>
      </c>
      <c r="B2029" s="13">
        <v>0.2</v>
      </c>
      <c r="C2029" s="10">
        <v>0.13500000000000001</v>
      </c>
      <c r="D2029" s="9" t="s">
        <v>1712</v>
      </c>
      <c r="E2029" s="11" t="s">
        <v>1713</v>
      </c>
      <c r="F2029" s="12" t="s">
        <v>1714</v>
      </c>
      <c r="G2029" s="9" t="s">
        <v>1709</v>
      </c>
    </row>
    <row r="2030" spans="1:7">
      <c r="A2030" s="9" t="s">
        <v>1711</v>
      </c>
      <c r="B2030" s="13">
        <v>0.2</v>
      </c>
      <c r="C2030" s="10">
        <v>0.13500000000000001</v>
      </c>
      <c r="D2030" s="9" t="s">
        <v>1712</v>
      </c>
      <c r="E2030" s="11" t="s">
        <v>1713</v>
      </c>
      <c r="F2030" s="12" t="s">
        <v>1714</v>
      </c>
      <c r="G2030" s="9" t="s">
        <v>1709</v>
      </c>
    </row>
    <row r="2031" spans="1:7">
      <c r="A2031" s="9" t="s">
        <v>1711</v>
      </c>
      <c r="B2031" s="13">
        <v>0.2</v>
      </c>
      <c r="C2031" s="10">
        <v>0.13500000000000001</v>
      </c>
      <c r="D2031" s="9" t="s">
        <v>1712</v>
      </c>
      <c r="E2031" s="11" t="s">
        <v>1713</v>
      </c>
      <c r="F2031" s="12" t="s">
        <v>1714</v>
      </c>
      <c r="G2031" s="9" t="s">
        <v>1709</v>
      </c>
    </row>
    <row r="2032" spans="1:7">
      <c r="A2032" s="9" t="s">
        <v>1711</v>
      </c>
      <c r="B2032" s="9">
        <v>0.2</v>
      </c>
      <c r="C2032" s="10">
        <v>0.13500000000000001</v>
      </c>
      <c r="D2032" s="9" t="s">
        <v>1712</v>
      </c>
      <c r="E2032" s="11" t="s">
        <v>1713</v>
      </c>
      <c r="F2032" s="12" t="s">
        <v>1714</v>
      </c>
      <c r="G2032" s="9" t="s">
        <v>1709</v>
      </c>
    </row>
    <row r="2033" spans="1:7">
      <c r="A2033" s="9" t="s">
        <v>1711</v>
      </c>
      <c r="B2033" s="9">
        <v>0.2</v>
      </c>
      <c r="C2033" s="10">
        <v>0.13500000000000001</v>
      </c>
      <c r="D2033" s="9" t="s">
        <v>1712</v>
      </c>
      <c r="E2033" s="11" t="s">
        <v>1713</v>
      </c>
      <c r="F2033" s="12" t="s">
        <v>1714</v>
      </c>
      <c r="G2033" s="9" t="s">
        <v>1709</v>
      </c>
    </row>
    <row r="2034" spans="1:7">
      <c r="A2034" s="9" t="s">
        <v>1711</v>
      </c>
      <c r="B2034" s="9">
        <v>0.2</v>
      </c>
      <c r="C2034" s="10">
        <v>0.13500000000000001</v>
      </c>
      <c r="D2034" s="9" t="s">
        <v>1712</v>
      </c>
      <c r="E2034" s="11" t="s">
        <v>1713</v>
      </c>
      <c r="F2034" s="12" t="s">
        <v>1714</v>
      </c>
      <c r="G2034" s="9" t="s">
        <v>1709</v>
      </c>
    </row>
    <row r="2035" spans="1:7">
      <c r="A2035" s="9" t="s">
        <v>1711</v>
      </c>
      <c r="B2035" s="9">
        <v>0.2</v>
      </c>
      <c r="C2035" s="10">
        <v>0.13500000000000001</v>
      </c>
      <c r="D2035" s="9" t="s">
        <v>1712</v>
      </c>
      <c r="E2035" s="11" t="s">
        <v>1713</v>
      </c>
      <c r="F2035" s="12" t="s">
        <v>1714</v>
      </c>
      <c r="G2035" s="9" t="s">
        <v>1709</v>
      </c>
    </row>
    <row r="2036" spans="1:7">
      <c r="A2036" s="9" t="s">
        <v>1711</v>
      </c>
      <c r="B2036" s="9">
        <v>0.2</v>
      </c>
      <c r="C2036" s="10">
        <v>0.13500000000000001</v>
      </c>
      <c r="D2036" s="9" t="s">
        <v>1712</v>
      </c>
      <c r="E2036" s="11" t="s">
        <v>1713</v>
      </c>
      <c r="F2036" s="12" t="s">
        <v>1714</v>
      </c>
      <c r="G2036" s="9" t="s">
        <v>1709</v>
      </c>
    </row>
    <row r="2037" spans="1:7">
      <c r="A2037" s="9" t="s">
        <v>1711</v>
      </c>
      <c r="B2037" s="9">
        <v>0.2</v>
      </c>
      <c r="C2037" s="10">
        <v>0.13500000000000001</v>
      </c>
      <c r="D2037" s="9" t="s">
        <v>1712</v>
      </c>
      <c r="E2037" s="11" t="s">
        <v>1713</v>
      </c>
      <c r="F2037" s="12" t="s">
        <v>1714</v>
      </c>
      <c r="G2037" s="9" t="s">
        <v>1709</v>
      </c>
    </row>
    <row r="2038" spans="1:7">
      <c r="A2038" s="9" t="s">
        <v>1711</v>
      </c>
      <c r="B2038" s="13">
        <v>0.2</v>
      </c>
      <c r="C2038" s="10">
        <v>0.13500000000000001</v>
      </c>
      <c r="D2038" s="9" t="s">
        <v>1712</v>
      </c>
      <c r="E2038" s="11" t="s">
        <v>1713</v>
      </c>
      <c r="F2038" s="12" t="s">
        <v>1714</v>
      </c>
      <c r="G2038" s="9" t="s">
        <v>1709</v>
      </c>
    </row>
    <row r="2039" spans="1:7">
      <c r="A2039" s="9" t="s">
        <v>1711</v>
      </c>
      <c r="B2039" s="13">
        <v>0.2</v>
      </c>
      <c r="C2039" s="10">
        <v>2.5680000000000001</v>
      </c>
      <c r="D2039" s="9" t="s">
        <v>1712</v>
      </c>
      <c r="E2039" s="11" t="s">
        <v>1713</v>
      </c>
      <c r="F2039" s="12" t="s">
        <v>1714</v>
      </c>
      <c r="G2039" s="9" t="s">
        <v>1709</v>
      </c>
    </row>
    <row r="2040" spans="1:7">
      <c r="A2040" s="9" t="s">
        <v>1711</v>
      </c>
      <c r="B2040" s="13">
        <v>0.2</v>
      </c>
      <c r="C2040" s="10">
        <v>2.5680000000000001</v>
      </c>
      <c r="D2040" s="9" t="s">
        <v>1712</v>
      </c>
      <c r="E2040" s="11" t="s">
        <v>1713</v>
      </c>
      <c r="F2040" s="12" t="s">
        <v>1714</v>
      </c>
      <c r="G2040" s="9" t="s">
        <v>1709</v>
      </c>
    </row>
    <row r="2041" spans="1:7">
      <c r="A2041" s="9" t="s">
        <v>1711</v>
      </c>
      <c r="B2041" s="13">
        <v>0.2</v>
      </c>
      <c r="C2041" s="10">
        <v>2.5680000000000001</v>
      </c>
      <c r="D2041" s="9" t="s">
        <v>1712</v>
      </c>
      <c r="E2041" s="11" t="s">
        <v>1713</v>
      </c>
      <c r="F2041" s="12" t="s">
        <v>1714</v>
      </c>
      <c r="G2041" s="9" t="s">
        <v>1709</v>
      </c>
    </row>
    <row r="2042" spans="1:7">
      <c r="A2042" s="9" t="s">
        <v>1711</v>
      </c>
      <c r="B2042" s="13">
        <v>0.2</v>
      </c>
      <c r="C2042" s="10">
        <v>2.5680000000000001</v>
      </c>
      <c r="D2042" s="9" t="s">
        <v>1712</v>
      </c>
      <c r="E2042" s="11" t="s">
        <v>1713</v>
      </c>
      <c r="F2042" s="12" t="s">
        <v>1714</v>
      </c>
      <c r="G2042" s="9" t="s">
        <v>1709</v>
      </c>
    </row>
    <row r="2043" spans="1:7">
      <c r="A2043" s="9" t="s">
        <v>1711</v>
      </c>
      <c r="B2043" s="13">
        <v>0.2</v>
      </c>
      <c r="C2043" s="10">
        <v>2.5680000000000001</v>
      </c>
      <c r="D2043" s="9" t="s">
        <v>1712</v>
      </c>
      <c r="E2043" s="11" t="s">
        <v>1713</v>
      </c>
      <c r="F2043" s="12" t="s">
        <v>1714</v>
      </c>
      <c r="G2043" s="9" t="s">
        <v>1709</v>
      </c>
    </row>
    <row r="2044" spans="1:7">
      <c r="A2044" s="9" t="s">
        <v>1711</v>
      </c>
      <c r="B2044" s="13">
        <v>0.2</v>
      </c>
      <c r="C2044" s="10">
        <v>2.5680000000000001</v>
      </c>
      <c r="D2044" s="9" t="s">
        <v>1712</v>
      </c>
      <c r="E2044" s="11" t="s">
        <v>1713</v>
      </c>
      <c r="F2044" s="12" t="s">
        <v>1714</v>
      </c>
      <c r="G2044" s="9" t="s">
        <v>1709</v>
      </c>
    </row>
    <row r="2045" spans="1:7">
      <c r="A2045" s="9" t="s">
        <v>1711</v>
      </c>
      <c r="B2045" s="13">
        <v>0.2</v>
      </c>
      <c r="C2045" s="10">
        <v>-4.8000000000000001E-2</v>
      </c>
      <c r="D2045" s="9" t="s">
        <v>1709</v>
      </c>
      <c r="E2045" s="11" t="s">
        <v>1710</v>
      </c>
      <c r="F2045" s="12" t="s">
        <v>1710</v>
      </c>
      <c r="G2045" s="9" t="s">
        <v>1709</v>
      </c>
    </row>
    <row r="2046" spans="1:7">
      <c r="A2046" s="9" t="s">
        <v>1711</v>
      </c>
      <c r="B2046" s="13">
        <v>0.2</v>
      </c>
      <c r="C2046" s="10">
        <v>0.68100000000000005</v>
      </c>
      <c r="D2046" s="9" t="s">
        <v>1712</v>
      </c>
      <c r="E2046" s="11" t="s">
        <v>1713</v>
      </c>
      <c r="F2046" s="12" t="s">
        <v>1714</v>
      </c>
      <c r="G2046" s="9" t="s">
        <v>1709</v>
      </c>
    </row>
    <row r="2047" spans="1:7">
      <c r="A2047" s="9" t="s">
        <v>1711</v>
      </c>
      <c r="B2047" s="13">
        <v>0.2</v>
      </c>
      <c r="C2047" s="10">
        <v>0.68100000000000005</v>
      </c>
      <c r="D2047" s="9" t="s">
        <v>1712</v>
      </c>
      <c r="E2047" s="11" t="s">
        <v>1713</v>
      </c>
      <c r="F2047" s="12" t="s">
        <v>1714</v>
      </c>
      <c r="G2047" s="9" t="s">
        <v>1709</v>
      </c>
    </row>
    <row r="2048" spans="1:7">
      <c r="A2048" s="9" t="s">
        <v>1711</v>
      </c>
      <c r="B2048" s="13">
        <v>0.2</v>
      </c>
      <c r="C2048" s="10">
        <v>0.68100000000000005</v>
      </c>
      <c r="D2048" s="9" t="s">
        <v>1712</v>
      </c>
      <c r="E2048" s="11" t="s">
        <v>1713</v>
      </c>
      <c r="F2048" s="12" t="s">
        <v>1714</v>
      </c>
      <c r="G2048" s="9" t="s">
        <v>1709</v>
      </c>
    </row>
    <row r="2049" spans="1:7">
      <c r="A2049" s="9" t="s">
        <v>1711</v>
      </c>
      <c r="B2049" s="13">
        <v>0.2</v>
      </c>
      <c r="C2049" s="10">
        <v>0.68100000000000005</v>
      </c>
      <c r="D2049" s="9" t="s">
        <v>1712</v>
      </c>
      <c r="E2049" s="11" t="s">
        <v>1713</v>
      </c>
      <c r="F2049" s="12" t="s">
        <v>1714</v>
      </c>
      <c r="G2049" s="9" t="s">
        <v>1709</v>
      </c>
    </row>
    <row r="2050" spans="1:7">
      <c r="A2050" s="9" t="s">
        <v>1711</v>
      </c>
      <c r="B2050" s="13">
        <v>0.2</v>
      </c>
      <c r="C2050" s="10">
        <v>6.9000000000000006E-2</v>
      </c>
      <c r="D2050" s="9" t="s">
        <v>1712</v>
      </c>
      <c r="E2050" s="11" t="s">
        <v>1736</v>
      </c>
      <c r="F2050" s="12" t="s">
        <v>1714</v>
      </c>
      <c r="G2050" s="9" t="s">
        <v>1709</v>
      </c>
    </row>
    <row r="2051" spans="1:7">
      <c r="A2051" s="9" t="s">
        <v>1711</v>
      </c>
      <c r="B2051" s="13">
        <v>0.2</v>
      </c>
      <c r="C2051" s="10">
        <v>0.52900000000000003</v>
      </c>
      <c r="D2051" s="9" t="s">
        <v>1712</v>
      </c>
      <c r="E2051" s="11" t="s">
        <v>1737</v>
      </c>
      <c r="F2051" s="12" t="s">
        <v>1714</v>
      </c>
      <c r="G2051" s="9" t="s">
        <v>1709</v>
      </c>
    </row>
    <row r="2052" spans="1:7">
      <c r="A2052" s="9" t="s">
        <v>1711</v>
      </c>
      <c r="B2052" s="9">
        <v>0.2</v>
      </c>
      <c r="C2052" s="10">
        <v>0.79300000000000004</v>
      </c>
      <c r="D2052" s="9" t="s">
        <v>1712</v>
      </c>
      <c r="E2052" s="11" t="s">
        <v>1737</v>
      </c>
      <c r="F2052" s="12" t="s">
        <v>1714</v>
      </c>
      <c r="G2052" s="9" t="s">
        <v>1709</v>
      </c>
    </row>
    <row r="2053" spans="1:7">
      <c r="A2053" s="9" t="s">
        <v>1711</v>
      </c>
      <c r="B2053" s="9">
        <v>0.2</v>
      </c>
      <c r="C2053" s="10">
        <v>0.79300000000000004</v>
      </c>
      <c r="D2053" s="9" t="s">
        <v>1712</v>
      </c>
      <c r="E2053" s="11" t="s">
        <v>1737</v>
      </c>
      <c r="F2053" s="12" t="s">
        <v>1714</v>
      </c>
      <c r="G2053" s="9" t="s">
        <v>1709</v>
      </c>
    </row>
    <row r="2054" spans="1:7">
      <c r="A2054" s="9" t="s">
        <v>1711</v>
      </c>
      <c r="B2054" s="9">
        <v>0.2</v>
      </c>
      <c r="C2054" s="10">
        <v>0.13700000000000001</v>
      </c>
      <c r="D2054" s="9" t="s">
        <v>1712</v>
      </c>
      <c r="E2054" s="11" t="s">
        <v>1737</v>
      </c>
      <c r="F2054" s="12" t="s">
        <v>1714</v>
      </c>
      <c r="G2054" s="9" t="s">
        <v>1709</v>
      </c>
    </row>
    <row r="2055" spans="1:7">
      <c r="A2055" s="9" t="s">
        <v>1711</v>
      </c>
      <c r="B2055" s="9">
        <v>0.2</v>
      </c>
      <c r="C2055" s="10">
        <v>-0.126</v>
      </c>
      <c r="D2055" s="9" t="s">
        <v>1709</v>
      </c>
      <c r="E2055" s="11" t="s">
        <v>1710</v>
      </c>
      <c r="F2055" s="12" t="s">
        <v>1710</v>
      </c>
      <c r="G2055" s="9" t="s">
        <v>1709</v>
      </c>
    </row>
    <row r="2056" spans="1:7">
      <c r="A2056" s="9" t="s">
        <v>1711</v>
      </c>
      <c r="B2056" s="9">
        <v>0.2</v>
      </c>
      <c r="C2056" s="10">
        <v>0.98699999999999999</v>
      </c>
      <c r="D2056" s="9" t="s">
        <v>1712</v>
      </c>
      <c r="E2056" s="11" t="s">
        <v>1713</v>
      </c>
      <c r="F2056" s="12" t="s">
        <v>1714</v>
      </c>
      <c r="G2056" s="9" t="s">
        <v>1709</v>
      </c>
    </row>
    <row r="2057" spans="1:7">
      <c r="A2057" s="9" t="s">
        <v>1711</v>
      </c>
      <c r="B2057" s="9">
        <v>0.2</v>
      </c>
      <c r="C2057" s="10">
        <v>0.14000000000000001</v>
      </c>
      <c r="D2057" s="9" t="s">
        <v>1712</v>
      </c>
      <c r="E2057" s="11" t="s">
        <v>1713</v>
      </c>
      <c r="F2057" s="12" t="s">
        <v>1714</v>
      </c>
      <c r="G2057" s="9" t="s">
        <v>1709</v>
      </c>
    </row>
    <row r="2058" spans="1:7">
      <c r="A2058" s="9" t="s">
        <v>1711</v>
      </c>
      <c r="B2058" s="9">
        <v>0.2</v>
      </c>
      <c r="C2058" s="10">
        <v>0.19500000000000001</v>
      </c>
      <c r="D2058" s="9" t="s">
        <v>1712</v>
      </c>
      <c r="E2058" s="11" t="s">
        <v>1713</v>
      </c>
      <c r="F2058" s="12" t="s">
        <v>1714</v>
      </c>
      <c r="G2058" s="9" t="s">
        <v>1709</v>
      </c>
    </row>
    <row r="2059" spans="1:7">
      <c r="A2059" s="9" t="s">
        <v>1711</v>
      </c>
      <c r="B2059" s="9">
        <v>0.2</v>
      </c>
      <c r="C2059" s="10">
        <v>0.38700000000000001</v>
      </c>
      <c r="D2059" s="9" t="s">
        <v>1712</v>
      </c>
      <c r="E2059" s="11" t="s">
        <v>1713</v>
      </c>
      <c r="F2059" s="12" t="s">
        <v>1714</v>
      </c>
      <c r="G2059" s="9" t="s">
        <v>1709</v>
      </c>
    </row>
    <row r="2060" spans="1:7">
      <c r="A2060" s="9" t="s">
        <v>1711</v>
      </c>
      <c r="B2060" s="9">
        <v>0.2</v>
      </c>
      <c r="C2060" s="10">
        <v>0.38700000000000001</v>
      </c>
      <c r="D2060" s="9" t="s">
        <v>1712</v>
      </c>
      <c r="E2060" s="11" t="s">
        <v>1713</v>
      </c>
      <c r="F2060" s="12" t="s">
        <v>1714</v>
      </c>
      <c r="G2060" s="9" t="s">
        <v>1709</v>
      </c>
    </row>
    <row r="2061" spans="1:7">
      <c r="A2061" s="9" t="s">
        <v>1711</v>
      </c>
      <c r="B2061" s="9">
        <v>0.2</v>
      </c>
      <c r="C2061" s="10">
        <v>1.3999999999999999E-2</v>
      </c>
      <c r="D2061" s="9" t="s">
        <v>1712</v>
      </c>
      <c r="E2061" s="11" t="s">
        <v>1737</v>
      </c>
      <c r="F2061" s="12" t="s">
        <v>1714</v>
      </c>
      <c r="G2061" s="9" t="s">
        <v>1709</v>
      </c>
    </row>
    <row r="2062" spans="1:7">
      <c r="A2062" s="9" t="s">
        <v>1711</v>
      </c>
      <c r="B2062" s="13">
        <v>0.2</v>
      </c>
      <c r="C2062" s="10">
        <v>1.3999999999999999E-2</v>
      </c>
      <c r="D2062" s="9" t="s">
        <v>1712</v>
      </c>
      <c r="E2062" s="11" t="s">
        <v>1713</v>
      </c>
      <c r="F2062" s="12" t="s">
        <v>1714</v>
      </c>
      <c r="G2062" s="9" t="s">
        <v>1709</v>
      </c>
    </row>
    <row r="2063" spans="1:7">
      <c r="A2063" s="9" t="s">
        <v>1711</v>
      </c>
      <c r="B2063" s="13">
        <v>0.2</v>
      </c>
      <c r="C2063" s="10">
        <v>-7.1999999999999995E-2</v>
      </c>
      <c r="D2063" s="9" t="s">
        <v>1709</v>
      </c>
      <c r="E2063" s="11" t="s">
        <v>1710</v>
      </c>
      <c r="F2063" s="12" t="s">
        <v>1710</v>
      </c>
      <c r="G2063" s="9" t="s">
        <v>1709</v>
      </c>
    </row>
    <row r="2064" spans="1:7">
      <c r="A2064" s="9" t="s">
        <v>1711</v>
      </c>
      <c r="B2064" s="13">
        <v>0.2</v>
      </c>
      <c r="C2064" s="10">
        <v>-0.126</v>
      </c>
      <c r="D2064" s="9" t="s">
        <v>1709</v>
      </c>
      <c r="E2064" s="11" t="s">
        <v>1710</v>
      </c>
      <c r="F2064" s="12" t="s">
        <v>1710</v>
      </c>
      <c r="G2064" s="9" t="s">
        <v>1709</v>
      </c>
    </row>
    <row r="2065" spans="1:7">
      <c r="A2065" s="9" t="s">
        <v>1711</v>
      </c>
      <c r="B2065" s="13">
        <v>0.2</v>
      </c>
      <c r="C2065" s="10">
        <v>0.67200000000000004</v>
      </c>
      <c r="D2065" s="9" t="s">
        <v>1712</v>
      </c>
      <c r="E2065" s="11" t="s">
        <v>1738</v>
      </c>
      <c r="F2065" s="12" t="s">
        <v>1714</v>
      </c>
      <c r="G2065" s="9" t="s">
        <v>1709</v>
      </c>
    </row>
    <row r="2066" spans="1:7">
      <c r="A2066" s="9" t="s">
        <v>1711</v>
      </c>
      <c r="B2066" s="9">
        <v>0.2</v>
      </c>
      <c r="C2066" s="10">
        <v>9.9999999999999985E-3</v>
      </c>
      <c r="D2066" s="9" t="s">
        <v>1712</v>
      </c>
      <c r="E2066" s="11" t="s">
        <v>1736</v>
      </c>
      <c r="F2066" s="12" t="s">
        <v>1714</v>
      </c>
      <c r="G2066" s="9" t="s">
        <v>1709</v>
      </c>
    </row>
    <row r="2067" spans="1:7">
      <c r="A2067" s="9" t="s">
        <v>1711</v>
      </c>
      <c r="B2067" s="9">
        <v>0.2</v>
      </c>
      <c r="C2067" s="10">
        <v>0.64100000000000001</v>
      </c>
      <c r="D2067" s="9" t="s">
        <v>1712</v>
      </c>
      <c r="E2067" s="11" t="s">
        <v>1738</v>
      </c>
      <c r="F2067" s="12" t="s">
        <v>1714</v>
      </c>
      <c r="G2067" s="9" t="s">
        <v>1709</v>
      </c>
    </row>
    <row r="2068" spans="1:7">
      <c r="A2068" s="9" t="s">
        <v>1711</v>
      </c>
      <c r="B2068" s="9">
        <v>0.2</v>
      </c>
      <c r="C2068" s="10">
        <v>-6.4000000000000001E-2</v>
      </c>
      <c r="D2068" s="9" t="s">
        <v>1709</v>
      </c>
      <c r="E2068" s="11" t="s">
        <v>1710</v>
      </c>
      <c r="F2068" s="12" t="s">
        <v>1710</v>
      </c>
      <c r="G2068" s="9" t="s">
        <v>1709</v>
      </c>
    </row>
    <row r="2069" spans="1:7">
      <c r="A2069" s="9" t="s">
        <v>1711</v>
      </c>
      <c r="B2069" s="9">
        <v>0.2</v>
      </c>
      <c r="C2069" s="10">
        <v>0.79900000000000004</v>
      </c>
      <c r="D2069" s="9" t="s">
        <v>1712</v>
      </c>
      <c r="E2069" s="11" t="s">
        <v>1713</v>
      </c>
      <c r="F2069" s="12" t="s">
        <v>1714</v>
      </c>
      <c r="G2069" s="9" t="s">
        <v>1709</v>
      </c>
    </row>
    <row r="2070" spans="1:7">
      <c r="A2070" s="9" t="s">
        <v>1711</v>
      </c>
      <c r="B2070" s="9">
        <v>0.2</v>
      </c>
      <c r="C2070" s="10">
        <v>0.79800000000000004</v>
      </c>
      <c r="D2070" s="9" t="s">
        <v>1712</v>
      </c>
      <c r="E2070" s="11" t="s">
        <v>1713</v>
      </c>
      <c r="F2070" s="12" t="s">
        <v>1714</v>
      </c>
      <c r="G2070" s="9" t="s">
        <v>1709</v>
      </c>
    </row>
    <row r="2071" spans="1:7">
      <c r="A2071" s="9" t="s">
        <v>1711</v>
      </c>
      <c r="B2071" s="13">
        <v>0.2</v>
      </c>
      <c r="C2071" s="10">
        <v>0.79800000000000004</v>
      </c>
      <c r="D2071" s="9" t="s">
        <v>1712</v>
      </c>
      <c r="E2071" s="11" t="s">
        <v>1713</v>
      </c>
      <c r="F2071" s="12" t="s">
        <v>1714</v>
      </c>
      <c r="G2071" s="9" t="s">
        <v>1709</v>
      </c>
    </row>
    <row r="2072" spans="1:7">
      <c r="A2072" s="9" t="s">
        <v>1711</v>
      </c>
      <c r="B2072" s="9">
        <v>0.2</v>
      </c>
      <c r="C2072" s="10">
        <v>0.79800000000000004</v>
      </c>
      <c r="D2072" s="9" t="s">
        <v>1712</v>
      </c>
      <c r="E2072" s="11" t="s">
        <v>1713</v>
      </c>
      <c r="F2072" s="12" t="s">
        <v>1714</v>
      </c>
      <c r="G2072" s="9" t="s">
        <v>1709</v>
      </c>
    </row>
    <row r="2073" spans="1:7">
      <c r="A2073" s="9" t="s">
        <v>1711</v>
      </c>
      <c r="B2073" s="9">
        <v>0.2</v>
      </c>
      <c r="C2073" s="10">
        <v>0.79800000000000004</v>
      </c>
      <c r="D2073" s="9" t="s">
        <v>1712</v>
      </c>
      <c r="E2073" s="11" t="s">
        <v>1713</v>
      </c>
      <c r="F2073" s="12" t="s">
        <v>1714</v>
      </c>
      <c r="G2073" s="9" t="s">
        <v>1709</v>
      </c>
    </row>
    <row r="2074" spans="1:7">
      <c r="A2074" s="9" t="s">
        <v>1711</v>
      </c>
      <c r="B2074" s="13">
        <v>0.2</v>
      </c>
      <c r="C2074" s="10">
        <v>0.79800000000000004</v>
      </c>
      <c r="D2074" s="9" t="s">
        <v>1712</v>
      </c>
      <c r="E2074" s="11" t="s">
        <v>1713</v>
      </c>
      <c r="F2074" s="12" t="s">
        <v>1714</v>
      </c>
      <c r="G2074" s="9" t="s">
        <v>1709</v>
      </c>
    </row>
    <row r="2075" spans="1:7">
      <c r="A2075" s="9" t="s">
        <v>1711</v>
      </c>
      <c r="B2075" s="13">
        <v>0.2</v>
      </c>
      <c r="C2075" s="10">
        <v>0.79800000000000004</v>
      </c>
      <c r="D2075" s="9" t="s">
        <v>1712</v>
      </c>
      <c r="E2075" s="11" t="s">
        <v>1713</v>
      </c>
      <c r="F2075" s="12" t="s">
        <v>1714</v>
      </c>
      <c r="G2075" s="9" t="s">
        <v>1709</v>
      </c>
    </row>
    <row r="2076" spans="1:7">
      <c r="A2076" s="9" t="s">
        <v>1711</v>
      </c>
      <c r="B2076" s="13">
        <v>0.2</v>
      </c>
      <c r="C2076" s="10">
        <v>-0.19800000000000001</v>
      </c>
      <c r="D2076" s="9" t="s">
        <v>1709</v>
      </c>
      <c r="E2076" s="11" t="s">
        <v>1710</v>
      </c>
      <c r="F2076" s="12" t="s">
        <v>1710</v>
      </c>
      <c r="G2076" s="9" t="s">
        <v>1709</v>
      </c>
    </row>
    <row r="2077" spans="1:7">
      <c r="A2077" s="9" t="s">
        <v>1711</v>
      </c>
      <c r="B2077" s="9">
        <v>0.2</v>
      </c>
      <c r="C2077" s="10">
        <v>-0.19800000000000001</v>
      </c>
      <c r="D2077" s="9" t="s">
        <v>1709</v>
      </c>
      <c r="E2077" s="11" t="s">
        <v>1710</v>
      </c>
      <c r="F2077" s="12" t="s">
        <v>1710</v>
      </c>
      <c r="G2077" s="9" t="s">
        <v>1709</v>
      </c>
    </row>
    <row r="2078" spans="1:7">
      <c r="A2078" s="9" t="s">
        <v>1711</v>
      </c>
      <c r="B2078" s="9">
        <v>0.2</v>
      </c>
      <c r="C2078" s="10">
        <v>3.198</v>
      </c>
      <c r="D2078" s="9" t="s">
        <v>1712</v>
      </c>
      <c r="E2078" s="11" t="s">
        <v>1738</v>
      </c>
      <c r="F2078" s="12" t="s">
        <v>1714</v>
      </c>
      <c r="G2078" s="9" t="s">
        <v>1709</v>
      </c>
    </row>
    <row r="2079" spans="1:7">
      <c r="A2079" s="9" t="s">
        <v>1711</v>
      </c>
      <c r="B2079" s="13">
        <v>0.2</v>
      </c>
      <c r="C2079" s="10">
        <v>3.198</v>
      </c>
      <c r="D2079" s="9" t="s">
        <v>1712</v>
      </c>
      <c r="E2079" s="11" t="s">
        <v>1738</v>
      </c>
      <c r="F2079" s="12" t="s">
        <v>1714</v>
      </c>
      <c r="G2079" s="9" t="s">
        <v>1709</v>
      </c>
    </row>
    <row r="2080" spans="1:7">
      <c r="A2080" s="9" t="s">
        <v>1711</v>
      </c>
      <c r="B2080" s="9">
        <v>0.2</v>
      </c>
      <c r="C2080" s="10">
        <v>1.3999999999999999E-2</v>
      </c>
      <c r="D2080" s="9" t="s">
        <v>1712</v>
      </c>
      <c r="E2080" s="11" t="s">
        <v>1737</v>
      </c>
      <c r="F2080" s="12" t="s">
        <v>1714</v>
      </c>
      <c r="G2080" s="9" t="s">
        <v>1709</v>
      </c>
    </row>
    <row r="2081" spans="1:7">
      <c r="A2081" s="9" t="s">
        <v>1711</v>
      </c>
      <c r="B2081" s="9">
        <v>0.2</v>
      </c>
      <c r="C2081" s="10">
        <v>1.601</v>
      </c>
      <c r="D2081" s="9" t="s">
        <v>1712</v>
      </c>
      <c r="E2081" s="11" t="s">
        <v>1737</v>
      </c>
      <c r="F2081" s="12" t="s">
        <v>1714</v>
      </c>
      <c r="G2081" s="9" t="s">
        <v>1709</v>
      </c>
    </row>
    <row r="2082" spans="1:7">
      <c r="A2082" s="9" t="s">
        <v>1711</v>
      </c>
      <c r="B2082" s="9">
        <v>0.2</v>
      </c>
      <c r="C2082" s="10">
        <v>1.601</v>
      </c>
      <c r="D2082" s="9" t="s">
        <v>1712</v>
      </c>
      <c r="E2082" s="11" t="s">
        <v>1737</v>
      </c>
      <c r="F2082" s="12" t="s">
        <v>1714</v>
      </c>
      <c r="G2082" s="9" t="s">
        <v>1709</v>
      </c>
    </row>
    <row r="2083" spans="1:7">
      <c r="A2083" s="9" t="s">
        <v>1711</v>
      </c>
      <c r="B2083" s="9">
        <v>0.2</v>
      </c>
      <c r="C2083" s="10">
        <v>1.601</v>
      </c>
      <c r="D2083" s="9" t="s">
        <v>1712</v>
      </c>
      <c r="E2083" s="11" t="s">
        <v>1737</v>
      </c>
      <c r="F2083" s="12" t="s">
        <v>1714</v>
      </c>
      <c r="G2083" s="9" t="s">
        <v>1709</v>
      </c>
    </row>
    <row r="2084" spans="1:7">
      <c r="A2084" s="9" t="s">
        <v>1711</v>
      </c>
      <c r="B2084" s="9">
        <v>0.2</v>
      </c>
      <c r="C2084" s="10">
        <v>1.601</v>
      </c>
      <c r="D2084" s="9" t="s">
        <v>1712</v>
      </c>
      <c r="E2084" s="11" t="s">
        <v>1737</v>
      </c>
      <c r="F2084" s="12" t="s">
        <v>1714</v>
      </c>
      <c r="G2084" s="9" t="s">
        <v>1709</v>
      </c>
    </row>
    <row r="2085" spans="1:7">
      <c r="A2085" s="9" t="s">
        <v>1711</v>
      </c>
      <c r="B2085" s="9">
        <v>0.2</v>
      </c>
      <c r="C2085" s="10">
        <v>1.601</v>
      </c>
      <c r="D2085" s="9" t="s">
        <v>1712</v>
      </c>
      <c r="E2085" s="11" t="s">
        <v>1737</v>
      </c>
      <c r="F2085" s="12" t="s">
        <v>1714</v>
      </c>
      <c r="G2085" s="9" t="s">
        <v>1709</v>
      </c>
    </row>
    <row r="2086" spans="1:7">
      <c r="A2086" s="9" t="s">
        <v>1711</v>
      </c>
      <c r="B2086" s="9">
        <v>0.2</v>
      </c>
      <c r="C2086" s="10">
        <v>2.7479999999999998</v>
      </c>
      <c r="D2086" s="9" t="s">
        <v>1712</v>
      </c>
      <c r="E2086" s="11" t="s">
        <v>1736</v>
      </c>
      <c r="F2086" s="12" t="s">
        <v>1714</v>
      </c>
      <c r="G2086" s="9" t="s">
        <v>1709</v>
      </c>
    </row>
    <row r="2087" spans="1:7">
      <c r="A2087" s="9" t="s">
        <v>1711</v>
      </c>
      <c r="B2087" s="9">
        <v>0.2</v>
      </c>
      <c r="C2087" s="10">
        <v>-0.10299999999999999</v>
      </c>
      <c r="D2087" s="9" t="s">
        <v>1709</v>
      </c>
      <c r="E2087" s="11" t="s">
        <v>1710</v>
      </c>
      <c r="F2087" s="12" t="s">
        <v>1710</v>
      </c>
      <c r="G2087" s="9" t="s">
        <v>1709</v>
      </c>
    </row>
    <row r="2088" spans="1:7">
      <c r="A2088" s="9" t="s">
        <v>1711</v>
      </c>
      <c r="B2088" s="9">
        <v>0.2</v>
      </c>
      <c r="C2088" s="10">
        <v>-0.10299999999999999</v>
      </c>
      <c r="D2088" s="9" t="s">
        <v>1709</v>
      </c>
      <c r="E2088" s="11" t="s">
        <v>1710</v>
      </c>
      <c r="F2088" s="12" t="s">
        <v>1710</v>
      </c>
      <c r="G2088" s="9" t="s">
        <v>1709</v>
      </c>
    </row>
    <row r="2089" spans="1:7">
      <c r="A2089" s="9" t="s">
        <v>1711</v>
      </c>
      <c r="B2089" s="9">
        <v>0.2</v>
      </c>
      <c r="C2089" s="10">
        <v>-5.2999999999999999E-2</v>
      </c>
      <c r="D2089" s="9" t="s">
        <v>1709</v>
      </c>
      <c r="E2089" s="11" t="s">
        <v>1710</v>
      </c>
      <c r="F2089" s="12" t="s">
        <v>1710</v>
      </c>
      <c r="G2089" s="9" t="s">
        <v>1709</v>
      </c>
    </row>
    <row r="2090" spans="1:7">
      <c r="A2090" s="9" t="s">
        <v>1711</v>
      </c>
      <c r="B2090" s="9">
        <v>0.2</v>
      </c>
      <c r="C2090" s="10">
        <v>-1.9E-2</v>
      </c>
      <c r="D2090" s="9" t="s">
        <v>1709</v>
      </c>
      <c r="E2090" s="11" t="s">
        <v>1710</v>
      </c>
      <c r="F2090" s="12" t="s">
        <v>1710</v>
      </c>
      <c r="G2090" s="9" t="s">
        <v>1709</v>
      </c>
    </row>
    <row r="2091" spans="1:7">
      <c r="A2091" s="9" t="s">
        <v>1711</v>
      </c>
      <c r="B2091" s="9">
        <v>0.2</v>
      </c>
      <c r="C2091" s="10">
        <v>-5.3999999999999999E-2</v>
      </c>
      <c r="D2091" s="9" t="s">
        <v>1709</v>
      </c>
      <c r="E2091" s="11" t="s">
        <v>1710</v>
      </c>
      <c r="F2091" s="12" t="s">
        <v>1710</v>
      </c>
      <c r="G2091" s="9" t="s">
        <v>1709</v>
      </c>
    </row>
    <row r="2092" spans="1:7">
      <c r="A2092" s="9" t="s">
        <v>1711</v>
      </c>
      <c r="B2092" s="9">
        <v>0.2</v>
      </c>
      <c r="C2092" s="10">
        <v>0.80200000000000005</v>
      </c>
      <c r="D2092" s="9" t="s">
        <v>1712</v>
      </c>
      <c r="E2092" s="11" t="s">
        <v>1738</v>
      </c>
      <c r="F2092" s="12" t="s">
        <v>1714</v>
      </c>
      <c r="G2092" s="9" t="s">
        <v>1709</v>
      </c>
    </row>
    <row r="2093" spans="1:7">
      <c r="A2093" s="9" t="s">
        <v>1711</v>
      </c>
      <c r="B2093" s="9">
        <v>0.2</v>
      </c>
      <c r="C2093" s="10">
        <v>0.23200000000000001</v>
      </c>
      <c r="D2093" s="9" t="s">
        <v>1712</v>
      </c>
      <c r="E2093" s="11" t="s">
        <v>1736</v>
      </c>
      <c r="F2093" s="12" t="s">
        <v>1714</v>
      </c>
      <c r="G2093" s="9" t="s">
        <v>1709</v>
      </c>
    </row>
    <row r="2094" spans="1:7">
      <c r="A2094" s="9" t="s">
        <v>1711</v>
      </c>
      <c r="B2094" s="9">
        <v>0.2</v>
      </c>
      <c r="C2094" s="10">
        <v>1.119</v>
      </c>
      <c r="D2094" s="9" t="s">
        <v>1712</v>
      </c>
      <c r="E2094" s="11" t="s">
        <v>1738</v>
      </c>
      <c r="F2094" s="12" t="s">
        <v>1714</v>
      </c>
      <c r="G2094" s="9" t="s">
        <v>1709</v>
      </c>
    </row>
    <row r="2095" spans="1:7">
      <c r="A2095" s="9" t="s">
        <v>1711</v>
      </c>
      <c r="B2095" s="9">
        <v>0.2</v>
      </c>
      <c r="C2095" s="10">
        <v>2.7479999999999998</v>
      </c>
      <c r="D2095" s="9" t="s">
        <v>1712</v>
      </c>
      <c r="E2095" s="11" t="s">
        <v>1736</v>
      </c>
      <c r="F2095" s="12" t="s">
        <v>1714</v>
      </c>
      <c r="G2095" s="9" t="s">
        <v>1709</v>
      </c>
    </row>
    <row r="2096" spans="1:7">
      <c r="A2096" s="9" t="s">
        <v>1711</v>
      </c>
      <c r="B2096" s="9">
        <v>0.2</v>
      </c>
      <c r="C2096" s="10">
        <v>0.23200000000000001</v>
      </c>
      <c r="D2096" s="9" t="s">
        <v>1712</v>
      </c>
      <c r="E2096" s="11" t="s">
        <v>1737</v>
      </c>
      <c r="F2096" s="12" t="s">
        <v>1714</v>
      </c>
      <c r="G2096" s="9" t="s">
        <v>1709</v>
      </c>
    </row>
    <row r="2097" spans="1:7">
      <c r="A2097" s="9" t="s">
        <v>1711</v>
      </c>
      <c r="B2097" s="9">
        <v>0.2</v>
      </c>
      <c r="C2097" s="10">
        <v>-0.19800000000000001</v>
      </c>
      <c r="D2097" s="9" t="s">
        <v>1709</v>
      </c>
      <c r="E2097" s="11" t="s">
        <v>1710</v>
      </c>
      <c r="F2097" s="12" t="s">
        <v>1710</v>
      </c>
      <c r="G2097" s="9" t="s">
        <v>1709</v>
      </c>
    </row>
    <row r="2098" spans="1:7">
      <c r="A2098" s="9" t="s">
        <v>1711</v>
      </c>
      <c r="B2098" s="9">
        <v>0.2</v>
      </c>
      <c r="C2098" s="10">
        <v>2.63</v>
      </c>
      <c r="D2098" s="9" t="s">
        <v>1712</v>
      </c>
      <c r="E2098" s="11" t="s">
        <v>1736</v>
      </c>
      <c r="F2098" s="12" t="s">
        <v>1714</v>
      </c>
      <c r="G2098" s="9" t="s">
        <v>1709</v>
      </c>
    </row>
    <row r="2099" spans="1:7">
      <c r="A2099" s="9" t="s">
        <v>1711</v>
      </c>
      <c r="B2099" s="9">
        <v>0.2</v>
      </c>
      <c r="C2099" s="10">
        <v>2.63</v>
      </c>
      <c r="D2099" s="9" t="s">
        <v>1712</v>
      </c>
      <c r="E2099" s="11" t="s">
        <v>1736</v>
      </c>
      <c r="F2099" s="12" t="s">
        <v>1714</v>
      </c>
      <c r="G2099" s="9" t="s">
        <v>1709</v>
      </c>
    </row>
    <row r="2100" spans="1:7">
      <c r="A2100" s="9" t="s">
        <v>1711</v>
      </c>
      <c r="B2100" s="9">
        <v>0.2</v>
      </c>
      <c r="C2100" s="10">
        <v>-5.0000000000000001E-3</v>
      </c>
      <c r="D2100" s="9" t="s">
        <v>1709</v>
      </c>
      <c r="E2100" s="11" t="s">
        <v>1710</v>
      </c>
      <c r="F2100" s="12" t="s">
        <v>1710</v>
      </c>
      <c r="G2100" s="9" t="s">
        <v>1709</v>
      </c>
    </row>
    <row r="2101" spans="1:7">
      <c r="A2101" s="9" t="s">
        <v>1711</v>
      </c>
      <c r="B2101" s="9">
        <v>0.2</v>
      </c>
      <c r="C2101" s="10">
        <v>0.64100000000000001</v>
      </c>
      <c r="D2101" s="9" t="s">
        <v>1712</v>
      </c>
      <c r="E2101" s="11" t="s">
        <v>1713</v>
      </c>
      <c r="F2101" s="12" t="s">
        <v>1714</v>
      </c>
      <c r="G2101" s="9" t="s">
        <v>1709</v>
      </c>
    </row>
    <row r="2102" spans="1:7">
      <c r="A2102" s="9" t="s">
        <v>1711</v>
      </c>
      <c r="B2102" s="9">
        <v>0.2</v>
      </c>
      <c r="C2102" s="10">
        <v>0.64100000000000001</v>
      </c>
      <c r="D2102" s="9" t="s">
        <v>1712</v>
      </c>
      <c r="E2102" s="11" t="s">
        <v>1713</v>
      </c>
      <c r="F2102" s="12" t="s">
        <v>1714</v>
      </c>
      <c r="G2102" s="9" t="s">
        <v>1709</v>
      </c>
    </row>
    <row r="2103" spans="1:7">
      <c r="A2103" s="9" t="s">
        <v>1711</v>
      </c>
      <c r="B2103" s="9">
        <v>0.2</v>
      </c>
      <c r="C2103" s="10">
        <v>6.3E-2</v>
      </c>
      <c r="D2103" s="9" t="s">
        <v>1712</v>
      </c>
      <c r="E2103" s="11" t="s">
        <v>1713</v>
      </c>
      <c r="F2103" s="12" t="s">
        <v>1714</v>
      </c>
      <c r="G2103" s="9" t="s">
        <v>1709</v>
      </c>
    </row>
    <row r="2104" spans="1:7">
      <c r="A2104" s="9" t="s">
        <v>1711</v>
      </c>
      <c r="B2104" s="9">
        <v>0.2</v>
      </c>
      <c r="C2104" s="10">
        <v>6.3E-2</v>
      </c>
      <c r="D2104" s="9" t="s">
        <v>1712</v>
      </c>
      <c r="E2104" s="11" t="s">
        <v>1713</v>
      </c>
      <c r="F2104" s="12" t="s">
        <v>1714</v>
      </c>
      <c r="G2104" s="9" t="s">
        <v>1709</v>
      </c>
    </row>
    <row r="2105" spans="1:7">
      <c r="A2105" s="9" t="s">
        <v>1711</v>
      </c>
      <c r="B2105" s="9">
        <v>0.2</v>
      </c>
      <c r="C2105" s="10">
        <v>6.3E-2</v>
      </c>
      <c r="D2105" s="9" t="s">
        <v>1712</v>
      </c>
      <c r="E2105" s="11" t="s">
        <v>1713</v>
      </c>
      <c r="F2105" s="12" t="s">
        <v>1714</v>
      </c>
      <c r="G2105" s="9" t="s">
        <v>1709</v>
      </c>
    </row>
    <row r="2106" spans="1:7">
      <c r="A2106" s="9" t="s">
        <v>1711</v>
      </c>
      <c r="B2106" s="9">
        <v>0.2</v>
      </c>
      <c r="C2106" s="10">
        <v>6.3E-2</v>
      </c>
      <c r="D2106" s="9" t="s">
        <v>1712</v>
      </c>
      <c r="E2106" s="11" t="s">
        <v>1713</v>
      </c>
      <c r="F2106" s="12" t="s">
        <v>1714</v>
      </c>
      <c r="G2106" s="9" t="s">
        <v>1709</v>
      </c>
    </row>
    <row r="2107" spans="1:7">
      <c r="A2107" s="9" t="s">
        <v>1711</v>
      </c>
      <c r="B2107" s="9">
        <v>0.2</v>
      </c>
      <c r="C2107" s="10">
        <v>6.3E-2</v>
      </c>
      <c r="D2107" s="9" t="s">
        <v>1712</v>
      </c>
      <c r="E2107" s="11" t="s">
        <v>1713</v>
      </c>
      <c r="F2107" s="12" t="s">
        <v>1714</v>
      </c>
      <c r="G2107" s="9" t="s">
        <v>1709</v>
      </c>
    </row>
    <row r="2108" spans="1:7">
      <c r="A2108" s="9" t="s">
        <v>1711</v>
      </c>
      <c r="B2108" s="9">
        <v>0.2</v>
      </c>
      <c r="C2108" s="10">
        <v>8.2000000000000003E-2</v>
      </c>
      <c r="D2108" s="9" t="s">
        <v>1712</v>
      </c>
      <c r="E2108" s="11" t="s">
        <v>1713</v>
      </c>
      <c r="F2108" s="12" t="s">
        <v>1714</v>
      </c>
      <c r="G2108" s="9" t="s">
        <v>1709</v>
      </c>
    </row>
    <row r="2109" spans="1:7">
      <c r="A2109" s="9" t="s">
        <v>1711</v>
      </c>
      <c r="B2109" s="9">
        <v>0.2</v>
      </c>
      <c r="C2109" s="10">
        <v>8.2000000000000003E-2</v>
      </c>
      <c r="D2109" s="9" t="s">
        <v>1712</v>
      </c>
      <c r="E2109" s="11" t="s">
        <v>1713</v>
      </c>
      <c r="F2109" s="12" t="s">
        <v>1714</v>
      </c>
      <c r="G2109" s="9" t="s">
        <v>1709</v>
      </c>
    </row>
    <row r="2110" spans="1:7">
      <c r="A2110" s="9" t="s">
        <v>1711</v>
      </c>
      <c r="B2110" s="9">
        <v>0.2</v>
      </c>
      <c r="C2110" s="10">
        <v>8.2000000000000003E-2</v>
      </c>
      <c r="D2110" s="9" t="s">
        <v>1712</v>
      </c>
      <c r="E2110" s="11" t="s">
        <v>1713</v>
      </c>
      <c r="F2110" s="12" t="s">
        <v>1714</v>
      </c>
      <c r="G2110" s="9" t="s">
        <v>1709</v>
      </c>
    </row>
    <row r="2111" spans="1:7">
      <c r="A2111" s="9" t="s">
        <v>1711</v>
      </c>
      <c r="B2111" s="9">
        <v>0.2</v>
      </c>
      <c r="C2111" s="10">
        <v>8.2000000000000003E-2</v>
      </c>
      <c r="D2111" s="9" t="s">
        <v>1712</v>
      </c>
      <c r="E2111" s="11" t="s">
        <v>1713</v>
      </c>
      <c r="F2111" s="12" t="s">
        <v>1714</v>
      </c>
      <c r="G2111" s="9" t="s">
        <v>1709</v>
      </c>
    </row>
    <row r="2112" spans="1:7">
      <c r="A2112" s="9" t="s">
        <v>1711</v>
      </c>
      <c r="B2112" s="9">
        <v>0.2</v>
      </c>
      <c r="C2112" s="10">
        <v>8.2000000000000003E-2</v>
      </c>
      <c r="D2112" s="9" t="s">
        <v>1712</v>
      </c>
      <c r="E2112" s="11" t="s">
        <v>1713</v>
      </c>
      <c r="F2112" s="12" t="s">
        <v>1714</v>
      </c>
      <c r="G2112" s="9" t="s">
        <v>1709</v>
      </c>
    </row>
    <row r="2113" spans="1:7">
      <c r="A2113" s="9" t="s">
        <v>1711</v>
      </c>
      <c r="B2113" s="9">
        <v>0.2</v>
      </c>
      <c r="C2113" s="10">
        <v>8.2000000000000003E-2</v>
      </c>
      <c r="D2113" s="9" t="s">
        <v>1712</v>
      </c>
      <c r="E2113" s="11" t="s">
        <v>1713</v>
      </c>
      <c r="F2113" s="12" t="s">
        <v>1714</v>
      </c>
      <c r="G2113" s="9" t="s">
        <v>1709</v>
      </c>
    </row>
    <row r="2114" spans="1:7">
      <c r="A2114" s="9" t="s">
        <v>1711</v>
      </c>
      <c r="B2114" s="9">
        <v>0.2</v>
      </c>
      <c r="C2114" s="10">
        <v>8.2000000000000003E-2</v>
      </c>
      <c r="D2114" s="9" t="s">
        <v>1712</v>
      </c>
      <c r="E2114" s="11" t="s">
        <v>1713</v>
      </c>
      <c r="F2114" s="12" t="s">
        <v>1714</v>
      </c>
      <c r="G2114" s="9" t="s">
        <v>1709</v>
      </c>
    </row>
    <row r="2115" spans="1:7">
      <c r="A2115" s="9" t="s">
        <v>1711</v>
      </c>
      <c r="B2115" s="9">
        <v>0.2</v>
      </c>
      <c r="C2115" s="10">
        <v>0.312</v>
      </c>
      <c r="D2115" s="9" t="s">
        <v>1712</v>
      </c>
      <c r="E2115" s="11" t="s">
        <v>1713</v>
      </c>
      <c r="F2115" s="12" t="s">
        <v>1714</v>
      </c>
      <c r="G2115" s="9" t="s">
        <v>1709</v>
      </c>
    </row>
    <row r="2116" spans="1:7">
      <c r="A2116" s="9" t="s">
        <v>1711</v>
      </c>
      <c r="B2116" s="9">
        <v>0.2</v>
      </c>
      <c r="C2116" s="10">
        <v>0.312</v>
      </c>
      <c r="D2116" s="9" t="s">
        <v>1712</v>
      </c>
      <c r="E2116" s="11" t="s">
        <v>1713</v>
      </c>
      <c r="F2116" s="12" t="s">
        <v>1714</v>
      </c>
      <c r="G2116" s="9" t="s">
        <v>1709</v>
      </c>
    </row>
    <row r="2117" spans="1:7">
      <c r="A2117" s="9" t="s">
        <v>1711</v>
      </c>
      <c r="B2117" s="9">
        <v>0.2</v>
      </c>
      <c r="C2117" s="10">
        <v>2.5680000000000001</v>
      </c>
      <c r="D2117" s="9" t="s">
        <v>1712</v>
      </c>
      <c r="E2117" s="11" t="s">
        <v>1713</v>
      </c>
      <c r="F2117" s="12" t="s">
        <v>1714</v>
      </c>
      <c r="G2117" s="9" t="s">
        <v>1709</v>
      </c>
    </row>
    <row r="2118" spans="1:7">
      <c r="A2118" s="9" t="s">
        <v>1711</v>
      </c>
      <c r="B2118" s="9">
        <v>0.2</v>
      </c>
      <c r="C2118" s="10">
        <v>2.5680000000000001</v>
      </c>
      <c r="D2118" s="9" t="s">
        <v>1712</v>
      </c>
      <c r="E2118" s="11" t="s">
        <v>1713</v>
      </c>
      <c r="F2118" s="12" t="s">
        <v>1714</v>
      </c>
      <c r="G2118" s="9" t="s">
        <v>1709</v>
      </c>
    </row>
    <row r="2119" spans="1:7">
      <c r="A2119" s="9" t="s">
        <v>1711</v>
      </c>
      <c r="B2119" s="13">
        <v>0.2</v>
      </c>
      <c r="C2119" s="10">
        <v>2.5680000000000001</v>
      </c>
      <c r="D2119" s="9" t="s">
        <v>1712</v>
      </c>
      <c r="E2119" s="11" t="s">
        <v>1713</v>
      </c>
      <c r="F2119" s="12" t="s">
        <v>1714</v>
      </c>
      <c r="G2119" s="9" t="s">
        <v>1709</v>
      </c>
    </row>
    <row r="2120" spans="1:7">
      <c r="A2120" s="9" t="s">
        <v>1711</v>
      </c>
      <c r="B2120" s="13">
        <v>0.2</v>
      </c>
      <c r="C2120" s="10">
        <v>1.6289999999999998</v>
      </c>
      <c r="D2120" s="9" t="s">
        <v>1712</v>
      </c>
      <c r="E2120" s="11" t="s">
        <v>1713</v>
      </c>
      <c r="F2120" s="12" t="s">
        <v>1714</v>
      </c>
      <c r="G2120" s="9" t="s">
        <v>1709</v>
      </c>
    </row>
    <row r="2121" spans="1:7">
      <c r="A2121" s="9" t="s">
        <v>1711</v>
      </c>
      <c r="B2121" s="13">
        <v>0.2</v>
      </c>
      <c r="C2121" s="10">
        <v>0.51700000000000002</v>
      </c>
      <c r="D2121" s="9" t="s">
        <v>1712</v>
      </c>
      <c r="E2121" s="11" t="s">
        <v>1738</v>
      </c>
      <c r="F2121" s="12" t="s">
        <v>1714</v>
      </c>
      <c r="G2121" s="9" t="s">
        <v>1709</v>
      </c>
    </row>
    <row r="2122" spans="1:7">
      <c r="A2122" s="9" t="s">
        <v>1711</v>
      </c>
      <c r="B2122" s="9">
        <v>0.2</v>
      </c>
      <c r="C2122" s="10">
        <v>0.51700000000000002</v>
      </c>
      <c r="D2122" s="9" t="s">
        <v>1712</v>
      </c>
      <c r="E2122" s="11" t="s">
        <v>1738</v>
      </c>
      <c r="F2122" s="12" t="s">
        <v>1714</v>
      </c>
      <c r="G2122" s="9" t="s">
        <v>1709</v>
      </c>
    </row>
    <row r="2123" spans="1:7">
      <c r="A2123" s="9" t="s">
        <v>1711</v>
      </c>
      <c r="B2123" s="9">
        <v>0.2</v>
      </c>
      <c r="C2123" s="10">
        <v>0.51700000000000002</v>
      </c>
      <c r="D2123" s="9" t="s">
        <v>1712</v>
      </c>
      <c r="E2123" s="11" t="s">
        <v>1738</v>
      </c>
      <c r="F2123" s="12" t="s">
        <v>1714</v>
      </c>
      <c r="G2123" s="9" t="s">
        <v>1709</v>
      </c>
    </row>
    <row r="2124" spans="1:7">
      <c r="A2124" s="9" t="s">
        <v>1711</v>
      </c>
      <c r="B2124" s="9">
        <v>0.2</v>
      </c>
      <c r="C2124" s="10">
        <v>0.51700000000000002</v>
      </c>
      <c r="D2124" s="9" t="s">
        <v>1712</v>
      </c>
      <c r="E2124" s="11" t="s">
        <v>1738</v>
      </c>
      <c r="F2124" s="12" t="s">
        <v>1714</v>
      </c>
      <c r="G2124" s="9" t="s">
        <v>1709</v>
      </c>
    </row>
    <row r="2125" spans="1:7">
      <c r="A2125" s="9" t="s">
        <v>1711</v>
      </c>
      <c r="B2125" s="13">
        <v>0.2</v>
      </c>
      <c r="C2125" s="10">
        <v>0.51700000000000002</v>
      </c>
      <c r="D2125" s="9" t="s">
        <v>1712</v>
      </c>
      <c r="E2125" s="11" t="s">
        <v>1738</v>
      </c>
      <c r="F2125" s="12" t="s">
        <v>1714</v>
      </c>
      <c r="G2125" s="9" t="s">
        <v>1709</v>
      </c>
    </row>
    <row r="2126" spans="1:7">
      <c r="A2126" s="9" t="s">
        <v>1711</v>
      </c>
      <c r="B2126" s="13">
        <v>0.2</v>
      </c>
      <c r="C2126" s="10">
        <v>1.819</v>
      </c>
      <c r="D2126" s="9" t="s">
        <v>1712</v>
      </c>
      <c r="E2126" s="11" t="s">
        <v>1738</v>
      </c>
      <c r="F2126" s="12" t="s">
        <v>1714</v>
      </c>
      <c r="G2126" s="9" t="s">
        <v>1709</v>
      </c>
    </row>
    <row r="2127" spans="1:7">
      <c r="A2127" s="9" t="s">
        <v>1711</v>
      </c>
      <c r="B2127" s="13">
        <v>0.2</v>
      </c>
      <c r="C2127" s="10">
        <v>1.819</v>
      </c>
      <c r="D2127" s="9" t="s">
        <v>1712</v>
      </c>
      <c r="E2127" s="11" t="s">
        <v>1738</v>
      </c>
      <c r="F2127" s="12" t="s">
        <v>1714</v>
      </c>
      <c r="G2127" s="9" t="s">
        <v>1709</v>
      </c>
    </row>
    <row r="2128" spans="1:7">
      <c r="A2128" s="9" t="s">
        <v>1711</v>
      </c>
      <c r="B2128" s="9">
        <v>0.2</v>
      </c>
      <c r="C2128" s="10">
        <v>0.375</v>
      </c>
      <c r="D2128" s="9" t="s">
        <v>1712</v>
      </c>
      <c r="E2128" s="11" t="s">
        <v>1739</v>
      </c>
      <c r="F2128" s="12" t="s">
        <v>1714</v>
      </c>
      <c r="G2128" s="9" t="s">
        <v>1709</v>
      </c>
    </row>
    <row r="2129" spans="1:7">
      <c r="A2129" s="9" t="s">
        <v>1711</v>
      </c>
      <c r="B2129" s="9">
        <v>0.2</v>
      </c>
      <c r="C2129" s="10">
        <v>-3.0000000000000002E-2</v>
      </c>
      <c r="D2129" s="9" t="s">
        <v>1709</v>
      </c>
      <c r="E2129" s="11" t="s">
        <v>1710</v>
      </c>
      <c r="F2129" s="12" t="s">
        <v>1710</v>
      </c>
      <c r="G2129" s="9" t="s">
        <v>1709</v>
      </c>
    </row>
    <row r="2130" spans="1:7">
      <c r="A2130" s="9" t="s">
        <v>1711</v>
      </c>
      <c r="B2130" s="9">
        <v>0.2</v>
      </c>
      <c r="C2130" s="10">
        <v>-7.2999999999999995E-2</v>
      </c>
      <c r="D2130" s="9" t="s">
        <v>1709</v>
      </c>
      <c r="E2130" s="11" t="s">
        <v>1710</v>
      </c>
      <c r="F2130" s="12" t="s">
        <v>1710</v>
      </c>
      <c r="G2130" s="9" t="s">
        <v>1709</v>
      </c>
    </row>
    <row r="2131" spans="1:7">
      <c r="A2131" s="9" t="s">
        <v>1711</v>
      </c>
      <c r="B2131" s="13">
        <v>0.2</v>
      </c>
      <c r="C2131" s="10">
        <v>-3.0000000000000002E-2</v>
      </c>
      <c r="D2131" s="9" t="s">
        <v>1709</v>
      </c>
      <c r="E2131" s="11" t="s">
        <v>1710</v>
      </c>
      <c r="F2131" s="12" t="s">
        <v>1710</v>
      </c>
      <c r="G2131" s="9" t="s">
        <v>1709</v>
      </c>
    </row>
    <row r="2132" spans="1:7">
      <c r="A2132" s="9" t="s">
        <v>1711</v>
      </c>
      <c r="B2132" s="9">
        <v>0.2</v>
      </c>
      <c r="C2132" s="10">
        <v>-5.3999999999999999E-2</v>
      </c>
      <c r="D2132" s="9" t="s">
        <v>1709</v>
      </c>
      <c r="E2132" s="11" t="s">
        <v>1710</v>
      </c>
      <c r="F2132" s="12" t="s">
        <v>1710</v>
      </c>
      <c r="G2132" s="9" t="s">
        <v>1709</v>
      </c>
    </row>
    <row r="2133" spans="1:7">
      <c r="A2133" s="9" t="s">
        <v>1711</v>
      </c>
      <c r="B2133" s="13">
        <v>0.2</v>
      </c>
      <c r="C2133" s="10">
        <v>-0.08</v>
      </c>
      <c r="D2133" s="9" t="s">
        <v>1709</v>
      </c>
      <c r="E2133" s="11" t="s">
        <v>1710</v>
      </c>
      <c r="F2133" s="12" t="s">
        <v>1710</v>
      </c>
      <c r="G2133" s="9" t="s">
        <v>1709</v>
      </c>
    </row>
    <row r="2134" spans="1:7">
      <c r="A2134" s="9" t="s">
        <v>1711</v>
      </c>
      <c r="B2134" s="13">
        <v>0.2</v>
      </c>
      <c r="C2134" s="10">
        <v>-9.9000000000000005E-2</v>
      </c>
      <c r="D2134" s="9" t="s">
        <v>1709</v>
      </c>
      <c r="E2134" s="11" t="s">
        <v>1710</v>
      </c>
      <c r="F2134" s="12" t="s">
        <v>1710</v>
      </c>
      <c r="G2134" s="9" t="s">
        <v>1709</v>
      </c>
    </row>
    <row r="2135" spans="1:7">
      <c r="A2135" s="9" t="s">
        <v>1711</v>
      </c>
      <c r="B2135" s="13">
        <v>0.2</v>
      </c>
      <c r="C2135" s="10">
        <v>-7.1999999999999995E-2</v>
      </c>
      <c r="D2135" s="9" t="s">
        <v>1709</v>
      </c>
      <c r="E2135" s="11" t="s">
        <v>1710</v>
      </c>
      <c r="F2135" s="12" t="s">
        <v>1710</v>
      </c>
      <c r="G2135" s="9" t="s">
        <v>1709</v>
      </c>
    </row>
    <row r="2136" spans="1:7">
      <c r="A2136" s="9" t="s">
        <v>1711</v>
      </c>
      <c r="B2136" s="9">
        <v>0.2</v>
      </c>
      <c r="C2136" s="10">
        <v>-7.1999999999999995E-2</v>
      </c>
      <c r="D2136" s="9" t="s">
        <v>1709</v>
      </c>
      <c r="E2136" s="11" t="s">
        <v>1710</v>
      </c>
      <c r="F2136" s="12" t="s">
        <v>1710</v>
      </c>
      <c r="G2136" s="9" t="s">
        <v>1709</v>
      </c>
    </row>
    <row r="2137" spans="1:7">
      <c r="A2137" s="9" t="s">
        <v>1711</v>
      </c>
      <c r="B2137" s="13">
        <v>0.2</v>
      </c>
      <c r="C2137" s="10">
        <v>-7.1999999999999995E-2</v>
      </c>
      <c r="D2137" s="9" t="s">
        <v>1709</v>
      </c>
      <c r="E2137" s="11" t="s">
        <v>1710</v>
      </c>
      <c r="F2137" s="12" t="s">
        <v>1710</v>
      </c>
      <c r="G2137" s="9" t="s">
        <v>1709</v>
      </c>
    </row>
    <row r="2138" spans="1:7">
      <c r="A2138" s="9" t="s">
        <v>1711</v>
      </c>
      <c r="B2138" s="13">
        <v>0.2</v>
      </c>
      <c r="C2138" s="10">
        <v>-7.1999999999999995E-2</v>
      </c>
      <c r="D2138" s="9" t="s">
        <v>1709</v>
      </c>
      <c r="E2138" s="11" t="s">
        <v>1710</v>
      </c>
      <c r="F2138" s="12" t="s">
        <v>1710</v>
      </c>
      <c r="G2138" s="9" t="s">
        <v>1709</v>
      </c>
    </row>
    <row r="2139" spans="1:7">
      <c r="A2139" s="9" t="s">
        <v>1711</v>
      </c>
      <c r="B2139" s="13">
        <v>0.2</v>
      </c>
      <c r="C2139" s="10">
        <v>-7.1999999999999995E-2</v>
      </c>
      <c r="D2139" s="9" t="s">
        <v>1709</v>
      </c>
      <c r="E2139" s="11" t="s">
        <v>1710</v>
      </c>
      <c r="F2139" s="12" t="s">
        <v>1710</v>
      </c>
      <c r="G2139" s="9" t="s">
        <v>1709</v>
      </c>
    </row>
    <row r="2140" spans="1:7">
      <c r="A2140" s="9" t="s">
        <v>1711</v>
      </c>
      <c r="B2140" s="13">
        <v>0.2</v>
      </c>
      <c r="C2140" s="10">
        <v>-0.08</v>
      </c>
      <c r="D2140" s="9" t="s">
        <v>1709</v>
      </c>
      <c r="E2140" s="11" t="s">
        <v>1710</v>
      </c>
      <c r="F2140" s="12" t="s">
        <v>1710</v>
      </c>
      <c r="G2140" s="9" t="s">
        <v>1709</v>
      </c>
    </row>
    <row r="2141" spans="1:7">
      <c r="A2141" s="9" t="s">
        <v>1711</v>
      </c>
      <c r="B2141" s="9">
        <v>0.2</v>
      </c>
      <c r="C2141" s="10">
        <v>-7.1999999999999995E-2</v>
      </c>
      <c r="D2141" s="9" t="s">
        <v>1709</v>
      </c>
      <c r="E2141" s="11" t="s">
        <v>1710</v>
      </c>
      <c r="F2141" s="12" t="s">
        <v>1710</v>
      </c>
      <c r="G2141" s="9" t="s">
        <v>1709</v>
      </c>
    </row>
    <row r="2142" spans="1:7">
      <c r="A2142" s="9" t="s">
        <v>1711</v>
      </c>
      <c r="B2142" s="9">
        <v>0.2</v>
      </c>
      <c r="C2142" s="10">
        <v>0.36799999999999999</v>
      </c>
      <c r="D2142" s="9" t="s">
        <v>1712</v>
      </c>
      <c r="E2142" s="11" t="s">
        <v>1738</v>
      </c>
      <c r="F2142" s="12" t="s">
        <v>1714</v>
      </c>
      <c r="G2142" s="9" t="s">
        <v>1709</v>
      </c>
    </row>
    <row r="2143" spans="1:7">
      <c r="A2143" s="9" t="s">
        <v>1711</v>
      </c>
      <c r="B2143" s="9">
        <v>0.2</v>
      </c>
      <c r="C2143" s="10">
        <v>0.14100000000000001</v>
      </c>
      <c r="D2143" s="9" t="s">
        <v>1712</v>
      </c>
      <c r="E2143" s="11" t="s">
        <v>1736</v>
      </c>
      <c r="F2143" s="12" t="s">
        <v>1714</v>
      </c>
      <c r="G2143" s="9" t="s">
        <v>1709</v>
      </c>
    </row>
    <row r="2144" spans="1:7">
      <c r="A2144" s="9" t="s">
        <v>1711</v>
      </c>
      <c r="B2144" s="9">
        <v>0.2</v>
      </c>
      <c r="C2144" s="10">
        <v>0.27500000000000002</v>
      </c>
      <c r="D2144" s="9" t="s">
        <v>1712</v>
      </c>
      <c r="E2144" s="11" t="s">
        <v>1737</v>
      </c>
      <c r="F2144" s="12" t="s">
        <v>1714</v>
      </c>
      <c r="G2144" s="9" t="s">
        <v>1709</v>
      </c>
    </row>
    <row r="2145" spans="1:7">
      <c r="A2145" s="9" t="s">
        <v>1711</v>
      </c>
      <c r="B2145" s="9">
        <v>0.2</v>
      </c>
      <c r="C2145" s="10">
        <v>0.27500000000000002</v>
      </c>
      <c r="D2145" s="9" t="s">
        <v>1712</v>
      </c>
      <c r="E2145" s="11" t="s">
        <v>1737</v>
      </c>
      <c r="F2145" s="12" t="s">
        <v>1714</v>
      </c>
      <c r="G2145" s="9" t="s">
        <v>1709</v>
      </c>
    </row>
    <row r="2146" spans="1:7">
      <c r="A2146" s="9" t="s">
        <v>1711</v>
      </c>
      <c r="B2146" s="9">
        <v>0.2</v>
      </c>
      <c r="C2146" s="10">
        <v>1.819</v>
      </c>
      <c r="D2146" s="9" t="s">
        <v>1712</v>
      </c>
      <c r="E2146" s="11" t="s">
        <v>1737</v>
      </c>
      <c r="F2146" s="12" t="s">
        <v>1714</v>
      </c>
      <c r="G2146" s="9" t="s">
        <v>1709</v>
      </c>
    </row>
    <row r="2147" spans="1:7">
      <c r="A2147" s="9" t="s">
        <v>1711</v>
      </c>
      <c r="B2147" s="9">
        <v>0.2</v>
      </c>
      <c r="C2147" s="10">
        <v>1.819</v>
      </c>
      <c r="D2147" s="9" t="s">
        <v>1712</v>
      </c>
      <c r="E2147" s="11" t="s">
        <v>1737</v>
      </c>
      <c r="F2147" s="12" t="s">
        <v>1714</v>
      </c>
      <c r="G2147" s="9" t="s">
        <v>1709</v>
      </c>
    </row>
    <row r="2148" spans="1:7">
      <c r="A2148" s="9" t="s">
        <v>1711</v>
      </c>
      <c r="B2148" s="9">
        <v>0.2</v>
      </c>
      <c r="C2148" s="10">
        <v>-0.123</v>
      </c>
      <c r="D2148" s="9" t="s">
        <v>1709</v>
      </c>
      <c r="E2148" s="11" t="s">
        <v>1710</v>
      </c>
      <c r="F2148" s="12" t="s">
        <v>1710</v>
      </c>
      <c r="G2148" s="9" t="s">
        <v>1709</v>
      </c>
    </row>
    <row r="2149" spans="1:7">
      <c r="A2149" s="9" t="s">
        <v>1711</v>
      </c>
      <c r="B2149" s="9">
        <v>0.2</v>
      </c>
      <c r="C2149" s="10">
        <v>0.64100000000000001</v>
      </c>
      <c r="D2149" s="9" t="s">
        <v>1712</v>
      </c>
      <c r="E2149" s="11" t="s">
        <v>1738</v>
      </c>
      <c r="F2149" s="12" t="s">
        <v>1714</v>
      </c>
      <c r="G2149" s="9" t="s">
        <v>1709</v>
      </c>
    </row>
    <row r="2150" spans="1:7">
      <c r="A2150" s="9" t="s">
        <v>1711</v>
      </c>
      <c r="B2150" s="9">
        <v>0.2</v>
      </c>
      <c r="C2150" s="10">
        <v>3.0000000000000001E-3</v>
      </c>
      <c r="D2150" s="9" t="s">
        <v>1712</v>
      </c>
      <c r="E2150" s="11" t="s">
        <v>1738</v>
      </c>
      <c r="F2150" s="12" t="s">
        <v>1714</v>
      </c>
      <c r="G2150" s="9" t="s">
        <v>1709</v>
      </c>
    </row>
    <row r="2151" spans="1:7">
      <c r="A2151" s="9" t="s">
        <v>1711</v>
      </c>
      <c r="B2151" s="9">
        <v>0.2</v>
      </c>
      <c r="C2151" s="10">
        <v>1.9E-2</v>
      </c>
      <c r="D2151" s="9" t="s">
        <v>1712</v>
      </c>
      <c r="E2151" s="11" t="s">
        <v>1737</v>
      </c>
      <c r="F2151" s="12" t="s">
        <v>1714</v>
      </c>
      <c r="G2151" s="9" t="s">
        <v>1709</v>
      </c>
    </row>
    <row r="2152" spans="1:7">
      <c r="A2152" s="9" t="s">
        <v>1711</v>
      </c>
      <c r="B2152" s="9">
        <v>0.2</v>
      </c>
      <c r="C2152" s="10">
        <v>1.1829999999999998</v>
      </c>
      <c r="D2152" s="9" t="s">
        <v>1712</v>
      </c>
      <c r="E2152" s="11" t="s">
        <v>1738</v>
      </c>
      <c r="F2152" s="12" t="s">
        <v>1714</v>
      </c>
      <c r="G2152" s="9" t="s">
        <v>1709</v>
      </c>
    </row>
    <row r="2153" spans="1:7">
      <c r="A2153" s="9" t="s">
        <v>1711</v>
      </c>
      <c r="B2153" s="9">
        <v>0.2</v>
      </c>
      <c r="C2153" s="10">
        <v>1.2529999999999999</v>
      </c>
      <c r="D2153" s="9" t="s">
        <v>1712</v>
      </c>
      <c r="E2153" s="11" t="s">
        <v>1740</v>
      </c>
      <c r="F2153" s="12" t="s">
        <v>1714</v>
      </c>
      <c r="G2153" s="9" t="s">
        <v>1709</v>
      </c>
    </row>
    <row r="2154" spans="1:7">
      <c r="A2154" s="9" t="s">
        <v>1711</v>
      </c>
      <c r="B2154" s="9">
        <v>0.2</v>
      </c>
      <c r="C2154" s="10">
        <v>1.2529999999999999</v>
      </c>
      <c r="D2154" s="9" t="s">
        <v>1712</v>
      </c>
      <c r="E2154" s="11" t="s">
        <v>1740</v>
      </c>
      <c r="F2154" s="12" t="s">
        <v>1714</v>
      </c>
      <c r="G2154" s="9" t="s">
        <v>1709</v>
      </c>
    </row>
    <row r="2155" spans="1:7">
      <c r="A2155" s="9" t="s">
        <v>1711</v>
      </c>
      <c r="B2155" s="13">
        <v>0.2</v>
      </c>
      <c r="C2155" s="10">
        <v>1.2529999999999999</v>
      </c>
      <c r="D2155" s="9" t="s">
        <v>1712</v>
      </c>
      <c r="E2155" s="11" t="s">
        <v>1740</v>
      </c>
      <c r="F2155" s="12" t="s">
        <v>1714</v>
      </c>
      <c r="G2155" s="9" t="s">
        <v>1709</v>
      </c>
    </row>
    <row r="2156" spans="1:7">
      <c r="A2156" s="9" t="s">
        <v>1711</v>
      </c>
      <c r="B2156" s="13">
        <v>0.2</v>
      </c>
      <c r="C2156" s="10">
        <v>1.2529999999999999</v>
      </c>
      <c r="D2156" s="9" t="s">
        <v>1712</v>
      </c>
      <c r="E2156" s="11" t="s">
        <v>1740</v>
      </c>
      <c r="F2156" s="12" t="s">
        <v>1714</v>
      </c>
      <c r="G2156" s="9" t="s">
        <v>1709</v>
      </c>
    </row>
    <row r="2157" spans="1:7">
      <c r="A2157" s="9" t="s">
        <v>1711</v>
      </c>
      <c r="B2157" s="9">
        <v>0.2</v>
      </c>
      <c r="C2157" s="10">
        <v>1.2529999999999999</v>
      </c>
      <c r="D2157" s="9" t="s">
        <v>1712</v>
      </c>
      <c r="E2157" s="11" t="s">
        <v>1740</v>
      </c>
      <c r="F2157" s="12" t="s">
        <v>1714</v>
      </c>
      <c r="G2157" s="9" t="s">
        <v>1709</v>
      </c>
    </row>
    <row r="2158" spans="1:7">
      <c r="A2158" s="9" t="s">
        <v>1711</v>
      </c>
      <c r="B2158" s="9">
        <v>0.2</v>
      </c>
      <c r="C2158" s="10">
        <v>2.323</v>
      </c>
      <c r="D2158" s="9" t="s">
        <v>1712</v>
      </c>
      <c r="E2158" s="11" t="s">
        <v>1737</v>
      </c>
      <c r="F2158" s="12" t="s">
        <v>1714</v>
      </c>
      <c r="G2158" s="9" t="s">
        <v>1709</v>
      </c>
    </row>
    <row r="2159" spans="1:7">
      <c r="A2159" s="9" t="s">
        <v>1711</v>
      </c>
      <c r="B2159" s="13">
        <v>0.2</v>
      </c>
      <c r="C2159" s="10">
        <v>2.323</v>
      </c>
      <c r="D2159" s="9" t="s">
        <v>1712</v>
      </c>
      <c r="E2159" s="11" t="s">
        <v>1737</v>
      </c>
      <c r="F2159" s="12" t="s">
        <v>1714</v>
      </c>
      <c r="G2159" s="9" t="s">
        <v>1709</v>
      </c>
    </row>
    <row r="2160" spans="1:7">
      <c r="A2160" s="9" t="s">
        <v>1711</v>
      </c>
      <c r="B2160" s="13">
        <v>0.2</v>
      </c>
      <c r="C2160" s="10">
        <v>1.9E-2</v>
      </c>
      <c r="D2160" s="9" t="s">
        <v>1712</v>
      </c>
      <c r="E2160" s="11" t="s">
        <v>1737</v>
      </c>
      <c r="F2160" s="12" t="s">
        <v>1714</v>
      </c>
      <c r="G2160" s="9" t="s">
        <v>1709</v>
      </c>
    </row>
    <row r="2161" spans="1:7">
      <c r="A2161" s="9" t="s">
        <v>1711</v>
      </c>
      <c r="B2161" s="13">
        <v>0.2</v>
      </c>
      <c r="C2161" s="10">
        <v>-9.4E-2</v>
      </c>
      <c r="D2161" s="9" t="s">
        <v>1709</v>
      </c>
      <c r="E2161" s="11" t="s">
        <v>1710</v>
      </c>
      <c r="F2161" s="12" t="s">
        <v>1710</v>
      </c>
      <c r="G2161" s="9" t="s">
        <v>1709</v>
      </c>
    </row>
    <row r="2162" spans="1:7">
      <c r="A2162" s="9" t="s">
        <v>1711</v>
      </c>
      <c r="B2162" s="9">
        <v>0.2</v>
      </c>
      <c r="C2162" s="10">
        <v>1.0259999999999998</v>
      </c>
      <c r="D2162" s="9" t="s">
        <v>1712</v>
      </c>
      <c r="E2162" s="11" t="s">
        <v>1713</v>
      </c>
      <c r="F2162" s="12" t="s">
        <v>1714</v>
      </c>
      <c r="G2162" s="9" t="s">
        <v>1709</v>
      </c>
    </row>
    <row r="2163" spans="1:7">
      <c r="A2163" s="9" t="s">
        <v>1711</v>
      </c>
      <c r="B2163" s="13">
        <v>0.2</v>
      </c>
      <c r="C2163" s="10">
        <v>0.75600000000000001</v>
      </c>
      <c r="D2163" s="9" t="s">
        <v>1712</v>
      </c>
      <c r="E2163" s="11" t="s">
        <v>1738</v>
      </c>
      <c r="F2163" s="12" t="s">
        <v>1714</v>
      </c>
      <c r="G2163" s="9" t="s">
        <v>1709</v>
      </c>
    </row>
    <row r="2164" spans="1:7">
      <c r="A2164" s="9" t="s">
        <v>1711</v>
      </c>
      <c r="B2164" s="13">
        <v>0.2</v>
      </c>
      <c r="C2164" s="10">
        <v>1.819</v>
      </c>
      <c r="D2164" s="9" t="s">
        <v>1712</v>
      </c>
      <c r="E2164" s="11" t="s">
        <v>1737</v>
      </c>
      <c r="F2164" s="12" t="s">
        <v>1714</v>
      </c>
      <c r="G2164" s="9" t="s">
        <v>1709</v>
      </c>
    </row>
    <row r="2165" spans="1:7">
      <c r="A2165" s="9" t="s">
        <v>1711</v>
      </c>
      <c r="B2165" s="13">
        <v>0.2</v>
      </c>
      <c r="C2165" s="10">
        <v>2.4670000000000001</v>
      </c>
      <c r="D2165" s="9" t="s">
        <v>1712</v>
      </c>
      <c r="E2165" s="11" t="s">
        <v>1737</v>
      </c>
      <c r="F2165" s="12" t="s">
        <v>1714</v>
      </c>
      <c r="G2165" s="9" t="s">
        <v>1709</v>
      </c>
    </row>
    <row r="2166" spans="1:7">
      <c r="A2166" s="9" t="s">
        <v>1711</v>
      </c>
      <c r="B2166" s="13">
        <v>0.2</v>
      </c>
      <c r="C2166" s="10">
        <v>5.1999999999999998E-2</v>
      </c>
      <c r="D2166" s="9" t="s">
        <v>1712</v>
      </c>
      <c r="E2166" s="11" t="s">
        <v>1738</v>
      </c>
      <c r="F2166" s="12" t="s">
        <v>1714</v>
      </c>
      <c r="G2166" s="9" t="s">
        <v>1709</v>
      </c>
    </row>
    <row r="2167" spans="1:7">
      <c r="A2167" s="9" t="s">
        <v>1711</v>
      </c>
      <c r="B2167" s="9">
        <v>0.2</v>
      </c>
      <c r="C2167" s="10">
        <v>0.121</v>
      </c>
      <c r="D2167" s="9" t="s">
        <v>1712</v>
      </c>
      <c r="E2167" s="11" t="s">
        <v>1713</v>
      </c>
      <c r="F2167" s="12" t="s">
        <v>1714</v>
      </c>
      <c r="G2167" s="9" t="s">
        <v>1709</v>
      </c>
    </row>
    <row r="2168" spans="1:7">
      <c r="A2168" s="9" t="s">
        <v>1711</v>
      </c>
      <c r="B2168" s="9">
        <v>0.2</v>
      </c>
      <c r="C2168" s="10">
        <v>1.853</v>
      </c>
      <c r="D2168" s="9" t="s">
        <v>1712</v>
      </c>
      <c r="E2168" s="11" t="s">
        <v>1715</v>
      </c>
      <c r="F2168" s="12" t="s">
        <v>1714</v>
      </c>
      <c r="G2168" s="9" t="s">
        <v>1709</v>
      </c>
    </row>
    <row r="2169" spans="1:7">
      <c r="A2169" s="9" t="s">
        <v>1711</v>
      </c>
      <c r="B2169" s="9">
        <v>0.2</v>
      </c>
      <c r="C2169" s="10">
        <v>3.198</v>
      </c>
      <c r="D2169" s="9" t="s">
        <v>1712</v>
      </c>
      <c r="E2169" s="11" t="s">
        <v>1713</v>
      </c>
      <c r="F2169" s="12" t="s">
        <v>1714</v>
      </c>
      <c r="G2169" s="9" t="s">
        <v>1709</v>
      </c>
    </row>
    <row r="2170" spans="1:7">
      <c r="A2170" s="9" t="s">
        <v>1711</v>
      </c>
      <c r="B2170" s="9">
        <v>0.2</v>
      </c>
      <c r="C2170" s="10">
        <v>0.12</v>
      </c>
      <c r="D2170" s="9" t="s">
        <v>1712</v>
      </c>
      <c r="E2170" s="11" t="s">
        <v>1715</v>
      </c>
      <c r="F2170" s="12" t="s">
        <v>1714</v>
      </c>
      <c r="G2170" s="9" t="s">
        <v>1709</v>
      </c>
    </row>
    <row r="2171" spans="1:7">
      <c r="A2171" s="9" t="s">
        <v>1711</v>
      </c>
      <c r="B2171" s="9">
        <v>0.2</v>
      </c>
      <c r="C2171" s="10">
        <v>0.77400000000000002</v>
      </c>
      <c r="D2171" s="9" t="s">
        <v>1712</v>
      </c>
      <c r="E2171" s="11" t="s">
        <v>1737</v>
      </c>
      <c r="F2171" s="12" t="s">
        <v>1714</v>
      </c>
      <c r="G2171" s="9" t="s">
        <v>1709</v>
      </c>
    </row>
    <row r="2172" spans="1:7">
      <c r="A2172" s="9" t="s">
        <v>1711</v>
      </c>
      <c r="B2172" s="9">
        <v>0.2</v>
      </c>
      <c r="C2172" s="10">
        <v>0.36099999999999999</v>
      </c>
      <c r="D2172" s="9" t="s">
        <v>1712</v>
      </c>
      <c r="E2172" s="11" t="s">
        <v>1737</v>
      </c>
      <c r="F2172" s="12" t="s">
        <v>1714</v>
      </c>
      <c r="G2172" s="9" t="s">
        <v>1709</v>
      </c>
    </row>
    <row r="2173" spans="1:7">
      <c r="A2173" s="9" t="s">
        <v>1711</v>
      </c>
      <c r="B2173" s="9">
        <v>0.2</v>
      </c>
      <c r="C2173" s="10">
        <v>0.10100000000000001</v>
      </c>
      <c r="D2173" s="9" t="s">
        <v>1712</v>
      </c>
      <c r="E2173" s="11" t="s">
        <v>1737</v>
      </c>
      <c r="F2173" s="12" t="s">
        <v>1714</v>
      </c>
      <c r="G2173" s="9" t="s">
        <v>1709</v>
      </c>
    </row>
    <row r="2174" spans="1:7">
      <c r="A2174" s="9" t="s">
        <v>1711</v>
      </c>
      <c r="B2174" s="9">
        <v>0.2</v>
      </c>
      <c r="C2174" s="10">
        <v>2.63</v>
      </c>
      <c r="D2174" s="9" t="s">
        <v>1712</v>
      </c>
      <c r="E2174" s="11" t="s">
        <v>1713</v>
      </c>
      <c r="F2174" s="12" t="s">
        <v>1714</v>
      </c>
      <c r="G2174" s="9" t="s">
        <v>1709</v>
      </c>
    </row>
    <row r="2175" spans="1:7">
      <c r="A2175" s="9" t="s">
        <v>1711</v>
      </c>
      <c r="B2175" s="9">
        <v>0.2</v>
      </c>
      <c r="C2175" s="10">
        <v>-1.8000000000000002E-2</v>
      </c>
      <c r="D2175" s="9" t="s">
        <v>1709</v>
      </c>
      <c r="E2175" s="11" t="s">
        <v>1710</v>
      </c>
      <c r="F2175" s="12" t="s">
        <v>1710</v>
      </c>
      <c r="G2175" s="9" t="s">
        <v>1709</v>
      </c>
    </row>
    <row r="2176" spans="1:7">
      <c r="A2176" s="9" t="s">
        <v>1711</v>
      </c>
      <c r="B2176" s="9">
        <v>0.2</v>
      </c>
      <c r="C2176" s="10">
        <v>2.63</v>
      </c>
      <c r="D2176" s="9" t="s">
        <v>1712</v>
      </c>
      <c r="E2176" s="11" t="s">
        <v>1739</v>
      </c>
      <c r="F2176" s="12" t="s">
        <v>1714</v>
      </c>
      <c r="G2176" s="9" t="s">
        <v>1709</v>
      </c>
    </row>
    <row r="2177" spans="1:7">
      <c r="A2177" s="9" t="s">
        <v>1711</v>
      </c>
      <c r="B2177" s="9">
        <v>0.2</v>
      </c>
      <c r="C2177" s="10">
        <v>2.63</v>
      </c>
      <c r="D2177" s="9" t="s">
        <v>1712</v>
      </c>
      <c r="E2177" s="11" t="s">
        <v>1739</v>
      </c>
      <c r="F2177" s="12" t="s">
        <v>1714</v>
      </c>
      <c r="G2177" s="9" t="s">
        <v>1709</v>
      </c>
    </row>
    <row r="2178" spans="1:7">
      <c r="A2178" s="9" t="s">
        <v>1711</v>
      </c>
      <c r="B2178" s="9">
        <v>0.2</v>
      </c>
      <c r="C2178" s="10">
        <v>2.63</v>
      </c>
      <c r="D2178" s="9" t="s">
        <v>1712</v>
      </c>
      <c r="E2178" s="11" t="s">
        <v>1739</v>
      </c>
      <c r="F2178" s="12" t="s">
        <v>1714</v>
      </c>
      <c r="G2178" s="9" t="s">
        <v>1709</v>
      </c>
    </row>
    <row r="2179" spans="1:7">
      <c r="A2179" s="9" t="s">
        <v>1711</v>
      </c>
      <c r="B2179" s="9">
        <v>0.2</v>
      </c>
      <c r="C2179" s="10">
        <v>2.63</v>
      </c>
      <c r="D2179" s="9" t="s">
        <v>1712</v>
      </c>
      <c r="E2179" s="11" t="s">
        <v>1739</v>
      </c>
      <c r="F2179" s="12" t="s">
        <v>1714</v>
      </c>
      <c r="G2179" s="9" t="s">
        <v>1709</v>
      </c>
    </row>
    <row r="2180" spans="1:7">
      <c r="A2180" s="9" t="s">
        <v>1711</v>
      </c>
      <c r="B2180" s="9">
        <v>0.2</v>
      </c>
      <c r="C2180" s="10">
        <v>2.63</v>
      </c>
      <c r="D2180" s="9" t="s">
        <v>1712</v>
      </c>
      <c r="E2180" s="11" t="s">
        <v>1739</v>
      </c>
      <c r="F2180" s="12" t="s">
        <v>1714</v>
      </c>
      <c r="G2180" s="9" t="s">
        <v>1709</v>
      </c>
    </row>
    <row r="2181" spans="1:7">
      <c r="A2181" s="9" t="s">
        <v>1711</v>
      </c>
      <c r="B2181" s="9">
        <v>0.2</v>
      </c>
      <c r="C2181" s="10">
        <v>2.63</v>
      </c>
      <c r="D2181" s="9" t="s">
        <v>1712</v>
      </c>
      <c r="E2181" s="11" t="s">
        <v>1739</v>
      </c>
      <c r="F2181" s="12" t="s">
        <v>1714</v>
      </c>
      <c r="G2181" s="9" t="s">
        <v>1709</v>
      </c>
    </row>
    <row r="2182" spans="1:7">
      <c r="A2182" s="9" t="s">
        <v>1711</v>
      </c>
      <c r="B2182" s="9">
        <v>0.2</v>
      </c>
      <c r="C2182" s="10">
        <v>0.5</v>
      </c>
      <c r="D2182" s="9" t="s">
        <v>1712</v>
      </c>
      <c r="E2182" s="11" t="s">
        <v>1739</v>
      </c>
      <c r="F2182" s="12" t="s">
        <v>1714</v>
      </c>
      <c r="G2182" s="9" t="s">
        <v>1709</v>
      </c>
    </row>
    <row r="2183" spans="1:7">
      <c r="A2183" s="9" t="s">
        <v>1711</v>
      </c>
      <c r="B2183" s="9">
        <v>0.2</v>
      </c>
      <c r="C2183" s="10">
        <v>0.51700000000000002</v>
      </c>
      <c r="D2183" s="9" t="s">
        <v>1712</v>
      </c>
      <c r="E2183" s="11" t="s">
        <v>1739</v>
      </c>
      <c r="F2183" s="12" t="s">
        <v>1714</v>
      </c>
      <c r="G2183" s="9" t="s">
        <v>1709</v>
      </c>
    </row>
    <row r="2184" spans="1:7">
      <c r="A2184" s="9" t="s">
        <v>1711</v>
      </c>
      <c r="B2184" s="9">
        <v>0.2</v>
      </c>
      <c r="C2184" s="10">
        <v>1.119</v>
      </c>
      <c r="D2184" s="9" t="s">
        <v>1712</v>
      </c>
      <c r="E2184" s="11" t="s">
        <v>1736</v>
      </c>
      <c r="F2184" s="12" t="s">
        <v>1714</v>
      </c>
      <c r="G2184" s="9" t="s">
        <v>1709</v>
      </c>
    </row>
    <row r="2185" spans="1:7">
      <c r="A2185" s="9" t="s">
        <v>1711</v>
      </c>
      <c r="B2185" s="9">
        <v>0.2</v>
      </c>
      <c r="C2185" s="10">
        <v>0.505</v>
      </c>
      <c r="D2185" s="9" t="s">
        <v>1712</v>
      </c>
      <c r="E2185" s="11" t="s">
        <v>1737</v>
      </c>
      <c r="F2185" s="12" t="s">
        <v>1714</v>
      </c>
      <c r="G2185" s="9" t="s">
        <v>1709</v>
      </c>
    </row>
    <row r="2186" spans="1:7">
      <c r="A2186" s="9" t="s">
        <v>1711</v>
      </c>
      <c r="B2186" s="9">
        <v>0.2</v>
      </c>
      <c r="C2186" s="10">
        <v>0.47799999999999998</v>
      </c>
      <c r="D2186" s="9" t="s">
        <v>1712</v>
      </c>
      <c r="E2186" s="11" t="s">
        <v>1713</v>
      </c>
      <c r="F2186" s="12" t="s">
        <v>1714</v>
      </c>
      <c r="G2186" s="9" t="s">
        <v>1709</v>
      </c>
    </row>
    <row r="2187" spans="1:7">
      <c r="A2187" s="9" t="s">
        <v>1711</v>
      </c>
      <c r="B2187" s="9">
        <v>0.2</v>
      </c>
      <c r="C2187" s="10">
        <v>-4.5999999999999999E-2</v>
      </c>
      <c r="D2187" s="9" t="s">
        <v>1709</v>
      </c>
      <c r="E2187" s="11" t="s">
        <v>1710</v>
      </c>
      <c r="F2187" s="12" t="s">
        <v>1710</v>
      </c>
      <c r="G2187" s="9" t="s">
        <v>1709</v>
      </c>
    </row>
    <row r="2188" spans="1:7">
      <c r="A2188" s="9" t="s">
        <v>1711</v>
      </c>
      <c r="B2188" s="9">
        <v>0.2</v>
      </c>
      <c r="C2188" s="10">
        <v>-0.115</v>
      </c>
      <c r="D2188" s="9" t="s">
        <v>1709</v>
      </c>
      <c r="E2188" s="11" t="s">
        <v>1710</v>
      </c>
      <c r="F2188" s="12" t="s">
        <v>1710</v>
      </c>
      <c r="G2188" s="9" t="s">
        <v>1709</v>
      </c>
    </row>
    <row r="2189" spans="1:7">
      <c r="A2189" s="9" t="s">
        <v>1711</v>
      </c>
      <c r="B2189" s="9">
        <v>0.2</v>
      </c>
      <c r="C2189" s="10">
        <v>5.1999999999999998E-2</v>
      </c>
      <c r="D2189" s="9" t="s">
        <v>1712</v>
      </c>
      <c r="E2189" s="11" t="s">
        <v>1736</v>
      </c>
      <c r="F2189" s="12" t="s">
        <v>1714</v>
      </c>
      <c r="G2189" s="9" t="s">
        <v>1709</v>
      </c>
    </row>
    <row r="2190" spans="1:7">
      <c r="A2190" s="9" t="s">
        <v>1711</v>
      </c>
      <c r="B2190" s="9">
        <v>0.2</v>
      </c>
      <c r="C2190" s="10">
        <v>5.1999999999999998E-2</v>
      </c>
      <c r="D2190" s="9" t="s">
        <v>1712</v>
      </c>
      <c r="E2190" s="11" t="s">
        <v>1736</v>
      </c>
      <c r="F2190" s="12" t="s">
        <v>1714</v>
      </c>
      <c r="G2190" s="9" t="s">
        <v>1709</v>
      </c>
    </row>
    <row r="2191" spans="1:7">
      <c r="A2191" s="9" t="s">
        <v>1711</v>
      </c>
      <c r="B2191" s="9">
        <v>0.2</v>
      </c>
      <c r="C2191" s="10">
        <v>5.1999999999999998E-2</v>
      </c>
      <c r="D2191" s="9" t="s">
        <v>1712</v>
      </c>
      <c r="E2191" s="11" t="s">
        <v>1736</v>
      </c>
      <c r="F2191" s="12" t="s">
        <v>1714</v>
      </c>
      <c r="G2191" s="9" t="s">
        <v>1709</v>
      </c>
    </row>
    <row r="2192" spans="1:7">
      <c r="A2192" s="9" t="s">
        <v>1711</v>
      </c>
      <c r="B2192" s="13">
        <v>0.2</v>
      </c>
      <c r="C2192" s="10">
        <v>5.1999999999999998E-2</v>
      </c>
      <c r="D2192" s="9" t="s">
        <v>1712</v>
      </c>
      <c r="E2192" s="11" t="s">
        <v>1736</v>
      </c>
      <c r="F2192" s="12" t="s">
        <v>1714</v>
      </c>
      <c r="G2192" s="9" t="s">
        <v>1709</v>
      </c>
    </row>
    <row r="2193" spans="1:7">
      <c r="A2193" s="9" t="s">
        <v>1711</v>
      </c>
      <c r="B2193" s="13">
        <v>0.2</v>
      </c>
      <c r="C2193" s="10">
        <v>5.1999999999999998E-2</v>
      </c>
      <c r="D2193" s="9" t="s">
        <v>1712</v>
      </c>
      <c r="E2193" s="11" t="s">
        <v>1736</v>
      </c>
      <c r="F2193" s="12" t="s">
        <v>1714</v>
      </c>
      <c r="G2193" s="9" t="s">
        <v>1709</v>
      </c>
    </row>
    <row r="2194" spans="1:7">
      <c r="A2194" s="9" t="s">
        <v>1711</v>
      </c>
      <c r="B2194" s="13">
        <v>0.2</v>
      </c>
      <c r="C2194" s="10">
        <v>5.1999999999999998E-2</v>
      </c>
      <c r="D2194" s="9" t="s">
        <v>1712</v>
      </c>
      <c r="E2194" s="11" t="s">
        <v>1736</v>
      </c>
      <c r="F2194" s="12" t="s">
        <v>1714</v>
      </c>
      <c r="G2194" s="9" t="s">
        <v>1709</v>
      </c>
    </row>
    <row r="2195" spans="1:7">
      <c r="A2195" s="9" t="s">
        <v>1711</v>
      </c>
      <c r="B2195" s="13">
        <v>0.2</v>
      </c>
      <c r="C2195" s="10">
        <v>5.1999999999999998E-2</v>
      </c>
      <c r="D2195" s="9" t="s">
        <v>1712</v>
      </c>
      <c r="E2195" s="11" t="s">
        <v>1736</v>
      </c>
      <c r="F2195" s="12" t="s">
        <v>1714</v>
      </c>
      <c r="G2195" s="9" t="s">
        <v>1709</v>
      </c>
    </row>
    <row r="2196" spans="1:7">
      <c r="A2196" s="9" t="s">
        <v>1711</v>
      </c>
      <c r="B2196" s="13">
        <v>0.2</v>
      </c>
      <c r="C2196" s="10">
        <v>3.5000000000000003E-2</v>
      </c>
      <c r="D2196" s="9" t="s">
        <v>1712</v>
      </c>
      <c r="E2196" s="11" t="s">
        <v>1736</v>
      </c>
      <c r="F2196" s="12" t="s">
        <v>1714</v>
      </c>
      <c r="G2196" s="9" t="s">
        <v>1709</v>
      </c>
    </row>
    <row r="2197" spans="1:7">
      <c r="A2197" s="9" t="s">
        <v>1711</v>
      </c>
      <c r="B2197" s="9">
        <v>0.2</v>
      </c>
      <c r="C2197" s="10">
        <v>3.5000000000000003E-2</v>
      </c>
      <c r="D2197" s="9" t="s">
        <v>1712</v>
      </c>
      <c r="E2197" s="11" t="s">
        <v>1736</v>
      </c>
      <c r="F2197" s="12" t="s">
        <v>1714</v>
      </c>
      <c r="G2197" s="9" t="s">
        <v>1709</v>
      </c>
    </row>
    <row r="2198" spans="1:7">
      <c r="A2198" s="9" t="s">
        <v>1711</v>
      </c>
      <c r="B2198" s="9">
        <v>0.2</v>
      </c>
      <c r="C2198" s="10">
        <v>3.5000000000000003E-2</v>
      </c>
      <c r="D2198" s="9" t="s">
        <v>1712</v>
      </c>
      <c r="E2198" s="11" t="s">
        <v>1736</v>
      </c>
      <c r="F2198" s="12" t="s">
        <v>1714</v>
      </c>
      <c r="G2198" s="9" t="s">
        <v>1709</v>
      </c>
    </row>
    <row r="2199" spans="1:7">
      <c r="A2199" s="9" t="s">
        <v>1711</v>
      </c>
      <c r="B2199" s="9">
        <v>0.2</v>
      </c>
      <c r="C2199" s="10">
        <v>5.2999999999999999E-2</v>
      </c>
      <c r="D2199" s="9" t="s">
        <v>1712</v>
      </c>
      <c r="E2199" s="11" t="s">
        <v>1736</v>
      </c>
      <c r="F2199" s="12" t="s">
        <v>1714</v>
      </c>
      <c r="G2199" s="9" t="s">
        <v>1709</v>
      </c>
    </row>
    <row r="2200" spans="1:7">
      <c r="A2200" s="9" t="s">
        <v>1711</v>
      </c>
      <c r="B2200" s="9">
        <v>0.2</v>
      </c>
      <c r="C2200" s="10">
        <v>-0.19</v>
      </c>
      <c r="D2200" s="9" t="s">
        <v>1709</v>
      </c>
      <c r="E2200" s="11" t="s">
        <v>1710</v>
      </c>
      <c r="F2200" s="12" t="s">
        <v>1710</v>
      </c>
      <c r="G2200" s="9" t="s">
        <v>1709</v>
      </c>
    </row>
    <row r="2201" spans="1:7">
      <c r="A2201" s="9" t="s">
        <v>1711</v>
      </c>
      <c r="B2201" s="9">
        <v>0.2</v>
      </c>
      <c r="C2201" s="10">
        <v>-0.19400000000000001</v>
      </c>
      <c r="D2201" s="9" t="s">
        <v>1709</v>
      </c>
      <c r="E2201" s="11" t="s">
        <v>1710</v>
      </c>
      <c r="F2201" s="12" t="s">
        <v>1710</v>
      </c>
      <c r="G2201" s="9" t="s">
        <v>1709</v>
      </c>
    </row>
    <row r="2202" spans="1:7">
      <c r="A2202" s="9" t="s">
        <v>1711</v>
      </c>
      <c r="B2202" s="9">
        <v>0.2</v>
      </c>
      <c r="C2202" s="10">
        <v>-0.19400000000000001</v>
      </c>
      <c r="D2202" s="9" t="s">
        <v>1709</v>
      </c>
      <c r="E2202" s="11" t="s">
        <v>1710</v>
      </c>
      <c r="F2202" s="12" t="s">
        <v>1710</v>
      </c>
      <c r="G2202" s="9" t="s">
        <v>1709</v>
      </c>
    </row>
    <row r="2203" spans="1:7">
      <c r="A2203" s="9" t="s">
        <v>1711</v>
      </c>
      <c r="B2203" s="9">
        <v>0.2</v>
      </c>
      <c r="C2203" s="10">
        <v>0.79800000000000004</v>
      </c>
      <c r="D2203" s="9" t="s">
        <v>1712</v>
      </c>
      <c r="E2203" s="11" t="s">
        <v>1738</v>
      </c>
      <c r="F2203" s="12" t="s">
        <v>1714</v>
      </c>
      <c r="G2203" s="9" t="s">
        <v>1709</v>
      </c>
    </row>
    <row r="2204" spans="1:7">
      <c r="A2204" s="9" t="s">
        <v>1711</v>
      </c>
      <c r="B2204" s="9">
        <v>0.2</v>
      </c>
      <c r="C2204" s="10">
        <v>2.7479999999999998</v>
      </c>
      <c r="D2204" s="9" t="s">
        <v>1712</v>
      </c>
      <c r="E2204" s="11" t="s">
        <v>1738</v>
      </c>
      <c r="F2204" s="12" t="s">
        <v>1714</v>
      </c>
      <c r="G2204" s="9" t="s">
        <v>1709</v>
      </c>
    </row>
    <row r="2205" spans="1:7">
      <c r="A2205" s="9" t="s">
        <v>1711</v>
      </c>
      <c r="B2205" s="9">
        <v>0.2</v>
      </c>
      <c r="C2205" s="10">
        <v>0.77900000000000003</v>
      </c>
      <c r="D2205" s="9" t="s">
        <v>1712</v>
      </c>
      <c r="E2205" s="11" t="s">
        <v>1713</v>
      </c>
      <c r="F2205" s="12" t="s">
        <v>1714</v>
      </c>
      <c r="G2205" s="9" t="s">
        <v>1709</v>
      </c>
    </row>
    <row r="2206" spans="1:7">
      <c r="A2206" s="9" t="s">
        <v>1711</v>
      </c>
      <c r="B2206" s="9">
        <v>0.2</v>
      </c>
      <c r="C2206" s="10">
        <v>0.50800000000000001</v>
      </c>
      <c r="D2206" s="9" t="s">
        <v>1712</v>
      </c>
      <c r="E2206" s="11" t="s">
        <v>1713</v>
      </c>
      <c r="F2206" s="12" t="s">
        <v>1714</v>
      </c>
      <c r="G2206" s="9" t="s">
        <v>1709</v>
      </c>
    </row>
    <row r="2207" spans="1:7">
      <c r="A2207" s="9" t="s">
        <v>1711</v>
      </c>
      <c r="B2207" s="13">
        <v>0.2</v>
      </c>
      <c r="C2207" s="10">
        <v>0.54700000000000004</v>
      </c>
      <c r="D2207" s="9" t="s">
        <v>1712</v>
      </c>
      <c r="E2207" s="11" t="s">
        <v>1713</v>
      </c>
      <c r="F2207" s="12" t="s">
        <v>1714</v>
      </c>
      <c r="G2207" s="9" t="s">
        <v>1709</v>
      </c>
    </row>
    <row r="2208" spans="1:7">
      <c r="A2208" s="9" t="s">
        <v>1711</v>
      </c>
      <c r="B2208" s="13">
        <v>0.2</v>
      </c>
      <c r="C2208" s="10">
        <v>0.54700000000000004</v>
      </c>
      <c r="D2208" s="9" t="s">
        <v>1712</v>
      </c>
      <c r="E2208" s="11" t="s">
        <v>1713</v>
      </c>
      <c r="F2208" s="12" t="s">
        <v>1714</v>
      </c>
      <c r="G2208" s="9" t="s">
        <v>1709</v>
      </c>
    </row>
    <row r="2209" spans="1:7">
      <c r="A2209" s="9" t="s">
        <v>1711</v>
      </c>
      <c r="B2209" s="13">
        <v>0.2</v>
      </c>
      <c r="C2209" s="10">
        <v>0.55500000000000005</v>
      </c>
      <c r="D2209" s="9" t="s">
        <v>1712</v>
      </c>
      <c r="E2209" s="11" t="s">
        <v>1713</v>
      </c>
      <c r="F2209" s="12" t="s">
        <v>1714</v>
      </c>
      <c r="G2209" s="9" t="s">
        <v>1709</v>
      </c>
    </row>
    <row r="2210" spans="1:7">
      <c r="A2210" s="9" t="s">
        <v>1711</v>
      </c>
      <c r="B2210" s="13">
        <v>0.2</v>
      </c>
      <c r="C2210" s="10">
        <v>0.55500000000000005</v>
      </c>
      <c r="D2210" s="9" t="s">
        <v>1712</v>
      </c>
      <c r="E2210" s="11" t="s">
        <v>1713</v>
      </c>
      <c r="F2210" s="12" t="s">
        <v>1714</v>
      </c>
      <c r="G2210" s="9" t="s">
        <v>1709</v>
      </c>
    </row>
    <row r="2211" spans="1:7">
      <c r="A2211" s="9" t="s">
        <v>1711</v>
      </c>
      <c r="B2211" s="13">
        <v>0.2</v>
      </c>
      <c r="C2211" s="10">
        <v>1.333</v>
      </c>
      <c r="D2211" s="9" t="s">
        <v>1712</v>
      </c>
      <c r="E2211" s="11" t="s">
        <v>1713</v>
      </c>
      <c r="F2211" s="12" t="s">
        <v>1714</v>
      </c>
      <c r="G2211" s="9" t="s">
        <v>1709</v>
      </c>
    </row>
    <row r="2212" spans="1:7">
      <c r="A2212" s="9" t="s">
        <v>1711</v>
      </c>
      <c r="B2212" s="9">
        <v>0.2</v>
      </c>
      <c r="C2212" s="10">
        <v>1.333</v>
      </c>
      <c r="D2212" s="9" t="s">
        <v>1712</v>
      </c>
      <c r="E2212" s="11" t="s">
        <v>1713</v>
      </c>
      <c r="F2212" s="12" t="s">
        <v>1714</v>
      </c>
      <c r="G2212" s="9" t="s">
        <v>1709</v>
      </c>
    </row>
    <row r="2213" spans="1:7">
      <c r="A2213" s="9" t="s">
        <v>1711</v>
      </c>
      <c r="B2213" s="13">
        <v>0.2</v>
      </c>
      <c r="C2213" s="10">
        <v>1.333</v>
      </c>
      <c r="D2213" s="9" t="s">
        <v>1712</v>
      </c>
      <c r="E2213" s="11" t="s">
        <v>1713</v>
      </c>
      <c r="F2213" s="12" t="s">
        <v>1714</v>
      </c>
      <c r="G2213" s="9" t="s">
        <v>1709</v>
      </c>
    </row>
    <row r="2214" spans="1:7">
      <c r="A2214" s="9" t="s">
        <v>1711</v>
      </c>
      <c r="B2214" s="13">
        <v>0.2</v>
      </c>
      <c r="C2214" s="10">
        <v>-0.123</v>
      </c>
      <c r="D2214" s="9" t="s">
        <v>1709</v>
      </c>
      <c r="E2214" s="11" t="s">
        <v>1710</v>
      </c>
      <c r="F2214" s="12" t="s">
        <v>1710</v>
      </c>
      <c r="G2214" s="9" t="s">
        <v>1709</v>
      </c>
    </row>
    <row r="2215" spans="1:7">
      <c r="A2215" s="9" t="s">
        <v>1711</v>
      </c>
      <c r="B2215" s="9">
        <v>0.2</v>
      </c>
      <c r="C2215" s="10">
        <v>0.54700000000000004</v>
      </c>
      <c r="D2215" s="9" t="s">
        <v>1712</v>
      </c>
      <c r="E2215" s="11" t="s">
        <v>1737</v>
      </c>
      <c r="F2215" s="12" t="s">
        <v>1714</v>
      </c>
      <c r="G2215" s="9" t="s">
        <v>1709</v>
      </c>
    </row>
    <row r="2216" spans="1:7">
      <c r="A2216" s="9" t="s">
        <v>1711</v>
      </c>
      <c r="B2216" s="13">
        <v>0.2</v>
      </c>
      <c r="C2216" s="10">
        <v>1.3000000000000001E-2</v>
      </c>
      <c r="D2216" s="9" t="s">
        <v>1712</v>
      </c>
      <c r="E2216" s="11" t="s">
        <v>1737</v>
      </c>
      <c r="F2216" s="12" t="s">
        <v>1714</v>
      </c>
      <c r="G2216" s="9" t="s">
        <v>1709</v>
      </c>
    </row>
    <row r="2217" spans="1:7">
      <c r="A2217" s="9" t="s">
        <v>1711</v>
      </c>
      <c r="B2217" s="13">
        <v>0.2</v>
      </c>
      <c r="C2217" s="10">
        <v>0.55500000000000005</v>
      </c>
      <c r="D2217" s="9" t="s">
        <v>1712</v>
      </c>
      <c r="E2217" s="11" t="s">
        <v>1737</v>
      </c>
      <c r="F2217" s="12" t="s">
        <v>1714</v>
      </c>
      <c r="G2217" s="9" t="s">
        <v>1709</v>
      </c>
    </row>
    <row r="2218" spans="1:7">
      <c r="A2218" s="9" t="s">
        <v>1711</v>
      </c>
      <c r="B2218" s="9">
        <v>0.2</v>
      </c>
      <c r="C2218" s="10">
        <v>0.55500000000000005</v>
      </c>
      <c r="D2218" s="9" t="s">
        <v>1712</v>
      </c>
      <c r="E2218" s="11" t="s">
        <v>1737</v>
      </c>
      <c r="F2218" s="12" t="s">
        <v>1714</v>
      </c>
      <c r="G2218" s="9" t="s">
        <v>1709</v>
      </c>
    </row>
    <row r="2219" spans="1:7">
      <c r="A2219" s="9" t="s">
        <v>1711</v>
      </c>
      <c r="B2219" s="9">
        <v>0.2</v>
      </c>
      <c r="C2219" s="10">
        <v>-1.8000000000000002E-2</v>
      </c>
      <c r="D2219" s="9" t="s">
        <v>1709</v>
      </c>
      <c r="E2219" s="11" t="s">
        <v>1710</v>
      </c>
      <c r="F2219" s="12" t="s">
        <v>1710</v>
      </c>
      <c r="G2219" s="9" t="s">
        <v>1709</v>
      </c>
    </row>
    <row r="2220" spans="1:7">
      <c r="A2220" s="9" t="s">
        <v>1711</v>
      </c>
      <c r="B2220" s="13">
        <v>0.2</v>
      </c>
      <c r="C2220" s="10">
        <v>2.4670000000000001</v>
      </c>
      <c r="D2220" s="9" t="s">
        <v>1712</v>
      </c>
      <c r="E2220" s="11" t="s">
        <v>1713</v>
      </c>
      <c r="F2220" s="12" t="s">
        <v>1714</v>
      </c>
      <c r="G2220" s="9" t="s">
        <v>1709</v>
      </c>
    </row>
    <row r="2221" spans="1:7">
      <c r="A2221" s="9" t="s">
        <v>1711</v>
      </c>
      <c r="B2221" s="13">
        <v>0.2</v>
      </c>
      <c r="C2221" s="10">
        <v>2.4670000000000001</v>
      </c>
      <c r="D2221" s="9" t="s">
        <v>1712</v>
      </c>
      <c r="E2221" s="11" t="s">
        <v>1713</v>
      </c>
      <c r="F2221" s="12" t="s">
        <v>1714</v>
      </c>
      <c r="G2221" s="9" t="s">
        <v>1709</v>
      </c>
    </row>
    <row r="2222" spans="1:7">
      <c r="A2222" s="9" t="s">
        <v>1711</v>
      </c>
      <c r="B2222" s="13">
        <v>0.2</v>
      </c>
      <c r="C2222" s="10">
        <v>2.4670000000000001</v>
      </c>
      <c r="D2222" s="9" t="s">
        <v>1712</v>
      </c>
      <c r="E2222" s="11" t="s">
        <v>1713</v>
      </c>
      <c r="F2222" s="12" t="s">
        <v>1714</v>
      </c>
      <c r="G2222" s="9" t="s">
        <v>1709</v>
      </c>
    </row>
    <row r="2223" spans="1:7">
      <c r="A2223" s="9" t="s">
        <v>1711</v>
      </c>
      <c r="B2223" s="13">
        <v>0.2</v>
      </c>
      <c r="C2223" s="10">
        <v>2.4670000000000001</v>
      </c>
      <c r="D2223" s="9" t="s">
        <v>1712</v>
      </c>
      <c r="E2223" s="11" t="s">
        <v>1713</v>
      </c>
      <c r="F2223" s="12" t="s">
        <v>1714</v>
      </c>
      <c r="G2223" s="9" t="s">
        <v>1709</v>
      </c>
    </row>
    <row r="2224" spans="1:7">
      <c r="A2224" s="9" t="s">
        <v>1711</v>
      </c>
      <c r="B2224" s="13">
        <v>0.2</v>
      </c>
      <c r="C2224" s="10">
        <v>2.4670000000000001</v>
      </c>
      <c r="D2224" s="9" t="s">
        <v>1712</v>
      </c>
      <c r="E2224" s="11" t="s">
        <v>1713</v>
      </c>
      <c r="F2224" s="12" t="s">
        <v>1714</v>
      </c>
      <c r="G2224" s="9" t="s">
        <v>1709</v>
      </c>
    </row>
    <row r="2225" spans="1:7">
      <c r="A2225" s="9" t="s">
        <v>1711</v>
      </c>
      <c r="B2225" s="13">
        <v>0.2</v>
      </c>
      <c r="C2225" s="10">
        <v>2.4670000000000001</v>
      </c>
      <c r="D2225" s="9" t="s">
        <v>1712</v>
      </c>
      <c r="E2225" s="11" t="s">
        <v>1713</v>
      </c>
      <c r="F2225" s="12" t="s">
        <v>1714</v>
      </c>
      <c r="G2225" s="9" t="s">
        <v>1709</v>
      </c>
    </row>
    <row r="2226" spans="1:7">
      <c r="A2226" s="9" t="s">
        <v>1711</v>
      </c>
      <c r="B2226" s="13">
        <v>0.2</v>
      </c>
      <c r="C2226" s="10">
        <v>2.4670000000000001</v>
      </c>
      <c r="D2226" s="9" t="s">
        <v>1712</v>
      </c>
      <c r="E2226" s="11" t="s">
        <v>1713</v>
      </c>
      <c r="F2226" s="12" t="s">
        <v>1714</v>
      </c>
      <c r="G2226" s="9" t="s">
        <v>1709</v>
      </c>
    </row>
    <row r="2227" spans="1:7">
      <c r="A2227" s="9" t="s">
        <v>1711</v>
      </c>
      <c r="B2227" s="13">
        <v>0.2</v>
      </c>
      <c r="C2227" s="10">
        <v>2.4670000000000001</v>
      </c>
      <c r="D2227" s="9" t="s">
        <v>1712</v>
      </c>
      <c r="E2227" s="11" t="s">
        <v>1713</v>
      </c>
      <c r="F2227" s="12" t="s">
        <v>1714</v>
      </c>
      <c r="G2227" s="9" t="s">
        <v>1709</v>
      </c>
    </row>
    <row r="2228" spans="1:7">
      <c r="A2228" s="9" t="s">
        <v>1711</v>
      </c>
      <c r="B2228" s="9">
        <v>0.2</v>
      </c>
      <c r="C2228" s="10">
        <v>2.4670000000000001</v>
      </c>
      <c r="D2228" s="9" t="s">
        <v>1712</v>
      </c>
      <c r="E2228" s="11" t="s">
        <v>1713</v>
      </c>
      <c r="F2228" s="12" t="s">
        <v>1714</v>
      </c>
      <c r="G2228" s="9" t="s">
        <v>1709</v>
      </c>
    </row>
    <row r="2229" spans="1:7">
      <c r="A2229" s="9" t="s">
        <v>1711</v>
      </c>
      <c r="B2229" s="9">
        <v>0.2</v>
      </c>
      <c r="C2229" s="10">
        <v>0.48299999999999998</v>
      </c>
      <c r="D2229" s="9" t="s">
        <v>1712</v>
      </c>
      <c r="E2229" s="11" t="s">
        <v>1713</v>
      </c>
      <c r="F2229" s="12" t="s">
        <v>1714</v>
      </c>
      <c r="G2229" s="9" t="s">
        <v>1709</v>
      </c>
    </row>
    <row r="2230" spans="1:7">
      <c r="A2230" s="9" t="s">
        <v>1711</v>
      </c>
      <c r="B2230" s="13">
        <v>0.2</v>
      </c>
      <c r="C2230" s="10">
        <v>-2.1000000000000001E-2</v>
      </c>
      <c r="D2230" s="9" t="s">
        <v>1709</v>
      </c>
      <c r="E2230" s="11" t="s">
        <v>1710</v>
      </c>
      <c r="F2230" s="12" t="s">
        <v>1710</v>
      </c>
      <c r="G2230" s="9" t="s">
        <v>1709</v>
      </c>
    </row>
    <row r="2231" spans="1:7">
      <c r="A2231" s="9" t="s">
        <v>1711</v>
      </c>
      <c r="B2231" s="13">
        <v>0.2</v>
      </c>
      <c r="C2231" s="10">
        <v>0.254</v>
      </c>
      <c r="D2231" s="9" t="s">
        <v>1712</v>
      </c>
      <c r="E2231" s="11" t="s">
        <v>1737</v>
      </c>
      <c r="F2231" s="12" t="s">
        <v>1714</v>
      </c>
      <c r="G2231" s="9" t="s">
        <v>1709</v>
      </c>
    </row>
    <row r="2232" spans="1:7">
      <c r="A2232" s="9" t="s">
        <v>1711</v>
      </c>
      <c r="B2232" s="13">
        <v>0.2</v>
      </c>
      <c r="C2232" s="10">
        <v>-0.112</v>
      </c>
      <c r="D2232" s="9" t="s">
        <v>1709</v>
      </c>
      <c r="E2232" s="11" t="s">
        <v>1710</v>
      </c>
      <c r="F2232" s="12" t="s">
        <v>1710</v>
      </c>
      <c r="G2232" s="9" t="s">
        <v>1709</v>
      </c>
    </row>
    <row r="2233" spans="1:7">
      <c r="A2233" s="9" t="s">
        <v>1711</v>
      </c>
      <c r="B2233" s="13">
        <v>0.2</v>
      </c>
      <c r="C2233" s="10">
        <v>0.17799999999999999</v>
      </c>
      <c r="D2233" s="9" t="s">
        <v>1712</v>
      </c>
      <c r="E2233" s="11" t="s">
        <v>1737</v>
      </c>
      <c r="F2233" s="12" t="s">
        <v>1714</v>
      </c>
      <c r="G2233" s="9" t="s">
        <v>1709</v>
      </c>
    </row>
    <row r="2234" spans="1:7">
      <c r="A2234" s="9" t="s">
        <v>1711</v>
      </c>
      <c r="B2234" s="13">
        <v>0.2</v>
      </c>
      <c r="C2234" s="10">
        <v>0.17799999999999999</v>
      </c>
      <c r="D2234" s="9" t="s">
        <v>1712</v>
      </c>
      <c r="E2234" s="11" t="s">
        <v>1737</v>
      </c>
      <c r="F2234" s="12" t="s">
        <v>1714</v>
      </c>
      <c r="G2234" s="9" t="s">
        <v>1709</v>
      </c>
    </row>
    <row r="2235" spans="1:7">
      <c r="A2235" s="9" t="s">
        <v>1711</v>
      </c>
      <c r="B2235" s="13">
        <v>0.2</v>
      </c>
      <c r="C2235" s="10">
        <v>0.17799999999999999</v>
      </c>
      <c r="D2235" s="9" t="s">
        <v>1712</v>
      </c>
      <c r="E2235" s="11" t="s">
        <v>1737</v>
      </c>
      <c r="F2235" s="12" t="s">
        <v>1714</v>
      </c>
      <c r="G2235" s="9" t="s">
        <v>1709</v>
      </c>
    </row>
    <row r="2236" spans="1:7">
      <c r="A2236" s="9" t="s">
        <v>1711</v>
      </c>
      <c r="B2236" s="13">
        <v>0.2</v>
      </c>
      <c r="C2236" s="10">
        <v>3.0000000000000002E-2</v>
      </c>
      <c r="D2236" s="9" t="s">
        <v>1712</v>
      </c>
      <c r="E2236" s="11" t="s">
        <v>1738</v>
      </c>
      <c r="F2236" s="12" t="s">
        <v>1714</v>
      </c>
      <c r="G2236" s="9" t="s">
        <v>1709</v>
      </c>
    </row>
    <row r="2237" spans="1:7">
      <c r="A2237" s="9" t="s">
        <v>1711</v>
      </c>
      <c r="B2237" s="13">
        <v>0.2</v>
      </c>
      <c r="C2237" s="10">
        <v>0.13700000000000001</v>
      </c>
      <c r="D2237" s="9" t="s">
        <v>1712</v>
      </c>
      <c r="E2237" s="11" t="s">
        <v>1738</v>
      </c>
      <c r="F2237" s="12" t="s">
        <v>1714</v>
      </c>
      <c r="G2237" s="9" t="s">
        <v>1709</v>
      </c>
    </row>
    <row r="2238" spans="1:7">
      <c r="A2238" s="9" t="s">
        <v>1711</v>
      </c>
      <c r="B2238" s="13">
        <v>0.2</v>
      </c>
      <c r="C2238" s="10">
        <v>-0.121</v>
      </c>
      <c r="D2238" s="9" t="s">
        <v>1709</v>
      </c>
      <c r="E2238" s="11" t="s">
        <v>1710</v>
      </c>
      <c r="F2238" s="12" t="s">
        <v>1710</v>
      </c>
      <c r="G2238" s="9" t="s">
        <v>1709</v>
      </c>
    </row>
    <row r="2239" spans="1:7">
      <c r="A2239" s="9" t="s">
        <v>1711</v>
      </c>
      <c r="B2239" s="13">
        <v>0.2</v>
      </c>
      <c r="C2239" s="10">
        <v>0.79800000000000004</v>
      </c>
      <c r="D2239" s="9" t="s">
        <v>1712</v>
      </c>
      <c r="E2239" s="11" t="s">
        <v>1737</v>
      </c>
      <c r="F2239" s="12" t="s">
        <v>1714</v>
      </c>
      <c r="G2239" s="9" t="s">
        <v>1709</v>
      </c>
    </row>
    <row r="2240" spans="1:7">
      <c r="A2240" s="9" t="s">
        <v>1711</v>
      </c>
      <c r="B2240" s="9">
        <v>0.2</v>
      </c>
      <c r="C2240" s="10">
        <v>6.9000000000000006E-2</v>
      </c>
      <c r="D2240" s="9" t="s">
        <v>1712</v>
      </c>
      <c r="E2240" s="11" t="s">
        <v>1737</v>
      </c>
      <c r="F2240" s="12" t="s">
        <v>1714</v>
      </c>
      <c r="G2240" s="9" t="s">
        <v>1709</v>
      </c>
    </row>
    <row r="2241" spans="1:7">
      <c r="A2241" s="9" t="s">
        <v>1711</v>
      </c>
      <c r="B2241" s="9">
        <v>0.2</v>
      </c>
      <c r="C2241" s="10">
        <v>9.9999999999999985E-3</v>
      </c>
      <c r="D2241" s="9" t="s">
        <v>1712</v>
      </c>
      <c r="E2241" s="11" t="s">
        <v>1715</v>
      </c>
      <c r="F2241" s="12" t="s">
        <v>1714</v>
      </c>
      <c r="G2241" s="9" t="s">
        <v>1709</v>
      </c>
    </row>
    <row r="2242" spans="1:7">
      <c r="A2242" s="9" t="s">
        <v>1711</v>
      </c>
      <c r="B2242" s="9">
        <v>0.2</v>
      </c>
      <c r="C2242" s="10">
        <v>0.13900000000000001</v>
      </c>
      <c r="D2242" s="9" t="s">
        <v>1712</v>
      </c>
      <c r="E2242" s="11" t="s">
        <v>1737</v>
      </c>
      <c r="F2242" s="12" t="s">
        <v>1714</v>
      </c>
      <c r="G2242" s="9" t="s">
        <v>1709</v>
      </c>
    </row>
    <row r="2243" spans="1:7">
      <c r="A2243" s="9" t="s">
        <v>1711</v>
      </c>
      <c r="B2243" s="9">
        <v>0.2</v>
      </c>
      <c r="C2243" s="10">
        <v>0.25600000000000001</v>
      </c>
      <c r="D2243" s="9" t="s">
        <v>1712</v>
      </c>
      <c r="E2243" s="11" t="s">
        <v>1737</v>
      </c>
      <c r="F2243" s="12" t="s">
        <v>1714</v>
      </c>
      <c r="G2243" s="9" t="s">
        <v>1709</v>
      </c>
    </row>
    <row r="2244" spans="1:7">
      <c r="A2244" s="9" t="s">
        <v>1711</v>
      </c>
      <c r="B2244" s="9">
        <v>0.2</v>
      </c>
      <c r="C2244" s="10">
        <v>0.25600000000000001</v>
      </c>
      <c r="D2244" s="9" t="s">
        <v>1712</v>
      </c>
      <c r="E2244" s="11" t="s">
        <v>1737</v>
      </c>
      <c r="F2244" s="12" t="s">
        <v>1714</v>
      </c>
      <c r="G2244" s="9" t="s">
        <v>1709</v>
      </c>
    </row>
    <row r="2245" spans="1:7">
      <c r="A2245" s="9" t="s">
        <v>1711</v>
      </c>
      <c r="B2245" s="9">
        <v>0.2</v>
      </c>
      <c r="C2245" s="10">
        <v>-9.0999999999999998E-2</v>
      </c>
      <c r="D2245" s="9" t="s">
        <v>1709</v>
      </c>
      <c r="E2245" s="11" t="s">
        <v>1710</v>
      </c>
      <c r="F2245" s="12" t="s">
        <v>1710</v>
      </c>
      <c r="G2245" s="9" t="s">
        <v>1709</v>
      </c>
    </row>
    <row r="2246" spans="1:7">
      <c r="A2246" s="9" t="s">
        <v>1711</v>
      </c>
      <c r="B2246" s="9">
        <v>0.2</v>
      </c>
      <c r="C2246" s="10">
        <v>-9.0999999999999998E-2</v>
      </c>
      <c r="D2246" s="9" t="s">
        <v>1709</v>
      </c>
      <c r="E2246" s="11" t="s">
        <v>1710</v>
      </c>
      <c r="F2246" s="12" t="s">
        <v>1710</v>
      </c>
      <c r="G2246" s="9" t="s">
        <v>1709</v>
      </c>
    </row>
    <row r="2247" spans="1:7">
      <c r="A2247" s="9" t="s">
        <v>1711</v>
      </c>
      <c r="B2247" s="9">
        <v>0.2</v>
      </c>
      <c r="C2247" s="10">
        <v>-9.0999999999999998E-2</v>
      </c>
      <c r="D2247" s="9" t="s">
        <v>1709</v>
      </c>
      <c r="E2247" s="11" t="s">
        <v>1710</v>
      </c>
      <c r="F2247" s="12" t="s">
        <v>1710</v>
      </c>
      <c r="G2247" s="9" t="s">
        <v>1709</v>
      </c>
    </row>
    <row r="2248" spans="1:7">
      <c r="A2248" s="9" t="s">
        <v>1711</v>
      </c>
      <c r="B2248" s="9">
        <v>0.2</v>
      </c>
      <c r="C2248" s="10">
        <v>0.11600000000000001</v>
      </c>
      <c r="D2248" s="9" t="s">
        <v>1712</v>
      </c>
      <c r="E2248" s="11" t="s">
        <v>1713</v>
      </c>
      <c r="F2248" s="12" t="s">
        <v>1714</v>
      </c>
      <c r="G2248" s="9" t="s">
        <v>1709</v>
      </c>
    </row>
    <row r="2249" spans="1:7">
      <c r="A2249" s="9" t="s">
        <v>1711</v>
      </c>
      <c r="B2249" s="13">
        <v>0.2</v>
      </c>
      <c r="C2249" s="10">
        <v>1.9E-2</v>
      </c>
      <c r="D2249" s="9" t="s">
        <v>1712</v>
      </c>
      <c r="E2249" s="11" t="s">
        <v>1713</v>
      </c>
      <c r="F2249" s="12" t="s">
        <v>1714</v>
      </c>
      <c r="G2249" s="9" t="s">
        <v>1709</v>
      </c>
    </row>
    <row r="2250" spans="1:7">
      <c r="A2250" s="9" t="s">
        <v>1711</v>
      </c>
      <c r="B2250" s="9">
        <v>0.2</v>
      </c>
      <c r="C2250" s="10">
        <v>0.249</v>
      </c>
      <c r="D2250" s="9" t="s">
        <v>1712</v>
      </c>
      <c r="E2250" s="11" t="s">
        <v>1713</v>
      </c>
      <c r="F2250" s="12" t="s">
        <v>1714</v>
      </c>
      <c r="G2250" s="9" t="s">
        <v>1709</v>
      </c>
    </row>
    <row r="2251" spans="1:7">
      <c r="A2251" s="9" t="s">
        <v>1711</v>
      </c>
      <c r="B2251" s="9">
        <v>0.2</v>
      </c>
      <c r="C2251" s="10">
        <v>1.4999999999999999E-2</v>
      </c>
      <c r="D2251" s="9" t="s">
        <v>1712</v>
      </c>
      <c r="E2251" s="11" t="s">
        <v>1713</v>
      </c>
      <c r="F2251" s="12" t="s">
        <v>1714</v>
      </c>
      <c r="G2251" s="9" t="s">
        <v>1709</v>
      </c>
    </row>
    <row r="2252" spans="1:7">
      <c r="A2252" s="9" t="s">
        <v>1711</v>
      </c>
      <c r="B2252" s="9">
        <v>0.2</v>
      </c>
      <c r="C2252" s="10">
        <v>0.223</v>
      </c>
      <c r="D2252" s="9" t="s">
        <v>1712</v>
      </c>
      <c r="E2252" s="11" t="s">
        <v>1713</v>
      </c>
      <c r="F2252" s="12" t="s">
        <v>1714</v>
      </c>
      <c r="G2252" s="9" t="s">
        <v>1709</v>
      </c>
    </row>
    <row r="2253" spans="1:7">
      <c r="A2253" s="9" t="s">
        <v>1711</v>
      </c>
      <c r="B2253" s="9">
        <v>0.2</v>
      </c>
      <c r="C2253" s="10">
        <v>0.2</v>
      </c>
      <c r="D2253" s="9" t="s">
        <v>1712</v>
      </c>
      <c r="E2253" s="11" t="s">
        <v>1713</v>
      </c>
      <c r="F2253" s="12" t="s">
        <v>1714</v>
      </c>
      <c r="G2253" s="9" t="s">
        <v>1709</v>
      </c>
    </row>
    <row r="2254" spans="1:7">
      <c r="A2254" s="9" t="s">
        <v>1711</v>
      </c>
      <c r="B2254" s="9">
        <v>0.2</v>
      </c>
      <c r="C2254" s="10">
        <v>0.2</v>
      </c>
      <c r="D2254" s="9" t="s">
        <v>1712</v>
      </c>
      <c r="E2254" s="11" t="s">
        <v>1713</v>
      </c>
      <c r="F2254" s="12" t="s">
        <v>1714</v>
      </c>
      <c r="G2254" s="9" t="s">
        <v>1709</v>
      </c>
    </row>
    <row r="2255" spans="1:7">
      <c r="A2255" s="9" t="s">
        <v>1711</v>
      </c>
      <c r="B2255" s="13">
        <v>0.2</v>
      </c>
      <c r="C2255" s="10">
        <v>-5.6000000000000001E-2</v>
      </c>
      <c r="D2255" s="9" t="s">
        <v>1709</v>
      </c>
      <c r="E2255" s="11" t="s">
        <v>1710</v>
      </c>
      <c r="F2255" s="12" t="s">
        <v>1710</v>
      </c>
      <c r="G2255" s="9" t="s">
        <v>1709</v>
      </c>
    </row>
    <row r="2256" spans="1:7">
      <c r="A2256" s="9" t="s">
        <v>1711</v>
      </c>
      <c r="B2256" s="13">
        <v>0.2</v>
      </c>
      <c r="C2256" s="10">
        <v>0.77100000000000002</v>
      </c>
      <c r="D2256" s="9" t="s">
        <v>1712</v>
      </c>
      <c r="E2256" s="11" t="s">
        <v>1713</v>
      </c>
      <c r="F2256" s="12" t="s">
        <v>1714</v>
      </c>
      <c r="G2256" s="9" t="s">
        <v>1709</v>
      </c>
    </row>
    <row r="2257" spans="1:7">
      <c r="A2257" s="9" t="s">
        <v>1711</v>
      </c>
      <c r="B2257" s="9">
        <v>0.2</v>
      </c>
      <c r="C2257" s="10">
        <v>0.73199999999999998</v>
      </c>
      <c r="D2257" s="9" t="s">
        <v>1712</v>
      </c>
      <c r="E2257" s="11" t="s">
        <v>1713</v>
      </c>
      <c r="F2257" s="12" t="s">
        <v>1714</v>
      </c>
      <c r="G2257" s="9" t="s">
        <v>1709</v>
      </c>
    </row>
    <row r="2258" spans="1:7">
      <c r="A2258" s="9" t="s">
        <v>1711</v>
      </c>
      <c r="B2258" s="9">
        <v>0.2</v>
      </c>
      <c r="C2258" s="10">
        <v>-0.11</v>
      </c>
      <c r="D2258" s="9" t="s">
        <v>1709</v>
      </c>
      <c r="E2258" s="11" t="s">
        <v>1710</v>
      </c>
      <c r="F2258" s="12" t="s">
        <v>1710</v>
      </c>
      <c r="G2258" s="9" t="s">
        <v>1709</v>
      </c>
    </row>
    <row r="2259" spans="1:7">
      <c r="A2259" s="9" t="s">
        <v>1711</v>
      </c>
      <c r="B2259" s="13">
        <v>0.2</v>
      </c>
      <c r="C2259" s="10">
        <v>-8.6999999999999994E-2</v>
      </c>
      <c r="D2259" s="9" t="s">
        <v>1709</v>
      </c>
      <c r="E2259" s="11" t="s">
        <v>1710</v>
      </c>
      <c r="F2259" s="12" t="s">
        <v>1710</v>
      </c>
      <c r="G2259" s="9" t="s">
        <v>1709</v>
      </c>
    </row>
    <row r="2260" spans="1:7">
      <c r="A2260" s="9" t="s">
        <v>1711</v>
      </c>
      <c r="B2260" s="13">
        <v>0.2</v>
      </c>
      <c r="C2260" s="10">
        <v>0.187</v>
      </c>
      <c r="D2260" s="9" t="s">
        <v>1712</v>
      </c>
      <c r="E2260" s="11" t="s">
        <v>1738</v>
      </c>
      <c r="F2260" s="12" t="s">
        <v>1714</v>
      </c>
      <c r="G2260" s="9" t="s">
        <v>1709</v>
      </c>
    </row>
    <row r="2261" spans="1:7">
      <c r="A2261" s="9" t="s">
        <v>1711</v>
      </c>
      <c r="B2261" s="13">
        <v>0.2</v>
      </c>
      <c r="C2261" s="10">
        <v>0.187</v>
      </c>
      <c r="D2261" s="9" t="s">
        <v>1712</v>
      </c>
      <c r="E2261" s="11" t="s">
        <v>1738</v>
      </c>
      <c r="F2261" s="12" t="s">
        <v>1714</v>
      </c>
      <c r="G2261" s="9" t="s">
        <v>1709</v>
      </c>
    </row>
    <row r="2262" spans="1:7">
      <c r="A2262" s="9" t="s">
        <v>1711</v>
      </c>
      <c r="B2262" s="13">
        <v>0.2</v>
      </c>
      <c r="C2262" s="10">
        <v>-4.8000000000000001E-2</v>
      </c>
      <c r="D2262" s="9" t="s">
        <v>1709</v>
      </c>
      <c r="E2262" s="11" t="s">
        <v>1710</v>
      </c>
      <c r="F2262" s="12" t="s">
        <v>1710</v>
      </c>
      <c r="G2262" s="9" t="s">
        <v>1709</v>
      </c>
    </row>
    <row r="2263" spans="1:7">
      <c r="A2263" s="9" t="s">
        <v>1711</v>
      </c>
      <c r="B2263" s="13">
        <v>0.2</v>
      </c>
      <c r="C2263" s="10">
        <v>0.26600000000000001</v>
      </c>
      <c r="D2263" s="9" t="s">
        <v>1712</v>
      </c>
      <c r="E2263" s="11" t="s">
        <v>1713</v>
      </c>
      <c r="F2263" s="12" t="s">
        <v>1714</v>
      </c>
      <c r="G2263" s="9" t="s">
        <v>1709</v>
      </c>
    </row>
    <row r="2264" spans="1:7">
      <c r="A2264" s="9" t="s">
        <v>1711</v>
      </c>
      <c r="B2264" s="13">
        <v>0.2</v>
      </c>
      <c r="C2264" s="10">
        <v>9.1999999999999998E-2</v>
      </c>
      <c r="D2264" s="9" t="s">
        <v>1712</v>
      </c>
      <c r="E2264" s="11" t="s">
        <v>1713</v>
      </c>
      <c r="F2264" s="12" t="s">
        <v>1714</v>
      </c>
      <c r="G2264" s="9" t="s">
        <v>1709</v>
      </c>
    </row>
    <row r="2265" spans="1:7">
      <c r="A2265" s="9" t="s">
        <v>1711</v>
      </c>
      <c r="B2265" s="13">
        <v>0.2</v>
      </c>
      <c r="C2265" s="10">
        <v>0.19800000000000001</v>
      </c>
      <c r="D2265" s="9" t="s">
        <v>1712</v>
      </c>
      <c r="E2265" s="11" t="s">
        <v>1736</v>
      </c>
      <c r="F2265" s="12" t="s">
        <v>1714</v>
      </c>
      <c r="G2265" s="9" t="s">
        <v>1709</v>
      </c>
    </row>
    <row r="2266" spans="1:7">
      <c r="A2266" s="9" t="s">
        <v>1711</v>
      </c>
      <c r="B2266" s="9">
        <v>0.2</v>
      </c>
      <c r="C2266" s="10">
        <v>0.74399999999999999</v>
      </c>
      <c r="D2266" s="9" t="s">
        <v>1712</v>
      </c>
      <c r="E2266" s="11" t="s">
        <v>1737</v>
      </c>
      <c r="F2266" s="12" t="s">
        <v>1714</v>
      </c>
      <c r="G2266" s="9" t="s">
        <v>1709</v>
      </c>
    </row>
    <row r="2267" spans="1:7">
      <c r="A2267" s="9" t="s">
        <v>1711</v>
      </c>
      <c r="B2267" s="9">
        <v>0.2</v>
      </c>
      <c r="C2267" s="10">
        <v>0.91300000000000003</v>
      </c>
      <c r="D2267" s="9" t="s">
        <v>1712</v>
      </c>
      <c r="E2267" s="11" t="s">
        <v>1736</v>
      </c>
      <c r="F2267" s="12" t="s">
        <v>1714</v>
      </c>
      <c r="G2267" s="9" t="s">
        <v>1709</v>
      </c>
    </row>
    <row r="2268" spans="1:7">
      <c r="A2268" s="9" t="s">
        <v>1711</v>
      </c>
      <c r="B2268" s="9">
        <v>0.2</v>
      </c>
      <c r="C2268" s="10">
        <v>3.198</v>
      </c>
      <c r="D2268" s="9" t="s">
        <v>1712</v>
      </c>
      <c r="E2268" s="11" t="s">
        <v>1736</v>
      </c>
      <c r="F2268" s="12" t="s">
        <v>1714</v>
      </c>
      <c r="G2268" s="9" t="s">
        <v>1709</v>
      </c>
    </row>
    <row r="2269" spans="1:7">
      <c r="A2269" s="9" t="s">
        <v>1711</v>
      </c>
      <c r="B2269" s="9">
        <v>0.2</v>
      </c>
      <c r="C2269" s="10">
        <v>3.198</v>
      </c>
      <c r="D2269" s="9" t="s">
        <v>1712</v>
      </c>
      <c r="E2269" s="11" t="s">
        <v>1736</v>
      </c>
      <c r="F2269" s="12" t="s">
        <v>1714</v>
      </c>
      <c r="G2269" s="9" t="s">
        <v>1709</v>
      </c>
    </row>
    <row r="2270" spans="1:7">
      <c r="A2270" s="9" t="s">
        <v>1711</v>
      </c>
      <c r="B2270" s="9">
        <v>0.2</v>
      </c>
      <c r="C2270" s="10">
        <v>3.198</v>
      </c>
      <c r="D2270" s="9" t="s">
        <v>1712</v>
      </c>
      <c r="E2270" s="11" t="s">
        <v>1736</v>
      </c>
      <c r="F2270" s="12" t="s">
        <v>1714</v>
      </c>
      <c r="G2270" s="9" t="s">
        <v>1709</v>
      </c>
    </row>
    <row r="2271" spans="1:7">
      <c r="A2271" s="9" t="s">
        <v>1711</v>
      </c>
      <c r="B2271" s="9">
        <v>0.2</v>
      </c>
      <c r="C2271" s="10">
        <v>3.198</v>
      </c>
      <c r="D2271" s="9" t="s">
        <v>1712</v>
      </c>
      <c r="E2271" s="11" t="s">
        <v>1736</v>
      </c>
      <c r="F2271" s="12" t="s">
        <v>1714</v>
      </c>
      <c r="G2271" s="9" t="s">
        <v>1709</v>
      </c>
    </row>
    <row r="2272" spans="1:7">
      <c r="A2272" s="9" t="s">
        <v>1711</v>
      </c>
      <c r="B2272" s="9">
        <v>0.2</v>
      </c>
      <c r="C2272" s="10">
        <v>3.198</v>
      </c>
      <c r="D2272" s="9" t="s">
        <v>1712</v>
      </c>
      <c r="E2272" s="11" t="s">
        <v>1736</v>
      </c>
      <c r="F2272" s="12" t="s">
        <v>1714</v>
      </c>
      <c r="G2272" s="9" t="s">
        <v>1709</v>
      </c>
    </row>
    <row r="2273" spans="1:7">
      <c r="A2273" s="9" t="s">
        <v>1711</v>
      </c>
      <c r="B2273" s="9">
        <v>0.2</v>
      </c>
      <c r="C2273" s="10">
        <v>-4.1000000000000002E-2</v>
      </c>
      <c r="D2273" s="9" t="s">
        <v>1709</v>
      </c>
      <c r="E2273" s="11" t="s">
        <v>1710</v>
      </c>
      <c r="F2273" s="12" t="s">
        <v>1710</v>
      </c>
      <c r="G2273" s="9" t="s">
        <v>1709</v>
      </c>
    </row>
    <row r="2274" spans="1:7">
      <c r="A2274" s="9" t="s">
        <v>1711</v>
      </c>
      <c r="B2274" s="13">
        <v>0.2</v>
      </c>
      <c r="C2274" s="10">
        <v>-4.1000000000000002E-2</v>
      </c>
      <c r="D2274" s="9" t="s">
        <v>1709</v>
      </c>
      <c r="E2274" s="11" t="s">
        <v>1710</v>
      </c>
      <c r="F2274" s="12" t="s">
        <v>1710</v>
      </c>
      <c r="G2274" s="9" t="s">
        <v>1709</v>
      </c>
    </row>
    <row r="2275" spans="1:7">
      <c r="A2275" s="9" t="s">
        <v>1711</v>
      </c>
      <c r="B2275" s="13">
        <v>0.2</v>
      </c>
      <c r="C2275" s="10">
        <v>-4.1000000000000002E-2</v>
      </c>
      <c r="D2275" s="9" t="s">
        <v>1709</v>
      </c>
      <c r="E2275" s="11" t="s">
        <v>1710</v>
      </c>
      <c r="F2275" s="12" t="s">
        <v>1710</v>
      </c>
      <c r="G2275" s="9" t="s">
        <v>1709</v>
      </c>
    </row>
    <row r="2276" spans="1:7">
      <c r="A2276" s="9" t="s">
        <v>1711</v>
      </c>
      <c r="B2276" s="9">
        <v>0.2</v>
      </c>
      <c r="C2276" s="10">
        <v>-6.2E-2</v>
      </c>
      <c r="D2276" s="9" t="s">
        <v>1709</v>
      </c>
      <c r="E2276" s="11" t="s">
        <v>1710</v>
      </c>
      <c r="F2276" s="12" t="s">
        <v>1710</v>
      </c>
      <c r="G2276" s="9" t="s">
        <v>1709</v>
      </c>
    </row>
    <row r="2277" spans="1:7">
      <c r="A2277" s="9" t="s">
        <v>1711</v>
      </c>
      <c r="B2277" s="13">
        <v>0.2</v>
      </c>
      <c r="C2277" s="10">
        <v>-6.6000000000000003E-2</v>
      </c>
      <c r="D2277" s="9" t="s">
        <v>1709</v>
      </c>
      <c r="E2277" s="11" t="s">
        <v>1710</v>
      </c>
      <c r="F2277" s="12" t="s">
        <v>1710</v>
      </c>
      <c r="G2277" s="9" t="s">
        <v>1709</v>
      </c>
    </row>
    <row r="2278" spans="1:7">
      <c r="A2278" s="9" t="s">
        <v>1711</v>
      </c>
      <c r="B2278" s="9">
        <v>0.2</v>
      </c>
      <c r="C2278" s="10">
        <v>-6.6000000000000003E-2</v>
      </c>
      <c r="D2278" s="9" t="s">
        <v>1709</v>
      </c>
      <c r="E2278" s="11" t="s">
        <v>1710</v>
      </c>
      <c r="F2278" s="12" t="s">
        <v>1710</v>
      </c>
      <c r="G2278" s="9" t="s">
        <v>1709</v>
      </c>
    </row>
    <row r="2279" spans="1:7">
      <c r="A2279" s="9" t="s">
        <v>1711</v>
      </c>
      <c r="B2279" s="9">
        <v>0.2</v>
      </c>
      <c r="C2279" s="10">
        <v>-6.5000000000000002E-2</v>
      </c>
      <c r="D2279" s="9" t="s">
        <v>1709</v>
      </c>
      <c r="E2279" s="11" t="s">
        <v>1710</v>
      </c>
      <c r="F2279" s="12" t="s">
        <v>1710</v>
      </c>
      <c r="G2279" s="9" t="s">
        <v>1709</v>
      </c>
    </row>
    <row r="2280" spans="1:7">
      <c r="A2280" s="9" t="s">
        <v>1711</v>
      </c>
      <c r="B2280" s="9">
        <v>0.2</v>
      </c>
      <c r="C2280" s="10">
        <v>0.91200000000000003</v>
      </c>
      <c r="D2280" s="9" t="s">
        <v>1712</v>
      </c>
      <c r="E2280" s="11" t="s">
        <v>1736</v>
      </c>
      <c r="F2280" s="12" t="s">
        <v>1714</v>
      </c>
      <c r="G2280" s="9" t="s">
        <v>1709</v>
      </c>
    </row>
    <row r="2281" spans="1:7">
      <c r="A2281" s="9" t="s">
        <v>1711</v>
      </c>
      <c r="B2281" s="9">
        <v>0.2</v>
      </c>
      <c r="C2281" s="10">
        <v>6.0000000000000001E-3</v>
      </c>
      <c r="D2281" s="9" t="s">
        <v>1712</v>
      </c>
      <c r="E2281" s="11" t="s">
        <v>1736</v>
      </c>
      <c r="F2281" s="12" t="s">
        <v>1714</v>
      </c>
      <c r="G2281" s="9" t="s">
        <v>1709</v>
      </c>
    </row>
    <row r="2282" spans="1:7">
      <c r="A2282" s="9" t="s">
        <v>1711</v>
      </c>
      <c r="B2282" s="13">
        <v>0.2</v>
      </c>
      <c r="C2282" s="10">
        <v>1.853</v>
      </c>
      <c r="D2282" s="9" t="s">
        <v>1712</v>
      </c>
      <c r="E2282" s="11" t="s">
        <v>1736</v>
      </c>
      <c r="F2282" s="12" t="s">
        <v>1714</v>
      </c>
      <c r="G2282" s="9" t="s">
        <v>1709</v>
      </c>
    </row>
    <row r="2283" spans="1:7">
      <c r="A2283" s="9" t="s">
        <v>1711</v>
      </c>
      <c r="B2283" s="13">
        <v>0.2</v>
      </c>
      <c r="C2283" s="10">
        <v>1.853</v>
      </c>
      <c r="D2283" s="9" t="s">
        <v>1712</v>
      </c>
      <c r="E2283" s="11" t="s">
        <v>1736</v>
      </c>
      <c r="F2283" s="12" t="s">
        <v>1714</v>
      </c>
      <c r="G2283" s="9" t="s">
        <v>1709</v>
      </c>
    </row>
    <row r="2284" spans="1:7">
      <c r="A2284" s="9" t="s">
        <v>1711</v>
      </c>
      <c r="B2284" s="13">
        <v>0.2</v>
      </c>
      <c r="C2284" s="10">
        <v>1.853</v>
      </c>
      <c r="D2284" s="9" t="s">
        <v>1712</v>
      </c>
      <c r="E2284" s="11" t="s">
        <v>1736</v>
      </c>
      <c r="F2284" s="12" t="s">
        <v>1714</v>
      </c>
      <c r="G2284" s="9" t="s">
        <v>1709</v>
      </c>
    </row>
    <row r="2285" spans="1:7">
      <c r="A2285" s="9" t="s">
        <v>1711</v>
      </c>
      <c r="B2285" s="13">
        <v>0.2</v>
      </c>
      <c r="C2285" s="10">
        <v>1.853</v>
      </c>
      <c r="D2285" s="9" t="s">
        <v>1712</v>
      </c>
      <c r="E2285" s="11" t="s">
        <v>1736</v>
      </c>
      <c r="F2285" s="12" t="s">
        <v>1714</v>
      </c>
      <c r="G2285" s="9" t="s">
        <v>1709</v>
      </c>
    </row>
    <row r="2286" spans="1:7">
      <c r="A2286" s="9" t="s">
        <v>1711</v>
      </c>
      <c r="B2286" s="13">
        <v>0.2</v>
      </c>
      <c r="C2286" s="10">
        <v>1.853</v>
      </c>
      <c r="D2286" s="9" t="s">
        <v>1712</v>
      </c>
      <c r="E2286" s="11" t="s">
        <v>1736</v>
      </c>
      <c r="F2286" s="12" t="s">
        <v>1714</v>
      </c>
      <c r="G2286" s="9" t="s">
        <v>1709</v>
      </c>
    </row>
    <row r="2287" spans="1:7">
      <c r="A2287" s="9" t="s">
        <v>1711</v>
      </c>
      <c r="B2287" s="13">
        <v>0.2</v>
      </c>
      <c r="C2287" s="10">
        <v>1.853</v>
      </c>
      <c r="D2287" s="9" t="s">
        <v>1712</v>
      </c>
      <c r="E2287" s="11" t="s">
        <v>1736</v>
      </c>
      <c r="F2287" s="12" t="s">
        <v>1714</v>
      </c>
      <c r="G2287" s="9" t="s">
        <v>1709</v>
      </c>
    </row>
    <row r="2288" spans="1:7">
      <c r="A2288" s="9" t="s">
        <v>1711</v>
      </c>
      <c r="B2288" s="13">
        <v>0.2</v>
      </c>
      <c r="C2288" s="10">
        <v>1.827</v>
      </c>
      <c r="D2288" s="9" t="s">
        <v>1712</v>
      </c>
      <c r="E2288" s="11" t="s">
        <v>1736</v>
      </c>
      <c r="F2288" s="12" t="s">
        <v>1714</v>
      </c>
      <c r="G2288" s="9" t="s">
        <v>1709</v>
      </c>
    </row>
    <row r="2289" spans="1:7">
      <c r="A2289" s="9" t="s">
        <v>1711</v>
      </c>
      <c r="B2289" s="13">
        <v>0.2</v>
      </c>
      <c r="C2289" s="10">
        <v>6.9000000000000006E-2</v>
      </c>
      <c r="D2289" s="9" t="s">
        <v>1712</v>
      </c>
      <c r="E2289" s="11" t="s">
        <v>1713</v>
      </c>
      <c r="F2289" s="12" t="s">
        <v>1714</v>
      </c>
      <c r="G2289" s="9" t="s">
        <v>1709</v>
      </c>
    </row>
    <row r="2290" spans="1:7">
      <c r="A2290" s="9" t="s">
        <v>1711</v>
      </c>
      <c r="B2290" s="13">
        <v>0.2</v>
      </c>
      <c r="C2290" s="10">
        <v>0.64100000000000001</v>
      </c>
      <c r="D2290" s="9" t="s">
        <v>1712</v>
      </c>
      <c r="E2290" s="11" t="s">
        <v>1738</v>
      </c>
      <c r="F2290" s="12" t="s">
        <v>1714</v>
      </c>
      <c r="G2290" s="9" t="s">
        <v>1709</v>
      </c>
    </row>
    <row r="2291" spans="1:7">
      <c r="A2291" s="9" t="s">
        <v>1711</v>
      </c>
      <c r="B2291" s="13">
        <v>0.2</v>
      </c>
      <c r="C2291" s="10">
        <v>1.8279999999999998</v>
      </c>
      <c r="D2291" s="9" t="s">
        <v>1712</v>
      </c>
      <c r="E2291" s="11" t="s">
        <v>1737</v>
      </c>
      <c r="F2291" s="12" t="s">
        <v>1714</v>
      </c>
      <c r="G2291" s="9" t="s">
        <v>1709</v>
      </c>
    </row>
    <row r="2292" spans="1:7">
      <c r="A2292" s="9" t="s">
        <v>1711</v>
      </c>
      <c r="B2292" s="13">
        <v>0.2</v>
      </c>
      <c r="C2292" s="10">
        <v>0.11600000000000001</v>
      </c>
      <c r="D2292" s="9" t="s">
        <v>1712</v>
      </c>
      <c r="E2292" s="11" t="s">
        <v>1737</v>
      </c>
      <c r="F2292" s="12" t="s">
        <v>1714</v>
      </c>
      <c r="G2292" s="9" t="s">
        <v>1709</v>
      </c>
    </row>
    <row r="2293" spans="1:7">
      <c r="A2293" s="9" t="s">
        <v>1711</v>
      </c>
      <c r="B2293" s="13">
        <v>0.2</v>
      </c>
      <c r="C2293" s="10">
        <v>-3.5000000000000003E-2</v>
      </c>
      <c r="D2293" s="9" t="s">
        <v>1709</v>
      </c>
      <c r="E2293" s="11" t="s">
        <v>1710</v>
      </c>
      <c r="F2293" s="12" t="s">
        <v>1710</v>
      </c>
      <c r="G2293" s="9" t="s">
        <v>1709</v>
      </c>
    </row>
    <row r="2294" spans="1:7">
      <c r="A2294" s="9" t="s">
        <v>1711</v>
      </c>
      <c r="B2294" s="13">
        <v>0.2</v>
      </c>
      <c r="C2294" s="10">
        <v>6.9000000000000006E-2</v>
      </c>
      <c r="D2294" s="9" t="s">
        <v>1712</v>
      </c>
      <c r="E2294" s="11" t="s">
        <v>1713</v>
      </c>
      <c r="F2294" s="12" t="s">
        <v>1714</v>
      </c>
      <c r="G2294" s="9" t="s">
        <v>1709</v>
      </c>
    </row>
    <row r="2295" spans="1:7">
      <c r="A2295" s="9" t="s">
        <v>1711</v>
      </c>
      <c r="B2295" s="13">
        <v>0.2</v>
      </c>
      <c r="C2295" s="10">
        <v>7.4999999999999997E-2</v>
      </c>
      <c r="D2295" s="9" t="s">
        <v>1712</v>
      </c>
      <c r="E2295" s="11" t="s">
        <v>1713</v>
      </c>
      <c r="F2295" s="12" t="s">
        <v>1714</v>
      </c>
      <c r="G2295" s="9" t="s">
        <v>1709</v>
      </c>
    </row>
    <row r="2296" spans="1:7">
      <c r="A2296" s="9" t="s">
        <v>1711</v>
      </c>
      <c r="B2296" s="13">
        <v>0.2</v>
      </c>
      <c r="C2296" s="10">
        <v>7.4999999999999997E-2</v>
      </c>
      <c r="D2296" s="9" t="s">
        <v>1712</v>
      </c>
      <c r="E2296" s="11" t="s">
        <v>1713</v>
      </c>
      <c r="F2296" s="12" t="s">
        <v>1714</v>
      </c>
      <c r="G2296" s="9" t="s">
        <v>1709</v>
      </c>
    </row>
    <row r="2297" spans="1:7">
      <c r="A2297" s="9" t="s">
        <v>1711</v>
      </c>
      <c r="B2297" s="13">
        <v>0.2</v>
      </c>
      <c r="C2297" s="10">
        <v>7.3999999999999996E-2</v>
      </c>
      <c r="D2297" s="9" t="s">
        <v>1712</v>
      </c>
      <c r="E2297" s="11" t="s">
        <v>1713</v>
      </c>
      <c r="F2297" s="12" t="s">
        <v>1714</v>
      </c>
      <c r="G2297" s="9" t="s">
        <v>1709</v>
      </c>
    </row>
    <row r="2298" spans="1:7">
      <c r="A2298" s="9" t="s">
        <v>1711</v>
      </c>
      <c r="B2298" s="13">
        <v>0.2</v>
      </c>
      <c r="C2298" s="10">
        <v>-0.156</v>
      </c>
      <c r="D2298" s="9" t="s">
        <v>1709</v>
      </c>
      <c r="E2298" s="11" t="s">
        <v>1710</v>
      </c>
      <c r="F2298" s="12" t="s">
        <v>1710</v>
      </c>
      <c r="G2298" s="9" t="s">
        <v>1709</v>
      </c>
    </row>
    <row r="2299" spans="1:7">
      <c r="A2299" s="9" t="s">
        <v>1711</v>
      </c>
      <c r="B2299" s="13">
        <v>0.2</v>
      </c>
      <c r="C2299" s="10">
        <v>-8.6999999999999994E-2</v>
      </c>
      <c r="D2299" s="9" t="s">
        <v>1709</v>
      </c>
      <c r="E2299" s="11" t="s">
        <v>1710</v>
      </c>
      <c r="F2299" s="12" t="s">
        <v>1710</v>
      </c>
      <c r="G2299" s="9" t="s">
        <v>1709</v>
      </c>
    </row>
    <row r="2300" spans="1:7">
      <c r="A2300" s="9" t="s">
        <v>1711</v>
      </c>
      <c r="B2300" s="13">
        <v>0.2</v>
      </c>
      <c r="C2300" s="10">
        <v>-8.4000000000000005E-2</v>
      </c>
      <c r="D2300" s="9" t="s">
        <v>1709</v>
      </c>
      <c r="E2300" s="11" t="s">
        <v>1710</v>
      </c>
      <c r="F2300" s="12" t="s">
        <v>1710</v>
      </c>
      <c r="G2300" s="9" t="s">
        <v>1709</v>
      </c>
    </row>
    <row r="2301" spans="1:7">
      <c r="A2301" s="9" t="s">
        <v>1711</v>
      </c>
      <c r="B2301" s="13">
        <v>0.2</v>
      </c>
      <c r="C2301" s="10">
        <v>-8.4000000000000005E-2</v>
      </c>
      <c r="D2301" s="9" t="s">
        <v>1709</v>
      </c>
      <c r="E2301" s="11" t="s">
        <v>1710</v>
      </c>
      <c r="F2301" s="12" t="s">
        <v>1710</v>
      </c>
      <c r="G2301" s="9" t="s">
        <v>1709</v>
      </c>
    </row>
    <row r="2302" spans="1:7">
      <c r="A2302" s="9" t="s">
        <v>1711</v>
      </c>
      <c r="B2302" s="9">
        <v>0.2</v>
      </c>
      <c r="C2302" s="10">
        <v>-8.4000000000000005E-2</v>
      </c>
      <c r="D2302" s="9" t="s">
        <v>1709</v>
      </c>
      <c r="E2302" s="11" t="s">
        <v>1710</v>
      </c>
      <c r="F2302" s="12" t="s">
        <v>1710</v>
      </c>
      <c r="G2302" s="9" t="s">
        <v>1709</v>
      </c>
    </row>
    <row r="2303" spans="1:7">
      <c r="A2303" s="9" t="s">
        <v>1711</v>
      </c>
      <c r="B2303" s="13">
        <v>0.2</v>
      </c>
      <c r="C2303" s="10">
        <v>-8.4000000000000005E-2</v>
      </c>
      <c r="D2303" s="9" t="s">
        <v>1709</v>
      </c>
      <c r="E2303" s="11" t="s">
        <v>1710</v>
      </c>
      <c r="F2303" s="12" t="s">
        <v>1710</v>
      </c>
      <c r="G2303" s="9" t="s">
        <v>1709</v>
      </c>
    </row>
    <row r="2304" spans="1:7">
      <c r="A2304" s="9" t="s">
        <v>1711</v>
      </c>
      <c r="B2304" s="13">
        <v>0.2</v>
      </c>
      <c r="C2304" s="10">
        <v>-8.4000000000000005E-2</v>
      </c>
      <c r="D2304" s="9" t="s">
        <v>1709</v>
      </c>
      <c r="E2304" s="11" t="s">
        <v>1710</v>
      </c>
      <c r="F2304" s="12" t="s">
        <v>1710</v>
      </c>
      <c r="G2304" s="9" t="s">
        <v>1709</v>
      </c>
    </row>
    <row r="2305" spans="1:7">
      <c r="A2305" s="9" t="s">
        <v>1711</v>
      </c>
      <c r="B2305" s="13">
        <v>0.2</v>
      </c>
      <c r="C2305" s="10">
        <v>-8.4000000000000005E-2</v>
      </c>
      <c r="D2305" s="9" t="s">
        <v>1709</v>
      </c>
      <c r="E2305" s="11" t="s">
        <v>1710</v>
      </c>
      <c r="F2305" s="12" t="s">
        <v>1710</v>
      </c>
      <c r="G2305" s="9" t="s">
        <v>1709</v>
      </c>
    </row>
    <row r="2306" spans="1:7">
      <c r="A2306" s="9" t="s">
        <v>1711</v>
      </c>
      <c r="B2306" s="13">
        <v>0.2</v>
      </c>
      <c r="C2306" s="10">
        <v>-8.4000000000000005E-2</v>
      </c>
      <c r="D2306" s="9" t="s">
        <v>1709</v>
      </c>
      <c r="E2306" s="11" t="s">
        <v>1710</v>
      </c>
      <c r="F2306" s="12" t="s">
        <v>1710</v>
      </c>
      <c r="G2306" s="9" t="s">
        <v>1709</v>
      </c>
    </row>
    <row r="2307" spans="1:7">
      <c r="A2307" s="9" t="s">
        <v>1711</v>
      </c>
      <c r="B2307" s="13">
        <v>0.2</v>
      </c>
      <c r="C2307" s="10">
        <v>-8.4000000000000005E-2</v>
      </c>
      <c r="D2307" s="9" t="s">
        <v>1709</v>
      </c>
      <c r="E2307" s="11" t="s">
        <v>1710</v>
      </c>
      <c r="F2307" s="12" t="s">
        <v>1710</v>
      </c>
      <c r="G2307" s="9" t="s">
        <v>1709</v>
      </c>
    </row>
    <row r="2308" spans="1:7">
      <c r="A2308" s="9" t="s">
        <v>1711</v>
      </c>
      <c r="B2308" s="9">
        <v>0.2</v>
      </c>
      <c r="C2308" s="10">
        <v>-5.5E-2</v>
      </c>
      <c r="D2308" s="9" t="s">
        <v>1709</v>
      </c>
      <c r="E2308" s="11" t="s">
        <v>1710</v>
      </c>
      <c r="F2308" s="12" t="s">
        <v>1710</v>
      </c>
      <c r="G2308" s="9" t="s">
        <v>1709</v>
      </c>
    </row>
    <row r="2309" spans="1:7">
      <c r="A2309" s="9" t="s">
        <v>1711</v>
      </c>
      <c r="B2309" s="9">
        <v>0.2</v>
      </c>
      <c r="C2309" s="10">
        <v>0.20100000000000001</v>
      </c>
      <c r="D2309" s="9" t="s">
        <v>1712</v>
      </c>
      <c r="E2309" s="11" t="s">
        <v>1713</v>
      </c>
      <c r="F2309" s="12" t="s">
        <v>1714</v>
      </c>
      <c r="G2309" s="9" t="s">
        <v>1709</v>
      </c>
    </row>
    <row r="2310" spans="1:7">
      <c r="A2310" s="9" t="s">
        <v>1711</v>
      </c>
      <c r="B2310" s="9">
        <v>0.2</v>
      </c>
      <c r="C2310" s="10">
        <v>7.1000000000000008E-2</v>
      </c>
      <c r="D2310" s="9" t="s">
        <v>1712</v>
      </c>
      <c r="E2310" s="11" t="s">
        <v>1713</v>
      </c>
      <c r="F2310" s="12" t="s">
        <v>1714</v>
      </c>
      <c r="G2310" s="9" t="s">
        <v>1709</v>
      </c>
    </row>
    <row r="2311" spans="1:7">
      <c r="A2311" s="9" t="s">
        <v>1711</v>
      </c>
      <c r="B2311" s="13">
        <v>0.2</v>
      </c>
      <c r="C2311" s="10">
        <v>8.3000000000000004E-2</v>
      </c>
      <c r="D2311" s="9" t="s">
        <v>1712</v>
      </c>
      <c r="E2311" s="11" t="s">
        <v>1713</v>
      </c>
      <c r="F2311" s="12" t="s">
        <v>1714</v>
      </c>
      <c r="G2311" s="9" t="s">
        <v>1709</v>
      </c>
    </row>
    <row r="2312" spans="1:7">
      <c r="A2312" s="9" t="s">
        <v>1711</v>
      </c>
      <c r="B2312" s="13">
        <v>0.2</v>
      </c>
      <c r="C2312" s="10">
        <v>8.3000000000000004E-2</v>
      </c>
      <c r="D2312" s="9" t="s">
        <v>1712</v>
      </c>
      <c r="E2312" s="11" t="s">
        <v>1713</v>
      </c>
      <c r="F2312" s="12" t="s">
        <v>1714</v>
      </c>
      <c r="G2312" s="9" t="s">
        <v>1709</v>
      </c>
    </row>
    <row r="2313" spans="1:7">
      <c r="A2313" s="9" t="s">
        <v>1711</v>
      </c>
      <c r="B2313" s="9">
        <v>0.2</v>
      </c>
      <c r="C2313" s="10">
        <v>2.7479999999999998</v>
      </c>
      <c r="D2313" s="9" t="s">
        <v>1712</v>
      </c>
      <c r="E2313" s="11" t="s">
        <v>1713</v>
      </c>
      <c r="F2313" s="12" t="s">
        <v>1714</v>
      </c>
      <c r="G2313" s="9" t="s">
        <v>1709</v>
      </c>
    </row>
    <row r="2314" spans="1:7">
      <c r="A2314" s="9" t="s">
        <v>1711</v>
      </c>
      <c r="B2314" s="9">
        <v>0.2</v>
      </c>
      <c r="C2314" s="10">
        <v>2.7479999999999998</v>
      </c>
      <c r="D2314" s="9" t="s">
        <v>1712</v>
      </c>
      <c r="E2314" s="11" t="s">
        <v>1713</v>
      </c>
      <c r="F2314" s="12" t="s">
        <v>1714</v>
      </c>
      <c r="G2314" s="9" t="s">
        <v>1709</v>
      </c>
    </row>
    <row r="2315" spans="1:7">
      <c r="A2315" s="9" t="s">
        <v>1711</v>
      </c>
      <c r="B2315" s="13">
        <v>0.2</v>
      </c>
      <c r="C2315" s="10">
        <v>2.7479999999999998</v>
      </c>
      <c r="D2315" s="9" t="s">
        <v>1712</v>
      </c>
      <c r="E2315" s="11" t="s">
        <v>1713</v>
      </c>
      <c r="F2315" s="12" t="s">
        <v>1714</v>
      </c>
      <c r="G2315" s="9" t="s">
        <v>1709</v>
      </c>
    </row>
    <row r="2316" spans="1:7">
      <c r="A2316" s="9" t="s">
        <v>1711</v>
      </c>
      <c r="B2316" s="13">
        <v>0.2</v>
      </c>
      <c r="C2316" s="10">
        <v>2.7479999999999998</v>
      </c>
      <c r="D2316" s="9" t="s">
        <v>1712</v>
      </c>
      <c r="E2316" s="11" t="s">
        <v>1713</v>
      </c>
      <c r="F2316" s="12" t="s">
        <v>1714</v>
      </c>
      <c r="G2316" s="9" t="s">
        <v>1709</v>
      </c>
    </row>
    <row r="2317" spans="1:7">
      <c r="A2317" s="9" t="s">
        <v>1711</v>
      </c>
      <c r="B2317" s="9">
        <v>0.2</v>
      </c>
      <c r="C2317" s="10">
        <v>0.67200000000000004</v>
      </c>
      <c r="D2317" s="9" t="s">
        <v>1712</v>
      </c>
      <c r="E2317" s="11" t="s">
        <v>1738</v>
      </c>
      <c r="F2317" s="12" t="s">
        <v>1714</v>
      </c>
      <c r="G2317" s="9" t="s">
        <v>1709</v>
      </c>
    </row>
    <row r="2318" spans="1:7">
      <c r="A2318" s="9" t="s">
        <v>1711</v>
      </c>
      <c r="B2318" s="13">
        <v>0.2</v>
      </c>
      <c r="C2318" s="10">
        <v>-0.126</v>
      </c>
      <c r="D2318" s="9" t="s">
        <v>1709</v>
      </c>
      <c r="E2318" s="11" t="s">
        <v>1710</v>
      </c>
      <c r="F2318" s="12" t="s">
        <v>1710</v>
      </c>
      <c r="G2318" s="9" t="s">
        <v>1709</v>
      </c>
    </row>
    <row r="2319" spans="1:7">
      <c r="A2319" s="9" t="s">
        <v>1711</v>
      </c>
      <c r="B2319" s="13">
        <v>0.2</v>
      </c>
      <c r="C2319" s="10">
        <v>0.27500000000000002</v>
      </c>
      <c r="D2319" s="9" t="s">
        <v>1712</v>
      </c>
      <c r="E2319" s="11" t="s">
        <v>1713</v>
      </c>
      <c r="F2319" s="12" t="s">
        <v>1714</v>
      </c>
      <c r="G2319" s="9" t="s">
        <v>1709</v>
      </c>
    </row>
    <row r="2320" spans="1:7">
      <c r="A2320" s="9" t="s">
        <v>1711</v>
      </c>
      <c r="B2320" s="9">
        <v>0.2</v>
      </c>
      <c r="C2320" s="10">
        <v>0.17599999999999999</v>
      </c>
      <c r="D2320" s="9" t="s">
        <v>1712</v>
      </c>
      <c r="E2320" s="11" t="s">
        <v>1736</v>
      </c>
      <c r="F2320" s="12" t="s">
        <v>1714</v>
      </c>
      <c r="G2320" s="9" t="s">
        <v>1709</v>
      </c>
    </row>
    <row r="2321" spans="1:7">
      <c r="A2321" s="9" t="s">
        <v>1711</v>
      </c>
      <c r="B2321" s="9">
        <v>0.2</v>
      </c>
      <c r="C2321" s="10">
        <v>3.198</v>
      </c>
      <c r="D2321" s="9" t="s">
        <v>1712</v>
      </c>
      <c r="E2321" s="11" t="s">
        <v>1715</v>
      </c>
      <c r="F2321" s="12" t="s">
        <v>1714</v>
      </c>
      <c r="G2321" s="9" t="s">
        <v>1709</v>
      </c>
    </row>
    <row r="2322" spans="1:7">
      <c r="A2322" s="9" t="s">
        <v>1711</v>
      </c>
      <c r="B2322" s="9">
        <v>0.2</v>
      </c>
      <c r="C2322" s="10">
        <v>3.198</v>
      </c>
      <c r="D2322" s="9" t="s">
        <v>1712</v>
      </c>
      <c r="E2322" s="11" t="s">
        <v>1715</v>
      </c>
      <c r="F2322" s="12" t="s">
        <v>1714</v>
      </c>
      <c r="G2322" s="9" t="s">
        <v>1709</v>
      </c>
    </row>
    <row r="2323" spans="1:7">
      <c r="A2323" s="9" t="s">
        <v>1711</v>
      </c>
      <c r="B2323" s="9">
        <v>0.2</v>
      </c>
      <c r="C2323" s="10">
        <v>3.198</v>
      </c>
      <c r="D2323" s="9" t="s">
        <v>1712</v>
      </c>
      <c r="E2323" s="11" t="s">
        <v>1715</v>
      </c>
      <c r="F2323" s="12" t="s">
        <v>1714</v>
      </c>
      <c r="G2323" s="9" t="s">
        <v>1709</v>
      </c>
    </row>
    <row r="2324" spans="1:7">
      <c r="A2324" s="9" t="s">
        <v>1711</v>
      </c>
      <c r="B2324" s="9">
        <v>0.2</v>
      </c>
      <c r="C2324" s="10">
        <v>-6.2E-2</v>
      </c>
      <c r="D2324" s="9" t="s">
        <v>1709</v>
      </c>
      <c r="E2324" s="11" t="s">
        <v>1710</v>
      </c>
      <c r="F2324" s="12" t="s">
        <v>1710</v>
      </c>
      <c r="G2324" s="9" t="s">
        <v>1709</v>
      </c>
    </row>
    <row r="2325" spans="1:7">
      <c r="A2325" s="9" t="s">
        <v>1711</v>
      </c>
      <c r="B2325" s="9">
        <v>0.2</v>
      </c>
      <c r="C2325" s="10">
        <v>-5.6000000000000001E-2</v>
      </c>
      <c r="D2325" s="9" t="s">
        <v>1709</v>
      </c>
      <c r="E2325" s="11" t="s">
        <v>1710</v>
      </c>
      <c r="F2325" s="12" t="s">
        <v>1710</v>
      </c>
      <c r="G2325" s="9" t="s">
        <v>1709</v>
      </c>
    </row>
    <row r="2326" spans="1:7">
      <c r="A2326" s="9" t="s">
        <v>1711</v>
      </c>
      <c r="B2326" s="9">
        <v>0.2</v>
      </c>
      <c r="C2326" s="10">
        <v>-5.6000000000000001E-2</v>
      </c>
      <c r="D2326" s="9" t="s">
        <v>1709</v>
      </c>
      <c r="E2326" s="11" t="s">
        <v>1710</v>
      </c>
      <c r="F2326" s="12" t="s">
        <v>1710</v>
      </c>
      <c r="G2326" s="9" t="s">
        <v>1709</v>
      </c>
    </row>
    <row r="2327" spans="1:7">
      <c r="A2327" s="9" t="s">
        <v>1711</v>
      </c>
      <c r="B2327" s="9">
        <v>0.2</v>
      </c>
      <c r="C2327" s="10">
        <v>-0.06</v>
      </c>
      <c r="D2327" s="9" t="s">
        <v>1709</v>
      </c>
      <c r="E2327" s="11" t="s">
        <v>1710</v>
      </c>
      <c r="F2327" s="12" t="s">
        <v>1710</v>
      </c>
      <c r="G2327" s="9" t="s">
        <v>1709</v>
      </c>
    </row>
    <row r="2328" spans="1:7">
      <c r="A2328" s="9" t="s">
        <v>1711</v>
      </c>
      <c r="B2328" s="9">
        <v>0.2</v>
      </c>
      <c r="C2328" s="10">
        <v>-6.9000000000000006E-2</v>
      </c>
      <c r="D2328" s="9" t="s">
        <v>1709</v>
      </c>
      <c r="E2328" s="11" t="s">
        <v>1710</v>
      </c>
      <c r="F2328" s="12" t="s">
        <v>1710</v>
      </c>
      <c r="G2328" s="9" t="s">
        <v>1709</v>
      </c>
    </row>
    <row r="2329" spans="1:7">
      <c r="A2329" s="9" t="s">
        <v>1711</v>
      </c>
      <c r="B2329" s="13">
        <v>0.2</v>
      </c>
      <c r="C2329" s="10">
        <v>1.109</v>
      </c>
      <c r="D2329" s="9" t="s">
        <v>1712</v>
      </c>
      <c r="E2329" s="11" t="s">
        <v>1715</v>
      </c>
      <c r="F2329" s="12" t="s">
        <v>1714</v>
      </c>
      <c r="G2329" s="9" t="s">
        <v>1709</v>
      </c>
    </row>
    <row r="2330" spans="1:7">
      <c r="A2330" s="9" t="s">
        <v>1711</v>
      </c>
      <c r="B2330" s="9">
        <v>0.2</v>
      </c>
      <c r="C2330" s="10">
        <v>1.109</v>
      </c>
      <c r="D2330" s="9" t="s">
        <v>1712</v>
      </c>
      <c r="E2330" s="11" t="s">
        <v>1715</v>
      </c>
      <c r="F2330" s="12" t="s">
        <v>1714</v>
      </c>
      <c r="G2330" s="9" t="s">
        <v>1709</v>
      </c>
    </row>
    <row r="2331" spans="1:7">
      <c r="A2331" s="9" t="s">
        <v>1711</v>
      </c>
      <c r="B2331" s="9">
        <v>0.2</v>
      </c>
      <c r="C2331" s="10">
        <v>1.109</v>
      </c>
      <c r="D2331" s="9" t="s">
        <v>1712</v>
      </c>
      <c r="E2331" s="11" t="s">
        <v>1715</v>
      </c>
      <c r="F2331" s="12" t="s">
        <v>1714</v>
      </c>
      <c r="G2331" s="9" t="s">
        <v>1709</v>
      </c>
    </row>
    <row r="2332" spans="1:7">
      <c r="A2332" s="9" t="s">
        <v>1711</v>
      </c>
      <c r="B2332" s="9">
        <v>0.2</v>
      </c>
      <c r="C2332" s="10">
        <v>1.109</v>
      </c>
      <c r="D2332" s="9" t="s">
        <v>1712</v>
      </c>
      <c r="E2332" s="11" t="s">
        <v>1715</v>
      </c>
      <c r="F2332" s="12" t="s">
        <v>1714</v>
      </c>
      <c r="G2332" s="9" t="s">
        <v>1709</v>
      </c>
    </row>
    <row r="2333" spans="1:7">
      <c r="A2333" s="9" t="s">
        <v>1711</v>
      </c>
      <c r="B2333" s="9">
        <v>0.2</v>
      </c>
      <c r="C2333" s="10">
        <v>1.109</v>
      </c>
      <c r="D2333" s="9" t="s">
        <v>1712</v>
      </c>
      <c r="E2333" s="11" t="s">
        <v>1715</v>
      </c>
      <c r="F2333" s="12" t="s">
        <v>1714</v>
      </c>
      <c r="G2333" s="9" t="s">
        <v>1709</v>
      </c>
    </row>
    <row r="2334" spans="1:7">
      <c r="A2334" s="9" t="s">
        <v>1711</v>
      </c>
      <c r="B2334" s="9">
        <v>0.2</v>
      </c>
      <c r="C2334" s="10">
        <v>1.109</v>
      </c>
      <c r="D2334" s="9" t="s">
        <v>1712</v>
      </c>
      <c r="E2334" s="11" t="s">
        <v>1715</v>
      </c>
      <c r="F2334" s="12" t="s">
        <v>1714</v>
      </c>
      <c r="G2334" s="9" t="s">
        <v>1709</v>
      </c>
    </row>
    <row r="2335" spans="1:7">
      <c r="A2335" s="9" t="s">
        <v>1711</v>
      </c>
      <c r="B2335" s="9">
        <v>0.2</v>
      </c>
      <c r="C2335" s="10">
        <v>1.109</v>
      </c>
      <c r="D2335" s="9" t="s">
        <v>1712</v>
      </c>
      <c r="E2335" s="11" t="s">
        <v>1715</v>
      </c>
      <c r="F2335" s="12" t="s">
        <v>1714</v>
      </c>
      <c r="G2335" s="9" t="s">
        <v>1709</v>
      </c>
    </row>
    <row r="2336" spans="1:7">
      <c r="A2336" s="9" t="s">
        <v>1711</v>
      </c>
      <c r="B2336" s="13">
        <v>0.2</v>
      </c>
      <c r="C2336" s="10">
        <v>1.109</v>
      </c>
      <c r="D2336" s="9" t="s">
        <v>1712</v>
      </c>
      <c r="E2336" s="11" t="s">
        <v>1715</v>
      </c>
      <c r="F2336" s="12" t="s">
        <v>1714</v>
      </c>
      <c r="G2336" s="9" t="s">
        <v>1709</v>
      </c>
    </row>
    <row r="2337" spans="1:7">
      <c r="A2337" s="9" t="s">
        <v>1711</v>
      </c>
      <c r="B2337" s="9">
        <v>0.2</v>
      </c>
      <c r="C2337" s="10">
        <v>1.109</v>
      </c>
      <c r="D2337" s="9" t="s">
        <v>1712</v>
      </c>
      <c r="E2337" s="11" t="s">
        <v>1715</v>
      </c>
      <c r="F2337" s="12" t="s">
        <v>1714</v>
      </c>
      <c r="G2337" s="9" t="s">
        <v>1709</v>
      </c>
    </row>
    <row r="2338" spans="1:7">
      <c r="A2338" s="9" t="s">
        <v>1711</v>
      </c>
      <c r="B2338" s="13">
        <v>0.2</v>
      </c>
      <c r="C2338" s="10">
        <v>1.109</v>
      </c>
      <c r="D2338" s="9" t="s">
        <v>1712</v>
      </c>
      <c r="E2338" s="11" t="s">
        <v>1715</v>
      </c>
      <c r="F2338" s="12" t="s">
        <v>1714</v>
      </c>
      <c r="G2338" s="9" t="s">
        <v>1709</v>
      </c>
    </row>
    <row r="2339" spans="1:7">
      <c r="A2339" s="9" t="s">
        <v>1711</v>
      </c>
      <c r="B2339" s="13">
        <v>0.2</v>
      </c>
      <c r="C2339" s="10">
        <v>1.109</v>
      </c>
      <c r="D2339" s="9" t="s">
        <v>1712</v>
      </c>
      <c r="E2339" s="11" t="s">
        <v>1715</v>
      </c>
      <c r="F2339" s="12" t="s">
        <v>1714</v>
      </c>
      <c r="G2339" s="9" t="s">
        <v>1709</v>
      </c>
    </row>
    <row r="2340" spans="1:7">
      <c r="A2340" s="9" t="s">
        <v>1711</v>
      </c>
      <c r="B2340" s="13">
        <v>0.2</v>
      </c>
      <c r="C2340" s="10">
        <v>1.109</v>
      </c>
      <c r="D2340" s="9" t="s">
        <v>1712</v>
      </c>
      <c r="E2340" s="11" t="s">
        <v>1715</v>
      </c>
      <c r="F2340" s="12" t="s">
        <v>1714</v>
      </c>
      <c r="G2340" s="9" t="s">
        <v>1709</v>
      </c>
    </row>
    <row r="2341" spans="1:7">
      <c r="A2341" s="9" t="s">
        <v>1711</v>
      </c>
      <c r="B2341" s="13">
        <v>0.2</v>
      </c>
      <c r="C2341" s="10">
        <v>1.109</v>
      </c>
      <c r="D2341" s="9" t="s">
        <v>1712</v>
      </c>
      <c r="E2341" s="11" t="s">
        <v>1715</v>
      </c>
      <c r="F2341" s="12" t="s">
        <v>1714</v>
      </c>
      <c r="G2341" s="9" t="s">
        <v>1709</v>
      </c>
    </row>
    <row r="2342" spans="1:7">
      <c r="A2342" s="9" t="s">
        <v>1711</v>
      </c>
      <c r="B2342" s="9">
        <v>0.2</v>
      </c>
      <c r="C2342" s="10">
        <v>1.109</v>
      </c>
      <c r="D2342" s="9" t="s">
        <v>1712</v>
      </c>
      <c r="E2342" s="11" t="s">
        <v>1715</v>
      </c>
      <c r="F2342" s="12" t="s">
        <v>1714</v>
      </c>
      <c r="G2342" s="9" t="s">
        <v>1709</v>
      </c>
    </row>
    <row r="2343" spans="1:7">
      <c r="A2343" s="9" t="s">
        <v>1711</v>
      </c>
      <c r="B2343" s="9">
        <v>0.2</v>
      </c>
      <c r="C2343" s="10">
        <v>1.109</v>
      </c>
      <c r="D2343" s="9" t="s">
        <v>1712</v>
      </c>
      <c r="E2343" s="11" t="s">
        <v>1715</v>
      </c>
      <c r="F2343" s="12" t="s">
        <v>1714</v>
      </c>
      <c r="G2343" s="9" t="s">
        <v>1709</v>
      </c>
    </row>
    <row r="2344" spans="1:7">
      <c r="A2344" s="9" t="s">
        <v>1711</v>
      </c>
      <c r="B2344" s="13">
        <v>0.2</v>
      </c>
      <c r="C2344" s="10">
        <v>1.109</v>
      </c>
      <c r="D2344" s="9" t="s">
        <v>1712</v>
      </c>
      <c r="E2344" s="11" t="s">
        <v>1715</v>
      </c>
      <c r="F2344" s="12" t="s">
        <v>1714</v>
      </c>
      <c r="G2344" s="9" t="s">
        <v>1709</v>
      </c>
    </row>
    <row r="2345" spans="1:7">
      <c r="A2345" s="9" t="s">
        <v>1711</v>
      </c>
      <c r="B2345" s="9">
        <v>0.2</v>
      </c>
      <c r="C2345" s="10">
        <v>1.4649999999999999</v>
      </c>
      <c r="D2345" s="9" t="s">
        <v>1712</v>
      </c>
      <c r="E2345" s="11" t="s">
        <v>1713</v>
      </c>
      <c r="F2345" s="12" t="s">
        <v>1714</v>
      </c>
      <c r="G2345" s="9" t="s">
        <v>1709</v>
      </c>
    </row>
    <row r="2346" spans="1:7">
      <c r="A2346" s="9" t="s">
        <v>1711</v>
      </c>
      <c r="B2346" s="9">
        <v>0.2</v>
      </c>
      <c r="C2346" s="10">
        <v>2.7479999999999998</v>
      </c>
      <c r="D2346" s="9" t="s">
        <v>1712</v>
      </c>
      <c r="E2346" s="11" t="s">
        <v>1738</v>
      </c>
      <c r="F2346" s="12" t="s">
        <v>1714</v>
      </c>
      <c r="G2346" s="9" t="s">
        <v>1709</v>
      </c>
    </row>
    <row r="2347" spans="1:7">
      <c r="A2347" s="9" t="s">
        <v>1711</v>
      </c>
      <c r="B2347" s="9">
        <v>0.2</v>
      </c>
      <c r="C2347" s="10">
        <v>7.0000000000000001E-3</v>
      </c>
      <c r="D2347" s="9" t="s">
        <v>1712</v>
      </c>
      <c r="E2347" s="11" t="s">
        <v>1737</v>
      </c>
      <c r="F2347" s="12" t="s">
        <v>1714</v>
      </c>
      <c r="G2347" s="9" t="s">
        <v>1709</v>
      </c>
    </row>
    <row r="2348" spans="1:7">
      <c r="A2348" s="9" t="s">
        <v>1711</v>
      </c>
      <c r="B2348" s="9">
        <v>0.2</v>
      </c>
      <c r="C2348" s="10">
        <v>7.0000000000000001E-3</v>
      </c>
      <c r="D2348" s="9" t="s">
        <v>1712</v>
      </c>
      <c r="E2348" s="11" t="s">
        <v>1737</v>
      </c>
      <c r="F2348" s="12" t="s">
        <v>1714</v>
      </c>
      <c r="G2348" s="9" t="s">
        <v>1709</v>
      </c>
    </row>
    <row r="2349" spans="1:7">
      <c r="A2349" s="9" t="s">
        <v>1711</v>
      </c>
      <c r="B2349" s="9">
        <v>0.2</v>
      </c>
      <c r="C2349" s="10">
        <v>3.198</v>
      </c>
      <c r="D2349" s="9" t="s">
        <v>1712</v>
      </c>
      <c r="E2349" s="11" t="s">
        <v>1736</v>
      </c>
      <c r="F2349" s="12" t="s">
        <v>1714</v>
      </c>
      <c r="G2349" s="9" t="s">
        <v>1709</v>
      </c>
    </row>
    <row r="2350" spans="1:7">
      <c r="A2350" s="9" t="s">
        <v>1711</v>
      </c>
      <c r="B2350" s="13">
        <v>0.2</v>
      </c>
      <c r="C2350" s="10">
        <v>2.7479999999999998</v>
      </c>
      <c r="D2350" s="9" t="s">
        <v>1712</v>
      </c>
      <c r="E2350" s="11" t="s">
        <v>1736</v>
      </c>
      <c r="F2350" s="12" t="s">
        <v>1714</v>
      </c>
      <c r="G2350" s="9" t="s">
        <v>1709</v>
      </c>
    </row>
    <row r="2351" spans="1:7">
      <c r="A2351" s="9" t="s">
        <v>1711</v>
      </c>
      <c r="B2351" s="13">
        <v>0.2</v>
      </c>
      <c r="C2351" s="10">
        <v>6.0000000000000001E-3</v>
      </c>
      <c r="D2351" s="9" t="s">
        <v>1712</v>
      </c>
      <c r="E2351" s="11" t="s">
        <v>1738</v>
      </c>
      <c r="F2351" s="12" t="s">
        <v>1714</v>
      </c>
      <c r="G2351" s="9" t="s">
        <v>1709</v>
      </c>
    </row>
    <row r="2352" spans="1:7">
      <c r="A2352" s="9" t="s">
        <v>1711</v>
      </c>
      <c r="B2352" s="13">
        <v>0.2</v>
      </c>
      <c r="C2352" s="10">
        <v>-0.19400000000000001</v>
      </c>
      <c r="D2352" s="9" t="s">
        <v>1709</v>
      </c>
      <c r="E2352" s="11" t="s">
        <v>1710</v>
      </c>
      <c r="F2352" s="12" t="s">
        <v>1710</v>
      </c>
      <c r="G2352" s="9" t="s">
        <v>1709</v>
      </c>
    </row>
    <row r="2353" spans="1:7">
      <c r="A2353" s="9" t="s">
        <v>1711</v>
      </c>
      <c r="B2353" s="13">
        <v>0.2</v>
      </c>
      <c r="C2353" s="10">
        <v>1.853</v>
      </c>
      <c r="D2353" s="9" t="s">
        <v>1712</v>
      </c>
      <c r="E2353" s="11" t="s">
        <v>1715</v>
      </c>
      <c r="F2353" s="12" t="s">
        <v>1714</v>
      </c>
      <c r="G2353" s="9" t="s">
        <v>1709</v>
      </c>
    </row>
    <row r="2354" spans="1:7">
      <c r="A2354" s="9" t="s">
        <v>1711</v>
      </c>
      <c r="B2354" s="13">
        <v>0.2</v>
      </c>
      <c r="C2354" s="10">
        <v>2.63</v>
      </c>
      <c r="D2354" s="9" t="s">
        <v>1712</v>
      </c>
      <c r="E2354" s="11" t="s">
        <v>1713</v>
      </c>
      <c r="F2354" s="12" t="s">
        <v>1714</v>
      </c>
      <c r="G2354" s="9" t="s">
        <v>1709</v>
      </c>
    </row>
    <row r="2355" spans="1:7">
      <c r="A2355" s="9" t="s">
        <v>1711</v>
      </c>
      <c r="B2355" s="13">
        <v>0.2</v>
      </c>
      <c r="C2355" s="10">
        <v>2.63</v>
      </c>
      <c r="D2355" s="9" t="s">
        <v>1712</v>
      </c>
      <c r="E2355" s="11" t="s">
        <v>1713</v>
      </c>
      <c r="F2355" s="12" t="s">
        <v>1714</v>
      </c>
      <c r="G2355" s="9" t="s">
        <v>1709</v>
      </c>
    </row>
    <row r="2356" spans="1:7">
      <c r="A2356" s="9" t="s">
        <v>1711</v>
      </c>
      <c r="B2356" s="13">
        <v>0.2</v>
      </c>
      <c r="C2356" s="10">
        <v>2.63</v>
      </c>
      <c r="D2356" s="9" t="s">
        <v>1712</v>
      </c>
      <c r="E2356" s="11" t="s">
        <v>1713</v>
      </c>
      <c r="F2356" s="12" t="s">
        <v>1714</v>
      </c>
      <c r="G2356" s="9" t="s">
        <v>1709</v>
      </c>
    </row>
    <row r="2357" spans="1:7">
      <c r="A2357" s="9" t="s">
        <v>1711</v>
      </c>
      <c r="B2357" s="13">
        <v>0.2</v>
      </c>
      <c r="C2357" s="10">
        <v>2.63</v>
      </c>
      <c r="D2357" s="9" t="s">
        <v>1712</v>
      </c>
      <c r="E2357" s="11" t="s">
        <v>1713</v>
      </c>
      <c r="F2357" s="12" t="s">
        <v>1714</v>
      </c>
      <c r="G2357" s="9" t="s">
        <v>1709</v>
      </c>
    </row>
    <row r="2358" spans="1:7">
      <c r="A2358" s="9" t="s">
        <v>1711</v>
      </c>
      <c r="B2358" s="13">
        <v>0.2</v>
      </c>
      <c r="C2358" s="10">
        <v>2.63</v>
      </c>
      <c r="D2358" s="9" t="s">
        <v>1712</v>
      </c>
      <c r="E2358" s="11" t="s">
        <v>1713</v>
      </c>
      <c r="F2358" s="12" t="s">
        <v>1714</v>
      </c>
      <c r="G2358" s="9" t="s">
        <v>1709</v>
      </c>
    </row>
    <row r="2359" spans="1:7">
      <c r="A2359" s="9" t="s">
        <v>1711</v>
      </c>
      <c r="B2359" s="13">
        <v>0.2</v>
      </c>
      <c r="C2359" s="10">
        <v>2.63</v>
      </c>
      <c r="D2359" s="9" t="s">
        <v>1712</v>
      </c>
      <c r="E2359" s="11" t="s">
        <v>1713</v>
      </c>
      <c r="F2359" s="12" t="s">
        <v>1714</v>
      </c>
      <c r="G2359" s="9" t="s">
        <v>1709</v>
      </c>
    </row>
    <row r="2360" spans="1:7">
      <c r="A2360" s="9" t="s">
        <v>1711</v>
      </c>
      <c r="B2360" s="13">
        <v>0.2</v>
      </c>
      <c r="C2360" s="10">
        <v>2.63</v>
      </c>
      <c r="D2360" s="9" t="s">
        <v>1712</v>
      </c>
      <c r="E2360" s="11" t="s">
        <v>1713</v>
      </c>
      <c r="F2360" s="12" t="s">
        <v>1714</v>
      </c>
      <c r="G2360" s="9" t="s">
        <v>1709</v>
      </c>
    </row>
    <row r="2361" spans="1:7">
      <c r="A2361" s="9" t="s">
        <v>1711</v>
      </c>
      <c r="B2361" s="13">
        <v>0.2</v>
      </c>
      <c r="C2361" s="10">
        <v>2.63</v>
      </c>
      <c r="D2361" s="9" t="s">
        <v>1712</v>
      </c>
      <c r="E2361" s="11" t="s">
        <v>1713</v>
      </c>
      <c r="F2361" s="12" t="s">
        <v>1714</v>
      </c>
      <c r="G2361" s="9" t="s">
        <v>1709</v>
      </c>
    </row>
    <row r="2362" spans="1:7">
      <c r="A2362" s="9" t="s">
        <v>1711</v>
      </c>
      <c r="B2362" s="13">
        <v>0.2</v>
      </c>
      <c r="C2362" s="10">
        <v>2.63</v>
      </c>
      <c r="D2362" s="9" t="s">
        <v>1712</v>
      </c>
      <c r="E2362" s="11" t="s">
        <v>1713</v>
      </c>
      <c r="F2362" s="12" t="s">
        <v>1714</v>
      </c>
      <c r="G2362" s="9" t="s">
        <v>1709</v>
      </c>
    </row>
    <row r="2363" spans="1:7">
      <c r="A2363" s="9" t="s">
        <v>1711</v>
      </c>
      <c r="B2363" s="13">
        <v>0.2</v>
      </c>
      <c r="C2363" s="10">
        <v>2.63</v>
      </c>
      <c r="D2363" s="9" t="s">
        <v>1712</v>
      </c>
      <c r="E2363" s="11" t="s">
        <v>1713</v>
      </c>
      <c r="F2363" s="12" t="s">
        <v>1714</v>
      </c>
      <c r="G2363" s="9" t="s">
        <v>1709</v>
      </c>
    </row>
    <row r="2364" spans="1:7">
      <c r="A2364" s="9" t="s">
        <v>1711</v>
      </c>
      <c r="B2364" s="13">
        <v>0.2</v>
      </c>
      <c r="C2364" s="10">
        <v>2.63</v>
      </c>
      <c r="D2364" s="9" t="s">
        <v>1712</v>
      </c>
      <c r="E2364" s="11" t="s">
        <v>1713</v>
      </c>
      <c r="F2364" s="12" t="s">
        <v>1714</v>
      </c>
      <c r="G2364" s="9" t="s">
        <v>1709</v>
      </c>
    </row>
    <row r="2365" spans="1:7">
      <c r="A2365" s="9" t="s">
        <v>1711</v>
      </c>
      <c r="B2365" s="9">
        <v>0.2</v>
      </c>
      <c r="C2365" s="10">
        <v>0.23200000000000001</v>
      </c>
      <c r="D2365" s="9" t="s">
        <v>1712</v>
      </c>
      <c r="E2365" s="11" t="s">
        <v>1737</v>
      </c>
      <c r="F2365" s="12" t="s">
        <v>1714</v>
      </c>
      <c r="G2365" s="9" t="s">
        <v>1709</v>
      </c>
    </row>
    <row r="2366" spans="1:7">
      <c r="A2366" s="9" t="s">
        <v>1711</v>
      </c>
      <c r="B2366" s="9">
        <v>0.2</v>
      </c>
      <c r="C2366" s="10">
        <v>0.79300000000000004</v>
      </c>
      <c r="D2366" s="9" t="s">
        <v>1712</v>
      </c>
      <c r="E2366" s="11" t="s">
        <v>1737</v>
      </c>
      <c r="F2366" s="12" t="s">
        <v>1714</v>
      </c>
      <c r="G2366" s="9" t="s">
        <v>1709</v>
      </c>
    </row>
    <row r="2367" spans="1:7">
      <c r="A2367" s="9" t="s">
        <v>1711</v>
      </c>
      <c r="B2367" s="9">
        <v>0.2</v>
      </c>
      <c r="C2367" s="10">
        <v>3.198</v>
      </c>
      <c r="D2367" s="9" t="s">
        <v>1712</v>
      </c>
      <c r="E2367" s="11" t="s">
        <v>1737</v>
      </c>
      <c r="F2367" s="12" t="s">
        <v>1714</v>
      </c>
      <c r="G2367" s="9" t="s">
        <v>1709</v>
      </c>
    </row>
    <row r="2368" spans="1:7">
      <c r="A2368" s="9" t="s">
        <v>1711</v>
      </c>
      <c r="B2368" s="9">
        <v>0.2</v>
      </c>
      <c r="C2368" s="10">
        <v>6.9000000000000006E-2</v>
      </c>
      <c r="D2368" s="9" t="s">
        <v>1712</v>
      </c>
      <c r="E2368" s="11" t="s">
        <v>1738</v>
      </c>
      <c r="F2368" s="12" t="s">
        <v>1714</v>
      </c>
      <c r="G2368" s="9" t="s">
        <v>1709</v>
      </c>
    </row>
    <row r="2369" spans="1:7">
      <c r="A2369" s="9" t="s">
        <v>1711</v>
      </c>
      <c r="B2369" s="9">
        <v>0.2</v>
      </c>
      <c r="C2369" s="10">
        <v>0.64100000000000001</v>
      </c>
      <c r="D2369" s="9" t="s">
        <v>1712</v>
      </c>
      <c r="E2369" s="11" t="s">
        <v>1715</v>
      </c>
      <c r="F2369" s="12" t="s">
        <v>1714</v>
      </c>
      <c r="G2369" s="9" t="s">
        <v>1709</v>
      </c>
    </row>
    <row r="2370" spans="1:7">
      <c r="A2370" s="9" t="s">
        <v>1711</v>
      </c>
      <c r="B2370" s="9">
        <v>0.2</v>
      </c>
      <c r="C2370" s="10">
        <v>0.67200000000000004</v>
      </c>
      <c r="D2370" s="9" t="s">
        <v>1712</v>
      </c>
      <c r="E2370" s="11" t="s">
        <v>1713</v>
      </c>
      <c r="F2370" s="12" t="s">
        <v>1714</v>
      </c>
      <c r="G2370" s="9" t="s">
        <v>1709</v>
      </c>
    </row>
    <row r="2371" spans="1:7">
      <c r="A2371" s="9" t="s">
        <v>1711</v>
      </c>
      <c r="B2371" s="13">
        <v>0.2</v>
      </c>
      <c r="C2371" s="10">
        <v>-6.7000000000000004E-2</v>
      </c>
      <c r="D2371" s="9" t="s">
        <v>1709</v>
      </c>
      <c r="E2371" s="11" t="s">
        <v>1710</v>
      </c>
      <c r="F2371" s="12" t="s">
        <v>1710</v>
      </c>
      <c r="G2371" s="9" t="s">
        <v>1709</v>
      </c>
    </row>
    <row r="2372" spans="1:7">
      <c r="A2372" s="9" t="s">
        <v>1711</v>
      </c>
      <c r="B2372" s="13">
        <v>0.2</v>
      </c>
      <c r="C2372" s="10">
        <v>-9.4E-2</v>
      </c>
      <c r="D2372" s="9" t="s">
        <v>1709</v>
      </c>
      <c r="E2372" s="11" t="s">
        <v>1710</v>
      </c>
      <c r="F2372" s="12" t="s">
        <v>1710</v>
      </c>
      <c r="G2372" s="9" t="s">
        <v>1709</v>
      </c>
    </row>
    <row r="2373" spans="1:7">
      <c r="A2373" s="9" t="s">
        <v>1711</v>
      </c>
      <c r="B2373" s="13">
        <v>0.2</v>
      </c>
      <c r="C2373" s="10">
        <v>0.108</v>
      </c>
      <c r="D2373" s="9" t="s">
        <v>1712</v>
      </c>
      <c r="E2373" s="11" t="s">
        <v>1713</v>
      </c>
      <c r="F2373" s="12" t="s">
        <v>1714</v>
      </c>
      <c r="G2373" s="9" t="s">
        <v>1709</v>
      </c>
    </row>
    <row r="2374" spans="1:7">
      <c r="A2374" s="9" t="s">
        <v>1711</v>
      </c>
      <c r="B2374" s="13">
        <v>0.2</v>
      </c>
      <c r="C2374" s="10">
        <v>1.3999999999999999E-2</v>
      </c>
      <c r="D2374" s="9" t="s">
        <v>1712</v>
      </c>
      <c r="E2374" s="11" t="s">
        <v>1713</v>
      </c>
      <c r="F2374" s="12" t="s">
        <v>1714</v>
      </c>
      <c r="G2374" s="9" t="s">
        <v>1709</v>
      </c>
    </row>
    <row r="2375" spans="1:7">
      <c r="A2375" s="9" t="s">
        <v>1711</v>
      </c>
      <c r="B2375" s="13">
        <v>0.2</v>
      </c>
      <c r="C2375" s="10">
        <v>1.3999999999999999E-2</v>
      </c>
      <c r="D2375" s="9" t="s">
        <v>1712</v>
      </c>
      <c r="E2375" s="11" t="s">
        <v>1713</v>
      </c>
      <c r="F2375" s="12" t="s">
        <v>1714</v>
      </c>
      <c r="G2375" s="9" t="s">
        <v>1709</v>
      </c>
    </row>
    <row r="2376" spans="1:7">
      <c r="A2376" s="9" t="s">
        <v>1711</v>
      </c>
      <c r="B2376" s="13">
        <v>0.2</v>
      </c>
      <c r="C2376" s="10">
        <v>1.3999999999999999E-2</v>
      </c>
      <c r="D2376" s="9" t="s">
        <v>1712</v>
      </c>
      <c r="E2376" s="11" t="s">
        <v>1713</v>
      </c>
      <c r="F2376" s="12" t="s">
        <v>1714</v>
      </c>
      <c r="G2376" s="9" t="s">
        <v>1709</v>
      </c>
    </row>
    <row r="2377" spans="1:7">
      <c r="A2377" s="9" t="s">
        <v>1711</v>
      </c>
      <c r="B2377" s="9">
        <v>0.2</v>
      </c>
      <c r="C2377" s="10">
        <v>0.79800000000000004</v>
      </c>
      <c r="D2377" s="9" t="s">
        <v>1712</v>
      </c>
      <c r="E2377" s="11" t="s">
        <v>1713</v>
      </c>
      <c r="F2377" s="12" t="s">
        <v>1714</v>
      </c>
      <c r="G2377" s="9" t="s">
        <v>1709</v>
      </c>
    </row>
    <row r="2378" spans="1:7">
      <c r="A2378" s="9" t="s">
        <v>1711</v>
      </c>
      <c r="B2378" s="9">
        <v>0.2</v>
      </c>
      <c r="C2378" s="10">
        <v>-9.4E-2</v>
      </c>
      <c r="D2378" s="9" t="s">
        <v>1709</v>
      </c>
      <c r="E2378" s="11" t="s">
        <v>1710</v>
      </c>
      <c r="F2378" s="12" t="s">
        <v>1710</v>
      </c>
      <c r="G2378" s="9" t="s">
        <v>1709</v>
      </c>
    </row>
    <row r="2379" spans="1:7">
      <c r="A2379" s="9" t="s">
        <v>1711</v>
      </c>
      <c r="B2379" s="9">
        <v>0.2</v>
      </c>
      <c r="C2379" s="10">
        <v>-7.4999999999999997E-2</v>
      </c>
      <c r="D2379" s="9" t="s">
        <v>1709</v>
      </c>
      <c r="E2379" s="11" t="s">
        <v>1710</v>
      </c>
      <c r="F2379" s="12" t="s">
        <v>1710</v>
      </c>
      <c r="G2379" s="9" t="s">
        <v>1709</v>
      </c>
    </row>
    <row r="2380" spans="1:7">
      <c r="A2380" s="9" t="s">
        <v>1711</v>
      </c>
      <c r="B2380" s="9">
        <v>0.2</v>
      </c>
      <c r="C2380" s="10">
        <v>-7.1000000000000008E-2</v>
      </c>
      <c r="D2380" s="9" t="s">
        <v>1709</v>
      </c>
      <c r="E2380" s="11" t="s">
        <v>1710</v>
      </c>
      <c r="F2380" s="12" t="s">
        <v>1710</v>
      </c>
      <c r="G2380" s="9" t="s">
        <v>1709</v>
      </c>
    </row>
    <row r="2381" spans="1:7">
      <c r="A2381" s="9" t="s">
        <v>1711</v>
      </c>
      <c r="B2381" s="9">
        <v>0.2</v>
      </c>
      <c r="C2381" s="10">
        <v>-7.1000000000000008E-2</v>
      </c>
      <c r="D2381" s="9" t="s">
        <v>1709</v>
      </c>
      <c r="E2381" s="11" t="s">
        <v>1710</v>
      </c>
      <c r="F2381" s="12" t="s">
        <v>1710</v>
      </c>
      <c r="G2381" s="9" t="s">
        <v>1709</v>
      </c>
    </row>
    <row r="2382" spans="1:7">
      <c r="A2382" s="9" t="s">
        <v>1711</v>
      </c>
      <c r="B2382" s="9">
        <v>0.2</v>
      </c>
      <c r="C2382" s="10">
        <v>-7.1000000000000008E-2</v>
      </c>
      <c r="D2382" s="9" t="s">
        <v>1709</v>
      </c>
      <c r="E2382" s="11" t="s">
        <v>1710</v>
      </c>
      <c r="F2382" s="12" t="s">
        <v>1710</v>
      </c>
      <c r="G2382" s="9" t="s">
        <v>1709</v>
      </c>
    </row>
    <row r="2383" spans="1:7">
      <c r="A2383" s="9" t="s">
        <v>1711</v>
      </c>
      <c r="B2383" s="9">
        <v>0.2</v>
      </c>
      <c r="C2383" s="10">
        <v>-7.1000000000000008E-2</v>
      </c>
      <c r="D2383" s="9" t="s">
        <v>1709</v>
      </c>
      <c r="E2383" s="11" t="s">
        <v>1710</v>
      </c>
      <c r="F2383" s="12" t="s">
        <v>1710</v>
      </c>
      <c r="G2383" s="9" t="s">
        <v>1709</v>
      </c>
    </row>
    <row r="2384" spans="1:7">
      <c r="A2384" s="9" t="s">
        <v>1711</v>
      </c>
      <c r="B2384" s="9">
        <v>0.2</v>
      </c>
      <c r="C2384" s="10">
        <v>-7.1000000000000008E-2</v>
      </c>
      <c r="D2384" s="9" t="s">
        <v>1709</v>
      </c>
      <c r="E2384" s="11" t="s">
        <v>1710</v>
      </c>
      <c r="F2384" s="12" t="s">
        <v>1710</v>
      </c>
      <c r="G2384" s="9" t="s">
        <v>1709</v>
      </c>
    </row>
    <row r="2385" spans="1:7">
      <c r="A2385" s="9" t="s">
        <v>1711</v>
      </c>
      <c r="B2385" s="9">
        <v>0.2</v>
      </c>
      <c r="C2385" s="10">
        <v>-5.3999999999999999E-2</v>
      </c>
      <c r="D2385" s="9" t="s">
        <v>1709</v>
      </c>
      <c r="E2385" s="11" t="s">
        <v>1710</v>
      </c>
      <c r="F2385" s="12" t="s">
        <v>1710</v>
      </c>
      <c r="G2385" s="9" t="s">
        <v>1709</v>
      </c>
    </row>
    <row r="2386" spans="1:7">
      <c r="A2386" s="9" t="s">
        <v>1711</v>
      </c>
      <c r="B2386" s="9">
        <v>0.2</v>
      </c>
      <c r="C2386" s="10">
        <v>-5.3999999999999999E-2</v>
      </c>
      <c r="D2386" s="9" t="s">
        <v>1709</v>
      </c>
      <c r="E2386" s="11" t="s">
        <v>1710</v>
      </c>
      <c r="F2386" s="12" t="s">
        <v>1710</v>
      </c>
      <c r="G2386" s="9" t="s">
        <v>1709</v>
      </c>
    </row>
    <row r="2387" spans="1:7">
      <c r="A2387" s="9" t="s">
        <v>1711</v>
      </c>
      <c r="B2387" s="9">
        <v>0.2</v>
      </c>
      <c r="C2387" s="10">
        <v>4.1000000000000002E-2</v>
      </c>
      <c r="D2387" s="9" t="s">
        <v>1712</v>
      </c>
      <c r="E2387" s="11" t="s">
        <v>1736</v>
      </c>
      <c r="F2387" s="12" t="s">
        <v>1714</v>
      </c>
      <c r="G2387" s="9" t="s">
        <v>1709</v>
      </c>
    </row>
    <row r="2388" spans="1:7">
      <c r="A2388" s="9" t="s">
        <v>1711</v>
      </c>
      <c r="B2388" s="9">
        <v>0.2</v>
      </c>
      <c r="C2388" s="10">
        <v>4.1000000000000002E-2</v>
      </c>
      <c r="D2388" s="9" t="s">
        <v>1712</v>
      </c>
      <c r="E2388" s="11" t="s">
        <v>1736</v>
      </c>
      <c r="F2388" s="12" t="s">
        <v>1714</v>
      </c>
      <c r="G2388" s="9" t="s">
        <v>1709</v>
      </c>
    </row>
    <row r="2389" spans="1:7">
      <c r="A2389" s="9" t="s">
        <v>1711</v>
      </c>
      <c r="B2389" s="9">
        <v>0.2</v>
      </c>
      <c r="C2389" s="10">
        <v>4.1000000000000002E-2</v>
      </c>
      <c r="D2389" s="9" t="s">
        <v>1712</v>
      </c>
      <c r="E2389" s="11" t="s">
        <v>1736</v>
      </c>
      <c r="F2389" s="12" t="s">
        <v>1714</v>
      </c>
      <c r="G2389" s="9" t="s">
        <v>1709</v>
      </c>
    </row>
    <row r="2390" spans="1:7">
      <c r="A2390" s="9" t="s">
        <v>1711</v>
      </c>
      <c r="B2390" s="9">
        <v>0.2</v>
      </c>
      <c r="C2390" s="10">
        <v>4.1000000000000002E-2</v>
      </c>
      <c r="D2390" s="9" t="s">
        <v>1712</v>
      </c>
      <c r="E2390" s="11" t="s">
        <v>1736</v>
      </c>
      <c r="F2390" s="12" t="s">
        <v>1714</v>
      </c>
      <c r="G2390" s="9" t="s">
        <v>1709</v>
      </c>
    </row>
    <row r="2391" spans="1:7">
      <c r="A2391" s="9" t="s">
        <v>1711</v>
      </c>
      <c r="B2391" s="9">
        <v>0.2</v>
      </c>
      <c r="C2391" s="10">
        <v>4.1000000000000002E-2</v>
      </c>
      <c r="D2391" s="9" t="s">
        <v>1712</v>
      </c>
      <c r="E2391" s="11" t="s">
        <v>1736</v>
      </c>
      <c r="F2391" s="12" t="s">
        <v>1714</v>
      </c>
      <c r="G2391" s="9" t="s">
        <v>1709</v>
      </c>
    </row>
    <row r="2392" spans="1:7">
      <c r="A2392" s="9" t="s">
        <v>1711</v>
      </c>
      <c r="B2392" s="9">
        <v>0.2</v>
      </c>
      <c r="C2392" s="10">
        <v>4.1000000000000002E-2</v>
      </c>
      <c r="D2392" s="9" t="s">
        <v>1712</v>
      </c>
      <c r="E2392" s="11" t="s">
        <v>1736</v>
      </c>
      <c r="F2392" s="12" t="s">
        <v>1714</v>
      </c>
      <c r="G2392" s="9" t="s">
        <v>1709</v>
      </c>
    </row>
    <row r="2393" spans="1:7">
      <c r="A2393" s="9" t="s">
        <v>1711</v>
      </c>
      <c r="B2393" s="9">
        <v>0.2</v>
      </c>
      <c r="C2393" s="10">
        <v>4.1000000000000002E-2</v>
      </c>
      <c r="D2393" s="9" t="s">
        <v>1712</v>
      </c>
      <c r="E2393" s="11" t="s">
        <v>1736</v>
      </c>
      <c r="F2393" s="12" t="s">
        <v>1714</v>
      </c>
      <c r="G2393" s="9" t="s">
        <v>1709</v>
      </c>
    </row>
    <row r="2394" spans="1:7">
      <c r="A2394" s="9" t="s">
        <v>1711</v>
      </c>
      <c r="B2394" s="9">
        <v>0.2</v>
      </c>
      <c r="C2394" s="10">
        <v>4.1000000000000002E-2</v>
      </c>
      <c r="D2394" s="9" t="s">
        <v>1712</v>
      </c>
      <c r="E2394" s="11" t="s">
        <v>1736</v>
      </c>
      <c r="F2394" s="12" t="s">
        <v>1714</v>
      </c>
      <c r="G2394" s="9" t="s">
        <v>1709</v>
      </c>
    </row>
    <row r="2395" spans="1:7">
      <c r="A2395" s="9" t="s">
        <v>1711</v>
      </c>
      <c r="B2395" s="9">
        <v>0.2</v>
      </c>
      <c r="C2395" s="10">
        <v>4.1000000000000002E-2</v>
      </c>
      <c r="D2395" s="9" t="s">
        <v>1712</v>
      </c>
      <c r="E2395" s="11" t="s">
        <v>1736</v>
      </c>
      <c r="F2395" s="12" t="s">
        <v>1714</v>
      </c>
      <c r="G2395" s="9" t="s">
        <v>1709</v>
      </c>
    </row>
    <row r="2396" spans="1:7">
      <c r="A2396" s="9" t="s">
        <v>1711</v>
      </c>
      <c r="B2396" s="9">
        <v>0.2</v>
      </c>
      <c r="C2396" s="10">
        <v>4.1000000000000002E-2</v>
      </c>
      <c r="D2396" s="9" t="s">
        <v>1712</v>
      </c>
      <c r="E2396" s="11" t="s">
        <v>1736</v>
      </c>
      <c r="F2396" s="12" t="s">
        <v>1714</v>
      </c>
      <c r="G2396" s="9" t="s">
        <v>1709</v>
      </c>
    </row>
    <row r="2397" spans="1:7">
      <c r="A2397" s="9" t="s">
        <v>1711</v>
      </c>
      <c r="B2397" s="9">
        <v>0.2</v>
      </c>
      <c r="C2397" s="10">
        <v>4.1000000000000002E-2</v>
      </c>
      <c r="D2397" s="9" t="s">
        <v>1712</v>
      </c>
      <c r="E2397" s="11" t="s">
        <v>1736</v>
      </c>
      <c r="F2397" s="12" t="s">
        <v>1714</v>
      </c>
      <c r="G2397" s="9" t="s">
        <v>1709</v>
      </c>
    </row>
    <row r="2398" spans="1:7">
      <c r="A2398" s="9" t="s">
        <v>1711</v>
      </c>
      <c r="B2398" s="9">
        <v>0.2</v>
      </c>
      <c r="C2398" s="10">
        <v>4.1000000000000002E-2</v>
      </c>
      <c r="D2398" s="9" t="s">
        <v>1712</v>
      </c>
      <c r="E2398" s="11" t="s">
        <v>1736</v>
      </c>
      <c r="F2398" s="12" t="s">
        <v>1714</v>
      </c>
      <c r="G2398" s="9" t="s">
        <v>1709</v>
      </c>
    </row>
    <row r="2399" spans="1:7">
      <c r="A2399" s="9" t="s">
        <v>1711</v>
      </c>
      <c r="B2399" s="13">
        <v>0.2</v>
      </c>
      <c r="C2399" s="10">
        <v>4.1000000000000002E-2</v>
      </c>
      <c r="D2399" s="9" t="s">
        <v>1712</v>
      </c>
      <c r="E2399" s="11" t="s">
        <v>1736</v>
      </c>
      <c r="F2399" s="12" t="s">
        <v>1714</v>
      </c>
      <c r="G2399" s="9" t="s">
        <v>1709</v>
      </c>
    </row>
    <row r="2400" spans="1:7">
      <c r="A2400" s="9" t="s">
        <v>1711</v>
      </c>
      <c r="B2400" s="13">
        <v>0.2</v>
      </c>
      <c r="C2400" s="10">
        <v>4.1000000000000002E-2</v>
      </c>
      <c r="D2400" s="9" t="s">
        <v>1712</v>
      </c>
      <c r="E2400" s="11" t="s">
        <v>1736</v>
      </c>
      <c r="F2400" s="12" t="s">
        <v>1714</v>
      </c>
      <c r="G2400" s="9" t="s">
        <v>1709</v>
      </c>
    </row>
    <row r="2401" spans="1:7">
      <c r="A2401" s="9" t="s">
        <v>1711</v>
      </c>
      <c r="B2401" s="13">
        <v>0.2</v>
      </c>
      <c r="C2401" s="10">
        <v>4.1000000000000002E-2</v>
      </c>
      <c r="D2401" s="9" t="s">
        <v>1712</v>
      </c>
      <c r="E2401" s="11" t="s">
        <v>1736</v>
      </c>
      <c r="F2401" s="12" t="s">
        <v>1714</v>
      </c>
      <c r="G2401" s="9" t="s">
        <v>1709</v>
      </c>
    </row>
    <row r="2402" spans="1:7">
      <c r="A2402" s="9" t="s">
        <v>1711</v>
      </c>
      <c r="B2402" s="13">
        <v>0.2</v>
      </c>
      <c r="C2402" s="10">
        <v>4.1000000000000002E-2</v>
      </c>
      <c r="D2402" s="9" t="s">
        <v>1712</v>
      </c>
      <c r="E2402" s="11" t="s">
        <v>1736</v>
      </c>
      <c r="F2402" s="12" t="s">
        <v>1714</v>
      </c>
      <c r="G2402" s="9" t="s">
        <v>1709</v>
      </c>
    </row>
    <row r="2403" spans="1:7">
      <c r="A2403" s="9" t="s">
        <v>1711</v>
      </c>
      <c r="B2403" s="13">
        <v>0.2</v>
      </c>
      <c r="C2403" s="10">
        <v>4.1000000000000002E-2</v>
      </c>
      <c r="D2403" s="9" t="s">
        <v>1712</v>
      </c>
      <c r="E2403" s="11" t="s">
        <v>1736</v>
      </c>
      <c r="F2403" s="12" t="s">
        <v>1714</v>
      </c>
      <c r="G2403" s="9" t="s">
        <v>1709</v>
      </c>
    </row>
    <row r="2404" spans="1:7">
      <c r="A2404" s="9" t="s">
        <v>1711</v>
      </c>
      <c r="B2404" s="13">
        <v>0.2</v>
      </c>
      <c r="C2404" s="10">
        <v>4.1000000000000002E-2</v>
      </c>
      <c r="D2404" s="9" t="s">
        <v>1712</v>
      </c>
      <c r="E2404" s="11" t="s">
        <v>1736</v>
      </c>
      <c r="F2404" s="12" t="s">
        <v>1714</v>
      </c>
      <c r="G2404" s="9" t="s">
        <v>1709</v>
      </c>
    </row>
    <row r="2405" spans="1:7">
      <c r="A2405" s="9" t="s">
        <v>1711</v>
      </c>
      <c r="B2405" s="13">
        <v>0.2</v>
      </c>
      <c r="C2405" s="10">
        <v>4.1000000000000002E-2</v>
      </c>
      <c r="D2405" s="9" t="s">
        <v>1712</v>
      </c>
      <c r="E2405" s="11" t="s">
        <v>1736</v>
      </c>
      <c r="F2405" s="12" t="s">
        <v>1714</v>
      </c>
      <c r="G2405" s="9" t="s">
        <v>1709</v>
      </c>
    </row>
    <row r="2406" spans="1:7">
      <c r="A2406" s="9" t="s">
        <v>1711</v>
      </c>
      <c r="B2406" s="13">
        <v>0.2</v>
      </c>
      <c r="C2406" s="10">
        <v>4.1000000000000002E-2</v>
      </c>
      <c r="D2406" s="9" t="s">
        <v>1712</v>
      </c>
      <c r="E2406" s="11" t="s">
        <v>1736</v>
      </c>
      <c r="F2406" s="12" t="s">
        <v>1714</v>
      </c>
      <c r="G2406" s="9" t="s">
        <v>1709</v>
      </c>
    </row>
    <row r="2407" spans="1:7">
      <c r="A2407" s="9" t="s">
        <v>1711</v>
      </c>
      <c r="B2407" s="13">
        <v>0.2</v>
      </c>
      <c r="C2407" s="10">
        <v>4.1000000000000002E-2</v>
      </c>
      <c r="D2407" s="9" t="s">
        <v>1712</v>
      </c>
      <c r="E2407" s="11" t="s">
        <v>1736</v>
      </c>
      <c r="F2407" s="12" t="s">
        <v>1714</v>
      </c>
      <c r="G2407" s="9" t="s">
        <v>1709</v>
      </c>
    </row>
    <row r="2408" spans="1:7">
      <c r="A2408" s="9" t="s">
        <v>1711</v>
      </c>
      <c r="B2408" s="13">
        <v>0.2</v>
      </c>
      <c r="C2408" s="10">
        <v>4.1000000000000002E-2</v>
      </c>
      <c r="D2408" s="9" t="s">
        <v>1712</v>
      </c>
      <c r="E2408" s="11" t="s">
        <v>1736</v>
      </c>
      <c r="F2408" s="12" t="s">
        <v>1714</v>
      </c>
      <c r="G2408" s="9" t="s">
        <v>1709</v>
      </c>
    </row>
    <row r="2409" spans="1:7">
      <c r="A2409" s="9" t="s">
        <v>1711</v>
      </c>
      <c r="B2409" s="13">
        <v>0.2</v>
      </c>
      <c r="C2409" s="10">
        <v>9.9999999999999985E-3</v>
      </c>
      <c r="D2409" s="9" t="s">
        <v>1712</v>
      </c>
      <c r="E2409" s="11" t="s">
        <v>1736</v>
      </c>
      <c r="F2409" s="12" t="s">
        <v>1714</v>
      </c>
      <c r="G2409" s="9" t="s">
        <v>1709</v>
      </c>
    </row>
    <row r="2410" spans="1:7">
      <c r="A2410" s="9" t="s">
        <v>1711</v>
      </c>
      <c r="B2410" s="13">
        <v>0.2</v>
      </c>
      <c r="C2410" s="10">
        <v>1.2529999999999999</v>
      </c>
      <c r="D2410" s="9" t="s">
        <v>1712</v>
      </c>
      <c r="E2410" s="11" t="s">
        <v>1738</v>
      </c>
      <c r="F2410" s="12" t="s">
        <v>1714</v>
      </c>
      <c r="G2410" s="9" t="s">
        <v>1709</v>
      </c>
    </row>
    <row r="2411" spans="1:7">
      <c r="A2411" s="9" t="s">
        <v>1711</v>
      </c>
      <c r="B2411" s="13">
        <v>0.2</v>
      </c>
      <c r="C2411" s="10">
        <v>0.375</v>
      </c>
      <c r="D2411" s="9" t="s">
        <v>1712</v>
      </c>
      <c r="E2411" s="11" t="s">
        <v>1738</v>
      </c>
      <c r="F2411" s="12" t="s">
        <v>1714</v>
      </c>
      <c r="G2411" s="9" t="s">
        <v>1709</v>
      </c>
    </row>
    <row r="2412" spans="1:7">
      <c r="A2412" s="9" t="s">
        <v>1711</v>
      </c>
      <c r="B2412" s="13">
        <v>0.2</v>
      </c>
      <c r="C2412" s="10">
        <v>0.51700000000000002</v>
      </c>
      <c r="D2412" s="9" t="s">
        <v>1712</v>
      </c>
      <c r="E2412" s="11" t="s">
        <v>1738</v>
      </c>
      <c r="F2412" s="12" t="s">
        <v>1714</v>
      </c>
      <c r="G2412" s="9" t="s">
        <v>1709</v>
      </c>
    </row>
    <row r="2413" spans="1:7">
      <c r="A2413" s="9" t="s">
        <v>1711</v>
      </c>
      <c r="B2413" s="13">
        <v>0.2</v>
      </c>
      <c r="C2413" s="10">
        <v>1.819</v>
      </c>
      <c r="D2413" s="9" t="s">
        <v>1712</v>
      </c>
      <c r="E2413" s="11" t="s">
        <v>1738</v>
      </c>
      <c r="F2413" s="12" t="s">
        <v>1714</v>
      </c>
      <c r="G2413" s="9" t="s">
        <v>1709</v>
      </c>
    </row>
    <row r="2414" spans="1:7">
      <c r="A2414" s="9" t="s">
        <v>1711</v>
      </c>
      <c r="B2414" s="13">
        <v>0.2</v>
      </c>
      <c r="C2414" s="10">
        <v>1.819</v>
      </c>
      <c r="D2414" s="9" t="s">
        <v>1712</v>
      </c>
      <c r="E2414" s="11" t="s">
        <v>1738</v>
      </c>
      <c r="F2414" s="12" t="s">
        <v>1714</v>
      </c>
      <c r="G2414" s="9" t="s">
        <v>1709</v>
      </c>
    </row>
    <row r="2415" spans="1:7">
      <c r="A2415" s="9" t="s">
        <v>1711</v>
      </c>
      <c r="B2415" s="13">
        <v>0.2</v>
      </c>
      <c r="C2415" s="10">
        <v>0.52900000000000003</v>
      </c>
      <c r="D2415" s="9" t="s">
        <v>1712</v>
      </c>
      <c r="E2415" s="11" t="s">
        <v>1738</v>
      </c>
      <c r="F2415" s="12" t="s">
        <v>1714</v>
      </c>
      <c r="G2415" s="9" t="s">
        <v>1709</v>
      </c>
    </row>
    <row r="2416" spans="1:7">
      <c r="A2416" s="9" t="s">
        <v>1711</v>
      </c>
      <c r="B2416" s="13">
        <v>0.2</v>
      </c>
      <c r="C2416" s="10">
        <v>0.52900000000000003</v>
      </c>
      <c r="D2416" s="9" t="s">
        <v>1712</v>
      </c>
      <c r="E2416" s="11" t="s">
        <v>1738</v>
      </c>
      <c r="F2416" s="12" t="s">
        <v>1714</v>
      </c>
      <c r="G2416" s="9" t="s">
        <v>1709</v>
      </c>
    </row>
    <row r="2417" spans="1:7">
      <c r="A2417" s="9" t="s">
        <v>1711</v>
      </c>
      <c r="B2417" s="13">
        <v>0.2</v>
      </c>
      <c r="C2417" s="10">
        <v>0.52900000000000003</v>
      </c>
      <c r="D2417" s="9" t="s">
        <v>1712</v>
      </c>
      <c r="E2417" s="11" t="s">
        <v>1738</v>
      </c>
      <c r="F2417" s="12" t="s">
        <v>1714</v>
      </c>
      <c r="G2417" s="9" t="s">
        <v>1709</v>
      </c>
    </row>
    <row r="2418" spans="1:7">
      <c r="A2418" s="9" t="s">
        <v>1711</v>
      </c>
      <c r="B2418" s="13">
        <v>0.2</v>
      </c>
      <c r="C2418" s="10">
        <v>-0.126</v>
      </c>
      <c r="D2418" s="9" t="s">
        <v>1709</v>
      </c>
      <c r="E2418" s="11" t="s">
        <v>1710</v>
      </c>
      <c r="F2418" s="12" t="s">
        <v>1710</v>
      </c>
      <c r="G2418" s="9" t="s">
        <v>1709</v>
      </c>
    </row>
    <row r="2419" spans="1:7">
      <c r="A2419" s="9" t="s">
        <v>1711</v>
      </c>
      <c r="B2419" s="13">
        <v>0.2</v>
      </c>
      <c r="C2419" s="10">
        <v>-0.126</v>
      </c>
      <c r="D2419" s="9" t="s">
        <v>1709</v>
      </c>
      <c r="E2419" s="11" t="s">
        <v>1710</v>
      </c>
      <c r="F2419" s="12" t="s">
        <v>1710</v>
      </c>
      <c r="G2419" s="9" t="s">
        <v>1709</v>
      </c>
    </row>
    <row r="2420" spans="1:7">
      <c r="A2420" s="9" t="s">
        <v>1711</v>
      </c>
      <c r="B2420" s="13">
        <v>0.2</v>
      </c>
      <c r="C2420" s="10">
        <v>0.122</v>
      </c>
      <c r="D2420" s="9" t="s">
        <v>1712</v>
      </c>
      <c r="E2420" s="11" t="s">
        <v>1737</v>
      </c>
      <c r="F2420" s="12" t="s">
        <v>1714</v>
      </c>
      <c r="G2420" s="9" t="s">
        <v>1709</v>
      </c>
    </row>
    <row r="2421" spans="1:7">
      <c r="A2421" s="9" t="s">
        <v>1711</v>
      </c>
      <c r="B2421" s="13">
        <v>0.2</v>
      </c>
      <c r="C2421" s="10">
        <v>0.79300000000000004</v>
      </c>
      <c r="D2421" s="9" t="s">
        <v>1712</v>
      </c>
      <c r="E2421" s="11" t="s">
        <v>1713</v>
      </c>
      <c r="F2421" s="12" t="s">
        <v>1714</v>
      </c>
      <c r="G2421" s="9" t="s">
        <v>1709</v>
      </c>
    </row>
    <row r="2422" spans="1:7">
      <c r="A2422" s="9" t="s">
        <v>1711</v>
      </c>
      <c r="B2422" s="13">
        <v>0.2</v>
      </c>
      <c r="C2422" s="10">
        <v>1.7939999999999998</v>
      </c>
      <c r="D2422" s="9" t="s">
        <v>1712</v>
      </c>
      <c r="E2422" s="11" t="s">
        <v>1736</v>
      </c>
      <c r="F2422" s="12" t="s">
        <v>1714</v>
      </c>
      <c r="G2422" s="9" t="s">
        <v>1709</v>
      </c>
    </row>
    <row r="2423" spans="1:7">
      <c r="A2423" s="9" t="s">
        <v>1711</v>
      </c>
      <c r="B2423" s="13">
        <v>0.2</v>
      </c>
      <c r="C2423" s="10">
        <v>-3.0000000000000001E-3</v>
      </c>
      <c r="D2423" s="9" t="s">
        <v>1709</v>
      </c>
      <c r="E2423" s="11" t="s">
        <v>1710</v>
      </c>
      <c r="F2423" s="12" t="s">
        <v>1710</v>
      </c>
      <c r="G2423" s="9" t="s">
        <v>1709</v>
      </c>
    </row>
    <row r="2424" spans="1:7">
      <c r="A2424" s="9" t="s">
        <v>1711</v>
      </c>
      <c r="B2424" s="13">
        <v>0.2</v>
      </c>
      <c r="C2424" s="10">
        <v>9.9999999999999985E-3</v>
      </c>
      <c r="D2424" s="9" t="s">
        <v>1712</v>
      </c>
      <c r="E2424" s="11" t="s">
        <v>1737</v>
      </c>
      <c r="F2424" s="12" t="s">
        <v>1714</v>
      </c>
      <c r="G2424" s="9" t="s">
        <v>1709</v>
      </c>
    </row>
    <row r="2425" spans="1:7">
      <c r="A2425" s="9" t="s">
        <v>1711</v>
      </c>
      <c r="B2425" s="13">
        <v>0.2</v>
      </c>
      <c r="C2425" s="10">
        <v>-0.13200000000000001</v>
      </c>
      <c r="D2425" s="9" t="s">
        <v>1709</v>
      </c>
      <c r="E2425" s="11" t="s">
        <v>1710</v>
      </c>
      <c r="F2425" s="12" t="s">
        <v>1710</v>
      </c>
      <c r="G2425" s="9" t="s">
        <v>1709</v>
      </c>
    </row>
    <row r="2426" spans="1:7">
      <c r="A2426" s="9" t="s">
        <v>1711</v>
      </c>
      <c r="B2426" s="13">
        <v>0.2</v>
      </c>
      <c r="C2426" s="10">
        <v>1.3999999999999999E-2</v>
      </c>
      <c r="D2426" s="9" t="s">
        <v>1712</v>
      </c>
      <c r="E2426" s="11" t="s">
        <v>1737</v>
      </c>
      <c r="F2426" s="12" t="s">
        <v>1714</v>
      </c>
      <c r="G2426" s="9" t="s">
        <v>1709</v>
      </c>
    </row>
    <row r="2427" spans="1:7">
      <c r="A2427" s="9" t="s">
        <v>1711</v>
      </c>
      <c r="B2427" s="13">
        <v>0.2</v>
      </c>
      <c r="C2427" s="10">
        <v>1.829</v>
      </c>
      <c r="D2427" s="9" t="s">
        <v>1712</v>
      </c>
      <c r="E2427" s="11" t="s">
        <v>1737</v>
      </c>
      <c r="F2427" s="12" t="s">
        <v>1714</v>
      </c>
      <c r="G2427" s="9" t="s">
        <v>1709</v>
      </c>
    </row>
    <row r="2428" spans="1:7">
      <c r="A2428" s="9" t="s">
        <v>1711</v>
      </c>
      <c r="B2428" s="13">
        <v>0.2</v>
      </c>
      <c r="C2428" s="10">
        <v>1.829</v>
      </c>
      <c r="D2428" s="9" t="s">
        <v>1712</v>
      </c>
      <c r="E2428" s="11" t="s">
        <v>1737</v>
      </c>
      <c r="F2428" s="12" t="s">
        <v>1714</v>
      </c>
      <c r="G2428" s="9" t="s">
        <v>1709</v>
      </c>
    </row>
    <row r="2429" spans="1:7">
      <c r="A2429" s="9" t="s">
        <v>1711</v>
      </c>
      <c r="B2429" s="13">
        <v>0.2</v>
      </c>
      <c r="C2429" s="10">
        <v>1.8279999999999998</v>
      </c>
      <c r="D2429" s="9" t="s">
        <v>1712</v>
      </c>
      <c r="E2429" s="11" t="s">
        <v>1737</v>
      </c>
      <c r="F2429" s="12" t="s">
        <v>1714</v>
      </c>
      <c r="G2429" s="9" t="s">
        <v>1709</v>
      </c>
    </row>
    <row r="2430" spans="1:7">
      <c r="A2430" s="9" t="s">
        <v>1711</v>
      </c>
      <c r="B2430" s="13">
        <v>0.2</v>
      </c>
      <c r="C2430" s="10">
        <v>0.91800000000000004</v>
      </c>
      <c r="D2430" s="9" t="s">
        <v>1712</v>
      </c>
      <c r="E2430" s="11" t="s">
        <v>1738</v>
      </c>
      <c r="F2430" s="12" t="s">
        <v>1714</v>
      </c>
      <c r="G2430" s="9" t="s">
        <v>1709</v>
      </c>
    </row>
    <row r="2431" spans="1:7">
      <c r="A2431" s="9" t="s">
        <v>1711</v>
      </c>
      <c r="B2431" s="13">
        <v>0.2</v>
      </c>
      <c r="C2431" s="10">
        <v>-3.0000000000000002E-2</v>
      </c>
      <c r="D2431" s="9" t="s">
        <v>1709</v>
      </c>
      <c r="E2431" s="11" t="s">
        <v>1710</v>
      </c>
      <c r="F2431" s="12" t="s">
        <v>1710</v>
      </c>
      <c r="G2431" s="9" t="s">
        <v>1709</v>
      </c>
    </row>
    <row r="2432" spans="1:7">
      <c r="A2432" s="9" t="s">
        <v>1711</v>
      </c>
      <c r="B2432" s="13">
        <v>0.2</v>
      </c>
      <c r="C2432" s="10">
        <v>1.587</v>
      </c>
      <c r="D2432" s="9" t="s">
        <v>1712</v>
      </c>
      <c r="E2432" s="11" t="s">
        <v>1738</v>
      </c>
      <c r="F2432" s="12" t="s">
        <v>1714</v>
      </c>
      <c r="G2432" s="9" t="s">
        <v>1709</v>
      </c>
    </row>
    <row r="2433" spans="1:7">
      <c r="A2433" s="9" t="s">
        <v>1711</v>
      </c>
      <c r="B2433" s="13">
        <v>0.2</v>
      </c>
      <c r="C2433" s="10">
        <v>1.1829999999999998</v>
      </c>
      <c r="D2433" s="9" t="s">
        <v>1712</v>
      </c>
      <c r="E2433" s="11" t="s">
        <v>1738</v>
      </c>
      <c r="F2433" s="12" t="s">
        <v>1714</v>
      </c>
      <c r="G2433" s="9" t="s">
        <v>1709</v>
      </c>
    </row>
    <row r="2434" spans="1:7">
      <c r="A2434" s="9" t="s">
        <v>1711</v>
      </c>
      <c r="B2434" s="13">
        <v>0.2</v>
      </c>
      <c r="C2434" s="10">
        <v>0.77400000000000002</v>
      </c>
      <c r="D2434" s="9" t="s">
        <v>1712</v>
      </c>
      <c r="E2434" s="11" t="s">
        <v>1737</v>
      </c>
      <c r="F2434" s="12" t="s">
        <v>1714</v>
      </c>
      <c r="G2434" s="9" t="s">
        <v>1709</v>
      </c>
    </row>
    <row r="2435" spans="1:7">
      <c r="A2435" s="9" t="s">
        <v>1711</v>
      </c>
      <c r="B2435" s="13">
        <v>0.2</v>
      </c>
      <c r="C2435" s="10">
        <v>0.77400000000000002</v>
      </c>
      <c r="D2435" s="9" t="s">
        <v>1712</v>
      </c>
      <c r="E2435" s="11" t="s">
        <v>1737</v>
      </c>
      <c r="F2435" s="12" t="s">
        <v>1714</v>
      </c>
      <c r="G2435" s="9" t="s">
        <v>1709</v>
      </c>
    </row>
    <row r="2436" spans="1:7">
      <c r="A2436" s="9" t="s">
        <v>1711</v>
      </c>
      <c r="B2436" s="13">
        <v>0.2</v>
      </c>
      <c r="C2436" s="10">
        <v>0.27800000000000002</v>
      </c>
      <c r="D2436" s="9" t="s">
        <v>1712</v>
      </c>
      <c r="E2436" s="11" t="s">
        <v>1738</v>
      </c>
      <c r="F2436" s="12" t="s">
        <v>1714</v>
      </c>
      <c r="G2436" s="9" t="s">
        <v>1709</v>
      </c>
    </row>
    <row r="2437" spans="1:7">
      <c r="A2437" s="9" t="s">
        <v>1711</v>
      </c>
      <c r="B2437" s="13">
        <v>0.2</v>
      </c>
      <c r="C2437" s="10">
        <v>2.323</v>
      </c>
      <c r="D2437" s="9" t="s">
        <v>1712</v>
      </c>
      <c r="E2437" s="11" t="s">
        <v>1736</v>
      </c>
      <c r="F2437" s="12" t="s">
        <v>1714</v>
      </c>
      <c r="G2437" s="9" t="s">
        <v>1709</v>
      </c>
    </row>
    <row r="2438" spans="1:7">
      <c r="A2438" s="9" t="s">
        <v>1711</v>
      </c>
      <c r="B2438" s="13">
        <v>0.2</v>
      </c>
      <c r="C2438" s="10">
        <v>-0.123</v>
      </c>
      <c r="D2438" s="9" t="s">
        <v>1709</v>
      </c>
      <c r="E2438" s="11" t="s">
        <v>1710</v>
      </c>
      <c r="F2438" s="12" t="s">
        <v>1710</v>
      </c>
      <c r="G2438" s="9" t="s">
        <v>1709</v>
      </c>
    </row>
    <row r="2439" spans="1:7">
      <c r="A2439" s="9" t="s">
        <v>1711</v>
      </c>
      <c r="B2439" s="13">
        <v>0.2</v>
      </c>
      <c r="C2439" s="10">
        <v>0.64100000000000001</v>
      </c>
      <c r="D2439" s="9" t="s">
        <v>1712</v>
      </c>
      <c r="E2439" s="11" t="s">
        <v>1737</v>
      </c>
      <c r="F2439" s="12" t="s">
        <v>1714</v>
      </c>
      <c r="G2439" s="9" t="s">
        <v>1709</v>
      </c>
    </row>
    <row r="2440" spans="1:7">
      <c r="A2440" s="9" t="s">
        <v>1711</v>
      </c>
      <c r="B2440" s="13">
        <v>0.2</v>
      </c>
      <c r="C2440" s="10">
        <v>-0.123</v>
      </c>
      <c r="D2440" s="9" t="s">
        <v>1709</v>
      </c>
      <c r="E2440" s="11" t="s">
        <v>1710</v>
      </c>
      <c r="F2440" s="12" t="s">
        <v>1710</v>
      </c>
      <c r="G2440" s="9" t="s">
        <v>1709</v>
      </c>
    </row>
    <row r="2441" spans="1:7">
      <c r="A2441" s="9" t="s">
        <v>1711</v>
      </c>
      <c r="B2441" s="13">
        <v>0.2</v>
      </c>
      <c r="C2441" s="10">
        <v>0.19800000000000001</v>
      </c>
      <c r="D2441" s="9" t="s">
        <v>1712</v>
      </c>
      <c r="E2441" s="11" t="s">
        <v>1737</v>
      </c>
      <c r="F2441" s="12" t="s">
        <v>1714</v>
      </c>
      <c r="G2441" s="9" t="s">
        <v>1709</v>
      </c>
    </row>
    <row r="2442" spans="1:7">
      <c r="A2442" s="9" t="s">
        <v>1711</v>
      </c>
      <c r="B2442" s="13">
        <v>0.2</v>
      </c>
      <c r="C2442" s="10">
        <v>0.19800000000000001</v>
      </c>
      <c r="D2442" s="9" t="s">
        <v>1712</v>
      </c>
      <c r="E2442" s="11" t="s">
        <v>1737</v>
      </c>
      <c r="F2442" s="12" t="s">
        <v>1714</v>
      </c>
      <c r="G2442" s="9" t="s">
        <v>1709</v>
      </c>
    </row>
    <row r="2443" spans="1:7">
      <c r="A2443" s="9" t="s">
        <v>1711</v>
      </c>
      <c r="B2443" s="13">
        <v>0.2</v>
      </c>
      <c r="C2443" s="10">
        <v>0.52900000000000003</v>
      </c>
      <c r="D2443" s="9" t="s">
        <v>1712</v>
      </c>
      <c r="E2443" s="11" t="s">
        <v>1738</v>
      </c>
      <c r="F2443" s="12" t="s">
        <v>1714</v>
      </c>
      <c r="G2443" s="9" t="s">
        <v>1709</v>
      </c>
    </row>
    <row r="2444" spans="1:7">
      <c r="A2444" s="9" t="s">
        <v>1711</v>
      </c>
      <c r="B2444" s="13">
        <v>0.2</v>
      </c>
      <c r="C2444" s="10">
        <v>1.1819999999999999</v>
      </c>
      <c r="D2444" s="9" t="s">
        <v>1712</v>
      </c>
      <c r="E2444" s="11" t="s">
        <v>1737</v>
      </c>
      <c r="F2444" s="12" t="s">
        <v>1714</v>
      </c>
      <c r="G2444" s="9" t="s">
        <v>1709</v>
      </c>
    </row>
    <row r="2445" spans="1:7">
      <c r="A2445" s="9" t="s">
        <v>1711</v>
      </c>
      <c r="B2445" s="9">
        <v>0.2</v>
      </c>
      <c r="C2445" s="10">
        <v>1.1819999999999999</v>
      </c>
      <c r="D2445" s="9" t="s">
        <v>1712</v>
      </c>
      <c r="E2445" s="11" t="s">
        <v>1737</v>
      </c>
      <c r="F2445" s="12" t="s">
        <v>1714</v>
      </c>
      <c r="G2445" s="9" t="s">
        <v>1709</v>
      </c>
    </row>
    <row r="2446" spans="1:7">
      <c r="A2446" s="9" t="s">
        <v>1711</v>
      </c>
      <c r="B2446" s="9">
        <v>0.2</v>
      </c>
      <c r="C2446" s="10">
        <v>1.1819999999999999</v>
      </c>
      <c r="D2446" s="9" t="s">
        <v>1712</v>
      </c>
      <c r="E2446" s="11" t="s">
        <v>1737</v>
      </c>
      <c r="F2446" s="12" t="s">
        <v>1714</v>
      </c>
      <c r="G2446" s="9" t="s">
        <v>1709</v>
      </c>
    </row>
    <row r="2447" spans="1:7">
      <c r="A2447" s="9" t="s">
        <v>1711</v>
      </c>
      <c r="B2447" s="13">
        <v>0.2</v>
      </c>
      <c r="C2447" s="10">
        <v>1.1819999999999999</v>
      </c>
      <c r="D2447" s="9" t="s">
        <v>1712</v>
      </c>
      <c r="E2447" s="11" t="s">
        <v>1737</v>
      </c>
      <c r="F2447" s="12" t="s">
        <v>1714</v>
      </c>
      <c r="G2447" s="9" t="s">
        <v>1709</v>
      </c>
    </row>
    <row r="2448" spans="1:7">
      <c r="A2448" s="9" t="s">
        <v>1711</v>
      </c>
      <c r="B2448" s="13">
        <v>0.2</v>
      </c>
      <c r="C2448" s="10">
        <v>1.1819999999999999</v>
      </c>
      <c r="D2448" s="9" t="s">
        <v>1712</v>
      </c>
      <c r="E2448" s="11" t="s">
        <v>1737</v>
      </c>
      <c r="F2448" s="12" t="s">
        <v>1714</v>
      </c>
      <c r="G2448" s="9" t="s">
        <v>1709</v>
      </c>
    </row>
    <row r="2449" spans="1:7">
      <c r="A2449" s="9" t="s">
        <v>1711</v>
      </c>
      <c r="B2449" s="13">
        <v>0.2</v>
      </c>
      <c r="C2449" s="10">
        <v>2.5680000000000001</v>
      </c>
      <c r="D2449" s="9" t="s">
        <v>1712</v>
      </c>
      <c r="E2449" s="11" t="s">
        <v>1737</v>
      </c>
      <c r="F2449" s="12" t="s">
        <v>1714</v>
      </c>
      <c r="G2449" s="9" t="s">
        <v>1709</v>
      </c>
    </row>
    <row r="2450" spans="1:7">
      <c r="A2450" s="9" t="s">
        <v>1711</v>
      </c>
      <c r="B2450" s="13">
        <v>0.2</v>
      </c>
      <c r="C2450" s="10">
        <v>2.5680000000000001</v>
      </c>
      <c r="D2450" s="9" t="s">
        <v>1712</v>
      </c>
      <c r="E2450" s="11" t="s">
        <v>1737</v>
      </c>
      <c r="F2450" s="12" t="s">
        <v>1714</v>
      </c>
      <c r="G2450" s="9" t="s">
        <v>1709</v>
      </c>
    </row>
    <row r="2451" spans="1:7">
      <c r="A2451" s="9" t="s">
        <v>1711</v>
      </c>
      <c r="B2451" s="13">
        <v>0.2</v>
      </c>
      <c r="C2451" s="10">
        <v>2.5680000000000001</v>
      </c>
      <c r="D2451" s="9" t="s">
        <v>1712</v>
      </c>
      <c r="E2451" s="11" t="s">
        <v>1737</v>
      </c>
      <c r="F2451" s="12" t="s">
        <v>1714</v>
      </c>
      <c r="G2451" s="9" t="s">
        <v>1709</v>
      </c>
    </row>
    <row r="2452" spans="1:7">
      <c r="A2452" s="9" t="s">
        <v>1711</v>
      </c>
      <c r="B2452" s="13">
        <v>0.2</v>
      </c>
      <c r="C2452" s="10">
        <v>1.2619999999999998</v>
      </c>
      <c r="D2452" s="9" t="s">
        <v>1712</v>
      </c>
      <c r="E2452" s="11" t="s">
        <v>1737</v>
      </c>
      <c r="F2452" s="12" t="s">
        <v>1714</v>
      </c>
      <c r="G2452" s="9" t="s">
        <v>1709</v>
      </c>
    </row>
    <row r="2453" spans="1:7">
      <c r="A2453" s="9" t="s">
        <v>1711</v>
      </c>
      <c r="B2453" s="13">
        <v>0.2</v>
      </c>
      <c r="C2453" s="10">
        <v>1.8659999999999999</v>
      </c>
      <c r="D2453" s="9" t="s">
        <v>1712</v>
      </c>
      <c r="E2453" s="11" t="s">
        <v>1713</v>
      </c>
      <c r="F2453" s="12" t="s">
        <v>1714</v>
      </c>
      <c r="G2453" s="9" t="s">
        <v>1709</v>
      </c>
    </row>
    <row r="2454" spans="1:7">
      <c r="A2454" s="9" t="s">
        <v>1711</v>
      </c>
      <c r="B2454" s="9">
        <v>0.2</v>
      </c>
      <c r="C2454" s="10">
        <v>1.8659999999999999</v>
      </c>
      <c r="D2454" s="9" t="s">
        <v>1712</v>
      </c>
      <c r="E2454" s="11" t="s">
        <v>1713</v>
      </c>
      <c r="F2454" s="12" t="s">
        <v>1714</v>
      </c>
      <c r="G2454" s="9" t="s">
        <v>1709</v>
      </c>
    </row>
    <row r="2455" spans="1:7">
      <c r="A2455" s="9" t="s">
        <v>1711</v>
      </c>
      <c r="B2455" s="13">
        <v>0.2</v>
      </c>
      <c r="C2455" s="10">
        <v>1.8659999999999999</v>
      </c>
      <c r="D2455" s="9" t="s">
        <v>1712</v>
      </c>
      <c r="E2455" s="11" t="s">
        <v>1713</v>
      </c>
      <c r="F2455" s="12" t="s">
        <v>1714</v>
      </c>
      <c r="G2455" s="9" t="s">
        <v>1709</v>
      </c>
    </row>
    <row r="2456" spans="1:7">
      <c r="A2456" s="9" t="s">
        <v>1711</v>
      </c>
      <c r="B2456" s="13">
        <v>0.2</v>
      </c>
      <c r="C2456" s="10">
        <v>1.8659999999999999</v>
      </c>
      <c r="D2456" s="9" t="s">
        <v>1712</v>
      </c>
      <c r="E2456" s="11" t="s">
        <v>1713</v>
      </c>
      <c r="F2456" s="12" t="s">
        <v>1714</v>
      </c>
      <c r="G2456" s="9" t="s">
        <v>1709</v>
      </c>
    </row>
    <row r="2457" spans="1:7">
      <c r="A2457" s="9" t="s">
        <v>1711</v>
      </c>
      <c r="B2457" s="13">
        <v>0.2</v>
      </c>
      <c r="C2457" s="10">
        <v>-0.192</v>
      </c>
      <c r="D2457" s="9" t="s">
        <v>1709</v>
      </c>
      <c r="E2457" s="11" t="s">
        <v>1710</v>
      </c>
      <c r="F2457" s="12" t="s">
        <v>1710</v>
      </c>
      <c r="G2457" s="9" t="s">
        <v>1709</v>
      </c>
    </row>
    <row r="2458" spans="1:7">
      <c r="A2458" s="9" t="s">
        <v>1711</v>
      </c>
      <c r="B2458" s="13">
        <v>0.2</v>
      </c>
      <c r="C2458" s="10">
        <v>-0.192</v>
      </c>
      <c r="D2458" s="9" t="s">
        <v>1709</v>
      </c>
      <c r="E2458" s="11" t="s">
        <v>1710</v>
      </c>
      <c r="F2458" s="12" t="s">
        <v>1710</v>
      </c>
      <c r="G2458" s="9" t="s">
        <v>1709</v>
      </c>
    </row>
    <row r="2459" spans="1:7">
      <c r="A2459" s="9" t="s">
        <v>1711</v>
      </c>
      <c r="B2459" s="9">
        <v>0.2</v>
      </c>
      <c r="C2459" s="10">
        <v>0.46800000000000003</v>
      </c>
      <c r="D2459" s="9" t="s">
        <v>1712</v>
      </c>
      <c r="E2459" s="11" t="s">
        <v>1738</v>
      </c>
      <c r="F2459" s="12" t="s">
        <v>1714</v>
      </c>
      <c r="G2459" s="9" t="s">
        <v>1709</v>
      </c>
    </row>
    <row r="2460" spans="1:7">
      <c r="A2460" s="9" t="s">
        <v>1711</v>
      </c>
      <c r="B2460" s="9">
        <v>0.2</v>
      </c>
      <c r="C2460" s="10">
        <v>-2.1000000000000001E-2</v>
      </c>
      <c r="D2460" s="9" t="s">
        <v>1709</v>
      </c>
      <c r="E2460" s="11" t="s">
        <v>1710</v>
      </c>
      <c r="F2460" s="12" t="s">
        <v>1710</v>
      </c>
      <c r="G2460" s="9" t="s">
        <v>1709</v>
      </c>
    </row>
    <row r="2461" spans="1:7">
      <c r="A2461" s="9" t="s">
        <v>1711</v>
      </c>
      <c r="B2461" s="9">
        <v>0.2</v>
      </c>
      <c r="C2461" s="10">
        <v>0.48299999999999998</v>
      </c>
      <c r="D2461" s="9" t="s">
        <v>1712</v>
      </c>
      <c r="E2461" s="11" t="s">
        <v>1713</v>
      </c>
      <c r="F2461" s="12" t="s">
        <v>1714</v>
      </c>
      <c r="G2461" s="9" t="s">
        <v>1709</v>
      </c>
    </row>
    <row r="2462" spans="1:7">
      <c r="A2462" s="9" t="s">
        <v>1711</v>
      </c>
      <c r="B2462" s="13">
        <v>0.2</v>
      </c>
      <c r="C2462" s="10">
        <v>0.47799999999999998</v>
      </c>
      <c r="D2462" s="9" t="s">
        <v>1712</v>
      </c>
      <c r="E2462" s="11" t="s">
        <v>1713</v>
      </c>
      <c r="F2462" s="12" t="s">
        <v>1714</v>
      </c>
      <c r="G2462" s="9" t="s">
        <v>1709</v>
      </c>
    </row>
    <row r="2463" spans="1:7">
      <c r="A2463" s="9" t="s">
        <v>1711</v>
      </c>
      <c r="B2463" s="13">
        <v>0.2</v>
      </c>
      <c r="C2463" s="10">
        <v>0.47799999999999998</v>
      </c>
      <c r="D2463" s="9" t="s">
        <v>1712</v>
      </c>
      <c r="E2463" s="11" t="s">
        <v>1713</v>
      </c>
      <c r="F2463" s="12" t="s">
        <v>1714</v>
      </c>
      <c r="G2463" s="9" t="s">
        <v>1709</v>
      </c>
    </row>
    <row r="2464" spans="1:7">
      <c r="A2464" s="9" t="s">
        <v>1711</v>
      </c>
      <c r="B2464" s="13">
        <v>0.2</v>
      </c>
      <c r="C2464" s="10">
        <v>0.47799999999999998</v>
      </c>
      <c r="D2464" s="9" t="s">
        <v>1712</v>
      </c>
      <c r="E2464" s="11" t="s">
        <v>1713</v>
      </c>
      <c r="F2464" s="12" t="s">
        <v>1714</v>
      </c>
      <c r="G2464" s="9" t="s">
        <v>1709</v>
      </c>
    </row>
    <row r="2465" spans="1:7">
      <c r="A2465" s="9" t="s">
        <v>1711</v>
      </c>
      <c r="B2465" s="13">
        <v>0.2</v>
      </c>
      <c r="C2465" s="10">
        <v>0.14699999999999999</v>
      </c>
      <c r="D2465" s="9" t="s">
        <v>1712</v>
      </c>
      <c r="E2465" s="11" t="s">
        <v>1713</v>
      </c>
      <c r="F2465" s="12" t="s">
        <v>1714</v>
      </c>
      <c r="G2465" s="9" t="s">
        <v>1709</v>
      </c>
    </row>
    <row r="2466" spans="1:7">
      <c r="A2466" s="9" t="s">
        <v>1711</v>
      </c>
      <c r="B2466" s="9">
        <v>0.2</v>
      </c>
      <c r="C2466" s="10">
        <v>0.14699999999999999</v>
      </c>
      <c r="D2466" s="9" t="s">
        <v>1712</v>
      </c>
      <c r="E2466" s="11" t="s">
        <v>1713</v>
      </c>
      <c r="F2466" s="12" t="s">
        <v>1714</v>
      </c>
      <c r="G2466" s="9" t="s">
        <v>1709</v>
      </c>
    </row>
    <row r="2467" spans="1:7">
      <c r="A2467" s="9" t="s">
        <v>1711</v>
      </c>
      <c r="B2467" s="9">
        <v>0.2</v>
      </c>
      <c r="C2467" s="10">
        <v>0.14699999999999999</v>
      </c>
      <c r="D2467" s="9" t="s">
        <v>1712</v>
      </c>
      <c r="E2467" s="11" t="s">
        <v>1713</v>
      </c>
      <c r="F2467" s="12" t="s">
        <v>1714</v>
      </c>
      <c r="G2467" s="9" t="s">
        <v>1709</v>
      </c>
    </row>
    <row r="2468" spans="1:7">
      <c r="A2468" s="9" t="s">
        <v>1711</v>
      </c>
      <c r="B2468" s="9">
        <v>0.2</v>
      </c>
      <c r="C2468" s="10">
        <v>0.14699999999999999</v>
      </c>
      <c r="D2468" s="9" t="s">
        <v>1712</v>
      </c>
      <c r="E2468" s="11" t="s">
        <v>1713</v>
      </c>
      <c r="F2468" s="12" t="s">
        <v>1714</v>
      </c>
      <c r="G2468" s="9" t="s">
        <v>1709</v>
      </c>
    </row>
    <row r="2469" spans="1:7">
      <c r="A2469" s="9" t="s">
        <v>1711</v>
      </c>
      <c r="B2469" s="9">
        <v>0.2</v>
      </c>
      <c r="C2469" s="10">
        <v>-0.17</v>
      </c>
      <c r="D2469" s="9" t="s">
        <v>1709</v>
      </c>
      <c r="E2469" s="11" t="s">
        <v>1710</v>
      </c>
      <c r="F2469" s="12" t="s">
        <v>1710</v>
      </c>
      <c r="G2469" s="9" t="s">
        <v>1709</v>
      </c>
    </row>
    <row r="2470" spans="1:7">
      <c r="A2470" s="9" t="s">
        <v>1711</v>
      </c>
      <c r="B2470" s="9">
        <v>0.2</v>
      </c>
      <c r="C2470" s="10">
        <v>0.29099999999999998</v>
      </c>
      <c r="D2470" s="9" t="s">
        <v>1712</v>
      </c>
      <c r="E2470" s="11" t="s">
        <v>1713</v>
      </c>
      <c r="F2470" s="12" t="s">
        <v>1714</v>
      </c>
      <c r="G2470" s="9" t="s">
        <v>1709</v>
      </c>
    </row>
    <row r="2471" spans="1:7">
      <c r="A2471" s="9" t="s">
        <v>1711</v>
      </c>
      <c r="B2471" s="9">
        <v>0.2</v>
      </c>
      <c r="C2471" s="10">
        <v>-3.6000000000000004E-2</v>
      </c>
      <c r="D2471" s="9" t="s">
        <v>1709</v>
      </c>
      <c r="E2471" s="11" t="s">
        <v>1710</v>
      </c>
      <c r="F2471" s="12" t="s">
        <v>1710</v>
      </c>
      <c r="G2471" s="9" t="s">
        <v>1709</v>
      </c>
    </row>
    <row r="2472" spans="1:7">
      <c r="A2472" s="9" t="s">
        <v>1711</v>
      </c>
      <c r="B2472" s="9">
        <v>0.2</v>
      </c>
      <c r="C2472" s="10">
        <v>-6.0999999999999999E-2</v>
      </c>
      <c r="D2472" s="9" t="s">
        <v>1709</v>
      </c>
      <c r="E2472" s="11" t="s">
        <v>1710</v>
      </c>
      <c r="F2472" s="12" t="s">
        <v>1710</v>
      </c>
      <c r="G2472" s="9" t="s">
        <v>1709</v>
      </c>
    </row>
    <row r="2473" spans="1:7">
      <c r="A2473" s="9" t="s">
        <v>1711</v>
      </c>
      <c r="B2473" s="9">
        <v>0.2</v>
      </c>
      <c r="C2473" s="10">
        <v>0.115</v>
      </c>
      <c r="D2473" s="9" t="s">
        <v>1712</v>
      </c>
      <c r="E2473" s="11" t="s">
        <v>1713</v>
      </c>
      <c r="F2473" s="12" t="s">
        <v>1714</v>
      </c>
      <c r="G2473" s="9" t="s">
        <v>1709</v>
      </c>
    </row>
    <row r="2474" spans="1:7">
      <c r="A2474" s="9" t="s">
        <v>1711</v>
      </c>
      <c r="B2474" s="9">
        <v>0.2</v>
      </c>
      <c r="C2474" s="10">
        <v>0.115</v>
      </c>
      <c r="D2474" s="9" t="s">
        <v>1712</v>
      </c>
      <c r="E2474" s="11" t="s">
        <v>1713</v>
      </c>
      <c r="F2474" s="12" t="s">
        <v>1714</v>
      </c>
      <c r="G2474" s="9" t="s">
        <v>1709</v>
      </c>
    </row>
    <row r="2475" spans="1:7">
      <c r="A2475" s="9" t="s">
        <v>1711</v>
      </c>
      <c r="B2475" s="9">
        <v>0.2</v>
      </c>
      <c r="C2475" s="10">
        <v>2.63</v>
      </c>
      <c r="D2475" s="9" t="s">
        <v>1712</v>
      </c>
      <c r="E2475" s="11" t="s">
        <v>1713</v>
      </c>
      <c r="F2475" s="12" t="s">
        <v>1714</v>
      </c>
      <c r="G2475" s="9" t="s">
        <v>1709</v>
      </c>
    </row>
    <row r="2476" spans="1:7">
      <c r="A2476" s="9" t="s">
        <v>1711</v>
      </c>
      <c r="B2476" s="9">
        <v>0.2</v>
      </c>
      <c r="C2476" s="10">
        <v>2.63</v>
      </c>
      <c r="D2476" s="9" t="s">
        <v>1712</v>
      </c>
      <c r="E2476" s="11" t="s">
        <v>1713</v>
      </c>
      <c r="F2476" s="12" t="s">
        <v>1714</v>
      </c>
      <c r="G2476" s="9" t="s">
        <v>1709</v>
      </c>
    </row>
    <row r="2477" spans="1:7">
      <c r="A2477" s="9" t="s">
        <v>1711</v>
      </c>
      <c r="B2477" s="9">
        <v>0.2</v>
      </c>
      <c r="C2477" s="10">
        <v>2.63</v>
      </c>
      <c r="D2477" s="9" t="s">
        <v>1712</v>
      </c>
      <c r="E2477" s="11" t="s">
        <v>1713</v>
      </c>
      <c r="F2477" s="12" t="s">
        <v>1714</v>
      </c>
      <c r="G2477" s="9" t="s">
        <v>1709</v>
      </c>
    </row>
    <row r="2478" spans="1:7">
      <c r="A2478" s="9" t="s">
        <v>1711</v>
      </c>
      <c r="B2478" s="9">
        <v>0.2</v>
      </c>
      <c r="C2478" s="10">
        <v>2.63</v>
      </c>
      <c r="D2478" s="9" t="s">
        <v>1712</v>
      </c>
      <c r="E2478" s="11" t="s">
        <v>1713</v>
      </c>
      <c r="F2478" s="12" t="s">
        <v>1714</v>
      </c>
      <c r="G2478" s="9" t="s">
        <v>1709</v>
      </c>
    </row>
    <row r="2479" spans="1:7">
      <c r="A2479" s="9" t="s">
        <v>1711</v>
      </c>
      <c r="B2479" s="13">
        <v>0.2</v>
      </c>
      <c r="C2479" s="10">
        <v>2.63</v>
      </c>
      <c r="D2479" s="9" t="s">
        <v>1712</v>
      </c>
      <c r="E2479" s="11" t="s">
        <v>1713</v>
      </c>
      <c r="F2479" s="12" t="s">
        <v>1714</v>
      </c>
      <c r="G2479" s="9" t="s">
        <v>1709</v>
      </c>
    </row>
    <row r="2480" spans="1:7">
      <c r="A2480" s="9" t="s">
        <v>1711</v>
      </c>
      <c r="B2480" s="13">
        <v>0.2</v>
      </c>
      <c r="C2480" s="10">
        <v>2.63</v>
      </c>
      <c r="D2480" s="9" t="s">
        <v>1712</v>
      </c>
      <c r="E2480" s="11" t="s">
        <v>1713</v>
      </c>
      <c r="F2480" s="12" t="s">
        <v>1714</v>
      </c>
      <c r="G2480" s="9" t="s">
        <v>1709</v>
      </c>
    </row>
    <row r="2481" spans="1:7">
      <c r="A2481" s="9" t="s">
        <v>1711</v>
      </c>
      <c r="B2481" s="13">
        <v>0.2</v>
      </c>
      <c r="C2481" s="10">
        <v>2.63</v>
      </c>
      <c r="D2481" s="9" t="s">
        <v>1712</v>
      </c>
      <c r="E2481" s="11" t="s">
        <v>1713</v>
      </c>
      <c r="F2481" s="12" t="s">
        <v>1714</v>
      </c>
      <c r="G2481" s="9" t="s">
        <v>1709</v>
      </c>
    </row>
    <row r="2482" spans="1:7">
      <c r="A2482" s="9" t="s">
        <v>1711</v>
      </c>
      <c r="B2482" s="13">
        <v>0.2</v>
      </c>
      <c r="C2482" s="10">
        <v>2.63</v>
      </c>
      <c r="D2482" s="9" t="s">
        <v>1712</v>
      </c>
      <c r="E2482" s="11" t="s">
        <v>1713</v>
      </c>
      <c r="F2482" s="12" t="s">
        <v>1714</v>
      </c>
      <c r="G2482" s="9" t="s">
        <v>1709</v>
      </c>
    </row>
    <row r="2483" spans="1:7">
      <c r="A2483" s="9" t="s">
        <v>1711</v>
      </c>
      <c r="B2483" s="13">
        <v>0.2</v>
      </c>
      <c r="C2483" s="10">
        <v>2.63</v>
      </c>
      <c r="D2483" s="9" t="s">
        <v>1712</v>
      </c>
      <c r="E2483" s="11" t="s">
        <v>1713</v>
      </c>
      <c r="F2483" s="12" t="s">
        <v>1714</v>
      </c>
      <c r="G2483" s="9" t="s">
        <v>1709</v>
      </c>
    </row>
    <row r="2484" spans="1:7">
      <c r="A2484" s="9" t="s">
        <v>1711</v>
      </c>
      <c r="B2484" s="13">
        <v>0.2</v>
      </c>
      <c r="C2484" s="10">
        <v>2.63</v>
      </c>
      <c r="D2484" s="9" t="s">
        <v>1712</v>
      </c>
      <c r="E2484" s="11" t="s">
        <v>1713</v>
      </c>
      <c r="F2484" s="12" t="s">
        <v>1714</v>
      </c>
      <c r="G2484" s="9" t="s">
        <v>1709</v>
      </c>
    </row>
    <row r="2485" spans="1:7">
      <c r="A2485" s="9" t="s">
        <v>1711</v>
      </c>
      <c r="B2485" s="9">
        <v>0.2</v>
      </c>
      <c r="C2485" s="10">
        <v>2.63</v>
      </c>
      <c r="D2485" s="9" t="s">
        <v>1712</v>
      </c>
      <c r="E2485" s="11" t="s">
        <v>1713</v>
      </c>
      <c r="F2485" s="12" t="s">
        <v>1714</v>
      </c>
      <c r="G2485" s="9" t="s">
        <v>1709</v>
      </c>
    </row>
    <row r="2486" spans="1:7">
      <c r="A2486" s="9" t="s">
        <v>1711</v>
      </c>
      <c r="B2486" s="9">
        <v>0.2</v>
      </c>
      <c r="C2486" s="10">
        <v>2.63</v>
      </c>
      <c r="D2486" s="9" t="s">
        <v>1712</v>
      </c>
      <c r="E2486" s="11" t="s">
        <v>1713</v>
      </c>
      <c r="F2486" s="12" t="s">
        <v>1714</v>
      </c>
      <c r="G2486" s="9" t="s">
        <v>1709</v>
      </c>
    </row>
    <row r="2487" spans="1:7">
      <c r="A2487" s="9" t="s">
        <v>1711</v>
      </c>
      <c r="B2487" s="9">
        <v>0.2</v>
      </c>
      <c r="C2487" s="10">
        <v>2.63</v>
      </c>
      <c r="D2487" s="9" t="s">
        <v>1712</v>
      </c>
      <c r="E2487" s="11" t="s">
        <v>1713</v>
      </c>
      <c r="F2487" s="12" t="s">
        <v>1714</v>
      </c>
      <c r="G2487" s="9" t="s">
        <v>1709</v>
      </c>
    </row>
    <row r="2488" spans="1:7">
      <c r="A2488" s="9" t="s">
        <v>1711</v>
      </c>
      <c r="B2488" s="9">
        <v>0.2</v>
      </c>
      <c r="C2488" s="10">
        <v>2.63</v>
      </c>
      <c r="D2488" s="9" t="s">
        <v>1712</v>
      </c>
      <c r="E2488" s="11" t="s">
        <v>1713</v>
      </c>
      <c r="F2488" s="12" t="s">
        <v>1714</v>
      </c>
      <c r="G2488" s="9" t="s">
        <v>1709</v>
      </c>
    </row>
    <row r="2489" spans="1:7">
      <c r="A2489" s="9" t="s">
        <v>1711</v>
      </c>
      <c r="B2489" s="9">
        <v>0.2</v>
      </c>
      <c r="C2489" s="10">
        <v>2.63</v>
      </c>
      <c r="D2489" s="9" t="s">
        <v>1712</v>
      </c>
      <c r="E2489" s="11" t="s">
        <v>1713</v>
      </c>
      <c r="F2489" s="12" t="s">
        <v>1714</v>
      </c>
      <c r="G2489" s="9" t="s">
        <v>1709</v>
      </c>
    </row>
    <row r="2490" spans="1:7">
      <c r="A2490" s="9" t="s">
        <v>1711</v>
      </c>
      <c r="B2490" s="9">
        <v>0.2</v>
      </c>
      <c r="C2490" s="10">
        <v>1.601</v>
      </c>
      <c r="D2490" s="9" t="s">
        <v>1712</v>
      </c>
      <c r="E2490" s="11" t="s">
        <v>1715</v>
      </c>
      <c r="F2490" s="12" t="s">
        <v>1714</v>
      </c>
      <c r="G2490" s="9" t="s">
        <v>1709</v>
      </c>
    </row>
    <row r="2491" spans="1:7">
      <c r="A2491" s="9" t="s">
        <v>1711</v>
      </c>
      <c r="B2491" s="9">
        <v>0.2</v>
      </c>
      <c r="C2491" s="10">
        <v>1.601</v>
      </c>
      <c r="D2491" s="9" t="s">
        <v>1712</v>
      </c>
      <c r="E2491" s="11" t="s">
        <v>1715</v>
      </c>
      <c r="F2491" s="12" t="s">
        <v>1714</v>
      </c>
      <c r="G2491" s="9" t="s">
        <v>1709</v>
      </c>
    </row>
    <row r="2492" spans="1:7">
      <c r="A2492" s="9" t="s">
        <v>1711</v>
      </c>
      <c r="B2492" s="9">
        <v>0.2</v>
      </c>
      <c r="C2492" s="10">
        <v>1.601</v>
      </c>
      <c r="D2492" s="9" t="s">
        <v>1712</v>
      </c>
      <c r="E2492" s="11" t="s">
        <v>1715</v>
      </c>
      <c r="F2492" s="12" t="s">
        <v>1714</v>
      </c>
      <c r="G2492" s="9" t="s">
        <v>1709</v>
      </c>
    </row>
    <row r="2493" spans="1:7">
      <c r="A2493" s="9" t="s">
        <v>1711</v>
      </c>
      <c r="B2493" s="13">
        <v>0.2</v>
      </c>
      <c r="C2493" s="10">
        <v>0.79300000000000004</v>
      </c>
      <c r="D2493" s="9" t="s">
        <v>1712</v>
      </c>
      <c r="E2493" s="11" t="s">
        <v>1738</v>
      </c>
      <c r="F2493" s="12" t="s">
        <v>1714</v>
      </c>
      <c r="G2493" s="9" t="s">
        <v>1709</v>
      </c>
    </row>
    <row r="2494" spans="1:7">
      <c r="A2494" s="9" t="s">
        <v>1711</v>
      </c>
      <c r="B2494" s="13">
        <v>0.2</v>
      </c>
      <c r="C2494" s="10">
        <v>1.601</v>
      </c>
      <c r="D2494" s="9" t="s">
        <v>1712</v>
      </c>
      <c r="E2494" s="11" t="s">
        <v>1737</v>
      </c>
      <c r="F2494" s="12" t="s">
        <v>1714</v>
      </c>
      <c r="G2494" s="9" t="s">
        <v>1709</v>
      </c>
    </row>
    <row r="2495" spans="1:7">
      <c r="A2495" s="9" t="s">
        <v>1711</v>
      </c>
      <c r="B2495" s="13">
        <v>0.2</v>
      </c>
      <c r="C2495" s="10">
        <v>1.601</v>
      </c>
      <c r="D2495" s="9" t="s">
        <v>1712</v>
      </c>
      <c r="E2495" s="11" t="s">
        <v>1737</v>
      </c>
      <c r="F2495" s="12" t="s">
        <v>1714</v>
      </c>
      <c r="G2495" s="9" t="s">
        <v>1709</v>
      </c>
    </row>
    <row r="2496" spans="1:7">
      <c r="A2496" s="9" t="s">
        <v>1711</v>
      </c>
      <c r="B2496" s="13">
        <v>0.2</v>
      </c>
      <c r="C2496" s="10">
        <v>1.601</v>
      </c>
      <c r="D2496" s="9" t="s">
        <v>1712</v>
      </c>
      <c r="E2496" s="11" t="s">
        <v>1737</v>
      </c>
      <c r="F2496" s="12" t="s">
        <v>1714</v>
      </c>
      <c r="G2496" s="9" t="s">
        <v>1709</v>
      </c>
    </row>
    <row r="2497" spans="1:7">
      <c r="A2497" s="9" t="s">
        <v>1711</v>
      </c>
      <c r="B2497" s="13">
        <v>0.2</v>
      </c>
      <c r="C2497" s="10">
        <v>1.1829999999999998</v>
      </c>
      <c r="D2497" s="9" t="s">
        <v>1712</v>
      </c>
      <c r="E2497" s="11" t="s">
        <v>1738</v>
      </c>
      <c r="F2497" s="12" t="s">
        <v>1714</v>
      </c>
      <c r="G2497" s="9" t="s">
        <v>1709</v>
      </c>
    </row>
    <row r="2498" spans="1:7">
      <c r="A2498" s="9" t="s">
        <v>1711</v>
      </c>
      <c r="B2498" s="13">
        <v>0.2</v>
      </c>
      <c r="C2498" s="10">
        <v>0.20499999999999999</v>
      </c>
      <c r="D2498" s="9" t="s">
        <v>1712</v>
      </c>
      <c r="E2498" s="11" t="s">
        <v>1738</v>
      </c>
      <c r="F2498" s="12" t="s">
        <v>1714</v>
      </c>
      <c r="G2498" s="9" t="s">
        <v>1709</v>
      </c>
    </row>
    <row r="2499" spans="1:7">
      <c r="A2499" s="9" t="s">
        <v>1711</v>
      </c>
      <c r="B2499" s="9">
        <v>0.2</v>
      </c>
      <c r="C2499" s="10">
        <v>-1.8000000000000002E-2</v>
      </c>
      <c r="D2499" s="9" t="s">
        <v>1709</v>
      </c>
      <c r="E2499" s="11" t="s">
        <v>1710</v>
      </c>
      <c r="F2499" s="12" t="s">
        <v>1710</v>
      </c>
      <c r="G2499" s="9" t="s">
        <v>1709</v>
      </c>
    </row>
    <row r="2500" spans="1:7">
      <c r="A2500" s="9" t="s">
        <v>1711</v>
      </c>
      <c r="B2500" s="9">
        <v>0.2</v>
      </c>
      <c r="C2500" s="10">
        <v>-5.0000000000000001E-3</v>
      </c>
      <c r="D2500" s="9" t="s">
        <v>1709</v>
      </c>
      <c r="E2500" s="11" t="s">
        <v>1710</v>
      </c>
      <c r="F2500" s="12" t="s">
        <v>1710</v>
      </c>
      <c r="G2500" s="9" t="s">
        <v>1709</v>
      </c>
    </row>
    <row r="2501" spans="1:7">
      <c r="A2501" s="9" t="s">
        <v>1711</v>
      </c>
      <c r="B2501" s="9">
        <v>0.2</v>
      </c>
      <c r="C2501" s="10">
        <v>3.198</v>
      </c>
      <c r="D2501" s="9" t="s">
        <v>1712</v>
      </c>
      <c r="E2501" s="11" t="s">
        <v>1738</v>
      </c>
      <c r="F2501" s="12" t="s">
        <v>1714</v>
      </c>
      <c r="G2501" s="9" t="s">
        <v>1709</v>
      </c>
    </row>
    <row r="2502" spans="1:7">
      <c r="A2502" s="9" t="s">
        <v>1711</v>
      </c>
      <c r="B2502" s="9">
        <v>0.2</v>
      </c>
      <c r="C2502" s="10">
        <v>-8.5000000000000006E-2</v>
      </c>
      <c r="D2502" s="9" t="s">
        <v>1709</v>
      </c>
      <c r="E2502" s="11" t="s">
        <v>1710</v>
      </c>
      <c r="F2502" s="12" t="s">
        <v>1710</v>
      </c>
      <c r="G2502" s="9" t="s">
        <v>1709</v>
      </c>
    </row>
    <row r="2503" spans="1:7">
      <c r="A2503" s="9" t="s">
        <v>1711</v>
      </c>
      <c r="B2503" s="9">
        <v>0.2</v>
      </c>
      <c r="C2503" s="10">
        <v>-0.08</v>
      </c>
      <c r="D2503" s="9" t="s">
        <v>1709</v>
      </c>
      <c r="E2503" s="11" t="s">
        <v>1710</v>
      </c>
      <c r="F2503" s="12" t="s">
        <v>1710</v>
      </c>
      <c r="G2503" s="9" t="s">
        <v>1709</v>
      </c>
    </row>
    <row r="2504" spans="1:7">
      <c r="A2504" s="9" t="s">
        <v>1711</v>
      </c>
      <c r="B2504" s="13">
        <v>0.2</v>
      </c>
      <c r="C2504" s="10">
        <v>-3.5000000000000003E-2</v>
      </c>
      <c r="D2504" s="9" t="s">
        <v>1709</v>
      </c>
      <c r="E2504" s="11" t="s">
        <v>1710</v>
      </c>
      <c r="F2504" s="12" t="s">
        <v>1710</v>
      </c>
      <c r="G2504" s="9" t="s">
        <v>1709</v>
      </c>
    </row>
    <row r="2505" spans="1:7">
      <c r="A2505" s="9" t="s">
        <v>1711</v>
      </c>
      <c r="B2505" s="13">
        <v>0.2</v>
      </c>
      <c r="C2505" s="10">
        <v>-9.0999999999999998E-2</v>
      </c>
      <c r="D2505" s="9" t="s">
        <v>1709</v>
      </c>
      <c r="E2505" s="11" t="s">
        <v>1710</v>
      </c>
      <c r="F2505" s="12" t="s">
        <v>1710</v>
      </c>
      <c r="G2505" s="9" t="s">
        <v>1709</v>
      </c>
    </row>
    <row r="2506" spans="1:7">
      <c r="A2506" s="9" t="s">
        <v>1711</v>
      </c>
      <c r="B2506" s="9">
        <v>0.2</v>
      </c>
      <c r="C2506" s="10">
        <v>0.52900000000000003</v>
      </c>
      <c r="D2506" s="9" t="s">
        <v>1712</v>
      </c>
      <c r="E2506" s="11" t="s">
        <v>1737</v>
      </c>
      <c r="F2506" s="12" t="s">
        <v>1714</v>
      </c>
      <c r="G2506" s="9" t="s">
        <v>1709</v>
      </c>
    </row>
    <row r="2507" spans="1:7">
      <c r="A2507" s="9" t="s">
        <v>1711</v>
      </c>
      <c r="B2507" s="9">
        <v>0.2</v>
      </c>
      <c r="C2507" s="10">
        <v>-0.126</v>
      </c>
      <c r="D2507" s="9" t="s">
        <v>1709</v>
      </c>
      <c r="E2507" s="11" t="s">
        <v>1710</v>
      </c>
      <c r="F2507" s="12" t="s">
        <v>1710</v>
      </c>
      <c r="G2507" s="9" t="s">
        <v>1709</v>
      </c>
    </row>
    <row r="2508" spans="1:7">
      <c r="A2508" s="9" t="s">
        <v>1711</v>
      </c>
      <c r="B2508" s="9">
        <v>0.2</v>
      </c>
      <c r="C2508" s="10">
        <v>9.9999999999999985E-3</v>
      </c>
      <c r="D2508" s="9" t="s">
        <v>1712</v>
      </c>
      <c r="E2508" s="11" t="s">
        <v>1739</v>
      </c>
      <c r="F2508" s="12" t="s">
        <v>1714</v>
      </c>
      <c r="G2508" s="9" t="s">
        <v>1709</v>
      </c>
    </row>
    <row r="2509" spans="1:7">
      <c r="A2509" s="9" t="s">
        <v>1711</v>
      </c>
      <c r="B2509" s="9">
        <v>0.2</v>
      </c>
      <c r="C2509" s="10">
        <v>-3.0000000000000002E-2</v>
      </c>
      <c r="D2509" s="9" t="s">
        <v>1709</v>
      </c>
      <c r="E2509" s="11" t="s">
        <v>1710</v>
      </c>
      <c r="F2509" s="12" t="s">
        <v>1710</v>
      </c>
      <c r="G2509" s="9" t="s">
        <v>1709</v>
      </c>
    </row>
    <row r="2510" spans="1:7">
      <c r="A2510" s="9" t="s">
        <v>1711</v>
      </c>
      <c r="B2510" s="9">
        <v>0.2</v>
      </c>
      <c r="C2510" s="10">
        <v>6.9000000000000006E-2</v>
      </c>
      <c r="D2510" s="9" t="s">
        <v>1712</v>
      </c>
      <c r="E2510" s="11" t="s">
        <v>1715</v>
      </c>
      <c r="F2510" s="12" t="s">
        <v>1714</v>
      </c>
      <c r="G2510" s="9" t="s">
        <v>1709</v>
      </c>
    </row>
    <row r="2511" spans="1:7">
      <c r="A2511" s="9" t="s">
        <v>1711</v>
      </c>
      <c r="B2511" s="9">
        <v>0.2</v>
      </c>
      <c r="C2511" s="10">
        <v>0.11600000000000001</v>
      </c>
      <c r="D2511" s="9" t="s">
        <v>1712</v>
      </c>
      <c r="E2511" s="11" t="s">
        <v>1739</v>
      </c>
      <c r="F2511" s="12" t="s">
        <v>1714</v>
      </c>
      <c r="G2511" s="9" t="s">
        <v>1709</v>
      </c>
    </row>
    <row r="2512" spans="1:7">
      <c r="A2512" s="9" t="s">
        <v>1711</v>
      </c>
      <c r="B2512" s="9">
        <v>0.2</v>
      </c>
      <c r="C2512" s="10">
        <v>-7.0000000000000001E-3</v>
      </c>
      <c r="D2512" s="9" t="s">
        <v>1709</v>
      </c>
      <c r="E2512" s="11" t="s">
        <v>1710</v>
      </c>
      <c r="F2512" s="12" t="s">
        <v>1710</v>
      </c>
      <c r="G2512" s="9" t="s">
        <v>1709</v>
      </c>
    </row>
    <row r="2513" spans="1:7">
      <c r="A2513" s="9" t="s">
        <v>1711</v>
      </c>
      <c r="B2513" s="9">
        <v>0.2</v>
      </c>
      <c r="C2513" s="10">
        <v>0.189</v>
      </c>
      <c r="D2513" s="9" t="s">
        <v>1712</v>
      </c>
      <c r="E2513" s="11" t="s">
        <v>1736</v>
      </c>
      <c r="F2513" s="12" t="s">
        <v>1714</v>
      </c>
      <c r="G2513" s="9" t="s">
        <v>1709</v>
      </c>
    </row>
    <row r="2514" spans="1:7">
      <c r="A2514" s="9" t="s">
        <v>1711</v>
      </c>
      <c r="B2514" s="9">
        <v>0.2</v>
      </c>
      <c r="C2514" s="10">
        <v>0.19800000000000001</v>
      </c>
      <c r="D2514" s="9" t="s">
        <v>1712</v>
      </c>
      <c r="E2514" s="11" t="s">
        <v>1736</v>
      </c>
      <c r="F2514" s="12" t="s">
        <v>1714</v>
      </c>
      <c r="G2514" s="9" t="s">
        <v>1709</v>
      </c>
    </row>
    <row r="2515" spans="1:7">
      <c r="A2515" s="9" t="s">
        <v>1711</v>
      </c>
      <c r="B2515" s="9">
        <v>0.2</v>
      </c>
      <c r="C2515" s="10">
        <v>0.19800000000000001</v>
      </c>
      <c r="D2515" s="9" t="s">
        <v>1712</v>
      </c>
      <c r="E2515" s="11" t="s">
        <v>1736</v>
      </c>
      <c r="F2515" s="12" t="s">
        <v>1714</v>
      </c>
      <c r="G2515" s="9" t="s">
        <v>1709</v>
      </c>
    </row>
    <row r="2516" spans="1:7">
      <c r="A2516" s="9" t="s">
        <v>1711</v>
      </c>
      <c r="B2516" s="9">
        <v>0.2</v>
      </c>
      <c r="C2516" s="10">
        <v>1.853</v>
      </c>
      <c r="D2516" s="9" t="s">
        <v>1712</v>
      </c>
      <c r="E2516" s="11" t="s">
        <v>1737</v>
      </c>
      <c r="F2516" s="12" t="s">
        <v>1714</v>
      </c>
      <c r="G2516" s="9" t="s">
        <v>1709</v>
      </c>
    </row>
    <row r="2517" spans="1:7">
      <c r="A2517" s="9" t="s">
        <v>1711</v>
      </c>
      <c r="B2517" s="9">
        <v>0.2</v>
      </c>
      <c r="C2517" s="10">
        <v>-4.3999999999999997E-2</v>
      </c>
      <c r="D2517" s="9" t="s">
        <v>1709</v>
      </c>
      <c r="E2517" s="11" t="s">
        <v>1710</v>
      </c>
      <c r="F2517" s="12" t="s">
        <v>1710</v>
      </c>
      <c r="G2517" s="9" t="s">
        <v>1709</v>
      </c>
    </row>
    <row r="2518" spans="1:7">
      <c r="A2518" s="9" t="s">
        <v>1711</v>
      </c>
      <c r="B2518" s="9">
        <v>0.2</v>
      </c>
      <c r="C2518" s="10">
        <v>1.2529999999999999</v>
      </c>
      <c r="D2518" s="9" t="s">
        <v>1712</v>
      </c>
      <c r="E2518" s="11" t="s">
        <v>1737</v>
      </c>
      <c r="F2518" s="12" t="s">
        <v>1714</v>
      </c>
      <c r="G2518" s="9" t="s">
        <v>1709</v>
      </c>
    </row>
    <row r="2519" spans="1:7">
      <c r="A2519" s="9" t="s">
        <v>1711</v>
      </c>
      <c r="B2519" s="9">
        <v>0.2</v>
      </c>
      <c r="C2519" s="10">
        <v>5.3999999999999999E-2</v>
      </c>
      <c r="D2519" s="9" t="s">
        <v>1712</v>
      </c>
      <c r="E2519" s="11" t="s">
        <v>1737</v>
      </c>
      <c r="F2519" s="12" t="s">
        <v>1714</v>
      </c>
      <c r="G2519" s="9" t="s">
        <v>1709</v>
      </c>
    </row>
    <row r="2520" spans="1:7">
      <c r="A2520" s="9" t="s">
        <v>1711</v>
      </c>
      <c r="B2520" s="9">
        <v>0.2</v>
      </c>
      <c r="C2520" s="10">
        <v>5.3999999999999999E-2</v>
      </c>
      <c r="D2520" s="9" t="s">
        <v>1712</v>
      </c>
      <c r="E2520" s="11" t="s">
        <v>1737</v>
      </c>
      <c r="F2520" s="12" t="s">
        <v>1714</v>
      </c>
      <c r="G2520" s="9" t="s">
        <v>1709</v>
      </c>
    </row>
    <row r="2521" spans="1:7">
      <c r="A2521" s="9" t="s">
        <v>1711</v>
      </c>
      <c r="B2521" s="9">
        <v>0.2</v>
      </c>
      <c r="C2521" s="10">
        <v>2.323</v>
      </c>
      <c r="D2521" s="9" t="s">
        <v>1712</v>
      </c>
      <c r="E2521" s="11" t="s">
        <v>1737</v>
      </c>
      <c r="F2521" s="12" t="s">
        <v>1714</v>
      </c>
      <c r="G2521" s="9" t="s">
        <v>1709</v>
      </c>
    </row>
    <row r="2522" spans="1:7">
      <c r="A2522" s="9" t="s">
        <v>1711</v>
      </c>
      <c r="B2522" s="9">
        <v>0.2</v>
      </c>
      <c r="C2522" s="10">
        <v>0.108</v>
      </c>
      <c r="D2522" s="9" t="s">
        <v>1712</v>
      </c>
      <c r="E2522" s="11" t="s">
        <v>1738</v>
      </c>
      <c r="F2522" s="12" t="s">
        <v>1714</v>
      </c>
      <c r="G2522" s="9" t="s">
        <v>1709</v>
      </c>
    </row>
    <row r="2523" spans="1:7">
      <c r="A2523" s="9" t="s">
        <v>1711</v>
      </c>
      <c r="B2523" s="9">
        <v>0.2</v>
      </c>
      <c r="C2523" s="10">
        <v>6.9000000000000006E-2</v>
      </c>
      <c r="D2523" s="9" t="s">
        <v>1712</v>
      </c>
      <c r="E2523" s="11" t="s">
        <v>1736</v>
      </c>
      <c r="F2523" s="12" t="s">
        <v>1714</v>
      </c>
      <c r="G2523" s="9" t="s">
        <v>1709</v>
      </c>
    </row>
    <row r="2524" spans="1:7">
      <c r="A2524" s="9" t="s">
        <v>1711</v>
      </c>
      <c r="B2524" s="13">
        <v>0.2</v>
      </c>
      <c r="C2524" s="10">
        <v>-0.123</v>
      </c>
      <c r="D2524" s="9" t="s">
        <v>1709</v>
      </c>
      <c r="E2524" s="11" t="s">
        <v>1710</v>
      </c>
      <c r="F2524" s="12" t="s">
        <v>1710</v>
      </c>
      <c r="G2524" s="9" t="s">
        <v>1709</v>
      </c>
    </row>
    <row r="2525" spans="1:7">
      <c r="A2525" s="9" t="s">
        <v>1711</v>
      </c>
      <c r="B2525" s="9">
        <v>0.2</v>
      </c>
      <c r="C2525" s="10">
        <v>6.9000000000000006E-2</v>
      </c>
      <c r="D2525" s="9" t="s">
        <v>1712</v>
      </c>
      <c r="E2525" s="11" t="s">
        <v>1738</v>
      </c>
      <c r="F2525" s="12" t="s">
        <v>1714</v>
      </c>
      <c r="G2525" s="9" t="s">
        <v>1709</v>
      </c>
    </row>
    <row r="2526" spans="1:7">
      <c r="A2526" s="9" t="s">
        <v>1711</v>
      </c>
      <c r="B2526" s="9">
        <v>0.2</v>
      </c>
      <c r="C2526" s="10">
        <v>1.1829999999999998</v>
      </c>
      <c r="D2526" s="9" t="s">
        <v>1712</v>
      </c>
      <c r="E2526" s="11" t="s">
        <v>1739</v>
      </c>
      <c r="F2526" s="12" t="s">
        <v>1714</v>
      </c>
      <c r="G2526" s="9" t="s">
        <v>1709</v>
      </c>
    </row>
    <row r="2527" spans="1:7">
      <c r="A2527" s="9" t="s">
        <v>1711</v>
      </c>
      <c r="B2527" s="9">
        <v>0.2</v>
      </c>
      <c r="C2527" s="10">
        <v>1.1829999999999998</v>
      </c>
      <c r="D2527" s="9" t="s">
        <v>1712</v>
      </c>
      <c r="E2527" s="11" t="s">
        <v>1739</v>
      </c>
      <c r="F2527" s="12" t="s">
        <v>1714</v>
      </c>
      <c r="G2527" s="9" t="s">
        <v>1709</v>
      </c>
    </row>
    <row r="2528" spans="1:7">
      <c r="A2528" s="9" t="s">
        <v>1711</v>
      </c>
      <c r="B2528" s="9">
        <v>0.2</v>
      </c>
      <c r="C2528" s="10">
        <v>1.1829999999999998</v>
      </c>
      <c r="D2528" s="9" t="s">
        <v>1712</v>
      </c>
      <c r="E2528" s="11" t="s">
        <v>1739</v>
      </c>
      <c r="F2528" s="12" t="s">
        <v>1714</v>
      </c>
      <c r="G2528" s="9" t="s">
        <v>1709</v>
      </c>
    </row>
    <row r="2529" spans="1:7">
      <c r="A2529" s="9" t="s">
        <v>1711</v>
      </c>
      <c r="B2529" s="9">
        <v>0.2</v>
      </c>
      <c r="C2529" s="10">
        <v>7.0000000000000001E-3</v>
      </c>
      <c r="D2529" s="9" t="s">
        <v>1712</v>
      </c>
      <c r="E2529" s="11" t="s">
        <v>1736</v>
      </c>
      <c r="F2529" s="12" t="s">
        <v>1714</v>
      </c>
      <c r="G2529" s="9" t="s">
        <v>1709</v>
      </c>
    </row>
    <row r="2530" spans="1:7">
      <c r="A2530" s="9" t="s">
        <v>1711</v>
      </c>
      <c r="B2530" s="9">
        <v>0.2</v>
      </c>
      <c r="C2530" s="10">
        <v>-1.8000000000000002E-2</v>
      </c>
      <c r="D2530" s="9" t="s">
        <v>1709</v>
      </c>
      <c r="E2530" s="11" t="s">
        <v>1710</v>
      </c>
      <c r="F2530" s="12" t="s">
        <v>1710</v>
      </c>
      <c r="G2530" s="9" t="s">
        <v>1709</v>
      </c>
    </row>
    <row r="2531" spans="1:7">
      <c r="A2531" s="9" t="s">
        <v>1711</v>
      </c>
      <c r="B2531" s="9">
        <v>0.2</v>
      </c>
      <c r="C2531" s="10">
        <v>-9.9000000000000005E-2</v>
      </c>
      <c r="D2531" s="9" t="s">
        <v>1709</v>
      </c>
      <c r="E2531" s="11" t="s">
        <v>1710</v>
      </c>
      <c r="F2531" s="12" t="s">
        <v>1710</v>
      </c>
      <c r="G2531" s="9" t="s">
        <v>1709</v>
      </c>
    </row>
    <row r="2532" spans="1:7">
      <c r="A2532" s="9" t="s">
        <v>1711</v>
      </c>
      <c r="B2532" s="9">
        <v>0.2</v>
      </c>
      <c r="C2532" s="10">
        <v>1.8279999999999998</v>
      </c>
      <c r="D2532" s="9" t="s">
        <v>1712</v>
      </c>
      <c r="E2532" s="11" t="s">
        <v>1737</v>
      </c>
      <c r="F2532" s="12" t="s">
        <v>1714</v>
      </c>
      <c r="G2532" s="9" t="s">
        <v>1709</v>
      </c>
    </row>
    <row r="2533" spans="1:7">
      <c r="A2533" s="9" t="s">
        <v>1711</v>
      </c>
      <c r="B2533" s="9">
        <v>0.2</v>
      </c>
      <c r="C2533" s="10">
        <v>-2.2000000000000002E-2</v>
      </c>
      <c r="D2533" s="9" t="s">
        <v>1709</v>
      </c>
      <c r="E2533" s="11" t="s">
        <v>1710</v>
      </c>
      <c r="F2533" s="12" t="s">
        <v>1710</v>
      </c>
      <c r="G2533" s="9" t="s">
        <v>1709</v>
      </c>
    </row>
    <row r="2534" spans="1:7">
      <c r="A2534" s="9" t="s">
        <v>1711</v>
      </c>
      <c r="B2534" s="9">
        <v>0.2</v>
      </c>
      <c r="C2534" s="10">
        <v>1.1819999999999999</v>
      </c>
      <c r="D2534" s="9" t="s">
        <v>1712</v>
      </c>
      <c r="E2534" s="11" t="s">
        <v>1738</v>
      </c>
      <c r="F2534" s="12" t="s">
        <v>1714</v>
      </c>
      <c r="G2534" s="9" t="s">
        <v>1709</v>
      </c>
    </row>
    <row r="2535" spans="1:7">
      <c r="A2535" s="9" t="s">
        <v>1711</v>
      </c>
      <c r="B2535" s="9">
        <v>0.2</v>
      </c>
      <c r="C2535" s="10">
        <v>1.222</v>
      </c>
      <c r="D2535" s="9" t="s">
        <v>1712</v>
      </c>
      <c r="E2535" s="11" t="s">
        <v>1737</v>
      </c>
      <c r="F2535" s="12" t="s">
        <v>1714</v>
      </c>
      <c r="G2535" s="9" t="s">
        <v>1709</v>
      </c>
    </row>
    <row r="2536" spans="1:7">
      <c r="A2536" s="9" t="s">
        <v>1711</v>
      </c>
      <c r="B2536" s="9">
        <v>0.2</v>
      </c>
      <c r="C2536" s="10">
        <v>1.222</v>
      </c>
      <c r="D2536" s="9" t="s">
        <v>1712</v>
      </c>
      <c r="E2536" s="11" t="s">
        <v>1737</v>
      </c>
      <c r="F2536" s="12" t="s">
        <v>1714</v>
      </c>
      <c r="G2536" s="9" t="s">
        <v>1709</v>
      </c>
    </row>
    <row r="2537" spans="1:7">
      <c r="A2537" s="9" t="s">
        <v>1711</v>
      </c>
      <c r="B2537" s="9">
        <v>0.2</v>
      </c>
      <c r="C2537" s="10">
        <v>0.77400000000000002</v>
      </c>
      <c r="D2537" s="9" t="s">
        <v>1712</v>
      </c>
      <c r="E2537" s="11" t="s">
        <v>1737</v>
      </c>
      <c r="F2537" s="12" t="s">
        <v>1714</v>
      </c>
      <c r="G2537" s="9" t="s">
        <v>1709</v>
      </c>
    </row>
    <row r="2538" spans="1:7">
      <c r="A2538" s="9" t="s">
        <v>1711</v>
      </c>
      <c r="B2538" s="9">
        <v>0.2</v>
      </c>
      <c r="C2538" s="10">
        <v>0.77400000000000002</v>
      </c>
      <c r="D2538" s="9" t="s">
        <v>1712</v>
      </c>
      <c r="E2538" s="11" t="s">
        <v>1737</v>
      </c>
      <c r="F2538" s="12" t="s">
        <v>1714</v>
      </c>
      <c r="G2538" s="9" t="s">
        <v>1709</v>
      </c>
    </row>
    <row r="2539" spans="1:7">
      <c r="A2539" s="9" t="s">
        <v>1711</v>
      </c>
      <c r="B2539" s="9">
        <v>0.2</v>
      </c>
      <c r="C2539" s="10">
        <v>0.77400000000000002</v>
      </c>
      <c r="D2539" s="9" t="s">
        <v>1712</v>
      </c>
      <c r="E2539" s="11" t="s">
        <v>1737</v>
      </c>
      <c r="F2539" s="12" t="s">
        <v>1714</v>
      </c>
      <c r="G2539" s="9" t="s">
        <v>1709</v>
      </c>
    </row>
    <row r="2540" spans="1:7">
      <c r="A2540" s="9" t="s">
        <v>1711</v>
      </c>
      <c r="B2540" s="9">
        <v>0.2</v>
      </c>
      <c r="C2540" s="10">
        <v>0.77400000000000002</v>
      </c>
      <c r="D2540" s="9" t="s">
        <v>1712</v>
      </c>
      <c r="E2540" s="11" t="s">
        <v>1737</v>
      </c>
      <c r="F2540" s="12" t="s">
        <v>1714</v>
      </c>
      <c r="G2540" s="9" t="s">
        <v>1709</v>
      </c>
    </row>
    <row r="2541" spans="1:7">
      <c r="A2541" s="9" t="s">
        <v>1711</v>
      </c>
      <c r="B2541" s="9">
        <v>0.2</v>
      </c>
      <c r="C2541" s="10">
        <v>0.70099999999999996</v>
      </c>
      <c r="D2541" s="9" t="s">
        <v>1712</v>
      </c>
      <c r="E2541" s="11" t="s">
        <v>1713</v>
      </c>
      <c r="F2541" s="12" t="s">
        <v>1714</v>
      </c>
      <c r="G2541" s="9" t="s">
        <v>1709</v>
      </c>
    </row>
    <row r="2542" spans="1:7">
      <c r="A2542" s="9" t="s">
        <v>1711</v>
      </c>
      <c r="B2542" s="9">
        <v>0.2</v>
      </c>
      <c r="C2542" s="10">
        <v>0.70099999999999996</v>
      </c>
      <c r="D2542" s="9" t="s">
        <v>1712</v>
      </c>
      <c r="E2542" s="11" t="s">
        <v>1713</v>
      </c>
      <c r="F2542" s="12" t="s">
        <v>1714</v>
      </c>
      <c r="G2542" s="9" t="s">
        <v>1709</v>
      </c>
    </row>
    <row r="2543" spans="1:7">
      <c r="A2543" s="9" t="s">
        <v>1711</v>
      </c>
      <c r="B2543" s="9">
        <v>0.2</v>
      </c>
      <c r="C2543" s="10">
        <v>0.58299999999999996</v>
      </c>
      <c r="D2543" s="9" t="s">
        <v>1712</v>
      </c>
      <c r="E2543" s="11" t="s">
        <v>1713</v>
      </c>
      <c r="F2543" s="12" t="s">
        <v>1714</v>
      </c>
      <c r="G2543" s="9" t="s">
        <v>1709</v>
      </c>
    </row>
    <row r="2544" spans="1:7">
      <c r="A2544" s="9" t="s">
        <v>1711</v>
      </c>
      <c r="B2544" s="9">
        <v>0.2</v>
      </c>
      <c r="C2544" s="10">
        <v>0.58299999999999996</v>
      </c>
      <c r="D2544" s="9" t="s">
        <v>1712</v>
      </c>
      <c r="E2544" s="11" t="s">
        <v>1713</v>
      </c>
      <c r="F2544" s="12" t="s">
        <v>1714</v>
      </c>
      <c r="G2544" s="9" t="s">
        <v>1709</v>
      </c>
    </row>
    <row r="2545" spans="1:7">
      <c r="A2545" s="9" t="s">
        <v>1711</v>
      </c>
      <c r="B2545" s="9">
        <v>0.2</v>
      </c>
      <c r="C2545" s="10">
        <v>0.58299999999999996</v>
      </c>
      <c r="D2545" s="9" t="s">
        <v>1712</v>
      </c>
      <c r="E2545" s="11" t="s">
        <v>1713</v>
      </c>
      <c r="F2545" s="12" t="s">
        <v>1714</v>
      </c>
      <c r="G2545" s="9" t="s">
        <v>1709</v>
      </c>
    </row>
    <row r="2546" spans="1:7">
      <c r="A2546" s="9" t="s">
        <v>1711</v>
      </c>
      <c r="B2546" s="9">
        <v>0.2</v>
      </c>
      <c r="C2546" s="10">
        <v>0.58299999999999996</v>
      </c>
      <c r="D2546" s="9" t="s">
        <v>1712</v>
      </c>
      <c r="E2546" s="11" t="s">
        <v>1713</v>
      </c>
      <c r="F2546" s="12" t="s">
        <v>1714</v>
      </c>
      <c r="G2546" s="9" t="s">
        <v>1709</v>
      </c>
    </row>
    <row r="2547" spans="1:7">
      <c r="A2547" s="9" t="s">
        <v>1711</v>
      </c>
      <c r="B2547" s="9">
        <v>0.2</v>
      </c>
      <c r="C2547" s="10">
        <v>0.58299999999999996</v>
      </c>
      <c r="D2547" s="9" t="s">
        <v>1712</v>
      </c>
      <c r="E2547" s="11" t="s">
        <v>1713</v>
      </c>
      <c r="F2547" s="12" t="s">
        <v>1714</v>
      </c>
      <c r="G2547" s="9" t="s">
        <v>1709</v>
      </c>
    </row>
    <row r="2548" spans="1:7">
      <c r="A2548" s="9" t="s">
        <v>1711</v>
      </c>
      <c r="B2548" s="13">
        <v>0.2</v>
      </c>
      <c r="C2548" s="10">
        <v>0.58299999999999996</v>
      </c>
      <c r="D2548" s="9" t="s">
        <v>1712</v>
      </c>
      <c r="E2548" s="11" t="s">
        <v>1713</v>
      </c>
      <c r="F2548" s="12" t="s">
        <v>1714</v>
      </c>
      <c r="G2548" s="9" t="s">
        <v>1709</v>
      </c>
    </row>
    <row r="2549" spans="1:7">
      <c r="A2549" s="9" t="s">
        <v>1711</v>
      </c>
      <c r="B2549" s="13">
        <v>0.2</v>
      </c>
      <c r="C2549" s="10">
        <v>0.58299999999999996</v>
      </c>
      <c r="D2549" s="9" t="s">
        <v>1712</v>
      </c>
      <c r="E2549" s="11" t="s">
        <v>1713</v>
      </c>
      <c r="F2549" s="12" t="s">
        <v>1714</v>
      </c>
      <c r="G2549" s="9" t="s">
        <v>1709</v>
      </c>
    </row>
    <row r="2550" spans="1:7">
      <c r="A2550" s="9" t="s">
        <v>1711</v>
      </c>
      <c r="B2550" s="13">
        <v>0.2</v>
      </c>
      <c r="C2550" s="10">
        <v>2.4670000000000001</v>
      </c>
      <c r="D2550" s="9" t="s">
        <v>1712</v>
      </c>
      <c r="E2550" s="11" t="s">
        <v>1738</v>
      </c>
      <c r="F2550" s="12" t="s">
        <v>1714</v>
      </c>
      <c r="G2550" s="9" t="s">
        <v>1709</v>
      </c>
    </row>
    <row r="2551" spans="1:7">
      <c r="A2551" s="9" t="s">
        <v>1711</v>
      </c>
      <c r="B2551" s="13">
        <v>0.2</v>
      </c>
      <c r="C2551" s="10">
        <v>2.4670000000000001</v>
      </c>
      <c r="D2551" s="9" t="s">
        <v>1712</v>
      </c>
      <c r="E2551" s="11" t="s">
        <v>1738</v>
      </c>
      <c r="F2551" s="12" t="s">
        <v>1714</v>
      </c>
      <c r="G2551" s="9" t="s">
        <v>1709</v>
      </c>
    </row>
    <row r="2552" spans="1:7">
      <c r="A2552" s="9" t="s">
        <v>1711</v>
      </c>
      <c r="B2552" s="13">
        <v>0.2</v>
      </c>
      <c r="C2552" s="10">
        <v>2.7949999999999999</v>
      </c>
      <c r="D2552" s="9" t="s">
        <v>1712</v>
      </c>
      <c r="E2552" s="11" t="s">
        <v>1737</v>
      </c>
      <c r="F2552" s="12" t="s">
        <v>1714</v>
      </c>
      <c r="G2552" s="9" t="s">
        <v>1709</v>
      </c>
    </row>
    <row r="2553" spans="1:7">
      <c r="A2553" s="9" t="s">
        <v>1711</v>
      </c>
      <c r="B2553" s="9">
        <v>0.2</v>
      </c>
      <c r="C2553" s="10">
        <v>-0.191</v>
      </c>
      <c r="D2553" s="9" t="s">
        <v>1709</v>
      </c>
      <c r="E2553" s="11" t="s">
        <v>1710</v>
      </c>
      <c r="F2553" s="12" t="s">
        <v>1710</v>
      </c>
      <c r="G2553" s="9" t="s">
        <v>1709</v>
      </c>
    </row>
    <row r="2554" spans="1:7">
      <c r="A2554" s="9" t="s">
        <v>1711</v>
      </c>
      <c r="B2554" s="13">
        <v>0.2</v>
      </c>
      <c r="C2554" s="10">
        <v>0.9</v>
      </c>
      <c r="D2554" s="9" t="s">
        <v>1712</v>
      </c>
      <c r="E2554" s="11" t="s">
        <v>1713</v>
      </c>
      <c r="F2554" s="12" t="s">
        <v>1714</v>
      </c>
      <c r="G2554" s="9" t="s">
        <v>1709</v>
      </c>
    </row>
    <row r="2555" spans="1:7">
      <c r="A2555" s="9" t="s">
        <v>1711</v>
      </c>
      <c r="B2555" s="13">
        <v>0.2</v>
      </c>
      <c r="C2555" s="10">
        <v>0.9</v>
      </c>
      <c r="D2555" s="9" t="s">
        <v>1712</v>
      </c>
      <c r="E2555" s="11" t="s">
        <v>1713</v>
      </c>
      <c r="F2555" s="12" t="s">
        <v>1714</v>
      </c>
      <c r="G2555" s="9" t="s">
        <v>1709</v>
      </c>
    </row>
    <row r="2556" spans="1:7">
      <c r="A2556" s="9" t="s">
        <v>1711</v>
      </c>
      <c r="B2556" s="9">
        <v>0.2</v>
      </c>
      <c r="C2556" s="10">
        <v>0.51700000000000002</v>
      </c>
      <c r="D2556" s="9" t="s">
        <v>1712</v>
      </c>
      <c r="E2556" s="11" t="s">
        <v>1737</v>
      </c>
      <c r="F2556" s="12" t="s">
        <v>1714</v>
      </c>
      <c r="G2556" s="9" t="s">
        <v>1709</v>
      </c>
    </row>
    <row r="2557" spans="1:7">
      <c r="A2557" s="9" t="s">
        <v>1711</v>
      </c>
      <c r="B2557" s="13">
        <v>0.2</v>
      </c>
      <c r="C2557" s="10">
        <v>0.64100000000000001</v>
      </c>
      <c r="D2557" s="9" t="s">
        <v>1712</v>
      </c>
      <c r="E2557" s="11" t="s">
        <v>1713</v>
      </c>
      <c r="F2557" s="12" t="s">
        <v>1714</v>
      </c>
      <c r="G2557" s="9" t="s">
        <v>1709</v>
      </c>
    </row>
    <row r="2558" spans="1:7">
      <c r="A2558" s="9" t="s">
        <v>1711</v>
      </c>
      <c r="B2558" s="13">
        <v>0.2</v>
      </c>
      <c r="C2558" s="10">
        <v>6.5000000000000002E-2</v>
      </c>
      <c r="D2558" s="9" t="s">
        <v>1712</v>
      </c>
      <c r="E2558" s="11" t="s">
        <v>1738</v>
      </c>
      <c r="F2558" s="12" t="s">
        <v>1714</v>
      </c>
      <c r="G2558" s="9" t="s">
        <v>1709</v>
      </c>
    </row>
    <row r="2559" spans="1:7">
      <c r="A2559" s="9" t="s">
        <v>1711</v>
      </c>
      <c r="B2559" s="13">
        <v>0.2</v>
      </c>
      <c r="C2559" s="10">
        <v>-2.8000000000000001E-2</v>
      </c>
      <c r="D2559" s="9" t="s">
        <v>1709</v>
      </c>
      <c r="E2559" s="11" t="s">
        <v>1710</v>
      </c>
      <c r="F2559" s="12" t="s">
        <v>1710</v>
      </c>
      <c r="G2559" s="9" t="s">
        <v>1709</v>
      </c>
    </row>
    <row r="2560" spans="1:7">
      <c r="A2560" s="9" t="s">
        <v>1711</v>
      </c>
      <c r="B2560" s="9">
        <v>0.2</v>
      </c>
      <c r="C2560" s="10">
        <v>4.1000000000000002E-2</v>
      </c>
      <c r="D2560" s="9" t="s">
        <v>1712</v>
      </c>
      <c r="E2560" s="11" t="s">
        <v>1738</v>
      </c>
      <c r="F2560" s="12" t="s">
        <v>1714</v>
      </c>
      <c r="G2560" s="9" t="s">
        <v>1709</v>
      </c>
    </row>
    <row r="2561" spans="1:7">
      <c r="A2561" s="9" t="s">
        <v>1711</v>
      </c>
      <c r="B2561" s="13">
        <v>0.2</v>
      </c>
      <c r="C2561" s="10">
        <v>1.827</v>
      </c>
      <c r="D2561" s="9" t="s">
        <v>1712</v>
      </c>
      <c r="E2561" s="11" t="s">
        <v>1737</v>
      </c>
      <c r="F2561" s="12" t="s">
        <v>1714</v>
      </c>
      <c r="G2561" s="9" t="s">
        <v>1709</v>
      </c>
    </row>
    <row r="2562" spans="1:7">
      <c r="A2562" s="9" t="s">
        <v>1711</v>
      </c>
      <c r="B2562" s="13">
        <v>0.2</v>
      </c>
      <c r="C2562" s="10">
        <v>4.1000000000000002E-2</v>
      </c>
      <c r="D2562" s="9" t="s">
        <v>1712</v>
      </c>
      <c r="E2562" s="11" t="s">
        <v>1737</v>
      </c>
      <c r="F2562" s="12" t="s">
        <v>1714</v>
      </c>
      <c r="G2562" s="9" t="s">
        <v>1709</v>
      </c>
    </row>
    <row r="2563" spans="1:7">
      <c r="A2563" s="9" t="s">
        <v>1711</v>
      </c>
      <c r="B2563" s="13">
        <v>0.2</v>
      </c>
      <c r="C2563" s="10">
        <v>7.0000000000000001E-3</v>
      </c>
      <c r="D2563" s="9" t="s">
        <v>1712</v>
      </c>
      <c r="E2563" s="11" t="s">
        <v>1737</v>
      </c>
      <c r="F2563" s="12" t="s">
        <v>1714</v>
      </c>
      <c r="G2563" s="9" t="s">
        <v>1709</v>
      </c>
    </row>
    <row r="2564" spans="1:7">
      <c r="A2564" s="9" t="s">
        <v>1711</v>
      </c>
      <c r="B2564" s="13">
        <v>0.2</v>
      </c>
      <c r="C2564" s="10">
        <v>0.77800000000000002</v>
      </c>
      <c r="D2564" s="9" t="s">
        <v>1712</v>
      </c>
      <c r="E2564" s="11" t="s">
        <v>1737</v>
      </c>
      <c r="F2564" s="12" t="s">
        <v>1714</v>
      </c>
      <c r="G2564" s="9" t="s">
        <v>1709</v>
      </c>
    </row>
    <row r="2565" spans="1:7">
      <c r="A2565" s="9" t="s">
        <v>1711</v>
      </c>
      <c r="B2565" s="9">
        <v>0.2</v>
      </c>
      <c r="C2565" s="10">
        <v>0.77800000000000002</v>
      </c>
      <c r="D2565" s="9" t="s">
        <v>1712</v>
      </c>
      <c r="E2565" s="11" t="s">
        <v>1737</v>
      </c>
      <c r="F2565" s="12" t="s">
        <v>1714</v>
      </c>
      <c r="G2565" s="9" t="s">
        <v>1709</v>
      </c>
    </row>
    <row r="2566" spans="1:7">
      <c r="A2566" s="9" t="s">
        <v>1711</v>
      </c>
      <c r="B2566" s="13">
        <v>0.2</v>
      </c>
      <c r="C2566" s="10">
        <v>0.77800000000000002</v>
      </c>
      <c r="D2566" s="9" t="s">
        <v>1712</v>
      </c>
      <c r="E2566" s="11" t="s">
        <v>1737</v>
      </c>
      <c r="F2566" s="12" t="s">
        <v>1714</v>
      </c>
      <c r="G2566" s="9" t="s">
        <v>1709</v>
      </c>
    </row>
    <row r="2567" spans="1:7">
      <c r="A2567" s="9" t="s">
        <v>1711</v>
      </c>
      <c r="B2567" s="9">
        <v>0.2</v>
      </c>
      <c r="C2567" s="10">
        <v>0.77800000000000002</v>
      </c>
      <c r="D2567" s="9" t="s">
        <v>1712</v>
      </c>
      <c r="E2567" s="11" t="s">
        <v>1737</v>
      </c>
      <c r="F2567" s="12" t="s">
        <v>1714</v>
      </c>
      <c r="G2567" s="9" t="s">
        <v>1709</v>
      </c>
    </row>
    <row r="2568" spans="1:7">
      <c r="A2568" s="9" t="s">
        <v>1711</v>
      </c>
      <c r="B2568" s="13">
        <v>0.2</v>
      </c>
      <c r="C2568" s="10">
        <v>1.0999999999999999E-2</v>
      </c>
      <c r="D2568" s="9" t="s">
        <v>1712</v>
      </c>
      <c r="E2568" s="11" t="s">
        <v>1737</v>
      </c>
      <c r="F2568" s="12" t="s">
        <v>1714</v>
      </c>
      <c r="G2568" s="9" t="s">
        <v>1709</v>
      </c>
    </row>
    <row r="2569" spans="1:7">
      <c r="A2569" s="9" t="s">
        <v>1711</v>
      </c>
      <c r="B2569" s="13">
        <v>0.2</v>
      </c>
      <c r="C2569" s="10">
        <v>-2.9000000000000001E-2</v>
      </c>
      <c r="D2569" s="9" t="s">
        <v>1709</v>
      </c>
      <c r="E2569" s="11" t="s">
        <v>1710</v>
      </c>
      <c r="F2569" s="12" t="s">
        <v>1710</v>
      </c>
      <c r="G2569" s="9" t="s">
        <v>1709</v>
      </c>
    </row>
    <row r="2570" spans="1:7">
      <c r="A2570" s="9" t="s">
        <v>1711</v>
      </c>
      <c r="B2570" s="13">
        <v>0.2</v>
      </c>
      <c r="C2570" s="10">
        <v>-6.7000000000000004E-2</v>
      </c>
      <c r="D2570" s="9" t="s">
        <v>1709</v>
      </c>
      <c r="E2570" s="11" t="s">
        <v>1710</v>
      </c>
      <c r="F2570" s="12" t="s">
        <v>1710</v>
      </c>
      <c r="G2570" s="9" t="s">
        <v>1709</v>
      </c>
    </row>
    <row r="2571" spans="1:7">
      <c r="A2571" s="9" t="s">
        <v>1711</v>
      </c>
      <c r="B2571" s="13">
        <v>0.2</v>
      </c>
      <c r="C2571" s="10">
        <v>1.827</v>
      </c>
      <c r="D2571" s="9" t="s">
        <v>1712</v>
      </c>
      <c r="E2571" s="11" t="s">
        <v>1736</v>
      </c>
      <c r="F2571" s="12" t="s">
        <v>1714</v>
      </c>
      <c r="G2571" s="9" t="s">
        <v>1709</v>
      </c>
    </row>
    <row r="2572" spans="1:7">
      <c r="A2572" s="9" t="s">
        <v>1711</v>
      </c>
      <c r="B2572" s="13">
        <v>0.2</v>
      </c>
      <c r="C2572" s="10">
        <v>0.79600000000000004</v>
      </c>
      <c r="D2572" s="9" t="s">
        <v>1712</v>
      </c>
      <c r="E2572" s="11" t="s">
        <v>1737</v>
      </c>
      <c r="F2572" s="12" t="s">
        <v>1714</v>
      </c>
      <c r="G2572" s="9" t="s">
        <v>1709</v>
      </c>
    </row>
    <row r="2573" spans="1:7">
      <c r="A2573" s="9" t="s">
        <v>1711</v>
      </c>
      <c r="B2573" s="13">
        <v>0.2</v>
      </c>
      <c r="C2573" s="10">
        <v>0.79600000000000004</v>
      </c>
      <c r="D2573" s="9" t="s">
        <v>1712</v>
      </c>
      <c r="E2573" s="11" t="s">
        <v>1737</v>
      </c>
      <c r="F2573" s="12" t="s">
        <v>1714</v>
      </c>
      <c r="G2573" s="9" t="s">
        <v>1709</v>
      </c>
    </row>
    <row r="2574" spans="1:7">
      <c r="A2574" s="9" t="s">
        <v>1711</v>
      </c>
      <c r="B2574" s="13">
        <v>0.2</v>
      </c>
      <c r="C2574" s="10">
        <v>0.51700000000000002</v>
      </c>
      <c r="D2574" s="9" t="s">
        <v>1712</v>
      </c>
      <c r="E2574" s="11" t="s">
        <v>1736</v>
      </c>
      <c r="F2574" s="12" t="s">
        <v>1714</v>
      </c>
      <c r="G2574" s="9" t="s">
        <v>1709</v>
      </c>
    </row>
    <row r="2575" spans="1:7">
      <c r="A2575" s="9" t="s">
        <v>1711</v>
      </c>
      <c r="B2575" s="13">
        <v>0.2</v>
      </c>
      <c r="C2575" s="10">
        <v>2.323</v>
      </c>
      <c r="D2575" s="9" t="s">
        <v>1712</v>
      </c>
      <c r="E2575" s="11" t="s">
        <v>1737</v>
      </c>
      <c r="F2575" s="12" t="s">
        <v>1714</v>
      </c>
      <c r="G2575" s="9" t="s">
        <v>1709</v>
      </c>
    </row>
    <row r="2576" spans="1:7">
      <c r="A2576" s="9" t="s">
        <v>1711</v>
      </c>
      <c r="B2576" s="13">
        <v>0.2</v>
      </c>
      <c r="C2576" s="10">
        <v>1.4649999999999999</v>
      </c>
      <c r="D2576" s="9" t="s">
        <v>1712</v>
      </c>
      <c r="E2576" s="11" t="s">
        <v>1737</v>
      </c>
      <c r="F2576" s="12" t="s">
        <v>1714</v>
      </c>
      <c r="G2576" s="9" t="s">
        <v>1709</v>
      </c>
    </row>
    <row r="2577" spans="1:7">
      <c r="A2577" s="9" t="s">
        <v>1711</v>
      </c>
      <c r="B2577" s="13">
        <v>0.2</v>
      </c>
      <c r="C2577" s="10">
        <v>1.8659999999999999</v>
      </c>
      <c r="D2577" s="9" t="s">
        <v>1712</v>
      </c>
      <c r="E2577" s="11" t="s">
        <v>1713</v>
      </c>
      <c r="F2577" s="12" t="s">
        <v>1714</v>
      </c>
      <c r="G2577" s="9" t="s">
        <v>1709</v>
      </c>
    </row>
    <row r="2578" spans="1:7">
      <c r="A2578" s="9" t="s">
        <v>1711</v>
      </c>
      <c r="B2578" s="13">
        <v>0.2</v>
      </c>
      <c r="C2578" s="10">
        <v>1.4649999999999999</v>
      </c>
      <c r="D2578" s="9" t="s">
        <v>1712</v>
      </c>
      <c r="E2578" s="11" t="s">
        <v>1736</v>
      </c>
      <c r="F2578" s="12" t="s">
        <v>1714</v>
      </c>
      <c r="G2578" s="9" t="s">
        <v>1709</v>
      </c>
    </row>
    <row r="2579" spans="1:7">
      <c r="A2579" s="9" t="s">
        <v>1711</v>
      </c>
      <c r="B2579" s="13">
        <v>0.2</v>
      </c>
      <c r="C2579" s="10">
        <v>0.60399999999999998</v>
      </c>
      <c r="D2579" s="9" t="s">
        <v>1712</v>
      </c>
      <c r="E2579" s="11" t="s">
        <v>1737</v>
      </c>
      <c r="F2579" s="12" t="s">
        <v>1714</v>
      </c>
      <c r="G2579" s="9" t="s">
        <v>1709</v>
      </c>
    </row>
    <row r="2580" spans="1:7">
      <c r="A2580" s="9" t="s">
        <v>1711</v>
      </c>
      <c r="B2580" s="13">
        <v>0.2</v>
      </c>
      <c r="C2580" s="10">
        <v>1.119</v>
      </c>
      <c r="D2580" s="9" t="s">
        <v>1712</v>
      </c>
      <c r="E2580" s="11" t="s">
        <v>1736</v>
      </c>
      <c r="F2580" s="12" t="s">
        <v>1714</v>
      </c>
      <c r="G2580" s="9" t="s">
        <v>1709</v>
      </c>
    </row>
    <row r="2581" spans="1:7">
      <c r="A2581" s="9" t="s">
        <v>1711</v>
      </c>
      <c r="B2581" s="9">
        <v>0.2</v>
      </c>
      <c r="C2581" s="10">
        <v>1.4389999999999998</v>
      </c>
      <c r="D2581" s="9" t="s">
        <v>1712</v>
      </c>
      <c r="E2581" s="11" t="s">
        <v>1736</v>
      </c>
      <c r="F2581" s="12" t="s">
        <v>1714</v>
      </c>
      <c r="G2581" s="9" t="s">
        <v>1709</v>
      </c>
    </row>
    <row r="2582" spans="1:7">
      <c r="A2582" s="9" t="s">
        <v>1711</v>
      </c>
      <c r="B2582" s="13">
        <v>0.2</v>
      </c>
      <c r="C2582" s="10">
        <v>-6.0999999999999999E-2</v>
      </c>
      <c r="D2582" s="9" t="s">
        <v>1709</v>
      </c>
      <c r="E2582" s="11" t="s">
        <v>1710</v>
      </c>
      <c r="F2582" s="12" t="s">
        <v>1710</v>
      </c>
      <c r="G2582" s="9" t="s">
        <v>1709</v>
      </c>
    </row>
    <row r="2583" spans="1:7">
      <c r="A2583" s="9" t="s">
        <v>1711</v>
      </c>
      <c r="B2583" s="13">
        <v>0.2</v>
      </c>
      <c r="C2583" s="10">
        <v>0.312</v>
      </c>
      <c r="D2583" s="9" t="s">
        <v>1712</v>
      </c>
      <c r="E2583" s="11" t="s">
        <v>1737</v>
      </c>
      <c r="F2583" s="12" t="s">
        <v>1714</v>
      </c>
      <c r="G2583" s="9" t="s">
        <v>1709</v>
      </c>
    </row>
    <row r="2584" spans="1:7">
      <c r="A2584" s="9" t="s">
        <v>1711</v>
      </c>
      <c r="B2584" s="13">
        <v>0.2</v>
      </c>
      <c r="C2584" s="10">
        <v>0.67200000000000004</v>
      </c>
      <c r="D2584" s="9" t="s">
        <v>1712</v>
      </c>
      <c r="E2584" s="11" t="s">
        <v>1713</v>
      </c>
      <c r="F2584" s="12" t="s">
        <v>1714</v>
      </c>
      <c r="G2584" s="9" t="s">
        <v>1709</v>
      </c>
    </row>
    <row r="2585" spans="1:7">
      <c r="A2585" s="9" t="s">
        <v>1711</v>
      </c>
      <c r="B2585" s="9">
        <v>0.2</v>
      </c>
      <c r="C2585" s="10">
        <v>0.67200000000000004</v>
      </c>
      <c r="D2585" s="9" t="s">
        <v>1712</v>
      </c>
      <c r="E2585" s="11" t="s">
        <v>1713</v>
      </c>
      <c r="F2585" s="12" t="s">
        <v>1714</v>
      </c>
      <c r="G2585" s="9" t="s">
        <v>1709</v>
      </c>
    </row>
    <row r="2586" spans="1:7">
      <c r="A2586" s="9" t="s">
        <v>1711</v>
      </c>
      <c r="B2586" s="9">
        <v>0.2</v>
      </c>
      <c r="C2586" s="10">
        <v>1.6289999999999998</v>
      </c>
      <c r="D2586" s="9" t="s">
        <v>1712</v>
      </c>
      <c r="E2586" s="11" t="s">
        <v>1715</v>
      </c>
      <c r="F2586" s="12" t="s">
        <v>1714</v>
      </c>
      <c r="G2586" s="9" t="s">
        <v>1709</v>
      </c>
    </row>
    <row r="2587" spans="1:7">
      <c r="A2587" s="9" t="s">
        <v>1711</v>
      </c>
      <c r="B2587" s="9">
        <v>0.2</v>
      </c>
      <c r="C2587" s="10">
        <v>1.6289999999999998</v>
      </c>
      <c r="D2587" s="9" t="s">
        <v>1712</v>
      </c>
      <c r="E2587" s="11" t="s">
        <v>1715</v>
      </c>
      <c r="F2587" s="12" t="s">
        <v>1714</v>
      </c>
      <c r="G2587" s="9" t="s">
        <v>1709</v>
      </c>
    </row>
    <row r="2588" spans="1:7">
      <c r="A2588" s="9" t="s">
        <v>1711</v>
      </c>
      <c r="B2588" s="9">
        <v>0.2</v>
      </c>
      <c r="C2588" s="10">
        <v>6.9000000000000006E-2</v>
      </c>
      <c r="D2588" s="9" t="s">
        <v>1712</v>
      </c>
      <c r="E2588" s="11" t="s">
        <v>1738</v>
      </c>
      <c r="F2588" s="12" t="s">
        <v>1714</v>
      </c>
      <c r="G2588" s="9" t="s">
        <v>1709</v>
      </c>
    </row>
    <row r="2589" spans="1:7">
      <c r="A2589" s="9" t="s">
        <v>1711</v>
      </c>
      <c r="B2589" s="9">
        <v>0.2</v>
      </c>
      <c r="C2589" s="10">
        <v>0.64100000000000001</v>
      </c>
      <c r="D2589" s="9" t="s">
        <v>1712</v>
      </c>
      <c r="E2589" s="11" t="s">
        <v>1736</v>
      </c>
      <c r="F2589" s="12" t="s">
        <v>1714</v>
      </c>
      <c r="G2589" s="9" t="s">
        <v>1709</v>
      </c>
    </row>
    <row r="2590" spans="1:7">
      <c r="A2590" s="9" t="s">
        <v>1711</v>
      </c>
      <c r="B2590" s="9">
        <v>0.2</v>
      </c>
      <c r="C2590" s="10">
        <v>2.81</v>
      </c>
      <c r="D2590" s="9" t="s">
        <v>1712</v>
      </c>
      <c r="E2590" s="11" t="s">
        <v>1737</v>
      </c>
      <c r="F2590" s="12" t="s">
        <v>1714</v>
      </c>
      <c r="G2590" s="9" t="s">
        <v>1709</v>
      </c>
    </row>
    <row r="2591" spans="1:7">
      <c r="A2591" s="9" t="s">
        <v>1711</v>
      </c>
      <c r="B2591" s="13">
        <v>0.2</v>
      </c>
      <c r="C2591" s="10">
        <v>0.38700000000000001</v>
      </c>
      <c r="D2591" s="9" t="s">
        <v>1712</v>
      </c>
      <c r="E2591" s="11" t="s">
        <v>1738</v>
      </c>
      <c r="F2591" s="12" t="s">
        <v>1714</v>
      </c>
      <c r="G2591" s="9" t="s">
        <v>1709</v>
      </c>
    </row>
    <row r="2592" spans="1:7">
      <c r="A2592" s="9" t="s">
        <v>1711</v>
      </c>
      <c r="B2592" s="13">
        <v>0.2</v>
      </c>
      <c r="C2592" s="10">
        <v>2.7479999999999998</v>
      </c>
      <c r="D2592" s="9" t="s">
        <v>1712</v>
      </c>
      <c r="E2592" s="11" t="s">
        <v>1737</v>
      </c>
      <c r="F2592" s="12" t="s">
        <v>1714</v>
      </c>
      <c r="G2592" s="9" t="s">
        <v>1709</v>
      </c>
    </row>
    <row r="2593" spans="1:7">
      <c r="A2593" s="9" t="s">
        <v>1711</v>
      </c>
      <c r="B2593" s="13">
        <v>0.2</v>
      </c>
      <c r="C2593" s="10">
        <v>6.9000000000000006E-2</v>
      </c>
      <c r="D2593" s="9" t="s">
        <v>1712</v>
      </c>
      <c r="E2593" s="11" t="s">
        <v>1739</v>
      </c>
      <c r="F2593" s="12" t="s">
        <v>1714</v>
      </c>
      <c r="G2593" s="9" t="s">
        <v>1709</v>
      </c>
    </row>
    <row r="2594" spans="1:7">
      <c r="A2594" s="9" t="s">
        <v>1711</v>
      </c>
      <c r="B2594" s="13">
        <v>0.2</v>
      </c>
      <c r="C2594" s="10">
        <v>0.67200000000000004</v>
      </c>
      <c r="D2594" s="9" t="s">
        <v>1712</v>
      </c>
      <c r="E2594" s="11" t="s">
        <v>1739</v>
      </c>
      <c r="F2594" s="12" t="s">
        <v>1714</v>
      </c>
      <c r="G2594" s="9" t="s">
        <v>1709</v>
      </c>
    </row>
    <row r="2595" spans="1:7">
      <c r="A2595" s="9" t="s">
        <v>1711</v>
      </c>
      <c r="B2595" s="13">
        <v>0.2</v>
      </c>
      <c r="C2595" s="10">
        <v>-8.6999999999999994E-2</v>
      </c>
      <c r="D2595" s="9" t="s">
        <v>1709</v>
      </c>
      <c r="E2595" s="11" t="s">
        <v>1710</v>
      </c>
      <c r="F2595" s="12" t="s">
        <v>1710</v>
      </c>
      <c r="G2595" s="9" t="s">
        <v>1709</v>
      </c>
    </row>
    <row r="2596" spans="1:7">
      <c r="A2596" s="9" t="s">
        <v>1711</v>
      </c>
      <c r="B2596" s="13">
        <v>0.2</v>
      </c>
      <c r="C2596" s="10">
        <v>0.64100000000000001</v>
      </c>
      <c r="D2596" s="9" t="s">
        <v>1712</v>
      </c>
      <c r="E2596" s="11" t="s">
        <v>1713</v>
      </c>
      <c r="F2596" s="12" t="s">
        <v>1714</v>
      </c>
      <c r="G2596" s="9" t="s">
        <v>1709</v>
      </c>
    </row>
    <row r="2597" spans="1:7">
      <c r="A2597" s="9" t="s">
        <v>1711</v>
      </c>
      <c r="B2597" s="13">
        <v>0.2</v>
      </c>
      <c r="C2597" s="10">
        <v>0.64100000000000001</v>
      </c>
      <c r="D2597" s="9" t="s">
        <v>1712</v>
      </c>
      <c r="E2597" s="11" t="s">
        <v>1738</v>
      </c>
      <c r="F2597" s="12" t="s">
        <v>1714</v>
      </c>
      <c r="G2597" s="9" t="s">
        <v>1709</v>
      </c>
    </row>
    <row r="2598" spans="1:7">
      <c r="A2598" s="9" t="s">
        <v>1711</v>
      </c>
      <c r="B2598" s="13">
        <v>0.2</v>
      </c>
      <c r="C2598" s="10">
        <v>0.55200000000000005</v>
      </c>
      <c r="D2598" s="9" t="s">
        <v>1712</v>
      </c>
      <c r="E2598" s="11" t="s">
        <v>1713</v>
      </c>
      <c r="F2598" s="12" t="s">
        <v>1714</v>
      </c>
      <c r="G2598" s="9" t="s">
        <v>1709</v>
      </c>
    </row>
    <row r="2599" spans="1:7">
      <c r="A2599" s="9" t="s">
        <v>1711</v>
      </c>
      <c r="B2599" s="13">
        <v>0.2</v>
      </c>
      <c r="C2599" s="10">
        <v>0.55200000000000005</v>
      </c>
      <c r="D2599" s="9" t="s">
        <v>1712</v>
      </c>
      <c r="E2599" s="11" t="s">
        <v>1713</v>
      </c>
      <c r="F2599" s="12" t="s">
        <v>1714</v>
      </c>
      <c r="G2599" s="9" t="s">
        <v>1709</v>
      </c>
    </row>
    <row r="2600" spans="1:7">
      <c r="A2600" s="9" t="s">
        <v>1711</v>
      </c>
      <c r="B2600" s="13">
        <v>0.2</v>
      </c>
      <c r="C2600" s="10">
        <v>0.55200000000000005</v>
      </c>
      <c r="D2600" s="9" t="s">
        <v>1712</v>
      </c>
      <c r="E2600" s="11" t="s">
        <v>1713</v>
      </c>
      <c r="F2600" s="12" t="s">
        <v>1714</v>
      </c>
      <c r="G2600" s="9" t="s">
        <v>1709</v>
      </c>
    </row>
    <row r="2601" spans="1:7">
      <c r="A2601" s="9" t="s">
        <v>1711</v>
      </c>
      <c r="B2601" s="13">
        <v>0.2</v>
      </c>
      <c r="C2601" s="10">
        <v>0.55200000000000005</v>
      </c>
      <c r="D2601" s="9" t="s">
        <v>1712</v>
      </c>
      <c r="E2601" s="11" t="s">
        <v>1713</v>
      </c>
      <c r="F2601" s="12" t="s">
        <v>1714</v>
      </c>
      <c r="G2601" s="9" t="s">
        <v>1709</v>
      </c>
    </row>
    <row r="2602" spans="1:7">
      <c r="A2602" s="9" t="s">
        <v>1711</v>
      </c>
      <c r="B2602" s="13">
        <v>0.2</v>
      </c>
      <c r="C2602" s="10">
        <v>2.57</v>
      </c>
      <c r="D2602" s="9" t="s">
        <v>1712</v>
      </c>
      <c r="E2602" s="11" t="s">
        <v>1713</v>
      </c>
      <c r="F2602" s="12" t="s">
        <v>1714</v>
      </c>
      <c r="G2602" s="9" t="s">
        <v>1709</v>
      </c>
    </row>
    <row r="2603" spans="1:7">
      <c r="A2603" s="9" t="s">
        <v>1711</v>
      </c>
      <c r="B2603" s="9">
        <v>0.2</v>
      </c>
      <c r="C2603" s="10">
        <v>0.61299999999999999</v>
      </c>
      <c r="D2603" s="9" t="s">
        <v>1712</v>
      </c>
      <c r="E2603" s="11" t="s">
        <v>1713</v>
      </c>
      <c r="F2603" s="12" t="s">
        <v>1714</v>
      </c>
      <c r="G2603" s="9" t="s">
        <v>1709</v>
      </c>
    </row>
    <row r="2604" spans="1:7">
      <c r="A2604" s="9" t="s">
        <v>1711</v>
      </c>
      <c r="B2604" s="9">
        <v>0.2</v>
      </c>
      <c r="C2604" s="10">
        <v>0.61299999999999999</v>
      </c>
      <c r="D2604" s="9" t="s">
        <v>1712</v>
      </c>
      <c r="E2604" s="11" t="s">
        <v>1713</v>
      </c>
      <c r="F2604" s="12" t="s">
        <v>1714</v>
      </c>
      <c r="G2604" s="9" t="s">
        <v>1709</v>
      </c>
    </row>
    <row r="2605" spans="1:7">
      <c r="A2605" s="9" t="s">
        <v>1711</v>
      </c>
      <c r="B2605" s="13">
        <v>0.2</v>
      </c>
      <c r="C2605" s="10">
        <v>0.61299999999999999</v>
      </c>
      <c r="D2605" s="9" t="s">
        <v>1712</v>
      </c>
      <c r="E2605" s="11" t="s">
        <v>1713</v>
      </c>
      <c r="F2605" s="12" t="s">
        <v>1714</v>
      </c>
      <c r="G2605" s="9" t="s">
        <v>1709</v>
      </c>
    </row>
    <row r="2606" spans="1:7">
      <c r="A2606" s="9" t="s">
        <v>1711</v>
      </c>
      <c r="B2606" s="13">
        <v>0.2</v>
      </c>
      <c r="C2606" s="10">
        <v>0.61299999999999999</v>
      </c>
      <c r="D2606" s="9" t="s">
        <v>1712</v>
      </c>
      <c r="E2606" s="11" t="s">
        <v>1713</v>
      </c>
      <c r="F2606" s="12" t="s">
        <v>1714</v>
      </c>
      <c r="G2606" s="9" t="s">
        <v>1709</v>
      </c>
    </row>
    <row r="2607" spans="1:7">
      <c r="A2607" s="9" t="s">
        <v>1711</v>
      </c>
      <c r="B2607" s="13">
        <v>0.2</v>
      </c>
      <c r="C2607" s="10">
        <v>0.61299999999999999</v>
      </c>
      <c r="D2607" s="9" t="s">
        <v>1712</v>
      </c>
      <c r="E2607" s="11" t="s">
        <v>1713</v>
      </c>
      <c r="F2607" s="12" t="s">
        <v>1714</v>
      </c>
      <c r="G2607" s="9" t="s">
        <v>1709</v>
      </c>
    </row>
    <row r="2608" spans="1:7">
      <c r="A2608" s="9" t="s">
        <v>1711</v>
      </c>
      <c r="B2608" s="13">
        <v>0.2</v>
      </c>
      <c r="C2608" s="10">
        <v>0.61299999999999999</v>
      </c>
      <c r="D2608" s="9" t="s">
        <v>1712</v>
      </c>
      <c r="E2608" s="11" t="s">
        <v>1713</v>
      </c>
      <c r="F2608" s="12" t="s">
        <v>1714</v>
      </c>
      <c r="G2608" s="9" t="s">
        <v>1709</v>
      </c>
    </row>
    <row r="2609" spans="1:7">
      <c r="A2609" s="9" t="s">
        <v>1711</v>
      </c>
      <c r="B2609" s="13">
        <v>0.2</v>
      </c>
      <c r="C2609" s="10">
        <v>0.61299999999999999</v>
      </c>
      <c r="D2609" s="9" t="s">
        <v>1712</v>
      </c>
      <c r="E2609" s="11" t="s">
        <v>1713</v>
      </c>
      <c r="F2609" s="12" t="s">
        <v>1714</v>
      </c>
      <c r="G2609" s="9" t="s">
        <v>1709</v>
      </c>
    </row>
    <row r="2610" spans="1:7">
      <c r="A2610" s="9" t="s">
        <v>1711</v>
      </c>
      <c r="B2610" s="13">
        <v>0.2</v>
      </c>
      <c r="C2610" s="10">
        <v>0.61299999999999999</v>
      </c>
      <c r="D2610" s="9" t="s">
        <v>1712</v>
      </c>
      <c r="E2610" s="11" t="s">
        <v>1713</v>
      </c>
      <c r="F2610" s="12" t="s">
        <v>1714</v>
      </c>
      <c r="G2610" s="9" t="s">
        <v>1709</v>
      </c>
    </row>
    <row r="2611" spans="1:7">
      <c r="A2611" s="9" t="s">
        <v>1711</v>
      </c>
      <c r="B2611" s="9">
        <v>0.2</v>
      </c>
      <c r="C2611" s="10">
        <v>0.61299999999999999</v>
      </c>
      <c r="D2611" s="9" t="s">
        <v>1712</v>
      </c>
      <c r="E2611" s="11" t="s">
        <v>1713</v>
      </c>
      <c r="F2611" s="12" t="s">
        <v>1714</v>
      </c>
      <c r="G2611" s="9" t="s">
        <v>1709</v>
      </c>
    </row>
    <row r="2612" spans="1:7">
      <c r="A2612" s="9" t="s">
        <v>1711</v>
      </c>
      <c r="B2612" s="9">
        <v>0.2</v>
      </c>
      <c r="C2612" s="10">
        <v>2.5680000000000001</v>
      </c>
      <c r="D2612" s="9" t="s">
        <v>1712</v>
      </c>
      <c r="E2612" s="11" t="s">
        <v>1713</v>
      </c>
      <c r="F2612" s="12" t="s">
        <v>1714</v>
      </c>
      <c r="G2612" s="9" t="s">
        <v>1709</v>
      </c>
    </row>
    <row r="2613" spans="1:7">
      <c r="A2613" s="9" t="s">
        <v>1711</v>
      </c>
      <c r="B2613" s="9">
        <v>0.2</v>
      </c>
      <c r="C2613" s="10">
        <v>2.5680000000000001</v>
      </c>
      <c r="D2613" s="9" t="s">
        <v>1712</v>
      </c>
      <c r="E2613" s="11" t="s">
        <v>1713</v>
      </c>
      <c r="F2613" s="12" t="s">
        <v>1714</v>
      </c>
      <c r="G2613" s="9" t="s">
        <v>1709</v>
      </c>
    </row>
    <row r="2614" spans="1:7">
      <c r="A2614" s="9" t="s">
        <v>1711</v>
      </c>
      <c r="B2614" s="9">
        <v>0.2</v>
      </c>
      <c r="C2614" s="10">
        <v>-0.126</v>
      </c>
      <c r="D2614" s="9" t="s">
        <v>1709</v>
      </c>
      <c r="E2614" s="11" t="s">
        <v>1710</v>
      </c>
      <c r="F2614" s="12" t="s">
        <v>1710</v>
      </c>
      <c r="G2614" s="9" t="s">
        <v>1709</v>
      </c>
    </row>
    <row r="2615" spans="1:7">
      <c r="A2615" s="9" t="s">
        <v>1711</v>
      </c>
      <c r="B2615" s="9">
        <v>0.2</v>
      </c>
      <c r="C2615" s="10">
        <v>-0.126</v>
      </c>
      <c r="D2615" s="9" t="s">
        <v>1709</v>
      </c>
      <c r="E2615" s="11" t="s">
        <v>1710</v>
      </c>
      <c r="F2615" s="12" t="s">
        <v>1710</v>
      </c>
      <c r="G2615" s="9" t="s">
        <v>1709</v>
      </c>
    </row>
    <row r="2616" spans="1:7">
      <c r="A2616" s="9" t="s">
        <v>1711</v>
      </c>
      <c r="B2616" s="9">
        <v>0.2</v>
      </c>
      <c r="C2616" s="10">
        <v>0.115</v>
      </c>
      <c r="D2616" s="9" t="s">
        <v>1712</v>
      </c>
      <c r="E2616" s="11" t="s">
        <v>1738</v>
      </c>
      <c r="F2616" s="12" t="s">
        <v>1714</v>
      </c>
      <c r="G2616" s="9" t="s">
        <v>1709</v>
      </c>
    </row>
    <row r="2617" spans="1:7">
      <c r="A2617" s="9" t="s">
        <v>1711</v>
      </c>
      <c r="B2617" s="9">
        <v>0.2</v>
      </c>
      <c r="C2617" s="10">
        <v>0.79300000000000004</v>
      </c>
      <c r="D2617" s="9" t="s">
        <v>1712</v>
      </c>
      <c r="E2617" s="11" t="s">
        <v>1715</v>
      </c>
      <c r="F2617" s="12" t="s">
        <v>1714</v>
      </c>
      <c r="G2617" s="9" t="s">
        <v>1709</v>
      </c>
    </row>
    <row r="2618" spans="1:7">
      <c r="A2618" s="9" t="s">
        <v>1711</v>
      </c>
      <c r="B2618" s="9">
        <v>0.2</v>
      </c>
      <c r="C2618" s="10">
        <v>0.79300000000000004</v>
      </c>
      <c r="D2618" s="9" t="s">
        <v>1712</v>
      </c>
      <c r="E2618" s="11" t="s">
        <v>1715</v>
      </c>
      <c r="F2618" s="12" t="s">
        <v>1714</v>
      </c>
      <c r="G2618" s="9" t="s">
        <v>1709</v>
      </c>
    </row>
    <row r="2619" spans="1:7">
      <c r="A2619" s="9" t="s">
        <v>1711</v>
      </c>
      <c r="B2619" s="9">
        <v>0.2</v>
      </c>
      <c r="C2619" s="10">
        <v>0.79300000000000004</v>
      </c>
      <c r="D2619" s="9" t="s">
        <v>1712</v>
      </c>
      <c r="E2619" s="11" t="s">
        <v>1715</v>
      </c>
      <c r="F2619" s="12" t="s">
        <v>1714</v>
      </c>
      <c r="G2619" s="9" t="s">
        <v>1709</v>
      </c>
    </row>
    <row r="2620" spans="1:7">
      <c r="A2620" s="9" t="s">
        <v>1711</v>
      </c>
      <c r="B2620" s="9">
        <v>0.2</v>
      </c>
      <c r="C2620" s="10">
        <v>0.79300000000000004</v>
      </c>
      <c r="D2620" s="9" t="s">
        <v>1712</v>
      </c>
      <c r="E2620" s="11" t="s">
        <v>1715</v>
      </c>
      <c r="F2620" s="12" t="s">
        <v>1714</v>
      </c>
      <c r="G2620" s="9" t="s">
        <v>1709</v>
      </c>
    </row>
    <row r="2621" spans="1:7">
      <c r="A2621" s="9" t="s">
        <v>1711</v>
      </c>
      <c r="B2621" s="9">
        <v>0.2</v>
      </c>
      <c r="C2621" s="10">
        <v>-9.0999999999999998E-2</v>
      </c>
      <c r="D2621" s="9" t="s">
        <v>1709</v>
      </c>
      <c r="E2621" s="11" t="s">
        <v>1710</v>
      </c>
      <c r="F2621" s="12" t="s">
        <v>1710</v>
      </c>
      <c r="G2621" s="9" t="s">
        <v>1709</v>
      </c>
    </row>
    <row r="2622" spans="1:7">
      <c r="A2622" s="9" t="s">
        <v>1711</v>
      </c>
      <c r="B2622" s="9">
        <v>0.2</v>
      </c>
      <c r="C2622" s="10">
        <v>-9.0999999999999998E-2</v>
      </c>
      <c r="D2622" s="9" t="s">
        <v>1709</v>
      </c>
      <c r="E2622" s="11" t="s">
        <v>1710</v>
      </c>
      <c r="F2622" s="12" t="s">
        <v>1710</v>
      </c>
      <c r="G2622" s="9" t="s">
        <v>1709</v>
      </c>
    </row>
    <row r="2623" spans="1:7">
      <c r="A2623" s="9" t="s">
        <v>1711</v>
      </c>
      <c r="B2623" s="9">
        <v>0.2</v>
      </c>
      <c r="C2623" s="10">
        <v>7.2999999999999995E-2</v>
      </c>
      <c r="D2623" s="9" t="s">
        <v>1712</v>
      </c>
      <c r="E2623" s="11" t="s">
        <v>1737</v>
      </c>
      <c r="F2623" s="12" t="s">
        <v>1714</v>
      </c>
      <c r="G2623" s="9" t="s">
        <v>1709</v>
      </c>
    </row>
    <row r="2624" spans="1:7">
      <c r="A2624" s="9" t="s">
        <v>1711</v>
      </c>
      <c r="B2624" s="9">
        <v>0.2</v>
      </c>
      <c r="C2624" s="10">
        <v>0.52900000000000003</v>
      </c>
      <c r="D2624" s="9" t="s">
        <v>1712</v>
      </c>
      <c r="E2624" s="11" t="s">
        <v>1736</v>
      </c>
      <c r="F2624" s="12" t="s">
        <v>1714</v>
      </c>
      <c r="G2624" s="9" t="s">
        <v>1709</v>
      </c>
    </row>
    <row r="2625" spans="1:7">
      <c r="A2625" s="9" t="s">
        <v>1711</v>
      </c>
      <c r="B2625" s="9">
        <v>0.2</v>
      </c>
      <c r="C2625" s="10">
        <v>0.27900000000000003</v>
      </c>
      <c r="D2625" s="9" t="s">
        <v>1712</v>
      </c>
      <c r="E2625" s="11" t="s">
        <v>1736</v>
      </c>
      <c r="F2625" s="12" t="s">
        <v>1714</v>
      </c>
      <c r="G2625" s="9" t="s">
        <v>1709</v>
      </c>
    </row>
    <row r="2626" spans="1:7">
      <c r="A2626" s="9" t="s">
        <v>1711</v>
      </c>
      <c r="B2626" s="13">
        <v>0.2</v>
      </c>
      <c r="C2626" s="10">
        <v>0.67200000000000004</v>
      </c>
      <c r="D2626" s="9" t="s">
        <v>1712</v>
      </c>
      <c r="E2626" s="11" t="s">
        <v>1741</v>
      </c>
      <c r="F2626" s="12" t="s">
        <v>1714</v>
      </c>
      <c r="G2626" s="9" t="s">
        <v>1709</v>
      </c>
    </row>
    <row r="2627" spans="1:7">
      <c r="A2627" s="9" t="s">
        <v>1711</v>
      </c>
      <c r="B2627" s="9">
        <v>0.2</v>
      </c>
      <c r="C2627" s="10">
        <v>0.22600000000000001</v>
      </c>
      <c r="D2627" s="9" t="s">
        <v>1712</v>
      </c>
      <c r="E2627" s="11" t="s">
        <v>1738</v>
      </c>
      <c r="F2627" s="12" t="s">
        <v>1714</v>
      </c>
      <c r="G2627" s="9" t="s">
        <v>1709</v>
      </c>
    </row>
    <row r="2628" spans="1:7">
      <c r="A2628" s="9" t="s">
        <v>1711</v>
      </c>
      <c r="B2628" s="9">
        <v>0.2</v>
      </c>
      <c r="C2628" s="10">
        <v>1.2E-2</v>
      </c>
      <c r="D2628" s="9" t="s">
        <v>1712</v>
      </c>
      <c r="E2628" s="11" t="s">
        <v>1736</v>
      </c>
      <c r="F2628" s="12" t="s">
        <v>1714</v>
      </c>
      <c r="G2628" s="9" t="s">
        <v>1709</v>
      </c>
    </row>
    <row r="2629" spans="1:7">
      <c r="A2629" s="9" t="s">
        <v>1711</v>
      </c>
      <c r="B2629" s="9">
        <v>0.2</v>
      </c>
      <c r="C2629" s="10">
        <v>0.64100000000000001</v>
      </c>
      <c r="D2629" s="9" t="s">
        <v>1712</v>
      </c>
      <c r="E2629" s="11" t="s">
        <v>1713</v>
      </c>
      <c r="F2629" s="12" t="s">
        <v>1714</v>
      </c>
      <c r="G2629" s="9" t="s">
        <v>1709</v>
      </c>
    </row>
    <row r="2630" spans="1:7">
      <c r="A2630" s="9" t="s">
        <v>1711</v>
      </c>
      <c r="B2630" s="9">
        <v>0.2</v>
      </c>
      <c r="C2630" s="10">
        <v>0.27300000000000002</v>
      </c>
      <c r="D2630" s="9" t="s">
        <v>1712</v>
      </c>
      <c r="E2630" s="11" t="s">
        <v>1737</v>
      </c>
      <c r="F2630" s="12" t="s">
        <v>1714</v>
      </c>
      <c r="G2630" s="9" t="s">
        <v>1709</v>
      </c>
    </row>
    <row r="2631" spans="1:7">
      <c r="A2631" s="9" t="s">
        <v>1711</v>
      </c>
      <c r="B2631" s="9">
        <v>0.2</v>
      </c>
      <c r="C2631" s="10">
        <v>0.27300000000000002</v>
      </c>
      <c r="D2631" s="9" t="s">
        <v>1712</v>
      </c>
      <c r="E2631" s="11" t="s">
        <v>1737</v>
      </c>
      <c r="F2631" s="12" t="s">
        <v>1714</v>
      </c>
      <c r="G2631" s="9" t="s">
        <v>1709</v>
      </c>
    </row>
    <row r="2632" spans="1:7">
      <c r="A2632" s="9" t="s">
        <v>1711</v>
      </c>
      <c r="B2632" s="9">
        <v>0.2</v>
      </c>
      <c r="C2632" s="10">
        <v>0.27300000000000002</v>
      </c>
      <c r="D2632" s="9" t="s">
        <v>1712</v>
      </c>
      <c r="E2632" s="11" t="s">
        <v>1737</v>
      </c>
      <c r="F2632" s="12" t="s">
        <v>1714</v>
      </c>
      <c r="G2632" s="9" t="s">
        <v>1709</v>
      </c>
    </row>
    <row r="2633" spans="1:7">
      <c r="A2633" s="9" t="s">
        <v>1711</v>
      </c>
      <c r="B2633" s="9">
        <v>0.2</v>
      </c>
      <c r="C2633" s="10">
        <v>0.91900000000000004</v>
      </c>
      <c r="D2633" s="9" t="s">
        <v>1712</v>
      </c>
      <c r="E2633" s="11" t="s">
        <v>1738</v>
      </c>
      <c r="F2633" s="12" t="s">
        <v>1714</v>
      </c>
      <c r="G2633" s="9" t="s">
        <v>1709</v>
      </c>
    </row>
    <row r="2634" spans="1:7">
      <c r="A2634" s="9" t="s">
        <v>1711</v>
      </c>
      <c r="B2634" s="13">
        <v>0.2</v>
      </c>
      <c r="C2634" s="10">
        <v>2.7479999999999998</v>
      </c>
      <c r="D2634" s="9" t="s">
        <v>1712</v>
      </c>
      <c r="E2634" s="11" t="s">
        <v>1737</v>
      </c>
      <c r="F2634" s="12" t="s">
        <v>1714</v>
      </c>
      <c r="G2634" s="9" t="s">
        <v>1709</v>
      </c>
    </row>
    <row r="2635" spans="1:7">
      <c r="A2635" s="9" t="s">
        <v>1711</v>
      </c>
      <c r="B2635" s="13">
        <v>0.2</v>
      </c>
      <c r="C2635" s="10">
        <v>-9.9999999999999985E-3</v>
      </c>
      <c r="D2635" s="9" t="s">
        <v>1709</v>
      </c>
      <c r="E2635" s="11" t="s">
        <v>1710</v>
      </c>
      <c r="F2635" s="12" t="s">
        <v>1710</v>
      </c>
      <c r="G2635" s="9" t="s">
        <v>1709</v>
      </c>
    </row>
    <row r="2636" spans="1:7">
      <c r="A2636" s="9" t="s">
        <v>1711</v>
      </c>
      <c r="B2636" s="13">
        <v>0.2</v>
      </c>
      <c r="C2636" s="10">
        <v>0.10100000000000001</v>
      </c>
      <c r="D2636" s="9" t="s">
        <v>1712</v>
      </c>
      <c r="E2636" s="11" t="s">
        <v>1737</v>
      </c>
      <c r="F2636" s="12" t="s">
        <v>1714</v>
      </c>
      <c r="G2636" s="9" t="s">
        <v>1709</v>
      </c>
    </row>
    <row r="2637" spans="1:7">
      <c r="A2637" s="9" t="s">
        <v>1711</v>
      </c>
      <c r="B2637" s="13">
        <v>0.2</v>
      </c>
      <c r="C2637" s="10">
        <v>2.7479999999999998</v>
      </c>
      <c r="D2637" s="9" t="s">
        <v>1712</v>
      </c>
      <c r="E2637" s="11" t="s">
        <v>1737</v>
      </c>
      <c r="F2637" s="12" t="s">
        <v>1714</v>
      </c>
      <c r="G2637" s="9" t="s">
        <v>1709</v>
      </c>
    </row>
    <row r="2638" spans="1:7">
      <c r="A2638" s="9" t="s">
        <v>1711</v>
      </c>
      <c r="B2638" s="9">
        <v>0.2</v>
      </c>
      <c r="C2638" s="10">
        <v>1.222</v>
      </c>
      <c r="D2638" s="9" t="s">
        <v>1712</v>
      </c>
      <c r="E2638" s="11" t="s">
        <v>1737</v>
      </c>
      <c r="F2638" s="12" t="s">
        <v>1714</v>
      </c>
      <c r="G2638" s="9" t="s">
        <v>1709</v>
      </c>
    </row>
    <row r="2639" spans="1:7">
      <c r="A2639" s="9" t="s">
        <v>1711</v>
      </c>
      <c r="B2639" s="9">
        <v>0.2</v>
      </c>
      <c r="C2639" s="10">
        <v>1.222</v>
      </c>
      <c r="D2639" s="9" t="s">
        <v>1712</v>
      </c>
      <c r="E2639" s="11" t="s">
        <v>1737</v>
      </c>
      <c r="F2639" s="12" t="s">
        <v>1714</v>
      </c>
      <c r="G2639" s="9" t="s">
        <v>1709</v>
      </c>
    </row>
    <row r="2640" spans="1:7">
      <c r="A2640" s="9" t="s">
        <v>1711</v>
      </c>
      <c r="B2640" s="9">
        <v>0.2</v>
      </c>
      <c r="C2640" s="10">
        <v>1.222</v>
      </c>
      <c r="D2640" s="9" t="s">
        <v>1712</v>
      </c>
      <c r="E2640" s="11" t="s">
        <v>1737</v>
      </c>
      <c r="F2640" s="12" t="s">
        <v>1714</v>
      </c>
      <c r="G2640" s="9" t="s">
        <v>1709</v>
      </c>
    </row>
    <row r="2641" spans="1:7">
      <c r="A2641" s="9" t="s">
        <v>1711</v>
      </c>
      <c r="B2641" s="9">
        <v>0.2</v>
      </c>
      <c r="C2641" s="10">
        <v>-8.3000000000000004E-2</v>
      </c>
      <c r="D2641" s="9" t="s">
        <v>1709</v>
      </c>
      <c r="E2641" s="11" t="s">
        <v>1710</v>
      </c>
      <c r="F2641" s="12" t="s">
        <v>1710</v>
      </c>
      <c r="G2641" s="9" t="s">
        <v>1709</v>
      </c>
    </row>
    <row r="2642" spans="1:7">
      <c r="A2642" s="9" t="s">
        <v>1711</v>
      </c>
      <c r="B2642" s="9">
        <v>0.2</v>
      </c>
      <c r="C2642" s="10">
        <v>-0.19400000000000001</v>
      </c>
      <c r="D2642" s="9" t="s">
        <v>1709</v>
      </c>
      <c r="E2642" s="11" t="s">
        <v>1710</v>
      </c>
      <c r="F2642" s="12" t="s">
        <v>1710</v>
      </c>
      <c r="G2642" s="9" t="s">
        <v>1709</v>
      </c>
    </row>
    <row r="2643" spans="1:7">
      <c r="A2643" s="9" t="s">
        <v>1711</v>
      </c>
      <c r="B2643" s="9">
        <v>0.2</v>
      </c>
      <c r="C2643" s="10">
        <v>0.73899999999999999</v>
      </c>
      <c r="D2643" s="9" t="s">
        <v>1712</v>
      </c>
      <c r="E2643" s="11" t="s">
        <v>1738</v>
      </c>
      <c r="F2643" s="12" t="s">
        <v>1714</v>
      </c>
      <c r="G2643" s="9" t="s">
        <v>1709</v>
      </c>
    </row>
    <row r="2644" spans="1:7">
      <c r="A2644" s="9" t="s">
        <v>1711</v>
      </c>
      <c r="B2644" s="9">
        <v>0.2</v>
      </c>
      <c r="C2644" s="10">
        <v>0.82499999999999996</v>
      </c>
      <c r="D2644" s="9" t="s">
        <v>1712</v>
      </c>
      <c r="E2644" s="11" t="s">
        <v>1738</v>
      </c>
      <c r="F2644" s="12" t="s">
        <v>1714</v>
      </c>
      <c r="G2644" s="9" t="s">
        <v>1709</v>
      </c>
    </row>
    <row r="2645" spans="1:7">
      <c r="A2645" s="9" t="s">
        <v>1711</v>
      </c>
      <c r="B2645" s="13">
        <v>0.2</v>
      </c>
      <c r="C2645" s="10">
        <v>0.86099999999999999</v>
      </c>
      <c r="D2645" s="9" t="s">
        <v>1712</v>
      </c>
      <c r="E2645" s="11" t="s">
        <v>1738</v>
      </c>
      <c r="F2645" s="12" t="s">
        <v>1714</v>
      </c>
      <c r="G2645" s="9" t="s">
        <v>1709</v>
      </c>
    </row>
    <row r="2646" spans="1:7">
      <c r="A2646" s="9" t="s">
        <v>1711</v>
      </c>
      <c r="B2646" s="13">
        <v>0.2</v>
      </c>
      <c r="C2646" s="10">
        <v>1.333</v>
      </c>
      <c r="D2646" s="9" t="s">
        <v>1712</v>
      </c>
      <c r="E2646" s="11" t="s">
        <v>1738</v>
      </c>
      <c r="F2646" s="12" t="s">
        <v>1714</v>
      </c>
      <c r="G2646" s="9" t="s">
        <v>1709</v>
      </c>
    </row>
    <row r="2647" spans="1:7">
      <c r="A2647" s="9" t="s">
        <v>1711</v>
      </c>
      <c r="B2647" s="13">
        <v>0.2</v>
      </c>
      <c r="C2647" s="10">
        <v>0.67200000000000004</v>
      </c>
      <c r="D2647" s="9" t="s">
        <v>1712</v>
      </c>
      <c r="E2647" s="11" t="s">
        <v>1738</v>
      </c>
      <c r="F2647" s="12" t="s">
        <v>1714</v>
      </c>
      <c r="G2647" s="9" t="s">
        <v>1709</v>
      </c>
    </row>
    <row r="2648" spans="1:7">
      <c r="A2648" s="9" t="s">
        <v>1711</v>
      </c>
      <c r="B2648" s="13">
        <v>0.2</v>
      </c>
      <c r="C2648" s="10">
        <v>0.67200000000000004</v>
      </c>
      <c r="D2648" s="9" t="s">
        <v>1712</v>
      </c>
      <c r="E2648" s="11" t="s">
        <v>1738</v>
      </c>
      <c r="F2648" s="12" t="s">
        <v>1714</v>
      </c>
      <c r="G2648" s="9" t="s">
        <v>1709</v>
      </c>
    </row>
    <row r="2649" spans="1:7">
      <c r="A2649" s="9" t="s">
        <v>1711</v>
      </c>
      <c r="B2649" s="9">
        <v>0.2</v>
      </c>
      <c r="C2649" s="10">
        <v>0.17799999999999999</v>
      </c>
      <c r="D2649" s="9" t="s">
        <v>1712</v>
      </c>
      <c r="E2649" s="11" t="s">
        <v>1736</v>
      </c>
      <c r="F2649" s="12" t="s">
        <v>1714</v>
      </c>
      <c r="G2649" s="9" t="s">
        <v>1709</v>
      </c>
    </row>
    <row r="2650" spans="1:7">
      <c r="A2650" s="9" t="s">
        <v>1711</v>
      </c>
      <c r="B2650" s="9">
        <v>0.2</v>
      </c>
      <c r="C2650" s="10">
        <v>0.77500000000000002</v>
      </c>
      <c r="D2650" s="9" t="s">
        <v>1712</v>
      </c>
      <c r="E2650" s="11" t="s">
        <v>1736</v>
      </c>
      <c r="F2650" s="12" t="s">
        <v>1714</v>
      </c>
      <c r="G2650" s="9" t="s">
        <v>1709</v>
      </c>
    </row>
    <row r="2651" spans="1:7">
      <c r="A2651" s="9" t="s">
        <v>1711</v>
      </c>
      <c r="B2651" s="9">
        <v>0.2</v>
      </c>
      <c r="C2651" s="10">
        <v>0.17799999999999999</v>
      </c>
      <c r="D2651" s="9" t="s">
        <v>1712</v>
      </c>
      <c r="E2651" s="11" t="s">
        <v>1713</v>
      </c>
      <c r="F2651" s="12" t="s">
        <v>1714</v>
      </c>
      <c r="G2651" s="9" t="s">
        <v>1709</v>
      </c>
    </row>
    <row r="2652" spans="1:7">
      <c r="A2652" s="9" t="s">
        <v>1711</v>
      </c>
      <c r="B2652" s="9">
        <v>0.2</v>
      </c>
      <c r="C2652" s="10">
        <v>2.3E-2</v>
      </c>
      <c r="D2652" s="9" t="s">
        <v>1712</v>
      </c>
      <c r="E2652" s="11" t="s">
        <v>1736</v>
      </c>
      <c r="F2652" s="12" t="s">
        <v>1714</v>
      </c>
      <c r="G2652" s="9" t="s">
        <v>1709</v>
      </c>
    </row>
    <row r="2653" spans="1:7">
      <c r="A2653" s="9" t="s">
        <v>1711</v>
      </c>
      <c r="B2653" s="9">
        <v>0.2</v>
      </c>
      <c r="C2653" s="10">
        <v>1.7919999999999998</v>
      </c>
      <c r="D2653" s="9" t="s">
        <v>1712</v>
      </c>
      <c r="E2653" s="11" t="s">
        <v>1736</v>
      </c>
      <c r="F2653" s="12" t="s">
        <v>1714</v>
      </c>
      <c r="G2653" s="9" t="s">
        <v>1709</v>
      </c>
    </row>
    <row r="2654" spans="1:7">
      <c r="A2654" s="9" t="s">
        <v>1711</v>
      </c>
      <c r="B2654" s="9">
        <v>0.2</v>
      </c>
      <c r="C2654" s="10">
        <v>1.7919999999999998</v>
      </c>
      <c r="D2654" s="9" t="s">
        <v>1712</v>
      </c>
      <c r="E2654" s="11" t="s">
        <v>1736</v>
      </c>
      <c r="F2654" s="12" t="s">
        <v>1714</v>
      </c>
      <c r="G2654" s="9" t="s">
        <v>1709</v>
      </c>
    </row>
    <row r="2655" spans="1:7">
      <c r="A2655" s="9" t="s">
        <v>1711</v>
      </c>
      <c r="B2655" s="9">
        <v>0.2</v>
      </c>
      <c r="C2655" s="10">
        <v>0.93</v>
      </c>
      <c r="D2655" s="9" t="s">
        <v>1712</v>
      </c>
      <c r="E2655" s="11" t="s">
        <v>1736</v>
      </c>
      <c r="F2655" s="12" t="s">
        <v>1714</v>
      </c>
      <c r="G2655" s="9" t="s">
        <v>1709</v>
      </c>
    </row>
    <row r="2656" spans="1:7">
      <c r="A2656" s="9" t="s">
        <v>1711</v>
      </c>
      <c r="B2656" s="9">
        <v>0.2</v>
      </c>
      <c r="C2656" s="10">
        <v>7.0000000000000001E-3</v>
      </c>
      <c r="D2656" s="9" t="s">
        <v>1712</v>
      </c>
      <c r="E2656" s="11" t="s">
        <v>1736</v>
      </c>
      <c r="F2656" s="12" t="s">
        <v>1714</v>
      </c>
      <c r="G2656" s="9" t="s">
        <v>1709</v>
      </c>
    </row>
    <row r="2657" spans="1:7">
      <c r="A2657" s="9" t="s">
        <v>1711</v>
      </c>
      <c r="B2657" s="9">
        <v>0.2</v>
      </c>
      <c r="C2657" s="10">
        <v>0.89800000000000002</v>
      </c>
      <c r="D2657" s="9" t="s">
        <v>1712</v>
      </c>
      <c r="E2657" s="11" t="s">
        <v>1713</v>
      </c>
      <c r="F2657" s="12" t="s">
        <v>1714</v>
      </c>
      <c r="G2657" s="9" t="s">
        <v>1709</v>
      </c>
    </row>
    <row r="2658" spans="1:7">
      <c r="A2658" s="9" t="s">
        <v>1711</v>
      </c>
      <c r="B2658" s="9">
        <v>0.2</v>
      </c>
      <c r="C2658" s="10">
        <v>9.1999999999999998E-2</v>
      </c>
      <c r="D2658" s="9" t="s">
        <v>1712</v>
      </c>
      <c r="E2658" s="11" t="s">
        <v>1736</v>
      </c>
      <c r="F2658" s="12" t="s">
        <v>1714</v>
      </c>
      <c r="G2658" s="9" t="s">
        <v>1709</v>
      </c>
    </row>
    <row r="2659" spans="1:7">
      <c r="A2659" s="9" t="s">
        <v>1711</v>
      </c>
      <c r="B2659" s="9">
        <v>0.2</v>
      </c>
      <c r="C2659" s="10">
        <v>-7.1000000000000008E-2</v>
      </c>
      <c r="D2659" s="9" t="s">
        <v>1709</v>
      </c>
      <c r="E2659" s="11" t="s">
        <v>1710</v>
      </c>
      <c r="F2659" s="12" t="s">
        <v>1710</v>
      </c>
      <c r="G2659" s="9" t="s">
        <v>1709</v>
      </c>
    </row>
    <row r="2660" spans="1:7">
      <c r="A2660" s="9" t="s">
        <v>1711</v>
      </c>
      <c r="B2660" s="9">
        <v>0.2</v>
      </c>
      <c r="C2660" s="10">
        <v>0.13</v>
      </c>
      <c r="D2660" s="9" t="s">
        <v>1712</v>
      </c>
      <c r="E2660" s="11" t="s">
        <v>1713</v>
      </c>
      <c r="F2660" s="12" t="s">
        <v>1714</v>
      </c>
      <c r="G2660" s="9" t="s">
        <v>1709</v>
      </c>
    </row>
    <row r="2661" spans="1:7">
      <c r="A2661" s="9" t="s">
        <v>1711</v>
      </c>
      <c r="B2661" s="9">
        <v>0.2</v>
      </c>
      <c r="C2661" s="10">
        <v>0.56899999999999995</v>
      </c>
      <c r="D2661" s="9" t="s">
        <v>1712</v>
      </c>
      <c r="E2661" s="11" t="s">
        <v>1713</v>
      </c>
      <c r="F2661" s="12" t="s">
        <v>1714</v>
      </c>
      <c r="G2661" s="9" t="s">
        <v>1709</v>
      </c>
    </row>
    <row r="2662" spans="1:7">
      <c r="A2662" s="9" t="s">
        <v>1711</v>
      </c>
      <c r="B2662" s="9">
        <v>0.2</v>
      </c>
      <c r="C2662" s="10">
        <v>0.79800000000000004</v>
      </c>
      <c r="D2662" s="9" t="s">
        <v>1712</v>
      </c>
      <c r="E2662" s="11" t="s">
        <v>1738</v>
      </c>
      <c r="F2662" s="12" t="s">
        <v>1714</v>
      </c>
      <c r="G2662" s="9" t="s">
        <v>1709</v>
      </c>
    </row>
    <row r="2663" spans="1:7">
      <c r="A2663" s="9" t="s">
        <v>1711</v>
      </c>
      <c r="B2663" s="9">
        <v>0.2</v>
      </c>
      <c r="C2663" s="10">
        <v>0.79800000000000004</v>
      </c>
      <c r="D2663" s="9" t="s">
        <v>1712</v>
      </c>
      <c r="E2663" s="11" t="s">
        <v>1713</v>
      </c>
      <c r="F2663" s="12" t="s">
        <v>1714</v>
      </c>
      <c r="G2663" s="9" t="s">
        <v>1709</v>
      </c>
    </row>
    <row r="2664" spans="1:7">
      <c r="A2664" s="9" t="s">
        <v>1711</v>
      </c>
      <c r="B2664" s="13">
        <v>0.2</v>
      </c>
      <c r="C2664" s="10">
        <v>0.79800000000000004</v>
      </c>
      <c r="D2664" s="9" t="s">
        <v>1712</v>
      </c>
      <c r="E2664" s="11" t="s">
        <v>1713</v>
      </c>
      <c r="F2664" s="12" t="s">
        <v>1714</v>
      </c>
      <c r="G2664" s="9" t="s">
        <v>1709</v>
      </c>
    </row>
    <row r="2665" spans="1:7">
      <c r="A2665" s="9" t="s">
        <v>1711</v>
      </c>
      <c r="B2665" s="13">
        <v>0.2</v>
      </c>
      <c r="C2665" s="10">
        <v>0.19800000000000001</v>
      </c>
      <c r="D2665" s="9" t="s">
        <v>1712</v>
      </c>
      <c r="E2665" s="11" t="s">
        <v>1736</v>
      </c>
      <c r="F2665" s="12" t="s">
        <v>1714</v>
      </c>
      <c r="G2665" s="9" t="s">
        <v>1709</v>
      </c>
    </row>
    <row r="2666" spans="1:7">
      <c r="A2666" s="9" t="s">
        <v>1711</v>
      </c>
      <c r="B2666" s="13">
        <v>0.2</v>
      </c>
      <c r="C2666" s="10">
        <v>1.819</v>
      </c>
      <c r="D2666" s="9" t="s">
        <v>1712</v>
      </c>
      <c r="E2666" s="11" t="s">
        <v>1736</v>
      </c>
      <c r="F2666" s="12" t="s">
        <v>1714</v>
      </c>
      <c r="G2666" s="9" t="s">
        <v>1709</v>
      </c>
    </row>
    <row r="2667" spans="1:7">
      <c r="A2667" s="9" t="s">
        <v>1711</v>
      </c>
      <c r="B2667" s="13">
        <v>0.2</v>
      </c>
      <c r="C2667" s="10">
        <v>1.819</v>
      </c>
      <c r="D2667" s="9" t="s">
        <v>1712</v>
      </c>
      <c r="E2667" s="11" t="s">
        <v>1736</v>
      </c>
      <c r="F2667" s="12" t="s">
        <v>1714</v>
      </c>
      <c r="G2667" s="9" t="s">
        <v>1709</v>
      </c>
    </row>
    <row r="2668" spans="1:7">
      <c r="A2668" s="9" t="s">
        <v>1711</v>
      </c>
      <c r="B2668" s="13">
        <v>0.2</v>
      </c>
      <c r="C2668" s="10">
        <v>1.819</v>
      </c>
      <c r="D2668" s="9" t="s">
        <v>1712</v>
      </c>
      <c r="E2668" s="11" t="s">
        <v>1736</v>
      </c>
      <c r="F2668" s="12" t="s">
        <v>1714</v>
      </c>
      <c r="G2668" s="9" t="s">
        <v>1709</v>
      </c>
    </row>
    <row r="2669" spans="1:7">
      <c r="A2669" s="9" t="s">
        <v>1711</v>
      </c>
      <c r="B2669" s="13">
        <v>0.2</v>
      </c>
      <c r="C2669" s="10">
        <v>-0.183</v>
      </c>
      <c r="D2669" s="9" t="s">
        <v>1709</v>
      </c>
      <c r="E2669" s="11" t="s">
        <v>1710</v>
      </c>
      <c r="F2669" s="12" t="s">
        <v>1710</v>
      </c>
      <c r="G2669" s="9" t="s">
        <v>1709</v>
      </c>
    </row>
    <row r="2670" spans="1:7">
      <c r="A2670" s="9" t="s">
        <v>1711</v>
      </c>
      <c r="B2670" s="13">
        <v>0.2</v>
      </c>
      <c r="C2670" s="10">
        <v>-0.104</v>
      </c>
      <c r="D2670" s="9" t="s">
        <v>1709</v>
      </c>
      <c r="E2670" s="11" t="s">
        <v>1710</v>
      </c>
      <c r="F2670" s="12" t="s">
        <v>1710</v>
      </c>
      <c r="G2670" s="9" t="s">
        <v>1709</v>
      </c>
    </row>
    <row r="2671" spans="1:7">
      <c r="A2671" s="9" t="s">
        <v>1711</v>
      </c>
      <c r="B2671" s="9">
        <v>0.2</v>
      </c>
      <c r="C2671" s="10">
        <v>-8.4000000000000005E-2</v>
      </c>
      <c r="D2671" s="9" t="s">
        <v>1709</v>
      </c>
      <c r="E2671" s="11" t="s">
        <v>1710</v>
      </c>
      <c r="F2671" s="12" t="s">
        <v>1710</v>
      </c>
      <c r="G2671" s="9" t="s">
        <v>1709</v>
      </c>
    </row>
    <row r="2672" spans="1:7">
      <c r="A2672" s="9" t="s">
        <v>1711</v>
      </c>
      <c r="B2672" s="9">
        <v>0.2</v>
      </c>
      <c r="C2672" s="10">
        <v>-4.1000000000000002E-2</v>
      </c>
      <c r="D2672" s="9" t="s">
        <v>1709</v>
      </c>
      <c r="E2672" s="11" t="s">
        <v>1710</v>
      </c>
      <c r="F2672" s="12" t="s">
        <v>1710</v>
      </c>
      <c r="G2672" s="9" t="s">
        <v>1709</v>
      </c>
    </row>
    <row r="2673" spans="1:7">
      <c r="A2673" s="9" t="s">
        <v>1711</v>
      </c>
      <c r="B2673" s="13">
        <v>0.2</v>
      </c>
      <c r="C2673" s="10">
        <v>-9.0999999999999998E-2</v>
      </c>
      <c r="D2673" s="9" t="s">
        <v>1709</v>
      </c>
      <c r="E2673" s="11" t="s">
        <v>1710</v>
      </c>
      <c r="F2673" s="12" t="s">
        <v>1710</v>
      </c>
      <c r="G2673" s="9" t="s">
        <v>1709</v>
      </c>
    </row>
    <row r="2674" spans="1:7">
      <c r="A2674" s="9" t="s">
        <v>1711</v>
      </c>
      <c r="B2674" s="9">
        <v>0.2</v>
      </c>
      <c r="C2674" s="10">
        <v>-3.0000000000000002E-2</v>
      </c>
      <c r="D2674" s="9" t="s">
        <v>1709</v>
      </c>
      <c r="E2674" s="11" t="s">
        <v>1710</v>
      </c>
      <c r="F2674" s="12" t="s">
        <v>1710</v>
      </c>
      <c r="G2674" s="9" t="s">
        <v>1709</v>
      </c>
    </row>
    <row r="2675" spans="1:7">
      <c r="A2675" s="9" t="s">
        <v>1711</v>
      </c>
      <c r="B2675" s="9">
        <v>0.2</v>
      </c>
      <c r="C2675" s="10">
        <v>-3.0000000000000002E-2</v>
      </c>
      <c r="D2675" s="9" t="s">
        <v>1709</v>
      </c>
      <c r="E2675" s="11" t="s">
        <v>1710</v>
      </c>
      <c r="F2675" s="12" t="s">
        <v>1710</v>
      </c>
      <c r="G2675" s="9" t="s">
        <v>1709</v>
      </c>
    </row>
    <row r="2676" spans="1:7">
      <c r="A2676" s="9" t="s">
        <v>1711</v>
      </c>
      <c r="B2676" s="9">
        <v>0.2</v>
      </c>
      <c r="C2676" s="10">
        <v>0.79900000000000004</v>
      </c>
      <c r="D2676" s="9" t="s">
        <v>1712</v>
      </c>
      <c r="E2676" s="11" t="s">
        <v>1737</v>
      </c>
      <c r="F2676" s="12" t="s">
        <v>1714</v>
      </c>
      <c r="G2676" s="9" t="s">
        <v>1709</v>
      </c>
    </row>
    <row r="2677" spans="1:7">
      <c r="A2677" s="9" t="s">
        <v>1711</v>
      </c>
      <c r="B2677" s="9">
        <v>0.2</v>
      </c>
      <c r="C2677" s="10">
        <v>0.79900000000000004</v>
      </c>
      <c r="D2677" s="9" t="s">
        <v>1712</v>
      </c>
      <c r="E2677" s="11" t="s">
        <v>1737</v>
      </c>
      <c r="F2677" s="12" t="s">
        <v>1714</v>
      </c>
      <c r="G2677" s="9" t="s">
        <v>1709</v>
      </c>
    </row>
    <row r="2678" spans="1:7">
      <c r="A2678" s="9" t="s">
        <v>1711</v>
      </c>
      <c r="B2678" s="9">
        <v>0.2</v>
      </c>
      <c r="C2678" s="10">
        <v>0.79900000000000004</v>
      </c>
      <c r="D2678" s="9" t="s">
        <v>1712</v>
      </c>
      <c r="E2678" s="11" t="s">
        <v>1737</v>
      </c>
      <c r="F2678" s="12" t="s">
        <v>1714</v>
      </c>
      <c r="G2678" s="9" t="s">
        <v>1709</v>
      </c>
    </row>
    <row r="2679" spans="1:7">
      <c r="A2679" s="9" t="s">
        <v>1711</v>
      </c>
      <c r="B2679" s="9">
        <v>0.2</v>
      </c>
      <c r="C2679" s="10">
        <v>1.4999999999999999E-2</v>
      </c>
      <c r="D2679" s="9" t="s">
        <v>1712</v>
      </c>
      <c r="E2679" s="11" t="s">
        <v>1737</v>
      </c>
      <c r="F2679" s="12" t="s">
        <v>1714</v>
      </c>
      <c r="G2679" s="9" t="s">
        <v>1709</v>
      </c>
    </row>
    <row r="2680" spans="1:7">
      <c r="A2680" s="9" t="s">
        <v>1711</v>
      </c>
      <c r="B2680" s="9">
        <v>0.2</v>
      </c>
      <c r="C2680" s="10">
        <v>1.607</v>
      </c>
      <c r="D2680" s="9" t="s">
        <v>1712</v>
      </c>
      <c r="E2680" s="11" t="s">
        <v>1738</v>
      </c>
      <c r="F2680" s="12" t="s">
        <v>1714</v>
      </c>
      <c r="G2680" s="9" t="s">
        <v>1709</v>
      </c>
    </row>
    <row r="2681" spans="1:7">
      <c r="A2681" s="9" t="s">
        <v>1711</v>
      </c>
      <c r="B2681" s="9">
        <v>0.2</v>
      </c>
      <c r="C2681" s="10">
        <v>0.76600000000000001</v>
      </c>
      <c r="D2681" s="9" t="s">
        <v>1712</v>
      </c>
      <c r="E2681" s="11" t="s">
        <v>1737</v>
      </c>
      <c r="F2681" s="12" t="s">
        <v>1714</v>
      </c>
      <c r="G2681" s="9" t="s">
        <v>1709</v>
      </c>
    </row>
    <row r="2682" spans="1:7">
      <c r="A2682" s="9" t="s">
        <v>1711</v>
      </c>
      <c r="B2682" s="9">
        <v>0.2</v>
      </c>
      <c r="C2682" s="10">
        <v>0.77600000000000002</v>
      </c>
      <c r="D2682" s="9" t="s">
        <v>1712</v>
      </c>
      <c r="E2682" s="11" t="s">
        <v>1737</v>
      </c>
      <c r="F2682" s="12" t="s">
        <v>1714</v>
      </c>
      <c r="G2682" s="9" t="s">
        <v>1709</v>
      </c>
    </row>
    <row r="2683" spans="1:7">
      <c r="A2683" s="9" t="s">
        <v>1711</v>
      </c>
      <c r="B2683" s="9">
        <v>0.2</v>
      </c>
      <c r="C2683" s="10">
        <v>0.77500000000000002</v>
      </c>
      <c r="D2683" s="9" t="s">
        <v>1712</v>
      </c>
      <c r="E2683" s="11" t="s">
        <v>1737</v>
      </c>
      <c r="F2683" s="12" t="s">
        <v>1714</v>
      </c>
      <c r="G2683" s="9" t="s">
        <v>1709</v>
      </c>
    </row>
    <row r="2684" spans="1:7">
      <c r="A2684" s="9" t="s">
        <v>1711</v>
      </c>
      <c r="B2684" s="9">
        <v>0.2</v>
      </c>
      <c r="C2684" s="10">
        <v>-9.9999999999999985E-3</v>
      </c>
      <c r="D2684" s="9" t="s">
        <v>1709</v>
      </c>
      <c r="E2684" s="11" t="s">
        <v>1710</v>
      </c>
      <c r="F2684" s="12" t="s">
        <v>1710</v>
      </c>
      <c r="G2684" s="9" t="s">
        <v>1709</v>
      </c>
    </row>
    <row r="2685" spans="1:7">
      <c r="A2685" s="9" t="s">
        <v>1711</v>
      </c>
      <c r="B2685" s="9">
        <v>0.2</v>
      </c>
      <c r="C2685" s="10">
        <v>7.0000000000000007E-2</v>
      </c>
      <c r="D2685" s="9" t="s">
        <v>1712</v>
      </c>
      <c r="E2685" s="11" t="s">
        <v>1737</v>
      </c>
      <c r="F2685" s="12" t="s">
        <v>1714</v>
      </c>
      <c r="G2685" s="9" t="s">
        <v>1709</v>
      </c>
    </row>
    <row r="2686" spans="1:7">
      <c r="A2686" s="9" t="s">
        <v>1711</v>
      </c>
      <c r="B2686" s="9">
        <v>0.2</v>
      </c>
      <c r="C2686" s="10">
        <v>1.601</v>
      </c>
      <c r="D2686" s="9" t="s">
        <v>1712</v>
      </c>
      <c r="E2686" s="11" t="s">
        <v>1737</v>
      </c>
      <c r="F2686" s="12" t="s">
        <v>1714</v>
      </c>
      <c r="G2686" s="9" t="s">
        <v>1709</v>
      </c>
    </row>
    <row r="2687" spans="1:7">
      <c r="A2687" s="9" t="s">
        <v>1711</v>
      </c>
      <c r="B2687" s="9">
        <v>0.2</v>
      </c>
      <c r="C2687" s="10">
        <v>1.601</v>
      </c>
      <c r="D2687" s="9" t="s">
        <v>1712</v>
      </c>
      <c r="E2687" s="11" t="s">
        <v>1737</v>
      </c>
      <c r="F2687" s="12" t="s">
        <v>1714</v>
      </c>
      <c r="G2687" s="9" t="s">
        <v>1709</v>
      </c>
    </row>
    <row r="2688" spans="1:7">
      <c r="A2688" s="9" t="s">
        <v>1711</v>
      </c>
      <c r="B2688" s="9">
        <v>0.2</v>
      </c>
      <c r="C2688" s="10">
        <v>1.601</v>
      </c>
      <c r="D2688" s="9" t="s">
        <v>1712</v>
      </c>
      <c r="E2688" s="11" t="s">
        <v>1737</v>
      </c>
      <c r="F2688" s="12" t="s">
        <v>1714</v>
      </c>
      <c r="G2688" s="9" t="s">
        <v>1709</v>
      </c>
    </row>
    <row r="2689" spans="1:7">
      <c r="A2689" s="9" t="s">
        <v>1711</v>
      </c>
      <c r="B2689" s="9">
        <v>0.2</v>
      </c>
      <c r="C2689" s="10">
        <v>1.601</v>
      </c>
      <c r="D2689" s="9" t="s">
        <v>1712</v>
      </c>
      <c r="E2689" s="11" t="s">
        <v>1737</v>
      </c>
      <c r="F2689" s="12" t="s">
        <v>1714</v>
      </c>
      <c r="G2689" s="9" t="s">
        <v>1709</v>
      </c>
    </row>
    <row r="2690" spans="1:7">
      <c r="A2690" s="9" t="s">
        <v>1711</v>
      </c>
      <c r="B2690" s="9">
        <v>0.2</v>
      </c>
      <c r="C2690" s="10">
        <v>1.601</v>
      </c>
      <c r="D2690" s="9" t="s">
        <v>1712</v>
      </c>
      <c r="E2690" s="11" t="s">
        <v>1737</v>
      </c>
      <c r="F2690" s="12" t="s">
        <v>1714</v>
      </c>
      <c r="G2690" s="9" t="s">
        <v>1709</v>
      </c>
    </row>
    <row r="2691" spans="1:7">
      <c r="A2691" s="9" t="s">
        <v>1711</v>
      </c>
      <c r="B2691" s="9">
        <v>0.2</v>
      </c>
      <c r="C2691" s="10">
        <v>1.601</v>
      </c>
      <c r="D2691" s="9" t="s">
        <v>1712</v>
      </c>
      <c r="E2691" s="11" t="s">
        <v>1737</v>
      </c>
      <c r="F2691" s="12" t="s">
        <v>1714</v>
      </c>
      <c r="G2691" s="9" t="s">
        <v>1709</v>
      </c>
    </row>
    <row r="2692" spans="1:7">
      <c r="A2692" s="9" t="s">
        <v>1711</v>
      </c>
      <c r="B2692" s="9">
        <v>0.2</v>
      </c>
      <c r="C2692" s="10">
        <v>-7.2999999999999995E-2</v>
      </c>
      <c r="D2692" s="9" t="s">
        <v>1709</v>
      </c>
      <c r="E2692" s="11" t="s">
        <v>1710</v>
      </c>
      <c r="F2692" s="12" t="s">
        <v>1710</v>
      </c>
      <c r="G2692" s="9" t="s">
        <v>1709</v>
      </c>
    </row>
    <row r="2693" spans="1:7">
      <c r="A2693" s="9" t="s">
        <v>1711</v>
      </c>
      <c r="B2693" s="9">
        <v>0.2</v>
      </c>
      <c r="C2693" s="10">
        <v>0.13100000000000001</v>
      </c>
      <c r="D2693" s="9" t="s">
        <v>1712</v>
      </c>
      <c r="E2693" s="11" t="s">
        <v>1738</v>
      </c>
      <c r="F2693" s="12" t="s">
        <v>1714</v>
      </c>
      <c r="G2693" s="9" t="s">
        <v>1709</v>
      </c>
    </row>
    <row r="2694" spans="1:7">
      <c r="A2694" s="9" t="s">
        <v>1711</v>
      </c>
      <c r="B2694" s="13">
        <v>0.2</v>
      </c>
      <c r="C2694" s="10">
        <v>-6.4000000000000001E-2</v>
      </c>
      <c r="D2694" s="9" t="s">
        <v>1709</v>
      </c>
      <c r="E2694" s="11" t="s">
        <v>1710</v>
      </c>
      <c r="F2694" s="12" t="s">
        <v>1710</v>
      </c>
      <c r="G2694" s="9" t="s">
        <v>1709</v>
      </c>
    </row>
    <row r="2695" spans="1:7">
      <c r="A2695" s="9" t="s">
        <v>1711</v>
      </c>
      <c r="B2695" s="9">
        <v>0.2</v>
      </c>
      <c r="C2695" s="10">
        <v>0.13700000000000001</v>
      </c>
      <c r="D2695" s="9" t="s">
        <v>1712</v>
      </c>
      <c r="E2695" s="11" t="s">
        <v>1715</v>
      </c>
      <c r="F2695" s="12" t="s">
        <v>1714</v>
      </c>
      <c r="G2695" s="9" t="s">
        <v>1709</v>
      </c>
    </row>
    <row r="2696" spans="1:7">
      <c r="A2696" s="9" t="s">
        <v>1711</v>
      </c>
      <c r="B2696" s="9">
        <v>0.2</v>
      </c>
      <c r="C2696" s="10">
        <v>2.63</v>
      </c>
      <c r="D2696" s="9" t="s">
        <v>1712</v>
      </c>
      <c r="E2696" s="11" t="s">
        <v>1737</v>
      </c>
      <c r="F2696" s="12" t="s">
        <v>1714</v>
      </c>
      <c r="G2696" s="9" t="s">
        <v>1709</v>
      </c>
    </row>
    <row r="2697" spans="1:7">
      <c r="A2697" s="9" t="s">
        <v>1711</v>
      </c>
      <c r="B2697" s="9">
        <v>0.2</v>
      </c>
      <c r="C2697" s="10">
        <v>2.63</v>
      </c>
      <c r="D2697" s="9" t="s">
        <v>1712</v>
      </c>
      <c r="E2697" s="11" t="s">
        <v>1737</v>
      </c>
      <c r="F2697" s="12" t="s">
        <v>1714</v>
      </c>
      <c r="G2697" s="9" t="s">
        <v>1709</v>
      </c>
    </row>
    <row r="2698" spans="1:7">
      <c r="A2698" s="9" t="s">
        <v>1711</v>
      </c>
      <c r="B2698" s="9">
        <v>0.2</v>
      </c>
      <c r="C2698" s="10">
        <v>9.9999999999999985E-3</v>
      </c>
      <c r="D2698" s="9" t="s">
        <v>1712</v>
      </c>
      <c r="E2698" s="11" t="s">
        <v>1737</v>
      </c>
      <c r="F2698" s="12" t="s">
        <v>1714</v>
      </c>
      <c r="G2698" s="9" t="s">
        <v>1709</v>
      </c>
    </row>
    <row r="2699" spans="1:7">
      <c r="A2699" s="9" t="s">
        <v>1711</v>
      </c>
      <c r="B2699" s="9">
        <v>0.2</v>
      </c>
      <c r="C2699" s="10">
        <v>2.81</v>
      </c>
      <c r="D2699" s="9" t="s">
        <v>1712</v>
      </c>
      <c r="E2699" s="11" t="s">
        <v>1737</v>
      </c>
      <c r="F2699" s="12" t="s">
        <v>1714</v>
      </c>
      <c r="G2699" s="9" t="s">
        <v>1709</v>
      </c>
    </row>
    <row r="2700" spans="1:7">
      <c r="A2700" s="9" t="s">
        <v>1711</v>
      </c>
      <c r="B2700" s="9">
        <v>0.2</v>
      </c>
      <c r="C2700" s="10">
        <v>2.81</v>
      </c>
      <c r="D2700" s="9" t="s">
        <v>1712</v>
      </c>
      <c r="E2700" s="11" t="s">
        <v>1737</v>
      </c>
      <c r="F2700" s="12" t="s">
        <v>1714</v>
      </c>
      <c r="G2700" s="9" t="s">
        <v>1709</v>
      </c>
    </row>
    <row r="2701" spans="1:7">
      <c r="A2701" s="9" t="s">
        <v>1711</v>
      </c>
      <c r="B2701" s="13">
        <v>0.2</v>
      </c>
      <c r="C2701" s="10">
        <v>2.81</v>
      </c>
      <c r="D2701" s="9" t="s">
        <v>1712</v>
      </c>
      <c r="E2701" s="11" t="s">
        <v>1713</v>
      </c>
      <c r="F2701" s="12" t="s">
        <v>1714</v>
      </c>
      <c r="G2701" s="9" t="s">
        <v>1709</v>
      </c>
    </row>
    <row r="2702" spans="1:7">
      <c r="A2702" s="9" t="s">
        <v>1711</v>
      </c>
      <c r="B2702" s="13">
        <v>0.2</v>
      </c>
      <c r="C2702" s="10">
        <v>2.81</v>
      </c>
      <c r="D2702" s="9" t="s">
        <v>1712</v>
      </c>
      <c r="E2702" s="11" t="s">
        <v>1713</v>
      </c>
      <c r="F2702" s="12" t="s">
        <v>1714</v>
      </c>
      <c r="G2702" s="9" t="s">
        <v>1709</v>
      </c>
    </row>
    <row r="2703" spans="1:7">
      <c r="A2703" s="9" t="s">
        <v>1711</v>
      </c>
      <c r="B2703" s="13">
        <v>0.2</v>
      </c>
      <c r="C2703" s="10">
        <v>2.81</v>
      </c>
      <c r="D2703" s="9" t="s">
        <v>1712</v>
      </c>
      <c r="E2703" s="11" t="s">
        <v>1713</v>
      </c>
      <c r="F2703" s="12" t="s">
        <v>1714</v>
      </c>
      <c r="G2703" s="9" t="s">
        <v>1709</v>
      </c>
    </row>
    <row r="2704" spans="1:7">
      <c r="A2704" s="9" t="s">
        <v>1711</v>
      </c>
      <c r="B2704" s="13">
        <v>0.2</v>
      </c>
      <c r="C2704" s="10">
        <v>2.81</v>
      </c>
      <c r="D2704" s="9" t="s">
        <v>1712</v>
      </c>
      <c r="E2704" s="11" t="s">
        <v>1713</v>
      </c>
      <c r="F2704" s="12" t="s">
        <v>1714</v>
      </c>
      <c r="G2704" s="9" t="s">
        <v>1709</v>
      </c>
    </row>
    <row r="2705" spans="1:7">
      <c r="A2705" s="9" t="s">
        <v>1711</v>
      </c>
      <c r="B2705" s="13">
        <v>0.2</v>
      </c>
      <c r="C2705" s="10">
        <v>-0.16</v>
      </c>
      <c r="D2705" s="9" t="s">
        <v>1709</v>
      </c>
      <c r="E2705" s="11" t="s">
        <v>1710</v>
      </c>
      <c r="F2705" s="12" t="s">
        <v>1710</v>
      </c>
      <c r="G2705" s="9" t="s">
        <v>1709</v>
      </c>
    </row>
    <row r="2706" spans="1:7">
      <c r="A2706" s="9" t="s">
        <v>1711</v>
      </c>
      <c r="B2706" s="13">
        <v>0.2</v>
      </c>
      <c r="C2706" s="10">
        <v>0.86799999999999999</v>
      </c>
      <c r="D2706" s="9" t="s">
        <v>1712</v>
      </c>
      <c r="E2706" s="11" t="s">
        <v>1739</v>
      </c>
      <c r="F2706" s="12" t="s">
        <v>1714</v>
      </c>
      <c r="G2706" s="9" t="s">
        <v>1709</v>
      </c>
    </row>
    <row r="2707" spans="1:7">
      <c r="A2707" s="9" t="s">
        <v>1711</v>
      </c>
      <c r="B2707" s="13">
        <v>0.2</v>
      </c>
      <c r="C2707" s="10">
        <v>-0.08</v>
      </c>
      <c r="D2707" s="9" t="s">
        <v>1709</v>
      </c>
      <c r="E2707" s="11" t="s">
        <v>1710</v>
      </c>
      <c r="F2707" s="12" t="s">
        <v>1710</v>
      </c>
      <c r="G2707" s="9" t="s">
        <v>1709</v>
      </c>
    </row>
    <row r="2708" spans="1:7">
      <c r="A2708" s="9" t="s">
        <v>1711</v>
      </c>
      <c r="B2708" s="13">
        <v>0.2</v>
      </c>
      <c r="C2708" s="10">
        <v>-2.7E-2</v>
      </c>
      <c r="D2708" s="9" t="s">
        <v>1709</v>
      </c>
      <c r="E2708" s="11" t="s">
        <v>1710</v>
      </c>
      <c r="F2708" s="12" t="s">
        <v>1710</v>
      </c>
      <c r="G2708" s="9" t="s">
        <v>1709</v>
      </c>
    </row>
    <row r="2709" spans="1:7">
      <c r="A2709" s="9" t="s">
        <v>1711</v>
      </c>
      <c r="B2709" s="9">
        <v>0.2</v>
      </c>
      <c r="C2709" s="10">
        <v>-1.0999999999999999E-2</v>
      </c>
      <c r="D2709" s="9" t="s">
        <v>1709</v>
      </c>
      <c r="E2709" s="11" t="s">
        <v>1710</v>
      </c>
      <c r="F2709" s="12" t="s">
        <v>1710</v>
      </c>
      <c r="G2709" s="9" t="s">
        <v>1709</v>
      </c>
    </row>
    <row r="2710" spans="1:7">
      <c r="A2710" s="9" t="s">
        <v>1711</v>
      </c>
      <c r="B2710" s="9">
        <v>0.2</v>
      </c>
      <c r="C2710" s="10">
        <v>-1.0999999999999999E-2</v>
      </c>
      <c r="D2710" s="9" t="s">
        <v>1709</v>
      </c>
      <c r="E2710" s="11" t="s">
        <v>1710</v>
      </c>
      <c r="F2710" s="12" t="s">
        <v>1710</v>
      </c>
      <c r="G2710" s="9" t="s">
        <v>1709</v>
      </c>
    </row>
    <row r="2711" spans="1:7">
      <c r="A2711" s="9" t="s">
        <v>1711</v>
      </c>
      <c r="B2711" s="9">
        <v>0.2</v>
      </c>
      <c r="C2711" s="10">
        <v>-0.13100000000000001</v>
      </c>
      <c r="D2711" s="9" t="s">
        <v>1709</v>
      </c>
      <c r="E2711" s="11" t="s">
        <v>1710</v>
      </c>
      <c r="F2711" s="12" t="s">
        <v>1710</v>
      </c>
      <c r="G2711" s="9" t="s">
        <v>1709</v>
      </c>
    </row>
    <row r="2712" spans="1:7">
      <c r="A2712" s="9" t="s">
        <v>1711</v>
      </c>
      <c r="B2712" s="9">
        <v>0.2</v>
      </c>
      <c r="C2712" s="10">
        <v>-0.13100000000000001</v>
      </c>
      <c r="D2712" s="9" t="s">
        <v>1709</v>
      </c>
      <c r="E2712" s="11" t="s">
        <v>1710</v>
      </c>
      <c r="F2712" s="12" t="s">
        <v>1710</v>
      </c>
      <c r="G2712" s="9" t="s">
        <v>1709</v>
      </c>
    </row>
    <row r="2713" spans="1:7">
      <c r="A2713" s="9" t="s">
        <v>1711</v>
      </c>
      <c r="B2713" s="9">
        <v>0.2</v>
      </c>
      <c r="C2713" s="10">
        <v>-0.13100000000000001</v>
      </c>
      <c r="D2713" s="9" t="s">
        <v>1709</v>
      </c>
      <c r="E2713" s="11" t="s">
        <v>1710</v>
      </c>
      <c r="F2713" s="12" t="s">
        <v>1710</v>
      </c>
      <c r="G2713" s="9" t="s">
        <v>1709</v>
      </c>
    </row>
    <row r="2714" spans="1:7">
      <c r="A2714" s="9" t="s">
        <v>1711</v>
      </c>
      <c r="B2714" s="9">
        <v>0.2</v>
      </c>
      <c r="C2714" s="10">
        <v>-0.13100000000000001</v>
      </c>
      <c r="D2714" s="9" t="s">
        <v>1709</v>
      </c>
      <c r="E2714" s="11" t="s">
        <v>1710</v>
      </c>
      <c r="F2714" s="12" t="s">
        <v>1710</v>
      </c>
      <c r="G2714" s="9" t="s">
        <v>1709</v>
      </c>
    </row>
    <row r="2715" spans="1:7">
      <c r="A2715" s="9" t="s">
        <v>1711</v>
      </c>
      <c r="B2715" s="9">
        <v>0.2</v>
      </c>
      <c r="C2715" s="10">
        <v>9.0000000000000011E-3</v>
      </c>
      <c r="D2715" s="9" t="s">
        <v>1712</v>
      </c>
      <c r="E2715" s="11" t="s">
        <v>1715</v>
      </c>
      <c r="F2715" s="12" t="s">
        <v>1714</v>
      </c>
      <c r="G2715" s="9" t="s">
        <v>1709</v>
      </c>
    </row>
    <row r="2716" spans="1:7">
      <c r="A2716" s="9" t="s">
        <v>1711</v>
      </c>
      <c r="B2716" s="9">
        <v>0.2</v>
      </c>
      <c r="C2716" s="10">
        <v>4.1000000000000002E-2</v>
      </c>
      <c r="D2716" s="9" t="s">
        <v>1712</v>
      </c>
      <c r="E2716" s="11" t="s">
        <v>1715</v>
      </c>
      <c r="F2716" s="12" t="s">
        <v>1714</v>
      </c>
      <c r="G2716" s="9" t="s">
        <v>1709</v>
      </c>
    </row>
    <row r="2717" spans="1:7">
      <c r="A2717" s="9" t="s">
        <v>1711</v>
      </c>
      <c r="B2717" s="9">
        <v>0.2</v>
      </c>
      <c r="C2717" s="10">
        <v>-0.123</v>
      </c>
      <c r="D2717" s="9" t="s">
        <v>1709</v>
      </c>
      <c r="E2717" s="11" t="s">
        <v>1710</v>
      </c>
      <c r="F2717" s="12" t="s">
        <v>1710</v>
      </c>
      <c r="G2717" s="9" t="s">
        <v>1709</v>
      </c>
    </row>
    <row r="2718" spans="1:7">
      <c r="A2718" s="9" t="s">
        <v>1711</v>
      </c>
      <c r="B2718" s="13">
        <v>0.2</v>
      </c>
      <c r="C2718" s="10">
        <v>-0.123</v>
      </c>
      <c r="D2718" s="9" t="s">
        <v>1709</v>
      </c>
      <c r="E2718" s="11" t="s">
        <v>1710</v>
      </c>
      <c r="F2718" s="12" t="s">
        <v>1710</v>
      </c>
      <c r="G2718" s="9" t="s">
        <v>1709</v>
      </c>
    </row>
    <row r="2719" spans="1:7">
      <c r="A2719" s="9" t="s">
        <v>1711</v>
      </c>
      <c r="B2719" s="13">
        <v>0.2</v>
      </c>
      <c r="C2719" s="10">
        <v>-0.123</v>
      </c>
      <c r="D2719" s="9" t="s">
        <v>1709</v>
      </c>
      <c r="E2719" s="11" t="s">
        <v>1710</v>
      </c>
      <c r="F2719" s="12" t="s">
        <v>1710</v>
      </c>
      <c r="G2719" s="9" t="s">
        <v>1709</v>
      </c>
    </row>
    <row r="2720" spans="1:7">
      <c r="A2720" s="9" t="s">
        <v>1711</v>
      </c>
      <c r="B2720" s="13">
        <v>0.2</v>
      </c>
      <c r="C2720" s="10">
        <v>-0.123</v>
      </c>
      <c r="D2720" s="9" t="s">
        <v>1709</v>
      </c>
      <c r="E2720" s="11" t="s">
        <v>1710</v>
      </c>
      <c r="F2720" s="12" t="s">
        <v>1710</v>
      </c>
      <c r="G2720" s="9" t="s">
        <v>1709</v>
      </c>
    </row>
    <row r="2721" spans="1:7">
      <c r="A2721" s="9" t="s">
        <v>1711</v>
      </c>
      <c r="B2721" s="13">
        <v>0.2</v>
      </c>
      <c r="C2721" s="10">
        <v>0.64100000000000001</v>
      </c>
      <c r="D2721" s="9" t="s">
        <v>1712</v>
      </c>
      <c r="E2721" s="11" t="s">
        <v>1739</v>
      </c>
      <c r="F2721" s="12" t="s">
        <v>1714</v>
      </c>
      <c r="G2721" s="9" t="s">
        <v>1709</v>
      </c>
    </row>
    <row r="2722" spans="1:7">
      <c r="A2722" s="9" t="s">
        <v>1711</v>
      </c>
      <c r="B2722" s="13">
        <v>0.2</v>
      </c>
      <c r="C2722" s="10">
        <v>-6.0999999999999999E-2</v>
      </c>
      <c r="D2722" s="9" t="s">
        <v>1709</v>
      </c>
      <c r="E2722" s="11" t="s">
        <v>1710</v>
      </c>
      <c r="F2722" s="12" t="s">
        <v>1710</v>
      </c>
      <c r="G2722" s="9" t="s">
        <v>1709</v>
      </c>
    </row>
    <row r="2723" spans="1:7">
      <c r="A2723" s="9" t="s">
        <v>1711</v>
      </c>
      <c r="B2723" s="13">
        <v>0.2</v>
      </c>
      <c r="C2723" s="10">
        <v>0.316</v>
      </c>
      <c r="D2723" s="9" t="s">
        <v>1712</v>
      </c>
      <c r="E2723" s="11" t="s">
        <v>1738</v>
      </c>
      <c r="F2723" s="12" t="s">
        <v>1714</v>
      </c>
      <c r="G2723" s="9" t="s">
        <v>1709</v>
      </c>
    </row>
    <row r="2724" spans="1:7">
      <c r="A2724" s="9" t="s">
        <v>1711</v>
      </c>
      <c r="B2724" s="13">
        <v>0.2</v>
      </c>
      <c r="C2724" s="10">
        <v>-0.06</v>
      </c>
      <c r="D2724" s="9" t="s">
        <v>1709</v>
      </c>
      <c r="E2724" s="11" t="s">
        <v>1710</v>
      </c>
      <c r="F2724" s="12" t="s">
        <v>1710</v>
      </c>
      <c r="G2724" s="9" t="s">
        <v>1709</v>
      </c>
    </row>
    <row r="2725" spans="1:7">
      <c r="A2725" s="9" t="s">
        <v>1711</v>
      </c>
      <c r="B2725" s="9">
        <v>0.2</v>
      </c>
      <c r="C2725" s="10">
        <v>0.84399999999999997</v>
      </c>
      <c r="D2725" s="9" t="s">
        <v>1712</v>
      </c>
      <c r="E2725" s="11" t="s">
        <v>1738</v>
      </c>
      <c r="F2725" s="12" t="s">
        <v>1714</v>
      </c>
      <c r="G2725" s="9" t="s">
        <v>1709</v>
      </c>
    </row>
    <row r="2726" spans="1:7">
      <c r="A2726" s="9" t="s">
        <v>1711</v>
      </c>
      <c r="B2726" s="9">
        <v>0.2</v>
      </c>
      <c r="C2726" s="10">
        <v>0.93500000000000005</v>
      </c>
      <c r="D2726" s="9" t="s">
        <v>1712</v>
      </c>
      <c r="E2726" s="11" t="s">
        <v>1738</v>
      </c>
      <c r="F2726" s="12" t="s">
        <v>1714</v>
      </c>
      <c r="G2726" s="9" t="s">
        <v>1709</v>
      </c>
    </row>
    <row r="2727" spans="1:7">
      <c r="A2727" s="9" t="s">
        <v>1711</v>
      </c>
      <c r="B2727" s="9">
        <v>0.2</v>
      </c>
      <c r="C2727" s="10">
        <v>1.1159999999999999</v>
      </c>
      <c r="D2727" s="9" t="s">
        <v>1712</v>
      </c>
      <c r="E2727" s="11" t="s">
        <v>1738</v>
      </c>
      <c r="F2727" s="12" t="s">
        <v>1714</v>
      </c>
      <c r="G2727" s="9" t="s">
        <v>1709</v>
      </c>
    </row>
    <row r="2728" spans="1:7">
      <c r="A2728" s="9" t="s">
        <v>1711</v>
      </c>
      <c r="B2728" s="9">
        <v>0.2</v>
      </c>
      <c r="C2728" s="10">
        <v>6.6000000000000003E-2</v>
      </c>
      <c r="D2728" s="9" t="s">
        <v>1712</v>
      </c>
      <c r="E2728" s="11" t="s">
        <v>1738</v>
      </c>
      <c r="F2728" s="12" t="s">
        <v>1714</v>
      </c>
      <c r="G2728" s="9" t="s">
        <v>1709</v>
      </c>
    </row>
    <row r="2729" spans="1:7">
      <c r="A2729" s="9" t="s">
        <v>1711</v>
      </c>
      <c r="B2729" s="9">
        <v>0.2</v>
      </c>
      <c r="C2729" s="10">
        <v>1.119</v>
      </c>
      <c r="D2729" s="9" t="s">
        <v>1712</v>
      </c>
      <c r="E2729" s="11" t="s">
        <v>1738</v>
      </c>
      <c r="F2729" s="12" t="s">
        <v>1714</v>
      </c>
      <c r="G2729" s="9" t="s">
        <v>1709</v>
      </c>
    </row>
    <row r="2730" spans="1:7">
      <c r="A2730" s="9" t="s">
        <v>1711</v>
      </c>
      <c r="B2730" s="13">
        <v>0.2</v>
      </c>
      <c r="C2730" s="10">
        <v>1.0299999999999998</v>
      </c>
      <c r="D2730" s="9" t="s">
        <v>1712</v>
      </c>
      <c r="E2730" s="11" t="s">
        <v>1736</v>
      </c>
      <c r="F2730" s="12" t="s">
        <v>1714</v>
      </c>
      <c r="G2730" s="9" t="s">
        <v>1709</v>
      </c>
    </row>
    <row r="2731" spans="1:7">
      <c r="A2731" s="9" t="s">
        <v>1711</v>
      </c>
      <c r="B2731" s="13">
        <v>0.2</v>
      </c>
      <c r="C2731" s="10">
        <v>1.0999999999999999E-2</v>
      </c>
      <c r="D2731" s="9" t="s">
        <v>1712</v>
      </c>
      <c r="E2731" s="11" t="s">
        <v>1736</v>
      </c>
      <c r="F2731" s="12" t="s">
        <v>1714</v>
      </c>
      <c r="G2731" s="9" t="s">
        <v>1709</v>
      </c>
    </row>
    <row r="2732" spans="1:7">
      <c r="A2732" s="9" t="s">
        <v>1711</v>
      </c>
      <c r="B2732" s="13">
        <v>0.2</v>
      </c>
      <c r="C2732" s="10">
        <v>-0.13600000000000001</v>
      </c>
      <c r="D2732" s="9" t="s">
        <v>1709</v>
      </c>
      <c r="E2732" s="11" t="s">
        <v>1710</v>
      </c>
      <c r="F2732" s="12" t="s">
        <v>1710</v>
      </c>
      <c r="G2732" s="9" t="s">
        <v>1709</v>
      </c>
    </row>
    <row r="2733" spans="1:7">
      <c r="A2733" s="9" t="s">
        <v>1711</v>
      </c>
      <c r="B2733" s="13">
        <v>0.2</v>
      </c>
      <c r="C2733" s="10">
        <v>0.108</v>
      </c>
      <c r="D2733" s="9" t="s">
        <v>1712</v>
      </c>
      <c r="E2733" s="11" t="s">
        <v>1738</v>
      </c>
      <c r="F2733" s="12" t="s">
        <v>1714</v>
      </c>
      <c r="G2733" s="9" t="s">
        <v>1709</v>
      </c>
    </row>
    <row r="2734" spans="1:7">
      <c r="A2734" s="9" t="s">
        <v>1711</v>
      </c>
      <c r="B2734" s="13">
        <v>0.2</v>
      </c>
      <c r="C2734" s="10">
        <v>0.23200000000000001</v>
      </c>
      <c r="D2734" s="9" t="s">
        <v>1712</v>
      </c>
      <c r="E2734" s="11" t="s">
        <v>1713</v>
      </c>
      <c r="F2734" s="12" t="s">
        <v>1714</v>
      </c>
      <c r="G2734" s="9" t="s">
        <v>1709</v>
      </c>
    </row>
    <row r="2735" spans="1:7">
      <c r="A2735" s="9" t="s">
        <v>1711</v>
      </c>
      <c r="B2735" s="13">
        <v>0.2</v>
      </c>
      <c r="C2735" s="10">
        <v>-0.19</v>
      </c>
      <c r="D2735" s="9" t="s">
        <v>1709</v>
      </c>
      <c r="E2735" s="11" t="s">
        <v>1710</v>
      </c>
      <c r="F2735" s="12" t="s">
        <v>1710</v>
      </c>
      <c r="G2735" s="9" t="s">
        <v>1709</v>
      </c>
    </row>
    <row r="2736" spans="1:7">
      <c r="A2736" s="9" t="s">
        <v>1711</v>
      </c>
      <c r="B2736" s="13">
        <v>0.2</v>
      </c>
      <c r="C2736" s="10">
        <v>-0.19</v>
      </c>
      <c r="D2736" s="9" t="s">
        <v>1709</v>
      </c>
      <c r="E2736" s="11" t="s">
        <v>1710</v>
      </c>
      <c r="F2736" s="12" t="s">
        <v>1710</v>
      </c>
      <c r="G2736" s="9" t="s">
        <v>1709</v>
      </c>
    </row>
    <row r="2737" spans="1:7">
      <c r="A2737" s="9" t="s">
        <v>1711</v>
      </c>
      <c r="B2737" s="13">
        <v>0.2</v>
      </c>
      <c r="C2737" s="10">
        <v>-0.19</v>
      </c>
      <c r="D2737" s="9" t="s">
        <v>1709</v>
      </c>
      <c r="E2737" s="11" t="s">
        <v>1710</v>
      </c>
      <c r="F2737" s="12" t="s">
        <v>1710</v>
      </c>
      <c r="G2737" s="9" t="s">
        <v>1709</v>
      </c>
    </row>
    <row r="2738" spans="1:7">
      <c r="A2738" s="9" t="s">
        <v>1711</v>
      </c>
      <c r="B2738" s="13">
        <v>0.2</v>
      </c>
      <c r="C2738" s="10">
        <v>-0.19</v>
      </c>
      <c r="D2738" s="9" t="s">
        <v>1709</v>
      </c>
      <c r="E2738" s="11" t="s">
        <v>1710</v>
      </c>
      <c r="F2738" s="12" t="s">
        <v>1710</v>
      </c>
      <c r="G2738" s="9" t="s">
        <v>1709</v>
      </c>
    </row>
    <row r="2739" spans="1:7">
      <c r="A2739" s="9" t="s">
        <v>1711</v>
      </c>
      <c r="B2739" s="13">
        <v>0.2</v>
      </c>
      <c r="C2739" s="10">
        <v>-0.123</v>
      </c>
      <c r="D2739" s="9" t="s">
        <v>1709</v>
      </c>
      <c r="E2739" s="11" t="s">
        <v>1710</v>
      </c>
      <c r="F2739" s="12" t="s">
        <v>1710</v>
      </c>
      <c r="G2739" s="9" t="s">
        <v>1709</v>
      </c>
    </row>
    <row r="2740" spans="1:7">
      <c r="A2740" s="9" t="s">
        <v>1711</v>
      </c>
      <c r="B2740" s="13">
        <v>0.2</v>
      </c>
      <c r="C2740" s="10">
        <v>-9.1999999999999998E-2</v>
      </c>
      <c r="D2740" s="9" t="s">
        <v>1709</v>
      </c>
      <c r="E2740" s="11" t="s">
        <v>1710</v>
      </c>
      <c r="F2740" s="12" t="s">
        <v>1710</v>
      </c>
      <c r="G2740" s="9" t="s">
        <v>1709</v>
      </c>
    </row>
    <row r="2741" spans="1:7">
      <c r="A2741" s="9" t="s">
        <v>1711</v>
      </c>
      <c r="B2741" s="13">
        <v>0.2</v>
      </c>
      <c r="C2741" s="10">
        <v>0.52900000000000003</v>
      </c>
      <c r="D2741" s="9" t="s">
        <v>1712</v>
      </c>
      <c r="E2741" s="11" t="s">
        <v>1713</v>
      </c>
      <c r="F2741" s="12" t="s">
        <v>1714</v>
      </c>
      <c r="G2741" s="9" t="s">
        <v>1709</v>
      </c>
    </row>
    <row r="2742" spans="1:7">
      <c r="A2742" s="9" t="s">
        <v>1711</v>
      </c>
      <c r="B2742" s="9">
        <v>0.2</v>
      </c>
      <c r="C2742" s="10">
        <v>-9.9999999999999985E-3</v>
      </c>
      <c r="D2742" s="9" t="s">
        <v>1709</v>
      </c>
      <c r="E2742" s="11" t="s">
        <v>1710</v>
      </c>
      <c r="F2742" s="12" t="s">
        <v>1710</v>
      </c>
      <c r="G2742" s="9" t="s">
        <v>1709</v>
      </c>
    </row>
    <row r="2743" spans="1:7">
      <c r="A2743" s="9" t="s">
        <v>1711</v>
      </c>
      <c r="B2743" s="13">
        <v>0.2</v>
      </c>
      <c r="C2743" s="10">
        <v>2.7479999999999998</v>
      </c>
      <c r="D2743" s="9" t="s">
        <v>1712</v>
      </c>
      <c r="E2743" s="11" t="s">
        <v>1738</v>
      </c>
      <c r="F2743" s="12" t="s">
        <v>1714</v>
      </c>
      <c r="G2743" s="9" t="s">
        <v>1709</v>
      </c>
    </row>
    <row r="2744" spans="1:7">
      <c r="A2744" s="9" t="s">
        <v>1711</v>
      </c>
      <c r="B2744" s="13">
        <v>0.2</v>
      </c>
      <c r="C2744" s="10">
        <v>-8.8999999999999996E-2</v>
      </c>
      <c r="D2744" s="9" t="s">
        <v>1709</v>
      </c>
      <c r="E2744" s="11" t="s">
        <v>1710</v>
      </c>
      <c r="F2744" s="12" t="s">
        <v>1710</v>
      </c>
      <c r="G2744" s="9" t="s">
        <v>1709</v>
      </c>
    </row>
    <row r="2745" spans="1:7">
      <c r="A2745" s="9" t="s">
        <v>1711</v>
      </c>
      <c r="B2745" s="13">
        <v>0.2</v>
      </c>
      <c r="C2745" s="10">
        <v>0.32100000000000001</v>
      </c>
      <c r="D2745" s="9" t="s">
        <v>1712</v>
      </c>
      <c r="E2745" s="11" t="s">
        <v>1737</v>
      </c>
      <c r="F2745" s="12" t="s">
        <v>1714</v>
      </c>
      <c r="G2745" s="9" t="s">
        <v>1709</v>
      </c>
    </row>
    <row r="2746" spans="1:7">
      <c r="A2746" s="9" t="s">
        <v>1711</v>
      </c>
      <c r="B2746" s="13">
        <v>0.2</v>
      </c>
      <c r="C2746" s="10">
        <v>1.8279999999999998</v>
      </c>
      <c r="D2746" s="9" t="s">
        <v>1712</v>
      </c>
      <c r="E2746" s="11" t="s">
        <v>1737</v>
      </c>
      <c r="F2746" s="12" t="s">
        <v>1714</v>
      </c>
      <c r="G2746" s="9" t="s">
        <v>1709</v>
      </c>
    </row>
    <row r="2747" spans="1:7">
      <c r="A2747" s="9" t="s">
        <v>1711</v>
      </c>
      <c r="B2747" s="13">
        <v>0.2</v>
      </c>
      <c r="C2747" s="10">
        <v>2.323</v>
      </c>
      <c r="D2747" s="9" t="s">
        <v>1712</v>
      </c>
      <c r="E2747" s="11" t="s">
        <v>1737</v>
      </c>
      <c r="F2747" s="12" t="s">
        <v>1714</v>
      </c>
      <c r="G2747" s="9" t="s">
        <v>1709</v>
      </c>
    </row>
    <row r="2748" spans="1:7">
      <c r="A2748" s="9" t="s">
        <v>1711</v>
      </c>
      <c r="B2748" s="13">
        <v>0.2</v>
      </c>
      <c r="C2748" s="10">
        <v>-0.19800000000000001</v>
      </c>
      <c r="D2748" s="9" t="s">
        <v>1709</v>
      </c>
      <c r="E2748" s="11" t="s">
        <v>1710</v>
      </c>
      <c r="F2748" s="12" t="s">
        <v>1710</v>
      </c>
      <c r="G2748" s="9" t="s">
        <v>1709</v>
      </c>
    </row>
    <row r="2749" spans="1:7">
      <c r="A2749" s="9" t="s">
        <v>1711</v>
      </c>
      <c r="B2749" s="13">
        <v>0.2</v>
      </c>
      <c r="C2749" s="10">
        <v>-0.19800000000000001</v>
      </c>
      <c r="D2749" s="9" t="s">
        <v>1709</v>
      </c>
      <c r="E2749" s="11" t="s">
        <v>1710</v>
      </c>
      <c r="F2749" s="12" t="s">
        <v>1710</v>
      </c>
      <c r="G2749" s="9" t="s">
        <v>1709</v>
      </c>
    </row>
    <row r="2750" spans="1:7">
      <c r="A2750" s="9" t="s">
        <v>1711</v>
      </c>
      <c r="B2750" s="13">
        <v>0.2</v>
      </c>
      <c r="C2750" s="10">
        <v>-7.0000000000000001E-3</v>
      </c>
      <c r="D2750" s="9" t="s">
        <v>1709</v>
      </c>
      <c r="E2750" s="11" t="s">
        <v>1710</v>
      </c>
      <c r="F2750" s="12" t="s">
        <v>1710</v>
      </c>
      <c r="G2750" s="9" t="s">
        <v>1709</v>
      </c>
    </row>
    <row r="2751" spans="1:7">
      <c r="A2751" s="9" t="s">
        <v>1711</v>
      </c>
      <c r="B2751" s="13">
        <v>0.2</v>
      </c>
      <c r="C2751" s="10">
        <v>-6.5000000000000002E-2</v>
      </c>
      <c r="D2751" s="9" t="s">
        <v>1709</v>
      </c>
      <c r="E2751" s="11" t="s">
        <v>1710</v>
      </c>
      <c r="F2751" s="12" t="s">
        <v>1710</v>
      </c>
      <c r="G2751" s="9" t="s">
        <v>1709</v>
      </c>
    </row>
    <row r="2752" spans="1:7">
      <c r="A2752" s="9" t="s">
        <v>1711</v>
      </c>
      <c r="B2752" s="13">
        <v>0.2</v>
      </c>
      <c r="C2752" s="10">
        <v>0.55200000000000005</v>
      </c>
      <c r="D2752" s="9" t="s">
        <v>1712</v>
      </c>
      <c r="E2752" s="11" t="s">
        <v>1737</v>
      </c>
      <c r="F2752" s="12" t="s">
        <v>1714</v>
      </c>
      <c r="G2752" s="9" t="s">
        <v>1709</v>
      </c>
    </row>
    <row r="2753" spans="1:7">
      <c r="A2753" s="9" t="s">
        <v>1711</v>
      </c>
      <c r="B2753" s="13">
        <v>0.2</v>
      </c>
      <c r="C2753" s="10">
        <v>0.52900000000000003</v>
      </c>
      <c r="D2753" s="9" t="s">
        <v>1712</v>
      </c>
      <c r="E2753" s="11" t="s">
        <v>1737</v>
      </c>
      <c r="F2753" s="12" t="s">
        <v>1714</v>
      </c>
      <c r="G2753" s="9" t="s">
        <v>1709</v>
      </c>
    </row>
    <row r="2754" spans="1:7">
      <c r="A2754" s="9" t="s">
        <v>1711</v>
      </c>
      <c r="B2754" s="13">
        <v>0.2</v>
      </c>
      <c r="C2754" s="10">
        <v>0.52900000000000003</v>
      </c>
      <c r="D2754" s="9" t="s">
        <v>1712</v>
      </c>
      <c r="E2754" s="11" t="s">
        <v>1737</v>
      </c>
      <c r="F2754" s="12" t="s">
        <v>1714</v>
      </c>
      <c r="G2754" s="9" t="s">
        <v>1709</v>
      </c>
    </row>
    <row r="2755" spans="1:7">
      <c r="A2755" s="9" t="s">
        <v>1711</v>
      </c>
      <c r="B2755" s="13">
        <v>0.2</v>
      </c>
      <c r="C2755" s="10">
        <v>0.109</v>
      </c>
      <c r="D2755" s="9" t="s">
        <v>1712</v>
      </c>
      <c r="E2755" s="11" t="s">
        <v>1737</v>
      </c>
      <c r="F2755" s="12" t="s">
        <v>1714</v>
      </c>
      <c r="G2755" s="9" t="s">
        <v>1709</v>
      </c>
    </row>
    <row r="2756" spans="1:7">
      <c r="A2756" s="9" t="s">
        <v>1711</v>
      </c>
      <c r="B2756" s="13">
        <v>0.2</v>
      </c>
      <c r="C2756" s="10">
        <v>-0.02</v>
      </c>
      <c r="D2756" s="9" t="s">
        <v>1709</v>
      </c>
      <c r="E2756" s="11" t="s">
        <v>1710</v>
      </c>
      <c r="F2756" s="12" t="s">
        <v>1710</v>
      </c>
      <c r="G2756" s="9" t="s">
        <v>1709</v>
      </c>
    </row>
    <row r="2757" spans="1:7">
      <c r="A2757" s="9" t="s">
        <v>1711</v>
      </c>
      <c r="B2757" s="13">
        <v>0.2</v>
      </c>
      <c r="C2757" s="10">
        <v>0.60399999999999998</v>
      </c>
      <c r="D2757" s="9" t="s">
        <v>1712</v>
      </c>
      <c r="E2757" s="11" t="s">
        <v>1739</v>
      </c>
      <c r="F2757" s="12" t="s">
        <v>1714</v>
      </c>
      <c r="G2757" s="9" t="s">
        <v>1709</v>
      </c>
    </row>
    <row r="2758" spans="1:7">
      <c r="A2758" s="9" t="s">
        <v>1711</v>
      </c>
      <c r="B2758" s="9">
        <v>0.2</v>
      </c>
      <c r="C2758" s="10">
        <v>0.375</v>
      </c>
      <c r="D2758" s="9" t="s">
        <v>1712</v>
      </c>
      <c r="E2758" s="11" t="s">
        <v>1738</v>
      </c>
      <c r="F2758" s="12" t="s">
        <v>1714</v>
      </c>
      <c r="G2758" s="9" t="s">
        <v>1709</v>
      </c>
    </row>
    <row r="2759" spans="1:7">
      <c r="A2759" s="9" t="s">
        <v>1711</v>
      </c>
      <c r="B2759" s="13">
        <v>0.2</v>
      </c>
      <c r="C2759" s="10">
        <v>1.6289999999999998</v>
      </c>
      <c r="D2759" s="9" t="s">
        <v>1712</v>
      </c>
      <c r="E2759" s="11" t="s">
        <v>1736</v>
      </c>
      <c r="F2759" s="12" t="s">
        <v>1714</v>
      </c>
      <c r="G2759" s="9" t="s">
        <v>1709</v>
      </c>
    </row>
    <row r="2760" spans="1:7">
      <c r="A2760" s="9" t="s">
        <v>1711</v>
      </c>
      <c r="B2760" s="13">
        <v>0.2</v>
      </c>
      <c r="C2760" s="10">
        <v>6.9000000000000006E-2</v>
      </c>
      <c r="D2760" s="9" t="s">
        <v>1712</v>
      </c>
      <c r="E2760" s="11" t="s">
        <v>1713</v>
      </c>
      <c r="F2760" s="12" t="s">
        <v>1714</v>
      </c>
      <c r="G2760" s="9" t="s">
        <v>1709</v>
      </c>
    </row>
    <row r="2761" spans="1:7">
      <c r="A2761" s="9" t="s">
        <v>1711</v>
      </c>
      <c r="B2761" s="9">
        <v>0.2</v>
      </c>
      <c r="C2761" s="10">
        <v>2.7479999999999998</v>
      </c>
      <c r="D2761" s="9" t="s">
        <v>1712</v>
      </c>
      <c r="E2761" s="11" t="s">
        <v>1736</v>
      </c>
      <c r="F2761" s="12" t="s">
        <v>1714</v>
      </c>
      <c r="G2761" s="9" t="s">
        <v>1709</v>
      </c>
    </row>
    <row r="2762" spans="1:7">
      <c r="A2762" s="9" t="s">
        <v>1711</v>
      </c>
      <c r="B2762" s="13">
        <v>0.2</v>
      </c>
      <c r="C2762" s="10">
        <v>-9.0999999999999998E-2</v>
      </c>
      <c r="D2762" s="9" t="s">
        <v>1709</v>
      </c>
      <c r="E2762" s="11" t="s">
        <v>1710</v>
      </c>
      <c r="F2762" s="12" t="s">
        <v>1710</v>
      </c>
      <c r="G2762" s="9" t="s">
        <v>1709</v>
      </c>
    </row>
    <row r="2763" spans="1:7">
      <c r="A2763" s="9" t="s">
        <v>1711</v>
      </c>
      <c r="B2763" s="13">
        <v>0.2</v>
      </c>
      <c r="C2763" s="10">
        <v>0.23200000000000001</v>
      </c>
      <c r="D2763" s="9" t="s">
        <v>1712</v>
      </c>
      <c r="E2763" s="11" t="s">
        <v>1737</v>
      </c>
      <c r="F2763" s="12" t="s">
        <v>1714</v>
      </c>
      <c r="G2763" s="9" t="s">
        <v>1709</v>
      </c>
    </row>
    <row r="2764" spans="1:7">
      <c r="A2764" s="9" t="s">
        <v>1711</v>
      </c>
      <c r="B2764" s="13">
        <v>0.2</v>
      </c>
      <c r="C2764" s="10">
        <v>0.23200000000000001</v>
      </c>
      <c r="D2764" s="9" t="s">
        <v>1712</v>
      </c>
      <c r="E2764" s="11" t="s">
        <v>1737</v>
      </c>
      <c r="F2764" s="12" t="s">
        <v>1714</v>
      </c>
      <c r="G2764" s="9" t="s">
        <v>1709</v>
      </c>
    </row>
    <row r="2765" spans="1:7">
      <c r="A2765" s="9" t="s">
        <v>1711</v>
      </c>
      <c r="B2765" s="9">
        <v>0.2</v>
      </c>
      <c r="C2765" s="10">
        <v>-0.19800000000000001</v>
      </c>
      <c r="D2765" s="9" t="s">
        <v>1709</v>
      </c>
      <c r="E2765" s="11" t="s">
        <v>1710</v>
      </c>
      <c r="F2765" s="12" t="s">
        <v>1710</v>
      </c>
      <c r="G2765" s="9" t="s">
        <v>1709</v>
      </c>
    </row>
    <row r="2766" spans="1:7">
      <c r="A2766" s="9" t="s">
        <v>1711</v>
      </c>
      <c r="B2766" s="9">
        <v>0.2</v>
      </c>
      <c r="C2766" s="10">
        <v>-0.19800000000000001</v>
      </c>
      <c r="D2766" s="9" t="s">
        <v>1709</v>
      </c>
      <c r="E2766" s="11" t="s">
        <v>1710</v>
      </c>
      <c r="F2766" s="12" t="s">
        <v>1710</v>
      </c>
      <c r="G2766" s="9" t="s">
        <v>1709</v>
      </c>
    </row>
    <row r="2767" spans="1:7">
      <c r="A2767" s="9" t="s">
        <v>1711</v>
      </c>
      <c r="B2767" s="9">
        <v>0.2</v>
      </c>
      <c r="C2767" s="10">
        <v>8.1000000000000003E-2</v>
      </c>
      <c r="D2767" s="9" t="s">
        <v>1712</v>
      </c>
      <c r="E2767" s="11" t="s">
        <v>1736</v>
      </c>
      <c r="F2767" s="12" t="s">
        <v>1714</v>
      </c>
      <c r="G2767" s="9" t="s">
        <v>1709</v>
      </c>
    </row>
    <row r="2768" spans="1:7">
      <c r="A2768" s="9" t="s">
        <v>1711</v>
      </c>
      <c r="B2768" s="9">
        <v>0.2</v>
      </c>
      <c r="C2768" s="10">
        <v>0.55300000000000005</v>
      </c>
      <c r="D2768" s="9" t="s">
        <v>1712</v>
      </c>
      <c r="E2768" s="11" t="s">
        <v>1738</v>
      </c>
      <c r="F2768" s="12" t="s">
        <v>1714</v>
      </c>
      <c r="G2768" s="9" t="s">
        <v>1709</v>
      </c>
    </row>
    <row r="2769" spans="1:7">
      <c r="A2769" s="9" t="s">
        <v>1711</v>
      </c>
      <c r="B2769" s="9">
        <v>0.2</v>
      </c>
      <c r="C2769" s="10">
        <v>2.7479999999999998</v>
      </c>
      <c r="D2769" s="9" t="s">
        <v>1712</v>
      </c>
      <c r="E2769" s="11" t="s">
        <v>1737</v>
      </c>
      <c r="F2769" s="12" t="s">
        <v>1714</v>
      </c>
      <c r="G2769" s="9" t="s">
        <v>1709</v>
      </c>
    </row>
    <row r="2770" spans="1:7">
      <c r="A2770" s="9" t="s">
        <v>1711</v>
      </c>
      <c r="B2770" s="9">
        <v>0.2</v>
      </c>
      <c r="C2770" s="10">
        <v>2.7479999999999998</v>
      </c>
      <c r="D2770" s="9" t="s">
        <v>1712</v>
      </c>
      <c r="E2770" s="11" t="s">
        <v>1715</v>
      </c>
      <c r="F2770" s="12" t="s">
        <v>1714</v>
      </c>
      <c r="G2770" s="9" t="s">
        <v>1709</v>
      </c>
    </row>
    <row r="2771" spans="1:7">
      <c r="A2771" s="9" t="s">
        <v>1711</v>
      </c>
      <c r="B2771" s="9">
        <v>0.2</v>
      </c>
      <c r="C2771" s="10">
        <v>0.23500000000000001</v>
      </c>
      <c r="D2771" s="9" t="s">
        <v>1712</v>
      </c>
      <c r="E2771" s="11" t="s">
        <v>1736</v>
      </c>
      <c r="F2771" s="12" t="s">
        <v>1714</v>
      </c>
      <c r="G2771" s="9" t="s">
        <v>1709</v>
      </c>
    </row>
    <row r="2772" spans="1:7">
      <c r="A2772" s="9" t="s">
        <v>1711</v>
      </c>
      <c r="B2772" s="9">
        <v>0.2</v>
      </c>
      <c r="C2772" s="10">
        <v>0.23500000000000001</v>
      </c>
      <c r="D2772" s="9" t="s">
        <v>1712</v>
      </c>
      <c r="E2772" s="11" t="s">
        <v>1736</v>
      </c>
      <c r="F2772" s="12" t="s">
        <v>1714</v>
      </c>
      <c r="G2772" s="9" t="s">
        <v>1709</v>
      </c>
    </row>
    <row r="2773" spans="1:7">
      <c r="A2773" s="9" t="s">
        <v>1711</v>
      </c>
      <c r="B2773" s="9">
        <v>0.2</v>
      </c>
      <c r="C2773" s="10">
        <v>7.2999999999999995E-2</v>
      </c>
      <c r="D2773" s="9" t="s">
        <v>1712</v>
      </c>
      <c r="E2773" s="11" t="s">
        <v>1737</v>
      </c>
      <c r="F2773" s="12" t="s">
        <v>1714</v>
      </c>
      <c r="G2773" s="9" t="s">
        <v>1709</v>
      </c>
    </row>
    <row r="2774" spans="1:7">
      <c r="A2774" s="9" t="s">
        <v>1711</v>
      </c>
      <c r="B2774" s="9">
        <v>0.2</v>
      </c>
      <c r="C2774" s="10">
        <v>7.2999999999999995E-2</v>
      </c>
      <c r="D2774" s="9" t="s">
        <v>1712</v>
      </c>
      <c r="E2774" s="11" t="s">
        <v>1737</v>
      </c>
      <c r="F2774" s="12" t="s">
        <v>1714</v>
      </c>
      <c r="G2774" s="9" t="s">
        <v>1709</v>
      </c>
    </row>
    <row r="2775" spans="1:7">
      <c r="A2775" s="9" t="s">
        <v>1711</v>
      </c>
      <c r="B2775" s="9">
        <v>0.2</v>
      </c>
      <c r="C2775" s="10">
        <v>7.2999999999999995E-2</v>
      </c>
      <c r="D2775" s="9" t="s">
        <v>1712</v>
      </c>
      <c r="E2775" s="11" t="s">
        <v>1737</v>
      </c>
      <c r="F2775" s="12" t="s">
        <v>1714</v>
      </c>
      <c r="G2775" s="9" t="s">
        <v>1709</v>
      </c>
    </row>
    <row r="2776" spans="1:7">
      <c r="A2776" s="9" t="s">
        <v>1711</v>
      </c>
      <c r="B2776" s="9">
        <v>0.2</v>
      </c>
      <c r="C2776" s="10">
        <v>-5.7000000000000002E-2</v>
      </c>
      <c r="D2776" s="9" t="s">
        <v>1709</v>
      </c>
      <c r="E2776" s="11" t="s">
        <v>1710</v>
      </c>
      <c r="F2776" s="12" t="s">
        <v>1710</v>
      </c>
      <c r="G2776" s="9" t="s">
        <v>1709</v>
      </c>
    </row>
    <row r="2777" spans="1:7">
      <c r="A2777" s="9" t="s">
        <v>1711</v>
      </c>
      <c r="B2777" s="9">
        <v>0.2</v>
      </c>
      <c r="C2777" s="10">
        <v>-6.8000000000000005E-2</v>
      </c>
      <c r="D2777" s="9" t="s">
        <v>1709</v>
      </c>
      <c r="E2777" s="11" t="s">
        <v>1710</v>
      </c>
      <c r="F2777" s="12" t="s">
        <v>1710</v>
      </c>
      <c r="G2777" s="9" t="s">
        <v>1709</v>
      </c>
    </row>
    <row r="2778" spans="1:7">
      <c r="A2778" s="9" t="s">
        <v>1711</v>
      </c>
      <c r="B2778" s="9">
        <v>0.2</v>
      </c>
      <c r="C2778" s="10">
        <v>2.169</v>
      </c>
      <c r="D2778" s="9" t="s">
        <v>1712</v>
      </c>
      <c r="E2778" s="11" t="s">
        <v>1715</v>
      </c>
      <c r="F2778" s="12" t="s">
        <v>1714</v>
      </c>
      <c r="G2778" s="9" t="s">
        <v>1709</v>
      </c>
    </row>
    <row r="2779" spans="1:7">
      <c r="A2779" s="9" t="s">
        <v>1711</v>
      </c>
      <c r="B2779" s="9">
        <v>0.2</v>
      </c>
      <c r="C2779" s="10">
        <v>2.169</v>
      </c>
      <c r="D2779" s="9" t="s">
        <v>1712</v>
      </c>
      <c r="E2779" s="11" t="s">
        <v>1715</v>
      </c>
      <c r="F2779" s="12" t="s">
        <v>1714</v>
      </c>
      <c r="G2779" s="9" t="s">
        <v>1709</v>
      </c>
    </row>
    <row r="2780" spans="1:7">
      <c r="A2780" s="9" t="s">
        <v>1711</v>
      </c>
      <c r="B2780" s="9">
        <v>0.2</v>
      </c>
      <c r="C2780" s="10">
        <v>2.169</v>
      </c>
      <c r="D2780" s="9" t="s">
        <v>1712</v>
      </c>
      <c r="E2780" s="11" t="s">
        <v>1715</v>
      </c>
      <c r="F2780" s="12" t="s">
        <v>1714</v>
      </c>
      <c r="G2780" s="9" t="s">
        <v>1709</v>
      </c>
    </row>
    <row r="2781" spans="1:7">
      <c r="A2781" s="9" t="s">
        <v>1711</v>
      </c>
      <c r="B2781" s="9">
        <v>0.2</v>
      </c>
      <c r="C2781" s="10">
        <v>9.0999999999999998E-2</v>
      </c>
      <c r="D2781" s="9" t="s">
        <v>1712</v>
      </c>
      <c r="E2781" s="11" t="s">
        <v>1715</v>
      </c>
      <c r="F2781" s="12" t="s">
        <v>1714</v>
      </c>
      <c r="G2781" s="9" t="s">
        <v>1709</v>
      </c>
    </row>
    <row r="2782" spans="1:7">
      <c r="A2782" s="9" t="s">
        <v>1711</v>
      </c>
      <c r="B2782" s="9">
        <v>0.2</v>
      </c>
      <c r="C2782" s="10">
        <v>-0.126</v>
      </c>
      <c r="D2782" s="9" t="s">
        <v>1709</v>
      </c>
      <c r="E2782" s="11" t="s">
        <v>1710</v>
      </c>
      <c r="F2782" s="12" t="s">
        <v>1710</v>
      </c>
      <c r="G2782" s="9" t="s">
        <v>1709</v>
      </c>
    </row>
    <row r="2783" spans="1:7">
      <c r="A2783" s="9" t="s">
        <v>1711</v>
      </c>
      <c r="B2783" s="9">
        <v>0.2</v>
      </c>
      <c r="C2783" s="10">
        <v>-0.126</v>
      </c>
      <c r="D2783" s="9" t="s">
        <v>1709</v>
      </c>
      <c r="E2783" s="11" t="s">
        <v>1710</v>
      </c>
      <c r="F2783" s="12" t="s">
        <v>1710</v>
      </c>
      <c r="G2783" s="9" t="s">
        <v>1709</v>
      </c>
    </row>
    <row r="2784" spans="1:7">
      <c r="A2784" s="9" t="s">
        <v>1711</v>
      </c>
      <c r="B2784" s="9">
        <v>0.2</v>
      </c>
      <c r="C2784" s="10">
        <v>-0.126</v>
      </c>
      <c r="D2784" s="9" t="s">
        <v>1709</v>
      </c>
      <c r="E2784" s="11" t="s">
        <v>1710</v>
      </c>
      <c r="F2784" s="12" t="s">
        <v>1710</v>
      </c>
      <c r="G2784" s="9" t="s">
        <v>1709</v>
      </c>
    </row>
    <row r="2785" spans="1:7">
      <c r="A2785" s="9" t="s">
        <v>1711</v>
      </c>
      <c r="B2785" s="9">
        <v>0.2</v>
      </c>
      <c r="C2785" s="10">
        <v>-0.126</v>
      </c>
      <c r="D2785" s="9" t="s">
        <v>1709</v>
      </c>
      <c r="E2785" s="11" t="s">
        <v>1710</v>
      </c>
      <c r="F2785" s="12" t="s">
        <v>1710</v>
      </c>
      <c r="G2785" s="9" t="s">
        <v>1709</v>
      </c>
    </row>
    <row r="2786" spans="1:7">
      <c r="A2786" s="9" t="s">
        <v>1711</v>
      </c>
      <c r="B2786" s="9">
        <v>0.2</v>
      </c>
      <c r="C2786" s="10">
        <v>0.67200000000000004</v>
      </c>
      <c r="D2786" s="9" t="s">
        <v>1712</v>
      </c>
      <c r="E2786" s="11" t="s">
        <v>1713</v>
      </c>
      <c r="F2786" s="12" t="s">
        <v>1714</v>
      </c>
      <c r="G2786" s="9" t="s">
        <v>1709</v>
      </c>
    </row>
    <row r="2787" spans="1:7">
      <c r="A2787" s="9" t="s">
        <v>1711</v>
      </c>
      <c r="B2787" s="9">
        <v>0.2</v>
      </c>
      <c r="C2787" s="10">
        <v>0.67200000000000004</v>
      </c>
      <c r="D2787" s="9" t="s">
        <v>1712</v>
      </c>
      <c r="E2787" s="11" t="s">
        <v>1713</v>
      </c>
      <c r="F2787" s="12" t="s">
        <v>1714</v>
      </c>
      <c r="G2787" s="9" t="s">
        <v>1709</v>
      </c>
    </row>
    <row r="2788" spans="1:7">
      <c r="A2788" s="9" t="s">
        <v>1711</v>
      </c>
      <c r="B2788" s="9">
        <v>0.2</v>
      </c>
      <c r="C2788" s="10">
        <v>2.7949999999999999</v>
      </c>
      <c r="D2788" s="9" t="s">
        <v>1712</v>
      </c>
      <c r="E2788" s="11" t="s">
        <v>1737</v>
      </c>
      <c r="F2788" s="12" t="s">
        <v>1714</v>
      </c>
      <c r="G2788" s="9" t="s">
        <v>1709</v>
      </c>
    </row>
    <row r="2789" spans="1:7">
      <c r="A2789" s="9" t="s">
        <v>1711</v>
      </c>
      <c r="B2789" s="9">
        <v>0.2</v>
      </c>
      <c r="C2789" s="10">
        <v>7.2999999999999995E-2</v>
      </c>
      <c r="D2789" s="9" t="s">
        <v>1712</v>
      </c>
      <c r="E2789" s="11" t="s">
        <v>1713</v>
      </c>
      <c r="F2789" s="12" t="s">
        <v>1714</v>
      </c>
      <c r="G2789" s="9" t="s">
        <v>1709</v>
      </c>
    </row>
    <row r="2790" spans="1:7">
      <c r="A2790" s="9" t="s">
        <v>1711</v>
      </c>
      <c r="B2790" s="9">
        <v>0.2</v>
      </c>
      <c r="C2790" s="10">
        <v>7.2999999999999995E-2</v>
      </c>
      <c r="D2790" s="9" t="s">
        <v>1712</v>
      </c>
      <c r="E2790" s="11" t="s">
        <v>1713</v>
      </c>
      <c r="F2790" s="12" t="s">
        <v>1714</v>
      </c>
      <c r="G2790" s="9" t="s">
        <v>1709</v>
      </c>
    </row>
    <row r="2791" spans="1:7">
      <c r="A2791" s="9" t="s">
        <v>1711</v>
      </c>
      <c r="B2791" s="9">
        <v>0.2</v>
      </c>
      <c r="C2791" s="10">
        <v>2.7949999999999999</v>
      </c>
      <c r="D2791" s="9" t="s">
        <v>1712</v>
      </c>
      <c r="E2791" s="11" t="s">
        <v>1737</v>
      </c>
      <c r="F2791" s="12" t="s">
        <v>1714</v>
      </c>
      <c r="G2791" s="9" t="s">
        <v>1709</v>
      </c>
    </row>
    <row r="2792" spans="1:7">
      <c r="A2792" s="9" t="s">
        <v>1711</v>
      </c>
      <c r="B2792" s="9">
        <v>0.2</v>
      </c>
      <c r="C2792" s="10">
        <v>7.2999999999999995E-2</v>
      </c>
      <c r="D2792" s="9" t="s">
        <v>1712</v>
      </c>
      <c r="E2792" s="11" t="s">
        <v>1737</v>
      </c>
      <c r="F2792" s="12" t="s">
        <v>1714</v>
      </c>
      <c r="G2792" s="9" t="s">
        <v>1709</v>
      </c>
    </row>
    <row r="2793" spans="1:7">
      <c r="A2793" s="9" t="s">
        <v>1711</v>
      </c>
      <c r="B2793" s="13">
        <v>0.2</v>
      </c>
      <c r="C2793" s="10">
        <v>7.2999999999999995E-2</v>
      </c>
      <c r="D2793" s="9" t="s">
        <v>1712</v>
      </c>
      <c r="E2793" s="11" t="s">
        <v>1737</v>
      </c>
      <c r="F2793" s="12" t="s">
        <v>1714</v>
      </c>
      <c r="G2793" s="9" t="s">
        <v>1709</v>
      </c>
    </row>
    <row r="2794" spans="1:7">
      <c r="A2794" s="9" t="s">
        <v>1711</v>
      </c>
      <c r="B2794" s="13">
        <v>0.2</v>
      </c>
      <c r="C2794" s="10">
        <v>7.2999999999999995E-2</v>
      </c>
      <c r="D2794" s="9" t="s">
        <v>1712</v>
      </c>
      <c r="E2794" s="11" t="s">
        <v>1737</v>
      </c>
      <c r="F2794" s="12" t="s">
        <v>1714</v>
      </c>
      <c r="G2794" s="9" t="s">
        <v>1709</v>
      </c>
    </row>
    <row r="2795" spans="1:7">
      <c r="A2795" s="9" t="s">
        <v>1711</v>
      </c>
      <c r="B2795" s="13">
        <v>0.2</v>
      </c>
      <c r="C2795" s="10">
        <v>1.7939999999999998</v>
      </c>
      <c r="D2795" s="9" t="s">
        <v>1712</v>
      </c>
      <c r="E2795" s="11" t="s">
        <v>1737</v>
      </c>
      <c r="F2795" s="12" t="s">
        <v>1714</v>
      </c>
      <c r="G2795" s="9" t="s">
        <v>1709</v>
      </c>
    </row>
    <row r="2796" spans="1:7">
      <c r="A2796" s="9" t="s">
        <v>1711</v>
      </c>
      <c r="B2796" s="9">
        <v>0.2</v>
      </c>
      <c r="C2796" s="10">
        <v>2.5680000000000001</v>
      </c>
      <c r="D2796" s="9" t="s">
        <v>1712</v>
      </c>
      <c r="E2796" s="11" t="s">
        <v>1737</v>
      </c>
      <c r="F2796" s="12" t="s">
        <v>1714</v>
      </c>
      <c r="G2796" s="9" t="s">
        <v>1709</v>
      </c>
    </row>
    <row r="2797" spans="1:7">
      <c r="A2797" s="9" t="s">
        <v>1711</v>
      </c>
      <c r="B2797" s="9">
        <v>0.2</v>
      </c>
      <c r="C2797" s="10">
        <v>2.5680000000000001</v>
      </c>
      <c r="D2797" s="9" t="s">
        <v>1712</v>
      </c>
      <c r="E2797" s="11" t="s">
        <v>1737</v>
      </c>
      <c r="F2797" s="12" t="s">
        <v>1714</v>
      </c>
      <c r="G2797" s="9" t="s">
        <v>1709</v>
      </c>
    </row>
    <row r="2798" spans="1:7">
      <c r="A2798" s="9" t="s">
        <v>1711</v>
      </c>
      <c r="B2798" s="9">
        <v>0.2</v>
      </c>
      <c r="C2798" s="10">
        <v>2.5680000000000001</v>
      </c>
      <c r="D2798" s="9" t="s">
        <v>1712</v>
      </c>
      <c r="E2798" s="11" t="s">
        <v>1737</v>
      </c>
      <c r="F2798" s="12" t="s">
        <v>1714</v>
      </c>
      <c r="G2798" s="9" t="s">
        <v>1709</v>
      </c>
    </row>
    <row r="2799" spans="1:7">
      <c r="A2799" s="9" t="s">
        <v>1711</v>
      </c>
      <c r="B2799" s="9">
        <v>0.2</v>
      </c>
      <c r="C2799" s="10">
        <v>2.5680000000000001</v>
      </c>
      <c r="D2799" s="9" t="s">
        <v>1712</v>
      </c>
      <c r="E2799" s="11" t="s">
        <v>1737</v>
      </c>
      <c r="F2799" s="12" t="s">
        <v>1714</v>
      </c>
      <c r="G2799" s="9" t="s">
        <v>1709</v>
      </c>
    </row>
    <row r="2800" spans="1:7">
      <c r="A2800" s="9" t="s">
        <v>1711</v>
      </c>
      <c r="B2800" s="13">
        <v>0.2</v>
      </c>
      <c r="C2800" s="10">
        <v>2.5680000000000001</v>
      </c>
      <c r="D2800" s="9" t="s">
        <v>1712</v>
      </c>
      <c r="E2800" s="11" t="s">
        <v>1737</v>
      </c>
      <c r="F2800" s="12" t="s">
        <v>1714</v>
      </c>
      <c r="G2800" s="9" t="s">
        <v>1709</v>
      </c>
    </row>
    <row r="2801" spans="1:7">
      <c r="A2801" s="9" t="s">
        <v>1711</v>
      </c>
      <c r="B2801" s="13">
        <v>0.2</v>
      </c>
      <c r="C2801" s="10">
        <v>2.5680000000000001</v>
      </c>
      <c r="D2801" s="9" t="s">
        <v>1712</v>
      </c>
      <c r="E2801" s="11" t="s">
        <v>1737</v>
      </c>
      <c r="F2801" s="12" t="s">
        <v>1714</v>
      </c>
      <c r="G2801" s="9" t="s">
        <v>1709</v>
      </c>
    </row>
    <row r="2802" spans="1:7">
      <c r="A2802" s="9" t="s">
        <v>1711</v>
      </c>
      <c r="B2802" s="13">
        <v>0.2</v>
      </c>
      <c r="C2802" s="10">
        <v>7.1999999999999995E-2</v>
      </c>
      <c r="D2802" s="9" t="s">
        <v>1712</v>
      </c>
      <c r="E2802" s="11" t="s">
        <v>1738</v>
      </c>
      <c r="F2802" s="12" t="s">
        <v>1714</v>
      </c>
      <c r="G2802" s="9" t="s">
        <v>1709</v>
      </c>
    </row>
    <row r="2803" spans="1:7">
      <c r="A2803" s="9" t="s">
        <v>1711</v>
      </c>
      <c r="B2803" s="13">
        <v>0.2</v>
      </c>
      <c r="C2803" s="10">
        <v>0.51700000000000002</v>
      </c>
      <c r="D2803" s="9" t="s">
        <v>1712</v>
      </c>
      <c r="E2803" s="11" t="s">
        <v>1736</v>
      </c>
      <c r="F2803" s="12" t="s">
        <v>1714</v>
      </c>
      <c r="G2803" s="9" t="s">
        <v>1709</v>
      </c>
    </row>
    <row r="2804" spans="1:7">
      <c r="A2804" s="9" t="s">
        <v>1711</v>
      </c>
      <c r="B2804" s="9">
        <v>0.2</v>
      </c>
      <c r="C2804" s="10">
        <v>-0.13600000000000001</v>
      </c>
      <c r="D2804" s="9" t="s">
        <v>1709</v>
      </c>
      <c r="E2804" s="11" t="s">
        <v>1710</v>
      </c>
      <c r="F2804" s="12" t="s">
        <v>1710</v>
      </c>
      <c r="G2804" s="9" t="s">
        <v>1709</v>
      </c>
    </row>
    <row r="2805" spans="1:7">
      <c r="A2805" s="9" t="s">
        <v>1711</v>
      </c>
      <c r="B2805" s="9">
        <v>0.2</v>
      </c>
      <c r="C2805" s="10">
        <v>-0.17100000000000001</v>
      </c>
      <c r="D2805" s="9" t="s">
        <v>1709</v>
      </c>
      <c r="E2805" s="11" t="s">
        <v>1710</v>
      </c>
      <c r="F2805" s="12" t="s">
        <v>1710</v>
      </c>
      <c r="G2805" s="9" t="s">
        <v>1709</v>
      </c>
    </row>
    <row r="2806" spans="1:7">
      <c r="A2806" s="9" t="s">
        <v>1711</v>
      </c>
      <c r="B2806" s="9">
        <v>0.2</v>
      </c>
      <c r="C2806" s="10">
        <v>6.9000000000000006E-2</v>
      </c>
      <c r="D2806" s="9" t="s">
        <v>1712</v>
      </c>
      <c r="E2806" s="11" t="s">
        <v>1739</v>
      </c>
      <c r="F2806" s="12" t="s">
        <v>1714</v>
      </c>
      <c r="G2806" s="9" t="s">
        <v>1709</v>
      </c>
    </row>
    <row r="2807" spans="1:7">
      <c r="A2807" s="9" t="s">
        <v>1711</v>
      </c>
      <c r="B2807" s="9">
        <v>0.2</v>
      </c>
      <c r="C2807" s="10">
        <v>0.64100000000000001</v>
      </c>
      <c r="D2807" s="9" t="s">
        <v>1712</v>
      </c>
      <c r="E2807" s="11" t="s">
        <v>1737</v>
      </c>
      <c r="F2807" s="12" t="s">
        <v>1714</v>
      </c>
      <c r="G2807" s="9" t="s">
        <v>1709</v>
      </c>
    </row>
    <row r="2808" spans="1:7">
      <c r="A2808" s="9" t="s">
        <v>1711</v>
      </c>
      <c r="B2808" s="9">
        <v>0.2</v>
      </c>
      <c r="C2808" s="10">
        <v>1.607</v>
      </c>
      <c r="D2808" s="9" t="s">
        <v>1712</v>
      </c>
      <c r="E2808" s="11" t="s">
        <v>1737</v>
      </c>
      <c r="F2808" s="12" t="s">
        <v>1714</v>
      </c>
      <c r="G2808" s="9" t="s">
        <v>1709</v>
      </c>
    </row>
    <row r="2809" spans="1:7">
      <c r="A2809" s="9" t="s">
        <v>1711</v>
      </c>
      <c r="B2809" s="9">
        <v>0.2</v>
      </c>
      <c r="C2809" s="10">
        <v>1.1829999999999998</v>
      </c>
      <c r="D2809" s="9" t="s">
        <v>1712</v>
      </c>
      <c r="E2809" s="11" t="s">
        <v>1738</v>
      </c>
      <c r="F2809" s="12" t="s">
        <v>1714</v>
      </c>
      <c r="G2809" s="9" t="s">
        <v>1709</v>
      </c>
    </row>
    <row r="2810" spans="1:7">
      <c r="A2810" s="9" t="s">
        <v>1711</v>
      </c>
      <c r="B2810" s="9">
        <v>0.2</v>
      </c>
      <c r="C2810" s="10">
        <v>1.1829999999999998</v>
      </c>
      <c r="D2810" s="9" t="s">
        <v>1712</v>
      </c>
      <c r="E2810" s="11" t="s">
        <v>1738</v>
      </c>
      <c r="F2810" s="12" t="s">
        <v>1714</v>
      </c>
      <c r="G2810" s="9" t="s">
        <v>1709</v>
      </c>
    </row>
    <row r="2811" spans="1:7">
      <c r="A2811" s="9" t="s">
        <v>1711</v>
      </c>
      <c r="B2811" s="9">
        <v>0.2</v>
      </c>
      <c r="C2811" s="10">
        <v>0.79800000000000004</v>
      </c>
      <c r="D2811" s="9" t="s">
        <v>1712</v>
      </c>
      <c r="E2811" s="11" t="s">
        <v>1738</v>
      </c>
      <c r="F2811" s="12" t="s">
        <v>1714</v>
      </c>
      <c r="G2811" s="9" t="s">
        <v>1709</v>
      </c>
    </row>
    <row r="2812" spans="1:7">
      <c r="A2812" s="9" t="s">
        <v>1711</v>
      </c>
      <c r="B2812" s="9">
        <v>0.2</v>
      </c>
      <c r="C2812" s="10">
        <v>-6.4000000000000001E-2</v>
      </c>
      <c r="D2812" s="9" t="s">
        <v>1709</v>
      </c>
      <c r="E2812" s="11" t="s">
        <v>1710</v>
      </c>
      <c r="F2812" s="12" t="s">
        <v>1710</v>
      </c>
      <c r="G2812" s="9" t="s">
        <v>1709</v>
      </c>
    </row>
    <row r="2813" spans="1:7">
      <c r="A2813" s="9" t="s">
        <v>1711</v>
      </c>
      <c r="B2813" s="9">
        <v>0.2</v>
      </c>
      <c r="C2813" s="10">
        <v>0.23200000000000001</v>
      </c>
      <c r="D2813" s="9" t="s">
        <v>1712</v>
      </c>
      <c r="E2813" s="11" t="s">
        <v>1713</v>
      </c>
      <c r="F2813" s="12" t="s">
        <v>1714</v>
      </c>
      <c r="G2813" s="9" t="s">
        <v>1709</v>
      </c>
    </row>
    <row r="2814" spans="1:7">
      <c r="A2814" s="9" t="s">
        <v>1711</v>
      </c>
      <c r="B2814" s="9">
        <v>0.2</v>
      </c>
      <c r="C2814" s="10">
        <v>0.23200000000000001</v>
      </c>
      <c r="D2814" s="9" t="s">
        <v>1712</v>
      </c>
      <c r="E2814" s="11" t="s">
        <v>1713</v>
      </c>
      <c r="F2814" s="12" t="s">
        <v>1714</v>
      </c>
      <c r="G2814" s="9" t="s">
        <v>1709</v>
      </c>
    </row>
    <row r="2815" spans="1:7">
      <c r="A2815" s="9" t="s">
        <v>1711</v>
      </c>
      <c r="B2815" s="9">
        <v>0.2</v>
      </c>
      <c r="C2815" s="10">
        <v>0.23200000000000001</v>
      </c>
      <c r="D2815" s="9" t="s">
        <v>1712</v>
      </c>
      <c r="E2815" s="11" t="s">
        <v>1713</v>
      </c>
      <c r="F2815" s="12" t="s">
        <v>1714</v>
      </c>
      <c r="G2815" s="9" t="s">
        <v>1709</v>
      </c>
    </row>
    <row r="2816" spans="1:7">
      <c r="A2816" s="9" t="s">
        <v>1711</v>
      </c>
      <c r="B2816" s="9">
        <v>0.2</v>
      </c>
      <c r="C2816" s="10">
        <v>0.23200000000000001</v>
      </c>
      <c r="D2816" s="9" t="s">
        <v>1712</v>
      </c>
      <c r="E2816" s="11" t="s">
        <v>1713</v>
      </c>
      <c r="F2816" s="12" t="s">
        <v>1714</v>
      </c>
      <c r="G2816" s="9" t="s">
        <v>1709</v>
      </c>
    </row>
    <row r="2817" spans="1:7">
      <c r="A2817" s="9" t="s">
        <v>1711</v>
      </c>
      <c r="B2817" s="13">
        <v>0.2</v>
      </c>
      <c r="C2817" s="10">
        <v>0.23200000000000001</v>
      </c>
      <c r="D2817" s="9" t="s">
        <v>1712</v>
      </c>
      <c r="E2817" s="11" t="s">
        <v>1713</v>
      </c>
      <c r="F2817" s="12" t="s">
        <v>1714</v>
      </c>
      <c r="G2817" s="9" t="s">
        <v>1709</v>
      </c>
    </row>
    <row r="2818" spans="1:7">
      <c r="A2818" s="9" t="s">
        <v>1711</v>
      </c>
      <c r="B2818" s="13">
        <v>0.2</v>
      </c>
      <c r="C2818" s="10">
        <v>0.23200000000000001</v>
      </c>
      <c r="D2818" s="9" t="s">
        <v>1712</v>
      </c>
      <c r="E2818" s="11" t="s">
        <v>1713</v>
      </c>
      <c r="F2818" s="12" t="s">
        <v>1714</v>
      </c>
      <c r="G2818" s="9" t="s">
        <v>1709</v>
      </c>
    </row>
    <row r="2819" spans="1:7">
      <c r="A2819" s="9" t="s">
        <v>1711</v>
      </c>
      <c r="B2819" s="9">
        <v>0.2</v>
      </c>
      <c r="C2819" s="10">
        <v>0.23200000000000001</v>
      </c>
      <c r="D2819" s="9" t="s">
        <v>1712</v>
      </c>
      <c r="E2819" s="11" t="s">
        <v>1713</v>
      </c>
      <c r="F2819" s="12" t="s">
        <v>1714</v>
      </c>
      <c r="G2819" s="9" t="s">
        <v>1709</v>
      </c>
    </row>
    <row r="2820" spans="1:7">
      <c r="A2820" s="9" t="s">
        <v>1711</v>
      </c>
      <c r="B2820" s="9">
        <v>0.2</v>
      </c>
      <c r="C2820" s="10">
        <v>0.23200000000000001</v>
      </c>
      <c r="D2820" s="9" t="s">
        <v>1712</v>
      </c>
      <c r="E2820" s="11" t="s">
        <v>1713</v>
      </c>
      <c r="F2820" s="12" t="s">
        <v>1714</v>
      </c>
      <c r="G2820" s="9" t="s">
        <v>1709</v>
      </c>
    </row>
    <row r="2821" spans="1:7">
      <c r="A2821" s="9" t="s">
        <v>1711</v>
      </c>
      <c r="B2821" s="9">
        <v>0.2</v>
      </c>
      <c r="C2821" s="10">
        <v>0.23200000000000001</v>
      </c>
      <c r="D2821" s="9" t="s">
        <v>1712</v>
      </c>
      <c r="E2821" s="11" t="s">
        <v>1713</v>
      </c>
      <c r="F2821" s="12" t="s">
        <v>1714</v>
      </c>
      <c r="G2821" s="9" t="s">
        <v>1709</v>
      </c>
    </row>
    <row r="2822" spans="1:7">
      <c r="A2822" s="9" t="s">
        <v>1711</v>
      </c>
      <c r="B2822" s="9">
        <v>0.2</v>
      </c>
      <c r="C2822" s="10">
        <v>0.80700000000000005</v>
      </c>
      <c r="D2822" s="9" t="s">
        <v>1712</v>
      </c>
      <c r="E2822" s="11" t="s">
        <v>1715</v>
      </c>
      <c r="F2822" s="12" t="s">
        <v>1714</v>
      </c>
      <c r="G2822" s="9" t="s">
        <v>1709</v>
      </c>
    </row>
    <row r="2823" spans="1:7">
      <c r="A2823" s="9" t="s">
        <v>1711</v>
      </c>
      <c r="B2823" s="9">
        <v>0.2</v>
      </c>
      <c r="C2823" s="10">
        <v>0.13800000000000001</v>
      </c>
      <c r="D2823" s="9" t="s">
        <v>1712</v>
      </c>
      <c r="E2823" s="11" t="s">
        <v>1715</v>
      </c>
      <c r="F2823" s="12" t="s">
        <v>1714</v>
      </c>
      <c r="G2823" s="9" t="s">
        <v>1709</v>
      </c>
    </row>
    <row r="2824" spans="1:7">
      <c r="A2824" s="9" t="s">
        <v>1711</v>
      </c>
      <c r="B2824" s="13">
        <v>0.2</v>
      </c>
      <c r="C2824" s="10">
        <v>-4.3999999999999997E-2</v>
      </c>
      <c r="D2824" s="9" t="s">
        <v>1709</v>
      </c>
      <c r="E2824" s="11" t="s">
        <v>1710</v>
      </c>
      <c r="F2824" s="12" t="s">
        <v>1710</v>
      </c>
      <c r="G2824" s="9" t="s">
        <v>1709</v>
      </c>
    </row>
    <row r="2825" spans="1:7">
      <c r="A2825" s="9" t="s">
        <v>1711</v>
      </c>
      <c r="B2825" s="9">
        <v>0.2</v>
      </c>
      <c r="C2825" s="10">
        <v>-4.5999999999999999E-2</v>
      </c>
      <c r="D2825" s="9" t="s">
        <v>1709</v>
      </c>
      <c r="E2825" s="11" t="s">
        <v>1710</v>
      </c>
      <c r="F2825" s="12" t="s">
        <v>1710</v>
      </c>
      <c r="G2825" s="9" t="s">
        <v>1709</v>
      </c>
    </row>
    <row r="2826" spans="1:7">
      <c r="A2826" s="9" t="s">
        <v>1711</v>
      </c>
      <c r="B2826" s="9">
        <v>0.2</v>
      </c>
      <c r="C2826" s="10">
        <v>0.996</v>
      </c>
      <c r="D2826" s="9" t="s">
        <v>1712</v>
      </c>
      <c r="E2826" s="11" t="s">
        <v>1715</v>
      </c>
      <c r="F2826" s="12" t="s">
        <v>1714</v>
      </c>
      <c r="G2826" s="9" t="s">
        <v>1709</v>
      </c>
    </row>
    <row r="2827" spans="1:7">
      <c r="A2827" s="9" t="s">
        <v>1711</v>
      </c>
      <c r="B2827" s="9">
        <v>0.2</v>
      </c>
      <c r="C2827" s="10">
        <v>0.70699999999999996</v>
      </c>
      <c r="D2827" s="9" t="s">
        <v>1712</v>
      </c>
      <c r="E2827" s="11" t="s">
        <v>1715</v>
      </c>
      <c r="F2827" s="12" t="s">
        <v>1714</v>
      </c>
      <c r="G2827" s="9" t="s">
        <v>1709</v>
      </c>
    </row>
    <row r="2828" spans="1:7">
      <c r="A2828" s="9" t="s">
        <v>1711</v>
      </c>
      <c r="B2828" s="9">
        <v>0.2</v>
      </c>
      <c r="C2828" s="10">
        <v>-0.17799999999999999</v>
      </c>
      <c r="D2828" s="9" t="s">
        <v>1709</v>
      </c>
      <c r="E2828" s="11" t="s">
        <v>1710</v>
      </c>
      <c r="F2828" s="12" t="s">
        <v>1710</v>
      </c>
      <c r="G2828" s="9" t="s">
        <v>1709</v>
      </c>
    </row>
    <row r="2829" spans="1:7">
      <c r="A2829" s="9" t="s">
        <v>1711</v>
      </c>
      <c r="B2829" s="13">
        <v>0.2</v>
      </c>
      <c r="C2829" s="10">
        <v>-0.126</v>
      </c>
      <c r="D2829" s="9" t="s">
        <v>1709</v>
      </c>
      <c r="E2829" s="11" t="s">
        <v>1710</v>
      </c>
      <c r="F2829" s="12" t="s">
        <v>1710</v>
      </c>
      <c r="G2829" s="9" t="s">
        <v>1709</v>
      </c>
    </row>
    <row r="2830" spans="1:7">
      <c r="A2830" s="9" t="s">
        <v>1711</v>
      </c>
      <c r="B2830" s="13">
        <v>0.2</v>
      </c>
      <c r="C2830" s="10">
        <v>7.2999999999999995E-2</v>
      </c>
      <c r="D2830" s="9" t="s">
        <v>1712</v>
      </c>
      <c r="E2830" s="11" t="s">
        <v>1737</v>
      </c>
      <c r="F2830" s="12" t="s">
        <v>1714</v>
      </c>
      <c r="G2830" s="9" t="s">
        <v>1709</v>
      </c>
    </row>
    <row r="2831" spans="1:7">
      <c r="A2831" s="9" t="s">
        <v>1711</v>
      </c>
      <c r="B2831" s="9">
        <v>0.2</v>
      </c>
      <c r="C2831" s="10">
        <v>1.1829999999999998</v>
      </c>
      <c r="D2831" s="9" t="s">
        <v>1712</v>
      </c>
      <c r="E2831" s="11" t="s">
        <v>1738</v>
      </c>
      <c r="F2831" s="12" t="s">
        <v>1714</v>
      </c>
      <c r="G2831" s="9" t="s">
        <v>1709</v>
      </c>
    </row>
    <row r="2832" spans="1:7">
      <c r="A2832" s="9" t="s">
        <v>1711</v>
      </c>
      <c r="B2832" s="13">
        <v>0.2</v>
      </c>
      <c r="C2832" s="10">
        <v>1.1119999999999999</v>
      </c>
      <c r="D2832" s="9" t="s">
        <v>1712</v>
      </c>
      <c r="E2832" s="11" t="s">
        <v>1713</v>
      </c>
      <c r="F2832" s="12" t="s">
        <v>1714</v>
      </c>
      <c r="G2832" s="9" t="s">
        <v>1709</v>
      </c>
    </row>
    <row r="2833" spans="1:7">
      <c r="A2833" s="9" t="s">
        <v>1711</v>
      </c>
      <c r="B2833" s="13">
        <v>0.2</v>
      </c>
      <c r="C2833" s="10">
        <v>0.79800000000000004</v>
      </c>
      <c r="D2833" s="9" t="s">
        <v>1712</v>
      </c>
      <c r="E2833" s="11" t="s">
        <v>1737</v>
      </c>
      <c r="F2833" s="12" t="s">
        <v>1714</v>
      </c>
      <c r="G2833" s="9" t="s">
        <v>1709</v>
      </c>
    </row>
    <row r="2834" spans="1:7">
      <c r="A2834" s="9" t="s">
        <v>1711</v>
      </c>
      <c r="B2834" s="13">
        <v>0.2</v>
      </c>
      <c r="C2834" s="10">
        <v>1.601</v>
      </c>
      <c r="D2834" s="9" t="s">
        <v>1712</v>
      </c>
      <c r="E2834" s="11" t="s">
        <v>1737</v>
      </c>
      <c r="F2834" s="12" t="s">
        <v>1714</v>
      </c>
      <c r="G2834" s="9" t="s">
        <v>1709</v>
      </c>
    </row>
    <row r="2835" spans="1:7">
      <c r="A2835" s="9" t="s">
        <v>1711</v>
      </c>
      <c r="B2835" s="13">
        <v>0.2</v>
      </c>
      <c r="C2835" s="10">
        <v>1.601</v>
      </c>
      <c r="D2835" s="9" t="s">
        <v>1712</v>
      </c>
      <c r="E2835" s="11" t="s">
        <v>1737</v>
      </c>
      <c r="F2835" s="12" t="s">
        <v>1714</v>
      </c>
      <c r="G2835" s="9" t="s">
        <v>1709</v>
      </c>
    </row>
    <row r="2836" spans="1:7">
      <c r="A2836" s="9" t="s">
        <v>1711</v>
      </c>
      <c r="B2836" s="13">
        <v>0.2</v>
      </c>
      <c r="C2836" s="10">
        <v>1.601</v>
      </c>
      <c r="D2836" s="9" t="s">
        <v>1712</v>
      </c>
      <c r="E2836" s="11" t="s">
        <v>1737</v>
      </c>
      <c r="F2836" s="12" t="s">
        <v>1714</v>
      </c>
      <c r="G2836" s="9" t="s">
        <v>1709</v>
      </c>
    </row>
    <row r="2837" spans="1:7">
      <c r="A2837" s="9" t="s">
        <v>1711</v>
      </c>
      <c r="B2837" s="13">
        <v>0.2</v>
      </c>
      <c r="C2837" s="10">
        <v>1.853</v>
      </c>
      <c r="D2837" s="9" t="s">
        <v>1712</v>
      </c>
      <c r="E2837" s="11" t="s">
        <v>1736</v>
      </c>
      <c r="F2837" s="12" t="s">
        <v>1714</v>
      </c>
      <c r="G2837" s="9" t="s">
        <v>1709</v>
      </c>
    </row>
    <row r="2838" spans="1:7">
      <c r="A2838" s="9" t="s">
        <v>1711</v>
      </c>
      <c r="B2838" s="13">
        <v>0.2</v>
      </c>
      <c r="C2838" s="10">
        <v>1.6289999999999998</v>
      </c>
      <c r="D2838" s="9" t="s">
        <v>1712</v>
      </c>
      <c r="E2838" s="11" t="s">
        <v>1715</v>
      </c>
      <c r="F2838" s="12" t="s">
        <v>1714</v>
      </c>
      <c r="G2838" s="9" t="s">
        <v>1709</v>
      </c>
    </row>
    <row r="2839" spans="1:7">
      <c r="A2839" s="9" t="s">
        <v>1711</v>
      </c>
      <c r="B2839" s="13">
        <v>0.2</v>
      </c>
      <c r="C2839" s="10">
        <v>-3.0000000000000002E-2</v>
      </c>
      <c r="D2839" s="9" t="s">
        <v>1709</v>
      </c>
      <c r="E2839" s="11" t="s">
        <v>1710</v>
      </c>
      <c r="F2839" s="12" t="s">
        <v>1710</v>
      </c>
      <c r="G2839" s="9" t="s">
        <v>1709</v>
      </c>
    </row>
    <row r="2840" spans="1:7">
      <c r="A2840" s="9" t="s">
        <v>1711</v>
      </c>
      <c r="B2840" s="13">
        <v>0.2</v>
      </c>
      <c r="C2840" s="10">
        <v>0.75600000000000001</v>
      </c>
      <c r="D2840" s="9" t="s">
        <v>1712</v>
      </c>
      <c r="E2840" s="11" t="s">
        <v>1738</v>
      </c>
      <c r="F2840" s="12" t="s">
        <v>1714</v>
      </c>
      <c r="G2840" s="9" t="s">
        <v>1709</v>
      </c>
    </row>
    <row r="2841" spans="1:7">
      <c r="A2841" s="9" t="s">
        <v>1711</v>
      </c>
      <c r="B2841" s="13">
        <v>0.2</v>
      </c>
      <c r="C2841" s="10">
        <v>0.60399999999999998</v>
      </c>
      <c r="D2841" s="9" t="s">
        <v>1712</v>
      </c>
      <c r="E2841" s="11" t="s">
        <v>1737</v>
      </c>
      <c r="F2841" s="12" t="s">
        <v>1714</v>
      </c>
      <c r="G2841" s="9" t="s">
        <v>1709</v>
      </c>
    </row>
    <row r="2842" spans="1:7">
      <c r="A2842" s="9" t="s">
        <v>1711</v>
      </c>
      <c r="B2842" s="13">
        <v>0.2</v>
      </c>
      <c r="C2842" s="10">
        <v>-4.0000000000000001E-3</v>
      </c>
      <c r="D2842" s="9" t="s">
        <v>1709</v>
      </c>
      <c r="E2842" s="11" t="s">
        <v>1710</v>
      </c>
      <c r="F2842" s="12" t="s">
        <v>1710</v>
      </c>
      <c r="G2842" s="9" t="s">
        <v>1709</v>
      </c>
    </row>
    <row r="2843" spans="1:7">
      <c r="A2843" s="9" t="s">
        <v>1711</v>
      </c>
      <c r="B2843" s="13">
        <v>0.2</v>
      </c>
      <c r="C2843" s="10">
        <v>0.84</v>
      </c>
      <c r="D2843" s="9" t="s">
        <v>1712</v>
      </c>
      <c r="E2843" s="11" t="s">
        <v>1713</v>
      </c>
      <c r="F2843" s="12" t="s">
        <v>1714</v>
      </c>
      <c r="G2843" s="9" t="s">
        <v>1709</v>
      </c>
    </row>
    <row r="2844" spans="1:7">
      <c r="A2844" s="9" t="s">
        <v>1711</v>
      </c>
      <c r="B2844" s="9">
        <v>0.2</v>
      </c>
      <c r="C2844" s="10">
        <v>0.27600000000000002</v>
      </c>
      <c r="D2844" s="9" t="s">
        <v>1712</v>
      </c>
      <c r="E2844" s="11" t="s">
        <v>1713</v>
      </c>
      <c r="F2844" s="12" t="s">
        <v>1714</v>
      </c>
      <c r="G2844" s="9" t="s">
        <v>1709</v>
      </c>
    </row>
    <row r="2845" spans="1:7">
      <c r="A2845" s="9" t="s">
        <v>1711</v>
      </c>
      <c r="B2845" s="9">
        <v>0.2</v>
      </c>
      <c r="C2845" s="10">
        <v>-3.0000000000000002E-2</v>
      </c>
      <c r="D2845" s="9" t="s">
        <v>1709</v>
      </c>
      <c r="E2845" s="11" t="s">
        <v>1710</v>
      </c>
      <c r="F2845" s="12" t="s">
        <v>1710</v>
      </c>
      <c r="G2845" s="9" t="s">
        <v>1709</v>
      </c>
    </row>
    <row r="2846" spans="1:7">
      <c r="A2846" s="9" t="s">
        <v>1711</v>
      </c>
      <c r="B2846" s="9">
        <v>0.2</v>
      </c>
      <c r="C2846" s="10">
        <v>2.8000000000000001E-2</v>
      </c>
      <c r="D2846" s="9" t="s">
        <v>1712</v>
      </c>
      <c r="E2846" s="11" t="s">
        <v>1713</v>
      </c>
      <c r="F2846" s="12" t="s">
        <v>1714</v>
      </c>
      <c r="G2846" s="9" t="s">
        <v>1709</v>
      </c>
    </row>
    <row r="2847" spans="1:7">
      <c r="A2847" s="9" t="s">
        <v>1711</v>
      </c>
      <c r="B2847" s="9">
        <v>0.2</v>
      </c>
      <c r="C2847" s="10">
        <v>1.9E-2</v>
      </c>
      <c r="D2847" s="9" t="s">
        <v>1712</v>
      </c>
      <c r="E2847" s="11" t="s">
        <v>1713</v>
      </c>
      <c r="F2847" s="12" t="s">
        <v>1714</v>
      </c>
      <c r="G2847" s="9" t="s">
        <v>1709</v>
      </c>
    </row>
    <row r="2848" spans="1:7">
      <c r="A2848" s="9" t="s">
        <v>1711</v>
      </c>
      <c r="B2848" s="9">
        <v>0.2</v>
      </c>
      <c r="C2848" s="10">
        <v>-0.13900000000000001</v>
      </c>
      <c r="D2848" s="9" t="s">
        <v>1709</v>
      </c>
      <c r="E2848" s="11" t="s">
        <v>1710</v>
      </c>
      <c r="F2848" s="12" t="s">
        <v>1710</v>
      </c>
      <c r="G2848" s="9" t="s">
        <v>1709</v>
      </c>
    </row>
    <row r="2849" spans="1:7">
      <c r="A2849" s="9" t="s">
        <v>1711</v>
      </c>
      <c r="B2849" s="13">
        <v>0.2</v>
      </c>
      <c r="C2849" s="10">
        <v>-0.13900000000000001</v>
      </c>
      <c r="D2849" s="9" t="s">
        <v>1709</v>
      </c>
      <c r="E2849" s="11" t="s">
        <v>1710</v>
      </c>
      <c r="F2849" s="12" t="s">
        <v>1710</v>
      </c>
      <c r="G2849" s="9" t="s">
        <v>1709</v>
      </c>
    </row>
    <row r="2850" spans="1:7">
      <c r="A2850" s="9" t="s">
        <v>1711</v>
      </c>
      <c r="B2850" s="13">
        <v>0.2</v>
      </c>
      <c r="C2850" s="10">
        <v>-8.1000000000000003E-2</v>
      </c>
      <c r="D2850" s="9" t="s">
        <v>1709</v>
      </c>
      <c r="E2850" s="11" t="s">
        <v>1710</v>
      </c>
      <c r="F2850" s="12" t="s">
        <v>1710</v>
      </c>
      <c r="G2850" s="9" t="s">
        <v>1709</v>
      </c>
    </row>
    <row r="2851" spans="1:7">
      <c r="A2851" s="9" t="s">
        <v>1711</v>
      </c>
      <c r="B2851" s="13">
        <v>0.2</v>
      </c>
      <c r="C2851" s="10">
        <v>-7.8E-2</v>
      </c>
      <c r="D2851" s="9" t="s">
        <v>1709</v>
      </c>
      <c r="E2851" s="11" t="s">
        <v>1710</v>
      </c>
      <c r="F2851" s="12" t="s">
        <v>1710</v>
      </c>
      <c r="G2851" s="9" t="s">
        <v>1709</v>
      </c>
    </row>
    <row r="2852" spans="1:7">
      <c r="A2852" s="9" t="s">
        <v>1711</v>
      </c>
      <c r="B2852" s="13">
        <v>0.2</v>
      </c>
      <c r="C2852" s="10">
        <v>-0.104</v>
      </c>
      <c r="D2852" s="9" t="s">
        <v>1709</v>
      </c>
      <c r="E2852" s="11" t="s">
        <v>1710</v>
      </c>
      <c r="F2852" s="12" t="s">
        <v>1710</v>
      </c>
      <c r="G2852" s="9" t="s">
        <v>1709</v>
      </c>
    </row>
    <row r="2853" spans="1:7">
      <c r="A2853" s="9" t="s">
        <v>1711</v>
      </c>
      <c r="B2853" s="13">
        <v>0.2</v>
      </c>
      <c r="C2853" s="10">
        <v>-1.4999999999999999E-2</v>
      </c>
      <c r="D2853" s="9" t="s">
        <v>1709</v>
      </c>
      <c r="E2853" s="11" t="s">
        <v>1710</v>
      </c>
      <c r="F2853" s="12" t="s">
        <v>1710</v>
      </c>
      <c r="G2853" s="9" t="s">
        <v>1709</v>
      </c>
    </row>
    <row r="2854" spans="1:7">
      <c r="A2854" s="9" t="s">
        <v>1711</v>
      </c>
      <c r="B2854" s="13">
        <v>0.2</v>
      </c>
      <c r="C2854" s="10">
        <v>-3.1E-2</v>
      </c>
      <c r="D2854" s="9" t="s">
        <v>1709</v>
      </c>
      <c r="E2854" s="11" t="s">
        <v>1710</v>
      </c>
      <c r="F2854" s="12" t="s">
        <v>1710</v>
      </c>
      <c r="G2854" s="9" t="s">
        <v>1709</v>
      </c>
    </row>
    <row r="2855" spans="1:7">
      <c r="A2855" s="9" t="s">
        <v>1711</v>
      </c>
      <c r="B2855" s="9">
        <v>0.2</v>
      </c>
      <c r="C2855" s="10">
        <v>-8.8999999999999996E-2</v>
      </c>
      <c r="D2855" s="9" t="s">
        <v>1709</v>
      </c>
      <c r="E2855" s="11" t="s">
        <v>1710</v>
      </c>
      <c r="F2855" s="12" t="s">
        <v>1710</v>
      </c>
      <c r="G2855" s="9" t="s">
        <v>1709</v>
      </c>
    </row>
    <row r="2856" spans="1:7">
      <c r="A2856" s="9" t="s">
        <v>1711</v>
      </c>
      <c r="B2856" s="9">
        <v>0.2</v>
      </c>
      <c r="C2856" s="10">
        <v>-5.3999999999999999E-2</v>
      </c>
      <c r="D2856" s="9" t="s">
        <v>1709</v>
      </c>
      <c r="E2856" s="11" t="s">
        <v>1710</v>
      </c>
      <c r="F2856" s="12" t="s">
        <v>1710</v>
      </c>
      <c r="G2856" s="9" t="s">
        <v>1709</v>
      </c>
    </row>
    <row r="2857" spans="1:7">
      <c r="A2857" s="9" t="s">
        <v>1711</v>
      </c>
      <c r="B2857" s="13">
        <v>0.2</v>
      </c>
      <c r="C2857" s="10">
        <v>-8.3000000000000004E-2</v>
      </c>
      <c r="D2857" s="9" t="s">
        <v>1709</v>
      </c>
      <c r="E2857" s="11" t="s">
        <v>1710</v>
      </c>
      <c r="F2857" s="12" t="s">
        <v>1710</v>
      </c>
      <c r="G2857" s="9" t="s">
        <v>1709</v>
      </c>
    </row>
    <row r="2858" spans="1:7">
      <c r="A2858" s="9" t="s">
        <v>1711</v>
      </c>
      <c r="B2858" s="13">
        <v>0.2</v>
      </c>
      <c r="C2858" s="10">
        <v>-8.3000000000000004E-2</v>
      </c>
      <c r="D2858" s="9" t="s">
        <v>1709</v>
      </c>
      <c r="E2858" s="11" t="s">
        <v>1710</v>
      </c>
      <c r="F2858" s="12" t="s">
        <v>1710</v>
      </c>
      <c r="G2858" s="9" t="s">
        <v>1709</v>
      </c>
    </row>
    <row r="2859" spans="1:7">
      <c r="A2859" s="9" t="s">
        <v>1711</v>
      </c>
      <c r="B2859" s="13">
        <v>0.2</v>
      </c>
      <c r="C2859" s="10">
        <v>-8.3000000000000004E-2</v>
      </c>
      <c r="D2859" s="9" t="s">
        <v>1709</v>
      </c>
      <c r="E2859" s="11" t="s">
        <v>1710</v>
      </c>
      <c r="F2859" s="12" t="s">
        <v>1710</v>
      </c>
      <c r="G2859" s="9" t="s">
        <v>1709</v>
      </c>
    </row>
    <row r="2860" spans="1:7">
      <c r="A2860" s="9" t="s">
        <v>1711</v>
      </c>
      <c r="B2860" s="9">
        <v>0.2</v>
      </c>
      <c r="C2860" s="10">
        <v>-8.3000000000000004E-2</v>
      </c>
      <c r="D2860" s="9" t="s">
        <v>1709</v>
      </c>
      <c r="E2860" s="11" t="s">
        <v>1710</v>
      </c>
      <c r="F2860" s="12" t="s">
        <v>1710</v>
      </c>
      <c r="G2860" s="9" t="s">
        <v>1709</v>
      </c>
    </row>
    <row r="2861" spans="1:7">
      <c r="A2861" s="9" t="s">
        <v>1711</v>
      </c>
      <c r="B2861" s="13">
        <v>0.2</v>
      </c>
      <c r="C2861" s="10">
        <v>2E-3</v>
      </c>
      <c r="D2861" s="9" t="s">
        <v>1712</v>
      </c>
      <c r="E2861" s="11" t="s">
        <v>1715</v>
      </c>
      <c r="F2861" s="12" t="s">
        <v>1714</v>
      </c>
      <c r="G2861" s="9" t="s">
        <v>1709</v>
      </c>
    </row>
    <row r="2862" spans="1:7">
      <c r="A2862" s="9" t="s">
        <v>1711</v>
      </c>
      <c r="B2862" s="13">
        <v>0.2</v>
      </c>
      <c r="C2862" s="10">
        <v>1.105</v>
      </c>
      <c r="D2862" s="9" t="s">
        <v>1712</v>
      </c>
      <c r="E2862" s="11" t="s">
        <v>1715</v>
      </c>
      <c r="F2862" s="12" t="s">
        <v>1714</v>
      </c>
      <c r="G2862" s="9" t="s">
        <v>1709</v>
      </c>
    </row>
    <row r="2863" spans="1:7">
      <c r="A2863" s="9" t="s">
        <v>1711</v>
      </c>
      <c r="B2863" s="13">
        <v>0.2</v>
      </c>
      <c r="C2863" s="10">
        <v>1.105</v>
      </c>
      <c r="D2863" s="9" t="s">
        <v>1712</v>
      </c>
      <c r="E2863" s="11" t="s">
        <v>1715</v>
      </c>
      <c r="F2863" s="12" t="s">
        <v>1714</v>
      </c>
      <c r="G2863" s="9" t="s">
        <v>1709</v>
      </c>
    </row>
    <row r="2864" spans="1:7">
      <c r="A2864" s="9" t="s">
        <v>1711</v>
      </c>
      <c r="B2864" s="13">
        <v>0.2</v>
      </c>
      <c r="C2864" s="10">
        <v>2.149</v>
      </c>
      <c r="D2864" s="9" t="s">
        <v>1712</v>
      </c>
      <c r="E2864" s="11" t="s">
        <v>1715</v>
      </c>
      <c r="F2864" s="12" t="s">
        <v>1714</v>
      </c>
      <c r="G2864" s="9" t="s">
        <v>1709</v>
      </c>
    </row>
    <row r="2865" spans="1:7">
      <c r="A2865" s="9" t="s">
        <v>1711</v>
      </c>
      <c r="B2865" s="9">
        <v>0.2</v>
      </c>
      <c r="C2865" s="10">
        <v>2.149</v>
      </c>
      <c r="D2865" s="9" t="s">
        <v>1712</v>
      </c>
      <c r="E2865" s="11" t="s">
        <v>1715</v>
      </c>
      <c r="F2865" s="12" t="s">
        <v>1714</v>
      </c>
      <c r="G2865" s="9" t="s">
        <v>1709</v>
      </c>
    </row>
    <row r="2866" spans="1:7">
      <c r="A2866" s="9" t="s">
        <v>1711</v>
      </c>
      <c r="B2866" s="9">
        <v>0.2</v>
      </c>
      <c r="C2866" s="10">
        <v>2.5000000000000001E-2</v>
      </c>
      <c r="D2866" s="9" t="s">
        <v>1712</v>
      </c>
      <c r="E2866" s="11" t="s">
        <v>1715</v>
      </c>
      <c r="F2866" s="12" t="s">
        <v>1714</v>
      </c>
      <c r="G2866" s="9" t="s">
        <v>1709</v>
      </c>
    </row>
    <row r="2867" spans="1:7">
      <c r="A2867" s="9" t="s">
        <v>1711</v>
      </c>
      <c r="B2867" s="9">
        <v>0.2</v>
      </c>
      <c r="C2867" s="10">
        <v>0.08</v>
      </c>
      <c r="D2867" s="9" t="s">
        <v>1712</v>
      </c>
      <c r="E2867" s="11" t="s">
        <v>1715</v>
      </c>
      <c r="F2867" s="12" t="s">
        <v>1714</v>
      </c>
      <c r="G2867" s="9" t="s">
        <v>1709</v>
      </c>
    </row>
    <row r="2868" spans="1:7">
      <c r="A2868" s="9" t="s">
        <v>1711</v>
      </c>
      <c r="B2868" s="9">
        <v>0.2</v>
      </c>
      <c r="C2868" s="10">
        <v>0.08</v>
      </c>
      <c r="D2868" s="9" t="s">
        <v>1712</v>
      </c>
      <c r="E2868" s="11" t="s">
        <v>1715</v>
      </c>
      <c r="F2868" s="12" t="s">
        <v>1714</v>
      </c>
      <c r="G2868" s="9" t="s">
        <v>1709</v>
      </c>
    </row>
    <row r="2869" spans="1:7">
      <c r="A2869" s="9" t="s">
        <v>1711</v>
      </c>
      <c r="B2869" s="9">
        <v>0.2</v>
      </c>
      <c r="C2869" s="10">
        <v>9.9999999999999985E-3</v>
      </c>
      <c r="D2869" s="9" t="s">
        <v>1712</v>
      </c>
      <c r="E2869" s="11" t="s">
        <v>1736</v>
      </c>
      <c r="F2869" s="12" t="s">
        <v>1714</v>
      </c>
      <c r="G2869" s="9" t="s">
        <v>1709</v>
      </c>
    </row>
    <row r="2870" spans="1:7">
      <c r="A2870" s="9" t="s">
        <v>1711</v>
      </c>
      <c r="B2870" s="13">
        <v>0.2</v>
      </c>
      <c r="C2870" s="10">
        <v>5.3999999999999999E-2</v>
      </c>
      <c r="D2870" s="9" t="s">
        <v>1712</v>
      </c>
      <c r="E2870" s="11" t="s">
        <v>1737</v>
      </c>
      <c r="F2870" s="12" t="s">
        <v>1714</v>
      </c>
      <c r="G2870" s="9" t="s">
        <v>1709</v>
      </c>
    </row>
    <row r="2871" spans="1:7">
      <c r="A2871" s="9" t="s">
        <v>1711</v>
      </c>
      <c r="B2871" s="13">
        <v>0.2</v>
      </c>
      <c r="C2871" s="10">
        <v>0.23200000000000001</v>
      </c>
      <c r="D2871" s="9" t="s">
        <v>1712</v>
      </c>
      <c r="E2871" s="11" t="s">
        <v>1738</v>
      </c>
      <c r="F2871" s="12" t="s">
        <v>1714</v>
      </c>
      <c r="G2871" s="9" t="s">
        <v>1709</v>
      </c>
    </row>
    <row r="2872" spans="1:7">
      <c r="A2872" s="9" t="s">
        <v>1711</v>
      </c>
      <c r="B2872" s="13">
        <v>0.2</v>
      </c>
      <c r="C2872" s="10">
        <v>0.115</v>
      </c>
      <c r="D2872" s="9" t="s">
        <v>1712</v>
      </c>
      <c r="E2872" s="11" t="s">
        <v>1737</v>
      </c>
      <c r="F2872" s="12" t="s">
        <v>1714</v>
      </c>
      <c r="G2872" s="9" t="s">
        <v>1709</v>
      </c>
    </row>
    <row r="2873" spans="1:7">
      <c r="A2873" s="9" t="s">
        <v>1711</v>
      </c>
      <c r="B2873" s="9">
        <v>0.2</v>
      </c>
      <c r="C2873" s="10">
        <v>-0.126</v>
      </c>
      <c r="D2873" s="9" t="s">
        <v>1709</v>
      </c>
      <c r="E2873" s="11" t="s">
        <v>1710</v>
      </c>
      <c r="F2873" s="12" t="s">
        <v>1710</v>
      </c>
      <c r="G2873" s="9" t="s">
        <v>1709</v>
      </c>
    </row>
    <row r="2874" spans="1:7">
      <c r="A2874" s="9" t="s">
        <v>1711</v>
      </c>
      <c r="B2874" s="9">
        <v>0.2</v>
      </c>
      <c r="C2874" s="10">
        <v>-0.126</v>
      </c>
      <c r="D2874" s="9" t="s">
        <v>1709</v>
      </c>
      <c r="E2874" s="11" t="s">
        <v>1710</v>
      </c>
      <c r="F2874" s="12" t="s">
        <v>1710</v>
      </c>
      <c r="G2874" s="9" t="s">
        <v>1709</v>
      </c>
    </row>
    <row r="2875" spans="1:7">
      <c r="A2875" s="9" t="s">
        <v>1711</v>
      </c>
      <c r="B2875" s="9">
        <v>0.2</v>
      </c>
      <c r="C2875" s="10">
        <v>-0.126</v>
      </c>
      <c r="D2875" s="9" t="s">
        <v>1709</v>
      </c>
      <c r="E2875" s="11" t="s">
        <v>1710</v>
      </c>
      <c r="F2875" s="12" t="s">
        <v>1710</v>
      </c>
      <c r="G2875" s="9" t="s">
        <v>1709</v>
      </c>
    </row>
    <row r="2876" spans="1:7">
      <c r="A2876" s="9" t="s">
        <v>1711</v>
      </c>
      <c r="B2876" s="9">
        <v>0.2</v>
      </c>
      <c r="C2876" s="10">
        <v>-0.126</v>
      </c>
      <c r="D2876" s="9" t="s">
        <v>1709</v>
      </c>
      <c r="E2876" s="11" t="s">
        <v>1710</v>
      </c>
      <c r="F2876" s="12" t="s">
        <v>1710</v>
      </c>
      <c r="G2876" s="9" t="s">
        <v>1709</v>
      </c>
    </row>
    <row r="2877" spans="1:7">
      <c r="A2877" s="9" t="s">
        <v>1711</v>
      </c>
      <c r="B2877" s="9">
        <v>0.2</v>
      </c>
      <c r="C2877" s="10">
        <v>-0.126</v>
      </c>
      <c r="D2877" s="9" t="s">
        <v>1709</v>
      </c>
      <c r="E2877" s="11" t="s">
        <v>1710</v>
      </c>
      <c r="F2877" s="12" t="s">
        <v>1710</v>
      </c>
      <c r="G2877" s="9" t="s">
        <v>1709</v>
      </c>
    </row>
    <row r="2878" spans="1:7">
      <c r="A2878" s="9" t="s">
        <v>1711</v>
      </c>
      <c r="B2878" s="13">
        <v>0.2</v>
      </c>
      <c r="C2878" s="10">
        <v>-0.126</v>
      </c>
      <c r="D2878" s="9" t="s">
        <v>1709</v>
      </c>
      <c r="E2878" s="11" t="s">
        <v>1710</v>
      </c>
      <c r="F2878" s="12" t="s">
        <v>1710</v>
      </c>
      <c r="G2878" s="9" t="s">
        <v>1709</v>
      </c>
    </row>
    <row r="2879" spans="1:7">
      <c r="A2879" s="9" t="s">
        <v>1711</v>
      </c>
      <c r="B2879" s="13">
        <v>0.2</v>
      </c>
      <c r="C2879" s="10">
        <v>-0.14799999999999999</v>
      </c>
      <c r="D2879" s="9" t="s">
        <v>1709</v>
      </c>
      <c r="E2879" s="11" t="s">
        <v>1710</v>
      </c>
      <c r="F2879" s="12" t="s">
        <v>1710</v>
      </c>
      <c r="G2879" s="9" t="s">
        <v>1709</v>
      </c>
    </row>
    <row r="2880" spans="1:7">
      <c r="A2880" s="9" t="s">
        <v>1711</v>
      </c>
      <c r="B2880" s="9">
        <v>0.2</v>
      </c>
      <c r="C2880" s="10">
        <v>-0.14799999999999999</v>
      </c>
      <c r="D2880" s="9" t="s">
        <v>1709</v>
      </c>
      <c r="E2880" s="11" t="s">
        <v>1710</v>
      </c>
      <c r="F2880" s="12" t="s">
        <v>1710</v>
      </c>
      <c r="G2880" s="9" t="s">
        <v>1709</v>
      </c>
    </row>
    <row r="2881" spans="1:7">
      <c r="A2881" s="9" t="s">
        <v>1711</v>
      </c>
      <c r="B2881" s="13">
        <v>0.2</v>
      </c>
      <c r="C2881" s="10">
        <v>-0.14799999999999999</v>
      </c>
      <c r="D2881" s="9" t="s">
        <v>1709</v>
      </c>
      <c r="E2881" s="11" t="s">
        <v>1710</v>
      </c>
      <c r="F2881" s="12" t="s">
        <v>1710</v>
      </c>
      <c r="G2881" s="9" t="s">
        <v>1709</v>
      </c>
    </row>
    <row r="2882" spans="1:7">
      <c r="A2882" s="9" t="s">
        <v>1711</v>
      </c>
      <c r="B2882" s="9">
        <v>0.2</v>
      </c>
      <c r="C2882" s="10">
        <v>-0.14799999999999999</v>
      </c>
      <c r="D2882" s="9" t="s">
        <v>1709</v>
      </c>
      <c r="E2882" s="11" t="s">
        <v>1710</v>
      </c>
      <c r="F2882" s="12" t="s">
        <v>1710</v>
      </c>
      <c r="G2882" s="9" t="s">
        <v>1709</v>
      </c>
    </row>
    <row r="2883" spans="1:7">
      <c r="A2883" s="9" t="s">
        <v>1711</v>
      </c>
      <c r="B2883" s="13">
        <v>0.2</v>
      </c>
      <c r="C2883" s="10">
        <v>-0.14799999999999999</v>
      </c>
      <c r="D2883" s="9" t="s">
        <v>1709</v>
      </c>
      <c r="E2883" s="11" t="s">
        <v>1710</v>
      </c>
      <c r="F2883" s="12" t="s">
        <v>1710</v>
      </c>
      <c r="G2883" s="9" t="s">
        <v>1709</v>
      </c>
    </row>
    <row r="2884" spans="1:7">
      <c r="A2884" s="9" t="s">
        <v>1711</v>
      </c>
      <c r="B2884" s="13">
        <v>0.2</v>
      </c>
      <c r="C2884" s="10">
        <v>-0.19</v>
      </c>
      <c r="D2884" s="9" t="s">
        <v>1709</v>
      </c>
      <c r="E2884" s="11" t="s">
        <v>1710</v>
      </c>
      <c r="F2884" s="12" t="s">
        <v>1710</v>
      </c>
      <c r="G2884" s="9" t="s">
        <v>1709</v>
      </c>
    </row>
    <row r="2885" spans="1:7">
      <c r="A2885" s="9" t="s">
        <v>1711</v>
      </c>
      <c r="B2885" s="13">
        <v>0.2</v>
      </c>
      <c r="C2885" s="10">
        <v>-0.19</v>
      </c>
      <c r="D2885" s="9" t="s">
        <v>1709</v>
      </c>
      <c r="E2885" s="11" t="s">
        <v>1710</v>
      </c>
      <c r="F2885" s="12" t="s">
        <v>1710</v>
      </c>
      <c r="G2885" s="9" t="s">
        <v>1709</v>
      </c>
    </row>
    <row r="2886" spans="1:7">
      <c r="A2886" s="9" t="s">
        <v>1711</v>
      </c>
      <c r="B2886" s="9">
        <v>0.2</v>
      </c>
      <c r="C2886" s="10">
        <v>-0.19</v>
      </c>
      <c r="D2886" s="9" t="s">
        <v>1709</v>
      </c>
      <c r="E2886" s="11" t="s">
        <v>1710</v>
      </c>
      <c r="F2886" s="12" t="s">
        <v>1710</v>
      </c>
      <c r="G2886" s="9" t="s">
        <v>1709</v>
      </c>
    </row>
    <row r="2887" spans="1:7">
      <c r="A2887" s="9" t="s">
        <v>1711</v>
      </c>
      <c r="B2887" s="13">
        <v>0.2</v>
      </c>
      <c r="C2887" s="10">
        <v>-0.19</v>
      </c>
      <c r="D2887" s="9" t="s">
        <v>1709</v>
      </c>
      <c r="E2887" s="11" t="s">
        <v>1710</v>
      </c>
      <c r="F2887" s="12" t="s">
        <v>1710</v>
      </c>
      <c r="G2887" s="9" t="s">
        <v>1709</v>
      </c>
    </row>
    <row r="2888" spans="1:7">
      <c r="A2888" s="9" t="s">
        <v>1711</v>
      </c>
      <c r="B2888" s="13">
        <v>0.2</v>
      </c>
      <c r="C2888" s="10">
        <v>-0.19</v>
      </c>
      <c r="D2888" s="9" t="s">
        <v>1709</v>
      </c>
      <c r="E2888" s="11" t="s">
        <v>1710</v>
      </c>
      <c r="F2888" s="12" t="s">
        <v>1710</v>
      </c>
      <c r="G2888" s="9" t="s">
        <v>1709</v>
      </c>
    </row>
    <row r="2889" spans="1:7">
      <c r="A2889" s="9" t="s">
        <v>1711</v>
      </c>
      <c r="B2889" s="13">
        <v>0.2</v>
      </c>
      <c r="C2889" s="10">
        <v>-0.19</v>
      </c>
      <c r="D2889" s="9" t="s">
        <v>1709</v>
      </c>
      <c r="E2889" s="11" t="s">
        <v>1710</v>
      </c>
      <c r="F2889" s="12" t="s">
        <v>1710</v>
      </c>
      <c r="G2889" s="9" t="s">
        <v>1709</v>
      </c>
    </row>
    <row r="2890" spans="1:7">
      <c r="A2890" s="9" t="s">
        <v>1711</v>
      </c>
      <c r="B2890" s="13">
        <v>0.2</v>
      </c>
      <c r="C2890" s="10">
        <v>-0.19</v>
      </c>
      <c r="D2890" s="9" t="s">
        <v>1709</v>
      </c>
      <c r="E2890" s="11" t="s">
        <v>1710</v>
      </c>
      <c r="F2890" s="12" t="s">
        <v>1710</v>
      </c>
      <c r="G2890" s="9" t="s">
        <v>1709</v>
      </c>
    </row>
    <row r="2891" spans="1:7">
      <c r="A2891" s="9" t="s">
        <v>1711</v>
      </c>
      <c r="B2891" s="9">
        <v>0.2</v>
      </c>
      <c r="C2891" s="10">
        <v>6.9000000000000006E-2</v>
      </c>
      <c r="D2891" s="9" t="s">
        <v>1712</v>
      </c>
      <c r="E2891" s="11" t="s">
        <v>1738</v>
      </c>
      <c r="F2891" s="12" t="s">
        <v>1714</v>
      </c>
      <c r="G2891" s="9" t="s">
        <v>1709</v>
      </c>
    </row>
    <row r="2892" spans="1:7">
      <c r="A2892" s="9" t="s">
        <v>1711</v>
      </c>
      <c r="B2892" s="9">
        <v>0.2</v>
      </c>
      <c r="C2892" s="10">
        <v>2.7479999999999998</v>
      </c>
      <c r="D2892" s="9" t="s">
        <v>1712</v>
      </c>
      <c r="E2892" s="11" t="s">
        <v>1738</v>
      </c>
      <c r="F2892" s="12" t="s">
        <v>1714</v>
      </c>
      <c r="G2892" s="9" t="s">
        <v>1709</v>
      </c>
    </row>
    <row r="2893" spans="1:7">
      <c r="A2893" s="9" t="s">
        <v>1711</v>
      </c>
      <c r="B2893" s="13">
        <v>0.2</v>
      </c>
      <c r="C2893" s="10">
        <v>0.79900000000000004</v>
      </c>
      <c r="D2893" s="9" t="s">
        <v>1712</v>
      </c>
      <c r="E2893" s="11" t="s">
        <v>1737</v>
      </c>
      <c r="F2893" s="12" t="s">
        <v>1714</v>
      </c>
      <c r="G2893" s="9" t="s">
        <v>1709</v>
      </c>
    </row>
    <row r="2894" spans="1:7">
      <c r="A2894" s="9" t="s">
        <v>1711</v>
      </c>
      <c r="B2894" s="13">
        <v>0.2</v>
      </c>
      <c r="C2894" s="10">
        <v>6.9000000000000006E-2</v>
      </c>
      <c r="D2894" s="9" t="s">
        <v>1712</v>
      </c>
      <c r="E2894" s="11" t="s">
        <v>1738</v>
      </c>
      <c r="F2894" s="12" t="s">
        <v>1714</v>
      </c>
      <c r="G2894" s="9" t="s">
        <v>1709</v>
      </c>
    </row>
    <row r="2895" spans="1:7">
      <c r="A2895" s="9" t="s">
        <v>1711</v>
      </c>
      <c r="B2895" s="13">
        <v>0.2</v>
      </c>
      <c r="C2895" s="10">
        <v>2.7479999999999998</v>
      </c>
      <c r="D2895" s="9" t="s">
        <v>1712</v>
      </c>
      <c r="E2895" s="11" t="s">
        <v>1738</v>
      </c>
      <c r="F2895" s="12" t="s">
        <v>1714</v>
      </c>
      <c r="G2895" s="9" t="s">
        <v>1709</v>
      </c>
    </row>
    <row r="2896" spans="1:7">
      <c r="A2896" s="9" t="s">
        <v>1711</v>
      </c>
      <c r="B2896" s="13">
        <v>0.2</v>
      </c>
      <c r="C2896" s="10">
        <v>-4.2000000000000003E-2</v>
      </c>
      <c r="D2896" s="9" t="s">
        <v>1709</v>
      </c>
      <c r="E2896" s="11" t="s">
        <v>1710</v>
      </c>
      <c r="F2896" s="12" t="s">
        <v>1710</v>
      </c>
      <c r="G2896" s="9" t="s">
        <v>1709</v>
      </c>
    </row>
    <row r="2897" spans="1:7">
      <c r="A2897" s="9" t="s">
        <v>1711</v>
      </c>
      <c r="B2897" s="13">
        <v>0.2</v>
      </c>
      <c r="C2897" s="10">
        <v>-0.08</v>
      </c>
      <c r="D2897" s="9" t="s">
        <v>1709</v>
      </c>
      <c r="E2897" s="11" t="s">
        <v>1710</v>
      </c>
      <c r="F2897" s="12" t="s">
        <v>1710</v>
      </c>
      <c r="G2897" s="9" t="s">
        <v>1709</v>
      </c>
    </row>
    <row r="2898" spans="1:7">
      <c r="A2898" s="9" t="s">
        <v>1711</v>
      </c>
      <c r="B2898" s="13">
        <v>0.2</v>
      </c>
      <c r="C2898" s="10">
        <v>-0.06</v>
      </c>
      <c r="D2898" s="9" t="s">
        <v>1709</v>
      </c>
      <c r="E2898" s="11" t="s">
        <v>1710</v>
      </c>
      <c r="F2898" s="12" t="s">
        <v>1710</v>
      </c>
      <c r="G2898" s="9" t="s">
        <v>1709</v>
      </c>
    </row>
    <row r="2899" spans="1:7">
      <c r="A2899" s="9" t="s">
        <v>1711</v>
      </c>
      <c r="B2899" s="13">
        <v>0.2</v>
      </c>
      <c r="C2899" s="10">
        <v>1.819</v>
      </c>
      <c r="D2899" s="9" t="s">
        <v>1712</v>
      </c>
      <c r="E2899" s="11" t="s">
        <v>1715</v>
      </c>
      <c r="F2899" s="12" t="s">
        <v>1714</v>
      </c>
      <c r="G2899" s="9" t="s">
        <v>1709</v>
      </c>
    </row>
    <row r="2900" spans="1:7">
      <c r="A2900" s="9" t="s">
        <v>1711</v>
      </c>
      <c r="B2900" s="13">
        <v>0.2</v>
      </c>
      <c r="C2900" s="10">
        <v>1.819</v>
      </c>
      <c r="D2900" s="9" t="s">
        <v>1712</v>
      </c>
      <c r="E2900" s="11" t="s">
        <v>1715</v>
      </c>
      <c r="F2900" s="12" t="s">
        <v>1714</v>
      </c>
      <c r="G2900" s="9" t="s">
        <v>1709</v>
      </c>
    </row>
    <row r="2901" spans="1:7">
      <c r="A2901" s="9" t="s">
        <v>1711</v>
      </c>
      <c r="B2901" s="13">
        <v>0.2</v>
      </c>
      <c r="C2901" s="10">
        <v>1.819</v>
      </c>
      <c r="D2901" s="9" t="s">
        <v>1712</v>
      </c>
      <c r="E2901" s="11" t="s">
        <v>1715</v>
      </c>
      <c r="F2901" s="12" t="s">
        <v>1714</v>
      </c>
      <c r="G2901" s="9" t="s">
        <v>1709</v>
      </c>
    </row>
    <row r="2902" spans="1:7">
      <c r="A2902" s="9" t="s">
        <v>1711</v>
      </c>
      <c r="B2902" s="13">
        <v>0.2</v>
      </c>
      <c r="C2902" s="10">
        <v>-0.126</v>
      </c>
      <c r="D2902" s="9" t="s">
        <v>1709</v>
      </c>
      <c r="E2902" s="11" t="s">
        <v>1710</v>
      </c>
      <c r="F2902" s="12" t="s">
        <v>1710</v>
      </c>
      <c r="G2902" s="9" t="s">
        <v>1709</v>
      </c>
    </row>
    <row r="2903" spans="1:7">
      <c r="A2903" s="9" t="s">
        <v>1711</v>
      </c>
      <c r="B2903" s="9">
        <v>0.2</v>
      </c>
      <c r="C2903" s="10">
        <v>-0.126</v>
      </c>
      <c r="D2903" s="9" t="s">
        <v>1709</v>
      </c>
      <c r="E2903" s="11" t="s">
        <v>1710</v>
      </c>
      <c r="F2903" s="12" t="s">
        <v>1710</v>
      </c>
      <c r="G2903" s="9" t="s">
        <v>1709</v>
      </c>
    </row>
    <row r="2904" spans="1:7">
      <c r="A2904" s="9" t="s">
        <v>1711</v>
      </c>
      <c r="B2904" s="9">
        <v>0.2</v>
      </c>
      <c r="C2904" s="10">
        <v>-0.126</v>
      </c>
      <c r="D2904" s="9" t="s">
        <v>1709</v>
      </c>
      <c r="E2904" s="11" t="s">
        <v>1710</v>
      </c>
      <c r="F2904" s="12" t="s">
        <v>1710</v>
      </c>
      <c r="G2904" s="9" t="s">
        <v>1709</v>
      </c>
    </row>
    <row r="2905" spans="1:7">
      <c r="A2905" s="9" t="s">
        <v>1711</v>
      </c>
      <c r="B2905" s="13">
        <v>0.2</v>
      </c>
      <c r="C2905" s="10">
        <v>6.9000000000000006E-2</v>
      </c>
      <c r="D2905" s="9" t="s">
        <v>1712</v>
      </c>
      <c r="E2905" s="11" t="s">
        <v>1736</v>
      </c>
      <c r="F2905" s="12" t="s">
        <v>1714</v>
      </c>
      <c r="G2905" s="9" t="s">
        <v>1709</v>
      </c>
    </row>
    <row r="2906" spans="1:7">
      <c r="A2906" s="9" t="s">
        <v>1711</v>
      </c>
      <c r="B2906" s="13">
        <v>0.2</v>
      </c>
      <c r="C2906" s="10">
        <v>6.9000000000000006E-2</v>
      </c>
      <c r="D2906" s="9" t="s">
        <v>1712</v>
      </c>
      <c r="E2906" s="11" t="s">
        <v>1736</v>
      </c>
      <c r="F2906" s="12" t="s">
        <v>1714</v>
      </c>
      <c r="G2906" s="9" t="s">
        <v>1709</v>
      </c>
    </row>
    <row r="2907" spans="1:7">
      <c r="A2907" s="9" t="s">
        <v>1711</v>
      </c>
      <c r="B2907" s="13">
        <v>0.2</v>
      </c>
      <c r="C2907" s="10">
        <v>0.56899999999999995</v>
      </c>
      <c r="D2907" s="9" t="s">
        <v>1712</v>
      </c>
      <c r="E2907" s="11" t="s">
        <v>1715</v>
      </c>
      <c r="F2907" s="12" t="s">
        <v>1714</v>
      </c>
      <c r="G2907" s="9" t="s">
        <v>1709</v>
      </c>
    </row>
    <row r="2908" spans="1:7">
      <c r="A2908" s="9" t="s">
        <v>1711</v>
      </c>
      <c r="B2908" s="13">
        <v>0.2</v>
      </c>
      <c r="C2908" s="10">
        <v>0.56899999999999995</v>
      </c>
      <c r="D2908" s="9" t="s">
        <v>1712</v>
      </c>
      <c r="E2908" s="11" t="s">
        <v>1715</v>
      </c>
      <c r="F2908" s="12" t="s">
        <v>1714</v>
      </c>
      <c r="G2908" s="9" t="s">
        <v>1709</v>
      </c>
    </row>
    <row r="2909" spans="1:7">
      <c r="A2909" s="9" t="s">
        <v>1711</v>
      </c>
      <c r="B2909" s="13">
        <v>0.2</v>
      </c>
      <c r="C2909" s="10">
        <v>0.56899999999999995</v>
      </c>
      <c r="D2909" s="9" t="s">
        <v>1712</v>
      </c>
      <c r="E2909" s="11" t="s">
        <v>1715</v>
      </c>
      <c r="F2909" s="12" t="s">
        <v>1714</v>
      </c>
      <c r="G2909" s="9" t="s">
        <v>1709</v>
      </c>
    </row>
    <row r="2910" spans="1:7">
      <c r="A2910" s="9" t="s">
        <v>1711</v>
      </c>
      <c r="B2910" s="13">
        <v>0.2</v>
      </c>
      <c r="C2910" s="10">
        <v>-0.19400000000000001</v>
      </c>
      <c r="D2910" s="9" t="s">
        <v>1709</v>
      </c>
      <c r="E2910" s="11" t="s">
        <v>1710</v>
      </c>
      <c r="F2910" s="12" t="s">
        <v>1710</v>
      </c>
      <c r="G2910" s="9" t="s">
        <v>1709</v>
      </c>
    </row>
    <row r="2911" spans="1:7">
      <c r="A2911" s="9" t="s">
        <v>1711</v>
      </c>
      <c r="B2911" s="13">
        <v>0.2</v>
      </c>
      <c r="C2911" s="10">
        <v>-0.19400000000000001</v>
      </c>
      <c r="D2911" s="9" t="s">
        <v>1709</v>
      </c>
      <c r="E2911" s="11" t="s">
        <v>1710</v>
      </c>
      <c r="F2911" s="12" t="s">
        <v>1710</v>
      </c>
      <c r="G2911" s="9" t="s">
        <v>1709</v>
      </c>
    </row>
    <row r="2912" spans="1:7">
      <c r="A2912" s="9" t="s">
        <v>1711</v>
      </c>
      <c r="B2912" s="13">
        <v>0.2</v>
      </c>
      <c r="C2912" s="10">
        <v>-0.19400000000000001</v>
      </c>
      <c r="D2912" s="9" t="s">
        <v>1709</v>
      </c>
      <c r="E2912" s="11" t="s">
        <v>1710</v>
      </c>
      <c r="F2912" s="12" t="s">
        <v>1710</v>
      </c>
      <c r="G2912" s="9" t="s">
        <v>1709</v>
      </c>
    </row>
    <row r="2913" spans="1:7">
      <c r="A2913" s="9" t="s">
        <v>1711</v>
      </c>
      <c r="B2913" s="13">
        <v>0.2</v>
      </c>
      <c r="C2913" s="10">
        <v>-7.1999999999999995E-2</v>
      </c>
      <c r="D2913" s="9" t="s">
        <v>1709</v>
      </c>
      <c r="E2913" s="11" t="s">
        <v>1710</v>
      </c>
      <c r="F2913" s="12" t="s">
        <v>1710</v>
      </c>
      <c r="G2913" s="9" t="s">
        <v>1709</v>
      </c>
    </row>
    <row r="2914" spans="1:7">
      <c r="A2914" s="9" t="s">
        <v>1711</v>
      </c>
      <c r="B2914" s="13">
        <v>0.2</v>
      </c>
      <c r="C2914" s="10">
        <v>2.7479999999999998</v>
      </c>
      <c r="D2914" s="9" t="s">
        <v>1712</v>
      </c>
      <c r="E2914" s="11" t="s">
        <v>1737</v>
      </c>
      <c r="F2914" s="12" t="s">
        <v>1714</v>
      </c>
      <c r="G2914" s="9" t="s">
        <v>1709</v>
      </c>
    </row>
    <row r="2915" spans="1:7">
      <c r="A2915" s="9" t="s">
        <v>1711</v>
      </c>
      <c r="B2915" s="13">
        <v>0.2</v>
      </c>
      <c r="C2915" s="10">
        <v>-0.19</v>
      </c>
      <c r="D2915" s="9" t="s">
        <v>1709</v>
      </c>
      <c r="E2915" s="11" t="s">
        <v>1710</v>
      </c>
      <c r="F2915" s="12" t="s">
        <v>1710</v>
      </c>
      <c r="G2915" s="9" t="s">
        <v>1709</v>
      </c>
    </row>
    <row r="2916" spans="1:7">
      <c r="A2916" s="9" t="s">
        <v>1711</v>
      </c>
      <c r="B2916" s="13">
        <v>0.2</v>
      </c>
      <c r="C2916" s="10">
        <v>0.17799999999999999</v>
      </c>
      <c r="D2916" s="9" t="s">
        <v>1712</v>
      </c>
      <c r="E2916" s="11" t="s">
        <v>1737</v>
      </c>
      <c r="F2916" s="12" t="s">
        <v>1714</v>
      </c>
      <c r="G2916" s="9" t="s">
        <v>1709</v>
      </c>
    </row>
    <row r="2917" spans="1:7">
      <c r="A2917" s="9" t="s">
        <v>1711</v>
      </c>
      <c r="B2917" s="13">
        <v>0.2</v>
      </c>
      <c r="C2917" s="10">
        <v>0.17799999999999999</v>
      </c>
      <c r="D2917" s="9" t="s">
        <v>1712</v>
      </c>
      <c r="E2917" s="11" t="s">
        <v>1737</v>
      </c>
      <c r="F2917" s="12" t="s">
        <v>1714</v>
      </c>
      <c r="G2917" s="9" t="s">
        <v>1709</v>
      </c>
    </row>
    <row r="2918" spans="1:7">
      <c r="A2918" s="9" t="s">
        <v>1711</v>
      </c>
      <c r="B2918" s="13">
        <v>0.2</v>
      </c>
      <c r="C2918" s="10">
        <v>0.17799999999999999</v>
      </c>
      <c r="D2918" s="9" t="s">
        <v>1712</v>
      </c>
      <c r="E2918" s="11" t="s">
        <v>1737</v>
      </c>
      <c r="F2918" s="12" t="s">
        <v>1714</v>
      </c>
      <c r="G2918" s="9" t="s">
        <v>1709</v>
      </c>
    </row>
    <row r="2919" spans="1:7">
      <c r="A2919" s="9" t="s">
        <v>1711</v>
      </c>
      <c r="B2919" s="13">
        <v>0.2</v>
      </c>
      <c r="C2919" s="10">
        <v>0.17799999999999999</v>
      </c>
      <c r="D2919" s="9" t="s">
        <v>1712</v>
      </c>
      <c r="E2919" s="11" t="s">
        <v>1737</v>
      </c>
      <c r="F2919" s="12" t="s">
        <v>1714</v>
      </c>
      <c r="G2919" s="9" t="s">
        <v>1709</v>
      </c>
    </row>
    <row r="2920" spans="1:7">
      <c r="A2920" s="9" t="s">
        <v>1711</v>
      </c>
      <c r="B2920" s="13">
        <v>0.2</v>
      </c>
      <c r="C2920" s="10">
        <v>0.17799999999999999</v>
      </c>
      <c r="D2920" s="9" t="s">
        <v>1712</v>
      </c>
      <c r="E2920" s="11" t="s">
        <v>1737</v>
      </c>
      <c r="F2920" s="12" t="s">
        <v>1714</v>
      </c>
      <c r="G2920" s="9" t="s">
        <v>1709</v>
      </c>
    </row>
    <row r="2921" spans="1:7">
      <c r="A2921" s="9" t="s">
        <v>1711</v>
      </c>
      <c r="B2921" s="13">
        <v>0.2</v>
      </c>
      <c r="C2921" s="10">
        <v>-2.9000000000000001E-2</v>
      </c>
      <c r="D2921" s="9" t="s">
        <v>1709</v>
      </c>
      <c r="E2921" s="11" t="s">
        <v>1710</v>
      </c>
      <c r="F2921" s="12" t="s">
        <v>1710</v>
      </c>
      <c r="G2921" s="9" t="s">
        <v>1709</v>
      </c>
    </row>
    <row r="2922" spans="1:7">
      <c r="A2922" s="9" t="s">
        <v>1711</v>
      </c>
      <c r="B2922" s="13">
        <v>0.2</v>
      </c>
      <c r="C2922" s="10">
        <v>-2.9000000000000001E-2</v>
      </c>
      <c r="D2922" s="9" t="s">
        <v>1709</v>
      </c>
      <c r="E2922" s="11" t="s">
        <v>1710</v>
      </c>
      <c r="F2922" s="12" t="s">
        <v>1710</v>
      </c>
      <c r="G2922" s="9" t="s">
        <v>1709</v>
      </c>
    </row>
    <row r="2923" spans="1:7">
      <c r="A2923" s="9" t="s">
        <v>1711</v>
      </c>
      <c r="B2923" s="13">
        <v>0.2</v>
      </c>
      <c r="C2923" s="10">
        <v>0.97099999999999997</v>
      </c>
      <c r="D2923" s="9" t="s">
        <v>1712</v>
      </c>
      <c r="E2923" s="11" t="s">
        <v>1737</v>
      </c>
      <c r="F2923" s="12" t="s">
        <v>1714</v>
      </c>
      <c r="G2923" s="9" t="s">
        <v>1709</v>
      </c>
    </row>
    <row r="2924" spans="1:7">
      <c r="A2924" s="9" t="s">
        <v>1711</v>
      </c>
      <c r="B2924" s="13">
        <v>0.2</v>
      </c>
      <c r="C2924" s="10">
        <v>-3.0000000000000001E-3</v>
      </c>
      <c r="D2924" s="9" t="s">
        <v>1709</v>
      </c>
      <c r="E2924" s="11" t="s">
        <v>1710</v>
      </c>
      <c r="F2924" s="12" t="s">
        <v>1710</v>
      </c>
      <c r="G2924" s="9" t="s">
        <v>1709</v>
      </c>
    </row>
    <row r="2925" spans="1:7">
      <c r="A2925" s="9" t="s">
        <v>1711</v>
      </c>
      <c r="B2925" s="9">
        <v>0.2</v>
      </c>
      <c r="C2925" s="10">
        <v>0.24</v>
      </c>
      <c r="D2925" s="9" t="s">
        <v>1712</v>
      </c>
      <c r="E2925" s="11" t="s">
        <v>1737</v>
      </c>
      <c r="F2925" s="12" t="s">
        <v>1714</v>
      </c>
      <c r="G2925" s="9" t="s">
        <v>1709</v>
      </c>
    </row>
    <row r="2926" spans="1:7">
      <c r="A2926" s="9" t="s">
        <v>1711</v>
      </c>
      <c r="B2926" s="9">
        <v>0.2</v>
      </c>
      <c r="C2926" s="10">
        <v>2.63</v>
      </c>
      <c r="D2926" s="9" t="s">
        <v>1712</v>
      </c>
      <c r="E2926" s="11" t="s">
        <v>1736</v>
      </c>
      <c r="F2926" s="12" t="s">
        <v>1714</v>
      </c>
      <c r="G2926" s="9" t="s">
        <v>1709</v>
      </c>
    </row>
    <row r="2927" spans="1:7">
      <c r="A2927" s="9" t="s">
        <v>1711</v>
      </c>
      <c r="B2927" s="13">
        <v>0.2</v>
      </c>
      <c r="C2927" s="10">
        <v>3.0000000000000002E-2</v>
      </c>
      <c r="D2927" s="9" t="s">
        <v>1712</v>
      </c>
      <c r="E2927" s="11" t="s">
        <v>1738</v>
      </c>
      <c r="F2927" s="12" t="s">
        <v>1714</v>
      </c>
      <c r="G2927" s="9" t="s">
        <v>1709</v>
      </c>
    </row>
    <row r="2928" spans="1:7">
      <c r="A2928" s="9" t="s">
        <v>1711</v>
      </c>
      <c r="B2928" s="9">
        <v>0.2</v>
      </c>
      <c r="C2928" s="10">
        <v>-4.1000000000000002E-2</v>
      </c>
      <c r="D2928" s="9" t="s">
        <v>1709</v>
      </c>
      <c r="E2928" s="11" t="s">
        <v>1710</v>
      </c>
      <c r="F2928" s="12" t="s">
        <v>1710</v>
      </c>
      <c r="G2928" s="9" t="s">
        <v>1709</v>
      </c>
    </row>
    <row r="2929" spans="1:7">
      <c r="A2929" s="9" t="s">
        <v>1711</v>
      </c>
      <c r="B2929" s="9">
        <v>0.2</v>
      </c>
      <c r="C2929" s="10">
        <v>-3.7999999999999999E-2</v>
      </c>
      <c r="D2929" s="9" t="s">
        <v>1709</v>
      </c>
      <c r="E2929" s="11" t="s">
        <v>1710</v>
      </c>
      <c r="F2929" s="12" t="s">
        <v>1710</v>
      </c>
      <c r="G2929" s="9" t="s">
        <v>1709</v>
      </c>
    </row>
    <row r="2930" spans="1:7">
      <c r="A2930" s="9" t="s">
        <v>1711</v>
      </c>
      <c r="B2930" s="9">
        <v>0.2</v>
      </c>
      <c r="C2930" s="10">
        <v>-9.8000000000000004E-2</v>
      </c>
      <c r="D2930" s="9" t="s">
        <v>1709</v>
      </c>
      <c r="E2930" s="11" t="s">
        <v>1710</v>
      </c>
      <c r="F2930" s="12" t="s">
        <v>1710</v>
      </c>
      <c r="G2930" s="9" t="s">
        <v>1709</v>
      </c>
    </row>
    <row r="2931" spans="1:7">
      <c r="A2931" s="9" t="s">
        <v>1711</v>
      </c>
      <c r="B2931" s="9">
        <v>0.2</v>
      </c>
      <c r="C2931" s="10">
        <v>-8.2000000000000003E-2</v>
      </c>
      <c r="D2931" s="9" t="s">
        <v>1709</v>
      </c>
      <c r="E2931" s="11" t="s">
        <v>1710</v>
      </c>
      <c r="F2931" s="12" t="s">
        <v>1710</v>
      </c>
      <c r="G2931" s="9" t="s">
        <v>1709</v>
      </c>
    </row>
    <row r="2932" spans="1:7">
      <c r="A2932" s="9" t="s">
        <v>1711</v>
      </c>
      <c r="B2932" s="9">
        <v>0.2</v>
      </c>
      <c r="C2932" s="10">
        <v>-4.8000000000000001E-2</v>
      </c>
      <c r="D2932" s="9" t="s">
        <v>1709</v>
      </c>
      <c r="E2932" s="11" t="s">
        <v>1710</v>
      </c>
      <c r="F2932" s="12" t="s">
        <v>1710</v>
      </c>
      <c r="G2932" s="9" t="s">
        <v>1709</v>
      </c>
    </row>
    <row r="2933" spans="1:7">
      <c r="A2933" s="9" t="s">
        <v>1711</v>
      </c>
      <c r="B2933" s="13">
        <v>0.2</v>
      </c>
      <c r="C2933" s="10">
        <v>-4.8000000000000001E-2</v>
      </c>
      <c r="D2933" s="9" t="s">
        <v>1709</v>
      </c>
      <c r="E2933" s="11" t="s">
        <v>1710</v>
      </c>
      <c r="F2933" s="12" t="s">
        <v>1710</v>
      </c>
      <c r="G2933" s="9" t="s">
        <v>1709</v>
      </c>
    </row>
    <row r="2934" spans="1:7">
      <c r="A2934" s="9" t="s">
        <v>1711</v>
      </c>
      <c r="B2934" s="9">
        <v>0.2</v>
      </c>
      <c r="C2934" s="10">
        <v>-8.5000000000000006E-2</v>
      </c>
      <c r="D2934" s="9" t="s">
        <v>1709</v>
      </c>
      <c r="E2934" s="11" t="s">
        <v>1710</v>
      </c>
      <c r="F2934" s="12" t="s">
        <v>1710</v>
      </c>
      <c r="G2934" s="9" t="s">
        <v>1709</v>
      </c>
    </row>
    <row r="2935" spans="1:7">
      <c r="A2935" s="9" t="s">
        <v>1711</v>
      </c>
      <c r="B2935" s="9">
        <v>0.2</v>
      </c>
      <c r="C2935" s="10">
        <v>-4.8000000000000001E-2</v>
      </c>
      <c r="D2935" s="9" t="s">
        <v>1709</v>
      </c>
      <c r="E2935" s="11" t="s">
        <v>1710</v>
      </c>
      <c r="F2935" s="12" t="s">
        <v>1710</v>
      </c>
      <c r="G2935" s="9" t="s">
        <v>1709</v>
      </c>
    </row>
    <row r="2936" spans="1:7">
      <c r="A2936" s="9" t="s">
        <v>1711</v>
      </c>
      <c r="B2936" s="9">
        <v>0.2</v>
      </c>
      <c r="C2936" s="10">
        <v>-4.8000000000000001E-2</v>
      </c>
      <c r="D2936" s="9" t="s">
        <v>1709</v>
      </c>
      <c r="E2936" s="11" t="s">
        <v>1710</v>
      </c>
      <c r="F2936" s="12" t="s">
        <v>1710</v>
      </c>
      <c r="G2936" s="9" t="s">
        <v>1709</v>
      </c>
    </row>
    <row r="2937" spans="1:7">
      <c r="A2937" s="9" t="s">
        <v>1711</v>
      </c>
      <c r="B2937" s="9">
        <v>0.2</v>
      </c>
      <c r="C2937" s="10">
        <v>-4.8000000000000001E-2</v>
      </c>
      <c r="D2937" s="9" t="s">
        <v>1709</v>
      </c>
      <c r="E2937" s="11" t="s">
        <v>1710</v>
      </c>
      <c r="F2937" s="12" t="s">
        <v>1710</v>
      </c>
      <c r="G2937" s="9" t="s">
        <v>1709</v>
      </c>
    </row>
    <row r="2938" spans="1:7">
      <c r="A2938" s="9" t="s">
        <v>1711</v>
      </c>
      <c r="B2938" s="9">
        <v>0.2</v>
      </c>
      <c r="C2938" s="10">
        <v>-4.8000000000000001E-2</v>
      </c>
      <c r="D2938" s="9" t="s">
        <v>1709</v>
      </c>
      <c r="E2938" s="11" t="s">
        <v>1710</v>
      </c>
      <c r="F2938" s="12" t="s">
        <v>1710</v>
      </c>
      <c r="G2938" s="9" t="s">
        <v>1709</v>
      </c>
    </row>
    <row r="2939" spans="1:7">
      <c r="A2939" s="9" t="s">
        <v>1711</v>
      </c>
      <c r="B2939" s="9">
        <v>0.2</v>
      </c>
      <c r="C2939" s="10">
        <v>-4.8000000000000001E-2</v>
      </c>
      <c r="D2939" s="9" t="s">
        <v>1709</v>
      </c>
      <c r="E2939" s="11" t="s">
        <v>1710</v>
      </c>
      <c r="F2939" s="12" t="s">
        <v>1710</v>
      </c>
      <c r="G2939" s="9" t="s">
        <v>1709</v>
      </c>
    </row>
    <row r="2940" spans="1:7">
      <c r="A2940" s="9" t="s">
        <v>1711</v>
      </c>
      <c r="B2940" s="9">
        <v>0.2</v>
      </c>
      <c r="C2940" s="10">
        <v>-4.8000000000000001E-2</v>
      </c>
      <c r="D2940" s="9" t="s">
        <v>1709</v>
      </c>
      <c r="E2940" s="11" t="s">
        <v>1710</v>
      </c>
      <c r="F2940" s="12" t="s">
        <v>1710</v>
      </c>
      <c r="G2940" s="9" t="s">
        <v>1709</v>
      </c>
    </row>
    <row r="2941" spans="1:7">
      <c r="A2941" s="9" t="s">
        <v>1711</v>
      </c>
      <c r="B2941" s="9">
        <v>0.2</v>
      </c>
      <c r="C2941" s="10">
        <v>-4.8000000000000001E-2</v>
      </c>
      <c r="D2941" s="9" t="s">
        <v>1709</v>
      </c>
      <c r="E2941" s="11" t="s">
        <v>1710</v>
      </c>
      <c r="F2941" s="12" t="s">
        <v>1710</v>
      </c>
      <c r="G2941" s="9" t="s">
        <v>1709</v>
      </c>
    </row>
    <row r="2942" spans="1:7">
      <c r="A2942" s="9" t="s">
        <v>1711</v>
      </c>
      <c r="B2942" s="9">
        <v>0.2</v>
      </c>
      <c r="C2942" s="10">
        <v>-4.8000000000000001E-2</v>
      </c>
      <c r="D2942" s="9" t="s">
        <v>1709</v>
      </c>
      <c r="E2942" s="11" t="s">
        <v>1710</v>
      </c>
      <c r="F2942" s="12" t="s">
        <v>1710</v>
      </c>
      <c r="G2942" s="9" t="s">
        <v>1709</v>
      </c>
    </row>
    <row r="2943" spans="1:7">
      <c r="A2943" s="9" t="s">
        <v>1711</v>
      </c>
      <c r="B2943" s="9">
        <v>0.2</v>
      </c>
      <c r="C2943" s="10">
        <v>-8.7999999999999995E-2</v>
      </c>
      <c r="D2943" s="9" t="s">
        <v>1709</v>
      </c>
      <c r="E2943" s="11" t="s">
        <v>1710</v>
      </c>
      <c r="F2943" s="12" t="s">
        <v>1710</v>
      </c>
      <c r="G2943" s="9" t="s">
        <v>1709</v>
      </c>
    </row>
    <row r="2944" spans="1:7">
      <c r="A2944" s="9" t="s">
        <v>1711</v>
      </c>
      <c r="B2944" s="13">
        <v>0.2</v>
      </c>
      <c r="C2944" s="10">
        <v>-7.8E-2</v>
      </c>
      <c r="D2944" s="9" t="s">
        <v>1709</v>
      </c>
      <c r="E2944" s="11" t="s">
        <v>1710</v>
      </c>
      <c r="F2944" s="12" t="s">
        <v>1710</v>
      </c>
      <c r="G2944" s="9" t="s">
        <v>1709</v>
      </c>
    </row>
    <row r="2945" spans="1:7">
      <c r="A2945" s="9" t="s">
        <v>1711</v>
      </c>
      <c r="B2945" s="13">
        <v>0.2</v>
      </c>
      <c r="C2945" s="10">
        <v>-5.7000000000000002E-2</v>
      </c>
      <c r="D2945" s="9" t="s">
        <v>1709</v>
      </c>
      <c r="E2945" s="11" t="s">
        <v>1710</v>
      </c>
      <c r="F2945" s="12" t="s">
        <v>1710</v>
      </c>
      <c r="G2945" s="9" t="s">
        <v>1709</v>
      </c>
    </row>
    <row r="2946" spans="1:7">
      <c r="A2946" s="9" t="s">
        <v>1711</v>
      </c>
      <c r="B2946" s="13">
        <v>0.2</v>
      </c>
      <c r="C2946" s="10">
        <v>-8.8999999999999996E-2</v>
      </c>
      <c r="D2946" s="9" t="s">
        <v>1709</v>
      </c>
      <c r="E2946" s="11" t="s">
        <v>1710</v>
      </c>
      <c r="F2946" s="12" t="s">
        <v>1710</v>
      </c>
      <c r="G2946" s="9" t="s">
        <v>1709</v>
      </c>
    </row>
    <row r="2947" spans="1:7">
      <c r="A2947" s="9" t="s">
        <v>1711</v>
      </c>
      <c r="B2947" s="13">
        <v>0.2</v>
      </c>
      <c r="C2947" s="10">
        <v>-0.11</v>
      </c>
      <c r="D2947" s="9" t="s">
        <v>1709</v>
      </c>
      <c r="E2947" s="11" t="s">
        <v>1710</v>
      </c>
      <c r="F2947" s="12" t="s">
        <v>1710</v>
      </c>
      <c r="G2947" s="9" t="s">
        <v>1709</v>
      </c>
    </row>
    <row r="2948" spans="1:7">
      <c r="A2948" s="9" t="s">
        <v>1711</v>
      </c>
      <c r="B2948" s="13">
        <v>0.2</v>
      </c>
      <c r="C2948" s="10">
        <v>-0.111</v>
      </c>
      <c r="D2948" s="9" t="s">
        <v>1709</v>
      </c>
      <c r="E2948" s="11" t="s">
        <v>1710</v>
      </c>
      <c r="F2948" s="12" t="s">
        <v>1710</v>
      </c>
      <c r="G2948" s="9" t="s">
        <v>1709</v>
      </c>
    </row>
    <row r="2949" spans="1:7">
      <c r="A2949" s="9" t="s">
        <v>1711</v>
      </c>
      <c r="B2949" s="13">
        <v>0.2</v>
      </c>
      <c r="C2949" s="10">
        <v>-0.111</v>
      </c>
      <c r="D2949" s="9" t="s">
        <v>1709</v>
      </c>
      <c r="E2949" s="11" t="s">
        <v>1710</v>
      </c>
      <c r="F2949" s="12" t="s">
        <v>1710</v>
      </c>
      <c r="G2949" s="9" t="s">
        <v>1709</v>
      </c>
    </row>
    <row r="2950" spans="1:7">
      <c r="A2950" s="9" t="s">
        <v>1711</v>
      </c>
      <c r="B2950" s="13">
        <v>0.2</v>
      </c>
      <c r="C2950" s="10">
        <v>-0.11</v>
      </c>
      <c r="D2950" s="9" t="s">
        <v>1709</v>
      </c>
      <c r="E2950" s="11" t="s">
        <v>1710</v>
      </c>
      <c r="F2950" s="12" t="s">
        <v>1710</v>
      </c>
      <c r="G2950" s="9" t="s">
        <v>1709</v>
      </c>
    </row>
    <row r="2951" spans="1:7">
      <c r="A2951" s="9" t="s">
        <v>1711</v>
      </c>
      <c r="B2951" s="13">
        <v>0.2</v>
      </c>
      <c r="C2951" s="10">
        <v>-5.9000000000000004E-2</v>
      </c>
      <c r="D2951" s="9" t="s">
        <v>1709</v>
      </c>
      <c r="E2951" s="11" t="s">
        <v>1710</v>
      </c>
      <c r="F2951" s="12" t="s">
        <v>1710</v>
      </c>
      <c r="G2951" s="9" t="s">
        <v>1709</v>
      </c>
    </row>
    <row r="2952" spans="1:7">
      <c r="A2952" s="9" t="s">
        <v>1711</v>
      </c>
      <c r="B2952" s="13">
        <v>0.2</v>
      </c>
      <c r="C2952" s="10">
        <v>-5.7000000000000002E-2</v>
      </c>
      <c r="D2952" s="9" t="s">
        <v>1709</v>
      </c>
      <c r="E2952" s="11" t="s">
        <v>1710</v>
      </c>
      <c r="F2952" s="12" t="s">
        <v>1710</v>
      </c>
      <c r="G2952" s="9" t="s">
        <v>1709</v>
      </c>
    </row>
    <row r="2953" spans="1:7">
      <c r="A2953" s="9" t="s">
        <v>1711</v>
      </c>
      <c r="B2953" s="13">
        <v>0.2</v>
      </c>
      <c r="C2953" s="10">
        <v>-7.1000000000000008E-2</v>
      </c>
      <c r="D2953" s="9" t="s">
        <v>1709</v>
      </c>
      <c r="E2953" s="11" t="s">
        <v>1710</v>
      </c>
      <c r="F2953" s="12" t="s">
        <v>1710</v>
      </c>
      <c r="G2953" s="9" t="s">
        <v>1709</v>
      </c>
    </row>
    <row r="2954" spans="1:7">
      <c r="A2954" s="9" t="s">
        <v>1711</v>
      </c>
      <c r="B2954" s="13">
        <v>0.2</v>
      </c>
      <c r="C2954" s="10">
        <v>-7.1000000000000008E-2</v>
      </c>
      <c r="D2954" s="9" t="s">
        <v>1709</v>
      </c>
      <c r="E2954" s="11" t="s">
        <v>1710</v>
      </c>
      <c r="F2954" s="12" t="s">
        <v>1710</v>
      </c>
      <c r="G2954" s="9" t="s">
        <v>1709</v>
      </c>
    </row>
    <row r="2955" spans="1:7">
      <c r="A2955" s="9" t="s">
        <v>1711</v>
      </c>
      <c r="B2955" s="13">
        <v>0.2</v>
      </c>
      <c r="C2955" s="10">
        <v>-7.1000000000000008E-2</v>
      </c>
      <c r="D2955" s="9" t="s">
        <v>1709</v>
      </c>
      <c r="E2955" s="11" t="s">
        <v>1710</v>
      </c>
      <c r="F2955" s="12" t="s">
        <v>1710</v>
      </c>
      <c r="G2955" s="9" t="s">
        <v>1709</v>
      </c>
    </row>
    <row r="2956" spans="1:7">
      <c r="A2956" s="9" t="s">
        <v>1711</v>
      </c>
      <c r="B2956" s="13">
        <v>0.2</v>
      </c>
      <c r="C2956" s="10">
        <v>-3.3000000000000002E-2</v>
      </c>
      <c r="D2956" s="9" t="s">
        <v>1709</v>
      </c>
      <c r="E2956" s="11" t="s">
        <v>1710</v>
      </c>
      <c r="F2956" s="12" t="s">
        <v>1710</v>
      </c>
      <c r="G2956" s="9" t="s">
        <v>1709</v>
      </c>
    </row>
    <row r="2957" spans="1:7">
      <c r="A2957" s="9" t="s">
        <v>1711</v>
      </c>
      <c r="B2957" s="9">
        <v>0.2</v>
      </c>
      <c r="C2957" s="10">
        <v>-3.0000000000000002E-2</v>
      </c>
      <c r="D2957" s="9" t="s">
        <v>1709</v>
      </c>
      <c r="E2957" s="11" t="s">
        <v>1710</v>
      </c>
      <c r="F2957" s="12" t="s">
        <v>1710</v>
      </c>
      <c r="G2957" s="9" t="s">
        <v>1709</v>
      </c>
    </row>
    <row r="2958" spans="1:7">
      <c r="A2958" s="9" t="s">
        <v>1711</v>
      </c>
      <c r="B2958" s="9">
        <v>0.2</v>
      </c>
      <c r="C2958" s="10">
        <v>-7.6999999999999999E-2</v>
      </c>
      <c r="D2958" s="9" t="s">
        <v>1709</v>
      </c>
      <c r="E2958" s="11" t="s">
        <v>1710</v>
      </c>
      <c r="F2958" s="12" t="s">
        <v>1710</v>
      </c>
      <c r="G2958" s="9" t="s">
        <v>1709</v>
      </c>
    </row>
    <row r="2959" spans="1:7">
      <c r="A2959" s="9" t="s">
        <v>1711</v>
      </c>
      <c r="B2959" s="9">
        <v>0.2</v>
      </c>
      <c r="C2959" s="10">
        <v>-8.8999999999999996E-2</v>
      </c>
      <c r="D2959" s="9" t="s">
        <v>1709</v>
      </c>
      <c r="E2959" s="11" t="s">
        <v>1710</v>
      </c>
      <c r="F2959" s="12" t="s">
        <v>1710</v>
      </c>
      <c r="G2959" s="9" t="s">
        <v>1709</v>
      </c>
    </row>
    <row r="2960" spans="1:7">
      <c r="A2960" s="9" t="s">
        <v>1711</v>
      </c>
      <c r="B2960" s="9">
        <v>0.2</v>
      </c>
      <c r="C2960" s="10">
        <v>-0.09</v>
      </c>
      <c r="D2960" s="9" t="s">
        <v>1709</v>
      </c>
      <c r="E2960" s="11" t="s">
        <v>1710</v>
      </c>
      <c r="F2960" s="12" t="s">
        <v>1710</v>
      </c>
      <c r="G2960" s="9" t="s">
        <v>1709</v>
      </c>
    </row>
    <row r="2961" spans="1:7">
      <c r="A2961" s="9" t="s">
        <v>1711</v>
      </c>
      <c r="B2961" s="9">
        <v>0.2</v>
      </c>
      <c r="C2961" s="10">
        <v>-0.09</v>
      </c>
      <c r="D2961" s="9" t="s">
        <v>1709</v>
      </c>
      <c r="E2961" s="11" t="s">
        <v>1710</v>
      </c>
      <c r="F2961" s="12" t="s">
        <v>1710</v>
      </c>
      <c r="G2961" s="9" t="s">
        <v>1709</v>
      </c>
    </row>
    <row r="2962" spans="1:7">
      <c r="A2962" s="9" t="s">
        <v>1711</v>
      </c>
      <c r="B2962" s="13">
        <v>0.2</v>
      </c>
      <c r="C2962" s="10">
        <v>-0.11700000000000001</v>
      </c>
      <c r="D2962" s="9" t="s">
        <v>1709</v>
      </c>
      <c r="E2962" s="11" t="s">
        <v>1710</v>
      </c>
      <c r="F2962" s="12" t="s">
        <v>1710</v>
      </c>
      <c r="G2962" s="9" t="s">
        <v>1709</v>
      </c>
    </row>
    <row r="2963" spans="1:7">
      <c r="A2963" s="9" t="s">
        <v>1711</v>
      </c>
      <c r="B2963" s="13">
        <v>0.2</v>
      </c>
      <c r="C2963" s="10">
        <v>-0.109</v>
      </c>
      <c r="D2963" s="9" t="s">
        <v>1709</v>
      </c>
      <c r="E2963" s="11" t="s">
        <v>1710</v>
      </c>
      <c r="F2963" s="12" t="s">
        <v>1710</v>
      </c>
      <c r="G2963" s="9" t="s">
        <v>1709</v>
      </c>
    </row>
    <row r="2964" spans="1:7">
      <c r="A2964" s="9" t="s">
        <v>1711</v>
      </c>
      <c r="B2964" s="9">
        <v>0.2</v>
      </c>
      <c r="C2964" s="10">
        <v>-0.109</v>
      </c>
      <c r="D2964" s="9" t="s">
        <v>1709</v>
      </c>
      <c r="E2964" s="11" t="s">
        <v>1710</v>
      </c>
      <c r="F2964" s="12" t="s">
        <v>1710</v>
      </c>
      <c r="G2964" s="9" t="s">
        <v>1709</v>
      </c>
    </row>
    <row r="2965" spans="1:7">
      <c r="A2965" s="9" t="s">
        <v>1711</v>
      </c>
      <c r="B2965" s="13">
        <v>0.2</v>
      </c>
      <c r="C2965" s="10">
        <v>-3.1E-2</v>
      </c>
      <c r="D2965" s="9" t="s">
        <v>1709</v>
      </c>
      <c r="E2965" s="11" t="s">
        <v>1710</v>
      </c>
      <c r="F2965" s="12" t="s">
        <v>1710</v>
      </c>
      <c r="G2965" s="9" t="s">
        <v>1709</v>
      </c>
    </row>
    <row r="2966" spans="1:7">
      <c r="A2966" s="9" t="s">
        <v>1711</v>
      </c>
      <c r="B2966" s="9">
        <v>0.2</v>
      </c>
      <c r="C2966" s="10">
        <v>-3.1E-2</v>
      </c>
      <c r="D2966" s="9" t="s">
        <v>1709</v>
      </c>
      <c r="E2966" s="11" t="s">
        <v>1710</v>
      </c>
      <c r="F2966" s="12" t="s">
        <v>1710</v>
      </c>
      <c r="G2966" s="9" t="s">
        <v>1709</v>
      </c>
    </row>
    <row r="2967" spans="1:7">
      <c r="A2967" s="9" t="s">
        <v>1711</v>
      </c>
      <c r="B2967" s="9">
        <v>0.2</v>
      </c>
      <c r="C2967" s="10">
        <v>-0.107</v>
      </c>
      <c r="D2967" s="9" t="s">
        <v>1709</v>
      </c>
      <c r="E2967" s="11" t="s">
        <v>1710</v>
      </c>
      <c r="F2967" s="12" t="s">
        <v>1710</v>
      </c>
      <c r="G2967" s="9" t="s">
        <v>1709</v>
      </c>
    </row>
    <row r="2968" spans="1:7">
      <c r="A2968" s="9" t="s">
        <v>1711</v>
      </c>
      <c r="B2968" s="9">
        <v>0.2</v>
      </c>
      <c r="C2968" s="10">
        <v>-6.3E-2</v>
      </c>
      <c r="D2968" s="9" t="s">
        <v>1709</v>
      </c>
      <c r="E2968" s="11" t="s">
        <v>1710</v>
      </c>
      <c r="F2968" s="12" t="s">
        <v>1710</v>
      </c>
      <c r="G2968" s="9" t="s">
        <v>1709</v>
      </c>
    </row>
    <row r="2969" spans="1:7">
      <c r="A2969" s="9" t="s">
        <v>1711</v>
      </c>
      <c r="B2969" s="9">
        <v>0.2</v>
      </c>
      <c r="C2969" s="10">
        <v>-0.13200000000000001</v>
      </c>
      <c r="D2969" s="9" t="s">
        <v>1709</v>
      </c>
      <c r="E2969" s="11" t="s">
        <v>1710</v>
      </c>
      <c r="F2969" s="12" t="s">
        <v>1710</v>
      </c>
      <c r="G2969" s="9" t="s">
        <v>1709</v>
      </c>
    </row>
    <row r="2970" spans="1:7">
      <c r="A2970" s="9" t="s">
        <v>1711</v>
      </c>
      <c r="B2970" s="9">
        <v>0.2</v>
      </c>
      <c r="C2970" s="10">
        <v>-7.3999999999999996E-2</v>
      </c>
      <c r="D2970" s="9" t="s">
        <v>1709</v>
      </c>
      <c r="E2970" s="11" t="s">
        <v>1710</v>
      </c>
      <c r="F2970" s="12" t="s">
        <v>1710</v>
      </c>
      <c r="G2970" s="9" t="s">
        <v>1709</v>
      </c>
    </row>
    <row r="2971" spans="1:7">
      <c r="A2971" s="9" t="s">
        <v>1711</v>
      </c>
      <c r="B2971" s="13">
        <v>0.2</v>
      </c>
      <c r="C2971" s="10">
        <v>-3.0000000000000002E-2</v>
      </c>
      <c r="D2971" s="9" t="s">
        <v>1709</v>
      </c>
      <c r="E2971" s="11" t="s">
        <v>1710</v>
      </c>
      <c r="F2971" s="12" t="s">
        <v>1710</v>
      </c>
      <c r="G2971" s="9" t="s">
        <v>1709</v>
      </c>
    </row>
    <row r="2972" spans="1:7">
      <c r="A2972" s="9" t="s">
        <v>1711</v>
      </c>
      <c r="B2972" s="13">
        <v>0.2</v>
      </c>
      <c r="C2972" s="10">
        <v>-7.4999999999999997E-2</v>
      </c>
      <c r="D2972" s="9" t="s">
        <v>1709</v>
      </c>
      <c r="E2972" s="11" t="s">
        <v>1710</v>
      </c>
      <c r="F2972" s="12" t="s">
        <v>1710</v>
      </c>
      <c r="G2972" s="9" t="s">
        <v>1709</v>
      </c>
    </row>
    <row r="2973" spans="1:7">
      <c r="A2973" s="9" t="s">
        <v>1711</v>
      </c>
      <c r="B2973" s="13">
        <v>0.2</v>
      </c>
      <c r="C2973" s="10">
        <v>-7.1000000000000008E-2</v>
      </c>
      <c r="D2973" s="9" t="s">
        <v>1709</v>
      </c>
      <c r="E2973" s="11" t="s">
        <v>1710</v>
      </c>
      <c r="F2973" s="12" t="s">
        <v>1710</v>
      </c>
      <c r="G2973" s="9" t="s">
        <v>1709</v>
      </c>
    </row>
    <row r="2974" spans="1:7">
      <c r="A2974" s="9" t="s">
        <v>1711</v>
      </c>
      <c r="B2974" s="13">
        <v>0.2</v>
      </c>
      <c r="C2974" s="10">
        <v>-3.5000000000000003E-2</v>
      </c>
      <c r="D2974" s="9" t="s">
        <v>1709</v>
      </c>
      <c r="E2974" s="11" t="s">
        <v>1710</v>
      </c>
      <c r="F2974" s="12" t="s">
        <v>1710</v>
      </c>
      <c r="G2974" s="9" t="s">
        <v>1709</v>
      </c>
    </row>
    <row r="2975" spans="1:7">
      <c r="A2975" s="9" t="s">
        <v>1711</v>
      </c>
      <c r="B2975" s="13">
        <v>0.2</v>
      </c>
      <c r="C2975" s="10">
        <v>0.252</v>
      </c>
      <c r="D2975" s="9" t="s">
        <v>1712</v>
      </c>
      <c r="E2975" s="11" t="s">
        <v>1715</v>
      </c>
      <c r="F2975" s="12" t="s">
        <v>1714</v>
      </c>
      <c r="G2975" s="9" t="s">
        <v>1709</v>
      </c>
    </row>
    <row r="2976" spans="1:7">
      <c r="A2976" s="9" t="s">
        <v>1711</v>
      </c>
      <c r="B2976" s="13">
        <v>0.2</v>
      </c>
      <c r="C2976" s="10">
        <v>4.1000000000000002E-2</v>
      </c>
      <c r="D2976" s="9" t="s">
        <v>1712</v>
      </c>
      <c r="E2976" s="11" t="s">
        <v>1715</v>
      </c>
      <c r="F2976" s="12" t="s">
        <v>1714</v>
      </c>
      <c r="G2976" s="9" t="s">
        <v>1709</v>
      </c>
    </row>
    <row r="2977" spans="1:7">
      <c r="A2977" s="9" t="s">
        <v>1711</v>
      </c>
      <c r="B2977" s="13">
        <v>0.2</v>
      </c>
      <c r="C2977" s="10">
        <v>9.0999999999999998E-2</v>
      </c>
      <c r="D2977" s="9" t="s">
        <v>1712</v>
      </c>
      <c r="E2977" s="11" t="s">
        <v>1715</v>
      </c>
      <c r="F2977" s="12" t="s">
        <v>1714</v>
      </c>
      <c r="G2977" s="9" t="s">
        <v>1709</v>
      </c>
    </row>
    <row r="2978" spans="1:7">
      <c r="A2978" s="9" t="s">
        <v>1711</v>
      </c>
      <c r="B2978" s="13">
        <v>0.2</v>
      </c>
      <c r="C2978" s="10">
        <v>9.0999999999999998E-2</v>
      </c>
      <c r="D2978" s="9" t="s">
        <v>1712</v>
      </c>
      <c r="E2978" s="11" t="s">
        <v>1715</v>
      </c>
      <c r="F2978" s="12" t="s">
        <v>1714</v>
      </c>
      <c r="G2978" s="9" t="s">
        <v>1709</v>
      </c>
    </row>
    <row r="2979" spans="1:7">
      <c r="A2979" s="9" t="s">
        <v>1711</v>
      </c>
      <c r="B2979" s="9">
        <v>0.2</v>
      </c>
      <c r="C2979" s="10">
        <v>9.0999999999999998E-2</v>
      </c>
      <c r="D2979" s="9" t="s">
        <v>1712</v>
      </c>
      <c r="E2979" s="11" t="s">
        <v>1715</v>
      </c>
      <c r="F2979" s="12" t="s">
        <v>1714</v>
      </c>
      <c r="G2979" s="9" t="s">
        <v>1709</v>
      </c>
    </row>
    <row r="2980" spans="1:7">
      <c r="A2980" s="9" t="s">
        <v>1711</v>
      </c>
      <c r="B2980" s="9">
        <v>0.2</v>
      </c>
      <c r="C2980" s="10">
        <v>4.8000000000000001E-2</v>
      </c>
      <c r="D2980" s="9" t="s">
        <v>1712</v>
      </c>
      <c r="E2980" s="11" t="s">
        <v>1715</v>
      </c>
      <c r="F2980" s="12" t="s">
        <v>1714</v>
      </c>
      <c r="G2980" s="9" t="s">
        <v>1709</v>
      </c>
    </row>
    <row r="2981" spans="1:7">
      <c r="A2981" s="9" t="s">
        <v>1711</v>
      </c>
      <c r="B2981" s="13">
        <v>0.2</v>
      </c>
      <c r="C2981" s="10">
        <v>3.6999999999999998E-2</v>
      </c>
      <c r="D2981" s="9" t="s">
        <v>1712</v>
      </c>
      <c r="E2981" s="11" t="s">
        <v>1715</v>
      </c>
      <c r="F2981" s="12" t="s">
        <v>1714</v>
      </c>
      <c r="G2981" s="9" t="s">
        <v>1709</v>
      </c>
    </row>
    <row r="2982" spans="1:7">
      <c r="A2982" s="9" t="s">
        <v>1711</v>
      </c>
      <c r="B2982" s="13">
        <v>0.2</v>
      </c>
      <c r="C2982" s="10">
        <v>1.8279999999999998</v>
      </c>
      <c r="D2982" s="9" t="s">
        <v>1712</v>
      </c>
      <c r="E2982" s="11" t="s">
        <v>1715</v>
      </c>
      <c r="F2982" s="12" t="s">
        <v>1714</v>
      </c>
      <c r="G2982" s="9" t="s">
        <v>1709</v>
      </c>
    </row>
    <row r="2983" spans="1:7">
      <c r="A2983" s="9" t="s">
        <v>1711</v>
      </c>
      <c r="B2983" s="9">
        <v>0.2</v>
      </c>
      <c r="C2983" s="10">
        <v>1.853</v>
      </c>
      <c r="D2983" s="9" t="s">
        <v>1712</v>
      </c>
      <c r="E2983" s="11" t="s">
        <v>1737</v>
      </c>
      <c r="F2983" s="12" t="s">
        <v>1714</v>
      </c>
      <c r="G2983" s="9" t="s">
        <v>1709</v>
      </c>
    </row>
    <row r="2984" spans="1:7">
      <c r="A2984" s="9" t="s">
        <v>1711</v>
      </c>
      <c r="B2984" s="9">
        <v>0.2</v>
      </c>
      <c r="C2984" s="10">
        <v>-3.6000000000000004E-2</v>
      </c>
      <c r="D2984" s="9" t="s">
        <v>1709</v>
      </c>
      <c r="E2984" s="11" t="s">
        <v>1710</v>
      </c>
      <c r="F2984" s="12" t="s">
        <v>1710</v>
      </c>
      <c r="G2984" s="9" t="s">
        <v>1709</v>
      </c>
    </row>
    <row r="2985" spans="1:7">
      <c r="A2985" s="9" t="s">
        <v>1711</v>
      </c>
      <c r="B2985" s="9">
        <v>0.2</v>
      </c>
      <c r="C2985" s="10">
        <v>-3.6000000000000004E-2</v>
      </c>
      <c r="D2985" s="9" t="s">
        <v>1709</v>
      </c>
      <c r="E2985" s="11" t="s">
        <v>1710</v>
      </c>
      <c r="F2985" s="12" t="s">
        <v>1710</v>
      </c>
      <c r="G2985" s="9" t="s">
        <v>1709</v>
      </c>
    </row>
    <row r="2986" spans="1:7">
      <c r="A2986" s="9" t="s">
        <v>1711</v>
      </c>
      <c r="B2986" s="9">
        <v>0.2</v>
      </c>
      <c r="C2986" s="10">
        <v>-3.6000000000000004E-2</v>
      </c>
      <c r="D2986" s="9" t="s">
        <v>1709</v>
      </c>
      <c r="E2986" s="11" t="s">
        <v>1710</v>
      </c>
      <c r="F2986" s="12" t="s">
        <v>1710</v>
      </c>
      <c r="G2986" s="9" t="s">
        <v>1709</v>
      </c>
    </row>
    <row r="2987" spans="1:7">
      <c r="A2987" s="9" t="s">
        <v>1711</v>
      </c>
      <c r="B2987" s="9">
        <v>0.2</v>
      </c>
      <c r="C2987" s="10">
        <v>-3.6000000000000004E-2</v>
      </c>
      <c r="D2987" s="9" t="s">
        <v>1709</v>
      </c>
      <c r="E2987" s="11" t="s">
        <v>1710</v>
      </c>
      <c r="F2987" s="12" t="s">
        <v>1710</v>
      </c>
      <c r="G2987" s="9" t="s">
        <v>1709</v>
      </c>
    </row>
    <row r="2988" spans="1:7">
      <c r="A2988" s="9" t="s">
        <v>1711</v>
      </c>
      <c r="B2988" s="9">
        <v>0.2</v>
      </c>
      <c r="C2988" s="10">
        <v>-3.6000000000000004E-2</v>
      </c>
      <c r="D2988" s="9" t="s">
        <v>1709</v>
      </c>
      <c r="E2988" s="11" t="s">
        <v>1710</v>
      </c>
      <c r="F2988" s="12" t="s">
        <v>1710</v>
      </c>
      <c r="G2988" s="9" t="s">
        <v>1709</v>
      </c>
    </row>
    <row r="2989" spans="1:7">
      <c r="A2989" s="9" t="s">
        <v>1711</v>
      </c>
      <c r="B2989" s="9">
        <v>0.2</v>
      </c>
      <c r="C2989" s="10">
        <v>-3.6000000000000004E-2</v>
      </c>
      <c r="D2989" s="9" t="s">
        <v>1709</v>
      </c>
      <c r="E2989" s="11" t="s">
        <v>1710</v>
      </c>
      <c r="F2989" s="12" t="s">
        <v>1710</v>
      </c>
      <c r="G2989" s="9" t="s">
        <v>1709</v>
      </c>
    </row>
    <row r="2990" spans="1:7">
      <c r="A2990" s="9" t="s">
        <v>1711</v>
      </c>
      <c r="B2990" s="13">
        <v>0.2</v>
      </c>
      <c r="C2990" s="10">
        <v>-3.6000000000000004E-2</v>
      </c>
      <c r="D2990" s="9" t="s">
        <v>1709</v>
      </c>
      <c r="E2990" s="11" t="s">
        <v>1710</v>
      </c>
      <c r="F2990" s="12" t="s">
        <v>1710</v>
      </c>
      <c r="G2990" s="9" t="s">
        <v>1709</v>
      </c>
    </row>
    <row r="2991" spans="1:7">
      <c r="A2991" s="9" t="s">
        <v>1711</v>
      </c>
      <c r="B2991" s="13">
        <v>0.2</v>
      </c>
      <c r="C2991" s="10">
        <v>-3.6000000000000004E-2</v>
      </c>
      <c r="D2991" s="9" t="s">
        <v>1709</v>
      </c>
      <c r="E2991" s="11" t="s">
        <v>1710</v>
      </c>
      <c r="F2991" s="12" t="s">
        <v>1710</v>
      </c>
      <c r="G2991" s="9" t="s">
        <v>1709</v>
      </c>
    </row>
    <row r="2992" spans="1:7">
      <c r="A2992" s="9" t="s">
        <v>1711</v>
      </c>
      <c r="B2992" s="13">
        <v>0.2</v>
      </c>
      <c r="C2992" s="10">
        <v>-3.6000000000000004E-2</v>
      </c>
      <c r="D2992" s="9" t="s">
        <v>1709</v>
      </c>
      <c r="E2992" s="11" t="s">
        <v>1710</v>
      </c>
      <c r="F2992" s="12" t="s">
        <v>1710</v>
      </c>
      <c r="G2992" s="9" t="s">
        <v>1709</v>
      </c>
    </row>
    <row r="2993" spans="1:7">
      <c r="A2993" s="9" t="s">
        <v>1711</v>
      </c>
      <c r="B2993" s="9">
        <v>0.2</v>
      </c>
      <c r="C2993" s="10">
        <v>-3.6000000000000004E-2</v>
      </c>
      <c r="D2993" s="9" t="s">
        <v>1709</v>
      </c>
      <c r="E2993" s="11" t="s">
        <v>1710</v>
      </c>
      <c r="F2993" s="12" t="s">
        <v>1710</v>
      </c>
      <c r="G2993" s="9" t="s">
        <v>1709</v>
      </c>
    </row>
    <row r="2994" spans="1:7">
      <c r="A2994" s="9" t="s">
        <v>1711</v>
      </c>
      <c r="B2994" s="9">
        <v>0.2</v>
      </c>
      <c r="C2994" s="10">
        <v>-3.6000000000000004E-2</v>
      </c>
      <c r="D2994" s="9" t="s">
        <v>1709</v>
      </c>
      <c r="E2994" s="11" t="s">
        <v>1710</v>
      </c>
      <c r="F2994" s="12" t="s">
        <v>1710</v>
      </c>
      <c r="G2994" s="9" t="s">
        <v>1709</v>
      </c>
    </row>
    <row r="2995" spans="1:7">
      <c r="A2995" s="9" t="s">
        <v>1711</v>
      </c>
      <c r="B2995" s="9">
        <v>0.2</v>
      </c>
      <c r="C2995" s="10">
        <v>-3.7999999999999999E-2</v>
      </c>
      <c r="D2995" s="9" t="s">
        <v>1709</v>
      </c>
      <c r="E2995" s="11" t="s">
        <v>1710</v>
      </c>
      <c r="F2995" s="12" t="s">
        <v>1710</v>
      </c>
      <c r="G2995" s="9" t="s">
        <v>1709</v>
      </c>
    </row>
    <row r="2996" spans="1:7">
      <c r="A2996" s="9" t="s">
        <v>1711</v>
      </c>
      <c r="B2996" s="9">
        <v>0.2</v>
      </c>
      <c r="C2996" s="10">
        <v>-3.7999999999999999E-2</v>
      </c>
      <c r="D2996" s="9" t="s">
        <v>1709</v>
      </c>
      <c r="E2996" s="11" t="s">
        <v>1710</v>
      </c>
      <c r="F2996" s="12" t="s">
        <v>1710</v>
      </c>
      <c r="G2996" s="9" t="s">
        <v>1709</v>
      </c>
    </row>
    <row r="2997" spans="1:7">
      <c r="A2997" s="9" t="s">
        <v>1711</v>
      </c>
      <c r="B2997" s="9">
        <v>0.2</v>
      </c>
      <c r="C2997" s="10">
        <v>-3.7999999999999999E-2</v>
      </c>
      <c r="D2997" s="9" t="s">
        <v>1709</v>
      </c>
      <c r="E2997" s="11" t="s">
        <v>1710</v>
      </c>
      <c r="F2997" s="12" t="s">
        <v>1710</v>
      </c>
      <c r="G2997" s="9" t="s">
        <v>1709</v>
      </c>
    </row>
    <row r="2998" spans="1:7">
      <c r="A2998" s="9" t="s">
        <v>1711</v>
      </c>
      <c r="B2998" s="9">
        <v>0.2</v>
      </c>
      <c r="C2998" s="10">
        <v>-4.8000000000000001E-2</v>
      </c>
      <c r="D2998" s="9" t="s">
        <v>1709</v>
      </c>
      <c r="E2998" s="11" t="s">
        <v>1710</v>
      </c>
      <c r="F2998" s="12" t="s">
        <v>1710</v>
      </c>
      <c r="G2998" s="9" t="s">
        <v>1709</v>
      </c>
    </row>
    <row r="2999" spans="1:7">
      <c r="A2999" s="9" t="s">
        <v>1711</v>
      </c>
      <c r="B2999" s="13">
        <v>0.2</v>
      </c>
      <c r="C2999" s="10">
        <v>-3.9E-2</v>
      </c>
      <c r="D2999" s="9" t="s">
        <v>1709</v>
      </c>
      <c r="E2999" s="11" t="s">
        <v>1710</v>
      </c>
      <c r="F2999" s="12" t="s">
        <v>1710</v>
      </c>
      <c r="G2999" s="9" t="s">
        <v>1709</v>
      </c>
    </row>
    <row r="3000" spans="1:7">
      <c r="A3000" s="9" t="s">
        <v>1711</v>
      </c>
      <c r="B3000" s="9">
        <v>0.2</v>
      </c>
      <c r="C3000" s="10">
        <v>-3.9E-2</v>
      </c>
      <c r="D3000" s="9" t="s">
        <v>1709</v>
      </c>
      <c r="E3000" s="11" t="s">
        <v>1710</v>
      </c>
      <c r="F3000" s="12" t="s">
        <v>1710</v>
      </c>
      <c r="G3000" s="9" t="s">
        <v>1709</v>
      </c>
    </row>
    <row r="3001" spans="1:7">
      <c r="A3001" s="9" t="s">
        <v>1711</v>
      </c>
      <c r="B3001" s="9">
        <v>0.2</v>
      </c>
      <c r="C3001" s="10">
        <v>1.843</v>
      </c>
      <c r="D3001" s="9" t="s">
        <v>1712</v>
      </c>
      <c r="E3001" s="11" t="s">
        <v>1737</v>
      </c>
      <c r="F3001" s="12" t="s">
        <v>1714</v>
      </c>
      <c r="G3001" s="9" t="s">
        <v>1709</v>
      </c>
    </row>
    <row r="3002" spans="1:7">
      <c r="A3002" s="9" t="s">
        <v>1711</v>
      </c>
      <c r="B3002" s="9">
        <v>0.2</v>
      </c>
      <c r="C3002" s="10">
        <v>0.86</v>
      </c>
      <c r="D3002" s="9" t="s">
        <v>1712</v>
      </c>
      <c r="E3002" s="11" t="s">
        <v>1737</v>
      </c>
      <c r="F3002" s="12" t="s">
        <v>1714</v>
      </c>
      <c r="G3002" s="9" t="s">
        <v>1709</v>
      </c>
    </row>
    <row r="3003" spans="1:7">
      <c r="A3003" s="9" t="s">
        <v>1711</v>
      </c>
      <c r="B3003" s="9">
        <v>0.2</v>
      </c>
      <c r="C3003" s="10">
        <v>0.86</v>
      </c>
      <c r="D3003" s="9" t="s">
        <v>1712</v>
      </c>
      <c r="E3003" s="11" t="s">
        <v>1737</v>
      </c>
      <c r="F3003" s="12" t="s">
        <v>1714</v>
      </c>
      <c r="G3003" s="9" t="s">
        <v>1709</v>
      </c>
    </row>
    <row r="3004" spans="1:7">
      <c r="A3004" s="9" t="s">
        <v>1711</v>
      </c>
      <c r="B3004" s="9">
        <v>0.2</v>
      </c>
      <c r="C3004" s="10">
        <v>0.86</v>
      </c>
      <c r="D3004" s="9" t="s">
        <v>1712</v>
      </c>
      <c r="E3004" s="11" t="s">
        <v>1737</v>
      </c>
      <c r="F3004" s="12" t="s">
        <v>1714</v>
      </c>
      <c r="G3004" s="9" t="s">
        <v>1709</v>
      </c>
    </row>
    <row r="3005" spans="1:7">
      <c r="A3005" s="9" t="s">
        <v>1711</v>
      </c>
      <c r="B3005" s="9">
        <v>0.2</v>
      </c>
      <c r="C3005" s="10">
        <v>0.86099999999999999</v>
      </c>
      <c r="D3005" s="9" t="s">
        <v>1712</v>
      </c>
      <c r="E3005" s="11" t="s">
        <v>1737</v>
      </c>
      <c r="F3005" s="12" t="s">
        <v>1714</v>
      </c>
      <c r="G3005" s="9" t="s">
        <v>1709</v>
      </c>
    </row>
    <row r="3006" spans="1:7">
      <c r="A3006" s="9" t="s">
        <v>1711</v>
      </c>
      <c r="B3006" s="9">
        <v>0.2</v>
      </c>
      <c r="C3006" s="10">
        <v>-8.1000000000000003E-2</v>
      </c>
      <c r="D3006" s="9" t="s">
        <v>1709</v>
      </c>
      <c r="E3006" s="11" t="s">
        <v>1710</v>
      </c>
      <c r="F3006" s="12" t="s">
        <v>1710</v>
      </c>
      <c r="G3006" s="9" t="s">
        <v>1709</v>
      </c>
    </row>
    <row r="3007" spans="1:7">
      <c r="A3007" s="9" t="s">
        <v>1711</v>
      </c>
      <c r="B3007" s="9">
        <v>0.2</v>
      </c>
      <c r="C3007" s="10">
        <v>-9.0999999999999998E-2</v>
      </c>
      <c r="D3007" s="9" t="s">
        <v>1709</v>
      </c>
      <c r="E3007" s="11" t="s">
        <v>1710</v>
      </c>
      <c r="F3007" s="12" t="s">
        <v>1710</v>
      </c>
      <c r="G3007" s="9" t="s">
        <v>1709</v>
      </c>
    </row>
    <row r="3008" spans="1:7">
      <c r="A3008" s="9" t="s">
        <v>1711</v>
      </c>
      <c r="B3008" s="9">
        <v>0.2</v>
      </c>
      <c r="C3008" s="10">
        <v>-9.0999999999999998E-2</v>
      </c>
      <c r="D3008" s="9" t="s">
        <v>1709</v>
      </c>
      <c r="E3008" s="11" t="s">
        <v>1710</v>
      </c>
      <c r="F3008" s="12" t="s">
        <v>1710</v>
      </c>
      <c r="G3008" s="9" t="s">
        <v>1709</v>
      </c>
    </row>
    <row r="3009" spans="1:7">
      <c r="A3009" s="9" t="s">
        <v>1711</v>
      </c>
      <c r="B3009" s="13">
        <v>0.2</v>
      </c>
      <c r="C3009" s="10">
        <v>-8.6999999999999994E-2</v>
      </c>
      <c r="D3009" s="9" t="s">
        <v>1709</v>
      </c>
      <c r="E3009" s="11" t="s">
        <v>1710</v>
      </c>
      <c r="F3009" s="12" t="s">
        <v>1710</v>
      </c>
      <c r="G3009" s="9" t="s">
        <v>1709</v>
      </c>
    </row>
    <row r="3010" spans="1:7">
      <c r="A3010" s="9" t="s">
        <v>1711</v>
      </c>
      <c r="B3010" s="13">
        <v>0.2</v>
      </c>
      <c r="C3010" s="10">
        <v>-0.08</v>
      </c>
      <c r="D3010" s="9" t="s">
        <v>1709</v>
      </c>
      <c r="E3010" s="11" t="s">
        <v>1710</v>
      </c>
      <c r="F3010" s="12" t="s">
        <v>1710</v>
      </c>
      <c r="G3010" s="9" t="s">
        <v>1709</v>
      </c>
    </row>
    <row r="3011" spans="1:7">
      <c r="A3011" s="9" t="s">
        <v>1711</v>
      </c>
      <c r="B3011" s="13">
        <v>0.2</v>
      </c>
      <c r="C3011" s="10">
        <v>-0.08</v>
      </c>
      <c r="D3011" s="9" t="s">
        <v>1709</v>
      </c>
      <c r="E3011" s="11" t="s">
        <v>1710</v>
      </c>
      <c r="F3011" s="12" t="s">
        <v>1710</v>
      </c>
      <c r="G3011" s="9" t="s">
        <v>1709</v>
      </c>
    </row>
    <row r="3012" spans="1:7">
      <c r="A3012" s="9" t="s">
        <v>1711</v>
      </c>
      <c r="B3012" s="13">
        <v>0.2</v>
      </c>
      <c r="C3012" s="10">
        <v>-0.11600000000000001</v>
      </c>
      <c r="D3012" s="9" t="s">
        <v>1709</v>
      </c>
      <c r="E3012" s="11" t="s">
        <v>1710</v>
      </c>
      <c r="F3012" s="12" t="s">
        <v>1710</v>
      </c>
      <c r="G3012" s="9" t="s">
        <v>1709</v>
      </c>
    </row>
    <row r="3013" spans="1:7">
      <c r="A3013" s="9" t="s">
        <v>1711</v>
      </c>
      <c r="B3013" s="13">
        <v>0.2</v>
      </c>
      <c r="C3013" s="10">
        <v>-0.11600000000000001</v>
      </c>
      <c r="D3013" s="9" t="s">
        <v>1709</v>
      </c>
      <c r="E3013" s="11" t="s">
        <v>1710</v>
      </c>
      <c r="F3013" s="12" t="s">
        <v>1710</v>
      </c>
      <c r="G3013" s="9" t="s">
        <v>1709</v>
      </c>
    </row>
    <row r="3014" spans="1:7">
      <c r="A3014" s="9" t="s">
        <v>1711</v>
      </c>
      <c r="B3014" s="9">
        <v>0.2</v>
      </c>
      <c r="C3014" s="10">
        <v>-0.11600000000000001</v>
      </c>
      <c r="D3014" s="9" t="s">
        <v>1709</v>
      </c>
      <c r="E3014" s="11" t="s">
        <v>1710</v>
      </c>
      <c r="F3014" s="12" t="s">
        <v>1710</v>
      </c>
      <c r="G3014" s="9" t="s">
        <v>1709</v>
      </c>
    </row>
    <row r="3015" spans="1:7">
      <c r="A3015" s="9" t="s">
        <v>1711</v>
      </c>
      <c r="B3015" s="9">
        <v>0.2</v>
      </c>
      <c r="C3015" s="10">
        <v>-3.9E-2</v>
      </c>
      <c r="D3015" s="9" t="s">
        <v>1709</v>
      </c>
      <c r="E3015" s="11" t="s">
        <v>1710</v>
      </c>
      <c r="F3015" s="12" t="s">
        <v>1710</v>
      </c>
      <c r="G3015" s="9" t="s">
        <v>1709</v>
      </c>
    </row>
    <row r="3016" spans="1:7">
      <c r="A3016" s="9" t="s">
        <v>1711</v>
      </c>
      <c r="B3016" s="13">
        <v>0.2</v>
      </c>
      <c r="C3016" s="10">
        <v>0.76900000000000002</v>
      </c>
      <c r="D3016" s="9" t="s">
        <v>1712</v>
      </c>
      <c r="E3016" s="11" t="s">
        <v>1715</v>
      </c>
      <c r="F3016" s="12" t="s">
        <v>1714</v>
      </c>
      <c r="G3016" s="9" t="s">
        <v>1709</v>
      </c>
    </row>
    <row r="3017" spans="1:7">
      <c r="A3017" s="9" t="s">
        <v>1711</v>
      </c>
      <c r="B3017" s="13">
        <v>0.2</v>
      </c>
      <c r="C3017" s="10">
        <v>0.77500000000000002</v>
      </c>
      <c r="D3017" s="9" t="s">
        <v>1712</v>
      </c>
      <c r="E3017" s="11" t="s">
        <v>1715</v>
      </c>
      <c r="F3017" s="12" t="s">
        <v>1714</v>
      </c>
      <c r="G3017" s="9" t="s">
        <v>1709</v>
      </c>
    </row>
    <row r="3018" spans="1:7">
      <c r="A3018" s="9" t="s">
        <v>1711</v>
      </c>
      <c r="B3018" s="13">
        <v>0.2</v>
      </c>
      <c r="C3018" s="10">
        <v>0.93500000000000005</v>
      </c>
      <c r="D3018" s="9" t="s">
        <v>1712</v>
      </c>
      <c r="E3018" s="11" t="s">
        <v>1713</v>
      </c>
      <c r="F3018" s="12" t="s">
        <v>1714</v>
      </c>
      <c r="G3018" s="9" t="s">
        <v>1709</v>
      </c>
    </row>
    <row r="3019" spans="1:7">
      <c r="A3019" s="9" t="s">
        <v>1711</v>
      </c>
      <c r="B3019" s="13">
        <v>0.2</v>
      </c>
      <c r="C3019" s="10">
        <v>0.93500000000000005</v>
      </c>
      <c r="D3019" s="9" t="s">
        <v>1712</v>
      </c>
      <c r="E3019" s="11" t="s">
        <v>1713</v>
      </c>
      <c r="F3019" s="12" t="s">
        <v>1714</v>
      </c>
      <c r="G3019" s="9" t="s">
        <v>1709</v>
      </c>
    </row>
    <row r="3020" spans="1:7">
      <c r="A3020" s="9" t="s">
        <v>1711</v>
      </c>
      <c r="B3020" s="13">
        <v>0.2</v>
      </c>
      <c r="C3020" s="10">
        <v>0.93500000000000005</v>
      </c>
      <c r="D3020" s="9" t="s">
        <v>1712</v>
      </c>
      <c r="E3020" s="11" t="s">
        <v>1713</v>
      </c>
      <c r="F3020" s="12" t="s">
        <v>1714</v>
      </c>
      <c r="G3020" s="9" t="s">
        <v>1709</v>
      </c>
    </row>
    <row r="3021" spans="1:7">
      <c r="A3021" s="9" t="s">
        <v>1711</v>
      </c>
      <c r="B3021" s="13">
        <v>0.2</v>
      </c>
      <c r="C3021" s="10">
        <v>0.93500000000000005</v>
      </c>
      <c r="D3021" s="9" t="s">
        <v>1712</v>
      </c>
      <c r="E3021" s="11" t="s">
        <v>1713</v>
      </c>
      <c r="F3021" s="12" t="s">
        <v>1714</v>
      </c>
      <c r="G3021" s="9" t="s">
        <v>1709</v>
      </c>
    </row>
    <row r="3022" spans="1:7">
      <c r="A3022" s="9" t="s">
        <v>1711</v>
      </c>
      <c r="B3022" s="13">
        <v>0.2</v>
      </c>
      <c r="C3022" s="10">
        <v>-6.4000000000000001E-2</v>
      </c>
      <c r="D3022" s="9" t="s">
        <v>1709</v>
      </c>
      <c r="E3022" s="11" t="s">
        <v>1710</v>
      </c>
      <c r="F3022" s="12" t="s">
        <v>1710</v>
      </c>
      <c r="G3022" s="9" t="s">
        <v>1709</v>
      </c>
    </row>
    <row r="3023" spans="1:7">
      <c r="A3023" s="9" t="s">
        <v>1711</v>
      </c>
      <c r="B3023" s="9">
        <v>0.2</v>
      </c>
      <c r="C3023" s="10">
        <v>-6.4000000000000001E-2</v>
      </c>
      <c r="D3023" s="9" t="s">
        <v>1709</v>
      </c>
      <c r="E3023" s="11" t="s">
        <v>1710</v>
      </c>
      <c r="F3023" s="12" t="s">
        <v>1710</v>
      </c>
      <c r="G3023" s="9" t="s">
        <v>1709</v>
      </c>
    </row>
    <row r="3024" spans="1:7">
      <c r="A3024" s="9" t="s">
        <v>1711</v>
      </c>
      <c r="B3024" s="9">
        <v>0.2</v>
      </c>
      <c r="C3024" s="10">
        <v>-0.06</v>
      </c>
      <c r="D3024" s="9" t="s">
        <v>1709</v>
      </c>
      <c r="E3024" s="11" t="s">
        <v>1710</v>
      </c>
      <c r="F3024" s="12" t="s">
        <v>1710</v>
      </c>
      <c r="G3024" s="9" t="s">
        <v>1709</v>
      </c>
    </row>
    <row r="3025" spans="1:7">
      <c r="A3025" s="9" t="s">
        <v>1711</v>
      </c>
      <c r="B3025" s="9">
        <v>0.2</v>
      </c>
      <c r="C3025" s="10">
        <v>-7.1000000000000008E-2</v>
      </c>
      <c r="D3025" s="9" t="s">
        <v>1709</v>
      </c>
      <c r="E3025" s="11" t="s">
        <v>1710</v>
      </c>
      <c r="F3025" s="12" t="s">
        <v>1710</v>
      </c>
      <c r="G3025" s="9" t="s">
        <v>1709</v>
      </c>
    </row>
    <row r="3026" spans="1:7">
      <c r="A3026" s="9" t="s">
        <v>1711</v>
      </c>
      <c r="B3026" s="13">
        <v>0.2</v>
      </c>
      <c r="C3026" s="10">
        <v>-0.11600000000000001</v>
      </c>
      <c r="D3026" s="9" t="s">
        <v>1709</v>
      </c>
      <c r="E3026" s="11" t="s">
        <v>1710</v>
      </c>
      <c r="F3026" s="12" t="s">
        <v>1710</v>
      </c>
      <c r="G3026" s="9" t="s">
        <v>1709</v>
      </c>
    </row>
    <row r="3027" spans="1:7">
      <c r="A3027" s="9" t="s">
        <v>1711</v>
      </c>
      <c r="B3027" s="9">
        <v>0.2</v>
      </c>
      <c r="C3027" s="10">
        <v>-0.11600000000000001</v>
      </c>
      <c r="D3027" s="9" t="s">
        <v>1709</v>
      </c>
      <c r="E3027" s="11" t="s">
        <v>1710</v>
      </c>
      <c r="F3027" s="12" t="s">
        <v>1710</v>
      </c>
      <c r="G3027" s="9" t="s">
        <v>1709</v>
      </c>
    </row>
    <row r="3028" spans="1:7">
      <c r="A3028" s="9" t="s">
        <v>1711</v>
      </c>
      <c r="B3028" s="13">
        <v>0.2</v>
      </c>
      <c r="C3028" s="10">
        <v>-0.11600000000000001</v>
      </c>
      <c r="D3028" s="9" t="s">
        <v>1709</v>
      </c>
      <c r="E3028" s="11" t="s">
        <v>1710</v>
      </c>
      <c r="F3028" s="12" t="s">
        <v>1710</v>
      </c>
      <c r="G3028" s="9" t="s">
        <v>1709</v>
      </c>
    </row>
    <row r="3029" spans="1:7">
      <c r="A3029" s="9" t="s">
        <v>1711</v>
      </c>
      <c r="B3029" s="9">
        <v>0.2</v>
      </c>
      <c r="C3029" s="10">
        <v>-0.11600000000000001</v>
      </c>
      <c r="D3029" s="9" t="s">
        <v>1709</v>
      </c>
      <c r="E3029" s="11" t="s">
        <v>1710</v>
      </c>
      <c r="F3029" s="12" t="s">
        <v>1710</v>
      </c>
      <c r="G3029" s="9" t="s">
        <v>1709</v>
      </c>
    </row>
    <row r="3030" spans="1:7">
      <c r="A3030" s="9" t="s">
        <v>1711</v>
      </c>
      <c r="B3030" s="9">
        <v>0.2</v>
      </c>
      <c r="C3030" s="10">
        <v>-0.11600000000000001</v>
      </c>
      <c r="D3030" s="9" t="s">
        <v>1709</v>
      </c>
      <c r="E3030" s="11" t="s">
        <v>1710</v>
      </c>
      <c r="F3030" s="12" t="s">
        <v>1710</v>
      </c>
      <c r="G3030" s="9" t="s">
        <v>1709</v>
      </c>
    </row>
    <row r="3031" spans="1:7">
      <c r="A3031" s="9" t="s">
        <v>1711</v>
      </c>
      <c r="B3031" s="9">
        <v>0.2</v>
      </c>
      <c r="C3031" s="10">
        <v>-0.11600000000000001</v>
      </c>
      <c r="D3031" s="9" t="s">
        <v>1709</v>
      </c>
      <c r="E3031" s="11" t="s">
        <v>1710</v>
      </c>
      <c r="F3031" s="12" t="s">
        <v>1710</v>
      </c>
      <c r="G3031" s="9" t="s">
        <v>1709</v>
      </c>
    </row>
    <row r="3032" spans="1:7">
      <c r="A3032" s="9" t="s">
        <v>1711</v>
      </c>
      <c r="B3032" s="9">
        <v>0.2</v>
      </c>
      <c r="C3032" s="10">
        <v>-5.5E-2</v>
      </c>
      <c r="D3032" s="9" t="s">
        <v>1709</v>
      </c>
      <c r="E3032" s="11" t="s">
        <v>1710</v>
      </c>
      <c r="F3032" s="12" t="s">
        <v>1710</v>
      </c>
      <c r="G3032" s="9" t="s">
        <v>1709</v>
      </c>
    </row>
    <row r="3033" spans="1:7">
      <c r="A3033" s="9" t="s">
        <v>1711</v>
      </c>
      <c r="B3033" s="13">
        <v>0.2</v>
      </c>
      <c r="C3033" s="10">
        <v>-5.5E-2</v>
      </c>
      <c r="D3033" s="9" t="s">
        <v>1709</v>
      </c>
      <c r="E3033" s="11" t="s">
        <v>1710</v>
      </c>
      <c r="F3033" s="12" t="s">
        <v>1710</v>
      </c>
      <c r="G3033" s="9" t="s">
        <v>1709</v>
      </c>
    </row>
    <row r="3034" spans="1:7">
      <c r="A3034" s="9" t="s">
        <v>1711</v>
      </c>
      <c r="B3034" s="9">
        <v>0.2</v>
      </c>
      <c r="C3034" s="10">
        <v>-5.5E-2</v>
      </c>
      <c r="D3034" s="9" t="s">
        <v>1709</v>
      </c>
      <c r="E3034" s="11" t="s">
        <v>1710</v>
      </c>
      <c r="F3034" s="12" t="s">
        <v>1710</v>
      </c>
      <c r="G3034" s="9" t="s">
        <v>1709</v>
      </c>
    </row>
    <row r="3035" spans="1:7">
      <c r="A3035" s="9" t="s">
        <v>1711</v>
      </c>
      <c r="B3035" s="13">
        <v>0.2</v>
      </c>
      <c r="C3035" s="10">
        <v>-5.5E-2</v>
      </c>
      <c r="D3035" s="9" t="s">
        <v>1709</v>
      </c>
      <c r="E3035" s="11" t="s">
        <v>1710</v>
      </c>
      <c r="F3035" s="12" t="s">
        <v>1710</v>
      </c>
      <c r="G3035" s="9" t="s">
        <v>1709</v>
      </c>
    </row>
    <row r="3036" spans="1:7">
      <c r="A3036" s="9" t="s">
        <v>1711</v>
      </c>
      <c r="B3036" s="9">
        <v>0.2</v>
      </c>
      <c r="C3036" s="10">
        <v>-5.5E-2</v>
      </c>
      <c r="D3036" s="9" t="s">
        <v>1709</v>
      </c>
      <c r="E3036" s="11" t="s">
        <v>1710</v>
      </c>
      <c r="F3036" s="12" t="s">
        <v>1710</v>
      </c>
      <c r="G3036" s="9" t="s">
        <v>1709</v>
      </c>
    </row>
    <row r="3037" spans="1:7">
      <c r="A3037" s="9" t="s">
        <v>1711</v>
      </c>
      <c r="B3037" s="9">
        <v>0.2</v>
      </c>
      <c r="C3037" s="10">
        <v>-5.5E-2</v>
      </c>
      <c r="D3037" s="9" t="s">
        <v>1709</v>
      </c>
      <c r="E3037" s="11" t="s">
        <v>1710</v>
      </c>
      <c r="F3037" s="12" t="s">
        <v>1710</v>
      </c>
      <c r="G3037" s="9" t="s">
        <v>1709</v>
      </c>
    </row>
    <row r="3038" spans="1:7">
      <c r="A3038" s="9" t="s">
        <v>1711</v>
      </c>
      <c r="B3038" s="13">
        <v>0.2</v>
      </c>
      <c r="C3038" s="10">
        <v>-5.1000000000000004E-2</v>
      </c>
      <c r="D3038" s="9" t="s">
        <v>1709</v>
      </c>
      <c r="E3038" s="11" t="s">
        <v>1710</v>
      </c>
      <c r="F3038" s="12" t="s">
        <v>1710</v>
      </c>
      <c r="G3038" s="9" t="s">
        <v>1709</v>
      </c>
    </row>
    <row r="3039" spans="1:7">
      <c r="A3039" s="9" t="s">
        <v>1711</v>
      </c>
      <c r="B3039" s="13">
        <v>0.2</v>
      </c>
      <c r="C3039" s="10">
        <v>-3.6999999999999998E-2</v>
      </c>
      <c r="D3039" s="9" t="s">
        <v>1709</v>
      </c>
      <c r="E3039" s="11" t="s">
        <v>1710</v>
      </c>
      <c r="F3039" s="12" t="s">
        <v>1710</v>
      </c>
      <c r="G3039" s="9" t="s">
        <v>1709</v>
      </c>
    </row>
    <row r="3040" spans="1:7">
      <c r="A3040" s="9" t="s">
        <v>1711</v>
      </c>
      <c r="B3040" s="13">
        <v>0.2</v>
      </c>
      <c r="C3040" s="10">
        <v>-7.1000000000000008E-2</v>
      </c>
      <c r="D3040" s="9" t="s">
        <v>1709</v>
      </c>
      <c r="E3040" s="11" t="s">
        <v>1710</v>
      </c>
      <c r="F3040" s="12" t="s">
        <v>1710</v>
      </c>
      <c r="G3040" s="9" t="s">
        <v>1709</v>
      </c>
    </row>
    <row r="3041" spans="1:7">
      <c r="A3041" s="9" t="s">
        <v>1711</v>
      </c>
      <c r="B3041" s="13">
        <v>0.2</v>
      </c>
      <c r="C3041" s="10">
        <v>-7.1000000000000008E-2</v>
      </c>
      <c r="D3041" s="9" t="s">
        <v>1709</v>
      </c>
      <c r="E3041" s="11" t="s">
        <v>1710</v>
      </c>
      <c r="F3041" s="12" t="s">
        <v>1710</v>
      </c>
      <c r="G3041" s="9" t="s">
        <v>1709</v>
      </c>
    </row>
    <row r="3042" spans="1:7">
      <c r="A3042" s="9" t="s">
        <v>1711</v>
      </c>
      <c r="B3042" s="13">
        <v>0.2</v>
      </c>
      <c r="C3042" s="10">
        <v>-7.1000000000000008E-2</v>
      </c>
      <c r="D3042" s="9" t="s">
        <v>1709</v>
      </c>
      <c r="E3042" s="11" t="s">
        <v>1710</v>
      </c>
      <c r="F3042" s="12" t="s">
        <v>1710</v>
      </c>
      <c r="G3042" s="9" t="s">
        <v>1709</v>
      </c>
    </row>
    <row r="3043" spans="1:7">
      <c r="A3043" s="9" t="s">
        <v>1711</v>
      </c>
      <c r="B3043" s="13">
        <v>0.2</v>
      </c>
      <c r="C3043" s="10">
        <v>-7.1000000000000008E-2</v>
      </c>
      <c r="D3043" s="9" t="s">
        <v>1709</v>
      </c>
      <c r="E3043" s="11" t="s">
        <v>1710</v>
      </c>
      <c r="F3043" s="12" t="s">
        <v>1710</v>
      </c>
      <c r="G3043" s="9" t="s">
        <v>1709</v>
      </c>
    </row>
    <row r="3044" spans="1:7">
      <c r="A3044" s="9" t="s">
        <v>1711</v>
      </c>
      <c r="B3044" s="9">
        <v>0.2</v>
      </c>
      <c r="C3044" s="10">
        <v>-7.1000000000000008E-2</v>
      </c>
      <c r="D3044" s="9" t="s">
        <v>1709</v>
      </c>
      <c r="E3044" s="11" t="s">
        <v>1710</v>
      </c>
      <c r="F3044" s="12" t="s">
        <v>1710</v>
      </c>
      <c r="G3044" s="9" t="s">
        <v>1709</v>
      </c>
    </row>
    <row r="3045" spans="1:7">
      <c r="A3045" s="9" t="s">
        <v>1711</v>
      </c>
      <c r="B3045" s="9">
        <v>0.2</v>
      </c>
      <c r="C3045" s="10">
        <v>-7.1000000000000008E-2</v>
      </c>
      <c r="D3045" s="9" t="s">
        <v>1709</v>
      </c>
      <c r="E3045" s="11" t="s">
        <v>1710</v>
      </c>
      <c r="F3045" s="12" t="s">
        <v>1710</v>
      </c>
      <c r="G3045" s="9" t="s">
        <v>1709</v>
      </c>
    </row>
    <row r="3046" spans="1:7">
      <c r="A3046" s="9" t="s">
        <v>1711</v>
      </c>
      <c r="B3046" s="9">
        <v>0.2</v>
      </c>
      <c r="C3046" s="10">
        <v>-7.1000000000000008E-2</v>
      </c>
      <c r="D3046" s="9" t="s">
        <v>1709</v>
      </c>
      <c r="E3046" s="11" t="s">
        <v>1710</v>
      </c>
      <c r="F3046" s="12" t="s">
        <v>1710</v>
      </c>
      <c r="G3046" s="9" t="s">
        <v>1709</v>
      </c>
    </row>
    <row r="3047" spans="1:7">
      <c r="A3047" s="9" t="s">
        <v>1711</v>
      </c>
      <c r="B3047" s="13">
        <v>0.2</v>
      </c>
      <c r="C3047" s="10">
        <v>-2.2000000000000002E-2</v>
      </c>
      <c r="D3047" s="9" t="s">
        <v>1709</v>
      </c>
      <c r="E3047" s="11" t="s">
        <v>1710</v>
      </c>
      <c r="F3047" s="12" t="s">
        <v>1710</v>
      </c>
      <c r="G3047" s="9" t="s">
        <v>1709</v>
      </c>
    </row>
    <row r="3048" spans="1:7">
      <c r="A3048" s="9" t="s">
        <v>1711</v>
      </c>
      <c r="B3048" s="13">
        <v>0.2</v>
      </c>
      <c r="C3048" s="10">
        <v>-0.09</v>
      </c>
      <c r="D3048" s="9" t="s">
        <v>1709</v>
      </c>
      <c r="E3048" s="11" t="s">
        <v>1710</v>
      </c>
      <c r="F3048" s="12" t="s">
        <v>1710</v>
      </c>
      <c r="G3048" s="9" t="s">
        <v>1709</v>
      </c>
    </row>
    <row r="3049" spans="1:7">
      <c r="A3049" s="9" t="s">
        <v>1711</v>
      </c>
      <c r="B3049" s="13">
        <v>0.2</v>
      </c>
      <c r="C3049" s="10">
        <v>-0.09</v>
      </c>
      <c r="D3049" s="9" t="s">
        <v>1709</v>
      </c>
      <c r="E3049" s="11" t="s">
        <v>1710</v>
      </c>
      <c r="F3049" s="12" t="s">
        <v>1710</v>
      </c>
      <c r="G3049" s="9" t="s">
        <v>1709</v>
      </c>
    </row>
    <row r="3050" spans="1:7">
      <c r="A3050" s="9" t="s">
        <v>1711</v>
      </c>
      <c r="B3050" s="13">
        <v>0.2</v>
      </c>
      <c r="C3050" s="10">
        <v>-5.7000000000000002E-2</v>
      </c>
      <c r="D3050" s="9" t="s">
        <v>1709</v>
      </c>
      <c r="E3050" s="11" t="s">
        <v>1710</v>
      </c>
      <c r="F3050" s="12" t="s">
        <v>1710</v>
      </c>
      <c r="G3050" s="9" t="s">
        <v>1709</v>
      </c>
    </row>
    <row r="3051" spans="1:7">
      <c r="A3051" s="9" t="s">
        <v>1711</v>
      </c>
      <c r="B3051" s="13">
        <v>0.2</v>
      </c>
      <c r="C3051" s="10">
        <v>-3.6999999999999998E-2</v>
      </c>
      <c r="D3051" s="9" t="s">
        <v>1709</v>
      </c>
      <c r="E3051" s="11" t="s">
        <v>1710</v>
      </c>
      <c r="F3051" s="12" t="s">
        <v>1710</v>
      </c>
      <c r="G3051" s="9" t="s">
        <v>1709</v>
      </c>
    </row>
    <row r="3052" spans="1:7">
      <c r="A3052" s="9" t="s">
        <v>1711</v>
      </c>
      <c r="B3052" s="13">
        <v>0.2</v>
      </c>
      <c r="C3052" s="10">
        <v>-3.2000000000000001E-2</v>
      </c>
      <c r="D3052" s="9" t="s">
        <v>1709</v>
      </c>
      <c r="E3052" s="11" t="s">
        <v>1710</v>
      </c>
      <c r="F3052" s="12" t="s">
        <v>1710</v>
      </c>
      <c r="G3052" s="9" t="s">
        <v>1709</v>
      </c>
    </row>
    <row r="3053" spans="1:7">
      <c r="A3053" s="9" t="s">
        <v>1711</v>
      </c>
      <c r="B3053" s="13">
        <v>0.2</v>
      </c>
      <c r="C3053" s="10">
        <v>-3.2000000000000001E-2</v>
      </c>
      <c r="D3053" s="9" t="s">
        <v>1709</v>
      </c>
      <c r="E3053" s="11" t="s">
        <v>1710</v>
      </c>
      <c r="F3053" s="12" t="s">
        <v>1710</v>
      </c>
      <c r="G3053" s="9" t="s">
        <v>1709</v>
      </c>
    </row>
    <row r="3054" spans="1:7">
      <c r="A3054" s="9" t="s">
        <v>1711</v>
      </c>
      <c r="B3054" s="13">
        <v>0.2</v>
      </c>
      <c r="C3054" s="10">
        <v>2.8439999999999999</v>
      </c>
      <c r="D3054" s="9" t="s">
        <v>1712</v>
      </c>
      <c r="E3054" s="11" t="s">
        <v>1715</v>
      </c>
      <c r="F3054" s="12" t="s">
        <v>1714</v>
      </c>
      <c r="G3054" s="9" t="s">
        <v>1709</v>
      </c>
    </row>
    <row r="3055" spans="1:7">
      <c r="A3055" s="9" t="s">
        <v>1711</v>
      </c>
      <c r="B3055" s="13">
        <v>0.2</v>
      </c>
      <c r="C3055" s="10">
        <v>2.8439999999999999</v>
      </c>
      <c r="D3055" s="9" t="s">
        <v>1712</v>
      </c>
      <c r="E3055" s="11" t="s">
        <v>1715</v>
      </c>
      <c r="F3055" s="12" t="s">
        <v>1714</v>
      </c>
      <c r="G3055" s="9" t="s">
        <v>1709</v>
      </c>
    </row>
    <row r="3056" spans="1:7">
      <c r="A3056" s="9" t="s">
        <v>1711</v>
      </c>
      <c r="B3056" s="13">
        <v>0.2</v>
      </c>
      <c r="C3056" s="10">
        <v>2.8439999999999999</v>
      </c>
      <c r="D3056" s="9" t="s">
        <v>1712</v>
      </c>
      <c r="E3056" s="11" t="s">
        <v>1715</v>
      </c>
      <c r="F3056" s="12" t="s">
        <v>1714</v>
      </c>
      <c r="G3056" s="9" t="s">
        <v>1709</v>
      </c>
    </row>
    <row r="3057" spans="1:7">
      <c r="A3057" s="9" t="s">
        <v>1711</v>
      </c>
      <c r="B3057" s="13">
        <v>0.2</v>
      </c>
      <c r="C3057" s="10">
        <v>2.8439999999999999</v>
      </c>
      <c r="D3057" s="9" t="s">
        <v>1712</v>
      </c>
      <c r="E3057" s="11" t="s">
        <v>1715</v>
      </c>
      <c r="F3057" s="12" t="s">
        <v>1714</v>
      </c>
      <c r="G3057" s="9" t="s">
        <v>1709</v>
      </c>
    </row>
    <row r="3058" spans="1:7">
      <c r="A3058" s="9" t="s">
        <v>1711</v>
      </c>
      <c r="B3058" s="13">
        <v>0.2</v>
      </c>
      <c r="C3058" s="10">
        <v>2.8439999999999999</v>
      </c>
      <c r="D3058" s="9" t="s">
        <v>1712</v>
      </c>
      <c r="E3058" s="11" t="s">
        <v>1715</v>
      </c>
      <c r="F3058" s="12" t="s">
        <v>1714</v>
      </c>
      <c r="G3058" s="9" t="s">
        <v>1709</v>
      </c>
    </row>
    <row r="3059" spans="1:7">
      <c r="A3059" s="9" t="s">
        <v>1711</v>
      </c>
      <c r="B3059" s="13">
        <v>0.2</v>
      </c>
      <c r="C3059" s="10">
        <v>2.8439999999999999</v>
      </c>
      <c r="D3059" s="9" t="s">
        <v>1712</v>
      </c>
      <c r="E3059" s="11" t="s">
        <v>1715</v>
      </c>
      <c r="F3059" s="12" t="s">
        <v>1714</v>
      </c>
      <c r="G3059" s="9" t="s">
        <v>1709</v>
      </c>
    </row>
    <row r="3060" spans="1:7">
      <c r="A3060" s="9" t="s">
        <v>1711</v>
      </c>
      <c r="B3060" s="13">
        <v>0.2</v>
      </c>
      <c r="C3060" s="10">
        <v>2.8439999999999999</v>
      </c>
      <c r="D3060" s="9" t="s">
        <v>1712</v>
      </c>
      <c r="E3060" s="11" t="s">
        <v>1715</v>
      </c>
      <c r="F3060" s="12" t="s">
        <v>1714</v>
      </c>
      <c r="G3060" s="9" t="s">
        <v>1709</v>
      </c>
    </row>
    <row r="3061" spans="1:7">
      <c r="A3061" s="9" t="s">
        <v>1711</v>
      </c>
      <c r="B3061" s="13">
        <v>0.2</v>
      </c>
      <c r="C3061" s="10">
        <v>2.8439999999999999</v>
      </c>
      <c r="D3061" s="9" t="s">
        <v>1712</v>
      </c>
      <c r="E3061" s="11" t="s">
        <v>1715</v>
      </c>
      <c r="F3061" s="12" t="s">
        <v>1714</v>
      </c>
      <c r="G3061" s="9" t="s">
        <v>1709</v>
      </c>
    </row>
    <row r="3062" spans="1:7">
      <c r="A3062" s="9" t="s">
        <v>1711</v>
      </c>
      <c r="B3062" s="13">
        <v>0.2</v>
      </c>
      <c r="C3062" s="10">
        <v>2.8439999999999999</v>
      </c>
      <c r="D3062" s="9" t="s">
        <v>1712</v>
      </c>
      <c r="E3062" s="11" t="s">
        <v>1715</v>
      </c>
      <c r="F3062" s="12" t="s">
        <v>1714</v>
      </c>
      <c r="G3062" s="9" t="s">
        <v>1709</v>
      </c>
    </row>
    <row r="3063" spans="1:7">
      <c r="A3063" s="9" t="s">
        <v>1711</v>
      </c>
      <c r="B3063" s="13">
        <v>0.2</v>
      </c>
      <c r="C3063" s="10">
        <v>2.8439999999999999</v>
      </c>
      <c r="D3063" s="9" t="s">
        <v>1712</v>
      </c>
      <c r="E3063" s="11" t="s">
        <v>1715</v>
      </c>
      <c r="F3063" s="12" t="s">
        <v>1714</v>
      </c>
      <c r="G3063" s="9" t="s">
        <v>1709</v>
      </c>
    </row>
    <row r="3064" spans="1:7">
      <c r="A3064" s="9" t="s">
        <v>1711</v>
      </c>
      <c r="B3064" s="9">
        <v>0.2</v>
      </c>
      <c r="C3064" s="10">
        <v>2.8439999999999999</v>
      </c>
      <c r="D3064" s="9" t="s">
        <v>1712</v>
      </c>
      <c r="E3064" s="11" t="s">
        <v>1715</v>
      </c>
      <c r="F3064" s="12" t="s">
        <v>1714</v>
      </c>
      <c r="G3064" s="9" t="s">
        <v>1709</v>
      </c>
    </row>
    <row r="3065" spans="1:7">
      <c r="A3065" s="9" t="s">
        <v>1711</v>
      </c>
      <c r="B3065" s="13">
        <v>0.2</v>
      </c>
      <c r="C3065" s="10">
        <v>2.8439999999999999</v>
      </c>
      <c r="D3065" s="9" t="s">
        <v>1712</v>
      </c>
      <c r="E3065" s="11" t="s">
        <v>1715</v>
      </c>
      <c r="F3065" s="12" t="s">
        <v>1714</v>
      </c>
      <c r="G3065" s="9" t="s">
        <v>1709</v>
      </c>
    </row>
    <row r="3066" spans="1:7">
      <c r="A3066" s="9" t="s">
        <v>1711</v>
      </c>
      <c r="B3066" s="13">
        <v>0.2</v>
      </c>
      <c r="C3066" s="10">
        <v>2.8439999999999999</v>
      </c>
      <c r="D3066" s="9" t="s">
        <v>1712</v>
      </c>
      <c r="E3066" s="11" t="s">
        <v>1715</v>
      </c>
      <c r="F3066" s="12" t="s">
        <v>1714</v>
      </c>
      <c r="G3066" s="9" t="s">
        <v>1709</v>
      </c>
    </row>
    <row r="3067" spans="1:7">
      <c r="A3067" s="9" t="s">
        <v>1711</v>
      </c>
      <c r="B3067" s="13">
        <v>0.2</v>
      </c>
      <c r="C3067" s="10">
        <v>1.853</v>
      </c>
      <c r="D3067" s="9" t="s">
        <v>1712</v>
      </c>
      <c r="E3067" s="11" t="s">
        <v>1737</v>
      </c>
      <c r="F3067" s="12" t="s">
        <v>1714</v>
      </c>
      <c r="G3067" s="9" t="s">
        <v>1709</v>
      </c>
    </row>
    <row r="3068" spans="1:7">
      <c r="A3068" s="9" t="s">
        <v>1711</v>
      </c>
      <c r="B3068" s="9">
        <v>0.2</v>
      </c>
      <c r="C3068" s="10">
        <v>0.68600000000000005</v>
      </c>
      <c r="D3068" s="9" t="s">
        <v>1712</v>
      </c>
      <c r="E3068" s="11" t="s">
        <v>1713</v>
      </c>
      <c r="F3068" s="12" t="s">
        <v>1714</v>
      </c>
      <c r="G3068" s="9" t="s">
        <v>1709</v>
      </c>
    </row>
    <row r="3069" spans="1:7">
      <c r="A3069" s="9" t="s">
        <v>1711</v>
      </c>
      <c r="B3069" s="9">
        <v>0.2</v>
      </c>
      <c r="C3069" s="10">
        <v>0.22600000000000001</v>
      </c>
      <c r="D3069" s="9" t="s">
        <v>1712</v>
      </c>
      <c r="E3069" s="11" t="s">
        <v>1713</v>
      </c>
      <c r="F3069" s="12" t="s">
        <v>1714</v>
      </c>
      <c r="G3069" s="9" t="s">
        <v>1709</v>
      </c>
    </row>
    <row r="3070" spans="1:7">
      <c r="A3070" s="9" t="s">
        <v>1711</v>
      </c>
      <c r="B3070" s="9">
        <v>0.2</v>
      </c>
      <c r="C3070" s="10">
        <v>0.22600000000000001</v>
      </c>
      <c r="D3070" s="9" t="s">
        <v>1712</v>
      </c>
      <c r="E3070" s="11" t="s">
        <v>1713</v>
      </c>
      <c r="F3070" s="12" t="s">
        <v>1714</v>
      </c>
      <c r="G3070" s="9" t="s">
        <v>1709</v>
      </c>
    </row>
    <row r="3071" spans="1:7">
      <c r="A3071" s="9" t="s">
        <v>1711</v>
      </c>
      <c r="B3071" s="9">
        <v>0.2</v>
      </c>
      <c r="C3071" s="10">
        <v>0.80700000000000005</v>
      </c>
      <c r="D3071" s="9" t="s">
        <v>1712</v>
      </c>
      <c r="E3071" s="11" t="s">
        <v>1713</v>
      </c>
      <c r="F3071" s="12" t="s">
        <v>1714</v>
      </c>
      <c r="G3071" s="9" t="s">
        <v>1709</v>
      </c>
    </row>
    <row r="3072" spans="1:7">
      <c r="A3072" s="9" t="s">
        <v>1711</v>
      </c>
      <c r="B3072" s="13">
        <v>0.2</v>
      </c>
      <c r="C3072" s="10">
        <v>0.39600000000000002</v>
      </c>
      <c r="D3072" s="9" t="s">
        <v>1712</v>
      </c>
      <c r="E3072" s="11" t="s">
        <v>1713</v>
      </c>
      <c r="F3072" s="12" t="s">
        <v>1714</v>
      </c>
      <c r="G3072" s="9" t="s">
        <v>1709</v>
      </c>
    </row>
    <row r="3073" spans="1:7">
      <c r="A3073" s="9" t="s">
        <v>1711</v>
      </c>
      <c r="B3073" s="13">
        <v>0.2</v>
      </c>
      <c r="C3073" s="10">
        <v>0.28999999999999998</v>
      </c>
      <c r="D3073" s="9" t="s">
        <v>1712</v>
      </c>
      <c r="E3073" s="11" t="s">
        <v>1713</v>
      </c>
      <c r="F3073" s="12" t="s">
        <v>1714</v>
      </c>
      <c r="G3073" s="9" t="s">
        <v>1709</v>
      </c>
    </row>
    <row r="3074" spans="1:7">
      <c r="A3074" s="9" t="s">
        <v>1711</v>
      </c>
      <c r="B3074" s="13">
        <v>0.2</v>
      </c>
      <c r="C3074" s="10">
        <v>0.27900000000000003</v>
      </c>
      <c r="D3074" s="9" t="s">
        <v>1712</v>
      </c>
      <c r="E3074" s="11" t="s">
        <v>1713</v>
      </c>
      <c r="F3074" s="12" t="s">
        <v>1714</v>
      </c>
      <c r="G3074" s="9" t="s">
        <v>1709</v>
      </c>
    </row>
    <row r="3075" spans="1:7">
      <c r="A3075" s="9" t="s">
        <v>1711</v>
      </c>
      <c r="B3075" s="13">
        <v>0.2</v>
      </c>
      <c r="C3075" s="10">
        <v>-0.16200000000000001</v>
      </c>
      <c r="D3075" s="9" t="s">
        <v>1709</v>
      </c>
      <c r="E3075" s="11" t="s">
        <v>1710</v>
      </c>
      <c r="F3075" s="12" t="s">
        <v>1710</v>
      </c>
      <c r="G3075" s="9" t="s">
        <v>1709</v>
      </c>
    </row>
    <row r="3076" spans="1:7">
      <c r="A3076" s="9" t="s">
        <v>1711</v>
      </c>
      <c r="B3076" s="13">
        <v>0.2</v>
      </c>
      <c r="C3076" s="10">
        <v>-4.5999999999999999E-2</v>
      </c>
      <c r="D3076" s="9" t="s">
        <v>1709</v>
      </c>
      <c r="E3076" s="11" t="s">
        <v>1710</v>
      </c>
      <c r="F3076" s="12" t="s">
        <v>1710</v>
      </c>
      <c r="G3076" s="9" t="s">
        <v>1709</v>
      </c>
    </row>
    <row r="3077" spans="1:7">
      <c r="A3077" s="9" t="s">
        <v>1711</v>
      </c>
      <c r="B3077" s="9">
        <v>0.2</v>
      </c>
      <c r="C3077" s="10">
        <v>0.30499999999999999</v>
      </c>
      <c r="D3077" s="9" t="s">
        <v>1712</v>
      </c>
      <c r="E3077" s="11" t="s">
        <v>1713</v>
      </c>
      <c r="F3077" s="12" t="s">
        <v>1714</v>
      </c>
      <c r="G3077" s="9" t="s">
        <v>1709</v>
      </c>
    </row>
    <row r="3078" spans="1:7">
      <c r="A3078" s="9" t="s">
        <v>1711</v>
      </c>
      <c r="B3078" s="13">
        <v>0.2</v>
      </c>
      <c r="C3078" s="10">
        <v>0.17299999999999999</v>
      </c>
      <c r="D3078" s="9" t="s">
        <v>1712</v>
      </c>
      <c r="E3078" s="11" t="s">
        <v>1713</v>
      </c>
      <c r="F3078" s="12" t="s">
        <v>1714</v>
      </c>
      <c r="G3078" s="9" t="s">
        <v>1709</v>
      </c>
    </row>
    <row r="3079" spans="1:7">
      <c r="A3079" s="9" t="s">
        <v>1711</v>
      </c>
      <c r="B3079" s="13">
        <v>0.2</v>
      </c>
      <c r="C3079" s="10">
        <v>0.15</v>
      </c>
      <c r="D3079" s="9" t="s">
        <v>1712</v>
      </c>
      <c r="E3079" s="11" t="s">
        <v>1713</v>
      </c>
      <c r="F3079" s="12" t="s">
        <v>1714</v>
      </c>
      <c r="G3079" s="9" t="s">
        <v>1709</v>
      </c>
    </row>
    <row r="3080" spans="1:7">
      <c r="A3080" s="9" t="s">
        <v>1711</v>
      </c>
      <c r="B3080" s="13">
        <v>0.2</v>
      </c>
      <c r="C3080" s="10">
        <v>0.32300000000000001</v>
      </c>
      <c r="D3080" s="9" t="s">
        <v>1712</v>
      </c>
      <c r="E3080" s="11" t="s">
        <v>1713</v>
      </c>
      <c r="F3080" s="12" t="s">
        <v>1714</v>
      </c>
      <c r="G3080" s="9" t="s">
        <v>1709</v>
      </c>
    </row>
    <row r="3081" spans="1:7">
      <c r="A3081" s="9" t="s">
        <v>1711</v>
      </c>
      <c r="B3081" s="13">
        <v>0.2</v>
      </c>
      <c r="C3081" s="10">
        <v>-1.9E-2</v>
      </c>
      <c r="D3081" s="9" t="s">
        <v>1709</v>
      </c>
      <c r="E3081" s="11" t="s">
        <v>1710</v>
      </c>
      <c r="F3081" s="12" t="s">
        <v>1710</v>
      </c>
      <c r="G3081" s="9" t="s">
        <v>1709</v>
      </c>
    </row>
    <row r="3082" spans="1:7">
      <c r="A3082" s="9" t="s">
        <v>1711</v>
      </c>
      <c r="B3082" s="13">
        <v>0.2</v>
      </c>
      <c r="C3082" s="10">
        <v>-0.1</v>
      </c>
      <c r="D3082" s="9" t="s">
        <v>1709</v>
      </c>
      <c r="E3082" s="11" t="s">
        <v>1710</v>
      </c>
      <c r="F3082" s="12" t="s">
        <v>1710</v>
      </c>
      <c r="G3082" s="9" t="s">
        <v>1709</v>
      </c>
    </row>
    <row r="3083" spans="1:7">
      <c r="A3083" s="9" t="s">
        <v>1711</v>
      </c>
      <c r="B3083" s="13">
        <v>0.2</v>
      </c>
      <c r="C3083" s="10">
        <v>-6.9000000000000006E-2</v>
      </c>
      <c r="D3083" s="9" t="s">
        <v>1709</v>
      </c>
      <c r="E3083" s="11" t="s">
        <v>1710</v>
      </c>
      <c r="F3083" s="12" t="s">
        <v>1710</v>
      </c>
      <c r="G3083" s="9" t="s">
        <v>1709</v>
      </c>
    </row>
    <row r="3084" spans="1:7">
      <c r="A3084" s="9" t="s">
        <v>1711</v>
      </c>
      <c r="B3084" s="13">
        <v>0.2</v>
      </c>
      <c r="C3084" s="10">
        <v>4.0000000000000001E-3</v>
      </c>
      <c r="D3084" s="9" t="s">
        <v>1712</v>
      </c>
      <c r="E3084" s="11" t="s">
        <v>1715</v>
      </c>
      <c r="F3084" s="12" t="s">
        <v>1714</v>
      </c>
      <c r="G3084" s="9" t="s">
        <v>1709</v>
      </c>
    </row>
    <row r="3085" spans="1:7">
      <c r="A3085" s="9" t="s">
        <v>1711</v>
      </c>
      <c r="B3085" s="13">
        <v>0.2</v>
      </c>
      <c r="C3085" s="10">
        <v>4.0000000000000001E-3</v>
      </c>
      <c r="D3085" s="9" t="s">
        <v>1712</v>
      </c>
      <c r="E3085" s="11" t="s">
        <v>1715</v>
      </c>
      <c r="F3085" s="12" t="s">
        <v>1714</v>
      </c>
      <c r="G3085" s="9" t="s">
        <v>1709</v>
      </c>
    </row>
    <row r="3086" spans="1:7">
      <c r="A3086" s="9" t="s">
        <v>1711</v>
      </c>
      <c r="B3086" s="13">
        <v>0.2</v>
      </c>
      <c r="C3086" s="10">
        <v>0.86</v>
      </c>
      <c r="D3086" s="9" t="s">
        <v>1712</v>
      </c>
      <c r="E3086" s="11" t="s">
        <v>1737</v>
      </c>
      <c r="F3086" s="12" t="s">
        <v>1714</v>
      </c>
      <c r="G3086" s="9" t="s">
        <v>1709</v>
      </c>
    </row>
    <row r="3087" spans="1:7">
      <c r="A3087" s="9" t="s">
        <v>1711</v>
      </c>
      <c r="B3087" s="13">
        <v>0.2</v>
      </c>
      <c r="C3087" s="10">
        <v>0.86</v>
      </c>
      <c r="D3087" s="9" t="s">
        <v>1712</v>
      </c>
      <c r="E3087" s="11" t="s">
        <v>1737</v>
      </c>
      <c r="F3087" s="12" t="s">
        <v>1714</v>
      </c>
      <c r="G3087" s="9" t="s">
        <v>1709</v>
      </c>
    </row>
    <row r="3088" spans="1:7">
      <c r="A3088" s="9" t="s">
        <v>1711</v>
      </c>
      <c r="B3088" s="13">
        <v>0.2</v>
      </c>
      <c r="C3088" s="10">
        <v>-4.5999999999999999E-2</v>
      </c>
      <c r="D3088" s="9" t="s">
        <v>1709</v>
      </c>
      <c r="E3088" s="11" t="s">
        <v>1710</v>
      </c>
      <c r="F3088" s="12" t="s">
        <v>1710</v>
      </c>
      <c r="G3088" s="9" t="s">
        <v>1709</v>
      </c>
    </row>
    <row r="3089" spans="1:7">
      <c r="A3089" s="9" t="s">
        <v>1711</v>
      </c>
      <c r="B3089" s="13">
        <v>0.2</v>
      </c>
      <c r="C3089" s="10">
        <v>-4.5999999999999999E-2</v>
      </c>
      <c r="D3089" s="9" t="s">
        <v>1709</v>
      </c>
      <c r="E3089" s="11" t="s">
        <v>1710</v>
      </c>
      <c r="F3089" s="12" t="s">
        <v>1710</v>
      </c>
      <c r="G3089" s="9" t="s">
        <v>1709</v>
      </c>
    </row>
    <row r="3090" spans="1:7">
      <c r="A3090" s="9" t="s">
        <v>1711</v>
      </c>
      <c r="B3090" s="13">
        <v>0.2</v>
      </c>
      <c r="C3090" s="10">
        <v>-4.5999999999999999E-2</v>
      </c>
      <c r="D3090" s="9" t="s">
        <v>1709</v>
      </c>
      <c r="E3090" s="11" t="s">
        <v>1710</v>
      </c>
      <c r="F3090" s="12" t="s">
        <v>1710</v>
      </c>
      <c r="G3090" s="9" t="s">
        <v>1709</v>
      </c>
    </row>
    <row r="3091" spans="1:7">
      <c r="A3091" s="9" t="s">
        <v>1711</v>
      </c>
      <c r="B3091" s="13">
        <v>0.2</v>
      </c>
      <c r="C3091" s="10">
        <v>0.86</v>
      </c>
      <c r="D3091" s="9" t="s">
        <v>1712</v>
      </c>
      <c r="E3091" s="11" t="s">
        <v>1737</v>
      </c>
      <c r="F3091" s="12" t="s">
        <v>1714</v>
      </c>
      <c r="G3091" s="9" t="s">
        <v>1709</v>
      </c>
    </row>
    <row r="3092" spans="1:7">
      <c r="A3092" s="9" t="s">
        <v>1711</v>
      </c>
      <c r="B3092" s="13">
        <v>0.2</v>
      </c>
      <c r="C3092" s="10">
        <v>0.86</v>
      </c>
      <c r="D3092" s="9" t="s">
        <v>1712</v>
      </c>
      <c r="E3092" s="11" t="s">
        <v>1737</v>
      </c>
      <c r="F3092" s="12" t="s">
        <v>1714</v>
      </c>
      <c r="G3092" s="9" t="s">
        <v>1709</v>
      </c>
    </row>
    <row r="3093" spans="1:7">
      <c r="A3093" s="9" t="s">
        <v>1711</v>
      </c>
      <c r="B3093" s="13">
        <v>0.2</v>
      </c>
      <c r="C3093" s="10">
        <v>0.86</v>
      </c>
      <c r="D3093" s="9" t="s">
        <v>1712</v>
      </c>
      <c r="E3093" s="11" t="s">
        <v>1737</v>
      </c>
      <c r="F3093" s="12" t="s">
        <v>1714</v>
      </c>
      <c r="G3093" s="9" t="s">
        <v>1709</v>
      </c>
    </row>
    <row r="3094" spans="1:7">
      <c r="A3094" s="9" t="s">
        <v>1711</v>
      </c>
      <c r="B3094" s="13">
        <v>0.2</v>
      </c>
      <c r="C3094" s="10">
        <v>0.86</v>
      </c>
      <c r="D3094" s="9" t="s">
        <v>1712</v>
      </c>
      <c r="E3094" s="11" t="s">
        <v>1737</v>
      </c>
      <c r="F3094" s="12" t="s">
        <v>1714</v>
      </c>
      <c r="G3094" s="9" t="s">
        <v>1709</v>
      </c>
    </row>
    <row r="3095" spans="1:7">
      <c r="A3095" s="9" t="s">
        <v>1711</v>
      </c>
      <c r="B3095" s="13">
        <v>0.2</v>
      </c>
      <c r="C3095" s="10">
        <v>0.86</v>
      </c>
      <c r="D3095" s="9" t="s">
        <v>1712</v>
      </c>
      <c r="E3095" s="11" t="s">
        <v>1737</v>
      </c>
      <c r="F3095" s="12" t="s">
        <v>1714</v>
      </c>
      <c r="G3095" s="9" t="s">
        <v>1709</v>
      </c>
    </row>
    <row r="3096" spans="1:7">
      <c r="A3096" s="9" t="s">
        <v>1711</v>
      </c>
      <c r="B3096" s="13">
        <v>0.2</v>
      </c>
      <c r="C3096" s="10">
        <v>0.86</v>
      </c>
      <c r="D3096" s="9" t="s">
        <v>1712</v>
      </c>
      <c r="E3096" s="11" t="s">
        <v>1737</v>
      </c>
      <c r="F3096" s="12" t="s">
        <v>1714</v>
      </c>
      <c r="G3096" s="9" t="s">
        <v>1709</v>
      </c>
    </row>
    <row r="3097" spans="1:7">
      <c r="A3097" s="9" t="s">
        <v>1711</v>
      </c>
      <c r="B3097" s="13">
        <v>0.2</v>
      </c>
      <c r="C3097" s="10">
        <v>0.86</v>
      </c>
      <c r="D3097" s="9" t="s">
        <v>1712</v>
      </c>
      <c r="E3097" s="11" t="s">
        <v>1737</v>
      </c>
      <c r="F3097" s="12" t="s">
        <v>1714</v>
      </c>
      <c r="G3097" s="9" t="s">
        <v>1709</v>
      </c>
    </row>
    <row r="3098" spans="1:7">
      <c r="A3098" s="9" t="s">
        <v>1711</v>
      </c>
      <c r="B3098" s="13">
        <v>0.2</v>
      </c>
      <c r="C3098" s="10">
        <v>0.86</v>
      </c>
      <c r="D3098" s="9" t="s">
        <v>1712</v>
      </c>
      <c r="E3098" s="11" t="s">
        <v>1737</v>
      </c>
      <c r="F3098" s="12" t="s">
        <v>1714</v>
      </c>
      <c r="G3098" s="9" t="s">
        <v>1709</v>
      </c>
    </row>
    <row r="3099" spans="1:7">
      <c r="A3099" s="9" t="s">
        <v>1711</v>
      </c>
      <c r="B3099" s="13">
        <v>0.2</v>
      </c>
      <c r="C3099" s="10">
        <v>0.86</v>
      </c>
      <c r="D3099" s="9" t="s">
        <v>1712</v>
      </c>
      <c r="E3099" s="11" t="s">
        <v>1737</v>
      </c>
      <c r="F3099" s="12" t="s">
        <v>1714</v>
      </c>
      <c r="G3099" s="9" t="s">
        <v>1709</v>
      </c>
    </row>
    <row r="3100" spans="1:7">
      <c r="A3100" s="9" t="s">
        <v>1711</v>
      </c>
      <c r="B3100" s="13">
        <v>0.2</v>
      </c>
      <c r="C3100" s="10">
        <v>3.6999999999999998E-2</v>
      </c>
      <c r="D3100" s="9" t="s">
        <v>1712</v>
      </c>
      <c r="E3100" s="11" t="s">
        <v>1715</v>
      </c>
      <c r="F3100" s="12" t="s">
        <v>1714</v>
      </c>
      <c r="G3100" s="9" t="s">
        <v>1709</v>
      </c>
    </row>
    <row r="3101" spans="1:7">
      <c r="A3101" s="9" t="s">
        <v>1711</v>
      </c>
      <c r="B3101" s="13">
        <v>0.2</v>
      </c>
      <c r="C3101" s="10">
        <v>-0.09</v>
      </c>
      <c r="D3101" s="9" t="s">
        <v>1709</v>
      </c>
      <c r="E3101" s="11" t="s">
        <v>1710</v>
      </c>
      <c r="F3101" s="12" t="s">
        <v>1710</v>
      </c>
      <c r="G3101" s="9" t="s">
        <v>1709</v>
      </c>
    </row>
    <row r="3102" spans="1:7">
      <c r="A3102" s="9" t="s">
        <v>1711</v>
      </c>
      <c r="B3102" s="13">
        <v>0.2</v>
      </c>
      <c r="C3102" s="10">
        <v>-0.09</v>
      </c>
      <c r="D3102" s="9" t="s">
        <v>1709</v>
      </c>
      <c r="E3102" s="11" t="s">
        <v>1710</v>
      </c>
      <c r="F3102" s="12" t="s">
        <v>1710</v>
      </c>
      <c r="G3102" s="9" t="s">
        <v>1709</v>
      </c>
    </row>
    <row r="3103" spans="1:7">
      <c r="A3103" s="9" t="s">
        <v>1711</v>
      </c>
      <c r="B3103" s="13">
        <v>0.2</v>
      </c>
      <c r="C3103" s="10">
        <v>-9.0999999999999998E-2</v>
      </c>
      <c r="D3103" s="9" t="s">
        <v>1709</v>
      </c>
      <c r="E3103" s="11" t="s">
        <v>1710</v>
      </c>
      <c r="F3103" s="12" t="s">
        <v>1710</v>
      </c>
      <c r="G3103" s="9" t="s">
        <v>1709</v>
      </c>
    </row>
    <row r="3104" spans="1:7">
      <c r="A3104" s="9" t="s">
        <v>1711</v>
      </c>
      <c r="B3104" s="9">
        <v>0.2</v>
      </c>
      <c r="C3104" s="10">
        <v>3.4000000000000002E-2</v>
      </c>
      <c r="D3104" s="9" t="s">
        <v>1712</v>
      </c>
      <c r="E3104" s="11" t="s">
        <v>1715</v>
      </c>
      <c r="F3104" s="12" t="s">
        <v>1714</v>
      </c>
      <c r="G3104" s="9" t="s">
        <v>1709</v>
      </c>
    </row>
    <row r="3105" spans="1:7">
      <c r="A3105" s="9" t="s">
        <v>1711</v>
      </c>
      <c r="B3105" s="13">
        <v>0.2</v>
      </c>
      <c r="C3105" s="10">
        <v>3.4000000000000002E-2</v>
      </c>
      <c r="D3105" s="9" t="s">
        <v>1712</v>
      </c>
      <c r="E3105" s="11" t="s">
        <v>1715</v>
      </c>
      <c r="F3105" s="12" t="s">
        <v>1714</v>
      </c>
      <c r="G3105" s="9" t="s">
        <v>1709</v>
      </c>
    </row>
    <row r="3106" spans="1:7">
      <c r="A3106" s="9" t="s">
        <v>1711</v>
      </c>
      <c r="B3106" s="13">
        <v>0.2</v>
      </c>
      <c r="C3106" s="10">
        <v>3.4000000000000002E-2</v>
      </c>
      <c r="D3106" s="9" t="s">
        <v>1712</v>
      </c>
      <c r="E3106" s="11" t="s">
        <v>1715</v>
      </c>
      <c r="F3106" s="12" t="s">
        <v>1714</v>
      </c>
      <c r="G3106" s="9" t="s">
        <v>1709</v>
      </c>
    </row>
    <row r="3107" spans="1:7">
      <c r="A3107" s="9" t="s">
        <v>1711</v>
      </c>
      <c r="B3107" s="13">
        <v>0.2</v>
      </c>
      <c r="C3107" s="10">
        <v>3.4000000000000002E-2</v>
      </c>
      <c r="D3107" s="9" t="s">
        <v>1712</v>
      </c>
      <c r="E3107" s="11" t="s">
        <v>1715</v>
      </c>
      <c r="F3107" s="12" t="s">
        <v>1714</v>
      </c>
      <c r="G3107" s="9" t="s">
        <v>1709</v>
      </c>
    </row>
    <row r="3108" spans="1:7">
      <c r="A3108" s="9" t="s">
        <v>1711</v>
      </c>
      <c r="B3108" s="9">
        <v>0.2</v>
      </c>
      <c r="C3108" s="10">
        <v>3.4000000000000002E-2</v>
      </c>
      <c r="D3108" s="9" t="s">
        <v>1712</v>
      </c>
      <c r="E3108" s="11" t="s">
        <v>1715</v>
      </c>
      <c r="F3108" s="12" t="s">
        <v>1714</v>
      </c>
      <c r="G3108" s="9" t="s">
        <v>1709</v>
      </c>
    </row>
    <row r="3109" spans="1:7">
      <c r="A3109" s="9" t="s">
        <v>1711</v>
      </c>
      <c r="B3109" s="9">
        <v>0.2</v>
      </c>
      <c r="C3109" s="10">
        <v>3.4000000000000002E-2</v>
      </c>
      <c r="D3109" s="9" t="s">
        <v>1712</v>
      </c>
      <c r="E3109" s="11" t="s">
        <v>1715</v>
      </c>
      <c r="F3109" s="12" t="s">
        <v>1714</v>
      </c>
      <c r="G3109" s="9" t="s">
        <v>1709</v>
      </c>
    </row>
    <row r="3110" spans="1:7">
      <c r="A3110" s="9" t="s">
        <v>1711</v>
      </c>
      <c r="B3110" s="9">
        <v>0.2</v>
      </c>
      <c r="C3110" s="10">
        <v>5.8000000000000003E-2</v>
      </c>
      <c r="D3110" s="9" t="s">
        <v>1712</v>
      </c>
      <c r="E3110" s="11" t="s">
        <v>1715</v>
      </c>
      <c r="F3110" s="12" t="s">
        <v>1714</v>
      </c>
      <c r="G3110" s="9" t="s">
        <v>1709</v>
      </c>
    </row>
    <row r="3111" spans="1:7">
      <c r="A3111" s="9" t="s">
        <v>1711</v>
      </c>
      <c r="B3111" s="9">
        <v>0.2</v>
      </c>
      <c r="C3111" s="10">
        <v>5.8000000000000003E-2</v>
      </c>
      <c r="D3111" s="9" t="s">
        <v>1712</v>
      </c>
      <c r="E3111" s="11" t="s">
        <v>1715</v>
      </c>
      <c r="F3111" s="12" t="s">
        <v>1714</v>
      </c>
      <c r="G3111" s="9" t="s">
        <v>1709</v>
      </c>
    </row>
    <row r="3112" spans="1:7">
      <c r="A3112" s="9" t="s">
        <v>1711</v>
      </c>
      <c r="B3112" s="9">
        <v>0.2</v>
      </c>
      <c r="C3112" s="10">
        <v>-0.17699999999999999</v>
      </c>
      <c r="D3112" s="9" t="s">
        <v>1709</v>
      </c>
      <c r="E3112" s="11" t="s">
        <v>1710</v>
      </c>
      <c r="F3112" s="12" t="s">
        <v>1710</v>
      </c>
      <c r="G3112" s="9" t="s">
        <v>1709</v>
      </c>
    </row>
    <row r="3113" spans="1:7">
      <c r="A3113" s="9" t="s">
        <v>1711</v>
      </c>
      <c r="B3113" s="9">
        <v>0.2</v>
      </c>
      <c r="C3113" s="10">
        <v>0.156</v>
      </c>
      <c r="D3113" s="9" t="s">
        <v>1712</v>
      </c>
      <c r="E3113" s="11" t="s">
        <v>1715</v>
      </c>
      <c r="F3113" s="12" t="s">
        <v>1714</v>
      </c>
      <c r="G3113" s="9" t="s">
        <v>1709</v>
      </c>
    </row>
    <row r="3114" spans="1:7">
      <c r="A3114" s="9" t="s">
        <v>1711</v>
      </c>
      <c r="B3114" s="13">
        <v>0.2</v>
      </c>
      <c r="C3114" s="10">
        <v>-4.5999999999999999E-2</v>
      </c>
      <c r="D3114" s="9" t="s">
        <v>1709</v>
      </c>
      <c r="E3114" s="11" t="s">
        <v>1710</v>
      </c>
      <c r="F3114" s="12" t="s">
        <v>1710</v>
      </c>
      <c r="G3114" s="9" t="s">
        <v>1709</v>
      </c>
    </row>
    <row r="3115" spans="1:7">
      <c r="A3115" s="9" t="s">
        <v>1711</v>
      </c>
      <c r="B3115" s="13">
        <v>0.2</v>
      </c>
      <c r="C3115" s="10">
        <v>0.93500000000000005</v>
      </c>
      <c r="D3115" s="9" t="s">
        <v>1712</v>
      </c>
      <c r="E3115" s="11" t="s">
        <v>1713</v>
      </c>
      <c r="F3115" s="12" t="s">
        <v>1714</v>
      </c>
      <c r="G3115" s="9" t="s">
        <v>1709</v>
      </c>
    </row>
    <row r="3116" spans="1:7">
      <c r="A3116" s="9" t="s">
        <v>1711</v>
      </c>
      <c r="B3116" s="13">
        <v>0.2</v>
      </c>
      <c r="C3116" s="10">
        <v>0.93500000000000005</v>
      </c>
      <c r="D3116" s="9" t="s">
        <v>1712</v>
      </c>
      <c r="E3116" s="11" t="s">
        <v>1713</v>
      </c>
      <c r="F3116" s="12" t="s">
        <v>1714</v>
      </c>
      <c r="G3116" s="9" t="s">
        <v>1709</v>
      </c>
    </row>
    <row r="3117" spans="1:7">
      <c r="A3117" s="9" t="s">
        <v>1711</v>
      </c>
      <c r="B3117" s="13">
        <v>0.2</v>
      </c>
      <c r="C3117" s="10">
        <v>0.93500000000000005</v>
      </c>
      <c r="D3117" s="9" t="s">
        <v>1712</v>
      </c>
      <c r="E3117" s="11" t="s">
        <v>1713</v>
      </c>
      <c r="F3117" s="12" t="s">
        <v>1714</v>
      </c>
      <c r="G3117" s="9" t="s">
        <v>1709</v>
      </c>
    </row>
    <row r="3118" spans="1:7">
      <c r="A3118" s="9" t="s">
        <v>1711</v>
      </c>
      <c r="B3118" s="13">
        <v>0.2</v>
      </c>
      <c r="C3118" s="10">
        <v>0.40899999999999997</v>
      </c>
      <c r="D3118" s="9" t="s">
        <v>1712</v>
      </c>
      <c r="E3118" s="11" t="s">
        <v>1713</v>
      </c>
      <c r="F3118" s="12" t="s">
        <v>1714</v>
      </c>
      <c r="G3118" s="9" t="s">
        <v>1709</v>
      </c>
    </row>
    <row r="3119" spans="1:7">
      <c r="A3119" s="9" t="s">
        <v>1711</v>
      </c>
      <c r="B3119" s="13">
        <v>0.2</v>
      </c>
      <c r="C3119" s="10">
        <v>0.13600000000000001</v>
      </c>
      <c r="D3119" s="9" t="s">
        <v>1712</v>
      </c>
      <c r="E3119" s="11" t="s">
        <v>1713</v>
      </c>
      <c r="F3119" s="12" t="s">
        <v>1714</v>
      </c>
      <c r="G3119" s="9" t="s">
        <v>1709</v>
      </c>
    </row>
    <row r="3120" spans="1:7">
      <c r="A3120" s="9" t="s">
        <v>1711</v>
      </c>
      <c r="B3120" s="9">
        <v>0.2</v>
      </c>
      <c r="C3120" s="10">
        <v>0.13600000000000001</v>
      </c>
      <c r="D3120" s="9" t="s">
        <v>1712</v>
      </c>
      <c r="E3120" s="11" t="s">
        <v>1713</v>
      </c>
      <c r="F3120" s="12" t="s">
        <v>1714</v>
      </c>
      <c r="G3120" s="9" t="s">
        <v>1709</v>
      </c>
    </row>
    <row r="3121" spans="1:7">
      <c r="A3121" s="9" t="s">
        <v>1711</v>
      </c>
      <c r="B3121" s="9">
        <v>0.2</v>
      </c>
      <c r="C3121" s="10">
        <v>0.23200000000000001</v>
      </c>
      <c r="D3121" s="9" t="s">
        <v>1712</v>
      </c>
      <c r="E3121" s="11" t="s">
        <v>1713</v>
      </c>
      <c r="F3121" s="12" t="s">
        <v>1714</v>
      </c>
      <c r="G3121" s="9" t="s">
        <v>1709</v>
      </c>
    </row>
    <row r="3122" spans="1:7">
      <c r="A3122" s="9" t="s">
        <v>1711</v>
      </c>
      <c r="B3122" s="13">
        <v>0.2</v>
      </c>
      <c r="C3122" s="10">
        <v>0.23200000000000001</v>
      </c>
      <c r="D3122" s="9" t="s">
        <v>1712</v>
      </c>
      <c r="E3122" s="11" t="s">
        <v>1713</v>
      </c>
      <c r="F3122" s="12" t="s">
        <v>1714</v>
      </c>
      <c r="G3122" s="9" t="s">
        <v>1709</v>
      </c>
    </row>
    <row r="3123" spans="1:7">
      <c r="A3123" s="9" t="s">
        <v>1711</v>
      </c>
      <c r="B3123" s="9">
        <v>0.2</v>
      </c>
      <c r="C3123" s="10">
        <v>0.89500000000000002</v>
      </c>
      <c r="D3123" s="9" t="s">
        <v>1712</v>
      </c>
      <c r="E3123" s="11" t="s">
        <v>1713</v>
      </c>
      <c r="F3123" s="12" t="s">
        <v>1714</v>
      </c>
      <c r="G3123" s="9" t="s">
        <v>1709</v>
      </c>
    </row>
    <row r="3124" spans="1:7">
      <c r="A3124" s="9" t="s">
        <v>1711</v>
      </c>
      <c r="B3124" s="13">
        <v>0.2</v>
      </c>
      <c r="C3124" s="10">
        <v>0.20499999999999999</v>
      </c>
      <c r="D3124" s="9" t="s">
        <v>1712</v>
      </c>
      <c r="E3124" s="11" t="s">
        <v>1713</v>
      </c>
      <c r="F3124" s="12" t="s">
        <v>1714</v>
      </c>
      <c r="G3124" s="9" t="s">
        <v>1709</v>
      </c>
    </row>
    <row r="3125" spans="1:7">
      <c r="A3125" s="9" t="s">
        <v>1711</v>
      </c>
      <c r="B3125" s="13">
        <v>0.2</v>
      </c>
      <c r="C3125" s="10">
        <v>0.191</v>
      </c>
      <c r="D3125" s="9" t="s">
        <v>1712</v>
      </c>
      <c r="E3125" s="11" t="s">
        <v>1713</v>
      </c>
      <c r="F3125" s="12" t="s">
        <v>1714</v>
      </c>
      <c r="G3125" s="9" t="s">
        <v>1709</v>
      </c>
    </row>
    <row r="3126" spans="1:7">
      <c r="A3126" s="9" t="s">
        <v>1711</v>
      </c>
      <c r="B3126" s="13">
        <v>0.2</v>
      </c>
      <c r="C3126" s="10">
        <v>0.191</v>
      </c>
      <c r="D3126" s="9" t="s">
        <v>1712</v>
      </c>
      <c r="E3126" s="11" t="s">
        <v>1713</v>
      </c>
      <c r="F3126" s="12" t="s">
        <v>1714</v>
      </c>
      <c r="G3126" s="9" t="s">
        <v>1709</v>
      </c>
    </row>
    <row r="3127" spans="1:7">
      <c r="A3127" s="9" t="s">
        <v>1711</v>
      </c>
      <c r="B3127" s="13">
        <v>0.2</v>
      </c>
      <c r="C3127" s="10">
        <v>1.1409999999999998</v>
      </c>
      <c r="D3127" s="9" t="s">
        <v>1712</v>
      </c>
      <c r="E3127" s="11" t="s">
        <v>1713</v>
      </c>
      <c r="F3127" s="12" t="s">
        <v>1714</v>
      </c>
      <c r="G3127" s="9" t="s">
        <v>1709</v>
      </c>
    </row>
    <row r="3128" spans="1:7">
      <c r="A3128" s="9" t="s">
        <v>1711</v>
      </c>
      <c r="B3128" s="13">
        <v>0.2</v>
      </c>
      <c r="C3128" s="10">
        <v>1.1409999999999998</v>
      </c>
      <c r="D3128" s="9" t="s">
        <v>1712</v>
      </c>
      <c r="E3128" s="11" t="s">
        <v>1713</v>
      </c>
      <c r="F3128" s="12" t="s">
        <v>1714</v>
      </c>
      <c r="G3128" s="9" t="s">
        <v>1709</v>
      </c>
    </row>
    <row r="3129" spans="1:7">
      <c r="A3129" s="9" t="s">
        <v>1711</v>
      </c>
      <c r="B3129" s="13">
        <v>0.2</v>
      </c>
      <c r="C3129" s="10">
        <v>0.23200000000000001</v>
      </c>
      <c r="D3129" s="9" t="s">
        <v>1712</v>
      </c>
      <c r="E3129" s="11" t="s">
        <v>1713</v>
      </c>
      <c r="F3129" s="12" t="s">
        <v>1714</v>
      </c>
      <c r="G3129" s="9" t="s">
        <v>1709</v>
      </c>
    </row>
    <row r="3130" spans="1:7">
      <c r="A3130" s="9" t="s">
        <v>1711</v>
      </c>
      <c r="B3130" s="13">
        <v>0.2</v>
      </c>
      <c r="C3130" s="10">
        <v>0.14000000000000001</v>
      </c>
      <c r="D3130" s="9" t="s">
        <v>1712</v>
      </c>
      <c r="E3130" s="11" t="s">
        <v>1713</v>
      </c>
      <c r="F3130" s="12" t="s">
        <v>1714</v>
      </c>
      <c r="G3130" s="9" t="s">
        <v>1709</v>
      </c>
    </row>
    <row r="3131" spans="1:7">
      <c r="A3131" s="9" t="s">
        <v>1711</v>
      </c>
      <c r="B3131" s="13">
        <v>0.2</v>
      </c>
      <c r="C3131" s="10">
        <v>0.23300000000000001</v>
      </c>
      <c r="D3131" s="9" t="s">
        <v>1712</v>
      </c>
      <c r="E3131" s="11" t="s">
        <v>1713</v>
      </c>
      <c r="F3131" s="12" t="s">
        <v>1714</v>
      </c>
      <c r="G3131" s="9" t="s">
        <v>1709</v>
      </c>
    </row>
    <row r="3132" spans="1:7">
      <c r="A3132" s="9" t="s">
        <v>1711</v>
      </c>
      <c r="B3132" s="13">
        <v>0.2</v>
      </c>
      <c r="C3132" s="10">
        <v>9.9999999999999985E-3</v>
      </c>
      <c r="D3132" s="9" t="s">
        <v>1712</v>
      </c>
      <c r="E3132" s="11" t="s">
        <v>1713</v>
      </c>
      <c r="F3132" s="12" t="s">
        <v>1714</v>
      </c>
      <c r="G3132" s="9" t="s">
        <v>1709</v>
      </c>
    </row>
    <row r="3133" spans="1:7">
      <c r="A3133" s="9" t="s">
        <v>1711</v>
      </c>
      <c r="B3133" s="9">
        <v>0.2</v>
      </c>
      <c r="C3133" s="10">
        <v>0.17799999999999999</v>
      </c>
      <c r="D3133" s="9" t="s">
        <v>1712</v>
      </c>
      <c r="E3133" s="11" t="s">
        <v>1713</v>
      </c>
      <c r="F3133" s="12" t="s">
        <v>1714</v>
      </c>
      <c r="G3133" s="9" t="s">
        <v>1709</v>
      </c>
    </row>
    <row r="3134" spans="1:7">
      <c r="A3134" s="9" t="s">
        <v>1711</v>
      </c>
      <c r="B3134" s="9">
        <v>0.2</v>
      </c>
      <c r="C3134" s="10">
        <v>0.38200000000000001</v>
      </c>
      <c r="D3134" s="9" t="s">
        <v>1712</v>
      </c>
      <c r="E3134" s="11" t="s">
        <v>1713</v>
      </c>
      <c r="F3134" s="12" t="s">
        <v>1714</v>
      </c>
      <c r="G3134" s="9" t="s">
        <v>1709</v>
      </c>
    </row>
    <row r="3135" spans="1:7">
      <c r="A3135" s="9" t="s">
        <v>1711</v>
      </c>
      <c r="B3135" s="9">
        <v>0.2</v>
      </c>
      <c r="C3135" s="10">
        <v>0.38200000000000001</v>
      </c>
      <c r="D3135" s="9" t="s">
        <v>1712</v>
      </c>
      <c r="E3135" s="11" t="s">
        <v>1713</v>
      </c>
      <c r="F3135" s="12" t="s">
        <v>1714</v>
      </c>
      <c r="G3135" s="9" t="s">
        <v>1709</v>
      </c>
    </row>
    <row r="3136" spans="1:7">
      <c r="A3136" s="9" t="s">
        <v>1711</v>
      </c>
      <c r="B3136" s="13">
        <v>0.2</v>
      </c>
      <c r="C3136" s="10">
        <v>0.35499999999999998</v>
      </c>
      <c r="D3136" s="9" t="s">
        <v>1712</v>
      </c>
      <c r="E3136" s="11" t="s">
        <v>1713</v>
      </c>
      <c r="F3136" s="12" t="s">
        <v>1714</v>
      </c>
      <c r="G3136" s="9" t="s">
        <v>1709</v>
      </c>
    </row>
    <row r="3137" spans="1:7">
      <c r="A3137" s="9" t="s">
        <v>1711</v>
      </c>
      <c r="B3137" s="13">
        <v>0.2</v>
      </c>
      <c r="C3137" s="10">
        <v>0.27300000000000002</v>
      </c>
      <c r="D3137" s="9" t="s">
        <v>1712</v>
      </c>
      <c r="E3137" s="11" t="s">
        <v>1713</v>
      </c>
      <c r="F3137" s="12" t="s">
        <v>1714</v>
      </c>
      <c r="G3137" s="9" t="s">
        <v>1709</v>
      </c>
    </row>
    <row r="3138" spans="1:7">
      <c r="A3138" s="9" t="s">
        <v>1711</v>
      </c>
      <c r="B3138" s="13">
        <v>0.2</v>
      </c>
      <c r="C3138" s="10">
        <v>0.27300000000000002</v>
      </c>
      <c r="D3138" s="9" t="s">
        <v>1712</v>
      </c>
      <c r="E3138" s="11" t="s">
        <v>1713</v>
      </c>
      <c r="F3138" s="12" t="s">
        <v>1714</v>
      </c>
      <c r="G3138" s="9" t="s">
        <v>1709</v>
      </c>
    </row>
    <row r="3139" spans="1:7">
      <c r="A3139" s="9" t="s">
        <v>1711</v>
      </c>
      <c r="B3139" s="13">
        <v>0.2</v>
      </c>
      <c r="C3139" s="10">
        <v>0.34</v>
      </c>
      <c r="D3139" s="9" t="s">
        <v>1712</v>
      </c>
      <c r="E3139" s="11" t="s">
        <v>1713</v>
      </c>
      <c r="F3139" s="12" t="s">
        <v>1714</v>
      </c>
      <c r="G3139" s="9" t="s">
        <v>1709</v>
      </c>
    </row>
    <row r="3140" spans="1:7">
      <c r="A3140" s="9" t="s">
        <v>1711</v>
      </c>
      <c r="B3140" s="13">
        <v>0.2</v>
      </c>
      <c r="C3140" s="10">
        <v>-5.5E-2</v>
      </c>
      <c r="D3140" s="9" t="s">
        <v>1709</v>
      </c>
      <c r="E3140" s="11" t="s">
        <v>1710</v>
      </c>
      <c r="F3140" s="12" t="s">
        <v>1710</v>
      </c>
      <c r="G3140" s="9" t="s">
        <v>1709</v>
      </c>
    </row>
    <row r="3141" spans="1:7">
      <c r="A3141" s="9" t="s">
        <v>1711</v>
      </c>
      <c r="B3141" s="13">
        <v>0.2</v>
      </c>
      <c r="C3141" s="10">
        <v>-8.3000000000000004E-2</v>
      </c>
      <c r="D3141" s="9" t="s">
        <v>1709</v>
      </c>
      <c r="E3141" s="11" t="s">
        <v>1710</v>
      </c>
      <c r="F3141" s="12" t="s">
        <v>1710</v>
      </c>
      <c r="G3141" s="9" t="s">
        <v>1709</v>
      </c>
    </row>
    <row r="3142" spans="1:7">
      <c r="A3142" s="9" t="s">
        <v>1711</v>
      </c>
      <c r="B3142" s="13">
        <v>0.2</v>
      </c>
      <c r="C3142" s="10">
        <v>-8.3000000000000004E-2</v>
      </c>
      <c r="D3142" s="9" t="s">
        <v>1709</v>
      </c>
      <c r="E3142" s="11" t="s">
        <v>1710</v>
      </c>
      <c r="F3142" s="12" t="s">
        <v>1710</v>
      </c>
      <c r="G3142" s="9" t="s">
        <v>1709</v>
      </c>
    </row>
    <row r="3143" spans="1:7">
      <c r="A3143" s="9" t="s">
        <v>1711</v>
      </c>
      <c r="B3143" s="13">
        <v>0.2</v>
      </c>
      <c r="C3143" s="10">
        <v>-8.3000000000000004E-2</v>
      </c>
      <c r="D3143" s="9" t="s">
        <v>1709</v>
      </c>
      <c r="E3143" s="11" t="s">
        <v>1710</v>
      </c>
      <c r="F3143" s="12" t="s">
        <v>1710</v>
      </c>
      <c r="G3143" s="9" t="s">
        <v>1709</v>
      </c>
    </row>
    <row r="3144" spans="1:7">
      <c r="A3144" s="9" t="s">
        <v>1711</v>
      </c>
      <c r="B3144" s="13">
        <v>0.2</v>
      </c>
      <c r="C3144" s="10">
        <v>-8.3000000000000004E-2</v>
      </c>
      <c r="D3144" s="9" t="s">
        <v>1709</v>
      </c>
      <c r="E3144" s="11" t="s">
        <v>1710</v>
      </c>
      <c r="F3144" s="12" t="s">
        <v>1710</v>
      </c>
      <c r="G3144" s="9" t="s">
        <v>1709</v>
      </c>
    </row>
    <row r="3145" spans="1:7">
      <c r="A3145" s="9" t="s">
        <v>1711</v>
      </c>
      <c r="B3145" s="13">
        <v>0.2</v>
      </c>
      <c r="C3145" s="10">
        <v>-4.9000000000000002E-2</v>
      </c>
      <c r="D3145" s="9" t="s">
        <v>1709</v>
      </c>
      <c r="E3145" s="11" t="s">
        <v>1710</v>
      </c>
      <c r="F3145" s="12" t="s">
        <v>1710</v>
      </c>
      <c r="G3145" s="9" t="s">
        <v>1709</v>
      </c>
    </row>
    <row r="3146" spans="1:7">
      <c r="A3146" s="9" t="s">
        <v>1711</v>
      </c>
      <c r="B3146" s="13">
        <v>0.2</v>
      </c>
      <c r="C3146" s="10">
        <v>-4.9000000000000002E-2</v>
      </c>
      <c r="D3146" s="9" t="s">
        <v>1709</v>
      </c>
      <c r="E3146" s="11" t="s">
        <v>1710</v>
      </c>
      <c r="F3146" s="12" t="s">
        <v>1710</v>
      </c>
      <c r="G3146" s="9" t="s">
        <v>1709</v>
      </c>
    </row>
    <row r="3147" spans="1:7">
      <c r="A3147" s="9" t="s">
        <v>1711</v>
      </c>
      <c r="B3147" s="13">
        <v>0.2</v>
      </c>
      <c r="C3147" s="10">
        <v>-4.9000000000000002E-2</v>
      </c>
      <c r="D3147" s="9" t="s">
        <v>1709</v>
      </c>
      <c r="E3147" s="11" t="s">
        <v>1710</v>
      </c>
      <c r="F3147" s="12" t="s">
        <v>1710</v>
      </c>
      <c r="G3147" s="9" t="s">
        <v>1709</v>
      </c>
    </row>
    <row r="3148" spans="1:7">
      <c r="A3148" s="9" t="s">
        <v>1711</v>
      </c>
      <c r="B3148" s="13">
        <v>0.2</v>
      </c>
      <c r="C3148" s="10">
        <v>-4.9000000000000002E-2</v>
      </c>
      <c r="D3148" s="9" t="s">
        <v>1709</v>
      </c>
      <c r="E3148" s="11" t="s">
        <v>1710</v>
      </c>
      <c r="F3148" s="12" t="s">
        <v>1710</v>
      </c>
      <c r="G3148" s="9" t="s">
        <v>1709</v>
      </c>
    </row>
    <row r="3149" spans="1:7">
      <c r="A3149" s="9" t="s">
        <v>1711</v>
      </c>
      <c r="B3149" s="13">
        <v>0.2</v>
      </c>
      <c r="C3149" s="10">
        <v>-4.9000000000000002E-2</v>
      </c>
      <c r="D3149" s="9" t="s">
        <v>1709</v>
      </c>
      <c r="E3149" s="11" t="s">
        <v>1710</v>
      </c>
      <c r="F3149" s="12" t="s">
        <v>1710</v>
      </c>
      <c r="G3149" s="9" t="s">
        <v>1709</v>
      </c>
    </row>
    <row r="3150" spans="1:7">
      <c r="A3150" s="9" t="s">
        <v>1711</v>
      </c>
      <c r="B3150" s="13">
        <v>0.2</v>
      </c>
      <c r="C3150" s="10">
        <v>-4.9000000000000002E-2</v>
      </c>
      <c r="D3150" s="9" t="s">
        <v>1709</v>
      </c>
      <c r="E3150" s="11" t="s">
        <v>1710</v>
      </c>
      <c r="F3150" s="12" t="s">
        <v>1710</v>
      </c>
      <c r="G3150" s="9" t="s">
        <v>1709</v>
      </c>
    </row>
    <row r="3151" spans="1:7">
      <c r="A3151" s="9" t="s">
        <v>1711</v>
      </c>
      <c r="B3151" s="13">
        <v>0.2</v>
      </c>
      <c r="C3151" s="10">
        <v>-4.9000000000000002E-2</v>
      </c>
      <c r="D3151" s="9" t="s">
        <v>1709</v>
      </c>
      <c r="E3151" s="11" t="s">
        <v>1710</v>
      </c>
      <c r="F3151" s="12" t="s">
        <v>1710</v>
      </c>
      <c r="G3151" s="9" t="s">
        <v>1709</v>
      </c>
    </row>
    <row r="3152" spans="1:7">
      <c r="A3152" s="9" t="s">
        <v>1711</v>
      </c>
      <c r="B3152" s="13">
        <v>0.2</v>
      </c>
      <c r="C3152" s="10">
        <v>-3.1E-2</v>
      </c>
      <c r="D3152" s="9" t="s">
        <v>1709</v>
      </c>
      <c r="E3152" s="11" t="s">
        <v>1710</v>
      </c>
      <c r="F3152" s="12" t="s">
        <v>1710</v>
      </c>
      <c r="G3152" s="9" t="s">
        <v>1709</v>
      </c>
    </row>
    <row r="3153" spans="1:7">
      <c r="A3153" s="9" t="s">
        <v>1711</v>
      </c>
      <c r="B3153" s="13">
        <v>0.2</v>
      </c>
      <c r="C3153" s="10">
        <v>-0.109</v>
      </c>
      <c r="D3153" s="9" t="s">
        <v>1709</v>
      </c>
      <c r="E3153" s="11" t="s">
        <v>1710</v>
      </c>
      <c r="F3153" s="12" t="s">
        <v>1710</v>
      </c>
      <c r="G3153" s="9" t="s">
        <v>1709</v>
      </c>
    </row>
    <row r="3154" spans="1:7">
      <c r="A3154" s="9" t="s">
        <v>1711</v>
      </c>
      <c r="B3154" s="13">
        <v>0.2</v>
      </c>
      <c r="C3154" s="10">
        <v>-6.9000000000000006E-2</v>
      </c>
      <c r="D3154" s="9" t="s">
        <v>1709</v>
      </c>
      <c r="E3154" s="11" t="s">
        <v>1710</v>
      </c>
      <c r="F3154" s="12" t="s">
        <v>1710</v>
      </c>
      <c r="G3154" s="9" t="s">
        <v>1709</v>
      </c>
    </row>
    <row r="3155" spans="1:7">
      <c r="A3155" s="9" t="s">
        <v>1711</v>
      </c>
      <c r="B3155" s="13">
        <v>0.2</v>
      </c>
      <c r="C3155" s="10">
        <v>-6.9000000000000006E-2</v>
      </c>
      <c r="D3155" s="9" t="s">
        <v>1709</v>
      </c>
      <c r="E3155" s="11" t="s">
        <v>1710</v>
      </c>
      <c r="F3155" s="12" t="s">
        <v>1710</v>
      </c>
      <c r="G3155" s="9" t="s">
        <v>1709</v>
      </c>
    </row>
    <row r="3156" spans="1:7">
      <c r="A3156" s="9" t="s">
        <v>1711</v>
      </c>
      <c r="B3156" s="13">
        <v>0.2</v>
      </c>
      <c r="C3156" s="10">
        <v>-4.9000000000000002E-2</v>
      </c>
      <c r="D3156" s="9" t="s">
        <v>1709</v>
      </c>
      <c r="E3156" s="11" t="s">
        <v>1710</v>
      </c>
      <c r="F3156" s="12" t="s">
        <v>1710</v>
      </c>
      <c r="G3156" s="9" t="s">
        <v>1709</v>
      </c>
    </row>
    <row r="3157" spans="1:7">
      <c r="A3157" s="9" t="s">
        <v>1711</v>
      </c>
      <c r="B3157" s="13">
        <v>0.2</v>
      </c>
      <c r="C3157" s="10">
        <v>-0.105</v>
      </c>
      <c r="D3157" s="9" t="s">
        <v>1709</v>
      </c>
      <c r="E3157" s="11" t="s">
        <v>1710</v>
      </c>
      <c r="F3157" s="12" t="s">
        <v>1710</v>
      </c>
      <c r="G3157" s="9" t="s">
        <v>1709</v>
      </c>
    </row>
    <row r="3158" spans="1:7">
      <c r="A3158" s="9" t="s">
        <v>1711</v>
      </c>
      <c r="B3158" s="13">
        <v>0.2</v>
      </c>
      <c r="C3158" s="10">
        <v>-0.1</v>
      </c>
      <c r="D3158" s="9" t="s">
        <v>1709</v>
      </c>
      <c r="E3158" s="11" t="s">
        <v>1710</v>
      </c>
      <c r="F3158" s="12" t="s">
        <v>1710</v>
      </c>
      <c r="G3158" s="9" t="s">
        <v>1709</v>
      </c>
    </row>
    <row r="3159" spans="1:7">
      <c r="A3159" s="9" t="s">
        <v>1711</v>
      </c>
      <c r="B3159" s="9">
        <v>0.2</v>
      </c>
      <c r="C3159" s="10">
        <v>-1.4999999999999999E-2</v>
      </c>
      <c r="D3159" s="9" t="s">
        <v>1709</v>
      </c>
      <c r="E3159" s="11" t="s">
        <v>1710</v>
      </c>
      <c r="F3159" s="12" t="s">
        <v>1710</v>
      </c>
      <c r="G3159" s="9" t="s">
        <v>1709</v>
      </c>
    </row>
    <row r="3160" spans="1:7">
      <c r="A3160" s="9" t="s">
        <v>1711</v>
      </c>
      <c r="B3160" s="9">
        <v>0.2</v>
      </c>
      <c r="C3160" s="10">
        <v>-3.1E-2</v>
      </c>
      <c r="D3160" s="9" t="s">
        <v>1709</v>
      </c>
      <c r="E3160" s="11" t="s">
        <v>1710</v>
      </c>
      <c r="F3160" s="12" t="s">
        <v>1710</v>
      </c>
      <c r="G3160" s="9" t="s">
        <v>1709</v>
      </c>
    </row>
    <row r="3161" spans="1:7">
      <c r="A3161" s="9" t="s">
        <v>1711</v>
      </c>
      <c r="B3161" s="9">
        <v>0.2</v>
      </c>
      <c r="C3161" s="10">
        <v>-1.4999999999999999E-2</v>
      </c>
      <c r="D3161" s="9" t="s">
        <v>1709</v>
      </c>
      <c r="E3161" s="11" t="s">
        <v>1710</v>
      </c>
      <c r="F3161" s="12" t="s">
        <v>1710</v>
      </c>
      <c r="G3161" s="9" t="s">
        <v>1709</v>
      </c>
    </row>
    <row r="3162" spans="1:7">
      <c r="A3162" s="9" t="s">
        <v>1711</v>
      </c>
      <c r="B3162" s="9">
        <v>0.2</v>
      </c>
      <c r="C3162" s="10">
        <v>-5.3999999999999999E-2</v>
      </c>
      <c r="D3162" s="9" t="s">
        <v>1709</v>
      </c>
      <c r="E3162" s="11" t="s">
        <v>1710</v>
      </c>
      <c r="F3162" s="12" t="s">
        <v>1710</v>
      </c>
      <c r="G3162" s="9" t="s">
        <v>1709</v>
      </c>
    </row>
    <row r="3163" spans="1:7">
      <c r="A3163" s="9" t="s">
        <v>1711</v>
      </c>
      <c r="B3163" s="9">
        <v>0.2</v>
      </c>
      <c r="C3163" s="10">
        <v>-8.3000000000000004E-2</v>
      </c>
      <c r="D3163" s="9" t="s">
        <v>1709</v>
      </c>
      <c r="E3163" s="11" t="s">
        <v>1710</v>
      </c>
      <c r="F3163" s="12" t="s">
        <v>1710</v>
      </c>
      <c r="G3163" s="9" t="s">
        <v>1709</v>
      </c>
    </row>
    <row r="3164" spans="1:7">
      <c r="A3164" s="9" t="s">
        <v>1711</v>
      </c>
      <c r="B3164" s="9">
        <v>0.2</v>
      </c>
      <c r="C3164" s="10">
        <v>-8.3000000000000004E-2</v>
      </c>
      <c r="D3164" s="9" t="s">
        <v>1709</v>
      </c>
      <c r="E3164" s="11" t="s">
        <v>1710</v>
      </c>
      <c r="F3164" s="12" t="s">
        <v>1710</v>
      </c>
      <c r="G3164" s="9" t="s">
        <v>1709</v>
      </c>
    </row>
    <row r="3165" spans="1:7">
      <c r="A3165" s="9" t="s">
        <v>1711</v>
      </c>
      <c r="B3165" s="9">
        <v>0.2</v>
      </c>
      <c r="C3165" s="10">
        <v>-8.3000000000000004E-2</v>
      </c>
      <c r="D3165" s="9" t="s">
        <v>1709</v>
      </c>
      <c r="E3165" s="11" t="s">
        <v>1710</v>
      </c>
      <c r="F3165" s="12" t="s">
        <v>1710</v>
      </c>
      <c r="G3165" s="9" t="s">
        <v>1709</v>
      </c>
    </row>
    <row r="3166" spans="1:7">
      <c r="A3166" s="9" t="s">
        <v>1711</v>
      </c>
      <c r="B3166" s="13">
        <v>0.2</v>
      </c>
      <c r="C3166" s="10">
        <v>-8.3000000000000004E-2</v>
      </c>
      <c r="D3166" s="9" t="s">
        <v>1709</v>
      </c>
      <c r="E3166" s="11" t="s">
        <v>1710</v>
      </c>
      <c r="F3166" s="12" t="s">
        <v>1710</v>
      </c>
      <c r="G3166" s="9" t="s">
        <v>1709</v>
      </c>
    </row>
    <row r="3167" spans="1:7">
      <c r="A3167" s="9" t="s">
        <v>1711</v>
      </c>
      <c r="B3167" s="9">
        <v>0.2</v>
      </c>
      <c r="C3167" s="10">
        <v>-8.3000000000000004E-2</v>
      </c>
      <c r="D3167" s="9" t="s">
        <v>1709</v>
      </c>
      <c r="E3167" s="11" t="s">
        <v>1710</v>
      </c>
      <c r="F3167" s="12" t="s">
        <v>1710</v>
      </c>
      <c r="G3167" s="9" t="s">
        <v>1709</v>
      </c>
    </row>
    <row r="3168" spans="1:7">
      <c r="A3168" s="9" t="s">
        <v>1711</v>
      </c>
      <c r="B3168" s="9">
        <v>0.2</v>
      </c>
      <c r="C3168" s="10">
        <v>-8.3000000000000004E-2</v>
      </c>
      <c r="D3168" s="9" t="s">
        <v>1709</v>
      </c>
      <c r="E3168" s="11" t="s">
        <v>1710</v>
      </c>
      <c r="F3168" s="12" t="s">
        <v>1710</v>
      </c>
      <c r="G3168" s="9" t="s">
        <v>1709</v>
      </c>
    </row>
    <row r="3169" spans="1:7">
      <c r="A3169" s="9" t="s">
        <v>1711</v>
      </c>
      <c r="B3169" s="13">
        <v>0.2</v>
      </c>
      <c r="C3169" s="10">
        <v>-8.3000000000000004E-2</v>
      </c>
      <c r="D3169" s="9" t="s">
        <v>1709</v>
      </c>
      <c r="E3169" s="11" t="s">
        <v>1710</v>
      </c>
      <c r="F3169" s="12" t="s">
        <v>1710</v>
      </c>
      <c r="G3169" s="9" t="s">
        <v>1709</v>
      </c>
    </row>
    <row r="3170" spans="1:7">
      <c r="A3170" s="9" t="s">
        <v>1711</v>
      </c>
      <c r="B3170" s="13">
        <v>0.2</v>
      </c>
      <c r="C3170" s="10">
        <v>-8.3000000000000004E-2</v>
      </c>
      <c r="D3170" s="9" t="s">
        <v>1709</v>
      </c>
      <c r="E3170" s="11" t="s">
        <v>1710</v>
      </c>
      <c r="F3170" s="12" t="s">
        <v>1710</v>
      </c>
      <c r="G3170" s="9" t="s">
        <v>1709</v>
      </c>
    </row>
    <row r="3171" spans="1:7">
      <c r="A3171" s="9" t="s">
        <v>1711</v>
      </c>
      <c r="B3171" s="13">
        <v>0.2</v>
      </c>
      <c r="C3171" s="10">
        <v>-8.3000000000000004E-2</v>
      </c>
      <c r="D3171" s="9" t="s">
        <v>1709</v>
      </c>
      <c r="E3171" s="11" t="s">
        <v>1710</v>
      </c>
      <c r="F3171" s="12" t="s">
        <v>1710</v>
      </c>
      <c r="G3171" s="9" t="s">
        <v>1709</v>
      </c>
    </row>
    <row r="3172" spans="1:7">
      <c r="A3172" s="9" t="s">
        <v>1711</v>
      </c>
      <c r="B3172" s="9">
        <v>0.2</v>
      </c>
      <c r="C3172" s="10">
        <v>-8.3000000000000004E-2</v>
      </c>
      <c r="D3172" s="9" t="s">
        <v>1709</v>
      </c>
      <c r="E3172" s="11" t="s">
        <v>1710</v>
      </c>
      <c r="F3172" s="12" t="s">
        <v>1710</v>
      </c>
      <c r="G3172" s="9" t="s">
        <v>1709</v>
      </c>
    </row>
    <row r="3173" spans="1:7">
      <c r="A3173" s="9" t="s">
        <v>1711</v>
      </c>
      <c r="B3173" s="9">
        <v>0.2</v>
      </c>
      <c r="C3173" s="10">
        <v>-0.06</v>
      </c>
      <c r="D3173" s="9" t="s">
        <v>1709</v>
      </c>
      <c r="E3173" s="11" t="s">
        <v>1710</v>
      </c>
      <c r="F3173" s="12" t="s">
        <v>1710</v>
      </c>
      <c r="G3173" s="9" t="s">
        <v>1709</v>
      </c>
    </row>
    <row r="3174" spans="1:7">
      <c r="A3174" s="9" t="s">
        <v>1711</v>
      </c>
      <c r="B3174" s="9">
        <v>0.2</v>
      </c>
      <c r="C3174" s="10">
        <v>-8.2000000000000003E-2</v>
      </c>
      <c r="D3174" s="9" t="s">
        <v>1709</v>
      </c>
      <c r="E3174" s="11" t="s">
        <v>1710</v>
      </c>
      <c r="F3174" s="12" t="s">
        <v>1710</v>
      </c>
      <c r="G3174" s="9" t="s">
        <v>1709</v>
      </c>
    </row>
    <row r="3175" spans="1:7">
      <c r="A3175" s="9" t="s">
        <v>1711</v>
      </c>
      <c r="B3175" s="9">
        <v>0.2</v>
      </c>
      <c r="C3175" s="10">
        <v>-7.2999999999999995E-2</v>
      </c>
      <c r="D3175" s="9" t="s">
        <v>1709</v>
      </c>
      <c r="E3175" s="11" t="s">
        <v>1710</v>
      </c>
      <c r="F3175" s="12" t="s">
        <v>1710</v>
      </c>
      <c r="G3175" s="9" t="s">
        <v>1709</v>
      </c>
    </row>
    <row r="3176" spans="1:7">
      <c r="A3176" s="9" t="s">
        <v>1711</v>
      </c>
      <c r="B3176" s="9">
        <v>0.2</v>
      </c>
      <c r="C3176" s="10">
        <v>-0.06</v>
      </c>
      <c r="D3176" s="9" t="s">
        <v>1709</v>
      </c>
      <c r="E3176" s="11" t="s">
        <v>1710</v>
      </c>
      <c r="F3176" s="12" t="s">
        <v>1710</v>
      </c>
      <c r="G3176" s="9" t="s">
        <v>1709</v>
      </c>
    </row>
    <row r="3177" spans="1:7">
      <c r="A3177" s="9" t="s">
        <v>1711</v>
      </c>
      <c r="B3177" s="9">
        <v>0.2</v>
      </c>
      <c r="C3177" s="10">
        <v>-5.1000000000000004E-2</v>
      </c>
      <c r="D3177" s="9" t="s">
        <v>1709</v>
      </c>
      <c r="E3177" s="11" t="s">
        <v>1710</v>
      </c>
      <c r="F3177" s="12" t="s">
        <v>1710</v>
      </c>
      <c r="G3177" s="9" t="s">
        <v>1709</v>
      </c>
    </row>
    <row r="3178" spans="1:7">
      <c r="A3178" s="9" t="s">
        <v>1711</v>
      </c>
      <c r="B3178" s="9">
        <v>0.2</v>
      </c>
      <c r="C3178" s="10">
        <v>-8.3000000000000004E-2</v>
      </c>
      <c r="D3178" s="9" t="s">
        <v>1709</v>
      </c>
      <c r="E3178" s="11" t="s">
        <v>1710</v>
      </c>
      <c r="F3178" s="12" t="s">
        <v>1710</v>
      </c>
      <c r="G3178" s="9" t="s">
        <v>1709</v>
      </c>
    </row>
    <row r="3179" spans="1:7">
      <c r="A3179" s="9" t="s">
        <v>1711</v>
      </c>
      <c r="B3179" s="9">
        <v>0.2</v>
      </c>
      <c r="C3179" s="10">
        <v>0.187</v>
      </c>
      <c r="D3179" s="9" t="s">
        <v>1712</v>
      </c>
      <c r="E3179" s="11" t="s">
        <v>1715</v>
      </c>
      <c r="F3179" s="12" t="s">
        <v>1714</v>
      </c>
      <c r="G3179" s="9" t="s">
        <v>1709</v>
      </c>
    </row>
    <row r="3180" spans="1:7">
      <c r="A3180" s="9" t="s">
        <v>1711</v>
      </c>
      <c r="B3180" s="9">
        <v>0.2</v>
      </c>
      <c r="C3180" s="10">
        <v>0.187</v>
      </c>
      <c r="D3180" s="9" t="s">
        <v>1712</v>
      </c>
      <c r="E3180" s="11" t="s">
        <v>1715</v>
      </c>
      <c r="F3180" s="12" t="s">
        <v>1714</v>
      </c>
      <c r="G3180" s="9" t="s">
        <v>1709</v>
      </c>
    </row>
    <row r="3181" spans="1:7">
      <c r="A3181" s="9" t="s">
        <v>1711</v>
      </c>
      <c r="B3181" s="9">
        <v>0.2</v>
      </c>
      <c r="C3181" s="10">
        <v>0.252</v>
      </c>
      <c r="D3181" s="9" t="s">
        <v>1712</v>
      </c>
      <c r="E3181" s="11" t="s">
        <v>1715</v>
      </c>
      <c r="F3181" s="12" t="s">
        <v>1714</v>
      </c>
      <c r="G3181" s="9" t="s">
        <v>1709</v>
      </c>
    </row>
    <row r="3182" spans="1:7">
      <c r="A3182" s="9" t="s">
        <v>1711</v>
      </c>
      <c r="B3182" s="13">
        <v>0.2</v>
      </c>
      <c r="C3182" s="10">
        <v>0.71899999999999997</v>
      </c>
      <c r="D3182" s="9" t="s">
        <v>1712</v>
      </c>
      <c r="E3182" s="11" t="s">
        <v>1715</v>
      </c>
      <c r="F3182" s="12" t="s">
        <v>1714</v>
      </c>
      <c r="G3182" s="9" t="s">
        <v>1709</v>
      </c>
    </row>
    <row r="3183" spans="1:7">
      <c r="A3183" s="9" t="s">
        <v>1711</v>
      </c>
      <c r="B3183" s="13">
        <v>0.2</v>
      </c>
      <c r="C3183" s="10">
        <v>1.7889999999999999</v>
      </c>
      <c r="D3183" s="9" t="s">
        <v>1712</v>
      </c>
      <c r="E3183" s="11" t="s">
        <v>1715</v>
      </c>
      <c r="F3183" s="12" t="s">
        <v>1714</v>
      </c>
      <c r="G3183" s="9" t="s">
        <v>1709</v>
      </c>
    </row>
    <row r="3184" spans="1:7">
      <c r="A3184" s="9" t="s">
        <v>1711</v>
      </c>
      <c r="B3184" s="9">
        <v>0.2</v>
      </c>
      <c r="C3184" s="10">
        <v>1.853</v>
      </c>
      <c r="D3184" s="9" t="s">
        <v>1712</v>
      </c>
      <c r="E3184" s="11" t="s">
        <v>1737</v>
      </c>
      <c r="F3184" s="12" t="s">
        <v>1714</v>
      </c>
      <c r="G3184" s="9" t="s">
        <v>1709</v>
      </c>
    </row>
    <row r="3185" spans="1:7">
      <c r="A3185" s="9" t="s">
        <v>1711</v>
      </c>
      <c r="B3185" s="13">
        <v>0.2</v>
      </c>
      <c r="C3185" s="10">
        <v>0.93</v>
      </c>
      <c r="D3185" s="9" t="s">
        <v>1712</v>
      </c>
      <c r="E3185" s="11" t="s">
        <v>1737</v>
      </c>
      <c r="F3185" s="12" t="s">
        <v>1714</v>
      </c>
      <c r="G3185" s="9" t="s">
        <v>1709</v>
      </c>
    </row>
    <row r="3186" spans="1:7">
      <c r="A3186" s="9" t="s">
        <v>1711</v>
      </c>
      <c r="B3186" s="13">
        <v>0.2</v>
      </c>
      <c r="C3186" s="10">
        <v>-4.5999999999999999E-2</v>
      </c>
      <c r="D3186" s="9" t="s">
        <v>1709</v>
      </c>
      <c r="E3186" s="11" t="s">
        <v>1710</v>
      </c>
      <c r="F3186" s="12" t="s">
        <v>1710</v>
      </c>
      <c r="G3186" s="9" t="s">
        <v>1709</v>
      </c>
    </row>
    <row r="3187" spans="1:7">
      <c r="A3187" s="9" t="s">
        <v>1711</v>
      </c>
      <c r="B3187" s="13">
        <v>0.2</v>
      </c>
      <c r="C3187" s="10">
        <v>1.853</v>
      </c>
      <c r="D3187" s="9" t="s">
        <v>1712</v>
      </c>
      <c r="E3187" s="11" t="s">
        <v>1738</v>
      </c>
      <c r="F3187" s="12" t="s">
        <v>1714</v>
      </c>
      <c r="G3187" s="9" t="s">
        <v>1709</v>
      </c>
    </row>
    <row r="3188" spans="1:7">
      <c r="A3188" s="9" t="s">
        <v>1711</v>
      </c>
      <c r="B3188" s="13">
        <v>0.2</v>
      </c>
      <c r="C3188" s="10">
        <v>0.17799999999999999</v>
      </c>
      <c r="D3188" s="9" t="s">
        <v>1712</v>
      </c>
      <c r="E3188" s="11" t="s">
        <v>1738</v>
      </c>
      <c r="F3188" s="12" t="s">
        <v>1714</v>
      </c>
      <c r="G3188" s="9" t="s">
        <v>1709</v>
      </c>
    </row>
    <row r="3189" spans="1:7">
      <c r="A3189" s="9" t="s">
        <v>1711</v>
      </c>
      <c r="B3189" s="13">
        <v>0.2</v>
      </c>
      <c r="C3189" s="10">
        <v>0.34100000000000003</v>
      </c>
      <c r="D3189" s="9" t="s">
        <v>1712</v>
      </c>
      <c r="E3189" s="11" t="s">
        <v>1738</v>
      </c>
      <c r="F3189" s="12" t="s">
        <v>1714</v>
      </c>
      <c r="G3189" s="9" t="s">
        <v>1709</v>
      </c>
    </row>
    <row r="3190" spans="1:7">
      <c r="A3190" s="9" t="s">
        <v>1711</v>
      </c>
      <c r="B3190" s="13">
        <v>0.2</v>
      </c>
      <c r="C3190" s="10">
        <v>0.34100000000000003</v>
      </c>
      <c r="D3190" s="9" t="s">
        <v>1712</v>
      </c>
      <c r="E3190" s="11" t="s">
        <v>1738</v>
      </c>
      <c r="F3190" s="12" t="s">
        <v>1714</v>
      </c>
      <c r="G3190" s="9" t="s">
        <v>1709</v>
      </c>
    </row>
    <row r="3191" spans="1:7">
      <c r="A3191" s="9" t="s">
        <v>1711</v>
      </c>
      <c r="B3191" s="13">
        <v>0.2</v>
      </c>
      <c r="C3191" s="10">
        <v>0.34100000000000003</v>
      </c>
      <c r="D3191" s="9" t="s">
        <v>1712</v>
      </c>
      <c r="E3191" s="11" t="s">
        <v>1738</v>
      </c>
      <c r="F3191" s="12" t="s">
        <v>1714</v>
      </c>
      <c r="G3191" s="9" t="s">
        <v>1709</v>
      </c>
    </row>
    <row r="3192" spans="1:7">
      <c r="A3192" s="9" t="s">
        <v>1711</v>
      </c>
      <c r="B3192" s="9">
        <v>0.2</v>
      </c>
      <c r="C3192" s="10">
        <v>-7.0000000000000001E-3</v>
      </c>
      <c r="D3192" s="9" t="s">
        <v>1709</v>
      </c>
      <c r="E3192" s="11" t="s">
        <v>1710</v>
      </c>
      <c r="F3192" s="12" t="s">
        <v>1710</v>
      </c>
      <c r="G3192" s="9" t="s">
        <v>1709</v>
      </c>
    </row>
    <row r="3193" spans="1:7">
      <c r="A3193" s="9" t="s">
        <v>1711</v>
      </c>
      <c r="B3193" s="9">
        <v>0.2</v>
      </c>
      <c r="C3193" s="10">
        <v>0.34100000000000003</v>
      </c>
      <c r="D3193" s="9" t="s">
        <v>1712</v>
      </c>
      <c r="E3193" s="11" t="s">
        <v>1738</v>
      </c>
      <c r="F3193" s="12" t="s">
        <v>1714</v>
      </c>
      <c r="G3193" s="9" t="s">
        <v>1709</v>
      </c>
    </row>
    <row r="3194" spans="1:7">
      <c r="A3194" s="9" t="s">
        <v>1711</v>
      </c>
      <c r="B3194" s="9">
        <v>0.2</v>
      </c>
      <c r="C3194" s="10">
        <v>-7.0000000000000001E-3</v>
      </c>
      <c r="D3194" s="9" t="s">
        <v>1709</v>
      </c>
      <c r="E3194" s="11" t="s">
        <v>1710</v>
      </c>
      <c r="F3194" s="12" t="s">
        <v>1710</v>
      </c>
      <c r="G3194" s="9" t="s">
        <v>1709</v>
      </c>
    </row>
    <row r="3195" spans="1:7">
      <c r="A3195" s="9" t="s">
        <v>1711</v>
      </c>
      <c r="B3195" s="9">
        <v>0.2</v>
      </c>
      <c r="C3195" s="10">
        <v>9.9999999999999985E-3</v>
      </c>
      <c r="D3195" s="9" t="s">
        <v>1712</v>
      </c>
      <c r="E3195" s="11" t="s">
        <v>1738</v>
      </c>
      <c r="F3195" s="12" t="s">
        <v>1714</v>
      </c>
      <c r="G3195" s="9" t="s">
        <v>1709</v>
      </c>
    </row>
    <row r="3196" spans="1:7">
      <c r="A3196" s="9" t="s">
        <v>1711</v>
      </c>
      <c r="B3196" s="9">
        <v>0.2</v>
      </c>
      <c r="C3196" s="10">
        <v>-0.13100000000000001</v>
      </c>
      <c r="D3196" s="9" t="s">
        <v>1709</v>
      </c>
      <c r="E3196" s="11" t="s">
        <v>1710</v>
      </c>
      <c r="F3196" s="12" t="s">
        <v>1710</v>
      </c>
      <c r="G3196" s="9" t="s">
        <v>1709</v>
      </c>
    </row>
    <row r="3197" spans="1:7">
      <c r="A3197" s="9" t="s">
        <v>1711</v>
      </c>
      <c r="B3197" s="9">
        <v>0.2</v>
      </c>
      <c r="C3197" s="10">
        <v>-0.13300000000000001</v>
      </c>
      <c r="D3197" s="9" t="s">
        <v>1709</v>
      </c>
      <c r="E3197" s="11" t="s">
        <v>1710</v>
      </c>
      <c r="F3197" s="12" t="s">
        <v>1710</v>
      </c>
      <c r="G3197" s="9" t="s">
        <v>1709</v>
      </c>
    </row>
    <row r="3198" spans="1:7">
      <c r="A3198" s="9" t="s">
        <v>1711</v>
      </c>
      <c r="B3198" s="9">
        <v>0.2</v>
      </c>
      <c r="C3198" s="10">
        <v>0.34100000000000003</v>
      </c>
      <c r="D3198" s="9" t="s">
        <v>1712</v>
      </c>
      <c r="E3198" s="11" t="s">
        <v>1738</v>
      </c>
      <c r="F3198" s="12" t="s">
        <v>1714</v>
      </c>
      <c r="G3198" s="9" t="s">
        <v>1709</v>
      </c>
    </row>
    <row r="3199" spans="1:7">
      <c r="A3199" s="9" t="s">
        <v>1711</v>
      </c>
      <c r="B3199" s="9">
        <v>0.2</v>
      </c>
      <c r="C3199" s="10">
        <v>0.34100000000000003</v>
      </c>
      <c r="D3199" s="9" t="s">
        <v>1712</v>
      </c>
      <c r="E3199" s="11" t="s">
        <v>1738</v>
      </c>
      <c r="F3199" s="12" t="s">
        <v>1714</v>
      </c>
      <c r="G3199" s="9" t="s">
        <v>1709</v>
      </c>
    </row>
    <row r="3200" spans="1:7">
      <c r="A3200" s="9" t="s">
        <v>1711</v>
      </c>
      <c r="B3200" s="9">
        <v>0.2</v>
      </c>
      <c r="C3200" s="10">
        <v>-0.13100000000000001</v>
      </c>
      <c r="D3200" s="9" t="s">
        <v>1709</v>
      </c>
      <c r="E3200" s="11" t="s">
        <v>1710</v>
      </c>
      <c r="F3200" s="12" t="s">
        <v>1710</v>
      </c>
      <c r="G3200" s="9" t="s">
        <v>1709</v>
      </c>
    </row>
    <row r="3201" spans="1:7">
      <c r="A3201" s="9" t="s">
        <v>1711</v>
      </c>
      <c r="B3201" s="9">
        <v>0.2</v>
      </c>
      <c r="C3201" s="10">
        <v>1.853</v>
      </c>
      <c r="D3201" s="9" t="s">
        <v>1712</v>
      </c>
      <c r="E3201" s="11" t="s">
        <v>1738</v>
      </c>
      <c r="F3201" s="12" t="s">
        <v>1714</v>
      </c>
      <c r="G3201" s="9" t="s">
        <v>1709</v>
      </c>
    </row>
    <row r="3202" spans="1:7">
      <c r="A3202" s="9" t="s">
        <v>1711</v>
      </c>
      <c r="B3202" s="9">
        <v>0.2</v>
      </c>
      <c r="C3202" s="10">
        <v>-4.5999999999999999E-2</v>
      </c>
      <c r="D3202" s="9" t="s">
        <v>1709</v>
      </c>
      <c r="E3202" s="11" t="s">
        <v>1710</v>
      </c>
      <c r="F3202" s="12" t="s">
        <v>1710</v>
      </c>
      <c r="G3202" s="9" t="s">
        <v>1709</v>
      </c>
    </row>
    <row r="3203" spans="1:7">
      <c r="A3203" s="9" t="s">
        <v>1711</v>
      </c>
      <c r="B3203" s="13">
        <v>0.2</v>
      </c>
      <c r="C3203" s="10">
        <v>1.8579999999999999</v>
      </c>
      <c r="D3203" s="9" t="s">
        <v>1712</v>
      </c>
      <c r="E3203" s="11" t="s">
        <v>1738</v>
      </c>
      <c r="F3203" s="12" t="s">
        <v>1714</v>
      </c>
      <c r="G3203" s="9" t="s">
        <v>1709</v>
      </c>
    </row>
    <row r="3204" spans="1:7">
      <c r="A3204" s="9" t="s">
        <v>1711</v>
      </c>
      <c r="B3204" s="13">
        <v>0.2</v>
      </c>
      <c r="C3204" s="10">
        <v>0.77500000000000002</v>
      </c>
      <c r="D3204" s="9" t="s">
        <v>1712</v>
      </c>
      <c r="E3204" s="11" t="s">
        <v>1738</v>
      </c>
      <c r="F3204" s="12" t="s">
        <v>1714</v>
      </c>
      <c r="G3204" s="9" t="s">
        <v>1709</v>
      </c>
    </row>
    <row r="3205" spans="1:7">
      <c r="A3205" s="9" t="s">
        <v>1711</v>
      </c>
      <c r="B3205" s="13">
        <v>0.2</v>
      </c>
      <c r="C3205" s="10">
        <v>-3.4000000000000002E-2</v>
      </c>
      <c r="D3205" s="9" t="s">
        <v>1709</v>
      </c>
      <c r="E3205" s="11" t="s">
        <v>1710</v>
      </c>
      <c r="F3205" s="12" t="s">
        <v>1710</v>
      </c>
      <c r="G3205" s="9" t="s">
        <v>1709</v>
      </c>
    </row>
    <row r="3206" spans="1:7">
      <c r="A3206" s="9" t="s">
        <v>1711</v>
      </c>
      <c r="B3206" s="13">
        <v>0.2</v>
      </c>
      <c r="C3206" s="10">
        <v>-3.4000000000000002E-2</v>
      </c>
      <c r="D3206" s="9" t="s">
        <v>1709</v>
      </c>
      <c r="E3206" s="11" t="s">
        <v>1710</v>
      </c>
      <c r="F3206" s="12" t="s">
        <v>1710</v>
      </c>
      <c r="G3206" s="9" t="s">
        <v>1709</v>
      </c>
    </row>
    <row r="3207" spans="1:7">
      <c r="A3207" s="9" t="s">
        <v>1711</v>
      </c>
      <c r="B3207" s="13">
        <v>0.2</v>
      </c>
      <c r="C3207" s="10">
        <v>0.77500000000000002</v>
      </c>
      <c r="D3207" s="9" t="s">
        <v>1712</v>
      </c>
      <c r="E3207" s="11" t="s">
        <v>1738</v>
      </c>
      <c r="F3207" s="12" t="s">
        <v>1714</v>
      </c>
      <c r="G3207" s="9" t="s">
        <v>1709</v>
      </c>
    </row>
    <row r="3208" spans="1:7">
      <c r="A3208" s="9" t="s">
        <v>1711</v>
      </c>
      <c r="B3208" s="13">
        <v>0.2</v>
      </c>
      <c r="C3208" s="10">
        <v>1.8579999999999999</v>
      </c>
      <c r="D3208" s="9" t="s">
        <v>1712</v>
      </c>
      <c r="E3208" s="11" t="s">
        <v>1738</v>
      </c>
      <c r="F3208" s="12" t="s">
        <v>1714</v>
      </c>
      <c r="G3208" s="9" t="s">
        <v>1709</v>
      </c>
    </row>
    <row r="3209" spans="1:7">
      <c r="A3209" s="9" t="s">
        <v>1711</v>
      </c>
      <c r="B3209" s="9">
        <v>0.2</v>
      </c>
      <c r="C3209" s="10">
        <v>1.8579999999999999</v>
      </c>
      <c r="D3209" s="9" t="s">
        <v>1712</v>
      </c>
      <c r="E3209" s="11" t="s">
        <v>1738</v>
      </c>
      <c r="F3209" s="12" t="s">
        <v>1714</v>
      </c>
      <c r="G3209" s="9" t="s">
        <v>1709</v>
      </c>
    </row>
    <row r="3210" spans="1:7">
      <c r="A3210" s="9" t="s">
        <v>1711</v>
      </c>
      <c r="B3210" s="9">
        <v>0.2</v>
      </c>
      <c r="C3210" s="10">
        <v>1.8579999999999999</v>
      </c>
      <c r="D3210" s="9" t="s">
        <v>1712</v>
      </c>
      <c r="E3210" s="11" t="s">
        <v>1738</v>
      </c>
      <c r="F3210" s="12" t="s">
        <v>1714</v>
      </c>
      <c r="G3210" s="9" t="s">
        <v>1709</v>
      </c>
    </row>
    <row r="3211" spans="1:7">
      <c r="A3211" s="9" t="s">
        <v>1711</v>
      </c>
      <c r="B3211" s="9">
        <v>0.2</v>
      </c>
      <c r="C3211" s="10">
        <v>1.8579999999999999</v>
      </c>
      <c r="D3211" s="9" t="s">
        <v>1712</v>
      </c>
      <c r="E3211" s="11" t="s">
        <v>1738</v>
      </c>
      <c r="F3211" s="12" t="s">
        <v>1714</v>
      </c>
      <c r="G3211" s="9" t="s">
        <v>1709</v>
      </c>
    </row>
    <row r="3212" spans="1:7">
      <c r="A3212" s="9" t="s">
        <v>1711</v>
      </c>
      <c r="B3212" s="9">
        <v>0.2</v>
      </c>
      <c r="C3212" s="10">
        <v>1.857</v>
      </c>
      <c r="D3212" s="9" t="s">
        <v>1712</v>
      </c>
      <c r="E3212" s="11" t="s">
        <v>1738</v>
      </c>
      <c r="F3212" s="12" t="s">
        <v>1714</v>
      </c>
      <c r="G3212" s="9" t="s">
        <v>1709</v>
      </c>
    </row>
    <row r="3213" spans="1:7">
      <c r="A3213" s="9" t="s">
        <v>1711</v>
      </c>
      <c r="B3213" s="13">
        <v>0.2</v>
      </c>
      <c r="C3213" s="10">
        <v>2.0059999999999998</v>
      </c>
      <c r="D3213" s="9" t="s">
        <v>1712</v>
      </c>
      <c r="E3213" s="11" t="s">
        <v>1738</v>
      </c>
      <c r="F3213" s="12" t="s">
        <v>1714</v>
      </c>
      <c r="G3213" s="9" t="s">
        <v>1709</v>
      </c>
    </row>
    <row r="3214" spans="1:7">
      <c r="A3214" s="9" t="s">
        <v>1711</v>
      </c>
      <c r="B3214" s="13">
        <v>0.2</v>
      </c>
      <c r="C3214" s="10">
        <v>-9.0000000000000011E-3</v>
      </c>
      <c r="D3214" s="9" t="s">
        <v>1709</v>
      </c>
      <c r="E3214" s="11" t="s">
        <v>1710</v>
      </c>
      <c r="F3214" s="12" t="s">
        <v>1710</v>
      </c>
      <c r="G3214" s="9" t="s">
        <v>1709</v>
      </c>
    </row>
    <row r="3215" spans="1:7">
      <c r="A3215" s="9" t="s">
        <v>1711</v>
      </c>
      <c r="B3215" s="13">
        <v>0.2</v>
      </c>
      <c r="C3215" s="10">
        <v>-9.0000000000000011E-3</v>
      </c>
      <c r="D3215" s="9" t="s">
        <v>1709</v>
      </c>
      <c r="E3215" s="11" t="s">
        <v>1710</v>
      </c>
      <c r="F3215" s="12" t="s">
        <v>1710</v>
      </c>
      <c r="G3215" s="9" t="s">
        <v>1709</v>
      </c>
    </row>
    <row r="3216" spans="1:7">
      <c r="A3216" s="9" t="s">
        <v>1711</v>
      </c>
      <c r="B3216" s="13">
        <v>0.2</v>
      </c>
      <c r="C3216" s="10">
        <v>-7.5999999999999998E-2</v>
      </c>
      <c r="D3216" s="9" t="s">
        <v>1709</v>
      </c>
      <c r="E3216" s="11" t="s">
        <v>1710</v>
      </c>
      <c r="F3216" s="12" t="s">
        <v>1710</v>
      </c>
      <c r="G3216" s="9" t="s">
        <v>1709</v>
      </c>
    </row>
    <row r="3217" spans="1:7">
      <c r="A3217" s="9" t="s">
        <v>1711</v>
      </c>
      <c r="B3217" s="13">
        <v>0.2</v>
      </c>
      <c r="C3217" s="10">
        <v>-7.1999999999999995E-2</v>
      </c>
      <c r="D3217" s="9" t="s">
        <v>1709</v>
      </c>
      <c r="E3217" s="11" t="s">
        <v>1710</v>
      </c>
      <c r="F3217" s="12" t="s">
        <v>1710</v>
      </c>
      <c r="G3217" s="9" t="s">
        <v>1709</v>
      </c>
    </row>
    <row r="3218" spans="1:7">
      <c r="A3218" s="9" t="s">
        <v>1711</v>
      </c>
      <c r="B3218" s="13">
        <v>0.2</v>
      </c>
      <c r="C3218" s="10">
        <v>-7.1999999999999995E-2</v>
      </c>
      <c r="D3218" s="9" t="s">
        <v>1709</v>
      </c>
      <c r="E3218" s="11" t="s">
        <v>1710</v>
      </c>
      <c r="F3218" s="12" t="s">
        <v>1710</v>
      </c>
      <c r="G3218" s="9" t="s">
        <v>1709</v>
      </c>
    </row>
    <row r="3219" spans="1:7">
      <c r="A3219" s="9" t="s">
        <v>1711</v>
      </c>
      <c r="B3219" s="13">
        <v>0.2</v>
      </c>
      <c r="C3219" s="10">
        <v>-5.7000000000000002E-2</v>
      </c>
      <c r="D3219" s="9" t="s">
        <v>1709</v>
      </c>
      <c r="E3219" s="11" t="s">
        <v>1710</v>
      </c>
      <c r="F3219" s="12" t="s">
        <v>1710</v>
      </c>
      <c r="G3219" s="9" t="s">
        <v>1709</v>
      </c>
    </row>
    <row r="3220" spans="1:7">
      <c r="A3220" s="9" t="s">
        <v>1711</v>
      </c>
      <c r="B3220" s="13">
        <v>0.2</v>
      </c>
      <c r="C3220" s="10">
        <v>0.79900000000000004</v>
      </c>
      <c r="D3220" s="9" t="s">
        <v>1712</v>
      </c>
      <c r="E3220" s="11" t="s">
        <v>1713</v>
      </c>
      <c r="F3220" s="12" t="s">
        <v>1714</v>
      </c>
      <c r="G3220" s="9" t="s">
        <v>1709</v>
      </c>
    </row>
    <row r="3221" spans="1:7">
      <c r="A3221" s="9" t="s">
        <v>1711</v>
      </c>
      <c r="B3221" s="13">
        <v>0.2</v>
      </c>
      <c r="C3221" s="10">
        <v>0.79900000000000004</v>
      </c>
      <c r="D3221" s="9" t="s">
        <v>1712</v>
      </c>
      <c r="E3221" s="11" t="s">
        <v>1713</v>
      </c>
      <c r="F3221" s="12" t="s">
        <v>1714</v>
      </c>
      <c r="G3221" s="9" t="s">
        <v>1709</v>
      </c>
    </row>
    <row r="3222" spans="1:7">
      <c r="A3222" s="9" t="s">
        <v>1711</v>
      </c>
      <c r="B3222" s="13">
        <v>0.2</v>
      </c>
      <c r="C3222" s="10">
        <v>0.79900000000000004</v>
      </c>
      <c r="D3222" s="9" t="s">
        <v>1712</v>
      </c>
      <c r="E3222" s="11" t="s">
        <v>1713</v>
      </c>
      <c r="F3222" s="12" t="s">
        <v>1714</v>
      </c>
      <c r="G3222" s="9" t="s">
        <v>1709</v>
      </c>
    </row>
    <row r="3223" spans="1:7">
      <c r="A3223" s="9" t="s">
        <v>1711</v>
      </c>
      <c r="B3223" s="9">
        <v>0.2</v>
      </c>
      <c r="C3223" s="10">
        <v>0.79900000000000004</v>
      </c>
      <c r="D3223" s="9" t="s">
        <v>1712</v>
      </c>
      <c r="E3223" s="11" t="s">
        <v>1713</v>
      </c>
      <c r="F3223" s="12" t="s">
        <v>1714</v>
      </c>
      <c r="G3223" s="9" t="s">
        <v>1709</v>
      </c>
    </row>
    <row r="3224" spans="1:7">
      <c r="A3224" s="9" t="s">
        <v>1711</v>
      </c>
      <c r="B3224" s="9">
        <v>0.2</v>
      </c>
      <c r="C3224" s="10">
        <v>0.79900000000000004</v>
      </c>
      <c r="D3224" s="9" t="s">
        <v>1712</v>
      </c>
      <c r="E3224" s="11" t="s">
        <v>1713</v>
      </c>
      <c r="F3224" s="12" t="s">
        <v>1714</v>
      </c>
      <c r="G3224" s="9" t="s">
        <v>1709</v>
      </c>
    </row>
    <row r="3225" spans="1:7">
      <c r="A3225" s="9" t="s">
        <v>1711</v>
      </c>
      <c r="B3225" s="9">
        <v>0.2</v>
      </c>
      <c r="C3225" s="10">
        <v>0.79900000000000004</v>
      </c>
      <c r="D3225" s="9" t="s">
        <v>1712</v>
      </c>
      <c r="E3225" s="11" t="s">
        <v>1713</v>
      </c>
      <c r="F3225" s="12" t="s">
        <v>1714</v>
      </c>
      <c r="G3225" s="9" t="s">
        <v>1709</v>
      </c>
    </row>
    <row r="3226" spans="1:7">
      <c r="A3226" s="9" t="s">
        <v>1711</v>
      </c>
      <c r="B3226" s="9">
        <v>0.2</v>
      </c>
      <c r="C3226" s="10">
        <v>0.79900000000000004</v>
      </c>
      <c r="D3226" s="9" t="s">
        <v>1712</v>
      </c>
      <c r="E3226" s="11" t="s">
        <v>1713</v>
      </c>
      <c r="F3226" s="12" t="s">
        <v>1714</v>
      </c>
      <c r="G3226" s="9" t="s">
        <v>1709</v>
      </c>
    </row>
    <row r="3227" spans="1:7">
      <c r="A3227" s="9" t="s">
        <v>1711</v>
      </c>
      <c r="B3227" s="13">
        <v>0.2</v>
      </c>
      <c r="C3227" s="10">
        <v>0.79900000000000004</v>
      </c>
      <c r="D3227" s="9" t="s">
        <v>1712</v>
      </c>
      <c r="E3227" s="11" t="s">
        <v>1713</v>
      </c>
      <c r="F3227" s="12" t="s">
        <v>1714</v>
      </c>
      <c r="G3227" s="9" t="s">
        <v>1709</v>
      </c>
    </row>
    <row r="3228" spans="1:7">
      <c r="A3228" s="9" t="s">
        <v>1711</v>
      </c>
      <c r="B3228" s="13">
        <v>0.2</v>
      </c>
      <c r="C3228" s="10">
        <v>-0.19600000000000001</v>
      </c>
      <c r="D3228" s="9" t="s">
        <v>1709</v>
      </c>
      <c r="E3228" s="11" t="s">
        <v>1710</v>
      </c>
      <c r="F3228" s="12" t="s">
        <v>1710</v>
      </c>
      <c r="G3228" s="9" t="s">
        <v>1709</v>
      </c>
    </row>
    <row r="3229" spans="1:7">
      <c r="A3229" s="9" t="s">
        <v>1711</v>
      </c>
      <c r="B3229" s="13">
        <v>0.2</v>
      </c>
      <c r="C3229" s="10">
        <v>-0.19600000000000001</v>
      </c>
      <c r="D3229" s="9" t="s">
        <v>1709</v>
      </c>
      <c r="E3229" s="11" t="s">
        <v>1710</v>
      </c>
      <c r="F3229" s="12" t="s">
        <v>1710</v>
      </c>
      <c r="G3229" s="9" t="s">
        <v>1709</v>
      </c>
    </row>
    <row r="3230" spans="1:7">
      <c r="A3230" s="9" t="s">
        <v>1711</v>
      </c>
      <c r="B3230" s="13">
        <v>0.2</v>
      </c>
      <c r="C3230" s="10">
        <v>1.1729999999999998</v>
      </c>
      <c r="D3230" s="9" t="s">
        <v>1712</v>
      </c>
      <c r="E3230" s="11" t="s">
        <v>1713</v>
      </c>
      <c r="F3230" s="12" t="s">
        <v>1714</v>
      </c>
      <c r="G3230" s="9" t="s">
        <v>1709</v>
      </c>
    </row>
    <row r="3231" spans="1:7">
      <c r="A3231" s="9" t="s">
        <v>1711</v>
      </c>
      <c r="B3231" s="13">
        <v>0.2</v>
      </c>
      <c r="C3231" s="10">
        <v>1.1729999999999998</v>
      </c>
      <c r="D3231" s="9" t="s">
        <v>1712</v>
      </c>
      <c r="E3231" s="11" t="s">
        <v>1713</v>
      </c>
      <c r="F3231" s="12" t="s">
        <v>1714</v>
      </c>
      <c r="G3231" s="9" t="s">
        <v>1709</v>
      </c>
    </row>
    <row r="3232" spans="1:7">
      <c r="A3232" s="9" t="s">
        <v>1711</v>
      </c>
      <c r="B3232" s="9">
        <v>0.2</v>
      </c>
      <c r="C3232" s="10">
        <v>0.315</v>
      </c>
      <c r="D3232" s="9" t="s">
        <v>1712</v>
      </c>
      <c r="E3232" s="11" t="s">
        <v>1713</v>
      </c>
      <c r="F3232" s="12" t="s">
        <v>1714</v>
      </c>
      <c r="G3232" s="9" t="s">
        <v>1709</v>
      </c>
    </row>
    <row r="3233" spans="1:7">
      <c r="A3233" s="9" t="s">
        <v>1711</v>
      </c>
      <c r="B3233" s="9">
        <v>0.2</v>
      </c>
      <c r="C3233" s="10">
        <v>1.4999999999999999E-2</v>
      </c>
      <c r="D3233" s="9" t="s">
        <v>1712</v>
      </c>
      <c r="E3233" s="11" t="s">
        <v>1713</v>
      </c>
      <c r="F3233" s="12" t="s">
        <v>1714</v>
      </c>
      <c r="G3233" s="9" t="s">
        <v>1709</v>
      </c>
    </row>
    <row r="3234" spans="1:7">
      <c r="A3234" s="9" t="s">
        <v>1711</v>
      </c>
      <c r="B3234" s="13">
        <v>0.2</v>
      </c>
      <c r="C3234" s="10">
        <v>1.4999999999999999E-2</v>
      </c>
      <c r="D3234" s="9" t="s">
        <v>1712</v>
      </c>
      <c r="E3234" s="11" t="s">
        <v>1713</v>
      </c>
      <c r="F3234" s="12" t="s">
        <v>1714</v>
      </c>
      <c r="G3234" s="9" t="s">
        <v>1709</v>
      </c>
    </row>
    <row r="3235" spans="1:7">
      <c r="A3235" s="9" t="s">
        <v>1711</v>
      </c>
      <c r="B3235" s="9">
        <v>0.2</v>
      </c>
      <c r="C3235" s="10">
        <v>0.97799999999999998</v>
      </c>
      <c r="D3235" s="9" t="s">
        <v>1712</v>
      </c>
      <c r="E3235" s="11" t="s">
        <v>1713</v>
      </c>
      <c r="F3235" s="12" t="s">
        <v>1714</v>
      </c>
      <c r="G3235" s="9" t="s">
        <v>1709</v>
      </c>
    </row>
    <row r="3236" spans="1:7">
      <c r="A3236" s="9" t="s">
        <v>1711</v>
      </c>
      <c r="B3236" s="9">
        <v>0.2</v>
      </c>
      <c r="C3236" s="10">
        <v>0.97799999999999998</v>
      </c>
      <c r="D3236" s="9" t="s">
        <v>1712</v>
      </c>
      <c r="E3236" s="11" t="s">
        <v>1713</v>
      </c>
      <c r="F3236" s="12" t="s">
        <v>1714</v>
      </c>
      <c r="G3236" s="9" t="s">
        <v>1709</v>
      </c>
    </row>
    <row r="3237" spans="1:7">
      <c r="A3237" s="9" t="s">
        <v>1711</v>
      </c>
      <c r="B3237" s="9">
        <v>0.2</v>
      </c>
      <c r="C3237" s="10">
        <v>0.97799999999999998</v>
      </c>
      <c r="D3237" s="9" t="s">
        <v>1712</v>
      </c>
      <c r="E3237" s="11" t="s">
        <v>1713</v>
      </c>
      <c r="F3237" s="12" t="s">
        <v>1714</v>
      </c>
      <c r="G3237" s="9" t="s">
        <v>1709</v>
      </c>
    </row>
    <row r="3238" spans="1:7">
      <c r="A3238" s="9" t="s">
        <v>1711</v>
      </c>
      <c r="B3238" s="9">
        <v>0.2</v>
      </c>
      <c r="C3238" s="10">
        <v>0.97799999999999998</v>
      </c>
      <c r="D3238" s="9" t="s">
        <v>1712</v>
      </c>
      <c r="E3238" s="11" t="s">
        <v>1713</v>
      </c>
      <c r="F3238" s="12" t="s">
        <v>1714</v>
      </c>
      <c r="G3238" s="9" t="s">
        <v>1709</v>
      </c>
    </row>
    <row r="3239" spans="1:7">
      <c r="A3239" s="9" t="s">
        <v>1711</v>
      </c>
      <c r="B3239" s="9">
        <v>0.2</v>
      </c>
      <c r="C3239" s="10">
        <v>0.97799999999999998</v>
      </c>
      <c r="D3239" s="9" t="s">
        <v>1712</v>
      </c>
      <c r="E3239" s="11" t="s">
        <v>1713</v>
      </c>
      <c r="F3239" s="12" t="s">
        <v>1714</v>
      </c>
      <c r="G3239" s="9" t="s">
        <v>1709</v>
      </c>
    </row>
    <row r="3240" spans="1:7">
      <c r="A3240" s="9" t="s">
        <v>1711</v>
      </c>
      <c r="B3240" s="9">
        <v>0.2</v>
      </c>
      <c r="C3240" s="10">
        <v>0.97799999999999998</v>
      </c>
      <c r="D3240" s="9" t="s">
        <v>1712</v>
      </c>
      <c r="E3240" s="11" t="s">
        <v>1713</v>
      </c>
      <c r="F3240" s="12" t="s">
        <v>1714</v>
      </c>
      <c r="G3240" s="9" t="s">
        <v>1709</v>
      </c>
    </row>
    <row r="3241" spans="1:7">
      <c r="A3241" s="9" t="s">
        <v>1711</v>
      </c>
      <c r="B3241" s="9">
        <v>0.2</v>
      </c>
      <c r="C3241" s="10">
        <v>-9.1999999999999998E-2</v>
      </c>
      <c r="D3241" s="9" t="s">
        <v>1709</v>
      </c>
      <c r="E3241" s="11" t="s">
        <v>1710</v>
      </c>
      <c r="F3241" s="12" t="s">
        <v>1710</v>
      </c>
      <c r="G3241" s="9" t="s">
        <v>1709</v>
      </c>
    </row>
    <row r="3242" spans="1:7">
      <c r="A3242" s="9" t="s">
        <v>1711</v>
      </c>
      <c r="B3242" s="9">
        <v>0.2</v>
      </c>
      <c r="C3242" s="10">
        <v>-9.1999999999999998E-2</v>
      </c>
      <c r="D3242" s="9" t="s">
        <v>1709</v>
      </c>
      <c r="E3242" s="11" t="s">
        <v>1710</v>
      </c>
      <c r="F3242" s="12" t="s">
        <v>1710</v>
      </c>
      <c r="G3242" s="9" t="s">
        <v>1709</v>
      </c>
    </row>
    <row r="3243" spans="1:7">
      <c r="A3243" s="9" t="s">
        <v>1711</v>
      </c>
      <c r="B3243" s="9">
        <v>0.2</v>
      </c>
      <c r="C3243" s="10">
        <v>-9.1999999999999998E-2</v>
      </c>
      <c r="D3243" s="9" t="s">
        <v>1709</v>
      </c>
      <c r="E3243" s="11" t="s">
        <v>1710</v>
      </c>
      <c r="F3243" s="12" t="s">
        <v>1710</v>
      </c>
      <c r="G3243" s="9" t="s">
        <v>1709</v>
      </c>
    </row>
    <row r="3244" spans="1:7">
      <c r="A3244" s="9" t="s">
        <v>1711</v>
      </c>
      <c r="B3244" s="9">
        <v>0.2</v>
      </c>
      <c r="C3244" s="10">
        <v>3.0000000000000002E-2</v>
      </c>
      <c r="D3244" s="9" t="s">
        <v>1712</v>
      </c>
      <c r="E3244" s="11" t="s">
        <v>1713</v>
      </c>
      <c r="F3244" s="12" t="s">
        <v>1714</v>
      </c>
      <c r="G3244" s="9" t="s">
        <v>1709</v>
      </c>
    </row>
    <row r="3245" spans="1:7">
      <c r="A3245" s="9" t="s">
        <v>1711</v>
      </c>
      <c r="B3245" s="9">
        <v>0.2</v>
      </c>
      <c r="C3245" s="10">
        <v>3.0000000000000002E-2</v>
      </c>
      <c r="D3245" s="9" t="s">
        <v>1712</v>
      </c>
      <c r="E3245" s="11" t="s">
        <v>1713</v>
      </c>
      <c r="F3245" s="12" t="s">
        <v>1714</v>
      </c>
      <c r="G3245" s="9" t="s">
        <v>1709</v>
      </c>
    </row>
    <row r="3246" spans="1:7">
      <c r="A3246" s="9" t="s">
        <v>1711</v>
      </c>
      <c r="B3246" s="9">
        <v>0.2</v>
      </c>
      <c r="C3246" s="10">
        <v>3.0000000000000002E-2</v>
      </c>
      <c r="D3246" s="9" t="s">
        <v>1712</v>
      </c>
      <c r="E3246" s="11" t="s">
        <v>1713</v>
      </c>
      <c r="F3246" s="12" t="s">
        <v>1714</v>
      </c>
      <c r="G3246" s="9" t="s">
        <v>1709</v>
      </c>
    </row>
    <row r="3247" spans="1:7">
      <c r="A3247" s="9" t="s">
        <v>1711</v>
      </c>
      <c r="B3247" s="9">
        <v>0.2</v>
      </c>
      <c r="C3247" s="10">
        <v>3.0000000000000002E-2</v>
      </c>
      <c r="D3247" s="9" t="s">
        <v>1712</v>
      </c>
      <c r="E3247" s="11" t="s">
        <v>1713</v>
      </c>
      <c r="F3247" s="12" t="s">
        <v>1714</v>
      </c>
      <c r="G3247" s="9" t="s">
        <v>1709</v>
      </c>
    </row>
    <row r="3248" spans="1:7">
      <c r="A3248" s="9" t="s">
        <v>1711</v>
      </c>
      <c r="B3248" s="13">
        <v>0.2</v>
      </c>
      <c r="C3248" s="10">
        <v>3.0000000000000002E-2</v>
      </c>
      <c r="D3248" s="9" t="s">
        <v>1712</v>
      </c>
      <c r="E3248" s="11" t="s">
        <v>1713</v>
      </c>
      <c r="F3248" s="12" t="s">
        <v>1714</v>
      </c>
      <c r="G3248" s="9" t="s">
        <v>1709</v>
      </c>
    </row>
    <row r="3249" spans="1:7">
      <c r="A3249" s="9" t="s">
        <v>1711</v>
      </c>
      <c r="B3249" s="13">
        <v>0.2</v>
      </c>
      <c r="C3249" s="10">
        <v>-0.13900000000000001</v>
      </c>
      <c r="D3249" s="9" t="s">
        <v>1709</v>
      </c>
      <c r="E3249" s="11" t="s">
        <v>1710</v>
      </c>
      <c r="F3249" s="12" t="s">
        <v>1710</v>
      </c>
      <c r="G3249" s="9" t="s">
        <v>1709</v>
      </c>
    </row>
    <row r="3250" spans="1:7">
      <c r="A3250" s="9" t="s">
        <v>1711</v>
      </c>
      <c r="B3250" s="9">
        <v>0.2</v>
      </c>
      <c r="C3250" s="10">
        <v>0.99299999999999999</v>
      </c>
      <c r="D3250" s="9" t="s">
        <v>1712</v>
      </c>
      <c r="E3250" s="11" t="s">
        <v>1713</v>
      </c>
      <c r="F3250" s="12" t="s">
        <v>1714</v>
      </c>
      <c r="G3250" s="9" t="s">
        <v>1709</v>
      </c>
    </row>
    <row r="3251" spans="1:7">
      <c r="A3251" s="9" t="s">
        <v>1711</v>
      </c>
      <c r="B3251" s="9">
        <v>0.2</v>
      </c>
      <c r="C3251" s="10">
        <v>-0.14399999999999999</v>
      </c>
      <c r="D3251" s="9" t="s">
        <v>1709</v>
      </c>
      <c r="E3251" s="11" t="s">
        <v>1710</v>
      </c>
      <c r="F3251" s="12" t="s">
        <v>1710</v>
      </c>
      <c r="G3251" s="9" t="s">
        <v>1709</v>
      </c>
    </row>
    <row r="3252" spans="1:7">
      <c r="A3252" s="9" t="s">
        <v>1711</v>
      </c>
      <c r="B3252" s="9">
        <v>0.2</v>
      </c>
      <c r="C3252" s="10">
        <v>0.96599999999999997</v>
      </c>
      <c r="D3252" s="9" t="s">
        <v>1712</v>
      </c>
      <c r="E3252" s="11" t="s">
        <v>1713</v>
      </c>
      <c r="F3252" s="12" t="s">
        <v>1714</v>
      </c>
      <c r="G3252" s="9" t="s">
        <v>1709</v>
      </c>
    </row>
    <row r="3253" spans="1:7">
      <c r="A3253" s="9" t="s">
        <v>1711</v>
      </c>
      <c r="B3253" s="13">
        <v>0.2</v>
      </c>
      <c r="C3253" s="10">
        <v>0.157</v>
      </c>
      <c r="D3253" s="9" t="s">
        <v>1712</v>
      </c>
      <c r="E3253" s="11" t="s">
        <v>1713</v>
      </c>
      <c r="F3253" s="12" t="s">
        <v>1714</v>
      </c>
      <c r="G3253" s="9" t="s">
        <v>1709</v>
      </c>
    </row>
    <row r="3254" spans="1:7">
      <c r="A3254" s="9" t="s">
        <v>1711</v>
      </c>
      <c r="B3254" s="13">
        <v>0.2</v>
      </c>
      <c r="C3254" s="10">
        <v>0.157</v>
      </c>
      <c r="D3254" s="9" t="s">
        <v>1712</v>
      </c>
      <c r="E3254" s="11" t="s">
        <v>1713</v>
      </c>
      <c r="F3254" s="12" t="s">
        <v>1714</v>
      </c>
      <c r="G3254" s="9" t="s">
        <v>1709</v>
      </c>
    </row>
    <row r="3255" spans="1:7">
      <c r="A3255" s="9" t="s">
        <v>1711</v>
      </c>
      <c r="B3255" s="9">
        <v>0.2</v>
      </c>
      <c r="C3255" s="10">
        <v>0.157</v>
      </c>
      <c r="D3255" s="9" t="s">
        <v>1712</v>
      </c>
      <c r="E3255" s="11" t="s">
        <v>1713</v>
      </c>
      <c r="F3255" s="12" t="s">
        <v>1714</v>
      </c>
      <c r="G3255" s="9" t="s">
        <v>1709</v>
      </c>
    </row>
    <row r="3256" spans="1:7">
      <c r="A3256" s="9" t="s">
        <v>1711</v>
      </c>
      <c r="B3256" s="13">
        <v>0.2</v>
      </c>
      <c r="C3256" s="10">
        <v>0.157</v>
      </c>
      <c r="D3256" s="9" t="s">
        <v>1712</v>
      </c>
      <c r="E3256" s="11" t="s">
        <v>1713</v>
      </c>
      <c r="F3256" s="12" t="s">
        <v>1714</v>
      </c>
      <c r="G3256" s="9" t="s">
        <v>1709</v>
      </c>
    </row>
    <row r="3257" spans="1:7">
      <c r="A3257" s="9" t="s">
        <v>1711</v>
      </c>
      <c r="B3257" s="13">
        <v>0.2</v>
      </c>
      <c r="C3257" s="10">
        <v>0.75800000000000001</v>
      </c>
      <c r="D3257" s="9" t="s">
        <v>1712</v>
      </c>
      <c r="E3257" s="11" t="s">
        <v>1713</v>
      </c>
      <c r="F3257" s="12" t="s">
        <v>1714</v>
      </c>
      <c r="G3257" s="9" t="s">
        <v>1709</v>
      </c>
    </row>
    <row r="3258" spans="1:7">
      <c r="A3258" s="9" t="s">
        <v>1711</v>
      </c>
      <c r="B3258" s="13">
        <v>0.2</v>
      </c>
      <c r="C3258" s="10">
        <v>0.27300000000000002</v>
      </c>
      <c r="D3258" s="9" t="s">
        <v>1712</v>
      </c>
      <c r="E3258" s="11" t="s">
        <v>1713</v>
      </c>
      <c r="F3258" s="12" t="s">
        <v>1714</v>
      </c>
      <c r="G3258" s="9" t="s">
        <v>1709</v>
      </c>
    </row>
    <row r="3259" spans="1:7">
      <c r="A3259" s="9" t="s">
        <v>1711</v>
      </c>
      <c r="B3259" s="13">
        <v>0.2</v>
      </c>
      <c r="C3259" s="10">
        <v>0.27300000000000002</v>
      </c>
      <c r="D3259" s="9" t="s">
        <v>1712</v>
      </c>
      <c r="E3259" s="11" t="s">
        <v>1713</v>
      </c>
      <c r="F3259" s="12" t="s">
        <v>1714</v>
      </c>
      <c r="G3259" s="9" t="s">
        <v>1709</v>
      </c>
    </row>
    <row r="3260" spans="1:7">
      <c r="A3260" s="9" t="s">
        <v>1711</v>
      </c>
      <c r="B3260" s="13">
        <v>0.2</v>
      </c>
      <c r="C3260" s="10">
        <v>0.27300000000000002</v>
      </c>
      <c r="D3260" s="9" t="s">
        <v>1712</v>
      </c>
      <c r="E3260" s="11" t="s">
        <v>1713</v>
      </c>
      <c r="F3260" s="12" t="s">
        <v>1714</v>
      </c>
      <c r="G3260" s="9" t="s">
        <v>1709</v>
      </c>
    </row>
    <row r="3261" spans="1:7">
      <c r="A3261" s="9" t="s">
        <v>1711</v>
      </c>
      <c r="B3261" s="13">
        <v>0.2</v>
      </c>
      <c r="C3261" s="10">
        <v>0.27300000000000002</v>
      </c>
      <c r="D3261" s="9" t="s">
        <v>1712</v>
      </c>
      <c r="E3261" s="11" t="s">
        <v>1713</v>
      </c>
      <c r="F3261" s="12" t="s">
        <v>1714</v>
      </c>
      <c r="G3261" s="9" t="s">
        <v>1709</v>
      </c>
    </row>
    <row r="3262" spans="1:7">
      <c r="A3262" s="9" t="s">
        <v>1711</v>
      </c>
      <c r="B3262" s="13">
        <v>0.2</v>
      </c>
      <c r="C3262" s="10">
        <v>0.27900000000000003</v>
      </c>
      <c r="D3262" s="9" t="s">
        <v>1712</v>
      </c>
      <c r="E3262" s="11" t="s">
        <v>1713</v>
      </c>
      <c r="F3262" s="12" t="s">
        <v>1714</v>
      </c>
      <c r="G3262" s="9" t="s">
        <v>1709</v>
      </c>
    </row>
    <row r="3263" spans="1:7">
      <c r="A3263" s="9" t="s">
        <v>1711</v>
      </c>
      <c r="B3263" s="13">
        <v>0.2</v>
      </c>
      <c r="C3263" s="10">
        <v>0.27900000000000003</v>
      </c>
      <c r="D3263" s="9" t="s">
        <v>1712</v>
      </c>
      <c r="E3263" s="11" t="s">
        <v>1713</v>
      </c>
      <c r="F3263" s="12" t="s">
        <v>1714</v>
      </c>
      <c r="G3263" s="9" t="s">
        <v>1709</v>
      </c>
    </row>
    <row r="3264" spans="1:7">
      <c r="A3264" s="9" t="s">
        <v>1711</v>
      </c>
      <c r="B3264" s="9">
        <v>0.2</v>
      </c>
      <c r="C3264" s="10">
        <v>1.7919999999999998</v>
      </c>
      <c r="D3264" s="9" t="s">
        <v>1712</v>
      </c>
      <c r="E3264" s="11" t="s">
        <v>1738</v>
      </c>
      <c r="F3264" s="12" t="s">
        <v>1714</v>
      </c>
      <c r="G3264" s="9" t="s">
        <v>1709</v>
      </c>
    </row>
    <row r="3265" spans="1:7">
      <c r="A3265" s="9" t="s">
        <v>1711</v>
      </c>
      <c r="B3265" s="9">
        <v>0.2</v>
      </c>
      <c r="C3265" s="10">
        <v>1.7919999999999998</v>
      </c>
      <c r="D3265" s="9" t="s">
        <v>1712</v>
      </c>
      <c r="E3265" s="11" t="s">
        <v>1738</v>
      </c>
      <c r="F3265" s="12" t="s">
        <v>1714</v>
      </c>
      <c r="G3265" s="9" t="s">
        <v>1709</v>
      </c>
    </row>
    <row r="3266" spans="1:7">
      <c r="A3266" s="9" t="s">
        <v>1711</v>
      </c>
      <c r="B3266" s="9">
        <v>0.2</v>
      </c>
      <c r="C3266" s="10">
        <v>1.7919999999999998</v>
      </c>
      <c r="D3266" s="9" t="s">
        <v>1712</v>
      </c>
      <c r="E3266" s="11" t="s">
        <v>1738</v>
      </c>
      <c r="F3266" s="12" t="s">
        <v>1714</v>
      </c>
      <c r="G3266" s="9" t="s">
        <v>1709</v>
      </c>
    </row>
    <row r="3267" spans="1:7">
      <c r="A3267" s="9" t="s">
        <v>1711</v>
      </c>
      <c r="B3267" s="13">
        <v>0.2</v>
      </c>
      <c r="C3267" s="10">
        <v>1.7919999999999998</v>
      </c>
      <c r="D3267" s="9" t="s">
        <v>1712</v>
      </c>
      <c r="E3267" s="11" t="s">
        <v>1738</v>
      </c>
      <c r="F3267" s="12" t="s">
        <v>1714</v>
      </c>
      <c r="G3267" s="9" t="s">
        <v>1709</v>
      </c>
    </row>
    <row r="3268" spans="1:7">
      <c r="A3268" s="9" t="s">
        <v>1711</v>
      </c>
      <c r="B3268" s="13">
        <v>0.2</v>
      </c>
      <c r="C3268" s="10">
        <v>1.7919999999999998</v>
      </c>
      <c r="D3268" s="9" t="s">
        <v>1712</v>
      </c>
      <c r="E3268" s="11" t="s">
        <v>1738</v>
      </c>
      <c r="F3268" s="12" t="s">
        <v>1714</v>
      </c>
      <c r="G3268" s="9" t="s">
        <v>1709</v>
      </c>
    </row>
    <row r="3269" spans="1:7">
      <c r="A3269" s="9" t="s">
        <v>1711</v>
      </c>
      <c r="B3269" s="13">
        <v>0.2</v>
      </c>
      <c r="C3269" s="10">
        <v>-3.0000000000000001E-3</v>
      </c>
      <c r="D3269" s="9" t="s">
        <v>1709</v>
      </c>
      <c r="E3269" s="11" t="s">
        <v>1710</v>
      </c>
      <c r="F3269" s="12" t="s">
        <v>1710</v>
      </c>
      <c r="G3269" s="9" t="s">
        <v>1709</v>
      </c>
    </row>
    <row r="3270" spans="1:7">
      <c r="A3270" s="9" t="s">
        <v>1711</v>
      </c>
      <c r="B3270" s="13">
        <v>0.2</v>
      </c>
      <c r="C3270" s="10">
        <v>-1.0999999999999999E-2</v>
      </c>
      <c r="D3270" s="9" t="s">
        <v>1709</v>
      </c>
      <c r="E3270" s="11" t="s">
        <v>1710</v>
      </c>
      <c r="F3270" s="12" t="s">
        <v>1710</v>
      </c>
      <c r="G3270" s="9" t="s">
        <v>1709</v>
      </c>
    </row>
    <row r="3271" spans="1:7">
      <c r="A3271" s="9" t="s">
        <v>1711</v>
      </c>
      <c r="B3271" s="13">
        <v>0.2</v>
      </c>
      <c r="C3271" s="10">
        <v>9.9999999999999985E-3</v>
      </c>
      <c r="D3271" s="9" t="s">
        <v>1712</v>
      </c>
      <c r="E3271" s="11" t="s">
        <v>1738</v>
      </c>
      <c r="F3271" s="12" t="s">
        <v>1714</v>
      </c>
      <c r="G3271" s="9" t="s">
        <v>1709</v>
      </c>
    </row>
    <row r="3272" spans="1:7">
      <c r="A3272" s="9" t="s">
        <v>1711</v>
      </c>
      <c r="B3272" s="13">
        <v>0.2</v>
      </c>
      <c r="C3272" s="10">
        <v>-3.0000000000000001E-3</v>
      </c>
      <c r="D3272" s="9" t="s">
        <v>1709</v>
      </c>
      <c r="E3272" s="11" t="s">
        <v>1710</v>
      </c>
      <c r="F3272" s="12" t="s">
        <v>1710</v>
      </c>
      <c r="G3272" s="9" t="s">
        <v>1709</v>
      </c>
    </row>
    <row r="3273" spans="1:7">
      <c r="A3273" s="9" t="s">
        <v>1711</v>
      </c>
      <c r="B3273" s="13">
        <v>0.2</v>
      </c>
      <c r="C3273" s="10">
        <v>1.1759999999999999</v>
      </c>
      <c r="D3273" s="9" t="s">
        <v>1712</v>
      </c>
      <c r="E3273" s="11" t="s">
        <v>1713</v>
      </c>
      <c r="F3273" s="12" t="s">
        <v>1714</v>
      </c>
      <c r="G3273" s="9" t="s">
        <v>1709</v>
      </c>
    </row>
    <row r="3274" spans="1:7">
      <c r="A3274" s="9" t="s">
        <v>1711</v>
      </c>
      <c r="B3274" s="13">
        <v>0.2</v>
      </c>
      <c r="C3274" s="10">
        <v>-0.08</v>
      </c>
      <c r="D3274" s="9" t="s">
        <v>1709</v>
      </c>
      <c r="E3274" s="11" t="s">
        <v>1710</v>
      </c>
      <c r="F3274" s="12" t="s">
        <v>1710</v>
      </c>
      <c r="G3274" s="9" t="s">
        <v>1709</v>
      </c>
    </row>
    <row r="3275" spans="1:7">
      <c r="A3275" s="9" t="s">
        <v>1711</v>
      </c>
      <c r="B3275" s="13">
        <v>0.2</v>
      </c>
      <c r="C3275" s="10">
        <v>-0.08</v>
      </c>
      <c r="D3275" s="9" t="s">
        <v>1709</v>
      </c>
      <c r="E3275" s="11" t="s">
        <v>1710</v>
      </c>
      <c r="F3275" s="12" t="s">
        <v>1710</v>
      </c>
      <c r="G3275" s="9" t="s">
        <v>1709</v>
      </c>
    </row>
    <row r="3276" spans="1:7">
      <c r="A3276" s="9" t="s">
        <v>1711</v>
      </c>
      <c r="B3276" s="13">
        <v>0.2</v>
      </c>
      <c r="C3276" s="10">
        <v>-0.08</v>
      </c>
      <c r="D3276" s="9" t="s">
        <v>1709</v>
      </c>
      <c r="E3276" s="11" t="s">
        <v>1710</v>
      </c>
      <c r="F3276" s="12" t="s">
        <v>1710</v>
      </c>
      <c r="G3276" s="9" t="s">
        <v>1709</v>
      </c>
    </row>
    <row r="3277" spans="1:7">
      <c r="A3277" s="9" t="s">
        <v>1711</v>
      </c>
      <c r="B3277" s="9">
        <v>0.2</v>
      </c>
      <c r="C3277" s="10">
        <v>-0.08</v>
      </c>
      <c r="D3277" s="9" t="s">
        <v>1709</v>
      </c>
      <c r="E3277" s="11" t="s">
        <v>1710</v>
      </c>
      <c r="F3277" s="12" t="s">
        <v>1710</v>
      </c>
      <c r="G3277" s="9" t="s">
        <v>1709</v>
      </c>
    </row>
    <row r="3278" spans="1:7">
      <c r="A3278" s="9" t="s">
        <v>1711</v>
      </c>
      <c r="B3278" s="9">
        <v>0.2</v>
      </c>
      <c r="C3278" s="10">
        <v>-0.08</v>
      </c>
      <c r="D3278" s="9" t="s">
        <v>1709</v>
      </c>
      <c r="E3278" s="11" t="s">
        <v>1710</v>
      </c>
      <c r="F3278" s="12" t="s">
        <v>1710</v>
      </c>
      <c r="G3278" s="9" t="s">
        <v>1709</v>
      </c>
    </row>
    <row r="3279" spans="1:7">
      <c r="A3279" s="9" t="s">
        <v>1711</v>
      </c>
      <c r="B3279" s="9">
        <v>0.2</v>
      </c>
      <c r="C3279" s="10">
        <v>-0.08</v>
      </c>
      <c r="D3279" s="9" t="s">
        <v>1709</v>
      </c>
      <c r="E3279" s="11" t="s">
        <v>1710</v>
      </c>
      <c r="F3279" s="12" t="s">
        <v>1710</v>
      </c>
      <c r="G3279" s="9" t="s">
        <v>1709</v>
      </c>
    </row>
    <row r="3280" spans="1:7">
      <c r="A3280" s="9" t="s">
        <v>1711</v>
      </c>
      <c r="B3280" s="9">
        <v>0.2</v>
      </c>
      <c r="C3280" s="10">
        <v>-0.08</v>
      </c>
      <c r="D3280" s="9" t="s">
        <v>1709</v>
      </c>
      <c r="E3280" s="11" t="s">
        <v>1710</v>
      </c>
      <c r="F3280" s="12" t="s">
        <v>1710</v>
      </c>
      <c r="G3280" s="9" t="s">
        <v>1709</v>
      </c>
    </row>
    <row r="3281" spans="1:7">
      <c r="A3281" s="9" t="s">
        <v>1711</v>
      </c>
      <c r="B3281" s="9">
        <v>0.2</v>
      </c>
      <c r="C3281" s="10">
        <v>-0.08</v>
      </c>
      <c r="D3281" s="9" t="s">
        <v>1709</v>
      </c>
      <c r="E3281" s="11" t="s">
        <v>1710</v>
      </c>
      <c r="F3281" s="12" t="s">
        <v>1710</v>
      </c>
      <c r="G3281" s="9" t="s">
        <v>1709</v>
      </c>
    </row>
    <row r="3282" spans="1:7">
      <c r="A3282" s="9" t="s">
        <v>1711</v>
      </c>
      <c r="B3282" s="9">
        <v>0.2</v>
      </c>
      <c r="C3282" s="10">
        <v>-0.08</v>
      </c>
      <c r="D3282" s="9" t="s">
        <v>1709</v>
      </c>
      <c r="E3282" s="11" t="s">
        <v>1710</v>
      </c>
      <c r="F3282" s="12" t="s">
        <v>1710</v>
      </c>
      <c r="G3282" s="9" t="s">
        <v>1709</v>
      </c>
    </row>
    <row r="3283" spans="1:7">
      <c r="A3283" s="9" t="s">
        <v>1711</v>
      </c>
      <c r="B3283" s="9">
        <v>0.2</v>
      </c>
      <c r="C3283" s="10">
        <v>-0.08</v>
      </c>
      <c r="D3283" s="9" t="s">
        <v>1709</v>
      </c>
      <c r="E3283" s="11" t="s">
        <v>1710</v>
      </c>
      <c r="F3283" s="12" t="s">
        <v>1710</v>
      </c>
      <c r="G3283" s="9" t="s">
        <v>1709</v>
      </c>
    </row>
    <row r="3284" spans="1:7">
      <c r="A3284" s="9" t="s">
        <v>1711</v>
      </c>
      <c r="B3284" s="9">
        <v>0.2</v>
      </c>
      <c r="C3284" s="10">
        <v>-0.08</v>
      </c>
      <c r="D3284" s="9" t="s">
        <v>1709</v>
      </c>
      <c r="E3284" s="11" t="s">
        <v>1710</v>
      </c>
      <c r="F3284" s="12" t="s">
        <v>1710</v>
      </c>
      <c r="G3284" s="9" t="s">
        <v>1709</v>
      </c>
    </row>
    <row r="3285" spans="1:7">
      <c r="A3285" s="9" t="s">
        <v>1711</v>
      </c>
      <c r="B3285" s="9">
        <v>0.2</v>
      </c>
      <c r="C3285" s="10">
        <v>-0.08</v>
      </c>
      <c r="D3285" s="9" t="s">
        <v>1709</v>
      </c>
      <c r="E3285" s="11" t="s">
        <v>1710</v>
      </c>
      <c r="F3285" s="12" t="s">
        <v>1710</v>
      </c>
      <c r="G3285" s="9" t="s">
        <v>1709</v>
      </c>
    </row>
    <row r="3286" spans="1:7">
      <c r="A3286" s="9" t="s">
        <v>1711</v>
      </c>
      <c r="B3286" s="9">
        <v>0.2</v>
      </c>
      <c r="C3286" s="10">
        <v>0.98499999999999999</v>
      </c>
      <c r="D3286" s="9" t="s">
        <v>1712</v>
      </c>
      <c r="E3286" s="11" t="s">
        <v>1713</v>
      </c>
      <c r="F3286" s="12" t="s">
        <v>1714</v>
      </c>
      <c r="G3286" s="9" t="s">
        <v>1709</v>
      </c>
    </row>
    <row r="3287" spans="1:7">
      <c r="A3287" s="9" t="s">
        <v>1711</v>
      </c>
      <c r="B3287" s="13">
        <v>0.2</v>
      </c>
      <c r="C3287" s="10">
        <v>0.114</v>
      </c>
      <c r="D3287" s="9" t="s">
        <v>1712</v>
      </c>
      <c r="E3287" s="11" t="s">
        <v>1713</v>
      </c>
      <c r="F3287" s="12" t="s">
        <v>1714</v>
      </c>
      <c r="G3287" s="9" t="s">
        <v>1709</v>
      </c>
    </row>
    <row r="3288" spans="1:7">
      <c r="A3288" s="9" t="s">
        <v>1711</v>
      </c>
      <c r="B3288" s="9">
        <v>0.2</v>
      </c>
      <c r="C3288" s="10">
        <v>0.96899999999999997</v>
      </c>
      <c r="D3288" s="9" t="s">
        <v>1712</v>
      </c>
      <c r="E3288" s="11" t="s">
        <v>1713</v>
      </c>
      <c r="F3288" s="12" t="s">
        <v>1714</v>
      </c>
      <c r="G3288" s="9" t="s">
        <v>1709</v>
      </c>
    </row>
    <row r="3289" spans="1:7">
      <c r="A3289" s="9" t="s">
        <v>1711</v>
      </c>
      <c r="B3289" s="9">
        <v>0.2</v>
      </c>
      <c r="C3289" s="10">
        <v>0.96899999999999997</v>
      </c>
      <c r="D3289" s="9" t="s">
        <v>1712</v>
      </c>
      <c r="E3289" s="11" t="s">
        <v>1713</v>
      </c>
      <c r="F3289" s="12" t="s">
        <v>1714</v>
      </c>
      <c r="G3289" s="9" t="s">
        <v>1709</v>
      </c>
    </row>
    <row r="3290" spans="1:7">
      <c r="A3290" s="9" t="s">
        <v>1711</v>
      </c>
      <c r="B3290" s="9">
        <v>0.2</v>
      </c>
      <c r="C3290" s="10">
        <v>0.96899999999999997</v>
      </c>
      <c r="D3290" s="9" t="s">
        <v>1712</v>
      </c>
      <c r="E3290" s="11" t="s">
        <v>1713</v>
      </c>
      <c r="F3290" s="12" t="s">
        <v>1714</v>
      </c>
      <c r="G3290" s="9" t="s">
        <v>1709</v>
      </c>
    </row>
    <row r="3291" spans="1:7">
      <c r="A3291" s="9" t="s">
        <v>1711</v>
      </c>
      <c r="B3291" s="9">
        <v>0.2</v>
      </c>
      <c r="C3291" s="10">
        <v>0.96799999999999997</v>
      </c>
      <c r="D3291" s="9" t="s">
        <v>1712</v>
      </c>
      <c r="E3291" s="11" t="s">
        <v>1713</v>
      </c>
      <c r="F3291" s="12" t="s">
        <v>1714</v>
      </c>
      <c r="G3291" s="9" t="s">
        <v>1709</v>
      </c>
    </row>
    <row r="3292" spans="1:7">
      <c r="A3292" s="9" t="s">
        <v>1711</v>
      </c>
      <c r="B3292" s="9">
        <v>0.2</v>
      </c>
      <c r="C3292" s="10">
        <v>0.96799999999999997</v>
      </c>
      <c r="D3292" s="9" t="s">
        <v>1712</v>
      </c>
      <c r="E3292" s="11" t="s">
        <v>1713</v>
      </c>
      <c r="F3292" s="12" t="s">
        <v>1714</v>
      </c>
      <c r="G3292" s="9" t="s">
        <v>1709</v>
      </c>
    </row>
    <row r="3293" spans="1:7">
      <c r="A3293" s="9" t="s">
        <v>1711</v>
      </c>
      <c r="B3293" s="9">
        <v>0.2</v>
      </c>
      <c r="C3293" s="10">
        <v>0.96799999999999997</v>
      </c>
      <c r="D3293" s="9" t="s">
        <v>1712</v>
      </c>
      <c r="E3293" s="11" t="s">
        <v>1713</v>
      </c>
      <c r="F3293" s="12" t="s">
        <v>1714</v>
      </c>
      <c r="G3293" s="9" t="s">
        <v>1709</v>
      </c>
    </row>
    <row r="3294" spans="1:7">
      <c r="A3294" s="9" t="s">
        <v>1711</v>
      </c>
      <c r="B3294" s="9">
        <v>0.2</v>
      </c>
      <c r="C3294" s="10">
        <v>0.96799999999999997</v>
      </c>
      <c r="D3294" s="9" t="s">
        <v>1712</v>
      </c>
      <c r="E3294" s="11" t="s">
        <v>1713</v>
      </c>
      <c r="F3294" s="12" t="s">
        <v>1714</v>
      </c>
      <c r="G3294" s="9" t="s">
        <v>1709</v>
      </c>
    </row>
    <row r="3295" spans="1:7">
      <c r="A3295" s="9" t="s">
        <v>1711</v>
      </c>
      <c r="B3295" s="13">
        <v>0.2</v>
      </c>
      <c r="C3295" s="10">
        <v>0.96799999999999997</v>
      </c>
      <c r="D3295" s="9" t="s">
        <v>1712</v>
      </c>
      <c r="E3295" s="11" t="s">
        <v>1713</v>
      </c>
      <c r="F3295" s="12" t="s">
        <v>1714</v>
      </c>
      <c r="G3295" s="9" t="s">
        <v>1709</v>
      </c>
    </row>
    <row r="3296" spans="1:7">
      <c r="A3296" s="9" t="s">
        <v>1711</v>
      </c>
      <c r="B3296" s="13">
        <v>0.2</v>
      </c>
      <c r="C3296" s="10">
        <v>0.96799999999999997</v>
      </c>
      <c r="D3296" s="9" t="s">
        <v>1712</v>
      </c>
      <c r="E3296" s="11" t="s">
        <v>1713</v>
      </c>
      <c r="F3296" s="12" t="s">
        <v>1714</v>
      </c>
      <c r="G3296" s="9" t="s">
        <v>1709</v>
      </c>
    </row>
    <row r="3297" spans="1:7">
      <c r="A3297" s="9" t="s">
        <v>1711</v>
      </c>
      <c r="B3297" s="13">
        <v>0.2</v>
      </c>
      <c r="C3297" s="10">
        <v>0.96799999999999997</v>
      </c>
      <c r="D3297" s="9" t="s">
        <v>1712</v>
      </c>
      <c r="E3297" s="11" t="s">
        <v>1713</v>
      </c>
      <c r="F3297" s="12" t="s">
        <v>1714</v>
      </c>
      <c r="G3297" s="9" t="s">
        <v>1709</v>
      </c>
    </row>
    <row r="3298" spans="1:7">
      <c r="A3298" s="9" t="s">
        <v>1711</v>
      </c>
      <c r="B3298" s="13">
        <v>0.2</v>
      </c>
      <c r="C3298" s="10">
        <v>1.0959999999999999</v>
      </c>
      <c r="D3298" s="9" t="s">
        <v>1712</v>
      </c>
      <c r="E3298" s="11" t="s">
        <v>1713</v>
      </c>
      <c r="F3298" s="12" t="s">
        <v>1714</v>
      </c>
      <c r="G3298" s="9" t="s">
        <v>1709</v>
      </c>
    </row>
    <row r="3299" spans="1:7">
      <c r="A3299" s="9" t="s">
        <v>1711</v>
      </c>
      <c r="B3299" s="13">
        <v>0.2</v>
      </c>
      <c r="C3299" s="10">
        <v>0.16300000000000001</v>
      </c>
      <c r="D3299" s="9" t="s">
        <v>1712</v>
      </c>
      <c r="E3299" s="11" t="s">
        <v>1713</v>
      </c>
      <c r="F3299" s="12" t="s">
        <v>1714</v>
      </c>
      <c r="G3299" s="9" t="s">
        <v>1709</v>
      </c>
    </row>
    <row r="3300" spans="1:7">
      <c r="A3300" s="9" t="s">
        <v>1711</v>
      </c>
      <c r="B3300" s="13">
        <v>0.2</v>
      </c>
      <c r="C3300" s="10">
        <v>-7.6999999999999999E-2</v>
      </c>
      <c r="D3300" s="9" t="s">
        <v>1709</v>
      </c>
      <c r="E3300" s="11" t="s">
        <v>1710</v>
      </c>
      <c r="F3300" s="12" t="s">
        <v>1710</v>
      </c>
      <c r="G3300" s="9" t="s">
        <v>1709</v>
      </c>
    </row>
    <row r="3301" spans="1:7">
      <c r="A3301" s="9" t="s">
        <v>1711</v>
      </c>
      <c r="B3301" s="9">
        <v>0.2</v>
      </c>
      <c r="C3301" s="10">
        <v>0.23200000000000001</v>
      </c>
      <c r="D3301" s="9" t="s">
        <v>1712</v>
      </c>
      <c r="E3301" s="11" t="s">
        <v>1713</v>
      </c>
      <c r="F3301" s="12" t="s">
        <v>1714</v>
      </c>
      <c r="G3301" s="9" t="s">
        <v>1709</v>
      </c>
    </row>
    <row r="3302" spans="1:7">
      <c r="A3302" s="9" t="s">
        <v>1711</v>
      </c>
      <c r="B3302" s="9">
        <v>0.2</v>
      </c>
      <c r="C3302" s="10">
        <v>0.85</v>
      </c>
      <c r="D3302" s="9" t="s">
        <v>1712</v>
      </c>
      <c r="E3302" s="11" t="s">
        <v>1713</v>
      </c>
      <c r="F3302" s="12" t="s">
        <v>1714</v>
      </c>
      <c r="G3302" s="9" t="s">
        <v>1709</v>
      </c>
    </row>
    <row r="3303" spans="1:7">
      <c r="A3303" s="9" t="s">
        <v>1711</v>
      </c>
      <c r="B3303" s="9">
        <v>0.2</v>
      </c>
      <c r="C3303" s="10">
        <v>0.316</v>
      </c>
      <c r="D3303" s="9" t="s">
        <v>1712</v>
      </c>
      <c r="E3303" s="11" t="s">
        <v>1713</v>
      </c>
      <c r="F3303" s="12" t="s">
        <v>1714</v>
      </c>
      <c r="G3303" s="9" t="s">
        <v>1709</v>
      </c>
    </row>
    <row r="3304" spans="1:7">
      <c r="A3304" s="9" t="s">
        <v>1711</v>
      </c>
      <c r="B3304" s="9">
        <v>0.2</v>
      </c>
      <c r="C3304" s="10">
        <v>0.79900000000000004</v>
      </c>
      <c r="D3304" s="9" t="s">
        <v>1712</v>
      </c>
      <c r="E3304" s="11" t="s">
        <v>1713</v>
      </c>
      <c r="F3304" s="12" t="s">
        <v>1714</v>
      </c>
      <c r="G3304" s="9" t="s">
        <v>1709</v>
      </c>
    </row>
    <row r="3305" spans="1:7">
      <c r="A3305" s="9" t="s">
        <v>1711</v>
      </c>
      <c r="B3305" s="9">
        <v>0.2</v>
      </c>
      <c r="C3305" s="10">
        <v>0.79900000000000004</v>
      </c>
      <c r="D3305" s="9" t="s">
        <v>1712</v>
      </c>
      <c r="E3305" s="11" t="s">
        <v>1713</v>
      </c>
      <c r="F3305" s="12" t="s">
        <v>1714</v>
      </c>
      <c r="G3305" s="9" t="s">
        <v>1709</v>
      </c>
    </row>
    <row r="3306" spans="1:7">
      <c r="A3306" s="9" t="s">
        <v>1711</v>
      </c>
      <c r="B3306" s="9">
        <v>0.2</v>
      </c>
      <c r="C3306" s="10">
        <v>0.79900000000000004</v>
      </c>
      <c r="D3306" s="9" t="s">
        <v>1712</v>
      </c>
      <c r="E3306" s="11" t="s">
        <v>1713</v>
      </c>
      <c r="F3306" s="12" t="s">
        <v>1714</v>
      </c>
      <c r="G3306" s="9" t="s">
        <v>1709</v>
      </c>
    </row>
    <row r="3307" spans="1:7">
      <c r="A3307" s="9" t="s">
        <v>1711</v>
      </c>
      <c r="B3307" s="9">
        <v>0.2</v>
      </c>
      <c r="C3307" s="10">
        <v>0.79900000000000004</v>
      </c>
      <c r="D3307" s="9" t="s">
        <v>1712</v>
      </c>
      <c r="E3307" s="11" t="s">
        <v>1713</v>
      </c>
      <c r="F3307" s="12" t="s">
        <v>1714</v>
      </c>
      <c r="G3307" s="9" t="s">
        <v>1709</v>
      </c>
    </row>
    <row r="3308" spans="1:7">
      <c r="A3308" s="9" t="s">
        <v>1711</v>
      </c>
      <c r="B3308" s="9">
        <v>0.2</v>
      </c>
      <c r="C3308" s="10">
        <v>0.79900000000000004</v>
      </c>
      <c r="D3308" s="9" t="s">
        <v>1712</v>
      </c>
      <c r="E3308" s="11" t="s">
        <v>1713</v>
      </c>
      <c r="F3308" s="12" t="s">
        <v>1714</v>
      </c>
      <c r="G3308" s="9" t="s">
        <v>1709</v>
      </c>
    </row>
    <row r="3309" spans="1:7">
      <c r="A3309" s="9" t="s">
        <v>1711</v>
      </c>
      <c r="B3309" s="9">
        <v>0.2</v>
      </c>
      <c r="C3309" s="10">
        <v>-0.16700000000000001</v>
      </c>
      <c r="D3309" s="9" t="s">
        <v>1709</v>
      </c>
      <c r="E3309" s="11" t="s">
        <v>1710</v>
      </c>
      <c r="F3309" s="12" t="s">
        <v>1710</v>
      </c>
      <c r="G3309" s="9" t="s">
        <v>1709</v>
      </c>
    </row>
    <row r="3310" spans="1:7">
      <c r="A3310" s="9" t="s">
        <v>1711</v>
      </c>
      <c r="B3310" s="13">
        <v>0.2</v>
      </c>
      <c r="C3310" s="10">
        <v>-0.19800000000000001</v>
      </c>
      <c r="D3310" s="9" t="s">
        <v>1709</v>
      </c>
      <c r="E3310" s="11" t="s">
        <v>1710</v>
      </c>
      <c r="F3310" s="12" t="s">
        <v>1710</v>
      </c>
      <c r="G3310" s="9" t="s">
        <v>1709</v>
      </c>
    </row>
    <row r="3311" spans="1:7">
      <c r="A3311" s="9" t="s">
        <v>1711</v>
      </c>
      <c r="B3311" s="9">
        <v>0.2</v>
      </c>
      <c r="C3311" s="10">
        <v>0.19800000000000001</v>
      </c>
      <c r="D3311" s="9" t="s">
        <v>1712</v>
      </c>
      <c r="E3311" s="11" t="s">
        <v>1713</v>
      </c>
      <c r="F3311" s="12" t="s">
        <v>1714</v>
      </c>
      <c r="G3311" s="9" t="s">
        <v>1709</v>
      </c>
    </row>
    <row r="3312" spans="1:7">
      <c r="A3312" s="9" t="s">
        <v>1711</v>
      </c>
      <c r="B3312" s="9">
        <v>0.2</v>
      </c>
      <c r="C3312" s="10">
        <v>0.19800000000000001</v>
      </c>
      <c r="D3312" s="9" t="s">
        <v>1712</v>
      </c>
      <c r="E3312" s="11" t="s">
        <v>1713</v>
      </c>
      <c r="F3312" s="12" t="s">
        <v>1714</v>
      </c>
      <c r="G3312" s="9" t="s">
        <v>1709</v>
      </c>
    </row>
    <row r="3313" spans="1:7">
      <c r="A3313" s="9" t="s">
        <v>1711</v>
      </c>
      <c r="B3313" s="9">
        <v>0.2</v>
      </c>
      <c r="C3313" s="10">
        <v>0.19800000000000001</v>
      </c>
      <c r="D3313" s="9" t="s">
        <v>1712</v>
      </c>
      <c r="E3313" s="11" t="s">
        <v>1713</v>
      </c>
      <c r="F3313" s="12" t="s">
        <v>1714</v>
      </c>
      <c r="G3313" s="9" t="s">
        <v>1709</v>
      </c>
    </row>
    <row r="3314" spans="1:7">
      <c r="A3314" s="9" t="s">
        <v>1711</v>
      </c>
      <c r="B3314" s="9">
        <v>0.2</v>
      </c>
      <c r="C3314" s="10">
        <v>0.19800000000000001</v>
      </c>
      <c r="D3314" s="9" t="s">
        <v>1712</v>
      </c>
      <c r="E3314" s="11" t="s">
        <v>1713</v>
      </c>
      <c r="F3314" s="12" t="s">
        <v>1714</v>
      </c>
      <c r="G3314" s="9" t="s">
        <v>1709</v>
      </c>
    </row>
    <row r="3315" spans="1:7">
      <c r="A3315" s="9" t="s">
        <v>1711</v>
      </c>
      <c r="B3315" s="9">
        <v>0.2</v>
      </c>
      <c r="C3315" s="10">
        <v>0.19800000000000001</v>
      </c>
      <c r="D3315" s="9" t="s">
        <v>1712</v>
      </c>
      <c r="E3315" s="11" t="s">
        <v>1713</v>
      </c>
      <c r="F3315" s="12" t="s">
        <v>1714</v>
      </c>
      <c r="G3315" s="9" t="s">
        <v>1709</v>
      </c>
    </row>
    <row r="3316" spans="1:7">
      <c r="A3316" s="9" t="s">
        <v>1711</v>
      </c>
      <c r="B3316" s="9">
        <v>0.2</v>
      </c>
      <c r="C3316" s="10">
        <v>0.19800000000000001</v>
      </c>
      <c r="D3316" s="9" t="s">
        <v>1712</v>
      </c>
      <c r="E3316" s="11" t="s">
        <v>1713</v>
      </c>
      <c r="F3316" s="12" t="s">
        <v>1714</v>
      </c>
      <c r="G3316" s="9" t="s">
        <v>1709</v>
      </c>
    </row>
    <row r="3317" spans="1:7">
      <c r="A3317" s="9" t="s">
        <v>1711</v>
      </c>
      <c r="B3317" s="9">
        <v>0.2</v>
      </c>
      <c r="C3317" s="10">
        <v>0.19800000000000001</v>
      </c>
      <c r="D3317" s="9" t="s">
        <v>1712</v>
      </c>
      <c r="E3317" s="11" t="s">
        <v>1713</v>
      </c>
      <c r="F3317" s="12" t="s">
        <v>1714</v>
      </c>
      <c r="G3317" s="9" t="s">
        <v>1709</v>
      </c>
    </row>
    <row r="3318" spans="1:7">
      <c r="A3318" s="9" t="s">
        <v>1711</v>
      </c>
      <c r="B3318" s="9">
        <v>0.2</v>
      </c>
      <c r="C3318" s="10">
        <v>0.19800000000000001</v>
      </c>
      <c r="D3318" s="9" t="s">
        <v>1712</v>
      </c>
      <c r="E3318" s="11" t="s">
        <v>1713</v>
      </c>
      <c r="F3318" s="12" t="s">
        <v>1714</v>
      </c>
      <c r="G3318" s="9" t="s">
        <v>1709</v>
      </c>
    </row>
    <row r="3319" spans="1:7">
      <c r="A3319" s="9" t="s">
        <v>1711</v>
      </c>
      <c r="B3319" s="13">
        <v>0.2</v>
      </c>
      <c r="C3319" s="10">
        <v>1.3979999999999999</v>
      </c>
      <c r="D3319" s="9" t="s">
        <v>1712</v>
      </c>
      <c r="E3319" s="11" t="s">
        <v>1736</v>
      </c>
      <c r="F3319" s="12" t="s">
        <v>1714</v>
      </c>
      <c r="G3319" s="9" t="s">
        <v>1709</v>
      </c>
    </row>
    <row r="3320" spans="1:7">
      <c r="A3320" s="9" t="s">
        <v>1711</v>
      </c>
      <c r="B3320" s="13">
        <v>0.2</v>
      </c>
      <c r="C3320" s="10">
        <v>1.212</v>
      </c>
      <c r="D3320" s="9" t="s">
        <v>1712</v>
      </c>
      <c r="E3320" s="11" t="s">
        <v>1713</v>
      </c>
      <c r="F3320" s="12" t="s">
        <v>1714</v>
      </c>
      <c r="G3320" s="9" t="s">
        <v>1709</v>
      </c>
    </row>
    <row r="3321" spans="1:7">
      <c r="A3321" s="9" t="s">
        <v>1711</v>
      </c>
      <c r="B3321" s="9">
        <v>0.2</v>
      </c>
      <c r="C3321" s="10">
        <v>1.4999999999999999E-2</v>
      </c>
      <c r="D3321" s="9" t="s">
        <v>1712</v>
      </c>
      <c r="E3321" s="11" t="s">
        <v>1713</v>
      </c>
      <c r="F3321" s="12" t="s">
        <v>1714</v>
      </c>
      <c r="G3321" s="9" t="s">
        <v>1709</v>
      </c>
    </row>
    <row r="3322" spans="1:7">
      <c r="A3322" s="9" t="s">
        <v>1711</v>
      </c>
      <c r="B3322" s="9">
        <v>0.2</v>
      </c>
      <c r="C3322" s="10">
        <v>1.1589999999999998</v>
      </c>
      <c r="D3322" s="9" t="s">
        <v>1712</v>
      </c>
      <c r="E3322" s="11" t="s">
        <v>1713</v>
      </c>
      <c r="F3322" s="12" t="s">
        <v>1714</v>
      </c>
      <c r="G3322" s="9" t="s">
        <v>1709</v>
      </c>
    </row>
    <row r="3323" spans="1:7">
      <c r="A3323" s="9" t="s">
        <v>1711</v>
      </c>
      <c r="B3323" s="9">
        <v>0.2</v>
      </c>
      <c r="C3323" s="10">
        <v>0.79800000000000004</v>
      </c>
      <c r="D3323" s="9" t="s">
        <v>1712</v>
      </c>
      <c r="E3323" s="11" t="s">
        <v>1713</v>
      </c>
      <c r="F3323" s="12" t="s">
        <v>1714</v>
      </c>
      <c r="G3323" s="9" t="s">
        <v>1709</v>
      </c>
    </row>
    <row r="3324" spans="1:7">
      <c r="A3324" s="9" t="s">
        <v>1711</v>
      </c>
      <c r="B3324" s="13">
        <v>0.2</v>
      </c>
      <c r="C3324" s="10">
        <v>-0.06</v>
      </c>
      <c r="D3324" s="9" t="s">
        <v>1709</v>
      </c>
      <c r="E3324" s="11" t="s">
        <v>1710</v>
      </c>
      <c r="F3324" s="12" t="s">
        <v>1710</v>
      </c>
      <c r="G3324" s="9" t="s">
        <v>1709</v>
      </c>
    </row>
    <row r="3325" spans="1:7">
      <c r="A3325" s="9" t="s">
        <v>1711</v>
      </c>
      <c r="B3325" s="13">
        <v>0.2</v>
      </c>
      <c r="C3325" s="10">
        <v>-0.06</v>
      </c>
      <c r="D3325" s="9" t="s">
        <v>1709</v>
      </c>
      <c r="E3325" s="11" t="s">
        <v>1710</v>
      </c>
      <c r="F3325" s="12" t="s">
        <v>1710</v>
      </c>
      <c r="G3325" s="9" t="s">
        <v>1709</v>
      </c>
    </row>
    <row r="3326" spans="1:7">
      <c r="A3326" s="9" t="s">
        <v>1711</v>
      </c>
      <c r="B3326" s="13">
        <v>0.2</v>
      </c>
      <c r="C3326" s="10">
        <v>1.099</v>
      </c>
      <c r="D3326" s="9" t="s">
        <v>1712</v>
      </c>
      <c r="E3326" s="11" t="s">
        <v>1713</v>
      </c>
      <c r="F3326" s="12" t="s">
        <v>1714</v>
      </c>
      <c r="G3326" s="9" t="s">
        <v>1709</v>
      </c>
    </row>
    <row r="3327" spans="1:7">
      <c r="A3327" s="9" t="s">
        <v>1711</v>
      </c>
      <c r="B3327" s="13">
        <v>0.2</v>
      </c>
      <c r="C3327" s="10">
        <v>0.13900000000000001</v>
      </c>
      <c r="D3327" s="9" t="s">
        <v>1712</v>
      </c>
      <c r="E3327" s="11" t="s">
        <v>1713</v>
      </c>
      <c r="F3327" s="12" t="s">
        <v>1714</v>
      </c>
      <c r="G3327" s="9" t="s">
        <v>1709</v>
      </c>
    </row>
    <row r="3328" spans="1:7">
      <c r="A3328" s="9" t="s">
        <v>1711</v>
      </c>
      <c r="B3328" s="13">
        <v>0.2</v>
      </c>
      <c r="C3328" s="10">
        <v>7.8E-2</v>
      </c>
      <c r="D3328" s="9" t="s">
        <v>1712</v>
      </c>
      <c r="E3328" s="11" t="s">
        <v>1713</v>
      </c>
      <c r="F3328" s="12" t="s">
        <v>1714</v>
      </c>
      <c r="G3328" s="9" t="s">
        <v>1709</v>
      </c>
    </row>
    <row r="3329" spans="1:7">
      <c r="A3329" s="9" t="s">
        <v>1711</v>
      </c>
      <c r="B3329" s="13">
        <v>0.2</v>
      </c>
      <c r="C3329" s="10">
        <v>1.3979999999999999</v>
      </c>
      <c r="D3329" s="9" t="s">
        <v>1712</v>
      </c>
      <c r="E3329" s="11" t="s">
        <v>1713</v>
      </c>
      <c r="F3329" s="12" t="s">
        <v>1714</v>
      </c>
      <c r="G3329" s="9" t="s">
        <v>1709</v>
      </c>
    </row>
    <row r="3330" spans="1:7">
      <c r="A3330" s="9" t="s">
        <v>1711</v>
      </c>
      <c r="B3330" s="13">
        <v>0.2</v>
      </c>
      <c r="C3330" s="10">
        <v>1.3979999999999999</v>
      </c>
      <c r="D3330" s="9" t="s">
        <v>1712</v>
      </c>
      <c r="E3330" s="11" t="s">
        <v>1713</v>
      </c>
      <c r="F3330" s="12" t="s">
        <v>1714</v>
      </c>
      <c r="G3330" s="9" t="s">
        <v>1709</v>
      </c>
    </row>
    <row r="3331" spans="1:7">
      <c r="A3331" s="9" t="s">
        <v>1711</v>
      </c>
      <c r="B3331" s="13">
        <v>0.2</v>
      </c>
      <c r="C3331" s="10">
        <v>0.30599999999999999</v>
      </c>
      <c r="D3331" s="9" t="s">
        <v>1712</v>
      </c>
      <c r="E3331" s="11" t="s">
        <v>1713</v>
      </c>
      <c r="F3331" s="12" t="s">
        <v>1714</v>
      </c>
      <c r="G3331" s="9" t="s">
        <v>1709</v>
      </c>
    </row>
    <row r="3332" spans="1:7">
      <c r="A3332" s="9" t="s">
        <v>1711</v>
      </c>
      <c r="B3332" s="13">
        <v>0.2</v>
      </c>
      <c r="C3332" s="10">
        <v>0.29099999999999998</v>
      </c>
      <c r="D3332" s="9" t="s">
        <v>1712</v>
      </c>
      <c r="E3332" s="11" t="s">
        <v>1713</v>
      </c>
      <c r="F3332" s="12" t="s">
        <v>1714</v>
      </c>
      <c r="G3332" s="9" t="s">
        <v>1709</v>
      </c>
    </row>
    <row r="3333" spans="1:7">
      <c r="A3333" s="9" t="s">
        <v>1711</v>
      </c>
      <c r="B3333" s="13">
        <v>0.2</v>
      </c>
      <c r="C3333" s="10">
        <v>6.2E-2</v>
      </c>
      <c r="D3333" s="9" t="s">
        <v>1712</v>
      </c>
      <c r="E3333" s="11" t="s">
        <v>1713</v>
      </c>
      <c r="F3333" s="12" t="s">
        <v>1714</v>
      </c>
      <c r="G3333" s="9" t="s">
        <v>1709</v>
      </c>
    </row>
    <row r="3334" spans="1:7">
      <c r="A3334" s="9" t="s">
        <v>1711</v>
      </c>
      <c r="B3334" s="13">
        <v>0.2</v>
      </c>
      <c r="C3334" s="10">
        <v>0.86799999999999999</v>
      </c>
      <c r="D3334" s="9" t="s">
        <v>1712</v>
      </c>
      <c r="E3334" s="11" t="s">
        <v>1713</v>
      </c>
      <c r="F3334" s="12" t="s">
        <v>1714</v>
      </c>
      <c r="G3334" s="9" t="s">
        <v>1709</v>
      </c>
    </row>
    <row r="3335" spans="1:7">
      <c r="A3335" s="9" t="s">
        <v>1711</v>
      </c>
      <c r="B3335" s="9">
        <v>0.2</v>
      </c>
      <c r="C3335" s="10">
        <v>0.27800000000000002</v>
      </c>
      <c r="D3335" s="9" t="s">
        <v>1712</v>
      </c>
      <c r="E3335" s="11" t="s">
        <v>1713</v>
      </c>
      <c r="F3335" s="12" t="s">
        <v>1714</v>
      </c>
      <c r="G3335" s="9" t="s">
        <v>1709</v>
      </c>
    </row>
    <row r="3336" spans="1:7">
      <c r="A3336" s="9" t="s">
        <v>1711</v>
      </c>
      <c r="B3336" s="13">
        <v>0.2</v>
      </c>
      <c r="C3336" s="10">
        <v>0.89100000000000001</v>
      </c>
      <c r="D3336" s="9" t="s">
        <v>1712</v>
      </c>
      <c r="E3336" s="11" t="s">
        <v>1713</v>
      </c>
      <c r="F3336" s="12" t="s">
        <v>1714</v>
      </c>
      <c r="G3336" s="9" t="s">
        <v>1709</v>
      </c>
    </row>
    <row r="3337" spans="1:7">
      <c r="A3337" s="9" t="s">
        <v>1711</v>
      </c>
      <c r="B3337" s="9">
        <v>0.2</v>
      </c>
      <c r="C3337" s="10">
        <v>-6.9000000000000006E-2</v>
      </c>
      <c r="D3337" s="9" t="s">
        <v>1709</v>
      </c>
      <c r="E3337" s="11" t="s">
        <v>1710</v>
      </c>
      <c r="F3337" s="12" t="s">
        <v>1710</v>
      </c>
      <c r="G3337" s="9" t="s">
        <v>1709</v>
      </c>
    </row>
    <row r="3338" spans="1:7">
      <c r="A3338" s="9" t="s">
        <v>1711</v>
      </c>
      <c r="B3338" s="9">
        <v>0.2</v>
      </c>
      <c r="C3338" s="10">
        <v>-0.11800000000000001</v>
      </c>
      <c r="D3338" s="9" t="s">
        <v>1709</v>
      </c>
      <c r="E3338" s="11" t="s">
        <v>1710</v>
      </c>
      <c r="F3338" s="12" t="s">
        <v>1710</v>
      </c>
      <c r="G3338" s="9" t="s">
        <v>1709</v>
      </c>
    </row>
    <row r="3339" spans="1:7">
      <c r="A3339" s="9" t="s">
        <v>1711</v>
      </c>
      <c r="B3339" s="9">
        <v>0.2</v>
      </c>
      <c r="C3339" s="10">
        <v>0.17599999999999999</v>
      </c>
      <c r="D3339" s="9" t="s">
        <v>1712</v>
      </c>
      <c r="E3339" s="11" t="s">
        <v>1713</v>
      </c>
      <c r="F3339" s="12" t="s">
        <v>1714</v>
      </c>
      <c r="G3339" s="9" t="s">
        <v>1709</v>
      </c>
    </row>
    <row r="3340" spans="1:7">
      <c r="A3340" s="9" t="s">
        <v>1711</v>
      </c>
      <c r="B3340" s="9">
        <v>0.2</v>
      </c>
      <c r="C3340" s="10">
        <v>0.17599999999999999</v>
      </c>
      <c r="D3340" s="9" t="s">
        <v>1712</v>
      </c>
      <c r="E3340" s="11" t="s">
        <v>1713</v>
      </c>
      <c r="F3340" s="12" t="s">
        <v>1714</v>
      </c>
      <c r="G3340" s="9" t="s">
        <v>1709</v>
      </c>
    </row>
    <row r="3341" spans="1:7">
      <c r="A3341" s="9" t="s">
        <v>1711</v>
      </c>
      <c r="B3341" s="9">
        <v>0.2</v>
      </c>
      <c r="C3341" s="10">
        <v>0.17599999999999999</v>
      </c>
      <c r="D3341" s="9" t="s">
        <v>1712</v>
      </c>
      <c r="E3341" s="11" t="s">
        <v>1713</v>
      </c>
      <c r="F3341" s="12" t="s">
        <v>1714</v>
      </c>
      <c r="G3341" s="9" t="s">
        <v>1709</v>
      </c>
    </row>
    <row r="3342" spans="1:7">
      <c r="A3342" s="9" t="s">
        <v>1711</v>
      </c>
      <c r="B3342" s="9">
        <v>0.2</v>
      </c>
      <c r="C3342" s="10">
        <v>0.17599999999999999</v>
      </c>
      <c r="D3342" s="9" t="s">
        <v>1712</v>
      </c>
      <c r="E3342" s="11" t="s">
        <v>1713</v>
      </c>
      <c r="F3342" s="12" t="s">
        <v>1714</v>
      </c>
      <c r="G3342" s="9" t="s">
        <v>1709</v>
      </c>
    </row>
    <row r="3343" spans="1:7">
      <c r="A3343" s="9" t="s">
        <v>1711</v>
      </c>
      <c r="B3343" s="9">
        <v>0.2</v>
      </c>
      <c r="C3343" s="10">
        <v>0.17599999999999999</v>
      </c>
      <c r="D3343" s="9" t="s">
        <v>1712</v>
      </c>
      <c r="E3343" s="11" t="s">
        <v>1713</v>
      </c>
      <c r="F3343" s="12" t="s">
        <v>1714</v>
      </c>
      <c r="G3343" s="9" t="s">
        <v>1709</v>
      </c>
    </row>
    <row r="3344" spans="1:7">
      <c r="A3344" s="9" t="s">
        <v>1711</v>
      </c>
      <c r="B3344" s="9">
        <v>0.2</v>
      </c>
      <c r="C3344" s="10">
        <v>0.17599999999999999</v>
      </c>
      <c r="D3344" s="9" t="s">
        <v>1712</v>
      </c>
      <c r="E3344" s="11" t="s">
        <v>1713</v>
      </c>
      <c r="F3344" s="12" t="s">
        <v>1714</v>
      </c>
      <c r="G3344" s="9" t="s">
        <v>1709</v>
      </c>
    </row>
    <row r="3345" spans="1:7">
      <c r="A3345" s="9" t="s">
        <v>1711</v>
      </c>
      <c r="B3345" s="9">
        <v>0.2</v>
      </c>
      <c r="C3345" s="10">
        <v>0.17599999999999999</v>
      </c>
      <c r="D3345" s="9" t="s">
        <v>1712</v>
      </c>
      <c r="E3345" s="11" t="s">
        <v>1713</v>
      </c>
      <c r="F3345" s="12" t="s">
        <v>1714</v>
      </c>
      <c r="G3345" s="9" t="s">
        <v>1709</v>
      </c>
    </row>
    <row r="3346" spans="1:7">
      <c r="A3346" s="9" t="s">
        <v>1711</v>
      </c>
      <c r="B3346" s="9">
        <v>0.2</v>
      </c>
      <c r="C3346" s="10">
        <v>0.17599999999999999</v>
      </c>
      <c r="D3346" s="9" t="s">
        <v>1712</v>
      </c>
      <c r="E3346" s="11" t="s">
        <v>1713</v>
      </c>
      <c r="F3346" s="12" t="s">
        <v>1714</v>
      </c>
      <c r="G3346" s="9" t="s">
        <v>1709</v>
      </c>
    </row>
    <row r="3347" spans="1:7">
      <c r="A3347" s="9" t="s">
        <v>1711</v>
      </c>
      <c r="B3347" s="9">
        <v>0.2</v>
      </c>
      <c r="C3347" s="10">
        <v>0.17599999999999999</v>
      </c>
      <c r="D3347" s="9" t="s">
        <v>1712</v>
      </c>
      <c r="E3347" s="11" t="s">
        <v>1713</v>
      </c>
      <c r="F3347" s="12" t="s">
        <v>1714</v>
      </c>
      <c r="G3347" s="9" t="s">
        <v>1709</v>
      </c>
    </row>
    <row r="3348" spans="1:7">
      <c r="A3348" s="9" t="s">
        <v>1711</v>
      </c>
      <c r="B3348" s="9">
        <v>0.2</v>
      </c>
      <c r="C3348" s="10">
        <v>-9.0999999999999998E-2</v>
      </c>
      <c r="D3348" s="9" t="s">
        <v>1709</v>
      </c>
      <c r="E3348" s="11" t="s">
        <v>1710</v>
      </c>
      <c r="F3348" s="12" t="s">
        <v>1710</v>
      </c>
      <c r="G3348" s="9" t="s">
        <v>1709</v>
      </c>
    </row>
    <row r="3349" spans="1:7">
      <c r="A3349" s="9" t="s">
        <v>1711</v>
      </c>
      <c r="B3349" s="9">
        <v>0.2</v>
      </c>
      <c r="C3349" s="10">
        <v>-9.0999999999999998E-2</v>
      </c>
      <c r="D3349" s="9" t="s">
        <v>1709</v>
      </c>
      <c r="E3349" s="11" t="s">
        <v>1710</v>
      </c>
      <c r="F3349" s="12" t="s">
        <v>1710</v>
      </c>
      <c r="G3349" s="9" t="s">
        <v>1709</v>
      </c>
    </row>
    <row r="3350" spans="1:7">
      <c r="A3350" s="9" t="s">
        <v>1711</v>
      </c>
      <c r="B3350" s="13">
        <v>0.2</v>
      </c>
      <c r="C3350" s="10">
        <v>1.6E-2</v>
      </c>
      <c r="D3350" s="9" t="s">
        <v>1712</v>
      </c>
      <c r="E3350" s="11" t="s">
        <v>1713</v>
      </c>
      <c r="F3350" s="12" t="s">
        <v>1714</v>
      </c>
      <c r="G3350" s="9" t="s">
        <v>1709</v>
      </c>
    </row>
    <row r="3351" spans="1:7">
      <c r="A3351" s="9" t="s">
        <v>1711</v>
      </c>
      <c r="B3351" s="13">
        <v>0.2</v>
      </c>
      <c r="C3351" s="10">
        <v>0.99099999999999999</v>
      </c>
      <c r="D3351" s="9" t="s">
        <v>1712</v>
      </c>
      <c r="E3351" s="11" t="s">
        <v>1713</v>
      </c>
      <c r="F3351" s="12" t="s">
        <v>1714</v>
      </c>
      <c r="G3351" s="9" t="s">
        <v>1709</v>
      </c>
    </row>
    <row r="3352" spans="1:7">
      <c r="A3352" s="9" t="s">
        <v>1711</v>
      </c>
      <c r="B3352" s="13">
        <v>0.2</v>
      </c>
      <c r="C3352" s="10">
        <v>0.99099999999999999</v>
      </c>
      <c r="D3352" s="9" t="s">
        <v>1712</v>
      </c>
      <c r="E3352" s="11" t="s">
        <v>1713</v>
      </c>
      <c r="F3352" s="12" t="s">
        <v>1714</v>
      </c>
      <c r="G3352" s="9" t="s">
        <v>1709</v>
      </c>
    </row>
    <row r="3353" spans="1:7">
      <c r="A3353" s="9" t="s">
        <v>1711</v>
      </c>
      <c r="B3353" s="9">
        <v>0.2</v>
      </c>
      <c r="C3353" s="10">
        <v>0.99099999999999999</v>
      </c>
      <c r="D3353" s="9" t="s">
        <v>1712</v>
      </c>
      <c r="E3353" s="11" t="s">
        <v>1713</v>
      </c>
      <c r="F3353" s="12" t="s">
        <v>1714</v>
      </c>
      <c r="G3353" s="9" t="s">
        <v>1709</v>
      </c>
    </row>
    <row r="3354" spans="1:7">
      <c r="A3354" s="9" t="s">
        <v>1711</v>
      </c>
      <c r="B3354" s="9">
        <v>0.2</v>
      </c>
      <c r="C3354" s="10">
        <v>0.35</v>
      </c>
      <c r="D3354" s="9" t="s">
        <v>1712</v>
      </c>
      <c r="E3354" s="11" t="s">
        <v>1713</v>
      </c>
      <c r="F3354" s="12" t="s">
        <v>1714</v>
      </c>
      <c r="G3354" s="9" t="s">
        <v>1709</v>
      </c>
    </row>
    <row r="3355" spans="1:7">
      <c r="A3355" s="9" t="s">
        <v>1711</v>
      </c>
      <c r="B3355" s="9">
        <v>0.2</v>
      </c>
      <c r="C3355" s="10">
        <v>-6.8000000000000005E-2</v>
      </c>
      <c r="D3355" s="9" t="s">
        <v>1709</v>
      </c>
      <c r="E3355" s="11" t="s">
        <v>1710</v>
      </c>
      <c r="F3355" s="12" t="s">
        <v>1710</v>
      </c>
      <c r="G3355" s="9" t="s">
        <v>1709</v>
      </c>
    </row>
    <row r="3356" spans="1:7">
      <c r="A3356" s="9" t="s">
        <v>1711</v>
      </c>
      <c r="B3356" s="9">
        <v>0.2</v>
      </c>
      <c r="C3356" s="10">
        <v>-0.19400000000000001</v>
      </c>
      <c r="D3356" s="9" t="s">
        <v>1709</v>
      </c>
      <c r="E3356" s="11" t="s">
        <v>1710</v>
      </c>
      <c r="F3356" s="12" t="s">
        <v>1710</v>
      </c>
      <c r="G3356" s="9" t="s">
        <v>1709</v>
      </c>
    </row>
    <row r="3357" spans="1:7">
      <c r="A3357" s="9" t="s">
        <v>1711</v>
      </c>
      <c r="B3357" s="9">
        <v>0.2</v>
      </c>
      <c r="C3357" s="10">
        <v>-5.5E-2</v>
      </c>
      <c r="D3357" s="9" t="s">
        <v>1709</v>
      </c>
      <c r="E3357" s="11" t="s">
        <v>1710</v>
      </c>
      <c r="F3357" s="12" t="s">
        <v>1710</v>
      </c>
      <c r="G3357" s="9" t="s">
        <v>1709</v>
      </c>
    </row>
    <row r="3358" spans="1:7">
      <c r="A3358" s="9" t="s">
        <v>1711</v>
      </c>
      <c r="B3358" s="9">
        <v>0.2</v>
      </c>
      <c r="C3358" s="10">
        <v>-1.6E-2</v>
      </c>
      <c r="D3358" s="9" t="s">
        <v>1709</v>
      </c>
      <c r="E3358" s="11" t="s">
        <v>1710</v>
      </c>
      <c r="F3358" s="12" t="s">
        <v>1710</v>
      </c>
      <c r="G3358" s="9" t="s">
        <v>1709</v>
      </c>
    </row>
    <row r="3359" spans="1:7">
      <c r="A3359" s="9" t="s">
        <v>1711</v>
      </c>
      <c r="B3359" s="9">
        <v>0.2</v>
      </c>
      <c r="C3359" s="10">
        <v>0.27800000000000002</v>
      </c>
      <c r="D3359" s="9" t="s">
        <v>1712</v>
      </c>
      <c r="E3359" s="11" t="s">
        <v>1713</v>
      </c>
      <c r="F3359" s="12" t="s">
        <v>1714</v>
      </c>
      <c r="G3359" s="9" t="s">
        <v>1709</v>
      </c>
    </row>
    <row r="3360" spans="1:7">
      <c r="A3360" s="9" t="s">
        <v>1711</v>
      </c>
      <c r="B3360" s="9">
        <v>0.2</v>
      </c>
      <c r="C3360" s="10">
        <v>0.27800000000000002</v>
      </c>
      <c r="D3360" s="9" t="s">
        <v>1712</v>
      </c>
      <c r="E3360" s="11" t="s">
        <v>1713</v>
      </c>
      <c r="F3360" s="12" t="s">
        <v>1714</v>
      </c>
      <c r="G3360" s="9" t="s">
        <v>1709</v>
      </c>
    </row>
    <row r="3361" spans="1:7">
      <c r="A3361" s="9" t="s">
        <v>1711</v>
      </c>
      <c r="B3361" s="9">
        <v>0.2</v>
      </c>
      <c r="C3361" s="10">
        <v>1.5899999999999999</v>
      </c>
      <c r="D3361" s="9" t="s">
        <v>1712</v>
      </c>
      <c r="E3361" s="11" t="s">
        <v>1713</v>
      </c>
      <c r="F3361" s="12" t="s">
        <v>1714</v>
      </c>
      <c r="G3361" s="9" t="s">
        <v>1709</v>
      </c>
    </row>
    <row r="3362" spans="1:7">
      <c r="A3362" s="9" t="s">
        <v>1711</v>
      </c>
      <c r="B3362" s="9">
        <v>0.2</v>
      </c>
      <c r="C3362" s="10">
        <v>-3.6000000000000004E-2</v>
      </c>
      <c r="D3362" s="9" t="s">
        <v>1709</v>
      </c>
      <c r="E3362" s="11" t="s">
        <v>1710</v>
      </c>
      <c r="F3362" s="12" t="s">
        <v>1710</v>
      </c>
      <c r="G3362" s="9" t="s">
        <v>1709</v>
      </c>
    </row>
    <row r="3363" spans="1:7">
      <c r="A3363" s="9" t="s">
        <v>1711</v>
      </c>
      <c r="B3363" s="9">
        <v>0.2</v>
      </c>
      <c r="C3363" s="10">
        <v>-3.6000000000000004E-2</v>
      </c>
      <c r="D3363" s="9" t="s">
        <v>1709</v>
      </c>
      <c r="E3363" s="11" t="s">
        <v>1710</v>
      </c>
      <c r="F3363" s="12" t="s">
        <v>1710</v>
      </c>
      <c r="G3363" s="9" t="s">
        <v>1709</v>
      </c>
    </row>
    <row r="3364" spans="1:7">
      <c r="A3364" s="9" t="s">
        <v>1711</v>
      </c>
      <c r="B3364" s="9">
        <v>0.2</v>
      </c>
      <c r="C3364" s="10">
        <v>0.86799999999999999</v>
      </c>
      <c r="D3364" s="9" t="s">
        <v>1712</v>
      </c>
      <c r="E3364" s="11" t="s">
        <v>1713</v>
      </c>
      <c r="F3364" s="12" t="s">
        <v>1714</v>
      </c>
      <c r="G3364" s="9" t="s">
        <v>1709</v>
      </c>
    </row>
    <row r="3365" spans="1:7">
      <c r="A3365" s="9" t="s">
        <v>1711</v>
      </c>
      <c r="B3365" s="9">
        <v>0.2</v>
      </c>
      <c r="C3365" s="10">
        <v>0.86799999999999999</v>
      </c>
      <c r="D3365" s="9" t="s">
        <v>1712</v>
      </c>
      <c r="E3365" s="11" t="s">
        <v>1713</v>
      </c>
      <c r="F3365" s="12" t="s">
        <v>1714</v>
      </c>
      <c r="G3365" s="9" t="s">
        <v>1709</v>
      </c>
    </row>
    <row r="3366" spans="1:7">
      <c r="A3366" s="9" t="s">
        <v>1711</v>
      </c>
      <c r="B3366" s="9">
        <v>0.2</v>
      </c>
      <c r="C3366" s="10">
        <v>0.86799999999999999</v>
      </c>
      <c r="D3366" s="9" t="s">
        <v>1712</v>
      </c>
      <c r="E3366" s="11" t="s">
        <v>1713</v>
      </c>
      <c r="F3366" s="12" t="s">
        <v>1714</v>
      </c>
      <c r="G3366" s="9" t="s">
        <v>1709</v>
      </c>
    </row>
    <row r="3367" spans="1:7">
      <c r="A3367" s="9" t="s">
        <v>1711</v>
      </c>
      <c r="B3367" s="9">
        <v>0.2</v>
      </c>
      <c r="C3367" s="10">
        <v>0.86799999999999999</v>
      </c>
      <c r="D3367" s="9" t="s">
        <v>1712</v>
      </c>
      <c r="E3367" s="11" t="s">
        <v>1713</v>
      </c>
      <c r="F3367" s="12" t="s">
        <v>1714</v>
      </c>
      <c r="G3367" s="9" t="s">
        <v>1709</v>
      </c>
    </row>
    <row r="3368" spans="1:7">
      <c r="A3368" s="9" t="s">
        <v>1711</v>
      </c>
      <c r="B3368" s="9">
        <v>0.2</v>
      </c>
      <c r="C3368" s="10">
        <v>0.86799999999999999</v>
      </c>
      <c r="D3368" s="9" t="s">
        <v>1712</v>
      </c>
      <c r="E3368" s="11" t="s">
        <v>1713</v>
      </c>
      <c r="F3368" s="12" t="s">
        <v>1714</v>
      </c>
      <c r="G3368" s="9" t="s">
        <v>1709</v>
      </c>
    </row>
    <row r="3369" spans="1:7">
      <c r="A3369" s="9" t="s">
        <v>1711</v>
      </c>
      <c r="B3369" s="9">
        <v>0.2</v>
      </c>
      <c r="C3369" s="10">
        <v>0.86799999999999999</v>
      </c>
      <c r="D3369" s="9" t="s">
        <v>1712</v>
      </c>
      <c r="E3369" s="11" t="s">
        <v>1713</v>
      </c>
      <c r="F3369" s="12" t="s">
        <v>1714</v>
      </c>
      <c r="G3369" s="9" t="s">
        <v>1709</v>
      </c>
    </row>
    <row r="3370" spans="1:7">
      <c r="A3370" s="9" t="s">
        <v>1711</v>
      </c>
      <c r="B3370" s="9">
        <v>0.2</v>
      </c>
      <c r="C3370" s="10">
        <v>0.86799999999999999</v>
      </c>
      <c r="D3370" s="9" t="s">
        <v>1712</v>
      </c>
      <c r="E3370" s="11" t="s">
        <v>1713</v>
      </c>
      <c r="F3370" s="12" t="s">
        <v>1714</v>
      </c>
      <c r="G3370" s="9" t="s">
        <v>1709</v>
      </c>
    </row>
    <row r="3371" spans="1:7">
      <c r="A3371" s="9" t="s">
        <v>1711</v>
      </c>
      <c r="B3371" s="9">
        <v>0.2</v>
      </c>
      <c r="C3371" s="10">
        <v>0.86799999999999999</v>
      </c>
      <c r="D3371" s="9" t="s">
        <v>1712</v>
      </c>
      <c r="E3371" s="11" t="s">
        <v>1713</v>
      </c>
      <c r="F3371" s="12" t="s">
        <v>1714</v>
      </c>
      <c r="G3371" s="9" t="s">
        <v>1709</v>
      </c>
    </row>
    <row r="3372" spans="1:7">
      <c r="A3372" s="9" t="s">
        <v>1711</v>
      </c>
      <c r="B3372" s="13">
        <v>0.2</v>
      </c>
      <c r="C3372" s="10">
        <v>0.86799999999999999</v>
      </c>
      <c r="D3372" s="9" t="s">
        <v>1712</v>
      </c>
      <c r="E3372" s="11" t="s">
        <v>1713</v>
      </c>
      <c r="F3372" s="12" t="s">
        <v>1714</v>
      </c>
      <c r="G3372" s="9" t="s">
        <v>1709</v>
      </c>
    </row>
    <row r="3373" spans="1:7">
      <c r="A3373" s="9" t="s">
        <v>1711</v>
      </c>
      <c r="B3373" s="13">
        <v>0.2</v>
      </c>
      <c r="C3373" s="10">
        <v>0.93</v>
      </c>
      <c r="D3373" s="9" t="s">
        <v>1712</v>
      </c>
      <c r="E3373" s="11" t="s">
        <v>1713</v>
      </c>
      <c r="F3373" s="12" t="s">
        <v>1714</v>
      </c>
      <c r="G3373" s="9" t="s">
        <v>1709</v>
      </c>
    </row>
    <row r="3374" spans="1:7">
      <c r="A3374" s="9" t="s">
        <v>1711</v>
      </c>
      <c r="B3374" s="13">
        <v>0.2</v>
      </c>
      <c r="C3374" s="10">
        <v>0.93</v>
      </c>
      <c r="D3374" s="9" t="s">
        <v>1712</v>
      </c>
      <c r="E3374" s="11" t="s">
        <v>1713</v>
      </c>
      <c r="F3374" s="12" t="s">
        <v>1714</v>
      </c>
      <c r="G3374" s="9" t="s">
        <v>1709</v>
      </c>
    </row>
    <row r="3375" spans="1:7">
      <c r="A3375" s="9" t="s">
        <v>1711</v>
      </c>
      <c r="B3375" s="13">
        <v>0.2</v>
      </c>
      <c r="C3375" s="10">
        <v>0.93</v>
      </c>
      <c r="D3375" s="9" t="s">
        <v>1712</v>
      </c>
      <c r="E3375" s="11" t="s">
        <v>1713</v>
      </c>
      <c r="F3375" s="12" t="s">
        <v>1714</v>
      </c>
      <c r="G3375" s="9" t="s">
        <v>1709</v>
      </c>
    </row>
    <row r="3376" spans="1:7">
      <c r="A3376" s="9" t="s">
        <v>1711</v>
      </c>
      <c r="B3376" s="9">
        <v>0.2</v>
      </c>
      <c r="C3376" s="10">
        <v>0.93</v>
      </c>
      <c r="D3376" s="9" t="s">
        <v>1712</v>
      </c>
      <c r="E3376" s="11" t="s">
        <v>1713</v>
      </c>
      <c r="F3376" s="12" t="s">
        <v>1714</v>
      </c>
      <c r="G3376" s="9" t="s">
        <v>1709</v>
      </c>
    </row>
    <row r="3377" spans="1:7">
      <c r="A3377" s="9" t="s">
        <v>1711</v>
      </c>
      <c r="B3377" s="9">
        <v>0.2</v>
      </c>
      <c r="C3377" s="10">
        <v>0.90300000000000002</v>
      </c>
      <c r="D3377" s="9" t="s">
        <v>1712</v>
      </c>
      <c r="E3377" s="11" t="s">
        <v>1713</v>
      </c>
      <c r="F3377" s="12" t="s">
        <v>1714</v>
      </c>
      <c r="G3377" s="9" t="s">
        <v>1709</v>
      </c>
    </row>
    <row r="3378" spans="1:7">
      <c r="A3378" s="9" t="s">
        <v>1711</v>
      </c>
      <c r="B3378" s="9">
        <v>0.2</v>
      </c>
      <c r="C3378" s="10">
        <v>0.93</v>
      </c>
      <c r="D3378" s="9" t="s">
        <v>1712</v>
      </c>
      <c r="E3378" s="11" t="s">
        <v>1713</v>
      </c>
      <c r="F3378" s="12" t="s">
        <v>1714</v>
      </c>
      <c r="G3378" s="9" t="s">
        <v>1709</v>
      </c>
    </row>
    <row r="3379" spans="1:7">
      <c r="A3379" s="9" t="s">
        <v>1711</v>
      </c>
      <c r="B3379" s="9">
        <v>0.2</v>
      </c>
      <c r="C3379" s="10">
        <v>0.93</v>
      </c>
      <c r="D3379" s="9" t="s">
        <v>1712</v>
      </c>
      <c r="E3379" s="11" t="s">
        <v>1713</v>
      </c>
      <c r="F3379" s="12" t="s">
        <v>1714</v>
      </c>
      <c r="G3379" s="9" t="s">
        <v>1709</v>
      </c>
    </row>
    <row r="3380" spans="1:7">
      <c r="A3380" s="9" t="s">
        <v>1711</v>
      </c>
      <c r="B3380" s="9">
        <v>0.2</v>
      </c>
      <c r="C3380" s="10">
        <v>0.93</v>
      </c>
      <c r="D3380" s="9" t="s">
        <v>1712</v>
      </c>
      <c r="E3380" s="11" t="s">
        <v>1713</v>
      </c>
      <c r="F3380" s="12" t="s">
        <v>1714</v>
      </c>
      <c r="G3380" s="9" t="s">
        <v>1709</v>
      </c>
    </row>
    <row r="3381" spans="1:7">
      <c r="A3381" s="9" t="s">
        <v>1711</v>
      </c>
      <c r="B3381" s="9">
        <v>0.2</v>
      </c>
      <c r="C3381" s="10">
        <v>0.93</v>
      </c>
      <c r="D3381" s="9" t="s">
        <v>1712</v>
      </c>
      <c r="E3381" s="11" t="s">
        <v>1713</v>
      </c>
      <c r="F3381" s="12" t="s">
        <v>1714</v>
      </c>
      <c r="G3381" s="9" t="s">
        <v>1709</v>
      </c>
    </row>
    <row r="3382" spans="1:7">
      <c r="A3382" s="9" t="s">
        <v>1711</v>
      </c>
      <c r="B3382" s="9">
        <v>0.2</v>
      </c>
      <c r="C3382" s="10">
        <v>0.93</v>
      </c>
      <c r="D3382" s="9" t="s">
        <v>1712</v>
      </c>
      <c r="E3382" s="11" t="s">
        <v>1713</v>
      </c>
      <c r="F3382" s="12" t="s">
        <v>1714</v>
      </c>
      <c r="G3382" s="9" t="s">
        <v>1709</v>
      </c>
    </row>
    <row r="3383" spans="1:7">
      <c r="A3383" s="9" t="s">
        <v>1711</v>
      </c>
      <c r="B3383" s="9">
        <v>0.2</v>
      </c>
      <c r="C3383" s="10">
        <v>-9.0000000000000011E-3</v>
      </c>
      <c r="D3383" s="9" t="s">
        <v>1709</v>
      </c>
      <c r="E3383" s="11" t="s">
        <v>1710</v>
      </c>
      <c r="F3383" s="12" t="s">
        <v>1710</v>
      </c>
      <c r="G3383" s="9" t="s">
        <v>1709</v>
      </c>
    </row>
    <row r="3384" spans="1:7">
      <c r="A3384" s="9" t="s">
        <v>1711</v>
      </c>
      <c r="B3384" s="9">
        <v>0.2</v>
      </c>
      <c r="C3384" s="10">
        <v>-9.0000000000000011E-3</v>
      </c>
      <c r="D3384" s="9" t="s">
        <v>1709</v>
      </c>
      <c r="E3384" s="11" t="s">
        <v>1710</v>
      </c>
      <c r="F3384" s="12" t="s">
        <v>1710</v>
      </c>
      <c r="G3384" s="9" t="s">
        <v>1709</v>
      </c>
    </row>
    <row r="3385" spans="1:7">
      <c r="A3385" s="9" t="s">
        <v>1711</v>
      </c>
      <c r="B3385" s="9">
        <v>0.2</v>
      </c>
      <c r="C3385" s="10">
        <v>-9.0000000000000011E-3</v>
      </c>
      <c r="D3385" s="9" t="s">
        <v>1709</v>
      </c>
      <c r="E3385" s="11" t="s">
        <v>1710</v>
      </c>
      <c r="F3385" s="12" t="s">
        <v>1710</v>
      </c>
      <c r="G3385" s="9" t="s">
        <v>1709</v>
      </c>
    </row>
    <row r="3386" spans="1:7">
      <c r="A3386" s="9" t="s">
        <v>1711</v>
      </c>
      <c r="B3386" s="13">
        <v>0.2</v>
      </c>
      <c r="C3386" s="10">
        <v>-9.0000000000000011E-3</v>
      </c>
      <c r="D3386" s="9" t="s">
        <v>1709</v>
      </c>
      <c r="E3386" s="11" t="s">
        <v>1710</v>
      </c>
      <c r="F3386" s="12" t="s">
        <v>1710</v>
      </c>
      <c r="G3386" s="9" t="s">
        <v>1709</v>
      </c>
    </row>
    <row r="3387" spans="1:7">
      <c r="A3387" s="9" t="s">
        <v>1711</v>
      </c>
      <c r="B3387" s="9">
        <v>0.2</v>
      </c>
      <c r="C3387" s="10">
        <v>9.9999999999999985E-3</v>
      </c>
      <c r="D3387" s="9" t="s">
        <v>1712</v>
      </c>
      <c r="E3387" s="11" t="s">
        <v>1738</v>
      </c>
      <c r="F3387" s="12" t="s">
        <v>1714</v>
      </c>
      <c r="G3387" s="9" t="s">
        <v>1709</v>
      </c>
    </row>
    <row r="3388" spans="1:7">
      <c r="A3388" s="9" t="s">
        <v>1711</v>
      </c>
      <c r="B3388" s="9">
        <v>0.2</v>
      </c>
      <c r="C3388" s="10">
        <v>9.9999999999999985E-3</v>
      </c>
      <c r="D3388" s="9" t="s">
        <v>1712</v>
      </c>
      <c r="E3388" s="11" t="s">
        <v>1738</v>
      </c>
      <c r="F3388" s="12" t="s">
        <v>1714</v>
      </c>
      <c r="G3388" s="9" t="s">
        <v>1709</v>
      </c>
    </row>
    <row r="3389" spans="1:7">
      <c r="A3389" s="9" t="s">
        <v>1711</v>
      </c>
      <c r="B3389" s="13">
        <v>0.2</v>
      </c>
      <c r="C3389" s="10">
        <v>0.93</v>
      </c>
      <c r="D3389" s="9" t="s">
        <v>1712</v>
      </c>
      <c r="E3389" s="11" t="s">
        <v>1738</v>
      </c>
      <c r="F3389" s="12" t="s">
        <v>1714</v>
      </c>
      <c r="G3389" s="9" t="s">
        <v>1709</v>
      </c>
    </row>
    <row r="3390" spans="1:7">
      <c r="A3390" s="9" t="s">
        <v>1711</v>
      </c>
      <c r="B3390" s="13">
        <v>0.2</v>
      </c>
      <c r="C3390" s="10">
        <v>0.93</v>
      </c>
      <c r="D3390" s="9" t="s">
        <v>1712</v>
      </c>
      <c r="E3390" s="11" t="s">
        <v>1738</v>
      </c>
      <c r="F3390" s="12" t="s">
        <v>1714</v>
      </c>
      <c r="G3390" s="9" t="s">
        <v>1709</v>
      </c>
    </row>
    <row r="3391" spans="1:7">
      <c r="A3391" s="9" t="s">
        <v>1711</v>
      </c>
      <c r="B3391" s="13">
        <v>0.2</v>
      </c>
      <c r="C3391" s="10">
        <v>0.93</v>
      </c>
      <c r="D3391" s="9" t="s">
        <v>1712</v>
      </c>
      <c r="E3391" s="11" t="s">
        <v>1738</v>
      </c>
      <c r="F3391" s="12" t="s">
        <v>1714</v>
      </c>
      <c r="G3391" s="9" t="s">
        <v>1709</v>
      </c>
    </row>
    <row r="3392" spans="1:7">
      <c r="A3392" s="9" t="s">
        <v>1711</v>
      </c>
      <c r="B3392" s="13">
        <v>0.2</v>
      </c>
      <c r="C3392" s="10">
        <v>0.93</v>
      </c>
      <c r="D3392" s="9" t="s">
        <v>1712</v>
      </c>
      <c r="E3392" s="11" t="s">
        <v>1738</v>
      </c>
      <c r="F3392" s="12" t="s">
        <v>1714</v>
      </c>
      <c r="G3392" s="9" t="s">
        <v>1709</v>
      </c>
    </row>
    <row r="3393" spans="1:7">
      <c r="A3393" s="9" t="s">
        <v>1711</v>
      </c>
      <c r="B3393" s="9">
        <v>0.2</v>
      </c>
      <c r="C3393" s="10">
        <v>-3.4000000000000002E-2</v>
      </c>
      <c r="D3393" s="9" t="s">
        <v>1709</v>
      </c>
      <c r="E3393" s="11" t="s">
        <v>1710</v>
      </c>
      <c r="F3393" s="12" t="s">
        <v>1710</v>
      </c>
      <c r="G3393" s="9" t="s">
        <v>1709</v>
      </c>
    </row>
    <row r="3394" spans="1:7">
      <c r="A3394" s="9" t="s">
        <v>1711</v>
      </c>
      <c r="B3394" s="9">
        <v>0.2</v>
      </c>
      <c r="C3394" s="10">
        <v>-3.4000000000000002E-2</v>
      </c>
      <c r="D3394" s="9" t="s">
        <v>1709</v>
      </c>
      <c r="E3394" s="11" t="s">
        <v>1710</v>
      </c>
      <c r="F3394" s="12" t="s">
        <v>1710</v>
      </c>
      <c r="G3394" s="9" t="s">
        <v>1709</v>
      </c>
    </row>
    <row r="3395" spans="1:7">
      <c r="A3395" s="9" t="s">
        <v>1711</v>
      </c>
      <c r="B3395" s="9">
        <v>0.2</v>
      </c>
      <c r="C3395" s="10">
        <v>-3.4000000000000002E-2</v>
      </c>
      <c r="D3395" s="9" t="s">
        <v>1709</v>
      </c>
      <c r="E3395" s="11" t="s">
        <v>1710</v>
      </c>
      <c r="F3395" s="12" t="s">
        <v>1710</v>
      </c>
      <c r="G3395" s="9" t="s">
        <v>1709</v>
      </c>
    </row>
    <row r="3396" spans="1:7">
      <c r="A3396" s="9" t="s">
        <v>1711</v>
      </c>
      <c r="B3396" s="9">
        <v>0.2</v>
      </c>
      <c r="C3396" s="10">
        <v>-3.4000000000000002E-2</v>
      </c>
      <c r="D3396" s="9" t="s">
        <v>1709</v>
      </c>
      <c r="E3396" s="11" t="s">
        <v>1710</v>
      </c>
      <c r="F3396" s="12" t="s">
        <v>1710</v>
      </c>
      <c r="G3396" s="9" t="s">
        <v>1709</v>
      </c>
    </row>
    <row r="3397" spans="1:7">
      <c r="A3397" s="9" t="s">
        <v>1711</v>
      </c>
      <c r="B3397" s="9">
        <v>0.2</v>
      </c>
      <c r="C3397" s="10">
        <v>-3.4000000000000002E-2</v>
      </c>
      <c r="D3397" s="9" t="s">
        <v>1709</v>
      </c>
      <c r="E3397" s="11" t="s">
        <v>1710</v>
      </c>
      <c r="F3397" s="12" t="s">
        <v>1710</v>
      </c>
      <c r="G3397" s="9" t="s">
        <v>1709</v>
      </c>
    </row>
    <row r="3398" spans="1:7">
      <c r="A3398" s="9" t="s">
        <v>1711</v>
      </c>
      <c r="B3398" s="9">
        <v>0.2</v>
      </c>
      <c r="C3398" s="10">
        <v>-3.4000000000000002E-2</v>
      </c>
      <c r="D3398" s="9" t="s">
        <v>1709</v>
      </c>
      <c r="E3398" s="11" t="s">
        <v>1710</v>
      </c>
      <c r="F3398" s="12" t="s">
        <v>1710</v>
      </c>
      <c r="G3398" s="9" t="s">
        <v>1709</v>
      </c>
    </row>
    <row r="3399" spans="1:7">
      <c r="A3399" s="9" t="s">
        <v>1711</v>
      </c>
      <c r="B3399" s="9">
        <v>0.2</v>
      </c>
      <c r="C3399" s="10">
        <v>0.99099999999999999</v>
      </c>
      <c r="D3399" s="9" t="s">
        <v>1712</v>
      </c>
      <c r="E3399" s="11" t="s">
        <v>1713</v>
      </c>
      <c r="F3399" s="12" t="s">
        <v>1714</v>
      </c>
      <c r="G3399" s="9" t="s">
        <v>1709</v>
      </c>
    </row>
    <row r="3400" spans="1:7">
      <c r="A3400" s="9" t="s">
        <v>1711</v>
      </c>
      <c r="B3400" s="9">
        <v>0.2</v>
      </c>
      <c r="C3400" s="10">
        <v>0.99099999999999999</v>
      </c>
      <c r="D3400" s="9" t="s">
        <v>1712</v>
      </c>
      <c r="E3400" s="11" t="s">
        <v>1713</v>
      </c>
      <c r="F3400" s="12" t="s">
        <v>1714</v>
      </c>
      <c r="G3400" s="9" t="s">
        <v>1709</v>
      </c>
    </row>
    <row r="3401" spans="1:7">
      <c r="A3401" s="9" t="s">
        <v>1711</v>
      </c>
      <c r="B3401" s="9">
        <v>0.2</v>
      </c>
      <c r="C3401" s="10">
        <v>-0.185</v>
      </c>
      <c r="D3401" s="9" t="s">
        <v>1709</v>
      </c>
      <c r="E3401" s="11" t="s">
        <v>1710</v>
      </c>
      <c r="F3401" s="12" t="s">
        <v>1710</v>
      </c>
      <c r="G3401" s="9" t="s">
        <v>1709</v>
      </c>
    </row>
    <row r="3402" spans="1:7">
      <c r="A3402" s="9" t="s">
        <v>1711</v>
      </c>
      <c r="B3402" s="9">
        <v>0.2</v>
      </c>
      <c r="C3402" s="10">
        <v>0.60099999999999998</v>
      </c>
      <c r="D3402" s="9" t="s">
        <v>1712</v>
      </c>
      <c r="E3402" s="11" t="s">
        <v>1713</v>
      </c>
      <c r="F3402" s="12" t="s">
        <v>1714</v>
      </c>
      <c r="G3402" s="9" t="s">
        <v>1709</v>
      </c>
    </row>
    <row r="3403" spans="1:7">
      <c r="A3403" s="9" t="s">
        <v>1711</v>
      </c>
      <c r="B3403" s="9">
        <v>0.2</v>
      </c>
      <c r="C3403" s="10">
        <v>0.60099999999999998</v>
      </c>
      <c r="D3403" s="9" t="s">
        <v>1712</v>
      </c>
      <c r="E3403" s="11" t="s">
        <v>1713</v>
      </c>
      <c r="F3403" s="12" t="s">
        <v>1714</v>
      </c>
      <c r="G3403" s="9" t="s">
        <v>1709</v>
      </c>
    </row>
    <row r="3404" spans="1:7">
      <c r="A3404" s="9" t="s">
        <v>1711</v>
      </c>
      <c r="B3404" s="9">
        <v>0.2</v>
      </c>
      <c r="C3404" s="10">
        <v>0.60099999999999998</v>
      </c>
      <c r="D3404" s="9" t="s">
        <v>1712</v>
      </c>
      <c r="E3404" s="11" t="s">
        <v>1713</v>
      </c>
      <c r="F3404" s="12" t="s">
        <v>1714</v>
      </c>
      <c r="G3404" s="9" t="s">
        <v>1709</v>
      </c>
    </row>
    <row r="3405" spans="1:7">
      <c r="A3405" s="9" t="s">
        <v>1711</v>
      </c>
      <c r="B3405" s="9">
        <v>0.2</v>
      </c>
      <c r="C3405" s="10">
        <v>0.60099999999999998</v>
      </c>
      <c r="D3405" s="9" t="s">
        <v>1712</v>
      </c>
      <c r="E3405" s="11" t="s">
        <v>1713</v>
      </c>
      <c r="F3405" s="12" t="s">
        <v>1714</v>
      </c>
      <c r="G3405" s="9" t="s">
        <v>1709</v>
      </c>
    </row>
    <row r="3406" spans="1:7">
      <c r="A3406" s="9" t="s">
        <v>1711</v>
      </c>
      <c r="B3406" s="9">
        <v>0.2</v>
      </c>
      <c r="C3406" s="10">
        <v>0.60099999999999998</v>
      </c>
      <c r="D3406" s="9" t="s">
        <v>1712</v>
      </c>
      <c r="E3406" s="11" t="s">
        <v>1713</v>
      </c>
      <c r="F3406" s="12" t="s">
        <v>1714</v>
      </c>
      <c r="G3406" s="9" t="s">
        <v>1709</v>
      </c>
    </row>
    <row r="3407" spans="1:7">
      <c r="A3407" s="9" t="s">
        <v>1711</v>
      </c>
      <c r="B3407" s="9">
        <v>0.2</v>
      </c>
      <c r="C3407" s="10">
        <v>0.21199999999999999</v>
      </c>
      <c r="D3407" s="9" t="s">
        <v>1712</v>
      </c>
      <c r="E3407" s="11" t="s">
        <v>1713</v>
      </c>
      <c r="F3407" s="12" t="s">
        <v>1714</v>
      </c>
      <c r="G3407" s="9" t="s">
        <v>1709</v>
      </c>
    </row>
    <row r="3408" spans="1:7">
      <c r="A3408" s="9" t="s">
        <v>1711</v>
      </c>
      <c r="B3408" s="9">
        <v>0.2</v>
      </c>
      <c r="C3408" s="10">
        <v>0.86799999999999999</v>
      </c>
      <c r="D3408" s="9" t="s">
        <v>1712</v>
      </c>
      <c r="E3408" s="11" t="s">
        <v>1713</v>
      </c>
      <c r="F3408" s="12" t="s">
        <v>1714</v>
      </c>
      <c r="G3408" s="9" t="s">
        <v>1709</v>
      </c>
    </row>
    <row r="3409" spans="1:7">
      <c r="A3409" s="9" t="s">
        <v>1711</v>
      </c>
      <c r="B3409" s="13">
        <v>0.2</v>
      </c>
      <c r="C3409" s="10">
        <v>0.86799999999999999</v>
      </c>
      <c r="D3409" s="9" t="s">
        <v>1712</v>
      </c>
      <c r="E3409" s="11" t="s">
        <v>1713</v>
      </c>
      <c r="F3409" s="12" t="s">
        <v>1714</v>
      </c>
      <c r="G3409" s="9" t="s">
        <v>1709</v>
      </c>
    </row>
    <row r="3410" spans="1:7">
      <c r="A3410" s="9" t="s">
        <v>1711</v>
      </c>
      <c r="B3410" s="9">
        <v>0.2</v>
      </c>
      <c r="C3410" s="10">
        <v>0.86799999999999999</v>
      </c>
      <c r="D3410" s="9" t="s">
        <v>1712</v>
      </c>
      <c r="E3410" s="11" t="s">
        <v>1713</v>
      </c>
      <c r="F3410" s="12" t="s">
        <v>1714</v>
      </c>
      <c r="G3410" s="9" t="s">
        <v>1709</v>
      </c>
    </row>
    <row r="3411" spans="1:7">
      <c r="A3411" s="9" t="s">
        <v>1711</v>
      </c>
      <c r="B3411" s="9">
        <v>0.2</v>
      </c>
      <c r="C3411" s="10">
        <v>0.86799999999999999</v>
      </c>
      <c r="D3411" s="9" t="s">
        <v>1712</v>
      </c>
      <c r="E3411" s="11" t="s">
        <v>1713</v>
      </c>
      <c r="F3411" s="12" t="s">
        <v>1714</v>
      </c>
      <c r="G3411" s="9" t="s">
        <v>1709</v>
      </c>
    </row>
    <row r="3412" spans="1:7">
      <c r="A3412" s="9" t="s">
        <v>1711</v>
      </c>
      <c r="B3412" s="13">
        <v>0.2</v>
      </c>
      <c r="C3412" s="10">
        <v>0.86799999999999999</v>
      </c>
      <c r="D3412" s="9" t="s">
        <v>1712</v>
      </c>
      <c r="E3412" s="11" t="s">
        <v>1713</v>
      </c>
      <c r="F3412" s="12" t="s">
        <v>1714</v>
      </c>
      <c r="G3412" s="9" t="s">
        <v>1709</v>
      </c>
    </row>
    <row r="3413" spans="1:7">
      <c r="A3413" s="9" t="s">
        <v>1711</v>
      </c>
      <c r="B3413" s="13">
        <v>0.2</v>
      </c>
      <c r="C3413" s="10">
        <v>0.86799999999999999</v>
      </c>
      <c r="D3413" s="9" t="s">
        <v>1712</v>
      </c>
      <c r="E3413" s="11" t="s">
        <v>1713</v>
      </c>
      <c r="F3413" s="12" t="s">
        <v>1714</v>
      </c>
      <c r="G3413" s="9" t="s">
        <v>1709</v>
      </c>
    </row>
    <row r="3414" spans="1:7">
      <c r="A3414" s="9" t="s">
        <v>1711</v>
      </c>
      <c r="B3414" s="13">
        <v>0.2</v>
      </c>
      <c r="C3414" s="10">
        <v>0.86799999999999999</v>
      </c>
      <c r="D3414" s="9" t="s">
        <v>1712</v>
      </c>
      <c r="E3414" s="11" t="s">
        <v>1713</v>
      </c>
      <c r="F3414" s="12" t="s">
        <v>1714</v>
      </c>
      <c r="G3414" s="9" t="s">
        <v>1709</v>
      </c>
    </row>
    <row r="3415" spans="1:7">
      <c r="A3415" s="9" t="s">
        <v>1711</v>
      </c>
      <c r="B3415" s="13">
        <v>0.2</v>
      </c>
      <c r="C3415" s="10">
        <v>0.86799999999999999</v>
      </c>
      <c r="D3415" s="9" t="s">
        <v>1712</v>
      </c>
      <c r="E3415" s="11" t="s">
        <v>1713</v>
      </c>
      <c r="F3415" s="12" t="s">
        <v>1714</v>
      </c>
      <c r="G3415" s="9" t="s">
        <v>1709</v>
      </c>
    </row>
    <row r="3416" spans="1:7">
      <c r="A3416" s="9" t="s">
        <v>1711</v>
      </c>
      <c r="B3416" s="13">
        <v>0.2</v>
      </c>
      <c r="C3416" s="10">
        <v>0.86799999999999999</v>
      </c>
      <c r="D3416" s="9" t="s">
        <v>1712</v>
      </c>
      <c r="E3416" s="11" t="s">
        <v>1713</v>
      </c>
      <c r="F3416" s="12" t="s">
        <v>1714</v>
      </c>
      <c r="G3416" s="9" t="s">
        <v>1709</v>
      </c>
    </row>
    <row r="3417" spans="1:7">
      <c r="A3417" s="9" t="s">
        <v>1711</v>
      </c>
      <c r="B3417" s="13">
        <v>0.2</v>
      </c>
      <c r="C3417" s="10">
        <v>-0.14799999999999999</v>
      </c>
      <c r="D3417" s="9" t="s">
        <v>1709</v>
      </c>
      <c r="E3417" s="11" t="s">
        <v>1710</v>
      </c>
      <c r="F3417" s="12" t="s">
        <v>1710</v>
      </c>
      <c r="G3417" s="9" t="s">
        <v>1709</v>
      </c>
    </row>
    <row r="3418" spans="1:7">
      <c r="A3418" s="9" t="s">
        <v>1711</v>
      </c>
      <c r="B3418" s="9">
        <v>0.2</v>
      </c>
      <c r="C3418" s="10">
        <v>-0.14799999999999999</v>
      </c>
      <c r="D3418" s="9" t="s">
        <v>1709</v>
      </c>
      <c r="E3418" s="11" t="s">
        <v>1710</v>
      </c>
      <c r="F3418" s="12" t="s">
        <v>1710</v>
      </c>
      <c r="G3418" s="9" t="s">
        <v>1709</v>
      </c>
    </row>
    <row r="3419" spans="1:7">
      <c r="A3419" s="9" t="s">
        <v>1711</v>
      </c>
      <c r="B3419" s="9">
        <v>0.2</v>
      </c>
      <c r="C3419" s="10">
        <v>-0.14799999999999999</v>
      </c>
      <c r="D3419" s="9" t="s">
        <v>1709</v>
      </c>
      <c r="E3419" s="11" t="s">
        <v>1710</v>
      </c>
      <c r="F3419" s="12" t="s">
        <v>1710</v>
      </c>
      <c r="G3419" s="9" t="s">
        <v>1709</v>
      </c>
    </row>
    <row r="3420" spans="1:7">
      <c r="A3420" s="9" t="s">
        <v>1711</v>
      </c>
      <c r="B3420" s="9">
        <v>0.2</v>
      </c>
      <c r="C3420" s="10">
        <v>-0.14799999999999999</v>
      </c>
      <c r="D3420" s="9" t="s">
        <v>1709</v>
      </c>
      <c r="E3420" s="11" t="s">
        <v>1710</v>
      </c>
      <c r="F3420" s="12" t="s">
        <v>1710</v>
      </c>
      <c r="G3420" s="9" t="s">
        <v>1709</v>
      </c>
    </row>
    <row r="3421" spans="1:7">
      <c r="A3421" s="9" t="s">
        <v>1711</v>
      </c>
      <c r="B3421" s="9">
        <v>0.2</v>
      </c>
      <c r="C3421" s="10">
        <v>-0.14799999999999999</v>
      </c>
      <c r="D3421" s="9" t="s">
        <v>1709</v>
      </c>
      <c r="E3421" s="11" t="s">
        <v>1710</v>
      </c>
      <c r="F3421" s="12" t="s">
        <v>1710</v>
      </c>
      <c r="G3421" s="9" t="s">
        <v>1709</v>
      </c>
    </row>
    <row r="3422" spans="1:7">
      <c r="A3422" s="9" t="s">
        <v>1711</v>
      </c>
      <c r="B3422" s="9">
        <v>0.2</v>
      </c>
      <c r="C3422" s="10">
        <v>-0.14799999999999999</v>
      </c>
      <c r="D3422" s="9" t="s">
        <v>1709</v>
      </c>
      <c r="E3422" s="11" t="s">
        <v>1710</v>
      </c>
      <c r="F3422" s="12" t="s">
        <v>1710</v>
      </c>
      <c r="G3422" s="9" t="s">
        <v>1709</v>
      </c>
    </row>
    <row r="3423" spans="1:7">
      <c r="A3423" s="9" t="s">
        <v>1711</v>
      </c>
      <c r="B3423" s="9">
        <v>0.2</v>
      </c>
      <c r="C3423" s="10">
        <v>-0.14799999999999999</v>
      </c>
      <c r="D3423" s="9" t="s">
        <v>1709</v>
      </c>
      <c r="E3423" s="11" t="s">
        <v>1710</v>
      </c>
      <c r="F3423" s="12" t="s">
        <v>1710</v>
      </c>
      <c r="G3423" s="9" t="s">
        <v>1709</v>
      </c>
    </row>
    <row r="3424" spans="1:7">
      <c r="A3424" s="9" t="s">
        <v>1711</v>
      </c>
      <c r="B3424" s="9">
        <v>0.2</v>
      </c>
      <c r="C3424" s="10">
        <v>0.628</v>
      </c>
      <c r="D3424" s="9" t="s">
        <v>1712</v>
      </c>
      <c r="E3424" s="11" t="s">
        <v>1713</v>
      </c>
      <c r="F3424" s="12" t="s">
        <v>1714</v>
      </c>
      <c r="G3424" s="9" t="s">
        <v>1709</v>
      </c>
    </row>
    <row r="3425" spans="1:7">
      <c r="A3425" s="9" t="s">
        <v>1711</v>
      </c>
      <c r="B3425" s="9">
        <v>0.2</v>
      </c>
      <c r="C3425" s="10">
        <v>-9.5000000000000001E-2</v>
      </c>
      <c r="D3425" s="9" t="s">
        <v>1709</v>
      </c>
      <c r="E3425" s="11" t="s">
        <v>1710</v>
      </c>
      <c r="F3425" s="12" t="s">
        <v>1710</v>
      </c>
      <c r="G3425" s="9" t="s">
        <v>1709</v>
      </c>
    </row>
    <row r="3426" spans="1:7">
      <c r="A3426" s="9" t="s">
        <v>1711</v>
      </c>
      <c r="B3426" s="9">
        <v>0.2</v>
      </c>
      <c r="C3426" s="10">
        <v>-9.5000000000000001E-2</v>
      </c>
      <c r="D3426" s="9" t="s">
        <v>1709</v>
      </c>
      <c r="E3426" s="11" t="s">
        <v>1710</v>
      </c>
      <c r="F3426" s="12" t="s">
        <v>1710</v>
      </c>
      <c r="G3426" s="9" t="s">
        <v>1709</v>
      </c>
    </row>
    <row r="3427" spans="1:7">
      <c r="A3427" s="9" t="s">
        <v>1711</v>
      </c>
      <c r="B3427" s="13">
        <v>0.2</v>
      </c>
      <c r="C3427" s="10">
        <v>-9.5000000000000001E-2</v>
      </c>
      <c r="D3427" s="9" t="s">
        <v>1709</v>
      </c>
      <c r="E3427" s="11" t="s">
        <v>1710</v>
      </c>
      <c r="F3427" s="12" t="s">
        <v>1710</v>
      </c>
      <c r="G3427" s="9" t="s">
        <v>1709</v>
      </c>
    </row>
    <row r="3428" spans="1:7">
      <c r="A3428" s="9" t="s">
        <v>1711</v>
      </c>
      <c r="B3428" s="13">
        <v>0.2</v>
      </c>
      <c r="C3428" s="10">
        <v>-9.5000000000000001E-2</v>
      </c>
      <c r="D3428" s="9" t="s">
        <v>1709</v>
      </c>
      <c r="E3428" s="11" t="s">
        <v>1710</v>
      </c>
      <c r="F3428" s="12" t="s">
        <v>1710</v>
      </c>
      <c r="G3428" s="9" t="s">
        <v>1709</v>
      </c>
    </row>
    <row r="3429" spans="1:7">
      <c r="A3429" s="9" t="s">
        <v>1711</v>
      </c>
      <c r="B3429" s="13">
        <v>0.2</v>
      </c>
      <c r="C3429" s="10">
        <v>-9.5000000000000001E-2</v>
      </c>
      <c r="D3429" s="9" t="s">
        <v>1709</v>
      </c>
      <c r="E3429" s="11" t="s">
        <v>1710</v>
      </c>
      <c r="F3429" s="12" t="s">
        <v>1710</v>
      </c>
      <c r="G3429" s="9" t="s">
        <v>1709</v>
      </c>
    </row>
    <row r="3430" spans="1:7">
      <c r="A3430" s="9" t="s">
        <v>1711</v>
      </c>
      <c r="B3430" s="13">
        <v>0.2</v>
      </c>
      <c r="C3430" s="10">
        <v>0.86099999999999999</v>
      </c>
      <c r="D3430" s="9" t="s">
        <v>1712</v>
      </c>
      <c r="E3430" s="11" t="s">
        <v>1715</v>
      </c>
      <c r="F3430" s="12" t="s">
        <v>1714</v>
      </c>
      <c r="G3430" s="9" t="s">
        <v>1709</v>
      </c>
    </row>
    <row r="3431" spans="1:7">
      <c r="A3431" s="9" t="s">
        <v>1711</v>
      </c>
      <c r="B3431" s="13">
        <v>0.2</v>
      </c>
      <c r="C3431" s="10">
        <v>0.86099999999999999</v>
      </c>
      <c r="D3431" s="9" t="s">
        <v>1712</v>
      </c>
      <c r="E3431" s="11" t="s">
        <v>1715</v>
      </c>
      <c r="F3431" s="12" t="s">
        <v>1714</v>
      </c>
      <c r="G3431" s="9" t="s">
        <v>1709</v>
      </c>
    </row>
    <row r="3432" spans="1:7">
      <c r="A3432" s="9" t="s">
        <v>1711</v>
      </c>
      <c r="B3432" s="13">
        <v>0.2</v>
      </c>
      <c r="C3432" s="10">
        <v>0.86099999999999999</v>
      </c>
      <c r="D3432" s="9" t="s">
        <v>1712</v>
      </c>
      <c r="E3432" s="11" t="s">
        <v>1715</v>
      </c>
      <c r="F3432" s="12" t="s">
        <v>1714</v>
      </c>
      <c r="G3432" s="9" t="s">
        <v>1709</v>
      </c>
    </row>
    <row r="3433" spans="1:7">
      <c r="A3433" s="9" t="s">
        <v>1711</v>
      </c>
      <c r="B3433" s="13">
        <v>0.2</v>
      </c>
      <c r="C3433" s="10">
        <v>0.86099999999999999</v>
      </c>
      <c r="D3433" s="9" t="s">
        <v>1712</v>
      </c>
      <c r="E3433" s="11" t="s">
        <v>1715</v>
      </c>
      <c r="F3433" s="12" t="s">
        <v>1714</v>
      </c>
      <c r="G3433" s="9" t="s">
        <v>1709</v>
      </c>
    </row>
    <row r="3434" spans="1:7">
      <c r="A3434" s="9" t="s">
        <v>1711</v>
      </c>
      <c r="B3434" s="13">
        <v>0.2</v>
      </c>
      <c r="C3434" s="10">
        <v>0.86099999999999999</v>
      </c>
      <c r="D3434" s="9" t="s">
        <v>1712</v>
      </c>
      <c r="E3434" s="11" t="s">
        <v>1715</v>
      </c>
      <c r="F3434" s="12" t="s">
        <v>1714</v>
      </c>
      <c r="G3434" s="9" t="s">
        <v>1709</v>
      </c>
    </row>
    <row r="3435" spans="1:7">
      <c r="A3435" s="9" t="s">
        <v>1711</v>
      </c>
      <c r="B3435" s="13">
        <v>0.2</v>
      </c>
      <c r="C3435" s="10">
        <v>0.86099999999999999</v>
      </c>
      <c r="D3435" s="9" t="s">
        <v>1712</v>
      </c>
      <c r="E3435" s="11" t="s">
        <v>1715</v>
      </c>
      <c r="F3435" s="12" t="s">
        <v>1714</v>
      </c>
      <c r="G3435" s="9" t="s">
        <v>1709</v>
      </c>
    </row>
    <row r="3436" spans="1:7">
      <c r="A3436" s="9" t="s">
        <v>1711</v>
      </c>
      <c r="B3436" s="13">
        <v>0.2</v>
      </c>
      <c r="C3436" s="10">
        <v>0.86099999999999999</v>
      </c>
      <c r="D3436" s="9" t="s">
        <v>1712</v>
      </c>
      <c r="E3436" s="11" t="s">
        <v>1715</v>
      </c>
      <c r="F3436" s="12" t="s">
        <v>1714</v>
      </c>
      <c r="G3436" s="9" t="s">
        <v>1709</v>
      </c>
    </row>
    <row r="3437" spans="1:7">
      <c r="A3437" s="9" t="s">
        <v>1711</v>
      </c>
      <c r="B3437" s="13">
        <v>0.2</v>
      </c>
      <c r="C3437" s="10">
        <v>0.86099999999999999</v>
      </c>
      <c r="D3437" s="9" t="s">
        <v>1712</v>
      </c>
      <c r="E3437" s="11" t="s">
        <v>1715</v>
      </c>
      <c r="F3437" s="12" t="s">
        <v>1714</v>
      </c>
      <c r="G3437" s="9" t="s">
        <v>1709</v>
      </c>
    </row>
    <row r="3438" spans="1:7">
      <c r="A3438" s="9" t="s">
        <v>1711</v>
      </c>
      <c r="B3438" s="13">
        <v>0.2</v>
      </c>
      <c r="C3438" s="10">
        <v>0.86099999999999999</v>
      </c>
      <c r="D3438" s="9" t="s">
        <v>1712</v>
      </c>
      <c r="E3438" s="11" t="s">
        <v>1715</v>
      </c>
      <c r="F3438" s="12" t="s">
        <v>1714</v>
      </c>
      <c r="G3438" s="9" t="s">
        <v>1709</v>
      </c>
    </row>
    <row r="3439" spans="1:7">
      <c r="A3439" s="9" t="s">
        <v>1711</v>
      </c>
      <c r="B3439" s="13">
        <v>0.2</v>
      </c>
      <c r="C3439" s="10">
        <v>0.86099999999999999</v>
      </c>
      <c r="D3439" s="9" t="s">
        <v>1712</v>
      </c>
      <c r="E3439" s="11" t="s">
        <v>1715</v>
      </c>
      <c r="F3439" s="12" t="s">
        <v>1714</v>
      </c>
      <c r="G3439" s="9" t="s">
        <v>1709</v>
      </c>
    </row>
    <row r="3440" spans="1:7">
      <c r="A3440" s="9" t="s">
        <v>1711</v>
      </c>
      <c r="B3440" s="13">
        <v>0.2</v>
      </c>
      <c r="C3440" s="10">
        <v>9.9999999999999985E-3</v>
      </c>
      <c r="D3440" s="9" t="s">
        <v>1712</v>
      </c>
      <c r="E3440" s="11" t="s">
        <v>1738</v>
      </c>
      <c r="F3440" s="12" t="s">
        <v>1714</v>
      </c>
      <c r="G3440" s="9" t="s">
        <v>1709</v>
      </c>
    </row>
    <row r="3441" spans="1:7">
      <c r="A3441" s="9" t="s">
        <v>1711</v>
      </c>
      <c r="B3441" s="13">
        <v>0.2</v>
      </c>
      <c r="C3441" s="10">
        <v>9.9999999999999985E-3</v>
      </c>
      <c r="D3441" s="9" t="s">
        <v>1712</v>
      </c>
      <c r="E3441" s="11" t="s">
        <v>1738</v>
      </c>
      <c r="F3441" s="12" t="s">
        <v>1714</v>
      </c>
      <c r="G3441" s="9" t="s">
        <v>1709</v>
      </c>
    </row>
    <row r="3442" spans="1:7">
      <c r="A3442" s="9" t="s">
        <v>1711</v>
      </c>
      <c r="B3442" s="13">
        <v>0.2</v>
      </c>
      <c r="C3442" s="10">
        <v>0.86099999999999999</v>
      </c>
      <c r="D3442" s="9" t="s">
        <v>1712</v>
      </c>
      <c r="E3442" s="11" t="s">
        <v>1736</v>
      </c>
      <c r="F3442" s="12" t="s">
        <v>1714</v>
      </c>
      <c r="G3442" s="9" t="s">
        <v>1709</v>
      </c>
    </row>
    <row r="3443" spans="1:7">
      <c r="A3443" s="9" t="s">
        <v>1711</v>
      </c>
      <c r="B3443" s="13">
        <v>0.2</v>
      </c>
      <c r="C3443" s="10">
        <v>9.9999999999999985E-3</v>
      </c>
      <c r="D3443" s="9" t="s">
        <v>1712</v>
      </c>
      <c r="E3443" s="11" t="s">
        <v>1736</v>
      </c>
      <c r="F3443" s="12" t="s">
        <v>1714</v>
      </c>
      <c r="G3443" s="9" t="s">
        <v>1709</v>
      </c>
    </row>
    <row r="3444" spans="1:7">
      <c r="A3444" s="9" t="s">
        <v>1711</v>
      </c>
      <c r="B3444" s="13">
        <v>0.2</v>
      </c>
      <c r="C3444" s="10">
        <v>0.17799999999999999</v>
      </c>
      <c r="D3444" s="9" t="s">
        <v>1712</v>
      </c>
      <c r="E3444" s="11" t="s">
        <v>1736</v>
      </c>
      <c r="F3444" s="12" t="s">
        <v>1714</v>
      </c>
      <c r="G3444" s="9" t="s">
        <v>1709</v>
      </c>
    </row>
    <row r="3445" spans="1:7">
      <c r="A3445" s="9" t="s">
        <v>1711</v>
      </c>
      <c r="B3445" s="13">
        <v>0.2</v>
      </c>
      <c r="C3445" s="10">
        <v>0.153</v>
      </c>
      <c r="D3445" s="9" t="s">
        <v>1712</v>
      </c>
      <c r="E3445" s="11" t="s">
        <v>1713</v>
      </c>
      <c r="F3445" s="12" t="s">
        <v>1714</v>
      </c>
      <c r="G3445" s="9" t="s">
        <v>1709</v>
      </c>
    </row>
    <row r="3446" spans="1:7">
      <c r="A3446" s="9" t="s">
        <v>1711</v>
      </c>
      <c r="B3446" s="13">
        <v>0.2</v>
      </c>
      <c r="C3446" s="10">
        <v>-0.2</v>
      </c>
      <c r="D3446" s="9" t="s">
        <v>1709</v>
      </c>
      <c r="E3446" s="11" t="s">
        <v>1710</v>
      </c>
      <c r="F3446" s="12" t="s">
        <v>1710</v>
      </c>
      <c r="G3446" s="9" t="s">
        <v>1709</v>
      </c>
    </row>
    <row r="3447" spans="1:7">
      <c r="A3447" s="9" t="s">
        <v>1711</v>
      </c>
      <c r="B3447" s="13">
        <v>0.2</v>
      </c>
      <c r="C3447" s="10">
        <v>-6.9000000000000006E-2</v>
      </c>
      <c r="D3447" s="9" t="s">
        <v>1709</v>
      </c>
      <c r="E3447" s="11" t="s">
        <v>1710</v>
      </c>
      <c r="F3447" s="12" t="s">
        <v>1710</v>
      </c>
      <c r="G3447" s="9" t="s">
        <v>1709</v>
      </c>
    </row>
    <row r="3448" spans="1:7">
      <c r="A3448" s="9" t="s">
        <v>1711</v>
      </c>
      <c r="B3448" s="13">
        <v>0.2</v>
      </c>
      <c r="C3448" s="10">
        <v>-0.108</v>
      </c>
      <c r="D3448" s="9" t="s">
        <v>1709</v>
      </c>
      <c r="E3448" s="11" t="s">
        <v>1710</v>
      </c>
      <c r="F3448" s="12" t="s">
        <v>1710</v>
      </c>
      <c r="G3448" s="9" t="s">
        <v>1709</v>
      </c>
    </row>
    <row r="3449" spans="1:7">
      <c r="A3449" s="9" t="s">
        <v>1711</v>
      </c>
      <c r="B3449" s="13">
        <v>0.2</v>
      </c>
      <c r="C3449" s="10">
        <v>0.18099999999999999</v>
      </c>
      <c r="D3449" s="9" t="s">
        <v>1712</v>
      </c>
      <c r="E3449" s="11" t="s">
        <v>1713</v>
      </c>
      <c r="F3449" s="12" t="s">
        <v>1714</v>
      </c>
      <c r="G3449" s="9" t="s">
        <v>1709</v>
      </c>
    </row>
    <row r="3450" spans="1:7">
      <c r="A3450" s="9" t="s">
        <v>1711</v>
      </c>
      <c r="B3450" s="13">
        <v>0.2</v>
      </c>
      <c r="C3450" s="10">
        <v>0.13600000000000001</v>
      </c>
      <c r="D3450" s="9" t="s">
        <v>1712</v>
      </c>
      <c r="E3450" s="11" t="s">
        <v>1713</v>
      </c>
      <c r="F3450" s="12" t="s">
        <v>1714</v>
      </c>
      <c r="G3450" s="9" t="s">
        <v>1709</v>
      </c>
    </row>
    <row r="3451" spans="1:7">
      <c r="A3451" s="9" t="s">
        <v>1711</v>
      </c>
      <c r="B3451" s="13">
        <v>0.2</v>
      </c>
      <c r="C3451" s="10">
        <v>0.13600000000000001</v>
      </c>
      <c r="D3451" s="9" t="s">
        <v>1712</v>
      </c>
      <c r="E3451" s="11" t="s">
        <v>1713</v>
      </c>
      <c r="F3451" s="12" t="s">
        <v>1714</v>
      </c>
      <c r="G3451" s="9" t="s">
        <v>1709</v>
      </c>
    </row>
    <row r="3452" spans="1:7">
      <c r="A3452" s="9" t="s">
        <v>1711</v>
      </c>
      <c r="B3452" s="13">
        <v>0.2</v>
      </c>
      <c r="C3452" s="10">
        <v>-0.14299999999999999</v>
      </c>
      <c r="D3452" s="9" t="s">
        <v>1709</v>
      </c>
      <c r="E3452" s="11" t="s">
        <v>1710</v>
      </c>
      <c r="F3452" s="12" t="s">
        <v>1710</v>
      </c>
      <c r="G3452" s="9" t="s">
        <v>1709</v>
      </c>
    </row>
    <row r="3453" spans="1:7">
      <c r="A3453" s="9" t="s">
        <v>1711</v>
      </c>
      <c r="B3453" s="13">
        <v>0.2</v>
      </c>
      <c r="C3453" s="10">
        <v>0.28699999999999998</v>
      </c>
      <c r="D3453" s="9" t="s">
        <v>1712</v>
      </c>
      <c r="E3453" s="11" t="s">
        <v>1713</v>
      </c>
      <c r="F3453" s="12" t="s">
        <v>1714</v>
      </c>
      <c r="G3453" s="9" t="s">
        <v>1709</v>
      </c>
    </row>
    <row r="3454" spans="1:7">
      <c r="A3454" s="9" t="s">
        <v>1711</v>
      </c>
      <c r="B3454" s="13">
        <v>0.2</v>
      </c>
      <c r="C3454" s="10">
        <v>1.089</v>
      </c>
      <c r="D3454" s="9" t="s">
        <v>1712</v>
      </c>
      <c r="E3454" s="11" t="s">
        <v>1713</v>
      </c>
      <c r="F3454" s="12" t="s">
        <v>1714</v>
      </c>
      <c r="G3454" s="9" t="s">
        <v>1709</v>
      </c>
    </row>
    <row r="3455" spans="1:7">
      <c r="A3455" s="9" t="s">
        <v>1711</v>
      </c>
      <c r="B3455" s="13">
        <v>0.2</v>
      </c>
      <c r="C3455" s="10">
        <v>0.20799999999999999</v>
      </c>
      <c r="D3455" s="9" t="s">
        <v>1712</v>
      </c>
      <c r="E3455" s="11" t="s">
        <v>1713</v>
      </c>
      <c r="F3455" s="12" t="s">
        <v>1714</v>
      </c>
      <c r="G3455" s="9" t="s">
        <v>1709</v>
      </c>
    </row>
    <row r="3456" spans="1:7">
      <c r="A3456" s="9" t="s">
        <v>1711</v>
      </c>
      <c r="B3456" s="13">
        <v>0.2</v>
      </c>
      <c r="C3456" s="10">
        <v>1.1879999999999999</v>
      </c>
      <c r="D3456" s="9" t="s">
        <v>1712</v>
      </c>
      <c r="E3456" s="11" t="s">
        <v>1713</v>
      </c>
      <c r="F3456" s="12" t="s">
        <v>1714</v>
      </c>
      <c r="G3456" s="9" t="s">
        <v>1709</v>
      </c>
    </row>
    <row r="3457" spans="1:7">
      <c r="A3457" s="9" t="s">
        <v>1711</v>
      </c>
      <c r="B3457" s="13">
        <v>0.2</v>
      </c>
      <c r="C3457" s="10">
        <v>1.1879999999999999</v>
      </c>
      <c r="D3457" s="9" t="s">
        <v>1712</v>
      </c>
      <c r="E3457" s="11" t="s">
        <v>1713</v>
      </c>
      <c r="F3457" s="12" t="s">
        <v>1714</v>
      </c>
      <c r="G3457" s="9" t="s">
        <v>1709</v>
      </c>
    </row>
    <row r="3458" spans="1:7">
      <c r="A3458" s="9" t="s">
        <v>1711</v>
      </c>
      <c r="B3458" s="13">
        <v>0.2</v>
      </c>
      <c r="C3458" s="10">
        <v>7.0000000000000001E-3</v>
      </c>
      <c r="D3458" s="9" t="s">
        <v>1712</v>
      </c>
      <c r="E3458" s="11" t="s">
        <v>1713</v>
      </c>
      <c r="F3458" s="12" t="s">
        <v>1714</v>
      </c>
      <c r="G3458" s="9" t="s">
        <v>1709</v>
      </c>
    </row>
    <row r="3459" spans="1:7">
      <c r="A3459" s="9" t="s">
        <v>1711</v>
      </c>
      <c r="B3459" s="13">
        <v>0.2</v>
      </c>
      <c r="C3459" s="10">
        <v>-0.08</v>
      </c>
      <c r="D3459" s="9" t="s">
        <v>1709</v>
      </c>
      <c r="E3459" s="11" t="s">
        <v>1710</v>
      </c>
      <c r="F3459" s="12" t="s">
        <v>1710</v>
      </c>
      <c r="G3459" s="9" t="s">
        <v>1709</v>
      </c>
    </row>
    <row r="3460" spans="1:7">
      <c r="A3460" s="9" t="s">
        <v>1711</v>
      </c>
      <c r="B3460" s="13">
        <v>0.2</v>
      </c>
      <c r="C3460" s="10">
        <v>0.87</v>
      </c>
      <c r="D3460" s="9" t="s">
        <v>1712</v>
      </c>
      <c r="E3460" s="11" t="s">
        <v>1713</v>
      </c>
      <c r="F3460" s="12" t="s">
        <v>1714</v>
      </c>
      <c r="G3460" s="9" t="s">
        <v>1709</v>
      </c>
    </row>
    <row r="3461" spans="1:7">
      <c r="A3461" s="9" t="s">
        <v>1711</v>
      </c>
      <c r="B3461" s="13">
        <v>0.2</v>
      </c>
      <c r="C3461" s="10">
        <v>0.87</v>
      </c>
      <c r="D3461" s="9" t="s">
        <v>1712</v>
      </c>
      <c r="E3461" s="11" t="s">
        <v>1713</v>
      </c>
      <c r="F3461" s="12" t="s">
        <v>1714</v>
      </c>
      <c r="G3461" s="9" t="s">
        <v>1709</v>
      </c>
    </row>
    <row r="3462" spans="1:7">
      <c r="A3462" s="9" t="s">
        <v>1711</v>
      </c>
      <c r="B3462" s="13">
        <v>0.2</v>
      </c>
      <c r="C3462" s="10">
        <v>0.23200000000000001</v>
      </c>
      <c r="D3462" s="9" t="s">
        <v>1712</v>
      </c>
      <c r="E3462" s="11" t="s">
        <v>1713</v>
      </c>
      <c r="F3462" s="12" t="s">
        <v>1714</v>
      </c>
      <c r="G3462" s="9" t="s">
        <v>1709</v>
      </c>
    </row>
    <row r="3463" spans="1:7">
      <c r="A3463" s="9" t="s">
        <v>1711</v>
      </c>
      <c r="B3463" s="13">
        <v>0.2</v>
      </c>
      <c r="C3463" s="10">
        <v>0.23200000000000001</v>
      </c>
      <c r="D3463" s="9" t="s">
        <v>1712</v>
      </c>
      <c r="E3463" s="11" t="s">
        <v>1713</v>
      </c>
      <c r="F3463" s="12" t="s">
        <v>1714</v>
      </c>
      <c r="G3463" s="9" t="s">
        <v>1709</v>
      </c>
    </row>
    <row r="3464" spans="1:7">
      <c r="A3464" s="9" t="s">
        <v>1711</v>
      </c>
      <c r="B3464" s="13">
        <v>0.2</v>
      </c>
      <c r="C3464" s="10">
        <v>0.307</v>
      </c>
      <c r="D3464" s="9" t="s">
        <v>1712</v>
      </c>
      <c r="E3464" s="11" t="s">
        <v>1713</v>
      </c>
      <c r="F3464" s="12" t="s">
        <v>1714</v>
      </c>
      <c r="G3464" s="9" t="s">
        <v>1709</v>
      </c>
    </row>
    <row r="3465" spans="1:7">
      <c r="A3465" s="9" t="s">
        <v>1711</v>
      </c>
      <c r="B3465" s="13">
        <v>0.2</v>
      </c>
      <c r="C3465" s="10">
        <v>1.1589999999999998</v>
      </c>
      <c r="D3465" s="9" t="s">
        <v>1712</v>
      </c>
      <c r="E3465" s="11" t="s">
        <v>1713</v>
      </c>
      <c r="F3465" s="12" t="s">
        <v>1714</v>
      </c>
      <c r="G3465" s="9" t="s">
        <v>1709</v>
      </c>
    </row>
    <row r="3466" spans="1:7">
      <c r="A3466" s="9" t="s">
        <v>1711</v>
      </c>
      <c r="B3466" s="13">
        <v>0.2</v>
      </c>
      <c r="C3466" s="10">
        <v>0.19400000000000001</v>
      </c>
      <c r="D3466" s="9" t="s">
        <v>1712</v>
      </c>
      <c r="E3466" s="11" t="s">
        <v>1713</v>
      </c>
      <c r="F3466" s="12" t="s">
        <v>1714</v>
      </c>
      <c r="G3466" s="9" t="s">
        <v>1709</v>
      </c>
    </row>
    <row r="3467" spans="1:7">
      <c r="A3467" s="9" t="s">
        <v>1711</v>
      </c>
      <c r="B3467" s="13">
        <v>0.2</v>
      </c>
      <c r="C3467" s="10">
        <v>0.19400000000000001</v>
      </c>
      <c r="D3467" s="9" t="s">
        <v>1712</v>
      </c>
      <c r="E3467" s="11" t="s">
        <v>1713</v>
      </c>
      <c r="F3467" s="12" t="s">
        <v>1714</v>
      </c>
      <c r="G3467" s="9" t="s">
        <v>1709</v>
      </c>
    </row>
    <row r="3468" spans="1:7">
      <c r="A3468" s="9" t="s">
        <v>1711</v>
      </c>
      <c r="B3468" s="9">
        <v>0.2</v>
      </c>
      <c r="C3468" s="10">
        <v>0.19400000000000001</v>
      </c>
      <c r="D3468" s="9" t="s">
        <v>1712</v>
      </c>
      <c r="E3468" s="11" t="s">
        <v>1713</v>
      </c>
      <c r="F3468" s="12" t="s">
        <v>1714</v>
      </c>
      <c r="G3468" s="9" t="s">
        <v>1709</v>
      </c>
    </row>
    <row r="3469" spans="1:7">
      <c r="A3469" s="9" t="s">
        <v>1711</v>
      </c>
      <c r="B3469" s="9">
        <v>0.2</v>
      </c>
      <c r="C3469" s="10">
        <v>0.19400000000000001</v>
      </c>
      <c r="D3469" s="9" t="s">
        <v>1712</v>
      </c>
      <c r="E3469" s="11" t="s">
        <v>1713</v>
      </c>
      <c r="F3469" s="12" t="s">
        <v>1714</v>
      </c>
      <c r="G3469" s="9" t="s">
        <v>1709</v>
      </c>
    </row>
    <row r="3470" spans="1:7">
      <c r="A3470" s="9" t="s">
        <v>1711</v>
      </c>
      <c r="B3470" s="9">
        <v>0.2</v>
      </c>
      <c r="C3470" s="10">
        <v>0.19400000000000001</v>
      </c>
      <c r="D3470" s="9" t="s">
        <v>1712</v>
      </c>
      <c r="E3470" s="11" t="s">
        <v>1713</v>
      </c>
      <c r="F3470" s="12" t="s">
        <v>1714</v>
      </c>
      <c r="G3470" s="9" t="s">
        <v>1709</v>
      </c>
    </row>
    <row r="3471" spans="1:7">
      <c r="A3471" s="9" t="s">
        <v>1711</v>
      </c>
      <c r="B3471" s="9">
        <v>0.2</v>
      </c>
      <c r="C3471" s="10">
        <v>0.19400000000000001</v>
      </c>
      <c r="D3471" s="9" t="s">
        <v>1712</v>
      </c>
      <c r="E3471" s="11" t="s">
        <v>1713</v>
      </c>
      <c r="F3471" s="12" t="s">
        <v>1714</v>
      </c>
      <c r="G3471" s="9" t="s">
        <v>1709</v>
      </c>
    </row>
    <row r="3472" spans="1:7">
      <c r="A3472" s="9" t="s">
        <v>1711</v>
      </c>
      <c r="B3472" s="13">
        <v>0.2</v>
      </c>
      <c r="C3472" s="10">
        <v>0.19400000000000001</v>
      </c>
      <c r="D3472" s="9" t="s">
        <v>1712</v>
      </c>
      <c r="E3472" s="11" t="s">
        <v>1713</v>
      </c>
      <c r="F3472" s="12" t="s">
        <v>1714</v>
      </c>
      <c r="G3472" s="9" t="s">
        <v>1709</v>
      </c>
    </row>
    <row r="3473" spans="1:7">
      <c r="A3473" s="9" t="s">
        <v>1711</v>
      </c>
      <c r="B3473" s="13">
        <v>0.2</v>
      </c>
      <c r="C3473" s="10">
        <v>0.19400000000000001</v>
      </c>
      <c r="D3473" s="9" t="s">
        <v>1712</v>
      </c>
      <c r="E3473" s="11" t="s">
        <v>1713</v>
      </c>
      <c r="F3473" s="12" t="s">
        <v>1714</v>
      </c>
      <c r="G3473" s="9" t="s">
        <v>1709</v>
      </c>
    </row>
    <row r="3474" spans="1:7">
      <c r="A3474" s="9" t="s">
        <v>1711</v>
      </c>
      <c r="B3474" s="13">
        <v>0.2</v>
      </c>
      <c r="C3474" s="10">
        <v>0.19400000000000001</v>
      </c>
      <c r="D3474" s="9" t="s">
        <v>1712</v>
      </c>
      <c r="E3474" s="11" t="s">
        <v>1713</v>
      </c>
      <c r="F3474" s="12" t="s">
        <v>1714</v>
      </c>
      <c r="G3474" s="9" t="s">
        <v>1709</v>
      </c>
    </row>
    <row r="3475" spans="1:7">
      <c r="A3475" s="9" t="s">
        <v>1711</v>
      </c>
      <c r="B3475" s="13">
        <v>0.2</v>
      </c>
      <c r="C3475" s="10">
        <v>0.13800000000000001</v>
      </c>
      <c r="D3475" s="9" t="s">
        <v>1712</v>
      </c>
      <c r="E3475" s="11" t="s">
        <v>1713</v>
      </c>
      <c r="F3475" s="12" t="s">
        <v>1714</v>
      </c>
      <c r="G3475" s="9" t="s">
        <v>1709</v>
      </c>
    </row>
    <row r="3476" spans="1:7">
      <c r="A3476" s="9" t="s">
        <v>1711</v>
      </c>
      <c r="B3476" s="13">
        <v>0.2</v>
      </c>
      <c r="C3476" s="10">
        <v>0.13800000000000001</v>
      </c>
      <c r="D3476" s="9" t="s">
        <v>1712</v>
      </c>
      <c r="E3476" s="11" t="s">
        <v>1713</v>
      </c>
      <c r="F3476" s="12" t="s">
        <v>1714</v>
      </c>
      <c r="G3476" s="9" t="s">
        <v>1709</v>
      </c>
    </row>
    <row r="3477" spans="1:7">
      <c r="A3477" s="9" t="s">
        <v>1711</v>
      </c>
      <c r="B3477" s="13">
        <v>0.2</v>
      </c>
      <c r="C3477" s="10">
        <v>0.13800000000000001</v>
      </c>
      <c r="D3477" s="9" t="s">
        <v>1712</v>
      </c>
      <c r="E3477" s="11" t="s">
        <v>1713</v>
      </c>
      <c r="F3477" s="12" t="s">
        <v>1714</v>
      </c>
      <c r="G3477" s="9" t="s">
        <v>1709</v>
      </c>
    </row>
    <row r="3478" spans="1:7">
      <c r="A3478" s="9" t="s">
        <v>1711</v>
      </c>
      <c r="B3478" s="9">
        <v>0.2</v>
      </c>
      <c r="C3478" s="10">
        <v>0.13800000000000001</v>
      </c>
      <c r="D3478" s="9" t="s">
        <v>1712</v>
      </c>
      <c r="E3478" s="14" t="s">
        <v>1713</v>
      </c>
      <c r="F3478" s="12" t="s">
        <v>1714</v>
      </c>
      <c r="G3478" s="9" t="s">
        <v>1709</v>
      </c>
    </row>
    <row r="3479" spans="1:7">
      <c r="A3479" s="9" t="s">
        <v>1711</v>
      </c>
      <c r="B3479" s="9">
        <v>0.2</v>
      </c>
      <c r="C3479" s="10">
        <v>0.13800000000000001</v>
      </c>
      <c r="D3479" s="9" t="s">
        <v>1712</v>
      </c>
      <c r="E3479" s="14" t="s">
        <v>1713</v>
      </c>
      <c r="F3479" s="12" t="s">
        <v>1714</v>
      </c>
      <c r="G3479" s="9" t="s">
        <v>1709</v>
      </c>
    </row>
    <row r="3480" spans="1:7">
      <c r="A3480" s="9" t="s">
        <v>1711</v>
      </c>
      <c r="B3480" s="9">
        <v>0.2</v>
      </c>
      <c r="C3480" s="10">
        <v>0.13800000000000001</v>
      </c>
      <c r="D3480" s="9" t="s">
        <v>1712</v>
      </c>
      <c r="E3480" s="14" t="s">
        <v>1713</v>
      </c>
      <c r="F3480" s="12" t="s">
        <v>1714</v>
      </c>
      <c r="G3480" s="9" t="s">
        <v>1709</v>
      </c>
    </row>
    <row r="3481" spans="1:7">
      <c r="A3481" s="9" t="s">
        <v>1711</v>
      </c>
      <c r="B3481" s="9">
        <v>0.2</v>
      </c>
      <c r="C3481" s="10">
        <v>0.13800000000000001</v>
      </c>
      <c r="D3481" s="9" t="s">
        <v>1712</v>
      </c>
      <c r="E3481" s="14" t="s">
        <v>1713</v>
      </c>
      <c r="F3481" s="12" t="s">
        <v>1714</v>
      </c>
      <c r="G3481" s="9" t="s">
        <v>1709</v>
      </c>
    </row>
    <row r="3482" spans="1:7">
      <c r="A3482" s="9" t="s">
        <v>1711</v>
      </c>
      <c r="B3482" s="9">
        <v>0.2</v>
      </c>
      <c r="C3482" s="10">
        <v>0.13800000000000001</v>
      </c>
      <c r="D3482" s="9" t="s">
        <v>1712</v>
      </c>
      <c r="E3482" s="11" t="s">
        <v>1713</v>
      </c>
      <c r="F3482" s="12" t="s">
        <v>1714</v>
      </c>
      <c r="G3482" s="9" t="s">
        <v>1709</v>
      </c>
    </row>
    <row r="3483" spans="1:7">
      <c r="A3483" s="9" t="s">
        <v>1711</v>
      </c>
      <c r="B3483" s="13">
        <v>0.2</v>
      </c>
      <c r="C3483" s="10">
        <v>0.15</v>
      </c>
      <c r="D3483" s="9" t="s">
        <v>1712</v>
      </c>
      <c r="E3483" s="11" t="s">
        <v>1713</v>
      </c>
      <c r="F3483" s="12" t="s">
        <v>1714</v>
      </c>
      <c r="G3483" s="9" t="s">
        <v>1709</v>
      </c>
    </row>
    <row r="3484" spans="1:7">
      <c r="A3484" s="9" t="s">
        <v>1711</v>
      </c>
      <c r="B3484" s="9">
        <v>0.2</v>
      </c>
      <c r="C3484" s="10">
        <v>0.629</v>
      </c>
      <c r="D3484" s="9" t="s">
        <v>1712</v>
      </c>
      <c r="E3484" s="11" t="s">
        <v>1713</v>
      </c>
      <c r="F3484" s="12" t="s">
        <v>1714</v>
      </c>
      <c r="G3484" s="9" t="s">
        <v>1709</v>
      </c>
    </row>
    <row r="3485" spans="1:7">
      <c r="A3485" s="9" t="s">
        <v>1711</v>
      </c>
      <c r="B3485" s="9">
        <v>0.2</v>
      </c>
      <c r="C3485" s="10">
        <v>0.63200000000000001</v>
      </c>
      <c r="D3485" s="9" t="s">
        <v>1712</v>
      </c>
      <c r="E3485" s="11" t="s">
        <v>1713</v>
      </c>
      <c r="F3485" s="12" t="s">
        <v>1714</v>
      </c>
      <c r="G3485" s="9" t="s">
        <v>1709</v>
      </c>
    </row>
    <row r="3486" spans="1:7">
      <c r="A3486" s="9" t="s">
        <v>1711</v>
      </c>
      <c r="B3486" s="13">
        <v>0.2</v>
      </c>
      <c r="C3486" s="10">
        <v>5.1000000000000004E-2</v>
      </c>
      <c r="D3486" s="9" t="s">
        <v>1712</v>
      </c>
      <c r="E3486" s="11" t="s">
        <v>1713</v>
      </c>
      <c r="F3486" s="12" t="s">
        <v>1714</v>
      </c>
      <c r="G3486" s="9" t="s">
        <v>1709</v>
      </c>
    </row>
    <row r="3487" spans="1:7">
      <c r="A3487" s="9" t="s">
        <v>1711</v>
      </c>
      <c r="B3487" s="13">
        <v>0.2</v>
      </c>
      <c r="C3487" s="10">
        <v>1.0139999999999998</v>
      </c>
      <c r="D3487" s="9" t="s">
        <v>1712</v>
      </c>
      <c r="E3487" s="11" t="s">
        <v>1713</v>
      </c>
      <c r="F3487" s="12" t="s">
        <v>1714</v>
      </c>
      <c r="G3487" s="9" t="s">
        <v>1709</v>
      </c>
    </row>
    <row r="3488" spans="1:7">
      <c r="A3488" s="9" t="s">
        <v>1711</v>
      </c>
      <c r="B3488" s="13">
        <v>0.2</v>
      </c>
      <c r="C3488" s="10">
        <v>0.19800000000000001</v>
      </c>
      <c r="D3488" s="9" t="s">
        <v>1712</v>
      </c>
      <c r="E3488" s="11" t="s">
        <v>1736</v>
      </c>
      <c r="F3488" s="12" t="s">
        <v>1714</v>
      </c>
      <c r="G3488" s="9" t="s">
        <v>1709</v>
      </c>
    </row>
    <row r="3489" spans="1:7">
      <c r="A3489" s="9" t="s">
        <v>1711</v>
      </c>
      <c r="B3489" s="13">
        <v>0.2</v>
      </c>
      <c r="C3489" s="10">
        <v>0.86799999999999999</v>
      </c>
      <c r="D3489" s="9" t="s">
        <v>1712</v>
      </c>
      <c r="E3489" s="11" t="s">
        <v>1715</v>
      </c>
      <c r="F3489" s="12" t="s">
        <v>1714</v>
      </c>
      <c r="G3489" s="9" t="s">
        <v>1709</v>
      </c>
    </row>
    <row r="3490" spans="1:7">
      <c r="A3490" s="9" t="s">
        <v>1711</v>
      </c>
      <c r="B3490" s="13">
        <v>0.2</v>
      </c>
      <c r="C3490" s="10">
        <v>0.27300000000000002</v>
      </c>
      <c r="D3490" s="9" t="s">
        <v>1712</v>
      </c>
      <c r="E3490" s="11" t="s">
        <v>1715</v>
      </c>
      <c r="F3490" s="12" t="s">
        <v>1714</v>
      </c>
      <c r="G3490" s="9" t="s">
        <v>1709</v>
      </c>
    </row>
    <row r="3491" spans="1:7">
      <c r="A3491" s="9" t="s">
        <v>1711</v>
      </c>
      <c r="B3491" s="13">
        <v>0.2</v>
      </c>
      <c r="C3491" s="10">
        <v>0.19800000000000001</v>
      </c>
      <c r="D3491" s="9" t="s">
        <v>1712</v>
      </c>
      <c r="E3491" s="11" t="s">
        <v>1715</v>
      </c>
      <c r="F3491" s="12" t="s">
        <v>1714</v>
      </c>
      <c r="G3491" s="9" t="s">
        <v>1709</v>
      </c>
    </row>
    <row r="3492" spans="1:7">
      <c r="A3492" s="9" t="s">
        <v>1711</v>
      </c>
      <c r="B3492" s="13">
        <v>0.2</v>
      </c>
      <c r="C3492" s="10">
        <v>7.0000000000000001E-3</v>
      </c>
      <c r="D3492" s="9" t="s">
        <v>1712</v>
      </c>
      <c r="E3492" s="11" t="s">
        <v>1736</v>
      </c>
      <c r="F3492" s="12" t="s">
        <v>1714</v>
      </c>
      <c r="G3492" s="9" t="s">
        <v>1709</v>
      </c>
    </row>
    <row r="3493" spans="1:7">
      <c r="A3493" s="9" t="s">
        <v>1711</v>
      </c>
      <c r="B3493" s="13">
        <v>0.2</v>
      </c>
      <c r="C3493" s="10">
        <v>0.93</v>
      </c>
      <c r="D3493" s="9" t="s">
        <v>1712</v>
      </c>
      <c r="E3493" s="11" t="s">
        <v>1738</v>
      </c>
      <c r="F3493" s="12" t="s">
        <v>1714</v>
      </c>
      <c r="G3493" s="9" t="s">
        <v>1709</v>
      </c>
    </row>
    <row r="3494" spans="1:7">
      <c r="A3494" s="9" t="s">
        <v>1711</v>
      </c>
      <c r="B3494" s="13">
        <v>0.2</v>
      </c>
      <c r="C3494" s="10">
        <v>0.93</v>
      </c>
      <c r="D3494" s="9" t="s">
        <v>1712</v>
      </c>
      <c r="E3494" s="11" t="s">
        <v>1736</v>
      </c>
      <c r="F3494" s="12" t="s">
        <v>1714</v>
      </c>
      <c r="G3494" s="9" t="s">
        <v>1709</v>
      </c>
    </row>
    <row r="3495" spans="1:7">
      <c r="A3495" s="9" t="s">
        <v>1711</v>
      </c>
      <c r="B3495" s="13">
        <v>0.2</v>
      </c>
      <c r="C3495" s="10">
        <v>0.93</v>
      </c>
      <c r="D3495" s="9" t="s">
        <v>1712</v>
      </c>
      <c r="E3495" s="11" t="s">
        <v>1738</v>
      </c>
      <c r="F3495" s="12" t="s">
        <v>1714</v>
      </c>
      <c r="G3495" s="9" t="s">
        <v>1709</v>
      </c>
    </row>
    <row r="3496" spans="1:7">
      <c r="A3496" s="9" t="s">
        <v>1711</v>
      </c>
      <c r="B3496" s="9">
        <v>0.2</v>
      </c>
      <c r="C3496" s="10">
        <v>-6.9000000000000006E-2</v>
      </c>
      <c r="D3496" s="9" t="s">
        <v>1709</v>
      </c>
      <c r="E3496" s="11" t="s">
        <v>1710</v>
      </c>
      <c r="F3496" s="12" t="s">
        <v>1710</v>
      </c>
      <c r="G3496" s="9" t="s">
        <v>1709</v>
      </c>
    </row>
    <row r="3497" spans="1:7">
      <c r="A3497" s="9" t="s">
        <v>1711</v>
      </c>
      <c r="B3497" s="9">
        <v>0.2</v>
      </c>
      <c r="C3497" s="10">
        <v>0.11600000000000001</v>
      </c>
      <c r="D3497" s="9" t="s">
        <v>1712</v>
      </c>
      <c r="E3497" s="11" t="s">
        <v>1713</v>
      </c>
      <c r="F3497" s="12" t="s">
        <v>1714</v>
      </c>
      <c r="G3497" s="9" t="s">
        <v>1709</v>
      </c>
    </row>
    <row r="3498" spans="1:7">
      <c r="A3498" s="9" t="s">
        <v>1711</v>
      </c>
      <c r="B3498" s="13">
        <v>0.2</v>
      </c>
      <c r="C3498" s="10">
        <v>2.81</v>
      </c>
      <c r="D3498" s="9" t="s">
        <v>1712</v>
      </c>
      <c r="E3498" s="11" t="s">
        <v>1713</v>
      </c>
      <c r="F3498" s="12" t="s">
        <v>1714</v>
      </c>
      <c r="G3498" s="9" t="s">
        <v>1709</v>
      </c>
    </row>
    <row r="3499" spans="1:7">
      <c r="A3499" s="9" t="s">
        <v>1711</v>
      </c>
      <c r="B3499" s="9">
        <v>0.2</v>
      </c>
      <c r="C3499" s="10">
        <v>0.497</v>
      </c>
      <c r="D3499" s="9" t="s">
        <v>1712</v>
      </c>
      <c r="E3499" s="11" t="s">
        <v>1713</v>
      </c>
      <c r="F3499" s="12" t="s">
        <v>1714</v>
      </c>
      <c r="G3499" s="9" t="s">
        <v>1709</v>
      </c>
    </row>
    <row r="3500" spans="1:7">
      <c r="A3500" s="9" t="s">
        <v>1711</v>
      </c>
      <c r="B3500" s="9">
        <v>0.2</v>
      </c>
      <c r="C3500" s="10">
        <v>0.497</v>
      </c>
      <c r="D3500" s="9" t="s">
        <v>1712</v>
      </c>
      <c r="E3500" s="11" t="s">
        <v>1713</v>
      </c>
      <c r="F3500" s="12" t="s">
        <v>1714</v>
      </c>
      <c r="G3500" s="9" t="s">
        <v>1709</v>
      </c>
    </row>
    <row r="3501" spans="1:7">
      <c r="A3501" s="9" t="s">
        <v>1711</v>
      </c>
      <c r="B3501" s="9">
        <v>0.2</v>
      </c>
      <c r="C3501" s="10">
        <v>0.497</v>
      </c>
      <c r="D3501" s="9" t="s">
        <v>1712</v>
      </c>
      <c r="E3501" s="11" t="s">
        <v>1713</v>
      </c>
      <c r="F3501" s="12" t="s">
        <v>1714</v>
      </c>
      <c r="G3501" s="9" t="s">
        <v>1709</v>
      </c>
    </row>
    <row r="3502" spans="1:7">
      <c r="A3502" s="9" t="s">
        <v>1711</v>
      </c>
      <c r="B3502" s="9">
        <v>0.2</v>
      </c>
      <c r="C3502" s="10">
        <v>0.56899999999999995</v>
      </c>
      <c r="D3502" s="9" t="s">
        <v>1712</v>
      </c>
      <c r="E3502" s="11" t="s">
        <v>1713</v>
      </c>
      <c r="F3502" s="12" t="s">
        <v>1714</v>
      </c>
      <c r="G3502" s="9" t="s">
        <v>1709</v>
      </c>
    </row>
    <row r="3503" spans="1:7">
      <c r="A3503" s="9" t="s">
        <v>1711</v>
      </c>
      <c r="B3503" s="9">
        <v>0.2</v>
      </c>
      <c r="C3503" s="10">
        <v>0.52300000000000002</v>
      </c>
      <c r="D3503" s="9" t="s">
        <v>1712</v>
      </c>
      <c r="E3503" s="11" t="s">
        <v>1713</v>
      </c>
      <c r="F3503" s="12" t="s">
        <v>1714</v>
      </c>
      <c r="G3503" s="9" t="s">
        <v>1709</v>
      </c>
    </row>
    <row r="3504" spans="1:7">
      <c r="A3504" s="9" t="s">
        <v>1711</v>
      </c>
      <c r="B3504" s="9">
        <v>0.2</v>
      </c>
      <c r="C3504" s="10">
        <v>0.54800000000000004</v>
      </c>
      <c r="D3504" s="9" t="s">
        <v>1712</v>
      </c>
      <c r="E3504" s="11" t="s">
        <v>1713</v>
      </c>
      <c r="F3504" s="12" t="s">
        <v>1714</v>
      </c>
      <c r="G3504" s="9" t="s">
        <v>1709</v>
      </c>
    </row>
    <row r="3505" spans="1:7">
      <c r="A3505" s="9" t="s">
        <v>1711</v>
      </c>
      <c r="B3505" s="9">
        <v>0.2</v>
      </c>
      <c r="C3505" s="10">
        <v>0.53100000000000003</v>
      </c>
      <c r="D3505" s="9" t="s">
        <v>1712</v>
      </c>
      <c r="E3505" s="11" t="s">
        <v>1713</v>
      </c>
      <c r="F3505" s="12" t="s">
        <v>1714</v>
      </c>
      <c r="G3505" s="9" t="s">
        <v>1709</v>
      </c>
    </row>
    <row r="3506" spans="1:7">
      <c r="A3506" s="9" t="s">
        <v>1711</v>
      </c>
      <c r="B3506" s="13">
        <v>0.2</v>
      </c>
      <c r="C3506" s="10">
        <v>0.53100000000000003</v>
      </c>
      <c r="D3506" s="9" t="s">
        <v>1712</v>
      </c>
      <c r="E3506" s="11" t="s">
        <v>1713</v>
      </c>
      <c r="F3506" s="12" t="s">
        <v>1714</v>
      </c>
      <c r="G3506" s="9" t="s">
        <v>1709</v>
      </c>
    </row>
    <row r="3507" spans="1:7">
      <c r="A3507" s="9" t="s">
        <v>1711</v>
      </c>
      <c r="B3507" s="13">
        <v>0.2</v>
      </c>
      <c r="C3507" s="10">
        <v>0.53100000000000003</v>
      </c>
      <c r="D3507" s="9" t="s">
        <v>1712</v>
      </c>
      <c r="E3507" s="11" t="s">
        <v>1713</v>
      </c>
      <c r="F3507" s="12" t="s">
        <v>1714</v>
      </c>
      <c r="G3507" s="9" t="s">
        <v>1709</v>
      </c>
    </row>
    <row r="3508" spans="1:7">
      <c r="A3508" s="9" t="s">
        <v>1711</v>
      </c>
      <c r="B3508" s="13">
        <v>0.2</v>
      </c>
      <c r="C3508" s="10">
        <v>0.53100000000000003</v>
      </c>
      <c r="D3508" s="9" t="s">
        <v>1712</v>
      </c>
      <c r="E3508" s="11" t="s">
        <v>1713</v>
      </c>
      <c r="F3508" s="12" t="s">
        <v>1714</v>
      </c>
      <c r="G3508" s="9" t="s">
        <v>1709</v>
      </c>
    </row>
    <row r="3509" spans="1:7">
      <c r="A3509" s="9" t="s">
        <v>1711</v>
      </c>
      <c r="B3509" s="9">
        <v>0.2</v>
      </c>
      <c r="C3509" s="10">
        <v>-0.17100000000000001</v>
      </c>
      <c r="D3509" s="9" t="s">
        <v>1709</v>
      </c>
      <c r="E3509" s="11" t="s">
        <v>1710</v>
      </c>
      <c r="F3509" s="12" t="s">
        <v>1710</v>
      </c>
      <c r="G3509" s="9" t="s">
        <v>1709</v>
      </c>
    </row>
    <row r="3510" spans="1:7">
      <c r="A3510" s="9" t="s">
        <v>1711</v>
      </c>
      <c r="B3510" s="9">
        <v>0.2</v>
      </c>
      <c r="C3510" s="10">
        <v>-0.17100000000000001</v>
      </c>
      <c r="D3510" s="9" t="s">
        <v>1709</v>
      </c>
      <c r="E3510" s="11" t="s">
        <v>1710</v>
      </c>
      <c r="F3510" s="12" t="s">
        <v>1710</v>
      </c>
      <c r="G3510" s="9" t="s">
        <v>1709</v>
      </c>
    </row>
    <row r="3511" spans="1:7">
      <c r="A3511" s="9" t="s">
        <v>1711</v>
      </c>
      <c r="B3511" s="9">
        <v>0.2</v>
      </c>
      <c r="C3511" s="10">
        <v>-0.17100000000000001</v>
      </c>
      <c r="D3511" s="9" t="s">
        <v>1709</v>
      </c>
      <c r="E3511" s="11" t="s">
        <v>1710</v>
      </c>
      <c r="F3511" s="12" t="s">
        <v>1710</v>
      </c>
      <c r="G3511" s="9" t="s">
        <v>1709</v>
      </c>
    </row>
    <row r="3512" spans="1:7">
      <c r="A3512" s="9" t="s">
        <v>1711</v>
      </c>
      <c r="B3512" s="9">
        <v>0.2</v>
      </c>
      <c r="C3512" s="10">
        <v>-0.17100000000000001</v>
      </c>
      <c r="D3512" s="9" t="s">
        <v>1709</v>
      </c>
      <c r="E3512" s="11" t="s">
        <v>1710</v>
      </c>
      <c r="F3512" s="12" t="s">
        <v>1710</v>
      </c>
      <c r="G3512" s="9" t="s">
        <v>1709</v>
      </c>
    </row>
    <row r="3513" spans="1:7">
      <c r="A3513" s="9" t="s">
        <v>1711</v>
      </c>
      <c r="B3513" s="9">
        <v>0.2</v>
      </c>
      <c r="C3513" s="10">
        <v>-0.17100000000000001</v>
      </c>
      <c r="D3513" s="9" t="s">
        <v>1709</v>
      </c>
      <c r="E3513" s="11" t="s">
        <v>1710</v>
      </c>
      <c r="F3513" s="12" t="s">
        <v>1710</v>
      </c>
      <c r="G3513" s="9" t="s">
        <v>1709</v>
      </c>
    </row>
    <row r="3514" spans="1:7">
      <c r="A3514" s="9" t="s">
        <v>1711</v>
      </c>
      <c r="B3514" s="9">
        <v>0.2</v>
      </c>
      <c r="C3514" s="10">
        <v>-0.17100000000000001</v>
      </c>
      <c r="D3514" s="9" t="s">
        <v>1709</v>
      </c>
      <c r="E3514" s="11" t="s">
        <v>1710</v>
      </c>
      <c r="F3514" s="12" t="s">
        <v>1710</v>
      </c>
      <c r="G3514" s="9" t="s">
        <v>1709</v>
      </c>
    </row>
    <row r="3515" spans="1:7">
      <c r="A3515" s="9" t="s">
        <v>1711</v>
      </c>
      <c r="B3515" s="13">
        <v>0.2</v>
      </c>
      <c r="C3515" s="10">
        <v>-0.17100000000000001</v>
      </c>
      <c r="D3515" s="9" t="s">
        <v>1709</v>
      </c>
      <c r="E3515" s="11" t="s">
        <v>1710</v>
      </c>
      <c r="F3515" s="12" t="s">
        <v>1710</v>
      </c>
      <c r="G3515" s="9" t="s">
        <v>1709</v>
      </c>
    </row>
    <row r="3516" spans="1:7">
      <c r="A3516" s="9" t="s">
        <v>1711</v>
      </c>
      <c r="B3516" s="13">
        <v>0.2</v>
      </c>
      <c r="C3516" s="10">
        <v>1.8659999999999999</v>
      </c>
      <c r="D3516" s="9" t="s">
        <v>1712</v>
      </c>
      <c r="E3516" s="11" t="s">
        <v>1713</v>
      </c>
      <c r="F3516" s="12" t="s">
        <v>1714</v>
      </c>
      <c r="G3516" s="9" t="s">
        <v>1709</v>
      </c>
    </row>
    <row r="3517" spans="1:7">
      <c r="A3517" s="9" t="s">
        <v>1711</v>
      </c>
      <c r="B3517" s="9">
        <v>0.2</v>
      </c>
      <c r="C3517" s="10">
        <v>1.8659999999999999</v>
      </c>
      <c r="D3517" s="9" t="s">
        <v>1712</v>
      </c>
      <c r="E3517" s="11" t="s">
        <v>1713</v>
      </c>
      <c r="F3517" s="12" t="s">
        <v>1714</v>
      </c>
      <c r="G3517" s="9" t="s">
        <v>1709</v>
      </c>
    </row>
    <row r="3518" spans="1:7">
      <c r="A3518" s="9" t="s">
        <v>1711</v>
      </c>
      <c r="B3518" s="9">
        <v>0.2</v>
      </c>
      <c r="C3518" s="10">
        <v>1.8659999999999999</v>
      </c>
      <c r="D3518" s="9" t="s">
        <v>1712</v>
      </c>
      <c r="E3518" s="11" t="s">
        <v>1713</v>
      </c>
      <c r="F3518" s="12" t="s">
        <v>1714</v>
      </c>
      <c r="G3518" s="9" t="s">
        <v>1709</v>
      </c>
    </row>
    <row r="3519" spans="1:7">
      <c r="A3519" s="9" t="s">
        <v>1711</v>
      </c>
      <c r="B3519" s="9">
        <v>0.2</v>
      </c>
      <c r="C3519" s="10">
        <v>1.8659999999999999</v>
      </c>
      <c r="D3519" s="9" t="s">
        <v>1712</v>
      </c>
      <c r="E3519" s="11" t="s">
        <v>1713</v>
      </c>
      <c r="F3519" s="12" t="s">
        <v>1714</v>
      </c>
      <c r="G3519" s="9" t="s">
        <v>1709</v>
      </c>
    </row>
    <row r="3520" spans="1:7">
      <c r="A3520" s="9" t="s">
        <v>1711</v>
      </c>
      <c r="B3520" s="9">
        <v>0.2</v>
      </c>
      <c r="C3520" s="10">
        <v>1.8659999999999999</v>
      </c>
      <c r="D3520" s="9" t="s">
        <v>1712</v>
      </c>
      <c r="E3520" s="11" t="s">
        <v>1713</v>
      </c>
      <c r="F3520" s="12" t="s">
        <v>1714</v>
      </c>
      <c r="G3520" s="9" t="s">
        <v>1709</v>
      </c>
    </row>
    <row r="3521" spans="1:7">
      <c r="A3521" s="9" t="s">
        <v>1711</v>
      </c>
      <c r="B3521" s="9">
        <v>0.2</v>
      </c>
      <c r="C3521" s="10">
        <v>1.8659999999999999</v>
      </c>
      <c r="D3521" s="9" t="s">
        <v>1712</v>
      </c>
      <c r="E3521" s="11" t="s">
        <v>1713</v>
      </c>
      <c r="F3521" s="12" t="s">
        <v>1714</v>
      </c>
      <c r="G3521" s="9" t="s">
        <v>1709</v>
      </c>
    </row>
    <row r="3522" spans="1:7">
      <c r="A3522" s="9" t="s">
        <v>1711</v>
      </c>
      <c r="B3522" s="9">
        <v>0.2</v>
      </c>
      <c r="C3522" s="10">
        <v>1.8659999999999999</v>
      </c>
      <c r="D3522" s="9" t="s">
        <v>1712</v>
      </c>
      <c r="E3522" s="11" t="s">
        <v>1713</v>
      </c>
      <c r="F3522" s="12" t="s">
        <v>1714</v>
      </c>
      <c r="G3522" s="9" t="s">
        <v>1709</v>
      </c>
    </row>
    <row r="3523" spans="1:7">
      <c r="A3523" s="9" t="s">
        <v>1711</v>
      </c>
      <c r="B3523" s="9">
        <v>0.2</v>
      </c>
      <c r="C3523" s="10">
        <v>1.8659999999999999</v>
      </c>
      <c r="D3523" s="9" t="s">
        <v>1712</v>
      </c>
      <c r="E3523" s="11" t="s">
        <v>1713</v>
      </c>
      <c r="F3523" s="12" t="s">
        <v>1714</v>
      </c>
      <c r="G3523" s="9" t="s">
        <v>1709</v>
      </c>
    </row>
    <row r="3524" spans="1:7">
      <c r="A3524" s="9" t="s">
        <v>1711</v>
      </c>
      <c r="B3524" s="13">
        <v>0.2</v>
      </c>
      <c r="C3524" s="10">
        <v>1.8659999999999999</v>
      </c>
      <c r="D3524" s="9" t="s">
        <v>1712</v>
      </c>
      <c r="E3524" s="11" t="s">
        <v>1713</v>
      </c>
      <c r="F3524" s="12" t="s">
        <v>1714</v>
      </c>
      <c r="G3524" s="9" t="s">
        <v>1709</v>
      </c>
    </row>
    <row r="3525" spans="1:7">
      <c r="A3525" s="9" t="s">
        <v>1711</v>
      </c>
      <c r="B3525" s="13">
        <v>0.2</v>
      </c>
      <c r="C3525" s="10">
        <v>1.8659999999999999</v>
      </c>
      <c r="D3525" s="9" t="s">
        <v>1712</v>
      </c>
      <c r="E3525" s="11" t="s">
        <v>1713</v>
      </c>
      <c r="F3525" s="12" t="s">
        <v>1714</v>
      </c>
      <c r="G3525" s="9" t="s">
        <v>1709</v>
      </c>
    </row>
    <row r="3526" spans="1:7">
      <c r="A3526" s="9" t="s">
        <v>1711</v>
      </c>
      <c r="B3526" s="13">
        <v>0.2</v>
      </c>
      <c r="C3526" s="10">
        <v>1.8659999999999999</v>
      </c>
      <c r="D3526" s="9" t="s">
        <v>1712</v>
      </c>
      <c r="E3526" s="11" t="s">
        <v>1713</v>
      </c>
      <c r="F3526" s="12" t="s">
        <v>1714</v>
      </c>
      <c r="G3526" s="9" t="s">
        <v>1709</v>
      </c>
    </row>
    <row r="3527" spans="1:7">
      <c r="A3527" s="9" t="s">
        <v>1711</v>
      </c>
      <c r="B3527" s="13">
        <v>0.2</v>
      </c>
      <c r="C3527" s="10">
        <v>1.8659999999999999</v>
      </c>
      <c r="D3527" s="9" t="s">
        <v>1712</v>
      </c>
      <c r="E3527" s="11" t="s">
        <v>1713</v>
      </c>
      <c r="F3527" s="12" t="s">
        <v>1714</v>
      </c>
      <c r="G3527" s="9" t="s">
        <v>1709</v>
      </c>
    </row>
    <row r="3528" spans="1:7">
      <c r="A3528" s="9" t="s">
        <v>1711</v>
      </c>
      <c r="B3528" s="13">
        <v>0.2</v>
      </c>
      <c r="C3528" s="10">
        <v>1.8659999999999999</v>
      </c>
      <c r="D3528" s="9" t="s">
        <v>1712</v>
      </c>
      <c r="E3528" s="11" t="s">
        <v>1713</v>
      </c>
      <c r="F3528" s="12" t="s">
        <v>1714</v>
      </c>
      <c r="G3528" s="9" t="s">
        <v>1709</v>
      </c>
    </row>
    <row r="3529" spans="1:7">
      <c r="A3529" s="9" t="s">
        <v>1711</v>
      </c>
      <c r="B3529" s="9">
        <v>0.2</v>
      </c>
      <c r="C3529" s="10">
        <v>1.8659999999999999</v>
      </c>
      <c r="D3529" s="9" t="s">
        <v>1712</v>
      </c>
      <c r="E3529" s="11" t="s">
        <v>1713</v>
      </c>
      <c r="F3529" s="12" t="s">
        <v>1714</v>
      </c>
      <c r="G3529" s="9" t="s">
        <v>1709</v>
      </c>
    </row>
    <row r="3530" spans="1:7">
      <c r="A3530" s="9" t="s">
        <v>1711</v>
      </c>
      <c r="B3530" s="9">
        <v>0.2</v>
      </c>
      <c r="C3530" s="10">
        <v>1.8659999999999999</v>
      </c>
      <c r="D3530" s="9" t="s">
        <v>1712</v>
      </c>
      <c r="E3530" s="11" t="s">
        <v>1713</v>
      </c>
      <c r="F3530" s="12" t="s">
        <v>1714</v>
      </c>
      <c r="G3530" s="9" t="s">
        <v>1709</v>
      </c>
    </row>
    <row r="3531" spans="1:7">
      <c r="A3531" s="9" t="s">
        <v>1711</v>
      </c>
      <c r="B3531" s="9">
        <v>0.2</v>
      </c>
      <c r="C3531" s="10">
        <v>1.8659999999999999</v>
      </c>
      <c r="D3531" s="9" t="s">
        <v>1712</v>
      </c>
      <c r="E3531" s="11" t="s">
        <v>1713</v>
      </c>
      <c r="F3531" s="12" t="s">
        <v>1714</v>
      </c>
      <c r="G3531" s="9" t="s">
        <v>1709</v>
      </c>
    </row>
    <row r="3532" spans="1:7">
      <c r="A3532" s="9" t="s">
        <v>1711</v>
      </c>
      <c r="B3532" s="9">
        <v>0.2</v>
      </c>
      <c r="C3532" s="10">
        <v>1.8659999999999999</v>
      </c>
      <c r="D3532" s="9" t="s">
        <v>1712</v>
      </c>
      <c r="E3532" s="11" t="s">
        <v>1713</v>
      </c>
      <c r="F3532" s="12" t="s">
        <v>1714</v>
      </c>
      <c r="G3532" s="9" t="s">
        <v>1709</v>
      </c>
    </row>
    <row r="3533" spans="1:7">
      <c r="A3533" s="9" t="s">
        <v>1711</v>
      </c>
      <c r="B3533" s="9">
        <v>0.2</v>
      </c>
      <c r="C3533" s="10">
        <v>1.8659999999999999</v>
      </c>
      <c r="D3533" s="9" t="s">
        <v>1712</v>
      </c>
      <c r="E3533" s="11" t="s">
        <v>1713</v>
      </c>
      <c r="F3533" s="12" t="s">
        <v>1714</v>
      </c>
      <c r="G3533" s="9" t="s">
        <v>1709</v>
      </c>
    </row>
    <row r="3534" spans="1:7">
      <c r="A3534" s="9" t="s">
        <v>1711</v>
      </c>
      <c r="B3534" s="13">
        <v>0.2</v>
      </c>
      <c r="C3534" s="10">
        <v>1.8659999999999999</v>
      </c>
      <c r="D3534" s="9" t="s">
        <v>1712</v>
      </c>
      <c r="E3534" s="11" t="s">
        <v>1713</v>
      </c>
      <c r="F3534" s="12" t="s">
        <v>1714</v>
      </c>
      <c r="G3534" s="9" t="s">
        <v>1709</v>
      </c>
    </row>
    <row r="3535" spans="1:7">
      <c r="A3535" s="9" t="s">
        <v>1711</v>
      </c>
      <c r="B3535" s="13">
        <v>0.2</v>
      </c>
      <c r="C3535" s="10">
        <v>1.8659999999999999</v>
      </c>
      <c r="D3535" s="9" t="s">
        <v>1712</v>
      </c>
      <c r="E3535" s="11" t="s">
        <v>1713</v>
      </c>
      <c r="F3535" s="12" t="s">
        <v>1714</v>
      </c>
      <c r="G3535" s="9" t="s">
        <v>1709</v>
      </c>
    </row>
    <row r="3536" spans="1:7">
      <c r="A3536" s="9" t="s">
        <v>1711</v>
      </c>
      <c r="B3536" s="13">
        <v>0.2</v>
      </c>
      <c r="C3536" s="10">
        <v>1.8659999999999999</v>
      </c>
      <c r="D3536" s="9" t="s">
        <v>1712</v>
      </c>
      <c r="E3536" s="11" t="s">
        <v>1713</v>
      </c>
      <c r="F3536" s="12" t="s">
        <v>1714</v>
      </c>
      <c r="G3536" s="9" t="s">
        <v>1709</v>
      </c>
    </row>
    <row r="3537" spans="1:7">
      <c r="A3537" s="9" t="s">
        <v>1711</v>
      </c>
      <c r="B3537" s="13">
        <v>0.2</v>
      </c>
      <c r="C3537" s="10">
        <v>1.8659999999999999</v>
      </c>
      <c r="D3537" s="9" t="s">
        <v>1712</v>
      </c>
      <c r="E3537" s="11" t="s">
        <v>1713</v>
      </c>
      <c r="F3537" s="12" t="s">
        <v>1714</v>
      </c>
      <c r="G3537" s="9" t="s">
        <v>1709</v>
      </c>
    </row>
    <row r="3538" spans="1:7">
      <c r="A3538" s="9" t="s">
        <v>1711</v>
      </c>
      <c r="B3538" s="13">
        <v>0.2</v>
      </c>
      <c r="C3538" s="10">
        <v>1.8659999999999999</v>
      </c>
      <c r="D3538" s="9" t="s">
        <v>1712</v>
      </c>
      <c r="E3538" s="11" t="s">
        <v>1713</v>
      </c>
      <c r="F3538" s="12" t="s">
        <v>1714</v>
      </c>
      <c r="G3538" s="9" t="s">
        <v>1709</v>
      </c>
    </row>
    <row r="3539" spans="1:7">
      <c r="A3539" s="9" t="s">
        <v>1711</v>
      </c>
      <c r="B3539" s="13">
        <v>0.2</v>
      </c>
      <c r="C3539" s="10">
        <v>1.8659999999999999</v>
      </c>
      <c r="D3539" s="9" t="s">
        <v>1712</v>
      </c>
      <c r="E3539" s="11" t="s">
        <v>1713</v>
      </c>
      <c r="F3539" s="12" t="s">
        <v>1714</v>
      </c>
      <c r="G3539" s="9" t="s">
        <v>1709</v>
      </c>
    </row>
    <row r="3540" spans="1:7">
      <c r="A3540" s="9" t="s">
        <v>1711</v>
      </c>
      <c r="B3540" s="13">
        <v>0.2</v>
      </c>
      <c r="C3540" s="10">
        <v>1.8659999999999999</v>
      </c>
      <c r="D3540" s="9" t="s">
        <v>1712</v>
      </c>
      <c r="E3540" s="11" t="s">
        <v>1713</v>
      </c>
      <c r="F3540" s="12" t="s">
        <v>1714</v>
      </c>
      <c r="G3540" s="9" t="s">
        <v>1709</v>
      </c>
    </row>
    <row r="3541" spans="1:7">
      <c r="A3541" s="9" t="s">
        <v>1711</v>
      </c>
      <c r="B3541" s="9">
        <v>0.2</v>
      </c>
      <c r="C3541" s="10">
        <v>1.8659999999999999</v>
      </c>
      <c r="D3541" s="9" t="s">
        <v>1712</v>
      </c>
      <c r="E3541" s="11" t="s">
        <v>1713</v>
      </c>
      <c r="F3541" s="12" t="s">
        <v>1714</v>
      </c>
      <c r="G3541" s="9" t="s">
        <v>1709</v>
      </c>
    </row>
    <row r="3542" spans="1:7">
      <c r="A3542" s="9" t="s">
        <v>1711</v>
      </c>
      <c r="B3542" s="9">
        <v>0.2</v>
      </c>
      <c r="C3542" s="10">
        <v>1.8659999999999999</v>
      </c>
      <c r="D3542" s="9" t="s">
        <v>1712</v>
      </c>
      <c r="E3542" s="11" t="s">
        <v>1713</v>
      </c>
      <c r="F3542" s="12" t="s">
        <v>1714</v>
      </c>
      <c r="G3542" s="9" t="s">
        <v>1709</v>
      </c>
    </row>
    <row r="3543" spans="1:7">
      <c r="A3543" s="9" t="s">
        <v>1711</v>
      </c>
      <c r="B3543" s="9">
        <v>0.2</v>
      </c>
      <c r="C3543" s="10">
        <v>1.8659999999999999</v>
      </c>
      <c r="D3543" s="9" t="s">
        <v>1712</v>
      </c>
      <c r="E3543" s="11" t="s">
        <v>1713</v>
      </c>
      <c r="F3543" s="12" t="s">
        <v>1714</v>
      </c>
      <c r="G3543" s="9" t="s">
        <v>1709</v>
      </c>
    </row>
    <row r="3544" spans="1:7">
      <c r="A3544" s="9" t="s">
        <v>1711</v>
      </c>
      <c r="B3544" s="9">
        <v>0.2</v>
      </c>
      <c r="C3544" s="10">
        <v>1.8659999999999999</v>
      </c>
      <c r="D3544" s="9" t="s">
        <v>1712</v>
      </c>
      <c r="E3544" s="11" t="s">
        <v>1713</v>
      </c>
      <c r="F3544" s="12" t="s">
        <v>1714</v>
      </c>
      <c r="G3544" s="9" t="s">
        <v>1709</v>
      </c>
    </row>
    <row r="3545" spans="1:7">
      <c r="A3545" s="9" t="s">
        <v>1711</v>
      </c>
      <c r="B3545" s="9">
        <v>0.2</v>
      </c>
      <c r="C3545" s="10">
        <v>9.0000000000000011E-3</v>
      </c>
      <c r="D3545" s="9" t="s">
        <v>1712</v>
      </c>
      <c r="E3545" s="11" t="s">
        <v>1715</v>
      </c>
      <c r="F3545" s="12" t="s">
        <v>1714</v>
      </c>
      <c r="G3545" s="9" t="s">
        <v>1709</v>
      </c>
    </row>
    <row r="3546" spans="1:7">
      <c r="A3546" s="9" t="s">
        <v>1711</v>
      </c>
      <c r="B3546" s="13">
        <v>0.2</v>
      </c>
      <c r="C3546" s="10">
        <v>-3.0000000000000001E-3</v>
      </c>
      <c r="D3546" s="9" t="s">
        <v>1709</v>
      </c>
      <c r="E3546" s="11" t="s">
        <v>1710</v>
      </c>
      <c r="F3546" s="12" t="s">
        <v>1710</v>
      </c>
      <c r="G3546" s="9" t="s">
        <v>1709</v>
      </c>
    </row>
    <row r="3547" spans="1:7">
      <c r="A3547" s="9" t="s">
        <v>1711</v>
      </c>
      <c r="B3547" s="9">
        <v>0.2</v>
      </c>
      <c r="C3547" s="10">
        <v>-3.4000000000000002E-2</v>
      </c>
      <c r="D3547" s="9" t="s">
        <v>1709</v>
      </c>
      <c r="E3547" s="11" t="s">
        <v>1710</v>
      </c>
      <c r="F3547" s="12" t="s">
        <v>1710</v>
      </c>
      <c r="G3547" s="9" t="s">
        <v>1709</v>
      </c>
    </row>
    <row r="3548" spans="1:7">
      <c r="A3548" s="9" t="s">
        <v>1711</v>
      </c>
      <c r="B3548" s="13">
        <v>0.2</v>
      </c>
      <c r="C3548" s="10">
        <v>0.45700000000000002</v>
      </c>
      <c r="D3548" s="9" t="s">
        <v>1712</v>
      </c>
      <c r="E3548" s="11" t="s">
        <v>1738</v>
      </c>
      <c r="F3548" s="12" t="s">
        <v>1714</v>
      </c>
      <c r="G3548" s="9" t="s">
        <v>1709</v>
      </c>
    </row>
    <row r="3549" spans="1:7">
      <c r="A3549" s="9" t="s">
        <v>1711</v>
      </c>
      <c r="B3549" s="9">
        <v>0.2</v>
      </c>
      <c r="C3549" s="10">
        <v>0.93800000000000006</v>
      </c>
      <c r="D3549" s="9" t="s">
        <v>1712</v>
      </c>
      <c r="E3549" s="11" t="s">
        <v>1713</v>
      </c>
      <c r="F3549" s="12" t="s">
        <v>1714</v>
      </c>
      <c r="G3549" s="9" t="s">
        <v>1709</v>
      </c>
    </row>
    <row r="3550" spans="1:7">
      <c r="A3550" s="9" t="s">
        <v>1711</v>
      </c>
      <c r="B3550" s="9">
        <v>0.2</v>
      </c>
      <c r="C3550" s="10">
        <v>-0.19400000000000001</v>
      </c>
      <c r="D3550" s="9" t="s">
        <v>1709</v>
      </c>
      <c r="E3550" s="11" t="s">
        <v>1710</v>
      </c>
      <c r="F3550" s="12" t="s">
        <v>1710</v>
      </c>
      <c r="G3550" s="9" t="s">
        <v>1709</v>
      </c>
    </row>
    <row r="3551" spans="1:7">
      <c r="A3551" s="9" t="s">
        <v>1711</v>
      </c>
      <c r="B3551" s="9">
        <v>0.2</v>
      </c>
      <c r="C3551" s="10">
        <v>-0.107</v>
      </c>
      <c r="D3551" s="9" t="s">
        <v>1709</v>
      </c>
      <c r="E3551" s="11" t="s">
        <v>1710</v>
      </c>
      <c r="F3551" s="12" t="s">
        <v>1710</v>
      </c>
      <c r="G3551" s="9" t="s">
        <v>1709</v>
      </c>
    </row>
    <row r="3552" spans="1:7">
      <c r="A3552" s="9" t="s">
        <v>1711</v>
      </c>
      <c r="B3552" s="9">
        <v>0.2</v>
      </c>
      <c r="C3552" s="10">
        <v>-0.17</v>
      </c>
      <c r="D3552" s="9" t="s">
        <v>1709</v>
      </c>
      <c r="E3552" s="11" t="s">
        <v>1710</v>
      </c>
      <c r="F3552" s="12" t="s">
        <v>1710</v>
      </c>
      <c r="G3552" s="9" t="s">
        <v>1709</v>
      </c>
    </row>
    <row r="3553" spans="1:7">
      <c r="A3553" s="9" t="s">
        <v>1711</v>
      </c>
      <c r="B3553" s="13">
        <v>0.2</v>
      </c>
      <c r="C3553" s="10">
        <v>0.64800000000000002</v>
      </c>
      <c r="D3553" s="9" t="s">
        <v>1712</v>
      </c>
      <c r="E3553" s="11" t="s">
        <v>1713</v>
      </c>
      <c r="F3553" s="12" t="s">
        <v>1714</v>
      </c>
      <c r="G3553" s="9" t="s">
        <v>1709</v>
      </c>
    </row>
    <row r="3554" spans="1:7">
      <c r="A3554" s="9" t="s">
        <v>1711</v>
      </c>
      <c r="B3554" s="13">
        <v>0.2</v>
      </c>
      <c r="C3554" s="10">
        <v>-3.6999999999999998E-2</v>
      </c>
      <c r="D3554" s="9" t="s">
        <v>1709</v>
      </c>
      <c r="E3554" s="11" t="s">
        <v>1710</v>
      </c>
      <c r="F3554" s="12" t="s">
        <v>1710</v>
      </c>
      <c r="G3554" s="9" t="s">
        <v>1709</v>
      </c>
    </row>
    <row r="3555" spans="1:7">
      <c r="A3555" s="9" t="s">
        <v>1711</v>
      </c>
      <c r="B3555" s="9">
        <v>0.2</v>
      </c>
      <c r="C3555" s="10">
        <v>0.76900000000000002</v>
      </c>
      <c r="D3555" s="9" t="s">
        <v>1712</v>
      </c>
      <c r="E3555" s="11" t="s">
        <v>1713</v>
      </c>
      <c r="F3555" s="12" t="s">
        <v>1714</v>
      </c>
      <c r="G3555" s="9" t="s">
        <v>1709</v>
      </c>
    </row>
    <row r="3556" spans="1:7">
      <c r="A3556" s="9" t="s">
        <v>1711</v>
      </c>
      <c r="B3556" s="9">
        <v>0.2</v>
      </c>
      <c r="C3556" s="10">
        <v>0.215</v>
      </c>
      <c r="D3556" s="9" t="s">
        <v>1712</v>
      </c>
      <c r="E3556" s="11" t="s">
        <v>1713</v>
      </c>
      <c r="F3556" s="12" t="s">
        <v>1714</v>
      </c>
      <c r="G3556" s="9" t="s">
        <v>1709</v>
      </c>
    </row>
    <row r="3557" spans="1:7">
      <c r="A3557" s="9" t="s">
        <v>1711</v>
      </c>
      <c r="B3557" s="13">
        <v>0.2</v>
      </c>
      <c r="C3557" s="10">
        <v>-0.08</v>
      </c>
      <c r="D3557" s="9" t="s">
        <v>1709</v>
      </c>
      <c r="E3557" s="11" t="s">
        <v>1710</v>
      </c>
      <c r="F3557" s="12" t="s">
        <v>1710</v>
      </c>
      <c r="G3557" s="9" t="s">
        <v>1709</v>
      </c>
    </row>
    <row r="3558" spans="1:7">
      <c r="A3558" s="9" t="s">
        <v>1711</v>
      </c>
      <c r="B3558" s="13">
        <v>0.2</v>
      </c>
      <c r="C3558" s="10">
        <v>-0.08</v>
      </c>
      <c r="D3558" s="9" t="s">
        <v>1709</v>
      </c>
      <c r="E3558" s="11" t="s">
        <v>1710</v>
      </c>
      <c r="F3558" s="12" t="s">
        <v>1710</v>
      </c>
      <c r="G3558" s="9" t="s">
        <v>1709</v>
      </c>
    </row>
    <row r="3559" spans="1:7">
      <c r="A3559" s="9" t="s">
        <v>1711</v>
      </c>
      <c r="B3559" s="9">
        <v>0.2</v>
      </c>
      <c r="C3559" s="10">
        <v>-0.08</v>
      </c>
      <c r="D3559" s="9" t="s">
        <v>1709</v>
      </c>
      <c r="E3559" s="11" t="s">
        <v>1710</v>
      </c>
      <c r="F3559" s="12" t="s">
        <v>1710</v>
      </c>
      <c r="G3559" s="9" t="s">
        <v>1709</v>
      </c>
    </row>
    <row r="3560" spans="1:7">
      <c r="A3560" s="9" t="s">
        <v>1711</v>
      </c>
      <c r="B3560" s="9">
        <v>0.2</v>
      </c>
      <c r="C3560" s="10">
        <v>-0.08</v>
      </c>
      <c r="D3560" s="9" t="s">
        <v>1709</v>
      </c>
      <c r="E3560" s="11" t="s">
        <v>1710</v>
      </c>
      <c r="F3560" s="12" t="s">
        <v>1710</v>
      </c>
      <c r="G3560" s="9" t="s">
        <v>1709</v>
      </c>
    </row>
    <row r="3561" spans="1:7">
      <c r="A3561" s="9" t="s">
        <v>1711</v>
      </c>
      <c r="B3561" s="9">
        <v>0.2</v>
      </c>
      <c r="C3561" s="10">
        <v>-0.08</v>
      </c>
      <c r="D3561" s="9" t="s">
        <v>1709</v>
      </c>
      <c r="E3561" s="11" t="s">
        <v>1710</v>
      </c>
      <c r="F3561" s="12" t="s">
        <v>1710</v>
      </c>
      <c r="G3561" s="9" t="s">
        <v>1709</v>
      </c>
    </row>
    <row r="3562" spans="1:7">
      <c r="A3562" s="9" t="s">
        <v>1711</v>
      </c>
      <c r="B3562" s="13">
        <v>0.2</v>
      </c>
      <c r="C3562" s="10">
        <v>-0.08</v>
      </c>
      <c r="D3562" s="9" t="s">
        <v>1709</v>
      </c>
      <c r="E3562" s="11" t="s">
        <v>1710</v>
      </c>
      <c r="F3562" s="12" t="s">
        <v>1710</v>
      </c>
      <c r="G3562" s="9" t="s">
        <v>1709</v>
      </c>
    </row>
    <row r="3563" spans="1:7">
      <c r="A3563" s="9" t="s">
        <v>1711</v>
      </c>
      <c r="B3563" s="9">
        <v>0.2</v>
      </c>
      <c r="C3563" s="10">
        <v>-0.08</v>
      </c>
      <c r="D3563" s="9" t="s">
        <v>1709</v>
      </c>
      <c r="E3563" s="11" t="s">
        <v>1710</v>
      </c>
      <c r="F3563" s="12" t="s">
        <v>1710</v>
      </c>
      <c r="G3563" s="9" t="s">
        <v>1709</v>
      </c>
    </row>
    <row r="3564" spans="1:7">
      <c r="A3564" s="9" t="s">
        <v>1711</v>
      </c>
      <c r="B3564" s="13">
        <v>0.2</v>
      </c>
      <c r="C3564" s="10">
        <v>-0.08</v>
      </c>
      <c r="D3564" s="9" t="s">
        <v>1709</v>
      </c>
      <c r="E3564" s="11" t="s">
        <v>1710</v>
      </c>
      <c r="F3564" s="12" t="s">
        <v>1710</v>
      </c>
      <c r="G3564" s="9" t="s">
        <v>1709</v>
      </c>
    </row>
    <row r="3565" spans="1:7">
      <c r="A3565" s="9" t="s">
        <v>1711</v>
      </c>
      <c r="B3565" s="13">
        <v>0.2</v>
      </c>
      <c r="C3565" s="10">
        <v>-0.08</v>
      </c>
      <c r="D3565" s="9" t="s">
        <v>1709</v>
      </c>
      <c r="E3565" s="11" t="s">
        <v>1710</v>
      </c>
      <c r="F3565" s="12" t="s">
        <v>1710</v>
      </c>
      <c r="G3565" s="9" t="s">
        <v>1709</v>
      </c>
    </row>
    <row r="3566" spans="1:7">
      <c r="A3566" s="9" t="s">
        <v>1711</v>
      </c>
      <c r="B3566" s="13">
        <v>0.2</v>
      </c>
      <c r="C3566" s="10">
        <v>0.19800000000000001</v>
      </c>
      <c r="D3566" s="9" t="s">
        <v>1712</v>
      </c>
      <c r="E3566" s="11" t="s">
        <v>1713</v>
      </c>
      <c r="F3566" s="12" t="s">
        <v>1714</v>
      </c>
      <c r="G3566" s="9" t="s">
        <v>1709</v>
      </c>
    </row>
    <row r="3567" spans="1:7">
      <c r="A3567" s="9" t="s">
        <v>1711</v>
      </c>
      <c r="B3567" s="13">
        <v>0.2</v>
      </c>
      <c r="C3567" s="10">
        <v>0.19800000000000001</v>
      </c>
      <c r="D3567" s="9" t="s">
        <v>1712</v>
      </c>
      <c r="E3567" s="11" t="s">
        <v>1713</v>
      </c>
      <c r="F3567" s="12" t="s">
        <v>1714</v>
      </c>
      <c r="G3567" s="9" t="s">
        <v>1709</v>
      </c>
    </row>
    <row r="3568" spans="1:7">
      <c r="A3568" s="9" t="s">
        <v>1711</v>
      </c>
      <c r="B3568" s="13">
        <v>0.2</v>
      </c>
      <c r="C3568" s="10">
        <v>0.19800000000000001</v>
      </c>
      <c r="D3568" s="9" t="s">
        <v>1712</v>
      </c>
      <c r="E3568" s="11" t="s">
        <v>1713</v>
      </c>
      <c r="F3568" s="12" t="s">
        <v>1714</v>
      </c>
      <c r="G3568" s="9" t="s">
        <v>1709</v>
      </c>
    </row>
    <row r="3569" spans="1:7">
      <c r="A3569" s="9" t="s">
        <v>1711</v>
      </c>
      <c r="B3569" s="13">
        <v>0.2</v>
      </c>
      <c r="C3569" s="10">
        <v>0.19800000000000001</v>
      </c>
      <c r="D3569" s="9" t="s">
        <v>1712</v>
      </c>
      <c r="E3569" s="11" t="s">
        <v>1713</v>
      </c>
      <c r="F3569" s="12" t="s">
        <v>1714</v>
      </c>
      <c r="G3569" s="9" t="s">
        <v>1709</v>
      </c>
    </row>
    <row r="3570" spans="1:7">
      <c r="A3570" s="9" t="s">
        <v>1711</v>
      </c>
      <c r="B3570" s="13">
        <v>0.2</v>
      </c>
      <c r="C3570" s="10">
        <v>0.19800000000000001</v>
      </c>
      <c r="D3570" s="9" t="s">
        <v>1712</v>
      </c>
      <c r="E3570" s="11" t="s">
        <v>1713</v>
      </c>
      <c r="F3570" s="12" t="s">
        <v>1714</v>
      </c>
      <c r="G3570" s="9" t="s">
        <v>1709</v>
      </c>
    </row>
    <row r="3571" spans="1:7">
      <c r="A3571" s="9" t="s">
        <v>1711</v>
      </c>
      <c r="B3571" s="9">
        <v>0.2</v>
      </c>
      <c r="C3571" s="10">
        <v>0.33300000000000002</v>
      </c>
      <c r="D3571" s="9" t="s">
        <v>1712</v>
      </c>
      <c r="E3571" s="11" t="s">
        <v>1736</v>
      </c>
      <c r="F3571" s="12" t="s">
        <v>1714</v>
      </c>
      <c r="G3571" s="9" t="s">
        <v>1709</v>
      </c>
    </row>
    <row r="3572" spans="1:7">
      <c r="A3572" s="9" t="s">
        <v>1711</v>
      </c>
      <c r="B3572" s="9">
        <v>0.2</v>
      </c>
      <c r="C3572" s="10">
        <v>0.33300000000000002</v>
      </c>
      <c r="D3572" s="9" t="s">
        <v>1712</v>
      </c>
      <c r="E3572" s="11" t="s">
        <v>1736</v>
      </c>
      <c r="F3572" s="12" t="s">
        <v>1714</v>
      </c>
      <c r="G3572" s="9" t="s">
        <v>1709</v>
      </c>
    </row>
    <row r="3573" spans="1:7">
      <c r="A3573" s="9" t="s">
        <v>1711</v>
      </c>
      <c r="B3573" s="13">
        <v>0.2</v>
      </c>
      <c r="C3573" s="10">
        <v>0.245</v>
      </c>
      <c r="D3573" s="9" t="s">
        <v>1712</v>
      </c>
      <c r="E3573" s="11" t="s">
        <v>1736</v>
      </c>
      <c r="F3573" s="12" t="s">
        <v>1714</v>
      </c>
      <c r="G3573" s="9" t="s">
        <v>1709</v>
      </c>
    </row>
    <row r="3574" spans="1:7">
      <c r="A3574" s="9" t="s">
        <v>1711</v>
      </c>
      <c r="B3574" s="13">
        <v>0.2</v>
      </c>
      <c r="C3574" s="10">
        <v>0.85499999999999998</v>
      </c>
      <c r="D3574" s="9" t="s">
        <v>1712</v>
      </c>
      <c r="E3574" s="11" t="s">
        <v>1736</v>
      </c>
      <c r="F3574" s="12" t="s">
        <v>1714</v>
      </c>
      <c r="G3574" s="9" t="s">
        <v>1709</v>
      </c>
    </row>
    <row r="3575" spans="1:7">
      <c r="A3575" s="9" t="s">
        <v>1711</v>
      </c>
      <c r="B3575" s="13">
        <v>0.2</v>
      </c>
      <c r="C3575" s="10">
        <v>0.97499999999999998</v>
      </c>
      <c r="D3575" s="9" t="s">
        <v>1712</v>
      </c>
      <c r="E3575" s="11" t="s">
        <v>1736</v>
      </c>
      <c r="F3575" s="12" t="s">
        <v>1714</v>
      </c>
      <c r="G3575" s="9" t="s">
        <v>1709</v>
      </c>
    </row>
    <row r="3576" spans="1:7">
      <c r="A3576" s="9" t="s">
        <v>1711</v>
      </c>
      <c r="B3576" s="13">
        <v>0.2</v>
      </c>
      <c r="C3576" s="10">
        <v>0.70299999999999996</v>
      </c>
      <c r="D3576" s="9" t="s">
        <v>1712</v>
      </c>
      <c r="E3576" s="11" t="s">
        <v>1736</v>
      </c>
      <c r="F3576" s="12" t="s">
        <v>1714</v>
      </c>
      <c r="G3576" s="9" t="s">
        <v>1709</v>
      </c>
    </row>
    <row r="3577" spans="1:7">
      <c r="A3577" s="9" t="s">
        <v>1711</v>
      </c>
      <c r="B3577" s="9">
        <v>0.2</v>
      </c>
      <c r="C3577" s="10">
        <v>0.45700000000000002</v>
      </c>
      <c r="D3577" s="9" t="s">
        <v>1712</v>
      </c>
      <c r="E3577" s="11" t="s">
        <v>1738</v>
      </c>
      <c r="F3577" s="12" t="s">
        <v>1714</v>
      </c>
      <c r="G3577" s="9" t="s">
        <v>1709</v>
      </c>
    </row>
    <row r="3578" spans="1:7">
      <c r="A3578" s="9" t="s">
        <v>1711</v>
      </c>
      <c r="B3578" s="9">
        <v>0.2</v>
      </c>
      <c r="C3578" s="10">
        <v>0.45700000000000002</v>
      </c>
      <c r="D3578" s="9" t="s">
        <v>1712</v>
      </c>
      <c r="E3578" s="11" t="s">
        <v>1738</v>
      </c>
      <c r="F3578" s="12" t="s">
        <v>1714</v>
      </c>
      <c r="G3578" s="9" t="s">
        <v>1709</v>
      </c>
    </row>
    <row r="3579" spans="1:7">
      <c r="A3579" s="9" t="s">
        <v>1711</v>
      </c>
      <c r="B3579" s="13">
        <v>0.2</v>
      </c>
      <c r="C3579" s="10">
        <v>0.45700000000000002</v>
      </c>
      <c r="D3579" s="9" t="s">
        <v>1712</v>
      </c>
      <c r="E3579" s="11" t="s">
        <v>1738</v>
      </c>
      <c r="F3579" s="12" t="s">
        <v>1714</v>
      </c>
      <c r="G3579" s="9" t="s">
        <v>1709</v>
      </c>
    </row>
    <row r="3580" spans="1:7">
      <c r="A3580" s="9" t="s">
        <v>1711</v>
      </c>
      <c r="B3580" s="9">
        <v>0.2</v>
      </c>
      <c r="C3580" s="10">
        <v>0.71</v>
      </c>
      <c r="D3580" s="9" t="s">
        <v>1712</v>
      </c>
      <c r="E3580" s="11" t="s">
        <v>1738</v>
      </c>
      <c r="F3580" s="12" t="s">
        <v>1714</v>
      </c>
      <c r="G3580" s="9" t="s">
        <v>1709</v>
      </c>
    </row>
    <row r="3581" spans="1:7">
      <c r="A3581" s="9" t="s">
        <v>1711</v>
      </c>
      <c r="B3581" s="9">
        <v>0.2</v>
      </c>
      <c r="C3581" s="10">
        <v>0.71</v>
      </c>
      <c r="D3581" s="9" t="s">
        <v>1712</v>
      </c>
      <c r="E3581" s="11" t="s">
        <v>1738</v>
      </c>
      <c r="F3581" s="12" t="s">
        <v>1714</v>
      </c>
      <c r="G3581" s="9" t="s">
        <v>1709</v>
      </c>
    </row>
    <row r="3582" spans="1:7">
      <c r="A3582" s="9" t="s">
        <v>1711</v>
      </c>
      <c r="B3582" s="9">
        <v>0.2</v>
      </c>
      <c r="C3582" s="10">
        <v>0.255</v>
      </c>
      <c r="D3582" s="9" t="s">
        <v>1712</v>
      </c>
      <c r="E3582" s="11" t="s">
        <v>1738</v>
      </c>
      <c r="F3582" s="12" t="s">
        <v>1714</v>
      </c>
      <c r="G3582" s="9" t="s">
        <v>1709</v>
      </c>
    </row>
    <row r="3583" spans="1:7">
      <c r="A3583" s="9" t="s">
        <v>1711</v>
      </c>
      <c r="B3583" s="9">
        <v>0.2</v>
      </c>
      <c r="C3583" s="10">
        <v>0.26600000000000001</v>
      </c>
      <c r="D3583" s="9" t="s">
        <v>1712</v>
      </c>
      <c r="E3583" s="11" t="s">
        <v>1738</v>
      </c>
      <c r="F3583" s="12" t="s">
        <v>1714</v>
      </c>
      <c r="G3583" s="9" t="s">
        <v>1709</v>
      </c>
    </row>
    <row r="3584" spans="1:7">
      <c r="A3584" s="9" t="s">
        <v>1711</v>
      </c>
      <c r="B3584" s="9">
        <v>0.2</v>
      </c>
      <c r="C3584" s="10">
        <v>-0.11600000000000001</v>
      </c>
      <c r="D3584" s="9" t="s">
        <v>1709</v>
      </c>
      <c r="E3584" s="11" t="s">
        <v>1710</v>
      </c>
      <c r="F3584" s="12" t="s">
        <v>1710</v>
      </c>
      <c r="G3584" s="9" t="s">
        <v>1709</v>
      </c>
    </row>
    <row r="3585" spans="1:7">
      <c r="A3585" s="9" t="s">
        <v>1711</v>
      </c>
      <c r="B3585" s="9">
        <v>0.2</v>
      </c>
      <c r="C3585" s="10">
        <v>0.86099999999999999</v>
      </c>
      <c r="D3585" s="9" t="s">
        <v>1712</v>
      </c>
      <c r="E3585" s="11" t="s">
        <v>1738</v>
      </c>
      <c r="F3585" s="12" t="s">
        <v>1714</v>
      </c>
      <c r="G3585" s="9" t="s">
        <v>1709</v>
      </c>
    </row>
    <row r="3586" spans="1:7">
      <c r="A3586" s="9" t="s">
        <v>1711</v>
      </c>
      <c r="B3586" s="9">
        <v>0.2</v>
      </c>
      <c r="C3586" s="10">
        <v>-0.2</v>
      </c>
      <c r="D3586" s="9" t="s">
        <v>1709</v>
      </c>
      <c r="E3586" s="11" t="s">
        <v>1710</v>
      </c>
      <c r="F3586" s="12" t="s">
        <v>1710</v>
      </c>
      <c r="G3586" s="9" t="s">
        <v>1709</v>
      </c>
    </row>
    <row r="3587" spans="1:7">
      <c r="A3587" s="9" t="s">
        <v>1711</v>
      </c>
      <c r="B3587" s="9">
        <v>0.2</v>
      </c>
      <c r="C3587" s="10">
        <v>7.0000000000000001E-3</v>
      </c>
      <c r="D3587" s="9" t="s">
        <v>1712</v>
      </c>
      <c r="E3587" s="11" t="s">
        <v>1738</v>
      </c>
      <c r="F3587" s="12" t="s">
        <v>1714</v>
      </c>
      <c r="G3587" s="9" t="s">
        <v>1709</v>
      </c>
    </row>
    <row r="3588" spans="1:7">
      <c r="A3588" s="9" t="s">
        <v>1711</v>
      </c>
      <c r="B3588" s="13">
        <v>0.2</v>
      </c>
      <c r="C3588" s="10">
        <v>0.29699999999999999</v>
      </c>
      <c r="D3588" s="9" t="s">
        <v>1712</v>
      </c>
      <c r="E3588" s="11" t="s">
        <v>1738</v>
      </c>
      <c r="F3588" s="12" t="s">
        <v>1714</v>
      </c>
      <c r="G3588" s="9" t="s">
        <v>1709</v>
      </c>
    </row>
    <row r="3589" spans="1:7">
      <c r="A3589" s="9" t="s">
        <v>1711</v>
      </c>
      <c r="B3589" s="9">
        <v>0.2</v>
      </c>
      <c r="C3589" s="10">
        <v>-6.9000000000000006E-2</v>
      </c>
      <c r="D3589" s="9" t="s">
        <v>1709</v>
      </c>
      <c r="E3589" s="11" t="s">
        <v>1710</v>
      </c>
      <c r="F3589" s="12" t="s">
        <v>1710</v>
      </c>
      <c r="G3589" s="9" t="s">
        <v>1709</v>
      </c>
    </row>
    <row r="3590" spans="1:7">
      <c r="A3590" s="9" t="s">
        <v>1711</v>
      </c>
      <c r="B3590" s="9">
        <v>0.2</v>
      </c>
      <c r="C3590" s="10">
        <v>-6.9000000000000006E-2</v>
      </c>
      <c r="D3590" s="9" t="s">
        <v>1709</v>
      </c>
      <c r="E3590" s="11" t="s">
        <v>1710</v>
      </c>
      <c r="F3590" s="12" t="s">
        <v>1710</v>
      </c>
      <c r="G3590" s="9" t="s">
        <v>1709</v>
      </c>
    </row>
    <row r="3591" spans="1:7">
      <c r="A3591" s="9" t="s">
        <v>1711</v>
      </c>
      <c r="B3591" s="9">
        <v>0.2</v>
      </c>
      <c r="C3591" s="10">
        <v>0.36299999999999999</v>
      </c>
      <c r="D3591" s="9" t="s">
        <v>1712</v>
      </c>
      <c r="E3591" s="11" t="s">
        <v>1738</v>
      </c>
      <c r="F3591" s="12" t="s">
        <v>1714</v>
      </c>
      <c r="G3591" s="9" t="s">
        <v>1709</v>
      </c>
    </row>
    <row r="3592" spans="1:7">
      <c r="A3592" s="9" t="s">
        <v>1711</v>
      </c>
      <c r="B3592" s="9">
        <v>0.2</v>
      </c>
      <c r="C3592" s="10">
        <v>0.121</v>
      </c>
      <c r="D3592" s="9" t="s">
        <v>1712</v>
      </c>
      <c r="E3592" s="11" t="s">
        <v>1738</v>
      </c>
      <c r="F3592" s="12" t="s">
        <v>1714</v>
      </c>
      <c r="G3592" s="9" t="s">
        <v>1709</v>
      </c>
    </row>
    <row r="3593" spans="1:7">
      <c r="A3593" s="9" t="s">
        <v>1711</v>
      </c>
      <c r="B3593" s="9">
        <v>0.2</v>
      </c>
      <c r="C3593" s="10">
        <v>0.23200000000000001</v>
      </c>
      <c r="D3593" s="9" t="s">
        <v>1712</v>
      </c>
      <c r="E3593" s="11" t="s">
        <v>1736</v>
      </c>
      <c r="F3593" s="12" t="s">
        <v>1714</v>
      </c>
      <c r="G3593" s="9" t="s">
        <v>1709</v>
      </c>
    </row>
    <row r="3594" spans="1:7">
      <c r="A3594" s="9" t="s">
        <v>1711</v>
      </c>
      <c r="B3594" s="9">
        <v>0.2</v>
      </c>
      <c r="C3594" s="10">
        <v>-9.5000000000000001E-2</v>
      </c>
      <c r="D3594" s="9" t="s">
        <v>1709</v>
      </c>
      <c r="E3594" s="11" t="s">
        <v>1710</v>
      </c>
      <c r="F3594" s="12" t="s">
        <v>1710</v>
      </c>
      <c r="G3594" s="9" t="s">
        <v>1709</v>
      </c>
    </row>
    <row r="3595" spans="1:7">
      <c r="A3595" s="9" t="s">
        <v>1711</v>
      </c>
      <c r="B3595" s="9">
        <v>0.2</v>
      </c>
      <c r="C3595" s="10">
        <v>-9.5000000000000001E-2</v>
      </c>
      <c r="D3595" s="9" t="s">
        <v>1709</v>
      </c>
      <c r="E3595" s="11" t="s">
        <v>1710</v>
      </c>
      <c r="F3595" s="12" t="s">
        <v>1710</v>
      </c>
      <c r="G3595" s="9" t="s">
        <v>1709</v>
      </c>
    </row>
    <row r="3596" spans="1:7">
      <c r="A3596" s="9" t="s">
        <v>1711</v>
      </c>
      <c r="B3596" s="9">
        <v>0.2</v>
      </c>
      <c r="C3596" s="10">
        <v>-9.5000000000000001E-2</v>
      </c>
      <c r="D3596" s="9" t="s">
        <v>1709</v>
      </c>
      <c r="E3596" s="11" t="s">
        <v>1710</v>
      </c>
      <c r="F3596" s="12" t="s">
        <v>1710</v>
      </c>
      <c r="G3596" s="9" t="s">
        <v>1709</v>
      </c>
    </row>
    <row r="3597" spans="1:7">
      <c r="A3597" s="9" t="s">
        <v>1711</v>
      </c>
      <c r="B3597" s="9">
        <v>0.2</v>
      </c>
      <c r="C3597" s="10">
        <v>-9.5000000000000001E-2</v>
      </c>
      <c r="D3597" s="9" t="s">
        <v>1709</v>
      </c>
      <c r="E3597" s="11" t="s">
        <v>1710</v>
      </c>
      <c r="F3597" s="12" t="s">
        <v>1710</v>
      </c>
      <c r="G3597" s="9" t="s">
        <v>1709</v>
      </c>
    </row>
    <row r="3598" spans="1:7">
      <c r="A3598" s="9" t="s">
        <v>1711</v>
      </c>
      <c r="B3598" s="9">
        <v>0.2</v>
      </c>
      <c r="C3598" s="10">
        <v>-9.5000000000000001E-2</v>
      </c>
      <c r="D3598" s="9" t="s">
        <v>1709</v>
      </c>
      <c r="E3598" s="11" t="s">
        <v>1710</v>
      </c>
      <c r="F3598" s="12" t="s">
        <v>1710</v>
      </c>
      <c r="G3598" s="9" t="s">
        <v>1709</v>
      </c>
    </row>
    <row r="3599" spans="1:7">
      <c r="A3599" s="9" t="s">
        <v>1711</v>
      </c>
      <c r="B3599" s="9">
        <v>0.2</v>
      </c>
      <c r="C3599" s="10">
        <v>-4.2000000000000003E-2</v>
      </c>
      <c r="D3599" s="9" t="s">
        <v>1709</v>
      </c>
      <c r="E3599" s="11" t="s">
        <v>1710</v>
      </c>
      <c r="F3599" s="12" t="s">
        <v>1710</v>
      </c>
      <c r="G3599" s="9" t="s">
        <v>1709</v>
      </c>
    </row>
    <row r="3600" spans="1:7">
      <c r="A3600" s="9" t="s">
        <v>1711</v>
      </c>
      <c r="B3600" s="9">
        <v>0.2</v>
      </c>
      <c r="C3600" s="10">
        <v>1.607</v>
      </c>
      <c r="D3600" s="9" t="s">
        <v>1712</v>
      </c>
      <c r="E3600" s="11" t="s">
        <v>1713</v>
      </c>
      <c r="F3600" s="12" t="s">
        <v>1714</v>
      </c>
      <c r="G3600" s="9" t="s">
        <v>1709</v>
      </c>
    </row>
    <row r="3601" spans="1:7">
      <c r="A3601" s="9" t="s">
        <v>1711</v>
      </c>
      <c r="B3601" s="9">
        <v>0.2</v>
      </c>
      <c r="C3601" s="10">
        <v>1.607</v>
      </c>
      <c r="D3601" s="9" t="s">
        <v>1712</v>
      </c>
      <c r="E3601" s="11" t="s">
        <v>1713</v>
      </c>
      <c r="F3601" s="12" t="s">
        <v>1714</v>
      </c>
      <c r="G3601" s="9" t="s">
        <v>1709</v>
      </c>
    </row>
    <row r="3602" spans="1:7">
      <c r="A3602" s="9" t="s">
        <v>1711</v>
      </c>
      <c r="B3602" s="9">
        <v>0.2</v>
      </c>
      <c r="C3602" s="10">
        <v>0.51200000000000001</v>
      </c>
      <c r="D3602" s="9" t="s">
        <v>1712</v>
      </c>
      <c r="E3602" s="11" t="s">
        <v>1713</v>
      </c>
      <c r="F3602" s="12" t="s">
        <v>1714</v>
      </c>
      <c r="G3602" s="9" t="s">
        <v>1709</v>
      </c>
    </row>
    <row r="3603" spans="1:7">
      <c r="A3603" s="9" t="s">
        <v>1711</v>
      </c>
      <c r="B3603" s="9">
        <v>0.2</v>
      </c>
      <c r="C3603" s="10">
        <v>0.51200000000000001</v>
      </c>
      <c r="D3603" s="9" t="s">
        <v>1712</v>
      </c>
      <c r="E3603" s="11" t="s">
        <v>1713</v>
      </c>
      <c r="F3603" s="12" t="s">
        <v>1714</v>
      </c>
      <c r="G3603" s="9" t="s">
        <v>1709</v>
      </c>
    </row>
    <row r="3604" spans="1:7">
      <c r="A3604" s="9" t="s">
        <v>1711</v>
      </c>
      <c r="B3604" s="9">
        <v>0.2</v>
      </c>
      <c r="C3604" s="10">
        <v>0.51200000000000001</v>
      </c>
      <c r="D3604" s="9" t="s">
        <v>1712</v>
      </c>
      <c r="E3604" s="11" t="s">
        <v>1713</v>
      </c>
      <c r="F3604" s="12" t="s">
        <v>1714</v>
      </c>
      <c r="G3604" s="9" t="s">
        <v>1709</v>
      </c>
    </row>
    <row r="3605" spans="1:7">
      <c r="A3605" s="9" t="s">
        <v>1711</v>
      </c>
      <c r="B3605" s="9">
        <v>0.2</v>
      </c>
      <c r="C3605" s="10">
        <v>0.51200000000000001</v>
      </c>
      <c r="D3605" s="9" t="s">
        <v>1712</v>
      </c>
      <c r="E3605" s="11" t="s">
        <v>1713</v>
      </c>
      <c r="F3605" s="12" t="s">
        <v>1714</v>
      </c>
      <c r="G3605" s="9" t="s">
        <v>1709</v>
      </c>
    </row>
    <row r="3606" spans="1:7">
      <c r="A3606" s="9" t="s">
        <v>1711</v>
      </c>
      <c r="B3606" s="13">
        <v>0.2</v>
      </c>
      <c r="C3606" s="10">
        <v>0.51200000000000001</v>
      </c>
      <c r="D3606" s="9" t="s">
        <v>1712</v>
      </c>
      <c r="E3606" s="11" t="s">
        <v>1713</v>
      </c>
      <c r="F3606" s="12" t="s">
        <v>1714</v>
      </c>
      <c r="G3606" s="9" t="s">
        <v>1709</v>
      </c>
    </row>
    <row r="3607" spans="1:7">
      <c r="A3607" s="9" t="s">
        <v>1711</v>
      </c>
      <c r="B3607" s="9">
        <v>0.2</v>
      </c>
      <c r="C3607" s="10">
        <v>0.51200000000000001</v>
      </c>
      <c r="D3607" s="9" t="s">
        <v>1712</v>
      </c>
      <c r="E3607" s="11" t="s">
        <v>1713</v>
      </c>
      <c r="F3607" s="12" t="s">
        <v>1714</v>
      </c>
      <c r="G3607" s="9" t="s">
        <v>1709</v>
      </c>
    </row>
    <row r="3608" spans="1:7">
      <c r="A3608" s="9" t="s">
        <v>1711</v>
      </c>
      <c r="B3608" s="13">
        <v>0.2</v>
      </c>
      <c r="C3608" s="10">
        <v>0.51200000000000001</v>
      </c>
      <c r="D3608" s="9" t="s">
        <v>1712</v>
      </c>
      <c r="E3608" s="11" t="s">
        <v>1713</v>
      </c>
      <c r="F3608" s="12" t="s">
        <v>1714</v>
      </c>
      <c r="G3608" s="9" t="s">
        <v>1709</v>
      </c>
    </row>
    <row r="3609" spans="1:7">
      <c r="A3609" s="9" t="s">
        <v>1711</v>
      </c>
      <c r="B3609" s="13">
        <v>0.2</v>
      </c>
      <c r="C3609" s="10">
        <v>0.51200000000000001</v>
      </c>
      <c r="D3609" s="9" t="s">
        <v>1712</v>
      </c>
      <c r="E3609" s="11" t="s">
        <v>1713</v>
      </c>
      <c r="F3609" s="12" t="s">
        <v>1714</v>
      </c>
      <c r="G3609" s="9" t="s">
        <v>1709</v>
      </c>
    </row>
    <row r="3610" spans="1:7">
      <c r="A3610" s="9" t="s">
        <v>1711</v>
      </c>
      <c r="B3610" s="13">
        <v>0.2</v>
      </c>
      <c r="C3610" s="10">
        <v>2.81</v>
      </c>
      <c r="D3610" s="9" t="s">
        <v>1712</v>
      </c>
      <c r="E3610" s="11" t="s">
        <v>1713</v>
      </c>
      <c r="F3610" s="12" t="s">
        <v>1714</v>
      </c>
      <c r="G3610" s="9" t="s">
        <v>1709</v>
      </c>
    </row>
    <row r="3611" spans="1:7">
      <c r="A3611" s="9" t="s">
        <v>1711</v>
      </c>
      <c r="B3611" s="13">
        <v>0.2</v>
      </c>
      <c r="C3611" s="10">
        <v>2.81</v>
      </c>
      <c r="D3611" s="9" t="s">
        <v>1712</v>
      </c>
      <c r="E3611" s="11" t="s">
        <v>1713</v>
      </c>
      <c r="F3611" s="12" t="s">
        <v>1714</v>
      </c>
      <c r="G3611" s="9" t="s">
        <v>1709</v>
      </c>
    </row>
    <row r="3612" spans="1:7">
      <c r="A3612" s="9" t="s">
        <v>1711</v>
      </c>
      <c r="B3612" s="9">
        <v>0.2</v>
      </c>
      <c r="C3612" s="10">
        <v>2.81</v>
      </c>
      <c r="D3612" s="9" t="s">
        <v>1712</v>
      </c>
      <c r="E3612" s="11" t="s">
        <v>1713</v>
      </c>
      <c r="F3612" s="12" t="s">
        <v>1714</v>
      </c>
      <c r="G3612" s="9" t="s">
        <v>1709</v>
      </c>
    </row>
    <row r="3613" spans="1:7">
      <c r="A3613" s="9" t="s">
        <v>1711</v>
      </c>
      <c r="B3613" s="9">
        <v>0.2</v>
      </c>
      <c r="C3613" s="10">
        <v>2.81</v>
      </c>
      <c r="D3613" s="9" t="s">
        <v>1712</v>
      </c>
      <c r="E3613" s="11" t="s">
        <v>1713</v>
      </c>
      <c r="F3613" s="12" t="s">
        <v>1714</v>
      </c>
      <c r="G3613" s="9" t="s">
        <v>1709</v>
      </c>
    </row>
    <row r="3614" spans="1:7">
      <c r="A3614" s="9" t="s">
        <v>1711</v>
      </c>
      <c r="B3614" s="9">
        <v>0.2</v>
      </c>
      <c r="C3614" s="10">
        <v>2.81</v>
      </c>
      <c r="D3614" s="9" t="s">
        <v>1712</v>
      </c>
      <c r="E3614" s="11" t="s">
        <v>1713</v>
      </c>
      <c r="F3614" s="12" t="s">
        <v>1714</v>
      </c>
      <c r="G3614" s="9" t="s">
        <v>1709</v>
      </c>
    </row>
    <row r="3615" spans="1:7">
      <c r="A3615" s="9" t="s">
        <v>1711</v>
      </c>
      <c r="B3615" s="9">
        <v>0.2</v>
      </c>
      <c r="C3615" s="10">
        <v>2.81</v>
      </c>
      <c r="D3615" s="9" t="s">
        <v>1712</v>
      </c>
      <c r="E3615" s="11" t="s">
        <v>1713</v>
      </c>
      <c r="F3615" s="12" t="s">
        <v>1714</v>
      </c>
      <c r="G3615" s="9" t="s">
        <v>1709</v>
      </c>
    </row>
    <row r="3616" spans="1:7">
      <c r="A3616" s="9" t="s">
        <v>1711</v>
      </c>
      <c r="B3616" s="9">
        <v>0.2</v>
      </c>
      <c r="C3616" s="10">
        <v>2.81</v>
      </c>
      <c r="D3616" s="9" t="s">
        <v>1712</v>
      </c>
      <c r="E3616" s="11" t="s">
        <v>1713</v>
      </c>
      <c r="F3616" s="12" t="s">
        <v>1714</v>
      </c>
      <c r="G3616" s="9" t="s">
        <v>1709</v>
      </c>
    </row>
    <row r="3617" spans="1:7">
      <c r="A3617" s="9" t="s">
        <v>1711</v>
      </c>
      <c r="B3617" s="13">
        <v>0.2</v>
      </c>
      <c r="C3617" s="10">
        <v>2.81</v>
      </c>
      <c r="D3617" s="9" t="s">
        <v>1712</v>
      </c>
      <c r="E3617" s="11" t="s">
        <v>1713</v>
      </c>
      <c r="F3617" s="12" t="s">
        <v>1714</v>
      </c>
      <c r="G3617" s="9" t="s">
        <v>1709</v>
      </c>
    </row>
    <row r="3618" spans="1:7">
      <c r="A3618" s="9" t="s">
        <v>1711</v>
      </c>
      <c r="B3618" s="9">
        <v>0.2</v>
      </c>
      <c r="C3618" s="10">
        <v>2.81</v>
      </c>
      <c r="D3618" s="9" t="s">
        <v>1712</v>
      </c>
      <c r="E3618" s="11" t="s">
        <v>1713</v>
      </c>
      <c r="F3618" s="12" t="s">
        <v>1714</v>
      </c>
      <c r="G3618" s="9" t="s">
        <v>1709</v>
      </c>
    </row>
    <row r="3619" spans="1:7">
      <c r="A3619" s="9" t="s">
        <v>1711</v>
      </c>
      <c r="B3619" s="13">
        <v>0.2</v>
      </c>
      <c r="C3619" s="10">
        <v>2.81</v>
      </c>
      <c r="D3619" s="9" t="s">
        <v>1712</v>
      </c>
      <c r="E3619" s="11" t="s">
        <v>1713</v>
      </c>
      <c r="F3619" s="12" t="s">
        <v>1714</v>
      </c>
      <c r="G3619" s="9" t="s">
        <v>1709</v>
      </c>
    </row>
    <row r="3620" spans="1:7">
      <c r="A3620" s="9" t="s">
        <v>1711</v>
      </c>
      <c r="B3620" s="9">
        <v>0.2</v>
      </c>
      <c r="C3620" s="10">
        <v>2.81</v>
      </c>
      <c r="D3620" s="9" t="s">
        <v>1712</v>
      </c>
      <c r="E3620" s="11" t="s">
        <v>1713</v>
      </c>
      <c r="F3620" s="12" t="s">
        <v>1714</v>
      </c>
      <c r="G3620" s="9" t="s">
        <v>1709</v>
      </c>
    </row>
    <row r="3621" spans="1:7">
      <c r="A3621" s="9" t="s">
        <v>1711</v>
      </c>
      <c r="B3621" s="9">
        <v>0.2</v>
      </c>
      <c r="C3621" s="10">
        <v>2.81</v>
      </c>
      <c r="D3621" s="9" t="s">
        <v>1712</v>
      </c>
      <c r="E3621" s="11" t="s">
        <v>1713</v>
      </c>
      <c r="F3621" s="12" t="s">
        <v>1714</v>
      </c>
      <c r="G3621" s="9" t="s">
        <v>1709</v>
      </c>
    </row>
    <row r="3622" spans="1:7">
      <c r="A3622" s="9" t="s">
        <v>1711</v>
      </c>
      <c r="B3622" s="9">
        <v>0.2</v>
      </c>
      <c r="C3622" s="10">
        <v>2.81</v>
      </c>
      <c r="D3622" s="9" t="s">
        <v>1712</v>
      </c>
      <c r="E3622" s="11" t="s">
        <v>1713</v>
      </c>
      <c r="F3622" s="12" t="s">
        <v>1714</v>
      </c>
      <c r="G3622" s="9" t="s">
        <v>1709</v>
      </c>
    </row>
    <row r="3623" spans="1:7">
      <c r="A3623" s="9" t="s">
        <v>1711</v>
      </c>
      <c r="B3623" s="13">
        <v>0.2</v>
      </c>
      <c r="C3623" s="10">
        <v>2.81</v>
      </c>
      <c r="D3623" s="9" t="s">
        <v>1712</v>
      </c>
      <c r="E3623" s="11" t="s">
        <v>1713</v>
      </c>
      <c r="F3623" s="12" t="s">
        <v>1714</v>
      </c>
      <c r="G3623" s="9" t="s">
        <v>1709</v>
      </c>
    </row>
    <row r="3624" spans="1:7">
      <c r="A3624" s="9" t="s">
        <v>1711</v>
      </c>
      <c r="B3624" s="9">
        <v>0.2</v>
      </c>
      <c r="C3624" s="10">
        <v>2.81</v>
      </c>
      <c r="D3624" s="9" t="s">
        <v>1712</v>
      </c>
      <c r="E3624" s="11" t="s">
        <v>1713</v>
      </c>
      <c r="F3624" s="12" t="s">
        <v>1714</v>
      </c>
      <c r="G3624" s="9" t="s">
        <v>1709</v>
      </c>
    </row>
    <row r="3625" spans="1:7">
      <c r="A3625" s="9" t="s">
        <v>1711</v>
      </c>
      <c r="B3625" s="9">
        <v>0.2</v>
      </c>
      <c r="C3625" s="10">
        <v>2.81</v>
      </c>
      <c r="D3625" s="9" t="s">
        <v>1712</v>
      </c>
      <c r="E3625" s="11" t="s">
        <v>1713</v>
      </c>
      <c r="F3625" s="12" t="s">
        <v>1714</v>
      </c>
      <c r="G3625" s="9" t="s">
        <v>1709</v>
      </c>
    </row>
    <row r="3626" spans="1:7">
      <c r="A3626" s="9" t="s">
        <v>1711</v>
      </c>
      <c r="B3626" s="9">
        <v>0.2</v>
      </c>
      <c r="C3626" s="10">
        <v>2.81</v>
      </c>
      <c r="D3626" s="9" t="s">
        <v>1712</v>
      </c>
      <c r="E3626" s="11" t="s">
        <v>1713</v>
      </c>
      <c r="F3626" s="12" t="s">
        <v>1714</v>
      </c>
      <c r="G3626" s="9" t="s">
        <v>1709</v>
      </c>
    </row>
    <row r="3627" spans="1:7">
      <c r="A3627" s="9" t="s">
        <v>1711</v>
      </c>
      <c r="B3627" s="9">
        <v>0.2</v>
      </c>
      <c r="C3627" s="10">
        <v>2.81</v>
      </c>
      <c r="D3627" s="9" t="s">
        <v>1712</v>
      </c>
      <c r="E3627" s="11" t="s">
        <v>1713</v>
      </c>
      <c r="F3627" s="12" t="s">
        <v>1714</v>
      </c>
      <c r="G3627" s="9" t="s">
        <v>1709</v>
      </c>
    </row>
    <row r="3628" spans="1:7">
      <c r="A3628" s="9" t="s">
        <v>1711</v>
      </c>
      <c r="B3628" s="9">
        <v>0.2</v>
      </c>
      <c r="C3628" s="10">
        <v>2.81</v>
      </c>
      <c r="D3628" s="9" t="s">
        <v>1712</v>
      </c>
      <c r="E3628" s="11" t="s">
        <v>1713</v>
      </c>
      <c r="F3628" s="12" t="s">
        <v>1714</v>
      </c>
      <c r="G3628" s="9" t="s">
        <v>1709</v>
      </c>
    </row>
    <row r="3629" spans="1:7">
      <c r="A3629" s="9" t="s">
        <v>1711</v>
      </c>
      <c r="B3629" s="9">
        <v>0.2</v>
      </c>
      <c r="C3629" s="10">
        <v>2.81</v>
      </c>
      <c r="D3629" s="9" t="s">
        <v>1712</v>
      </c>
      <c r="E3629" s="11" t="s">
        <v>1713</v>
      </c>
      <c r="F3629" s="12" t="s">
        <v>1714</v>
      </c>
      <c r="G3629" s="9" t="s">
        <v>1709</v>
      </c>
    </row>
    <row r="3630" spans="1:7">
      <c r="A3630" s="9" t="s">
        <v>1711</v>
      </c>
      <c r="B3630" s="9">
        <v>0.2</v>
      </c>
      <c r="C3630" s="10">
        <v>2.81</v>
      </c>
      <c r="D3630" s="9" t="s">
        <v>1712</v>
      </c>
      <c r="E3630" s="11" t="s">
        <v>1713</v>
      </c>
      <c r="F3630" s="12" t="s">
        <v>1714</v>
      </c>
      <c r="G3630" s="9" t="s">
        <v>1709</v>
      </c>
    </row>
    <row r="3631" spans="1:7">
      <c r="A3631" s="9" t="s">
        <v>1711</v>
      </c>
      <c r="B3631" s="9">
        <v>0.2</v>
      </c>
      <c r="C3631" s="10">
        <v>2.81</v>
      </c>
      <c r="D3631" s="9" t="s">
        <v>1712</v>
      </c>
      <c r="E3631" s="11" t="s">
        <v>1713</v>
      </c>
      <c r="F3631" s="12" t="s">
        <v>1714</v>
      </c>
      <c r="G3631" s="9" t="s">
        <v>1709</v>
      </c>
    </row>
    <row r="3632" spans="1:7">
      <c r="A3632" s="9" t="s">
        <v>1711</v>
      </c>
      <c r="B3632" s="13">
        <v>0.2</v>
      </c>
      <c r="C3632" s="10">
        <v>2.81</v>
      </c>
      <c r="D3632" s="9" t="s">
        <v>1712</v>
      </c>
      <c r="E3632" s="11" t="s">
        <v>1713</v>
      </c>
      <c r="F3632" s="12" t="s">
        <v>1714</v>
      </c>
      <c r="G3632" s="9" t="s">
        <v>1709</v>
      </c>
    </row>
    <row r="3633" spans="1:7">
      <c r="A3633" s="9" t="s">
        <v>1711</v>
      </c>
      <c r="B3633" s="13">
        <v>0.2</v>
      </c>
      <c r="C3633" s="10">
        <v>0.121</v>
      </c>
      <c r="D3633" s="9" t="s">
        <v>1712</v>
      </c>
      <c r="E3633" s="11" t="s">
        <v>1713</v>
      </c>
      <c r="F3633" s="12" t="s">
        <v>1714</v>
      </c>
      <c r="G3633" s="9" t="s">
        <v>1709</v>
      </c>
    </row>
    <row r="3634" spans="1:7">
      <c r="A3634" s="9" t="s">
        <v>1711</v>
      </c>
      <c r="B3634" s="9">
        <v>0.2</v>
      </c>
      <c r="C3634" s="10">
        <v>0.121</v>
      </c>
      <c r="D3634" s="9" t="s">
        <v>1712</v>
      </c>
      <c r="E3634" s="11" t="s">
        <v>1713</v>
      </c>
      <c r="F3634" s="12" t="s">
        <v>1714</v>
      </c>
      <c r="G3634" s="9" t="s">
        <v>1709</v>
      </c>
    </row>
    <row r="3635" spans="1:7">
      <c r="A3635" s="9" t="s">
        <v>1711</v>
      </c>
      <c r="B3635" s="9">
        <v>0.2</v>
      </c>
      <c r="C3635" s="10">
        <v>0.121</v>
      </c>
      <c r="D3635" s="9" t="s">
        <v>1712</v>
      </c>
      <c r="E3635" s="11" t="s">
        <v>1713</v>
      </c>
      <c r="F3635" s="12" t="s">
        <v>1714</v>
      </c>
      <c r="G3635" s="9" t="s">
        <v>1709</v>
      </c>
    </row>
    <row r="3636" spans="1:7">
      <c r="A3636" s="9" t="s">
        <v>1711</v>
      </c>
      <c r="B3636" s="9">
        <v>0.2</v>
      </c>
      <c r="C3636" s="10">
        <v>0.121</v>
      </c>
      <c r="D3636" s="9" t="s">
        <v>1712</v>
      </c>
      <c r="E3636" s="11" t="s">
        <v>1713</v>
      </c>
      <c r="F3636" s="12" t="s">
        <v>1714</v>
      </c>
      <c r="G3636" s="9" t="s">
        <v>1709</v>
      </c>
    </row>
    <row r="3637" spans="1:7">
      <c r="A3637" s="9" t="s">
        <v>1711</v>
      </c>
      <c r="B3637" s="9">
        <v>0.2</v>
      </c>
      <c r="C3637" s="10">
        <v>0.121</v>
      </c>
      <c r="D3637" s="9" t="s">
        <v>1712</v>
      </c>
      <c r="E3637" s="11" t="s">
        <v>1713</v>
      </c>
      <c r="F3637" s="12" t="s">
        <v>1714</v>
      </c>
      <c r="G3637" s="9" t="s">
        <v>1709</v>
      </c>
    </row>
    <row r="3638" spans="1:7">
      <c r="A3638" s="9" t="s">
        <v>1711</v>
      </c>
      <c r="B3638" s="9">
        <v>0.2</v>
      </c>
      <c r="C3638" s="10">
        <v>-0.16900000000000001</v>
      </c>
      <c r="D3638" s="9" t="s">
        <v>1709</v>
      </c>
      <c r="E3638" s="11" t="s">
        <v>1710</v>
      </c>
      <c r="F3638" s="12" t="s">
        <v>1710</v>
      </c>
      <c r="G3638" s="9" t="s">
        <v>1709</v>
      </c>
    </row>
    <row r="3639" spans="1:7">
      <c r="A3639" s="9" t="s">
        <v>1711</v>
      </c>
      <c r="B3639" s="9">
        <v>0.2</v>
      </c>
      <c r="C3639" s="10">
        <v>-0.16900000000000001</v>
      </c>
      <c r="D3639" s="9" t="s">
        <v>1709</v>
      </c>
      <c r="E3639" s="11" t="s">
        <v>1710</v>
      </c>
      <c r="F3639" s="12" t="s">
        <v>1710</v>
      </c>
      <c r="G3639" s="9" t="s">
        <v>1709</v>
      </c>
    </row>
    <row r="3640" spans="1:7">
      <c r="A3640" s="9" t="s">
        <v>1711</v>
      </c>
      <c r="B3640" s="9">
        <v>0.2</v>
      </c>
      <c r="C3640" s="10">
        <v>-0.16900000000000001</v>
      </c>
      <c r="D3640" s="9" t="s">
        <v>1709</v>
      </c>
      <c r="E3640" s="11" t="s">
        <v>1710</v>
      </c>
      <c r="F3640" s="12" t="s">
        <v>1710</v>
      </c>
      <c r="G3640" s="9" t="s">
        <v>1709</v>
      </c>
    </row>
    <row r="3641" spans="1:7">
      <c r="A3641" s="9" t="s">
        <v>1711</v>
      </c>
      <c r="B3641" s="13">
        <v>0.2</v>
      </c>
      <c r="C3641" s="10">
        <v>-0.16900000000000001</v>
      </c>
      <c r="D3641" s="9" t="s">
        <v>1709</v>
      </c>
      <c r="E3641" s="11" t="s">
        <v>1710</v>
      </c>
      <c r="F3641" s="12" t="s">
        <v>1710</v>
      </c>
      <c r="G3641" s="9" t="s">
        <v>1709</v>
      </c>
    </row>
    <row r="3642" spans="1:7">
      <c r="A3642" s="9" t="s">
        <v>1711</v>
      </c>
      <c r="B3642" s="13">
        <v>0.2</v>
      </c>
      <c r="C3642" s="10">
        <v>-0.16900000000000001</v>
      </c>
      <c r="D3642" s="9" t="s">
        <v>1709</v>
      </c>
      <c r="E3642" s="11" t="s">
        <v>1710</v>
      </c>
      <c r="F3642" s="12" t="s">
        <v>1710</v>
      </c>
      <c r="G3642" s="9" t="s">
        <v>1709</v>
      </c>
    </row>
    <row r="3643" spans="1:7">
      <c r="A3643" s="9" t="s">
        <v>1711</v>
      </c>
      <c r="B3643" s="13">
        <v>0.2</v>
      </c>
      <c r="C3643" s="10">
        <v>-0.16900000000000001</v>
      </c>
      <c r="D3643" s="9" t="s">
        <v>1709</v>
      </c>
      <c r="E3643" s="11" t="s">
        <v>1710</v>
      </c>
      <c r="F3643" s="12" t="s">
        <v>1710</v>
      </c>
      <c r="G3643" s="9" t="s">
        <v>1709</v>
      </c>
    </row>
    <row r="3644" spans="1:7">
      <c r="A3644" s="9" t="s">
        <v>1711</v>
      </c>
      <c r="B3644" s="13">
        <v>0.2</v>
      </c>
      <c r="C3644" s="10">
        <v>0.497</v>
      </c>
      <c r="D3644" s="9" t="s">
        <v>1712</v>
      </c>
      <c r="E3644" s="11" t="s">
        <v>1713</v>
      </c>
      <c r="F3644" s="12" t="s">
        <v>1714</v>
      </c>
      <c r="G3644" s="9" t="s">
        <v>1709</v>
      </c>
    </row>
    <row r="3645" spans="1:7">
      <c r="A3645" s="9" t="s">
        <v>1711</v>
      </c>
      <c r="B3645" s="13">
        <v>0.2</v>
      </c>
      <c r="C3645" s="10">
        <v>0.497</v>
      </c>
      <c r="D3645" s="9" t="s">
        <v>1712</v>
      </c>
      <c r="E3645" s="11" t="s">
        <v>1713</v>
      </c>
      <c r="F3645" s="12" t="s">
        <v>1714</v>
      </c>
      <c r="G3645" s="9" t="s">
        <v>1709</v>
      </c>
    </row>
    <row r="3646" spans="1:7">
      <c r="A3646" s="9" t="s">
        <v>1711</v>
      </c>
      <c r="B3646" s="9">
        <v>0.2</v>
      </c>
      <c r="C3646" s="10">
        <v>0.497</v>
      </c>
      <c r="D3646" s="9" t="s">
        <v>1712</v>
      </c>
      <c r="E3646" s="11" t="s">
        <v>1713</v>
      </c>
      <c r="F3646" s="12" t="s">
        <v>1714</v>
      </c>
      <c r="G3646" s="9" t="s">
        <v>1709</v>
      </c>
    </row>
    <row r="3647" spans="1:7">
      <c r="A3647" s="9" t="s">
        <v>1711</v>
      </c>
      <c r="B3647" s="13">
        <v>0.2</v>
      </c>
      <c r="C3647" s="10">
        <v>0.497</v>
      </c>
      <c r="D3647" s="9" t="s">
        <v>1712</v>
      </c>
      <c r="E3647" s="11" t="s">
        <v>1713</v>
      </c>
      <c r="F3647" s="12" t="s">
        <v>1714</v>
      </c>
      <c r="G3647" s="9" t="s">
        <v>1709</v>
      </c>
    </row>
    <row r="3648" spans="1:7">
      <c r="A3648" s="9" t="s">
        <v>1711</v>
      </c>
      <c r="B3648" s="9">
        <v>0.2</v>
      </c>
      <c r="C3648" s="10">
        <v>0.497</v>
      </c>
      <c r="D3648" s="9" t="s">
        <v>1712</v>
      </c>
      <c r="E3648" s="11" t="s">
        <v>1713</v>
      </c>
      <c r="F3648" s="12" t="s">
        <v>1714</v>
      </c>
      <c r="G3648" s="9" t="s">
        <v>1709</v>
      </c>
    </row>
    <row r="3649" spans="1:7">
      <c r="A3649" s="9" t="s">
        <v>1711</v>
      </c>
      <c r="B3649" s="9">
        <v>0.2</v>
      </c>
      <c r="C3649" s="10">
        <v>0.497</v>
      </c>
      <c r="D3649" s="9" t="s">
        <v>1712</v>
      </c>
      <c r="E3649" s="11" t="s">
        <v>1713</v>
      </c>
      <c r="F3649" s="12" t="s">
        <v>1714</v>
      </c>
      <c r="G3649" s="9" t="s">
        <v>1709</v>
      </c>
    </row>
    <row r="3650" spans="1:7">
      <c r="A3650" s="9" t="s">
        <v>1711</v>
      </c>
      <c r="B3650" s="13">
        <v>0.2</v>
      </c>
      <c r="C3650" s="10">
        <v>0.19500000000000001</v>
      </c>
      <c r="D3650" s="9" t="s">
        <v>1712</v>
      </c>
      <c r="E3650" s="11" t="s">
        <v>1713</v>
      </c>
      <c r="F3650" s="12" t="s">
        <v>1714</v>
      </c>
      <c r="G3650" s="9" t="s">
        <v>1709</v>
      </c>
    </row>
    <row r="3651" spans="1:7">
      <c r="A3651" s="9" t="s">
        <v>1711</v>
      </c>
      <c r="B3651" s="9">
        <v>0.2</v>
      </c>
      <c r="C3651" s="10">
        <v>0.19500000000000001</v>
      </c>
      <c r="D3651" s="9" t="s">
        <v>1712</v>
      </c>
      <c r="E3651" s="11" t="s">
        <v>1713</v>
      </c>
      <c r="F3651" s="12" t="s">
        <v>1714</v>
      </c>
      <c r="G3651" s="9" t="s">
        <v>1709</v>
      </c>
    </row>
    <row r="3652" spans="1:7">
      <c r="A3652" s="9" t="s">
        <v>1711</v>
      </c>
      <c r="B3652" s="13">
        <v>0.2</v>
      </c>
      <c r="C3652" s="10">
        <v>0.19500000000000001</v>
      </c>
      <c r="D3652" s="9" t="s">
        <v>1712</v>
      </c>
      <c r="E3652" s="11" t="s">
        <v>1713</v>
      </c>
      <c r="F3652" s="12" t="s">
        <v>1714</v>
      </c>
      <c r="G3652" s="9" t="s">
        <v>1709</v>
      </c>
    </row>
    <row r="3653" spans="1:7">
      <c r="A3653" s="9" t="s">
        <v>1711</v>
      </c>
      <c r="B3653" s="9">
        <v>0.2</v>
      </c>
      <c r="C3653" s="10">
        <v>0.19500000000000001</v>
      </c>
      <c r="D3653" s="9" t="s">
        <v>1712</v>
      </c>
      <c r="E3653" s="11" t="s">
        <v>1713</v>
      </c>
      <c r="F3653" s="12" t="s">
        <v>1714</v>
      </c>
      <c r="G3653" s="9" t="s">
        <v>1709</v>
      </c>
    </row>
    <row r="3654" spans="1:7">
      <c r="A3654" s="9" t="s">
        <v>1711</v>
      </c>
      <c r="B3654" s="9">
        <v>0.2</v>
      </c>
      <c r="C3654" s="10">
        <v>0.20599999999999999</v>
      </c>
      <c r="D3654" s="9" t="s">
        <v>1712</v>
      </c>
      <c r="E3654" s="11" t="s">
        <v>1713</v>
      </c>
      <c r="F3654" s="12" t="s">
        <v>1714</v>
      </c>
      <c r="G3654" s="9" t="s">
        <v>1709</v>
      </c>
    </row>
    <row r="3655" spans="1:7">
      <c r="A3655" s="9" t="s">
        <v>1711</v>
      </c>
      <c r="B3655" s="9">
        <v>0.2</v>
      </c>
      <c r="C3655" s="10">
        <v>-5.1000000000000004E-2</v>
      </c>
      <c r="D3655" s="9" t="s">
        <v>1709</v>
      </c>
      <c r="E3655" s="11" t="s">
        <v>1710</v>
      </c>
      <c r="F3655" s="12" t="s">
        <v>1710</v>
      </c>
      <c r="G3655" s="9" t="s">
        <v>1709</v>
      </c>
    </row>
    <row r="3656" spans="1:7">
      <c r="A3656" s="9" t="s">
        <v>1711</v>
      </c>
      <c r="B3656" s="9">
        <v>0.2</v>
      </c>
      <c r="C3656" s="10">
        <v>-2.8000000000000001E-2</v>
      </c>
      <c r="D3656" s="9" t="s">
        <v>1709</v>
      </c>
      <c r="E3656" s="11" t="s">
        <v>1710</v>
      </c>
      <c r="F3656" s="12" t="s">
        <v>1710</v>
      </c>
      <c r="G3656" s="9" t="s">
        <v>1709</v>
      </c>
    </row>
    <row r="3657" spans="1:7">
      <c r="A3657" s="9" t="s">
        <v>1711</v>
      </c>
      <c r="B3657" s="9">
        <v>0.2</v>
      </c>
      <c r="C3657" s="10">
        <v>-2.8000000000000001E-2</v>
      </c>
      <c r="D3657" s="9" t="s">
        <v>1709</v>
      </c>
      <c r="E3657" s="11" t="s">
        <v>1710</v>
      </c>
      <c r="F3657" s="12" t="s">
        <v>1710</v>
      </c>
      <c r="G3657" s="9" t="s">
        <v>1709</v>
      </c>
    </row>
    <row r="3658" spans="1:7">
      <c r="A3658" s="9" t="s">
        <v>1711</v>
      </c>
      <c r="B3658" s="9">
        <v>0.2</v>
      </c>
      <c r="C3658" s="10">
        <v>-0.126</v>
      </c>
      <c r="D3658" s="9" t="s">
        <v>1709</v>
      </c>
      <c r="E3658" s="11" t="s">
        <v>1710</v>
      </c>
      <c r="F3658" s="12" t="s">
        <v>1710</v>
      </c>
      <c r="G3658" s="9" t="s">
        <v>1709</v>
      </c>
    </row>
    <row r="3659" spans="1:7">
      <c r="A3659" s="9" t="s">
        <v>1711</v>
      </c>
      <c r="B3659" s="9">
        <v>0.2</v>
      </c>
      <c r="C3659" s="10">
        <v>0.11600000000000001</v>
      </c>
      <c r="D3659" s="9" t="s">
        <v>1712</v>
      </c>
      <c r="E3659" s="11" t="s">
        <v>1713</v>
      </c>
      <c r="F3659" s="12" t="s">
        <v>1714</v>
      </c>
      <c r="G3659" s="9" t="s">
        <v>1709</v>
      </c>
    </row>
    <row r="3660" spans="1:7">
      <c r="A3660" s="9" t="s">
        <v>1711</v>
      </c>
      <c r="B3660" s="9">
        <v>0.2</v>
      </c>
      <c r="C3660" s="10">
        <v>0.23200000000000001</v>
      </c>
      <c r="D3660" s="9" t="s">
        <v>1712</v>
      </c>
      <c r="E3660" s="11" t="s">
        <v>1713</v>
      </c>
      <c r="F3660" s="12" t="s">
        <v>1714</v>
      </c>
      <c r="G3660" s="9" t="s">
        <v>1709</v>
      </c>
    </row>
    <row r="3661" spans="1:7">
      <c r="A3661" s="9" t="s">
        <v>1711</v>
      </c>
      <c r="B3661" s="9">
        <v>0.2</v>
      </c>
      <c r="C3661" s="10">
        <v>0.23200000000000001</v>
      </c>
      <c r="D3661" s="9" t="s">
        <v>1712</v>
      </c>
      <c r="E3661" s="11" t="s">
        <v>1713</v>
      </c>
      <c r="F3661" s="12" t="s">
        <v>1714</v>
      </c>
      <c r="G3661" s="9" t="s">
        <v>1709</v>
      </c>
    </row>
    <row r="3662" spans="1:7">
      <c r="A3662" s="9" t="s">
        <v>1711</v>
      </c>
      <c r="B3662" s="9">
        <v>0.2</v>
      </c>
      <c r="C3662" s="10">
        <v>1.1749999999999998</v>
      </c>
      <c r="D3662" s="9" t="s">
        <v>1712</v>
      </c>
      <c r="E3662" s="11" t="s">
        <v>1713</v>
      </c>
      <c r="F3662" s="12" t="s">
        <v>1714</v>
      </c>
      <c r="G3662" s="9" t="s">
        <v>1709</v>
      </c>
    </row>
    <row r="3663" spans="1:7">
      <c r="A3663" s="9" t="s">
        <v>1711</v>
      </c>
      <c r="B3663" s="13">
        <v>0.2</v>
      </c>
      <c r="C3663" s="10">
        <v>1.1749999999999998</v>
      </c>
      <c r="D3663" s="9" t="s">
        <v>1712</v>
      </c>
      <c r="E3663" s="11" t="s">
        <v>1713</v>
      </c>
      <c r="F3663" s="12" t="s">
        <v>1714</v>
      </c>
      <c r="G3663" s="9" t="s">
        <v>1709</v>
      </c>
    </row>
    <row r="3664" spans="1:7">
      <c r="A3664" s="9" t="s">
        <v>1711</v>
      </c>
      <c r="B3664" s="9">
        <v>0.2</v>
      </c>
      <c r="C3664" s="10">
        <v>1.1749999999999998</v>
      </c>
      <c r="D3664" s="9" t="s">
        <v>1712</v>
      </c>
      <c r="E3664" s="11" t="s">
        <v>1713</v>
      </c>
      <c r="F3664" s="12" t="s">
        <v>1714</v>
      </c>
      <c r="G3664" s="9" t="s">
        <v>1709</v>
      </c>
    </row>
    <row r="3665" spans="1:7">
      <c r="A3665" s="9" t="s">
        <v>1711</v>
      </c>
      <c r="B3665" s="9">
        <v>0.2</v>
      </c>
      <c r="C3665" s="10">
        <v>-7.4999999999999997E-2</v>
      </c>
      <c r="D3665" s="9" t="s">
        <v>1709</v>
      </c>
      <c r="E3665" s="11" t="s">
        <v>1710</v>
      </c>
      <c r="F3665" s="12" t="s">
        <v>1710</v>
      </c>
      <c r="G3665" s="9" t="s">
        <v>1709</v>
      </c>
    </row>
    <row r="3666" spans="1:7">
      <c r="A3666" s="9" t="s">
        <v>1711</v>
      </c>
      <c r="B3666" s="9">
        <v>0.2</v>
      </c>
      <c r="C3666" s="10">
        <v>-0.156</v>
      </c>
      <c r="D3666" s="9" t="s">
        <v>1709</v>
      </c>
      <c r="E3666" s="11" t="s">
        <v>1710</v>
      </c>
      <c r="F3666" s="12" t="s">
        <v>1710</v>
      </c>
      <c r="G3666" s="9" t="s">
        <v>1709</v>
      </c>
    </row>
    <row r="3667" spans="1:7">
      <c r="A3667" s="9" t="s">
        <v>1711</v>
      </c>
      <c r="B3667" s="9">
        <v>0.2</v>
      </c>
      <c r="C3667" s="10">
        <v>0.77400000000000002</v>
      </c>
      <c r="D3667" s="9" t="s">
        <v>1712</v>
      </c>
      <c r="E3667" s="11" t="s">
        <v>1713</v>
      </c>
      <c r="F3667" s="12" t="s">
        <v>1714</v>
      </c>
      <c r="G3667" s="9" t="s">
        <v>1709</v>
      </c>
    </row>
    <row r="3668" spans="1:7">
      <c r="A3668" s="9" t="s">
        <v>1711</v>
      </c>
      <c r="B3668" s="9">
        <v>0.2</v>
      </c>
      <c r="C3668" s="10">
        <v>-3.6999999999999998E-2</v>
      </c>
      <c r="D3668" s="9" t="s">
        <v>1709</v>
      </c>
      <c r="E3668" s="11" t="s">
        <v>1710</v>
      </c>
      <c r="F3668" s="12" t="s">
        <v>1710</v>
      </c>
      <c r="G3668" s="9" t="s">
        <v>1709</v>
      </c>
    </row>
    <row r="3669" spans="1:7">
      <c r="A3669" s="9" t="s">
        <v>1711</v>
      </c>
      <c r="B3669" s="13">
        <v>0.2</v>
      </c>
      <c r="C3669" s="10">
        <v>-3.6999999999999998E-2</v>
      </c>
      <c r="D3669" s="9" t="s">
        <v>1709</v>
      </c>
      <c r="E3669" s="11" t="s">
        <v>1710</v>
      </c>
      <c r="F3669" s="12" t="s">
        <v>1710</v>
      </c>
      <c r="G3669" s="9" t="s">
        <v>1709</v>
      </c>
    </row>
    <row r="3670" spans="1:7">
      <c r="A3670" s="9" t="s">
        <v>1711</v>
      </c>
      <c r="B3670" s="13">
        <v>0.2</v>
      </c>
      <c r="C3670" s="10">
        <v>-3.6999999999999998E-2</v>
      </c>
      <c r="D3670" s="9" t="s">
        <v>1709</v>
      </c>
      <c r="E3670" s="11" t="s">
        <v>1710</v>
      </c>
      <c r="F3670" s="12" t="s">
        <v>1710</v>
      </c>
      <c r="G3670" s="9" t="s">
        <v>1709</v>
      </c>
    </row>
    <row r="3671" spans="1:7">
      <c r="A3671" s="9" t="s">
        <v>1711</v>
      </c>
      <c r="B3671" s="13">
        <v>0.2</v>
      </c>
      <c r="C3671" s="10">
        <v>2.3719999999999999</v>
      </c>
      <c r="D3671" s="9" t="s">
        <v>1712</v>
      </c>
      <c r="E3671" s="11" t="s">
        <v>1713</v>
      </c>
      <c r="F3671" s="12" t="s">
        <v>1714</v>
      </c>
      <c r="G3671" s="9" t="s">
        <v>1709</v>
      </c>
    </row>
    <row r="3672" spans="1:7">
      <c r="A3672" s="9" t="s">
        <v>1711</v>
      </c>
      <c r="B3672" s="13">
        <v>0.2</v>
      </c>
      <c r="C3672" s="10">
        <v>2.3719999999999999</v>
      </c>
      <c r="D3672" s="9" t="s">
        <v>1712</v>
      </c>
      <c r="E3672" s="11" t="s">
        <v>1713</v>
      </c>
      <c r="F3672" s="12" t="s">
        <v>1714</v>
      </c>
      <c r="G3672" s="9" t="s">
        <v>1709</v>
      </c>
    </row>
    <row r="3673" spans="1:7">
      <c r="A3673" s="9" t="s">
        <v>1711</v>
      </c>
      <c r="B3673" s="13">
        <v>0.2</v>
      </c>
      <c r="C3673" s="10">
        <v>-7.0000000000000001E-3</v>
      </c>
      <c r="D3673" s="9" t="s">
        <v>1709</v>
      </c>
      <c r="E3673" s="11" t="s">
        <v>1710</v>
      </c>
      <c r="F3673" s="12" t="s">
        <v>1710</v>
      </c>
      <c r="G3673" s="9" t="s">
        <v>1709</v>
      </c>
    </row>
    <row r="3674" spans="1:7">
      <c r="A3674" s="9" t="s">
        <v>1711</v>
      </c>
      <c r="B3674" s="13">
        <v>0.2</v>
      </c>
      <c r="C3674" s="10">
        <v>0.152</v>
      </c>
      <c r="D3674" s="9" t="s">
        <v>1712</v>
      </c>
      <c r="E3674" s="11" t="s">
        <v>1713</v>
      </c>
      <c r="F3674" s="12" t="s">
        <v>1714</v>
      </c>
      <c r="G3674" s="9" t="s">
        <v>1709</v>
      </c>
    </row>
    <row r="3675" spans="1:7">
      <c r="A3675" s="9" t="s">
        <v>1711</v>
      </c>
      <c r="B3675" s="13">
        <v>0.2</v>
      </c>
      <c r="C3675" s="10">
        <v>0.34400000000000003</v>
      </c>
      <c r="D3675" s="9" t="s">
        <v>1712</v>
      </c>
      <c r="E3675" s="11" t="s">
        <v>1713</v>
      </c>
      <c r="F3675" s="12" t="s">
        <v>1714</v>
      </c>
      <c r="G3675" s="9" t="s">
        <v>1709</v>
      </c>
    </row>
    <row r="3676" spans="1:7">
      <c r="A3676" s="9" t="s">
        <v>1711</v>
      </c>
      <c r="B3676" s="13">
        <v>0.2</v>
      </c>
      <c r="C3676" s="10">
        <v>-0.19400000000000001</v>
      </c>
      <c r="D3676" s="9" t="s">
        <v>1709</v>
      </c>
      <c r="E3676" s="11" t="s">
        <v>1710</v>
      </c>
      <c r="F3676" s="12" t="s">
        <v>1710</v>
      </c>
      <c r="G3676" s="9" t="s">
        <v>1709</v>
      </c>
    </row>
    <row r="3677" spans="1:7">
      <c r="A3677" s="9" t="s">
        <v>1711</v>
      </c>
      <c r="B3677" s="9">
        <v>0.2</v>
      </c>
      <c r="C3677" s="10">
        <v>-6.9000000000000006E-2</v>
      </c>
      <c r="D3677" s="9" t="s">
        <v>1709</v>
      </c>
      <c r="E3677" s="11" t="s">
        <v>1710</v>
      </c>
      <c r="F3677" s="12" t="s">
        <v>1710</v>
      </c>
      <c r="G3677" s="9" t="s">
        <v>1709</v>
      </c>
    </row>
    <row r="3678" spans="1:7">
      <c r="A3678" s="9" t="s">
        <v>1711</v>
      </c>
      <c r="B3678" s="9">
        <v>0.2</v>
      </c>
      <c r="C3678" s="10">
        <v>-3.6000000000000004E-2</v>
      </c>
      <c r="D3678" s="9" t="s">
        <v>1709</v>
      </c>
      <c r="E3678" s="11" t="s">
        <v>1710</v>
      </c>
      <c r="F3678" s="12" t="s">
        <v>1710</v>
      </c>
      <c r="G3678" s="9" t="s">
        <v>1709</v>
      </c>
    </row>
    <row r="3679" spans="1:7">
      <c r="A3679" s="9" t="s">
        <v>1711</v>
      </c>
      <c r="B3679" s="9">
        <v>0.2</v>
      </c>
      <c r="C3679" s="10">
        <v>-3.6000000000000004E-2</v>
      </c>
      <c r="D3679" s="9" t="s">
        <v>1709</v>
      </c>
      <c r="E3679" s="11" t="s">
        <v>1710</v>
      </c>
      <c r="F3679" s="12" t="s">
        <v>1710</v>
      </c>
      <c r="G3679" s="9" t="s">
        <v>1709</v>
      </c>
    </row>
    <row r="3680" spans="1:7">
      <c r="A3680" s="9" t="s">
        <v>1711</v>
      </c>
      <c r="B3680" s="9">
        <v>0.2</v>
      </c>
      <c r="C3680" s="10">
        <v>-3.6000000000000004E-2</v>
      </c>
      <c r="D3680" s="9" t="s">
        <v>1709</v>
      </c>
      <c r="E3680" s="11" t="s">
        <v>1710</v>
      </c>
      <c r="F3680" s="12" t="s">
        <v>1710</v>
      </c>
      <c r="G3680" s="9" t="s">
        <v>1709</v>
      </c>
    </row>
    <row r="3681" spans="1:7">
      <c r="A3681" s="9" t="s">
        <v>1711</v>
      </c>
      <c r="B3681" s="9">
        <v>0.2</v>
      </c>
      <c r="C3681" s="10">
        <v>-3.6000000000000004E-2</v>
      </c>
      <c r="D3681" s="9" t="s">
        <v>1709</v>
      </c>
      <c r="E3681" s="11" t="s">
        <v>1710</v>
      </c>
      <c r="F3681" s="12" t="s">
        <v>1710</v>
      </c>
      <c r="G3681" s="9" t="s">
        <v>1709</v>
      </c>
    </row>
    <row r="3682" spans="1:7">
      <c r="A3682" s="9" t="s">
        <v>1711</v>
      </c>
      <c r="B3682" s="9">
        <v>0.2</v>
      </c>
      <c r="C3682" s="10">
        <v>0.25600000000000001</v>
      </c>
      <c r="D3682" s="9" t="s">
        <v>1712</v>
      </c>
      <c r="E3682" s="11" t="s">
        <v>1713</v>
      </c>
      <c r="F3682" s="12" t="s">
        <v>1714</v>
      </c>
      <c r="G3682" s="9" t="s">
        <v>1709</v>
      </c>
    </row>
    <row r="3683" spans="1:7">
      <c r="A3683" s="9" t="s">
        <v>1711</v>
      </c>
      <c r="B3683" s="9">
        <v>0.2</v>
      </c>
      <c r="C3683" s="10">
        <v>0.10299999999999999</v>
      </c>
      <c r="D3683" s="9" t="s">
        <v>1712</v>
      </c>
      <c r="E3683" s="11" t="s">
        <v>1713</v>
      </c>
      <c r="F3683" s="12" t="s">
        <v>1714</v>
      </c>
      <c r="G3683" s="9" t="s">
        <v>1709</v>
      </c>
    </row>
    <row r="3684" spans="1:7">
      <c r="A3684" s="9" t="s">
        <v>1711</v>
      </c>
      <c r="B3684" s="9">
        <v>0.2</v>
      </c>
      <c r="C3684" s="10">
        <v>0.313</v>
      </c>
      <c r="D3684" s="9" t="s">
        <v>1712</v>
      </c>
      <c r="E3684" s="11" t="s">
        <v>1713</v>
      </c>
      <c r="F3684" s="12" t="s">
        <v>1714</v>
      </c>
      <c r="G3684" s="9" t="s">
        <v>1709</v>
      </c>
    </row>
    <row r="3685" spans="1:7">
      <c r="A3685" s="9" t="s">
        <v>1711</v>
      </c>
      <c r="B3685" s="9">
        <v>0.2</v>
      </c>
      <c r="C3685" s="10">
        <v>0.14799999999999999</v>
      </c>
      <c r="D3685" s="9" t="s">
        <v>1712</v>
      </c>
      <c r="E3685" s="11" t="s">
        <v>1713</v>
      </c>
      <c r="F3685" s="12" t="s">
        <v>1714</v>
      </c>
      <c r="G3685" s="9" t="s">
        <v>1709</v>
      </c>
    </row>
    <row r="3686" spans="1:7">
      <c r="A3686" s="9" t="s">
        <v>1711</v>
      </c>
      <c r="B3686" s="9">
        <v>0.2</v>
      </c>
      <c r="C3686" s="10">
        <v>0.57599999999999996</v>
      </c>
      <c r="D3686" s="9" t="s">
        <v>1712</v>
      </c>
      <c r="E3686" s="11" t="s">
        <v>1713</v>
      </c>
      <c r="F3686" s="12" t="s">
        <v>1714</v>
      </c>
      <c r="G3686" s="9" t="s">
        <v>1709</v>
      </c>
    </row>
    <row r="3687" spans="1:7">
      <c r="A3687" s="9" t="s">
        <v>1711</v>
      </c>
      <c r="B3687" s="9">
        <v>0.2</v>
      </c>
      <c r="C3687" s="10">
        <v>0.57599999999999996</v>
      </c>
      <c r="D3687" s="9" t="s">
        <v>1712</v>
      </c>
      <c r="E3687" s="11" t="s">
        <v>1713</v>
      </c>
      <c r="F3687" s="12" t="s">
        <v>1714</v>
      </c>
      <c r="G3687" s="9" t="s">
        <v>1709</v>
      </c>
    </row>
    <row r="3688" spans="1:7">
      <c r="A3688" s="9" t="s">
        <v>1711</v>
      </c>
      <c r="B3688" s="9">
        <v>0.2</v>
      </c>
      <c r="C3688" s="10">
        <v>-0.02</v>
      </c>
      <c r="D3688" s="9" t="s">
        <v>1709</v>
      </c>
      <c r="E3688" s="11" t="s">
        <v>1710</v>
      </c>
      <c r="F3688" s="12" t="s">
        <v>1710</v>
      </c>
      <c r="G3688" s="9" t="s">
        <v>1709</v>
      </c>
    </row>
    <row r="3689" spans="1:7">
      <c r="A3689" s="9" t="s">
        <v>1711</v>
      </c>
      <c r="B3689" s="9">
        <v>0.2</v>
      </c>
      <c r="C3689" s="10">
        <v>0.107</v>
      </c>
      <c r="D3689" s="9" t="s">
        <v>1712</v>
      </c>
      <c r="E3689" s="11" t="s">
        <v>1738</v>
      </c>
      <c r="F3689" s="12" t="s">
        <v>1714</v>
      </c>
      <c r="G3689" s="9" t="s">
        <v>1709</v>
      </c>
    </row>
    <row r="3690" spans="1:7">
      <c r="A3690" s="9" t="s">
        <v>1711</v>
      </c>
      <c r="B3690" s="9">
        <v>0.2</v>
      </c>
      <c r="C3690" s="10">
        <v>0.93400000000000005</v>
      </c>
      <c r="D3690" s="9" t="s">
        <v>1712</v>
      </c>
      <c r="E3690" s="11" t="s">
        <v>1738</v>
      </c>
      <c r="F3690" s="12" t="s">
        <v>1714</v>
      </c>
      <c r="G3690" s="9" t="s">
        <v>1709</v>
      </c>
    </row>
    <row r="3691" spans="1:7">
      <c r="A3691" s="9" t="s">
        <v>1711</v>
      </c>
      <c r="B3691" s="9">
        <v>0.2</v>
      </c>
      <c r="C3691" s="10">
        <v>-0.191</v>
      </c>
      <c r="D3691" s="9" t="s">
        <v>1709</v>
      </c>
      <c r="E3691" s="11" t="s">
        <v>1710</v>
      </c>
      <c r="F3691" s="12" t="s">
        <v>1710</v>
      </c>
      <c r="G3691" s="9" t="s">
        <v>1709</v>
      </c>
    </row>
    <row r="3692" spans="1:7">
      <c r="A3692" s="9" t="s">
        <v>1711</v>
      </c>
      <c r="B3692" s="9">
        <v>0.2</v>
      </c>
      <c r="C3692" s="10">
        <v>0.95699999999999996</v>
      </c>
      <c r="D3692" s="9" t="s">
        <v>1712</v>
      </c>
      <c r="E3692" s="11" t="s">
        <v>1713</v>
      </c>
      <c r="F3692" s="12" t="s">
        <v>1714</v>
      </c>
      <c r="G3692" s="9" t="s">
        <v>1709</v>
      </c>
    </row>
    <row r="3693" spans="1:7">
      <c r="A3693" s="9" t="s">
        <v>1711</v>
      </c>
      <c r="B3693" s="9">
        <v>0.2</v>
      </c>
      <c r="C3693" s="10">
        <v>0.17799999999999999</v>
      </c>
      <c r="D3693" s="9" t="s">
        <v>1712</v>
      </c>
      <c r="E3693" s="11" t="s">
        <v>1713</v>
      </c>
      <c r="F3693" s="12" t="s">
        <v>1714</v>
      </c>
      <c r="G3693" s="9" t="s">
        <v>1709</v>
      </c>
    </row>
    <row r="3694" spans="1:7">
      <c r="A3694" s="9" t="s">
        <v>1711</v>
      </c>
      <c r="B3694" s="13">
        <v>0.2</v>
      </c>
      <c r="C3694" s="10">
        <v>0.17799999999999999</v>
      </c>
      <c r="D3694" s="9" t="s">
        <v>1712</v>
      </c>
      <c r="E3694" s="11" t="s">
        <v>1713</v>
      </c>
      <c r="F3694" s="12" t="s">
        <v>1714</v>
      </c>
      <c r="G3694" s="9" t="s">
        <v>1709</v>
      </c>
    </row>
    <row r="3695" spans="1:7">
      <c r="A3695" s="9" t="s">
        <v>1711</v>
      </c>
      <c r="B3695" s="9">
        <v>0.2</v>
      </c>
      <c r="C3695" s="10">
        <v>0.17799999999999999</v>
      </c>
      <c r="D3695" s="9" t="s">
        <v>1712</v>
      </c>
      <c r="E3695" s="11" t="s">
        <v>1713</v>
      </c>
      <c r="F3695" s="12" t="s">
        <v>1714</v>
      </c>
      <c r="G3695" s="9" t="s">
        <v>1709</v>
      </c>
    </row>
    <row r="3696" spans="1:7">
      <c r="A3696" s="9" t="s">
        <v>1711</v>
      </c>
      <c r="B3696" s="13">
        <v>0.2</v>
      </c>
      <c r="C3696" s="10">
        <v>4.1000000000000002E-2</v>
      </c>
      <c r="D3696" s="9" t="s">
        <v>1712</v>
      </c>
      <c r="E3696" s="11" t="s">
        <v>1713</v>
      </c>
      <c r="F3696" s="12" t="s">
        <v>1714</v>
      </c>
      <c r="G3696" s="9" t="s">
        <v>1709</v>
      </c>
    </row>
    <row r="3697" spans="1:7">
      <c r="A3697" s="9" t="s">
        <v>1711</v>
      </c>
      <c r="B3697" s="13">
        <v>0.2</v>
      </c>
      <c r="C3697" s="10">
        <v>4.1000000000000002E-2</v>
      </c>
      <c r="D3697" s="9" t="s">
        <v>1712</v>
      </c>
      <c r="E3697" s="11" t="s">
        <v>1713</v>
      </c>
      <c r="F3697" s="12" t="s">
        <v>1714</v>
      </c>
      <c r="G3697" s="9" t="s">
        <v>1709</v>
      </c>
    </row>
    <row r="3698" spans="1:7">
      <c r="A3698" s="9" t="s">
        <v>1711</v>
      </c>
      <c r="B3698" s="13">
        <v>0.2</v>
      </c>
      <c r="C3698" s="10">
        <v>4.1000000000000002E-2</v>
      </c>
      <c r="D3698" s="9" t="s">
        <v>1712</v>
      </c>
      <c r="E3698" s="11" t="s">
        <v>1713</v>
      </c>
      <c r="F3698" s="12" t="s">
        <v>1714</v>
      </c>
      <c r="G3698" s="9" t="s">
        <v>1709</v>
      </c>
    </row>
    <row r="3699" spans="1:7">
      <c r="A3699" s="9" t="s">
        <v>1711</v>
      </c>
      <c r="B3699" s="13">
        <v>0.2</v>
      </c>
      <c r="C3699" s="10">
        <v>4.1000000000000002E-2</v>
      </c>
      <c r="D3699" s="9" t="s">
        <v>1712</v>
      </c>
      <c r="E3699" s="11" t="s">
        <v>1713</v>
      </c>
      <c r="F3699" s="12" t="s">
        <v>1714</v>
      </c>
      <c r="G3699" s="9" t="s">
        <v>1709</v>
      </c>
    </row>
    <row r="3700" spans="1:7">
      <c r="A3700" s="9" t="s">
        <v>1711</v>
      </c>
      <c r="B3700" s="13">
        <v>0.2</v>
      </c>
      <c r="C3700" s="10">
        <v>4.1000000000000002E-2</v>
      </c>
      <c r="D3700" s="9" t="s">
        <v>1712</v>
      </c>
      <c r="E3700" s="11" t="s">
        <v>1713</v>
      </c>
      <c r="F3700" s="12" t="s">
        <v>1714</v>
      </c>
      <c r="G3700" s="9" t="s">
        <v>1709</v>
      </c>
    </row>
    <row r="3701" spans="1:7">
      <c r="A3701" s="9" t="s">
        <v>1711</v>
      </c>
      <c r="B3701" s="13">
        <v>0.2</v>
      </c>
      <c r="C3701" s="10">
        <v>0.57099999999999995</v>
      </c>
      <c r="D3701" s="9" t="s">
        <v>1712</v>
      </c>
      <c r="E3701" s="11" t="s">
        <v>1713</v>
      </c>
      <c r="F3701" s="12" t="s">
        <v>1714</v>
      </c>
      <c r="G3701" s="9" t="s">
        <v>1709</v>
      </c>
    </row>
    <row r="3702" spans="1:7">
      <c r="A3702" s="9" t="s">
        <v>1711</v>
      </c>
      <c r="B3702" s="13">
        <v>0.2</v>
      </c>
      <c r="C3702" s="10">
        <v>0.57099999999999995</v>
      </c>
      <c r="D3702" s="9" t="s">
        <v>1712</v>
      </c>
      <c r="E3702" s="11" t="s">
        <v>1713</v>
      </c>
      <c r="F3702" s="12" t="s">
        <v>1714</v>
      </c>
      <c r="G3702" s="9" t="s">
        <v>1709</v>
      </c>
    </row>
    <row r="3703" spans="1:7">
      <c r="A3703" s="9" t="s">
        <v>1711</v>
      </c>
      <c r="B3703" s="13">
        <v>0.2</v>
      </c>
      <c r="C3703" s="10">
        <v>0.57099999999999995</v>
      </c>
      <c r="D3703" s="9" t="s">
        <v>1712</v>
      </c>
      <c r="E3703" s="11" t="s">
        <v>1713</v>
      </c>
      <c r="F3703" s="12" t="s">
        <v>1714</v>
      </c>
      <c r="G3703" s="9" t="s">
        <v>1709</v>
      </c>
    </row>
    <row r="3704" spans="1:7">
      <c r="A3704" s="9" t="s">
        <v>1711</v>
      </c>
      <c r="B3704" s="13">
        <v>0.2</v>
      </c>
      <c r="C3704" s="10">
        <v>0.57099999999999995</v>
      </c>
      <c r="D3704" s="9" t="s">
        <v>1712</v>
      </c>
      <c r="E3704" s="11" t="s">
        <v>1713</v>
      </c>
      <c r="F3704" s="12" t="s">
        <v>1714</v>
      </c>
      <c r="G3704" s="9" t="s">
        <v>1709</v>
      </c>
    </row>
    <row r="3705" spans="1:7">
      <c r="A3705" s="9" t="s">
        <v>1711</v>
      </c>
      <c r="B3705" s="13">
        <v>0.2</v>
      </c>
      <c r="C3705" s="10">
        <v>0.57099999999999995</v>
      </c>
      <c r="D3705" s="9" t="s">
        <v>1712</v>
      </c>
      <c r="E3705" s="11" t="s">
        <v>1713</v>
      </c>
      <c r="F3705" s="12" t="s">
        <v>1714</v>
      </c>
      <c r="G3705" s="9" t="s">
        <v>1709</v>
      </c>
    </row>
    <row r="3706" spans="1:7">
      <c r="A3706" s="9" t="s">
        <v>1711</v>
      </c>
      <c r="B3706" s="9">
        <v>0.2</v>
      </c>
      <c r="C3706" s="10">
        <v>0.57099999999999995</v>
      </c>
      <c r="D3706" s="9" t="s">
        <v>1712</v>
      </c>
      <c r="E3706" s="11" t="s">
        <v>1713</v>
      </c>
      <c r="F3706" s="12" t="s">
        <v>1714</v>
      </c>
      <c r="G3706" s="9" t="s">
        <v>1709</v>
      </c>
    </row>
    <row r="3707" spans="1:7">
      <c r="A3707" s="9" t="s">
        <v>1711</v>
      </c>
      <c r="B3707" s="9">
        <v>0.2</v>
      </c>
      <c r="C3707" s="10">
        <v>-9.5000000000000001E-2</v>
      </c>
      <c r="D3707" s="9" t="s">
        <v>1709</v>
      </c>
      <c r="E3707" s="11" t="s">
        <v>1710</v>
      </c>
      <c r="F3707" s="12" t="s">
        <v>1710</v>
      </c>
      <c r="G3707" s="9" t="s">
        <v>1709</v>
      </c>
    </row>
    <row r="3708" spans="1:7">
      <c r="A3708" s="9" t="s">
        <v>1711</v>
      </c>
      <c r="B3708" s="9">
        <v>0.2</v>
      </c>
      <c r="C3708" s="10">
        <v>-9.5000000000000001E-2</v>
      </c>
      <c r="D3708" s="9" t="s">
        <v>1709</v>
      </c>
      <c r="E3708" s="11" t="s">
        <v>1710</v>
      </c>
      <c r="F3708" s="12" t="s">
        <v>1710</v>
      </c>
      <c r="G3708" s="9" t="s">
        <v>1709</v>
      </c>
    </row>
    <row r="3709" spans="1:7">
      <c r="A3709" s="9" t="s">
        <v>1711</v>
      </c>
      <c r="B3709" s="9">
        <v>0.2</v>
      </c>
      <c r="C3709" s="10">
        <v>-0.183</v>
      </c>
      <c r="D3709" s="9" t="s">
        <v>1709</v>
      </c>
      <c r="E3709" s="11" t="s">
        <v>1710</v>
      </c>
      <c r="F3709" s="12" t="s">
        <v>1710</v>
      </c>
      <c r="G3709" s="9" t="s">
        <v>1709</v>
      </c>
    </row>
    <row r="3710" spans="1:7">
      <c r="A3710" s="9" t="s">
        <v>1711</v>
      </c>
      <c r="B3710" s="9">
        <v>0.2</v>
      </c>
      <c r="C3710" s="10">
        <v>7.0000000000000001E-3</v>
      </c>
      <c r="D3710" s="9" t="s">
        <v>1712</v>
      </c>
      <c r="E3710" s="11" t="s">
        <v>1738</v>
      </c>
      <c r="F3710" s="12" t="s">
        <v>1714</v>
      </c>
      <c r="G3710" s="9" t="s">
        <v>1709</v>
      </c>
    </row>
    <row r="3711" spans="1:7">
      <c r="A3711" s="9" t="s">
        <v>1711</v>
      </c>
      <c r="B3711" s="9">
        <v>0.2</v>
      </c>
      <c r="C3711" s="10">
        <v>-9.5000000000000001E-2</v>
      </c>
      <c r="D3711" s="9" t="s">
        <v>1709</v>
      </c>
      <c r="E3711" s="11" t="s">
        <v>1710</v>
      </c>
      <c r="F3711" s="12" t="s">
        <v>1710</v>
      </c>
      <c r="G3711" s="9" t="s">
        <v>1709</v>
      </c>
    </row>
    <row r="3712" spans="1:7">
      <c r="A3712" s="9" t="s">
        <v>1711</v>
      </c>
      <c r="B3712" s="9">
        <v>0.2</v>
      </c>
      <c r="C3712" s="10">
        <v>1.8059999999999998</v>
      </c>
      <c r="D3712" s="9" t="s">
        <v>1712</v>
      </c>
      <c r="E3712" s="11" t="s">
        <v>1713</v>
      </c>
      <c r="F3712" s="12" t="s">
        <v>1714</v>
      </c>
      <c r="G3712" s="9" t="s">
        <v>1709</v>
      </c>
    </row>
    <row r="3713" spans="1:7">
      <c r="A3713" s="9" t="s">
        <v>1711</v>
      </c>
      <c r="B3713" s="9">
        <v>0.2</v>
      </c>
      <c r="C3713" s="10">
        <v>0.26900000000000002</v>
      </c>
      <c r="D3713" s="9" t="s">
        <v>1712</v>
      </c>
      <c r="E3713" s="11" t="s">
        <v>1713</v>
      </c>
      <c r="F3713" s="12" t="s">
        <v>1714</v>
      </c>
      <c r="G3713" s="9" t="s">
        <v>1709</v>
      </c>
    </row>
    <row r="3714" spans="1:7">
      <c r="A3714" s="9" t="s">
        <v>1711</v>
      </c>
      <c r="B3714" s="9">
        <v>0.2</v>
      </c>
      <c r="C3714" s="10">
        <v>5.0000000000000001E-3</v>
      </c>
      <c r="D3714" s="9" t="s">
        <v>1712</v>
      </c>
      <c r="E3714" s="11" t="s">
        <v>1713</v>
      </c>
      <c r="F3714" s="12" t="s">
        <v>1714</v>
      </c>
      <c r="G3714" s="9" t="s">
        <v>1709</v>
      </c>
    </row>
    <row r="3715" spans="1:7">
      <c r="A3715" s="9" t="s">
        <v>1711</v>
      </c>
      <c r="B3715" s="9">
        <v>0.2</v>
      </c>
      <c r="C3715" s="10">
        <v>0.219</v>
      </c>
      <c r="D3715" s="9" t="s">
        <v>1712</v>
      </c>
      <c r="E3715" s="11" t="s">
        <v>1713</v>
      </c>
      <c r="F3715" s="12" t="s">
        <v>1714</v>
      </c>
      <c r="G3715" s="9" t="s">
        <v>1709</v>
      </c>
    </row>
    <row r="3716" spans="1:7">
      <c r="A3716" s="9" t="s">
        <v>1711</v>
      </c>
      <c r="B3716" s="9">
        <v>0.2</v>
      </c>
      <c r="C3716" s="10">
        <v>0.05</v>
      </c>
      <c r="D3716" s="9" t="s">
        <v>1712</v>
      </c>
      <c r="E3716" s="11" t="s">
        <v>1713</v>
      </c>
      <c r="F3716" s="12" t="s">
        <v>1714</v>
      </c>
      <c r="G3716" s="9" t="s">
        <v>1709</v>
      </c>
    </row>
    <row r="3717" spans="1:7">
      <c r="A3717" s="9" t="s">
        <v>1711</v>
      </c>
      <c r="B3717" s="9">
        <v>0.2</v>
      </c>
      <c r="C3717" s="10">
        <v>0.19600000000000001</v>
      </c>
      <c r="D3717" s="9" t="s">
        <v>1712</v>
      </c>
      <c r="E3717" s="11" t="s">
        <v>1713</v>
      </c>
      <c r="F3717" s="12" t="s">
        <v>1714</v>
      </c>
      <c r="G3717" s="9" t="s">
        <v>1709</v>
      </c>
    </row>
    <row r="3718" spans="1:7">
      <c r="A3718" s="9" t="s">
        <v>1711</v>
      </c>
      <c r="B3718" s="9">
        <v>0.2</v>
      </c>
      <c r="C3718" s="10">
        <v>0.19600000000000001</v>
      </c>
      <c r="D3718" s="9" t="s">
        <v>1712</v>
      </c>
      <c r="E3718" s="11" t="s">
        <v>1713</v>
      </c>
      <c r="F3718" s="12" t="s">
        <v>1714</v>
      </c>
      <c r="G3718" s="9" t="s">
        <v>1709</v>
      </c>
    </row>
    <row r="3719" spans="1:7">
      <c r="A3719" s="9" t="s">
        <v>1711</v>
      </c>
      <c r="B3719" s="9">
        <v>0.2</v>
      </c>
      <c r="C3719" s="10">
        <v>0.19600000000000001</v>
      </c>
      <c r="D3719" s="9" t="s">
        <v>1712</v>
      </c>
      <c r="E3719" s="11" t="s">
        <v>1713</v>
      </c>
      <c r="F3719" s="12" t="s">
        <v>1714</v>
      </c>
      <c r="G3719" s="9" t="s">
        <v>1709</v>
      </c>
    </row>
    <row r="3720" spans="1:7">
      <c r="A3720" s="9" t="s">
        <v>1711</v>
      </c>
      <c r="B3720" s="9">
        <v>0.2</v>
      </c>
      <c r="C3720" s="10">
        <v>0.19600000000000001</v>
      </c>
      <c r="D3720" s="9" t="s">
        <v>1712</v>
      </c>
      <c r="E3720" s="11" t="s">
        <v>1713</v>
      </c>
      <c r="F3720" s="12" t="s">
        <v>1714</v>
      </c>
      <c r="G3720" s="9" t="s">
        <v>1709</v>
      </c>
    </row>
    <row r="3721" spans="1:7">
      <c r="A3721" s="9" t="s">
        <v>1711</v>
      </c>
      <c r="B3721" s="9">
        <v>0.2</v>
      </c>
      <c r="C3721" s="10">
        <v>0.19600000000000001</v>
      </c>
      <c r="D3721" s="9" t="s">
        <v>1712</v>
      </c>
      <c r="E3721" s="11" t="s">
        <v>1713</v>
      </c>
      <c r="F3721" s="12" t="s">
        <v>1714</v>
      </c>
      <c r="G3721" s="9" t="s">
        <v>1709</v>
      </c>
    </row>
    <row r="3722" spans="1:7">
      <c r="A3722" s="9" t="s">
        <v>1711</v>
      </c>
      <c r="B3722" s="9">
        <v>0.2</v>
      </c>
      <c r="C3722" s="10">
        <v>0.19600000000000001</v>
      </c>
      <c r="D3722" s="9" t="s">
        <v>1712</v>
      </c>
      <c r="E3722" s="11" t="s">
        <v>1713</v>
      </c>
      <c r="F3722" s="12" t="s">
        <v>1714</v>
      </c>
      <c r="G3722" s="9" t="s">
        <v>1709</v>
      </c>
    </row>
    <row r="3723" spans="1:7">
      <c r="A3723" s="9" t="s">
        <v>1711</v>
      </c>
      <c r="B3723" s="13">
        <v>0.2</v>
      </c>
      <c r="C3723" s="10">
        <v>0.19600000000000001</v>
      </c>
      <c r="D3723" s="9" t="s">
        <v>1712</v>
      </c>
      <c r="E3723" s="11" t="s">
        <v>1713</v>
      </c>
      <c r="F3723" s="12" t="s">
        <v>1714</v>
      </c>
      <c r="G3723" s="9" t="s">
        <v>1709</v>
      </c>
    </row>
    <row r="3724" spans="1:7">
      <c r="A3724" s="9" t="s">
        <v>1711</v>
      </c>
      <c r="B3724" s="13">
        <v>0.2</v>
      </c>
      <c r="C3724" s="10">
        <v>0.19600000000000001</v>
      </c>
      <c r="D3724" s="9" t="s">
        <v>1712</v>
      </c>
      <c r="E3724" s="11" t="s">
        <v>1713</v>
      </c>
      <c r="F3724" s="12" t="s">
        <v>1714</v>
      </c>
      <c r="G3724" s="9" t="s">
        <v>1709</v>
      </c>
    </row>
    <row r="3725" spans="1:7">
      <c r="A3725" s="9" t="s">
        <v>1711</v>
      </c>
      <c r="B3725" s="9">
        <v>0.2</v>
      </c>
      <c r="C3725" s="10">
        <v>0.24</v>
      </c>
      <c r="D3725" s="9" t="s">
        <v>1712</v>
      </c>
      <c r="E3725" s="11" t="s">
        <v>1713</v>
      </c>
      <c r="F3725" s="12" t="s">
        <v>1714</v>
      </c>
      <c r="G3725" s="9" t="s">
        <v>1709</v>
      </c>
    </row>
    <row r="3726" spans="1:7">
      <c r="A3726" s="9" t="s">
        <v>1711</v>
      </c>
      <c r="B3726" s="9">
        <v>0.2</v>
      </c>
      <c r="C3726" s="10">
        <v>0.24</v>
      </c>
      <c r="D3726" s="9" t="s">
        <v>1712</v>
      </c>
      <c r="E3726" s="11" t="s">
        <v>1713</v>
      </c>
      <c r="F3726" s="12" t="s">
        <v>1714</v>
      </c>
      <c r="G3726" s="9" t="s">
        <v>1709</v>
      </c>
    </row>
    <row r="3727" spans="1:7">
      <c r="A3727" s="9" t="s">
        <v>1711</v>
      </c>
      <c r="B3727" s="9">
        <v>0.2</v>
      </c>
      <c r="C3727" s="10">
        <v>0.24</v>
      </c>
      <c r="D3727" s="9" t="s">
        <v>1712</v>
      </c>
      <c r="E3727" s="11" t="s">
        <v>1713</v>
      </c>
      <c r="F3727" s="12" t="s">
        <v>1714</v>
      </c>
      <c r="G3727" s="9" t="s">
        <v>1709</v>
      </c>
    </row>
    <row r="3728" spans="1:7">
      <c r="A3728" s="9" t="s">
        <v>1711</v>
      </c>
      <c r="B3728" s="9">
        <v>0.2</v>
      </c>
      <c r="C3728" s="10">
        <v>0.24</v>
      </c>
      <c r="D3728" s="9" t="s">
        <v>1712</v>
      </c>
      <c r="E3728" s="11" t="s">
        <v>1713</v>
      </c>
      <c r="F3728" s="12" t="s">
        <v>1714</v>
      </c>
      <c r="G3728" s="9" t="s">
        <v>1709</v>
      </c>
    </row>
    <row r="3729" spans="1:7">
      <c r="A3729" s="9" t="s">
        <v>1711</v>
      </c>
      <c r="B3729" s="13">
        <v>0.2</v>
      </c>
      <c r="C3729" s="10">
        <v>1.0219999999999998</v>
      </c>
      <c r="D3729" s="9" t="s">
        <v>1712</v>
      </c>
      <c r="E3729" s="11" t="s">
        <v>1713</v>
      </c>
      <c r="F3729" s="12" t="s">
        <v>1714</v>
      </c>
      <c r="G3729" s="9" t="s">
        <v>1709</v>
      </c>
    </row>
    <row r="3730" spans="1:7">
      <c r="A3730" s="9" t="s">
        <v>1711</v>
      </c>
      <c r="B3730" s="13">
        <v>0.2</v>
      </c>
      <c r="C3730" s="10">
        <v>0.28599999999999998</v>
      </c>
      <c r="D3730" s="9" t="s">
        <v>1712</v>
      </c>
      <c r="E3730" s="11" t="s">
        <v>1713</v>
      </c>
      <c r="F3730" s="12" t="s">
        <v>1714</v>
      </c>
      <c r="G3730" s="9" t="s">
        <v>1709</v>
      </c>
    </row>
    <row r="3731" spans="1:7">
      <c r="A3731" s="9" t="s">
        <v>1711</v>
      </c>
      <c r="B3731" s="13">
        <v>0.2</v>
      </c>
      <c r="C3731" s="10">
        <v>0.27800000000000002</v>
      </c>
      <c r="D3731" s="9" t="s">
        <v>1712</v>
      </c>
      <c r="E3731" s="11" t="s">
        <v>1713</v>
      </c>
      <c r="F3731" s="12" t="s">
        <v>1714</v>
      </c>
      <c r="G3731" s="9" t="s">
        <v>1709</v>
      </c>
    </row>
    <row r="3732" spans="1:7">
      <c r="A3732" s="9" t="s">
        <v>1711</v>
      </c>
      <c r="B3732" s="13">
        <v>0.2</v>
      </c>
      <c r="C3732" s="10">
        <v>0.27800000000000002</v>
      </c>
      <c r="D3732" s="9" t="s">
        <v>1712</v>
      </c>
      <c r="E3732" s="11" t="s">
        <v>1713</v>
      </c>
      <c r="F3732" s="12" t="s">
        <v>1714</v>
      </c>
      <c r="G3732" s="9" t="s">
        <v>1709</v>
      </c>
    </row>
    <row r="3733" spans="1:7">
      <c r="A3733" s="9" t="s">
        <v>1711</v>
      </c>
      <c r="B3733" s="13">
        <v>0.2</v>
      </c>
      <c r="C3733" s="10">
        <v>0.27800000000000002</v>
      </c>
      <c r="D3733" s="9" t="s">
        <v>1712</v>
      </c>
      <c r="E3733" s="11" t="s">
        <v>1713</v>
      </c>
      <c r="F3733" s="12" t="s">
        <v>1714</v>
      </c>
      <c r="G3733" s="9" t="s">
        <v>1709</v>
      </c>
    </row>
    <row r="3734" spans="1:7">
      <c r="A3734" s="9" t="s">
        <v>1711</v>
      </c>
      <c r="B3734" s="9">
        <v>0.2</v>
      </c>
      <c r="C3734" s="10">
        <v>0.27800000000000002</v>
      </c>
      <c r="D3734" s="9" t="s">
        <v>1712</v>
      </c>
      <c r="E3734" s="11" t="s">
        <v>1713</v>
      </c>
      <c r="F3734" s="12" t="s">
        <v>1714</v>
      </c>
      <c r="G3734" s="9" t="s">
        <v>1709</v>
      </c>
    </row>
    <row r="3735" spans="1:7">
      <c r="A3735" s="9" t="s">
        <v>1711</v>
      </c>
      <c r="B3735" s="9">
        <v>0.2</v>
      </c>
      <c r="C3735" s="10">
        <v>0.27800000000000002</v>
      </c>
      <c r="D3735" s="9" t="s">
        <v>1712</v>
      </c>
      <c r="E3735" s="11" t="s">
        <v>1713</v>
      </c>
      <c r="F3735" s="12" t="s">
        <v>1714</v>
      </c>
      <c r="G3735" s="9" t="s">
        <v>1709</v>
      </c>
    </row>
    <row r="3736" spans="1:7">
      <c r="A3736" s="9" t="s">
        <v>1711</v>
      </c>
      <c r="B3736" s="9">
        <v>0.2</v>
      </c>
      <c r="C3736" s="10">
        <v>0.27800000000000002</v>
      </c>
      <c r="D3736" s="9" t="s">
        <v>1712</v>
      </c>
      <c r="E3736" s="11" t="s">
        <v>1713</v>
      </c>
      <c r="F3736" s="12" t="s">
        <v>1714</v>
      </c>
      <c r="G3736" s="9" t="s">
        <v>1709</v>
      </c>
    </row>
    <row r="3737" spans="1:7">
      <c r="A3737" s="9" t="s">
        <v>1711</v>
      </c>
      <c r="B3737" s="9">
        <v>0.2</v>
      </c>
      <c r="C3737" s="10">
        <v>-7.3999999999999996E-2</v>
      </c>
      <c r="D3737" s="9" t="s">
        <v>1709</v>
      </c>
      <c r="E3737" s="11" t="s">
        <v>1710</v>
      </c>
      <c r="F3737" s="12" t="s">
        <v>1710</v>
      </c>
      <c r="G3737" s="9" t="s">
        <v>1709</v>
      </c>
    </row>
    <row r="3738" spans="1:7">
      <c r="A3738" s="9" t="s">
        <v>1711</v>
      </c>
      <c r="B3738" s="9">
        <v>0.2</v>
      </c>
      <c r="C3738" s="10">
        <v>0.92900000000000005</v>
      </c>
      <c r="D3738" s="9" t="s">
        <v>1712</v>
      </c>
      <c r="E3738" s="11" t="s">
        <v>1713</v>
      </c>
      <c r="F3738" s="12" t="s">
        <v>1714</v>
      </c>
      <c r="G3738" s="9" t="s">
        <v>1709</v>
      </c>
    </row>
    <row r="3739" spans="1:7">
      <c r="A3739" s="9" t="s">
        <v>1711</v>
      </c>
      <c r="B3739" s="9">
        <v>0.2</v>
      </c>
      <c r="C3739" s="10">
        <v>0.92900000000000005</v>
      </c>
      <c r="D3739" s="9" t="s">
        <v>1712</v>
      </c>
      <c r="E3739" s="11" t="s">
        <v>1713</v>
      </c>
      <c r="F3739" s="12" t="s">
        <v>1714</v>
      </c>
      <c r="G3739" s="9" t="s">
        <v>1709</v>
      </c>
    </row>
    <row r="3740" spans="1:7">
      <c r="A3740" s="9" t="s">
        <v>1711</v>
      </c>
      <c r="B3740" s="9">
        <v>0.2</v>
      </c>
      <c r="C3740" s="10">
        <v>0.92900000000000005</v>
      </c>
      <c r="D3740" s="9" t="s">
        <v>1712</v>
      </c>
      <c r="E3740" s="11" t="s">
        <v>1713</v>
      </c>
      <c r="F3740" s="12" t="s">
        <v>1714</v>
      </c>
      <c r="G3740" s="9" t="s">
        <v>1709</v>
      </c>
    </row>
    <row r="3741" spans="1:7">
      <c r="A3741" s="9" t="s">
        <v>1711</v>
      </c>
      <c r="B3741" s="9">
        <v>0.2</v>
      </c>
      <c r="C3741" s="10">
        <v>-0.107</v>
      </c>
      <c r="D3741" s="9" t="s">
        <v>1709</v>
      </c>
      <c r="E3741" s="11" t="s">
        <v>1710</v>
      </c>
      <c r="F3741" s="12" t="s">
        <v>1710</v>
      </c>
      <c r="G3741" s="9" t="s">
        <v>1709</v>
      </c>
    </row>
    <row r="3742" spans="1:7">
      <c r="A3742" s="9" t="s">
        <v>1711</v>
      </c>
      <c r="B3742" s="9">
        <v>0.2</v>
      </c>
      <c r="C3742" s="10">
        <v>0.214</v>
      </c>
      <c r="D3742" s="9" t="s">
        <v>1712</v>
      </c>
      <c r="E3742" s="11" t="s">
        <v>1713</v>
      </c>
      <c r="F3742" s="12" t="s">
        <v>1714</v>
      </c>
      <c r="G3742" s="9" t="s">
        <v>1709</v>
      </c>
    </row>
    <row r="3743" spans="1:7">
      <c r="A3743" s="9" t="s">
        <v>1711</v>
      </c>
      <c r="B3743" s="9">
        <v>0.2</v>
      </c>
      <c r="C3743" s="10">
        <v>1.819</v>
      </c>
      <c r="D3743" s="9" t="s">
        <v>1712</v>
      </c>
      <c r="E3743" s="11" t="s">
        <v>1713</v>
      </c>
      <c r="F3743" s="12" t="s">
        <v>1714</v>
      </c>
      <c r="G3743" s="9" t="s">
        <v>1709</v>
      </c>
    </row>
    <row r="3744" spans="1:7">
      <c r="A3744" s="9" t="s">
        <v>1711</v>
      </c>
      <c r="B3744" s="9">
        <v>0.2</v>
      </c>
      <c r="C3744" s="10">
        <v>1.819</v>
      </c>
      <c r="D3744" s="9" t="s">
        <v>1712</v>
      </c>
      <c r="E3744" s="11" t="s">
        <v>1713</v>
      </c>
      <c r="F3744" s="12" t="s">
        <v>1714</v>
      </c>
      <c r="G3744" s="9" t="s">
        <v>1709</v>
      </c>
    </row>
    <row r="3745" spans="1:7">
      <c r="A3745" s="9" t="s">
        <v>1711</v>
      </c>
      <c r="B3745" s="9">
        <v>0.2</v>
      </c>
      <c r="C3745" s="10">
        <v>-1.6E-2</v>
      </c>
      <c r="D3745" s="9" t="s">
        <v>1709</v>
      </c>
      <c r="E3745" s="11" t="s">
        <v>1710</v>
      </c>
      <c r="F3745" s="12" t="s">
        <v>1710</v>
      </c>
      <c r="G3745" s="9" t="s">
        <v>1709</v>
      </c>
    </row>
    <row r="3746" spans="1:7">
      <c r="A3746" s="9" t="s">
        <v>1711</v>
      </c>
      <c r="B3746" s="9">
        <v>0.2</v>
      </c>
      <c r="C3746" s="10">
        <v>0.69</v>
      </c>
      <c r="D3746" s="9" t="s">
        <v>1712</v>
      </c>
      <c r="E3746" s="11" t="s">
        <v>1713</v>
      </c>
      <c r="F3746" s="12" t="s">
        <v>1714</v>
      </c>
      <c r="G3746" s="9" t="s">
        <v>1709</v>
      </c>
    </row>
    <row r="3747" spans="1:7">
      <c r="A3747" s="9" t="s">
        <v>1711</v>
      </c>
      <c r="B3747" s="9">
        <v>0.2</v>
      </c>
      <c r="C3747" s="10">
        <v>0.69</v>
      </c>
      <c r="D3747" s="9" t="s">
        <v>1712</v>
      </c>
      <c r="E3747" s="11" t="s">
        <v>1713</v>
      </c>
      <c r="F3747" s="12" t="s">
        <v>1714</v>
      </c>
      <c r="G3747" s="9" t="s">
        <v>1709</v>
      </c>
    </row>
    <row r="3748" spans="1:7">
      <c r="A3748" s="9" t="s">
        <v>1711</v>
      </c>
      <c r="B3748" s="9">
        <v>0.2</v>
      </c>
      <c r="C3748" s="10">
        <v>0.06</v>
      </c>
      <c r="D3748" s="9" t="s">
        <v>1712</v>
      </c>
      <c r="E3748" s="11" t="s">
        <v>1713</v>
      </c>
      <c r="F3748" s="12" t="s">
        <v>1714</v>
      </c>
      <c r="G3748" s="9" t="s">
        <v>1709</v>
      </c>
    </row>
    <row r="3749" spans="1:7">
      <c r="A3749" s="9" t="s">
        <v>1711</v>
      </c>
      <c r="B3749" s="9">
        <v>0.2</v>
      </c>
      <c r="C3749" s="10">
        <v>0.84</v>
      </c>
      <c r="D3749" s="9" t="s">
        <v>1712</v>
      </c>
      <c r="E3749" s="11" t="s">
        <v>1713</v>
      </c>
      <c r="F3749" s="12" t="s">
        <v>1714</v>
      </c>
      <c r="G3749" s="9" t="s">
        <v>1709</v>
      </c>
    </row>
    <row r="3750" spans="1:7">
      <c r="A3750" s="9" t="s">
        <v>1711</v>
      </c>
      <c r="B3750" s="9">
        <v>0.2</v>
      </c>
      <c r="C3750" s="10">
        <v>2.8839999999999999</v>
      </c>
      <c r="D3750" s="9" t="s">
        <v>1712</v>
      </c>
      <c r="E3750" s="11" t="s">
        <v>1713</v>
      </c>
      <c r="F3750" s="12" t="s">
        <v>1714</v>
      </c>
      <c r="G3750" s="9" t="s">
        <v>1709</v>
      </c>
    </row>
    <row r="3751" spans="1:7">
      <c r="A3751" s="9" t="s">
        <v>1711</v>
      </c>
      <c r="B3751" s="13">
        <v>0.2</v>
      </c>
      <c r="C3751" s="10">
        <v>1.9189999999999998</v>
      </c>
      <c r="D3751" s="9" t="s">
        <v>1712</v>
      </c>
      <c r="E3751" s="11" t="s">
        <v>1713</v>
      </c>
      <c r="F3751" s="12" t="s">
        <v>1714</v>
      </c>
      <c r="G3751" s="9" t="s">
        <v>1709</v>
      </c>
    </row>
    <row r="3752" spans="1:7">
      <c r="A3752" s="9" t="s">
        <v>1711</v>
      </c>
      <c r="B3752" s="13">
        <v>0.2</v>
      </c>
      <c r="C3752" s="10">
        <v>-0.19600000000000001</v>
      </c>
      <c r="D3752" s="9" t="s">
        <v>1709</v>
      </c>
      <c r="E3752" s="11" t="s">
        <v>1710</v>
      </c>
      <c r="F3752" s="12" t="s">
        <v>1710</v>
      </c>
      <c r="G3752" s="9" t="s">
        <v>1709</v>
      </c>
    </row>
    <row r="3753" spans="1:7">
      <c r="A3753" s="9" t="s">
        <v>1711</v>
      </c>
      <c r="B3753" s="13">
        <v>0.2</v>
      </c>
      <c r="C3753" s="10">
        <v>-0.19600000000000001</v>
      </c>
      <c r="D3753" s="9" t="s">
        <v>1709</v>
      </c>
      <c r="E3753" s="11" t="s">
        <v>1710</v>
      </c>
      <c r="F3753" s="12" t="s">
        <v>1710</v>
      </c>
      <c r="G3753" s="9" t="s">
        <v>1709</v>
      </c>
    </row>
    <row r="3754" spans="1:7">
      <c r="A3754" s="9" t="s">
        <v>1711</v>
      </c>
      <c r="B3754" s="13">
        <v>0.2</v>
      </c>
      <c r="C3754" s="10">
        <v>0.16400000000000001</v>
      </c>
      <c r="D3754" s="9" t="s">
        <v>1712</v>
      </c>
      <c r="E3754" s="11" t="s">
        <v>1713</v>
      </c>
      <c r="F3754" s="12" t="s">
        <v>1714</v>
      </c>
      <c r="G3754" s="9" t="s">
        <v>1709</v>
      </c>
    </row>
    <row r="3755" spans="1:7">
      <c r="A3755" s="9" t="s">
        <v>1711</v>
      </c>
      <c r="B3755" s="13">
        <v>0.2</v>
      </c>
      <c r="C3755" s="10">
        <v>0.16400000000000001</v>
      </c>
      <c r="D3755" s="9" t="s">
        <v>1712</v>
      </c>
      <c r="E3755" s="11" t="s">
        <v>1713</v>
      </c>
      <c r="F3755" s="12" t="s">
        <v>1714</v>
      </c>
      <c r="G3755" s="9" t="s">
        <v>1709</v>
      </c>
    </row>
    <row r="3756" spans="1:7">
      <c r="A3756" s="9" t="s">
        <v>1711</v>
      </c>
      <c r="B3756" s="13">
        <v>0.2</v>
      </c>
      <c r="C3756" s="10">
        <v>-6.4000000000000001E-2</v>
      </c>
      <c r="D3756" s="9" t="s">
        <v>1709</v>
      </c>
      <c r="E3756" s="11" t="s">
        <v>1710</v>
      </c>
      <c r="F3756" s="12" t="s">
        <v>1710</v>
      </c>
      <c r="G3756" s="9" t="s">
        <v>1709</v>
      </c>
    </row>
    <row r="3757" spans="1:7">
      <c r="A3757" s="9" t="s">
        <v>1711</v>
      </c>
      <c r="B3757" s="9">
        <v>0.2</v>
      </c>
      <c r="C3757" s="10">
        <v>0.89500000000000002</v>
      </c>
      <c r="D3757" s="9" t="s">
        <v>1712</v>
      </c>
      <c r="E3757" s="11" t="s">
        <v>1713</v>
      </c>
      <c r="F3757" s="12" t="s">
        <v>1714</v>
      </c>
      <c r="G3757" s="9" t="s">
        <v>1709</v>
      </c>
    </row>
    <row r="3758" spans="1:7">
      <c r="A3758" s="9" t="s">
        <v>1711</v>
      </c>
      <c r="B3758" s="9">
        <v>0.2</v>
      </c>
      <c r="C3758" s="10">
        <v>0.89500000000000002</v>
      </c>
      <c r="D3758" s="9" t="s">
        <v>1712</v>
      </c>
      <c r="E3758" s="11" t="s">
        <v>1713</v>
      </c>
      <c r="F3758" s="12" t="s">
        <v>1714</v>
      </c>
      <c r="G3758" s="9" t="s">
        <v>1709</v>
      </c>
    </row>
    <row r="3759" spans="1:7">
      <c r="A3759" s="9" t="s">
        <v>1711</v>
      </c>
      <c r="B3759" s="13">
        <v>0.2</v>
      </c>
      <c r="C3759" s="10">
        <v>0.89500000000000002</v>
      </c>
      <c r="D3759" s="9" t="s">
        <v>1712</v>
      </c>
      <c r="E3759" s="11" t="s">
        <v>1713</v>
      </c>
      <c r="F3759" s="12" t="s">
        <v>1714</v>
      </c>
      <c r="G3759" s="9" t="s">
        <v>1709</v>
      </c>
    </row>
    <row r="3760" spans="1:7">
      <c r="A3760" s="9" t="s">
        <v>1711</v>
      </c>
      <c r="B3760" s="9">
        <v>0.2</v>
      </c>
      <c r="C3760" s="10">
        <v>0.89500000000000002</v>
      </c>
      <c r="D3760" s="9" t="s">
        <v>1712</v>
      </c>
      <c r="E3760" s="11" t="s">
        <v>1713</v>
      </c>
      <c r="F3760" s="12" t="s">
        <v>1714</v>
      </c>
      <c r="G3760" s="9" t="s">
        <v>1709</v>
      </c>
    </row>
    <row r="3761" spans="1:7">
      <c r="A3761" s="9" t="s">
        <v>1711</v>
      </c>
      <c r="B3761" s="9">
        <v>0.2</v>
      </c>
      <c r="C3761" s="10">
        <v>0.89500000000000002</v>
      </c>
      <c r="D3761" s="9" t="s">
        <v>1712</v>
      </c>
      <c r="E3761" s="11" t="s">
        <v>1713</v>
      </c>
      <c r="F3761" s="12" t="s">
        <v>1714</v>
      </c>
      <c r="G3761" s="9" t="s">
        <v>1709</v>
      </c>
    </row>
    <row r="3762" spans="1:7">
      <c r="A3762" s="9" t="s">
        <v>1711</v>
      </c>
      <c r="B3762" s="9">
        <v>0.2</v>
      </c>
      <c r="C3762" s="10">
        <v>0.89500000000000002</v>
      </c>
      <c r="D3762" s="9" t="s">
        <v>1712</v>
      </c>
      <c r="E3762" s="11" t="s">
        <v>1713</v>
      </c>
      <c r="F3762" s="12" t="s">
        <v>1714</v>
      </c>
      <c r="G3762" s="9" t="s">
        <v>1709</v>
      </c>
    </row>
    <row r="3763" spans="1:7">
      <c r="A3763" s="9" t="s">
        <v>1711</v>
      </c>
      <c r="B3763" s="9">
        <v>0.2</v>
      </c>
      <c r="C3763" s="10">
        <v>-0.123</v>
      </c>
      <c r="D3763" s="9" t="s">
        <v>1709</v>
      </c>
      <c r="E3763" s="11" t="s">
        <v>1710</v>
      </c>
      <c r="F3763" s="12" t="s">
        <v>1710</v>
      </c>
      <c r="G3763" s="9" t="s">
        <v>1709</v>
      </c>
    </row>
    <row r="3764" spans="1:7">
      <c r="A3764" s="9" t="s">
        <v>1711</v>
      </c>
      <c r="B3764" s="9">
        <v>0.2</v>
      </c>
      <c r="C3764" s="10">
        <v>0.23200000000000001</v>
      </c>
      <c r="D3764" s="9" t="s">
        <v>1712</v>
      </c>
      <c r="E3764" s="11" t="s">
        <v>1713</v>
      </c>
      <c r="F3764" s="12" t="s">
        <v>1714</v>
      </c>
      <c r="G3764" s="9" t="s">
        <v>1709</v>
      </c>
    </row>
    <row r="3765" spans="1:7">
      <c r="A3765" s="9" t="s">
        <v>1711</v>
      </c>
      <c r="B3765" s="9">
        <v>0.2</v>
      </c>
      <c r="C3765" s="10">
        <v>0.21</v>
      </c>
      <c r="D3765" s="9" t="s">
        <v>1712</v>
      </c>
      <c r="E3765" s="11" t="s">
        <v>1713</v>
      </c>
      <c r="F3765" s="12" t="s">
        <v>1714</v>
      </c>
      <c r="G3765" s="9" t="s">
        <v>1709</v>
      </c>
    </row>
    <row r="3766" spans="1:7">
      <c r="A3766" s="9" t="s">
        <v>1711</v>
      </c>
      <c r="B3766" s="9">
        <v>0.2</v>
      </c>
      <c r="C3766" s="10">
        <v>-9.6000000000000002E-2</v>
      </c>
      <c r="D3766" s="9" t="s">
        <v>1709</v>
      </c>
      <c r="E3766" s="11" t="s">
        <v>1710</v>
      </c>
      <c r="F3766" s="12" t="s">
        <v>1710</v>
      </c>
      <c r="G3766" s="9" t="s">
        <v>1709</v>
      </c>
    </row>
    <row r="3767" spans="1:7">
      <c r="A3767" s="9" t="s">
        <v>1711</v>
      </c>
      <c r="B3767" s="9">
        <v>0.2</v>
      </c>
      <c r="C3767" s="10">
        <v>-0.10200000000000001</v>
      </c>
      <c r="D3767" s="9" t="s">
        <v>1709</v>
      </c>
      <c r="E3767" s="11" t="s">
        <v>1710</v>
      </c>
      <c r="F3767" s="12" t="s">
        <v>1710</v>
      </c>
      <c r="G3767" s="9" t="s">
        <v>1709</v>
      </c>
    </row>
    <row r="3768" spans="1:7">
      <c r="A3768" s="9" t="s">
        <v>1711</v>
      </c>
      <c r="B3768" s="13">
        <v>0.2</v>
      </c>
      <c r="C3768" s="10">
        <v>-0.104</v>
      </c>
      <c r="D3768" s="9" t="s">
        <v>1709</v>
      </c>
      <c r="E3768" s="11" t="s">
        <v>1710</v>
      </c>
      <c r="F3768" s="12" t="s">
        <v>1710</v>
      </c>
      <c r="G3768" s="9" t="s">
        <v>1709</v>
      </c>
    </row>
    <row r="3769" spans="1:7">
      <c r="A3769" s="9" t="s">
        <v>1711</v>
      </c>
      <c r="B3769" s="13">
        <v>0.2</v>
      </c>
      <c r="C3769" s="10">
        <v>-0.10100000000000001</v>
      </c>
      <c r="D3769" s="9" t="s">
        <v>1709</v>
      </c>
      <c r="E3769" s="11" t="s">
        <v>1710</v>
      </c>
      <c r="F3769" s="12" t="s">
        <v>1710</v>
      </c>
      <c r="G3769" s="9" t="s">
        <v>1709</v>
      </c>
    </row>
    <row r="3770" spans="1:7">
      <c r="A3770" s="9" t="s">
        <v>1711</v>
      </c>
      <c r="B3770" s="13">
        <v>0.2</v>
      </c>
      <c r="C3770" s="10">
        <v>-4.1000000000000002E-2</v>
      </c>
      <c r="D3770" s="9" t="s">
        <v>1709</v>
      </c>
      <c r="E3770" s="11" t="s">
        <v>1710</v>
      </c>
      <c r="F3770" s="12" t="s">
        <v>1710</v>
      </c>
      <c r="G3770" s="9" t="s">
        <v>1709</v>
      </c>
    </row>
    <row r="3771" spans="1:7">
      <c r="A3771" s="9" t="s">
        <v>1711</v>
      </c>
      <c r="B3771" s="13">
        <v>0.2</v>
      </c>
      <c r="C3771" s="10">
        <v>1.4389999999999998</v>
      </c>
      <c r="D3771" s="9" t="s">
        <v>1712</v>
      </c>
      <c r="E3771" s="11" t="s">
        <v>1736</v>
      </c>
      <c r="F3771" s="12" t="s">
        <v>1714</v>
      </c>
      <c r="G3771" s="9" t="s">
        <v>1709</v>
      </c>
    </row>
    <row r="3772" spans="1:7">
      <c r="A3772" s="9" t="s">
        <v>1711</v>
      </c>
      <c r="B3772" s="13">
        <v>0.2</v>
      </c>
      <c r="C3772" s="10">
        <v>0.79800000000000004</v>
      </c>
      <c r="D3772" s="9" t="s">
        <v>1712</v>
      </c>
      <c r="E3772" s="11" t="s">
        <v>1736</v>
      </c>
      <c r="F3772" s="12" t="s">
        <v>1714</v>
      </c>
      <c r="G3772" s="9" t="s">
        <v>1709</v>
      </c>
    </row>
    <row r="3773" spans="1:7">
      <c r="A3773" s="9" t="s">
        <v>1711</v>
      </c>
      <c r="B3773" s="9">
        <v>0.2</v>
      </c>
      <c r="C3773" s="10">
        <v>0.79800000000000004</v>
      </c>
      <c r="D3773" s="9" t="s">
        <v>1712</v>
      </c>
      <c r="E3773" s="11" t="s">
        <v>1736</v>
      </c>
      <c r="F3773" s="12" t="s">
        <v>1714</v>
      </c>
      <c r="G3773" s="9" t="s">
        <v>1709</v>
      </c>
    </row>
    <row r="3774" spans="1:7">
      <c r="A3774" s="9" t="s">
        <v>1711</v>
      </c>
      <c r="B3774" s="9">
        <v>0.2</v>
      </c>
      <c r="C3774" s="10">
        <v>-7.8E-2</v>
      </c>
      <c r="D3774" s="9" t="s">
        <v>1709</v>
      </c>
      <c r="E3774" s="11" t="s">
        <v>1710</v>
      </c>
      <c r="F3774" s="12" t="s">
        <v>1710</v>
      </c>
      <c r="G3774" s="9" t="s">
        <v>1709</v>
      </c>
    </row>
    <row r="3775" spans="1:7">
      <c r="A3775" s="9" t="s">
        <v>1711</v>
      </c>
      <c r="B3775" s="13">
        <v>0.2</v>
      </c>
      <c r="C3775" s="10">
        <v>0.17799999999999999</v>
      </c>
      <c r="D3775" s="9" t="s">
        <v>1712</v>
      </c>
      <c r="E3775" s="11" t="s">
        <v>1715</v>
      </c>
      <c r="F3775" s="12" t="s">
        <v>1714</v>
      </c>
      <c r="G3775" s="9" t="s">
        <v>1709</v>
      </c>
    </row>
    <row r="3776" spans="1:7">
      <c r="A3776" s="9" t="s">
        <v>1711</v>
      </c>
      <c r="B3776" s="9">
        <v>0.2</v>
      </c>
      <c r="C3776" s="10">
        <v>-4.3000000000000003E-2</v>
      </c>
      <c r="D3776" s="9" t="s">
        <v>1709</v>
      </c>
      <c r="E3776" s="11" t="s">
        <v>1710</v>
      </c>
      <c r="F3776" s="12" t="s">
        <v>1710</v>
      </c>
      <c r="G3776" s="9" t="s">
        <v>1709</v>
      </c>
    </row>
    <row r="3777" spans="1:7">
      <c r="A3777" s="9" t="s">
        <v>1711</v>
      </c>
      <c r="B3777" s="13">
        <v>0.2</v>
      </c>
      <c r="C3777" s="10">
        <v>0.26</v>
      </c>
      <c r="D3777" s="9" t="s">
        <v>1712</v>
      </c>
      <c r="E3777" s="11" t="s">
        <v>1715</v>
      </c>
      <c r="F3777" s="12" t="s">
        <v>1714</v>
      </c>
      <c r="G3777" s="9" t="s">
        <v>1709</v>
      </c>
    </row>
    <row r="3778" spans="1:7">
      <c r="A3778" s="9" t="s">
        <v>1711</v>
      </c>
      <c r="B3778" s="13">
        <v>0.2</v>
      </c>
      <c r="C3778" s="10">
        <v>0.16700000000000001</v>
      </c>
      <c r="D3778" s="9" t="s">
        <v>1712</v>
      </c>
      <c r="E3778" s="11" t="s">
        <v>1715</v>
      </c>
      <c r="F3778" s="12" t="s">
        <v>1714</v>
      </c>
      <c r="G3778" s="9" t="s">
        <v>1709</v>
      </c>
    </row>
    <row r="3779" spans="1:7">
      <c r="A3779" s="9" t="s">
        <v>1711</v>
      </c>
      <c r="B3779" s="13">
        <v>0.2</v>
      </c>
      <c r="C3779" s="10">
        <v>0.91900000000000004</v>
      </c>
      <c r="D3779" s="9" t="s">
        <v>1712</v>
      </c>
      <c r="E3779" s="11" t="s">
        <v>1715</v>
      </c>
      <c r="F3779" s="12" t="s">
        <v>1714</v>
      </c>
      <c r="G3779" s="9" t="s">
        <v>1709</v>
      </c>
    </row>
    <row r="3780" spans="1:7">
      <c r="A3780" s="9" t="s">
        <v>1711</v>
      </c>
      <c r="B3780" s="13">
        <v>0.2</v>
      </c>
      <c r="C3780" s="10">
        <v>0.64100000000000001</v>
      </c>
      <c r="D3780" s="9" t="s">
        <v>1712</v>
      </c>
      <c r="E3780" s="11" t="s">
        <v>1715</v>
      </c>
      <c r="F3780" s="12" t="s">
        <v>1714</v>
      </c>
      <c r="G3780" s="9" t="s">
        <v>1709</v>
      </c>
    </row>
    <row r="3781" spans="1:7">
      <c r="A3781" s="9" t="s">
        <v>1711</v>
      </c>
      <c r="B3781" s="9">
        <v>0.2</v>
      </c>
      <c r="C3781" s="10">
        <v>0.64100000000000001</v>
      </c>
      <c r="D3781" s="9" t="s">
        <v>1712</v>
      </c>
      <c r="E3781" s="11" t="s">
        <v>1715</v>
      </c>
      <c r="F3781" s="12" t="s">
        <v>1714</v>
      </c>
      <c r="G3781" s="9" t="s">
        <v>1709</v>
      </c>
    </row>
    <row r="3782" spans="1:7">
      <c r="A3782" s="9" t="s">
        <v>1711</v>
      </c>
      <c r="B3782" s="13">
        <v>0.2</v>
      </c>
      <c r="C3782" s="10">
        <v>0.64100000000000001</v>
      </c>
      <c r="D3782" s="9" t="s">
        <v>1712</v>
      </c>
      <c r="E3782" s="11" t="s">
        <v>1715</v>
      </c>
      <c r="F3782" s="12" t="s">
        <v>1714</v>
      </c>
      <c r="G3782" s="9" t="s">
        <v>1709</v>
      </c>
    </row>
    <row r="3783" spans="1:7">
      <c r="A3783" s="9" t="s">
        <v>1711</v>
      </c>
      <c r="B3783" s="13">
        <v>0.2</v>
      </c>
      <c r="C3783" s="10">
        <v>0.64100000000000001</v>
      </c>
      <c r="D3783" s="9" t="s">
        <v>1712</v>
      </c>
      <c r="E3783" s="11" t="s">
        <v>1715</v>
      </c>
      <c r="F3783" s="12" t="s">
        <v>1714</v>
      </c>
      <c r="G3783" s="9" t="s">
        <v>1709</v>
      </c>
    </row>
    <row r="3784" spans="1:7">
      <c r="A3784" s="9" t="s">
        <v>1711</v>
      </c>
      <c r="B3784" s="13">
        <v>0.2</v>
      </c>
      <c r="C3784" s="10">
        <v>0.64100000000000001</v>
      </c>
      <c r="D3784" s="9" t="s">
        <v>1712</v>
      </c>
      <c r="E3784" s="11" t="s">
        <v>1715</v>
      </c>
      <c r="F3784" s="12" t="s">
        <v>1714</v>
      </c>
      <c r="G3784" s="9" t="s">
        <v>1709</v>
      </c>
    </row>
    <row r="3785" spans="1:7">
      <c r="A3785" s="9" t="s">
        <v>1711</v>
      </c>
      <c r="B3785" s="13">
        <v>0.2</v>
      </c>
      <c r="C3785" s="10">
        <v>0.64100000000000001</v>
      </c>
      <c r="D3785" s="9" t="s">
        <v>1712</v>
      </c>
      <c r="E3785" s="11" t="s">
        <v>1715</v>
      </c>
      <c r="F3785" s="12" t="s">
        <v>1714</v>
      </c>
      <c r="G3785" s="9" t="s">
        <v>1709</v>
      </c>
    </row>
    <row r="3786" spans="1:7">
      <c r="A3786" s="9" t="s">
        <v>1711</v>
      </c>
      <c r="B3786" s="13">
        <v>0.2</v>
      </c>
      <c r="C3786" s="10">
        <v>0.64100000000000001</v>
      </c>
      <c r="D3786" s="9" t="s">
        <v>1712</v>
      </c>
      <c r="E3786" s="11" t="s">
        <v>1715</v>
      </c>
      <c r="F3786" s="12" t="s">
        <v>1714</v>
      </c>
      <c r="G3786" s="9" t="s">
        <v>1709</v>
      </c>
    </row>
    <row r="3787" spans="1:7">
      <c r="A3787" s="9" t="s">
        <v>1711</v>
      </c>
      <c r="B3787" s="13">
        <v>0.2</v>
      </c>
      <c r="C3787" s="10">
        <v>0.64100000000000001</v>
      </c>
      <c r="D3787" s="9" t="s">
        <v>1712</v>
      </c>
      <c r="E3787" s="11" t="s">
        <v>1715</v>
      </c>
      <c r="F3787" s="12" t="s">
        <v>1714</v>
      </c>
      <c r="G3787" s="9" t="s">
        <v>1709</v>
      </c>
    </row>
    <row r="3788" spans="1:7">
      <c r="A3788" s="9" t="s">
        <v>1711</v>
      </c>
      <c r="B3788" s="13">
        <v>0.2</v>
      </c>
      <c r="C3788" s="10">
        <v>0.64100000000000001</v>
      </c>
      <c r="D3788" s="9" t="s">
        <v>1712</v>
      </c>
      <c r="E3788" s="11" t="s">
        <v>1715</v>
      </c>
      <c r="F3788" s="12" t="s">
        <v>1714</v>
      </c>
      <c r="G3788" s="9" t="s">
        <v>1709</v>
      </c>
    </row>
    <row r="3789" spans="1:7">
      <c r="A3789" s="9" t="s">
        <v>1711</v>
      </c>
      <c r="B3789" s="9">
        <v>0.2</v>
      </c>
      <c r="C3789" s="10">
        <v>0.64100000000000001</v>
      </c>
      <c r="D3789" s="9" t="s">
        <v>1712</v>
      </c>
      <c r="E3789" s="11" t="s">
        <v>1715</v>
      </c>
      <c r="F3789" s="12" t="s">
        <v>1714</v>
      </c>
      <c r="G3789" s="9" t="s">
        <v>1709</v>
      </c>
    </row>
    <row r="3790" spans="1:7">
      <c r="A3790" s="9" t="s">
        <v>1711</v>
      </c>
      <c r="B3790" s="9">
        <v>0.2</v>
      </c>
      <c r="C3790" s="10">
        <v>0.64100000000000001</v>
      </c>
      <c r="D3790" s="9" t="s">
        <v>1712</v>
      </c>
      <c r="E3790" s="11" t="s">
        <v>1715</v>
      </c>
      <c r="F3790" s="12" t="s">
        <v>1714</v>
      </c>
      <c r="G3790" s="9" t="s">
        <v>1709</v>
      </c>
    </row>
    <row r="3791" spans="1:7">
      <c r="A3791" s="9" t="s">
        <v>1711</v>
      </c>
      <c r="B3791" s="13">
        <v>0.2</v>
      </c>
      <c r="C3791" s="10">
        <v>-1.8000000000000002E-2</v>
      </c>
      <c r="D3791" s="9" t="s">
        <v>1709</v>
      </c>
      <c r="E3791" s="11" t="s">
        <v>1710</v>
      </c>
      <c r="F3791" s="12" t="s">
        <v>1710</v>
      </c>
      <c r="G3791" s="9" t="s">
        <v>1709</v>
      </c>
    </row>
    <row r="3792" spans="1:7">
      <c r="A3792" s="9" t="s">
        <v>1711</v>
      </c>
      <c r="B3792" s="13">
        <v>0.2</v>
      </c>
      <c r="C3792" s="10">
        <v>-1.8000000000000002E-2</v>
      </c>
      <c r="D3792" s="9" t="s">
        <v>1709</v>
      </c>
      <c r="E3792" s="11" t="s">
        <v>1710</v>
      </c>
      <c r="F3792" s="12" t="s">
        <v>1710</v>
      </c>
      <c r="G3792" s="9" t="s">
        <v>1709</v>
      </c>
    </row>
    <row r="3793" spans="1:7">
      <c r="A3793" s="9" t="s">
        <v>1711</v>
      </c>
      <c r="B3793" s="13">
        <v>0.2</v>
      </c>
      <c r="C3793" s="10">
        <v>-1.8000000000000002E-2</v>
      </c>
      <c r="D3793" s="9" t="s">
        <v>1709</v>
      </c>
      <c r="E3793" s="11" t="s">
        <v>1710</v>
      </c>
      <c r="F3793" s="12" t="s">
        <v>1710</v>
      </c>
      <c r="G3793" s="9" t="s">
        <v>1709</v>
      </c>
    </row>
    <row r="3794" spans="1:7">
      <c r="A3794" s="9" t="s">
        <v>1711</v>
      </c>
      <c r="B3794" s="13">
        <v>0.2</v>
      </c>
      <c r="C3794" s="10">
        <v>-1.8000000000000002E-2</v>
      </c>
      <c r="D3794" s="9" t="s">
        <v>1709</v>
      </c>
      <c r="E3794" s="11" t="s">
        <v>1710</v>
      </c>
      <c r="F3794" s="12" t="s">
        <v>1710</v>
      </c>
      <c r="G3794" s="9" t="s">
        <v>1709</v>
      </c>
    </row>
    <row r="3795" spans="1:7">
      <c r="A3795" s="9" t="s">
        <v>1711</v>
      </c>
      <c r="B3795" s="13">
        <v>0.2</v>
      </c>
      <c r="C3795" s="10">
        <v>-1.8000000000000002E-2</v>
      </c>
      <c r="D3795" s="9" t="s">
        <v>1709</v>
      </c>
      <c r="E3795" s="11" t="s">
        <v>1710</v>
      </c>
      <c r="F3795" s="12" t="s">
        <v>1710</v>
      </c>
      <c r="G3795" s="9" t="s">
        <v>1709</v>
      </c>
    </row>
    <row r="3796" spans="1:7">
      <c r="A3796" s="9" t="s">
        <v>1711</v>
      </c>
      <c r="B3796" s="13">
        <v>0.2</v>
      </c>
      <c r="C3796" s="10">
        <v>-1.8000000000000002E-2</v>
      </c>
      <c r="D3796" s="9" t="s">
        <v>1709</v>
      </c>
      <c r="E3796" s="11" t="s">
        <v>1710</v>
      </c>
      <c r="F3796" s="12" t="s">
        <v>1710</v>
      </c>
      <c r="G3796" s="9" t="s">
        <v>1709</v>
      </c>
    </row>
    <row r="3797" spans="1:7">
      <c r="A3797" s="9" t="s">
        <v>1711</v>
      </c>
      <c r="B3797" s="13">
        <v>0.2</v>
      </c>
      <c r="C3797" s="10">
        <v>-1.8000000000000002E-2</v>
      </c>
      <c r="D3797" s="9" t="s">
        <v>1709</v>
      </c>
      <c r="E3797" s="11" t="s">
        <v>1710</v>
      </c>
      <c r="F3797" s="12" t="s">
        <v>1710</v>
      </c>
      <c r="G3797" s="9" t="s">
        <v>1709</v>
      </c>
    </row>
    <row r="3798" spans="1:7">
      <c r="A3798" s="9" t="s">
        <v>1711</v>
      </c>
      <c r="B3798" s="13">
        <v>0.2</v>
      </c>
      <c r="C3798" s="10">
        <v>-1.8000000000000002E-2</v>
      </c>
      <c r="D3798" s="9" t="s">
        <v>1709</v>
      </c>
      <c r="E3798" s="11" t="s">
        <v>1710</v>
      </c>
      <c r="F3798" s="12" t="s">
        <v>1710</v>
      </c>
      <c r="G3798" s="9" t="s">
        <v>1709</v>
      </c>
    </row>
    <row r="3799" spans="1:7">
      <c r="A3799" s="9" t="s">
        <v>1711</v>
      </c>
      <c r="B3799" s="13">
        <v>0.2</v>
      </c>
      <c r="C3799" s="10">
        <v>-3.5000000000000003E-2</v>
      </c>
      <c r="D3799" s="9" t="s">
        <v>1709</v>
      </c>
      <c r="E3799" s="11" t="s">
        <v>1710</v>
      </c>
      <c r="F3799" s="12" t="s">
        <v>1710</v>
      </c>
      <c r="G3799" s="9" t="s">
        <v>1709</v>
      </c>
    </row>
    <row r="3800" spans="1:7">
      <c r="A3800" s="9" t="s">
        <v>1711</v>
      </c>
      <c r="B3800" s="13">
        <v>0.2</v>
      </c>
      <c r="C3800" s="10">
        <v>-3.0000000000000001E-3</v>
      </c>
      <c r="D3800" s="9" t="s">
        <v>1709</v>
      </c>
      <c r="E3800" s="11" t="s">
        <v>1710</v>
      </c>
      <c r="F3800" s="12" t="s">
        <v>1710</v>
      </c>
      <c r="G3800" s="9" t="s">
        <v>1709</v>
      </c>
    </row>
    <row r="3801" spans="1:7">
      <c r="A3801" s="9" t="s">
        <v>1711</v>
      </c>
      <c r="B3801" s="13">
        <v>0.2</v>
      </c>
      <c r="C3801" s="10">
        <v>1.1099999999999999</v>
      </c>
      <c r="D3801" s="9" t="s">
        <v>1712</v>
      </c>
      <c r="E3801" s="11" t="s">
        <v>1736</v>
      </c>
      <c r="F3801" s="12" t="s">
        <v>1714</v>
      </c>
      <c r="G3801" s="9" t="s">
        <v>1709</v>
      </c>
    </row>
    <row r="3802" spans="1:7">
      <c r="A3802" s="9" t="s">
        <v>1711</v>
      </c>
      <c r="B3802" s="13">
        <v>0.2</v>
      </c>
      <c r="C3802" s="10">
        <v>1.4389999999999998</v>
      </c>
      <c r="D3802" s="9" t="s">
        <v>1712</v>
      </c>
      <c r="E3802" s="11" t="s">
        <v>1736</v>
      </c>
      <c r="F3802" s="12" t="s">
        <v>1714</v>
      </c>
      <c r="G3802" s="9" t="s">
        <v>1709</v>
      </c>
    </row>
    <row r="3803" spans="1:7">
      <c r="A3803" s="9" t="s">
        <v>1711</v>
      </c>
      <c r="B3803" s="13">
        <v>0.2</v>
      </c>
      <c r="C3803" s="10">
        <v>1.4389999999999998</v>
      </c>
      <c r="D3803" s="9" t="s">
        <v>1712</v>
      </c>
      <c r="E3803" s="11" t="s">
        <v>1736</v>
      </c>
      <c r="F3803" s="12" t="s">
        <v>1714</v>
      </c>
      <c r="G3803" s="9" t="s">
        <v>1709</v>
      </c>
    </row>
    <row r="3804" spans="1:7">
      <c r="A3804" s="9" t="s">
        <v>1711</v>
      </c>
      <c r="B3804" s="9">
        <v>0.2</v>
      </c>
      <c r="C3804" s="10">
        <v>0.93800000000000006</v>
      </c>
      <c r="D3804" s="9" t="s">
        <v>1712</v>
      </c>
      <c r="E3804" s="11" t="s">
        <v>1736</v>
      </c>
      <c r="F3804" s="12" t="s">
        <v>1714</v>
      </c>
      <c r="G3804" s="9" t="s">
        <v>1709</v>
      </c>
    </row>
    <row r="3805" spans="1:7">
      <c r="A3805" s="9" t="s">
        <v>1711</v>
      </c>
      <c r="B3805" s="9">
        <v>0.2</v>
      </c>
      <c r="C3805" s="10">
        <v>0.93800000000000006</v>
      </c>
      <c r="D3805" s="9" t="s">
        <v>1712</v>
      </c>
      <c r="E3805" s="11" t="s">
        <v>1736</v>
      </c>
      <c r="F3805" s="12" t="s">
        <v>1714</v>
      </c>
      <c r="G3805" s="9" t="s">
        <v>1709</v>
      </c>
    </row>
    <row r="3806" spans="1:7">
      <c r="A3806" s="9" t="s">
        <v>1711</v>
      </c>
      <c r="B3806" s="9">
        <v>0.2</v>
      </c>
      <c r="C3806" s="10">
        <v>-1.0999999999999999E-2</v>
      </c>
      <c r="D3806" s="9" t="s">
        <v>1709</v>
      </c>
      <c r="E3806" s="11" t="s">
        <v>1710</v>
      </c>
      <c r="F3806" s="12" t="s">
        <v>1710</v>
      </c>
      <c r="G3806" s="9" t="s">
        <v>1709</v>
      </c>
    </row>
    <row r="3807" spans="1:7">
      <c r="A3807" s="9" t="s">
        <v>1711</v>
      </c>
      <c r="B3807" s="9">
        <v>0.2</v>
      </c>
      <c r="C3807" s="10">
        <v>0.40600000000000003</v>
      </c>
      <c r="D3807" s="9" t="s">
        <v>1712</v>
      </c>
      <c r="E3807" s="11" t="s">
        <v>1738</v>
      </c>
      <c r="F3807" s="12" t="s">
        <v>1714</v>
      </c>
      <c r="G3807" s="9" t="s">
        <v>1709</v>
      </c>
    </row>
    <row r="3808" spans="1:7">
      <c r="A3808" s="9" t="s">
        <v>1711</v>
      </c>
      <c r="B3808" s="9">
        <v>0.2</v>
      </c>
      <c r="C3808" s="10">
        <v>9.0000000000000011E-3</v>
      </c>
      <c r="D3808" s="9" t="s">
        <v>1712</v>
      </c>
      <c r="E3808" s="11" t="s">
        <v>1738</v>
      </c>
      <c r="F3808" s="12" t="s">
        <v>1714</v>
      </c>
      <c r="G3808" s="9" t="s">
        <v>1709</v>
      </c>
    </row>
    <row r="3809" spans="1:7">
      <c r="A3809" s="9" t="s">
        <v>1711</v>
      </c>
      <c r="B3809" s="13">
        <v>0.2</v>
      </c>
      <c r="C3809" s="10">
        <v>9.0000000000000011E-3</v>
      </c>
      <c r="D3809" s="9" t="s">
        <v>1712</v>
      </c>
      <c r="E3809" s="11" t="s">
        <v>1738</v>
      </c>
      <c r="F3809" s="12" t="s">
        <v>1714</v>
      </c>
      <c r="G3809" s="9" t="s">
        <v>1709</v>
      </c>
    </row>
    <row r="3810" spans="1:7">
      <c r="A3810" s="9" t="s">
        <v>1711</v>
      </c>
      <c r="B3810" s="13">
        <v>0.2</v>
      </c>
      <c r="C3810" s="10">
        <v>0.86799999999999999</v>
      </c>
      <c r="D3810" s="9" t="s">
        <v>1712</v>
      </c>
      <c r="E3810" s="11" t="s">
        <v>1713</v>
      </c>
      <c r="F3810" s="12" t="s">
        <v>1714</v>
      </c>
      <c r="G3810" s="9" t="s">
        <v>1709</v>
      </c>
    </row>
    <row r="3811" spans="1:7">
      <c r="A3811" s="9" t="s">
        <v>1711</v>
      </c>
      <c r="B3811" s="9">
        <v>0.2</v>
      </c>
      <c r="C3811" s="10">
        <v>0.86799999999999999</v>
      </c>
      <c r="D3811" s="9" t="s">
        <v>1712</v>
      </c>
      <c r="E3811" s="11" t="s">
        <v>1713</v>
      </c>
      <c r="F3811" s="12" t="s">
        <v>1714</v>
      </c>
      <c r="G3811" s="9" t="s">
        <v>1709</v>
      </c>
    </row>
    <row r="3812" spans="1:7">
      <c r="A3812" s="9" t="s">
        <v>1711</v>
      </c>
      <c r="B3812" s="9">
        <v>0.2</v>
      </c>
      <c r="C3812" s="10">
        <v>0.86799999999999999</v>
      </c>
      <c r="D3812" s="9" t="s">
        <v>1712</v>
      </c>
      <c r="E3812" s="11" t="s">
        <v>1713</v>
      </c>
      <c r="F3812" s="12" t="s">
        <v>1714</v>
      </c>
      <c r="G3812" s="9" t="s">
        <v>1709</v>
      </c>
    </row>
    <row r="3813" spans="1:7">
      <c r="A3813" s="9" t="s">
        <v>1711</v>
      </c>
      <c r="B3813" s="9">
        <v>0.2</v>
      </c>
      <c r="C3813" s="10">
        <v>0.86799999999999999</v>
      </c>
      <c r="D3813" s="9" t="s">
        <v>1712</v>
      </c>
      <c r="E3813" s="11" t="s">
        <v>1713</v>
      </c>
      <c r="F3813" s="12" t="s">
        <v>1714</v>
      </c>
      <c r="G3813" s="9" t="s">
        <v>1709</v>
      </c>
    </row>
    <row r="3814" spans="1:7">
      <c r="A3814" s="9" t="s">
        <v>1711</v>
      </c>
      <c r="B3814" s="9">
        <v>0.2</v>
      </c>
      <c r="C3814" s="10">
        <v>1.8889999999999998</v>
      </c>
      <c r="D3814" s="9" t="s">
        <v>1712</v>
      </c>
      <c r="E3814" s="11" t="s">
        <v>1713</v>
      </c>
      <c r="F3814" s="12" t="s">
        <v>1714</v>
      </c>
      <c r="G3814" s="9" t="s">
        <v>1709</v>
      </c>
    </row>
    <row r="3815" spans="1:7">
      <c r="A3815" s="9" t="s">
        <v>1711</v>
      </c>
      <c r="B3815" s="9">
        <v>0.2</v>
      </c>
      <c r="C3815" s="10">
        <v>0.29399999999999998</v>
      </c>
      <c r="D3815" s="9" t="s">
        <v>1712</v>
      </c>
      <c r="E3815" s="11" t="s">
        <v>1713</v>
      </c>
      <c r="F3815" s="12" t="s">
        <v>1714</v>
      </c>
      <c r="G3815" s="9" t="s">
        <v>1709</v>
      </c>
    </row>
    <row r="3816" spans="1:7">
      <c r="A3816" s="9" t="s">
        <v>1711</v>
      </c>
      <c r="B3816" s="9">
        <v>0.2</v>
      </c>
      <c r="C3816" s="10">
        <v>0.29399999999999998</v>
      </c>
      <c r="D3816" s="9" t="s">
        <v>1712</v>
      </c>
      <c r="E3816" s="11" t="s">
        <v>1713</v>
      </c>
      <c r="F3816" s="12" t="s">
        <v>1714</v>
      </c>
      <c r="G3816" s="9" t="s">
        <v>1709</v>
      </c>
    </row>
    <row r="3817" spans="1:7">
      <c r="A3817" s="9" t="s">
        <v>1711</v>
      </c>
      <c r="B3817" s="9">
        <v>0.2</v>
      </c>
      <c r="C3817" s="10">
        <v>0.13700000000000001</v>
      </c>
      <c r="D3817" s="9" t="s">
        <v>1712</v>
      </c>
      <c r="E3817" s="11" t="s">
        <v>1713</v>
      </c>
      <c r="F3817" s="12" t="s">
        <v>1714</v>
      </c>
      <c r="G3817" s="9" t="s">
        <v>1709</v>
      </c>
    </row>
    <row r="3818" spans="1:7">
      <c r="A3818" s="9" t="s">
        <v>1711</v>
      </c>
      <c r="B3818" s="9">
        <v>0.2</v>
      </c>
      <c r="C3818" s="10">
        <v>0.13700000000000001</v>
      </c>
      <c r="D3818" s="9" t="s">
        <v>1712</v>
      </c>
      <c r="E3818" s="11" t="s">
        <v>1713</v>
      </c>
      <c r="F3818" s="12" t="s">
        <v>1714</v>
      </c>
      <c r="G3818" s="9" t="s">
        <v>1709</v>
      </c>
    </row>
    <row r="3819" spans="1:7">
      <c r="A3819" s="9" t="s">
        <v>1711</v>
      </c>
      <c r="B3819" s="9">
        <v>0.2</v>
      </c>
      <c r="C3819" s="10">
        <v>0.13700000000000001</v>
      </c>
      <c r="D3819" s="9" t="s">
        <v>1712</v>
      </c>
      <c r="E3819" s="11" t="s">
        <v>1713</v>
      </c>
      <c r="F3819" s="12" t="s">
        <v>1714</v>
      </c>
      <c r="G3819" s="9" t="s">
        <v>1709</v>
      </c>
    </row>
    <row r="3820" spans="1:7">
      <c r="A3820" s="9" t="s">
        <v>1711</v>
      </c>
      <c r="B3820" s="13">
        <v>0.2</v>
      </c>
      <c r="C3820" s="10">
        <v>0.13700000000000001</v>
      </c>
      <c r="D3820" s="9" t="s">
        <v>1712</v>
      </c>
      <c r="E3820" s="11" t="s">
        <v>1713</v>
      </c>
      <c r="F3820" s="12" t="s">
        <v>1714</v>
      </c>
      <c r="G3820" s="9" t="s">
        <v>1709</v>
      </c>
    </row>
    <row r="3821" spans="1:7">
      <c r="A3821" s="9" t="s">
        <v>1711</v>
      </c>
      <c r="B3821" s="9">
        <v>0.2</v>
      </c>
      <c r="C3821" s="10">
        <v>0.13700000000000001</v>
      </c>
      <c r="D3821" s="9" t="s">
        <v>1712</v>
      </c>
      <c r="E3821" s="11" t="s">
        <v>1713</v>
      </c>
      <c r="F3821" s="12" t="s">
        <v>1714</v>
      </c>
      <c r="G3821" s="9" t="s">
        <v>1709</v>
      </c>
    </row>
    <row r="3822" spans="1:7">
      <c r="A3822" s="9" t="s">
        <v>1711</v>
      </c>
      <c r="B3822" s="9">
        <v>0.2</v>
      </c>
      <c r="C3822" s="10">
        <v>0.16300000000000001</v>
      </c>
      <c r="D3822" s="9" t="s">
        <v>1712</v>
      </c>
      <c r="E3822" s="11" t="s">
        <v>1713</v>
      </c>
      <c r="F3822" s="12" t="s">
        <v>1714</v>
      </c>
      <c r="G3822" s="9" t="s">
        <v>1709</v>
      </c>
    </row>
    <row r="3823" spans="1:7">
      <c r="A3823" s="9" t="s">
        <v>1711</v>
      </c>
      <c r="B3823" s="9">
        <v>0.2</v>
      </c>
      <c r="C3823" s="10">
        <v>0.29399999999999998</v>
      </c>
      <c r="D3823" s="9" t="s">
        <v>1712</v>
      </c>
      <c r="E3823" s="11" t="s">
        <v>1713</v>
      </c>
      <c r="F3823" s="12" t="s">
        <v>1714</v>
      </c>
      <c r="G3823" s="9" t="s">
        <v>1709</v>
      </c>
    </row>
    <row r="3824" spans="1:7">
      <c r="A3824" s="9" t="s">
        <v>1711</v>
      </c>
      <c r="B3824" s="9">
        <v>0.2</v>
      </c>
      <c r="C3824" s="10">
        <v>0.29399999999999998</v>
      </c>
      <c r="D3824" s="9" t="s">
        <v>1712</v>
      </c>
      <c r="E3824" s="11" t="s">
        <v>1713</v>
      </c>
      <c r="F3824" s="12" t="s">
        <v>1714</v>
      </c>
      <c r="G3824" s="9" t="s">
        <v>1709</v>
      </c>
    </row>
    <row r="3825" spans="1:7">
      <c r="A3825" s="9" t="s">
        <v>1711</v>
      </c>
      <c r="B3825" s="9">
        <v>0.2</v>
      </c>
      <c r="C3825" s="10">
        <v>0.29399999999999998</v>
      </c>
      <c r="D3825" s="9" t="s">
        <v>1712</v>
      </c>
      <c r="E3825" s="11" t="s">
        <v>1713</v>
      </c>
      <c r="F3825" s="12" t="s">
        <v>1714</v>
      </c>
      <c r="G3825" s="9" t="s">
        <v>1709</v>
      </c>
    </row>
    <row r="3826" spans="1:7">
      <c r="A3826" s="9" t="s">
        <v>1711</v>
      </c>
      <c r="B3826" s="9">
        <v>0.2</v>
      </c>
      <c r="C3826" s="10">
        <v>0.29399999999999998</v>
      </c>
      <c r="D3826" s="9" t="s">
        <v>1712</v>
      </c>
      <c r="E3826" s="11" t="s">
        <v>1713</v>
      </c>
      <c r="F3826" s="12" t="s">
        <v>1714</v>
      </c>
      <c r="G3826" s="9" t="s">
        <v>1709</v>
      </c>
    </row>
    <row r="3827" spans="1:7">
      <c r="A3827" s="9" t="s">
        <v>1711</v>
      </c>
      <c r="B3827" s="9">
        <v>0.2</v>
      </c>
      <c r="C3827" s="10">
        <v>0.79900000000000004</v>
      </c>
      <c r="D3827" s="9" t="s">
        <v>1712</v>
      </c>
      <c r="E3827" s="11" t="s">
        <v>1713</v>
      </c>
      <c r="F3827" s="12" t="s">
        <v>1714</v>
      </c>
      <c r="G3827" s="9" t="s">
        <v>1709</v>
      </c>
    </row>
    <row r="3828" spans="1:7">
      <c r="A3828" s="9" t="s">
        <v>1711</v>
      </c>
      <c r="B3828" s="9">
        <v>0.2</v>
      </c>
      <c r="C3828" s="10">
        <v>0.79900000000000004</v>
      </c>
      <c r="D3828" s="9" t="s">
        <v>1712</v>
      </c>
      <c r="E3828" s="11" t="s">
        <v>1713</v>
      </c>
      <c r="F3828" s="12" t="s">
        <v>1714</v>
      </c>
      <c r="G3828" s="9" t="s">
        <v>1709</v>
      </c>
    </row>
    <row r="3829" spans="1:7">
      <c r="A3829" s="9" t="s">
        <v>1711</v>
      </c>
      <c r="B3829" s="9">
        <v>0.2</v>
      </c>
      <c r="C3829" s="10">
        <v>0.79900000000000004</v>
      </c>
      <c r="D3829" s="9" t="s">
        <v>1712</v>
      </c>
      <c r="E3829" s="11" t="s">
        <v>1713</v>
      </c>
      <c r="F3829" s="12" t="s">
        <v>1714</v>
      </c>
      <c r="G3829" s="9" t="s">
        <v>1709</v>
      </c>
    </row>
    <row r="3830" spans="1:7">
      <c r="A3830" s="9" t="s">
        <v>1711</v>
      </c>
      <c r="B3830" s="9">
        <v>0.2</v>
      </c>
      <c r="C3830" s="10">
        <v>0.79900000000000004</v>
      </c>
      <c r="D3830" s="9" t="s">
        <v>1712</v>
      </c>
      <c r="E3830" s="11" t="s">
        <v>1713</v>
      </c>
      <c r="F3830" s="12" t="s">
        <v>1714</v>
      </c>
      <c r="G3830" s="9" t="s">
        <v>1709</v>
      </c>
    </row>
    <row r="3831" spans="1:7">
      <c r="A3831" s="9" t="s">
        <v>1711</v>
      </c>
      <c r="B3831" s="9">
        <v>0.2</v>
      </c>
      <c r="C3831" s="10">
        <v>0.79900000000000004</v>
      </c>
      <c r="D3831" s="9" t="s">
        <v>1712</v>
      </c>
      <c r="E3831" s="11" t="s">
        <v>1713</v>
      </c>
      <c r="F3831" s="12" t="s">
        <v>1714</v>
      </c>
      <c r="G3831" s="9" t="s">
        <v>1709</v>
      </c>
    </row>
    <row r="3832" spans="1:7">
      <c r="A3832" s="9" t="s">
        <v>1711</v>
      </c>
      <c r="B3832" s="9">
        <v>0.2</v>
      </c>
      <c r="C3832" s="10">
        <v>0.79900000000000004</v>
      </c>
      <c r="D3832" s="9" t="s">
        <v>1712</v>
      </c>
      <c r="E3832" s="11" t="s">
        <v>1713</v>
      </c>
      <c r="F3832" s="12" t="s">
        <v>1714</v>
      </c>
      <c r="G3832" s="9" t="s">
        <v>1709</v>
      </c>
    </row>
    <row r="3833" spans="1:7">
      <c r="A3833" s="9" t="s">
        <v>1711</v>
      </c>
      <c r="B3833" s="9">
        <v>0.2</v>
      </c>
      <c r="C3833" s="10">
        <v>-9.0000000000000011E-3</v>
      </c>
      <c r="D3833" s="9" t="s">
        <v>1709</v>
      </c>
      <c r="E3833" s="11" t="s">
        <v>1710</v>
      </c>
      <c r="F3833" s="12" t="s">
        <v>1710</v>
      </c>
      <c r="G3833" s="9" t="s">
        <v>1709</v>
      </c>
    </row>
    <row r="3834" spans="1:7">
      <c r="A3834" s="9" t="s">
        <v>1711</v>
      </c>
      <c r="B3834" s="9">
        <v>0.2</v>
      </c>
      <c r="C3834" s="10">
        <v>0.2</v>
      </c>
      <c r="D3834" s="9" t="s">
        <v>1712</v>
      </c>
      <c r="E3834" s="11" t="s">
        <v>1713</v>
      </c>
      <c r="F3834" s="12" t="s">
        <v>1714</v>
      </c>
      <c r="G3834" s="9" t="s">
        <v>1709</v>
      </c>
    </row>
    <row r="3835" spans="1:7">
      <c r="A3835" s="9" t="s">
        <v>1711</v>
      </c>
      <c r="B3835" s="9">
        <v>0.2</v>
      </c>
      <c r="C3835" s="10">
        <v>0.78300000000000003</v>
      </c>
      <c r="D3835" s="9" t="s">
        <v>1712</v>
      </c>
      <c r="E3835" s="11" t="s">
        <v>1713</v>
      </c>
      <c r="F3835" s="12" t="s">
        <v>1714</v>
      </c>
      <c r="G3835" s="9" t="s">
        <v>1709</v>
      </c>
    </row>
    <row r="3836" spans="1:7">
      <c r="A3836" s="9" t="s">
        <v>1711</v>
      </c>
      <c r="B3836" s="13">
        <v>0.2</v>
      </c>
      <c r="C3836" s="10">
        <v>0.749</v>
      </c>
      <c r="D3836" s="9" t="s">
        <v>1712</v>
      </c>
      <c r="E3836" s="11" t="s">
        <v>1713</v>
      </c>
      <c r="F3836" s="12" t="s">
        <v>1714</v>
      </c>
      <c r="G3836" s="9" t="s">
        <v>1709</v>
      </c>
    </row>
    <row r="3837" spans="1:7">
      <c r="A3837" s="9" t="s">
        <v>1711</v>
      </c>
      <c r="B3837" s="13">
        <v>0.2</v>
      </c>
      <c r="C3837" s="10">
        <v>-0.10299999999999999</v>
      </c>
      <c r="D3837" s="9" t="s">
        <v>1709</v>
      </c>
      <c r="E3837" s="11" t="s">
        <v>1710</v>
      </c>
      <c r="F3837" s="12" t="s">
        <v>1710</v>
      </c>
      <c r="G3837" s="9" t="s">
        <v>1709</v>
      </c>
    </row>
    <row r="3838" spans="1:7">
      <c r="A3838" s="9" t="s">
        <v>1711</v>
      </c>
      <c r="B3838" s="9">
        <v>0.2</v>
      </c>
      <c r="C3838" s="10">
        <v>-3.6999999999999998E-2</v>
      </c>
      <c r="D3838" s="9" t="s">
        <v>1709</v>
      </c>
      <c r="E3838" s="11" t="s">
        <v>1710</v>
      </c>
      <c r="F3838" s="12" t="s">
        <v>1710</v>
      </c>
      <c r="G3838" s="9" t="s">
        <v>1709</v>
      </c>
    </row>
    <row r="3839" spans="1:7">
      <c r="A3839" s="9" t="s">
        <v>1711</v>
      </c>
      <c r="B3839" s="9">
        <v>0.2</v>
      </c>
      <c r="C3839" s="10">
        <v>-0.183</v>
      </c>
      <c r="D3839" s="9" t="s">
        <v>1709</v>
      </c>
      <c r="E3839" s="11" t="s">
        <v>1710</v>
      </c>
      <c r="F3839" s="12" t="s">
        <v>1710</v>
      </c>
      <c r="G3839" s="9" t="s">
        <v>1709</v>
      </c>
    </row>
    <row r="3840" spans="1:7">
      <c r="A3840" s="9" t="s">
        <v>1711</v>
      </c>
      <c r="B3840" s="9">
        <v>0.2</v>
      </c>
      <c r="C3840" s="10">
        <v>-0.183</v>
      </c>
      <c r="D3840" s="9" t="s">
        <v>1709</v>
      </c>
      <c r="E3840" s="11" t="s">
        <v>1710</v>
      </c>
      <c r="F3840" s="12" t="s">
        <v>1710</v>
      </c>
      <c r="G3840" s="9" t="s">
        <v>1709</v>
      </c>
    </row>
    <row r="3841" spans="1:7">
      <c r="A3841" s="9" t="s">
        <v>1711</v>
      </c>
      <c r="B3841" s="9">
        <v>0.2</v>
      </c>
      <c r="C3841" s="10">
        <v>0.158</v>
      </c>
      <c r="D3841" s="9" t="s">
        <v>1712</v>
      </c>
      <c r="E3841" s="11" t="s">
        <v>1713</v>
      </c>
      <c r="F3841" s="12" t="s">
        <v>1714</v>
      </c>
      <c r="G3841" s="9" t="s">
        <v>1709</v>
      </c>
    </row>
    <row r="3842" spans="1:7">
      <c r="A3842" s="9" t="s">
        <v>1711</v>
      </c>
      <c r="B3842" s="9">
        <v>0.2</v>
      </c>
      <c r="C3842" s="10">
        <v>0.158</v>
      </c>
      <c r="D3842" s="9" t="s">
        <v>1712</v>
      </c>
      <c r="E3842" s="11" t="s">
        <v>1713</v>
      </c>
      <c r="F3842" s="12" t="s">
        <v>1714</v>
      </c>
      <c r="G3842" s="9" t="s">
        <v>1709</v>
      </c>
    </row>
    <row r="3843" spans="1:7">
      <c r="A3843" s="9" t="s">
        <v>1711</v>
      </c>
      <c r="B3843" s="9">
        <v>0.2</v>
      </c>
      <c r="C3843" s="10">
        <v>0.158</v>
      </c>
      <c r="D3843" s="9" t="s">
        <v>1712</v>
      </c>
      <c r="E3843" s="11" t="s">
        <v>1713</v>
      </c>
      <c r="F3843" s="12" t="s">
        <v>1714</v>
      </c>
      <c r="G3843" s="9" t="s">
        <v>1709</v>
      </c>
    </row>
    <row r="3844" spans="1:7">
      <c r="A3844" s="9" t="s">
        <v>1711</v>
      </c>
      <c r="B3844" s="9">
        <v>0.2</v>
      </c>
      <c r="C3844" s="10">
        <v>2.9319999999999999</v>
      </c>
      <c r="D3844" s="9" t="s">
        <v>1712</v>
      </c>
      <c r="E3844" s="11" t="s">
        <v>1713</v>
      </c>
      <c r="F3844" s="12" t="s">
        <v>1714</v>
      </c>
      <c r="G3844" s="9" t="s">
        <v>1709</v>
      </c>
    </row>
    <row r="3845" spans="1:7">
      <c r="A3845" s="9" t="s">
        <v>1711</v>
      </c>
      <c r="B3845" s="9">
        <v>0.2</v>
      </c>
      <c r="C3845" s="10">
        <v>2.9319999999999999</v>
      </c>
      <c r="D3845" s="9" t="s">
        <v>1712</v>
      </c>
      <c r="E3845" s="11" t="s">
        <v>1713</v>
      </c>
      <c r="F3845" s="12" t="s">
        <v>1714</v>
      </c>
      <c r="G3845" s="9" t="s">
        <v>1709</v>
      </c>
    </row>
    <row r="3846" spans="1:7">
      <c r="A3846" s="9" t="s">
        <v>1711</v>
      </c>
      <c r="B3846" s="9">
        <v>0.2</v>
      </c>
      <c r="C3846" s="10">
        <v>2.9319999999999999</v>
      </c>
      <c r="D3846" s="9" t="s">
        <v>1712</v>
      </c>
      <c r="E3846" s="11" t="s">
        <v>1713</v>
      </c>
      <c r="F3846" s="12" t="s">
        <v>1714</v>
      </c>
      <c r="G3846" s="9" t="s">
        <v>1709</v>
      </c>
    </row>
    <row r="3847" spans="1:7">
      <c r="A3847" s="9" t="s">
        <v>1711</v>
      </c>
      <c r="B3847" s="9">
        <v>0.2</v>
      </c>
      <c r="C3847" s="10">
        <v>2.9319999999999999</v>
      </c>
      <c r="D3847" s="9" t="s">
        <v>1712</v>
      </c>
      <c r="E3847" s="11" t="s">
        <v>1713</v>
      </c>
      <c r="F3847" s="12" t="s">
        <v>1714</v>
      </c>
      <c r="G3847" s="9" t="s">
        <v>1709</v>
      </c>
    </row>
    <row r="3848" spans="1:7">
      <c r="A3848" s="9" t="s">
        <v>1711</v>
      </c>
      <c r="B3848" s="9">
        <v>0.2</v>
      </c>
      <c r="C3848" s="10">
        <v>2.9319999999999999</v>
      </c>
      <c r="D3848" s="9" t="s">
        <v>1712</v>
      </c>
      <c r="E3848" s="11" t="s">
        <v>1713</v>
      </c>
      <c r="F3848" s="12" t="s">
        <v>1714</v>
      </c>
      <c r="G3848" s="9" t="s">
        <v>1709</v>
      </c>
    </row>
    <row r="3849" spans="1:7">
      <c r="A3849" s="9" t="s">
        <v>1711</v>
      </c>
      <c r="B3849" s="9">
        <v>0.2</v>
      </c>
      <c r="C3849" s="10">
        <v>2.9319999999999999</v>
      </c>
      <c r="D3849" s="9" t="s">
        <v>1712</v>
      </c>
      <c r="E3849" s="11" t="s">
        <v>1713</v>
      </c>
      <c r="F3849" s="12" t="s">
        <v>1714</v>
      </c>
      <c r="G3849" s="9" t="s">
        <v>1709</v>
      </c>
    </row>
    <row r="3850" spans="1:7">
      <c r="A3850" s="9" t="s">
        <v>1711</v>
      </c>
      <c r="B3850" s="9">
        <v>0.2</v>
      </c>
      <c r="C3850" s="10">
        <v>0.86799999999999999</v>
      </c>
      <c r="D3850" s="9" t="s">
        <v>1712</v>
      </c>
      <c r="E3850" s="11" t="s">
        <v>1713</v>
      </c>
      <c r="F3850" s="12" t="s">
        <v>1714</v>
      </c>
      <c r="G3850" s="9" t="s">
        <v>1709</v>
      </c>
    </row>
    <row r="3851" spans="1:7">
      <c r="A3851" s="9" t="s">
        <v>1711</v>
      </c>
      <c r="B3851" s="9">
        <v>0.2</v>
      </c>
      <c r="C3851" s="10">
        <v>0.86799999999999999</v>
      </c>
      <c r="D3851" s="9" t="s">
        <v>1712</v>
      </c>
      <c r="E3851" s="11" t="s">
        <v>1713</v>
      </c>
      <c r="F3851" s="12" t="s">
        <v>1714</v>
      </c>
      <c r="G3851" s="9" t="s">
        <v>1709</v>
      </c>
    </row>
    <row r="3852" spans="1:7">
      <c r="A3852" s="9" t="s">
        <v>1711</v>
      </c>
      <c r="B3852" s="9">
        <v>0.2</v>
      </c>
      <c r="C3852" s="10">
        <v>-9.9999999999999985E-3</v>
      </c>
      <c r="D3852" s="9" t="s">
        <v>1709</v>
      </c>
      <c r="E3852" s="11" t="s">
        <v>1710</v>
      </c>
      <c r="F3852" s="12" t="s">
        <v>1710</v>
      </c>
      <c r="G3852" s="9" t="s">
        <v>1709</v>
      </c>
    </row>
    <row r="3853" spans="1:7">
      <c r="A3853" s="9" t="s">
        <v>1711</v>
      </c>
      <c r="B3853" s="9">
        <v>0.2</v>
      </c>
      <c r="C3853" s="10">
        <v>7.0000000000000001E-3</v>
      </c>
      <c r="D3853" s="9" t="s">
        <v>1712</v>
      </c>
      <c r="E3853" s="11" t="s">
        <v>1738</v>
      </c>
      <c r="F3853" s="12" t="s">
        <v>1714</v>
      </c>
      <c r="G3853" s="9" t="s">
        <v>1709</v>
      </c>
    </row>
    <row r="3854" spans="1:7">
      <c r="A3854" s="9" t="s">
        <v>1711</v>
      </c>
      <c r="B3854" s="9">
        <v>0.2</v>
      </c>
      <c r="C3854" s="10">
        <v>-3.2000000000000001E-2</v>
      </c>
      <c r="D3854" s="9" t="s">
        <v>1709</v>
      </c>
      <c r="E3854" s="11" t="s">
        <v>1710</v>
      </c>
      <c r="F3854" s="12" t="s">
        <v>1710</v>
      </c>
      <c r="G3854" s="9" t="s">
        <v>1709</v>
      </c>
    </row>
    <row r="3855" spans="1:7">
      <c r="A3855" s="9" t="s">
        <v>1711</v>
      </c>
      <c r="B3855" s="9">
        <v>0.2</v>
      </c>
      <c r="C3855" s="10">
        <v>-3.0000000000000002E-2</v>
      </c>
      <c r="D3855" s="9" t="s">
        <v>1709</v>
      </c>
      <c r="E3855" s="11" t="s">
        <v>1710</v>
      </c>
      <c r="F3855" s="12" t="s">
        <v>1710</v>
      </c>
      <c r="G3855" s="9" t="s">
        <v>1709</v>
      </c>
    </row>
    <row r="3856" spans="1:7">
      <c r="A3856" s="9" t="s">
        <v>1711</v>
      </c>
      <c r="B3856" s="9">
        <v>0.2</v>
      </c>
      <c r="C3856" s="10">
        <v>0.128</v>
      </c>
      <c r="D3856" s="9" t="s">
        <v>1712</v>
      </c>
      <c r="E3856" s="11" t="s">
        <v>1738</v>
      </c>
      <c r="F3856" s="12" t="s">
        <v>1714</v>
      </c>
      <c r="G3856" s="9" t="s">
        <v>1709</v>
      </c>
    </row>
    <row r="3857" spans="1:7">
      <c r="A3857" s="9" t="s">
        <v>1711</v>
      </c>
      <c r="B3857" s="9">
        <v>0.2</v>
      </c>
      <c r="C3857" s="10">
        <v>0.19500000000000001</v>
      </c>
      <c r="D3857" s="9" t="s">
        <v>1712</v>
      </c>
      <c r="E3857" s="11" t="s">
        <v>1713</v>
      </c>
      <c r="F3857" s="12" t="s">
        <v>1714</v>
      </c>
      <c r="G3857" s="9" t="s">
        <v>1709</v>
      </c>
    </row>
    <row r="3858" spans="1:7">
      <c r="A3858" s="9" t="s">
        <v>1711</v>
      </c>
      <c r="B3858" s="9">
        <v>0.2</v>
      </c>
      <c r="C3858" s="10">
        <v>0.19500000000000001</v>
      </c>
      <c r="D3858" s="9" t="s">
        <v>1712</v>
      </c>
      <c r="E3858" s="11" t="s">
        <v>1713</v>
      </c>
      <c r="F3858" s="12" t="s">
        <v>1714</v>
      </c>
      <c r="G3858" s="9" t="s">
        <v>1709</v>
      </c>
    </row>
    <row r="3859" spans="1:7">
      <c r="A3859" s="9" t="s">
        <v>1711</v>
      </c>
      <c r="B3859" s="9">
        <v>0.2</v>
      </c>
      <c r="C3859" s="10">
        <v>7.0000000000000001E-3</v>
      </c>
      <c r="D3859" s="9" t="s">
        <v>1712</v>
      </c>
      <c r="E3859" s="11" t="s">
        <v>1738</v>
      </c>
      <c r="F3859" s="12" t="s">
        <v>1714</v>
      </c>
      <c r="G3859" s="9" t="s">
        <v>1709</v>
      </c>
    </row>
    <row r="3860" spans="1:7">
      <c r="A3860" s="9" t="s">
        <v>1711</v>
      </c>
      <c r="B3860" s="9">
        <v>0.2</v>
      </c>
      <c r="C3860" s="10">
        <v>9.0000000000000011E-3</v>
      </c>
      <c r="D3860" s="9" t="s">
        <v>1712</v>
      </c>
      <c r="E3860" s="11" t="s">
        <v>1738</v>
      </c>
      <c r="F3860" s="12" t="s">
        <v>1714</v>
      </c>
      <c r="G3860" s="9" t="s">
        <v>1709</v>
      </c>
    </row>
    <row r="3861" spans="1:7">
      <c r="A3861" s="9" t="s">
        <v>1711</v>
      </c>
      <c r="B3861" s="9">
        <v>0.2</v>
      </c>
      <c r="C3861" s="10">
        <v>7.0000000000000001E-3</v>
      </c>
      <c r="D3861" s="9" t="s">
        <v>1712</v>
      </c>
      <c r="E3861" s="11" t="s">
        <v>1738</v>
      </c>
      <c r="F3861" s="12" t="s">
        <v>1714</v>
      </c>
      <c r="G3861" s="9" t="s">
        <v>1709</v>
      </c>
    </row>
    <row r="3862" spans="1:7">
      <c r="A3862" s="9" t="s">
        <v>1711</v>
      </c>
      <c r="B3862" s="9">
        <v>0.2</v>
      </c>
      <c r="C3862" s="10">
        <v>7.0000000000000001E-3</v>
      </c>
      <c r="D3862" s="9" t="s">
        <v>1712</v>
      </c>
      <c r="E3862" s="11" t="s">
        <v>1738</v>
      </c>
      <c r="F3862" s="12" t="s">
        <v>1714</v>
      </c>
      <c r="G3862" s="9" t="s">
        <v>1709</v>
      </c>
    </row>
    <row r="3863" spans="1:7">
      <c r="A3863" s="9" t="s">
        <v>1711</v>
      </c>
      <c r="B3863" s="9">
        <v>0.2</v>
      </c>
      <c r="C3863" s="10">
        <v>7.0000000000000001E-3</v>
      </c>
      <c r="D3863" s="9" t="s">
        <v>1712</v>
      </c>
      <c r="E3863" s="11" t="s">
        <v>1738</v>
      </c>
      <c r="F3863" s="12" t="s">
        <v>1714</v>
      </c>
      <c r="G3863" s="9" t="s">
        <v>1709</v>
      </c>
    </row>
    <row r="3864" spans="1:7">
      <c r="A3864" s="9" t="s">
        <v>1711</v>
      </c>
      <c r="B3864" s="9">
        <v>0.2</v>
      </c>
      <c r="C3864" s="10">
        <v>7.0000000000000001E-3</v>
      </c>
      <c r="D3864" s="9" t="s">
        <v>1712</v>
      </c>
      <c r="E3864" s="11" t="s">
        <v>1738</v>
      </c>
      <c r="F3864" s="12" t="s">
        <v>1714</v>
      </c>
      <c r="G3864" s="9" t="s">
        <v>1709</v>
      </c>
    </row>
    <row r="3865" spans="1:7">
      <c r="A3865" s="9" t="s">
        <v>1711</v>
      </c>
      <c r="B3865" s="9">
        <v>0.2</v>
      </c>
      <c r="C3865" s="10">
        <v>-0.191</v>
      </c>
      <c r="D3865" s="9" t="s">
        <v>1709</v>
      </c>
      <c r="E3865" s="11" t="s">
        <v>1710</v>
      </c>
      <c r="F3865" s="12" t="s">
        <v>1710</v>
      </c>
      <c r="G3865" s="9" t="s">
        <v>1709</v>
      </c>
    </row>
    <row r="3866" spans="1:7">
      <c r="A3866" s="9" t="s">
        <v>1711</v>
      </c>
      <c r="B3866" s="9">
        <v>0.2</v>
      </c>
      <c r="C3866" s="10">
        <v>-0.13200000000000001</v>
      </c>
      <c r="D3866" s="9" t="s">
        <v>1709</v>
      </c>
      <c r="E3866" s="11" t="s">
        <v>1710</v>
      </c>
      <c r="F3866" s="12" t="s">
        <v>1710</v>
      </c>
      <c r="G3866" s="9" t="s">
        <v>1709</v>
      </c>
    </row>
    <row r="3867" spans="1:7">
      <c r="A3867" s="9" t="s">
        <v>1711</v>
      </c>
      <c r="B3867" s="9">
        <v>0.2</v>
      </c>
      <c r="C3867" s="10">
        <v>-0.13200000000000001</v>
      </c>
      <c r="D3867" s="9" t="s">
        <v>1709</v>
      </c>
      <c r="E3867" s="11" t="s">
        <v>1710</v>
      </c>
      <c r="F3867" s="12" t="s">
        <v>1710</v>
      </c>
      <c r="G3867" s="9" t="s">
        <v>1709</v>
      </c>
    </row>
    <row r="3868" spans="1:7">
      <c r="A3868" s="9" t="s">
        <v>1711</v>
      </c>
      <c r="B3868" s="9">
        <v>0.2</v>
      </c>
      <c r="C3868" s="10">
        <v>0.86799999999999999</v>
      </c>
      <c r="D3868" s="9" t="s">
        <v>1712</v>
      </c>
      <c r="E3868" s="11" t="s">
        <v>1738</v>
      </c>
      <c r="F3868" s="12" t="s">
        <v>1714</v>
      </c>
      <c r="G3868" s="9" t="s">
        <v>1709</v>
      </c>
    </row>
    <row r="3869" spans="1:7">
      <c r="A3869" s="9" t="s">
        <v>1711</v>
      </c>
      <c r="B3869" s="9">
        <v>0.2</v>
      </c>
      <c r="C3869" s="10">
        <v>0.45700000000000002</v>
      </c>
      <c r="D3869" s="9" t="s">
        <v>1712</v>
      </c>
      <c r="E3869" s="11" t="s">
        <v>1738</v>
      </c>
      <c r="F3869" s="12" t="s">
        <v>1714</v>
      </c>
      <c r="G3869" s="9" t="s">
        <v>1709</v>
      </c>
    </row>
    <row r="3870" spans="1:7">
      <c r="A3870" s="9" t="s">
        <v>1711</v>
      </c>
      <c r="B3870" s="9">
        <v>0.2</v>
      </c>
      <c r="C3870" s="10">
        <v>7.0000000000000001E-3</v>
      </c>
      <c r="D3870" s="9" t="s">
        <v>1712</v>
      </c>
      <c r="E3870" s="11" t="s">
        <v>1738</v>
      </c>
      <c r="F3870" s="12" t="s">
        <v>1714</v>
      </c>
      <c r="G3870" s="9" t="s">
        <v>1709</v>
      </c>
    </row>
    <row r="3871" spans="1:7">
      <c r="A3871" s="9" t="s">
        <v>1711</v>
      </c>
      <c r="B3871" s="9">
        <v>0.2</v>
      </c>
      <c r="C3871" s="10">
        <v>7.0000000000000001E-3</v>
      </c>
      <c r="D3871" s="9" t="s">
        <v>1712</v>
      </c>
      <c r="E3871" s="11" t="s">
        <v>1738</v>
      </c>
      <c r="F3871" s="12" t="s">
        <v>1714</v>
      </c>
      <c r="G3871" s="9" t="s">
        <v>1709</v>
      </c>
    </row>
    <row r="3872" spans="1:7">
      <c r="A3872" s="9" t="s">
        <v>1711</v>
      </c>
      <c r="B3872" s="9">
        <v>0.2</v>
      </c>
      <c r="C3872" s="10">
        <v>7.0000000000000001E-3</v>
      </c>
      <c r="D3872" s="9" t="s">
        <v>1712</v>
      </c>
      <c r="E3872" s="11" t="s">
        <v>1738</v>
      </c>
      <c r="F3872" s="12" t="s">
        <v>1714</v>
      </c>
      <c r="G3872" s="9" t="s">
        <v>1709</v>
      </c>
    </row>
    <row r="3873" spans="1:7">
      <c r="A3873" s="9" t="s">
        <v>1711</v>
      </c>
      <c r="B3873" s="9">
        <v>0.2</v>
      </c>
      <c r="C3873" s="10">
        <v>8.0000000000000002E-3</v>
      </c>
      <c r="D3873" s="9" t="s">
        <v>1712</v>
      </c>
      <c r="E3873" s="11" t="s">
        <v>1715</v>
      </c>
      <c r="F3873" s="12" t="s">
        <v>1714</v>
      </c>
      <c r="G3873" s="9" t="s">
        <v>1709</v>
      </c>
    </row>
    <row r="3874" spans="1:7">
      <c r="A3874" s="9" t="s">
        <v>1711</v>
      </c>
      <c r="B3874" s="9">
        <v>0.2</v>
      </c>
      <c r="C3874" s="10">
        <v>2E-3</v>
      </c>
      <c r="D3874" s="9" t="s">
        <v>1712</v>
      </c>
      <c r="E3874" s="11" t="s">
        <v>1715</v>
      </c>
      <c r="F3874" s="12" t="s">
        <v>1714</v>
      </c>
      <c r="G3874" s="9" t="s">
        <v>1709</v>
      </c>
    </row>
    <row r="3875" spans="1:7">
      <c r="A3875" s="9" t="s">
        <v>1711</v>
      </c>
      <c r="B3875" s="9">
        <v>0.2</v>
      </c>
      <c r="C3875" s="10">
        <v>9.0000000000000011E-3</v>
      </c>
      <c r="D3875" s="9" t="s">
        <v>1712</v>
      </c>
      <c r="E3875" s="11" t="s">
        <v>1736</v>
      </c>
      <c r="F3875" s="12" t="s">
        <v>1714</v>
      </c>
      <c r="G3875" s="9" t="s">
        <v>1709</v>
      </c>
    </row>
    <row r="3876" spans="1:7">
      <c r="A3876" s="9" t="s">
        <v>1711</v>
      </c>
      <c r="B3876" s="9">
        <v>0.2</v>
      </c>
      <c r="C3876" s="10">
        <v>7.0000000000000001E-3</v>
      </c>
      <c r="D3876" s="9" t="s">
        <v>1712</v>
      </c>
      <c r="E3876" s="11" t="s">
        <v>1738</v>
      </c>
      <c r="F3876" s="12" t="s">
        <v>1714</v>
      </c>
      <c r="G3876" s="9" t="s">
        <v>1709</v>
      </c>
    </row>
    <row r="3877" spans="1:7">
      <c r="A3877" s="9" t="s">
        <v>1711</v>
      </c>
      <c r="B3877" s="9">
        <v>0.2</v>
      </c>
      <c r="C3877" s="10">
        <v>7.0000000000000001E-3</v>
      </c>
      <c r="D3877" s="9" t="s">
        <v>1712</v>
      </c>
      <c r="E3877" s="11" t="s">
        <v>1738</v>
      </c>
      <c r="F3877" s="12" t="s">
        <v>1714</v>
      </c>
      <c r="G3877" s="9" t="s">
        <v>1709</v>
      </c>
    </row>
    <row r="3878" spans="1:7">
      <c r="A3878" s="9" t="s">
        <v>1711</v>
      </c>
      <c r="B3878" s="9">
        <v>0.2</v>
      </c>
      <c r="C3878" s="10">
        <v>7.0000000000000001E-3</v>
      </c>
      <c r="D3878" s="9" t="s">
        <v>1712</v>
      </c>
      <c r="E3878" s="11" t="s">
        <v>1738</v>
      </c>
      <c r="F3878" s="12" t="s">
        <v>1714</v>
      </c>
      <c r="G3878" s="9" t="s">
        <v>1709</v>
      </c>
    </row>
    <row r="3879" spans="1:7">
      <c r="A3879" s="9" t="s">
        <v>1711</v>
      </c>
      <c r="B3879" s="9">
        <v>0.2</v>
      </c>
      <c r="C3879" s="10">
        <v>1.819</v>
      </c>
      <c r="D3879" s="9" t="s">
        <v>1712</v>
      </c>
      <c r="E3879" s="11" t="s">
        <v>1713</v>
      </c>
      <c r="F3879" s="12" t="s">
        <v>1714</v>
      </c>
      <c r="G3879" s="9" t="s">
        <v>1709</v>
      </c>
    </row>
    <row r="3880" spans="1:7">
      <c r="A3880" s="9" t="s">
        <v>1711</v>
      </c>
      <c r="B3880" s="9">
        <v>0.2</v>
      </c>
      <c r="C3880" s="10">
        <v>1.819</v>
      </c>
      <c r="D3880" s="9" t="s">
        <v>1712</v>
      </c>
      <c r="E3880" s="11" t="s">
        <v>1713</v>
      </c>
      <c r="F3880" s="12" t="s">
        <v>1714</v>
      </c>
      <c r="G3880" s="9" t="s">
        <v>1709</v>
      </c>
    </row>
    <row r="3881" spans="1:7">
      <c r="A3881" s="9" t="s">
        <v>1711</v>
      </c>
      <c r="B3881" s="9">
        <v>0.2</v>
      </c>
      <c r="C3881" s="10">
        <v>1.6239999999999999</v>
      </c>
      <c r="D3881" s="9" t="s">
        <v>1712</v>
      </c>
      <c r="E3881" s="11" t="s">
        <v>1713</v>
      </c>
      <c r="F3881" s="12" t="s">
        <v>1714</v>
      </c>
      <c r="G3881" s="9" t="s">
        <v>1709</v>
      </c>
    </row>
    <row r="3882" spans="1:7">
      <c r="A3882" s="9" t="s">
        <v>1711</v>
      </c>
      <c r="B3882" s="9">
        <v>0.2</v>
      </c>
      <c r="C3882" s="10">
        <v>1.6239999999999999</v>
      </c>
      <c r="D3882" s="9" t="s">
        <v>1712</v>
      </c>
      <c r="E3882" s="11" t="s">
        <v>1713</v>
      </c>
      <c r="F3882" s="12" t="s">
        <v>1714</v>
      </c>
      <c r="G3882" s="9" t="s">
        <v>1709</v>
      </c>
    </row>
    <row r="3883" spans="1:7">
      <c r="A3883" s="9" t="s">
        <v>1711</v>
      </c>
      <c r="B3883" s="9">
        <v>0.2</v>
      </c>
      <c r="C3883" s="10">
        <v>1.6239999999999999</v>
      </c>
      <c r="D3883" s="9" t="s">
        <v>1712</v>
      </c>
      <c r="E3883" s="11" t="s">
        <v>1713</v>
      </c>
      <c r="F3883" s="12" t="s">
        <v>1714</v>
      </c>
      <c r="G3883" s="9" t="s">
        <v>1709</v>
      </c>
    </row>
    <row r="3884" spans="1:7">
      <c r="A3884" s="9" t="s">
        <v>1711</v>
      </c>
      <c r="B3884" s="9">
        <v>0.2</v>
      </c>
      <c r="C3884" s="10">
        <v>1.6239999999999999</v>
      </c>
      <c r="D3884" s="9" t="s">
        <v>1712</v>
      </c>
      <c r="E3884" s="11" t="s">
        <v>1713</v>
      </c>
      <c r="F3884" s="12" t="s">
        <v>1714</v>
      </c>
      <c r="G3884" s="9" t="s">
        <v>1709</v>
      </c>
    </row>
    <row r="3885" spans="1:7">
      <c r="A3885" s="9" t="s">
        <v>1711</v>
      </c>
      <c r="B3885" s="9">
        <v>0.2</v>
      </c>
      <c r="C3885" s="10">
        <v>1.6239999999999999</v>
      </c>
      <c r="D3885" s="9" t="s">
        <v>1712</v>
      </c>
      <c r="E3885" s="11" t="s">
        <v>1713</v>
      </c>
      <c r="F3885" s="12" t="s">
        <v>1714</v>
      </c>
      <c r="G3885" s="9" t="s">
        <v>1709</v>
      </c>
    </row>
    <row r="3886" spans="1:7">
      <c r="A3886" s="9" t="s">
        <v>1711</v>
      </c>
      <c r="B3886" s="9">
        <v>0.2</v>
      </c>
      <c r="C3886" s="10">
        <v>1.6239999999999999</v>
      </c>
      <c r="D3886" s="9" t="s">
        <v>1712</v>
      </c>
      <c r="E3886" s="11" t="s">
        <v>1713</v>
      </c>
      <c r="F3886" s="12" t="s">
        <v>1714</v>
      </c>
      <c r="G3886" s="9" t="s">
        <v>1709</v>
      </c>
    </row>
    <row r="3887" spans="1:7">
      <c r="A3887" s="9" t="s">
        <v>1711</v>
      </c>
      <c r="B3887" s="9">
        <v>0.2</v>
      </c>
      <c r="C3887" s="10">
        <v>1.6239999999999999</v>
      </c>
      <c r="D3887" s="9" t="s">
        <v>1712</v>
      </c>
      <c r="E3887" s="11" t="s">
        <v>1713</v>
      </c>
      <c r="F3887" s="12" t="s">
        <v>1714</v>
      </c>
      <c r="G3887" s="9" t="s">
        <v>1709</v>
      </c>
    </row>
    <row r="3888" spans="1:7">
      <c r="A3888" s="9" t="s">
        <v>1711</v>
      </c>
      <c r="B3888" s="9">
        <v>0.2</v>
      </c>
      <c r="C3888" s="10">
        <v>1.6239999999999999</v>
      </c>
      <c r="D3888" s="9" t="s">
        <v>1712</v>
      </c>
      <c r="E3888" s="11" t="s">
        <v>1713</v>
      </c>
      <c r="F3888" s="12" t="s">
        <v>1714</v>
      </c>
      <c r="G3888" s="9" t="s">
        <v>1709</v>
      </c>
    </row>
    <row r="3889" spans="1:7">
      <c r="A3889" s="9" t="s">
        <v>1711</v>
      </c>
      <c r="B3889" s="9">
        <v>0.2</v>
      </c>
      <c r="C3889" s="10">
        <v>1.6239999999999999</v>
      </c>
      <c r="D3889" s="9" t="s">
        <v>1712</v>
      </c>
      <c r="E3889" s="11" t="s">
        <v>1713</v>
      </c>
      <c r="F3889" s="12" t="s">
        <v>1714</v>
      </c>
      <c r="G3889" s="9" t="s">
        <v>1709</v>
      </c>
    </row>
    <row r="3890" spans="1:7">
      <c r="A3890" s="9" t="s">
        <v>1711</v>
      </c>
      <c r="B3890" s="9">
        <v>0.2</v>
      </c>
      <c r="C3890" s="10">
        <v>1.6239999999999999</v>
      </c>
      <c r="D3890" s="9" t="s">
        <v>1712</v>
      </c>
      <c r="E3890" s="11" t="s">
        <v>1713</v>
      </c>
      <c r="F3890" s="12" t="s">
        <v>1714</v>
      </c>
      <c r="G3890" s="9" t="s">
        <v>1709</v>
      </c>
    </row>
    <row r="3891" spans="1:7">
      <c r="A3891" s="9" t="s">
        <v>1711</v>
      </c>
      <c r="B3891" s="9">
        <v>0.2</v>
      </c>
      <c r="C3891" s="10">
        <v>1.6239999999999999</v>
      </c>
      <c r="D3891" s="9" t="s">
        <v>1712</v>
      </c>
      <c r="E3891" s="11" t="s">
        <v>1713</v>
      </c>
      <c r="F3891" s="12" t="s">
        <v>1714</v>
      </c>
      <c r="G3891" s="9" t="s">
        <v>1709</v>
      </c>
    </row>
    <row r="3892" spans="1:7">
      <c r="A3892" s="9" t="s">
        <v>1711</v>
      </c>
      <c r="B3892" s="9">
        <v>0.2</v>
      </c>
      <c r="C3892" s="10">
        <v>1.6239999999999999</v>
      </c>
      <c r="D3892" s="9" t="s">
        <v>1712</v>
      </c>
      <c r="E3892" s="11" t="s">
        <v>1713</v>
      </c>
      <c r="F3892" s="12" t="s">
        <v>1714</v>
      </c>
      <c r="G3892" s="9" t="s">
        <v>1709</v>
      </c>
    </row>
    <row r="3893" spans="1:7">
      <c r="A3893" s="9" t="s">
        <v>1711</v>
      </c>
      <c r="B3893" s="9">
        <v>0.2</v>
      </c>
      <c r="C3893" s="10">
        <v>1.6239999999999999</v>
      </c>
      <c r="D3893" s="9" t="s">
        <v>1712</v>
      </c>
      <c r="E3893" s="11" t="s">
        <v>1713</v>
      </c>
      <c r="F3893" s="12" t="s">
        <v>1714</v>
      </c>
      <c r="G3893" s="9" t="s">
        <v>1709</v>
      </c>
    </row>
    <row r="3894" spans="1:7">
      <c r="A3894" s="9" t="s">
        <v>1711</v>
      </c>
      <c r="B3894" s="9">
        <v>0.2</v>
      </c>
      <c r="C3894" s="10">
        <v>1.6239999999999999</v>
      </c>
      <c r="D3894" s="9" t="s">
        <v>1712</v>
      </c>
      <c r="E3894" s="11" t="s">
        <v>1713</v>
      </c>
      <c r="F3894" s="12" t="s">
        <v>1714</v>
      </c>
      <c r="G3894" s="9" t="s">
        <v>1709</v>
      </c>
    </row>
    <row r="3895" spans="1:7">
      <c r="A3895" s="9" t="s">
        <v>1711</v>
      </c>
      <c r="B3895" s="9">
        <v>0.2</v>
      </c>
      <c r="C3895" s="10">
        <v>1.6239999999999999</v>
      </c>
      <c r="D3895" s="9" t="s">
        <v>1712</v>
      </c>
      <c r="E3895" s="11" t="s">
        <v>1713</v>
      </c>
      <c r="F3895" s="12" t="s">
        <v>1714</v>
      </c>
      <c r="G3895" s="9" t="s">
        <v>1709</v>
      </c>
    </row>
    <row r="3896" spans="1:7">
      <c r="A3896" s="9" t="s">
        <v>1711</v>
      </c>
      <c r="B3896" s="9">
        <v>0.2</v>
      </c>
      <c r="C3896" s="10">
        <v>1.6239999999999999</v>
      </c>
      <c r="D3896" s="9" t="s">
        <v>1712</v>
      </c>
      <c r="E3896" s="11" t="s">
        <v>1713</v>
      </c>
      <c r="F3896" s="12" t="s">
        <v>1714</v>
      </c>
      <c r="G3896" s="9" t="s">
        <v>1709</v>
      </c>
    </row>
    <row r="3897" spans="1:7">
      <c r="A3897" s="9" t="s">
        <v>1711</v>
      </c>
      <c r="B3897" s="9">
        <v>0.2</v>
      </c>
      <c r="C3897" s="10">
        <v>1.6239999999999999</v>
      </c>
      <c r="D3897" s="9" t="s">
        <v>1712</v>
      </c>
      <c r="E3897" s="11" t="s">
        <v>1713</v>
      </c>
      <c r="F3897" s="12" t="s">
        <v>1714</v>
      </c>
      <c r="G3897" s="9" t="s">
        <v>1709</v>
      </c>
    </row>
    <row r="3898" spans="1:7">
      <c r="A3898" s="9" t="s">
        <v>1711</v>
      </c>
      <c r="B3898" s="9">
        <v>0.2</v>
      </c>
      <c r="C3898" s="10">
        <v>1.6239999999999999</v>
      </c>
      <c r="D3898" s="9" t="s">
        <v>1712</v>
      </c>
      <c r="E3898" s="11" t="s">
        <v>1713</v>
      </c>
      <c r="F3898" s="12" t="s">
        <v>1714</v>
      </c>
      <c r="G3898" s="9" t="s">
        <v>1709</v>
      </c>
    </row>
    <row r="3899" spans="1:7">
      <c r="A3899" s="9" t="s">
        <v>1711</v>
      </c>
      <c r="B3899" s="9">
        <v>0.2</v>
      </c>
      <c r="C3899" s="10">
        <v>1.6239999999999999</v>
      </c>
      <c r="D3899" s="9" t="s">
        <v>1712</v>
      </c>
      <c r="E3899" s="11" t="s">
        <v>1713</v>
      </c>
      <c r="F3899" s="12" t="s">
        <v>1714</v>
      </c>
      <c r="G3899" s="9" t="s">
        <v>1709</v>
      </c>
    </row>
    <row r="3900" spans="1:7">
      <c r="A3900" s="9" t="s">
        <v>1711</v>
      </c>
      <c r="B3900" s="9">
        <v>0.2</v>
      </c>
      <c r="C3900" s="10">
        <v>1.6239999999999999</v>
      </c>
      <c r="D3900" s="9" t="s">
        <v>1712</v>
      </c>
      <c r="E3900" s="11" t="s">
        <v>1713</v>
      </c>
      <c r="F3900" s="12" t="s">
        <v>1714</v>
      </c>
      <c r="G3900" s="9" t="s">
        <v>1709</v>
      </c>
    </row>
    <row r="3901" spans="1:7">
      <c r="A3901" s="9" t="s">
        <v>1711</v>
      </c>
      <c r="B3901" s="9">
        <v>0.2</v>
      </c>
      <c r="C3901" s="10">
        <v>1.6239999999999999</v>
      </c>
      <c r="D3901" s="9" t="s">
        <v>1712</v>
      </c>
      <c r="E3901" s="11" t="s">
        <v>1713</v>
      </c>
      <c r="F3901" s="12" t="s">
        <v>1714</v>
      </c>
      <c r="G3901" s="9" t="s">
        <v>1709</v>
      </c>
    </row>
    <row r="3902" spans="1:7">
      <c r="A3902" s="9" t="s">
        <v>1711</v>
      </c>
      <c r="B3902" s="9">
        <v>0.2</v>
      </c>
      <c r="C3902" s="10">
        <v>1.6239999999999999</v>
      </c>
      <c r="D3902" s="9" t="s">
        <v>1712</v>
      </c>
      <c r="E3902" s="11" t="s">
        <v>1713</v>
      </c>
      <c r="F3902" s="12" t="s">
        <v>1714</v>
      </c>
      <c r="G3902" s="9" t="s">
        <v>1709</v>
      </c>
    </row>
    <row r="3903" spans="1:7">
      <c r="A3903" s="9" t="s">
        <v>1711</v>
      </c>
      <c r="B3903" s="9">
        <v>0.2</v>
      </c>
      <c r="C3903" s="10">
        <v>1.6239999999999999</v>
      </c>
      <c r="D3903" s="9" t="s">
        <v>1712</v>
      </c>
      <c r="E3903" s="11" t="s">
        <v>1713</v>
      </c>
      <c r="F3903" s="12" t="s">
        <v>1714</v>
      </c>
      <c r="G3903" s="9" t="s">
        <v>1709</v>
      </c>
    </row>
    <row r="3904" spans="1:7">
      <c r="A3904" s="9" t="s">
        <v>1711</v>
      </c>
      <c r="B3904" s="9">
        <v>0.2</v>
      </c>
      <c r="C3904" s="10">
        <v>1.6239999999999999</v>
      </c>
      <c r="D3904" s="9" t="s">
        <v>1712</v>
      </c>
      <c r="E3904" s="11" t="s">
        <v>1713</v>
      </c>
      <c r="F3904" s="12" t="s">
        <v>1714</v>
      </c>
      <c r="G3904" s="9" t="s">
        <v>1709</v>
      </c>
    </row>
    <row r="3905" spans="1:7">
      <c r="A3905" s="9" t="s">
        <v>1711</v>
      </c>
      <c r="B3905" s="9">
        <v>0.2</v>
      </c>
      <c r="C3905" s="10">
        <v>1.6239999999999999</v>
      </c>
      <c r="D3905" s="9" t="s">
        <v>1712</v>
      </c>
      <c r="E3905" s="11" t="s">
        <v>1713</v>
      </c>
      <c r="F3905" s="12" t="s">
        <v>1714</v>
      </c>
      <c r="G3905" s="9" t="s">
        <v>1709</v>
      </c>
    </row>
    <row r="3906" spans="1:7">
      <c r="A3906" s="9" t="s">
        <v>1711</v>
      </c>
      <c r="B3906" s="9">
        <v>0.2</v>
      </c>
      <c r="C3906" s="10">
        <v>1.6239999999999999</v>
      </c>
      <c r="D3906" s="9" t="s">
        <v>1712</v>
      </c>
      <c r="E3906" s="11" t="s">
        <v>1713</v>
      </c>
      <c r="F3906" s="12" t="s">
        <v>1714</v>
      </c>
      <c r="G3906" s="9" t="s">
        <v>1709</v>
      </c>
    </row>
    <row r="3907" spans="1:7">
      <c r="A3907" s="9" t="s">
        <v>1711</v>
      </c>
      <c r="B3907" s="9">
        <v>0.2</v>
      </c>
      <c r="C3907" s="10">
        <v>1.6239999999999999</v>
      </c>
      <c r="D3907" s="9" t="s">
        <v>1712</v>
      </c>
      <c r="E3907" s="11" t="s">
        <v>1713</v>
      </c>
      <c r="F3907" s="12" t="s">
        <v>1714</v>
      </c>
      <c r="G3907" s="9" t="s">
        <v>1709</v>
      </c>
    </row>
    <row r="3908" spans="1:7">
      <c r="A3908" s="9" t="s">
        <v>1711</v>
      </c>
      <c r="B3908" s="9">
        <v>0.2</v>
      </c>
      <c r="C3908" s="10">
        <v>0.36599999999999999</v>
      </c>
      <c r="D3908" s="9" t="s">
        <v>1712</v>
      </c>
      <c r="E3908" s="11" t="s">
        <v>1713</v>
      </c>
      <c r="F3908" s="12" t="s">
        <v>1714</v>
      </c>
      <c r="G3908" s="9" t="s">
        <v>1709</v>
      </c>
    </row>
    <row r="3909" spans="1:7">
      <c r="A3909" s="9" t="s">
        <v>1711</v>
      </c>
      <c r="B3909" s="9">
        <v>0.2</v>
      </c>
      <c r="C3909" s="10">
        <v>0.36599999999999999</v>
      </c>
      <c r="D3909" s="9" t="s">
        <v>1712</v>
      </c>
      <c r="E3909" s="11" t="s">
        <v>1713</v>
      </c>
      <c r="F3909" s="12" t="s">
        <v>1714</v>
      </c>
      <c r="G3909" s="9" t="s">
        <v>1709</v>
      </c>
    </row>
    <row r="3910" spans="1:7">
      <c r="A3910" s="9" t="s">
        <v>1711</v>
      </c>
      <c r="B3910" s="9">
        <v>0.2</v>
      </c>
      <c r="C3910" s="10">
        <v>0.36599999999999999</v>
      </c>
      <c r="D3910" s="9" t="s">
        <v>1712</v>
      </c>
      <c r="E3910" s="11" t="s">
        <v>1713</v>
      </c>
      <c r="F3910" s="12" t="s">
        <v>1714</v>
      </c>
      <c r="G3910" s="9" t="s">
        <v>1709</v>
      </c>
    </row>
    <row r="3911" spans="1:7">
      <c r="A3911" s="9" t="s">
        <v>1711</v>
      </c>
      <c r="B3911" s="9">
        <v>0.2</v>
      </c>
      <c r="C3911" s="10">
        <v>0.36599999999999999</v>
      </c>
      <c r="D3911" s="9" t="s">
        <v>1712</v>
      </c>
      <c r="E3911" s="11" t="s">
        <v>1713</v>
      </c>
      <c r="F3911" s="12" t="s">
        <v>1714</v>
      </c>
      <c r="G3911" s="9" t="s">
        <v>1709</v>
      </c>
    </row>
    <row r="3912" spans="1:7">
      <c r="A3912" s="9" t="s">
        <v>1711</v>
      </c>
      <c r="B3912" s="9">
        <v>0.2</v>
      </c>
      <c r="C3912" s="10">
        <v>0.36599999999999999</v>
      </c>
      <c r="D3912" s="9" t="s">
        <v>1712</v>
      </c>
      <c r="E3912" s="11" t="s">
        <v>1713</v>
      </c>
      <c r="F3912" s="12" t="s">
        <v>1714</v>
      </c>
      <c r="G3912" s="9" t="s">
        <v>1709</v>
      </c>
    </row>
    <row r="3913" spans="1:7">
      <c r="A3913" s="9" t="s">
        <v>1711</v>
      </c>
      <c r="B3913" s="9">
        <v>0.2</v>
      </c>
      <c r="C3913" s="10">
        <v>0.36599999999999999</v>
      </c>
      <c r="D3913" s="9" t="s">
        <v>1712</v>
      </c>
      <c r="E3913" s="11" t="s">
        <v>1713</v>
      </c>
      <c r="F3913" s="12" t="s">
        <v>1714</v>
      </c>
      <c r="G3913" s="9" t="s">
        <v>1709</v>
      </c>
    </row>
    <row r="3914" spans="1:7">
      <c r="A3914" s="9" t="s">
        <v>1711</v>
      </c>
      <c r="B3914" s="9">
        <v>0.2</v>
      </c>
      <c r="C3914" s="10">
        <v>0.36599999999999999</v>
      </c>
      <c r="D3914" s="9" t="s">
        <v>1712</v>
      </c>
      <c r="E3914" s="11" t="s">
        <v>1713</v>
      </c>
      <c r="F3914" s="12" t="s">
        <v>1714</v>
      </c>
      <c r="G3914" s="9" t="s">
        <v>1709</v>
      </c>
    </row>
    <row r="3915" spans="1:7">
      <c r="A3915" s="9" t="s">
        <v>1711</v>
      </c>
      <c r="B3915" s="9">
        <v>0.2</v>
      </c>
      <c r="C3915" s="10">
        <v>0.36599999999999999</v>
      </c>
      <c r="D3915" s="9" t="s">
        <v>1712</v>
      </c>
      <c r="E3915" s="11" t="s">
        <v>1713</v>
      </c>
      <c r="F3915" s="12" t="s">
        <v>1714</v>
      </c>
      <c r="G3915" s="9" t="s">
        <v>1709</v>
      </c>
    </row>
    <row r="3916" spans="1:7">
      <c r="A3916" s="9" t="s">
        <v>1711</v>
      </c>
      <c r="B3916" s="9">
        <v>0.2</v>
      </c>
      <c r="C3916" s="10">
        <v>0.36599999999999999</v>
      </c>
      <c r="D3916" s="9" t="s">
        <v>1712</v>
      </c>
      <c r="E3916" s="11" t="s">
        <v>1713</v>
      </c>
      <c r="F3916" s="12" t="s">
        <v>1714</v>
      </c>
      <c r="G3916" s="9" t="s">
        <v>1709</v>
      </c>
    </row>
    <row r="3917" spans="1:7">
      <c r="A3917" s="9" t="s">
        <v>1711</v>
      </c>
      <c r="B3917" s="9">
        <v>0.2</v>
      </c>
      <c r="C3917" s="10">
        <v>0.36599999999999999</v>
      </c>
      <c r="D3917" s="9" t="s">
        <v>1712</v>
      </c>
      <c r="E3917" s="11" t="s">
        <v>1713</v>
      </c>
      <c r="F3917" s="12" t="s">
        <v>1714</v>
      </c>
      <c r="G3917" s="9" t="s">
        <v>1709</v>
      </c>
    </row>
    <row r="3918" spans="1:7">
      <c r="A3918" s="9" t="s">
        <v>1711</v>
      </c>
      <c r="B3918" s="9">
        <v>0.2</v>
      </c>
      <c r="C3918" s="10">
        <v>0.36599999999999999</v>
      </c>
      <c r="D3918" s="9" t="s">
        <v>1712</v>
      </c>
      <c r="E3918" s="11" t="s">
        <v>1713</v>
      </c>
      <c r="F3918" s="12" t="s">
        <v>1714</v>
      </c>
      <c r="G3918" s="9" t="s">
        <v>1709</v>
      </c>
    </row>
    <row r="3919" spans="1:7">
      <c r="A3919" s="9" t="s">
        <v>1711</v>
      </c>
      <c r="B3919" s="9">
        <v>0.2</v>
      </c>
      <c r="C3919" s="10">
        <v>0.36599999999999999</v>
      </c>
      <c r="D3919" s="9" t="s">
        <v>1712</v>
      </c>
      <c r="E3919" s="11" t="s">
        <v>1713</v>
      </c>
      <c r="F3919" s="12" t="s">
        <v>1714</v>
      </c>
      <c r="G3919" s="9" t="s">
        <v>1709</v>
      </c>
    </row>
    <row r="3920" spans="1:7">
      <c r="A3920" s="9" t="s">
        <v>1711</v>
      </c>
      <c r="B3920" s="9">
        <v>0.2</v>
      </c>
      <c r="C3920" s="10">
        <v>0.36599999999999999</v>
      </c>
      <c r="D3920" s="9" t="s">
        <v>1712</v>
      </c>
      <c r="E3920" s="11" t="s">
        <v>1713</v>
      </c>
      <c r="F3920" s="12" t="s">
        <v>1714</v>
      </c>
      <c r="G3920" s="9" t="s">
        <v>1709</v>
      </c>
    </row>
    <row r="3921" spans="1:7">
      <c r="A3921" s="9" t="s">
        <v>1711</v>
      </c>
      <c r="B3921" s="9">
        <v>0.2</v>
      </c>
      <c r="C3921" s="10">
        <v>0.36599999999999999</v>
      </c>
      <c r="D3921" s="9" t="s">
        <v>1712</v>
      </c>
      <c r="E3921" s="11" t="s">
        <v>1713</v>
      </c>
      <c r="F3921" s="12" t="s">
        <v>1714</v>
      </c>
      <c r="G3921" s="9" t="s">
        <v>1709</v>
      </c>
    </row>
    <row r="3922" spans="1:7">
      <c r="A3922" s="9" t="s">
        <v>1711</v>
      </c>
      <c r="B3922" s="9">
        <v>0.2</v>
      </c>
      <c r="C3922" s="10">
        <v>0.36599999999999999</v>
      </c>
      <c r="D3922" s="9" t="s">
        <v>1712</v>
      </c>
      <c r="E3922" s="11" t="s">
        <v>1713</v>
      </c>
      <c r="F3922" s="12" t="s">
        <v>1714</v>
      </c>
      <c r="G3922" s="9" t="s">
        <v>1709</v>
      </c>
    </row>
    <row r="3923" spans="1:7">
      <c r="A3923" s="9" t="s">
        <v>1711</v>
      </c>
      <c r="B3923" s="9">
        <v>0.2</v>
      </c>
      <c r="C3923" s="10">
        <v>0.36599999999999999</v>
      </c>
      <c r="D3923" s="9" t="s">
        <v>1712</v>
      </c>
      <c r="E3923" s="11" t="s">
        <v>1713</v>
      </c>
      <c r="F3923" s="12" t="s">
        <v>1714</v>
      </c>
      <c r="G3923" s="9" t="s">
        <v>1709</v>
      </c>
    </row>
    <row r="3924" spans="1:7">
      <c r="A3924" s="9" t="s">
        <v>1711</v>
      </c>
      <c r="B3924" s="9">
        <v>0.2</v>
      </c>
      <c r="C3924" s="10">
        <v>7.0000000000000001E-3</v>
      </c>
      <c r="D3924" s="9" t="s">
        <v>1712</v>
      </c>
      <c r="E3924" s="11" t="s">
        <v>1738</v>
      </c>
      <c r="F3924" s="12" t="s">
        <v>1714</v>
      </c>
      <c r="G3924" s="9" t="s">
        <v>1709</v>
      </c>
    </row>
    <row r="3925" spans="1:7">
      <c r="A3925" s="9" t="s">
        <v>1711</v>
      </c>
      <c r="B3925" s="9">
        <v>0.2</v>
      </c>
      <c r="C3925" s="10">
        <v>0.64100000000000001</v>
      </c>
      <c r="D3925" s="9" t="s">
        <v>1712</v>
      </c>
      <c r="E3925" s="11" t="s">
        <v>1715</v>
      </c>
      <c r="F3925" s="12" t="s">
        <v>1714</v>
      </c>
      <c r="G3925" s="9" t="s">
        <v>1709</v>
      </c>
    </row>
    <row r="3926" spans="1:7">
      <c r="A3926" s="9" t="s">
        <v>1711</v>
      </c>
      <c r="B3926" s="9">
        <v>0.2</v>
      </c>
      <c r="C3926" s="10">
        <v>7.0000000000000001E-3</v>
      </c>
      <c r="D3926" s="9" t="s">
        <v>1712</v>
      </c>
      <c r="E3926" s="11" t="s">
        <v>1738</v>
      </c>
      <c r="F3926" s="12" t="s">
        <v>1714</v>
      </c>
      <c r="G3926" s="9" t="s">
        <v>1709</v>
      </c>
    </row>
    <row r="3927" spans="1:7">
      <c r="A3927" s="9" t="s">
        <v>1711</v>
      </c>
      <c r="B3927" s="9">
        <v>0.2</v>
      </c>
      <c r="C3927" s="10">
        <v>0.19600000000000001</v>
      </c>
      <c r="D3927" s="9" t="s">
        <v>1712</v>
      </c>
      <c r="E3927" s="11" t="s">
        <v>1713</v>
      </c>
      <c r="F3927" s="12" t="s">
        <v>1714</v>
      </c>
      <c r="G3927" s="9" t="s">
        <v>1709</v>
      </c>
    </row>
    <row r="3928" spans="1:7">
      <c r="A3928" s="9" t="s">
        <v>1711</v>
      </c>
      <c r="B3928" s="9">
        <v>0.2</v>
      </c>
      <c r="C3928" s="10">
        <v>-5.5E-2</v>
      </c>
      <c r="D3928" s="9" t="s">
        <v>1709</v>
      </c>
      <c r="E3928" s="11" t="s">
        <v>1710</v>
      </c>
      <c r="F3928" s="12" t="s">
        <v>1710</v>
      </c>
      <c r="G3928" s="9" t="s">
        <v>1709</v>
      </c>
    </row>
    <row r="3929" spans="1:7">
      <c r="A3929" s="9" t="s">
        <v>1711</v>
      </c>
      <c r="B3929" s="9">
        <v>0.2</v>
      </c>
      <c r="C3929" s="10">
        <v>-0.107</v>
      </c>
      <c r="D3929" s="9" t="s">
        <v>1709</v>
      </c>
      <c r="E3929" s="11" t="s">
        <v>1710</v>
      </c>
      <c r="F3929" s="12" t="s">
        <v>1710</v>
      </c>
      <c r="G3929" s="9" t="s">
        <v>1709</v>
      </c>
    </row>
    <row r="3930" spans="1:7">
      <c r="A3930" s="9" t="s">
        <v>1711</v>
      </c>
      <c r="B3930" s="9">
        <v>0.2</v>
      </c>
      <c r="C3930" s="10">
        <v>-0.107</v>
      </c>
      <c r="D3930" s="9" t="s">
        <v>1709</v>
      </c>
      <c r="E3930" s="11" t="s">
        <v>1710</v>
      </c>
      <c r="F3930" s="12" t="s">
        <v>1710</v>
      </c>
      <c r="G3930" s="9" t="s">
        <v>1709</v>
      </c>
    </row>
    <row r="3931" spans="1:7">
      <c r="A3931" s="9" t="s">
        <v>1711</v>
      </c>
      <c r="B3931" s="9">
        <v>0.2</v>
      </c>
      <c r="C3931" s="10">
        <v>-0.107</v>
      </c>
      <c r="D3931" s="9" t="s">
        <v>1709</v>
      </c>
      <c r="E3931" s="11" t="s">
        <v>1710</v>
      </c>
      <c r="F3931" s="12" t="s">
        <v>1710</v>
      </c>
      <c r="G3931" s="9" t="s">
        <v>1709</v>
      </c>
    </row>
    <row r="3932" spans="1:7">
      <c r="A3932" s="9" t="s">
        <v>1711</v>
      </c>
      <c r="B3932" s="9">
        <v>0.2</v>
      </c>
      <c r="C3932" s="10">
        <v>-0.121</v>
      </c>
      <c r="D3932" s="9" t="s">
        <v>1709</v>
      </c>
      <c r="E3932" s="11" t="s">
        <v>1710</v>
      </c>
      <c r="F3932" s="12" t="s">
        <v>1710</v>
      </c>
      <c r="G3932" s="9" t="s">
        <v>1709</v>
      </c>
    </row>
    <row r="3933" spans="1:7">
      <c r="A3933" s="9" t="s">
        <v>1711</v>
      </c>
      <c r="B3933" s="9">
        <v>0.2</v>
      </c>
      <c r="C3933" s="10">
        <v>-8.8999999999999996E-2</v>
      </c>
      <c r="D3933" s="9" t="s">
        <v>1709</v>
      </c>
      <c r="E3933" s="11" t="s">
        <v>1710</v>
      </c>
      <c r="F3933" s="12" t="s">
        <v>1710</v>
      </c>
      <c r="G3933" s="9" t="s">
        <v>1709</v>
      </c>
    </row>
    <row r="3934" spans="1:7">
      <c r="A3934" s="9" t="s">
        <v>1711</v>
      </c>
      <c r="B3934" s="9">
        <v>0.2</v>
      </c>
      <c r="C3934" s="10">
        <v>-0.17100000000000001</v>
      </c>
      <c r="D3934" s="9" t="s">
        <v>1709</v>
      </c>
      <c r="E3934" s="11" t="s">
        <v>1710</v>
      </c>
      <c r="F3934" s="12" t="s">
        <v>1710</v>
      </c>
      <c r="G3934" s="9" t="s">
        <v>1709</v>
      </c>
    </row>
    <row r="3935" spans="1:7">
      <c r="A3935" s="9" t="s">
        <v>1711</v>
      </c>
      <c r="B3935" s="9">
        <v>0.2</v>
      </c>
      <c r="C3935" s="10">
        <v>-6.5000000000000002E-2</v>
      </c>
      <c r="D3935" s="9" t="s">
        <v>1709</v>
      </c>
      <c r="E3935" s="11" t="s">
        <v>1710</v>
      </c>
      <c r="F3935" s="12" t="s">
        <v>1710</v>
      </c>
      <c r="G3935" s="9" t="s">
        <v>1709</v>
      </c>
    </row>
    <row r="3936" spans="1:7">
      <c r="A3936" s="9" t="s">
        <v>1711</v>
      </c>
      <c r="B3936" s="9">
        <v>0.2</v>
      </c>
      <c r="C3936" s="10">
        <v>0.71399999999999997</v>
      </c>
      <c r="D3936" s="9" t="s">
        <v>1712</v>
      </c>
      <c r="E3936" s="11" t="s">
        <v>1713</v>
      </c>
      <c r="F3936" s="12" t="s">
        <v>1714</v>
      </c>
      <c r="G3936" s="9" t="s">
        <v>1709</v>
      </c>
    </row>
    <row r="3937" spans="1:7">
      <c r="A3937" s="9" t="s">
        <v>1711</v>
      </c>
      <c r="B3937" s="9">
        <v>0.2</v>
      </c>
      <c r="C3937" s="10">
        <v>0.71399999999999997</v>
      </c>
      <c r="D3937" s="9" t="s">
        <v>1712</v>
      </c>
      <c r="E3937" s="11" t="s">
        <v>1713</v>
      </c>
      <c r="F3937" s="12" t="s">
        <v>1714</v>
      </c>
      <c r="G3937" s="9" t="s">
        <v>1709</v>
      </c>
    </row>
    <row r="3938" spans="1:7">
      <c r="A3938" s="9" t="s">
        <v>1711</v>
      </c>
      <c r="B3938" s="9">
        <v>0.2</v>
      </c>
      <c r="C3938" s="10">
        <v>0.71399999999999997</v>
      </c>
      <c r="D3938" s="9" t="s">
        <v>1712</v>
      </c>
      <c r="E3938" s="11" t="s">
        <v>1713</v>
      </c>
      <c r="F3938" s="12" t="s">
        <v>1714</v>
      </c>
      <c r="G3938" s="9" t="s">
        <v>1709</v>
      </c>
    </row>
    <row r="3939" spans="1:7">
      <c r="A3939" s="9" t="s">
        <v>1711</v>
      </c>
      <c r="B3939" s="9">
        <v>0.2</v>
      </c>
      <c r="C3939" s="10">
        <v>0.16600000000000001</v>
      </c>
      <c r="D3939" s="9" t="s">
        <v>1712</v>
      </c>
      <c r="E3939" s="11" t="s">
        <v>1713</v>
      </c>
      <c r="F3939" s="12" t="s">
        <v>1714</v>
      </c>
      <c r="G3939" s="9" t="s">
        <v>1709</v>
      </c>
    </row>
    <row r="3940" spans="1:7">
      <c r="A3940" s="9" t="s">
        <v>1711</v>
      </c>
      <c r="B3940" s="9">
        <v>0.2</v>
      </c>
      <c r="C3940" s="10">
        <v>0.70299999999999996</v>
      </c>
      <c r="D3940" s="9" t="s">
        <v>1712</v>
      </c>
      <c r="E3940" s="11" t="s">
        <v>1713</v>
      </c>
      <c r="F3940" s="12" t="s">
        <v>1714</v>
      </c>
      <c r="G3940" s="9" t="s">
        <v>1709</v>
      </c>
    </row>
    <row r="3941" spans="1:7">
      <c r="A3941" s="9" t="s">
        <v>1711</v>
      </c>
      <c r="B3941" s="9">
        <v>0.2</v>
      </c>
      <c r="C3941" s="10">
        <v>8.5000000000000006E-2</v>
      </c>
      <c r="D3941" s="9" t="s">
        <v>1712</v>
      </c>
      <c r="E3941" s="11" t="s">
        <v>1713</v>
      </c>
      <c r="F3941" s="12" t="s">
        <v>1714</v>
      </c>
      <c r="G3941" s="9" t="s">
        <v>1709</v>
      </c>
    </row>
    <row r="3942" spans="1:7">
      <c r="A3942" s="9" t="s">
        <v>1711</v>
      </c>
      <c r="B3942" s="9">
        <v>0.2</v>
      </c>
      <c r="C3942" s="10">
        <v>8.5000000000000006E-2</v>
      </c>
      <c r="D3942" s="9" t="s">
        <v>1712</v>
      </c>
      <c r="E3942" s="11" t="s">
        <v>1713</v>
      </c>
      <c r="F3942" s="12" t="s">
        <v>1714</v>
      </c>
      <c r="G3942" s="9" t="s">
        <v>1709</v>
      </c>
    </row>
    <row r="3943" spans="1:7">
      <c r="A3943" s="9" t="s">
        <v>1711</v>
      </c>
      <c r="B3943" s="9">
        <v>0.2</v>
      </c>
      <c r="C3943" s="10">
        <v>8.5000000000000006E-2</v>
      </c>
      <c r="D3943" s="9" t="s">
        <v>1712</v>
      </c>
      <c r="E3943" s="11" t="s">
        <v>1713</v>
      </c>
      <c r="F3943" s="12" t="s">
        <v>1714</v>
      </c>
      <c r="G3943" s="9" t="s">
        <v>1709</v>
      </c>
    </row>
    <row r="3944" spans="1:7">
      <c r="A3944" s="9" t="s">
        <v>1711</v>
      </c>
      <c r="B3944" s="9">
        <v>0.2</v>
      </c>
      <c r="C3944" s="10">
        <v>7.3999999999999996E-2</v>
      </c>
      <c r="D3944" s="9" t="s">
        <v>1712</v>
      </c>
      <c r="E3944" s="11" t="s">
        <v>1713</v>
      </c>
      <c r="F3944" s="12" t="s">
        <v>1714</v>
      </c>
      <c r="G3944" s="9" t="s">
        <v>1709</v>
      </c>
    </row>
    <row r="3945" spans="1:7">
      <c r="A3945" s="9" t="s">
        <v>1711</v>
      </c>
      <c r="B3945" s="9">
        <v>0.2</v>
      </c>
      <c r="C3945" s="10">
        <v>7.3999999999999996E-2</v>
      </c>
      <c r="D3945" s="9" t="s">
        <v>1712</v>
      </c>
      <c r="E3945" s="11" t="s">
        <v>1713</v>
      </c>
      <c r="F3945" s="12" t="s">
        <v>1714</v>
      </c>
      <c r="G3945" s="9" t="s">
        <v>1709</v>
      </c>
    </row>
    <row r="3946" spans="1:7">
      <c r="A3946" s="9" t="s">
        <v>1711</v>
      </c>
      <c r="B3946" s="9">
        <v>0.2</v>
      </c>
      <c r="C3946" s="10">
        <v>7.3999999999999996E-2</v>
      </c>
      <c r="D3946" s="9" t="s">
        <v>1712</v>
      </c>
      <c r="E3946" s="11" t="s">
        <v>1713</v>
      </c>
      <c r="F3946" s="12" t="s">
        <v>1714</v>
      </c>
      <c r="G3946" s="9" t="s">
        <v>1709</v>
      </c>
    </row>
    <row r="3947" spans="1:7">
      <c r="A3947" s="9" t="s">
        <v>1711</v>
      </c>
      <c r="B3947" s="9">
        <v>0.2</v>
      </c>
      <c r="C3947" s="10">
        <v>7.3999999999999996E-2</v>
      </c>
      <c r="D3947" s="9" t="s">
        <v>1712</v>
      </c>
      <c r="E3947" s="11" t="s">
        <v>1713</v>
      </c>
      <c r="F3947" s="12" t="s">
        <v>1714</v>
      </c>
      <c r="G3947" s="9" t="s">
        <v>1709</v>
      </c>
    </row>
    <row r="3948" spans="1:7">
      <c r="A3948" s="9" t="s">
        <v>1711</v>
      </c>
      <c r="B3948" s="9">
        <v>0.2</v>
      </c>
      <c r="C3948" s="10">
        <v>0.2</v>
      </c>
      <c r="D3948" s="9" t="s">
        <v>1712</v>
      </c>
      <c r="E3948" s="11" t="s">
        <v>1713</v>
      </c>
      <c r="F3948" s="12" t="s">
        <v>1714</v>
      </c>
      <c r="G3948" s="9" t="s">
        <v>1709</v>
      </c>
    </row>
    <row r="3949" spans="1:7">
      <c r="A3949" s="9" t="s">
        <v>1711</v>
      </c>
      <c r="B3949" s="9">
        <v>0.2</v>
      </c>
      <c r="C3949" s="10">
        <v>-0.08</v>
      </c>
      <c r="D3949" s="9" t="s">
        <v>1709</v>
      </c>
      <c r="E3949" s="11" t="s">
        <v>1710</v>
      </c>
      <c r="F3949" s="12" t="s">
        <v>1710</v>
      </c>
      <c r="G3949" s="9" t="s">
        <v>1709</v>
      </c>
    </row>
    <row r="3950" spans="1:7">
      <c r="A3950" s="9" t="s">
        <v>1711</v>
      </c>
      <c r="B3950" s="9">
        <v>0.2</v>
      </c>
      <c r="C3950" s="10">
        <v>-5.2999999999999999E-2</v>
      </c>
      <c r="D3950" s="9" t="s">
        <v>1709</v>
      </c>
      <c r="E3950" s="11" t="s">
        <v>1710</v>
      </c>
      <c r="F3950" s="12" t="s">
        <v>1710</v>
      </c>
      <c r="G3950" s="9" t="s">
        <v>1709</v>
      </c>
    </row>
    <row r="3951" spans="1:7">
      <c r="A3951" s="9" t="s">
        <v>1711</v>
      </c>
      <c r="B3951" s="9">
        <v>0.2</v>
      </c>
      <c r="C3951" s="10">
        <v>-0.11600000000000001</v>
      </c>
      <c r="D3951" s="9" t="s">
        <v>1709</v>
      </c>
      <c r="E3951" s="11" t="s">
        <v>1710</v>
      </c>
      <c r="F3951" s="12" t="s">
        <v>1710</v>
      </c>
      <c r="G3951" s="9" t="s">
        <v>1709</v>
      </c>
    </row>
    <row r="3952" spans="1:7">
      <c r="A3952" s="9" t="s">
        <v>1711</v>
      </c>
      <c r="B3952" s="9">
        <v>0.2</v>
      </c>
      <c r="C3952" s="10">
        <v>-0.126</v>
      </c>
      <c r="D3952" s="9" t="s">
        <v>1709</v>
      </c>
      <c r="E3952" s="11" t="s">
        <v>1710</v>
      </c>
      <c r="F3952" s="12" t="s">
        <v>1710</v>
      </c>
      <c r="G3952" s="9" t="s">
        <v>1709</v>
      </c>
    </row>
    <row r="3953" spans="1:7">
      <c r="A3953" s="9" t="s">
        <v>1711</v>
      </c>
      <c r="B3953" s="9">
        <v>0.2</v>
      </c>
      <c r="C3953" s="10">
        <v>-0.126</v>
      </c>
      <c r="D3953" s="9" t="s">
        <v>1709</v>
      </c>
      <c r="E3953" s="11" t="s">
        <v>1710</v>
      </c>
      <c r="F3953" s="12" t="s">
        <v>1710</v>
      </c>
      <c r="G3953" s="9" t="s">
        <v>1709</v>
      </c>
    </row>
    <row r="3954" spans="1:7">
      <c r="A3954" s="9" t="s">
        <v>1711</v>
      </c>
      <c r="B3954" s="9">
        <v>0.2</v>
      </c>
      <c r="C3954" s="10">
        <v>0.17399999999999999</v>
      </c>
      <c r="D3954" s="9" t="s">
        <v>1712</v>
      </c>
      <c r="E3954" s="11" t="s">
        <v>1713</v>
      </c>
      <c r="F3954" s="12" t="s">
        <v>1714</v>
      </c>
      <c r="G3954" s="9" t="s">
        <v>1709</v>
      </c>
    </row>
    <row r="3955" spans="1:7">
      <c r="A3955" s="9" t="s">
        <v>1711</v>
      </c>
      <c r="B3955" s="9">
        <v>0.2</v>
      </c>
      <c r="C3955" s="10">
        <v>0.17399999999999999</v>
      </c>
      <c r="D3955" s="9" t="s">
        <v>1712</v>
      </c>
      <c r="E3955" s="11" t="s">
        <v>1713</v>
      </c>
      <c r="F3955" s="12" t="s">
        <v>1714</v>
      </c>
      <c r="G3955" s="9" t="s">
        <v>1709</v>
      </c>
    </row>
    <row r="3956" spans="1:7">
      <c r="A3956" s="9" t="s">
        <v>1711</v>
      </c>
      <c r="B3956" s="9">
        <v>0.2</v>
      </c>
      <c r="C3956" s="10">
        <v>0.17399999999999999</v>
      </c>
      <c r="D3956" s="9" t="s">
        <v>1712</v>
      </c>
      <c r="E3956" s="11" t="s">
        <v>1713</v>
      </c>
      <c r="F3956" s="12" t="s">
        <v>1714</v>
      </c>
      <c r="G3956" s="9" t="s">
        <v>1709</v>
      </c>
    </row>
    <row r="3957" spans="1:7">
      <c r="A3957" s="9" t="s">
        <v>1711</v>
      </c>
      <c r="B3957" s="9">
        <v>0.2</v>
      </c>
      <c r="C3957" s="10">
        <v>1.8059999999999998</v>
      </c>
      <c r="D3957" s="9" t="s">
        <v>1712</v>
      </c>
      <c r="E3957" s="11" t="s">
        <v>1713</v>
      </c>
      <c r="F3957" s="12" t="s">
        <v>1714</v>
      </c>
      <c r="G3957" s="9" t="s">
        <v>1709</v>
      </c>
    </row>
    <row r="3958" spans="1:7">
      <c r="A3958" s="9" t="s">
        <v>1711</v>
      </c>
      <c r="B3958" s="9">
        <v>0.2</v>
      </c>
      <c r="C3958" s="10">
        <v>1.819</v>
      </c>
      <c r="D3958" s="9" t="s">
        <v>1712</v>
      </c>
      <c r="E3958" s="11" t="s">
        <v>1713</v>
      </c>
      <c r="F3958" s="12" t="s">
        <v>1714</v>
      </c>
      <c r="G3958" s="9" t="s">
        <v>1709</v>
      </c>
    </row>
    <row r="3959" spans="1:7">
      <c r="A3959" s="9" t="s">
        <v>1711</v>
      </c>
      <c r="B3959" s="9">
        <v>0.2</v>
      </c>
      <c r="C3959" s="10">
        <v>1.819</v>
      </c>
      <c r="D3959" s="9" t="s">
        <v>1712</v>
      </c>
      <c r="E3959" s="11" t="s">
        <v>1713</v>
      </c>
      <c r="F3959" s="12" t="s">
        <v>1714</v>
      </c>
      <c r="G3959" s="9" t="s">
        <v>1709</v>
      </c>
    </row>
    <row r="3960" spans="1:7">
      <c r="A3960" s="9" t="s">
        <v>1711</v>
      </c>
      <c r="B3960" s="9">
        <v>0.2</v>
      </c>
      <c r="C3960" s="10">
        <v>-5.0000000000000001E-3</v>
      </c>
      <c r="D3960" s="9" t="s">
        <v>1709</v>
      </c>
      <c r="E3960" s="11" t="s">
        <v>1710</v>
      </c>
      <c r="F3960" s="12" t="s">
        <v>1710</v>
      </c>
      <c r="G3960" s="9" t="s">
        <v>1709</v>
      </c>
    </row>
    <row r="3961" spans="1:7">
      <c r="A3961" s="15" t="s">
        <v>1711</v>
      </c>
      <c r="B3961" s="13">
        <v>0.2</v>
      </c>
      <c r="C3961" s="16">
        <v>7.0000000000000001E-3</v>
      </c>
      <c r="D3961" s="13" t="s">
        <v>1712</v>
      </c>
      <c r="E3961" s="11" t="s">
        <v>1738</v>
      </c>
      <c r="F3961" s="12" t="s">
        <v>1714</v>
      </c>
      <c r="G3961" s="13" t="s">
        <v>1709</v>
      </c>
    </row>
    <row r="3962" spans="1:7">
      <c r="A3962" s="15" t="s">
        <v>1711</v>
      </c>
      <c r="B3962" s="13">
        <v>0.2</v>
      </c>
      <c r="C3962" s="16">
        <v>7.0000000000000001E-3</v>
      </c>
      <c r="D3962" s="13" t="s">
        <v>1712</v>
      </c>
      <c r="E3962" s="11" t="s">
        <v>1738</v>
      </c>
      <c r="F3962" s="12" t="s">
        <v>1714</v>
      </c>
      <c r="G3962" s="13" t="s">
        <v>1709</v>
      </c>
    </row>
    <row r="3963" spans="1:7">
      <c r="A3963" s="15" t="s">
        <v>1711</v>
      </c>
      <c r="B3963" s="13">
        <v>0.2</v>
      </c>
      <c r="C3963" s="16">
        <v>7.0000000000000001E-3</v>
      </c>
      <c r="D3963" s="13" t="s">
        <v>1712</v>
      </c>
      <c r="E3963" s="11" t="s">
        <v>1738</v>
      </c>
      <c r="F3963" s="12" t="s">
        <v>1714</v>
      </c>
      <c r="G3963" s="13" t="s">
        <v>1709</v>
      </c>
    </row>
    <row r="3964" spans="1:7">
      <c r="A3964" s="15" t="s">
        <v>1711</v>
      </c>
      <c r="B3964" s="13">
        <v>0.2</v>
      </c>
      <c r="C3964" s="16">
        <v>7.0000000000000001E-3</v>
      </c>
      <c r="D3964" s="13" t="s">
        <v>1712</v>
      </c>
      <c r="E3964" s="11" t="s">
        <v>1738</v>
      </c>
      <c r="F3964" s="12" t="s">
        <v>1714</v>
      </c>
      <c r="G3964" s="13" t="s">
        <v>1709</v>
      </c>
    </row>
    <row r="3965" spans="1:7">
      <c r="A3965" s="15" t="s">
        <v>1711</v>
      </c>
      <c r="B3965" s="13">
        <v>0.2</v>
      </c>
      <c r="C3965" s="16">
        <v>7.0000000000000001E-3</v>
      </c>
      <c r="D3965" s="13" t="s">
        <v>1712</v>
      </c>
      <c r="E3965" s="11" t="s">
        <v>1738</v>
      </c>
      <c r="F3965" s="12" t="s">
        <v>1714</v>
      </c>
      <c r="G3965" s="13" t="s">
        <v>1709</v>
      </c>
    </row>
    <row r="3966" spans="1:7">
      <c r="A3966" s="15" t="s">
        <v>1711</v>
      </c>
      <c r="B3966" s="13">
        <v>0.2</v>
      </c>
      <c r="C3966" s="16">
        <v>7.0000000000000001E-3</v>
      </c>
      <c r="D3966" s="13" t="s">
        <v>1712</v>
      </c>
      <c r="E3966" s="11" t="s">
        <v>1738</v>
      </c>
      <c r="F3966" s="12" t="s">
        <v>1714</v>
      </c>
      <c r="G3966" s="13" t="s">
        <v>1709</v>
      </c>
    </row>
    <row r="3967" spans="1:7">
      <c r="A3967" s="15" t="s">
        <v>1711</v>
      </c>
      <c r="B3967" s="13">
        <v>0.2</v>
      </c>
      <c r="C3967" s="16">
        <v>5.0000000000000001E-3</v>
      </c>
      <c r="D3967" s="13" t="s">
        <v>1712</v>
      </c>
      <c r="E3967" s="11" t="s">
        <v>1738</v>
      </c>
      <c r="F3967" s="12" t="s">
        <v>1714</v>
      </c>
      <c r="G3967" s="13" t="s">
        <v>1709</v>
      </c>
    </row>
    <row r="3968" spans="1:7">
      <c r="A3968" s="15" t="s">
        <v>1711</v>
      </c>
      <c r="B3968" s="13">
        <v>0.2</v>
      </c>
      <c r="C3968" s="16">
        <v>7.0000000000000001E-3</v>
      </c>
      <c r="D3968" s="13" t="s">
        <v>1712</v>
      </c>
      <c r="E3968" s="11" t="s">
        <v>1738</v>
      </c>
      <c r="F3968" s="12" t="s">
        <v>1714</v>
      </c>
      <c r="G3968" s="13" t="s">
        <v>1709</v>
      </c>
    </row>
    <row r="3969" spans="1:7">
      <c r="A3969" s="15" t="s">
        <v>1711</v>
      </c>
      <c r="B3969" s="13">
        <v>0.2</v>
      </c>
      <c r="C3969" s="16">
        <v>7.0000000000000001E-3</v>
      </c>
      <c r="D3969" s="13" t="s">
        <v>1712</v>
      </c>
      <c r="E3969" s="11" t="s">
        <v>1738</v>
      </c>
      <c r="F3969" s="12" t="s">
        <v>1714</v>
      </c>
      <c r="G3969" s="13" t="s">
        <v>1709</v>
      </c>
    </row>
    <row r="3970" spans="1:7">
      <c r="A3970" s="15" t="s">
        <v>1711</v>
      </c>
      <c r="B3970" s="13">
        <v>0.2</v>
      </c>
      <c r="C3970" s="16">
        <v>7.0000000000000001E-3</v>
      </c>
      <c r="D3970" s="13" t="s">
        <v>1712</v>
      </c>
      <c r="E3970" s="11" t="s">
        <v>1738</v>
      </c>
      <c r="F3970" s="12" t="s">
        <v>1714</v>
      </c>
      <c r="G3970" s="13" t="s">
        <v>1709</v>
      </c>
    </row>
    <row r="3971" spans="1:7">
      <c r="A3971" s="15" t="s">
        <v>1711</v>
      </c>
      <c r="B3971" s="13">
        <v>0.2</v>
      </c>
      <c r="C3971" s="16">
        <v>7.0000000000000001E-3</v>
      </c>
      <c r="D3971" s="13" t="s">
        <v>1712</v>
      </c>
      <c r="E3971" s="11" t="s">
        <v>1738</v>
      </c>
      <c r="F3971" s="12" t="s">
        <v>1714</v>
      </c>
      <c r="G3971" s="13" t="s">
        <v>1709</v>
      </c>
    </row>
    <row r="3972" spans="1:7">
      <c r="A3972" s="15" t="s">
        <v>1711</v>
      </c>
      <c r="B3972" s="13">
        <v>0.2</v>
      </c>
      <c r="C3972" s="16">
        <v>0.82299999999999995</v>
      </c>
      <c r="D3972" s="13" t="s">
        <v>1712</v>
      </c>
      <c r="E3972" s="12" t="s">
        <v>1715</v>
      </c>
      <c r="F3972" s="12" t="s">
        <v>1714</v>
      </c>
      <c r="G3972" s="13" t="s">
        <v>1709</v>
      </c>
    </row>
    <row r="3973" spans="1:7">
      <c r="A3973" s="15" t="s">
        <v>1711</v>
      </c>
      <c r="B3973" s="13">
        <v>0.2</v>
      </c>
      <c r="C3973" s="16">
        <v>-7.8E-2</v>
      </c>
      <c r="D3973" s="13" t="s">
        <v>1709</v>
      </c>
      <c r="E3973" s="12" t="s">
        <v>1710</v>
      </c>
      <c r="F3973" s="12" t="s">
        <v>1710</v>
      </c>
      <c r="G3973" s="13" t="s">
        <v>1709</v>
      </c>
    </row>
    <row r="3974" spans="1:7">
      <c r="A3974" s="15" t="s">
        <v>1711</v>
      </c>
      <c r="B3974" s="13">
        <v>0.2</v>
      </c>
      <c r="C3974" s="16">
        <v>-7.8E-2</v>
      </c>
      <c r="D3974" s="13" t="s">
        <v>1709</v>
      </c>
      <c r="E3974" s="12" t="s">
        <v>1710</v>
      </c>
      <c r="F3974" s="12" t="s">
        <v>1710</v>
      </c>
      <c r="G3974" s="13" t="s">
        <v>1709</v>
      </c>
    </row>
    <row r="3975" spans="1:7">
      <c r="A3975" s="15" t="s">
        <v>1711</v>
      </c>
      <c r="B3975" s="13">
        <v>0.2</v>
      </c>
      <c r="C3975" s="16">
        <v>-7.8E-2</v>
      </c>
      <c r="D3975" s="13" t="s">
        <v>1709</v>
      </c>
      <c r="E3975" s="12" t="s">
        <v>1710</v>
      </c>
      <c r="F3975" s="12" t="s">
        <v>1710</v>
      </c>
      <c r="G3975" s="13" t="s">
        <v>1709</v>
      </c>
    </row>
    <row r="3976" spans="1:7">
      <c r="A3976" s="15" t="s">
        <v>1711</v>
      </c>
      <c r="B3976" s="13">
        <v>0.2</v>
      </c>
      <c r="C3976" s="16">
        <v>-7.8E-2</v>
      </c>
      <c r="D3976" s="13" t="s">
        <v>1709</v>
      </c>
      <c r="E3976" s="12" t="s">
        <v>1710</v>
      </c>
      <c r="F3976" s="12" t="s">
        <v>1710</v>
      </c>
      <c r="G3976" s="13" t="s">
        <v>1709</v>
      </c>
    </row>
    <row r="3977" spans="1:7">
      <c r="A3977" s="15" t="s">
        <v>1711</v>
      </c>
      <c r="B3977" s="13">
        <v>0.2</v>
      </c>
      <c r="C3977" s="16">
        <v>-7.8E-2</v>
      </c>
      <c r="D3977" s="13" t="s">
        <v>1709</v>
      </c>
      <c r="E3977" s="12" t="s">
        <v>1710</v>
      </c>
      <c r="F3977" s="12" t="s">
        <v>1710</v>
      </c>
      <c r="G3977" s="13" t="s">
        <v>1709</v>
      </c>
    </row>
    <row r="3978" spans="1:7">
      <c r="A3978" s="15" t="s">
        <v>1711</v>
      </c>
      <c r="B3978" s="13">
        <v>0.2</v>
      </c>
      <c r="C3978" s="16">
        <v>-7.8E-2</v>
      </c>
      <c r="D3978" s="13" t="s">
        <v>1709</v>
      </c>
      <c r="E3978" s="12" t="s">
        <v>1710</v>
      </c>
      <c r="F3978" s="12" t="s">
        <v>1710</v>
      </c>
      <c r="G3978" s="13" t="s">
        <v>1709</v>
      </c>
    </row>
    <row r="3979" spans="1:7">
      <c r="A3979" s="15" t="s">
        <v>1711</v>
      </c>
      <c r="B3979" s="13">
        <v>0.2</v>
      </c>
      <c r="C3979" s="16">
        <v>-7.8E-2</v>
      </c>
      <c r="D3979" s="13" t="s">
        <v>1709</v>
      </c>
      <c r="E3979" s="12" t="s">
        <v>1710</v>
      </c>
      <c r="F3979" s="12" t="s">
        <v>1710</v>
      </c>
      <c r="G3979" s="13" t="s">
        <v>1709</v>
      </c>
    </row>
    <row r="3980" spans="1:7">
      <c r="A3980" s="15" t="s">
        <v>1711</v>
      </c>
      <c r="B3980" s="13">
        <v>0.2</v>
      </c>
      <c r="C3980" s="16">
        <v>-7.8E-2</v>
      </c>
      <c r="D3980" s="13" t="s">
        <v>1709</v>
      </c>
      <c r="E3980" s="12" t="s">
        <v>1710</v>
      </c>
      <c r="F3980" s="12" t="s">
        <v>1710</v>
      </c>
      <c r="G3980" s="13" t="s">
        <v>1709</v>
      </c>
    </row>
    <row r="3981" spans="1:7">
      <c r="A3981" s="15" t="s">
        <v>1711</v>
      </c>
      <c r="B3981" s="13">
        <v>0.2</v>
      </c>
      <c r="C3981" s="16">
        <v>-7.8E-2</v>
      </c>
      <c r="D3981" s="13" t="s">
        <v>1709</v>
      </c>
      <c r="E3981" s="12" t="s">
        <v>1710</v>
      </c>
      <c r="F3981" s="12" t="s">
        <v>1710</v>
      </c>
      <c r="G3981" s="13" t="s">
        <v>1709</v>
      </c>
    </row>
    <row r="3982" spans="1:7">
      <c r="A3982" s="15" t="s">
        <v>1711</v>
      </c>
      <c r="B3982" s="13">
        <v>0.2</v>
      </c>
      <c r="C3982" s="16">
        <v>-7.8E-2</v>
      </c>
      <c r="D3982" s="13" t="s">
        <v>1709</v>
      </c>
      <c r="E3982" s="12" t="s">
        <v>1710</v>
      </c>
      <c r="F3982" s="12" t="s">
        <v>1710</v>
      </c>
      <c r="G3982" s="13" t="s">
        <v>1709</v>
      </c>
    </row>
    <row r="3983" spans="1:7">
      <c r="A3983" s="15" t="s">
        <v>1711</v>
      </c>
      <c r="B3983" s="13">
        <v>0.2</v>
      </c>
      <c r="C3983" s="16">
        <v>-7.8E-2</v>
      </c>
      <c r="D3983" s="13" t="s">
        <v>1709</v>
      </c>
      <c r="E3983" s="12" t="s">
        <v>1710</v>
      </c>
      <c r="F3983" s="12" t="s">
        <v>1710</v>
      </c>
      <c r="G3983" s="13" t="s">
        <v>1709</v>
      </c>
    </row>
    <row r="3984" spans="1:7">
      <c r="A3984" s="15" t="s">
        <v>1711</v>
      </c>
      <c r="B3984" s="13">
        <v>0.2</v>
      </c>
      <c r="C3984" s="16">
        <v>-7.8E-2</v>
      </c>
      <c r="D3984" s="13" t="s">
        <v>1709</v>
      </c>
      <c r="E3984" s="12" t="s">
        <v>1710</v>
      </c>
      <c r="F3984" s="12" t="s">
        <v>1710</v>
      </c>
      <c r="G3984" s="13" t="s">
        <v>1709</v>
      </c>
    </row>
    <row r="3985" spans="1:7">
      <c r="A3985" s="15" t="s">
        <v>1711</v>
      </c>
      <c r="B3985" s="13">
        <v>0.2</v>
      </c>
      <c r="C3985" s="16">
        <v>0.82299999999999995</v>
      </c>
      <c r="D3985" s="13" t="s">
        <v>1712</v>
      </c>
      <c r="E3985" s="12" t="s">
        <v>1713</v>
      </c>
      <c r="F3985" s="12" t="s">
        <v>1714</v>
      </c>
      <c r="G3985" s="13" t="s">
        <v>1709</v>
      </c>
    </row>
    <row r="3986" spans="1:7">
      <c r="A3986" s="15" t="s">
        <v>1711</v>
      </c>
      <c r="B3986" s="13">
        <v>0.2</v>
      </c>
      <c r="C3986" s="16">
        <v>7.2999999999999995E-2</v>
      </c>
      <c r="D3986" s="13" t="s">
        <v>1712</v>
      </c>
      <c r="E3986" s="12" t="s">
        <v>1713</v>
      </c>
      <c r="F3986" s="12" t="s">
        <v>1714</v>
      </c>
      <c r="G3986" s="13" t="s">
        <v>1709</v>
      </c>
    </row>
    <row r="3987" spans="1:7">
      <c r="A3987" s="15" t="s">
        <v>1711</v>
      </c>
      <c r="B3987" s="13">
        <v>0.2</v>
      </c>
      <c r="C3987" s="16">
        <v>1.607</v>
      </c>
      <c r="D3987" s="13" t="s">
        <v>1712</v>
      </c>
      <c r="E3987" s="12" t="s">
        <v>1713</v>
      </c>
      <c r="F3987" s="12" t="s">
        <v>1714</v>
      </c>
      <c r="G3987" s="13" t="s">
        <v>1709</v>
      </c>
    </row>
    <row r="3988" spans="1:7">
      <c r="A3988" s="15" t="s">
        <v>1711</v>
      </c>
      <c r="B3988" s="13">
        <v>0.2</v>
      </c>
      <c r="C3988" s="16">
        <v>1.607</v>
      </c>
      <c r="D3988" s="13" t="s">
        <v>1712</v>
      </c>
      <c r="E3988" s="12" t="s">
        <v>1713</v>
      </c>
      <c r="F3988" s="12" t="s">
        <v>1714</v>
      </c>
      <c r="G3988" s="13" t="s">
        <v>1709</v>
      </c>
    </row>
    <row r="3989" spans="1:7">
      <c r="A3989" s="15" t="s">
        <v>1711</v>
      </c>
      <c r="B3989" s="13">
        <v>0.2</v>
      </c>
      <c r="C3989" s="16">
        <v>1.607</v>
      </c>
      <c r="D3989" s="13" t="s">
        <v>1712</v>
      </c>
      <c r="E3989" s="12" t="s">
        <v>1713</v>
      </c>
      <c r="F3989" s="12" t="s">
        <v>1714</v>
      </c>
      <c r="G3989" s="13" t="s">
        <v>1709</v>
      </c>
    </row>
    <row r="3990" spans="1:7">
      <c r="A3990" s="15" t="s">
        <v>1711</v>
      </c>
      <c r="B3990" s="13">
        <v>0.2</v>
      </c>
      <c r="C3990" s="16">
        <v>1.607</v>
      </c>
      <c r="D3990" s="13" t="s">
        <v>1712</v>
      </c>
      <c r="E3990" s="12" t="s">
        <v>1713</v>
      </c>
      <c r="F3990" s="12" t="s">
        <v>1714</v>
      </c>
      <c r="G3990" s="13" t="s">
        <v>1709</v>
      </c>
    </row>
    <row r="3991" spans="1:7">
      <c r="A3991" s="15" t="s">
        <v>1711</v>
      </c>
      <c r="B3991" s="13">
        <v>0.2</v>
      </c>
      <c r="C3991" s="16">
        <v>1.4999999999999999E-2</v>
      </c>
      <c r="D3991" s="13" t="s">
        <v>1712</v>
      </c>
      <c r="E3991" s="11" t="s">
        <v>1738</v>
      </c>
      <c r="F3991" s="12" t="s">
        <v>1714</v>
      </c>
      <c r="G3991" s="13" t="s">
        <v>1709</v>
      </c>
    </row>
    <row r="3992" spans="1:7">
      <c r="A3992" s="15" t="s">
        <v>1711</v>
      </c>
      <c r="B3992" s="13">
        <v>0.2</v>
      </c>
      <c r="C3992" s="16">
        <v>8.0000000000000002E-3</v>
      </c>
      <c r="D3992" s="13" t="s">
        <v>1712</v>
      </c>
      <c r="E3992" s="12" t="s">
        <v>1715</v>
      </c>
      <c r="F3992" s="12" t="s">
        <v>1714</v>
      </c>
      <c r="G3992" s="13" t="s">
        <v>1709</v>
      </c>
    </row>
    <row r="3993" spans="1:7">
      <c r="A3993" s="15" t="s">
        <v>1711</v>
      </c>
      <c r="B3993" s="13">
        <v>0.2</v>
      </c>
      <c r="C3993" s="16">
        <v>8.0000000000000002E-3</v>
      </c>
      <c r="D3993" s="13" t="s">
        <v>1712</v>
      </c>
      <c r="E3993" s="12" t="s">
        <v>1715</v>
      </c>
      <c r="F3993" s="12" t="s">
        <v>1714</v>
      </c>
      <c r="G3993" s="13" t="s">
        <v>1709</v>
      </c>
    </row>
    <row r="3994" spans="1:7">
      <c r="A3994" s="15" t="s">
        <v>1711</v>
      </c>
      <c r="B3994" s="13">
        <v>0.2</v>
      </c>
      <c r="C3994" s="16">
        <v>8.0000000000000002E-3</v>
      </c>
      <c r="D3994" s="13" t="s">
        <v>1712</v>
      </c>
      <c r="E3994" s="12" t="s">
        <v>1715</v>
      </c>
      <c r="F3994" s="12" t="s">
        <v>1714</v>
      </c>
      <c r="G3994" s="13" t="s">
        <v>1709</v>
      </c>
    </row>
    <row r="3995" spans="1:7">
      <c r="A3995" s="15" t="s">
        <v>1711</v>
      </c>
      <c r="B3995" s="13">
        <v>0.2</v>
      </c>
      <c r="C3995" s="16">
        <v>-0.14599999999999999</v>
      </c>
      <c r="D3995" s="13" t="s">
        <v>1709</v>
      </c>
      <c r="E3995" s="12" t="s">
        <v>1710</v>
      </c>
      <c r="F3995" s="12" t="s">
        <v>1710</v>
      </c>
      <c r="G3995" s="13" t="s">
        <v>1709</v>
      </c>
    </row>
    <row r="3996" spans="1:7">
      <c r="A3996" s="15" t="s">
        <v>1711</v>
      </c>
      <c r="B3996" s="13">
        <v>0.2</v>
      </c>
      <c r="C3996" s="16">
        <v>0.21199999999999999</v>
      </c>
      <c r="D3996" s="13" t="s">
        <v>1712</v>
      </c>
      <c r="E3996" s="12" t="s">
        <v>1715</v>
      </c>
      <c r="F3996" s="12" t="s">
        <v>1714</v>
      </c>
      <c r="G3996" s="13" t="s">
        <v>1709</v>
      </c>
    </row>
    <row r="3997" spans="1:7">
      <c r="A3997" s="15" t="s">
        <v>1711</v>
      </c>
      <c r="B3997" s="13">
        <v>0.2</v>
      </c>
      <c r="C3997" s="16">
        <v>0.21199999999999999</v>
      </c>
      <c r="D3997" s="13" t="s">
        <v>1712</v>
      </c>
      <c r="E3997" s="12" t="s">
        <v>1715</v>
      </c>
      <c r="F3997" s="12" t="s">
        <v>1714</v>
      </c>
      <c r="G3997" s="13" t="s">
        <v>1709</v>
      </c>
    </row>
    <row r="3998" spans="1:7">
      <c r="A3998" s="15" t="s">
        <v>1711</v>
      </c>
      <c r="B3998" s="13">
        <v>0.2</v>
      </c>
      <c r="C3998" s="16">
        <v>0.21199999999999999</v>
      </c>
      <c r="D3998" s="13" t="s">
        <v>1712</v>
      </c>
      <c r="E3998" s="12" t="s">
        <v>1715</v>
      </c>
      <c r="F3998" s="12" t="s">
        <v>1714</v>
      </c>
      <c r="G3998" s="13" t="s">
        <v>1709</v>
      </c>
    </row>
    <row r="3999" spans="1:7">
      <c r="A3999" s="15" t="s">
        <v>1711</v>
      </c>
      <c r="B3999" s="13">
        <v>0.2</v>
      </c>
      <c r="C3999" s="16">
        <v>0.21199999999999999</v>
      </c>
      <c r="D3999" s="13" t="s">
        <v>1712</v>
      </c>
      <c r="E3999" s="12" t="s">
        <v>1715</v>
      </c>
      <c r="F3999" s="12" t="s">
        <v>1714</v>
      </c>
      <c r="G3999" s="13" t="s">
        <v>1709</v>
      </c>
    </row>
    <row r="4000" spans="1:7">
      <c r="A4000" s="15" t="s">
        <v>1711</v>
      </c>
      <c r="B4000" s="13">
        <v>0.2</v>
      </c>
      <c r="C4000" s="16">
        <v>-7.8E-2</v>
      </c>
      <c r="D4000" s="13" t="s">
        <v>1709</v>
      </c>
      <c r="E4000" s="12" t="s">
        <v>1710</v>
      </c>
      <c r="F4000" s="12" t="s">
        <v>1710</v>
      </c>
      <c r="G4000" s="13" t="s">
        <v>1709</v>
      </c>
    </row>
    <row r="4001" spans="1:7">
      <c r="A4001" s="15" t="s">
        <v>1711</v>
      </c>
      <c r="B4001" s="13">
        <v>0.2</v>
      </c>
      <c r="C4001" s="16">
        <v>1.607</v>
      </c>
      <c r="D4001" s="13" t="s">
        <v>1712</v>
      </c>
      <c r="E4001" s="12" t="s">
        <v>1715</v>
      </c>
      <c r="F4001" s="12" t="s">
        <v>1714</v>
      </c>
      <c r="G4001" s="13" t="s">
        <v>1709</v>
      </c>
    </row>
    <row r="4002" spans="1:7">
      <c r="A4002" s="15" t="s">
        <v>1711</v>
      </c>
      <c r="B4002" s="13">
        <v>0.2</v>
      </c>
      <c r="C4002" s="16">
        <v>1.607</v>
      </c>
      <c r="D4002" s="13" t="s">
        <v>1712</v>
      </c>
      <c r="E4002" s="12" t="s">
        <v>1715</v>
      </c>
      <c r="F4002" s="12" t="s">
        <v>1714</v>
      </c>
      <c r="G4002" s="13" t="s">
        <v>1709</v>
      </c>
    </row>
    <row r="4003" spans="1:7">
      <c r="A4003" s="15" t="s">
        <v>1711</v>
      </c>
      <c r="B4003" s="13">
        <v>0.2</v>
      </c>
      <c r="C4003" s="16">
        <v>1.607</v>
      </c>
      <c r="D4003" s="13" t="s">
        <v>1712</v>
      </c>
      <c r="E4003" s="12" t="s">
        <v>1715</v>
      </c>
      <c r="F4003" s="12" t="s">
        <v>1714</v>
      </c>
      <c r="G4003" s="13" t="s">
        <v>1709</v>
      </c>
    </row>
    <row r="4004" spans="1:7">
      <c r="A4004" s="15" t="s">
        <v>1711</v>
      </c>
      <c r="B4004" s="13">
        <v>0.2</v>
      </c>
      <c r="C4004" s="16">
        <v>1.607</v>
      </c>
      <c r="D4004" s="13" t="s">
        <v>1712</v>
      </c>
      <c r="E4004" s="12" t="s">
        <v>1715</v>
      </c>
      <c r="F4004" s="12" t="s">
        <v>1714</v>
      </c>
      <c r="G4004" s="13" t="s">
        <v>1709</v>
      </c>
    </row>
    <row r="4005" spans="1:7">
      <c r="A4005" s="15" t="s">
        <v>1711</v>
      </c>
      <c r="B4005" s="13">
        <v>0.2</v>
      </c>
      <c r="C4005" s="16">
        <v>1.607</v>
      </c>
      <c r="D4005" s="13" t="s">
        <v>1712</v>
      </c>
      <c r="E4005" s="12" t="s">
        <v>1715</v>
      </c>
      <c r="F4005" s="12" t="s">
        <v>1714</v>
      </c>
      <c r="G4005" s="13" t="s">
        <v>1709</v>
      </c>
    </row>
    <row r="4006" spans="1:7">
      <c r="A4006" s="15" t="s">
        <v>1711</v>
      </c>
      <c r="B4006" s="13">
        <v>0.2</v>
      </c>
      <c r="C4006" s="16">
        <v>1.607</v>
      </c>
      <c r="D4006" s="13" t="s">
        <v>1712</v>
      </c>
      <c r="E4006" s="12" t="s">
        <v>1715</v>
      </c>
      <c r="F4006" s="12" t="s">
        <v>1714</v>
      </c>
      <c r="G4006" s="13" t="s">
        <v>1709</v>
      </c>
    </row>
    <row r="4007" spans="1:7">
      <c r="A4007" s="15" t="s">
        <v>1711</v>
      </c>
      <c r="B4007" s="13">
        <v>0.2</v>
      </c>
      <c r="C4007" s="16">
        <v>1.607</v>
      </c>
      <c r="D4007" s="13" t="s">
        <v>1712</v>
      </c>
      <c r="E4007" s="12" t="s">
        <v>1715</v>
      </c>
      <c r="F4007" s="12" t="s">
        <v>1714</v>
      </c>
      <c r="G4007" s="13" t="s">
        <v>1709</v>
      </c>
    </row>
    <row r="4008" spans="1:7">
      <c r="A4008" s="15" t="s">
        <v>1711</v>
      </c>
      <c r="B4008" s="13">
        <v>0.2</v>
      </c>
      <c r="C4008" s="16">
        <v>1.607</v>
      </c>
      <c r="D4008" s="13" t="s">
        <v>1712</v>
      </c>
      <c r="E4008" s="12" t="s">
        <v>1715</v>
      </c>
      <c r="F4008" s="12" t="s">
        <v>1714</v>
      </c>
      <c r="G4008" s="13" t="s">
        <v>1709</v>
      </c>
    </row>
    <row r="4009" spans="1:7">
      <c r="A4009" s="15" t="s">
        <v>1711</v>
      </c>
      <c r="B4009" s="13">
        <v>0.2</v>
      </c>
      <c r="C4009" s="16">
        <v>1.607</v>
      </c>
      <c r="D4009" s="13" t="s">
        <v>1712</v>
      </c>
      <c r="E4009" s="12" t="s">
        <v>1715</v>
      </c>
      <c r="F4009" s="12" t="s">
        <v>1714</v>
      </c>
      <c r="G4009" s="13" t="s">
        <v>1709</v>
      </c>
    </row>
    <row r="4010" spans="1:7">
      <c r="A4010" s="15" t="s">
        <v>1711</v>
      </c>
      <c r="B4010" s="13">
        <v>0.2</v>
      </c>
      <c r="C4010" s="16">
        <v>1.607</v>
      </c>
      <c r="D4010" s="13" t="s">
        <v>1712</v>
      </c>
      <c r="E4010" s="12" t="s">
        <v>1715</v>
      </c>
      <c r="F4010" s="12" t="s">
        <v>1714</v>
      </c>
      <c r="G4010" s="13" t="s">
        <v>1709</v>
      </c>
    </row>
    <row r="4011" spans="1:7">
      <c r="A4011" s="15" t="s">
        <v>1711</v>
      </c>
      <c r="B4011" s="13">
        <v>0.2</v>
      </c>
      <c r="C4011" s="16">
        <v>1.607</v>
      </c>
      <c r="D4011" s="13" t="s">
        <v>1712</v>
      </c>
      <c r="E4011" s="12" t="s">
        <v>1715</v>
      </c>
      <c r="F4011" s="12" t="s">
        <v>1714</v>
      </c>
      <c r="G4011" s="13" t="s">
        <v>1709</v>
      </c>
    </row>
    <row r="4012" spans="1:7">
      <c r="A4012" s="15" t="s">
        <v>1711</v>
      </c>
      <c r="B4012" s="13">
        <v>0.2</v>
      </c>
      <c r="C4012" s="16">
        <v>1.607</v>
      </c>
      <c r="D4012" s="13" t="s">
        <v>1712</v>
      </c>
      <c r="E4012" s="12" t="s">
        <v>1715</v>
      </c>
      <c r="F4012" s="12" t="s">
        <v>1714</v>
      </c>
      <c r="G4012" s="13" t="s">
        <v>1709</v>
      </c>
    </row>
    <row r="4013" spans="1:7">
      <c r="A4013" s="15" t="s">
        <v>1711</v>
      </c>
      <c r="B4013" s="13">
        <v>0.2</v>
      </c>
      <c r="C4013" s="16">
        <v>0.53600000000000003</v>
      </c>
      <c r="D4013" s="13" t="s">
        <v>1712</v>
      </c>
      <c r="E4013" s="12" t="s">
        <v>1713</v>
      </c>
      <c r="F4013" s="12" t="s">
        <v>1714</v>
      </c>
      <c r="G4013" s="13" t="s">
        <v>1709</v>
      </c>
    </row>
    <row r="4014" spans="1:7">
      <c r="A4014" s="15" t="s">
        <v>1711</v>
      </c>
      <c r="B4014" s="13">
        <v>0.2</v>
      </c>
      <c r="C4014" s="16">
        <v>0.53600000000000003</v>
      </c>
      <c r="D4014" s="13" t="s">
        <v>1712</v>
      </c>
      <c r="E4014" s="12" t="s">
        <v>1713</v>
      </c>
      <c r="F4014" s="12" t="s">
        <v>1714</v>
      </c>
      <c r="G4014" s="13" t="s">
        <v>1709</v>
      </c>
    </row>
    <row r="4015" spans="1:7">
      <c r="A4015" s="15" t="s">
        <v>1711</v>
      </c>
      <c r="B4015" s="13">
        <v>0.2</v>
      </c>
      <c r="C4015" s="16">
        <v>0.53600000000000003</v>
      </c>
      <c r="D4015" s="13" t="s">
        <v>1712</v>
      </c>
      <c r="E4015" s="12" t="s">
        <v>1713</v>
      </c>
      <c r="F4015" s="12" t="s">
        <v>1714</v>
      </c>
      <c r="G4015" s="13" t="s">
        <v>1709</v>
      </c>
    </row>
    <row r="4016" spans="1:7">
      <c r="A4016" s="15" t="s">
        <v>1711</v>
      </c>
      <c r="B4016" s="13">
        <v>0.2</v>
      </c>
      <c r="C4016" s="16">
        <v>0.53600000000000003</v>
      </c>
      <c r="D4016" s="13" t="s">
        <v>1712</v>
      </c>
      <c r="E4016" s="12" t="s">
        <v>1713</v>
      </c>
      <c r="F4016" s="12" t="s">
        <v>1714</v>
      </c>
      <c r="G4016" s="13" t="s">
        <v>1709</v>
      </c>
    </row>
    <row r="4017" spans="1:7">
      <c r="A4017" s="15" t="s">
        <v>1711</v>
      </c>
      <c r="B4017" s="13">
        <v>0.2</v>
      </c>
      <c r="C4017" s="16">
        <v>0.53600000000000003</v>
      </c>
      <c r="D4017" s="13" t="s">
        <v>1712</v>
      </c>
      <c r="E4017" s="12" t="s">
        <v>1713</v>
      </c>
      <c r="F4017" s="12" t="s">
        <v>1714</v>
      </c>
      <c r="G4017" s="13" t="s">
        <v>1709</v>
      </c>
    </row>
    <row r="4018" spans="1:7">
      <c r="A4018" s="15" t="s">
        <v>1711</v>
      </c>
      <c r="B4018" s="13">
        <v>0.2</v>
      </c>
      <c r="C4018" s="16">
        <v>0.53600000000000003</v>
      </c>
      <c r="D4018" s="13" t="s">
        <v>1712</v>
      </c>
      <c r="E4018" s="12" t="s">
        <v>1713</v>
      </c>
      <c r="F4018" s="12" t="s">
        <v>1714</v>
      </c>
      <c r="G4018" s="13" t="s">
        <v>1709</v>
      </c>
    </row>
    <row r="4019" spans="1:7">
      <c r="A4019" s="15" t="s">
        <v>1711</v>
      </c>
      <c r="B4019" s="13">
        <v>0.2</v>
      </c>
      <c r="C4019" s="16">
        <v>0.53600000000000003</v>
      </c>
      <c r="D4019" s="13" t="s">
        <v>1712</v>
      </c>
      <c r="E4019" s="12" t="s">
        <v>1713</v>
      </c>
      <c r="F4019" s="12" t="s">
        <v>1714</v>
      </c>
      <c r="G4019" s="13" t="s">
        <v>1709</v>
      </c>
    </row>
    <row r="4020" spans="1:7">
      <c r="A4020" s="15" t="s">
        <v>1711</v>
      </c>
      <c r="B4020" s="13">
        <v>0.2</v>
      </c>
      <c r="C4020" s="16">
        <v>0.53600000000000003</v>
      </c>
      <c r="D4020" s="13" t="s">
        <v>1712</v>
      </c>
      <c r="E4020" s="12" t="s">
        <v>1713</v>
      </c>
      <c r="F4020" s="12" t="s">
        <v>1714</v>
      </c>
      <c r="G4020" s="13" t="s">
        <v>1709</v>
      </c>
    </row>
    <row r="4021" spans="1:7">
      <c r="A4021" s="15" t="s">
        <v>1711</v>
      </c>
      <c r="B4021" s="13">
        <v>0.2</v>
      </c>
      <c r="C4021" s="16">
        <v>0.53600000000000003</v>
      </c>
      <c r="D4021" s="13" t="s">
        <v>1712</v>
      </c>
      <c r="E4021" s="12" t="s">
        <v>1713</v>
      </c>
      <c r="F4021" s="12" t="s">
        <v>1714</v>
      </c>
      <c r="G4021" s="13" t="s">
        <v>1709</v>
      </c>
    </row>
    <row r="4022" spans="1:7">
      <c r="A4022" s="15" t="s">
        <v>1711</v>
      </c>
      <c r="B4022" s="13">
        <v>0.2</v>
      </c>
      <c r="C4022" s="16">
        <v>0.53600000000000003</v>
      </c>
      <c r="D4022" s="13" t="s">
        <v>1712</v>
      </c>
      <c r="E4022" s="12" t="s">
        <v>1713</v>
      </c>
      <c r="F4022" s="12" t="s">
        <v>1714</v>
      </c>
      <c r="G4022" s="13" t="s">
        <v>1709</v>
      </c>
    </row>
    <row r="4023" spans="1:7">
      <c r="A4023" s="15" t="s">
        <v>1711</v>
      </c>
      <c r="B4023" s="13">
        <v>0.2</v>
      </c>
      <c r="C4023" s="16">
        <v>0.53600000000000003</v>
      </c>
      <c r="D4023" s="13" t="s">
        <v>1712</v>
      </c>
      <c r="E4023" s="12" t="s">
        <v>1713</v>
      </c>
      <c r="F4023" s="12" t="s">
        <v>1714</v>
      </c>
      <c r="G4023" s="13" t="s">
        <v>1709</v>
      </c>
    </row>
    <row r="4024" spans="1:7">
      <c r="A4024" s="15" t="s">
        <v>1711</v>
      </c>
      <c r="B4024" s="13">
        <v>0.2</v>
      </c>
      <c r="C4024" s="16">
        <v>0.53600000000000003</v>
      </c>
      <c r="D4024" s="13" t="s">
        <v>1712</v>
      </c>
      <c r="E4024" s="12" t="s">
        <v>1713</v>
      </c>
      <c r="F4024" s="12" t="s">
        <v>1714</v>
      </c>
      <c r="G4024" s="13" t="s">
        <v>1709</v>
      </c>
    </row>
    <row r="4025" spans="1:7">
      <c r="A4025" s="15" t="s">
        <v>1711</v>
      </c>
      <c r="B4025" s="13">
        <v>0.2</v>
      </c>
      <c r="C4025" s="16">
        <v>0.36599999999999999</v>
      </c>
      <c r="D4025" s="13" t="s">
        <v>1712</v>
      </c>
      <c r="E4025" s="12" t="s">
        <v>1713</v>
      </c>
      <c r="F4025" s="12" t="s">
        <v>1714</v>
      </c>
      <c r="G4025" s="13" t="s">
        <v>1709</v>
      </c>
    </row>
    <row r="4026" spans="1:7">
      <c r="A4026" s="15" t="s">
        <v>1711</v>
      </c>
      <c r="B4026" s="13">
        <v>0.2</v>
      </c>
      <c r="C4026" s="16">
        <v>0.36599999999999999</v>
      </c>
      <c r="D4026" s="13" t="s">
        <v>1712</v>
      </c>
      <c r="E4026" s="12" t="s">
        <v>1713</v>
      </c>
      <c r="F4026" s="12" t="s">
        <v>1714</v>
      </c>
      <c r="G4026" s="13" t="s">
        <v>1709</v>
      </c>
    </row>
    <row r="4027" spans="1:7">
      <c r="A4027" s="15" t="s">
        <v>1711</v>
      </c>
      <c r="B4027" s="13">
        <v>0.2</v>
      </c>
      <c r="C4027" s="16">
        <v>0.36599999999999999</v>
      </c>
      <c r="D4027" s="13" t="s">
        <v>1712</v>
      </c>
      <c r="E4027" s="12" t="s">
        <v>1713</v>
      </c>
      <c r="F4027" s="12" t="s">
        <v>1714</v>
      </c>
      <c r="G4027" s="13" t="s">
        <v>1709</v>
      </c>
    </row>
    <row r="4028" spans="1:7">
      <c r="A4028" s="15" t="s">
        <v>1711</v>
      </c>
      <c r="B4028" s="13">
        <v>0.2</v>
      </c>
      <c r="C4028" s="16">
        <v>0.36599999999999999</v>
      </c>
      <c r="D4028" s="13" t="s">
        <v>1712</v>
      </c>
      <c r="E4028" s="12" t="s">
        <v>1713</v>
      </c>
      <c r="F4028" s="12" t="s">
        <v>1714</v>
      </c>
      <c r="G4028" s="13" t="s">
        <v>1709</v>
      </c>
    </row>
    <row r="4029" spans="1:7">
      <c r="A4029" s="15" t="s">
        <v>1711</v>
      </c>
      <c r="B4029" s="13">
        <v>0.2</v>
      </c>
      <c r="C4029" s="16">
        <v>0.36599999999999999</v>
      </c>
      <c r="D4029" s="13" t="s">
        <v>1712</v>
      </c>
      <c r="E4029" s="12" t="s">
        <v>1713</v>
      </c>
      <c r="F4029" s="12" t="s">
        <v>1714</v>
      </c>
      <c r="G4029" s="13" t="s">
        <v>1709</v>
      </c>
    </row>
    <row r="4030" spans="1:7">
      <c r="A4030" s="15" t="s">
        <v>1711</v>
      </c>
      <c r="B4030" s="13">
        <v>0.2</v>
      </c>
      <c r="C4030" s="16">
        <v>0.36599999999999999</v>
      </c>
      <c r="D4030" s="13" t="s">
        <v>1712</v>
      </c>
      <c r="E4030" s="12" t="s">
        <v>1713</v>
      </c>
      <c r="F4030" s="12" t="s">
        <v>1714</v>
      </c>
      <c r="G4030" s="13" t="s">
        <v>1709</v>
      </c>
    </row>
    <row r="4031" spans="1:7">
      <c r="A4031" s="15" t="s">
        <v>1711</v>
      </c>
      <c r="B4031" s="13">
        <v>0.2</v>
      </c>
      <c r="C4031" s="16">
        <v>-4.1000000000000002E-2</v>
      </c>
      <c r="D4031" s="13" t="s">
        <v>1709</v>
      </c>
      <c r="E4031" s="12" t="s">
        <v>1710</v>
      </c>
      <c r="F4031" s="12" t="s">
        <v>1710</v>
      </c>
      <c r="G4031" s="13" t="s">
        <v>1709</v>
      </c>
    </row>
    <row r="4032" spans="1:7">
      <c r="A4032" s="15" t="s">
        <v>1711</v>
      </c>
      <c r="B4032" s="13">
        <v>0.2</v>
      </c>
      <c r="C4032" s="16">
        <v>-4.1000000000000002E-2</v>
      </c>
      <c r="D4032" s="13" t="s">
        <v>1709</v>
      </c>
      <c r="E4032" s="12" t="s">
        <v>1710</v>
      </c>
      <c r="F4032" s="12" t="s">
        <v>1710</v>
      </c>
      <c r="G4032" s="13" t="s">
        <v>1709</v>
      </c>
    </row>
    <row r="4033" spans="1:7">
      <c r="A4033" s="15" t="s">
        <v>1711</v>
      </c>
      <c r="B4033" s="13">
        <v>0.2</v>
      </c>
      <c r="C4033" s="16">
        <v>-6.4000000000000001E-2</v>
      </c>
      <c r="D4033" s="13" t="s">
        <v>1709</v>
      </c>
      <c r="E4033" s="12" t="s">
        <v>1710</v>
      </c>
      <c r="F4033" s="12" t="s">
        <v>1710</v>
      </c>
      <c r="G4033" s="13" t="s">
        <v>1709</v>
      </c>
    </row>
    <row r="4034" spans="1:7">
      <c r="A4034" s="15" t="s">
        <v>1711</v>
      </c>
      <c r="B4034" s="13">
        <v>0.2</v>
      </c>
      <c r="C4034" s="16">
        <v>-6.4000000000000001E-2</v>
      </c>
      <c r="D4034" s="13" t="s">
        <v>1709</v>
      </c>
      <c r="E4034" s="12" t="s">
        <v>1710</v>
      </c>
      <c r="F4034" s="12" t="s">
        <v>1710</v>
      </c>
      <c r="G4034" s="13" t="s">
        <v>1709</v>
      </c>
    </row>
    <row r="4035" spans="1:7">
      <c r="A4035" s="15" t="s">
        <v>1711</v>
      </c>
      <c r="B4035" s="13">
        <v>0.2</v>
      </c>
      <c r="C4035" s="16">
        <v>-6.4000000000000001E-2</v>
      </c>
      <c r="D4035" s="13" t="s">
        <v>1709</v>
      </c>
      <c r="E4035" s="12" t="s">
        <v>1710</v>
      </c>
      <c r="F4035" s="12" t="s">
        <v>1710</v>
      </c>
      <c r="G4035" s="13" t="s">
        <v>1709</v>
      </c>
    </row>
    <row r="4036" spans="1:7">
      <c r="A4036" s="15" t="s">
        <v>1711</v>
      </c>
      <c r="B4036" s="13">
        <v>0.2</v>
      </c>
      <c r="C4036" s="16">
        <v>-6.4000000000000001E-2</v>
      </c>
      <c r="D4036" s="13" t="s">
        <v>1709</v>
      </c>
      <c r="E4036" s="12" t="s">
        <v>1710</v>
      </c>
      <c r="F4036" s="12" t="s">
        <v>1710</v>
      </c>
      <c r="G4036" s="13" t="s">
        <v>1709</v>
      </c>
    </row>
    <row r="4037" spans="1:7">
      <c r="A4037" s="15" t="s">
        <v>1711</v>
      </c>
      <c r="B4037" s="13">
        <v>0.2</v>
      </c>
      <c r="C4037" s="16">
        <v>-6.4000000000000001E-2</v>
      </c>
      <c r="D4037" s="13" t="s">
        <v>1709</v>
      </c>
      <c r="E4037" s="12" t="s">
        <v>1710</v>
      </c>
      <c r="F4037" s="12" t="s">
        <v>1710</v>
      </c>
      <c r="G4037" s="13" t="s">
        <v>1709</v>
      </c>
    </row>
    <row r="4038" spans="1:7">
      <c r="A4038" s="15" t="s">
        <v>1711</v>
      </c>
      <c r="B4038" s="13">
        <v>0.2</v>
      </c>
      <c r="C4038" s="16">
        <v>2.6819999999999999</v>
      </c>
      <c r="D4038" s="13" t="s">
        <v>1712</v>
      </c>
      <c r="E4038" s="12" t="s">
        <v>1713</v>
      </c>
      <c r="F4038" s="12" t="s">
        <v>1714</v>
      </c>
      <c r="G4038" s="13" t="s">
        <v>1709</v>
      </c>
    </row>
    <row r="4039" spans="1:7">
      <c r="A4039" s="15" t="s">
        <v>1711</v>
      </c>
      <c r="B4039" s="13">
        <v>0.2</v>
      </c>
      <c r="C4039" s="16">
        <v>2.6819999999999999</v>
      </c>
      <c r="D4039" s="13" t="s">
        <v>1712</v>
      </c>
      <c r="E4039" s="12" t="s">
        <v>1713</v>
      </c>
      <c r="F4039" s="12" t="s">
        <v>1714</v>
      </c>
      <c r="G4039" s="13" t="s">
        <v>1709</v>
      </c>
    </row>
    <row r="4040" spans="1:7">
      <c r="A4040" s="15" t="s">
        <v>1711</v>
      </c>
      <c r="B4040" s="13">
        <v>0.2</v>
      </c>
      <c r="C4040" s="16">
        <v>2.6819999999999999</v>
      </c>
      <c r="D4040" s="13" t="s">
        <v>1712</v>
      </c>
      <c r="E4040" s="12" t="s">
        <v>1713</v>
      </c>
      <c r="F4040" s="12" t="s">
        <v>1714</v>
      </c>
      <c r="G4040" s="13" t="s">
        <v>1709</v>
      </c>
    </row>
    <row r="4041" spans="1:7">
      <c r="A4041" s="15" t="s">
        <v>1711</v>
      </c>
      <c r="B4041" s="13">
        <v>0.2</v>
      </c>
      <c r="C4041" s="16">
        <v>2.6819999999999999</v>
      </c>
      <c r="D4041" s="13" t="s">
        <v>1712</v>
      </c>
      <c r="E4041" s="12" t="s">
        <v>1713</v>
      </c>
      <c r="F4041" s="12" t="s">
        <v>1714</v>
      </c>
      <c r="G4041" s="13" t="s">
        <v>1709</v>
      </c>
    </row>
    <row r="4042" spans="1:7">
      <c r="A4042" s="15" t="s">
        <v>1711</v>
      </c>
      <c r="B4042" s="13">
        <v>0.2</v>
      </c>
      <c r="C4042" s="16">
        <v>2.6819999999999999</v>
      </c>
      <c r="D4042" s="13" t="s">
        <v>1712</v>
      </c>
      <c r="E4042" s="12" t="s">
        <v>1713</v>
      </c>
      <c r="F4042" s="12" t="s">
        <v>1714</v>
      </c>
      <c r="G4042" s="13" t="s">
        <v>1709</v>
      </c>
    </row>
    <row r="4043" spans="1:7">
      <c r="A4043" s="15" t="s">
        <v>1711</v>
      </c>
      <c r="B4043" s="13">
        <v>0.2</v>
      </c>
      <c r="C4043" s="16">
        <v>2.6819999999999999</v>
      </c>
      <c r="D4043" s="13" t="s">
        <v>1712</v>
      </c>
      <c r="E4043" s="12" t="s">
        <v>1713</v>
      </c>
      <c r="F4043" s="12" t="s">
        <v>1714</v>
      </c>
      <c r="G4043" s="13" t="s">
        <v>1709</v>
      </c>
    </row>
    <row r="4044" spans="1:7">
      <c r="A4044" s="15" t="s">
        <v>1711</v>
      </c>
      <c r="B4044" s="13">
        <v>0.2</v>
      </c>
      <c r="C4044" s="16">
        <v>2.6819999999999999</v>
      </c>
      <c r="D4044" s="13" t="s">
        <v>1712</v>
      </c>
      <c r="E4044" s="12" t="s">
        <v>1713</v>
      </c>
      <c r="F4044" s="12" t="s">
        <v>1714</v>
      </c>
      <c r="G4044" s="13" t="s">
        <v>1709</v>
      </c>
    </row>
    <row r="4045" spans="1:7">
      <c r="A4045" s="15" t="s">
        <v>1711</v>
      </c>
      <c r="B4045" s="13">
        <v>0.2</v>
      </c>
      <c r="C4045" s="16">
        <v>0.52200000000000002</v>
      </c>
      <c r="D4045" s="13" t="s">
        <v>1712</v>
      </c>
      <c r="E4045" s="12" t="s">
        <v>1713</v>
      </c>
      <c r="F4045" s="12" t="s">
        <v>1714</v>
      </c>
      <c r="G4045" s="13" t="s">
        <v>1709</v>
      </c>
    </row>
    <row r="4046" spans="1:7">
      <c r="A4046" s="15" t="s">
        <v>1711</v>
      </c>
      <c r="B4046" s="13">
        <v>0.2</v>
      </c>
      <c r="C4046" s="16">
        <v>0.52200000000000002</v>
      </c>
      <c r="D4046" s="13" t="s">
        <v>1712</v>
      </c>
      <c r="E4046" s="12" t="s">
        <v>1713</v>
      </c>
      <c r="F4046" s="12" t="s">
        <v>1714</v>
      </c>
      <c r="G4046" s="13" t="s">
        <v>1709</v>
      </c>
    </row>
    <row r="4047" spans="1:7">
      <c r="A4047" s="15" t="s">
        <v>1711</v>
      </c>
      <c r="B4047" s="13">
        <v>0.2</v>
      </c>
      <c r="C4047" s="16">
        <v>0.52200000000000002</v>
      </c>
      <c r="D4047" s="13" t="s">
        <v>1712</v>
      </c>
      <c r="E4047" s="12" t="s">
        <v>1713</v>
      </c>
      <c r="F4047" s="12" t="s">
        <v>1714</v>
      </c>
      <c r="G4047" s="13" t="s">
        <v>1709</v>
      </c>
    </row>
    <row r="4048" spans="1:7">
      <c r="A4048" s="15" t="s">
        <v>1711</v>
      </c>
      <c r="B4048" s="13">
        <v>0.2</v>
      </c>
      <c r="C4048" s="16">
        <v>0.52200000000000002</v>
      </c>
      <c r="D4048" s="13" t="s">
        <v>1712</v>
      </c>
      <c r="E4048" s="12" t="s">
        <v>1713</v>
      </c>
      <c r="F4048" s="12" t="s">
        <v>1714</v>
      </c>
      <c r="G4048" s="13" t="s">
        <v>1709</v>
      </c>
    </row>
    <row r="4049" spans="1:7">
      <c r="A4049" s="15" t="s">
        <v>1711</v>
      </c>
      <c r="B4049" s="13">
        <v>0.2</v>
      </c>
      <c r="C4049" s="16">
        <v>0.52200000000000002</v>
      </c>
      <c r="D4049" s="13" t="s">
        <v>1712</v>
      </c>
      <c r="E4049" s="12" t="s">
        <v>1713</v>
      </c>
      <c r="F4049" s="12" t="s">
        <v>1714</v>
      </c>
      <c r="G4049" s="13" t="s">
        <v>1709</v>
      </c>
    </row>
    <row r="4050" spans="1:7">
      <c r="A4050" s="15" t="s">
        <v>1711</v>
      </c>
      <c r="B4050" s="13">
        <v>0.2</v>
      </c>
      <c r="C4050" s="16">
        <v>0.52200000000000002</v>
      </c>
      <c r="D4050" s="13" t="s">
        <v>1712</v>
      </c>
      <c r="E4050" s="12" t="s">
        <v>1713</v>
      </c>
      <c r="F4050" s="12" t="s">
        <v>1714</v>
      </c>
      <c r="G4050" s="13" t="s">
        <v>1709</v>
      </c>
    </row>
    <row r="4051" spans="1:7">
      <c r="A4051" s="15" t="s">
        <v>1711</v>
      </c>
      <c r="B4051" s="13">
        <v>0.2</v>
      </c>
      <c r="C4051" s="16">
        <v>-7.8E-2</v>
      </c>
      <c r="D4051" s="13" t="s">
        <v>1709</v>
      </c>
      <c r="E4051" s="12" t="s">
        <v>1710</v>
      </c>
      <c r="F4051" s="12" t="s">
        <v>1710</v>
      </c>
      <c r="G4051" s="13" t="s">
        <v>1709</v>
      </c>
    </row>
    <row r="4052" spans="1:7">
      <c r="A4052" s="15" t="s">
        <v>1711</v>
      </c>
      <c r="B4052" s="13">
        <v>0.2</v>
      </c>
      <c r="C4052" s="16">
        <v>-7.8E-2</v>
      </c>
      <c r="D4052" s="13" t="s">
        <v>1709</v>
      </c>
      <c r="E4052" s="12" t="s">
        <v>1710</v>
      </c>
      <c r="F4052" s="12" t="s">
        <v>1710</v>
      </c>
      <c r="G4052" s="13" t="s">
        <v>1709</v>
      </c>
    </row>
    <row r="4053" spans="1:7">
      <c r="A4053" s="15" t="s">
        <v>1711</v>
      </c>
      <c r="B4053" s="13">
        <v>0.2</v>
      </c>
      <c r="C4053" s="16">
        <v>1.6989999999999998</v>
      </c>
      <c r="D4053" s="13" t="s">
        <v>1712</v>
      </c>
      <c r="E4053" s="11" t="s">
        <v>1738</v>
      </c>
      <c r="F4053" s="12" t="s">
        <v>1714</v>
      </c>
      <c r="G4053" s="13" t="s">
        <v>1709</v>
      </c>
    </row>
    <row r="4054" spans="1:7">
      <c r="A4054" s="15" t="s">
        <v>1711</v>
      </c>
      <c r="B4054" s="13">
        <v>0.2</v>
      </c>
      <c r="C4054" s="16">
        <v>-7.8E-2</v>
      </c>
      <c r="D4054" s="13" t="s">
        <v>1709</v>
      </c>
      <c r="E4054" s="12" t="s">
        <v>1710</v>
      </c>
      <c r="F4054" s="12" t="s">
        <v>1710</v>
      </c>
      <c r="G4054" s="13" t="s">
        <v>1709</v>
      </c>
    </row>
    <row r="4055" spans="1:7">
      <c r="A4055" s="15" t="s">
        <v>1711</v>
      </c>
      <c r="B4055" s="13">
        <v>0.2</v>
      </c>
      <c r="C4055" s="16">
        <v>0.82299999999999995</v>
      </c>
      <c r="D4055" s="13" t="s">
        <v>1712</v>
      </c>
      <c r="E4055" s="12" t="s">
        <v>1713</v>
      </c>
      <c r="F4055" s="12" t="s">
        <v>1714</v>
      </c>
      <c r="G4055" s="13" t="s">
        <v>1709</v>
      </c>
    </row>
    <row r="4056" spans="1:7">
      <c r="A4056" s="15" t="s">
        <v>1711</v>
      </c>
      <c r="B4056" s="13">
        <v>0.2</v>
      </c>
      <c r="C4056" s="16">
        <v>0.82299999999999995</v>
      </c>
      <c r="D4056" s="13" t="s">
        <v>1712</v>
      </c>
      <c r="E4056" s="12" t="s">
        <v>1713</v>
      </c>
      <c r="F4056" s="12" t="s">
        <v>1714</v>
      </c>
      <c r="G4056" s="13" t="s">
        <v>1709</v>
      </c>
    </row>
    <row r="4057" spans="1:7">
      <c r="A4057" s="15" t="s">
        <v>1711</v>
      </c>
      <c r="B4057" s="13">
        <v>0.2</v>
      </c>
      <c r="C4057" s="16">
        <v>0.121</v>
      </c>
      <c r="D4057" s="13" t="s">
        <v>1712</v>
      </c>
      <c r="E4057" s="12" t="s">
        <v>1713</v>
      </c>
      <c r="F4057" s="12" t="s">
        <v>1714</v>
      </c>
      <c r="G4057" s="13" t="s">
        <v>1709</v>
      </c>
    </row>
    <row r="4058" spans="1:7">
      <c r="A4058" s="15" t="s">
        <v>1711</v>
      </c>
      <c r="B4058" s="13">
        <v>0.2</v>
      </c>
      <c r="C4058" s="16">
        <v>0.121</v>
      </c>
      <c r="D4058" s="13" t="s">
        <v>1712</v>
      </c>
      <c r="E4058" s="12" t="s">
        <v>1713</v>
      </c>
      <c r="F4058" s="12" t="s">
        <v>1714</v>
      </c>
      <c r="G4058" s="13" t="s">
        <v>1709</v>
      </c>
    </row>
    <row r="4059" spans="1:7">
      <c r="A4059" s="15" t="s">
        <v>1711</v>
      </c>
      <c r="B4059" s="13">
        <v>0.2</v>
      </c>
      <c r="C4059" s="16">
        <v>0.105</v>
      </c>
      <c r="D4059" s="13" t="s">
        <v>1712</v>
      </c>
      <c r="E4059" s="12" t="s">
        <v>1713</v>
      </c>
      <c r="F4059" s="12" t="s">
        <v>1714</v>
      </c>
      <c r="G4059" s="13" t="s">
        <v>1709</v>
      </c>
    </row>
    <row r="4060" spans="1:7">
      <c r="A4060" s="15" t="s">
        <v>1711</v>
      </c>
      <c r="B4060" s="13">
        <v>0.2</v>
      </c>
      <c r="C4060" s="16">
        <v>0.53600000000000003</v>
      </c>
      <c r="D4060" s="13" t="s">
        <v>1712</v>
      </c>
      <c r="E4060" s="12" t="s">
        <v>1713</v>
      </c>
      <c r="F4060" s="12" t="s">
        <v>1714</v>
      </c>
      <c r="G4060" s="13" t="s">
        <v>1709</v>
      </c>
    </row>
    <row r="4061" spans="1:7">
      <c r="A4061" s="15" t="s">
        <v>1711</v>
      </c>
      <c r="B4061" s="13">
        <v>0.2</v>
      </c>
      <c r="C4061" s="16">
        <v>0.54100000000000004</v>
      </c>
      <c r="D4061" s="13" t="s">
        <v>1712</v>
      </c>
      <c r="E4061" s="12" t="s">
        <v>1713</v>
      </c>
      <c r="F4061" s="12" t="s">
        <v>1714</v>
      </c>
      <c r="G4061" s="13" t="s">
        <v>1709</v>
      </c>
    </row>
    <row r="4062" spans="1:7">
      <c r="A4062" s="15" t="s">
        <v>1711</v>
      </c>
      <c r="B4062" s="13">
        <v>0.2</v>
      </c>
      <c r="C4062" s="16">
        <v>2.6819999999999999</v>
      </c>
      <c r="D4062" s="13" t="s">
        <v>1712</v>
      </c>
      <c r="E4062" s="12" t="s">
        <v>1713</v>
      </c>
      <c r="F4062" s="12" t="s">
        <v>1714</v>
      </c>
      <c r="G4062" s="13" t="s">
        <v>1709</v>
      </c>
    </row>
    <row r="4063" spans="1:7">
      <c r="A4063" s="15" t="s">
        <v>1711</v>
      </c>
      <c r="B4063" s="13">
        <v>0.2</v>
      </c>
      <c r="C4063" s="16">
        <v>2.6819999999999999</v>
      </c>
      <c r="D4063" s="13" t="s">
        <v>1712</v>
      </c>
      <c r="E4063" s="12" t="s">
        <v>1713</v>
      </c>
      <c r="F4063" s="12" t="s">
        <v>1714</v>
      </c>
      <c r="G4063" s="13" t="s">
        <v>1709</v>
      </c>
    </row>
    <row r="4064" spans="1:7">
      <c r="A4064" s="15" t="s">
        <v>1711</v>
      </c>
      <c r="B4064" s="13">
        <v>0.2</v>
      </c>
      <c r="C4064" s="16">
        <v>2.6819999999999999</v>
      </c>
      <c r="D4064" s="13" t="s">
        <v>1712</v>
      </c>
      <c r="E4064" s="12" t="s">
        <v>1713</v>
      </c>
      <c r="F4064" s="12" t="s">
        <v>1714</v>
      </c>
      <c r="G4064" s="13" t="s">
        <v>1709</v>
      </c>
    </row>
    <row r="4065" spans="1:7">
      <c r="A4065" s="15" t="s">
        <v>1711</v>
      </c>
      <c r="B4065" s="13">
        <v>0.2</v>
      </c>
      <c r="C4065" s="16">
        <v>2.6819999999999999</v>
      </c>
      <c r="D4065" s="13" t="s">
        <v>1712</v>
      </c>
      <c r="E4065" s="12" t="s">
        <v>1713</v>
      </c>
      <c r="F4065" s="12" t="s">
        <v>1714</v>
      </c>
      <c r="G4065" s="13" t="s">
        <v>1709</v>
      </c>
    </row>
    <row r="4066" spans="1:7">
      <c r="A4066" s="15" t="s">
        <v>1711</v>
      </c>
      <c r="B4066" s="13">
        <v>0.2</v>
      </c>
      <c r="C4066" s="16">
        <v>2.6819999999999999</v>
      </c>
      <c r="D4066" s="13" t="s">
        <v>1712</v>
      </c>
      <c r="E4066" s="12" t="s">
        <v>1713</v>
      </c>
      <c r="F4066" s="12" t="s">
        <v>1714</v>
      </c>
      <c r="G4066" s="13" t="s">
        <v>1709</v>
      </c>
    </row>
    <row r="4067" spans="1:7">
      <c r="A4067" s="15" t="s">
        <v>1711</v>
      </c>
      <c r="B4067" s="13">
        <v>0.2</v>
      </c>
      <c r="C4067" s="16">
        <v>2.6819999999999999</v>
      </c>
      <c r="D4067" s="13" t="s">
        <v>1712</v>
      </c>
      <c r="E4067" s="12" t="s">
        <v>1713</v>
      </c>
      <c r="F4067" s="12" t="s">
        <v>1714</v>
      </c>
      <c r="G4067" s="13" t="s">
        <v>1709</v>
      </c>
    </row>
    <row r="4068" spans="1:7">
      <c r="A4068" s="15" t="s">
        <v>1711</v>
      </c>
      <c r="B4068" s="13">
        <v>0.2</v>
      </c>
      <c r="C4068" s="16">
        <v>2.6819999999999999</v>
      </c>
      <c r="D4068" s="13" t="s">
        <v>1712</v>
      </c>
      <c r="E4068" s="12" t="s">
        <v>1713</v>
      </c>
      <c r="F4068" s="12" t="s">
        <v>1714</v>
      </c>
      <c r="G4068" s="13" t="s">
        <v>1709</v>
      </c>
    </row>
    <row r="4069" spans="1:7">
      <c r="A4069" s="15" t="s">
        <v>1711</v>
      </c>
      <c r="B4069" s="13">
        <v>0.2</v>
      </c>
      <c r="C4069" s="16">
        <v>2.6819999999999999</v>
      </c>
      <c r="D4069" s="13" t="s">
        <v>1712</v>
      </c>
      <c r="E4069" s="12" t="s">
        <v>1713</v>
      </c>
      <c r="F4069" s="12" t="s">
        <v>1714</v>
      </c>
      <c r="G4069" s="13" t="s">
        <v>1709</v>
      </c>
    </row>
    <row r="4070" spans="1:7">
      <c r="A4070" s="15" t="s">
        <v>1711</v>
      </c>
      <c r="B4070" s="13">
        <v>0.2</v>
      </c>
      <c r="C4070" s="16">
        <v>2.6819999999999999</v>
      </c>
      <c r="D4070" s="13" t="s">
        <v>1712</v>
      </c>
      <c r="E4070" s="12" t="s">
        <v>1713</v>
      </c>
      <c r="F4070" s="12" t="s">
        <v>1714</v>
      </c>
      <c r="G4070" s="13" t="s">
        <v>1709</v>
      </c>
    </row>
    <row r="4071" spans="1:7">
      <c r="A4071" s="15" t="s">
        <v>1711</v>
      </c>
      <c r="B4071" s="13">
        <v>0.2</v>
      </c>
      <c r="C4071" s="16">
        <v>2.6819999999999999</v>
      </c>
      <c r="D4071" s="13" t="s">
        <v>1712</v>
      </c>
      <c r="E4071" s="12" t="s">
        <v>1713</v>
      </c>
      <c r="F4071" s="12" t="s">
        <v>1714</v>
      </c>
      <c r="G4071" s="13" t="s">
        <v>1709</v>
      </c>
    </row>
    <row r="4072" spans="1:7">
      <c r="A4072" s="15" t="s">
        <v>1711</v>
      </c>
      <c r="B4072" s="13">
        <v>0.2</v>
      </c>
      <c r="C4072" s="16">
        <v>2.6819999999999999</v>
      </c>
      <c r="D4072" s="13" t="s">
        <v>1712</v>
      </c>
      <c r="E4072" s="12" t="s">
        <v>1713</v>
      </c>
      <c r="F4072" s="12" t="s">
        <v>1714</v>
      </c>
      <c r="G4072" s="13" t="s">
        <v>1709</v>
      </c>
    </row>
    <row r="4073" spans="1:7">
      <c r="A4073" s="15" t="s">
        <v>1711</v>
      </c>
      <c r="B4073" s="13">
        <v>0.2</v>
      </c>
      <c r="C4073" s="16">
        <v>2.6819999999999999</v>
      </c>
      <c r="D4073" s="13" t="s">
        <v>1712</v>
      </c>
      <c r="E4073" s="12" t="s">
        <v>1713</v>
      </c>
      <c r="F4073" s="12" t="s">
        <v>1714</v>
      </c>
      <c r="G4073" s="13" t="s">
        <v>1709</v>
      </c>
    </row>
    <row r="4074" spans="1:7">
      <c r="A4074" s="15" t="s">
        <v>1711</v>
      </c>
      <c r="B4074" s="13">
        <v>0.2</v>
      </c>
      <c r="C4074" s="16">
        <v>2.6819999999999999</v>
      </c>
      <c r="D4074" s="13" t="s">
        <v>1712</v>
      </c>
      <c r="E4074" s="12" t="s">
        <v>1713</v>
      </c>
      <c r="F4074" s="12" t="s">
        <v>1714</v>
      </c>
      <c r="G4074" s="13" t="s">
        <v>1709</v>
      </c>
    </row>
    <row r="4075" spans="1:7">
      <c r="A4075" s="15" t="s">
        <v>1711</v>
      </c>
      <c r="B4075" s="13">
        <v>0.2</v>
      </c>
      <c r="C4075" s="16">
        <v>2.6819999999999999</v>
      </c>
      <c r="D4075" s="13" t="s">
        <v>1712</v>
      </c>
      <c r="E4075" s="12" t="s">
        <v>1713</v>
      </c>
      <c r="F4075" s="12" t="s">
        <v>1714</v>
      </c>
      <c r="G4075" s="13" t="s">
        <v>1709</v>
      </c>
    </row>
    <row r="4076" spans="1:7">
      <c r="A4076" s="15" t="s">
        <v>1711</v>
      </c>
      <c r="B4076" s="13">
        <v>0.2</v>
      </c>
      <c r="C4076" s="16">
        <v>2.6819999999999999</v>
      </c>
      <c r="D4076" s="13" t="s">
        <v>1712</v>
      </c>
      <c r="E4076" s="12" t="s">
        <v>1713</v>
      </c>
      <c r="F4076" s="12" t="s">
        <v>1714</v>
      </c>
      <c r="G4076" s="13" t="s">
        <v>1709</v>
      </c>
    </row>
    <row r="4077" spans="1:7">
      <c r="A4077" s="15" t="s">
        <v>1711</v>
      </c>
      <c r="B4077" s="13">
        <v>0.2</v>
      </c>
      <c r="C4077" s="16">
        <v>2.6819999999999999</v>
      </c>
      <c r="D4077" s="13" t="s">
        <v>1712</v>
      </c>
      <c r="E4077" s="12" t="s">
        <v>1713</v>
      </c>
      <c r="F4077" s="12" t="s">
        <v>1714</v>
      </c>
      <c r="G4077" s="13" t="s">
        <v>1709</v>
      </c>
    </row>
    <row r="4078" spans="1:7">
      <c r="A4078" s="15" t="s">
        <v>1711</v>
      </c>
      <c r="B4078" s="13">
        <v>0.2</v>
      </c>
      <c r="C4078" s="16">
        <v>2.6819999999999999</v>
      </c>
      <c r="D4078" s="13" t="s">
        <v>1712</v>
      </c>
      <c r="E4078" s="12" t="s">
        <v>1713</v>
      </c>
      <c r="F4078" s="12" t="s">
        <v>1714</v>
      </c>
      <c r="G4078" s="13" t="s">
        <v>1709</v>
      </c>
    </row>
    <row r="4079" spans="1:7">
      <c r="A4079" s="15" t="s">
        <v>1711</v>
      </c>
      <c r="B4079" s="13">
        <v>0.2</v>
      </c>
      <c r="C4079" s="16">
        <v>2.6819999999999999</v>
      </c>
      <c r="D4079" s="13" t="s">
        <v>1712</v>
      </c>
      <c r="E4079" s="12" t="s">
        <v>1713</v>
      </c>
      <c r="F4079" s="12" t="s">
        <v>1714</v>
      </c>
      <c r="G4079" s="13" t="s">
        <v>1709</v>
      </c>
    </row>
    <row r="4080" spans="1:7">
      <c r="A4080" s="15" t="s">
        <v>1711</v>
      </c>
      <c r="B4080" s="13">
        <v>0.2</v>
      </c>
      <c r="C4080" s="16">
        <v>-4.3999999999999997E-2</v>
      </c>
      <c r="D4080" s="13" t="s">
        <v>1709</v>
      </c>
      <c r="E4080" s="12" t="s">
        <v>1710</v>
      </c>
      <c r="F4080" s="12" t="s">
        <v>1710</v>
      </c>
      <c r="G4080" s="13" t="s">
        <v>1709</v>
      </c>
    </row>
    <row r="4081" spans="1:7">
      <c r="A4081" s="15" t="s">
        <v>1711</v>
      </c>
      <c r="B4081" s="13">
        <v>0.2</v>
      </c>
      <c r="C4081" s="16">
        <v>-4.3999999999999997E-2</v>
      </c>
      <c r="D4081" s="13" t="s">
        <v>1709</v>
      </c>
      <c r="E4081" s="12" t="s">
        <v>1710</v>
      </c>
      <c r="F4081" s="12" t="s">
        <v>1710</v>
      </c>
      <c r="G4081" s="13" t="s">
        <v>1709</v>
      </c>
    </row>
    <row r="4082" spans="1:7">
      <c r="A4082" s="15" t="s">
        <v>1711</v>
      </c>
      <c r="B4082" s="13">
        <v>0.2</v>
      </c>
      <c r="C4082" s="16">
        <v>-4.3999999999999997E-2</v>
      </c>
      <c r="D4082" s="13" t="s">
        <v>1709</v>
      </c>
      <c r="E4082" s="12" t="s">
        <v>1710</v>
      </c>
      <c r="F4082" s="12" t="s">
        <v>1710</v>
      </c>
      <c r="G4082" s="13" t="s">
        <v>1709</v>
      </c>
    </row>
    <row r="4083" spans="1:7">
      <c r="A4083" s="15" t="s">
        <v>1711</v>
      </c>
      <c r="B4083" s="13">
        <v>0.2</v>
      </c>
      <c r="C4083" s="16">
        <v>-4.2000000000000003E-2</v>
      </c>
      <c r="D4083" s="13" t="s">
        <v>1709</v>
      </c>
      <c r="E4083" s="12" t="s">
        <v>1710</v>
      </c>
      <c r="F4083" s="12" t="s">
        <v>1710</v>
      </c>
      <c r="G4083" s="13" t="s">
        <v>1709</v>
      </c>
    </row>
    <row r="4084" spans="1:7">
      <c r="A4084" s="15" t="s">
        <v>1711</v>
      </c>
      <c r="B4084" s="13">
        <v>0.2</v>
      </c>
      <c r="C4084" s="16">
        <v>-4.2000000000000003E-2</v>
      </c>
      <c r="D4084" s="13" t="s">
        <v>1709</v>
      </c>
      <c r="E4084" s="12" t="s">
        <v>1710</v>
      </c>
      <c r="F4084" s="12" t="s">
        <v>1710</v>
      </c>
      <c r="G4084" s="13" t="s">
        <v>1709</v>
      </c>
    </row>
    <row r="4085" spans="1:7">
      <c r="A4085" s="15" t="s">
        <v>1711</v>
      </c>
      <c r="B4085" s="13">
        <v>0.2</v>
      </c>
      <c r="C4085" s="16">
        <v>-6.0999999999999999E-2</v>
      </c>
      <c r="D4085" s="13" t="s">
        <v>1709</v>
      </c>
      <c r="E4085" s="12" t="s">
        <v>1710</v>
      </c>
      <c r="F4085" s="12" t="s">
        <v>1710</v>
      </c>
      <c r="G4085" s="13" t="s">
        <v>1709</v>
      </c>
    </row>
    <row r="4086" spans="1:7">
      <c r="A4086" s="15" t="s">
        <v>1711</v>
      </c>
      <c r="B4086" s="13">
        <v>0.2</v>
      </c>
      <c r="C4086" s="16">
        <v>0.53700000000000003</v>
      </c>
      <c r="D4086" s="13" t="s">
        <v>1712</v>
      </c>
      <c r="E4086" s="12" t="s">
        <v>1713</v>
      </c>
      <c r="F4086" s="12" t="s">
        <v>1714</v>
      </c>
      <c r="G4086" s="13" t="s">
        <v>1709</v>
      </c>
    </row>
    <row r="4087" spans="1:7">
      <c r="A4087" s="15" t="s">
        <v>1711</v>
      </c>
      <c r="B4087" s="13">
        <v>0.2</v>
      </c>
      <c r="C4087" s="16">
        <v>0.53700000000000003</v>
      </c>
      <c r="D4087" s="13" t="s">
        <v>1712</v>
      </c>
      <c r="E4087" s="12" t="s">
        <v>1713</v>
      </c>
      <c r="F4087" s="12" t="s">
        <v>1714</v>
      </c>
      <c r="G4087" s="13" t="s">
        <v>1709</v>
      </c>
    </row>
    <row r="4088" spans="1:7">
      <c r="A4088" s="15" t="s">
        <v>1711</v>
      </c>
      <c r="B4088" s="13">
        <v>0.2</v>
      </c>
      <c r="C4088" s="16">
        <v>0.40600000000000003</v>
      </c>
      <c r="D4088" s="13" t="s">
        <v>1712</v>
      </c>
      <c r="E4088" s="11" t="s">
        <v>1738</v>
      </c>
      <c r="F4088" s="12" t="s">
        <v>1714</v>
      </c>
      <c r="G4088" s="13" t="s">
        <v>1709</v>
      </c>
    </row>
    <row r="4089" spans="1:7">
      <c r="A4089" s="15" t="s">
        <v>1711</v>
      </c>
      <c r="B4089" s="13">
        <v>0.2</v>
      </c>
      <c r="C4089" s="16">
        <v>1.607</v>
      </c>
      <c r="D4089" s="13" t="s">
        <v>1712</v>
      </c>
      <c r="E4089" s="11" t="s">
        <v>1738</v>
      </c>
      <c r="F4089" s="12" t="s">
        <v>1714</v>
      </c>
      <c r="G4089" s="13" t="s">
        <v>1709</v>
      </c>
    </row>
    <row r="4090" spans="1:7">
      <c r="A4090" s="15" t="s">
        <v>1711</v>
      </c>
      <c r="B4090" s="13">
        <v>0.2</v>
      </c>
      <c r="C4090" s="16">
        <v>0.17499999999999999</v>
      </c>
      <c r="D4090" s="13" t="s">
        <v>1712</v>
      </c>
      <c r="E4090" s="11" t="s">
        <v>1738</v>
      </c>
      <c r="F4090" s="12" t="s">
        <v>1714</v>
      </c>
      <c r="G4090" s="13" t="s">
        <v>1709</v>
      </c>
    </row>
    <row r="4091" spans="1:7">
      <c r="A4091" s="15" t="s">
        <v>1711</v>
      </c>
      <c r="B4091" s="13">
        <v>0.2</v>
      </c>
      <c r="C4091" s="16">
        <v>0.254</v>
      </c>
      <c r="D4091" s="13" t="s">
        <v>1712</v>
      </c>
      <c r="E4091" s="11" t="s">
        <v>1738</v>
      </c>
      <c r="F4091" s="12" t="s">
        <v>1714</v>
      </c>
      <c r="G4091" s="13" t="s">
        <v>1709</v>
      </c>
    </row>
    <row r="4092" spans="1:7">
      <c r="A4092" s="15" t="s">
        <v>1711</v>
      </c>
      <c r="B4092" s="13">
        <v>0.2</v>
      </c>
      <c r="C4092" s="16">
        <v>0.54700000000000004</v>
      </c>
      <c r="D4092" s="13" t="s">
        <v>1712</v>
      </c>
      <c r="E4092" s="11" t="s">
        <v>1738</v>
      </c>
      <c r="F4092" s="12" t="s">
        <v>1714</v>
      </c>
      <c r="G4092" s="13" t="s">
        <v>1709</v>
      </c>
    </row>
    <row r="4093" spans="1:7">
      <c r="A4093" s="15" t="s">
        <v>1711</v>
      </c>
      <c r="B4093" s="13">
        <v>0.2</v>
      </c>
      <c r="C4093" s="16">
        <v>0.54700000000000004</v>
      </c>
      <c r="D4093" s="13" t="s">
        <v>1712</v>
      </c>
      <c r="E4093" s="11" t="s">
        <v>1738</v>
      </c>
      <c r="F4093" s="12" t="s">
        <v>1714</v>
      </c>
      <c r="G4093" s="13" t="s">
        <v>1709</v>
      </c>
    </row>
    <row r="4094" spans="1:7">
      <c r="A4094" s="15" t="s">
        <v>1711</v>
      </c>
      <c r="B4094" s="13">
        <v>0.2</v>
      </c>
      <c r="C4094" s="16">
        <v>-0.14599999999999999</v>
      </c>
      <c r="D4094" s="13" t="s">
        <v>1709</v>
      </c>
      <c r="E4094" s="12" t="s">
        <v>1710</v>
      </c>
      <c r="F4094" s="12" t="s">
        <v>1710</v>
      </c>
      <c r="G4094" s="13" t="s">
        <v>1709</v>
      </c>
    </row>
    <row r="4095" spans="1:7">
      <c r="A4095" s="15" t="s">
        <v>1711</v>
      </c>
      <c r="B4095" s="13">
        <v>0.2</v>
      </c>
      <c r="C4095" s="16">
        <v>-0.14599999999999999</v>
      </c>
      <c r="D4095" s="13" t="s">
        <v>1709</v>
      </c>
      <c r="E4095" s="12" t="s">
        <v>1710</v>
      </c>
      <c r="F4095" s="12" t="s">
        <v>1710</v>
      </c>
      <c r="G4095" s="13" t="s">
        <v>1709</v>
      </c>
    </row>
    <row r="4096" spans="1:7">
      <c r="A4096" s="15" t="s">
        <v>1711</v>
      </c>
      <c r="B4096" s="13">
        <v>0.2</v>
      </c>
      <c r="C4096" s="16">
        <v>0.40600000000000003</v>
      </c>
      <c r="D4096" s="13" t="s">
        <v>1712</v>
      </c>
      <c r="E4096" s="11" t="s">
        <v>1738</v>
      </c>
      <c r="F4096" s="12" t="s">
        <v>1714</v>
      </c>
      <c r="G4096" s="13" t="s">
        <v>1709</v>
      </c>
    </row>
    <row r="4097" spans="1:7">
      <c r="A4097" s="15" t="s">
        <v>1711</v>
      </c>
      <c r="B4097" s="13">
        <v>0.2</v>
      </c>
      <c r="C4097" s="16">
        <v>0.40600000000000003</v>
      </c>
      <c r="D4097" s="13" t="s">
        <v>1712</v>
      </c>
      <c r="E4097" s="11" t="s">
        <v>1738</v>
      </c>
      <c r="F4097" s="12" t="s">
        <v>1714</v>
      </c>
      <c r="G4097" s="13" t="s">
        <v>1709</v>
      </c>
    </row>
    <row r="4098" spans="1:7">
      <c r="A4098" s="15" t="s">
        <v>1711</v>
      </c>
      <c r="B4098" s="13">
        <v>0.2</v>
      </c>
      <c r="C4098" s="16">
        <v>1.607</v>
      </c>
      <c r="D4098" s="13" t="s">
        <v>1712</v>
      </c>
      <c r="E4098" s="11" t="s">
        <v>1738</v>
      </c>
      <c r="F4098" s="12" t="s">
        <v>1714</v>
      </c>
      <c r="G4098" s="13" t="s">
        <v>1709</v>
      </c>
    </row>
    <row r="4099" spans="1:7">
      <c r="A4099" s="15" t="s">
        <v>1711</v>
      </c>
      <c r="B4099" s="13">
        <v>0.2</v>
      </c>
      <c r="C4099" s="16">
        <v>1.8659999999999999</v>
      </c>
      <c r="D4099" s="13" t="s">
        <v>1712</v>
      </c>
      <c r="E4099" s="11" t="s">
        <v>1738</v>
      </c>
      <c r="F4099" s="12" t="s">
        <v>1714</v>
      </c>
      <c r="G4099" s="13" t="s">
        <v>1709</v>
      </c>
    </row>
    <row r="4100" spans="1:7">
      <c r="A4100" s="15" t="s">
        <v>1711</v>
      </c>
      <c r="B4100" s="13">
        <v>0.2</v>
      </c>
      <c r="C4100" s="16">
        <v>1.8659999999999999</v>
      </c>
      <c r="D4100" s="13" t="s">
        <v>1712</v>
      </c>
      <c r="E4100" s="11" t="s">
        <v>1738</v>
      </c>
      <c r="F4100" s="12" t="s">
        <v>1714</v>
      </c>
      <c r="G4100" s="13" t="s">
        <v>1709</v>
      </c>
    </row>
    <row r="4101" spans="1:7">
      <c r="A4101" s="15" t="s">
        <v>1711</v>
      </c>
      <c r="B4101" s="13">
        <v>0.2</v>
      </c>
      <c r="C4101" s="16">
        <v>1.8659999999999999</v>
      </c>
      <c r="D4101" s="13" t="s">
        <v>1712</v>
      </c>
      <c r="E4101" s="11" t="s">
        <v>1738</v>
      </c>
      <c r="F4101" s="12" t="s">
        <v>1714</v>
      </c>
      <c r="G4101" s="13" t="s">
        <v>1709</v>
      </c>
    </row>
    <row r="4102" spans="1:7">
      <c r="A4102" s="15" t="s">
        <v>1711</v>
      </c>
      <c r="B4102" s="13">
        <v>0.2</v>
      </c>
      <c r="C4102" s="16">
        <v>1.8659999999999999</v>
      </c>
      <c r="D4102" s="13" t="s">
        <v>1712</v>
      </c>
      <c r="E4102" s="11" t="s">
        <v>1738</v>
      </c>
      <c r="F4102" s="12" t="s">
        <v>1714</v>
      </c>
      <c r="G4102" s="13" t="s">
        <v>1709</v>
      </c>
    </row>
    <row r="4103" spans="1:7">
      <c r="A4103" s="15" t="s">
        <v>1711</v>
      </c>
      <c r="B4103" s="13">
        <v>0.2</v>
      </c>
      <c r="C4103" s="16">
        <v>-3.0000000000000002E-2</v>
      </c>
      <c r="D4103" s="13" t="s">
        <v>1709</v>
      </c>
      <c r="E4103" s="12" t="s">
        <v>1710</v>
      </c>
      <c r="F4103" s="12" t="s">
        <v>1710</v>
      </c>
      <c r="G4103" s="13" t="s">
        <v>1709</v>
      </c>
    </row>
    <row r="4104" spans="1:7">
      <c r="A4104" s="15" t="s">
        <v>1711</v>
      </c>
      <c r="B4104" s="13">
        <v>0.2</v>
      </c>
      <c r="C4104" s="16">
        <v>0.52200000000000002</v>
      </c>
      <c r="D4104" s="13" t="s">
        <v>1712</v>
      </c>
      <c r="E4104" s="12" t="s">
        <v>1713</v>
      </c>
      <c r="F4104" s="12" t="s">
        <v>1714</v>
      </c>
      <c r="G4104" s="13" t="s">
        <v>1709</v>
      </c>
    </row>
    <row r="4105" spans="1:7">
      <c r="A4105" s="15" t="s">
        <v>1711</v>
      </c>
      <c r="B4105" s="13">
        <v>0.2</v>
      </c>
      <c r="C4105" s="16">
        <v>0.52200000000000002</v>
      </c>
      <c r="D4105" s="13" t="s">
        <v>1712</v>
      </c>
      <c r="E4105" s="12" t="s">
        <v>1713</v>
      </c>
      <c r="F4105" s="12" t="s">
        <v>1714</v>
      </c>
      <c r="G4105" s="13" t="s">
        <v>1709</v>
      </c>
    </row>
    <row r="4106" spans="1:7">
      <c r="A4106" s="15" t="s">
        <v>1711</v>
      </c>
      <c r="B4106" s="13">
        <v>0.2</v>
      </c>
      <c r="C4106" s="16">
        <v>1.8659999999999999</v>
      </c>
      <c r="D4106" s="13" t="s">
        <v>1712</v>
      </c>
      <c r="E4106" s="11" t="s">
        <v>1738</v>
      </c>
      <c r="F4106" s="12" t="s">
        <v>1714</v>
      </c>
      <c r="G4106" s="13" t="s">
        <v>1709</v>
      </c>
    </row>
    <row r="4107" spans="1:7">
      <c r="A4107" s="15" t="s">
        <v>1711</v>
      </c>
      <c r="B4107" s="13">
        <v>0.2</v>
      </c>
      <c r="C4107" s="16">
        <v>1.8659999999999999</v>
      </c>
      <c r="D4107" s="13" t="s">
        <v>1712</v>
      </c>
      <c r="E4107" s="11" t="s">
        <v>1738</v>
      </c>
      <c r="F4107" s="12" t="s">
        <v>1714</v>
      </c>
      <c r="G4107" s="13" t="s">
        <v>1709</v>
      </c>
    </row>
    <row r="4108" spans="1:7">
      <c r="A4108" s="15" t="s">
        <v>1711</v>
      </c>
      <c r="B4108" s="13">
        <v>0.2</v>
      </c>
      <c r="C4108" s="16">
        <v>1.8659999999999999</v>
      </c>
      <c r="D4108" s="13" t="s">
        <v>1712</v>
      </c>
      <c r="E4108" s="11" t="s">
        <v>1738</v>
      </c>
      <c r="F4108" s="12" t="s">
        <v>1714</v>
      </c>
      <c r="G4108" s="13" t="s">
        <v>1709</v>
      </c>
    </row>
    <row r="4109" spans="1:7">
      <c r="A4109" s="15" t="s">
        <v>1711</v>
      </c>
      <c r="B4109" s="13">
        <v>0.2</v>
      </c>
      <c r="C4109" s="16">
        <v>1.8659999999999999</v>
      </c>
      <c r="D4109" s="13" t="s">
        <v>1712</v>
      </c>
      <c r="E4109" s="11" t="s">
        <v>1738</v>
      </c>
      <c r="F4109" s="12" t="s">
        <v>1714</v>
      </c>
      <c r="G4109" s="13" t="s">
        <v>1709</v>
      </c>
    </row>
    <row r="4110" spans="1:7">
      <c r="A4110" s="15" t="s">
        <v>1711</v>
      </c>
      <c r="B4110" s="13">
        <v>0.2</v>
      </c>
      <c r="C4110" s="16">
        <v>1.8659999999999999</v>
      </c>
      <c r="D4110" s="13" t="s">
        <v>1712</v>
      </c>
      <c r="E4110" s="11" t="s">
        <v>1738</v>
      </c>
      <c r="F4110" s="12" t="s">
        <v>1714</v>
      </c>
      <c r="G4110" s="13" t="s">
        <v>1709</v>
      </c>
    </row>
    <row r="4111" spans="1:7">
      <c r="A4111" s="15" t="s">
        <v>1711</v>
      </c>
      <c r="B4111" s="13">
        <v>0.2</v>
      </c>
      <c r="C4111" s="16">
        <v>1.8659999999999999</v>
      </c>
      <c r="D4111" s="13" t="s">
        <v>1712</v>
      </c>
      <c r="E4111" s="11" t="s">
        <v>1738</v>
      </c>
      <c r="F4111" s="12" t="s">
        <v>1714</v>
      </c>
      <c r="G4111" s="13" t="s">
        <v>1709</v>
      </c>
    </row>
    <row r="4112" spans="1:7">
      <c r="A4112" s="15" t="s">
        <v>1711</v>
      </c>
      <c r="B4112" s="13">
        <v>0.2</v>
      </c>
      <c r="C4112" s="16">
        <v>0.17799999999999999</v>
      </c>
      <c r="D4112" s="13" t="s">
        <v>1712</v>
      </c>
      <c r="E4112" s="11" t="s">
        <v>1738</v>
      </c>
      <c r="F4112" s="12" t="s">
        <v>1714</v>
      </c>
      <c r="G4112" s="13" t="s">
        <v>1709</v>
      </c>
    </row>
    <row r="4113" spans="1:7">
      <c r="A4113" s="15" t="s">
        <v>1711</v>
      </c>
      <c r="B4113" s="13">
        <v>0.2</v>
      </c>
      <c r="C4113" s="16">
        <v>0.17799999999999999</v>
      </c>
      <c r="D4113" s="13" t="s">
        <v>1712</v>
      </c>
      <c r="E4113" s="11" t="s">
        <v>1738</v>
      </c>
      <c r="F4113" s="12" t="s">
        <v>1714</v>
      </c>
      <c r="G4113" s="13" t="s">
        <v>1709</v>
      </c>
    </row>
    <row r="4114" spans="1:7">
      <c r="A4114" s="15" t="s">
        <v>1711</v>
      </c>
      <c r="B4114" s="13">
        <v>0.2</v>
      </c>
      <c r="C4114" s="16">
        <v>0.17799999999999999</v>
      </c>
      <c r="D4114" s="13" t="s">
        <v>1712</v>
      </c>
      <c r="E4114" s="11" t="s">
        <v>1738</v>
      </c>
      <c r="F4114" s="12" t="s">
        <v>1714</v>
      </c>
      <c r="G4114" s="13" t="s">
        <v>1709</v>
      </c>
    </row>
    <row r="4115" spans="1:7">
      <c r="A4115" s="15" t="s">
        <v>1711</v>
      </c>
      <c r="B4115" s="13">
        <v>0.2</v>
      </c>
      <c r="C4115" s="16">
        <v>0.86899999999999999</v>
      </c>
      <c r="D4115" s="13" t="s">
        <v>1712</v>
      </c>
      <c r="E4115" s="11" t="s">
        <v>1738</v>
      </c>
      <c r="F4115" s="12" t="s">
        <v>1714</v>
      </c>
      <c r="G4115" s="13" t="s">
        <v>1709</v>
      </c>
    </row>
    <row r="4116" spans="1:7">
      <c r="A4116" s="15" t="s">
        <v>1711</v>
      </c>
      <c r="B4116" s="13">
        <v>0.2</v>
      </c>
      <c r="C4116" s="16">
        <v>-3.9E-2</v>
      </c>
      <c r="D4116" s="13" t="s">
        <v>1709</v>
      </c>
      <c r="E4116" s="12" t="s">
        <v>1710</v>
      </c>
      <c r="F4116" s="12" t="s">
        <v>1710</v>
      </c>
      <c r="G4116" s="13" t="s">
        <v>1709</v>
      </c>
    </row>
    <row r="4117" spans="1:7">
      <c r="A4117" s="15" t="s">
        <v>1711</v>
      </c>
      <c r="B4117" s="13">
        <v>0.2</v>
      </c>
      <c r="C4117" s="16">
        <v>0.96</v>
      </c>
      <c r="D4117" s="13" t="s">
        <v>1712</v>
      </c>
      <c r="E4117" s="11" t="s">
        <v>1738</v>
      </c>
      <c r="F4117" s="12" t="s">
        <v>1714</v>
      </c>
      <c r="G4117" s="13" t="s">
        <v>1709</v>
      </c>
    </row>
    <row r="4118" spans="1:7">
      <c r="A4118" s="15" t="s">
        <v>1711</v>
      </c>
      <c r="B4118" s="13">
        <v>0.2</v>
      </c>
      <c r="C4118" s="16">
        <v>0.96</v>
      </c>
      <c r="D4118" s="13" t="s">
        <v>1712</v>
      </c>
      <c r="E4118" s="11" t="s">
        <v>1738</v>
      </c>
      <c r="F4118" s="12" t="s">
        <v>1714</v>
      </c>
      <c r="G4118" s="13" t="s">
        <v>1709</v>
      </c>
    </row>
    <row r="4119" spans="1:7">
      <c r="A4119" s="15" t="s">
        <v>1711</v>
      </c>
      <c r="B4119" s="13">
        <v>0.2</v>
      </c>
      <c r="C4119" s="16">
        <v>0.96</v>
      </c>
      <c r="D4119" s="13" t="s">
        <v>1712</v>
      </c>
      <c r="E4119" s="11" t="s">
        <v>1738</v>
      </c>
      <c r="F4119" s="12" t="s">
        <v>1714</v>
      </c>
      <c r="G4119" s="13" t="s">
        <v>1709</v>
      </c>
    </row>
    <row r="4120" spans="1:7">
      <c r="A4120" s="15" t="s">
        <v>1711</v>
      </c>
      <c r="B4120" s="13">
        <v>0.2</v>
      </c>
      <c r="C4120" s="16">
        <v>0.96</v>
      </c>
      <c r="D4120" s="13" t="s">
        <v>1712</v>
      </c>
      <c r="E4120" s="11" t="s">
        <v>1738</v>
      </c>
      <c r="F4120" s="12" t="s">
        <v>1714</v>
      </c>
      <c r="G4120" s="13" t="s">
        <v>1709</v>
      </c>
    </row>
    <row r="4121" spans="1:7">
      <c r="A4121" s="15" t="s">
        <v>1711</v>
      </c>
      <c r="B4121" s="13">
        <v>0.2</v>
      </c>
      <c r="C4121" s="16">
        <v>0.96</v>
      </c>
      <c r="D4121" s="13" t="s">
        <v>1712</v>
      </c>
      <c r="E4121" s="11" t="s">
        <v>1738</v>
      </c>
      <c r="F4121" s="12" t="s">
        <v>1714</v>
      </c>
      <c r="G4121" s="13" t="s">
        <v>1709</v>
      </c>
    </row>
    <row r="4122" spans="1:7">
      <c r="A4122" s="15" t="s">
        <v>1711</v>
      </c>
      <c r="B4122" s="13">
        <v>0.2</v>
      </c>
      <c r="C4122" s="16">
        <v>0.96</v>
      </c>
      <c r="D4122" s="13" t="s">
        <v>1712</v>
      </c>
      <c r="E4122" s="11" t="s">
        <v>1738</v>
      </c>
      <c r="F4122" s="12" t="s">
        <v>1714</v>
      </c>
      <c r="G4122" s="13" t="s">
        <v>1709</v>
      </c>
    </row>
    <row r="4123" spans="1:7">
      <c r="A4123" s="15" t="s">
        <v>1711</v>
      </c>
      <c r="B4123" s="13">
        <v>0.2</v>
      </c>
      <c r="C4123" s="16">
        <v>0.224</v>
      </c>
      <c r="D4123" s="13" t="s">
        <v>1712</v>
      </c>
      <c r="E4123" s="11" t="s">
        <v>1738</v>
      </c>
      <c r="F4123" s="12" t="s">
        <v>1714</v>
      </c>
      <c r="G4123" s="13" t="s">
        <v>1709</v>
      </c>
    </row>
    <row r="4124" spans="1:7">
      <c r="A4124" s="15" t="s">
        <v>1711</v>
      </c>
      <c r="B4124" s="13">
        <v>0.2</v>
      </c>
      <c r="C4124" s="16">
        <v>0.23200000000000001</v>
      </c>
      <c r="D4124" s="13" t="s">
        <v>1712</v>
      </c>
      <c r="E4124" s="11" t="s">
        <v>1738</v>
      </c>
      <c r="F4124" s="12" t="s">
        <v>1714</v>
      </c>
      <c r="G4124" s="13" t="s">
        <v>1709</v>
      </c>
    </row>
    <row r="4125" spans="1:7">
      <c r="A4125" s="15" t="s">
        <v>1711</v>
      </c>
      <c r="B4125" s="13">
        <v>0.2</v>
      </c>
      <c r="C4125" s="16">
        <v>0.23200000000000001</v>
      </c>
      <c r="D4125" s="13" t="s">
        <v>1712</v>
      </c>
      <c r="E4125" s="11" t="s">
        <v>1738</v>
      </c>
      <c r="F4125" s="12" t="s">
        <v>1714</v>
      </c>
      <c r="G4125" s="13" t="s">
        <v>1709</v>
      </c>
    </row>
    <row r="4126" spans="1:7">
      <c r="A4126" s="15" t="s">
        <v>1711</v>
      </c>
      <c r="B4126" s="13">
        <v>0.2</v>
      </c>
      <c r="C4126" s="16">
        <v>0.98299999999999998</v>
      </c>
      <c r="D4126" s="13" t="s">
        <v>1712</v>
      </c>
      <c r="E4126" s="11" t="s">
        <v>1738</v>
      </c>
      <c r="F4126" s="12" t="s">
        <v>1714</v>
      </c>
      <c r="G4126" s="13" t="s">
        <v>1709</v>
      </c>
    </row>
    <row r="4127" spans="1:7">
      <c r="A4127" s="15" t="s">
        <v>1711</v>
      </c>
      <c r="B4127" s="13">
        <v>0.2</v>
      </c>
      <c r="C4127" s="16">
        <v>1.4999999999999999E-2</v>
      </c>
      <c r="D4127" s="13" t="s">
        <v>1712</v>
      </c>
      <c r="E4127" s="11" t="s">
        <v>1738</v>
      </c>
      <c r="F4127" s="12" t="s">
        <v>1714</v>
      </c>
      <c r="G4127" s="13" t="s">
        <v>1709</v>
      </c>
    </row>
    <row r="4128" spans="1:7">
      <c r="A4128" s="15" t="s">
        <v>1711</v>
      </c>
      <c r="B4128" s="13">
        <v>0.2</v>
      </c>
      <c r="C4128" s="16">
        <v>1.4999999999999999E-2</v>
      </c>
      <c r="D4128" s="13" t="s">
        <v>1712</v>
      </c>
      <c r="E4128" s="11" t="s">
        <v>1738</v>
      </c>
      <c r="F4128" s="12" t="s">
        <v>1714</v>
      </c>
      <c r="G4128" s="13" t="s">
        <v>1709</v>
      </c>
    </row>
    <row r="4129" spans="1:7">
      <c r="A4129" s="15" t="s">
        <v>1711</v>
      </c>
      <c r="B4129" s="13">
        <v>0.2</v>
      </c>
      <c r="C4129" s="16">
        <v>0.23899999999999999</v>
      </c>
      <c r="D4129" s="13" t="s">
        <v>1712</v>
      </c>
      <c r="E4129" s="11" t="s">
        <v>1738</v>
      </c>
      <c r="F4129" s="12" t="s">
        <v>1714</v>
      </c>
      <c r="G4129" s="13" t="s">
        <v>1709</v>
      </c>
    </row>
    <row r="4130" spans="1:7">
      <c r="A4130" s="15" t="s">
        <v>1711</v>
      </c>
      <c r="B4130" s="13">
        <v>0.2</v>
      </c>
      <c r="C4130" s="16">
        <v>1.21</v>
      </c>
      <c r="D4130" s="13" t="s">
        <v>1712</v>
      </c>
      <c r="E4130" s="11" t="s">
        <v>1738</v>
      </c>
      <c r="F4130" s="12" t="s">
        <v>1714</v>
      </c>
      <c r="G4130" s="13" t="s">
        <v>1709</v>
      </c>
    </row>
    <row r="4131" spans="1:7">
      <c r="A4131" s="15" t="s">
        <v>1711</v>
      </c>
      <c r="B4131" s="13">
        <v>0.2</v>
      </c>
      <c r="C4131" s="16">
        <v>1.21</v>
      </c>
      <c r="D4131" s="13" t="s">
        <v>1712</v>
      </c>
      <c r="E4131" s="11" t="s">
        <v>1738</v>
      </c>
      <c r="F4131" s="12" t="s">
        <v>1714</v>
      </c>
      <c r="G4131" s="13" t="s">
        <v>1709</v>
      </c>
    </row>
    <row r="4132" spans="1:7">
      <c r="A4132" s="15" t="s">
        <v>1711</v>
      </c>
      <c r="B4132" s="13">
        <v>0.2</v>
      </c>
      <c r="C4132" s="16">
        <v>1.8059999999999998</v>
      </c>
      <c r="D4132" s="13" t="s">
        <v>1712</v>
      </c>
      <c r="E4132" s="11" t="s">
        <v>1738</v>
      </c>
      <c r="F4132" s="12" t="s">
        <v>1714</v>
      </c>
      <c r="G4132" s="13" t="s">
        <v>1709</v>
      </c>
    </row>
    <row r="4133" spans="1:7">
      <c r="A4133" s="15" t="s">
        <v>1711</v>
      </c>
      <c r="B4133" s="13">
        <v>0.2</v>
      </c>
      <c r="C4133" s="16">
        <v>0.19600000000000001</v>
      </c>
      <c r="D4133" s="13" t="s">
        <v>1712</v>
      </c>
      <c r="E4133" s="12" t="s">
        <v>1713</v>
      </c>
      <c r="F4133" s="12" t="s">
        <v>1714</v>
      </c>
      <c r="G4133" s="13" t="s">
        <v>1709</v>
      </c>
    </row>
    <row r="4134" spans="1:7">
      <c r="A4134" s="15" t="s">
        <v>1711</v>
      </c>
      <c r="B4134" s="13">
        <v>0.2</v>
      </c>
      <c r="C4134" s="16">
        <v>0.17499999999999999</v>
      </c>
      <c r="D4134" s="13" t="s">
        <v>1712</v>
      </c>
      <c r="E4134" s="12" t="s">
        <v>1713</v>
      </c>
      <c r="F4134" s="12" t="s">
        <v>1714</v>
      </c>
      <c r="G4134" s="13" t="s">
        <v>1709</v>
      </c>
    </row>
    <row r="4135" spans="1:7">
      <c r="A4135" s="15" t="s">
        <v>1711</v>
      </c>
      <c r="B4135" s="13">
        <v>0.2</v>
      </c>
      <c r="C4135" s="16">
        <v>0.53600000000000003</v>
      </c>
      <c r="D4135" s="13" t="s">
        <v>1712</v>
      </c>
      <c r="E4135" s="12" t="s">
        <v>1713</v>
      </c>
      <c r="F4135" s="12" t="s">
        <v>1714</v>
      </c>
      <c r="G4135" s="13" t="s">
        <v>1709</v>
      </c>
    </row>
    <row r="4136" spans="1:7">
      <c r="A4136" s="15" t="s">
        <v>1711</v>
      </c>
      <c r="B4136" s="13">
        <v>0.2</v>
      </c>
      <c r="C4136" s="16">
        <v>0.53600000000000003</v>
      </c>
      <c r="D4136" s="13" t="s">
        <v>1712</v>
      </c>
      <c r="E4136" s="12" t="s">
        <v>1713</v>
      </c>
      <c r="F4136" s="12" t="s">
        <v>1714</v>
      </c>
      <c r="G4136" s="13" t="s">
        <v>1709</v>
      </c>
    </row>
    <row r="4137" spans="1:7">
      <c r="A4137" s="15" t="s">
        <v>1711</v>
      </c>
      <c r="B4137" s="13">
        <v>0.2</v>
      </c>
      <c r="C4137" s="16">
        <v>0.53600000000000003</v>
      </c>
      <c r="D4137" s="13" t="s">
        <v>1712</v>
      </c>
      <c r="E4137" s="12" t="s">
        <v>1713</v>
      </c>
      <c r="F4137" s="12" t="s">
        <v>1714</v>
      </c>
      <c r="G4137" s="13" t="s">
        <v>1709</v>
      </c>
    </row>
    <row r="4138" spans="1:7">
      <c r="A4138" s="15" t="s">
        <v>1711</v>
      </c>
      <c r="B4138" s="13">
        <v>0.2</v>
      </c>
      <c r="C4138" s="16">
        <v>1.6989999999999998</v>
      </c>
      <c r="D4138" s="13" t="s">
        <v>1712</v>
      </c>
      <c r="E4138" s="12" t="s">
        <v>1713</v>
      </c>
      <c r="F4138" s="12" t="s">
        <v>1714</v>
      </c>
      <c r="G4138" s="13" t="s">
        <v>1709</v>
      </c>
    </row>
    <row r="4139" spans="1:7">
      <c r="A4139" s="15" t="s">
        <v>1711</v>
      </c>
      <c r="B4139" s="13">
        <v>0.2</v>
      </c>
      <c r="C4139" s="16">
        <v>1.6989999999999998</v>
      </c>
      <c r="D4139" s="13" t="s">
        <v>1712</v>
      </c>
      <c r="E4139" s="12" t="s">
        <v>1713</v>
      </c>
      <c r="F4139" s="12" t="s">
        <v>1714</v>
      </c>
      <c r="G4139" s="13" t="s">
        <v>1709</v>
      </c>
    </row>
    <row r="4140" spans="1:7">
      <c r="A4140" s="15" t="s">
        <v>1711</v>
      </c>
      <c r="B4140" s="13">
        <v>0.2</v>
      </c>
      <c r="C4140" s="16">
        <v>1.6989999999999998</v>
      </c>
      <c r="D4140" s="13" t="s">
        <v>1712</v>
      </c>
      <c r="E4140" s="12" t="s">
        <v>1713</v>
      </c>
      <c r="F4140" s="12" t="s">
        <v>1714</v>
      </c>
      <c r="G4140" s="13" t="s">
        <v>1709</v>
      </c>
    </row>
    <row r="4141" spans="1:7">
      <c r="A4141" s="15" t="s">
        <v>1711</v>
      </c>
      <c r="B4141" s="13">
        <v>0.2</v>
      </c>
      <c r="C4141" s="16">
        <v>1.6989999999999998</v>
      </c>
      <c r="D4141" s="13" t="s">
        <v>1712</v>
      </c>
      <c r="E4141" s="12" t="s">
        <v>1713</v>
      </c>
      <c r="F4141" s="12" t="s">
        <v>1714</v>
      </c>
      <c r="G4141" s="13" t="s">
        <v>1709</v>
      </c>
    </row>
    <row r="4142" spans="1:7">
      <c r="A4142" s="15" t="s">
        <v>1711</v>
      </c>
      <c r="B4142" s="13">
        <v>0.2</v>
      </c>
      <c r="C4142" s="16">
        <v>1.6989999999999998</v>
      </c>
      <c r="D4142" s="13" t="s">
        <v>1712</v>
      </c>
      <c r="E4142" s="12" t="s">
        <v>1713</v>
      </c>
      <c r="F4142" s="12" t="s">
        <v>1714</v>
      </c>
      <c r="G4142" s="13" t="s">
        <v>1709</v>
      </c>
    </row>
    <row r="4143" spans="1:7">
      <c r="A4143" s="15" t="s">
        <v>1711</v>
      </c>
      <c r="B4143" s="13">
        <v>0.2</v>
      </c>
      <c r="C4143" s="16">
        <v>1.6989999999999998</v>
      </c>
      <c r="D4143" s="13" t="s">
        <v>1712</v>
      </c>
      <c r="E4143" s="12" t="s">
        <v>1713</v>
      </c>
      <c r="F4143" s="12" t="s">
        <v>1714</v>
      </c>
      <c r="G4143" s="13" t="s">
        <v>1709</v>
      </c>
    </row>
    <row r="4144" spans="1:7">
      <c r="A4144" s="15" t="s">
        <v>1711</v>
      </c>
      <c r="B4144" s="13">
        <v>0.2</v>
      </c>
      <c r="C4144" s="16">
        <v>1.6989999999999998</v>
      </c>
      <c r="D4144" s="13" t="s">
        <v>1712</v>
      </c>
      <c r="E4144" s="12" t="s">
        <v>1713</v>
      </c>
      <c r="F4144" s="12" t="s">
        <v>1714</v>
      </c>
      <c r="G4144" s="13" t="s">
        <v>1709</v>
      </c>
    </row>
    <row r="4145" spans="1:7">
      <c r="A4145" s="15" t="s">
        <v>1711</v>
      </c>
      <c r="B4145" s="13">
        <v>0.2</v>
      </c>
      <c r="C4145" s="16">
        <v>1.6989999999999998</v>
      </c>
      <c r="D4145" s="13" t="s">
        <v>1712</v>
      </c>
      <c r="E4145" s="12" t="s">
        <v>1713</v>
      </c>
      <c r="F4145" s="12" t="s">
        <v>1714</v>
      </c>
      <c r="G4145" s="13" t="s">
        <v>1709</v>
      </c>
    </row>
    <row r="4146" spans="1:7">
      <c r="A4146" s="15" t="s">
        <v>1711</v>
      </c>
      <c r="B4146" s="13">
        <v>0.2</v>
      </c>
      <c r="C4146" s="16">
        <v>1.6989999999999998</v>
      </c>
      <c r="D4146" s="13" t="s">
        <v>1712</v>
      </c>
      <c r="E4146" s="12" t="s">
        <v>1713</v>
      </c>
      <c r="F4146" s="12" t="s">
        <v>1714</v>
      </c>
      <c r="G4146" s="13" t="s">
        <v>1709</v>
      </c>
    </row>
    <row r="4147" spans="1:7">
      <c r="A4147" s="15" t="s">
        <v>1711</v>
      </c>
      <c r="B4147" s="13">
        <v>0.2</v>
      </c>
      <c r="C4147" s="16">
        <v>1.6989999999999998</v>
      </c>
      <c r="D4147" s="13" t="s">
        <v>1712</v>
      </c>
      <c r="E4147" s="12" t="s">
        <v>1713</v>
      </c>
      <c r="F4147" s="12" t="s">
        <v>1714</v>
      </c>
      <c r="G4147" s="13" t="s">
        <v>1709</v>
      </c>
    </row>
    <row r="4148" spans="1:7">
      <c r="A4148" s="15" t="s">
        <v>1711</v>
      </c>
      <c r="B4148" s="13">
        <v>0.2</v>
      </c>
      <c r="C4148" s="16">
        <v>1.6989999999999998</v>
      </c>
      <c r="D4148" s="13" t="s">
        <v>1712</v>
      </c>
      <c r="E4148" s="12" t="s">
        <v>1713</v>
      </c>
      <c r="F4148" s="12" t="s">
        <v>1714</v>
      </c>
      <c r="G4148" s="13" t="s">
        <v>1709</v>
      </c>
    </row>
    <row r="4149" spans="1:7">
      <c r="A4149" s="15" t="s">
        <v>1711</v>
      </c>
      <c r="B4149" s="13">
        <v>0.2</v>
      </c>
      <c r="C4149" s="16">
        <v>1.6989999999999998</v>
      </c>
      <c r="D4149" s="13" t="s">
        <v>1712</v>
      </c>
      <c r="E4149" s="12" t="s">
        <v>1713</v>
      </c>
      <c r="F4149" s="12" t="s">
        <v>1714</v>
      </c>
      <c r="G4149" s="13" t="s">
        <v>1709</v>
      </c>
    </row>
    <row r="4150" spans="1:7">
      <c r="A4150" s="15" t="s">
        <v>1711</v>
      </c>
      <c r="B4150" s="13">
        <v>0.2</v>
      </c>
      <c r="C4150" s="16">
        <v>1.6989999999999998</v>
      </c>
      <c r="D4150" s="13" t="s">
        <v>1712</v>
      </c>
      <c r="E4150" s="12" t="s">
        <v>1713</v>
      </c>
      <c r="F4150" s="12" t="s">
        <v>1714</v>
      </c>
      <c r="G4150" s="13" t="s">
        <v>1709</v>
      </c>
    </row>
    <row r="4151" spans="1:7">
      <c r="A4151" s="15" t="s">
        <v>1711</v>
      </c>
      <c r="B4151" s="13">
        <v>0.2</v>
      </c>
      <c r="C4151" s="16">
        <v>1.6989999999999998</v>
      </c>
      <c r="D4151" s="13" t="s">
        <v>1712</v>
      </c>
      <c r="E4151" s="12" t="s">
        <v>1713</v>
      </c>
      <c r="F4151" s="12" t="s">
        <v>1714</v>
      </c>
      <c r="G4151" s="13" t="s">
        <v>1709</v>
      </c>
    </row>
    <row r="4152" spans="1:7">
      <c r="A4152" s="15" t="s">
        <v>1711</v>
      </c>
      <c r="B4152" s="13">
        <v>0.2</v>
      </c>
      <c r="C4152" s="16">
        <v>1.6989999999999998</v>
      </c>
      <c r="D4152" s="13" t="s">
        <v>1712</v>
      </c>
      <c r="E4152" s="12" t="s">
        <v>1713</v>
      </c>
      <c r="F4152" s="12" t="s">
        <v>1714</v>
      </c>
      <c r="G4152" s="13" t="s">
        <v>1709</v>
      </c>
    </row>
    <row r="4153" spans="1:7">
      <c r="A4153" s="15" t="s">
        <v>1711</v>
      </c>
      <c r="B4153" s="13">
        <v>0.2</v>
      </c>
      <c r="C4153" s="16">
        <v>1.6989999999999998</v>
      </c>
      <c r="D4153" s="13" t="s">
        <v>1712</v>
      </c>
      <c r="E4153" s="12" t="s">
        <v>1713</v>
      </c>
      <c r="F4153" s="12" t="s">
        <v>1714</v>
      </c>
      <c r="G4153" s="13" t="s">
        <v>1709</v>
      </c>
    </row>
    <row r="4154" spans="1:7">
      <c r="A4154" s="15" t="s">
        <v>1711</v>
      </c>
      <c r="B4154" s="13">
        <v>0.2</v>
      </c>
      <c r="C4154" s="16">
        <v>1.6989999999999998</v>
      </c>
      <c r="D4154" s="13" t="s">
        <v>1712</v>
      </c>
      <c r="E4154" s="12" t="s">
        <v>1713</v>
      </c>
      <c r="F4154" s="12" t="s">
        <v>1714</v>
      </c>
      <c r="G4154" s="13" t="s">
        <v>1709</v>
      </c>
    </row>
    <row r="4155" spans="1:7">
      <c r="A4155" s="15" t="s">
        <v>1711</v>
      </c>
      <c r="B4155" s="13">
        <v>0.2</v>
      </c>
      <c r="C4155" s="16">
        <v>1.6989999999999998</v>
      </c>
      <c r="D4155" s="13" t="s">
        <v>1712</v>
      </c>
      <c r="E4155" s="12" t="s">
        <v>1713</v>
      </c>
      <c r="F4155" s="12" t="s">
        <v>1714</v>
      </c>
      <c r="G4155" s="13" t="s">
        <v>1709</v>
      </c>
    </row>
    <row r="4156" spans="1:7">
      <c r="A4156" s="15" t="s">
        <v>1711</v>
      </c>
      <c r="B4156" s="13">
        <v>0.2</v>
      </c>
      <c r="C4156" s="16">
        <v>1.6989999999999998</v>
      </c>
      <c r="D4156" s="13" t="s">
        <v>1712</v>
      </c>
      <c r="E4156" s="12" t="s">
        <v>1713</v>
      </c>
      <c r="F4156" s="12" t="s">
        <v>1714</v>
      </c>
      <c r="G4156" s="13" t="s">
        <v>1709</v>
      </c>
    </row>
    <row r="4157" spans="1:7">
      <c r="A4157" s="15" t="s">
        <v>1711</v>
      </c>
      <c r="B4157" s="13">
        <v>0.2</v>
      </c>
      <c r="C4157" s="16">
        <v>1.6989999999999998</v>
      </c>
      <c r="D4157" s="13" t="s">
        <v>1712</v>
      </c>
      <c r="E4157" s="12" t="s">
        <v>1713</v>
      </c>
      <c r="F4157" s="12" t="s">
        <v>1714</v>
      </c>
      <c r="G4157" s="13" t="s">
        <v>1709</v>
      </c>
    </row>
    <row r="4158" spans="1:7">
      <c r="A4158" s="15" t="s">
        <v>1711</v>
      </c>
      <c r="B4158" s="13">
        <v>0.2</v>
      </c>
      <c r="C4158" s="16">
        <v>1.6989999999999998</v>
      </c>
      <c r="D4158" s="13" t="s">
        <v>1712</v>
      </c>
      <c r="E4158" s="12" t="s">
        <v>1713</v>
      </c>
      <c r="F4158" s="12" t="s">
        <v>1714</v>
      </c>
      <c r="G4158" s="13" t="s">
        <v>1709</v>
      </c>
    </row>
    <row r="4159" spans="1:7">
      <c r="A4159" s="15" t="s">
        <v>1711</v>
      </c>
      <c r="B4159" s="13">
        <v>0.2</v>
      </c>
      <c r="C4159" s="16">
        <v>1.6989999999999998</v>
      </c>
      <c r="D4159" s="13" t="s">
        <v>1712</v>
      </c>
      <c r="E4159" s="12" t="s">
        <v>1713</v>
      </c>
      <c r="F4159" s="12" t="s">
        <v>1714</v>
      </c>
      <c r="G4159" s="13" t="s">
        <v>1709</v>
      </c>
    </row>
    <row r="4160" spans="1:7">
      <c r="A4160" s="15" t="s">
        <v>1711</v>
      </c>
      <c r="B4160" s="13">
        <v>0.2</v>
      </c>
      <c r="C4160" s="16">
        <v>0.56999999999999995</v>
      </c>
      <c r="D4160" s="13" t="s">
        <v>1712</v>
      </c>
      <c r="E4160" s="12" t="s">
        <v>1713</v>
      </c>
      <c r="F4160" s="12" t="s">
        <v>1714</v>
      </c>
      <c r="G4160" s="13" t="s">
        <v>1709</v>
      </c>
    </row>
    <row r="4161" spans="1:7">
      <c r="A4161" s="15" t="s">
        <v>1711</v>
      </c>
      <c r="B4161" s="13">
        <v>0.2</v>
      </c>
      <c r="C4161" s="16">
        <v>0.56999999999999995</v>
      </c>
      <c r="D4161" s="13" t="s">
        <v>1712</v>
      </c>
      <c r="E4161" s="12" t="s">
        <v>1713</v>
      </c>
      <c r="F4161" s="12" t="s">
        <v>1714</v>
      </c>
      <c r="G4161" s="13" t="s">
        <v>1709</v>
      </c>
    </row>
    <row r="4162" spans="1:7">
      <c r="A4162" s="15" t="s">
        <v>1711</v>
      </c>
      <c r="B4162" s="13">
        <v>0.2</v>
      </c>
      <c r="C4162" s="16">
        <v>0.56999999999999995</v>
      </c>
      <c r="D4162" s="13" t="s">
        <v>1712</v>
      </c>
      <c r="E4162" s="12" t="s">
        <v>1713</v>
      </c>
      <c r="F4162" s="12" t="s">
        <v>1714</v>
      </c>
      <c r="G4162" s="13" t="s">
        <v>1709</v>
      </c>
    </row>
    <row r="4163" spans="1:7">
      <c r="A4163" s="15" t="s">
        <v>1711</v>
      </c>
      <c r="B4163" s="13">
        <v>0.2</v>
      </c>
      <c r="C4163" s="16">
        <v>-0.17799999999999999</v>
      </c>
      <c r="D4163" s="13" t="s">
        <v>1709</v>
      </c>
      <c r="E4163" s="12" t="s">
        <v>1710</v>
      </c>
      <c r="F4163" s="12" t="s">
        <v>1710</v>
      </c>
      <c r="G4163" s="13" t="s">
        <v>1709</v>
      </c>
    </row>
    <row r="4164" spans="1:7">
      <c r="A4164" s="15" t="s">
        <v>1711</v>
      </c>
      <c r="B4164" s="13">
        <v>0.2</v>
      </c>
      <c r="C4164" s="16">
        <v>-0.17799999999999999</v>
      </c>
      <c r="D4164" s="13" t="s">
        <v>1709</v>
      </c>
      <c r="E4164" s="12" t="s">
        <v>1710</v>
      </c>
      <c r="F4164" s="12" t="s">
        <v>1710</v>
      </c>
      <c r="G4164" s="13" t="s">
        <v>1709</v>
      </c>
    </row>
    <row r="4165" spans="1:7">
      <c r="A4165" s="15" t="s">
        <v>1711</v>
      </c>
      <c r="B4165" s="13">
        <v>0.2</v>
      </c>
      <c r="C4165" s="16">
        <v>-0.17799999999999999</v>
      </c>
      <c r="D4165" s="13" t="s">
        <v>1709</v>
      </c>
      <c r="E4165" s="12" t="s">
        <v>1710</v>
      </c>
      <c r="F4165" s="12" t="s">
        <v>1710</v>
      </c>
      <c r="G4165" s="13" t="s">
        <v>1709</v>
      </c>
    </row>
    <row r="4166" spans="1:7">
      <c r="A4166" s="15" t="s">
        <v>1711</v>
      </c>
      <c r="B4166" s="13">
        <v>0.2</v>
      </c>
      <c r="C4166" s="16">
        <v>-0.17799999999999999</v>
      </c>
      <c r="D4166" s="13" t="s">
        <v>1709</v>
      </c>
      <c r="E4166" s="12" t="s">
        <v>1710</v>
      </c>
      <c r="F4166" s="12" t="s">
        <v>1710</v>
      </c>
      <c r="G4166" s="13" t="s">
        <v>1709</v>
      </c>
    </row>
    <row r="4167" spans="1:7">
      <c r="A4167" s="15" t="s">
        <v>1711</v>
      </c>
      <c r="B4167" s="13">
        <v>0.2</v>
      </c>
      <c r="C4167" s="16">
        <v>-0.17799999999999999</v>
      </c>
      <c r="D4167" s="13" t="s">
        <v>1709</v>
      </c>
      <c r="E4167" s="12" t="s">
        <v>1710</v>
      </c>
      <c r="F4167" s="12" t="s">
        <v>1710</v>
      </c>
      <c r="G4167" s="13" t="s">
        <v>1709</v>
      </c>
    </row>
    <row r="4168" spans="1:7">
      <c r="A4168" s="15" t="s">
        <v>1711</v>
      </c>
      <c r="B4168" s="13">
        <v>0.2</v>
      </c>
      <c r="C4168" s="16">
        <v>-0.17799999999999999</v>
      </c>
      <c r="D4168" s="13" t="s">
        <v>1709</v>
      </c>
      <c r="E4168" s="12" t="s">
        <v>1710</v>
      </c>
      <c r="F4168" s="12" t="s">
        <v>1710</v>
      </c>
      <c r="G4168" s="13" t="s">
        <v>1709</v>
      </c>
    </row>
    <row r="4169" spans="1:7">
      <c r="A4169" s="15" t="s">
        <v>1711</v>
      </c>
      <c r="B4169" s="13">
        <v>0.2</v>
      </c>
      <c r="C4169" s="16">
        <v>-0.17799999999999999</v>
      </c>
      <c r="D4169" s="13" t="s">
        <v>1709</v>
      </c>
      <c r="E4169" s="12" t="s">
        <v>1710</v>
      </c>
      <c r="F4169" s="12" t="s">
        <v>1710</v>
      </c>
      <c r="G4169" s="13" t="s">
        <v>1709</v>
      </c>
    </row>
    <row r="4170" spans="1:7">
      <c r="A4170" s="15" t="s">
        <v>1711</v>
      </c>
      <c r="B4170" s="13">
        <v>0.2</v>
      </c>
      <c r="C4170" s="16">
        <v>-0.17799999999999999</v>
      </c>
      <c r="D4170" s="13" t="s">
        <v>1709</v>
      </c>
      <c r="E4170" s="12" t="s">
        <v>1710</v>
      </c>
      <c r="F4170" s="12" t="s">
        <v>1710</v>
      </c>
      <c r="G4170" s="13" t="s">
        <v>1709</v>
      </c>
    </row>
    <row r="4171" spans="1:7">
      <c r="A4171" s="15" t="s">
        <v>1711</v>
      </c>
      <c r="B4171" s="13">
        <v>0.2</v>
      </c>
      <c r="C4171" s="16">
        <v>-0.17799999999999999</v>
      </c>
      <c r="D4171" s="13" t="s">
        <v>1709</v>
      </c>
      <c r="E4171" s="12" t="s">
        <v>1710</v>
      </c>
      <c r="F4171" s="12" t="s">
        <v>1710</v>
      </c>
      <c r="G4171" s="13" t="s">
        <v>1709</v>
      </c>
    </row>
    <row r="4172" spans="1:7">
      <c r="A4172" s="15" t="s">
        <v>1711</v>
      </c>
      <c r="B4172" s="13">
        <v>0.2</v>
      </c>
      <c r="C4172" s="16">
        <v>-0.17799999999999999</v>
      </c>
      <c r="D4172" s="13" t="s">
        <v>1709</v>
      </c>
      <c r="E4172" s="12" t="s">
        <v>1710</v>
      </c>
      <c r="F4172" s="12" t="s">
        <v>1710</v>
      </c>
      <c r="G4172" s="13" t="s">
        <v>1709</v>
      </c>
    </row>
    <row r="4173" spans="1:7">
      <c r="A4173" s="15" t="s">
        <v>1711</v>
      </c>
      <c r="B4173" s="13">
        <v>0.2</v>
      </c>
      <c r="C4173" s="16">
        <v>-0.17799999999999999</v>
      </c>
      <c r="D4173" s="13" t="s">
        <v>1709</v>
      </c>
      <c r="E4173" s="12" t="s">
        <v>1710</v>
      </c>
      <c r="F4173" s="12" t="s">
        <v>1710</v>
      </c>
      <c r="G4173" s="13" t="s">
        <v>1709</v>
      </c>
    </row>
    <row r="4174" spans="1:7">
      <c r="A4174" s="15" t="s">
        <v>1711</v>
      </c>
      <c r="B4174" s="13">
        <v>0.2</v>
      </c>
      <c r="C4174" s="16">
        <v>-0.17799999999999999</v>
      </c>
      <c r="D4174" s="13" t="s">
        <v>1709</v>
      </c>
      <c r="E4174" s="12" t="s">
        <v>1710</v>
      </c>
      <c r="F4174" s="12" t="s">
        <v>1710</v>
      </c>
      <c r="G4174" s="13" t="s">
        <v>1709</v>
      </c>
    </row>
    <row r="4175" spans="1:7">
      <c r="A4175" s="15" t="s">
        <v>1711</v>
      </c>
      <c r="B4175" s="13">
        <v>0.2</v>
      </c>
      <c r="C4175" s="16">
        <v>-0.17799999999999999</v>
      </c>
      <c r="D4175" s="13" t="s">
        <v>1709</v>
      </c>
      <c r="E4175" s="12" t="s">
        <v>1710</v>
      </c>
      <c r="F4175" s="12" t="s">
        <v>1710</v>
      </c>
      <c r="G4175" s="13" t="s">
        <v>1709</v>
      </c>
    </row>
    <row r="4176" spans="1:7">
      <c r="A4176" s="15" t="s">
        <v>1711</v>
      </c>
      <c r="B4176" s="13">
        <v>0.2</v>
      </c>
      <c r="C4176" s="16">
        <v>-0.17799999999999999</v>
      </c>
      <c r="D4176" s="13" t="s">
        <v>1709</v>
      </c>
      <c r="E4176" s="12" t="s">
        <v>1710</v>
      </c>
      <c r="F4176" s="12" t="s">
        <v>1710</v>
      </c>
      <c r="G4176" s="13" t="s">
        <v>1709</v>
      </c>
    </row>
    <row r="4177" spans="1:7">
      <c r="A4177" s="15" t="s">
        <v>1711</v>
      </c>
      <c r="B4177" s="13">
        <v>0.2</v>
      </c>
      <c r="C4177" s="16">
        <v>-0.17799999999999999</v>
      </c>
      <c r="D4177" s="13" t="s">
        <v>1709</v>
      </c>
      <c r="E4177" s="12" t="s">
        <v>1710</v>
      </c>
      <c r="F4177" s="12" t="s">
        <v>1710</v>
      </c>
      <c r="G4177" s="13" t="s">
        <v>1709</v>
      </c>
    </row>
    <row r="4178" spans="1:7">
      <c r="A4178" s="15" t="s">
        <v>1711</v>
      </c>
      <c r="B4178" s="13">
        <v>0.2</v>
      </c>
      <c r="C4178" s="16">
        <v>-0.17799999999999999</v>
      </c>
      <c r="D4178" s="13" t="s">
        <v>1709</v>
      </c>
      <c r="E4178" s="12" t="s">
        <v>1710</v>
      </c>
      <c r="F4178" s="12" t="s">
        <v>1710</v>
      </c>
      <c r="G4178" s="13" t="s">
        <v>1709</v>
      </c>
    </row>
    <row r="4179" spans="1:7">
      <c r="A4179" s="15" t="s">
        <v>1711</v>
      </c>
      <c r="B4179" s="13">
        <v>0.2</v>
      </c>
      <c r="C4179" s="16">
        <v>0.35399999999999998</v>
      </c>
      <c r="D4179" s="13" t="s">
        <v>1712</v>
      </c>
      <c r="E4179" s="12" t="s">
        <v>1713</v>
      </c>
      <c r="F4179" s="12" t="s">
        <v>1714</v>
      </c>
      <c r="G4179" s="13" t="s">
        <v>1709</v>
      </c>
    </row>
    <row r="4180" spans="1:7">
      <c r="A4180" s="15" t="s">
        <v>1711</v>
      </c>
      <c r="B4180" s="13">
        <v>0.2</v>
      </c>
      <c r="C4180" s="16">
        <v>0.371</v>
      </c>
      <c r="D4180" s="13" t="s">
        <v>1712</v>
      </c>
      <c r="E4180" s="12" t="s">
        <v>1713</v>
      </c>
      <c r="F4180" s="12" t="s">
        <v>1714</v>
      </c>
      <c r="G4180" s="13" t="s">
        <v>1709</v>
      </c>
    </row>
    <row r="4181" spans="1:7">
      <c r="A4181" s="15" t="s">
        <v>1711</v>
      </c>
      <c r="B4181" s="13">
        <v>0.2</v>
      </c>
      <c r="C4181" s="16">
        <v>1.607</v>
      </c>
      <c r="D4181" s="13" t="s">
        <v>1712</v>
      </c>
      <c r="E4181" s="11" t="s">
        <v>1738</v>
      </c>
      <c r="F4181" s="12" t="s">
        <v>1714</v>
      </c>
      <c r="G4181" s="13" t="s">
        <v>1709</v>
      </c>
    </row>
    <row r="4182" spans="1:7">
      <c r="A4182" s="15" t="s">
        <v>1711</v>
      </c>
      <c r="B4182" s="13">
        <v>0.2</v>
      </c>
      <c r="C4182" s="16">
        <v>0.64100000000000001</v>
      </c>
      <c r="D4182" s="13" t="s">
        <v>1712</v>
      </c>
      <c r="E4182" s="12" t="s">
        <v>1713</v>
      </c>
      <c r="F4182" s="12" t="s">
        <v>1714</v>
      </c>
      <c r="G4182" s="13" t="s">
        <v>1709</v>
      </c>
    </row>
    <row r="4183" spans="1:7">
      <c r="A4183" s="15" t="s">
        <v>1711</v>
      </c>
      <c r="B4183" s="13">
        <v>0.2</v>
      </c>
      <c r="C4183" s="16">
        <v>0.64100000000000001</v>
      </c>
      <c r="D4183" s="13" t="s">
        <v>1712</v>
      </c>
      <c r="E4183" s="12" t="s">
        <v>1713</v>
      </c>
      <c r="F4183" s="12" t="s">
        <v>1714</v>
      </c>
      <c r="G4183" s="13" t="s">
        <v>1709</v>
      </c>
    </row>
    <row r="4184" spans="1:7">
      <c r="A4184" s="15" t="s">
        <v>1711</v>
      </c>
      <c r="B4184" s="13">
        <v>0.2</v>
      </c>
      <c r="C4184" s="16">
        <v>-1.8000000000000002E-2</v>
      </c>
      <c r="D4184" s="13" t="s">
        <v>1709</v>
      </c>
      <c r="E4184" s="12" t="s">
        <v>1710</v>
      </c>
      <c r="F4184" s="12" t="s">
        <v>1710</v>
      </c>
      <c r="G4184" s="13" t="s">
        <v>1709</v>
      </c>
    </row>
    <row r="4185" spans="1:7">
      <c r="A4185" s="15" t="s">
        <v>1711</v>
      </c>
      <c r="B4185" s="13">
        <v>0.2</v>
      </c>
      <c r="C4185" s="16">
        <v>1.6989999999999998</v>
      </c>
      <c r="D4185" s="13" t="s">
        <v>1712</v>
      </c>
      <c r="E4185" s="12" t="s">
        <v>1713</v>
      </c>
      <c r="F4185" s="12" t="s">
        <v>1714</v>
      </c>
      <c r="G4185" s="13" t="s">
        <v>1709</v>
      </c>
    </row>
    <row r="4186" spans="1:7">
      <c r="A4186" s="15" t="s">
        <v>1711</v>
      </c>
      <c r="B4186" s="13">
        <v>0.2</v>
      </c>
      <c r="C4186" s="16">
        <v>1.6989999999999998</v>
      </c>
      <c r="D4186" s="13" t="s">
        <v>1712</v>
      </c>
      <c r="E4186" s="12" t="s">
        <v>1713</v>
      </c>
      <c r="F4186" s="12" t="s">
        <v>1714</v>
      </c>
      <c r="G4186" s="13" t="s">
        <v>1709</v>
      </c>
    </row>
    <row r="4187" spans="1:7">
      <c r="A4187" s="15" t="s">
        <v>1711</v>
      </c>
      <c r="B4187" s="13">
        <v>0.2</v>
      </c>
      <c r="C4187" s="16">
        <v>1.6989999999999998</v>
      </c>
      <c r="D4187" s="13" t="s">
        <v>1712</v>
      </c>
      <c r="E4187" s="12" t="s">
        <v>1713</v>
      </c>
      <c r="F4187" s="12" t="s">
        <v>1714</v>
      </c>
      <c r="G4187" s="13" t="s">
        <v>1709</v>
      </c>
    </row>
    <row r="4188" spans="1:7">
      <c r="A4188" s="15" t="s">
        <v>1711</v>
      </c>
      <c r="B4188" s="13">
        <v>0.2</v>
      </c>
      <c r="C4188" s="16">
        <v>1.6989999999999998</v>
      </c>
      <c r="D4188" s="13" t="s">
        <v>1712</v>
      </c>
      <c r="E4188" s="12" t="s">
        <v>1713</v>
      </c>
      <c r="F4188" s="12" t="s">
        <v>1714</v>
      </c>
      <c r="G4188" s="13" t="s">
        <v>1709</v>
      </c>
    </row>
    <row r="4189" spans="1:7">
      <c r="A4189" s="15" t="s">
        <v>1711</v>
      </c>
      <c r="B4189" s="13">
        <v>0.2</v>
      </c>
      <c r="C4189" s="16">
        <v>1.6989999999999998</v>
      </c>
      <c r="D4189" s="13" t="s">
        <v>1712</v>
      </c>
      <c r="E4189" s="12" t="s">
        <v>1713</v>
      </c>
      <c r="F4189" s="12" t="s">
        <v>1714</v>
      </c>
      <c r="G4189" s="13" t="s">
        <v>1709</v>
      </c>
    </row>
    <row r="4190" spans="1:7">
      <c r="A4190" s="15" t="s">
        <v>1711</v>
      </c>
      <c r="B4190" s="13">
        <v>0.2</v>
      </c>
      <c r="C4190" s="16">
        <v>1.6989999999999998</v>
      </c>
      <c r="D4190" s="13" t="s">
        <v>1712</v>
      </c>
      <c r="E4190" s="12" t="s">
        <v>1713</v>
      </c>
      <c r="F4190" s="12" t="s">
        <v>1714</v>
      </c>
      <c r="G4190" s="13" t="s">
        <v>1709</v>
      </c>
    </row>
    <row r="4191" spans="1:7">
      <c r="A4191" s="15" t="s">
        <v>1711</v>
      </c>
      <c r="B4191" s="13">
        <v>0.2</v>
      </c>
      <c r="C4191" s="16">
        <v>1.6989999999999998</v>
      </c>
      <c r="D4191" s="13" t="s">
        <v>1712</v>
      </c>
      <c r="E4191" s="12" t="s">
        <v>1713</v>
      </c>
      <c r="F4191" s="12" t="s">
        <v>1714</v>
      </c>
      <c r="G4191" s="13" t="s">
        <v>1709</v>
      </c>
    </row>
    <row r="4192" spans="1:7">
      <c r="A4192" s="15" t="s">
        <v>1711</v>
      </c>
      <c r="B4192" s="13">
        <v>0.2</v>
      </c>
      <c r="C4192" s="16">
        <v>1.6989999999999998</v>
      </c>
      <c r="D4192" s="13" t="s">
        <v>1712</v>
      </c>
      <c r="E4192" s="11" t="s">
        <v>1738</v>
      </c>
      <c r="F4192" s="12" t="s">
        <v>1714</v>
      </c>
      <c r="G4192" s="13" t="s">
        <v>1709</v>
      </c>
    </row>
    <row r="4193" spans="1:7">
      <c r="A4193" s="15" t="s">
        <v>1711</v>
      </c>
      <c r="B4193" s="13">
        <v>0.2</v>
      </c>
      <c r="C4193" s="16">
        <v>1.6989999999999998</v>
      </c>
      <c r="D4193" s="13" t="s">
        <v>1712</v>
      </c>
      <c r="E4193" s="11" t="s">
        <v>1738</v>
      </c>
      <c r="F4193" s="12" t="s">
        <v>1714</v>
      </c>
      <c r="G4193" s="13" t="s">
        <v>1709</v>
      </c>
    </row>
    <row r="4194" spans="1:7">
      <c r="A4194" s="15" t="s">
        <v>1711</v>
      </c>
      <c r="B4194" s="13">
        <v>0.2</v>
      </c>
      <c r="C4194" s="16">
        <v>1.6989999999999998</v>
      </c>
      <c r="D4194" s="13" t="s">
        <v>1712</v>
      </c>
      <c r="E4194" s="11" t="s">
        <v>1738</v>
      </c>
      <c r="F4194" s="12" t="s">
        <v>1714</v>
      </c>
      <c r="G4194" s="13" t="s">
        <v>1709</v>
      </c>
    </row>
    <row r="4195" spans="1:7">
      <c r="A4195" s="15" t="s">
        <v>1711</v>
      </c>
      <c r="B4195" s="13">
        <v>0.2</v>
      </c>
      <c r="C4195" s="16">
        <v>1.8659999999999999</v>
      </c>
      <c r="D4195" s="13" t="s">
        <v>1712</v>
      </c>
      <c r="E4195" s="11" t="s">
        <v>1738</v>
      </c>
      <c r="F4195" s="12" t="s">
        <v>1714</v>
      </c>
      <c r="G4195" s="13" t="s">
        <v>1709</v>
      </c>
    </row>
    <row r="4196" spans="1:7">
      <c r="A4196" s="15" t="s">
        <v>1711</v>
      </c>
      <c r="B4196" s="13">
        <v>0.2</v>
      </c>
      <c r="C4196" s="16">
        <v>1.8659999999999999</v>
      </c>
      <c r="D4196" s="13" t="s">
        <v>1712</v>
      </c>
      <c r="E4196" s="11" t="s">
        <v>1738</v>
      </c>
      <c r="F4196" s="12" t="s">
        <v>1714</v>
      </c>
      <c r="G4196" s="13" t="s">
        <v>1709</v>
      </c>
    </row>
    <row r="4197" spans="1:7">
      <c r="A4197" s="15" t="s">
        <v>1711</v>
      </c>
      <c r="B4197" s="13">
        <v>0.2</v>
      </c>
      <c r="C4197" s="16">
        <v>1.6989999999999998</v>
      </c>
      <c r="D4197" s="13" t="s">
        <v>1712</v>
      </c>
      <c r="E4197" s="11" t="s">
        <v>1738</v>
      </c>
      <c r="F4197" s="12" t="s">
        <v>1714</v>
      </c>
      <c r="G4197" s="13" t="s">
        <v>1709</v>
      </c>
    </row>
    <row r="4198" spans="1:7">
      <c r="A4198" s="15" t="s">
        <v>1711</v>
      </c>
      <c r="B4198" s="13">
        <v>0.2</v>
      </c>
      <c r="C4198" s="16">
        <v>-2E-3</v>
      </c>
      <c r="D4198" s="13" t="s">
        <v>1709</v>
      </c>
      <c r="E4198" s="12" t="s">
        <v>1710</v>
      </c>
      <c r="F4198" s="12" t="s">
        <v>1710</v>
      </c>
      <c r="G4198" s="13" t="s">
        <v>1709</v>
      </c>
    </row>
    <row r="4199" spans="1:7">
      <c r="A4199" s="15" t="s">
        <v>1711</v>
      </c>
      <c r="B4199" s="13">
        <v>0.2</v>
      </c>
      <c r="C4199" s="16">
        <v>1.0999999999999999E-2</v>
      </c>
      <c r="D4199" s="13" t="s">
        <v>1712</v>
      </c>
      <c r="E4199" s="12" t="s">
        <v>1713</v>
      </c>
      <c r="F4199" s="12" t="s">
        <v>1714</v>
      </c>
      <c r="G4199" s="13" t="s">
        <v>1709</v>
      </c>
    </row>
    <row r="4200" spans="1:7">
      <c r="A4200" s="15" t="s">
        <v>1711</v>
      </c>
      <c r="B4200" s="13">
        <v>0.2</v>
      </c>
      <c r="C4200" s="16">
        <v>0.371</v>
      </c>
      <c r="D4200" s="13" t="s">
        <v>1712</v>
      </c>
      <c r="E4200" s="12" t="s">
        <v>1713</v>
      </c>
      <c r="F4200" s="12" t="s">
        <v>1714</v>
      </c>
      <c r="G4200" s="13" t="s">
        <v>1709</v>
      </c>
    </row>
    <row r="4201" spans="1:7">
      <c r="A4201" s="15" t="s">
        <v>1711</v>
      </c>
      <c r="B4201" s="13">
        <v>0.2</v>
      </c>
      <c r="C4201" s="16">
        <v>1.6239999999999999</v>
      </c>
      <c r="D4201" s="13" t="s">
        <v>1712</v>
      </c>
      <c r="E4201" s="12" t="s">
        <v>1713</v>
      </c>
      <c r="F4201" s="12" t="s">
        <v>1714</v>
      </c>
      <c r="G4201" s="13" t="s">
        <v>1709</v>
      </c>
    </row>
    <row r="4202" spans="1:7">
      <c r="A4202" s="15" t="s">
        <v>1711</v>
      </c>
      <c r="B4202" s="13">
        <v>0.2</v>
      </c>
      <c r="C4202" s="16">
        <v>1.6239999999999999</v>
      </c>
      <c r="D4202" s="13" t="s">
        <v>1712</v>
      </c>
      <c r="E4202" s="12" t="s">
        <v>1713</v>
      </c>
      <c r="F4202" s="12" t="s">
        <v>1714</v>
      </c>
      <c r="G4202" s="13" t="s">
        <v>1709</v>
      </c>
    </row>
    <row r="4203" spans="1:7">
      <c r="A4203" s="15" t="s">
        <v>1711</v>
      </c>
      <c r="B4203" s="13">
        <v>0.2</v>
      </c>
      <c r="C4203" s="16">
        <v>1.6239999999999999</v>
      </c>
      <c r="D4203" s="13" t="s">
        <v>1712</v>
      </c>
      <c r="E4203" s="12" t="s">
        <v>1713</v>
      </c>
      <c r="F4203" s="12" t="s">
        <v>1714</v>
      </c>
      <c r="G4203" s="13" t="s">
        <v>1709</v>
      </c>
    </row>
    <row r="4204" spans="1:7">
      <c r="A4204" s="15" t="s">
        <v>1711</v>
      </c>
      <c r="B4204" s="13">
        <v>0.2</v>
      </c>
      <c r="C4204" s="16">
        <v>1.6239999999999999</v>
      </c>
      <c r="D4204" s="13" t="s">
        <v>1712</v>
      </c>
      <c r="E4204" s="12" t="s">
        <v>1713</v>
      </c>
      <c r="F4204" s="12" t="s">
        <v>1714</v>
      </c>
      <c r="G4204" s="13" t="s">
        <v>1709</v>
      </c>
    </row>
    <row r="4205" spans="1:7">
      <c r="A4205" s="15" t="s">
        <v>1711</v>
      </c>
      <c r="B4205" s="13">
        <v>0.2</v>
      </c>
      <c r="C4205" s="16">
        <v>1.6239999999999999</v>
      </c>
      <c r="D4205" s="13" t="s">
        <v>1712</v>
      </c>
      <c r="E4205" s="12" t="s">
        <v>1713</v>
      </c>
      <c r="F4205" s="12" t="s">
        <v>1714</v>
      </c>
      <c r="G4205" s="13" t="s">
        <v>1709</v>
      </c>
    </row>
    <row r="4206" spans="1:7">
      <c r="A4206" s="15" t="s">
        <v>1711</v>
      </c>
      <c r="B4206" s="13">
        <v>0.2</v>
      </c>
      <c r="C4206" s="16">
        <v>1.6239999999999999</v>
      </c>
      <c r="D4206" s="13" t="s">
        <v>1712</v>
      </c>
      <c r="E4206" s="12" t="s">
        <v>1713</v>
      </c>
      <c r="F4206" s="12" t="s">
        <v>1714</v>
      </c>
      <c r="G4206" s="13" t="s">
        <v>1709</v>
      </c>
    </row>
    <row r="4207" spans="1:7">
      <c r="A4207" s="15" t="s">
        <v>1711</v>
      </c>
      <c r="B4207" s="13">
        <v>0.2</v>
      </c>
      <c r="C4207" s="16">
        <v>0.22700000000000001</v>
      </c>
      <c r="D4207" s="13" t="s">
        <v>1712</v>
      </c>
      <c r="E4207" s="11" t="s">
        <v>1738</v>
      </c>
      <c r="F4207" s="12" t="s">
        <v>1714</v>
      </c>
      <c r="G4207" s="13" t="s">
        <v>1709</v>
      </c>
    </row>
    <row r="4208" spans="1:7">
      <c r="A4208" s="15" t="s">
        <v>1711</v>
      </c>
      <c r="B4208" s="13">
        <v>0.2</v>
      </c>
      <c r="C4208" s="16">
        <v>1.1589999999999998</v>
      </c>
      <c r="D4208" s="13" t="s">
        <v>1712</v>
      </c>
      <c r="E4208" s="11" t="s">
        <v>1738</v>
      </c>
      <c r="F4208" s="12" t="s">
        <v>1714</v>
      </c>
      <c r="G4208" s="13" t="s">
        <v>1709</v>
      </c>
    </row>
    <row r="4209" spans="1:7">
      <c r="A4209" s="15" t="s">
        <v>1711</v>
      </c>
      <c r="B4209" s="13">
        <v>0.2</v>
      </c>
      <c r="C4209" s="16">
        <v>0.10299999999999999</v>
      </c>
      <c r="D4209" s="13" t="s">
        <v>1712</v>
      </c>
      <c r="E4209" s="11" t="s">
        <v>1738</v>
      </c>
      <c r="F4209" s="12" t="s">
        <v>1714</v>
      </c>
      <c r="G4209" s="13" t="s">
        <v>1709</v>
      </c>
    </row>
    <row r="4210" spans="1:7">
      <c r="A4210" s="15" t="s">
        <v>1711</v>
      </c>
      <c r="B4210" s="13">
        <v>0.2</v>
      </c>
      <c r="C4210" s="16">
        <v>0.10299999999999999</v>
      </c>
      <c r="D4210" s="13" t="s">
        <v>1712</v>
      </c>
      <c r="E4210" s="11" t="s">
        <v>1738</v>
      </c>
      <c r="F4210" s="12" t="s">
        <v>1714</v>
      </c>
      <c r="G4210" s="13" t="s">
        <v>1709</v>
      </c>
    </row>
    <row r="4211" spans="1:7">
      <c r="A4211" s="15" t="s">
        <v>1711</v>
      </c>
      <c r="B4211" s="13">
        <v>0.2</v>
      </c>
      <c r="C4211" s="16">
        <v>0.10299999999999999</v>
      </c>
      <c r="D4211" s="13" t="s">
        <v>1712</v>
      </c>
      <c r="E4211" s="11" t="s">
        <v>1738</v>
      </c>
      <c r="F4211" s="12" t="s">
        <v>1714</v>
      </c>
      <c r="G4211" s="13" t="s">
        <v>1709</v>
      </c>
    </row>
    <row r="4212" spans="1:7">
      <c r="A4212" s="15" t="s">
        <v>1711</v>
      </c>
      <c r="B4212" s="13">
        <v>0.2</v>
      </c>
      <c r="C4212" s="16">
        <v>1.8059999999999998</v>
      </c>
      <c r="D4212" s="13" t="s">
        <v>1712</v>
      </c>
      <c r="E4212" s="11" t="s">
        <v>1738</v>
      </c>
      <c r="F4212" s="12" t="s">
        <v>1714</v>
      </c>
      <c r="G4212" s="13" t="s">
        <v>1709</v>
      </c>
    </row>
    <row r="4213" spans="1:7">
      <c r="A4213" s="15" t="s">
        <v>1711</v>
      </c>
      <c r="B4213" s="13">
        <v>0.2</v>
      </c>
      <c r="C4213" s="16">
        <v>-0.183</v>
      </c>
      <c r="D4213" s="13" t="s">
        <v>1709</v>
      </c>
      <c r="E4213" s="12" t="s">
        <v>1710</v>
      </c>
      <c r="F4213" s="12" t="s">
        <v>1710</v>
      </c>
      <c r="G4213" s="13" t="s">
        <v>1709</v>
      </c>
    </row>
    <row r="4214" spans="1:7">
      <c r="A4214" s="15" t="s">
        <v>1711</v>
      </c>
      <c r="B4214" s="13">
        <v>0.2</v>
      </c>
      <c r="C4214" s="16">
        <v>-0.183</v>
      </c>
      <c r="D4214" s="13" t="s">
        <v>1709</v>
      </c>
      <c r="E4214" s="12" t="s">
        <v>1710</v>
      </c>
      <c r="F4214" s="12" t="s">
        <v>1710</v>
      </c>
      <c r="G4214" s="13" t="s">
        <v>1709</v>
      </c>
    </row>
    <row r="4215" spans="1:7">
      <c r="A4215" s="15" t="s">
        <v>1711</v>
      </c>
      <c r="B4215" s="13">
        <v>0.2</v>
      </c>
      <c r="C4215" s="16">
        <v>-0.183</v>
      </c>
      <c r="D4215" s="13" t="s">
        <v>1709</v>
      </c>
      <c r="E4215" s="12" t="s">
        <v>1710</v>
      </c>
      <c r="F4215" s="12" t="s">
        <v>1710</v>
      </c>
      <c r="G4215" s="13" t="s">
        <v>1709</v>
      </c>
    </row>
    <row r="4216" spans="1:7">
      <c r="A4216" s="15" t="s">
        <v>1711</v>
      </c>
      <c r="B4216" s="13">
        <v>0.2</v>
      </c>
      <c r="C4216" s="16">
        <v>-0.183</v>
      </c>
      <c r="D4216" s="13" t="s">
        <v>1709</v>
      </c>
      <c r="E4216" s="12" t="s">
        <v>1710</v>
      </c>
      <c r="F4216" s="12" t="s">
        <v>1710</v>
      </c>
      <c r="G4216" s="13" t="s">
        <v>1709</v>
      </c>
    </row>
    <row r="4217" spans="1:7">
      <c r="A4217" s="15" t="s">
        <v>1711</v>
      </c>
      <c r="B4217" s="13">
        <v>0.2</v>
      </c>
      <c r="C4217" s="16">
        <v>-0.183</v>
      </c>
      <c r="D4217" s="13" t="s">
        <v>1709</v>
      </c>
      <c r="E4217" s="12" t="s">
        <v>1710</v>
      </c>
      <c r="F4217" s="12" t="s">
        <v>1710</v>
      </c>
      <c r="G4217" s="13" t="s">
        <v>1709</v>
      </c>
    </row>
    <row r="4218" spans="1:7">
      <c r="A4218" s="15" t="s">
        <v>1711</v>
      </c>
      <c r="B4218" s="13">
        <v>0.2</v>
      </c>
      <c r="C4218" s="16">
        <v>-0.183</v>
      </c>
      <c r="D4218" s="13" t="s">
        <v>1709</v>
      </c>
      <c r="E4218" s="12" t="s">
        <v>1710</v>
      </c>
      <c r="F4218" s="12" t="s">
        <v>1710</v>
      </c>
      <c r="G4218" s="13" t="s">
        <v>1709</v>
      </c>
    </row>
    <row r="4219" spans="1:7">
      <c r="A4219" s="15" t="s">
        <v>1711</v>
      </c>
      <c r="B4219" s="13">
        <v>0.2</v>
      </c>
      <c r="C4219" s="16">
        <v>-0.183</v>
      </c>
      <c r="D4219" s="13" t="s">
        <v>1709</v>
      </c>
      <c r="E4219" s="12" t="s">
        <v>1710</v>
      </c>
      <c r="F4219" s="12" t="s">
        <v>1710</v>
      </c>
      <c r="G4219" s="13" t="s">
        <v>1709</v>
      </c>
    </row>
    <row r="4220" spans="1:7">
      <c r="A4220" s="15" t="s">
        <v>1711</v>
      </c>
      <c r="B4220" s="13">
        <v>0.2</v>
      </c>
      <c r="C4220" s="16">
        <v>-0.183</v>
      </c>
      <c r="D4220" s="13" t="s">
        <v>1709</v>
      </c>
      <c r="E4220" s="12" t="s">
        <v>1710</v>
      </c>
      <c r="F4220" s="12" t="s">
        <v>1710</v>
      </c>
      <c r="G4220" s="13" t="s">
        <v>1709</v>
      </c>
    </row>
    <row r="4221" spans="1:7">
      <c r="A4221" s="15" t="s">
        <v>1711</v>
      </c>
      <c r="B4221" s="13">
        <v>0.2</v>
      </c>
      <c r="C4221" s="16">
        <v>-0.183</v>
      </c>
      <c r="D4221" s="13" t="s">
        <v>1709</v>
      </c>
      <c r="E4221" s="12" t="s">
        <v>1710</v>
      </c>
      <c r="F4221" s="12" t="s">
        <v>1710</v>
      </c>
      <c r="G4221" s="13" t="s">
        <v>1709</v>
      </c>
    </row>
    <row r="4222" spans="1:7">
      <c r="A4222" s="15" t="s">
        <v>1711</v>
      </c>
      <c r="B4222" s="13">
        <v>0.2</v>
      </c>
      <c r="C4222" s="16">
        <v>-0.183</v>
      </c>
      <c r="D4222" s="13" t="s">
        <v>1709</v>
      </c>
      <c r="E4222" s="12" t="s">
        <v>1710</v>
      </c>
      <c r="F4222" s="12" t="s">
        <v>1710</v>
      </c>
      <c r="G4222" s="13" t="s">
        <v>1709</v>
      </c>
    </row>
    <row r="4223" spans="1:7">
      <c r="A4223" s="15" t="s">
        <v>1711</v>
      </c>
      <c r="B4223" s="13">
        <v>0.2</v>
      </c>
      <c r="C4223" s="16">
        <v>-0.183</v>
      </c>
      <c r="D4223" s="13" t="s">
        <v>1709</v>
      </c>
      <c r="E4223" s="12" t="s">
        <v>1710</v>
      </c>
      <c r="F4223" s="12" t="s">
        <v>1710</v>
      </c>
      <c r="G4223" s="13" t="s">
        <v>1709</v>
      </c>
    </row>
    <row r="4224" spans="1:7">
      <c r="A4224" s="15" t="s">
        <v>1711</v>
      </c>
      <c r="B4224" s="13">
        <v>0.2</v>
      </c>
      <c r="C4224" s="16">
        <v>-0.183</v>
      </c>
      <c r="D4224" s="13" t="s">
        <v>1709</v>
      </c>
      <c r="E4224" s="12" t="s">
        <v>1710</v>
      </c>
      <c r="F4224" s="12" t="s">
        <v>1710</v>
      </c>
      <c r="G4224" s="13" t="s">
        <v>1709</v>
      </c>
    </row>
    <row r="4225" spans="1:7">
      <c r="A4225" s="15" t="s">
        <v>1711</v>
      </c>
      <c r="B4225" s="13">
        <v>0.2</v>
      </c>
      <c r="C4225" s="16">
        <v>-0.183</v>
      </c>
      <c r="D4225" s="13" t="s">
        <v>1709</v>
      </c>
      <c r="E4225" s="12" t="s">
        <v>1710</v>
      </c>
      <c r="F4225" s="12" t="s">
        <v>1710</v>
      </c>
      <c r="G4225" s="13" t="s">
        <v>1709</v>
      </c>
    </row>
    <row r="4226" spans="1:7">
      <c r="A4226" s="15" t="s">
        <v>1711</v>
      </c>
      <c r="B4226" s="13">
        <v>0.2</v>
      </c>
      <c r="C4226" s="16">
        <v>-0.183</v>
      </c>
      <c r="D4226" s="13" t="s">
        <v>1709</v>
      </c>
      <c r="E4226" s="12" t="s">
        <v>1710</v>
      </c>
      <c r="F4226" s="12" t="s">
        <v>1710</v>
      </c>
      <c r="G4226" s="13" t="s">
        <v>1709</v>
      </c>
    </row>
    <row r="4227" spans="1:7">
      <c r="A4227" s="15" t="s">
        <v>1711</v>
      </c>
      <c r="B4227" s="13">
        <v>0.2</v>
      </c>
      <c r="C4227" s="16">
        <v>-0.183</v>
      </c>
      <c r="D4227" s="13" t="s">
        <v>1709</v>
      </c>
      <c r="E4227" s="12" t="s">
        <v>1710</v>
      </c>
      <c r="F4227" s="12" t="s">
        <v>1710</v>
      </c>
      <c r="G4227" s="13" t="s">
        <v>1709</v>
      </c>
    </row>
    <row r="4228" spans="1:7">
      <c r="A4228" s="15" t="s">
        <v>1711</v>
      </c>
      <c r="B4228" s="13">
        <v>0.2</v>
      </c>
      <c r="C4228" s="16">
        <v>-0.183</v>
      </c>
      <c r="D4228" s="13" t="s">
        <v>1709</v>
      </c>
      <c r="E4228" s="12" t="s">
        <v>1710</v>
      </c>
      <c r="F4228" s="12" t="s">
        <v>1710</v>
      </c>
      <c r="G4228" s="13" t="s">
        <v>1709</v>
      </c>
    </row>
    <row r="4229" spans="1:7">
      <c r="A4229" s="15" t="s">
        <v>1711</v>
      </c>
      <c r="B4229" s="13">
        <v>0.2</v>
      </c>
      <c r="C4229" s="16">
        <v>-0.183</v>
      </c>
      <c r="D4229" s="13" t="s">
        <v>1709</v>
      </c>
      <c r="E4229" s="12" t="s">
        <v>1710</v>
      </c>
      <c r="F4229" s="12" t="s">
        <v>1710</v>
      </c>
      <c r="G4229" s="13" t="s">
        <v>1709</v>
      </c>
    </row>
    <row r="4230" spans="1:7">
      <c r="A4230" s="15" t="s">
        <v>1711</v>
      </c>
      <c r="B4230" s="13">
        <v>0.2</v>
      </c>
      <c r="C4230" s="16">
        <v>-0.183</v>
      </c>
      <c r="D4230" s="13" t="s">
        <v>1709</v>
      </c>
      <c r="E4230" s="12" t="s">
        <v>1710</v>
      </c>
      <c r="F4230" s="12" t="s">
        <v>1710</v>
      </c>
      <c r="G4230" s="13" t="s">
        <v>1709</v>
      </c>
    </row>
    <row r="4231" spans="1:7">
      <c r="A4231" s="15" t="s">
        <v>1711</v>
      </c>
      <c r="B4231" s="13">
        <v>0.2</v>
      </c>
      <c r="C4231" s="16">
        <v>-0.183</v>
      </c>
      <c r="D4231" s="13" t="s">
        <v>1709</v>
      </c>
      <c r="E4231" s="12" t="s">
        <v>1710</v>
      </c>
      <c r="F4231" s="12" t="s">
        <v>1710</v>
      </c>
      <c r="G4231" s="13" t="s">
        <v>1709</v>
      </c>
    </row>
    <row r="4232" spans="1:7">
      <c r="A4232" s="15" t="s">
        <v>1711</v>
      </c>
      <c r="B4232" s="13">
        <v>0.2</v>
      </c>
      <c r="C4232" s="16">
        <v>1.6989999999999998</v>
      </c>
      <c r="D4232" s="13" t="s">
        <v>1712</v>
      </c>
      <c r="E4232" s="12" t="s">
        <v>1713</v>
      </c>
      <c r="F4232" s="12" t="s">
        <v>1714</v>
      </c>
      <c r="G4232" s="13" t="s">
        <v>1709</v>
      </c>
    </row>
    <row r="4233" spans="1:7">
      <c r="A4233" s="15" t="s">
        <v>1711</v>
      </c>
      <c r="B4233" s="13">
        <v>0.2</v>
      </c>
      <c r="C4233" s="16">
        <v>1.6989999999999998</v>
      </c>
      <c r="D4233" s="13" t="s">
        <v>1712</v>
      </c>
      <c r="E4233" s="12" t="s">
        <v>1713</v>
      </c>
      <c r="F4233" s="12" t="s">
        <v>1714</v>
      </c>
      <c r="G4233" s="13" t="s">
        <v>1709</v>
      </c>
    </row>
    <row r="4234" spans="1:7">
      <c r="A4234" s="15" t="s">
        <v>1711</v>
      </c>
      <c r="B4234" s="13">
        <v>0.2</v>
      </c>
      <c r="C4234" s="16">
        <v>1.6989999999999998</v>
      </c>
      <c r="D4234" s="13" t="s">
        <v>1712</v>
      </c>
      <c r="E4234" s="12" t="s">
        <v>1713</v>
      </c>
      <c r="F4234" s="12" t="s">
        <v>1714</v>
      </c>
      <c r="G4234" s="13" t="s">
        <v>1709</v>
      </c>
    </row>
    <row r="4235" spans="1:7">
      <c r="A4235" s="15" t="s">
        <v>1711</v>
      </c>
      <c r="B4235" s="13">
        <v>0.2</v>
      </c>
      <c r="C4235" s="16">
        <v>1.6989999999999998</v>
      </c>
      <c r="D4235" s="13" t="s">
        <v>1712</v>
      </c>
      <c r="E4235" s="12" t="s">
        <v>1713</v>
      </c>
      <c r="F4235" s="12" t="s">
        <v>1714</v>
      </c>
      <c r="G4235" s="13" t="s">
        <v>1709</v>
      </c>
    </row>
    <row r="4236" spans="1:7">
      <c r="A4236" s="15" t="s">
        <v>1711</v>
      </c>
      <c r="B4236" s="13">
        <v>0.2</v>
      </c>
      <c r="C4236" s="16">
        <v>0.64100000000000001</v>
      </c>
      <c r="D4236" s="13" t="s">
        <v>1712</v>
      </c>
      <c r="E4236" s="12" t="s">
        <v>1713</v>
      </c>
      <c r="F4236" s="12" t="s">
        <v>1714</v>
      </c>
      <c r="G4236" s="13" t="s">
        <v>1709</v>
      </c>
    </row>
    <row r="4237" spans="1:7">
      <c r="A4237" s="15" t="s">
        <v>1711</v>
      </c>
      <c r="B4237" s="13">
        <v>0.2</v>
      </c>
      <c r="C4237" s="16">
        <v>0.64100000000000001</v>
      </c>
      <c r="D4237" s="13" t="s">
        <v>1712</v>
      </c>
      <c r="E4237" s="12" t="s">
        <v>1713</v>
      </c>
      <c r="F4237" s="12" t="s">
        <v>1714</v>
      </c>
      <c r="G4237" s="13" t="s">
        <v>1709</v>
      </c>
    </row>
    <row r="4238" spans="1:7">
      <c r="A4238" s="15" t="s">
        <v>1711</v>
      </c>
      <c r="B4238" s="13">
        <v>0.2</v>
      </c>
      <c r="C4238" s="16">
        <v>-1.8000000000000002E-2</v>
      </c>
      <c r="D4238" s="13" t="s">
        <v>1709</v>
      </c>
      <c r="E4238" s="12" t="s">
        <v>1710</v>
      </c>
      <c r="F4238" s="12" t="s">
        <v>1710</v>
      </c>
      <c r="G4238" s="13" t="s">
        <v>1709</v>
      </c>
    </row>
    <row r="4239" spans="1:7">
      <c r="A4239" s="15" t="s">
        <v>1711</v>
      </c>
      <c r="B4239" s="13">
        <v>0.2</v>
      </c>
      <c r="C4239" s="16">
        <v>-1.8000000000000002E-2</v>
      </c>
      <c r="D4239" s="13" t="s">
        <v>1709</v>
      </c>
      <c r="E4239" s="12" t="s">
        <v>1710</v>
      </c>
      <c r="F4239" s="12" t="s">
        <v>1710</v>
      </c>
      <c r="G4239" s="13" t="s">
        <v>1709</v>
      </c>
    </row>
    <row r="4240" spans="1:7">
      <c r="A4240" s="15" t="s">
        <v>1711</v>
      </c>
      <c r="B4240" s="13">
        <v>0.2</v>
      </c>
      <c r="C4240" s="16">
        <v>-1.8000000000000002E-2</v>
      </c>
      <c r="D4240" s="13" t="s">
        <v>1709</v>
      </c>
      <c r="E4240" s="12" t="s">
        <v>1710</v>
      </c>
      <c r="F4240" s="12" t="s">
        <v>1710</v>
      </c>
      <c r="G4240" s="13" t="s">
        <v>1709</v>
      </c>
    </row>
    <row r="4241" spans="1:7">
      <c r="A4241" s="15" t="s">
        <v>1711</v>
      </c>
      <c r="B4241" s="13">
        <v>0.2</v>
      </c>
      <c r="C4241" s="16">
        <v>-1.8000000000000002E-2</v>
      </c>
      <c r="D4241" s="13" t="s">
        <v>1709</v>
      </c>
      <c r="E4241" s="12" t="s">
        <v>1710</v>
      </c>
      <c r="F4241" s="12" t="s">
        <v>1710</v>
      </c>
      <c r="G4241" s="13" t="s">
        <v>1709</v>
      </c>
    </row>
    <row r="4242" spans="1:7">
      <c r="A4242" s="15" t="s">
        <v>1711</v>
      </c>
      <c r="B4242" s="13">
        <v>0.2</v>
      </c>
      <c r="C4242" s="16">
        <v>-1.8000000000000002E-2</v>
      </c>
      <c r="D4242" s="13" t="s">
        <v>1709</v>
      </c>
      <c r="E4242" s="12" t="s">
        <v>1710</v>
      </c>
      <c r="F4242" s="12" t="s">
        <v>1710</v>
      </c>
      <c r="G4242" s="13" t="s">
        <v>1709</v>
      </c>
    </row>
    <row r="4243" spans="1:7">
      <c r="A4243" s="15" t="s">
        <v>1711</v>
      </c>
      <c r="B4243" s="13">
        <v>0.2</v>
      </c>
      <c r="C4243" s="16">
        <v>-1.8000000000000002E-2</v>
      </c>
      <c r="D4243" s="13" t="s">
        <v>1709</v>
      </c>
      <c r="E4243" s="12" t="s">
        <v>1710</v>
      </c>
      <c r="F4243" s="12" t="s">
        <v>1710</v>
      </c>
      <c r="G4243" s="13" t="s">
        <v>1709</v>
      </c>
    </row>
    <row r="4244" spans="1:7">
      <c r="A4244" s="15" t="s">
        <v>1711</v>
      </c>
      <c r="B4244" s="13">
        <v>0.2</v>
      </c>
      <c r="C4244" s="16">
        <v>-1.8000000000000002E-2</v>
      </c>
      <c r="D4244" s="13" t="s">
        <v>1709</v>
      </c>
      <c r="E4244" s="12" t="s">
        <v>1710</v>
      </c>
      <c r="F4244" s="12" t="s">
        <v>1710</v>
      </c>
      <c r="G4244" s="13" t="s">
        <v>1709</v>
      </c>
    </row>
    <row r="4245" spans="1:7">
      <c r="A4245" s="15" t="s">
        <v>1711</v>
      </c>
      <c r="B4245" s="13">
        <v>0.2</v>
      </c>
      <c r="C4245" s="16">
        <v>-1.8000000000000002E-2</v>
      </c>
      <c r="D4245" s="13" t="s">
        <v>1709</v>
      </c>
      <c r="E4245" s="12" t="s">
        <v>1710</v>
      </c>
      <c r="F4245" s="12" t="s">
        <v>1710</v>
      </c>
      <c r="G4245" s="13" t="s">
        <v>1709</v>
      </c>
    </row>
    <row r="4246" spans="1:7">
      <c r="A4246" s="15" t="s">
        <v>1711</v>
      </c>
      <c r="B4246" s="13">
        <v>0.2</v>
      </c>
      <c r="C4246" s="16">
        <v>-1.8000000000000002E-2</v>
      </c>
      <c r="D4246" s="13" t="s">
        <v>1709</v>
      </c>
      <c r="E4246" s="12" t="s">
        <v>1710</v>
      </c>
      <c r="F4246" s="12" t="s">
        <v>1710</v>
      </c>
      <c r="G4246" s="13" t="s">
        <v>1709</v>
      </c>
    </row>
    <row r="4247" spans="1:7">
      <c r="A4247" s="15" t="s">
        <v>1711</v>
      </c>
      <c r="B4247" s="13">
        <v>0.2</v>
      </c>
      <c r="C4247" s="16">
        <v>-0.108</v>
      </c>
      <c r="D4247" s="13" t="s">
        <v>1709</v>
      </c>
      <c r="E4247" s="12" t="s">
        <v>1710</v>
      </c>
      <c r="F4247" s="12" t="s">
        <v>1710</v>
      </c>
      <c r="G4247" s="13" t="s">
        <v>1709</v>
      </c>
    </row>
    <row r="4248" spans="1:7">
      <c r="A4248" s="15" t="s">
        <v>1711</v>
      </c>
      <c r="B4248" s="13">
        <v>0.2</v>
      </c>
      <c r="C4248" s="16">
        <v>5.0000000000000001E-3</v>
      </c>
      <c r="D4248" s="13" t="s">
        <v>1712</v>
      </c>
      <c r="E4248" s="11" t="s">
        <v>1738</v>
      </c>
      <c r="F4248" s="12" t="s">
        <v>1714</v>
      </c>
      <c r="G4248" s="13" t="s">
        <v>1709</v>
      </c>
    </row>
    <row r="4249" spans="1:7">
      <c r="A4249" s="15" t="s">
        <v>1711</v>
      </c>
      <c r="B4249" s="13">
        <v>0.2</v>
      </c>
      <c r="C4249" s="16">
        <v>5.0000000000000001E-3</v>
      </c>
      <c r="D4249" s="13" t="s">
        <v>1712</v>
      </c>
      <c r="E4249" s="11" t="s">
        <v>1738</v>
      </c>
      <c r="F4249" s="12" t="s">
        <v>1714</v>
      </c>
      <c r="G4249" s="13" t="s">
        <v>1709</v>
      </c>
    </row>
    <row r="4250" spans="1:7">
      <c r="A4250" s="15" t="s">
        <v>1711</v>
      </c>
      <c r="B4250" s="13">
        <v>0.2</v>
      </c>
      <c r="C4250" s="16">
        <v>7.1000000000000008E-2</v>
      </c>
      <c r="D4250" s="13" t="s">
        <v>1712</v>
      </c>
      <c r="E4250" s="11" t="s">
        <v>1738</v>
      </c>
      <c r="F4250" s="12" t="s">
        <v>1714</v>
      </c>
      <c r="G4250" s="13" t="s">
        <v>1709</v>
      </c>
    </row>
    <row r="4251" spans="1:7">
      <c r="A4251" s="15" t="s">
        <v>1711</v>
      </c>
      <c r="B4251" s="13">
        <v>0.2</v>
      </c>
      <c r="C4251" s="16">
        <v>5.5E-2</v>
      </c>
      <c r="D4251" s="13" t="s">
        <v>1712</v>
      </c>
      <c r="E4251" s="11" t="s">
        <v>1738</v>
      </c>
      <c r="F4251" s="12" t="s">
        <v>1714</v>
      </c>
      <c r="G4251" s="13" t="s">
        <v>1709</v>
      </c>
    </row>
    <row r="4252" spans="1:7">
      <c r="A4252" s="15" t="s">
        <v>1711</v>
      </c>
      <c r="B4252" s="13">
        <v>0.2</v>
      </c>
      <c r="C4252" s="16">
        <v>1.607</v>
      </c>
      <c r="D4252" s="13" t="s">
        <v>1712</v>
      </c>
      <c r="E4252" s="11" t="s">
        <v>1738</v>
      </c>
      <c r="F4252" s="12" t="s">
        <v>1714</v>
      </c>
      <c r="G4252" s="13" t="s">
        <v>1709</v>
      </c>
    </row>
    <row r="4253" spans="1:7">
      <c r="A4253" s="15" t="s">
        <v>1711</v>
      </c>
      <c r="B4253" s="13">
        <v>0.2</v>
      </c>
      <c r="C4253" s="16">
        <v>0.68899999999999995</v>
      </c>
      <c r="D4253" s="13" t="s">
        <v>1712</v>
      </c>
      <c r="E4253" s="12" t="s">
        <v>1715</v>
      </c>
      <c r="F4253" s="12" t="s">
        <v>1714</v>
      </c>
      <c r="G4253" s="13" t="s">
        <v>1709</v>
      </c>
    </row>
    <row r="4254" spans="1:7">
      <c r="A4254" s="15" t="s">
        <v>1711</v>
      </c>
      <c r="B4254" s="13">
        <v>0.2</v>
      </c>
      <c r="C4254" s="16">
        <v>0.47799999999999998</v>
      </c>
      <c r="D4254" s="13" t="s">
        <v>1712</v>
      </c>
      <c r="E4254" s="11" t="s">
        <v>1738</v>
      </c>
      <c r="F4254" s="12" t="s">
        <v>1714</v>
      </c>
      <c r="G4254" s="13" t="s">
        <v>1709</v>
      </c>
    </row>
    <row r="4255" spans="1:7">
      <c r="A4255" s="15" t="s">
        <v>1711</v>
      </c>
      <c r="B4255" s="13">
        <v>0.2</v>
      </c>
      <c r="C4255" s="16">
        <v>0.47799999999999998</v>
      </c>
      <c r="D4255" s="13" t="s">
        <v>1712</v>
      </c>
      <c r="E4255" s="11" t="s">
        <v>1738</v>
      </c>
      <c r="F4255" s="12" t="s">
        <v>1714</v>
      </c>
      <c r="G4255" s="13" t="s">
        <v>1709</v>
      </c>
    </row>
    <row r="4256" spans="1:7">
      <c r="A4256" s="15" t="s">
        <v>1711</v>
      </c>
      <c r="B4256" s="13">
        <v>0.2</v>
      </c>
      <c r="C4256" s="16">
        <v>-6.5000000000000002E-2</v>
      </c>
      <c r="D4256" s="13" t="s">
        <v>1709</v>
      </c>
      <c r="E4256" s="12" t="s">
        <v>1710</v>
      </c>
      <c r="F4256" s="12" t="s">
        <v>1710</v>
      </c>
      <c r="G4256" s="13" t="s">
        <v>1709</v>
      </c>
    </row>
    <row r="4257" spans="1:7">
      <c r="A4257" s="15" t="s">
        <v>1711</v>
      </c>
      <c r="B4257" s="13">
        <v>0.2</v>
      </c>
      <c r="C4257" s="16">
        <v>-4.3999999999999997E-2</v>
      </c>
      <c r="D4257" s="13" t="s">
        <v>1709</v>
      </c>
      <c r="E4257" s="12" t="s">
        <v>1710</v>
      </c>
      <c r="F4257" s="12" t="s">
        <v>1710</v>
      </c>
      <c r="G4257" s="13" t="s">
        <v>1709</v>
      </c>
    </row>
    <row r="4258" spans="1:7">
      <c r="A4258" s="15" t="s">
        <v>1711</v>
      </c>
      <c r="B4258" s="13">
        <v>0.2</v>
      </c>
      <c r="C4258" s="16">
        <v>-0.09</v>
      </c>
      <c r="D4258" s="13" t="s">
        <v>1709</v>
      </c>
      <c r="E4258" s="12" t="s">
        <v>1710</v>
      </c>
      <c r="F4258" s="12" t="s">
        <v>1710</v>
      </c>
      <c r="G4258" s="13" t="s">
        <v>1709</v>
      </c>
    </row>
    <row r="4259" spans="1:7">
      <c r="A4259" s="15" t="s">
        <v>1711</v>
      </c>
      <c r="B4259" s="13">
        <v>0.2</v>
      </c>
      <c r="C4259" s="16">
        <v>0.79400000000000004</v>
      </c>
      <c r="D4259" s="13" t="s">
        <v>1712</v>
      </c>
      <c r="E4259" s="12" t="s">
        <v>1713</v>
      </c>
      <c r="F4259" s="12" t="s">
        <v>1714</v>
      </c>
      <c r="G4259" s="13" t="s">
        <v>1709</v>
      </c>
    </row>
    <row r="4260" spans="1:7">
      <c r="A4260" s="15" t="s">
        <v>1711</v>
      </c>
      <c r="B4260" s="13">
        <v>0.2</v>
      </c>
      <c r="C4260" s="16">
        <v>0.79400000000000004</v>
      </c>
      <c r="D4260" s="13" t="s">
        <v>1712</v>
      </c>
      <c r="E4260" s="12" t="s">
        <v>1713</v>
      </c>
      <c r="F4260" s="12" t="s">
        <v>1714</v>
      </c>
      <c r="G4260" s="13" t="s">
        <v>1709</v>
      </c>
    </row>
    <row r="4261" spans="1:7">
      <c r="A4261" s="15" t="s">
        <v>1711</v>
      </c>
      <c r="B4261" s="13">
        <v>0.2</v>
      </c>
      <c r="C4261" s="16">
        <v>0.79400000000000004</v>
      </c>
      <c r="D4261" s="13" t="s">
        <v>1712</v>
      </c>
      <c r="E4261" s="12" t="s">
        <v>1713</v>
      </c>
      <c r="F4261" s="12" t="s">
        <v>1714</v>
      </c>
      <c r="G4261" s="13" t="s">
        <v>1709</v>
      </c>
    </row>
    <row r="4262" spans="1:7">
      <c r="A4262" s="15" t="s">
        <v>1711</v>
      </c>
      <c r="B4262" s="13">
        <v>0.2</v>
      </c>
      <c r="C4262" s="16">
        <v>0.79400000000000004</v>
      </c>
      <c r="D4262" s="13" t="s">
        <v>1712</v>
      </c>
      <c r="E4262" s="12" t="s">
        <v>1713</v>
      </c>
      <c r="F4262" s="12" t="s">
        <v>1714</v>
      </c>
      <c r="G4262" s="13" t="s">
        <v>1709</v>
      </c>
    </row>
    <row r="4263" spans="1:7">
      <c r="A4263" s="15" t="s">
        <v>1711</v>
      </c>
      <c r="B4263" s="13">
        <v>0.2</v>
      </c>
      <c r="C4263" s="16">
        <v>0.79400000000000004</v>
      </c>
      <c r="D4263" s="13" t="s">
        <v>1712</v>
      </c>
      <c r="E4263" s="12" t="s">
        <v>1713</v>
      </c>
      <c r="F4263" s="12" t="s">
        <v>1714</v>
      </c>
      <c r="G4263" s="13" t="s">
        <v>1709</v>
      </c>
    </row>
    <row r="4264" spans="1:7">
      <c r="A4264" s="15" t="s">
        <v>1711</v>
      </c>
      <c r="B4264" s="13">
        <v>0.2</v>
      </c>
      <c r="C4264" s="16">
        <v>0.79400000000000004</v>
      </c>
      <c r="D4264" s="13" t="s">
        <v>1712</v>
      </c>
      <c r="E4264" s="12" t="s">
        <v>1713</v>
      </c>
      <c r="F4264" s="12" t="s">
        <v>1714</v>
      </c>
      <c r="G4264" s="13" t="s">
        <v>1709</v>
      </c>
    </row>
    <row r="4265" spans="1:7">
      <c r="A4265" s="15" t="s">
        <v>1711</v>
      </c>
      <c r="B4265" s="13">
        <v>0.2</v>
      </c>
      <c r="C4265" s="16">
        <v>0.79400000000000004</v>
      </c>
      <c r="D4265" s="13" t="s">
        <v>1712</v>
      </c>
      <c r="E4265" s="12" t="s">
        <v>1713</v>
      </c>
      <c r="F4265" s="12" t="s">
        <v>1714</v>
      </c>
      <c r="G4265" s="13" t="s">
        <v>1709</v>
      </c>
    </row>
    <row r="4266" spans="1:7">
      <c r="A4266" s="15" t="s">
        <v>1711</v>
      </c>
      <c r="B4266" s="13">
        <v>0.2</v>
      </c>
      <c r="C4266" s="16">
        <v>4.5999999999999999E-2</v>
      </c>
      <c r="D4266" s="13" t="s">
        <v>1712</v>
      </c>
      <c r="E4266" s="12" t="s">
        <v>1713</v>
      </c>
      <c r="F4266" s="12" t="s">
        <v>1714</v>
      </c>
      <c r="G4266" s="13" t="s">
        <v>1709</v>
      </c>
    </row>
    <row r="4267" spans="1:7">
      <c r="A4267" s="15" t="s">
        <v>1711</v>
      </c>
      <c r="B4267" s="13">
        <v>0.2</v>
      </c>
      <c r="C4267" s="16">
        <v>-7.2999999999999995E-2</v>
      </c>
      <c r="D4267" s="13" t="s">
        <v>1709</v>
      </c>
      <c r="E4267" s="12" t="s">
        <v>1710</v>
      </c>
      <c r="F4267" s="12" t="s">
        <v>1710</v>
      </c>
      <c r="G4267" s="13" t="s">
        <v>1709</v>
      </c>
    </row>
    <row r="4268" spans="1:7">
      <c r="A4268" s="15" t="s">
        <v>1711</v>
      </c>
      <c r="B4268" s="13">
        <v>0.2</v>
      </c>
      <c r="C4268" s="16">
        <v>1.333</v>
      </c>
      <c r="D4268" s="13" t="s">
        <v>1712</v>
      </c>
      <c r="E4268" s="12" t="s">
        <v>1713</v>
      </c>
      <c r="F4268" s="12" t="s">
        <v>1714</v>
      </c>
      <c r="G4268" s="13" t="s">
        <v>1709</v>
      </c>
    </row>
    <row r="4269" spans="1:7">
      <c r="A4269" s="15" t="s">
        <v>1711</v>
      </c>
      <c r="B4269" s="13">
        <v>0.2</v>
      </c>
      <c r="C4269" s="16">
        <v>0.2</v>
      </c>
      <c r="D4269" s="13" t="s">
        <v>1712</v>
      </c>
      <c r="E4269" s="12" t="s">
        <v>1715</v>
      </c>
      <c r="F4269" s="12" t="s">
        <v>1714</v>
      </c>
      <c r="G4269" s="13" t="s">
        <v>1709</v>
      </c>
    </row>
    <row r="4270" spans="1:7">
      <c r="A4270" s="15" t="s">
        <v>1711</v>
      </c>
      <c r="B4270" s="13">
        <v>0.2</v>
      </c>
      <c r="C4270" s="16">
        <v>0.68700000000000006</v>
      </c>
      <c r="D4270" s="13" t="s">
        <v>1712</v>
      </c>
      <c r="E4270" s="12" t="s">
        <v>1715</v>
      </c>
      <c r="F4270" s="12" t="s">
        <v>1714</v>
      </c>
      <c r="G4270" s="13" t="s">
        <v>1709</v>
      </c>
    </row>
    <row r="4271" spans="1:7">
      <c r="A4271" s="15" t="s">
        <v>1711</v>
      </c>
      <c r="B4271" s="13">
        <v>0.2</v>
      </c>
      <c r="C4271" s="16">
        <v>0.72099999999999997</v>
      </c>
      <c r="D4271" s="13" t="s">
        <v>1712</v>
      </c>
      <c r="E4271" s="12" t="s">
        <v>1715</v>
      </c>
      <c r="F4271" s="12" t="s">
        <v>1714</v>
      </c>
      <c r="G4271" s="13" t="s">
        <v>1709</v>
      </c>
    </row>
    <row r="4272" spans="1:7">
      <c r="A4272" s="15" t="s">
        <v>1711</v>
      </c>
      <c r="B4272" s="13">
        <v>0.2</v>
      </c>
      <c r="C4272" s="16">
        <v>0.72099999999999997</v>
      </c>
      <c r="D4272" s="13" t="s">
        <v>1712</v>
      </c>
      <c r="E4272" s="12" t="s">
        <v>1715</v>
      </c>
      <c r="F4272" s="12" t="s">
        <v>1714</v>
      </c>
      <c r="G4272" s="13" t="s">
        <v>1709</v>
      </c>
    </row>
    <row r="4273" spans="1:7">
      <c r="A4273" s="15" t="s">
        <v>1711</v>
      </c>
      <c r="B4273" s="13">
        <v>0.2</v>
      </c>
      <c r="C4273" s="16">
        <v>0.90500000000000003</v>
      </c>
      <c r="D4273" s="13" t="s">
        <v>1712</v>
      </c>
      <c r="E4273" s="11" t="s">
        <v>1738</v>
      </c>
      <c r="F4273" s="12" t="s">
        <v>1714</v>
      </c>
      <c r="G4273" s="13" t="s">
        <v>1709</v>
      </c>
    </row>
    <row r="4274" spans="1:7">
      <c r="A4274" s="15" t="s">
        <v>1711</v>
      </c>
      <c r="B4274" s="13">
        <v>0.2</v>
      </c>
      <c r="C4274" s="16">
        <v>0.68700000000000006</v>
      </c>
      <c r="D4274" s="13" t="s">
        <v>1712</v>
      </c>
      <c r="E4274" s="11" t="s">
        <v>1738</v>
      </c>
      <c r="F4274" s="12" t="s">
        <v>1714</v>
      </c>
      <c r="G4274" s="13" t="s">
        <v>1709</v>
      </c>
    </row>
    <row r="4275" spans="1:7">
      <c r="A4275" s="15" t="s">
        <v>1711</v>
      </c>
      <c r="B4275" s="13">
        <v>0.2</v>
      </c>
      <c r="C4275" s="16">
        <v>0.68700000000000006</v>
      </c>
      <c r="D4275" s="13" t="s">
        <v>1712</v>
      </c>
      <c r="E4275" s="11" t="s">
        <v>1738</v>
      </c>
      <c r="F4275" s="12" t="s">
        <v>1714</v>
      </c>
      <c r="G4275" s="13" t="s">
        <v>1709</v>
      </c>
    </row>
    <row r="4276" spans="1:7">
      <c r="A4276" s="15" t="s">
        <v>1711</v>
      </c>
      <c r="B4276" s="13">
        <v>0.2</v>
      </c>
      <c r="C4276" s="16">
        <v>1.1759999999999999</v>
      </c>
      <c r="D4276" s="13" t="s">
        <v>1712</v>
      </c>
      <c r="E4276" s="12" t="s">
        <v>1715</v>
      </c>
      <c r="F4276" s="12" t="s">
        <v>1714</v>
      </c>
      <c r="G4276" s="13" t="s">
        <v>1709</v>
      </c>
    </row>
    <row r="4277" spans="1:7">
      <c r="A4277" s="15" t="s">
        <v>1711</v>
      </c>
      <c r="B4277" s="13">
        <v>0.2</v>
      </c>
      <c r="C4277" s="16">
        <v>-7.8E-2</v>
      </c>
      <c r="D4277" s="13" t="s">
        <v>1709</v>
      </c>
      <c r="E4277" s="12" t="s">
        <v>1710</v>
      </c>
      <c r="F4277" s="12" t="s">
        <v>1710</v>
      </c>
      <c r="G4277" s="13" t="s">
        <v>1709</v>
      </c>
    </row>
    <row r="4278" spans="1:7">
      <c r="A4278" s="15" t="s">
        <v>1711</v>
      </c>
      <c r="B4278" s="13">
        <v>0.2</v>
      </c>
      <c r="C4278" s="16">
        <v>-7.8E-2</v>
      </c>
      <c r="D4278" s="13" t="s">
        <v>1709</v>
      </c>
      <c r="E4278" s="12" t="s">
        <v>1710</v>
      </c>
      <c r="F4278" s="12" t="s">
        <v>1710</v>
      </c>
      <c r="G4278" s="13" t="s">
        <v>1709</v>
      </c>
    </row>
    <row r="4279" spans="1:7">
      <c r="A4279" s="15" t="s">
        <v>1711</v>
      </c>
      <c r="B4279" s="13">
        <v>0.2</v>
      </c>
      <c r="C4279" s="16">
        <v>4.5999999999999999E-2</v>
      </c>
      <c r="D4279" s="13" t="s">
        <v>1712</v>
      </c>
      <c r="E4279" s="12" t="s">
        <v>1715</v>
      </c>
      <c r="F4279" s="12" t="s">
        <v>1714</v>
      </c>
      <c r="G4279" s="13" t="s">
        <v>1709</v>
      </c>
    </row>
    <row r="4280" spans="1:7">
      <c r="A4280" s="15" t="s">
        <v>1711</v>
      </c>
      <c r="B4280" s="13">
        <v>0.2</v>
      </c>
      <c r="C4280" s="16">
        <v>0.38200000000000001</v>
      </c>
      <c r="D4280" s="13" t="s">
        <v>1712</v>
      </c>
      <c r="E4280" s="12" t="s">
        <v>1715</v>
      </c>
      <c r="F4280" s="12" t="s">
        <v>1714</v>
      </c>
      <c r="G4280" s="13" t="s">
        <v>1709</v>
      </c>
    </row>
    <row r="4281" spans="1:7">
      <c r="A4281" s="15" t="s">
        <v>1711</v>
      </c>
      <c r="B4281" s="13">
        <v>0.2</v>
      </c>
      <c r="C4281" s="16">
        <v>0.17899999999999999</v>
      </c>
      <c r="D4281" s="13" t="s">
        <v>1712</v>
      </c>
      <c r="E4281" s="11" t="s">
        <v>1738</v>
      </c>
      <c r="F4281" s="12" t="s">
        <v>1714</v>
      </c>
      <c r="G4281" s="13" t="s">
        <v>1709</v>
      </c>
    </row>
    <row r="4282" spans="1:7">
      <c r="A4282" s="15" t="s">
        <v>1711</v>
      </c>
      <c r="B4282" s="13">
        <v>0.2</v>
      </c>
      <c r="C4282" s="16">
        <v>0.86399999999999999</v>
      </c>
      <c r="D4282" s="13" t="s">
        <v>1712</v>
      </c>
      <c r="E4282" s="12" t="s">
        <v>1713</v>
      </c>
      <c r="F4282" s="12" t="s">
        <v>1714</v>
      </c>
      <c r="G4282" s="13" t="s">
        <v>1709</v>
      </c>
    </row>
    <row r="4283" spans="1:7">
      <c r="A4283" s="15" t="s">
        <v>1711</v>
      </c>
      <c r="B4283" s="13">
        <v>0.2</v>
      </c>
      <c r="C4283" s="16">
        <v>0.86399999999999999</v>
      </c>
      <c r="D4283" s="13" t="s">
        <v>1712</v>
      </c>
      <c r="E4283" s="11" t="s">
        <v>1738</v>
      </c>
      <c r="F4283" s="12" t="s">
        <v>1714</v>
      </c>
      <c r="G4283" s="13" t="s">
        <v>1709</v>
      </c>
    </row>
    <row r="4284" spans="1:7">
      <c r="A4284" s="15" t="s">
        <v>1711</v>
      </c>
      <c r="B4284" s="13">
        <v>0.2</v>
      </c>
      <c r="C4284" s="16">
        <v>-0.128</v>
      </c>
      <c r="D4284" s="13" t="s">
        <v>1709</v>
      </c>
      <c r="E4284" s="12" t="s">
        <v>1710</v>
      </c>
      <c r="F4284" s="12" t="s">
        <v>1710</v>
      </c>
      <c r="G4284" s="13" t="s">
        <v>1709</v>
      </c>
    </row>
    <row r="4285" spans="1:7">
      <c r="A4285" s="15" t="s">
        <v>1711</v>
      </c>
      <c r="B4285" s="13">
        <v>0.2</v>
      </c>
      <c r="C4285" s="16">
        <v>1.819</v>
      </c>
      <c r="D4285" s="13" t="s">
        <v>1712</v>
      </c>
      <c r="E4285" s="11" t="s">
        <v>1738</v>
      </c>
      <c r="F4285" s="12" t="s">
        <v>1714</v>
      </c>
      <c r="G4285" s="13" t="s">
        <v>1709</v>
      </c>
    </row>
    <row r="4286" spans="1:7">
      <c r="A4286" s="15" t="s">
        <v>1711</v>
      </c>
      <c r="B4286" s="13">
        <v>0.2</v>
      </c>
      <c r="C4286" s="16">
        <v>1.333</v>
      </c>
      <c r="D4286" s="13" t="s">
        <v>1712</v>
      </c>
      <c r="E4286" s="11" t="s">
        <v>1738</v>
      </c>
      <c r="F4286" s="12" t="s">
        <v>1714</v>
      </c>
      <c r="G4286" s="13" t="s">
        <v>1709</v>
      </c>
    </row>
    <row r="4287" spans="1:7">
      <c r="A4287" s="15" t="s">
        <v>1711</v>
      </c>
      <c r="B4287" s="13">
        <v>0.2</v>
      </c>
      <c r="C4287" s="16">
        <v>1.333</v>
      </c>
      <c r="D4287" s="13" t="s">
        <v>1712</v>
      </c>
      <c r="E4287" s="11" t="s">
        <v>1738</v>
      </c>
      <c r="F4287" s="12" t="s">
        <v>1714</v>
      </c>
      <c r="G4287" s="13" t="s">
        <v>1709</v>
      </c>
    </row>
    <row r="4288" spans="1:7">
      <c r="A4288" s="15" t="s">
        <v>1711</v>
      </c>
      <c r="B4288" s="13">
        <v>0.2</v>
      </c>
      <c r="C4288" s="16">
        <v>-5.5E-2</v>
      </c>
      <c r="D4288" s="13" t="s">
        <v>1709</v>
      </c>
      <c r="E4288" s="12" t="s">
        <v>1710</v>
      </c>
      <c r="F4288" s="12" t="s">
        <v>1710</v>
      </c>
      <c r="G4288" s="13" t="s">
        <v>1709</v>
      </c>
    </row>
    <row r="4289" spans="1:7">
      <c r="A4289" s="15" t="s">
        <v>1711</v>
      </c>
      <c r="B4289" s="13">
        <v>0.2</v>
      </c>
      <c r="C4289" s="16">
        <v>0.186</v>
      </c>
      <c r="D4289" s="13" t="s">
        <v>1712</v>
      </c>
      <c r="E4289" s="11" t="s">
        <v>1738</v>
      </c>
      <c r="F4289" s="12" t="s">
        <v>1714</v>
      </c>
      <c r="G4289" s="13" t="s">
        <v>1709</v>
      </c>
    </row>
    <row r="4290" spans="1:7">
      <c r="A4290" s="15" t="s">
        <v>1711</v>
      </c>
      <c r="B4290" s="13">
        <v>0.2</v>
      </c>
      <c r="C4290" s="16">
        <v>4.3999999999999997E-2</v>
      </c>
      <c r="D4290" s="13" t="s">
        <v>1712</v>
      </c>
      <c r="E4290" s="12" t="s">
        <v>1713</v>
      </c>
      <c r="F4290" s="12" t="s">
        <v>1714</v>
      </c>
      <c r="G4290" s="13" t="s">
        <v>1709</v>
      </c>
    </row>
    <row r="4291" spans="1:7">
      <c r="A4291" s="15" t="s">
        <v>1711</v>
      </c>
      <c r="B4291" s="13">
        <v>0.2</v>
      </c>
      <c r="C4291" s="16">
        <v>-0.11800000000000001</v>
      </c>
      <c r="D4291" s="13" t="s">
        <v>1709</v>
      </c>
      <c r="E4291" s="12" t="s">
        <v>1710</v>
      </c>
      <c r="F4291" s="12" t="s">
        <v>1710</v>
      </c>
      <c r="G4291" s="13" t="s">
        <v>1709</v>
      </c>
    </row>
    <row r="4292" spans="1:7">
      <c r="A4292" s="15" t="s">
        <v>1711</v>
      </c>
      <c r="B4292" s="13">
        <v>0.2</v>
      </c>
      <c r="C4292" s="16">
        <v>0.254</v>
      </c>
      <c r="D4292" s="13" t="s">
        <v>1712</v>
      </c>
      <c r="E4292" s="11" t="s">
        <v>1738</v>
      </c>
      <c r="F4292" s="12" t="s">
        <v>1714</v>
      </c>
      <c r="G4292" s="13" t="s">
        <v>1709</v>
      </c>
    </row>
    <row r="4293" spans="1:7">
      <c r="A4293" s="15" t="s">
        <v>1711</v>
      </c>
      <c r="B4293" s="13">
        <v>0.2</v>
      </c>
      <c r="C4293" s="16">
        <v>0.155</v>
      </c>
      <c r="D4293" s="13" t="s">
        <v>1712</v>
      </c>
      <c r="E4293" s="12" t="s">
        <v>1736</v>
      </c>
      <c r="F4293" s="12" t="s">
        <v>1714</v>
      </c>
      <c r="G4293" s="13" t="s">
        <v>1709</v>
      </c>
    </row>
    <row r="4294" spans="1:7">
      <c r="A4294" s="15" t="s">
        <v>1711</v>
      </c>
      <c r="B4294" s="13">
        <v>0.2</v>
      </c>
      <c r="C4294" s="16">
        <v>-0.14100000000000001</v>
      </c>
      <c r="D4294" s="13" t="s">
        <v>1709</v>
      </c>
      <c r="E4294" s="12" t="s">
        <v>1710</v>
      </c>
      <c r="F4294" s="12" t="s">
        <v>1710</v>
      </c>
      <c r="G4294" s="13" t="s">
        <v>1709</v>
      </c>
    </row>
    <row r="4295" spans="1:7">
      <c r="A4295" s="15" t="s">
        <v>1711</v>
      </c>
      <c r="B4295" s="13">
        <v>0.2</v>
      </c>
      <c r="C4295" s="16">
        <v>-3.6999999999999998E-2</v>
      </c>
      <c r="D4295" s="13" t="s">
        <v>1709</v>
      </c>
      <c r="E4295" s="12" t="s">
        <v>1710</v>
      </c>
      <c r="F4295" s="12" t="s">
        <v>1710</v>
      </c>
      <c r="G4295" s="13" t="s">
        <v>1709</v>
      </c>
    </row>
    <row r="4296" spans="1:7">
      <c r="A4296" s="15" t="s">
        <v>1711</v>
      </c>
      <c r="B4296" s="13">
        <v>0.2</v>
      </c>
      <c r="C4296" s="16">
        <v>-3.6999999999999998E-2</v>
      </c>
      <c r="D4296" s="13" t="s">
        <v>1709</v>
      </c>
      <c r="E4296" s="12" t="s">
        <v>1710</v>
      </c>
      <c r="F4296" s="12" t="s">
        <v>1710</v>
      </c>
      <c r="G4296" s="13" t="s">
        <v>1709</v>
      </c>
    </row>
    <row r="4297" spans="1:7">
      <c r="A4297" s="15" t="s">
        <v>1711</v>
      </c>
      <c r="B4297" s="13">
        <v>0.2</v>
      </c>
      <c r="C4297" s="16">
        <v>-3.6999999999999998E-2</v>
      </c>
      <c r="D4297" s="13" t="s">
        <v>1709</v>
      </c>
      <c r="E4297" s="12" t="s">
        <v>1710</v>
      </c>
      <c r="F4297" s="12" t="s">
        <v>1710</v>
      </c>
      <c r="G4297" s="13" t="s">
        <v>1709</v>
      </c>
    </row>
    <row r="4298" spans="1:7">
      <c r="A4298" s="15" t="s">
        <v>1711</v>
      </c>
      <c r="B4298" s="13">
        <v>0.2</v>
      </c>
      <c r="C4298" s="16">
        <v>4.5999999999999999E-2</v>
      </c>
      <c r="D4298" s="13" t="s">
        <v>1712</v>
      </c>
      <c r="E4298" s="11" t="s">
        <v>1738</v>
      </c>
      <c r="F4298" s="12" t="s">
        <v>1714</v>
      </c>
      <c r="G4298" s="13" t="s">
        <v>1709</v>
      </c>
    </row>
    <row r="4299" spans="1:7">
      <c r="A4299" s="15" t="s">
        <v>1711</v>
      </c>
      <c r="B4299" s="13">
        <v>0.2</v>
      </c>
      <c r="C4299" s="16">
        <v>2.8000000000000001E-2</v>
      </c>
      <c r="D4299" s="13" t="s">
        <v>1712</v>
      </c>
      <c r="E4299" s="11" t="s">
        <v>1738</v>
      </c>
      <c r="F4299" s="12" t="s">
        <v>1714</v>
      </c>
      <c r="G4299" s="13" t="s">
        <v>1709</v>
      </c>
    </row>
    <row r="4300" spans="1:7">
      <c r="A4300" s="15" t="s">
        <v>1711</v>
      </c>
      <c r="B4300" s="13">
        <v>0.2</v>
      </c>
      <c r="C4300" s="16">
        <v>0.875</v>
      </c>
      <c r="D4300" s="13" t="s">
        <v>1712</v>
      </c>
      <c r="E4300" s="11" t="s">
        <v>1738</v>
      </c>
      <c r="F4300" s="12" t="s">
        <v>1714</v>
      </c>
      <c r="G4300" s="13" t="s">
        <v>1709</v>
      </c>
    </row>
    <row r="4301" spans="1:7">
      <c r="A4301" s="15" t="s">
        <v>1711</v>
      </c>
      <c r="B4301" s="13">
        <v>0.2</v>
      </c>
      <c r="C4301" s="16">
        <v>1.7849999999999999</v>
      </c>
      <c r="D4301" s="13" t="s">
        <v>1712</v>
      </c>
      <c r="E4301" s="11" t="s">
        <v>1738</v>
      </c>
      <c r="F4301" s="12" t="s">
        <v>1714</v>
      </c>
      <c r="G4301" s="13" t="s">
        <v>1709</v>
      </c>
    </row>
    <row r="4302" spans="1:7">
      <c r="A4302" s="15" t="s">
        <v>1711</v>
      </c>
      <c r="B4302" s="13">
        <v>0.2</v>
      </c>
      <c r="C4302" s="16">
        <v>1.7849999999999999</v>
      </c>
      <c r="D4302" s="13" t="s">
        <v>1712</v>
      </c>
      <c r="E4302" s="11" t="s">
        <v>1738</v>
      </c>
      <c r="F4302" s="12" t="s">
        <v>1714</v>
      </c>
      <c r="G4302" s="13" t="s">
        <v>1709</v>
      </c>
    </row>
    <row r="4303" spans="1:7">
      <c r="A4303" s="15" t="s">
        <v>1711</v>
      </c>
      <c r="B4303" s="13">
        <v>0.2</v>
      </c>
      <c r="C4303" s="16">
        <v>0.86399999999999999</v>
      </c>
      <c r="D4303" s="13" t="s">
        <v>1712</v>
      </c>
      <c r="E4303" s="11" t="s">
        <v>1738</v>
      </c>
      <c r="F4303" s="12" t="s">
        <v>1714</v>
      </c>
      <c r="G4303" s="13" t="s">
        <v>1709</v>
      </c>
    </row>
    <row r="4304" spans="1:7">
      <c r="A4304" s="15" t="s">
        <v>1711</v>
      </c>
      <c r="B4304" s="13">
        <v>0.2</v>
      </c>
      <c r="C4304" s="16">
        <v>2.8000000000000001E-2</v>
      </c>
      <c r="D4304" s="13" t="s">
        <v>1712</v>
      </c>
      <c r="E4304" s="11" t="s">
        <v>1738</v>
      </c>
      <c r="F4304" s="12" t="s">
        <v>1714</v>
      </c>
      <c r="G4304" s="13" t="s">
        <v>1709</v>
      </c>
    </row>
    <row r="4305" spans="1:7">
      <c r="A4305" s="15" t="s">
        <v>1711</v>
      </c>
      <c r="B4305" s="13">
        <v>0.2</v>
      </c>
      <c r="C4305" s="16">
        <v>0.155</v>
      </c>
      <c r="D4305" s="13" t="s">
        <v>1712</v>
      </c>
      <c r="E4305" s="11" t="s">
        <v>1738</v>
      </c>
      <c r="F4305" s="12" t="s">
        <v>1714</v>
      </c>
      <c r="G4305" s="13" t="s">
        <v>1709</v>
      </c>
    </row>
    <row r="4306" spans="1:7">
      <c r="A4306" s="15" t="s">
        <v>1711</v>
      </c>
      <c r="B4306" s="13">
        <v>0.2</v>
      </c>
      <c r="C4306" s="16">
        <v>0.86799999999999999</v>
      </c>
      <c r="D4306" s="13" t="s">
        <v>1712</v>
      </c>
      <c r="E4306" s="12" t="s">
        <v>1715</v>
      </c>
      <c r="F4306" s="12" t="s">
        <v>1714</v>
      </c>
      <c r="G4306" s="13" t="s">
        <v>1709</v>
      </c>
    </row>
    <row r="4307" spans="1:7">
      <c r="A4307" s="15" t="s">
        <v>1711</v>
      </c>
      <c r="B4307" s="13">
        <v>0.2</v>
      </c>
      <c r="C4307" s="16">
        <v>2.4E-2</v>
      </c>
      <c r="D4307" s="13" t="s">
        <v>1712</v>
      </c>
      <c r="E4307" s="12" t="s">
        <v>1715</v>
      </c>
      <c r="F4307" s="12" t="s">
        <v>1714</v>
      </c>
      <c r="G4307" s="13" t="s">
        <v>1709</v>
      </c>
    </row>
    <row r="4308" spans="1:7">
      <c r="A4308" s="15" t="s">
        <v>1711</v>
      </c>
      <c r="B4308" s="13">
        <v>0.2</v>
      </c>
      <c r="C4308" s="16">
        <v>0.13800000000000001</v>
      </c>
      <c r="D4308" s="13" t="s">
        <v>1712</v>
      </c>
      <c r="E4308" s="12" t="s">
        <v>1715</v>
      </c>
      <c r="F4308" s="12" t="s">
        <v>1714</v>
      </c>
      <c r="G4308" s="13" t="s">
        <v>1709</v>
      </c>
    </row>
    <row r="4309" spans="1:7">
      <c r="A4309" s="15" t="s">
        <v>1711</v>
      </c>
      <c r="B4309" s="13">
        <v>0.2</v>
      </c>
      <c r="C4309" s="16">
        <v>-7.4999999999999997E-2</v>
      </c>
      <c r="D4309" s="13" t="s">
        <v>1709</v>
      </c>
      <c r="E4309" s="12" t="s">
        <v>1710</v>
      </c>
      <c r="F4309" s="12" t="s">
        <v>1710</v>
      </c>
      <c r="G4309" s="13" t="s">
        <v>1709</v>
      </c>
    </row>
    <row r="4310" spans="1:7">
      <c r="A4310" s="15" t="s">
        <v>1711</v>
      </c>
      <c r="B4310" s="13">
        <v>0.2</v>
      </c>
      <c r="C4310" s="16">
        <v>1.9749999999999999</v>
      </c>
      <c r="D4310" s="13" t="s">
        <v>1712</v>
      </c>
      <c r="E4310" s="12" t="s">
        <v>1715</v>
      </c>
      <c r="F4310" s="12" t="s">
        <v>1714</v>
      </c>
      <c r="G4310" s="13" t="s">
        <v>1709</v>
      </c>
    </row>
    <row r="4311" spans="1:7">
      <c r="A4311" s="15" t="s">
        <v>1711</v>
      </c>
      <c r="B4311" s="13">
        <v>0.2</v>
      </c>
      <c r="C4311" s="16">
        <v>-0.11</v>
      </c>
      <c r="D4311" s="13" t="s">
        <v>1709</v>
      </c>
      <c r="E4311" s="12" t="s">
        <v>1710</v>
      </c>
      <c r="F4311" s="12" t="s">
        <v>1710</v>
      </c>
      <c r="G4311" s="13" t="s">
        <v>1709</v>
      </c>
    </row>
    <row r="4312" spans="1:7">
      <c r="A4312" s="15" t="s">
        <v>1711</v>
      </c>
      <c r="B4312" s="13">
        <v>0.2</v>
      </c>
      <c r="C4312" s="16">
        <v>-0.17299999999999999</v>
      </c>
      <c r="D4312" s="13" t="s">
        <v>1709</v>
      </c>
      <c r="E4312" s="12" t="s">
        <v>1710</v>
      </c>
      <c r="F4312" s="12" t="s">
        <v>1710</v>
      </c>
      <c r="G4312" s="13" t="s">
        <v>1709</v>
      </c>
    </row>
    <row r="4313" spans="1:7">
      <c r="A4313" s="15" t="s">
        <v>1711</v>
      </c>
      <c r="B4313" s="13">
        <v>0.2</v>
      </c>
      <c r="C4313" s="16">
        <v>0.82299999999999995</v>
      </c>
      <c r="D4313" s="13" t="s">
        <v>1712</v>
      </c>
      <c r="E4313" s="12" t="s">
        <v>1715</v>
      </c>
      <c r="F4313" s="12" t="s">
        <v>1714</v>
      </c>
      <c r="G4313" s="13" t="s">
        <v>1709</v>
      </c>
    </row>
    <row r="4314" spans="1:7">
      <c r="A4314" s="15" t="s">
        <v>1711</v>
      </c>
      <c r="B4314" s="13">
        <v>0.2</v>
      </c>
      <c r="C4314" s="16">
        <v>0.82299999999999995</v>
      </c>
      <c r="D4314" s="13" t="s">
        <v>1712</v>
      </c>
      <c r="E4314" s="12" t="s">
        <v>1715</v>
      </c>
      <c r="F4314" s="12" t="s">
        <v>1714</v>
      </c>
      <c r="G4314" s="13" t="s">
        <v>1709</v>
      </c>
    </row>
    <row r="4315" spans="1:7">
      <c r="A4315" s="15" t="s">
        <v>1711</v>
      </c>
      <c r="B4315" s="13">
        <v>0.2</v>
      </c>
      <c r="C4315" s="16">
        <v>0.82299999999999995</v>
      </c>
      <c r="D4315" s="13" t="s">
        <v>1712</v>
      </c>
      <c r="E4315" s="12" t="s">
        <v>1715</v>
      </c>
      <c r="F4315" s="12" t="s">
        <v>1714</v>
      </c>
      <c r="G4315" s="13" t="s">
        <v>1709</v>
      </c>
    </row>
    <row r="4316" spans="1:7">
      <c r="A4316" s="15" t="s">
        <v>1711</v>
      </c>
      <c r="B4316" s="13">
        <v>0.2</v>
      </c>
      <c r="C4316" s="16">
        <v>0.82299999999999995</v>
      </c>
      <c r="D4316" s="13" t="s">
        <v>1712</v>
      </c>
      <c r="E4316" s="12" t="s">
        <v>1715</v>
      </c>
      <c r="F4316" s="12" t="s">
        <v>1714</v>
      </c>
      <c r="G4316" s="13" t="s">
        <v>1709</v>
      </c>
    </row>
    <row r="4317" spans="1:7">
      <c r="A4317" s="15" t="s">
        <v>1711</v>
      </c>
      <c r="B4317" s="13">
        <v>0.2</v>
      </c>
      <c r="C4317" s="16">
        <v>0.82299999999999995</v>
      </c>
      <c r="D4317" s="13" t="s">
        <v>1712</v>
      </c>
      <c r="E4317" s="12" t="s">
        <v>1715</v>
      </c>
      <c r="F4317" s="12" t="s">
        <v>1714</v>
      </c>
      <c r="G4317" s="13" t="s">
        <v>1709</v>
      </c>
    </row>
    <row r="4318" spans="1:7">
      <c r="A4318" s="15" t="s">
        <v>1711</v>
      </c>
      <c r="B4318" s="13">
        <v>0.2</v>
      </c>
      <c r="C4318" s="16">
        <v>1.089</v>
      </c>
      <c r="D4318" s="13" t="s">
        <v>1712</v>
      </c>
      <c r="E4318" s="12" t="s">
        <v>1715</v>
      </c>
      <c r="F4318" s="12" t="s">
        <v>1714</v>
      </c>
      <c r="G4318" s="13" t="s">
        <v>1709</v>
      </c>
    </row>
    <row r="4319" spans="1:7">
      <c r="A4319" s="15" t="s">
        <v>1711</v>
      </c>
      <c r="B4319" s="13">
        <v>0.2</v>
      </c>
      <c r="C4319" s="16">
        <v>-4.9000000000000002E-2</v>
      </c>
      <c r="D4319" s="13" t="s">
        <v>1709</v>
      </c>
      <c r="E4319" s="12" t="s">
        <v>1710</v>
      </c>
      <c r="F4319" s="12" t="s">
        <v>1710</v>
      </c>
      <c r="G4319" s="13" t="s">
        <v>1709</v>
      </c>
    </row>
    <row r="4320" spans="1:7">
      <c r="A4320" s="15" t="s">
        <v>1711</v>
      </c>
      <c r="B4320" s="13">
        <v>0.2</v>
      </c>
      <c r="C4320" s="16">
        <v>-4.9000000000000002E-2</v>
      </c>
      <c r="D4320" s="13" t="s">
        <v>1709</v>
      </c>
      <c r="E4320" s="12" t="s">
        <v>1710</v>
      </c>
      <c r="F4320" s="12" t="s">
        <v>1710</v>
      </c>
      <c r="G4320" s="13" t="s">
        <v>1709</v>
      </c>
    </row>
    <row r="4321" spans="1:7">
      <c r="A4321" s="15" t="s">
        <v>1711</v>
      </c>
      <c r="B4321" s="13">
        <v>0.2</v>
      </c>
      <c r="C4321" s="16">
        <v>0.19800000000000001</v>
      </c>
      <c r="D4321" s="13" t="s">
        <v>1712</v>
      </c>
      <c r="E4321" s="12" t="s">
        <v>1715</v>
      </c>
      <c r="F4321" s="12" t="s">
        <v>1714</v>
      </c>
      <c r="G4321" s="13" t="s">
        <v>1709</v>
      </c>
    </row>
    <row r="4322" spans="1:7">
      <c r="A4322" s="15" t="s">
        <v>1711</v>
      </c>
      <c r="B4322" s="13">
        <v>0.2</v>
      </c>
      <c r="C4322" s="16">
        <v>-0.11600000000000001</v>
      </c>
      <c r="D4322" s="13" t="s">
        <v>1709</v>
      </c>
      <c r="E4322" s="12" t="s">
        <v>1710</v>
      </c>
      <c r="F4322" s="12" t="s">
        <v>1710</v>
      </c>
      <c r="G4322" s="13" t="s">
        <v>1709</v>
      </c>
    </row>
    <row r="4323" spans="1:7">
      <c r="A4323" s="15" t="s">
        <v>1711</v>
      </c>
      <c r="B4323" s="13">
        <v>0.2</v>
      </c>
      <c r="C4323" s="16">
        <v>0.70099999999999996</v>
      </c>
      <c r="D4323" s="13" t="s">
        <v>1712</v>
      </c>
      <c r="E4323" s="12" t="s">
        <v>1715</v>
      </c>
      <c r="F4323" s="12" t="s">
        <v>1714</v>
      </c>
      <c r="G4323" s="13" t="s">
        <v>1709</v>
      </c>
    </row>
    <row r="4324" spans="1:7">
      <c r="A4324" s="15" t="s">
        <v>1711</v>
      </c>
      <c r="B4324" s="13">
        <v>0.2</v>
      </c>
      <c r="C4324" s="16">
        <v>0.254</v>
      </c>
      <c r="D4324" s="13" t="s">
        <v>1712</v>
      </c>
      <c r="E4324" s="12" t="s">
        <v>1715</v>
      </c>
      <c r="F4324" s="12" t="s">
        <v>1714</v>
      </c>
      <c r="G4324" s="13" t="s">
        <v>1709</v>
      </c>
    </row>
    <row r="4325" spans="1:7">
      <c r="A4325" s="15" t="s">
        <v>1711</v>
      </c>
      <c r="B4325" s="13">
        <v>0.2</v>
      </c>
      <c r="C4325" s="16">
        <v>0.254</v>
      </c>
      <c r="D4325" s="13" t="s">
        <v>1712</v>
      </c>
      <c r="E4325" s="12" t="s">
        <v>1715</v>
      </c>
      <c r="F4325" s="12" t="s">
        <v>1714</v>
      </c>
      <c r="G4325" s="13" t="s">
        <v>1709</v>
      </c>
    </row>
    <row r="4326" spans="1:7">
      <c r="A4326" s="15" t="s">
        <v>1711</v>
      </c>
      <c r="B4326" s="13">
        <v>0.2</v>
      </c>
      <c r="C4326" s="16">
        <v>0.155</v>
      </c>
      <c r="D4326" s="13" t="s">
        <v>1712</v>
      </c>
      <c r="E4326" s="12" t="s">
        <v>1715</v>
      </c>
      <c r="F4326" s="12" t="s">
        <v>1714</v>
      </c>
      <c r="G4326" s="13" t="s">
        <v>1709</v>
      </c>
    </row>
    <row r="4327" spans="1:7">
      <c r="A4327" s="15" t="s">
        <v>1711</v>
      </c>
      <c r="B4327" s="13">
        <v>0.2</v>
      </c>
      <c r="C4327" s="16">
        <v>1.1819999999999999</v>
      </c>
      <c r="D4327" s="13" t="s">
        <v>1712</v>
      </c>
      <c r="E4327" s="12" t="s">
        <v>1713</v>
      </c>
      <c r="F4327" s="12" t="s">
        <v>1714</v>
      </c>
      <c r="G4327" s="13" t="s">
        <v>1709</v>
      </c>
    </row>
    <row r="4328" spans="1:7">
      <c r="A4328" s="15" t="s">
        <v>1711</v>
      </c>
      <c r="B4328" s="13">
        <v>0.2</v>
      </c>
      <c r="C4328" s="16">
        <v>1.1819999999999999</v>
      </c>
      <c r="D4328" s="13" t="s">
        <v>1712</v>
      </c>
      <c r="E4328" s="12" t="s">
        <v>1713</v>
      </c>
      <c r="F4328" s="12" t="s">
        <v>1714</v>
      </c>
      <c r="G4328" s="13" t="s">
        <v>1709</v>
      </c>
    </row>
    <row r="4329" spans="1:7">
      <c r="A4329" s="15" t="s">
        <v>1711</v>
      </c>
      <c r="B4329" s="13">
        <v>0.2</v>
      </c>
      <c r="C4329" s="16">
        <v>1.1819999999999999</v>
      </c>
      <c r="D4329" s="13" t="s">
        <v>1712</v>
      </c>
      <c r="E4329" s="12" t="s">
        <v>1713</v>
      </c>
      <c r="F4329" s="12" t="s">
        <v>1714</v>
      </c>
      <c r="G4329" s="13" t="s">
        <v>1709</v>
      </c>
    </row>
    <row r="4330" spans="1:7">
      <c r="A4330" s="15" t="s">
        <v>1711</v>
      </c>
      <c r="B4330" s="13">
        <v>0.2</v>
      </c>
      <c r="C4330" s="16">
        <v>1.1819999999999999</v>
      </c>
      <c r="D4330" s="13" t="s">
        <v>1712</v>
      </c>
      <c r="E4330" s="12" t="s">
        <v>1713</v>
      </c>
      <c r="F4330" s="12" t="s">
        <v>1714</v>
      </c>
      <c r="G4330" s="13" t="s">
        <v>1709</v>
      </c>
    </row>
    <row r="4331" spans="1:7">
      <c r="A4331" s="15" t="s">
        <v>1711</v>
      </c>
      <c r="B4331" s="13">
        <v>0.2</v>
      </c>
      <c r="C4331" s="16">
        <v>1.7719999999999998</v>
      </c>
      <c r="D4331" s="13" t="s">
        <v>1712</v>
      </c>
      <c r="E4331" s="12" t="s">
        <v>1713</v>
      </c>
      <c r="F4331" s="12" t="s">
        <v>1714</v>
      </c>
      <c r="G4331" s="13" t="s">
        <v>1709</v>
      </c>
    </row>
    <row r="4332" spans="1:7">
      <c r="A4332" s="15" t="s">
        <v>1711</v>
      </c>
      <c r="B4332" s="13">
        <v>0.2</v>
      </c>
      <c r="C4332" s="16">
        <v>1.7719999999999998</v>
      </c>
      <c r="D4332" s="13" t="s">
        <v>1712</v>
      </c>
      <c r="E4332" s="12" t="s">
        <v>1713</v>
      </c>
      <c r="F4332" s="12" t="s">
        <v>1714</v>
      </c>
      <c r="G4332" s="13" t="s">
        <v>1709</v>
      </c>
    </row>
    <row r="4333" spans="1:7">
      <c r="A4333" s="15" t="s">
        <v>1711</v>
      </c>
      <c r="B4333" s="13">
        <v>0.2</v>
      </c>
      <c r="C4333" s="16">
        <v>1.7719999999999998</v>
      </c>
      <c r="D4333" s="13" t="s">
        <v>1712</v>
      </c>
      <c r="E4333" s="12" t="s">
        <v>1713</v>
      </c>
      <c r="F4333" s="12" t="s">
        <v>1714</v>
      </c>
      <c r="G4333" s="13" t="s">
        <v>1709</v>
      </c>
    </row>
    <row r="4334" spans="1:7">
      <c r="A4334" s="15" t="s">
        <v>1711</v>
      </c>
      <c r="B4334" s="13">
        <v>0.2</v>
      </c>
      <c r="C4334" s="16">
        <v>0.95199999999999996</v>
      </c>
      <c r="D4334" s="13" t="s">
        <v>1712</v>
      </c>
      <c r="E4334" s="12" t="s">
        <v>1713</v>
      </c>
      <c r="F4334" s="12" t="s">
        <v>1714</v>
      </c>
      <c r="G4334" s="13" t="s">
        <v>1709</v>
      </c>
    </row>
    <row r="4335" spans="1:7">
      <c r="A4335" s="15" t="s">
        <v>1711</v>
      </c>
      <c r="B4335" s="13">
        <v>0.2</v>
      </c>
      <c r="C4335" s="16">
        <v>0.95199999999999996</v>
      </c>
      <c r="D4335" s="13" t="s">
        <v>1712</v>
      </c>
      <c r="E4335" s="12" t="s">
        <v>1713</v>
      </c>
      <c r="F4335" s="12" t="s">
        <v>1714</v>
      </c>
      <c r="G4335" s="13" t="s">
        <v>1709</v>
      </c>
    </row>
    <row r="4336" spans="1:7">
      <c r="A4336" s="15" t="s">
        <v>1711</v>
      </c>
      <c r="B4336" s="13">
        <v>0.2</v>
      </c>
      <c r="C4336" s="16">
        <v>0.95199999999999996</v>
      </c>
      <c r="D4336" s="13" t="s">
        <v>1712</v>
      </c>
      <c r="E4336" s="12" t="s">
        <v>1713</v>
      </c>
      <c r="F4336" s="12" t="s">
        <v>1714</v>
      </c>
      <c r="G4336" s="13" t="s">
        <v>1709</v>
      </c>
    </row>
    <row r="4337" spans="1:7">
      <c r="A4337" s="15" t="s">
        <v>1711</v>
      </c>
      <c r="B4337" s="13">
        <v>0.2</v>
      </c>
      <c r="C4337" s="16">
        <v>0.95199999999999996</v>
      </c>
      <c r="D4337" s="13" t="s">
        <v>1712</v>
      </c>
      <c r="E4337" s="12" t="s">
        <v>1713</v>
      </c>
      <c r="F4337" s="12" t="s">
        <v>1714</v>
      </c>
      <c r="G4337" s="13" t="s">
        <v>1709</v>
      </c>
    </row>
    <row r="4338" spans="1:7">
      <c r="A4338" s="15" t="s">
        <v>1711</v>
      </c>
      <c r="B4338" s="13">
        <v>0.2</v>
      </c>
      <c r="C4338" s="16">
        <v>0.95199999999999996</v>
      </c>
      <c r="D4338" s="13" t="s">
        <v>1712</v>
      </c>
      <c r="E4338" s="12" t="s">
        <v>1713</v>
      </c>
      <c r="F4338" s="12" t="s">
        <v>1714</v>
      </c>
      <c r="G4338" s="13" t="s">
        <v>1709</v>
      </c>
    </row>
    <row r="4339" spans="1:7">
      <c r="A4339" s="15" t="s">
        <v>1711</v>
      </c>
      <c r="B4339" s="13">
        <v>0.2</v>
      </c>
      <c r="C4339" s="16">
        <v>0.95199999999999996</v>
      </c>
      <c r="D4339" s="13" t="s">
        <v>1712</v>
      </c>
      <c r="E4339" s="12" t="s">
        <v>1713</v>
      </c>
      <c r="F4339" s="12" t="s">
        <v>1714</v>
      </c>
      <c r="G4339" s="13" t="s">
        <v>1709</v>
      </c>
    </row>
    <row r="4340" spans="1:7">
      <c r="A4340" s="15" t="s">
        <v>1711</v>
      </c>
      <c r="B4340" s="13">
        <v>0.2</v>
      </c>
      <c r="C4340" s="16">
        <v>0.95199999999999996</v>
      </c>
      <c r="D4340" s="13" t="s">
        <v>1712</v>
      </c>
      <c r="E4340" s="12" t="s">
        <v>1713</v>
      </c>
      <c r="F4340" s="12" t="s">
        <v>1714</v>
      </c>
      <c r="G4340" s="13" t="s">
        <v>1709</v>
      </c>
    </row>
    <row r="4341" spans="1:7">
      <c r="A4341" s="15" t="s">
        <v>1711</v>
      </c>
      <c r="B4341" s="13">
        <v>0.2</v>
      </c>
      <c r="C4341" s="16">
        <v>0.95199999999999996</v>
      </c>
      <c r="D4341" s="13" t="s">
        <v>1712</v>
      </c>
      <c r="E4341" s="12" t="s">
        <v>1713</v>
      </c>
      <c r="F4341" s="12" t="s">
        <v>1714</v>
      </c>
      <c r="G4341" s="13" t="s">
        <v>1709</v>
      </c>
    </row>
    <row r="4342" spans="1:7">
      <c r="A4342" s="15" t="s">
        <v>1711</v>
      </c>
      <c r="B4342" s="13">
        <v>0.2</v>
      </c>
      <c r="C4342" s="16">
        <v>0.95199999999999996</v>
      </c>
      <c r="D4342" s="13" t="s">
        <v>1712</v>
      </c>
      <c r="E4342" s="12" t="s">
        <v>1713</v>
      </c>
      <c r="F4342" s="12" t="s">
        <v>1714</v>
      </c>
      <c r="G4342" s="13" t="s">
        <v>1709</v>
      </c>
    </row>
    <row r="4343" spans="1:7">
      <c r="A4343" s="15" t="s">
        <v>1711</v>
      </c>
      <c r="B4343" s="13">
        <v>0.2</v>
      </c>
      <c r="C4343" s="16">
        <v>0.95199999999999996</v>
      </c>
      <c r="D4343" s="13" t="s">
        <v>1712</v>
      </c>
      <c r="E4343" s="12" t="s">
        <v>1713</v>
      </c>
      <c r="F4343" s="12" t="s">
        <v>1714</v>
      </c>
      <c r="G4343" s="13" t="s">
        <v>1709</v>
      </c>
    </row>
    <row r="4344" spans="1:7">
      <c r="A4344" s="15" t="s">
        <v>1711</v>
      </c>
      <c r="B4344" s="13">
        <v>0.2</v>
      </c>
      <c r="C4344" s="16">
        <v>0.95199999999999996</v>
      </c>
      <c r="D4344" s="13" t="s">
        <v>1712</v>
      </c>
      <c r="E4344" s="12" t="s">
        <v>1713</v>
      </c>
      <c r="F4344" s="12" t="s">
        <v>1714</v>
      </c>
      <c r="G4344" s="13" t="s">
        <v>1709</v>
      </c>
    </row>
    <row r="4345" spans="1:7">
      <c r="A4345" s="15" t="s">
        <v>1711</v>
      </c>
      <c r="B4345" s="13">
        <v>0.2</v>
      </c>
      <c r="C4345" s="16">
        <v>0.95199999999999996</v>
      </c>
      <c r="D4345" s="13" t="s">
        <v>1712</v>
      </c>
      <c r="E4345" s="12" t="s">
        <v>1713</v>
      </c>
      <c r="F4345" s="12" t="s">
        <v>1714</v>
      </c>
      <c r="G4345" s="13" t="s">
        <v>1709</v>
      </c>
    </row>
    <row r="4346" spans="1:7">
      <c r="A4346" s="15" t="s">
        <v>1711</v>
      </c>
      <c r="B4346" s="13">
        <v>0.2</v>
      </c>
      <c r="C4346" s="16">
        <v>0.95199999999999996</v>
      </c>
      <c r="D4346" s="13" t="s">
        <v>1712</v>
      </c>
      <c r="E4346" s="12" t="s">
        <v>1713</v>
      </c>
      <c r="F4346" s="12" t="s">
        <v>1714</v>
      </c>
      <c r="G4346" s="13" t="s">
        <v>1709</v>
      </c>
    </row>
    <row r="4347" spans="1:7">
      <c r="A4347" s="15" t="s">
        <v>1711</v>
      </c>
      <c r="B4347" s="13">
        <v>0.2</v>
      </c>
      <c r="C4347" s="16">
        <v>0.95199999999999996</v>
      </c>
      <c r="D4347" s="13" t="s">
        <v>1712</v>
      </c>
      <c r="E4347" s="12" t="s">
        <v>1713</v>
      </c>
      <c r="F4347" s="12" t="s">
        <v>1714</v>
      </c>
      <c r="G4347" s="13" t="s">
        <v>1709</v>
      </c>
    </row>
    <row r="4348" spans="1:7">
      <c r="A4348" s="15" t="s">
        <v>1711</v>
      </c>
      <c r="B4348" s="13">
        <v>0.2</v>
      </c>
      <c r="C4348" s="16">
        <v>0.95199999999999996</v>
      </c>
      <c r="D4348" s="13" t="s">
        <v>1712</v>
      </c>
      <c r="E4348" s="12" t="s">
        <v>1713</v>
      </c>
      <c r="F4348" s="12" t="s">
        <v>1714</v>
      </c>
      <c r="G4348" s="13" t="s">
        <v>1709</v>
      </c>
    </row>
    <row r="4349" spans="1:7">
      <c r="A4349" s="15" t="s">
        <v>1711</v>
      </c>
      <c r="B4349" s="13">
        <v>0.2</v>
      </c>
      <c r="C4349" s="16">
        <v>0.95199999999999996</v>
      </c>
      <c r="D4349" s="13" t="s">
        <v>1712</v>
      </c>
      <c r="E4349" s="12" t="s">
        <v>1713</v>
      </c>
      <c r="F4349" s="12" t="s">
        <v>1714</v>
      </c>
      <c r="G4349" s="13" t="s">
        <v>1709</v>
      </c>
    </row>
    <row r="4350" spans="1:7">
      <c r="A4350" s="15" t="s">
        <v>1711</v>
      </c>
      <c r="B4350" s="13">
        <v>0.2</v>
      </c>
      <c r="C4350" s="16">
        <v>0.95199999999999996</v>
      </c>
      <c r="D4350" s="13" t="s">
        <v>1712</v>
      </c>
      <c r="E4350" s="12" t="s">
        <v>1713</v>
      </c>
      <c r="F4350" s="12" t="s">
        <v>1714</v>
      </c>
      <c r="G4350" s="13" t="s">
        <v>1709</v>
      </c>
    </row>
    <row r="4351" spans="1:7">
      <c r="A4351" s="15" t="s">
        <v>1711</v>
      </c>
      <c r="B4351" s="13">
        <v>0.2</v>
      </c>
      <c r="C4351" s="16">
        <v>0.95199999999999996</v>
      </c>
      <c r="D4351" s="13" t="s">
        <v>1712</v>
      </c>
      <c r="E4351" s="12" t="s">
        <v>1713</v>
      </c>
      <c r="F4351" s="12" t="s">
        <v>1714</v>
      </c>
      <c r="G4351" s="13" t="s">
        <v>1709</v>
      </c>
    </row>
    <row r="4352" spans="1:7">
      <c r="A4352" s="15" t="s">
        <v>1711</v>
      </c>
      <c r="B4352" s="13">
        <v>0.2</v>
      </c>
      <c r="C4352" s="16">
        <v>0.95199999999999996</v>
      </c>
      <c r="D4352" s="13" t="s">
        <v>1712</v>
      </c>
      <c r="E4352" s="12" t="s">
        <v>1713</v>
      </c>
      <c r="F4352" s="12" t="s">
        <v>1714</v>
      </c>
      <c r="G4352" s="13" t="s">
        <v>1709</v>
      </c>
    </row>
    <row r="4353" spans="1:7">
      <c r="A4353" s="15" t="s">
        <v>1711</v>
      </c>
      <c r="B4353" s="13">
        <v>0.2</v>
      </c>
      <c r="C4353" s="16">
        <v>0.95199999999999996</v>
      </c>
      <c r="D4353" s="13" t="s">
        <v>1712</v>
      </c>
      <c r="E4353" s="12" t="s">
        <v>1713</v>
      </c>
      <c r="F4353" s="12" t="s">
        <v>1714</v>
      </c>
      <c r="G4353" s="13" t="s">
        <v>1709</v>
      </c>
    </row>
    <row r="4354" spans="1:7">
      <c r="A4354" s="15" t="s">
        <v>1711</v>
      </c>
      <c r="B4354" s="13">
        <v>0.2</v>
      </c>
      <c r="C4354" s="16">
        <v>0.95199999999999996</v>
      </c>
      <c r="D4354" s="13" t="s">
        <v>1712</v>
      </c>
      <c r="E4354" s="12" t="s">
        <v>1713</v>
      </c>
      <c r="F4354" s="12" t="s">
        <v>1714</v>
      </c>
      <c r="G4354" s="13" t="s">
        <v>1709</v>
      </c>
    </row>
    <row r="4355" spans="1:7">
      <c r="A4355" s="15" t="s">
        <v>1711</v>
      </c>
      <c r="B4355" s="13">
        <v>0.2</v>
      </c>
      <c r="C4355" s="16">
        <v>0.95199999999999996</v>
      </c>
      <c r="D4355" s="13" t="s">
        <v>1712</v>
      </c>
      <c r="E4355" s="12" t="s">
        <v>1713</v>
      </c>
      <c r="F4355" s="12" t="s">
        <v>1714</v>
      </c>
      <c r="G4355" s="13" t="s">
        <v>1709</v>
      </c>
    </row>
    <row r="4356" spans="1:7">
      <c r="A4356" s="15" t="s">
        <v>1711</v>
      </c>
      <c r="B4356" s="13">
        <v>0.2</v>
      </c>
      <c r="C4356" s="16">
        <v>0.95199999999999996</v>
      </c>
      <c r="D4356" s="13" t="s">
        <v>1712</v>
      </c>
      <c r="E4356" s="12" t="s">
        <v>1713</v>
      </c>
      <c r="F4356" s="12" t="s">
        <v>1714</v>
      </c>
      <c r="G4356" s="13" t="s">
        <v>1709</v>
      </c>
    </row>
    <row r="4357" spans="1:7">
      <c r="A4357" s="15" t="s">
        <v>1711</v>
      </c>
      <c r="B4357" s="13">
        <v>0.2</v>
      </c>
      <c r="C4357" s="16">
        <v>0.95199999999999996</v>
      </c>
      <c r="D4357" s="13" t="s">
        <v>1712</v>
      </c>
      <c r="E4357" s="12" t="s">
        <v>1713</v>
      </c>
      <c r="F4357" s="12" t="s">
        <v>1714</v>
      </c>
      <c r="G4357" s="13" t="s">
        <v>1709</v>
      </c>
    </row>
    <row r="4358" spans="1:7">
      <c r="A4358" s="15" t="s">
        <v>1711</v>
      </c>
      <c r="B4358" s="13">
        <v>0.2</v>
      </c>
      <c r="C4358" s="16">
        <v>0.95199999999999996</v>
      </c>
      <c r="D4358" s="13" t="s">
        <v>1712</v>
      </c>
      <c r="E4358" s="12" t="s">
        <v>1713</v>
      </c>
      <c r="F4358" s="12" t="s">
        <v>1714</v>
      </c>
      <c r="G4358" s="13" t="s">
        <v>1709</v>
      </c>
    </row>
    <row r="4359" spans="1:7">
      <c r="A4359" s="15" t="s">
        <v>1711</v>
      </c>
      <c r="B4359" s="13">
        <v>0.2</v>
      </c>
      <c r="C4359" s="16">
        <v>0.95199999999999996</v>
      </c>
      <c r="D4359" s="13" t="s">
        <v>1712</v>
      </c>
      <c r="E4359" s="12" t="s">
        <v>1713</v>
      </c>
      <c r="F4359" s="12" t="s">
        <v>1714</v>
      </c>
      <c r="G4359" s="13" t="s">
        <v>1709</v>
      </c>
    </row>
    <row r="4360" spans="1:7">
      <c r="A4360" s="15" t="s">
        <v>1711</v>
      </c>
      <c r="B4360" s="13">
        <v>0.2</v>
      </c>
      <c r="C4360" s="16">
        <v>-5.0000000000000001E-3</v>
      </c>
      <c r="D4360" s="13" t="s">
        <v>1709</v>
      </c>
      <c r="E4360" s="12" t="s">
        <v>1710</v>
      </c>
      <c r="F4360" s="12" t="s">
        <v>1710</v>
      </c>
      <c r="G4360" s="13" t="s">
        <v>1709</v>
      </c>
    </row>
    <row r="4361" spans="1:7">
      <c r="A4361" s="15" t="s">
        <v>1711</v>
      </c>
      <c r="B4361" s="13">
        <v>0.2</v>
      </c>
      <c r="C4361" s="16">
        <v>-5.0000000000000001E-3</v>
      </c>
      <c r="D4361" s="13" t="s">
        <v>1709</v>
      </c>
      <c r="E4361" s="12" t="s">
        <v>1710</v>
      </c>
      <c r="F4361" s="12" t="s">
        <v>1710</v>
      </c>
      <c r="G4361" s="13" t="s">
        <v>1709</v>
      </c>
    </row>
    <row r="4362" spans="1:7">
      <c r="A4362" s="15" t="s">
        <v>1711</v>
      </c>
      <c r="B4362" s="13">
        <v>0.2</v>
      </c>
      <c r="C4362" s="16">
        <v>-5.0000000000000001E-3</v>
      </c>
      <c r="D4362" s="13" t="s">
        <v>1709</v>
      </c>
      <c r="E4362" s="12" t="s">
        <v>1710</v>
      </c>
      <c r="F4362" s="12" t="s">
        <v>1710</v>
      </c>
      <c r="G4362" s="13" t="s">
        <v>1709</v>
      </c>
    </row>
    <row r="4363" spans="1:7">
      <c r="A4363" s="15" t="s">
        <v>1711</v>
      </c>
      <c r="B4363" s="13">
        <v>0.2</v>
      </c>
      <c r="C4363" s="16">
        <v>-0.19400000000000001</v>
      </c>
      <c r="D4363" s="13" t="s">
        <v>1709</v>
      </c>
      <c r="E4363" s="12" t="s">
        <v>1710</v>
      </c>
      <c r="F4363" s="12" t="s">
        <v>1710</v>
      </c>
      <c r="G4363" s="13" t="s">
        <v>1709</v>
      </c>
    </row>
    <row r="4364" spans="1:7">
      <c r="A4364" s="15" t="s">
        <v>1711</v>
      </c>
      <c r="B4364" s="13">
        <v>0.2</v>
      </c>
      <c r="C4364" s="16">
        <v>-0.19400000000000001</v>
      </c>
      <c r="D4364" s="13" t="s">
        <v>1709</v>
      </c>
      <c r="E4364" s="12" t="s">
        <v>1710</v>
      </c>
      <c r="F4364" s="12" t="s">
        <v>1710</v>
      </c>
      <c r="G4364" s="13" t="s">
        <v>1709</v>
      </c>
    </row>
    <row r="4365" spans="1:7">
      <c r="A4365" s="15" t="s">
        <v>1711</v>
      </c>
      <c r="B4365" s="13">
        <v>0.2</v>
      </c>
      <c r="C4365" s="16">
        <v>-0.19400000000000001</v>
      </c>
      <c r="D4365" s="13" t="s">
        <v>1709</v>
      </c>
      <c r="E4365" s="12" t="s">
        <v>1710</v>
      </c>
      <c r="F4365" s="12" t="s">
        <v>1710</v>
      </c>
      <c r="G4365" s="13" t="s">
        <v>1709</v>
      </c>
    </row>
    <row r="4366" spans="1:7">
      <c r="A4366" s="15" t="s">
        <v>1711</v>
      </c>
      <c r="B4366" s="13">
        <v>0.2</v>
      </c>
      <c r="C4366" s="16">
        <v>-0.19400000000000001</v>
      </c>
      <c r="D4366" s="13" t="s">
        <v>1709</v>
      </c>
      <c r="E4366" s="12" t="s">
        <v>1710</v>
      </c>
      <c r="F4366" s="12" t="s">
        <v>1710</v>
      </c>
      <c r="G4366" s="13" t="s">
        <v>1709</v>
      </c>
    </row>
    <row r="4367" spans="1:7">
      <c r="A4367" s="15" t="s">
        <v>1711</v>
      </c>
      <c r="B4367" s="13">
        <v>0.2</v>
      </c>
      <c r="C4367" s="16">
        <v>-0.19400000000000001</v>
      </c>
      <c r="D4367" s="13" t="s">
        <v>1709</v>
      </c>
      <c r="E4367" s="12" t="s">
        <v>1710</v>
      </c>
      <c r="F4367" s="12" t="s">
        <v>1710</v>
      </c>
      <c r="G4367" s="13" t="s">
        <v>1709</v>
      </c>
    </row>
    <row r="4368" spans="1:7">
      <c r="A4368" s="15" t="s">
        <v>1711</v>
      </c>
      <c r="B4368" s="13">
        <v>0.2</v>
      </c>
      <c r="C4368" s="16">
        <v>-0.19400000000000001</v>
      </c>
      <c r="D4368" s="13" t="s">
        <v>1709</v>
      </c>
      <c r="E4368" s="12" t="s">
        <v>1710</v>
      </c>
      <c r="F4368" s="12" t="s">
        <v>1710</v>
      </c>
      <c r="G4368" s="13" t="s">
        <v>1709</v>
      </c>
    </row>
    <row r="4369" spans="1:7">
      <c r="A4369" s="15" t="s">
        <v>1711</v>
      </c>
      <c r="B4369" s="13">
        <v>0.2</v>
      </c>
      <c r="C4369" s="16">
        <v>-0.19400000000000001</v>
      </c>
      <c r="D4369" s="13" t="s">
        <v>1709</v>
      </c>
      <c r="E4369" s="12" t="s">
        <v>1710</v>
      </c>
      <c r="F4369" s="12" t="s">
        <v>1710</v>
      </c>
      <c r="G4369" s="13" t="s">
        <v>1709</v>
      </c>
    </row>
    <row r="4370" spans="1:7">
      <c r="A4370" s="15" t="s">
        <v>1711</v>
      </c>
      <c r="B4370" s="13">
        <v>0.2</v>
      </c>
      <c r="C4370" s="16">
        <v>-0.19400000000000001</v>
      </c>
      <c r="D4370" s="13" t="s">
        <v>1709</v>
      </c>
      <c r="E4370" s="12" t="s">
        <v>1710</v>
      </c>
      <c r="F4370" s="12" t="s">
        <v>1710</v>
      </c>
      <c r="G4370" s="13" t="s">
        <v>1709</v>
      </c>
    </row>
    <row r="4371" spans="1:7">
      <c r="A4371" s="15" t="s">
        <v>1711</v>
      </c>
      <c r="B4371" s="13">
        <v>0.2</v>
      </c>
      <c r="C4371" s="16">
        <v>-0.19400000000000001</v>
      </c>
      <c r="D4371" s="13" t="s">
        <v>1709</v>
      </c>
      <c r="E4371" s="12" t="s">
        <v>1710</v>
      </c>
      <c r="F4371" s="12" t="s">
        <v>1710</v>
      </c>
      <c r="G4371" s="13" t="s">
        <v>1709</v>
      </c>
    </row>
    <row r="4372" spans="1:7">
      <c r="A4372" s="15" t="s">
        <v>1711</v>
      </c>
      <c r="B4372" s="13">
        <v>0.2</v>
      </c>
      <c r="C4372" s="16">
        <v>-0.19400000000000001</v>
      </c>
      <c r="D4372" s="13" t="s">
        <v>1709</v>
      </c>
      <c r="E4372" s="12" t="s">
        <v>1710</v>
      </c>
      <c r="F4372" s="12" t="s">
        <v>1710</v>
      </c>
      <c r="G4372" s="13" t="s">
        <v>1709</v>
      </c>
    </row>
    <row r="4373" spans="1:7">
      <c r="A4373" s="15" t="s">
        <v>1711</v>
      </c>
      <c r="B4373" s="13">
        <v>0.2</v>
      </c>
      <c r="C4373" s="16">
        <v>-0.19400000000000001</v>
      </c>
      <c r="D4373" s="13" t="s">
        <v>1709</v>
      </c>
      <c r="E4373" s="12" t="s">
        <v>1710</v>
      </c>
      <c r="F4373" s="12" t="s">
        <v>1710</v>
      </c>
      <c r="G4373" s="13" t="s">
        <v>1709</v>
      </c>
    </row>
    <row r="4374" spans="1:7">
      <c r="A4374" s="15" t="s">
        <v>1711</v>
      </c>
      <c r="B4374" s="13">
        <v>0.2</v>
      </c>
      <c r="C4374" s="16">
        <v>-0.19400000000000001</v>
      </c>
      <c r="D4374" s="13" t="s">
        <v>1709</v>
      </c>
      <c r="E4374" s="12" t="s">
        <v>1710</v>
      </c>
      <c r="F4374" s="12" t="s">
        <v>1710</v>
      </c>
      <c r="G4374" s="13" t="s">
        <v>1709</v>
      </c>
    </row>
    <row r="4375" spans="1:7">
      <c r="A4375" s="15" t="s">
        <v>1711</v>
      </c>
      <c r="B4375" s="13">
        <v>0.2</v>
      </c>
      <c r="C4375" s="16">
        <v>-0.17299999999999999</v>
      </c>
      <c r="D4375" s="13" t="s">
        <v>1709</v>
      </c>
      <c r="E4375" s="12" t="s">
        <v>1710</v>
      </c>
      <c r="F4375" s="12" t="s">
        <v>1710</v>
      </c>
      <c r="G4375" s="13" t="s">
        <v>1709</v>
      </c>
    </row>
    <row r="4376" spans="1:7">
      <c r="A4376" s="15" t="s">
        <v>1711</v>
      </c>
      <c r="B4376" s="13">
        <v>0.2</v>
      </c>
      <c r="C4376" s="16">
        <v>-0.193</v>
      </c>
      <c r="D4376" s="13" t="s">
        <v>1709</v>
      </c>
      <c r="E4376" s="12" t="s">
        <v>1710</v>
      </c>
      <c r="F4376" s="12" t="s">
        <v>1710</v>
      </c>
      <c r="G4376" s="13" t="s">
        <v>1709</v>
      </c>
    </row>
    <row r="4377" spans="1:7">
      <c r="A4377" s="15" t="s">
        <v>1711</v>
      </c>
      <c r="B4377" s="13">
        <v>0.2</v>
      </c>
      <c r="C4377" s="16">
        <v>-5.7000000000000002E-2</v>
      </c>
      <c r="D4377" s="13" t="s">
        <v>1709</v>
      </c>
      <c r="E4377" s="12" t="s">
        <v>1710</v>
      </c>
      <c r="F4377" s="12" t="s">
        <v>1710</v>
      </c>
      <c r="G4377" s="13" t="s">
        <v>1709</v>
      </c>
    </row>
    <row r="4378" spans="1:7">
      <c r="A4378" s="15" t="s">
        <v>1711</v>
      </c>
      <c r="B4378" s="13">
        <v>0.2</v>
      </c>
      <c r="C4378" s="16">
        <v>-0.193</v>
      </c>
      <c r="D4378" s="13" t="s">
        <v>1709</v>
      </c>
      <c r="E4378" s="12" t="s">
        <v>1710</v>
      </c>
      <c r="F4378" s="12" t="s">
        <v>1710</v>
      </c>
      <c r="G4378" s="13" t="s">
        <v>1709</v>
      </c>
    </row>
    <row r="4379" spans="1:7">
      <c r="A4379" s="15" t="s">
        <v>1711</v>
      </c>
      <c r="B4379" s="13">
        <v>0.2</v>
      </c>
      <c r="C4379" s="16">
        <v>0.254</v>
      </c>
      <c r="D4379" s="13" t="s">
        <v>1712</v>
      </c>
      <c r="E4379" s="11" t="s">
        <v>1738</v>
      </c>
      <c r="F4379" s="12" t="s">
        <v>1714</v>
      </c>
      <c r="G4379" s="13" t="s">
        <v>1709</v>
      </c>
    </row>
    <row r="4380" spans="1:7">
      <c r="A4380" s="15" t="s">
        <v>1711</v>
      </c>
      <c r="B4380" s="13">
        <v>0.2</v>
      </c>
      <c r="C4380" s="16">
        <v>0.254</v>
      </c>
      <c r="D4380" s="13" t="s">
        <v>1712</v>
      </c>
      <c r="E4380" s="11" t="s">
        <v>1738</v>
      </c>
      <c r="F4380" s="12" t="s">
        <v>1714</v>
      </c>
      <c r="G4380" s="13" t="s">
        <v>1709</v>
      </c>
    </row>
    <row r="4381" spans="1:7">
      <c r="A4381" s="15" t="s">
        <v>1711</v>
      </c>
      <c r="B4381" s="13">
        <v>0.2</v>
      </c>
      <c r="C4381" s="16">
        <v>0.22700000000000001</v>
      </c>
      <c r="D4381" s="13" t="s">
        <v>1712</v>
      </c>
      <c r="E4381" s="11" t="s">
        <v>1738</v>
      </c>
      <c r="F4381" s="12" t="s">
        <v>1714</v>
      </c>
      <c r="G4381" s="13" t="s">
        <v>1709</v>
      </c>
    </row>
    <row r="4382" spans="1:7">
      <c r="A4382" s="15" t="s">
        <v>1711</v>
      </c>
      <c r="B4382" s="13">
        <v>0.2</v>
      </c>
      <c r="C4382" s="16">
        <v>0.254</v>
      </c>
      <c r="D4382" s="13" t="s">
        <v>1712</v>
      </c>
      <c r="E4382" s="11" t="s">
        <v>1738</v>
      </c>
      <c r="F4382" s="12" t="s">
        <v>1714</v>
      </c>
      <c r="G4382" s="13" t="s">
        <v>1709</v>
      </c>
    </row>
    <row r="4383" spans="1:7">
      <c r="A4383" s="15" t="s">
        <v>1711</v>
      </c>
      <c r="B4383" s="13">
        <v>0.2</v>
      </c>
      <c r="C4383" s="16">
        <v>0.254</v>
      </c>
      <c r="D4383" s="13" t="s">
        <v>1712</v>
      </c>
      <c r="E4383" s="11" t="s">
        <v>1738</v>
      </c>
      <c r="F4383" s="12" t="s">
        <v>1714</v>
      </c>
      <c r="G4383" s="13" t="s">
        <v>1709</v>
      </c>
    </row>
    <row r="4384" spans="1:7">
      <c r="A4384" s="15" t="s">
        <v>1711</v>
      </c>
      <c r="B4384" s="13">
        <v>0.2</v>
      </c>
      <c r="C4384" s="16">
        <v>0.59899999999999998</v>
      </c>
      <c r="D4384" s="13" t="s">
        <v>1712</v>
      </c>
      <c r="E4384" s="12" t="s">
        <v>1715</v>
      </c>
      <c r="F4384" s="12" t="s">
        <v>1714</v>
      </c>
      <c r="G4384" s="13" t="s">
        <v>1709</v>
      </c>
    </row>
    <row r="4385" spans="1:7">
      <c r="A4385" s="15" t="s">
        <v>1711</v>
      </c>
      <c r="B4385" s="13">
        <v>0.2</v>
      </c>
      <c r="C4385" s="16">
        <v>0.59899999999999998</v>
      </c>
      <c r="D4385" s="13" t="s">
        <v>1712</v>
      </c>
      <c r="E4385" s="12" t="s">
        <v>1715</v>
      </c>
      <c r="F4385" s="12" t="s">
        <v>1714</v>
      </c>
      <c r="G4385" s="13" t="s">
        <v>1709</v>
      </c>
    </row>
    <row r="4386" spans="1:7">
      <c r="A4386" s="15" t="s">
        <v>1711</v>
      </c>
      <c r="B4386" s="13">
        <v>0.2</v>
      </c>
      <c r="C4386" s="16">
        <v>0.59899999999999998</v>
      </c>
      <c r="D4386" s="13" t="s">
        <v>1712</v>
      </c>
      <c r="E4386" s="12" t="s">
        <v>1715</v>
      </c>
      <c r="F4386" s="12" t="s">
        <v>1714</v>
      </c>
      <c r="G4386" s="13" t="s">
        <v>1709</v>
      </c>
    </row>
    <row r="4387" spans="1:7">
      <c r="A4387" s="15" t="s">
        <v>1711</v>
      </c>
      <c r="B4387" s="13">
        <v>0.2</v>
      </c>
      <c r="C4387" s="16">
        <v>-0.15</v>
      </c>
      <c r="D4387" s="13" t="s">
        <v>1709</v>
      </c>
      <c r="E4387" s="12" t="s">
        <v>1710</v>
      </c>
      <c r="F4387" s="12" t="s">
        <v>1710</v>
      </c>
      <c r="G4387" s="13" t="s">
        <v>1709</v>
      </c>
    </row>
    <row r="4388" spans="1:7">
      <c r="A4388" s="15" t="s">
        <v>1711</v>
      </c>
      <c r="B4388" s="13">
        <v>0.2</v>
      </c>
      <c r="C4388" s="16">
        <v>-0.15</v>
      </c>
      <c r="D4388" s="13" t="s">
        <v>1709</v>
      </c>
      <c r="E4388" s="12" t="s">
        <v>1710</v>
      </c>
      <c r="F4388" s="12" t="s">
        <v>1710</v>
      </c>
      <c r="G4388" s="13" t="s">
        <v>1709</v>
      </c>
    </row>
    <row r="4389" spans="1:7">
      <c r="A4389" s="15" t="s">
        <v>1711</v>
      </c>
      <c r="B4389" s="13">
        <v>0.2</v>
      </c>
      <c r="C4389" s="16">
        <v>0.155</v>
      </c>
      <c r="D4389" s="13" t="s">
        <v>1712</v>
      </c>
      <c r="E4389" s="12" t="s">
        <v>1715</v>
      </c>
      <c r="F4389" s="12" t="s">
        <v>1714</v>
      </c>
      <c r="G4389" s="13" t="s">
        <v>1709</v>
      </c>
    </row>
    <row r="4390" spans="1:7">
      <c r="A4390" s="15" t="s">
        <v>1711</v>
      </c>
      <c r="B4390" s="13">
        <v>0.2</v>
      </c>
      <c r="C4390" s="16">
        <v>0.312</v>
      </c>
      <c r="D4390" s="13" t="s">
        <v>1712</v>
      </c>
      <c r="E4390" s="12" t="s">
        <v>1715</v>
      </c>
      <c r="F4390" s="12" t="s">
        <v>1714</v>
      </c>
      <c r="G4390" s="13" t="s">
        <v>1709</v>
      </c>
    </row>
    <row r="4391" spans="1:7">
      <c r="A4391" s="15" t="s">
        <v>1711</v>
      </c>
      <c r="B4391" s="13">
        <v>0.2</v>
      </c>
      <c r="C4391" s="16">
        <v>0.312</v>
      </c>
      <c r="D4391" s="13" t="s">
        <v>1712</v>
      </c>
      <c r="E4391" s="12" t="s">
        <v>1715</v>
      </c>
      <c r="F4391" s="12" t="s">
        <v>1714</v>
      </c>
      <c r="G4391" s="13" t="s">
        <v>1709</v>
      </c>
    </row>
    <row r="4392" spans="1:7">
      <c r="A4392" s="15" t="s">
        <v>1711</v>
      </c>
      <c r="B4392" s="13">
        <v>0.2</v>
      </c>
      <c r="C4392" s="16">
        <v>0.107</v>
      </c>
      <c r="D4392" s="13" t="s">
        <v>1712</v>
      </c>
      <c r="E4392" s="12" t="s">
        <v>1715</v>
      </c>
      <c r="F4392" s="12" t="s">
        <v>1714</v>
      </c>
      <c r="G4392" s="13" t="s">
        <v>1709</v>
      </c>
    </row>
    <row r="4393" spans="1:7">
      <c r="A4393" s="15" t="s">
        <v>1711</v>
      </c>
      <c r="B4393" s="13">
        <v>0.2</v>
      </c>
      <c r="C4393" s="16">
        <v>-0.19400000000000001</v>
      </c>
      <c r="D4393" s="13" t="s">
        <v>1709</v>
      </c>
      <c r="E4393" s="12" t="s">
        <v>1710</v>
      </c>
      <c r="F4393" s="12" t="s">
        <v>1710</v>
      </c>
      <c r="G4393" s="13" t="s">
        <v>1709</v>
      </c>
    </row>
    <row r="4394" spans="1:7">
      <c r="A4394" s="15" t="s">
        <v>1711</v>
      </c>
      <c r="B4394" s="13">
        <v>0.2</v>
      </c>
      <c r="C4394" s="16">
        <v>2.5680000000000001</v>
      </c>
      <c r="D4394" s="13" t="s">
        <v>1712</v>
      </c>
      <c r="E4394" s="12" t="s">
        <v>1715</v>
      </c>
      <c r="F4394" s="12" t="s">
        <v>1714</v>
      </c>
      <c r="G4394" s="13" t="s">
        <v>1709</v>
      </c>
    </row>
    <row r="4395" spans="1:7">
      <c r="A4395" s="15" t="s">
        <v>1711</v>
      </c>
      <c r="B4395" s="13">
        <v>0.2</v>
      </c>
      <c r="C4395" s="16">
        <v>2.5680000000000001</v>
      </c>
      <c r="D4395" s="13" t="s">
        <v>1712</v>
      </c>
      <c r="E4395" s="12" t="s">
        <v>1715</v>
      </c>
      <c r="F4395" s="12" t="s">
        <v>1714</v>
      </c>
      <c r="G4395" s="13" t="s">
        <v>1709</v>
      </c>
    </row>
    <row r="4396" spans="1:7">
      <c r="A4396" s="15" t="s">
        <v>1711</v>
      </c>
      <c r="B4396" s="13">
        <v>0.2</v>
      </c>
      <c r="C4396" s="16">
        <v>0.254</v>
      </c>
      <c r="D4396" s="13" t="s">
        <v>1712</v>
      </c>
      <c r="E4396" s="11" t="s">
        <v>1738</v>
      </c>
      <c r="F4396" s="12" t="s">
        <v>1714</v>
      </c>
      <c r="G4396" s="13" t="s">
        <v>1709</v>
      </c>
    </row>
    <row r="4397" spans="1:7">
      <c r="A4397" s="15" t="s">
        <v>1711</v>
      </c>
      <c r="B4397" s="13">
        <v>0.2</v>
      </c>
      <c r="C4397" s="16">
        <v>0.155</v>
      </c>
      <c r="D4397" s="13" t="s">
        <v>1712</v>
      </c>
      <c r="E4397" s="12" t="s">
        <v>1713</v>
      </c>
      <c r="F4397" s="12" t="s">
        <v>1714</v>
      </c>
      <c r="G4397" s="13" t="s">
        <v>1709</v>
      </c>
    </row>
    <row r="4398" spans="1:7">
      <c r="A4398" s="15" t="s">
        <v>1711</v>
      </c>
      <c r="B4398" s="13">
        <v>0.2</v>
      </c>
      <c r="C4398" s="16">
        <v>0.155</v>
      </c>
      <c r="D4398" s="13" t="s">
        <v>1712</v>
      </c>
      <c r="E4398" s="12" t="s">
        <v>1713</v>
      </c>
      <c r="F4398" s="12" t="s">
        <v>1714</v>
      </c>
      <c r="G4398" s="13" t="s">
        <v>1709</v>
      </c>
    </row>
    <row r="4399" spans="1:7">
      <c r="A4399" s="15" t="s">
        <v>1711</v>
      </c>
      <c r="B4399" s="13">
        <v>0.2</v>
      </c>
      <c r="C4399" s="16">
        <v>0.155</v>
      </c>
      <c r="D4399" s="13" t="s">
        <v>1712</v>
      </c>
      <c r="E4399" s="12" t="s">
        <v>1713</v>
      </c>
      <c r="F4399" s="12" t="s">
        <v>1714</v>
      </c>
      <c r="G4399" s="13" t="s">
        <v>1709</v>
      </c>
    </row>
    <row r="4400" spans="1:7">
      <c r="A4400" s="15" t="s">
        <v>1711</v>
      </c>
      <c r="B4400" s="13">
        <v>0.2</v>
      </c>
      <c r="C4400" s="16">
        <v>0.155</v>
      </c>
      <c r="D4400" s="13" t="s">
        <v>1712</v>
      </c>
      <c r="E4400" s="12" t="s">
        <v>1713</v>
      </c>
      <c r="F4400" s="12" t="s">
        <v>1714</v>
      </c>
      <c r="G4400" s="13" t="s">
        <v>1709</v>
      </c>
    </row>
    <row r="4401" spans="1:7">
      <c r="A4401" s="15" t="s">
        <v>1711</v>
      </c>
      <c r="B4401" s="13">
        <v>0.2</v>
      </c>
      <c r="C4401" s="16">
        <v>0.155</v>
      </c>
      <c r="D4401" s="13" t="s">
        <v>1712</v>
      </c>
      <c r="E4401" s="12" t="s">
        <v>1713</v>
      </c>
      <c r="F4401" s="12" t="s">
        <v>1714</v>
      </c>
      <c r="G4401" s="13" t="s">
        <v>1709</v>
      </c>
    </row>
    <row r="4402" spans="1:7">
      <c r="A4402" s="15" t="s">
        <v>1711</v>
      </c>
      <c r="B4402" s="13">
        <v>0.2</v>
      </c>
      <c r="C4402" s="16">
        <v>0.155</v>
      </c>
      <c r="D4402" s="13" t="s">
        <v>1712</v>
      </c>
      <c r="E4402" s="12" t="s">
        <v>1713</v>
      </c>
      <c r="F4402" s="12" t="s">
        <v>1714</v>
      </c>
      <c r="G4402" s="13" t="s">
        <v>1709</v>
      </c>
    </row>
    <row r="4403" spans="1:7">
      <c r="A4403" s="15" t="s">
        <v>1711</v>
      </c>
      <c r="B4403" s="13">
        <v>0.2</v>
      </c>
      <c r="C4403" s="16">
        <v>0.155</v>
      </c>
      <c r="D4403" s="13" t="s">
        <v>1712</v>
      </c>
      <c r="E4403" s="12" t="s">
        <v>1713</v>
      </c>
      <c r="F4403" s="12" t="s">
        <v>1714</v>
      </c>
      <c r="G4403" s="13" t="s">
        <v>1709</v>
      </c>
    </row>
    <row r="4404" spans="1:7">
      <c r="A4404" s="15" t="s">
        <v>1711</v>
      </c>
      <c r="B4404" s="13">
        <v>0.2</v>
      </c>
      <c r="C4404" s="16">
        <v>0.155</v>
      </c>
      <c r="D4404" s="13" t="s">
        <v>1712</v>
      </c>
      <c r="E4404" s="12" t="s">
        <v>1713</v>
      </c>
      <c r="F4404" s="12" t="s">
        <v>1714</v>
      </c>
      <c r="G4404" s="13" t="s">
        <v>1709</v>
      </c>
    </row>
    <row r="4405" spans="1:7">
      <c r="A4405" s="15" t="s">
        <v>1711</v>
      </c>
      <c r="B4405" s="13">
        <v>0.2</v>
      </c>
      <c r="C4405" s="16">
        <v>0.155</v>
      </c>
      <c r="D4405" s="13" t="s">
        <v>1712</v>
      </c>
      <c r="E4405" s="12" t="s">
        <v>1713</v>
      </c>
      <c r="F4405" s="12" t="s">
        <v>1714</v>
      </c>
      <c r="G4405" s="13" t="s">
        <v>1709</v>
      </c>
    </row>
    <row r="4406" spans="1:7">
      <c r="A4406" s="15" t="s">
        <v>1711</v>
      </c>
      <c r="B4406" s="13">
        <v>0.2</v>
      </c>
      <c r="C4406" s="16">
        <v>0.155</v>
      </c>
      <c r="D4406" s="13" t="s">
        <v>1712</v>
      </c>
      <c r="E4406" s="12" t="s">
        <v>1713</v>
      </c>
      <c r="F4406" s="12" t="s">
        <v>1714</v>
      </c>
      <c r="G4406" s="13" t="s">
        <v>1709</v>
      </c>
    </row>
    <row r="4407" spans="1:7">
      <c r="A4407" s="15" t="s">
        <v>1711</v>
      </c>
      <c r="B4407" s="13">
        <v>0.2</v>
      </c>
      <c r="C4407" s="16">
        <v>0.109</v>
      </c>
      <c r="D4407" s="13" t="s">
        <v>1712</v>
      </c>
      <c r="E4407" s="12" t="s">
        <v>1713</v>
      </c>
      <c r="F4407" s="12" t="s">
        <v>1714</v>
      </c>
      <c r="G4407" s="13" t="s">
        <v>1709</v>
      </c>
    </row>
    <row r="4408" spans="1:7">
      <c r="A4408" s="15" t="s">
        <v>1711</v>
      </c>
      <c r="B4408" s="13">
        <v>0.2</v>
      </c>
      <c r="C4408" s="16">
        <v>0.109</v>
      </c>
      <c r="D4408" s="13" t="s">
        <v>1712</v>
      </c>
      <c r="E4408" s="12" t="s">
        <v>1713</v>
      </c>
      <c r="F4408" s="12" t="s">
        <v>1714</v>
      </c>
      <c r="G4408" s="13" t="s">
        <v>1709</v>
      </c>
    </row>
    <row r="4409" spans="1:7">
      <c r="A4409" s="15" t="s">
        <v>1711</v>
      </c>
      <c r="B4409" s="13">
        <v>0.2</v>
      </c>
      <c r="C4409" s="16">
        <v>0.109</v>
      </c>
      <c r="D4409" s="13" t="s">
        <v>1712</v>
      </c>
      <c r="E4409" s="12" t="s">
        <v>1713</v>
      </c>
      <c r="F4409" s="12" t="s">
        <v>1714</v>
      </c>
      <c r="G4409" s="13" t="s">
        <v>1709</v>
      </c>
    </row>
    <row r="4410" spans="1:7">
      <c r="A4410" s="15" t="s">
        <v>1711</v>
      </c>
      <c r="B4410" s="13">
        <v>0.2</v>
      </c>
      <c r="C4410" s="16">
        <v>-0.11600000000000001</v>
      </c>
      <c r="D4410" s="13" t="s">
        <v>1709</v>
      </c>
      <c r="E4410" s="12" t="s">
        <v>1710</v>
      </c>
      <c r="F4410" s="12" t="s">
        <v>1710</v>
      </c>
      <c r="G4410" s="13" t="s">
        <v>1709</v>
      </c>
    </row>
    <row r="4411" spans="1:7">
      <c r="A4411" s="15" t="s">
        <v>1711</v>
      </c>
      <c r="B4411" s="13">
        <v>0.2</v>
      </c>
      <c r="C4411" s="16">
        <v>1.212</v>
      </c>
      <c r="D4411" s="13" t="s">
        <v>1712</v>
      </c>
      <c r="E4411" s="11" t="s">
        <v>1738</v>
      </c>
      <c r="F4411" s="12" t="s">
        <v>1714</v>
      </c>
      <c r="G4411" s="13" t="s">
        <v>1709</v>
      </c>
    </row>
    <row r="4412" spans="1:7">
      <c r="A4412" s="15" t="s">
        <v>1711</v>
      </c>
      <c r="B4412" s="13">
        <v>0.2</v>
      </c>
      <c r="C4412" s="16">
        <v>1.212</v>
      </c>
      <c r="D4412" s="13" t="s">
        <v>1712</v>
      </c>
      <c r="E4412" s="11" t="s">
        <v>1738</v>
      </c>
      <c r="F4412" s="12" t="s">
        <v>1714</v>
      </c>
      <c r="G4412" s="13" t="s">
        <v>1709</v>
      </c>
    </row>
    <row r="4413" spans="1:7">
      <c r="A4413" s="15" t="s">
        <v>1711</v>
      </c>
      <c r="B4413" s="13">
        <v>0.2</v>
      </c>
      <c r="C4413" s="16">
        <v>1.212</v>
      </c>
      <c r="D4413" s="13" t="s">
        <v>1712</v>
      </c>
      <c r="E4413" s="11" t="s">
        <v>1738</v>
      </c>
      <c r="F4413" s="12" t="s">
        <v>1714</v>
      </c>
      <c r="G4413" s="13" t="s">
        <v>1709</v>
      </c>
    </row>
    <row r="4414" spans="1:7">
      <c r="A4414" s="15" t="s">
        <v>1711</v>
      </c>
      <c r="B4414" s="13">
        <v>0.2</v>
      </c>
      <c r="C4414" s="16">
        <v>1.212</v>
      </c>
      <c r="D4414" s="13" t="s">
        <v>1712</v>
      </c>
      <c r="E4414" s="11" t="s">
        <v>1738</v>
      </c>
      <c r="F4414" s="12" t="s">
        <v>1714</v>
      </c>
      <c r="G4414" s="13" t="s">
        <v>1709</v>
      </c>
    </row>
    <row r="4415" spans="1:7">
      <c r="A4415" s="15" t="s">
        <v>1711</v>
      </c>
      <c r="B4415" s="13">
        <v>0.2</v>
      </c>
      <c r="C4415" s="16">
        <v>1.18</v>
      </c>
      <c r="D4415" s="13" t="s">
        <v>1712</v>
      </c>
      <c r="E4415" s="11" t="s">
        <v>1738</v>
      </c>
      <c r="F4415" s="12" t="s">
        <v>1714</v>
      </c>
      <c r="G4415" s="13" t="s">
        <v>1709</v>
      </c>
    </row>
    <row r="4416" spans="1:7">
      <c r="A4416" s="15" t="s">
        <v>1711</v>
      </c>
      <c r="B4416" s="13">
        <v>0.2</v>
      </c>
      <c r="C4416" s="16">
        <v>-0.107</v>
      </c>
      <c r="D4416" s="13" t="s">
        <v>1709</v>
      </c>
      <c r="E4416" s="12" t="s">
        <v>1710</v>
      </c>
      <c r="F4416" s="12" t="s">
        <v>1710</v>
      </c>
      <c r="G4416" s="13" t="s">
        <v>1709</v>
      </c>
    </row>
    <row r="4417" spans="1:7">
      <c r="A4417" s="15" t="s">
        <v>1711</v>
      </c>
      <c r="B4417" s="13">
        <v>0.2</v>
      </c>
      <c r="C4417" s="16">
        <v>0.107</v>
      </c>
      <c r="D4417" s="13" t="s">
        <v>1712</v>
      </c>
      <c r="E4417" s="12" t="s">
        <v>1715</v>
      </c>
      <c r="F4417" s="12" t="s">
        <v>1714</v>
      </c>
      <c r="G4417" s="13" t="s">
        <v>1709</v>
      </c>
    </row>
    <row r="4418" spans="1:7">
      <c r="A4418" s="15" t="s">
        <v>1711</v>
      </c>
      <c r="B4418" s="13">
        <v>0.2</v>
      </c>
      <c r="C4418" s="16">
        <v>-5.0000000000000001E-3</v>
      </c>
      <c r="D4418" s="13" t="s">
        <v>1709</v>
      </c>
      <c r="E4418" s="12" t="s">
        <v>1710</v>
      </c>
      <c r="F4418" s="12" t="s">
        <v>1710</v>
      </c>
      <c r="G4418" s="13" t="s">
        <v>1709</v>
      </c>
    </row>
    <row r="4419" spans="1:7">
      <c r="A4419" s="15" t="s">
        <v>1711</v>
      </c>
      <c r="B4419" s="13">
        <v>0.2</v>
      </c>
      <c r="C4419" s="16">
        <v>-5.0000000000000001E-3</v>
      </c>
      <c r="D4419" s="13" t="s">
        <v>1709</v>
      </c>
      <c r="E4419" s="12" t="s">
        <v>1710</v>
      </c>
      <c r="F4419" s="12" t="s">
        <v>1710</v>
      </c>
      <c r="G4419" s="13" t="s">
        <v>1709</v>
      </c>
    </row>
    <row r="4420" spans="1:7">
      <c r="A4420" s="15" t="s">
        <v>1711</v>
      </c>
      <c r="B4420" s="13">
        <v>0.2</v>
      </c>
      <c r="C4420" s="16">
        <v>-5.0000000000000001E-3</v>
      </c>
      <c r="D4420" s="13" t="s">
        <v>1709</v>
      </c>
      <c r="E4420" s="12" t="s">
        <v>1710</v>
      </c>
      <c r="F4420" s="12" t="s">
        <v>1710</v>
      </c>
      <c r="G4420" s="13" t="s">
        <v>1709</v>
      </c>
    </row>
    <row r="4421" spans="1:7">
      <c r="A4421" s="15" t="s">
        <v>1711</v>
      </c>
      <c r="B4421" s="13">
        <v>0.2</v>
      </c>
      <c r="C4421" s="16">
        <v>-5.0000000000000001E-3</v>
      </c>
      <c r="D4421" s="13" t="s">
        <v>1709</v>
      </c>
      <c r="E4421" s="12" t="s">
        <v>1710</v>
      </c>
      <c r="F4421" s="12" t="s">
        <v>1710</v>
      </c>
      <c r="G4421" s="13" t="s">
        <v>1709</v>
      </c>
    </row>
    <row r="4422" spans="1:7">
      <c r="A4422" s="15" t="s">
        <v>1711</v>
      </c>
      <c r="B4422" s="13">
        <v>0.2</v>
      </c>
      <c r="C4422" s="16">
        <v>-5.0000000000000001E-3</v>
      </c>
      <c r="D4422" s="13" t="s">
        <v>1709</v>
      </c>
      <c r="E4422" s="12" t="s">
        <v>1710</v>
      </c>
      <c r="F4422" s="12" t="s">
        <v>1710</v>
      </c>
      <c r="G4422" s="13" t="s">
        <v>1709</v>
      </c>
    </row>
    <row r="4423" spans="1:7">
      <c r="A4423" s="15" t="s">
        <v>1711</v>
      </c>
      <c r="B4423" s="13">
        <v>0.2</v>
      </c>
      <c r="C4423" s="16">
        <v>-5.0000000000000001E-3</v>
      </c>
      <c r="D4423" s="13" t="s">
        <v>1709</v>
      </c>
      <c r="E4423" s="12" t="s">
        <v>1710</v>
      </c>
      <c r="F4423" s="12" t="s">
        <v>1710</v>
      </c>
      <c r="G4423" s="13" t="s">
        <v>1709</v>
      </c>
    </row>
    <row r="4424" spans="1:7">
      <c r="A4424" s="15" t="s">
        <v>1711</v>
      </c>
      <c r="B4424" s="13">
        <v>0.2</v>
      </c>
      <c r="C4424" s="16">
        <v>-5.0000000000000001E-3</v>
      </c>
      <c r="D4424" s="13" t="s">
        <v>1709</v>
      </c>
      <c r="E4424" s="12" t="s">
        <v>1710</v>
      </c>
      <c r="F4424" s="12" t="s">
        <v>1710</v>
      </c>
      <c r="G4424" s="13" t="s">
        <v>1709</v>
      </c>
    </row>
    <row r="4425" spans="1:7">
      <c r="A4425" s="15" t="s">
        <v>1711</v>
      </c>
      <c r="B4425" s="13">
        <v>0.2</v>
      </c>
      <c r="C4425" s="16">
        <v>-5.0000000000000001E-3</v>
      </c>
      <c r="D4425" s="13" t="s">
        <v>1709</v>
      </c>
      <c r="E4425" s="12" t="s">
        <v>1710</v>
      </c>
      <c r="F4425" s="12" t="s">
        <v>1710</v>
      </c>
      <c r="G4425" s="13" t="s">
        <v>1709</v>
      </c>
    </row>
    <row r="4426" spans="1:7">
      <c r="A4426" s="15" t="s">
        <v>1711</v>
      </c>
      <c r="B4426" s="13">
        <v>0.2</v>
      </c>
      <c r="C4426" s="16">
        <v>-5.0000000000000001E-3</v>
      </c>
      <c r="D4426" s="13" t="s">
        <v>1709</v>
      </c>
      <c r="E4426" s="12" t="s">
        <v>1710</v>
      </c>
      <c r="F4426" s="12" t="s">
        <v>1710</v>
      </c>
      <c r="G4426" s="13" t="s">
        <v>1709</v>
      </c>
    </row>
    <row r="4427" spans="1:7">
      <c r="A4427" s="15" t="s">
        <v>1711</v>
      </c>
      <c r="B4427" s="13">
        <v>0.2</v>
      </c>
      <c r="C4427" s="16">
        <v>-5.0000000000000001E-3</v>
      </c>
      <c r="D4427" s="13" t="s">
        <v>1709</v>
      </c>
      <c r="E4427" s="12" t="s">
        <v>1710</v>
      </c>
      <c r="F4427" s="12" t="s">
        <v>1710</v>
      </c>
      <c r="G4427" s="13" t="s">
        <v>1709</v>
      </c>
    </row>
    <row r="4428" spans="1:7">
      <c r="A4428" s="15" t="s">
        <v>1711</v>
      </c>
      <c r="B4428" s="13">
        <v>0.2</v>
      </c>
      <c r="C4428" s="16">
        <v>-5.0000000000000001E-3</v>
      </c>
      <c r="D4428" s="13" t="s">
        <v>1709</v>
      </c>
      <c r="E4428" s="12" t="s">
        <v>1710</v>
      </c>
      <c r="F4428" s="12" t="s">
        <v>1710</v>
      </c>
      <c r="G4428" s="13" t="s">
        <v>1709</v>
      </c>
    </row>
    <row r="4429" spans="1:7">
      <c r="A4429" s="15" t="s">
        <v>1711</v>
      </c>
      <c r="B4429" s="13">
        <v>0.2</v>
      </c>
      <c r="C4429" s="16">
        <v>-5.0000000000000001E-3</v>
      </c>
      <c r="D4429" s="13" t="s">
        <v>1709</v>
      </c>
      <c r="E4429" s="12" t="s">
        <v>1710</v>
      </c>
      <c r="F4429" s="12" t="s">
        <v>1710</v>
      </c>
      <c r="G4429" s="13" t="s">
        <v>1709</v>
      </c>
    </row>
    <row r="4430" spans="1:7">
      <c r="A4430" s="15" t="s">
        <v>1711</v>
      </c>
      <c r="B4430" s="13">
        <v>0.2</v>
      </c>
      <c r="C4430" s="16">
        <v>-5.0000000000000001E-3</v>
      </c>
      <c r="D4430" s="13" t="s">
        <v>1709</v>
      </c>
      <c r="E4430" s="12" t="s">
        <v>1710</v>
      </c>
      <c r="F4430" s="12" t="s">
        <v>1710</v>
      </c>
      <c r="G4430" s="13" t="s">
        <v>1709</v>
      </c>
    </row>
    <row r="4431" spans="1:7">
      <c r="A4431" s="15" t="s">
        <v>1711</v>
      </c>
      <c r="B4431" s="13">
        <v>0.2</v>
      </c>
      <c r="C4431" s="16">
        <v>-5.0000000000000001E-3</v>
      </c>
      <c r="D4431" s="13" t="s">
        <v>1709</v>
      </c>
      <c r="E4431" s="12" t="s">
        <v>1710</v>
      </c>
      <c r="F4431" s="12" t="s">
        <v>1710</v>
      </c>
      <c r="G4431" s="13" t="s">
        <v>1709</v>
      </c>
    </row>
    <row r="4432" spans="1:7">
      <c r="A4432" s="15" t="s">
        <v>1711</v>
      </c>
      <c r="B4432" s="13">
        <v>0.2</v>
      </c>
      <c r="C4432" s="16">
        <v>-5.0000000000000001E-3</v>
      </c>
      <c r="D4432" s="13" t="s">
        <v>1709</v>
      </c>
      <c r="E4432" s="12" t="s">
        <v>1710</v>
      </c>
      <c r="F4432" s="12" t="s">
        <v>1710</v>
      </c>
      <c r="G4432" s="13" t="s">
        <v>1709</v>
      </c>
    </row>
    <row r="4433" spans="1:7">
      <c r="A4433" s="15" t="s">
        <v>1711</v>
      </c>
      <c r="B4433" s="13">
        <v>0.2</v>
      </c>
      <c r="C4433" s="16">
        <v>-5.0000000000000001E-3</v>
      </c>
      <c r="D4433" s="13" t="s">
        <v>1709</v>
      </c>
      <c r="E4433" s="12" t="s">
        <v>1710</v>
      </c>
      <c r="F4433" s="12" t="s">
        <v>1710</v>
      </c>
      <c r="G4433" s="13" t="s">
        <v>1709</v>
      </c>
    </row>
    <row r="4434" spans="1:7">
      <c r="A4434" s="15" t="s">
        <v>1711</v>
      </c>
      <c r="B4434" s="13">
        <v>0.2</v>
      </c>
      <c r="C4434" s="16">
        <v>2.5680000000000001</v>
      </c>
      <c r="D4434" s="13" t="s">
        <v>1712</v>
      </c>
      <c r="E4434" s="12" t="s">
        <v>1713</v>
      </c>
      <c r="F4434" s="12" t="s">
        <v>1714</v>
      </c>
      <c r="G4434" s="13" t="s">
        <v>1709</v>
      </c>
    </row>
    <row r="4435" spans="1:7">
      <c r="A4435" s="15" t="s">
        <v>1711</v>
      </c>
      <c r="B4435" s="13">
        <v>0.2</v>
      </c>
      <c r="C4435" s="16">
        <v>2.5680000000000001</v>
      </c>
      <c r="D4435" s="13" t="s">
        <v>1712</v>
      </c>
      <c r="E4435" s="12" t="s">
        <v>1713</v>
      </c>
      <c r="F4435" s="12" t="s">
        <v>1714</v>
      </c>
      <c r="G4435" s="13" t="s">
        <v>1709</v>
      </c>
    </row>
    <row r="4436" spans="1:7">
      <c r="A4436" s="15" t="s">
        <v>1711</v>
      </c>
      <c r="B4436" s="13">
        <v>0.2</v>
      </c>
      <c r="C4436" s="16">
        <v>2.5680000000000001</v>
      </c>
      <c r="D4436" s="13" t="s">
        <v>1712</v>
      </c>
      <c r="E4436" s="12" t="s">
        <v>1713</v>
      </c>
      <c r="F4436" s="12" t="s">
        <v>1714</v>
      </c>
      <c r="G4436" s="13" t="s">
        <v>1709</v>
      </c>
    </row>
    <row r="4437" spans="1:7">
      <c r="A4437" s="15" t="s">
        <v>1711</v>
      </c>
      <c r="B4437" s="13">
        <v>0.2</v>
      </c>
      <c r="C4437" s="16">
        <v>2.5680000000000001</v>
      </c>
      <c r="D4437" s="13" t="s">
        <v>1712</v>
      </c>
      <c r="E4437" s="12" t="s">
        <v>1713</v>
      </c>
      <c r="F4437" s="12" t="s">
        <v>1714</v>
      </c>
      <c r="G4437" s="13" t="s">
        <v>1709</v>
      </c>
    </row>
    <row r="4438" spans="1:7">
      <c r="A4438" s="15" t="s">
        <v>1711</v>
      </c>
      <c r="B4438" s="13">
        <v>0.2</v>
      </c>
      <c r="C4438" s="16">
        <v>2.5680000000000001</v>
      </c>
      <c r="D4438" s="13" t="s">
        <v>1712</v>
      </c>
      <c r="E4438" s="12" t="s">
        <v>1713</v>
      </c>
      <c r="F4438" s="12" t="s">
        <v>1714</v>
      </c>
      <c r="G4438" s="13" t="s">
        <v>1709</v>
      </c>
    </row>
    <row r="4439" spans="1:7">
      <c r="A4439" s="15" t="s">
        <v>1711</v>
      </c>
      <c r="B4439" s="13">
        <v>0.2</v>
      </c>
      <c r="C4439" s="16">
        <v>2.5680000000000001</v>
      </c>
      <c r="D4439" s="13" t="s">
        <v>1712</v>
      </c>
      <c r="E4439" s="12" t="s">
        <v>1713</v>
      </c>
      <c r="F4439" s="12" t="s">
        <v>1714</v>
      </c>
      <c r="G4439" s="13" t="s">
        <v>1709</v>
      </c>
    </row>
    <row r="4440" spans="1:7">
      <c r="A4440" s="15" t="s">
        <v>1711</v>
      </c>
      <c r="B4440" s="13">
        <v>0.2</v>
      </c>
      <c r="C4440" s="16">
        <v>2.5680000000000001</v>
      </c>
      <c r="D4440" s="13" t="s">
        <v>1712</v>
      </c>
      <c r="E4440" s="12" t="s">
        <v>1713</v>
      </c>
      <c r="F4440" s="12" t="s">
        <v>1714</v>
      </c>
      <c r="G4440" s="13" t="s">
        <v>1709</v>
      </c>
    </row>
    <row r="4441" spans="1:7">
      <c r="A4441" s="15" t="s">
        <v>1711</v>
      </c>
      <c r="B4441" s="13">
        <v>0.2</v>
      </c>
      <c r="C4441" s="16">
        <v>2.5680000000000001</v>
      </c>
      <c r="D4441" s="13" t="s">
        <v>1712</v>
      </c>
      <c r="E4441" s="12" t="s">
        <v>1713</v>
      </c>
      <c r="F4441" s="12" t="s">
        <v>1714</v>
      </c>
      <c r="G4441" s="13" t="s">
        <v>1709</v>
      </c>
    </row>
    <row r="4442" spans="1:7">
      <c r="A4442" s="15" t="s">
        <v>1711</v>
      </c>
      <c r="B4442" s="13">
        <v>0.2</v>
      </c>
      <c r="C4442" s="16">
        <v>2.5680000000000001</v>
      </c>
      <c r="D4442" s="13" t="s">
        <v>1712</v>
      </c>
      <c r="E4442" s="12" t="s">
        <v>1713</v>
      </c>
      <c r="F4442" s="12" t="s">
        <v>1714</v>
      </c>
      <c r="G4442" s="13" t="s">
        <v>1709</v>
      </c>
    </row>
    <row r="4443" spans="1:7">
      <c r="A4443" s="15" t="s">
        <v>1711</v>
      </c>
      <c r="B4443" s="13">
        <v>0.2</v>
      </c>
      <c r="C4443" s="16">
        <v>2.5680000000000001</v>
      </c>
      <c r="D4443" s="13" t="s">
        <v>1712</v>
      </c>
      <c r="E4443" s="12" t="s">
        <v>1713</v>
      </c>
      <c r="F4443" s="12" t="s">
        <v>1714</v>
      </c>
      <c r="G4443" s="13" t="s">
        <v>1709</v>
      </c>
    </row>
    <row r="4444" spans="1:7">
      <c r="A4444" s="15" t="s">
        <v>1711</v>
      </c>
      <c r="B4444" s="13">
        <v>0.2</v>
      </c>
      <c r="C4444" s="16">
        <v>2.5680000000000001</v>
      </c>
      <c r="D4444" s="13" t="s">
        <v>1712</v>
      </c>
      <c r="E4444" s="12" t="s">
        <v>1713</v>
      </c>
      <c r="F4444" s="12" t="s">
        <v>1714</v>
      </c>
      <c r="G4444" s="13" t="s">
        <v>1709</v>
      </c>
    </row>
    <row r="4445" spans="1:7">
      <c r="A4445" s="15" t="s">
        <v>1711</v>
      </c>
      <c r="B4445" s="13">
        <v>0.2</v>
      </c>
      <c r="C4445" s="16">
        <v>-0.19400000000000001</v>
      </c>
      <c r="D4445" s="13" t="s">
        <v>1709</v>
      </c>
      <c r="E4445" s="12" t="s">
        <v>1710</v>
      </c>
      <c r="F4445" s="12" t="s">
        <v>1710</v>
      </c>
      <c r="G4445" s="13" t="s">
        <v>1709</v>
      </c>
    </row>
    <row r="4446" spans="1:7">
      <c r="A4446" s="15" t="s">
        <v>1711</v>
      </c>
      <c r="B4446" s="13">
        <v>0.2</v>
      </c>
      <c r="C4446" s="16">
        <v>-0.19400000000000001</v>
      </c>
      <c r="D4446" s="13" t="s">
        <v>1709</v>
      </c>
      <c r="E4446" s="12" t="s">
        <v>1710</v>
      </c>
      <c r="F4446" s="12" t="s">
        <v>1710</v>
      </c>
      <c r="G4446" s="13" t="s">
        <v>1709</v>
      </c>
    </row>
    <row r="4447" spans="1:7">
      <c r="A4447" s="15" t="s">
        <v>1711</v>
      </c>
      <c r="B4447" s="13">
        <v>0.2</v>
      </c>
      <c r="C4447" s="16">
        <v>-0.19400000000000001</v>
      </c>
      <c r="D4447" s="13" t="s">
        <v>1709</v>
      </c>
      <c r="E4447" s="12" t="s">
        <v>1710</v>
      </c>
      <c r="F4447" s="12" t="s">
        <v>1710</v>
      </c>
      <c r="G4447" s="13" t="s">
        <v>1709</v>
      </c>
    </row>
    <row r="4448" spans="1:7">
      <c r="A4448" s="15" t="s">
        <v>1711</v>
      </c>
      <c r="B4448" s="13">
        <v>0.2</v>
      </c>
      <c r="C4448" s="16">
        <v>-0.19400000000000001</v>
      </c>
      <c r="D4448" s="13" t="s">
        <v>1709</v>
      </c>
      <c r="E4448" s="12" t="s">
        <v>1710</v>
      </c>
      <c r="F4448" s="12" t="s">
        <v>1710</v>
      </c>
      <c r="G4448" s="13" t="s">
        <v>1709</v>
      </c>
    </row>
    <row r="4449" spans="1:7">
      <c r="A4449" s="15" t="s">
        <v>1711</v>
      </c>
      <c r="B4449" s="13">
        <v>0.2</v>
      </c>
      <c r="C4449" s="16">
        <v>-0.19400000000000001</v>
      </c>
      <c r="D4449" s="13" t="s">
        <v>1709</v>
      </c>
      <c r="E4449" s="12" t="s">
        <v>1710</v>
      </c>
      <c r="F4449" s="12" t="s">
        <v>1710</v>
      </c>
      <c r="G4449" s="13" t="s">
        <v>1709</v>
      </c>
    </row>
    <row r="4450" spans="1:7">
      <c r="A4450" s="15" t="s">
        <v>1711</v>
      </c>
      <c r="B4450" s="13">
        <v>0.2</v>
      </c>
      <c r="C4450" s="16">
        <v>-0.19400000000000001</v>
      </c>
      <c r="D4450" s="13" t="s">
        <v>1709</v>
      </c>
      <c r="E4450" s="12" t="s">
        <v>1710</v>
      </c>
      <c r="F4450" s="12" t="s">
        <v>1710</v>
      </c>
      <c r="G4450" s="13" t="s">
        <v>1709</v>
      </c>
    </row>
    <row r="4451" spans="1:7">
      <c r="A4451" s="15" t="s">
        <v>1711</v>
      </c>
      <c r="B4451" s="13">
        <v>0.2</v>
      </c>
      <c r="C4451" s="16">
        <v>-0.19400000000000001</v>
      </c>
      <c r="D4451" s="13" t="s">
        <v>1709</v>
      </c>
      <c r="E4451" s="12" t="s">
        <v>1710</v>
      </c>
      <c r="F4451" s="12" t="s">
        <v>1710</v>
      </c>
      <c r="G4451" s="13" t="s">
        <v>1709</v>
      </c>
    </row>
    <row r="4452" spans="1:7">
      <c r="A4452" s="15" t="s">
        <v>1711</v>
      </c>
      <c r="B4452" s="13">
        <v>0.2</v>
      </c>
      <c r="C4452" s="16">
        <v>-0.19400000000000001</v>
      </c>
      <c r="D4452" s="13" t="s">
        <v>1709</v>
      </c>
      <c r="E4452" s="12" t="s">
        <v>1710</v>
      </c>
      <c r="F4452" s="12" t="s">
        <v>1710</v>
      </c>
      <c r="G4452" s="13" t="s">
        <v>1709</v>
      </c>
    </row>
    <row r="4453" spans="1:7">
      <c r="A4453" s="15" t="s">
        <v>1711</v>
      </c>
      <c r="B4453" s="13">
        <v>0.2</v>
      </c>
      <c r="C4453" s="16">
        <v>-0.19400000000000001</v>
      </c>
      <c r="D4453" s="13" t="s">
        <v>1709</v>
      </c>
      <c r="E4453" s="12" t="s">
        <v>1710</v>
      </c>
      <c r="F4453" s="12" t="s">
        <v>1710</v>
      </c>
      <c r="G4453" s="13" t="s">
        <v>1709</v>
      </c>
    </row>
    <row r="4454" spans="1:7">
      <c r="A4454" s="15" t="s">
        <v>1711</v>
      </c>
      <c r="B4454" s="13">
        <v>0.2</v>
      </c>
      <c r="C4454" s="16">
        <v>-0.19400000000000001</v>
      </c>
      <c r="D4454" s="13" t="s">
        <v>1709</v>
      </c>
      <c r="E4454" s="12" t="s">
        <v>1710</v>
      </c>
      <c r="F4454" s="12" t="s">
        <v>1710</v>
      </c>
      <c r="G4454" s="13" t="s">
        <v>1709</v>
      </c>
    </row>
    <row r="4455" spans="1:7">
      <c r="A4455" s="15" t="s">
        <v>1711</v>
      </c>
      <c r="B4455" s="13">
        <v>0.2</v>
      </c>
      <c r="C4455" s="16">
        <v>-0.19400000000000001</v>
      </c>
      <c r="D4455" s="13" t="s">
        <v>1709</v>
      </c>
      <c r="E4455" s="12" t="s">
        <v>1710</v>
      </c>
      <c r="F4455" s="12" t="s">
        <v>1710</v>
      </c>
      <c r="G4455" s="13" t="s">
        <v>1709</v>
      </c>
    </row>
    <row r="4456" spans="1:7">
      <c r="A4456" s="15" t="s">
        <v>1711</v>
      </c>
      <c r="B4456" s="13">
        <v>0.2</v>
      </c>
      <c r="C4456" s="16">
        <v>-0.19400000000000001</v>
      </c>
      <c r="D4456" s="13" t="s">
        <v>1709</v>
      </c>
      <c r="E4456" s="12" t="s">
        <v>1710</v>
      </c>
      <c r="F4456" s="12" t="s">
        <v>1710</v>
      </c>
      <c r="G4456" s="13" t="s">
        <v>1709</v>
      </c>
    </row>
    <row r="4457" spans="1:7">
      <c r="A4457" s="15" t="s">
        <v>1711</v>
      </c>
      <c r="B4457" s="13">
        <v>0.2</v>
      </c>
      <c r="C4457" s="16">
        <v>-0.19400000000000001</v>
      </c>
      <c r="D4457" s="13" t="s">
        <v>1709</v>
      </c>
      <c r="E4457" s="12" t="s">
        <v>1710</v>
      </c>
      <c r="F4457" s="12" t="s">
        <v>1710</v>
      </c>
      <c r="G4457" s="13" t="s">
        <v>1709</v>
      </c>
    </row>
    <row r="4458" spans="1:7">
      <c r="A4458" s="15" t="s">
        <v>1711</v>
      </c>
      <c r="B4458" s="13">
        <v>0.2</v>
      </c>
      <c r="C4458" s="16">
        <v>-0.19400000000000001</v>
      </c>
      <c r="D4458" s="13" t="s">
        <v>1709</v>
      </c>
      <c r="E4458" s="12" t="s">
        <v>1710</v>
      </c>
      <c r="F4458" s="12" t="s">
        <v>1710</v>
      </c>
      <c r="G4458" s="13" t="s">
        <v>1709</v>
      </c>
    </row>
    <row r="4459" spans="1:7">
      <c r="A4459" s="15" t="s">
        <v>1711</v>
      </c>
      <c r="B4459" s="13">
        <v>0.2</v>
      </c>
      <c r="C4459" s="16">
        <v>-0.19400000000000001</v>
      </c>
      <c r="D4459" s="13" t="s">
        <v>1709</v>
      </c>
      <c r="E4459" s="12" t="s">
        <v>1710</v>
      </c>
      <c r="F4459" s="12" t="s">
        <v>1710</v>
      </c>
      <c r="G4459" s="13" t="s">
        <v>1709</v>
      </c>
    </row>
    <row r="4460" spans="1:7">
      <c r="A4460" s="15" t="s">
        <v>1711</v>
      </c>
      <c r="B4460" s="13">
        <v>0.2</v>
      </c>
      <c r="C4460" s="16">
        <v>-0.19400000000000001</v>
      </c>
      <c r="D4460" s="13" t="s">
        <v>1709</v>
      </c>
      <c r="E4460" s="12" t="s">
        <v>1710</v>
      </c>
      <c r="F4460" s="12" t="s">
        <v>1710</v>
      </c>
      <c r="G4460" s="13" t="s">
        <v>1709</v>
      </c>
    </row>
    <row r="4461" spans="1:7">
      <c r="A4461" s="15" t="s">
        <v>1711</v>
      </c>
      <c r="B4461" s="13">
        <v>0.2</v>
      </c>
      <c r="C4461" s="16">
        <v>-0.19400000000000001</v>
      </c>
      <c r="D4461" s="13" t="s">
        <v>1709</v>
      </c>
      <c r="E4461" s="12" t="s">
        <v>1710</v>
      </c>
      <c r="F4461" s="12" t="s">
        <v>1710</v>
      </c>
      <c r="G4461" s="13" t="s">
        <v>1709</v>
      </c>
    </row>
    <row r="4462" spans="1:7">
      <c r="A4462" s="15" t="s">
        <v>1711</v>
      </c>
      <c r="B4462" s="13">
        <v>0.2</v>
      </c>
      <c r="C4462" s="16">
        <v>-0.19400000000000001</v>
      </c>
      <c r="D4462" s="13" t="s">
        <v>1709</v>
      </c>
      <c r="E4462" s="12" t="s">
        <v>1710</v>
      </c>
      <c r="F4462" s="12" t="s">
        <v>1710</v>
      </c>
      <c r="G4462" s="13" t="s">
        <v>1709</v>
      </c>
    </row>
    <row r="4463" spans="1:7">
      <c r="A4463" s="15" t="s">
        <v>1711</v>
      </c>
      <c r="B4463" s="13">
        <v>0.2</v>
      </c>
      <c r="C4463" s="16">
        <v>-0.19400000000000001</v>
      </c>
      <c r="D4463" s="13" t="s">
        <v>1709</v>
      </c>
      <c r="E4463" s="12" t="s">
        <v>1710</v>
      </c>
      <c r="F4463" s="12" t="s">
        <v>1710</v>
      </c>
      <c r="G4463" s="13" t="s">
        <v>1709</v>
      </c>
    </row>
    <row r="4464" spans="1:7">
      <c r="A4464" s="15" t="s">
        <v>1711</v>
      </c>
      <c r="B4464" s="13">
        <v>0.2</v>
      </c>
      <c r="C4464" s="16">
        <v>-0.19400000000000001</v>
      </c>
      <c r="D4464" s="13" t="s">
        <v>1709</v>
      </c>
      <c r="E4464" s="12" t="s">
        <v>1710</v>
      </c>
      <c r="F4464" s="12" t="s">
        <v>1710</v>
      </c>
      <c r="G4464" s="13" t="s">
        <v>1709</v>
      </c>
    </row>
    <row r="4465" spans="1:7">
      <c r="A4465" s="15" t="s">
        <v>1711</v>
      </c>
      <c r="B4465" s="13">
        <v>0.2</v>
      </c>
      <c r="C4465" s="16">
        <v>-0.19400000000000001</v>
      </c>
      <c r="D4465" s="13" t="s">
        <v>1709</v>
      </c>
      <c r="E4465" s="12" t="s">
        <v>1710</v>
      </c>
      <c r="F4465" s="12" t="s">
        <v>1710</v>
      </c>
      <c r="G4465" s="13" t="s">
        <v>1709</v>
      </c>
    </row>
    <row r="4466" spans="1:7">
      <c r="A4466" s="15" t="s">
        <v>1711</v>
      </c>
      <c r="B4466" s="13">
        <v>0.2</v>
      </c>
      <c r="C4466" s="16">
        <v>1.6289999999999998</v>
      </c>
      <c r="D4466" s="13" t="s">
        <v>1712</v>
      </c>
      <c r="E4466" s="12" t="s">
        <v>1713</v>
      </c>
      <c r="F4466" s="12" t="s">
        <v>1714</v>
      </c>
      <c r="G4466" s="13" t="s">
        <v>1709</v>
      </c>
    </row>
    <row r="4467" spans="1:7">
      <c r="A4467" s="15" t="s">
        <v>1711</v>
      </c>
      <c r="B4467" s="13">
        <v>0.2</v>
      </c>
      <c r="C4467" s="16">
        <v>1.6289999999999998</v>
      </c>
      <c r="D4467" s="13" t="s">
        <v>1712</v>
      </c>
      <c r="E4467" s="12" t="s">
        <v>1713</v>
      </c>
      <c r="F4467" s="12" t="s">
        <v>1714</v>
      </c>
      <c r="G4467" s="13" t="s">
        <v>1709</v>
      </c>
    </row>
    <row r="4468" spans="1:7">
      <c r="A4468" s="15" t="s">
        <v>1711</v>
      </c>
      <c r="B4468" s="13">
        <v>0.2</v>
      </c>
      <c r="C4468" s="16">
        <v>1.333</v>
      </c>
      <c r="D4468" s="13" t="s">
        <v>1712</v>
      </c>
      <c r="E4468" s="12" t="s">
        <v>1736</v>
      </c>
      <c r="F4468" s="12" t="s">
        <v>1714</v>
      </c>
      <c r="G4468" s="13" t="s">
        <v>1709</v>
      </c>
    </row>
    <row r="4469" spans="1:7">
      <c r="A4469" s="15" t="s">
        <v>1711</v>
      </c>
      <c r="B4469" s="13">
        <v>0.2</v>
      </c>
      <c r="C4469" s="16">
        <v>0.61299999999999999</v>
      </c>
      <c r="D4469" s="13" t="s">
        <v>1712</v>
      </c>
      <c r="E4469" s="12" t="s">
        <v>1736</v>
      </c>
      <c r="F4469" s="12" t="s">
        <v>1714</v>
      </c>
      <c r="G4469" s="13" t="s">
        <v>1709</v>
      </c>
    </row>
    <row r="4470" spans="1:7">
      <c r="A4470" s="15" t="s">
        <v>1711</v>
      </c>
      <c r="B4470" s="13">
        <v>0.2</v>
      </c>
      <c r="C4470" s="16">
        <v>0.155</v>
      </c>
      <c r="D4470" s="13" t="s">
        <v>1712</v>
      </c>
      <c r="E4470" s="12" t="s">
        <v>1715</v>
      </c>
      <c r="F4470" s="12" t="s">
        <v>1714</v>
      </c>
      <c r="G4470" s="13" t="s">
        <v>1709</v>
      </c>
    </row>
    <row r="4471" spans="1:7">
      <c r="A4471" s="15" t="s">
        <v>1711</v>
      </c>
      <c r="B4471" s="13">
        <v>0.2</v>
      </c>
      <c r="C4471" s="16">
        <v>0.155</v>
      </c>
      <c r="D4471" s="13" t="s">
        <v>1712</v>
      </c>
      <c r="E4471" s="12" t="s">
        <v>1715</v>
      </c>
      <c r="F4471" s="12" t="s">
        <v>1714</v>
      </c>
      <c r="G4471" s="13" t="s">
        <v>1709</v>
      </c>
    </row>
    <row r="4472" spans="1:7">
      <c r="A4472" s="15" t="s">
        <v>1711</v>
      </c>
      <c r="B4472" s="13">
        <v>0.2</v>
      </c>
      <c r="C4472" s="16">
        <v>0.155</v>
      </c>
      <c r="D4472" s="13" t="s">
        <v>1712</v>
      </c>
      <c r="E4472" s="12" t="s">
        <v>1715</v>
      </c>
      <c r="F4472" s="12" t="s">
        <v>1714</v>
      </c>
      <c r="G4472" s="13" t="s">
        <v>1709</v>
      </c>
    </row>
    <row r="4473" spans="1:7">
      <c r="A4473" s="15" t="s">
        <v>1711</v>
      </c>
      <c r="B4473" s="13">
        <v>0.2</v>
      </c>
      <c r="C4473" s="16">
        <v>-0.15</v>
      </c>
      <c r="D4473" s="13" t="s">
        <v>1709</v>
      </c>
      <c r="E4473" s="12" t="s">
        <v>1710</v>
      </c>
      <c r="F4473" s="12" t="s">
        <v>1710</v>
      </c>
      <c r="G4473" s="13" t="s">
        <v>1709</v>
      </c>
    </row>
    <row r="4474" spans="1:7">
      <c r="A4474" s="15" t="s">
        <v>1711</v>
      </c>
      <c r="B4474" s="13">
        <v>0.2</v>
      </c>
      <c r="C4474" s="16">
        <v>-0.15</v>
      </c>
      <c r="D4474" s="13" t="s">
        <v>1709</v>
      </c>
      <c r="E4474" s="12" t="s">
        <v>1710</v>
      </c>
      <c r="F4474" s="12" t="s">
        <v>1710</v>
      </c>
      <c r="G4474" s="13" t="s">
        <v>1709</v>
      </c>
    </row>
    <row r="4475" spans="1:7">
      <c r="A4475" s="15" t="s">
        <v>1711</v>
      </c>
      <c r="B4475" s="13">
        <v>0.2</v>
      </c>
      <c r="C4475" s="16">
        <v>-0.15</v>
      </c>
      <c r="D4475" s="13" t="s">
        <v>1709</v>
      </c>
      <c r="E4475" s="12" t="s">
        <v>1710</v>
      </c>
      <c r="F4475" s="12" t="s">
        <v>1710</v>
      </c>
      <c r="G4475" s="13" t="s">
        <v>1709</v>
      </c>
    </row>
    <row r="4476" spans="1:7">
      <c r="A4476" s="15" t="s">
        <v>1711</v>
      </c>
      <c r="B4476" s="13">
        <v>0.2</v>
      </c>
      <c r="C4476" s="16">
        <v>-0.15</v>
      </c>
      <c r="D4476" s="13" t="s">
        <v>1709</v>
      </c>
      <c r="E4476" s="12" t="s">
        <v>1710</v>
      </c>
      <c r="F4476" s="12" t="s">
        <v>1710</v>
      </c>
      <c r="G4476" s="13" t="s">
        <v>1709</v>
      </c>
    </row>
    <row r="4477" spans="1:7">
      <c r="A4477" s="15" t="s">
        <v>1711</v>
      </c>
      <c r="B4477" s="13">
        <v>0.2</v>
      </c>
      <c r="C4477" s="16">
        <v>0.11600000000000001</v>
      </c>
      <c r="D4477" s="13" t="s">
        <v>1712</v>
      </c>
      <c r="E4477" s="12" t="s">
        <v>1715</v>
      </c>
      <c r="F4477" s="12" t="s">
        <v>1714</v>
      </c>
      <c r="G4477" s="13" t="s">
        <v>1709</v>
      </c>
    </row>
    <row r="4478" spans="1:7">
      <c r="A4478" s="15" t="s">
        <v>1711</v>
      </c>
      <c r="B4478" s="13">
        <v>0.2</v>
      </c>
      <c r="C4478" s="16">
        <v>0.32</v>
      </c>
      <c r="D4478" s="13" t="s">
        <v>1712</v>
      </c>
      <c r="E4478" s="12" t="s">
        <v>1715</v>
      </c>
      <c r="F4478" s="12" t="s">
        <v>1714</v>
      </c>
      <c r="G4478" s="13" t="s">
        <v>1709</v>
      </c>
    </row>
    <row r="4479" spans="1:7">
      <c r="A4479" s="15" t="s">
        <v>1711</v>
      </c>
      <c r="B4479" s="13">
        <v>0.2</v>
      </c>
      <c r="C4479" s="16">
        <v>0.27800000000000002</v>
      </c>
      <c r="D4479" s="13" t="s">
        <v>1712</v>
      </c>
      <c r="E4479" s="12" t="s">
        <v>1715</v>
      </c>
      <c r="F4479" s="12" t="s">
        <v>1714</v>
      </c>
      <c r="G4479" s="13" t="s">
        <v>1709</v>
      </c>
    </row>
    <row r="4480" spans="1:7">
      <c r="A4480" s="15" t="s">
        <v>1711</v>
      </c>
      <c r="B4480" s="13">
        <v>0.2</v>
      </c>
      <c r="C4480" s="16">
        <v>0.35099999999999998</v>
      </c>
      <c r="D4480" s="13" t="s">
        <v>1712</v>
      </c>
      <c r="E4480" s="12" t="s">
        <v>1715</v>
      </c>
      <c r="F4480" s="12" t="s">
        <v>1714</v>
      </c>
      <c r="G4480" s="13" t="s">
        <v>1709</v>
      </c>
    </row>
    <row r="4481" spans="1:7">
      <c r="A4481" s="15" t="s">
        <v>1711</v>
      </c>
      <c r="B4481" s="13">
        <v>0.2</v>
      </c>
      <c r="C4481" s="16">
        <v>0.30599999999999999</v>
      </c>
      <c r="D4481" s="13" t="s">
        <v>1712</v>
      </c>
      <c r="E4481" s="12" t="s">
        <v>1715</v>
      </c>
      <c r="F4481" s="12" t="s">
        <v>1714</v>
      </c>
      <c r="G4481" s="13" t="s">
        <v>1709</v>
      </c>
    </row>
    <row r="4482" spans="1:7">
      <c r="A4482" s="15" t="s">
        <v>1711</v>
      </c>
      <c r="B4482" s="13">
        <v>0.2</v>
      </c>
      <c r="C4482" s="16">
        <v>0.58299999999999996</v>
      </c>
      <c r="D4482" s="13" t="s">
        <v>1712</v>
      </c>
      <c r="E4482" s="12" t="s">
        <v>1715</v>
      </c>
      <c r="F4482" s="12" t="s">
        <v>1714</v>
      </c>
      <c r="G4482" s="13" t="s">
        <v>1709</v>
      </c>
    </row>
    <row r="4483" spans="1:7">
      <c r="A4483" s="15" t="s">
        <v>1711</v>
      </c>
      <c r="B4483" s="13">
        <v>0.2</v>
      </c>
      <c r="C4483" s="16">
        <v>-0.183</v>
      </c>
      <c r="D4483" s="13" t="s">
        <v>1709</v>
      </c>
      <c r="E4483" s="12" t="s">
        <v>1710</v>
      </c>
      <c r="F4483" s="12" t="s">
        <v>1710</v>
      </c>
      <c r="G4483" s="13" t="s">
        <v>1709</v>
      </c>
    </row>
    <row r="4484" spans="1:7">
      <c r="A4484" s="15" t="s">
        <v>1711</v>
      </c>
      <c r="B4484" s="13">
        <v>0.2</v>
      </c>
      <c r="C4484" s="16">
        <v>1.333</v>
      </c>
      <c r="D4484" s="13" t="s">
        <v>1712</v>
      </c>
      <c r="E4484" s="12" t="s">
        <v>1713</v>
      </c>
      <c r="F4484" s="12" t="s">
        <v>1714</v>
      </c>
      <c r="G4484" s="13" t="s">
        <v>1709</v>
      </c>
    </row>
    <row r="4485" spans="1:7">
      <c r="A4485" s="15" t="s">
        <v>1711</v>
      </c>
      <c r="B4485" s="13">
        <v>0.2</v>
      </c>
      <c r="C4485" s="16">
        <v>1.333</v>
      </c>
      <c r="D4485" s="13" t="s">
        <v>1712</v>
      </c>
      <c r="E4485" s="12" t="s">
        <v>1713</v>
      </c>
      <c r="F4485" s="12" t="s">
        <v>1714</v>
      </c>
      <c r="G4485" s="13" t="s">
        <v>1709</v>
      </c>
    </row>
    <row r="4486" spans="1:7">
      <c r="A4486" s="15" t="s">
        <v>1711</v>
      </c>
      <c r="B4486" s="13">
        <v>0.2</v>
      </c>
      <c r="C4486" s="16">
        <v>1.333</v>
      </c>
      <c r="D4486" s="13" t="s">
        <v>1712</v>
      </c>
      <c r="E4486" s="12" t="s">
        <v>1713</v>
      </c>
      <c r="F4486" s="12" t="s">
        <v>1714</v>
      </c>
      <c r="G4486" s="13" t="s">
        <v>1709</v>
      </c>
    </row>
    <row r="4487" spans="1:7">
      <c r="A4487" s="15" t="s">
        <v>1711</v>
      </c>
      <c r="B4487" s="13">
        <v>0.2</v>
      </c>
      <c r="C4487" s="16">
        <v>1.333</v>
      </c>
      <c r="D4487" s="13" t="s">
        <v>1712</v>
      </c>
      <c r="E4487" s="12" t="s">
        <v>1713</v>
      </c>
      <c r="F4487" s="12" t="s">
        <v>1714</v>
      </c>
      <c r="G4487" s="13" t="s">
        <v>1709</v>
      </c>
    </row>
    <row r="4488" spans="1:7">
      <c r="A4488" s="15" t="s">
        <v>1711</v>
      </c>
      <c r="B4488" s="13">
        <v>0.2</v>
      </c>
      <c r="C4488" s="16">
        <v>-0.19400000000000001</v>
      </c>
      <c r="D4488" s="13" t="s">
        <v>1709</v>
      </c>
      <c r="E4488" s="12" t="s">
        <v>1710</v>
      </c>
      <c r="F4488" s="12" t="s">
        <v>1710</v>
      </c>
      <c r="G4488" s="13" t="s">
        <v>1709</v>
      </c>
    </row>
    <row r="4489" spans="1:7">
      <c r="A4489" s="15" t="s">
        <v>1711</v>
      </c>
      <c r="B4489" s="13">
        <v>0.2</v>
      </c>
      <c r="C4489" s="16">
        <v>-0.19400000000000001</v>
      </c>
      <c r="D4489" s="13" t="s">
        <v>1709</v>
      </c>
      <c r="E4489" s="12" t="s">
        <v>1710</v>
      </c>
      <c r="F4489" s="12" t="s">
        <v>1710</v>
      </c>
      <c r="G4489" s="13" t="s">
        <v>1709</v>
      </c>
    </row>
    <row r="4490" spans="1:7">
      <c r="A4490" s="15" t="s">
        <v>1711</v>
      </c>
      <c r="B4490" s="13">
        <v>0.2</v>
      </c>
      <c r="C4490" s="16">
        <v>0.61299999999999999</v>
      </c>
      <c r="D4490" s="13" t="s">
        <v>1712</v>
      </c>
      <c r="E4490" s="12" t="s">
        <v>1713</v>
      </c>
      <c r="F4490" s="12" t="s">
        <v>1714</v>
      </c>
      <c r="G4490" s="13" t="s">
        <v>1709</v>
      </c>
    </row>
    <row r="4491" spans="1:7">
      <c r="A4491" s="15" t="s">
        <v>1711</v>
      </c>
      <c r="B4491" s="13">
        <v>0.2</v>
      </c>
      <c r="C4491" s="16">
        <v>0.61299999999999999</v>
      </c>
      <c r="D4491" s="13" t="s">
        <v>1712</v>
      </c>
      <c r="E4491" s="11" t="s">
        <v>1738</v>
      </c>
      <c r="F4491" s="12" t="s">
        <v>1714</v>
      </c>
      <c r="G4491" s="13" t="s">
        <v>1709</v>
      </c>
    </row>
    <row r="4492" spans="1:7">
      <c r="A4492" s="15" t="s">
        <v>1711</v>
      </c>
      <c r="B4492" s="13">
        <v>0.2</v>
      </c>
      <c r="C4492" s="16">
        <v>1.333</v>
      </c>
      <c r="D4492" s="13" t="s">
        <v>1712</v>
      </c>
      <c r="E4492" s="11" t="s">
        <v>1738</v>
      </c>
      <c r="F4492" s="12" t="s">
        <v>1714</v>
      </c>
      <c r="G4492" s="13" t="s">
        <v>1709</v>
      </c>
    </row>
    <row r="4493" spans="1:7">
      <c r="A4493" s="15" t="s">
        <v>1711</v>
      </c>
      <c r="B4493" s="13">
        <v>0.2</v>
      </c>
      <c r="C4493" s="16">
        <v>-0.19400000000000001</v>
      </c>
      <c r="D4493" s="13" t="s">
        <v>1709</v>
      </c>
      <c r="E4493" s="12" t="s">
        <v>1710</v>
      </c>
      <c r="F4493" s="12" t="s">
        <v>1710</v>
      </c>
      <c r="G4493" s="13" t="s">
        <v>1709</v>
      </c>
    </row>
    <row r="4494" spans="1:7">
      <c r="A4494" s="15" t="s">
        <v>1711</v>
      </c>
      <c r="B4494" s="13">
        <v>0.2</v>
      </c>
      <c r="C4494" s="16">
        <v>-0.19400000000000001</v>
      </c>
      <c r="D4494" s="13" t="s">
        <v>1709</v>
      </c>
      <c r="E4494" s="12" t="s">
        <v>1710</v>
      </c>
      <c r="F4494" s="12" t="s">
        <v>1710</v>
      </c>
      <c r="G4494" s="13" t="s">
        <v>1709</v>
      </c>
    </row>
    <row r="4495" spans="1:7">
      <c r="A4495" s="15" t="s">
        <v>1711</v>
      </c>
      <c r="B4495" s="13">
        <v>0.2</v>
      </c>
      <c r="C4495" s="16">
        <v>6.6000000000000003E-2</v>
      </c>
      <c r="D4495" s="13" t="s">
        <v>1712</v>
      </c>
      <c r="E4495" s="11" t="s">
        <v>1738</v>
      </c>
      <c r="F4495" s="12" t="s">
        <v>1714</v>
      </c>
      <c r="G4495" s="13" t="s">
        <v>1709</v>
      </c>
    </row>
    <row r="4496" spans="1:7">
      <c r="A4496" s="15" t="s">
        <v>1711</v>
      </c>
      <c r="B4496" s="13">
        <v>0.2</v>
      </c>
      <c r="C4496" s="16">
        <v>0.61299999999999999</v>
      </c>
      <c r="D4496" s="13" t="s">
        <v>1712</v>
      </c>
      <c r="E4496" s="11" t="s">
        <v>1738</v>
      </c>
      <c r="F4496" s="12" t="s">
        <v>1714</v>
      </c>
      <c r="G4496" s="13" t="s">
        <v>1709</v>
      </c>
    </row>
    <row r="4497" spans="1:7">
      <c r="A4497" s="15" t="s">
        <v>1711</v>
      </c>
      <c r="B4497" s="13">
        <v>0.2</v>
      </c>
      <c r="C4497" s="16">
        <v>-0.19400000000000001</v>
      </c>
      <c r="D4497" s="13" t="s">
        <v>1709</v>
      </c>
      <c r="E4497" s="12" t="s">
        <v>1710</v>
      </c>
      <c r="F4497" s="12" t="s">
        <v>1710</v>
      </c>
      <c r="G4497" s="13" t="s">
        <v>1709</v>
      </c>
    </row>
    <row r="4498" spans="1:7">
      <c r="A4498" s="15" t="s">
        <v>1711</v>
      </c>
      <c r="B4498" s="13">
        <v>0.2</v>
      </c>
      <c r="C4498" s="16">
        <v>0.61299999999999999</v>
      </c>
      <c r="D4498" s="13" t="s">
        <v>1712</v>
      </c>
      <c r="E4498" s="11" t="s">
        <v>1738</v>
      </c>
      <c r="F4498" s="12" t="s">
        <v>1714</v>
      </c>
      <c r="G4498" s="13" t="s">
        <v>1709</v>
      </c>
    </row>
    <row r="4499" spans="1:7">
      <c r="A4499" s="15" t="s">
        <v>1711</v>
      </c>
      <c r="B4499" s="13">
        <v>0.2</v>
      </c>
      <c r="C4499" s="16">
        <v>-0.19400000000000001</v>
      </c>
      <c r="D4499" s="13" t="s">
        <v>1709</v>
      </c>
      <c r="E4499" s="12" t="s">
        <v>1710</v>
      </c>
      <c r="F4499" s="12" t="s">
        <v>1710</v>
      </c>
      <c r="G4499" s="13" t="s">
        <v>1709</v>
      </c>
    </row>
    <row r="4500" spans="1:7">
      <c r="A4500" s="15" t="s">
        <v>1711</v>
      </c>
      <c r="B4500" s="13">
        <v>0.2</v>
      </c>
      <c r="C4500" s="16">
        <v>-0.19400000000000001</v>
      </c>
      <c r="D4500" s="13" t="s">
        <v>1709</v>
      </c>
      <c r="E4500" s="12" t="s">
        <v>1710</v>
      </c>
      <c r="F4500" s="12" t="s">
        <v>1710</v>
      </c>
      <c r="G4500" s="13" t="s">
        <v>1709</v>
      </c>
    </row>
    <row r="4501" spans="1:7">
      <c r="A4501" s="15" t="s">
        <v>1711</v>
      </c>
      <c r="B4501" s="13">
        <v>0.2</v>
      </c>
      <c r="C4501" s="16">
        <v>-0.19400000000000001</v>
      </c>
      <c r="D4501" s="13" t="s">
        <v>1709</v>
      </c>
      <c r="E4501" s="12" t="s">
        <v>1710</v>
      </c>
      <c r="F4501" s="12" t="s">
        <v>1710</v>
      </c>
      <c r="G4501" s="13" t="s">
        <v>1709</v>
      </c>
    </row>
    <row r="4502" spans="1:7">
      <c r="A4502" s="15" t="s">
        <v>1711</v>
      </c>
      <c r="B4502" s="13">
        <v>0.2</v>
      </c>
      <c r="C4502" s="16">
        <v>-0.19400000000000001</v>
      </c>
      <c r="D4502" s="13" t="s">
        <v>1709</v>
      </c>
      <c r="E4502" s="12" t="s">
        <v>1710</v>
      </c>
      <c r="F4502" s="12" t="s">
        <v>1710</v>
      </c>
      <c r="G4502" s="13" t="s">
        <v>1709</v>
      </c>
    </row>
    <row r="4503" spans="1:7">
      <c r="A4503" s="15" t="s">
        <v>1711</v>
      </c>
      <c r="B4503" s="13">
        <v>0.2</v>
      </c>
      <c r="C4503" s="16">
        <v>2.5680000000000001</v>
      </c>
      <c r="D4503" s="13" t="s">
        <v>1712</v>
      </c>
      <c r="E4503" s="12" t="s">
        <v>1715</v>
      </c>
      <c r="F4503" s="12" t="s">
        <v>1714</v>
      </c>
      <c r="G4503" s="13" t="s">
        <v>1709</v>
      </c>
    </row>
    <row r="4504" spans="1:7">
      <c r="A4504" s="15" t="s">
        <v>1711</v>
      </c>
      <c r="B4504" s="13">
        <v>0.2</v>
      </c>
      <c r="C4504" s="16">
        <v>2.5680000000000001</v>
      </c>
      <c r="D4504" s="13" t="s">
        <v>1712</v>
      </c>
      <c r="E4504" s="12" t="s">
        <v>1715</v>
      </c>
      <c r="F4504" s="12" t="s">
        <v>1714</v>
      </c>
      <c r="G4504" s="13" t="s">
        <v>1709</v>
      </c>
    </row>
    <row r="4505" spans="1:7">
      <c r="A4505" s="15" t="s">
        <v>1711</v>
      </c>
      <c r="B4505" s="13">
        <v>0.2</v>
      </c>
      <c r="C4505" s="16">
        <v>-0.19400000000000001</v>
      </c>
      <c r="D4505" s="13" t="s">
        <v>1709</v>
      </c>
      <c r="E4505" s="12" t="s">
        <v>1710</v>
      </c>
      <c r="F4505" s="12" t="s">
        <v>1710</v>
      </c>
      <c r="G4505" s="13" t="s">
        <v>1709</v>
      </c>
    </row>
    <row r="4506" spans="1:7">
      <c r="A4506" s="15" t="s">
        <v>1711</v>
      </c>
      <c r="B4506" s="13">
        <v>0.2</v>
      </c>
      <c r="C4506" s="16">
        <v>-0.19400000000000001</v>
      </c>
      <c r="D4506" s="13" t="s">
        <v>1709</v>
      </c>
      <c r="E4506" s="12" t="s">
        <v>1710</v>
      </c>
      <c r="F4506" s="12" t="s">
        <v>1710</v>
      </c>
      <c r="G4506" s="13" t="s">
        <v>1709</v>
      </c>
    </row>
    <row r="4507" spans="1:7">
      <c r="A4507" s="15" t="s">
        <v>1711</v>
      </c>
      <c r="B4507" s="13">
        <v>0.2</v>
      </c>
      <c r="C4507" s="16">
        <v>1.333</v>
      </c>
      <c r="D4507" s="13" t="s">
        <v>1712</v>
      </c>
      <c r="E4507" s="11" t="s">
        <v>1738</v>
      </c>
      <c r="F4507" s="12" t="s">
        <v>1714</v>
      </c>
      <c r="G4507" s="13" t="s">
        <v>1709</v>
      </c>
    </row>
    <row r="4508" spans="1:7">
      <c r="A4508" s="15" t="s">
        <v>1711</v>
      </c>
      <c r="B4508" s="13">
        <v>0.2</v>
      </c>
      <c r="C4508" s="16">
        <v>1.333</v>
      </c>
      <c r="D4508" s="13" t="s">
        <v>1712</v>
      </c>
      <c r="E4508" s="12" t="s">
        <v>1736</v>
      </c>
      <c r="F4508" s="12" t="s">
        <v>1714</v>
      </c>
      <c r="G4508" s="13" t="s">
        <v>1709</v>
      </c>
    </row>
    <row r="4509" spans="1:7">
      <c r="A4509" s="15" t="s">
        <v>1711</v>
      </c>
      <c r="B4509" s="13">
        <v>0.2</v>
      </c>
      <c r="C4509" s="16">
        <v>0.155</v>
      </c>
      <c r="D4509" s="13" t="s">
        <v>1712</v>
      </c>
      <c r="E4509" s="12" t="s">
        <v>1736</v>
      </c>
      <c r="F4509" s="12" t="s">
        <v>1714</v>
      </c>
      <c r="G4509" s="13" t="s">
        <v>1709</v>
      </c>
    </row>
    <row r="4510" spans="1:7">
      <c r="A4510" s="15" t="s">
        <v>1711</v>
      </c>
      <c r="B4510" s="13">
        <v>0.2</v>
      </c>
      <c r="C4510" s="16">
        <v>0.67200000000000004</v>
      </c>
      <c r="D4510" s="13" t="s">
        <v>1712</v>
      </c>
      <c r="E4510" s="12" t="s">
        <v>1736</v>
      </c>
      <c r="F4510" s="12" t="s">
        <v>1714</v>
      </c>
      <c r="G4510" s="13" t="s">
        <v>1709</v>
      </c>
    </row>
    <row r="4511" spans="1:7">
      <c r="A4511" s="15" t="s">
        <v>1711</v>
      </c>
      <c r="B4511" s="13">
        <v>0.2</v>
      </c>
      <c r="C4511" s="16">
        <v>0.67200000000000004</v>
      </c>
      <c r="D4511" s="13" t="s">
        <v>1712</v>
      </c>
      <c r="E4511" s="12" t="s">
        <v>1736</v>
      </c>
      <c r="F4511" s="12" t="s">
        <v>1714</v>
      </c>
      <c r="G4511" s="13" t="s">
        <v>1709</v>
      </c>
    </row>
    <row r="4512" spans="1:7">
      <c r="A4512" s="15" t="s">
        <v>1711</v>
      </c>
      <c r="B4512" s="13">
        <v>0.2</v>
      </c>
      <c r="C4512" s="16">
        <v>0.67200000000000004</v>
      </c>
      <c r="D4512" s="13" t="s">
        <v>1712</v>
      </c>
      <c r="E4512" s="12" t="s">
        <v>1736</v>
      </c>
      <c r="F4512" s="12" t="s">
        <v>1714</v>
      </c>
      <c r="G4512" s="13" t="s">
        <v>1709</v>
      </c>
    </row>
    <row r="4513" spans="1:7">
      <c r="A4513" s="15" t="s">
        <v>1711</v>
      </c>
      <c r="B4513" s="13">
        <v>0.2</v>
      </c>
      <c r="C4513" s="16">
        <v>0.67200000000000004</v>
      </c>
      <c r="D4513" s="13" t="s">
        <v>1712</v>
      </c>
      <c r="E4513" s="12" t="s">
        <v>1736</v>
      </c>
      <c r="F4513" s="12" t="s">
        <v>1714</v>
      </c>
      <c r="G4513" s="13" t="s">
        <v>1709</v>
      </c>
    </row>
    <row r="4514" spans="1:7">
      <c r="A4514" s="15" t="s">
        <v>1711</v>
      </c>
      <c r="B4514" s="13">
        <v>0.2</v>
      </c>
      <c r="C4514" s="16">
        <v>0.67200000000000004</v>
      </c>
      <c r="D4514" s="13" t="s">
        <v>1712</v>
      </c>
      <c r="E4514" s="12" t="s">
        <v>1736</v>
      </c>
      <c r="F4514" s="12" t="s">
        <v>1714</v>
      </c>
      <c r="G4514" s="13" t="s">
        <v>1709</v>
      </c>
    </row>
    <row r="4515" spans="1:7">
      <c r="A4515" s="15" t="s">
        <v>1711</v>
      </c>
      <c r="B4515" s="13">
        <v>0.2</v>
      </c>
      <c r="C4515" s="16">
        <v>0.67200000000000004</v>
      </c>
      <c r="D4515" s="13" t="s">
        <v>1712</v>
      </c>
      <c r="E4515" s="12" t="s">
        <v>1736</v>
      </c>
      <c r="F4515" s="12" t="s">
        <v>1714</v>
      </c>
      <c r="G4515" s="13" t="s">
        <v>1709</v>
      </c>
    </row>
    <row r="4516" spans="1:7">
      <c r="A4516" s="15" t="s">
        <v>1711</v>
      </c>
      <c r="B4516" s="13">
        <v>0.2</v>
      </c>
      <c r="C4516" s="16">
        <v>0.67200000000000004</v>
      </c>
      <c r="D4516" s="13" t="s">
        <v>1712</v>
      </c>
      <c r="E4516" s="12" t="s">
        <v>1736</v>
      </c>
      <c r="F4516" s="12" t="s">
        <v>1714</v>
      </c>
      <c r="G4516" s="13" t="s">
        <v>1709</v>
      </c>
    </row>
    <row r="4517" spans="1:7">
      <c r="A4517" s="15" t="s">
        <v>1711</v>
      </c>
      <c r="B4517" s="13">
        <v>0.2</v>
      </c>
      <c r="C4517" s="16">
        <v>0.67200000000000004</v>
      </c>
      <c r="D4517" s="13" t="s">
        <v>1712</v>
      </c>
      <c r="E4517" s="12" t="s">
        <v>1736</v>
      </c>
      <c r="F4517" s="12" t="s">
        <v>1714</v>
      </c>
      <c r="G4517" s="13" t="s">
        <v>1709</v>
      </c>
    </row>
    <row r="4518" spans="1:7">
      <c r="A4518" s="15" t="s">
        <v>1711</v>
      </c>
      <c r="B4518" s="13">
        <v>0.2</v>
      </c>
      <c r="C4518" s="16">
        <v>-1.3999999999999999E-2</v>
      </c>
      <c r="D4518" s="13" t="s">
        <v>1709</v>
      </c>
      <c r="E4518" s="12" t="s">
        <v>1710</v>
      </c>
      <c r="F4518" s="12" t="s">
        <v>1710</v>
      </c>
      <c r="G4518" s="13" t="s">
        <v>1709</v>
      </c>
    </row>
    <row r="4519" spans="1:7">
      <c r="A4519" s="15" t="s">
        <v>1711</v>
      </c>
      <c r="B4519" s="13">
        <v>0.2</v>
      </c>
      <c r="C4519" s="16">
        <v>1.244</v>
      </c>
      <c r="D4519" s="13" t="s">
        <v>1712</v>
      </c>
      <c r="E4519" s="12" t="s">
        <v>1736</v>
      </c>
      <c r="F4519" s="12" t="s">
        <v>1714</v>
      </c>
      <c r="G4519" s="13" t="s">
        <v>1709</v>
      </c>
    </row>
    <row r="4520" spans="1:7">
      <c r="A4520" s="15" t="s">
        <v>1711</v>
      </c>
      <c r="B4520" s="13">
        <v>0.2</v>
      </c>
      <c r="C4520" s="16">
        <v>6.6000000000000003E-2</v>
      </c>
      <c r="D4520" s="13" t="s">
        <v>1712</v>
      </c>
      <c r="E4520" s="12" t="s">
        <v>1715</v>
      </c>
      <c r="F4520" s="12" t="s">
        <v>1714</v>
      </c>
      <c r="G4520" s="13" t="s">
        <v>1709</v>
      </c>
    </row>
    <row r="4521" spans="1:7">
      <c r="A4521" s="15" t="s">
        <v>1711</v>
      </c>
      <c r="B4521" s="13">
        <v>0.2</v>
      </c>
      <c r="C4521" s="16">
        <v>0.67200000000000004</v>
      </c>
      <c r="D4521" s="13" t="s">
        <v>1712</v>
      </c>
      <c r="E4521" s="11" t="s">
        <v>1738</v>
      </c>
      <c r="F4521" s="12" t="s">
        <v>1714</v>
      </c>
      <c r="G4521" s="13" t="s">
        <v>1709</v>
      </c>
    </row>
    <row r="4522" spans="1:7">
      <c r="A4522" s="15" t="s">
        <v>1711</v>
      </c>
      <c r="B4522" s="13">
        <v>0.2</v>
      </c>
      <c r="C4522" s="16">
        <v>0.67200000000000004</v>
      </c>
      <c r="D4522" s="13" t="s">
        <v>1712</v>
      </c>
      <c r="E4522" s="11" t="s">
        <v>1738</v>
      </c>
      <c r="F4522" s="12" t="s">
        <v>1714</v>
      </c>
      <c r="G4522" s="13" t="s">
        <v>1709</v>
      </c>
    </row>
    <row r="4523" spans="1:7">
      <c r="A4523" s="15" t="s">
        <v>1711</v>
      </c>
      <c r="B4523" s="13">
        <v>0.2</v>
      </c>
      <c r="C4523" s="16">
        <v>5.2999999999999999E-2</v>
      </c>
      <c r="D4523" s="13" t="s">
        <v>1712</v>
      </c>
      <c r="E4523" s="11" t="s">
        <v>1738</v>
      </c>
      <c r="F4523" s="12" t="s">
        <v>1714</v>
      </c>
      <c r="G4523" s="13" t="s">
        <v>1709</v>
      </c>
    </row>
    <row r="4524" spans="1:7">
      <c r="A4524" s="15" t="s">
        <v>1711</v>
      </c>
      <c r="B4524" s="13">
        <v>0.2</v>
      </c>
      <c r="C4524" s="16">
        <v>1.333</v>
      </c>
      <c r="D4524" s="13" t="s">
        <v>1712</v>
      </c>
      <c r="E4524" s="12" t="s">
        <v>1736</v>
      </c>
      <c r="F4524" s="12" t="s">
        <v>1714</v>
      </c>
      <c r="G4524" s="13" t="s">
        <v>1709</v>
      </c>
    </row>
    <row r="4525" spans="1:7">
      <c r="A4525" s="15" t="s">
        <v>1711</v>
      </c>
      <c r="B4525" s="13">
        <v>0.2</v>
      </c>
      <c r="C4525" s="16">
        <v>6.8000000000000005E-2</v>
      </c>
      <c r="D4525" s="13" t="s">
        <v>1712</v>
      </c>
      <c r="E4525" s="12" t="s">
        <v>1736</v>
      </c>
      <c r="F4525" s="12" t="s">
        <v>1714</v>
      </c>
      <c r="G4525" s="13" t="s">
        <v>1709</v>
      </c>
    </row>
    <row r="4526" spans="1:7">
      <c r="A4526" s="15" t="s">
        <v>1711</v>
      </c>
      <c r="B4526" s="13">
        <v>0.2</v>
      </c>
      <c r="C4526" s="16">
        <v>6.2E-2</v>
      </c>
      <c r="D4526" s="13" t="s">
        <v>1712</v>
      </c>
      <c r="E4526" s="12" t="s">
        <v>1736</v>
      </c>
      <c r="F4526" s="12" t="s">
        <v>1714</v>
      </c>
      <c r="G4526" s="13" t="s">
        <v>1709</v>
      </c>
    </row>
    <row r="4527" spans="1:7">
      <c r="A4527" s="15" t="s">
        <v>1711</v>
      </c>
      <c r="B4527" s="13">
        <v>0.2</v>
      </c>
      <c r="C4527" s="16">
        <v>0.151</v>
      </c>
      <c r="D4527" s="13" t="s">
        <v>1712</v>
      </c>
      <c r="E4527" s="12" t="s">
        <v>1736</v>
      </c>
      <c r="F4527" s="12" t="s">
        <v>1714</v>
      </c>
      <c r="G4527" s="13" t="s">
        <v>1709</v>
      </c>
    </row>
    <row r="4528" spans="1:7">
      <c r="A4528" s="15" t="s">
        <v>1711</v>
      </c>
      <c r="B4528" s="13">
        <v>0.2</v>
      </c>
      <c r="C4528" s="16">
        <v>6.8000000000000005E-2</v>
      </c>
      <c r="D4528" s="13" t="s">
        <v>1712</v>
      </c>
      <c r="E4528" s="12" t="s">
        <v>1736</v>
      </c>
      <c r="F4528" s="12" t="s">
        <v>1714</v>
      </c>
      <c r="G4528" s="13" t="s">
        <v>1709</v>
      </c>
    </row>
    <row r="4529" spans="1:7">
      <c r="A4529" s="15" t="s">
        <v>1711</v>
      </c>
      <c r="B4529" s="13">
        <v>0.2</v>
      </c>
      <c r="C4529" s="16">
        <v>5.2999999999999999E-2</v>
      </c>
      <c r="D4529" s="13" t="s">
        <v>1712</v>
      </c>
      <c r="E4529" s="12" t="s">
        <v>1713</v>
      </c>
      <c r="F4529" s="12" t="s">
        <v>1714</v>
      </c>
      <c r="G4529" s="13" t="s">
        <v>1709</v>
      </c>
    </row>
    <row r="4530" spans="1:7">
      <c r="A4530" s="15" t="s">
        <v>1711</v>
      </c>
      <c r="B4530" s="13">
        <v>0.2</v>
      </c>
      <c r="C4530" s="16">
        <v>1.244</v>
      </c>
      <c r="D4530" s="13" t="s">
        <v>1712</v>
      </c>
      <c r="E4530" s="11" t="s">
        <v>1738</v>
      </c>
      <c r="F4530" s="12" t="s">
        <v>1714</v>
      </c>
      <c r="G4530" s="13" t="s">
        <v>1709</v>
      </c>
    </row>
    <row r="4531" spans="1:7">
      <c r="A4531" s="15" t="s">
        <v>1711</v>
      </c>
      <c r="B4531" s="13">
        <v>0.2</v>
      </c>
      <c r="C4531" s="16">
        <v>-0.19400000000000001</v>
      </c>
      <c r="D4531" s="13" t="s">
        <v>1709</v>
      </c>
      <c r="E4531" s="12" t="s">
        <v>1710</v>
      </c>
      <c r="F4531" s="12" t="s">
        <v>1710</v>
      </c>
      <c r="G4531" s="13" t="s">
        <v>1709</v>
      </c>
    </row>
    <row r="4532" spans="1:7">
      <c r="A4532" s="15" t="s">
        <v>1711</v>
      </c>
      <c r="B4532" s="13">
        <v>0.2</v>
      </c>
      <c r="C4532" s="16">
        <v>7.2999999999999995E-2</v>
      </c>
      <c r="D4532" s="13" t="s">
        <v>1712</v>
      </c>
      <c r="E4532" s="11" t="s">
        <v>1738</v>
      </c>
      <c r="F4532" s="12" t="s">
        <v>1714</v>
      </c>
      <c r="G4532" s="13" t="s">
        <v>1709</v>
      </c>
    </row>
    <row r="4533" spans="1:7">
      <c r="A4533" s="15" t="s">
        <v>1711</v>
      </c>
      <c r="B4533" s="13">
        <v>0.2</v>
      </c>
      <c r="C4533" s="16">
        <v>1.244</v>
      </c>
      <c r="D4533" s="13" t="s">
        <v>1712</v>
      </c>
      <c r="E4533" s="12" t="s">
        <v>1713</v>
      </c>
      <c r="F4533" s="12" t="s">
        <v>1714</v>
      </c>
      <c r="G4533" s="13" t="s">
        <v>1709</v>
      </c>
    </row>
    <row r="4534" spans="1:7">
      <c r="A4534" s="15" t="s">
        <v>1711</v>
      </c>
      <c r="B4534" s="13">
        <v>0.2</v>
      </c>
      <c r="C4534" s="16">
        <v>1.244</v>
      </c>
      <c r="D4534" s="13" t="s">
        <v>1712</v>
      </c>
      <c r="E4534" s="12" t="s">
        <v>1713</v>
      </c>
      <c r="F4534" s="12" t="s">
        <v>1714</v>
      </c>
      <c r="G4534" s="13" t="s">
        <v>1709</v>
      </c>
    </row>
    <row r="4535" spans="1:7">
      <c r="A4535" s="15" t="s">
        <v>1711</v>
      </c>
      <c r="B4535" s="13">
        <v>0.2</v>
      </c>
      <c r="C4535" s="16">
        <v>1.244</v>
      </c>
      <c r="D4535" s="13" t="s">
        <v>1712</v>
      </c>
      <c r="E4535" s="12" t="s">
        <v>1713</v>
      </c>
      <c r="F4535" s="12" t="s">
        <v>1714</v>
      </c>
      <c r="G4535" s="13" t="s">
        <v>1709</v>
      </c>
    </row>
    <row r="4536" spans="1:7">
      <c r="A4536" s="15" t="s">
        <v>1711</v>
      </c>
      <c r="B4536" s="13">
        <v>0.2</v>
      </c>
      <c r="C4536" s="16">
        <v>1.244</v>
      </c>
      <c r="D4536" s="13" t="s">
        <v>1712</v>
      </c>
      <c r="E4536" s="12" t="s">
        <v>1713</v>
      </c>
      <c r="F4536" s="12" t="s">
        <v>1714</v>
      </c>
      <c r="G4536" s="13" t="s">
        <v>1709</v>
      </c>
    </row>
    <row r="4537" spans="1:7">
      <c r="A4537" s="15" t="s">
        <v>1711</v>
      </c>
      <c r="B4537" s="13">
        <v>0.2</v>
      </c>
      <c r="C4537" s="16">
        <v>1.244</v>
      </c>
      <c r="D4537" s="13" t="s">
        <v>1712</v>
      </c>
      <c r="E4537" s="12" t="s">
        <v>1713</v>
      </c>
      <c r="F4537" s="12" t="s">
        <v>1714</v>
      </c>
      <c r="G4537" s="13" t="s">
        <v>1709</v>
      </c>
    </row>
    <row r="4538" spans="1:7">
      <c r="A4538" s="15" t="s">
        <v>1711</v>
      </c>
      <c r="B4538" s="13">
        <v>0.2</v>
      </c>
      <c r="C4538" s="16">
        <v>1.244</v>
      </c>
      <c r="D4538" s="13" t="s">
        <v>1712</v>
      </c>
      <c r="E4538" s="12" t="s">
        <v>1713</v>
      </c>
      <c r="F4538" s="12" t="s">
        <v>1714</v>
      </c>
      <c r="G4538" s="13" t="s">
        <v>1709</v>
      </c>
    </row>
    <row r="4539" spans="1:7">
      <c r="A4539" s="15" t="s">
        <v>1711</v>
      </c>
      <c r="B4539" s="13">
        <v>0.2</v>
      </c>
      <c r="C4539" s="16">
        <v>1.244</v>
      </c>
      <c r="D4539" s="13" t="s">
        <v>1712</v>
      </c>
      <c r="E4539" s="12" t="s">
        <v>1713</v>
      </c>
      <c r="F4539" s="12" t="s">
        <v>1714</v>
      </c>
      <c r="G4539" s="13" t="s">
        <v>1709</v>
      </c>
    </row>
    <row r="4540" spans="1:7">
      <c r="A4540" s="15" t="s">
        <v>1711</v>
      </c>
      <c r="B4540" s="13">
        <v>0.2</v>
      </c>
      <c r="C4540" s="16">
        <v>1.244</v>
      </c>
      <c r="D4540" s="13" t="s">
        <v>1712</v>
      </c>
      <c r="E4540" s="12" t="s">
        <v>1713</v>
      </c>
      <c r="F4540" s="12" t="s">
        <v>1714</v>
      </c>
      <c r="G4540" s="13" t="s">
        <v>1709</v>
      </c>
    </row>
    <row r="4541" spans="1:7">
      <c r="A4541" s="15" t="s">
        <v>1711</v>
      </c>
      <c r="B4541" s="13">
        <v>0.2</v>
      </c>
      <c r="C4541" s="16">
        <v>1.244</v>
      </c>
      <c r="D4541" s="13" t="s">
        <v>1712</v>
      </c>
      <c r="E4541" s="12" t="s">
        <v>1713</v>
      </c>
      <c r="F4541" s="12" t="s">
        <v>1714</v>
      </c>
      <c r="G4541" s="13" t="s">
        <v>1709</v>
      </c>
    </row>
    <row r="4542" spans="1:7">
      <c r="A4542" s="15" t="s">
        <v>1711</v>
      </c>
      <c r="B4542" s="13">
        <v>0.2</v>
      </c>
      <c r="C4542" s="16">
        <v>1.244</v>
      </c>
      <c r="D4542" s="13" t="s">
        <v>1712</v>
      </c>
      <c r="E4542" s="12" t="s">
        <v>1713</v>
      </c>
      <c r="F4542" s="12" t="s">
        <v>1714</v>
      </c>
      <c r="G4542" s="13" t="s">
        <v>1709</v>
      </c>
    </row>
    <row r="4543" spans="1:7">
      <c r="A4543" s="15" t="s">
        <v>1711</v>
      </c>
      <c r="B4543" s="13">
        <v>0.2</v>
      </c>
      <c r="C4543" s="16">
        <v>1.244</v>
      </c>
      <c r="D4543" s="13" t="s">
        <v>1712</v>
      </c>
      <c r="E4543" s="12" t="s">
        <v>1713</v>
      </c>
      <c r="F4543" s="12" t="s">
        <v>1714</v>
      </c>
      <c r="G4543" s="13" t="s">
        <v>1709</v>
      </c>
    </row>
    <row r="4544" spans="1:7">
      <c r="A4544" s="15" t="s">
        <v>1711</v>
      </c>
      <c r="B4544" s="13">
        <v>0.2</v>
      </c>
      <c r="C4544" s="16">
        <v>1.244</v>
      </c>
      <c r="D4544" s="13" t="s">
        <v>1712</v>
      </c>
      <c r="E4544" s="12" t="s">
        <v>1713</v>
      </c>
      <c r="F4544" s="12" t="s">
        <v>1714</v>
      </c>
      <c r="G4544" s="13" t="s">
        <v>1709</v>
      </c>
    </row>
    <row r="4545" spans="1:7">
      <c r="A4545" s="15" t="s">
        <v>1711</v>
      </c>
      <c r="B4545" s="13">
        <v>0.2</v>
      </c>
      <c r="C4545" s="16">
        <v>1.244</v>
      </c>
      <c r="D4545" s="13" t="s">
        <v>1712</v>
      </c>
      <c r="E4545" s="12" t="s">
        <v>1713</v>
      </c>
      <c r="F4545" s="12" t="s">
        <v>1714</v>
      </c>
      <c r="G4545" s="13" t="s">
        <v>1709</v>
      </c>
    </row>
    <row r="4546" spans="1:7">
      <c r="A4546" s="15" t="s">
        <v>1711</v>
      </c>
      <c r="B4546" s="13">
        <v>0.2</v>
      </c>
      <c r="C4546" s="16">
        <v>1.244</v>
      </c>
      <c r="D4546" s="13" t="s">
        <v>1712</v>
      </c>
      <c r="E4546" s="12" t="s">
        <v>1713</v>
      </c>
      <c r="F4546" s="12" t="s">
        <v>1714</v>
      </c>
      <c r="G4546" s="13" t="s">
        <v>1709</v>
      </c>
    </row>
    <row r="4547" spans="1:7">
      <c r="A4547" s="15" t="s">
        <v>1711</v>
      </c>
      <c r="B4547" s="13">
        <v>0.2</v>
      </c>
      <c r="C4547" s="16">
        <v>1.244</v>
      </c>
      <c r="D4547" s="13" t="s">
        <v>1712</v>
      </c>
      <c r="E4547" s="12" t="s">
        <v>1713</v>
      </c>
      <c r="F4547" s="12" t="s">
        <v>1714</v>
      </c>
      <c r="G4547" s="13" t="s">
        <v>1709</v>
      </c>
    </row>
    <row r="4548" spans="1:7">
      <c r="A4548" s="15" t="s">
        <v>1711</v>
      </c>
      <c r="B4548" s="13">
        <v>0.2</v>
      </c>
      <c r="C4548" s="16">
        <v>1.244</v>
      </c>
      <c r="D4548" s="13" t="s">
        <v>1712</v>
      </c>
      <c r="E4548" s="12" t="s">
        <v>1713</v>
      </c>
      <c r="F4548" s="12" t="s">
        <v>1714</v>
      </c>
      <c r="G4548" s="13" t="s">
        <v>1709</v>
      </c>
    </row>
    <row r="4549" spans="1:7">
      <c r="A4549" s="15" t="s">
        <v>1711</v>
      </c>
      <c r="B4549" s="13">
        <v>0.2</v>
      </c>
      <c r="C4549" s="16">
        <v>1.244</v>
      </c>
      <c r="D4549" s="13" t="s">
        <v>1712</v>
      </c>
      <c r="E4549" s="12" t="s">
        <v>1713</v>
      </c>
      <c r="F4549" s="12" t="s">
        <v>1714</v>
      </c>
      <c r="G4549" s="13" t="s">
        <v>1709</v>
      </c>
    </row>
    <row r="4550" spans="1:7">
      <c r="A4550" s="15" t="s">
        <v>1711</v>
      </c>
      <c r="B4550" s="13">
        <v>0.2</v>
      </c>
      <c r="C4550" s="16">
        <v>1.244</v>
      </c>
      <c r="D4550" s="13" t="s">
        <v>1712</v>
      </c>
      <c r="E4550" s="12" t="s">
        <v>1713</v>
      </c>
      <c r="F4550" s="12" t="s">
        <v>1714</v>
      </c>
      <c r="G4550" s="13" t="s">
        <v>1709</v>
      </c>
    </row>
    <row r="4551" spans="1:7">
      <c r="A4551" s="15" t="s">
        <v>1711</v>
      </c>
      <c r="B4551" s="13">
        <v>0.2</v>
      </c>
      <c r="C4551" s="16">
        <v>1.244</v>
      </c>
      <c r="D4551" s="13" t="s">
        <v>1712</v>
      </c>
      <c r="E4551" s="12" t="s">
        <v>1713</v>
      </c>
      <c r="F4551" s="12" t="s">
        <v>1714</v>
      </c>
      <c r="G4551" s="13" t="s">
        <v>1709</v>
      </c>
    </row>
    <row r="4552" spans="1:7">
      <c r="A4552" s="15" t="s">
        <v>1711</v>
      </c>
      <c r="B4552" s="13">
        <v>0.2</v>
      </c>
      <c r="C4552" s="16">
        <v>1.244</v>
      </c>
      <c r="D4552" s="13" t="s">
        <v>1712</v>
      </c>
      <c r="E4552" s="12" t="s">
        <v>1713</v>
      </c>
      <c r="F4552" s="12" t="s">
        <v>1714</v>
      </c>
      <c r="G4552" s="13" t="s">
        <v>1709</v>
      </c>
    </row>
    <row r="4553" spans="1:7">
      <c r="A4553" s="15" t="s">
        <v>1711</v>
      </c>
      <c r="B4553" s="13">
        <v>0.2</v>
      </c>
      <c r="C4553" s="16">
        <v>1.244</v>
      </c>
      <c r="D4553" s="13" t="s">
        <v>1712</v>
      </c>
      <c r="E4553" s="12" t="s">
        <v>1713</v>
      </c>
      <c r="F4553" s="12" t="s">
        <v>1714</v>
      </c>
      <c r="G4553" s="13" t="s">
        <v>1709</v>
      </c>
    </row>
    <row r="4554" spans="1:7">
      <c r="A4554" s="15" t="s">
        <v>1711</v>
      </c>
      <c r="B4554" s="13">
        <v>0.2</v>
      </c>
      <c r="C4554" s="16">
        <v>1.244</v>
      </c>
      <c r="D4554" s="13" t="s">
        <v>1712</v>
      </c>
      <c r="E4554" s="12" t="s">
        <v>1713</v>
      </c>
      <c r="F4554" s="12" t="s">
        <v>1714</v>
      </c>
      <c r="G4554" s="13" t="s">
        <v>1709</v>
      </c>
    </row>
    <row r="4555" spans="1:7">
      <c r="A4555" s="15" t="s">
        <v>1711</v>
      </c>
      <c r="B4555" s="13">
        <v>0.2</v>
      </c>
      <c r="C4555" s="16">
        <v>1.244</v>
      </c>
      <c r="D4555" s="13" t="s">
        <v>1712</v>
      </c>
      <c r="E4555" s="12" t="s">
        <v>1713</v>
      </c>
      <c r="F4555" s="12" t="s">
        <v>1714</v>
      </c>
      <c r="G4555" s="13" t="s">
        <v>1709</v>
      </c>
    </row>
    <row r="4556" spans="1:7">
      <c r="A4556" s="15" t="s">
        <v>1711</v>
      </c>
      <c r="B4556" s="13">
        <v>0.2</v>
      </c>
      <c r="C4556" s="16">
        <v>1.244</v>
      </c>
      <c r="D4556" s="13" t="s">
        <v>1712</v>
      </c>
      <c r="E4556" s="12" t="s">
        <v>1713</v>
      </c>
      <c r="F4556" s="12" t="s">
        <v>1714</v>
      </c>
      <c r="G4556" s="13" t="s">
        <v>1709</v>
      </c>
    </row>
    <row r="4557" spans="1:7">
      <c r="A4557" s="15" t="s">
        <v>1711</v>
      </c>
      <c r="B4557" s="13">
        <v>0.2</v>
      </c>
      <c r="C4557" s="16">
        <v>1.244</v>
      </c>
      <c r="D4557" s="13" t="s">
        <v>1712</v>
      </c>
      <c r="E4557" s="12" t="s">
        <v>1713</v>
      </c>
      <c r="F4557" s="12" t="s">
        <v>1714</v>
      </c>
      <c r="G4557" s="13" t="s">
        <v>1709</v>
      </c>
    </row>
    <row r="4558" spans="1:7">
      <c r="A4558" s="15" t="s">
        <v>1711</v>
      </c>
      <c r="B4558" s="13">
        <v>0.2</v>
      </c>
      <c r="C4558" s="16">
        <v>1.244</v>
      </c>
      <c r="D4558" s="13" t="s">
        <v>1712</v>
      </c>
      <c r="E4558" s="12" t="s">
        <v>1713</v>
      </c>
      <c r="F4558" s="12" t="s">
        <v>1714</v>
      </c>
      <c r="G4558" s="13" t="s">
        <v>1709</v>
      </c>
    </row>
    <row r="4559" spans="1:7">
      <c r="A4559" s="15" t="s">
        <v>1711</v>
      </c>
      <c r="B4559" s="13">
        <v>0.2</v>
      </c>
      <c r="C4559" s="16">
        <v>1.244</v>
      </c>
      <c r="D4559" s="13" t="s">
        <v>1712</v>
      </c>
      <c r="E4559" s="12" t="s">
        <v>1713</v>
      </c>
      <c r="F4559" s="12" t="s">
        <v>1714</v>
      </c>
      <c r="G4559" s="13" t="s">
        <v>1709</v>
      </c>
    </row>
    <row r="4560" spans="1:7">
      <c r="A4560" s="15" t="s">
        <v>1711</v>
      </c>
      <c r="B4560" s="13">
        <v>0.2</v>
      </c>
      <c r="C4560" s="16">
        <v>1.244</v>
      </c>
      <c r="D4560" s="13" t="s">
        <v>1712</v>
      </c>
      <c r="E4560" s="12" t="s">
        <v>1713</v>
      </c>
      <c r="F4560" s="12" t="s">
        <v>1714</v>
      </c>
      <c r="G4560" s="13" t="s">
        <v>1709</v>
      </c>
    </row>
    <row r="4561" spans="1:7">
      <c r="A4561" s="15" t="s">
        <v>1711</v>
      </c>
      <c r="B4561" s="13">
        <v>0.2</v>
      </c>
      <c r="C4561" s="16">
        <v>1.244</v>
      </c>
      <c r="D4561" s="13" t="s">
        <v>1712</v>
      </c>
      <c r="E4561" s="12" t="s">
        <v>1713</v>
      </c>
      <c r="F4561" s="12" t="s">
        <v>1714</v>
      </c>
      <c r="G4561" s="13" t="s">
        <v>1709</v>
      </c>
    </row>
    <row r="4562" spans="1:7">
      <c r="A4562" s="15" t="s">
        <v>1711</v>
      </c>
      <c r="B4562" s="13">
        <v>0.2</v>
      </c>
      <c r="C4562" s="16">
        <v>1.244</v>
      </c>
      <c r="D4562" s="13" t="s">
        <v>1712</v>
      </c>
      <c r="E4562" s="12" t="s">
        <v>1713</v>
      </c>
      <c r="F4562" s="12" t="s">
        <v>1714</v>
      </c>
      <c r="G4562" s="13" t="s">
        <v>1709</v>
      </c>
    </row>
    <row r="4563" spans="1:7">
      <c r="A4563" s="15" t="s">
        <v>1711</v>
      </c>
      <c r="B4563" s="13">
        <v>0.2</v>
      </c>
      <c r="C4563" s="16">
        <v>1.244</v>
      </c>
      <c r="D4563" s="13" t="s">
        <v>1712</v>
      </c>
      <c r="E4563" s="12" t="s">
        <v>1713</v>
      </c>
      <c r="F4563" s="12" t="s">
        <v>1714</v>
      </c>
      <c r="G4563" s="13" t="s">
        <v>1709</v>
      </c>
    </row>
    <row r="4564" spans="1:7">
      <c r="A4564" s="15" t="s">
        <v>1711</v>
      </c>
      <c r="B4564" s="13">
        <v>0.2</v>
      </c>
      <c r="C4564" s="16">
        <v>7.2999999999999995E-2</v>
      </c>
      <c r="D4564" s="13" t="s">
        <v>1712</v>
      </c>
      <c r="E4564" s="12" t="s">
        <v>1713</v>
      </c>
      <c r="F4564" s="12" t="s">
        <v>1714</v>
      </c>
      <c r="G4564" s="13" t="s">
        <v>1709</v>
      </c>
    </row>
    <row r="4565" spans="1:7">
      <c r="A4565" s="15" t="s">
        <v>1711</v>
      </c>
      <c r="B4565" s="13">
        <v>0.2</v>
      </c>
      <c r="C4565" s="16">
        <v>7.2999999999999995E-2</v>
      </c>
      <c r="D4565" s="13" t="s">
        <v>1712</v>
      </c>
      <c r="E4565" s="12" t="s">
        <v>1713</v>
      </c>
      <c r="F4565" s="12" t="s">
        <v>1714</v>
      </c>
      <c r="G4565" s="13" t="s">
        <v>1709</v>
      </c>
    </row>
    <row r="4566" spans="1:7">
      <c r="A4566" s="15" t="s">
        <v>1711</v>
      </c>
      <c r="B4566" s="13">
        <v>0.2</v>
      </c>
      <c r="C4566" s="16">
        <v>2.5680000000000001</v>
      </c>
      <c r="D4566" s="13" t="s">
        <v>1712</v>
      </c>
      <c r="E4566" s="12" t="s">
        <v>1713</v>
      </c>
      <c r="F4566" s="12" t="s">
        <v>1714</v>
      </c>
      <c r="G4566" s="13" t="s">
        <v>1709</v>
      </c>
    </row>
    <row r="4567" spans="1:7">
      <c r="A4567" s="15" t="s">
        <v>1711</v>
      </c>
      <c r="B4567" s="13">
        <v>0.2</v>
      </c>
      <c r="C4567" s="16">
        <v>2.5680000000000001</v>
      </c>
      <c r="D4567" s="13" t="s">
        <v>1712</v>
      </c>
      <c r="E4567" s="12" t="s">
        <v>1713</v>
      </c>
      <c r="F4567" s="12" t="s">
        <v>1714</v>
      </c>
      <c r="G4567" s="13" t="s">
        <v>1709</v>
      </c>
    </row>
    <row r="4568" spans="1:7">
      <c r="A4568" s="15" t="s">
        <v>1711</v>
      </c>
      <c r="B4568" s="13">
        <v>0.2</v>
      </c>
      <c r="C4568" s="16">
        <v>2.5680000000000001</v>
      </c>
      <c r="D4568" s="13" t="s">
        <v>1712</v>
      </c>
      <c r="E4568" s="12" t="s">
        <v>1713</v>
      </c>
      <c r="F4568" s="12" t="s">
        <v>1714</v>
      </c>
      <c r="G4568" s="13" t="s">
        <v>1709</v>
      </c>
    </row>
    <row r="4569" spans="1:7">
      <c r="A4569" s="15" t="s">
        <v>1711</v>
      </c>
      <c r="B4569" s="13">
        <v>0.2</v>
      </c>
      <c r="C4569" s="16">
        <v>2.5680000000000001</v>
      </c>
      <c r="D4569" s="13" t="s">
        <v>1712</v>
      </c>
      <c r="E4569" s="12" t="s">
        <v>1713</v>
      </c>
      <c r="F4569" s="12" t="s">
        <v>1714</v>
      </c>
      <c r="G4569" s="13" t="s">
        <v>1709</v>
      </c>
    </row>
    <row r="4570" spans="1:7">
      <c r="A4570" s="15" t="s">
        <v>1711</v>
      </c>
      <c r="B4570" s="13">
        <v>0.2</v>
      </c>
      <c r="C4570" s="16">
        <v>5.2999999999999999E-2</v>
      </c>
      <c r="D4570" s="13" t="s">
        <v>1712</v>
      </c>
      <c r="E4570" s="12" t="s">
        <v>1713</v>
      </c>
      <c r="F4570" s="12" t="s">
        <v>1714</v>
      </c>
      <c r="G4570" s="13" t="s">
        <v>1709</v>
      </c>
    </row>
    <row r="4571" spans="1:7">
      <c r="A4571" s="15" t="s">
        <v>1711</v>
      </c>
      <c r="B4571" s="13">
        <v>0.2</v>
      </c>
      <c r="C4571" s="16">
        <v>6.6000000000000003E-2</v>
      </c>
      <c r="D4571" s="13" t="s">
        <v>1712</v>
      </c>
      <c r="E4571" s="12" t="s">
        <v>1713</v>
      </c>
      <c r="F4571" s="12" t="s">
        <v>1714</v>
      </c>
      <c r="G4571" s="13" t="s">
        <v>1709</v>
      </c>
    </row>
    <row r="4572" spans="1:7">
      <c r="A4572" s="15" t="s">
        <v>1711</v>
      </c>
      <c r="B4572" s="13">
        <v>0.2</v>
      </c>
      <c r="C4572" s="16">
        <v>1.333</v>
      </c>
      <c r="D4572" s="13" t="s">
        <v>1712</v>
      </c>
      <c r="E4572" s="11" t="s">
        <v>1738</v>
      </c>
      <c r="F4572" s="12" t="s">
        <v>1714</v>
      </c>
      <c r="G4572" s="13" t="s">
        <v>1709</v>
      </c>
    </row>
    <row r="4573" spans="1:7">
      <c r="A4573" s="15" t="s">
        <v>1711</v>
      </c>
      <c r="B4573" s="13">
        <v>0.2</v>
      </c>
      <c r="C4573" s="16">
        <v>1.333</v>
      </c>
      <c r="D4573" s="13" t="s">
        <v>1712</v>
      </c>
      <c r="E4573" s="11" t="s">
        <v>1738</v>
      </c>
      <c r="F4573" s="12" t="s">
        <v>1714</v>
      </c>
      <c r="G4573" s="13" t="s">
        <v>1709</v>
      </c>
    </row>
    <row r="4574" spans="1:7">
      <c r="A4574" s="15" t="s">
        <v>1711</v>
      </c>
      <c r="B4574" s="13">
        <v>0.2</v>
      </c>
      <c r="C4574" s="16">
        <v>1.333</v>
      </c>
      <c r="D4574" s="13" t="s">
        <v>1712</v>
      </c>
      <c r="E4574" s="11" t="s">
        <v>1738</v>
      </c>
      <c r="F4574" s="12" t="s">
        <v>1714</v>
      </c>
      <c r="G4574" s="13" t="s">
        <v>1709</v>
      </c>
    </row>
    <row r="4575" spans="1:7">
      <c r="A4575" s="15" t="s">
        <v>1711</v>
      </c>
      <c r="B4575" s="13">
        <v>0.2</v>
      </c>
      <c r="C4575" s="16">
        <v>1.333</v>
      </c>
      <c r="D4575" s="13" t="s">
        <v>1712</v>
      </c>
      <c r="E4575" s="12" t="s">
        <v>1713</v>
      </c>
      <c r="F4575" s="12" t="s">
        <v>1714</v>
      </c>
      <c r="G4575" s="13" t="s">
        <v>1709</v>
      </c>
    </row>
    <row r="4576" spans="1:7">
      <c r="A4576" s="15" t="s">
        <v>1711</v>
      </c>
      <c r="B4576" s="13">
        <v>0.2</v>
      </c>
      <c r="C4576" s="16">
        <v>1.333</v>
      </c>
      <c r="D4576" s="13" t="s">
        <v>1712</v>
      </c>
      <c r="E4576" s="11" t="s">
        <v>1738</v>
      </c>
      <c r="F4576" s="12" t="s">
        <v>1714</v>
      </c>
      <c r="G4576" s="13" t="s">
        <v>1709</v>
      </c>
    </row>
    <row r="4577" spans="1:7">
      <c r="A4577" s="15" t="s">
        <v>1711</v>
      </c>
      <c r="B4577" s="13">
        <v>0.2</v>
      </c>
      <c r="C4577" s="16">
        <v>7.2999999999999995E-2</v>
      </c>
      <c r="D4577" s="13" t="s">
        <v>1712</v>
      </c>
      <c r="E4577" s="11" t="s">
        <v>1738</v>
      </c>
      <c r="F4577" s="12" t="s">
        <v>1714</v>
      </c>
      <c r="G4577" s="13" t="s">
        <v>1709</v>
      </c>
    </row>
    <row r="4578" spans="1:7">
      <c r="A4578" s="15" t="s">
        <v>1711</v>
      </c>
      <c r="B4578" s="13">
        <v>0.2</v>
      </c>
      <c r="C4578" s="16">
        <v>1.333</v>
      </c>
      <c r="D4578" s="13" t="s">
        <v>1712</v>
      </c>
      <c r="E4578" s="11" t="s">
        <v>1738</v>
      </c>
      <c r="F4578" s="12" t="s">
        <v>1714</v>
      </c>
      <c r="G4578" s="13" t="s">
        <v>1709</v>
      </c>
    </row>
    <row r="4579" spans="1:7">
      <c r="A4579" s="15" t="s">
        <v>1711</v>
      </c>
      <c r="B4579" s="13">
        <v>0.2</v>
      </c>
      <c r="C4579" s="16">
        <v>1.333</v>
      </c>
      <c r="D4579" s="13" t="s">
        <v>1712</v>
      </c>
      <c r="E4579" s="11" t="s">
        <v>1738</v>
      </c>
      <c r="F4579" s="12" t="s">
        <v>1714</v>
      </c>
      <c r="G4579" s="13" t="s">
        <v>1709</v>
      </c>
    </row>
    <row r="4580" spans="1:7">
      <c r="A4580" s="15" t="s">
        <v>1711</v>
      </c>
      <c r="B4580" s="13">
        <v>0.2</v>
      </c>
      <c r="C4580" s="16">
        <v>1.333</v>
      </c>
      <c r="D4580" s="13" t="s">
        <v>1712</v>
      </c>
      <c r="E4580" s="12" t="s">
        <v>1713</v>
      </c>
      <c r="F4580" s="12" t="s">
        <v>1714</v>
      </c>
      <c r="G4580" s="13" t="s">
        <v>1709</v>
      </c>
    </row>
    <row r="4581" spans="1:7">
      <c r="A4581" s="15" t="s">
        <v>1711</v>
      </c>
      <c r="B4581" s="13">
        <v>0.2</v>
      </c>
      <c r="C4581" s="16">
        <v>1.333</v>
      </c>
      <c r="D4581" s="13" t="s">
        <v>1712</v>
      </c>
      <c r="E4581" s="11" t="s">
        <v>1738</v>
      </c>
      <c r="F4581" s="12" t="s">
        <v>1714</v>
      </c>
      <c r="G4581" s="13" t="s">
        <v>1709</v>
      </c>
    </row>
    <row r="4582" spans="1:7">
      <c r="A4582" s="15" t="s">
        <v>1711</v>
      </c>
      <c r="B4582" s="13">
        <v>0.2</v>
      </c>
      <c r="C4582" s="16">
        <v>1.333</v>
      </c>
      <c r="D4582" s="13" t="s">
        <v>1712</v>
      </c>
      <c r="E4582" s="12" t="s">
        <v>1715</v>
      </c>
      <c r="F4582" s="12" t="s">
        <v>1714</v>
      </c>
      <c r="G4582" s="13" t="s">
        <v>1709</v>
      </c>
    </row>
    <row r="4583" spans="1:7">
      <c r="A4583" s="15" t="s">
        <v>1711</v>
      </c>
      <c r="B4583" s="13">
        <v>0.2</v>
      </c>
      <c r="C4583" s="16">
        <v>-0.19400000000000001</v>
      </c>
      <c r="D4583" s="13" t="s">
        <v>1709</v>
      </c>
      <c r="E4583" s="12" t="s">
        <v>1710</v>
      </c>
      <c r="F4583" s="12" t="s">
        <v>1710</v>
      </c>
      <c r="G4583" s="13" t="s">
        <v>1709</v>
      </c>
    </row>
    <row r="4584" spans="1:7">
      <c r="A4584" s="15" t="s">
        <v>1711</v>
      </c>
      <c r="B4584" s="13">
        <v>0.2</v>
      </c>
      <c r="C4584" s="16">
        <v>-0.19400000000000001</v>
      </c>
      <c r="D4584" s="13" t="s">
        <v>1709</v>
      </c>
      <c r="E4584" s="12" t="s">
        <v>1710</v>
      </c>
      <c r="F4584" s="12" t="s">
        <v>1710</v>
      </c>
      <c r="G4584" s="13" t="s">
        <v>1709</v>
      </c>
    </row>
    <row r="4585" spans="1:7">
      <c r="A4585" s="15" t="s">
        <v>1711</v>
      </c>
      <c r="B4585" s="13">
        <v>0.2</v>
      </c>
      <c r="C4585" s="16">
        <v>-0.19400000000000001</v>
      </c>
      <c r="D4585" s="13" t="s">
        <v>1709</v>
      </c>
      <c r="E4585" s="12" t="s">
        <v>1710</v>
      </c>
      <c r="F4585" s="12" t="s">
        <v>1710</v>
      </c>
      <c r="G4585" s="13" t="s">
        <v>1709</v>
      </c>
    </row>
    <row r="4586" spans="1:7">
      <c r="A4586" s="15" t="s">
        <v>1711</v>
      </c>
      <c r="B4586" s="13">
        <v>0.2</v>
      </c>
      <c r="C4586" s="16">
        <v>-7.9000000000000001E-2</v>
      </c>
      <c r="D4586" s="13" t="s">
        <v>1709</v>
      </c>
      <c r="E4586" s="12" t="s">
        <v>1710</v>
      </c>
      <c r="F4586" s="12" t="s">
        <v>1710</v>
      </c>
      <c r="G4586" s="13" t="s">
        <v>1709</v>
      </c>
    </row>
    <row r="4587" spans="1:7">
      <c r="A4587" s="15" t="s">
        <v>1711</v>
      </c>
      <c r="B4587" s="13">
        <v>0.2</v>
      </c>
      <c r="C4587" s="16">
        <v>1.333</v>
      </c>
      <c r="D4587" s="13" t="s">
        <v>1712</v>
      </c>
      <c r="E4587" s="11" t="s">
        <v>1738</v>
      </c>
      <c r="F4587" s="12" t="s">
        <v>1714</v>
      </c>
      <c r="G4587" s="13" t="s">
        <v>1709</v>
      </c>
    </row>
    <row r="4588" spans="1:7">
      <c r="A4588" s="15" t="s">
        <v>1711</v>
      </c>
      <c r="B4588" s="13">
        <v>0.2</v>
      </c>
      <c r="C4588" s="16">
        <v>0.155</v>
      </c>
      <c r="D4588" s="13" t="s">
        <v>1712</v>
      </c>
      <c r="E4588" s="11" t="s">
        <v>1738</v>
      </c>
      <c r="F4588" s="12" t="s">
        <v>1714</v>
      </c>
      <c r="G4588" s="13" t="s">
        <v>1709</v>
      </c>
    </row>
    <row r="4589" spans="1:7">
      <c r="A4589" s="15" t="s">
        <v>1711</v>
      </c>
      <c r="B4589" s="13">
        <v>0.2</v>
      </c>
      <c r="C4589" s="16">
        <v>1.333</v>
      </c>
      <c r="D4589" s="13" t="s">
        <v>1712</v>
      </c>
      <c r="E4589" s="11" t="s">
        <v>1738</v>
      </c>
      <c r="F4589" s="12" t="s">
        <v>1714</v>
      </c>
      <c r="G4589" s="13" t="s">
        <v>1709</v>
      </c>
    </row>
    <row r="4590" spans="1:7">
      <c r="A4590" s="15" t="s">
        <v>1711</v>
      </c>
      <c r="B4590" s="13">
        <v>0.2</v>
      </c>
      <c r="C4590" s="16">
        <v>0.155</v>
      </c>
      <c r="D4590" s="13" t="s">
        <v>1712</v>
      </c>
      <c r="E4590" s="12" t="s">
        <v>1713</v>
      </c>
      <c r="F4590" s="12" t="s">
        <v>1714</v>
      </c>
      <c r="G4590" s="13" t="s">
        <v>1709</v>
      </c>
    </row>
    <row r="4591" spans="1:7">
      <c r="A4591" s="15" t="s">
        <v>1711</v>
      </c>
      <c r="B4591" s="13">
        <v>0.2</v>
      </c>
      <c r="C4591" s="16">
        <v>6.9000000000000006E-2</v>
      </c>
      <c r="D4591" s="13" t="s">
        <v>1712</v>
      </c>
      <c r="E4591" s="12" t="s">
        <v>1713</v>
      </c>
      <c r="F4591" s="12" t="s">
        <v>1714</v>
      </c>
      <c r="G4591" s="13" t="s">
        <v>1709</v>
      </c>
    </row>
    <row r="4592" spans="1:7">
      <c r="A4592" s="15" t="s">
        <v>1711</v>
      </c>
      <c r="B4592" s="13">
        <v>0.2</v>
      </c>
      <c r="C4592" s="16">
        <v>6.9000000000000006E-2</v>
      </c>
      <c r="D4592" s="13" t="s">
        <v>1712</v>
      </c>
      <c r="E4592" s="12" t="s">
        <v>1713</v>
      </c>
      <c r="F4592" s="12" t="s">
        <v>1714</v>
      </c>
      <c r="G4592" s="13" t="s">
        <v>1709</v>
      </c>
    </row>
    <row r="4593" spans="1:7">
      <c r="A4593" s="15" t="s">
        <v>1711</v>
      </c>
      <c r="B4593" s="13">
        <v>0.2</v>
      </c>
      <c r="C4593" s="16">
        <v>6.9000000000000006E-2</v>
      </c>
      <c r="D4593" s="13" t="s">
        <v>1712</v>
      </c>
      <c r="E4593" s="11" t="s">
        <v>1738</v>
      </c>
      <c r="F4593" s="12" t="s">
        <v>1714</v>
      </c>
      <c r="G4593" s="13" t="s">
        <v>1709</v>
      </c>
    </row>
    <row r="4594" spans="1:7">
      <c r="A4594" s="15" t="s">
        <v>1711</v>
      </c>
      <c r="B4594" s="13">
        <v>0.2</v>
      </c>
      <c r="C4594" s="16">
        <v>1.333</v>
      </c>
      <c r="D4594" s="13" t="s">
        <v>1712</v>
      </c>
      <c r="E4594" s="12" t="s">
        <v>1715</v>
      </c>
      <c r="F4594" s="12" t="s">
        <v>1714</v>
      </c>
      <c r="G4594" s="13" t="s">
        <v>1709</v>
      </c>
    </row>
    <row r="4595" spans="1:7">
      <c r="A4595" s="15" t="s">
        <v>1711</v>
      </c>
      <c r="B4595" s="13">
        <v>0.2</v>
      </c>
      <c r="C4595" s="16">
        <v>1.333</v>
      </c>
      <c r="D4595" s="13" t="s">
        <v>1712</v>
      </c>
      <c r="E4595" s="12" t="s">
        <v>1715</v>
      </c>
      <c r="F4595" s="12" t="s">
        <v>1714</v>
      </c>
      <c r="G4595" s="13" t="s">
        <v>1709</v>
      </c>
    </row>
    <row r="4596" spans="1:7">
      <c r="A4596" s="15" t="s">
        <v>1711</v>
      </c>
      <c r="B4596" s="13">
        <v>0.2</v>
      </c>
      <c r="C4596" s="16">
        <v>1.333</v>
      </c>
      <c r="D4596" s="13" t="s">
        <v>1712</v>
      </c>
      <c r="E4596" s="12" t="s">
        <v>1715</v>
      </c>
      <c r="F4596" s="12" t="s">
        <v>1714</v>
      </c>
      <c r="G4596" s="13" t="s">
        <v>1709</v>
      </c>
    </row>
    <row r="4597" spans="1:7">
      <c r="A4597" s="15" t="s">
        <v>1711</v>
      </c>
      <c r="B4597" s="13">
        <v>0.2</v>
      </c>
      <c r="C4597" s="16">
        <v>1.333</v>
      </c>
      <c r="D4597" s="13" t="s">
        <v>1712</v>
      </c>
      <c r="E4597" s="12" t="s">
        <v>1715</v>
      </c>
      <c r="F4597" s="12" t="s">
        <v>1714</v>
      </c>
      <c r="G4597" s="13" t="s">
        <v>1709</v>
      </c>
    </row>
    <row r="4598" spans="1:7">
      <c r="A4598" s="15" t="s">
        <v>1711</v>
      </c>
      <c r="B4598" s="13">
        <v>0.2</v>
      </c>
      <c r="C4598" s="16">
        <v>1.333</v>
      </c>
      <c r="D4598" s="13" t="s">
        <v>1712</v>
      </c>
      <c r="E4598" s="12" t="s">
        <v>1715</v>
      </c>
      <c r="F4598" s="12" t="s">
        <v>1714</v>
      </c>
      <c r="G4598" s="13" t="s">
        <v>1709</v>
      </c>
    </row>
    <row r="4599" spans="1:7">
      <c r="A4599" s="15" t="s">
        <v>1711</v>
      </c>
      <c r="B4599" s="13">
        <v>0.2</v>
      </c>
      <c r="C4599" s="16">
        <v>1.333</v>
      </c>
      <c r="D4599" s="13" t="s">
        <v>1712</v>
      </c>
      <c r="E4599" s="12" t="s">
        <v>1715</v>
      </c>
      <c r="F4599" s="12" t="s">
        <v>1714</v>
      </c>
      <c r="G4599" s="13" t="s">
        <v>1709</v>
      </c>
    </row>
    <row r="4600" spans="1:7">
      <c r="A4600" s="15" t="s">
        <v>1711</v>
      </c>
      <c r="B4600" s="13">
        <v>0.2</v>
      </c>
      <c r="C4600" s="16">
        <v>1.333</v>
      </c>
      <c r="D4600" s="13" t="s">
        <v>1712</v>
      </c>
      <c r="E4600" s="12" t="s">
        <v>1715</v>
      </c>
      <c r="F4600" s="12" t="s">
        <v>1714</v>
      </c>
      <c r="G4600" s="13" t="s">
        <v>1709</v>
      </c>
    </row>
    <row r="4601" spans="1:7">
      <c r="A4601" s="15" t="s">
        <v>1711</v>
      </c>
      <c r="B4601" s="13">
        <v>0.2</v>
      </c>
      <c r="C4601" s="16">
        <v>0.155</v>
      </c>
      <c r="D4601" s="13" t="s">
        <v>1712</v>
      </c>
      <c r="E4601" s="12" t="s">
        <v>1715</v>
      </c>
      <c r="F4601" s="12" t="s">
        <v>1714</v>
      </c>
      <c r="G4601" s="13" t="s">
        <v>1709</v>
      </c>
    </row>
    <row r="4602" spans="1:7">
      <c r="A4602" s="15" t="s">
        <v>1711</v>
      </c>
      <c r="B4602" s="13">
        <v>0.2</v>
      </c>
      <c r="C4602" s="16">
        <v>6.9000000000000006E-2</v>
      </c>
      <c r="D4602" s="13" t="s">
        <v>1712</v>
      </c>
      <c r="E4602" s="12" t="s">
        <v>1715</v>
      </c>
      <c r="F4602" s="12" t="s">
        <v>1714</v>
      </c>
      <c r="G4602" s="13" t="s">
        <v>1709</v>
      </c>
    </row>
    <row r="4603" spans="1:7">
      <c r="A4603" s="15" t="s">
        <v>1711</v>
      </c>
      <c r="B4603" s="13">
        <v>0.2</v>
      </c>
      <c r="C4603" s="16">
        <v>6.9000000000000006E-2</v>
      </c>
      <c r="D4603" s="13" t="s">
        <v>1712</v>
      </c>
      <c r="E4603" s="12" t="s">
        <v>1715</v>
      </c>
      <c r="F4603" s="12" t="s">
        <v>1714</v>
      </c>
      <c r="G4603" s="13" t="s">
        <v>1709</v>
      </c>
    </row>
    <row r="4604" spans="1:7">
      <c r="A4604" s="15" t="s">
        <v>1711</v>
      </c>
      <c r="B4604" s="13">
        <v>0.2</v>
      </c>
      <c r="C4604" s="16">
        <v>6.9000000000000006E-2</v>
      </c>
      <c r="D4604" s="13" t="s">
        <v>1712</v>
      </c>
      <c r="E4604" s="12" t="s">
        <v>1715</v>
      </c>
      <c r="F4604" s="12" t="s">
        <v>1714</v>
      </c>
      <c r="G4604" s="13" t="s">
        <v>1709</v>
      </c>
    </row>
    <row r="4605" spans="1:7">
      <c r="A4605" s="15" t="s">
        <v>1711</v>
      </c>
      <c r="B4605" s="13">
        <v>0.2</v>
      </c>
      <c r="C4605" s="16">
        <v>6.9000000000000006E-2</v>
      </c>
      <c r="D4605" s="13" t="s">
        <v>1712</v>
      </c>
      <c r="E4605" s="12" t="s">
        <v>1715</v>
      </c>
      <c r="F4605" s="12" t="s">
        <v>1714</v>
      </c>
      <c r="G4605" s="13" t="s">
        <v>1709</v>
      </c>
    </row>
    <row r="4606" spans="1:7">
      <c r="A4606" s="15" t="s">
        <v>1711</v>
      </c>
      <c r="B4606" s="13">
        <v>0.2</v>
      </c>
      <c r="C4606" s="16">
        <v>6.9000000000000006E-2</v>
      </c>
      <c r="D4606" s="13" t="s">
        <v>1712</v>
      </c>
      <c r="E4606" s="12" t="s">
        <v>1715</v>
      </c>
      <c r="F4606" s="12" t="s">
        <v>1714</v>
      </c>
      <c r="G4606" s="13" t="s">
        <v>1709</v>
      </c>
    </row>
    <row r="4607" spans="1:7">
      <c r="A4607" s="15" t="s">
        <v>1711</v>
      </c>
      <c r="B4607" s="13">
        <v>0.2</v>
      </c>
      <c r="C4607" s="16">
        <v>6.9000000000000006E-2</v>
      </c>
      <c r="D4607" s="13" t="s">
        <v>1712</v>
      </c>
      <c r="E4607" s="12" t="s">
        <v>1715</v>
      </c>
      <c r="F4607" s="12" t="s">
        <v>1714</v>
      </c>
      <c r="G4607" s="13" t="s">
        <v>1709</v>
      </c>
    </row>
    <row r="4608" spans="1:7">
      <c r="A4608" s="15" t="s">
        <v>1711</v>
      </c>
      <c r="B4608" s="13">
        <v>0.2</v>
      </c>
      <c r="C4608" s="16">
        <v>6.9000000000000006E-2</v>
      </c>
      <c r="D4608" s="13" t="s">
        <v>1712</v>
      </c>
      <c r="E4608" s="11" t="s">
        <v>1738</v>
      </c>
      <c r="F4608" s="12" t="s">
        <v>1714</v>
      </c>
      <c r="G4608" s="13" t="s">
        <v>1709</v>
      </c>
    </row>
    <row r="4609" spans="1:7">
      <c r="A4609" s="15" t="s">
        <v>1711</v>
      </c>
      <c r="B4609" s="13">
        <v>0.2</v>
      </c>
      <c r="C4609" s="16">
        <v>0.155</v>
      </c>
      <c r="D4609" s="13" t="s">
        <v>1712</v>
      </c>
      <c r="E4609" s="11" t="s">
        <v>1738</v>
      </c>
      <c r="F4609" s="12" t="s">
        <v>1714</v>
      </c>
      <c r="G4609" s="13" t="s">
        <v>1709</v>
      </c>
    </row>
    <row r="4610" spans="1:7">
      <c r="A4610" s="15" t="s">
        <v>1711</v>
      </c>
      <c r="B4610" s="13">
        <v>0.2</v>
      </c>
      <c r="C4610" s="16">
        <v>0.155</v>
      </c>
      <c r="D4610" s="13" t="s">
        <v>1712</v>
      </c>
      <c r="E4610" s="12" t="s">
        <v>1713</v>
      </c>
      <c r="F4610" s="12" t="s">
        <v>1714</v>
      </c>
      <c r="G4610" s="13" t="s">
        <v>1709</v>
      </c>
    </row>
    <row r="4611" spans="1:7">
      <c r="A4611" s="15" t="s">
        <v>1711</v>
      </c>
      <c r="B4611" s="13">
        <v>0.2</v>
      </c>
      <c r="C4611" s="16">
        <v>0.155</v>
      </c>
      <c r="D4611" s="13" t="s">
        <v>1712</v>
      </c>
      <c r="E4611" s="12" t="s">
        <v>1713</v>
      </c>
      <c r="F4611" s="12" t="s">
        <v>1714</v>
      </c>
      <c r="G4611" s="13" t="s">
        <v>1709</v>
      </c>
    </row>
    <row r="4612" spans="1:7">
      <c r="A4612" s="15" t="s">
        <v>1711</v>
      </c>
      <c r="B4612" s="13">
        <v>0.2</v>
      </c>
      <c r="C4612" s="16">
        <v>0.155</v>
      </c>
      <c r="D4612" s="13" t="s">
        <v>1712</v>
      </c>
      <c r="E4612" s="12" t="s">
        <v>1713</v>
      </c>
      <c r="F4612" s="12" t="s">
        <v>1714</v>
      </c>
      <c r="G4612" s="13" t="s">
        <v>1709</v>
      </c>
    </row>
    <row r="4613" spans="1:7">
      <c r="A4613" s="15" t="s">
        <v>1711</v>
      </c>
      <c r="B4613" s="13">
        <v>0.2</v>
      </c>
      <c r="C4613" s="16">
        <v>0.155</v>
      </c>
      <c r="D4613" s="13" t="s">
        <v>1712</v>
      </c>
      <c r="E4613" s="12" t="s">
        <v>1713</v>
      </c>
      <c r="F4613" s="12" t="s">
        <v>1714</v>
      </c>
      <c r="G4613" s="13" t="s">
        <v>1709</v>
      </c>
    </row>
    <row r="4614" spans="1:7">
      <c r="A4614" s="15" t="s">
        <v>1711</v>
      </c>
      <c r="B4614" s="13">
        <v>0.2</v>
      </c>
      <c r="C4614" s="16">
        <v>0.155</v>
      </c>
      <c r="D4614" s="13" t="s">
        <v>1712</v>
      </c>
      <c r="E4614" s="12" t="s">
        <v>1713</v>
      </c>
      <c r="F4614" s="12" t="s">
        <v>1714</v>
      </c>
      <c r="G4614" s="13" t="s">
        <v>1709</v>
      </c>
    </row>
    <row r="4615" spans="1:7">
      <c r="A4615" s="15" t="s">
        <v>1711</v>
      </c>
      <c r="B4615" s="13">
        <v>0.2</v>
      </c>
      <c r="C4615" s="16">
        <v>0.155</v>
      </c>
      <c r="D4615" s="13" t="s">
        <v>1712</v>
      </c>
      <c r="E4615" s="12" t="s">
        <v>1713</v>
      </c>
      <c r="F4615" s="12" t="s">
        <v>1714</v>
      </c>
      <c r="G4615" s="13" t="s">
        <v>1709</v>
      </c>
    </row>
    <row r="4616" spans="1:7">
      <c r="A4616" s="15" t="s">
        <v>1711</v>
      </c>
      <c r="B4616" s="13">
        <v>0.2</v>
      </c>
      <c r="C4616" s="16">
        <v>0.155</v>
      </c>
      <c r="D4616" s="13" t="s">
        <v>1712</v>
      </c>
      <c r="E4616" s="12" t="s">
        <v>1713</v>
      </c>
      <c r="F4616" s="12" t="s">
        <v>1714</v>
      </c>
      <c r="G4616" s="13" t="s">
        <v>1709</v>
      </c>
    </row>
    <row r="4617" spans="1:7">
      <c r="A4617" s="15" t="s">
        <v>1711</v>
      </c>
      <c r="B4617" s="13">
        <v>0.2</v>
      </c>
      <c r="C4617" s="16">
        <v>0.155</v>
      </c>
      <c r="D4617" s="13" t="s">
        <v>1712</v>
      </c>
      <c r="E4617" s="12" t="s">
        <v>1713</v>
      </c>
      <c r="F4617" s="12" t="s">
        <v>1714</v>
      </c>
      <c r="G4617" s="13" t="s">
        <v>1709</v>
      </c>
    </row>
    <row r="4618" spans="1:7">
      <c r="A4618" s="15" t="s">
        <v>1711</v>
      </c>
      <c r="B4618" s="13">
        <v>0.2</v>
      </c>
      <c r="C4618" s="16">
        <v>0.155</v>
      </c>
      <c r="D4618" s="13" t="s">
        <v>1712</v>
      </c>
      <c r="E4618" s="12" t="s">
        <v>1713</v>
      </c>
      <c r="F4618" s="12" t="s">
        <v>1714</v>
      </c>
      <c r="G4618" s="13" t="s">
        <v>1709</v>
      </c>
    </row>
    <row r="4619" spans="1:7">
      <c r="A4619" s="15" t="s">
        <v>1711</v>
      </c>
      <c r="B4619" s="13">
        <v>0.2</v>
      </c>
      <c r="C4619" s="16">
        <v>0.155</v>
      </c>
      <c r="D4619" s="13" t="s">
        <v>1712</v>
      </c>
      <c r="E4619" s="12" t="s">
        <v>1713</v>
      </c>
      <c r="F4619" s="12" t="s">
        <v>1714</v>
      </c>
      <c r="G4619" s="13" t="s">
        <v>1709</v>
      </c>
    </row>
    <row r="4620" spans="1:7">
      <c r="A4620" s="15" t="s">
        <v>1711</v>
      </c>
      <c r="B4620" s="13">
        <v>0.2</v>
      </c>
      <c r="C4620" s="16">
        <v>0.55600000000000005</v>
      </c>
      <c r="D4620" s="13" t="s">
        <v>1712</v>
      </c>
      <c r="E4620" s="12" t="s">
        <v>1713</v>
      </c>
      <c r="F4620" s="12" t="s">
        <v>1714</v>
      </c>
      <c r="G4620" s="13" t="s">
        <v>1709</v>
      </c>
    </row>
    <row r="4621" spans="1:7">
      <c r="A4621" s="15" t="s">
        <v>1711</v>
      </c>
      <c r="B4621" s="13">
        <v>0.2</v>
      </c>
      <c r="C4621" s="16">
        <v>0.55500000000000005</v>
      </c>
      <c r="D4621" s="13" t="s">
        <v>1712</v>
      </c>
      <c r="E4621" s="12" t="s">
        <v>1713</v>
      </c>
      <c r="F4621" s="12" t="s">
        <v>1714</v>
      </c>
      <c r="G4621" s="13" t="s">
        <v>1709</v>
      </c>
    </row>
    <row r="4622" spans="1:7">
      <c r="A4622" s="15" t="s">
        <v>1711</v>
      </c>
      <c r="B4622" s="13">
        <v>0.2</v>
      </c>
      <c r="C4622" s="16">
        <v>1.2549999999999999</v>
      </c>
      <c r="D4622" s="13" t="s">
        <v>1712</v>
      </c>
      <c r="E4622" s="11" t="s">
        <v>1738</v>
      </c>
      <c r="F4622" s="12" t="s">
        <v>1714</v>
      </c>
      <c r="G4622" s="13" t="s">
        <v>1709</v>
      </c>
    </row>
    <row r="4623" spans="1:7">
      <c r="A4623" s="15" t="s">
        <v>1711</v>
      </c>
      <c r="B4623" s="13">
        <v>0.2</v>
      </c>
      <c r="C4623" s="16">
        <v>1.2549999999999999</v>
      </c>
      <c r="D4623" s="13" t="s">
        <v>1712</v>
      </c>
      <c r="E4623" s="11" t="s">
        <v>1738</v>
      </c>
      <c r="F4623" s="12" t="s">
        <v>1714</v>
      </c>
      <c r="G4623" s="13" t="s">
        <v>1709</v>
      </c>
    </row>
    <row r="4624" spans="1:7">
      <c r="A4624" s="15" t="s">
        <v>1711</v>
      </c>
      <c r="B4624" s="13">
        <v>0.2</v>
      </c>
      <c r="C4624" s="16">
        <v>0.155</v>
      </c>
      <c r="D4624" s="13" t="s">
        <v>1712</v>
      </c>
      <c r="E4624" s="11" t="s">
        <v>1738</v>
      </c>
      <c r="F4624" s="12" t="s">
        <v>1714</v>
      </c>
      <c r="G4624" s="13" t="s">
        <v>1709</v>
      </c>
    </row>
    <row r="4625" spans="1:7">
      <c r="A4625" s="15" t="s">
        <v>1711</v>
      </c>
      <c r="B4625" s="13">
        <v>0.2</v>
      </c>
      <c r="C4625" s="16">
        <v>0.155</v>
      </c>
      <c r="D4625" s="13" t="s">
        <v>1712</v>
      </c>
      <c r="E4625" s="11" t="s">
        <v>1738</v>
      </c>
      <c r="F4625" s="12" t="s">
        <v>1714</v>
      </c>
      <c r="G4625" s="13" t="s">
        <v>1709</v>
      </c>
    </row>
    <row r="4626" spans="1:7">
      <c r="A4626" s="15" t="s">
        <v>1711</v>
      </c>
      <c r="B4626" s="13">
        <v>0.2</v>
      </c>
      <c r="C4626" s="16">
        <v>0.55500000000000005</v>
      </c>
      <c r="D4626" s="13" t="s">
        <v>1712</v>
      </c>
      <c r="E4626" s="11" t="s">
        <v>1738</v>
      </c>
      <c r="F4626" s="12" t="s">
        <v>1714</v>
      </c>
      <c r="G4626" s="13" t="s">
        <v>1709</v>
      </c>
    </row>
    <row r="4627" spans="1:7">
      <c r="A4627" s="15" t="s">
        <v>1711</v>
      </c>
      <c r="B4627" s="13">
        <v>0.2</v>
      </c>
      <c r="C4627" s="16">
        <v>0.30199999999999999</v>
      </c>
      <c r="D4627" s="13" t="s">
        <v>1712</v>
      </c>
      <c r="E4627" s="11" t="s">
        <v>1738</v>
      </c>
      <c r="F4627" s="12" t="s">
        <v>1714</v>
      </c>
      <c r="G4627" s="13" t="s">
        <v>1709</v>
      </c>
    </row>
    <row r="4628" spans="1:7">
      <c r="A4628" s="15" t="s">
        <v>1711</v>
      </c>
      <c r="B4628" s="13">
        <v>0.2</v>
      </c>
      <c r="C4628" s="16">
        <v>0.86399999999999999</v>
      </c>
      <c r="D4628" s="13" t="s">
        <v>1712</v>
      </c>
      <c r="E4628" s="12" t="s">
        <v>1737</v>
      </c>
      <c r="F4628" s="12" t="s">
        <v>1714</v>
      </c>
      <c r="G4628" s="13" t="s">
        <v>1709</v>
      </c>
    </row>
    <row r="4629" spans="1:7">
      <c r="A4629" s="15" t="s">
        <v>1711</v>
      </c>
      <c r="B4629" s="13">
        <v>0.2</v>
      </c>
      <c r="C4629" s="16">
        <v>-0.05</v>
      </c>
      <c r="D4629" s="13" t="s">
        <v>1709</v>
      </c>
      <c r="E4629" s="12" t="s">
        <v>1710</v>
      </c>
      <c r="F4629" s="12" t="s">
        <v>1710</v>
      </c>
      <c r="G4629" s="13" t="s">
        <v>1709</v>
      </c>
    </row>
    <row r="4630" spans="1:7">
      <c r="A4630" s="15" t="s">
        <v>1711</v>
      </c>
      <c r="B4630" s="13">
        <v>0.2</v>
      </c>
      <c r="C4630" s="16">
        <v>1.607</v>
      </c>
      <c r="D4630" s="13" t="s">
        <v>1712</v>
      </c>
      <c r="E4630" s="12" t="s">
        <v>1713</v>
      </c>
      <c r="F4630" s="12" t="s">
        <v>1714</v>
      </c>
      <c r="G4630" s="13" t="s">
        <v>1709</v>
      </c>
    </row>
    <row r="4631" spans="1:7">
      <c r="A4631" s="15" t="s">
        <v>1711</v>
      </c>
      <c r="B4631" s="13">
        <v>0.2</v>
      </c>
      <c r="C4631" s="16">
        <v>1.7849999999999999</v>
      </c>
      <c r="D4631" s="13" t="s">
        <v>1712</v>
      </c>
      <c r="E4631" s="11" t="s">
        <v>1738</v>
      </c>
      <c r="F4631" s="12" t="s">
        <v>1714</v>
      </c>
      <c r="G4631" s="13" t="s">
        <v>1709</v>
      </c>
    </row>
    <row r="4632" spans="1:7">
      <c r="A4632" s="15" t="s">
        <v>1711</v>
      </c>
      <c r="B4632" s="13">
        <v>0.2</v>
      </c>
      <c r="C4632" s="16">
        <v>0.61299999999999999</v>
      </c>
      <c r="D4632" s="13" t="s">
        <v>1712</v>
      </c>
      <c r="E4632" s="12" t="s">
        <v>1745</v>
      </c>
      <c r="F4632" s="12" t="s">
        <v>1714</v>
      </c>
      <c r="G4632" s="13" t="s">
        <v>1709</v>
      </c>
    </row>
    <row r="4633" spans="1:7">
      <c r="A4633" s="15" t="s">
        <v>1711</v>
      </c>
      <c r="B4633" s="13">
        <v>0.2</v>
      </c>
      <c r="C4633" s="16">
        <v>1.333</v>
      </c>
      <c r="D4633" s="13" t="s">
        <v>1712</v>
      </c>
      <c r="E4633" s="12" t="s">
        <v>1736</v>
      </c>
      <c r="F4633" s="12" t="s">
        <v>1714</v>
      </c>
      <c r="G4633" s="13" t="s">
        <v>1709</v>
      </c>
    </row>
    <row r="4634" spans="1:7">
      <c r="A4634" s="15" t="s">
        <v>1711</v>
      </c>
      <c r="B4634" s="13">
        <v>0.2</v>
      </c>
      <c r="C4634" s="16">
        <v>1.333</v>
      </c>
      <c r="D4634" s="13" t="s">
        <v>1712</v>
      </c>
      <c r="E4634" s="12" t="s">
        <v>1715</v>
      </c>
      <c r="F4634" s="12" t="s">
        <v>1714</v>
      </c>
      <c r="G4634" s="13" t="s">
        <v>1709</v>
      </c>
    </row>
    <row r="4635" spans="1:7">
      <c r="A4635" s="15" t="s">
        <v>1711</v>
      </c>
      <c r="B4635" s="13">
        <v>0.2</v>
      </c>
      <c r="C4635" s="16">
        <v>6.6000000000000003E-2</v>
      </c>
      <c r="D4635" s="13" t="s">
        <v>1712</v>
      </c>
      <c r="E4635" s="12" t="s">
        <v>1715</v>
      </c>
      <c r="F4635" s="12" t="s">
        <v>1714</v>
      </c>
      <c r="G4635" s="13" t="s">
        <v>1709</v>
      </c>
    </row>
    <row r="4636" spans="1:7">
      <c r="A4636" s="15" t="s">
        <v>1711</v>
      </c>
      <c r="B4636" s="13">
        <v>0.2</v>
      </c>
      <c r="C4636" s="16">
        <v>6.3E-2</v>
      </c>
      <c r="D4636" s="13" t="s">
        <v>1712</v>
      </c>
      <c r="E4636" s="12" t="s">
        <v>1736</v>
      </c>
      <c r="F4636" s="12" t="s">
        <v>1714</v>
      </c>
      <c r="G4636" s="13" t="s">
        <v>1709</v>
      </c>
    </row>
    <row r="4637" spans="1:7">
      <c r="A4637" s="15" t="s">
        <v>1711</v>
      </c>
      <c r="B4637" s="13">
        <v>0.2</v>
      </c>
      <c r="C4637" s="16">
        <v>1.2549999999999999</v>
      </c>
      <c r="D4637" s="13" t="s">
        <v>1712</v>
      </c>
      <c r="E4637" s="12" t="s">
        <v>1736</v>
      </c>
      <c r="F4637" s="12" t="s">
        <v>1714</v>
      </c>
      <c r="G4637" s="13" t="s">
        <v>1709</v>
      </c>
    </row>
    <row r="4638" spans="1:7">
      <c r="A4638" s="15" t="s">
        <v>1711</v>
      </c>
      <c r="B4638" s="13">
        <v>0.2</v>
      </c>
      <c r="C4638" s="16">
        <v>0.61299999999999999</v>
      </c>
      <c r="D4638" s="13" t="s">
        <v>1712</v>
      </c>
      <c r="E4638" s="12" t="s">
        <v>1736</v>
      </c>
      <c r="F4638" s="12" t="s">
        <v>1714</v>
      </c>
      <c r="G4638" s="13" t="s">
        <v>1709</v>
      </c>
    </row>
    <row r="4639" spans="1:7">
      <c r="A4639" s="15" t="s">
        <v>1711</v>
      </c>
      <c r="B4639" s="13">
        <v>0.2</v>
      </c>
      <c r="C4639" s="16">
        <v>0.61299999999999999</v>
      </c>
      <c r="D4639" s="13" t="s">
        <v>1712</v>
      </c>
      <c r="E4639" s="12" t="s">
        <v>1736</v>
      </c>
      <c r="F4639" s="12" t="s">
        <v>1714</v>
      </c>
      <c r="G4639" s="13" t="s">
        <v>1709</v>
      </c>
    </row>
    <row r="4640" spans="1:7">
      <c r="A4640" s="15" t="s">
        <v>1711</v>
      </c>
      <c r="B4640" s="13">
        <v>0.2</v>
      </c>
      <c r="C4640" s="16">
        <v>1.333</v>
      </c>
      <c r="D4640" s="13" t="s">
        <v>1712</v>
      </c>
      <c r="E4640" s="12" t="s">
        <v>1736</v>
      </c>
      <c r="F4640" s="12" t="s">
        <v>1714</v>
      </c>
      <c r="G4640" s="13" t="s">
        <v>1709</v>
      </c>
    </row>
    <row r="4641" spans="1:7">
      <c r="A4641" s="15" t="s">
        <v>1711</v>
      </c>
      <c r="B4641" s="13">
        <v>0.2</v>
      </c>
      <c r="C4641" s="16">
        <v>7.2999999999999995E-2</v>
      </c>
      <c r="D4641" s="13" t="s">
        <v>1712</v>
      </c>
      <c r="E4641" s="12" t="s">
        <v>1737</v>
      </c>
      <c r="F4641" s="12" t="s">
        <v>1714</v>
      </c>
      <c r="G4641" s="13" t="s">
        <v>1709</v>
      </c>
    </row>
    <row r="4642" spans="1:7">
      <c r="A4642" s="15" t="s">
        <v>1711</v>
      </c>
      <c r="B4642" s="13">
        <v>0.2</v>
      </c>
      <c r="C4642" s="16">
        <v>-0.188</v>
      </c>
      <c r="D4642" s="13" t="s">
        <v>1709</v>
      </c>
      <c r="E4642" s="12" t="s">
        <v>1710</v>
      </c>
      <c r="F4642" s="12" t="s">
        <v>1710</v>
      </c>
      <c r="G4642" s="13" t="s">
        <v>1709</v>
      </c>
    </row>
    <row r="4643" spans="1:7">
      <c r="A4643" s="15" t="s">
        <v>1711</v>
      </c>
      <c r="B4643" s="13">
        <v>0.2</v>
      </c>
      <c r="C4643" s="16">
        <v>0.34100000000000003</v>
      </c>
      <c r="D4643" s="13" t="s">
        <v>1712</v>
      </c>
      <c r="E4643" s="12" t="s">
        <v>1715</v>
      </c>
      <c r="F4643" s="12" t="s">
        <v>1714</v>
      </c>
      <c r="G4643" s="13" t="s">
        <v>1709</v>
      </c>
    </row>
    <row r="4644" spans="1:7">
      <c r="A4644" s="15" t="s">
        <v>1711</v>
      </c>
      <c r="B4644" s="13">
        <v>0.2</v>
      </c>
      <c r="C4644" s="16">
        <v>0.34100000000000003</v>
      </c>
      <c r="D4644" s="13" t="s">
        <v>1712</v>
      </c>
      <c r="E4644" s="12" t="s">
        <v>1715</v>
      </c>
      <c r="F4644" s="12" t="s">
        <v>1714</v>
      </c>
      <c r="G4644" s="13" t="s">
        <v>1709</v>
      </c>
    </row>
    <row r="4645" spans="1:7">
      <c r="A4645" s="15" t="s">
        <v>1711</v>
      </c>
      <c r="B4645" s="13">
        <v>0.2</v>
      </c>
      <c r="C4645" s="16">
        <v>0.34100000000000003</v>
      </c>
      <c r="D4645" s="13" t="s">
        <v>1712</v>
      </c>
      <c r="E4645" s="12" t="s">
        <v>1715</v>
      </c>
      <c r="F4645" s="12" t="s">
        <v>1714</v>
      </c>
      <c r="G4645" s="13" t="s">
        <v>1709</v>
      </c>
    </row>
    <row r="4646" spans="1:7">
      <c r="A4646" s="15" t="s">
        <v>1711</v>
      </c>
      <c r="B4646" s="13">
        <v>0.2</v>
      </c>
      <c r="C4646" s="16">
        <v>0.34100000000000003</v>
      </c>
      <c r="D4646" s="13" t="s">
        <v>1712</v>
      </c>
      <c r="E4646" s="12" t="s">
        <v>1715</v>
      </c>
      <c r="F4646" s="12" t="s">
        <v>1714</v>
      </c>
      <c r="G4646" s="13" t="s">
        <v>1709</v>
      </c>
    </row>
    <row r="4647" spans="1:7">
      <c r="A4647" s="15" t="s">
        <v>1711</v>
      </c>
      <c r="B4647" s="13">
        <v>0.2</v>
      </c>
      <c r="C4647" s="16">
        <v>0.34100000000000003</v>
      </c>
      <c r="D4647" s="13" t="s">
        <v>1712</v>
      </c>
      <c r="E4647" s="12" t="s">
        <v>1715</v>
      </c>
      <c r="F4647" s="12" t="s">
        <v>1714</v>
      </c>
      <c r="G4647" s="13" t="s">
        <v>1709</v>
      </c>
    </row>
    <row r="4648" spans="1:7">
      <c r="A4648" s="15" t="s">
        <v>1711</v>
      </c>
      <c r="B4648" s="13">
        <v>0.2</v>
      </c>
      <c r="C4648" s="16">
        <v>0.34100000000000003</v>
      </c>
      <c r="D4648" s="13" t="s">
        <v>1712</v>
      </c>
      <c r="E4648" s="12" t="s">
        <v>1715</v>
      </c>
      <c r="F4648" s="12" t="s">
        <v>1714</v>
      </c>
      <c r="G4648" s="13" t="s">
        <v>1709</v>
      </c>
    </row>
    <row r="4649" spans="1:7">
      <c r="A4649" s="15" t="s">
        <v>1711</v>
      </c>
      <c r="B4649" s="13">
        <v>0.2</v>
      </c>
      <c r="C4649" s="16">
        <v>0.34100000000000003</v>
      </c>
      <c r="D4649" s="13" t="s">
        <v>1712</v>
      </c>
      <c r="E4649" s="12" t="s">
        <v>1715</v>
      </c>
      <c r="F4649" s="12" t="s">
        <v>1714</v>
      </c>
      <c r="G4649" s="13" t="s">
        <v>1709</v>
      </c>
    </row>
    <row r="4650" spans="1:7">
      <c r="A4650" s="15" t="s">
        <v>1711</v>
      </c>
      <c r="B4650" s="13">
        <v>0.2</v>
      </c>
      <c r="C4650" s="16">
        <v>0.34100000000000003</v>
      </c>
      <c r="D4650" s="13" t="s">
        <v>1712</v>
      </c>
      <c r="E4650" s="12" t="s">
        <v>1715</v>
      </c>
      <c r="F4650" s="12" t="s">
        <v>1714</v>
      </c>
      <c r="G4650" s="13" t="s">
        <v>1709</v>
      </c>
    </row>
    <row r="4651" spans="1:7">
      <c r="A4651" s="15" t="s">
        <v>1711</v>
      </c>
      <c r="B4651" s="13">
        <v>0.2</v>
      </c>
      <c r="C4651" s="16">
        <v>0.34100000000000003</v>
      </c>
      <c r="D4651" s="13" t="s">
        <v>1712</v>
      </c>
      <c r="E4651" s="12" t="s">
        <v>1715</v>
      </c>
      <c r="F4651" s="12" t="s">
        <v>1714</v>
      </c>
      <c r="G4651" s="13" t="s">
        <v>1709</v>
      </c>
    </row>
    <row r="4652" spans="1:7">
      <c r="A4652" s="15" t="s">
        <v>1711</v>
      </c>
      <c r="B4652" s="13">
        <v>0.2</v>
      </c>
      <c r="C4652" s="16">
        <v>0.34100000000000003</v>
      </c>
      <c r="D4652" s="13" t="s">
        <v>1712</v>
      </c>
      <c r="E4652" s="12" t="s">
        <v>1715</v>
      </c>
      <c r="F4652" s="12" t="s">
        <v>1714</v>
      </c>
      <c r="G4652" s="13" t="s">
        <v>1709</v>
      </c>
    </row>
    <row r="4653" spans="1:7">
      <c r="A4653" s="15" t="s">
        <v>1711</v>
      </c>
      <c r="B4653" s="13">
        <v>0.2</v>
      </c>
      <c r="C4653" s="16">
        <v>0.34100000000000003</v>
      </c>
      <c r="D4653" s="13" t="s">
        <v>1712</v>
      </c>
      <c r="E4653" s="12" t="s">
        <v>1715</v>
      </c>
      <c r="F4653" s="12" t="s">
        <v>1714</v>
      </c>
      <c r="G4653" s="13" t="s">
        <v>1709</v>
      </c>
    </row>
    <row r="4654" spans="1:7">
      <c r="A4654" s="15" t="s">
        <v>1711</v>
      </c>
      <c r="B4654" s="13">
        <v>0.2</v>
      </c>
      <c r="C4654" s="16">
        <v>0.34100000000000003</v>
      </c>
      <c r="D4654" s="13" t="s">
        <v>1712</v>
      </c>
      <c r="E4654" s="12" t="s">
        <v>1715</v>
      </c>
      <c r="F4654" s="12" t="s">
        <v>1714</v>
      </c>
      <c r="G4654" s="13" t="s">
        <v>1709</v>
      </c>
    </row>
    <row r="4655" spans="1:7">
      <c r="A4655" s="15" t="s">
        <v>1711</v>
      </c>
      <c r="B4655" s="13">
        <v>0.2</v>
      </c>
      <c r="C4655" s="16">
        <v>0.34100000000000003</v>
      </c>
      <c r="D4655" s="13" t="s">
        <v>1712</v>
      </c>
      <c r="E4655" s="12" t="s">
        <v>1715</v>
      </c>
      <c r="F4655" s="12" t="s">
        <v>1714</v>
      </c>
      <c r="G4655" s="13" t="s">
        <v>1709</v>
      </c>
    </row>
    <row r="4656" spans="1:7">
      <c r="A4656" s="15" t="s">
        <v>1711</v>
      </c>
      <c r="B4656" s="13">
        <v>0.2</v>
      </c>
      <c r="C4656" s="16">
        <v>0.34100000000000003</v>
      </c>
      <c r="D4656" s="13" t="s">
        <v>1712</v>
      </c>
      <c r="E4656" s="12" t="s">
        <v>1715</v>
      </c>
      <c r="F4656" s="12" t="s">
        <v>1714</v>
      </c>
      <c r="G4656" s="13" t="s">
        <v>1709</v>
      </c>
    </row>
    <row r="4657" spans="1:7">
      <c r="A4657" s="15" t="s">
        <v>1711</v>
      </c>
      <c r="B4657" s="13">
        <v>0.2</v>
      </c>
      <c r="C4657" s="16">
        <v>0.34100000000000003</v>
      </c>
      <c r="D4657" s="13" t="s">
        <v>1712</v>
      </c>
      <c r="E4657" s="12" t="s">
        <v>1715</v>
      </c>
      <c r="F4657" s="12" t="s">
        <v>1714</v>
      </c>
      <c r="G4657" s="13" t="s">
        <v>1709</v>
      </c>
    </row>
    <row r="4658" spans="1:7">
      <c r="A4658" s="15" t="s">
        <v>1711</v>
      </c>
      <c r="B4658" s="13">
        <v>0.2</v>
      </c>
      <c r="C4658" s="16">
        <v>0.34100000000000003</v>
      </c>
      <c r="D4658" s="13" t="s">
        <v>1712</v>
      </c>
      <c r="E4658" s="12" t="s">
        <v>1715</v>
      </c>
      <c r="F4658" s="12" t="s">
        <v>1714</v>
      </c>
      <c r="G4658" s="13" t="s">
        <v>1709</v>
      </c>
    </row>
    <row r="4659" spans="1:7">
      <c r="A4659" s="15" t="s">
        <v>1711</v>
      </c>
      <c r="B4659" s="13">
        <v>0.2</v>
      </c>
      <c r="C4659" s="16">
        <v>0.34100000000000003</v>
      </c>
      <c r="D4659" s="13" t="s">
        <v>1712</v>
      </c>
      <c r="E4659" s="12" t="s">
        <v>1715</v>
      </c>
      <c r="F4659" s="12" t="s">
        <v>1714</v>
      </c>
      <c r="G4659" s="13" t="s">
        <v>1709</v>
      </c>
    </row>
    <row r="4660" spans="1:7">
      <c r="A4660" s="15" t="s">
        <v>1711</v>
      </c>
      <c r="B4660" s="13">
        <v>0.2</v>
      </c>
      <c r="C4660" s="16">
        <v>0.34100000000000003</v>
      </c>
      <c r="D4660" s="13" t="s">
        <v>1712</v>
      </c>
      <c r="E4660" s="12" t="s">
        <v>1715</v>
      </c>
      <c r="F4660" s="12" t="s">
        <v>1714</v>
      </c>
      <c r="G4660" s="13" t="s">
        <v>1709</v>
      </c>
    </row>
    <row r="4661" spans="1:7">
      <c r="A4661" s="15" t="s">
        <v>1711</v>
      </c>
      <c r="B4661" s="13">
        <v>0.2</v>
      </c>
      <c r="C4661" s="16">
        <v>-7.8E-2</v>
      </c>
      <c r="D4661" s="13" t="s">
        <v>1709</v>
      </c>
      <c r="E4661" s="12" t="s">
        <v>1710</v>
      </c>
      <c r="F4661" s="12" t="s">
        <v>1710</v>
      </c>
      <c r="G4661" s="13" t="s">
        <v>1709</v>
      </c>
    </row>
    <row r="4662" spans="1:7">
      <c r="A4662" s="15" t="s">
        <v>1711</v>
      </c>
      <c r="B4662" s="13">
        <v>0.2</v>
      </c>
      <c r="C4662" s="16">
        <v>-7.8E-2</v>
      </c>
      <c r="D4662" s="13" t="s">
        <v>1709</v>
      </c>
      <c r="E4662" s="12" t="s">
        <v>1710</v>
      </c>
      <c r="F4662" s="12" t="s">
        <v>1710</v>
      </c>
      <c r="G4662" s="13" t="s">
        <v>1709</v>
      </c>
    </row>
    <row r="4663" spans="1:7">
      <c r="A4663" s="15" t="s">
        <v>1711</v>
      </c>
      <c r="B4663" s="13">
        <v>0.2</v>
      </c>
      <c r="C4663" s="16">
        <v>-2.3E-2</v>
      </c>
      <c r="D4663" s="13" t="s">
        <v>1709</v>
      </c>
      <c r="E4663" s="12" t="s">
        <v>1710</v>
      </c>
      <c r="F4663" s="12" t="s">
        <v>1710</v>
      </c>
      <c r="G4663" s="13" t="s">
        <v>1709</v>
      </c>
    </row>
    <row r="4664" spans="1:7">
      <c r="A4664" s="15" t="s">
        <v>1711</v>
      </c>
      <c r="B4664" s="13">
        <v>0.2</v>
      </c>
      <c r="C4664" s="16">
        <v>-2.3E-2</v>
      </c>
      <c r="D4664" s="13" t="s">
        <v>1709</v>
      </c>
      <c r="E4664" s="12" t="s">
        <v>1710</v>
      </c>
      <c r="F4664" s="12" t="s">
        <v>1710</v>
      </c>
      <c r="G4664" s="13" t="s">
        <v>1709</v>
      </c>
    </row>
    <row r="4665" spans="1:7">
      <c r="A4665" s="15" t="s">
        <v>1711</v>
      </c>
      <c r="B4665" s="13">
        <v>0.2</v>
      </c>
      <c r="C4665" s="16">
        <v>4.0000000000000001E-3</v>
      </c>
      <c r="D4665" s="13" t="s">
        <v>1712</v>
      </c>
      <c r="E4665" s="12" t="s">
        <v>1715</v>
      </c>
      <c r="F4665" s="12" t="s">
        <v>1714</v>
      </c>
      <c r="G4665" s="13" t="s">
        <v>1709</v>
      </c>
    </row>
    <row r="4666" spans="1:7">
      <c r="A4666" s="15" t="s">
        <v>1711</v>
      </c>
      <c r="B4666" s="13">
        <v>0.2</v>
      </c>
      <c r="C4666" s="16">
        <v>4.0000000000000001E-3</v>
      </c>
      <c r="D4666" s="13" t="s">
        <v>1712</v>
      </c>
      <c r="E4666" s="12" t="s">
        <v>1715</v>
      </c>
      <c r="F4666" s="12" t="s">
        <v>1714</v>
      </c>
      <c r="G4666" s="13" t="s">
        <v>1709</v>
      </c>
    </row>
    <row r="4667" spans="1:7">
      <c r="A4667" s="15" t="s">
        <v>1711</v>
      </c>
      <c r="B4667" s="13">
        <v>0.2</v>
      </c>
      <c r="C4667" s="16">
        <v>4.0000000000000001E-3</v>
      </c>
      <c r="D4667" s="13" t="s">
        <v>1712</v>
      </c>
      <c r="E4667" s="12" t="s">
        <v>1715</v>
      </c>
      <c r="F4667" s="12" t="s">
        <v>1714</v>
      </c>
      <c r="G4667" s="13" t="s">
        <v>1709</v>
      </c>
    </row>
    <row r="4668" spans="1:7">
      <c r="A4668" s="15" t="s">
        <v>1711</v>
      </c>
      <c r="B4668" s="13">
        <v>0.2</v>
      </c>
      <c r="C4668" s="16">
        <v>4.0000000000000001E-3</v>
      </c>
      <c r="D4668" s="13" t="s">
        <v>1712</v>
      </c>
      <c r="E4668" s="12" t="s">
        <v>1715</v>
      </c>
      <c r="F4668" s="12" t="s">
        <v>1714</v>
      </c>
      <c r="G4668" s="13" t="s">
        <v>1709</v>
      </c>
    </row>
    <row r="4669" spans="1:7">
      <c r="A4669" s="15" t="s">
        <v>1711</v>
      </c>
      <c r="B4669" s="13">
        <v>0.2</v>
      </c>
      <c r="C4669" s="16">
        <v>0.193</v>
      </c>
      <c r="D4669" s="13" t="s">
        <v>1712</v>
      </c>
      <c r="E4669" s="12" t="s">
        <v>1715</v>
      </c>
      <c r="F4669" s="12" t="s">
        <v>1714</v>
      </c>
      <c r="G4669" s="13" t="s">
        <v>1709</v>
      </c>
    </row>
    <row r="4670" spans="1:7">
      <c r="A4670" s="15" t="s">
        <v>1711</v>
      </c>
      <c r="B4670" s="13">
        <v>0.2</v>
      </c>
      <c r="C4670" s="16">
        <v>0.193</v>
      </c>
      <c r="D4670" s="13" t="s">
        <v>1712</v>
      </c>
      <c r="E4670" s="12" t="s">
        <v>1715</v>
      </c>
      <c r="F4670" s="12" t="s">
        <v>1714</v>
      </c>
      <c r="G4670" s="13" t="s">
        <v>1709</v>
      </c>
    </row>
    <row r="4671" spans="1:7">
      <c r="A4671" s="15" t="s">
        <v>1711</v>
      </c>
      <c r="B4671" s="13">
        <v>0.2</v>
      </c>
      <c r="C4671" s="16">
        <v>0.28200000000000003</v>
      </c>
      <c r="D4671" s="13" t="s">
        <v>1712</v>
      </c>
      <c r="E4671" s="12" t="s">
        <v>1715</v>
      </c>
      <c r="F4671" s="12" t="s">
        <v>1714</v>
      </c>
      <c r="G4671" s="13" t="s">
        <v>1709</v>
      </c>
    </row>
    <row r="4672" spans="1:7">
      <c r="A4672" s="15" t="s">
        <v>1711</v>
      </c>
      <c r="B4672" s="13">
        <v>0.2</v>
      </c>
      <c r="C4672" s="16">
        <v>0.23200000000000001</v>
      </c>
      <c r="D4672" s="13" t="s">
        <v>1712</v>
      </c>
      <c r="E4672" s="12" t="s">
        <v>1715</v>
      </c>
      <c r="F4672" s="12" t="s">
        <v>1714</v>
      </c>
      <c r="G4672" s="13" t="s">
        <v>1709</v>
      </c>
    </row>
    <row r="4673" spans="1:7">
      <c r="A4673" s="15" t="s">
        <v>1711</v>
      </c>
      <c r="B4673" s="13">
        <v>0.2</v>
      </c>
      <c r="C4673" s="16">
        <v>1.8619999999999999</v>
      </c>
      <c r="D4673" s="13" t="s">
        <v>1712</v>
      </c>
      <c r="E4673" s="12" t="s">
        <v>1715</v>
      </c>
      <c r="F4673" s="12" t="s">
        <v>1714</v>
      </c>
      <c r="G4673" s="13" t="s">
        <v>1709</v>
      </c>
    </row>
    <row r="4674" spans="1:7">
      <c r="A4674" s="15" t="s">
        <v>1711</v>
      </c>
      <c r="B4674" s="13">
        <v>0.2</v>
      </c>
      <c r="C4674" s="16">
        <v>0.187</v>
      </c>
      <c r="D4674" s="13" t="s">
        <v>1712</v>
      </c>
      <c r="E4674" s="12" t="s">
        <v>1715</v>
      </c>
      <c r="F4674" s="12" t="s">
        <v>1714</v>
      </c>
      <c r="G4674" s="13" t="s">
        <v>1709</v>
      </c>
    </row>
    <row r="4675" spans="1:7">
      <c r="A4675" s="15" t="s">
        <v>1711</v>
      </c>
      <c r="B4675" s="13">
        <v>0.2</v>
      </c>
      <c r="C4675" s="16">
        <v>0.22600000000000001</v>
      </c>
      <c r="D4675" s="13" t="s">
        <v>1712</v>
      </c>
      <c r="E4675" s="12" t="s">
        <v>1715</v>
      </c>
      <c r="F4675" s="12" t="s">
        <v>1714</v>
      </c>
      <c r="G4675" s="13" t="s">
        <v>1709</v>
      </c>
    </row>
    <row r="4676" spans="1:7">
      <c r="A4676" s="15" t="s">
        <v>1711</v>
      </c>
      <c r="B4676" s="13">
        <v>0.2</v>
      </c>
      <c r="C4676" s="16">
        <v>0.91100000000000003</v>
      </c>
      <c r="D4676" s="13" t="s">
        <v>1712</v>
      </c>
      <c r="E4676" s="12" t="s">
        <v>1715</v>
      </c>
      <c r="F4676" s="12" t="s">
        <v>1714</v>
      </c>
      <c r="G4676" s="13" t="s">
        <v>1709</v>
      </c>
    </row>
    <row r="4677" spans="1:7">
      <c r="A4677" s="15" t="s">
        <v>1711</v>
      </c>
      <c r="B4677" s="13">
        <v>0.2</v>
      </c>
      <c r="C4677" s="16">
        <v>0.54500000000000004</v>
      </c>
      <c r="D4677" s="13" t="s">
        <v>1712</v>
      </c>
      <c r="E4677" s="12" t="s">
        <v>1715</v>
      </c>
      <c r="F4677" s="12" t="s">
        <v>1714</v>
      </c>
      <c r="G4677" s="13" t="s">
        <v>1709</v>
      </c>
    </row>
    <row r="4678" spans="1:7">
      <c r="A4678" s="15" t="s">
        <v>1711</v>
      </c>
      <c r="B4678" s="13">
        <v>0.2</v>
      </c>
      <c r="C4678" s="16">
        <v>0.54500000000000004</v>
      </c>
      <c r="D4678" s="13" t="s">
        <v>1712</v>
      </c>
      <c r="E4678" s="12" t="s">
        <v>1715</v>
      </c>
      <c r="F4678" s="12" t="s">
        <v>1714</v>
      </c>
      <c r="G4678" s="13" t="s">
        <v>1709</v>
      </c>
    </row>
    <row r="4679" spans="1:7">
      <c r="A4679" s="15" t="s">
        <v>1711</v>
      </c>
      <c r="B4679" s="13">
        <v>0.2</v>
      </c>
      <c r="C4679" s="16">
        <v>0.22900000000000001</v>
      </c>
      <c r="D4679" s="13" t="s">
        <v>1712</v>
      </c>
      <c r="E4679" s="12" t="s">
        <v>1715</v>
      </c>
      <c r="F4679" s="12" t="s">
        <v>1714</v>
      </c>
      <c r="G4679" s="13" t="s">
        <v>1709</v>
      </c>
    </row>
    <row r="4680" spans="1:7">
      <c r="A4680" s="15" t="s">
        <v>1711</v>
      </c>
      <c r="B4680" s="13">
        <v>0.2</v>
      </c>
      <c r="C4680" s="16">
        <v>0.22900000000000001</v>
      </c>
      <c r="D4680" s="13" t="s">
        <v>1712</v>
      </c>
      <c r="E4680" s="12" t="s">
        <v>1715</v>
      </c>
      <c r="F4680" s="12" t="s">
        <v>1714</v>
      </c>
      <c r="G4680" s="13" t="s">
        <v>1709</v>
      </c>
    </row>
    <row r="4681" spans="1:7">
      <c r="A4681" s="15" t="s">
        <v>1711</v>
      </c>
      <c r="B4681" s="13">
        <v>0.2</v>
      </c>
      <c r="C4681" s="16">
        <v>-7.2999999999999995E-2</v>
      </c>
      <c r="D4681" s="13" t="s">
        <v>1709</v>
      </c>
      <c r="E4681" s="12" t="s">
        <v>1710</v>
      </c>
      <c r="F4681" s="12" t="s">
        <v>1710</v>
      </c>
      <c r="G4681" s="13" t="s">
        <v>1709</v>
      </c>
    </row>
    <row r="4682" spans="1:7">
      <c r="A4682" s="15" t="s">
        <v>1711</v>
      </c>
      <c r="B4682" s="13">
        <v>0.2</v>
      </c>
      <c r="C4682" s="16">
        <v>-3.6999999999999998E-2</v>
      </c>
      <c r="D4682" s="13" t="s">
        <v>1709</v>
      </c>
      <c r="E4682" s="12" t="s">
        <v>1710</v>
      </c>
      <c r="F4682" s="12" t="s">
        <v>1710</v>
      </c>
      <c r="G4682" s="13" t="s">
        <v>1709</v>
      </c>
    </row>
    <row r="4683" spans="1:7">
      <c r="A4683" s="15" t="s">
        <v>1711</v>
      </c>
      <c r="B4683" s="13">
        <v>0.2</v>
      </c>
      <c r="C4683" s="16">
        <v>-3.2000000000000001E-2</v>
      </c>
      <c r="D4683" s="13" t="s">
        <v>1709</v>
      </c>
      <c r="E4683" s="12" t="s">
        <v>1710</v>
      </c>
      <c r="F4683" s="12" t="s">
        <v>1710</v>
      </c>
      <c r="G4683" s="13" t="s">
        <v>1709</v>
      </c>
    </row>
    <row r="4684" spans="1:7">
      <c r="A4684" s="15" t="s">
        <v>1711</v>
      </c>
      <c r="B4684" s="13">
        <v>0.2</v>
      </c>
      <c r="C4684" s="16">
        <v>-1.0999999999999999E-2</v>
      </c>
      <c r="D4684" s="13" t="s">
        <v>1709</v>
      </c>
      <c r="E4684" s="12" t="s">
        <v>1710</v>
      </c>
      <c r="F4684" s="12" t="s">
        <v>1710</v>
      </c>
      <c r="G4684" s="13" t="s">
        <v>1709</v>
      </c>
    </row>
    <row r="4685" spans="1:7">
      <c r="A4685" s="15" t="s">
        <v>1711</v>
      </c>
      <c r="B4685" s="13">
        <v>0.2</v>
      </c>
      <c r="C4685" s="16">
        <v>-2.6000000000000002E-2</v>
      </c>
      <c r="D4685" s="13" t="s">
        <v>1709</v>
      </c>
      <c r="E4685" s="12" t="s">
        <v>1710</v>
      </c>
      <c r="F4685" s="12" t="s">
        <v>1710</v>
      </c>
      <c r="G4685" s="13" t="s">
        <v>1709</v>
      </c>
    </row>
    <row r="4686" spans="1:7">
      <c r="A4686" s="15" t="s">
        <v>1711</v>
      </c>
      <c r="B4686" s="13">
        <v>0.2</v>
      </c>
      <c r="C4686" s="16">
        <v>-2.2000000000000002E-2</v>
      </c>
      <c r="D4686" s="13" t="s">
        <v>1709</v>
      </c>
      <c r="E4686" s="12" t="s">
        <v>1710</v>
      </c>
      <c r="F4686" s="12" t="s">
        <v>1710</v>
      </c>
      <c r="G4686" s="13" t="s">
        <v>1709</v>
      </c>
    </row>
    <row r="4687" spans="1:7">
      <c r="A4687" s="15" t="s">
        <v>1711</v>
      </c>
      <c r="B4687" s="13">
        <v>0.2</v>
      </c>
      <c r="C4687" s="16">
        <v>-3.6999999999999998E-2</v>
      </c>
      <c r="D4687" s="13" t="s">
        <v>1709</v>
      </c>
      <c r="E4687" s="12" t="s">
        <v>1710</v>
      </c>
      <c r="F4687" s="12" t="s">
        <v>1710</v>
      </c>
      <c r="G4687" s="13" t="s">
        <v>1709</v>
      </c>
    </row>
    <row r="4688" spans="1:7">
      <c r="A4688" s="15" t="s">
        <v>1711</v>
      </c>
      <c r="B4688" s="13">
        <v>0.2</v>
      </c>
      <c r="C4688" s="16">
        <v>-3.7999999999999999E-2</v>
      </c>
      <c r="D4688" s="13" t="s">
        <v>1709</v>
      </c>
      <c r="E4688" s="12" t="s">
        <v>1710</v>
      </c>
      <c r="F4688" s="12" t="s">
        <v>1710</v>
      </c>
      <c r="G4688" s="13" t="s">
        <v>1709</v>
      </c>
    </row>
    <row r="4689" spans="1:7">
      <c r="A4689" s="15" t="s">
        <v>1711</v>
      </c>
      <c r="B4689" s="13">
        <v>0.2</v>
      </c>
      <c r="C4689" s="16">
        <v>-3.1E-2</v>
      </c>
      <c r="D4689" s="13" t="s">
        <v>1709</v>
      </c>
      <c r="E4689" s="12" t="s">
        <v>1710</v>
      </c>
      <c r="F4689" s="12" t="s">
        <v>1710</v>
      </c>
      <c r="G4689" s="13" t="s">
        <v>1709</v>
      </c>
    </row>
    <row r="4690" spans="1:7">
      <c r="A4690" s="15" t="s">
        <v>1711</v>
      </c>
      <c r="B4690" s="13">
        <v>0.2</v>
      </c>
      <c r="C4690" s="16">
        <v>-0.109</v>
      </c>
      <c r="D4690" s="13" t="s">
        <v>1709</v>
      </c>
      <c r="E4690" s="12" t="s">
        <v>1710</v>
      </c>
      <c r="F4690" s="12" t="s">
        <v>1710</v>
      </c>
      <c r="G4690" s="13" t="s">
        <v>1709</v>
      </c>
    </row>
    <row r="4691" spans="1:7">
      <c r="A4691" s="15" t="s">
        <v>1711</v>
      </c>
      <c r="B4691" s="13">
        <v>0.2</v>
      </c>
      <c r="C4691" s="16">
        <v>-0.107</v>
      </c>
      <c r="D4691" s="13" t="s">
        <v>1709</v>
      </c>
      <c r="E4691" s="12" t="s">
        <v>1710</v>
      </c>
      <c r="F4691" s="12" t="s">
        <v>1710</v>
      </c>
      <c r="G4691" s="13" t="s">
        <v>1709</v>
      </c>
    </row>
    <row r="4692" spans="1:7">
      <c r="A4692" s="15" t="s">
        <v>1711</v>
      </c>
      <c r="B4692" s="13">
        <v>0.2</v>
      </c>
      <c r="C4692" s="16">
        <v>-0.104</v>
      </c>
      <c r="D4692" s="13" t="s">
        <v>1709</v>
      </c>
      <c r="E4692" s="12" t="s">
        <v>1710</v>
      </c>
      <c r="F4692" s="12" t="s">
        <v>1710</v>
      </c>
      <c r="G4692" s="13" t="s">
        <v>1709</v>
      </c>
    </row>
    <row r="4693" spans="1:7">
      <c r="A4693" s="15" t="s">
        <v>1711</v>
      </c>
      <c r="B4693" s="13">
        <v>0.2</v>
      </c>
      <c r="C4693" s="16">
        <v>-3.4000000000000002E-2</v>
      </c>
      <c r="D4693" s="13" t="s">
        <v>1709</v>
      </c>
      <c r="E4693" s="12" t="s">
        <v>1710</v>
      </c>
      <c r="F4693" s="12" t="s">
        <v>1710</v>
      </c>
      <c r="G4693" s="13" t="s">
        <v>1709</v>
      </c>
    </row>
    <row r="4694" spans="1:7">
      <c r="A4694" s="15" t="s">
        <v>1711</v>
      </c>
      <c r="B4694" s="13">
        <v>0.2</v>
      </c>
      <c r="C4694" s="16">
        <v>-5.2999999999999999E-2</v>
      </c>
      <c r="D4694" s="13" t="s">
        <v>1709</v>
      </c>
      <c r="E4694" s="12" t="s">
        <v>1710</v>
      </c>
      <c r="F4694" s="12" t="s">
        <v>1710</v>
      </c>
      <c r="G4694" s="13" t="s">
        <v>1709</v>
      </c>
    </row>
    <row r="4695" spans="1:7">
      <c r="A4695" s="15" t="s">
        <v>1711</v>
      </c>
      <c r="B4695" s="13">
        <v>0.2</v>
      </c>
      <c r="C4695" s="16">
        <v>-7.2999999999999995E-2</v>
      </c>
      <c r="D4695" s="13" t="s">
        <v>1709</v>
      </c>
      <c r="E4695" s="12" t="s">
        <v>1710</v>
      </c>
      <c r="F4695" s="12" t="s">
        <v>1710</v>
      </c>
      <c r="G4695" s="13" t="s">
        <v>1709</v>
      </c>
    </row>
    <row r="4696" spans="1:7">
      <c r="A4696" s="15" t="s">
        <v>1711</v>
      </c>
      <c r="B4696" s="13">
        <v>0.2</v>
      </c>
      <c r="C4696" s="16">
        <v>-2.4E-2</v>
      </c>
      <c r="D4696" s="13" t="s">
        <v>1709</v>
      </c>
      <c r="E4696" s="12" t="s">
        <v>1710</v>
      </c>
      <c r="F4696" s="12" t="s">
        <v>1710</v>
      </c>
      <c r="G4696" s="13" t="s">
        <v>1709</v>
      </c>
    </row>
    <row r="4697" spans="1:7">
      <c r="A4697" s="15" t="s">
        <v>1711</v>
      </c>
      <c r="B4697" s="13">
        <v>0.2</v>
      </c>
      <c r="C4697" s="16">
        <v>-5.2999999999999999E-2</v>
      </c>
      <c r="D4697" s="13" t="s">
        <v>1709</v>
      </c>
      <c r="E4697" s="12" t="s">
        <v>1710</v>
      </c>
      <c r="F4697" s="12" t="s">
        <v>1710</v>
      </c>
      <c r="G4697" s="13" t="s">
        <v>1709</v>
      </c>
    </row>
    <row r="4698" spans="1:7">
      <c r="A4698" s="15" t="s">
        <v>1711</v>
      </c>
      <c r="B4698" s="13">
        <v>0.2</v>
      </c>
      <c r="C4698" s="16">
        <v>-9.0999999999999998E-2</v>
      </c>
      <c r="D4698" s="13" t="s">
        <v>1709</v>
      </c>
      <c r="E4698" s="12" t="s">
        <v>1710</v>
      </c>
      <c r="F4698" s="12" t="s">
        <v>1710</v>
      </c>
      <c r="G4698" s="13" t="s">
        <v>1709</v>
      </c>
    </row>
    <row r="4699" spans="1:7">
      <c r="A4699" s="15" t="s">
        <v>1711</v>
      </c>
      <c r="B4699" s="13">
        <v>0.2</v>
      </c>
      <c r="C4699" s="16">
        <v>-8.8999999999999996E-2</v>
      </c>
      <c r="D4699" s="13" t="s">
        <v>1709</v>
      </c>
      <c r="E4699" s="12" t="s">
        <v>1710</v>
      </c>
      <c r="F4699" s="12" t="s">
        <v>1710</v>
      </c>
      <c r="G4699" s="13" t="s">
        <v>1709</v>
      </c>
    </row>
    <row r="4700" spans="1:7">
      <c r="A4700" s="15" t="s">
        <v>1711</v>
      </c>
      <c r="B4700" s="13">
        <v>0.2</v>
      </c>
      <c r="C4700" s="16">
        <v>-9.0999999999999998E-2</v>
      </c>
      <c r="D4700" s="13" t="s">
        <v>1709</v>
      </c>
      <c r="E4700" s="12" t="s">
        <v>1710</v>
      </c>
      <c r="F4700" s="12" t="s">
        <v>1710</v>
      </c>
      <c r="G4700" s="13" t="s">
        <v>1709</v>
      </c>
    </row>
    <row r="4701" spans="1:7">
      <c r="A4701" s="15" t="s">
        <v>1711</v>
      </c>
      <c r="B4701" s="13">
        <v>0.2</v>
      </c>
      <c r="C4701" s="16">
        <v>-3.2000000000000001E-2</v>
      </c>
      <c r="D4701" s="13" t="s">
        <v>1709</v>
      </c>
      <c r="E4701" s="12" t="s">
        <v>1710</v>
      </c>
      <c r="F4701" s="12" t="s">
        <v>1710</v>
      </c>
      <c r="G4701" s="13" t="s">
        <v>1709</v>
      </c>
    </row>
    <row r="4702" spans="1:7">
      <c r="A4702" s="15" t="s">
        <v>1711</v>
      </c>
      <c r="B4702" s="13">
        <v>0.2</v>
      </c>
      <c r="C4702" s="16">
        <v>-5.2999999999999999E-2</v>
      </c>
      <c r="D4702" s="13" t="s">
        <v>1709</v>
      </c>
      <c r="E4702" s="12" t="s">
        <v>1710</v>
      </c>
      <c r="F4702" s="12" t="s">
        <v>1710</v>
      </c>
      <c r="G4702" s="13" t="s">
        <v>1709</v>
      </c>
    </row>
    <row r="4703" spans="1:7">
      <c r="A4703" s="15" t="s">
        <v>1711</v>
      </c>
      <c r="B4703" s="13">
        <v>0.2</v>
      </c>
      <c r="C4703" s="16">
        <v>-0.09</v>
      </c>
      <c r="D4703" s="13" t="s">
        <v>1709</v>
      </c>
      <c r="E4703" s="12" t="s">
        <v>1710</v>
      </c>
      <c r="F4703" s="12" t="s">
        <v>1710</v>
      </c>
      <c r="G4703" s="13" t="s">
        <v>1709</v>
      </c>
    </row>
    <row r="4704" spans="1:7">
      <c r="A4704" s="15" t="s">
        <v>1711</v>
      </c>
      <c r="B4704" s="13">
        <v>0.2</v>
      </c>
      <c r="C4704" s="16">
        <v>-0.09</v>
      </c>
      <c r="D4704" s="13" t="s">
        <v>1709</v>
      </c>
      <c r="E4704" s="12" t="s">
        <v>1710</v>
      </c>
      <c r="F4704" s="12" t="s">
        <v>1710</v>
      </c>
      <c r="G4704" s="13" t="s">
        <v>1709</v>
      </c>
    </row>
    <row r="4705" spans="1:7">
      <c r="A4705" s="15" t="s">
        <v>1711</v>
      </c>
      <c r="B4705" s="13">
        <v>0.2</v>
      </c>
      <c r="C4705" s="16">
        <v>-0.09</v>
      </c>
      <c r="D4705" s="13" t="s">
        <v>1709</v>
      </c>
      <c r="E4705" s="12" t="s">
        <v>1710</v>
      </c>
      <c r="F4705" s="12" t="s">
        <v>1710</v>
      </c>
      <c r="G4705" s="13" t="s">
        <v>1709</v>
      </c>
    </row>
    <row r="4706" spans="1:7">
      <c r="A4706" s="15" t="s">
        <v>1711</v>
      </c>
      <c r="B4706" s="13">
        <v>0.2</v>
      </c>
      <c r="C4706" s="16">
        <v>-0.09</v>
      </c>
      <c r="D4706" s="13" t="s">
        <v>1709</v>
      </c>
      <c r="E4706" s="12" t="s">
        <v>1710</v>
      </c>
      <c r="F4706" s="12" t="s">
        <v>1710</v>
      </c>
      <c r="G4706" s="13" t="s">
        <v>1709</v>
      </c>
    </row>
    <row r="4707" spans="1:7">
      <c r="A4707" s="15" t="s">
        <v>1711</v>
      </c>
      <c r="B4707" s="13">
        <v>0.2</v>
      </c>
      <c r="C4707" s="16">
        <v>-0.09</v>
      </c>
      <c r="D4707" s="13" t="s">
        <v>1709</v>
      </c>
      <c r="E4707" s="12" t="s">
        <v>1710</v>
      </c>
      <c r="F4707" s="12" t="s">
        <v>1710</v>
      </c>
      <c r="G4707" s="13" t="s">
        <v>1709</v>
      </c>
    </row>
    <row r="4708" spans="1:7">
      <c r="A4708" s="15" t="s">
        <v>1711</v>
      </c>
      <c r="B4708" s="13">
        <v>0.2</v>
      </c>
      <c r="C4708" s="16">
        <v>-0.09</v>
      </c>
      <c r="D4708" s="13" t="s">
        <v>1709</v>
      </c>
      <c r="E4708" s="12" t="s">
        <v>1710</v>
      </c>
      <c r="F4708" s="12" t="s">
        <v>1710</v>
      </c>
      <c r="G4708" s="13" t="s">
        <v>1709</v>
      </c>
    </row>
    <row r="4709" spans="1:7">
      <c r="A4709" s="15" t="s">
        <v>1711</v>
      </c>
      <c r="B4709" s="13">
        <v>0.2</v>
      </c>
      <c r="C4709" s="16">
        <v>-0.05</v>
      </c>
      <c r="D4709" s="13" t="s">
        <v>1709</v>
      </c>
      <c r="E4709" s="12" t="s">
        <v>1710</v>
      </c>
      <c r="F4709" s="12" t="s">
        <v>1710</v>
      </c>
      <c r="G4709" s="13" t="s">
        <v>1709</v>
      </c>
    </row>
    <row r="4710" spans="1:7">
      <c r="A4710" s="15" t="s">
        <v>1711</v>
      </c>
      <c r="B4710" s="13">
        <v>0.2</v>
      </c>
      <c r="C4710" s="16">
        <v>-8.6999999999999994E-2</v>
      </c>
      <c r="D4710" s="13" t="s">
        <v>1709</v>
      </c>
      <c r="E4710" s="12" t="s">
        <v>1710</v>
      </c>
      <c r="F4710" s="12" t="s">
        <v>1710</v>
      </c>
      <c r="G4710" s="13" t="s">
        <v>1709</v>
      </c>
    </row>
    <row r="4711" spans="1:7">
      <c r="A4711" s="15" t="s">
        <v>1711</v>
      </c>
      <c r="B4711" s="13">
        <v>0.2</v>
      </c>
      <c r="C4711" s="16">
        <v>1.853</v>
      </c>
      <c r="D4711" s="13" t="s">
        <v>1712</v>
      </c>
      <c r="E4711" s="12" t="s">
        <v>1715</v>
      </c>
      <c r="F4711" s="12" t="s">
        <v>1714</v>
      </c>
      <c r="G4711" s="13" t="s">
        <v>1709</v>
      </c>
    </row>
    <row r="4712" spans="1:7">
      <c r="A4712" s="15" t="s">
        <v>1711</v>
      </c>
      <c r="B4712" s="13">
        <v>0.2</v>
      </c>
      <c r="C4712" s="16">
        <v>2.1309999999999998</v>
      </c>
      <c r="D4712" s="13" t="s">
        <v>1712</v>
      </c>
      <c r="E4712" s="12" t="s">
        <v>1715</v>
      </c>
      <c r="F4712" s="12" t="s">
        <v>1714</v>
      </c>
      <c r="G4712" s="13" t="s">
        <v>1709</v>
      </c>
    </row>
    <row r="4713" spans="1:7">
      <c r="A4713" s="15" t="s">
        <v>1711</v>
      </c>
      <c r="B4713" s="13">
        <v>0.2</v>
      </c>
      <c r="C4713" s="16">
        <v>0.86099999999999999</v>
      </c>
      <c r="D4713" s="13" t="s">
        <v>1712</v>
      </c>
      <c r="E4713" s="12" t="s">
        <v>1715</v>
      </c>
      <c r="F4713" s="12" t="s">
        <v>1714</v>
      </c>
      <c r="G4713" s="13" t="s">
        <v>1709</v>
      </c>
    </row>
    <row r="4714" spans="1:7">
      <c r="A4714" s="15" t="s">
        <v>1711</v>
      </c>
      <c r="B4714" s="13">
        <v>0.2</v>
      </c>
      <c r="C4714" s="16">
        <v>0.109</v>
      </c>
      <c r="D4714" s="13" t="s">
        <v>1712</v>
      </c>
      <c r="E4714" s="12" t="s">
        <v>1713</v>
      </c>
      <c r="F4714" s="12" t="s">
        <v>1714</v>
      </c>
      <c r="G4714" s="13" t="s">
        <v>1709</v>
      </c>
    </row>
    <row r="4715" spans="1:7">
      <c r="A4715" s="15" t="s">
        <v>1711</v>
      </c>
      <c r="B4715" s="13">
        <v>0.2</v>
      </c>
      <c r="C4715" s="16">
        <v>0.45200000000000001</v>
      </c>
      <c r="D4715" s="13" t="s">
        <v>1712</v>
      </c>
      <c r="E4715" s="12" t="s">
        <v>1713</v>
      </c>
      <c r="F4715" s="12" t="s">
        <v>1714</v>
      </c>
      <c r="G4715" s="13" t="s">
        <v>1709</v>
      </c>
    </row>
    <row r="4716" spans="1:7">
      <c r="A4716" s="15" t="s">
        <v>1711</v>
      </c>
      <c r="B4716" s="13">
        <v>0.2</v>
      </c>
      <c r="C4716" s="16">
        <v>0.45200000000000001</v>
      </c>
      <c r="D4716" s="13" t="s">
        <v>1712</v>
      </c>
      <c r="E4716" s="12" t="s">
        <v>1713</v>
      </c>
      <c r="F4716" s="12" t="s">
        <v>1714</v>
      </c>
      <c r="G4716" s="13" t="s">
        <v>1709</v>
      </c>
    </row>
    <row r="4717" spans="1:7">
      <c r="A4717" s="15" t="s">
        <v>1711</v>
      </c>
      <c r="B4717" s="13">
        <v>0.2</v>
      </c>
      <c r="C4717" s="16">
        <v>-1.9E-2</v>
      </c>
      <c r="D4717" s="13" t="s">
        <v>1709</v>
      </c>
      <c r="E4717" s="12" t="s">
        <v>1710</v>
      </c>
      <c r="F4717" s="12" t="s">
        <v>1710</v>
      </c>
      <c r="G4717" s="13" t="s">
        <v>1709</v>
      </c>
    </row>
    <row r="4718" spans="1:7">
      <c r="A4718" s="15" t="s">
        <v>1711</v>
      </c>
      <c r="B4718" s="13">
        <v>0.2</v>
      </c>
      <c r="C4718" s="16">
        <v>-1.9E-2</v>
      </c>
      <c r="D4718" s="13" t="s">
        <v>1709</v>
      </c>
      <c r="E4718" s="12" t="s">
        <v>1710</v>
      </c>
      <c r="F4718" s="12" t="s">
        <v>1710</v>
      </c>
      <c r="G4718" s="13" t="s">
        <v>1709</v>
      </c>
    </row>
    <row r="4719" spans="1:7">
      <c r="A4719" s="15" t="s">
        <v>1711</v>
      </c>
      <c r="B4719" s="13">
        <v>0.2</v>
      </c>
      <c r="C4719" s="16">
        <v>1.853</v>
      </c>
      <c r="D4719" s="13" t="s">
        <v>1712</v>
      </c>
      <c r="E4719" s="12" t="s">
        <v>1715</v>
      </c>
      <c r="F4719" s="12" t="s">
        <v>1714</v>
      </c>
      <c r="G4719" s="13" t="s">
        <v>1709</v>
      </c>
    </row>
    <row r="4720" spans="1:7">
      <c r="A4720" s="15" t="s">
        <v>1711</v>
      </c>
      <c r="B4720" s="13">
        <v>0.2</v>
      </c>
      <c r="C4720" s="16">
        <v>1.853</v>
      </c>
      <c r="D4720" s="13" t="s">
        <v>1712</v>
      </c>
      <c r="E4720" s="12" t="s">
        <v>1715</v>
      </c>
      <c r="F4720" s="12" t="s">
        <v>1714</v>
      </c>
      <c r="G4720" s="13" t="s">
        <v>1709</v>
      </c>
    </row>
    <row r="4721" spans="1:7">
      <c r="A4721" s="15" t="s">
        <v>1711</v>
      </c>
      <c r="B4721" s="13">
        <v>0.2</v>
      </c>
      <c r="C4721" s="16">
        <v>-5.7000000000000002E-2</v>
      </c>
      <c r="D4721" s="13" t="s">
        <v>1709</v>
      </c>
      <c r="E4721" s="12" t="s">
        <v>1710</v>
      </c>
      <c r="F4721" s="12" t="s">
        <v>1710</v>
      </c>
      <c r="G4721" s="13" t="s">
        <v>1709</v>
      </c>
    </row>
    <row r="4722" spans="1:7">
      <c r="A4722" s="15" t="s">
        <v>1711</v>
      </c>
      <c r="B4722" s="13">
        <v>0.2</v>
      </c>
      <c r="C4722" s="16">
        <v>-0.13100000000000001</v>
      </c>
      <c r="D4722" s="13" t="s">
        <v>1709</v>
      </c>
      <c r="E4722" s="12" t="s">
        <v>1710</v>
      </c>
      <c r="F4722" s="12" t="s">
        <v>1710</v>
      </c>
      <c r="G4722" s="13" t="s">
        <v>1709</v>
      </c>
    </row>
    <row r="4723" spans="1:7">
      <c r="A4723" s="15" t="s">
        <v>1711</v>
      </c>
      <c r="B4723" s="13">
        <v>0.2</v>
      </c>
      <c r="C4723" s="16">
        <v>-0.13100000000000001</v>
      </c>
      <c r="D4723" s="13" t="s">
        <v>1709</v>
      </c>
      <c r="E4723" s="12" t="s">
        <v>1710</v>
      </c>
      <c r="F4723" s="12" t="s">
        <v>1710</v>
      </c>
      <c r="G4723" s="13" t="s">
        <v>1709</v>
      </c>
    </row>
    <row r="4724" spans="1:7">
      <c r="A4724" s="15" t="s">
        <v>1711</v>
      </c>
      <c r="B4724" s="13">
        <v>0.2</v>
      </c>
      <c r="C4724" s="16">
        <v>1.853</v>
      </c>
      <c r="D4724" s="13" t="s">
        <v>1712</v>
      </c>
      <c r="E4724" s="12" t="s">
        <v>1715</v>
      </c>
      <c r="F4724" s="12" t="s">
        <v>1714</v>
      </c>
      <c r="G4724" s="13" t="s">
        <v>1709</v>
      </c>
    </row>
    <row r="4725" spans="1:7">
      <c r="A4725" s="15" t="s">
        <v>1711</v>
      </c>
      <c r="B4725" s="13">
        <v>0.2</v>
      </c>
      <c r="C4725" s="16">
        <v>1.853</v>
      </c>
      <c r="D4725" s="13" t="s">
        <v>1712</v>
      </c>
      <c r="E4725" s="12" t="s">
        <v>1715</v>
      </c>
      <c r="F4725" s="12" t="s">
        <v>1714</v>
      </c>
      <c r="G4725" s="13" t="s">
        <v>1709</v>
      </c>
    </row>
    <row r="4726" spans="1:7">
      <c r="A4726" s="15" t="s">
        <v>1711</v>
      </c>
      <c r="B4726" s="13">
        <v>0.2</v>
      </c>
      <c r="C4726" s="16">
        <v>-1E-3</v>
      </c>
      <c r="D4726" s="13" t="s">
        <v>1709</v>
      </c>
      <c r="E4726" s="12" t="s">
        <v>1710</v>
      </c>
      <c r="F4726" s="12" t="s">
        <v>1710</v>
      </c>
      <c r="G4726" s="13" t="s">
        <v>1709</v>
      </c>
    </row>
    <row r="4727" spans="1:7">
      <c r="A4727" s="15" t="s">
        <v>1711</v>
      </c>
      <c r="B4727" s="13">
        <v>0.2</v>
      </c>
      <c r="C4727" s="16">
        <v>-2.8000000000000001E-2</v>
      </c>
      <c r="D4727" s="13" t="s">
        <v>1709</v>
      </c>
      <c r="E4727" s="12" t="s">
        <v>1710</v>
      </c>
      <c r="F4727" s="12" t="s">
        <v>1710</v>
      </c>
      <c r="G4727" s="13" t="s">
        <v>1709</v>
      </c>
    </row>
    <row r="4728" spans="1:7">
      <c r="A4728" s="15" t="s">
        <v>1711</v>
      </c>
      <c r="B4728" s="13">
        <v>0.2</v>
      </c>
      <c r="C4728" s="16">
        <v>-4.4999999999999998E-2</v>
      </c>
      <c r="D4728" s="13" t="s">
        <v>1709</v>
      </c>
      <c r="E4728" s="12" t="s">
        <v>1710</v>
      </c>
      <c r="F4728" s="12" t="s">
        <v>1710</v>
      </c>
      <c r="G4728" s="13" t="s">
        <v>1709</v>
      </c>
    </row>
    <row r="4729" spans="1:7">
      <c r="A4729" s="15" t="s">
        <v>1711</v>
      </c>
      <c r="B4729" s="13">
        <v>0.2</v>
      </c>
      <c r="C4729" s="16">
        <v>0.17299999999999999</v>
      </c>
      <c r="D4729" s="13" t="s">
        <v>1712</v>
      </c>
      <c r="E4729" s="12" t="s">
        <v>1715</v>
      </c>
      <c r="F4729" s="12" t="s">
        <v>1714</v>
      </c>
      <c r="G4729" s="13" t="s">
        <v>1709</v>
      </c>
    </row>
    <row r="4730" spans="1:7">
      <c r="A4730" s="15" t="s">
        <v>1711</v>
      </c>
      <c r="B4730" s="13">
        <v>0.2</v>
      </c>
      <c r="C4730" s="16">
        <v>0.83499999999999996</v>
      </c>
      <c r="D4730" s="13" t="s">
        <v>1712</v>
      </c>
      <c r="E4730" s="12" t="s">
        <v>1715</v>
      </c>
      <c r="F4730" s="12" t="s">
        <v>1714</v>
      </c>
      <c r="G4730" s="13" t="s">
        <v>1709</v>
      </c>
    </row>
    <row r="4731" spans="1:7">
      <c r="A4731" s="15" t="s">
        <v>1711</v>
      </c>
      <c r="B4731" s="13">
        <v>0.2</v>
      </c>
      <c r="C4731" s="16">
        <v>-8.6999999999999994E-2</v>
      </c>
      <c r="D4731" s="13" t="s">
        <v>1709</v>
      </c>
      <c r="E4731" s="12" t="s">
        <v>1710</v>
      </c>
      <c r="F4731" s="12" t="s">
        <v>1710</v>
      </c>
      <c r="G4731" s="13" t="s">
        <v>1709</v>
      </c>
    </row>
    <row r="4732" spans="1:7">
      <c r="A4732" s="15" t="s">
        <v>1711</v>
      </c>
      <c r="B4732" s="13">
        <v>0.2</v>
      </c>
      <c r="C4732" s="16">
        <v>0.113</v>
      </c>
      <c r="D4732" s="13" t="s">
        <v>1712</v>
      </c>
      <c r="E4732" s="12" t="s">
        <v>1715</v>
      </c>
      <c r="F4732" s="12" t="s">
        <v>1714</v>
      </c>
      <c r="G4732" s="13" t="s">
        <v>1709</v>
      </c>
    </row>
    <row r="4733" spans="1:7">
      <c r="A4733" s="15" t="s">
        <v>1711</v>
      </c>
      <c r="B4733" s="13">
        <v>0.2</v>
      </c>
      <c r="C4733" s="16">
        <v>2.7E-2</v>
      </c>
      <c r="D4733" s="13" t="s">
        <v>1712</v>
      </c>
      <c r="E4733" s="12" t="s">
        <v>1715</v>
      </c>
      <c r="F4733" s="12" t="s">
        <v>1714</v>
      </c>
      <c r="G4733" s="13" t="s">
        <v>1709</v>
      </c>
    </row>
    <row r="4734" spans="1:7">
      <c r="A4734" s="15" t="s">
        <v>1711</v>
      </c>
      <c r="B4734" s="13">
        <v>0.2</v>
      </c>
      <c r="C4734" s="16">
        <v>0.11</v>
      </c>
      <c r="D4734" s="13" t="s">
        <v>1712</v>
      </c>
      <c r="E4734" s="12" t="s">
        <v>1715</v>
      </c>
      <c r="F4734" s="12" t="s">
        <v>1714</v>
      </c>
      <c r="G4734" s="13" t="s">
        <v>1709</v>
      </c>
    </row>
    <row r="4735" spans="1:7">
      <c r="A4735" s="15" t="s">
        <v>1711</v>
      </c>
      <c r="B4735" s="13">
        <v>0.2</v>
      </c>
      <c r="C4735" s="16">
        <v>0.11</v>
      </c>
      <c r="D4735" s="13" t="s">
        <v>1712</v>
      </c>
      <c r="E4735" s="12" t="s">
        <v>1715</v>
      </c>
      <c r="F4735" s="12" t="s">
        <v>1714</v>
      </c>
      <c r="G4735" s="13" t="s">
        <v>1709</v>
      </c>
    </row>
    <row r="4736" spans="1:7">
      <c r="A4736" s="15" t="s">
        <v>1711</v>
      </c>
      <c r="B4736" s="13">
        <v>0.2</v>
      </c>
      <c r="C4736" s="16">
        <v>-5.2999999999999999E-2</v>
      </c>
      <c r="D4736" s="13" t="s">
        <v>1709</v>
      </c>
      <c r="E4736" s="12" t="s">
        <v>1710</v>
      </c>
      <c r="F4736" s="12" t="s">
        <v>1710</v>
      </c>
      <c r="G4736" s="13" t="s">
        <v>1709</v>
      </c>
    </row>
    <row r="4737" spans="1:7">
      <c r="A4737" s="15" t="s">
        <v>1711</v>
      </c>
      <c r="B4737" s="13">
        <v>0.2</v>
      </c>
      <c r="C4737" s="16">
        <v>0.16800000000000001</v>
      </c>
      <c r="D4737" s="13" t="s">
        <v>1712</v>
      </c>
      <c r="E4737" s="12" t="s">
        <v>1715</v>
      </c>
      <c r="F4737" s="12" t="s">
        <v>1714</v>
      </c>
      <c r="G4737" s="13" t="s">
        <v>1709</v>
      </c>
    </row>
    <row r="4738" spans="1:7">
      <c r="A4738" s="15" t="s">
        <v>1711</v>
      </c>
      <c r="B4738" s="13">
        <v>0.2</v>
      </c>
      <c r="C4738" s="16">
        <v>0.70499999999999996</v>
      </c>
      <c r="D4738" s="13" t="s">
        <v>1712</v>
      </c>
      <c r="E4738" s="12" t="s">
        <v>1715</v>
      </c>
      <c r="F4738" s="12" t="s">
        <v>1714</v>
      </c>
      <c r="G4738" s="13" t="s">
        <v>1709</v>
      </c>
    </row>
    <row r="4739" spans="1:7">
      <c r="A4739" s="15" t="s">
        <v>1711</v>
      </c>
      <c r="B4739" s="13">
        <v>0.2</v>
      </c>
      <c r="C4739" s="16">
        <v>-6.3E-2</v>
      </c>
      <c r="D4739" s="13" t="s">
        <v>1709</v>
      </c>
      <c r="E4739" s="12" t="s">
        <v>1710</v>
      </c>
      <c r="F4739" s="12" t="s">
        <v>1710</v>
      </c>
      <c r="G4739" s="13" t="s">
        <v>1709</v>
      </c>
    </row>
    <row r="4740" spans="1:7">
      <c r="A4740" s="15" t="s">
        <v>1711</v>
      </c>
      <c r="B4740" s="13">
        <v>0.2</v>
      </c>
      <c r="C4740" s="16">
        <v>0.108</v>
      </c>
      <c r="D4740" s="13" t="s">
        <v>1712</v>
      </c>
      <c r="E4740" s="12" t="s">
        <v>1715</v>
      </c>
      <c r="F4740" s="12" t="s">
        <v>1714</v>
      </c>
      <c r="G4740" s="13" t="s">
        <v>1709</v>
      </c>
    </row>
    <row r="4741" spans="1:7">
      <c r="A4741" s="15" t="s">
        <v>1711</v>
      </c>
      <c r="B4741" s="13">
        <v>0.2</v>
      </c>
      <c r="C4741" s="16">
        <v>0.108</v>
      </c>
      <c r="D4741" s="13" t="s">
        <v>1712</v>
      </c>
      <c r="E4741" s="12" t="s">
        <v>1715</v>
      </c>
      <c r="F4741" s="12" t="s">
        <v>1714</v>
      </c>
      <c r="G4741" s="13" t="s">
        <v>1709</v>
      </c>
    </row>
    <row r="4742" spans="1:7">
      <c r="A4742" s="15" t="s">
        <v>1711</v>
      </c>
      <c r="B4742" s="13">
        <v>0.2</v>
      </c>
      <c r="C4742" s="16">
        <v>0.108</v>
      </c>
      <c r="D4742" s="13" t="s">
        <v>1712</v>
      </c>
      <c r="E4742" s="12" t="s">
        <v>1715</v>
      </c>
      <c r="F4742" s="12" t="s">
        <v>1714</v>
      </c>
      <c r="G4742" s="13" t="s">
        <v>1709</v>
      </c>
    </row>
    <row r="4743" spans="1:7">
      <c r="A4743" s="15" t="s">
        <v>1711</v>
      </c>
      <c r="B4743" s="13">
        <v>0.2</v>
      </c>
      <c r="C4743" s="16">
        <v>-9.0000000000000011E-3</v>
      </c>
      <c r="D4743" s="13" t="s">
        <v>1709</v>
      </c>
      <c r="E4743" s="12" t="s">
        <v>1710</v>
      </c>
      <c r="F4743" s="12" t="s">
        <v>1710</v>
      </c>
      <c r="G4743" s="13" t="s">
        <v>1709</v>
      </c>
    </row>
    <row r="4744" spans="1:7">
      <c r="A4744" s="15" t="s">
        <v>1711</v>
      </c>
      <c r="B4744" s="13">
        <v>0.2</v>
      </c>
      <c r="C4744" s="16">
        <v>-9.0000000000000011E-3</v>
      </c>
      <c r="D4744" s="13" t="s">
        <v>1709</v>
      </c>
      <c r="E4744" s="12" t="s">
        <v>1710</v>
      </c>
      <c r="F4744" s="12" t="s">
        <v>1710</v>
      </c>
      <c r="G4744" s="13" t="s">
        <v>1709</v>
      </c>
    </row>
    <row r="4745" spans="1:7">
      <c r="A4745" s="15" t="s">
        <v>1711</v>
      </c>
      <c r="B4745" s="13">
        <v>0.2</v>
      </c>
      <c r="C4745" s="16">
        <v>-9.9999999999999985E-3</v>
      </c>
      <c r="D4745" s="13" t="s">
        <v>1709</v>
      </c>
      <c r="E4745" s="12" t="s">
        <v>1710</v>
      </c>
      <c r="F4745" s="12" t="s">
        <v>1710</v>
      </c>
      <c r="G4745" s="13" t="s">
        <v>1709</v>
      </c>
    </row>
    <row r="4746" spans="1:7">
      <c r="A4746" s="15" t="s">
        <v>1711</v>
      </c>
      <c r="B4746" s="13">
        <v>0.2</v>
      </c>
      <c r="C4746" s="16">
        <v>1.8279999999999998</v>
      </c>
      <c r="D4746" s="13" t="s">
        <v>1712</v>
      </c>
      <c r="E4746" s="12" t="s">
        <v>1715</v>
      </c>
      <c r="F4746" s="12" t="s">
        <v>1714</v>
      </c>
      <c r="G4746" s="13" t="s">
        <v>1709</v>
      </c>
    </row>
    <row r="4747" spans="1:7">
      <c r="A4747" s="15" t="s">
        <v>1711</v>
      </c>
      <c r="B4747" s="13">
        <v>0.2</v>
      </c>
      <c r="C4747" s="16">
        <v>1.8279999999999998</v>
      </c>
      <c r="D4747" s="13" t="s">
        <v>1712</v>
      </c>
      <c r="E4747" s="12" t="s">
        <v>1715</v>
      </c>
      <c r="F4747" s="12" t="s">
        <v>1714</v>
      </c>
      <c r="G4747" s="13" t="s">
        <v>1709</v>
      </c>
    </row>
    <row r="4748" spans="1:7">
      <c r="A4748" s="15" t="s">
        <v>1711</v>
      </c>
      <c r="B4748" s="13">
        <v>0.2</v>
      </c>
      <c r="C4748" s="16">
        <v>1.8279999999999998</v>
      </c>
      <c r="D4748" s="13" t="s">
        <v>1712</v>
      </c>
      <c r="E4748" s="12" t="s">
        <v>1715</v>
      </c>
      <c r="F4748" s="12" t="s">
        <v>1714</v>
      </c>
      <c r="G4748" s="13" t="s">
        <v>1709</v>
      </c>
    </row>
    <row r="4749" spans="1:7">
      <c r="A4749" s="15" t="s">
        <v>1711</v>
      </c>
      <c r="B4749" s="13">
        <v>0.2</v>
      </c>
      <c r="C4749" s="16">
        <v>1.8279999999999998</v>
      </c>
      <c r="D4749" s="13" t="s">
        <v>1712</v>
      </c>
      <c r="E4749" s="12" t="s">
        <v>1715</v>
      </c>
      <c r="F4749" s="12" t="s">
        <v>1714</v>
      </c>
      <c r="G4749" s="13" t="s">
        <v>1709</v>
      </c>
    </row>
    <row r="4750" spans="1:7">
      <c r="A4750" s="15" t="s">
        <v>1711</v>
      </c>
      <c r="B4750" s="13">
        <v>0.2</v>
      </c>
      <c r="C4750" s="16">
        <v>1.8279999999999998</v>
      </c>
      <c r="D4750" s="13" t="s">
        <v>1712</v>
      </c>
      <c r="E4750" s="12" t="s">
        <v>1715</v>
      </c>
      <c r="F4750" s="12" t="s">
        <v>1714</v>
      </c>
      <c r="G4750" s="13" t="s">
        <v>1709</v>
      </c>
    </row>
    <row r="4751" spans="1:7">
      <c r="A4751" s="15" t="s">
        <v>1711</v>
      </c>
      <c r="B4751" s="13">
        <v>0.2</v>
      </c>
      <c r="C4751" s="16">
        <v>1.8279999999999998</v>
      </c>
      <c r="D4751" s="13" t="s">
        <v>1712</v>
      </c>
      <c r="E4751" s="12" t="s">
        <v>1715</v>
      </c>
      <c r="F4751" s="12" t="s">
        <v>1714</v>
      </c>
      <c r="G4751" s="13" t="s">
        <v>1709</v>
      </c>
    </row>
    <row r="4752" spans="1:7">
      <c r="A4752" s="15" t="s">
        <v>1711</v>
      </c>
      <c r="B4752" s="13">
        <v>0.2</v>
      </c>
      <c r="C4752" s="16">
        <v>1.7919999999999998</v>
      </c>
      <c r="D4752" s="13" t="s">
        <v>1712</v>
      </c>
      <c r="E4752" s="12" t="s">
        <v>1713</v>
      </c>
      <c r="F4752" s="12" t="s">
        <v>1714</v>
      </c>
      <c r="G4752" s="13" t="s">
        <v>1709</v>
      </c>
    </row>
    <row r="4753" spans="1:7">
      <c r="A4753" s="15" t="s">
        <v>1711</v>
      </c>
      <c r="B4753" s="13">
        <v>0.2</v>
      </c>
      <c r="C4753" s="16">
        <v>1.7919999999999998</v>
      </c>
      <c r="D4753" s="13" t="s">
        <v>1712</v>
      </c>
      <c r="E4753" s="12" t="s">
        <v>1713</v>
      </c>
      <c r="F4753" s="12" t="s">
        <v>1714</v>
      </c>
      <c r="G4753" s="13" t="s">
        <v>1709</v>
      </c>
    </row>
    <row r="4754" spans="1:7">
      <c r="A4754" s="15" t="s">
        <v>1711</v>
      </c>
      <c r="B4754" s="13">
        <v>0.2</v>
      </c>
      <c r="C4754" s="16">
        <v>1.7919999999999998</v>
      </c>
      <c r="D4754" s="13" t="s">
        <v>1712</v>
      </c>
      <c r="E4754" s="12" t="s">
        <v>1713</v>
      </c>
      <c r="F4754" s="12" t="s">
        <v>1714</v>
      </c>
      <c r="G4754" s="13" t="s">
        <v>1709</v>
      </c>
    </row>
    <row r="4755" spans="1:7">
      <c r="A4755" s="15" t="s">
        <v>1711</v>
      </c>
      <c r="B4755" s="13">
        <v>0.2</v>
      </c>
      <c r="C4755" s="16">
        <v>1.7919999999999998</v>
      </c>
      <c r="D4755" s="13" t="s">
        <v>1712</v>
      </c>
      <c r="E4755" s="12" t="s">
        <v>1713</v>
      </c>
      <c r="F4755" s="12" t="s">
        <v>1714</v>
      </c>
      <c r="G4755" s="13" t="s">
        <v>1709</v>
      </c>
    </row>
    <row r="4756" spans="1:7">
      <c r="A4756" s="15" t="s">
        <v>1711</v>
      </c>
      <c r="B4756" s="13">
        <v>0.2</v>
      </c>
      <c r="C4756" s="16">
        <v>1.7919999999999998</v>
      </c>
      <c r="D4756" s="13" t="s">
        <v>1712</v>
      </c>
      <c r="E4756" s="12" t="s">
        <v>1713</v>
      </c>
      <c r="F4756" s="12" t="s">
        <v>1714</v>
      </c>
      <c r="G4756" s="13" t="s">
        <v>1709</v>
      </c>
    </row>
    <row r="4757" spans="1:7">
      <c r="A4757" s="15" t="s">
        <v>1711</v>
      </c>
      <c r="B4757" s="13">
        <v>0.2</v>
      </c>
      <c r="C4757" s="16">
        <v>0.14000000000000001</v>
      </c>
      <c r="D4757" s="13" t="s">
        <v>1712</v>
      </c>
      <c r="E4757" s="12" t="s">
        <v>1713</v>
      </c>
      <c r="F4757" s="12" t="s">
        <v>1714</v>
      </c>
      <c r="G4757" s="13" t="s">
        <v>1709</v>
      </c>
    </row>
    <row r="4758" spans="1:7">
      <c r="A4758" s="15" t="s">
        <v>1711</v>
      </c>
      <c r="B4758" s="13">
        <v>0.2</v>
      </c>
      <c r="C4758" s="16">
        <v>0.14000000000000001</v>
      </c>
      <c r="D4758" s="13" t="s">
        <v>1712</v>
      </c>
      <c r="E4758" s="12" t="s">
        <v>1713</v>
      </c>
      <c r="F4758" s="12" t="s">
        <v>1714</v>
      </c>
      <c r="G4758" s="13" t="s">
        <v>1709</v>
      </c>
    </row>
    <row r="4759" spans="1:7">
      <c r="A4759" s="15" t="s">
        <v>1711</v>
      </c>
      <c r="B4759" s="13">
        <v>0.2</v>
      </c>
      <c r="C4759" s="16">
        <v>0.98599999999999999</v>
      </c>
      <c r="D4759" s="13" t="s">
        <v>1712</v>
      </c>
      <c r="E4759" s="12" t="s">
        <v>1713</v>
      </c>
      <c r="F4759" s="12" t="s">
        <v>1714</v>
      </c>
      <c r="G4759" s="13" t="s">
        <v>1709</v>
      </c>
    </row>
    <row r="4760" spans="1:7">
      <c r="A4760" s="15" t="s">
        <v>1711</v>
      </c>
      <c r="B4760" s="13">
        <v>0.2</v>
      </c>
      <c r="C4760" s="16">
        <v>-3.9E-2</v>
      </c>
      <c r="D4760" s="13" t="s">
        <v>1709</v>
      </c>
      <c r="E4760" s="12" t="s">
        <v>1710</v>
      </c>
      <c r="F4760" s="12" t="s">
        <v>1710</v>
      </c>
      <c r="G4760" s="13" t="s">
        <v>1709</v>
      </c>
    </row>
    <row r="4761" spans="1:7">
      <c r="A4761" s="15" t="s">
        <v>1711</v>
      </c>
      <c r="B4761" s="13">
        <v>0.2</v>
      </c>
      <c r="C4761" s="16">
        <v>-3.9E-2</v>
      </c>
      <c r="D4761" s="13" t="s">
        <v>1709</v>
      </c>
      <c r="E4761" s="12" t="s">
        <v>1710</v>
      </c>
      <c r="F4761" s="12" t="s">
        <v>1710</v>
      </c>
      <c r="G4761" s="13" t="s">
        <v>1709</v>
      </c>
    </row>
    <row r="4762" spans="1:7">
      <c r="A4762" s="15" t="s">
        <v>1711</v>
      </c>
      <c r="B4762" s="13">
        <v>0.2</v>
      </c>
      <c r="C4762" s="16">
        <v>0.997</v>
      </c>
      <c r="D4762" s="13" t="s">
        <v>1712</v>
      </c>
      <c r="E4762" s="12" t="s">
        <v>1713</v>
      </c>
      <c r="F4762" s="12" t="s">
        <v>1714</v>
      </c>
      <c r="G4762" s="13" t="s">
        <v>1709</v>
      </c>
    </row>
    <row r="4763" spans="1:7">
      <c r="A4763" s="15" t="s">
        <v>1711</v>
      </c>
      <c r="B4763" s="13">
        <v>0.2</v>
      </c>
      <c r="C4763" s="16">
        <v>0.219</v>
      </c>
      <c r="D4763" s="13" t="s">
        <v>1712</v>
      </c>
      <c r="E4763" s="12" t="s">
        <v>1713</v>
      </c>
      <c r="F4763" s="12" t="s">
        <v>1714</v>
      </c>
      <c r="G4763" s="13" t="s">
        <v>1709</v>
      </c>
    </row>
    <row r="4764" spans="1:7">
      <c r="A4764" s="15" t="s">
        <v>1711</v>
      </c>
      <c r="B4764" s="13">
        <v>0.2</v>
      </c>
      <c r="C4764" s="16">
        <v>3.5000000000000003E-2</v>
      </c>
      <c r="D4764" s="13" t="s">
        <v>1712</v>
      </c>
      <c r="E4764" s="12" t="s">
        <v>1713</v>
      </c>
      <c r="F4764" s="12" t="s">
        <v>1714</v>
      </c>
      <c r="G4764" s="13" t="s">
        <v>1709</v>
      </c>
    </row>
    <row r="4765" spans="1:7">
      <c r="A4765" s="15" t="s">
        <v>1711</v>
      </c>
      <c r="B4765" s="13">
        <v>0.2</v>
      </c>
      <c r="C4765" s="16">
        <v>0.20300000000000001</v>
      </c>
      <c r="D4765" s="13" t="s">
        <v>1712</v>
      </c>
      <c r="E4765" s="12" t="s">
        <v>1713</v>
      </c>
      <c r="F4765" s="12" t="s">
        <v>1714</v>
      </c>
      <c r="G4765" s="13" t="s">
        <v>1709</v>
      </c>
    </row>
    <row r="4766" spans="1:7">
      <c r="A4766" s="15" t="s">
        <v>1711</v>
      </c>
      <c r="B4766" s="13">
        <v>0.2</v>
      </c>
      <c r="C4766" s="16">
        <v>0.86799999999999999</v>
      </c>
      <c r="D4766" s="13" t="s">
        <v>1712</v>
      </c>
      <c r="E4766" s="12" t="s">
        <v>1713</v>
      </c>
      <c r="F4766" s="12" t="s">
        <v>1714</v>
      </c>
      <c r="G4766" s="13" t="s">
        <v>1709</v>
      </c>
    </row>
    <row r="4767" spans="1:7">
      <c r="A4767" s="15" t="s">
        <v>1711</v>
      </c>
      <c r="B4767" s="13">
        <v>0.2</v>
      </c>
      <c r="C4767" s="16">
        <v>0.86799999999999999</v>
      </c>
      <c r="D4767" s="13" t="s">
        <v>1712</v>
      </c>
      <c r="E4767" s="12" t="s">
        <v>1713</v>
      </c>
      <c r="F4767" s="12" t="s">
        <v>1714</v>
      </c>
      <c r="G4767" s="13" t="s">
        <v>1709</v>
      </c>
    </row>
    <row r="4768" spans="1:7">
      <c r="A4768" s="15" t="s">
        <v>1711</v>
      </c>
      <c r="B4768" s="13">
        <v>0.2</v>
      </c>
      <c r="C4768" s="16">
        <v>0.86799999999999999</v>
      </c>
      <c r="D4768" s="13" t="s">
        <v>1712</v>
      </c>
      <c r="E4768" s="12" t="s">
        <v>1713</v>
      </c>
      <c r="F4768" s="12" t="s">
        <v>1714</v>
      </c>
      <c r="G4768" s="13" t="s">
        <v>1709</v>
      </c>
    </row>
    <row r="4769" spans="1:7">
      <c r="A4769" s="15" t="s">
        <v>1711</v>
      </c>
      <c r="B4769" s="13">
        <v>0.2</v>
      </c>
      <c r="C4769" s="16">
        <v>0.86799999999999999</v>
      </c>
      <c r="D4769" s="13" t="s">
        <v>1712</v>
      </c>
      <c r="E4769" s="12" t="s">
        <v>1713</v>
      </c>
      <c r="F4769" s="12" t="s">
        <v>1714</v>
      </c>
      <c r="G4769" s="13" t="s">
        <v>1709</v>
      </c>
    </row>
    <row r="4770" spans="1:7">
      <c r="A4770" s="15" t="s">
        <v>1711</v>
      </c>
      <c r="B4770" s="13">
        <v>0.2</v>
      </c>
      <c r="C4770" s="16">
        <v>0.8</v>
      </c>
      <c r="D4770" s="13" t="s">
        <v>1712</v>
      </c>
      <c r="E4770" s="12" t="s">
        <v>1713</v>
      </c>
      <c r="F4770" s="12" t="s">
        <v>1714</v>
      </c>
      <c r="G4770" s="13" t="s">
        <v>1709</v>
      </c>
    </row>
    <row r="4771" spans="1:7">
      <c r="A4771" s="15" t="s">
        <v>1711</v>
      </c>
      <c r="B4771" s="13">
        <v>0.2</v>
      </c>
      <c r="C4771" s="16">
        <v>0.13300000000000001</v>
      </c>
      <c r="D4771" s="13" t="s">
        <v>1712</v>
      </c>
      <c r="E4771" s="12" t="s">
        <v>1713</v>
      </c>
      <c r="F4771" s="12" t="s">
        <v>1714</v>
      </c>
      <c r="G4771" s="13" t="s">
        <v>1709</v>
      </c>
    </row>
    <row r="4772" spans="1:7">
      <c r="A4772" s="15" t="s">
        <v>1711</v>
      </c>
      <c r="B4772" s="13">
        <v>0.2</v>
      </c>
      <c r="C4772" s="16">
        <v>0.13500000000000001</v>
      </c>
      <c r="D4772" s="13" t="s">
        <v>1712</v>
      </c>
      <c r="E4772" s="12" t="s">
        <v>1713</v>
      </c>
      <c r="F4772" s="12" t="s">
        <v>1714</v>
      </c>
      <c r="G4772" s="13" t="s">
        <v>1709</v>
      </c>
    </row>
    <row r="4773" spans="1:7">
      <c r="A4773" s="15" t="s">
        <v>1711</v>
      </c>
      <c r="B4773" s="13">
        <v>0.2</v>
      </c>
      <c r="C4773" s="16">
        <v>0.15</v>
      </c>
      <c r="D4773" s="13" t="s">
        <v>1712</v>
      </c>
      <c r="E4773" s="12" t="s">
        <v>1713</v>
      </c>
      <c r="F4773" s="12" t="s">
        <v>1714</v>
      </c>
      <c r="G4773" s="13" t="s">
        <v>1709</v>
      </c>
    </row>
    <row r="4774" spans="1:7">
      <c r="A4774" s="15" t="s">
        <v>1711</v>
      </c>
      <c r="B4774" s="13">
        <v>0.2</v>
      </c>
      <c r="C4774" s="16">
        <v>-7.0000000000000001E-3</v>
      </c>
      <c r="D4774" s="13" t="s">
        <v>1709</v>
      </c>
      <c r="E4774" s="12" t="s">
        <v>1710</v>
      </c>
      <c r="F4774" s="12" t="s">
        <v>1710</v>
      </c>
      <c r="G4774" s="13" t="s">
        <v>1709</v>
      </c>
    </row>
    <row r="4775" spans="1:7">
      <c r="A4775" s="15" t="s">
        <v>1711</v>
      </c>
      <c r="B4775" s="13">
        <v>0.2</v>
      </c>
      <c r="C4775" s="16">
        <v>0.108</v>
      </c>
      <c r="D4775" s="13" t="s">
        <v>1712</v>
      </c>
      <c r="E4775" s="12" t="s">
        <v>1713</v>
      </c>
      <c r="F4775" s="12" t="s">
        <v>1714</v>
      </c>
      <c r="G4775" s="13" t="s">
        <v>1709</v>
      </c>
    </row>
    <row r="4776" spans="1:7">
      <c r="A4776" s="15" t="s">
        <v>1711</v>
      </c>
      <c r="B4776" s="13">
        <v>0.2</v>
      </c>
      <c r="C4776" s="16">
        <v>-7.8E-2</v>
      </c>
      <c r="D4776" s="13" t="s">
        <v>1709</v>
      </c>
      <c r="E4776" s="12" t="s">
        <v>1710</v>
      </c>
      <c r="F4776" s="12" t="s">
        <v>1710</v>
      </c>
      <c r="G4776" s="13" t="s">
        <v>1709</v>
      </c>
    </row>
    <row r="4777" spans="1:7">
      <c r="A4777" s="15" t="s">
        <v>1711</v>
      </c>
      <c r="B4777" s="13">
        <v>0.2</v>
      </c>
      <c r="C4777" s="16">
        <v>9.9999999999999985E-3</v>
      </c>
      <c r="D4777" s="13" t="s">
        <v>1712</v>
      </c>
      <c r="E4777" s="12" t="s">
        <v>1736</v>
      </c>
      <c r="F4777" s="12" t="s">
        <v>1714</v>
      </c>
      <c r="G4777" s="13" t="s">
        <v>1709</v>
      </c>
    </row>
    <row r="4778" spans="1:7">
      <c r="A4778" s="15" t="s">
        <v>1711</v>
      </c>
      <c r="B4778" s="13">
        <v>0.2</v>
      </c>
      <c r="C4778" s="16">
        <v>9.9999999999999985E-3</v>
      </c>
      <c r="D4778" s="13" t="s">
        <v>1712</v>
      </c>
      <c r="E4778" s="12" t="s">
        <v>1736</v>
      </c>
      <c r="F4778" s="12" t="s">
        <v>1714</v>
      </c>
      <c r="G4778" s="13" t="s">
        <v>1709</v>
      </c>
    </row>
    <row r="4779" spans="1:7">
      <c r="A4779" s="15" t="s">
        <v>1711</v>
      </c>
      <c r="B4779" s="13">
        <v>0.2</v>
      </c>
      <c r="C4779" s="16">
        <v>0.224</v>
      </c>
      <c r="D4779" s="13" t="s">
        <v>1712</v>
      </c>
      <c r="E4779" s="12" t="s">
        <v>1736</v>
      </c>
      <c r="F4779" s="12" t="s">
        <v>1714</v>
      </c>
      <c r="G4779" s="13" t="s">
        <v>1709</v>
      </c>
    </row>
    <row r="4780" spans="1:7">
      <c r="A4780" s="15" t="s">
        <v>1711</v>
      </c>
      <c r="B4780" s="13">
        <v>0.2</v>
      </c>
      <c r="C4780" s="16">
        <v>1.8279999999999998</v>
      </c>
      <c r="D4780" s="13" t="s">
        <v>1712</v>
      </c>
      <c r="E4780" s="12" t="s">
        <v>1736</v>
      </c>
      <c r="F4780" s="12" t="s">
        <v>1714</v>
      </c>
      <c r="G4780" s="13" t="s">
        <v>1709</v>
      </c>
    </row>
    <row r="4781" spans="1:7">
      <c r="A4781" s="15" t="s">
        <v>1711</v>
      </c>
      <c r="B4781" s="13">
        <v>0.2</v>
      </c>
      <c r="C4781" s="16">
        <v>1.8279999999999998</v>
      </c>
      <c r="D4781" s="13" t="s">
        <v>1712</v>
      </c>
      <c r="E4781" s="12" t="s">
        <v>1736</v>
      </c>
      <c r="F4781" s="12" t="s">
        <v>1714</v>
      </c>
      <c r="G4781" s="13" t="s">
        <v>1709</v>
      </c>
    </row>
    <row r="4782" spans="1:7">
      <c r="A4782" s="15" t="s">
        <v>1711</v>
      </c>
      <c r="B4782" s="13">
        <v>0.2</v>
      </c>
      <c r="C4782" s="16">
        <v>1.8279999999999998</v>
      </c>
      <c r="D4782" s="13" t="s">
        <v>1712</v>
      </c>
      <c r="E4782" s="12" t="s">
        <v>1736</v>
      </c>
      <c r="F4782" s="12" t="s">
        <v>1714</v>
      </c>
      <c r="G4782" s="13" t="s">
        <v>1709</v>
      </c>
    </row>
    <row r="4783" spans="1:7">
      <c r="A4783" s="15" t="s">
        <v>1711</v>
      </c>
      <c r="B4783" s="13">
        <v>0.2</v>
      </c>
      <c r="C4783" s="16">
        <v>1.8279999999999998</v>
      </c>
      <c r="D4783" s="13" t="s">
        <v>1712</v>
      </c>
      <c r="E4783" s="12" t="s">
        <v>1736</v>
      </c>
      <c r="F4783" s="12" t="s">
        <v>1714</v>
      </c>
      <c r="G4783" s="13" t="s">
        <v>1709</v>
      </c>
    </row>
    <row r="4784" spans="1:7">
      <c r="A4784" s="15" t="s">
        <v>1711</v>
      </c>
      <c r="B4784" s="13">
        <v>0.2</v>
      </c>
      <c r="C4784" s="16">
        <v>1.8279999999999998</v>
      </c>
      <c r="D4784" s="13" t="s">
        <v>1712</v>
      </c>
      <c r="E4784" s="12" t="s">
        <v>1736</v>
      </c>
      <c r="F4784" s="12" t="s">
        <v>1714</v>
      </c>
      <c r="G4784" s="13" t="s">
        <v>1709</v>
      </c>
    </row>
    <row r="4785" spans="1:7">
      <c r="A4785" s="15" t="s">
        <v>1711</v>
      </c>
      <c r="B4785" s="13">
        <v>0.2</v>
      </c>
      <c r="C4785" s="16">
        <v>0.93</v>
      </c>
      <c r="D4785" s="13" t="s">
        <v>1712</v>
      </c>
      <c r="E4785" s="12" t="s">
        <v>1736</v>
      </c>
      <c r="F4785" s="12" t="s">
        <v>1714</v>
      </c>
      <c r="G4785" s="13" t="s">
        <v>1709</v>
      </c>
    </row>
    <row r="4786" spans="1:7">
      <c r="A4786" s="15" t="s">
        <v>1711</v>
      </c>
      <c r="B4786" s="13">
        <v>0.2</v>
      </c>
      <c r="C4786" s="16">
        <v>0.93</v>
      </c>
      <c r="D4786" s="13" t="s">
        <v>1712</v>
      </c>
      <c r="E4786" s="12" t="s">
        <v>1736</v>
      </c>
      <c r="F4786" s="12" t="s">
        <v>1714</v>
      </c>
      <c r="G4786" s="13" t="s">
        <v>1709</v>
      </c>
    </row>
    <row r="4787" spans="1:7">
      <c r="A4787" s="15" t="s">
        <v>1711</v>
      </c>
      <c r="B4787" s="13">
        <v>0.2</v>
      </c>
      <c r="C4787" s="16">
        <v>0.93</v>
      </c>
      <c r="D4787" s="13" t="s">
        <v>1712</v>
      </c>
      <c r="E4787" s="12" t="s">
        <v>1736</v>
      </c>
      <c r="F4787" s="12" t="s">
        <v>1714</v>
      </c>
      <c r="G4787" s="13" t="s">
        <v>1709</v>
      </c>
    </row>
    <row r="4788" spans="1:7">
      <c r="A4788" s="15" t="s">
        <v>1711</v>
      </c>
      <c r="B4788" s="13">
        <v>0.2</v>
      </c>
      <c r="C4788" s="16">
        <v>0.93</v>
      </c>
      <c r="D4788" s="13" t="s">
        <v>1712</v>
      </c>
      <c r="E4788" s="12" t="s">
        <v>1736</v>
      </c>
      <c r="F4788" s="12" t="s">
        <v>1714</v>
      </c>
      <c r="G4788" s="13" t="s">
        <v>1709</v>
      </c>
    </row>
    <row r="4789" spans="1:7">
      <c r="A4789" s="15" t="s">
        <v>1711</v>
      </c>
      <c r="B4789" s="13">
        <v>0.2</v>
      </c>
      <c r="C4789" s="16">
        <v>1.853</v>
      </c>
      <c r="D4789" s="13" t="s">
        <v>1712</v>
      </c>
      <c r="E4789" s="12" t="s">
        <v>1736</v>
      </c>
      <c r="F4789" s="12" t="s">
        <v>1714</v>
      </c>
      <c r="G4789" s="13" t="s">
        <v>1709</v>
      </c>
    </row>
    <row r="4790" spans="1:7">
      <c r="A4790" s="15" t="s">
        <v>1711</v>
      </c>
      <c r="B4790" s="13">
        <v>0.2</v>
      </c>
      <c r="C4790" s="16">
        <v>1.853</v>
      </c>
      <c r="D4790" s="13" t="s">
        <v>1712</v>
      </c>
      <c r="E4790" s="12" t="s">
        <v>1736</v>
      </c>
      <c r="F4790" s="12" t="s">
        <v>1714</v>
      </c>
      <c r="G4790" s="13" t="s">
        <v>1709</v>
      </c>
    </row>
    <row r="4791" spans="1:7">
      <c r="A4791" s="15" t="s">
        <v>1711</v>
      </c>
      <c r="B4791" s="13">
        <v>0.2</v>
      </c>
      <c r="C4791" s="16">
        <v>-1E-3</v>
      </c>
      <c r="D4791" s="13" t="s">
        <v>1709</v>
      </c>
      <c r="E4791" s="12" t="s">
        <v>1710</v>
      </c>
      <c r="F4791" s="12" t="s">
        <v>1710</v>
      </c>
      <c r="G4791" s="13" t="s">
        <v>1709</v>
      </c>
    </row>
    <row r="4792" spans="1:7">
      <c r="A4792" s="15" t="s">
        <v>1711</v>
      </c>
      <c r="B4792" s="13">
        <v>0.2</v>
      </c>
      <c r="C4792" s="16">
        <v>-3.0000000000000001E-3</v>
      </c>
      <c r="D4792" s="13" t="s">
        <v>1709</v>
      </c>
      <c r="E4792" s="12" t="s">
        <v>1710</v>
      </c>
      <c r="F4792" s="12" t="s">
        <v>1710</v>
      </c>
      <c r="G4792" s="13" t="s">
        <v>1709</v>
      </c>
    </row>
    <row r="4793" spans="1:7">
      <c r="A4793" s="15" t="s">
        <v>1711</v>
      </c>
      <c r="B4793" s="13">
        <v>0.2</v>
      </c>
      <c r="C4793" s="16">
        <v>-3.0000000000000001E-3</v>
      </c>
      <c r="D4793" s="13" t="s">
        <v>1709</v>
      </c>
      <c r="E4793" s="12" t="s">
        <v>1710</v>
      </c>
      <c r="F4793" s="12" t="s">
        <v>1710</v>
      </c>
      <c r="G4793" s="13" t="s">
        <v>1709</v>
      </c>
    </row>
    <row r="4794" spans="1:7">
      <c r="A4794" s="15" t="s">
        <v>1711</v>
      </c>
      <c r="B4794" s="13">
        <v>0.2</v>
      </c>
      <c r="C4794" s="16">
        <v>0.79900000000000004</v>
      </c>
      <c r="D4794" s="13" t="s">
        <v>1712</v>
      </c>
      <c r="E4794" s="12" t="s">
        <v>1713</v>
      </c>
      <c r="F4794" s="12" t="s">
        <v>1714</v>
      </c>
      <c r="G4794" s="13" t="s">
        <v>1709</v>
      </c>
    </row>
    <row r="4795" spans="1:7">
      <c r="A4795" s="15" t="s">
        <v>1711</v>
      </c>
      <c r="B4795" s="13">
        <v>0.2</v>
      </c>
      <c r="C4795" s="16">
        <v>0.79900000000000004</v>
      </c>
      <c r="D4795" s="13" t="s">
        <v>1712</v>
      </c>
      <c r="E4795" s="12" t="s">
        <v>1713</v>
      </c>
      <c r="F4795" s="12" t="s">
        <v>1714</v>
      </c>
      <c r="G4795" s="13" t="s">
        <v>1709</v>
      </c>
    </row>
    <row r="4796" spans="1:7">
      <c r="A4796" s="15" t="s">
        <v>1711</v>
      </c>
      <c r="B4796" s="13">
        <v>0.2</v>
      </c>
      <c r="C4796" s="16">
        <v>0.79900000000000004</v>
      </c>
      <c r="D4796" s="13" t="s">
        <v>1712</v>
      </c>
      <c r="E4796" s="12" t="s">
        <v>1713</v>
      </c>
      <c r="F4796" s="12" t="s">
        <v>1714</v>
      </c>
      <c r="G4796" s="13" t="s">
        <v>1709</v>
      </c>
    </row>
    <row r="4797" spans="1:7">
      <c r="A4797" s="15" t="s">
        <v>1711</v>
      </c>
      <c r="B4797" s="13">
        <v>0.2</v>
      </c>
      <c r="C4797" s="16">
        <v>0.79900000000000004</v>
      </c>
      <c r="D4797" s="13" t="s">
        <v>1712</v>
      </c>
      <c r="E4797" s="12" t="s">
        <v>1713</v>
      </c>
      <c r="F4797" s="12" t="s">
        <v>1714</v>
      </c>
      <c r="G4797" s="13" t="s">
        <v>1709</v>
      </c>
    </row>
    <row r="4798" spans="1:7">
      <c r="A4798" s="15" t="s">
        <v>1711</v>
      </c>
      <c r="B4798" s="13">
        <v>0.2</v>
      </c>
      <c r="C4798" s="16">
        <v>0.79900000000000004</v>
      </c>
      <c r="D4798" s="13" t="s">
        <v>1712</v>
      </c>
      <c r="E4798" s="12" t="s">
        <v>1713</v>
      </c>
      <c r="F4798" s="12" t="s">
        <v>1714</v>
      </c>
      <c r="G4798" s="13" t="s">
        <v>1709</v>
      </c>
    </row>
    <row r="4799" spans="1:7">
      <c r="A4799" s="15" t="s">
        <v>1711</v>
      </c>
      <c r="B4799" s="13">
        <v>0.2</v>
      </c>
      <c r="C4799" s="16">
        <v>0.79900000000000004</v>
      </c>
      <c r="D4799" s="13" t="s">
        <v>1712</v>
      </c>
      <c r="E4799" s="12" t="s">
        <v>1713</v>
      </c>
      <c r="F4799" s="12" t="s">
        <v>1714</v>
      </c>
      <c r="G4799" s="13" t="s">
        <v>1709</v>
      </c>
    </row>
    <row r="4800" spans="1:7">
      <c r="A4800" s="15" t="s">
        <v>1711</v>
      </c>
      <c r="B4800" s="13">
        <v>0.2</v>
      </c>
      <c r="C4800" s="16">
        <v>0.79900000000000004</v>
      </c>
      <c r="D4800" s="13" t="s">
        <v>1712</v>
      </c>
      <c r="E4800" s="12" t="s">
        <v>1713</v>
      </c>
      <c r="F4800" s="12" t="s">
        <v>1714</v>
      </c>
      <c r="G4800" s="13" t="s">
        <v>1709</v>
      </c>
    </row>
    <row r="4801" spans="1:7">
      <c r="A4801" s="15" t="s">
        <v>1711</v>
      </c>
      <c r="B4801" s="13">
        <v>0.2</v>
      </c>
      <c r="C4801" s="16">
        <v>0.79900000000000004</v>
      </c>
      <c r="D4801" s="13" t="s">
        <v>1712</v>
      </c>
      <c r="E4801" s="12" t="s">
        <v>1713</v>
      </c>
      <c r="F4801" s="12" t="s">
        <v>1714</v>
      </c>
      <c r="G4801" s="13" t="s">
        <v>1709</v>
      </c>
    </row>
    <row r="4802" spans="1:7">
      <c r="A4802" s="15" t="s">
        <v>1711</v>
      </c>
      <c r="B4802" s="13">
        <v>0.2</v>
      </c>
      <c r="C4802" s="16">
        <v>0.79900000000000004</v>
      </c>
      <c r="D4802" s="13" t="s">
        <v>1712</v>
      </c>
      <c r="E4802" s="12" t="s">
        <v>1713</v>
      </c>
      <c r="F4802" s="12" t="s">
        <v>1714</v>
      </c>
      <c r="G4802" s="13" t="s">
        <v>1709</v>
      </c>
    </row>
    <row r="4803" spans="1:7">
      <c r="A4803" s="15" t="s">
        <v>1711</v>
      </c>
      <c r="B4803" s="13">
        <v>0.2</v>
      </c>
      <c r="C4803" s="16">
        <v>0.79900000000000004</v>
      </c>
      <c r="D4803" s="13" t="s">
        <v>1712</v>
      </c>
      <c r="E4803" s="12" t="s">
        <v>1713</v>
      </c>
      <c r="F4803" s="12" t="s">
        <v>1714</v>
      </c>
      <c r="G4803" s="13" t="s">
        <v>1709</v>
      </c>
    </row>
    <row r="4804" spans="1:7">
      <c r="A4804" s="15" t="s">
        <v>1711</v>
      </c>
      <c r="B4804" s="13">
        <v>0.2</v>
      </c>
      <c r="C4804" s="16">
        <v>0.97599999999999998</v>
      </c>
      <c r="D4804" s="13" t="s">
        <v>1712</v>
      </c>
      <c r="E4804" s="12" t="s">
        <v>1713</v>
      </c>
      <c r="F4804" s="12" t="s">
        <v>1714</v>
      </c>
      <c r="G4804" s="13" t="s">
        <v>1709</v>
      </c>
    </row>
    <row r="4805" spans="1:7">
      <c r="A4805" s="15" t="s">
        <v>1711</v>
      </c>
      <c r="B4805" s="13">
        <v>0.2</v>
      </c>
      <c r="C4805" s="16">
        <v>0.19800000000000001</v>
      </c>
      <c r="D4805" s="13" t="s">
        <v>1712</v>
      </c>
      <c r="E4805" s="12" t="s">
        <v>1713</v>
      </c>
      <c r="F4805" s="12" t="s">
        <v>1714</v>
      </c>
      <c r="G4805" s="13" t="s">
        <v>1709</v>
      </c>
    </row>
    <row r="4806" spans="1:7">
      <c r="A4806" s="15" t="s">
        <v>1711</v>
      </c>
      <c r="B4806" s="13">
        <v>0.2</v>
      </c>
      <c r="C4806" s="16">
        <v>0.19800000000000001</v>
      </c>
      <c r="D4806" s="13" t="s">
        <v>1712</v>
      </c>
      <c r="E4806" s="12" t="s">
        <v>1713</v>
      </c>
      <c r="F4806" s="12" t="s">
        <v>1714</v>
      </c>
      <c r="G4806" s="13" t="s">
        <v>1709</v>
      </c>
    </row>
    <row r="4807" spans="1:7">
      <c r="A4807" s="15" t="s">
        <v>1711</v>
      </c>
      <c r="B4807" s="13">
        <v>0.2</v>
      </c>
      <c r="C4807" s="16">
        <v>0.19800000000000001</v>
      </c>
      <c r="D4807" s="13" t="s">
        <v>1712</v>
      </c>
      <c r="E4807" s="12" t="s">
        <v>1713</v>
      </c>
      <c r="F4807" s="12" t="s">
        <v>1714</v>
      </c>
      <c r="G4807" s="13" t="s">
        <v>1709</v>
      </c>
    </row>
    <row r="4808" spans="1:7">
      <c r="A4808" s="15" t="s">
        <v>1711</v>
      </c>
      <c r="B4808" s="13">
        <v>0.2</v>
      </c>
      <c r="C4808" s="16">
        <v>0.3</v>
      </c>
      <c r="D4808" s="13" t="s">
        <v>1712</v>
      </c>
      <c r="E4808" s="12" t="s">
        <v>1715</v>
      </c>
      <c r="F4808" s="12" t="s">
        <v>1714</v>
      </c>
      <c r="G4808" s="13" t="s">
        <v>1709</v>
      </c>
    </row>
    <row r="4809" spans="1:7">
      <c r="A4809" s="15" t="s">
        <v>1711</v>
      </c>
      <c r="B4809" s="13">
        <v>0.2</v>
      </c>
      <c r="C4809" s="16">
        <v>-0.04</v>
      </c>
      <c r="D4809" s="13" t="s">
        <v>1709</v>
      </c>
      <c r="E4809" s="12" t="s">
        <v>1710</v>
      </c>
      <c r="F4809" s="12" t="s">
        <v>1710</v>
      </c>
      <c r="G4809" s="13" t="s">
        <v>1709</v>
      </c>
    </row>
    <row r="4810" spans="1:7">
      <c r="A4810" s="15" t="s">
        <v>1711</v>
      </c>
      <c r="B4810" s="13">
        <v>0.2</v>
      </c>
      <c r="C4810" s="16">
        <v>0.19800000000000001</v>
      </c>
      <c r="D4810" s="13" t="s">
        <v>1712</v>
      </c>
      <c r="E4810" s="12" t="s">
        <v>1715</v>
      </c>
      <c r="F4810" s="12" t="s">
        <v>1714</v>
      </c>
      <c r="G4810" s="13" t="s">
        <v>1709</v>
      </c>
    </row>
    <row r="4811" spans="1:7">
      <c r="A4811" s="15" t="s">
        <v>1711</v>
      </c>
      <c r="B4811" s="13">
        <v>0.2</v>
      </c>
      <c r="C4811" s="16">
        <v>0.17799999999999999</v>
      </c>
      <c r="D4811" s="13" t="s">
        <v>1712</v>
      </c>
      <c r="E4811" s="11" t="s">
        <v>1738</v>
      </c>
      <c r="F4811" s="12" t="s">
        <v>1714</v>
      </c>
      <c r="G4811" s="13" t="s">
        <v>1709</v>
      </c>
    </row>
    <row r="4812" spans="1:7">
      <c r="A4812" s="15" t="s">
        <v>1711</v>
      </c>
      <c r="B4812" s="13">
        <v>0.2</v>
      </c>
      <c r="C4812" s="16">
        <v>0.17799999999999999</v>
      </c>
      <c r="D4812" s="13" t="s">
        <v>1712</v>
      </c>
      <c r="E4812" s="11" t="s">
        <v>1738</v>
      </c>
      <c r="F4812" s="12" t="s">
        <v>1714</v>
      </c>
      <c r="G4812" s="13" t="s">
        <v>1709</v>
      </c>
    </row>
    <row r="4813" spans="1:7">
      <c r="A4813" s="15" t="s">
        <v>1711</v>
      </c>
      <c r="B4813" s="13">
        <v>0.2</v>
      </c>
      <c r="C4813" s="16">
        <v>1.8659999999999999</v>
      </c>
      <c r="D4813" s="13" t="s">
        <v>1712</v>
      </c>
      <c r="E4813" s="12" t="s">
        <v>1736</v>
      </c>
      <c r="F4813" s="12" t="s">
        <v>1714</v>
      </c>
      <c r="G4813" s="13" t="s">
        <v>1709</v>
      </c>
    </row>
    <row r="4814" spans="1:7">
      <c r="A4814" s="15" t="s">
        <v>1711</v>
      </c>
      <c r="B4814" s="13">
        <v>0.2</v>
      </c>
      <c r="C4814" s="16">
        <v>-0.183</v>
      </c>
      <c r="D4814" s="13" t="s">
        <v>1709</v>
      </c>
      <c r="E4814" s="12" t="s">
        <v>1710</v>
      </c>
      <c r="F4814" s="12" t="s">
        <v>1710</v>
      </c>
      <c r="G4814" s="13" t="s">
        <v>1709</v>
      </c>
    </row>
    <row r="4815" spans="1:7">
      <c r="A4815" s="15" t="s">
        <v>1711</v>
      </c>
      <c r="B4815" s="13">
        <v>0.2</v>
      </c>
      <c r="C4815" s="16">
        <v>0.316</v>
      </c>
      <c r="D4815" s="13" t="s">
        <v>1712</v>
      </c>
      <c r="E4815" s="12" t="s">
        <v>1736</v>
      </c>
      <c r="F4815" s="12" t="s">
        <v>1714</v>
      </c>
      <c r="G4815" s="13" t="s">
        <v>1709</v>
      </c>
    </row>
    <row r="4816" spans="1:7">
      <c r="A4816" s="15" t="s">
        <v>1711</v>
      </c>
      <c r="B4816" s="13">
        <v>0.2</v>
      </c>
      <c r="C4816" s="16">
        <v>1.607</v>
      </c>
      <c r="D4816" s="13" t="s">
        <v>1712</v>
      </c>
      <c r="E4816" s="12" t="s">
        <v>1736</v>
      </c>
      <c r="F4816" s="12" t="s">
        <v>1714</v>
      </c>
      <c r="G4816" s="13" t="s">
        <v>1709</v>
      </c>
    </row>
    <row r="4817" spans="1:7">
      <c r="A4817" s="15" t="s">
        <v>1711</v>
      </c>
      <c r="B4817" s="13">
        <v>0.2</v>
      </c>
      <c r="C4817" s="16">
        <v>1.607</v>
      </c>
      <c r="D4817" s="13" t="s">
        <v>1712</v>
      </c>
      <c r="E4817" s="12" t="s">
        <v>1736</v>
      </c>
      <c r="F4817" s="12" t="s">
        <v>1714</v>
      </c>
      <c r="G4817" s="13" t="s">
        <v>1709</v>
      </c>
    </row>
    <row r="4818" spans="1:7">
      <c r="A4818" s="15" t="s">
        <v>1711</v>
      </c>
      <c r="B4818" s="13">
        <v>0.2</v>
      </c>
      <c r="C4818" s="16">
        <v>1.819</v>
      </c>
      <c r="D4818" s="13" t="s">
        <v>1712</v>
      </c>
      <c r="E4818" s="12" t="s">
        <v>1736</v>
      </c>
      <c r="F4818" s="12" t="s">
        <v>1714</v>
      </c>
      <c r="G4818" s="13" t="s">
        <v>1709</v>
      </c>
    </row>
    <row r="4819" spans="1:7">
      <c r="A4819" s="15" t="s">
        <v>1711</v>
      </c>
      <c r="B4819" s="13">
        <v>0.2</v>
      </c>
      <c r="C4819" s="16">
        <v>1.819</v>
      </c>
      <c r="D4819" s="13" t="s">
        <v>1712</v>
      </c>
      <c r="E4819" s="12" t="s">
        <v>1736</v>
      </c>
      <c r="F4819" s="12" t="s">
        <v>1714</v>
      </c>
      <c r="G4819" s="13" t="s">
        <v>1709</v>
      </c>
    </row>
    <row r="4820" spans="1:7">
      <c r="A4820" s="15" t="s">
        <v>1711</v>
      </c>
      <c r="B4820" s="13">
        <v>0.2</v>
      </c>
      <c r="C4820" s="16">
        <v>1.819</v>
      </c>
      <c r="D4820" s="13" t="s">
        <v>1712</v>
      </c>
      <c r="E4820" s="12" t="s">
        <v>1736</v>
      </c>
      <c r="F4820" s="12" t="s">
        <v>1714</v>
      </c>
      <c r="G4820" s="13" t="s">
        <v>1709</v>
      </c>
    </row>
    <row r="4821" spans="1:7">
      <c r="A4821" s="15" t="s">
        <v>1711</v>
      </c>
      <c r="B4821" s="13">
        <v>0.2</v>
      </c>
      <c r="C4821" s="16">
        <v>1.819</v>
      </c>
      <c r="D4821" s="13" t="s">
        <v>1712</v>
      </c>
      <c r="E4821" s="12" t="s">
        <v>1736</v>
      </c>
      <c r="F4821" s="12" t="s">
        <v>1714</v>
      </c>
      <c r="G4821" s="13" t="s">
        <v>1709</v>
      </c>
    </row>
    <row r="4822" spans="1:7">
      <c r="A4822" s="15" t="s">
        <v>1711</v>
      </c>
      <c r="B4822" s="13">
        <v>0.2</v>
      </c>
      <c r="C4822" s="16">
        <v>0.23699999999999999</v>
      </c>
      <c r="D4822" s="13" t="s">
        <v>1712</v>
      </c>
      <c r="E4822" s="12" t="s">
        <v>1713</v>
      </c>
      <c r="F4822" s="12" t="s">
        <v>1714</v>
      </c>
      <c r="G4822" s="13" t="s">
        <v>1709</v>
      </c>
    </row>
    <row r="4823" spans="1:7">
      <c r="A4823" s="15" t="s">
        <v>1711</v>
      </c>
      <c r="B4823" s="13">
        <v>0.2</v>
      </c>
      <c r="C4823" s="16">
        <v>0.20699999999999999</v>
      </c>
      <c r="D4823" s="13" t="s">
        <v>1712</v>
      </c>
      <c r="E4823" s="12" t="s">
        <v>1713</v>
      </c>
      <c r="F4823" s="12" t="s">
        <v>1714</v>
      </c>
      <c r="G4823" s="13" t="s">
        <v>1709</v>
      </c>
    </row>
    <row r="4824" spans="1:7">
      <c r="A4824" s="15" t="s">
        <v>1711</v>
      </c>
      <c r="B4824" s="13">
        <v>0.2</v>
      </c>
      <c r="C4824" s="16">
        <v>-8.6999999999999994E-2</v>
      </c>
      <c r="D4824" s="13" t="s">
        <v>1709</v>
      </c>
      <c r="E4824" s="12" t="s">
        <v>1710</v>
      </c>
      <c r="F4824" s="12" t="s">
        <v>1710</v>
      </c>
      <c r="G4824" s="13" t="s">
        <v>1709</v>
      </c>
    </row>
    <row r="4825" spans="1:7">
      <c r="A4825" s="15" t="s">
        <v>1711</v>
      </c>
      <c r="B4825" s="13">
        <v>0.2</v>
      </c>
      <c r="C4825" s="16">
        <v>-5.1999999999999998E-2</v>
      </c>
      <c r="D4825" s="13" t="s">
        <v>1709</v>
      </c>
      <c r="E4825" s="12" t="s">
        <v>1710</v>
      </c>
      <c r="F4825" s="12" t="s">
        <v>1710</v>
      </c>
      <c r="G4825" s="13" t="s">
        <v>1709</v>
      </c>
    </row>
    <row r="4826" spans="1:7">
      <c r="A4826" s="15" t="s">
        <v>1711</v>
      </c>
      <c r="B4826" s="13">
        <v>0.2</v>
      </c>
      <c r="C4826" s="16">
        <v>0.151</v>
      </c>
      <c r="D4826" s="13" t="s">
        <v>1712</v>
      </c>
      <c r="E4826" s="12" t="s">
        <v>1713</v>
      </c>
      <c r="F4826" s="12" t="s">
        <v>1714</v>
      </c>
      <c r="G4826" s="13" t="s">
        <v>1709</v>
      </c>
    </row>
    <row r="4827" spans="1:7">
      <c r="A4827" s="15" t="s">
        <v>1711</v>
      </c>
      <c r="B4827" s="13">
        <v>0.2</v>
      </c>
      <c r="C4827" s="16">
        <v>-0.107</v>
      </c>
      <c r="D4827" s="13" t="s">
        <v>1709</v>
      </c>
      <c r="E4827" s="12" t="s">
        <v>1710</v>
      </c>
      <c r="F4827" s="12" t="s">
        <v>1710</v>
      </c>
      <c r="G4827" s="13" t="s">
        <v>1709</v>
      </c>
    </row>
    <row r="4828" spans="1:7">
      <c r="A4828" s="15" t="s">
        <v>1711</v>
      </c>
      <c r="B4828" s="13">
        <v>0.2</v>
      </c>
      <c r="C4828" s="16">
        <v>-0.107</v>
      </c>
      <c r="D4828" s="13" t="s">
        <v>1709</v>
      </c>
      <c r="E4828" s="12" t="s">
        <v>1710</v>
      </c>
      <c r="F4828" s="12" t="s">
        <v>1710</v>
      </c>
      <c r="G4828" s="13" t="s">
        <v>1709</v>
      </c>
    </row>
    <row r="4829" spans="1:7">
      <c r="A4829" s="15" t="s">
        <v>1711</v>
      </c>
      <c r="B4829" s="13">
        <v>0.2</v>
      </c>
      <c r="C4829" s="16">
        <v>0.316</v>
      </c>
      <c r="D4829" s="13" t="s">
        <v>1712</v>
      </c>
      <c r="E4829" s="12" t="s">
        <v>1713</v>
      </c>
      <c r="F4829" s="12" t="s">
        <v>1714</v>
      </c>
      <c r="G4829" s="13" t="s">
        <v>1709</v>
      </c>
    </row>
    <row r="4830" spans="1:7">
      <c r="A4830" s="15" t="s">
        <v>1711</v>
      </c>
      <c r="B4830" s="13">
        <v>0.2</v>
      </c>
      <c r="C4830" s="16">
        <v>0.316</v>
      </c>
      <c r="D4830" s="13" t="s">
        <v>1712</v>
      </c>
      <c r="E4830" s="12" t="s">
        <v>1713</v>
      </c>
      <c r="F4830" s="12" t="s">
        <v>1714</v>
      </c>
      <c r="G4830" s="13" t="s">
        <v>1709</v>
      </c>
    </row>
    <row r="4831" spans="1:7">
      <c r="A4831" s="15" t="s">
        <v>1711</v>
      </c>
      <c r="B4831" s="13">
        <v>0.2</v>
      </c>
      <c r="C4831" s="16">
        <v>0.316</v>
      </c>
      <c r="D4831" s="13" t="s">
        <v>1712</v>
      </c>
      <c r="E4831" s="12" t="s">
        <v>1713</v>
      </c>
      <c r="F4831" s="12" t="s">
        <v>1714</v>
      </c>
      <c r="G4831" s="13" t="s">
        <v>1709</v>
      </c>
    </row>
    <row r="4832" spans="1:7">
      <c r="A4832" s="15" t="s">
        <v>1711</v>
      </c>
      <c r="B4832" s="13">
        <v>0.2</v>
      </c>
      <c r="C4832" s="16">
        <v>0.316</v>
      </c>
      <c r="D4832" s="13" t="s">
        <v>1712</v>
      </c>
      <c r="E4832" s="12" t="s">
        <v>1713</v>
      </c>
      <c r="F4832" s="12" t="s">
        <v>1714</v>
      </c>
      <c r="G4832" s="13" t="s">
        <v>1709</v>
      </c>
    </row>
    <row r="4833" spans="1:7">
      <c r="A4833" s="15" t="s">
        <v>1711</v>
      </c>
      <c r="B4833" s="13">
        <v>0.2</v>
      </c>
      <c r="C4833" s="16">
        <v>1.607</v>
      </c>
      <c r="D4833" s="13" t="s">
        <v>1712</v>
      </c>
      <c r="E4833" s="12" t="s">
        <v>1713</v>
      </c>
      <c r="F4833" s="12" t="s">
        <v>1714</v>
      </c>
      <c r="G4833" s="13" t="s">
        <v>1709</v>
      </c>
    </row>
    <row r="4834" spans="1:7">
      <c r="A4834" s="15" t="s">
        <v>1711</v>
      </c>
      <c r="B4834" s="13">
        <v>0.2</v>
      </c>
      <c r="C4834" s="16">
        <v>1.607</v>
      </c>
      <c r="D4834" s="13" t="s">
        <v>1712</v>
      </c>
      <c r="E4834" s="12" t="s">
        <v>1713</v>
      </c>
      <c r="F4834" s="12" t="s">
        <v>1714</v>
      </c>
      <c r="G4834" s="13" t="s">
        <v>1709</v>
      </c>
    </row>
    <row r="4835" spans="1:7">
      <c r="A4835" s="15" t="s">
        <v>1711</v>
      </c>
      <c r="B4835" s="13">
        <v>0.2</v>
      </c>
      <c r="C4835" s="16">
        <v>1.607</v>
      </c>
      <c r="D4835" s="13" t="s">
        <v>1712</v>
      </c>
      <c r="E4835" s="12" t="s">
        <v>1713</v>
      </c>
      <c r="F4835" s="12" t="s">
        <v>1714</v>
      </c>
      <c r="G4835" s="13" t="s">
        <v>1709</v>
      </c>
    </row>
    <row r="4836" spans="1:7">
      <c r="A4836" s="15" t="s">
        <v>1711</v>
      </c>
      <c r="B4836" s="13">
        <v>0.2</v>
      </c>
      <c r="C4836" s="16">
        <v>1.607</v>
      </c>
      <c r="D4836" s="13" t="s">
        <v>1712</v>
      </c>
      <c r="E4836" s="12" t="s">
        <v>1713</v>
      </c>
      <c r="F4836" s="12" t="s">
        <v>1714</v>
      </c>
      <c r="G4836" s="13" t="s">
        <v>1709</v>
      </c>
    </row>
    <row r="4837" spans="1:7">
      <c r="A4837" s="15" t="s">
        <v>1711</v>
      </c>
      <c r="B4837" s="13">
        <v>0.2</v>
      </c>
      <c r="C4837" s="16">
        <v>1.607</v>
      </c>
      <c r="D4837" s="13" t="s">
        <v>1712</v>
      </c>
      <c r="E4837" s="12" t="s">
        <v>1713</v>
      </c>
      <c r="F4837" s="12" t="s">
        <v>1714</v>
      </c>
      <c r="G4837" s="13" t="s">
        <v>1709</v>
      </c>
    </row>
    <row r="4838" spans="1:7">
      <c r="A4838" s="15" t="s">
        <v>1711</v>
      </c>
      <c r="B4838" s="13">
        <v>0.2</v>
      </c>
      <c r="C4838" s="16">
        <v>1.607</v>
      </c>
      <c r="D4838" s="13" t="s">
        <v>1712</v>
      </c>
      <c r="E4838" s="12" t="s">
        <v>1713</v>
      </c>
      <c r="F4838" s="12" t="s">
        <v>1714</v>
      </c>
      <c r="G4838" s="13" t="s">
        <v>1709</v>
      </c>
    </row>
    <row r="4839" spans="1:7">
      <c r="A4839" s="15" t="s">
        <v>1711</v>
      </c>
      <c r="B4839" s="13">
        <v>0.2</v>
      </c>
      <c r="C4839" s="16">
        <v>1.607</v>
      </c>
      <c r="D4839" s="13" t="s">
        <v>1712</v>
      </c>
      <c r="E4839" s="12" t="s">
        <v>1713</v>
      </c>
      <c r="F4839" s="12" t="s">
        <v>1714</v>
      </c>
      <c r="G4839" s="13" t="s">
        <v>1709</v>
      </c>
    </row>
    <row r="4840" spans="1:7">
      <c r="A4840" s="15" t="s">
        <v>1711</v>
      </c>
      <c r="B4840" s="13">
        <v>0.2</v>
      </c>
      <c r="C4840" s="16">
        <v>1.607</v>
      </c>
      <c r="D4840" s="13" t="s">
        <v>1712</v>
      </c>
      <c r="E4840" s="12" t="s">
        <v>1713</v>
      </c>
      <c r="F4840" s="12" t="s">
        <v>1714</v>
      </c>
      <c r="G4840" s="13" t="s">
        <v>1709</v>
      </c>
    </row>
    <row r="4841" spans="1:7">
      <c r="A4841" s="15" t="s">
        <v>1711</v>
      </c>
      <c r="B4841" s="13">
        <v>0.2</v>
      </c>
      <c r="C4841" s="16">
        <v>1.607</v>
      </c>
      <c r="D4841" s="13" t="s">
        <v>1712</v>
      </c>
      <c r="E4841" s="12" t="s">
        <v>1713</v>
      </c>
      <c r="F4841" s="12" t="s">
        <v>1714</v>
      </c>
      <c r="G4841" s="13" t="s">
        <v>1709</v>
      </c>
    </row>
    <row r="4842" spans="1:7">
      <c r="A4842" s="15" t="s">
        <v>1711</v>
      </c>
      <c r="B4842" s="13">
        <v>0.2</v>
      </c>
      <c r="C4842" s="16">
        <v>1.607</v>
      </c>
      <c r="D4842" s="13" t="s">
        <v>1712</v>
      </c>
      <c r="E4842" s="12" t="s">
        <v>1713</v>
      </c>
      <c r="F4842" s="12" t="s">
        <v>1714</v>
      </c>
      <c r="G4842" s="13" t="s">
        <v>1709</v>
      </c>
    </row>
    <row r="4843" spans="1:7">
      <c r="A4843" s="15" t="s">
        <v>1711</v>
      </c>
      <c r="B4843" s="13">
        <v>0.2</v>
      </c>
      <c r="C4843" s="16">
        <v>0.59899999999999998</v>
      </c>
      <c r="D4843" s="13" t="s">
        <v>1712</v>
      </c>
      <c r="E4843" s="12" t="s">
        <v>1713</v>
      </c>
      <c r="F4843" s="12" t="s">
        <v>1714</v>
      </c>
      <c r="G4843" s="13" t="s">
        <v>1709</v>
      </c>
    </row>
    <row r="4844" spans="1:7">
      <c r="A4844" s="15" t="s">
        <v>1711</v>
      </c>
      <c r="B4844" s="13">
        <v>0.2</v>
      </c>
      <c r="C4844" s="16">
        <v>0.59899999999999998</v>
      </c>
      <c r="D4844" s="13" t="s">
        <v>1712</v>
      </c>
      <c r="E4844" s="12" t="s">
        <v>1713</v>
      </c>
      <c r="F4844" s="12" t="s">
        <v>1714</v>
      </c>
      <c r="G4844" s="13" t="s">
        <v>1709</v>
      </c>
    </row>
    <row r="4845" spans="1:7">
      <c r="A4845" s="15" t="s">
        <v>1711</v>
      </c>
      <c r="B4845" s="13">
        <v>0.2</v>
      </c>
      <c r="C4845" s="16">
        <v>0.59899999999999998</v>
      </c>
      <c r="D4845" s="13" t="s">
        <v>1712</v>
      </c>
      <c r="E4845" s="12" t="s">
        <v>1713</v>
      </c>
      <c r="F4845" s="12" t="s">
        <v>1714</v>
      </c>
      <c r="G4845" s="13" t="s">
        <v>1709</v>
      </c>
    </row>
    <row r="4846" spans="1:7">
      <c r="A4846" s="15" t="s">
        <v>1711</v>
      </c>
      <c r="B4846" s="13">
        <v>0.2</v>
      </c>
      <c r="C4846" s="16">
        <v>0.59899999999999998</v>
      </c>
      <c r="D4846" s="13" t="s">
        <v>1712</v>
      </c>
      <c r="E4846" s="12" t="s">
        <v>1713</v>
      </c>
      <c r="F4846" s="12" t="s">
        <v>1714</v>
      </c>
      <c r="G4846" s="13" t="s">
        <v>1709</v>
      </c>
    </row>
    <row r="4847" spans="1:7">
      <c r="A4847" s="15" t="s">
        <v>1711</v>
      </c>
      <c r="B4847" s="13">
        <v>0.2</v>
      </c>
      <c r="C4847" s="16">
        <v>0.59899999999999998</v>
      </c>
      <c r="D4847" s="13" t="s">
        <v>1712</v>
      </c>
      <c r="E4847" s="12" t="s">
        <v>1713</v>
      </c>
      <c r="F4847" s="12" t="s">
        <v>1714</v>
      </c>
      <c r="G4847" s="13" t="s">
        <v>1709</v>
      </c>
    </row>
    <row r="4848" spans="1:7">
      <c r="A4848" s="15" t="s">
        <v>1711</v>
      </c>
      <c r="B4848" s="13">
        <v>0.2</v>
      </c>
      <c r="C4848" s="16">
        <v>0.59899999999999998</v>
      </c>
      <c r="D4848" s="13" t="s">
        <v>1712</v>
      </c>
      <c r="E4848" s="12" t="s">
        <v>1713</v>
      </c>
      <c r="F4848" s="12" t="s">
        <v>1714</v>
      </c>
      <c r="G4848" s="13" t="s">
        <v>1709</v>
      </c>
    </row>
    <row r="4849" spans="1:7">
      <c r="A4849" s="15" t="s">
        <v>1711</v>
      </c>
      <c r="B4849" s="13">
        <v>0.2</v>
      </c>
      <c r="C4849" s="16">
        <v>0.59899999999999998</v>
      </c>
      <c r="D4849" s="13" t="s">
        <v>1712</v>
      </c>
      <c r="E4849" s="12" t="s">
        <v>1713</v>
      </c>
      <c r="F4849" s="12" t="s">
        <v>1714</v>
      </c>
      <c r="G4849" s="13" t="s">
        <v>1709</v>
      </c>
    </row>
    <row r="4850" spans="1:7">
      <c r="A4850" s="15" t="s">
        <v>1711</v>
      </c>
      <c r="B4850" s="13">
        <v>0.2</v>
      </c>
      <c r="C4850" s="16">
        <v>0.59899999999999998</v>
      </c>
      <c r="D4850" s="13" t="s">
        <v>1712</v>
      </c>
      <c r="E4850" s="12" t="s">
        <v>1713</v>
      </c>
      <c r="F4850" s="12" t="s">
        <v>1714</v>
      </c>
      <c r="G4850" s="13" t="s">
        <v>1709</v>
      </c>
    </row>
    <row r="4851" spans="1:7">
      <c r="A4851" s="15" t="s">
        <v>1711</v>
      </c>
      <c r="B4851" s="13">
        <v>0.2</v>
      </c>
      <c r="C4851" s="16">
        <v>0.59899999999999998</v>
      </c>
      <c r="D4851" s="13" t="s">
        <v>1712</v>
      </c>
      <c r="E4851" s="12" t="s">
        <v>1713</v>
      </c>
      <c r="F4851" s="12" t="s">
        <v>1714</v>
      </c>
      <c r="G4851" s="13" t="s">
        <v>1709</v>
      </c>
    </row>
    <row r="4852" spans="1:7">
      <c r="A4852" s="15" t="s">
        <v>1711</v>
      </c>
      <c r="B4852" s="13">
        <v>0.2</v>
      </c>
      <c r="C4852" s="16">
        <v>0.59899999999999998</v>
      </c>
      <c r="D4852" s="13" t="s">
        <v>1712</v>
      </c>
      <c r="E4852" s="12" t="s">
        <v>1713</v>
      </c>
      <c r="F4852" s="12" t="s">
        <v>1714</v>
      </c>
      <c r="G4852" s="13" t="s">
        <v>1709</v>
      </c>
    </row>
    <row r="4853" spans="1:7">
      <c r="A4853" s="15" t="s">
        <v>1711</v>
      </c>
      <c r="B4853" s="13">
        <v>0.2</v>
      </c>
      <c r="C4853" s="16">
        <v>2.7479999999999998</v>
      </c>
      <c r="D4853" s="13" t="s">
        <v>1712</v>
      </c>
      <c r="E4853" s="12" t="s">
        <v>1713</v>
      </c>
      <c r="F4853" s="12" t="s">
        <v>1714</v>
      </c>
      <c r="G4853" s="13" t="s">
        <v>1709</v>
      </c>
    </row>
    <row r="4854" spans="1:7">
      <c r="A4854" s="15" t="s">
        <v>1711</v>
      </c>
      <c r="B4854" s="13">
        <v>0.2</v>
      </c>
      <c r="C4854" s="16">
        <v>2.7479999999999998</v>
      </c>
      <c r="D4854" s="13" t="s">
        <v>1712</v>
      </c>
      <c r="E4854" s="12" t="s">
        <v>1713</v>
      </c>
      <c r="F4854" s="12" t="s">
        <v>1714</v>
      </c>
      <c r="G4854" s="13" t="s">
        <v>1709</v>
      </c>
    </row>
    <row r="4855" spans="1:7">
      <c r="A4855" s="15" t="s">
        <v>1711</v>
      </c>
      <c r="B4855" s="13">
        <v>0.2</v>
      </c>
      <c r="C4855" s="16">
        <v>2.7479999999999998</v>
      </c>
      <c r="D4855" s="13" t="s">
        <v>1712</v>
      </c>
      <c r="E4855" s="12" t="s">
        <v>1713</v>
      </c>
      <c r="F4855" s="12" t="s">
        <v>1714</v>
      </c>
      <c r="G4855" s="13" t="s">
        <v>1709</v>
      </c>
    </row>
    <row r="4856" spans="1:7">
      <c r="A4856" s="15" t="s">
        <v>1711</v>
      </c>
      <c r="B4856" s="13">
        <v>0.2</v>
      </c>
      <c r="C4856" s="16">
        <v>2.7479999999999998</v>
      </c>
      <c r="D4856" s="13" t="s">
        <v>1712</v>
      </c>
      <c r="E4856" s="12" t="s">
        <v>1713</v>
      </c>
      <c r="F4856" s="12" t="s">
        <v>1714</v>
      </c>
      <c r="G4856" s="13" t="s">
        <v>1709</v>
      </c>
    </row>
    <row r="4857" spans="1:7">
      <c r="A4857" s="15" t="s">
        <v>1711</v>
      </c>
      <c r="B4857" s="13">
        <v>0.2</v>
      </c>
      <c r="C4857" s="16">
        <v>-7.8E-2</v>
      </c>
      <c r="D4857" s="13" t="s">
        <v>1709</v>
      </c>
      <c r="E4857" s="12" t="s">
        <v>1710</v>
      </c>
      <c r="F4857" s="12" t="s">
        <v>1710</v>
      </c>
      <c r="G4857" s="13" t="s">
        <v>1709</v>
      </c>
    </row>
    <row r="4858" spans="1:7">
      <c r="A4858" s="15" t="s">
        <v>1711</v>
      </c>
      <c r="B4858" s="13">
        <v>0.2</v>
      </c>
      <c r="C4858" s="16">
        <v>-7.8E-2</v>
      </c>
      <c r="D4858" s="13" t="s">
        <v>1709</v>
      </c>
      <c r="E4858" s="12" t="s">
        <v>1710</v>
      </c>
      <c r="F4858" s="12" t="s">
        <v>1710</v>
      </c>
      <c r="G4858" s="13" t="s">
        <v>1709</v>
      </c>
    </row>
    <row r="4859" spans="1:7">
      <c r="A4859" s="15" t="s">
        <v>1711</v>
      </c>
      <c r="B4859" s="13">
        <v>0.2</v>
      </c>
      <c r="C4859" s="16">
        <v>-7.8E-2</v>
      </c>
      <c r="D4859" s="13" t="s">
        <v>1709</v>
      </c>
      <c r="E4859" s="12" t="s">
        <v>1710</v>
      </c>
      <c r="F4859" s="12" t="s">
        <v>1710</v>
      </c>
      <c r="G4859" s="13" t="s">
        <v>1709</v>
      </c>
    </row>
    <row r="4860" spans="1:7">
      <c r="A4860" s="15" t="s">
        <v>1711</v>
      </c>
      <c r="B4860" s="13">
        <v>0.2</v>
      </c>
      <c r="C4860" s="16">
        <v>-7.8E-2</v>
      </c>
      <c r="D4860" s="13" t="s">
        <v>1709</v>
      </c>
      <c r="E4860" s="12" t="s">
        <v>1710</v>
      </c>
      <c r="F4860" s="12" t="s">
        <v>1710</v>
      </c>
      <c r="G4860" s="13" t="s">
        <v>1709</v>
      </c>
    </row>
    <row r="4861" spans="1:7">
      <c r="A4861" s="15" t="s">
        <v>1711</v>
      </c>
      <c r="B4861" s="13">
        <v>0.2</v>
      </c>
      <c r="C4861" s="16">
        <v>-7.8E-2</v>
      </c>
      <c r="D4861" s="13" t="s">
        <v>1709</v>
      </c>
      <c r="E4861" s="12" t="s">
        <v>1710</v>
      </c>
      <c r="F4861" s="12" t="s">
        <v>1710</v>
      </c>
      <c r="G4861" s="13" t="s">
        <v>1709</v>
      </c>
    </row>
    <row r="4862" spans="1:7">
      <c r="A4862" s="15" t="s">
        <v>1711</v>
      </c>
      <c r="B4862" s="13">
        <v>0.2</v>
      </c>
      <c r="C4862" s="16">
        <v>-7.8E-2</v>
      </c>
      <c r="D4862" s="13" t="s">
        <v>1709</v>
      </c>
      <c r="E4862" s="12" t="s">
        <v>1710</v>
      </c>
      <c r="F4862" s="12" t="s">
        <v>1710</v>
      </c>
      <c r="G4862" s="13" t="s">
        <v>1709</v>
      </c>
    </row>
    <row r="4863" spans="1:7">
      <c r="A4863" s="15" t="s">
        <v>1711</v>
      </c>
      <c r="B4863" s="13">
        <v>0.2</v>
      </c>
      <c r="C4863" s="16">
        <v>-7.8E-2</v>
      </c>
      <c r="D4863" s="13" t="s">
        <v>1709</v>
      </c>
      <c r="E4863" s="12" t="s">
        <v>1710</v>
      </c>
      <c r="F4863" s="12" t="s">
        <v>1710</v>
      </c>
      <c r="G4863" s="13" t="s">
        <v>1709</v>
      </c>
    </row>
    <row r="4864" spans="1:7">
      <c r="A4864" s="15" t="s">
        <v>1711</v>
      </c>
      <c r="B4864" s="13">
        <v>0.2</v>
      </c>
      <c r="C4864" s="16">
        <v>2.8000000000000001E-2</v>
      </c>
      <c r="D4864" s="13" t="s">
        <v>1712</v>
      </c>
      <c r="E4864" s="12" t="s">
        <v>1713</v>
      </c>
      <c r="F4864" s="12" t="s">
        <v>1714</v>
      </c>
      <c r="G4864" s="13" t="s">
        <v>1709</v>
      </c>
    </row>
    <row r="4865" spans="1:7">
      <c r="A4865" s="15" t="s">
        <v>1711</v>
      </c>
      <c r="B4865" s="13">
        <v>0.2</v>
      </c>
      <c r="C4865" s="16">
        <v>2.8000000000000001E-2</v>
      </c>
      <c r="D4865" s="13" t="s">
        <v>1712</v>
      </c>
      <c r="E4865" s="12" t="s">
        <v>1713</v>
      </c>
      <c r="F4865" s="12" t="s">
        <v>1714</v>
      </c>
      <c r="G4865" s="13" t="s">
        <v>1709</v>
      </c>
    </row>
    <row r="4866" spans="1:7">
      <c r="A4866" s="15" t="s">
        <v>1711</v>
      </c>
      <c r="B4866" s="13">
        <v>0.2</v>
      </c>
      <c r="C4866" s="16">
        <v>2.8000000000000001E-2</v>
      </c>
      <c r="D4866" s="13" t="s">
        <v>1712</v>
      </c>
      <c r="E4866" s="12" t="s">
        <v>1713</v>
      </c>
      <c r="F4866" s="12" t="s">
        <v>1714</v>
      </c>
      <c r="G4866" s="13" t="s">
        <v>1709</v>
      </c>
    </row>
    <row r="4867" spans="1:7">
      <c r="A4867" s="15" t="s">
        <v>1711</v>
      </c>
      <c r="B4867" s="13">
        <v>0.2</v>
      </c>
      <c r="C4867" s="16">
        <v>4.3000000000000003E-2</v>
      </c>
      <c r="D4867" s="13" t="s">
        <v>1712</v>
      </c>
      <c r="E4867" s="12" t="s">
        <v>1713</v>
      </c>
      <c r="F4867" s="12" t="s">
        <v>1714</v>
      </c>
      <c r="G4867" s="13" t="s">
        <v>1709</v>
      </c>
    </row>
    <row r="4868" spans="1:7">
      <c r="A4868" s="15" t="s">
        <v>1711</v>
      </c>
      <c r="B4868" s="13">
        <v>0.2</v>
      </c>
      <c r="C4868" s="16">
        <v>4.3000000000000003E-2</v>
      </c>
      <c r="D4868" s="13" t="s">
        <v>1712</v>
      </c>
      <c r="E4868" s="12" t="s">
        <v>1713</v>
      </c>
      <c r="F4868" s="12" t="s">
        <v>1714</v>
      </c>
      <c r="G4868" s="13" t="s">
        <v>1709</v>
      </c>
    </row>
    <row r="4869" spans="1:7">
      <c r="A4869" s="15" t="s">
        <v>1711</v>
      </c>
      <c r="B4869" s="13">
        <v>0.2</v>
      </c>
      <c r="C4869" s="16">
        <v>4.3000000000000003E-2</v>
      </c>
      <c r="D4869" s="13" t="s">
        <v>1712</v>
      </c>
      <c r="E4869" s="12" t="s">
        <v>1713</v>
      </c>
      <c r="F4869" s="12" t="s">
        <v>1714</v>
      </c>
      <c r="G4869" s="13" t="s">
        <v>1709</v>
      </c>
    </row>
    <row r="4870" spans="1:7">
      <c r="A4870" s="15" t="s">
        <v>1711</v>
      </c>
      <c r="B4870" s="13">
        <v>0.2</v>
      </c>
      <c r="C4870" s="16">
        <v>7.1000000000000008E-2</v>
      </c>
      <c r="D4870" s="13" t="s">
        <v>1712</v>
      </c>
      <c r="E4870" s="12" t="s">
        <v>1713</v>
      </c>
      <c r="F4870" s="12" t="s">
        <v>1714</v>
      </c>
      <c r="G4870" s="13" t="s">
        <v>1709</v>
      </c>
    </row>
    <row r="4871" spans="1:7">
      <c r="A4871" s="15" t="s">
        <v>1711</v>
      </c>
      <c r="B4871" s="13">
        <v>0.2</v>
      </c>
      <c r="C4871" s="16">
        <v>1.333</v>
      </c>
      <c r="D4871" s="13" t="s">
        <v>1712</v>
      </c>
      <c r="E4871" s="12" t="s">
        <v>1715</v>
      </c>
      <c r="F4871" s="12" t="s">
        <v>1714</v>
      </c>
      <c r="G4871" s="13" t="s">
        <v>1709</v>
      </c>
    </row>
    <row r="4872" spans="1:7">
      <c r="A4872" s="15" t="s">
        <v>1711</v>
      </c>
      <c r="B4872" s="13">
        <v>0.2</v>
      </c>
      <c r="C4872" s="16">
        <v>1.333</v>
      </c>
      <c r="D4872" s="13" t="s">
        <v>1712</v>
      </c>
      <c r="E4872" s="12" t="s">
        <v>1715</v>
      </c>
      <c r="F4872" s="12" t="s">
        <v>1714</v>
      </c>
      <c r="G4872" s="13" t="s">
        <v>1709</v>
      </c>
    </row>
    <row r="4873" spans="1:7">
      <c r="A4873" s="15" t="s">
        <v>1711</v>
      </c>
      <c r="B4873" s="13">
        <v>0.2</v>
      </c>
      <c r="C4873" s="16">
        <v>0.34699999999999998</v>
      </c>
      <c r="D4873" s="13" t="s">
        <v>1712</v>
      </c>
      <c r="E4873" s="12" t="s">
        <v>1736</v>
      </c>
      <c r="F4873" s="12" t="s">
        <v>1714</v>
      </c>
      <c r="G4873" s="13" t="s">
        <v>1709</v>
      </c>
    </row>
    <row r="4874" spans="1:7">
      <c r="A4874" s="15" t="s">
        <v>1711</v>
      </c>
      <c r="B4874" s="13">
        <v>0.2</v>
      </c>
      <c r="C4874" s="16">
        <v>1.333</v>
      </c>
      <c r="D4874" s="13" t="s">
        <v>1712</v>
      </c>
      <c r="E4874" s="12" t="s">
        <v>1713</v>
      </c>
      <c r="F4874" s="12" t="s">
        <v>1714</v>
      </c>
      <c r="G4874" s="13" t="s">
        <v>1709</v>
      </c>
    </row>
    <row r="4875" spans="1:7">
      <c r="A4875" s="15" t="s">
        <v>1711</v>
      </c>
      <c r="B4875" s="13">
        <v>0.2</v>
      </c>
      <c r="C4875" s="16">
        <v>1.333</v>
      </c>
      <c r="D4875" s="13" t="s">
        <v>1712</v>
      </c>
      <c r="E4875" s="12" t="s">
        <v>1713</v>
      </c>
      <c r="F4875" s="12" t="s">
        <v>1714</v>
      </c>
      <c r="G4875" s="13" t="s">
        <v>1709</v>
      </c>
    </row>
    <row r="4876" spans="1:7">
      <c r="A4876" s="15" t="s">
        <v>1711</v>
      </c>
      <c r="B4876" s="13">
        <v>0.2</v>
      </c>
      <c r="C4876" s="16">
        <v>1.333</v>
      </c>
      <c r="D4876" s="13" t="s">
        <v>1712</v>
      </c>
      <c r="E4876" s="12" t="s">
        <v>1713</v>
      </c>
      <c r="F4876" s="12" t="s">
        <v>1714</v>
      </c>
      <c r="G4876" s="13" t="s">
        <v>1709</v>
      </c>
    </row>
    <row r="4877" spans="1:7">
      <c r="A4877" s="15" t="s">
        <v>1711</v>
      </c>
      <c r="B4877" s="13">
        <v>0.2</v>
      </c>
      <c r="C4877" s="16">
        <v>-7.1999999999999995E-2</v>
      </c>
      <c r="D4877" s="13" t="s">
        <v>1709</v>
      </c>
      <c r="E4877" s="12" t="s">
        <v>1710</v>
      </c>
      <c r="F4877" s="12" t="s">
        <v>1710</v>
      </c>
      <c r="G4877" s="13" t="s">
        <v>1709</v>
      </c>
    </row>
    <row r="4878" spans="1:7">
      <c r="A4878" s="15" t="s">
        <v>1711</v>
      </c>
      <c r="B4878" s="13">
        <v>0.2</v>
      </c>
      <c r="C4878" s="16">
        <v>1.3219999999999998</v>
      </c>
      <c r="D4878" s="13" t="s">
        <v>1712</v>
      </c>
      <c r="E4878" s="12" t="s">
        <v>1713</v>
      </c>
      <c r="F4878" s="12" t="s">
        <v>1714</v>
      </c>
      <c r="G4878" s="13" t="s">
        <v>1709</v>
      </c>
    </row>
    <row r="4879" spans="1:7">
      <c r="A4879" s="15" t="s">
        <v>1711</v>
      </c>
      <c r="B4879" s="13">
        <v>0.2</v>
      </c>
      <c r="C4879" s="16">
        <v>-7.1999999999999995E-2</v>
      </c>
      <c r="D4879" s="13" t="s">
        <v>1709</v>
      </c>
      <c r="E4879" s="12" t="s">
        <v>1710</v>
      </c>
      <c r="F4879" s="12" t="s">
        <v>1710</v>
      </c>
      <c r="G4879" s="13" t="s">
        <v>1709</v>
      </c>
    </row>
    <row r="4880" spans="1:7">
      <c r="A4880" s="15" t="s">
        <v>1711</v>
      </c>
      <c r="B4880" s="13">
        <v>0.2</v>
      </c>
      <c r="C4880" s="16">
        <v>0.155</v>
      </c>
      <c r="D4880" s="13" t="s">
        <v>1712</v>
      </c>
      <c r="E4880" s="12" t="s">
        <v>1713</v>
      </c>
      <c r="F4880" s="12" t="s">
        <v>1714</v>
      </c>
      <c r="G4880" s="13" t="s">
        <v>1709</v>
      </c>
    </row>
    <row r="4881" spans="1:7">
      <c r="A4881" s="15" t="s">
        <v>1711</v>
      </c>
      <c r="B4881" s="13">
        <v>0.2</v>
      </c>
      <c r="C4881" s="16">
        <v>0.155</v>
      </c>
      <c r="D4881" s="13" t="s">
        <v>1712</v>
      </c>
      <c r="E4881" s="12" t="s">
        <v>1713</v>
      </c>
      <c r="F4881" s="12" t="s">
        <v>1714</v>
      </c>
      <c r="G4881" s="13" t="s">
        <v>1709</v>
      </c>
    </row>
    <row r="4882" spans="1:7">
      <c r="A4882" s="15" t="s">
        <v>1711</v>
      </c>
      <c r="B4882" s="13">
        <v>0.2</v>
      </c>
      <c r="C4882" s="16">
        <v>0.155</v>
      </c>
      <c r="D4882" s="13" t="s">
        <v>1712</v>
      </c>
      <c r="E4882" s="12" t="s">
        <v>1713</v>
      </c>
      <c r="F4882" s="12" t="s">
        <v>1714</v>
      </c>
      <c r="G4882" s="13" t="s">
        <v>1709</v>
      </c>
    </row>
    <row r="4883" spans="1:7">
      <c r="A4883" s="15" t="s">
        <v>1711</v>
      </c>
      <c r="B4883" s="13">
        <v>0.2</v>
      </c>
      <c r="C4883" s="16">
        <v>0.155</v>
      </c>
      <c r="D4883" s="13" t="s">
        <v>1712</v>
      </c>
      <c r="E4883" s="12" t="s">
        <v>1713</v>
      </c>
      <c r="F4883" s="12" t="s">
        <v>1714</v>
      </c>
      <c r="G4883" s="13" t="s">
        <v>1709</v>
      </c>
    </row>
    <row r="4884" spans="1:7">
      <c r="A4884" s="15" t="s">
        <v>1711</v>
      </c>
      <c r="B4884" s="13">
        <v>0.2</v>
      </c>
      <c r="C4884" s="16">
        <v>0.155</v>
      </c>
      <c r="D4884" s="13" t="s">
        <v>1712</v>
      </c>
      <c r="E4884" s="12" t="s">
        <v>1713</v>
      </c>
      <c r="F4884" s="12" t="s">
        <v>1714</v>
      </c>
      <c r="G4884" s="13" t="s">
        <v>1709</v>
      </c>
    </row>
    <row r="4885" spans="1:7">
      <c r="A4885" s="15" t="s">
        <v>1711</v>
      </c>
      <c r="B4885" s="13">
        <v>0.2</v>
      </c>
      <c r="C4885" s="16">
        <v>0.155</v>
      </c>
      <c r="D4885" s="13" t="s">
        <v>1712</v>
      </c>
      <c r="E4885" s="12" t="s">
        <v>1713</v>
      </c>
      <c r="F4885" s="12" t="s">
        <v>1714</v>
      </c>
      <c r="G4885" s="13" t="s">
        <v>1709</v>
      </c>
    </row>
    <row r="4886" spans="1:7">
      <c r="A4886" s="15" t="s">
        <v>1711</v>
      </c>
      <c r="B4886" s="13">
        <v>0.2</v>
      </c>
      <c r="C4886" s="16">
        <v>0.155</v>
      </c>
      <c r="D4886" s="13" t="s">
        <v>1712</v>
      </c>
      <c r="E4886" s="12" t="s">
        <v>1713</v>
      </c>
      <c r="F4886" s="12" t="s">
        <v>1714</v>
      </c>
      <c r="G4886" s="13" t="s">
        <v>1709</v>
      </c>
    </row>
    <row r="4887" spans="1:7">
      <c r="A4887" s="15" t="s">
        <v>1711</v>
      </c>
      <c r="B4887" s="13">
        <v>0.2</v>
      </c>
      <c r="C4887" s="16">
        <v>0.155</v>
      </c>
      <c r="D4887" s="13" t="s">
        <v>1712</v>
      </c>
      <c r="E4887" s="12" t="s">
        <v>1713</v>
      </c>
      <c r="F4887" s="12" t="s">
        <v>1714</v>
      </c>
      <c r="G4887" s="13" t="s">
        <v>1709</v>
      </c>
    </row>
    <row r="4888" spans="1:7">
      <c r="A4888" s="15" t="s">
        <v>1711</v>
      </c>
      <c r="B4888" s="13">
        <v>0.2</v>
      </c>
      <c r="C4888" s="16">
        <v>0.61299999999999999</v>
      </c>
      <c r="D4888" s="13" t="s">
        <v>1712</v>
      </c>
      <c r="E4888" s="12" t="s">
        <v>1713</v>
      </c>
      <c r="F4888" s="12" t="s">
        <v>1714</v>
      </c>
      <c r="G4888" s="13" t="s">
        <v>1709</v>
      </c>
    </row>
    <row r="4889" spans="1:7">
      <c r="A4889" s="15" t="s">
        <v>1711</v>
      </c>
      <c r="B4889" s="13">
        <v>0.2</v>
      </c>
      <c r="C4889" s="16">
        <v>0.61299999999999999</v>
      </c>
      <c r="D4889" s="13" t="s">
        <v>1712</v>
      </c>
      <c r="E4889" s="12" t="s">
        <v>1713</v>
      </c>
      <c r="F4889" s="12" t="s">
        <v>1714</v>
      </c>
      <c r="G4889" s="13" t="s">
        <v>1709</v>
      </c>
    </row>
    <row r="4890" spans="1:7">
      <c r="A4890" s="15" t="s">
        <v>1711</v>
      </c>
      <c r="B4890" s="13">
        <v>0.2</v>
      </c>
      <c r="C4890" s="16">
        <v>0.61299999999999999</v>
      </c>
      <c r="D4890" s="13" t="s">
        <v>1712</v>
      </c>
      <c r="E4890" s="12" t="s">
        <v>1713</v>
      </c>
      <c r="F4890" s="12" t="s">
        <v>1714</v>
      </c>
      <c r="G4890" s="13" t="s">
        <v>1709</v>
      </c>
    </row>
    <row r="4891" spans="1:7">
      <c r="A4891" s="15" t="s">
        <v>1711</v>
      </c>
      <c r="B4891" s="13">
        <v>0.2</v>
      </c>
      <c r="C4891" s="16">
        <v>1.8000000000000002E-2</v>
      </c>
      <c r="D4891" s="13" t="s">
        <v>1712</v>
      </c>
      <c r="E4891" s="12" t="s">
        <v>1736</v>
      </c>
      <c r="F4891" s="12" t="s">
        <v>1714</v>
      </c>
      <c r="G4891" s="13" t="s">
        <v>1709</v>
      </c>
    </row>
    <row r="4892" spans="1:7">
      <c r="A4892" s="15" t="s">
        <v>1711</v>
      </c>
      <c r="B4892" s="13">
        <v>0.2</v>
      </c>
      <c r="C4892" s="16">
        <v>0.47799999999999998</v>
      </c>
      <c r="D4892" s="13" t="s">
        <v>1712</v>
      </c>
      <c r="E4892" s="12" t="s">
        <v>1736</v>
      </c>
      <c r="F4892" s="12" t="s">
        <v>1714</v>
      </c>
      <c r="G4892" s="13" t="s">
        <v>1709</v>
      </c>
    </row>
    <row r="4893" spans="1:7">
      <c r="A4893" s="15" t="s">
        <v>1711</v>
      </c>
      <c r="B4893" s="13">
        <v>0.2</v>
      </c>
      <c r="C4893" s="16">
        <v>0.47799999999999998</v>
      </c>
      <c r="D4893" s="13" t="s">
        <v>1712</v>
      </c>
      <c r="E4893" s="12" t="s">
        <v>1736</v>
      </c>
      <c r="F4893" s="12" t="s">
        <v>1714</v>
      </c>
      <c r="G4893" s="13" t="s">
        <v>1709</v>
      </c>
    </row>
    <row r="4894" spans="1:7">
      <c r="A4894" s="15" t="s">
        <v>1711</v>
      </c>
      <c r="B4894" s="13">
        <v>0.2</v>
      </c>
      <c r="C4894" s="16">
        <v>0.56899999999999995</v>
      </c>
      <c r="D4894" s="13" t="s">
        <v>1712</v>
      </c>
      <c r="E4894" s="12" t="s">
        <v>1715</v>
      </c>
      <c r="F4894" s="12" t="s">
        <v>1714</v>
      </c>
      <c r="G4894" s="13" t="s">
        <v>1709</v>
      </c>
    </row>
    <row r="4895" spans="1:7">
      <c r="A4895" s="15" t="s">
        <v>1711</v>
      </c>
      <c r="B4895" s="13">
        <v>0.2</v>
      </c>
      <c r="C4895" s="16">
        <v>0.56899999999999995</v>
      </c>
      <c r="D4895" s="13" t="s">
        <v>1712</v>
      </c>
      <c r="E4895" s="12" t="s">
        <v>1715</v>
      </c>
      <c r="F4895" s="12" t="s">
        <v>1714</v>
      </c>
      <c r="G4895" s="13" t="s">
        <v>1709</v>
      </c>
    </row>
    <row r="4896" spans="1:7">
      <c r="A4896" s="15" t="s">
        <v>1711</v>
      </c>
      <c r="B4896" s="13">
        <v>0.2</v>
      </c>
      <c r="C4896" s="16">
        <v>0.59899999999999998</v>
      </c>
      <c r="D4896" s="13" t="s">
        <v>1712</v>
      </c>
      <c r="E4896" s="12" t="s">
        <v>1715</v>
      </c>
      <c r="F4896" s="12" t="s">
        <v>1714</v>
      </c>
      <c r="G4896" s="13" t="s">
        <v>1709</v>
      </c>
    </row>
    <row r="4897" spans="1:7">
      <c r="A4897" s="15" t="s">
        <v>1711</v>
      </c>
      <c r="B4897" s="13">
        <v>0.2</v>
      </c>
      <c r="C4897" s="16">
        <v>0.59899999999999998</v>
      </c>
      <c r="D4897" s="13" t="s">
        <v>1712</v>
      </c>
      <c r="E4897" s="12" t="s">
        <v>1715</v>
      </c>
      <c r="F4897" s="12" t="s">
        <v>1714</v>
      </c>
      <c r="G4897" s="13" t="s">
        <v>1709</v>
      </c>
    </row>
    <row r="4898" spans="1:7">
      <c r="A4898" s="15" t="s">
        <v>1711</v>
      </c>
      <c r="B4898" s="13">
        <v>0.2</v>
      </c>
      <c r="C4898" s="16">
        <v>0.59899999999999998</v>
      </c>
      <c r="D4898" s="13" t="s">
        <v>1712</v>
      </c>
      <c r="E4898" s="12" t="s">
        <v>1715</v>
      </c>
      <c r="F4898" s="12" t="s">
        <v>1714</v>
      </c>
      <c r="G4898" s="13" t="s">
        <v>1709</v>
      </c>
    </row>
    <row r="4899" spans="1:7">
      <c r="A4899" s="15" t="s">
        <v>1711</v>
      </c>
      <c r="B4899" s="13">
        <v>0.2</v>
      </c>
      <c r="C4899" s="16">
        <v>0.59899999999999998</v>
      </c>
      <c r="D4899" s="13" t="s">
        <v>1712</v>
      </c>
      <c r="E4899" s="12" t="s">
        <v>1715</v>
      </c>
      <c r="F4899" s="12" t="s">
        <v>1714</v>
      </c>
      <c r="G4899" s="13" t="s">
        <v>1709</v>
      </c>
    </row>
    <row r="4900" spans="1:7">
      <c r="A4900" s="15" t="s">
        <v>1711</v>
      </c>
      <c r="B4900" s="13">
        <v>0.2</v>
      </c>
      <c r="C4900" s="16">
        <v>0.59899999999999998</v>
      </c>
      <c r="D4900" s="13" t="s">
        <v>1712</v>
      </c>
      <c r="E4900" s="12" t="s">
        <v>1715</v>
      </c>
      <c r="F4900" s="12" t="s">
        <v>1714</v>
      </c>
      <c r="G4900" s="13" t="s">
        <v>1709</v>
      </c>
    </row>
    <row r="4901" spans="1:7">
      <c r="A4901" s="15" t="s">
        <v>1711</v>
      </c>
      <c r="B4901" s="13">
        <v>0.2</v>
      </c>
      <c r="C4901" s="16">
        <v>-9.9999999999999985E-3</v>
      </c>
      <c r="D4901" s="13" t="s">
        <v>1709</v>
      </c>
      <c r="E4901" s="12" t="s">
        <v>1710</v>
      </c>
      <c r="F4901" s="12" t="s">
        <v>1710</v>
      </c>
      <c r="G4901" s="13" t="s">
        <v>1709</v>
      </c>
    </row>
    <row r="4902" spans="1:7">
      <c r="A4902" s="15" t="s">
        <v>1711</v>
      </c>
      <c r="B4902" s="13">
        <v>0.2</v>
      </c>
      <c r="C4902" s="16">
        <v>2.7479999999999998</v>
      </c>
      <c r="D4902" s="13" t="s">
        <v>1712</v>
      </c>
      <c r="E4902" s="12" t="s">
        <v>1715</v>
      </c>
      <c r="F4902" s="12" t="s">
        <v>1714</v>
      </c>
      <c r="G4902" s="13" t="s">
        <v>1709</v>
      </c>
    </row>
    <row r="4903" spans="1:7">
      <c r="A4903" s="15" t="s">
        <v>1711</v>
      </c>
      <c r="B4903" s="13">
        <v>0.2</v>
      </c>
      <c r="C4903" s="16">
        <v>2.7479999999999998</v>
      </c>
      <c r="D4903" s="13" t="s">
        <v>1712</v>
      </c>
      <c r="E4903" s="12" t="s">
        <v>1715</v>
      </c>
      <c r="F4903" s="12" t="s">
        <v>1714</v>
      </c>
      <c r="G4903" s="13" t="s">
        <v>1709</v>
      </c>
    </row>
    <row r="4904" spans="1:7">
      <c r="A4904" s="15" t="s">
        <v>1711</v>
      </c>
      <c r="B4904" s="13">
        <v>0.2</v>
      </c>
      <c r="C4904" s="16">
        <v>-0.19800000000000001</v>
      </c>
      <c r="D4904" s="13" t="s">
        <v>1709</v>
      </c>
      <c r="E4904" s="12" t="s">
        <v>1710</v>
      </c>
      <c r="F4904" s="12" t="s">
        <v>1710</v>
      </c>
      <c r="G4904" s="13" t="s">
        <v>1709</v>
      </c>
    </row>
    <row r="4905" spans="1:7">
      <c r="A4905" s="15" t="s">
        <v>1711</v>
      </c>
      <c r="B4905" s="13">
        <v>0.2</v>
      </c>
      <c r="C4905" s="16">
        <v>-0.19800000000000001</v>
      </c>
      <c r="D4905" s="13" t="s">
        <v>1709</v>
      </c>
      <c r="E4905" s="12" t="s">
        <v>1710</v>
      </c>
      <c r="F4905" s="12" t="s">
        <v>1710</v>
      </c>
      <c r="G4905" s="13" t="s">
        <v>1709</v>
      </c>
    </row>
    <row r="4906" spans="1:7">
      <c r="A4906" s="15" t="s">
        <v>1711</v>
      </c>
      <c r="B4906" s="13">
        <v>0.2</v>
      </c>
      <c r="C4906" s="16">
        <v>-0.19800000000000001</v>
      </c>
      <c r="D4906" s="13" t="s">
        <v>1709</v>
      </c>
      <c r="E4906" s="12" t="s">
        <v>1710</v>
      </c>
      <c r="F4906" s="12" t="s">
        <v>1710</v>
      </c>
      <c r="G4906" s="13" t="s">
        <v>1709</v>
      </c>
    </row>
    <row r="4907" spans="1:7">
      <c r="A4907" s="15" t="s">
        <v>1711</v>
      </c>
      <c r="B4907" s="13">
        <v>0.2</v>
      </c>
      <c r="C4907" s="16">
        <v>-0.19800000000000001</v>
      </c>
      <c r="D4907" s="13" t="s">
        <v>1709</v>
      </c>
      <c r="E4907" s="12" t="s">
        <v>1710</v>
      </c>
      <c r="F4907" s="12" t="s">
        <v>1710</v>
      </c>
      <c r="G4907" s="13" t="s">
        <v>1709</v>
      </c>
    </row>
    <row r="4908" spans="1:7">
      <c r="A4908" s="15" t="s">
        <v>1711</v>
      </c>
      <c r="B4908" s="13">
        <v>0.2</v>
      </c>
      <c r="C4908" s="16">
        <v>-0.19800000000000001</v>
      </c>
      <c r="D4908" s="13" t="s">
        <v>1709</v>
      </c>
      <c r="E4908" s="12" t="s">
        <v>1710</v>
      </c>
      <c r="F4908" s="12" t="s">
        <v>1710</v>
      </c>
      <c r="G4908" s="13" t="s">
        <v>1709</v>
      </c>
    </row>
    <row r="4909" spans="1:7">
      <c r="A4909" s="15" t="s">
        <v>1711</v>
      </c>
      <c r="B4909" s="13">
        <v>0.2</v>
      </c>
      <c r="C4909" s="16">
        <v>-0.19800000000000001</v>
      </c>
      <c r="D4909" s="13" t="s">
        <v>1709</v>
      </c>
      <c r="E4909" s="12" t="s">
        <v>1710</v>
      </c>
      <c r="F4909" s="12" t="s">
        <v>1710</v>
      </c>
      <c r="G4909" s="13" t="s">
        <v>1709</v>
      </c>
    </row>
    <row r="4910" spans="1:7">
      <c r="A4910" s="15" t="s">
        <v>1711</v>
      </c>
      <c r="B4910" s="13">
        <v>0.2</v>
      </c>
      <c r="C4910" s="16">
        <v>-0.13900000000000001</v>
      </c>
      <c r="D4910" s="13" t="s">
        <v>1709</v>
      </c>
      <c r="E4910" s="12" t="s">
        <v>1710</v>
      </c>
      <c r="F4910" s="12" t="s">
        <v>1710</v>
      </c>
      <c r="G4910" s="13" t="s">
        <v>1709</v>
      </c>
    </row>
    <row r="4911" spans="1:7">
      <c r="A4911" s="15" t="s">
        <v>1711</v>
      </c>
      <c r="B4911" s="13">
        <v>0.2</v>
      </c>
      <c r="C4911" s="16">
        <v>-0.13900000000000001</v>
      </c>
      <c r="D4911" s="13" t="s">
        <v>1709</v>
      </c>
      <c r="E4911" s="12" t="s">
        <v>1710</v>
      </c>
      <c r="F4911" s="12" t="s">
        <v>1710</v>
      </c>
      <c r="G4911" s="13" t="s">
        <v>1709</v>
      </c>
    </row>
    <row r="4912" spans="1:7">
      <c r="A4912" s="15" t="s">
        <v>1711</v>
      </c>
      <c r="B4912" s="13">
        <v>0.2</v>
      </c>
      <c r="C4912" s="16">
        <v>-0.13900000000000001</v>
      </c>
      <c r="D4912" s="13" t="s">
        <v>1709</v>
      </c>
      <c r="E4912" s="12" t="s">
        <v>1710</v>
      </c>
      <c r="F4912" s="12" t="s">
        <v>1710</v>
      </c>
      <c r="G4912" s="13" t="s">
        <v>1709</v>
      </c>
    </row>
    <row r="4913" spans="1:7">
      <c r="A4913" s="15" t="s">
        <v>1711</v>
      </c>
      <c r="B4913" s="13">
        <v>0.2</v>
      </c>
      <c r="C4913" s="16">
        <v>-0.13900000000000001</v>
      </c>
      <c r="D4913" s="13" t="s">
        <v>1709</v>
      </c>
      <c r="E4913" s="12" t="s">
        <v>1710</v>
      </c>
      <c r="F4913" s="12" t="s">
        <v>1710</v>
      </c>
      <c r="G4913" s="13" t="s">
        <v>1709</v>
      </c>
    </row>
    <row r="4914" spans="1:7">
      <c r="A4914" s="15" t="s">
        <v>1711</v>
      </c>
      <c r="B4914" s="13">
        <v>0.2</v>
      </c>
      <c r="C4914" s="16">
        <v>-0.13900000000000001</v>
      </c>
      <c r="D4914" s="13" t="s">
        <v>1709</v>
      </c>
      <c r="E4914" s="12" t="s">
        <v>1710</v>
      </c>
      <c r="F4914" s="12" t="s">
        <v>1710</v>
      </c>
      <c r="G4914" s="13" t="s">
        <v>1709</v>
      </c>
    </row>
    <row r="4915" spans="1:7">
      <c r="A4915" s="15" t="s">
        <v>1711</v>
      </c>
      <c r="B4915" s="13">
        <v>0.2</v>
      </c>
      <c r="C4915" s="16">
        <v>-0.13900000000000001</v>
      </c>
      <c r="D4915" s="13" t="s">
        <v>1709</v>
      </c>
      <c r="E4915" s="12" t="s">
        <v>1710</v>
      </c>
      <c r="F4915" s="12" t="s">
        <v>1710</v>
      </c>
      <c r="G4915" s="13" t="s">
        <v>1709</v>
      </c>
    </row>
    <row r="4916" spans="1:7">
      <c r="A4916" s="15" t="s">
        <v>1711</v>
      </c>
      <c r="B4916" s="13">
        <v>0.2</v>
      </c>
      <c r="C4916" s="16">
        <v>-0.13900000000000001</v>
      </c>
      <c r="D4916" s="13" t="s">
        <v>1709</v>
      </c>
      <c r="E4916" s="12" t="s">
        <v>1710</v>
      </c>
      <c r="F4916" s="12" t="s">
        <v>1710</v>
      </c>
      <c r="G4916" s="13" t="s">
        <v>1709</v>
      </c>
    </row>
    <row r="4917" spans="1:7">
      <c r="A4917" s="15" t="s">
        <v>1711</v>
      </c>
      <c r="B4917" s="13">
        <v>0.2</v>
      </c>
      <c r="C4917" s="16">
        <v>-0.13900000000000001</v>
      </c>
      <c r="D4917" s="13" t="s">
        <v>1709</v>
      </c>
      <c r="E4917" s="12" t="s">
        <v>1710</v>
      </c>
      <c r="F4917" s="12" t="s">
        <v>1710</v>
      </c>
      <c r="G4917" s="13" t="s">
        <v>1709</v>
      </c>
    </row>
    <row r="4918" spans="1:7">
      <c r="A4918" s="15" t="s">
        <v>1711</v>
      </c>
      <c r="B4918" s="13">
        <v>0.2</v>
      </c>
      <c r="C4918" s="16">
        <v>-0.13900000000000001</v>
      </c>
      <c r="D4918" s="13" t="s">
        <v>1709</v>
      </c>
      <c r="E4918" s="12" t="s">
        <v>1710</v>
      </c>
      <c r="F4918" s="12" t="s">
        <v>1710</v>
      </c>
      <c r="G4918" s="13" t="s">
        <v>1709</v>
      </c>
    </row>
    <row r="4919" spans="1:7">
      <c r="A4919" s="15" t="s">
        <v>1711</v>
      </c>
      <c r="B4919" s="13">
        <v>0.2</v>
      </c>
      <c r="C4919" s="16">
        <v>-0.13900000000000001</v>
      </c>
      <c r="D4919" s="13" t="s">
        <v>1709</v>
      </c>
      <c r="E4919" s="12" t="s">
        <v>1710</v>
      </c>
      <c r="F4919" s="12" t="s">
        <v>1710</v>
      </c>
      <c r="G4919" s="13" t="s">
        <v>1709</v>
      </c>
    </row>
    <row r="4920" spans="1:7">
      <c r="A4920" s="15" t="s">
        <v>1711</v>
      </c>
      <c r="B4920" s="13">
        <v>0.2</v>
      </c>
      <c r="C4920" s="16">
        <v>-0.13900000000000001</v>
      </c>
      <c r="D4920" s="13" t="s">
        <v>1709</v>
      </c>
      <c r="E4920" s="12" t="s">
        <v>1710</v>
      </c>
      <c r="F4920" s="12" t="s">
        <v>1710</v>
      </c>
      <c r="G4920" s="13" t="s">
        <v>1709</v>
      </c>
    </row>
    <row r="4921" spans="1:7">
      <c r="A4921" s="15" t="s">
        <v>1711</v>
      </c>
      <c r="B4921" s="13">
        <v>0.2</v>
      </c>
      <c r="C4921" s="16">
        <v>-0.13900000000000001</v>
      </c>
      <c r="D4921" s="13" t="s">
        <v>1709</v>
      </c>
      <c r="E4921" s="12" t="s">
        <v>1710</v>
      </c>
      <c r="F4921" s="12" t="s">
        <v>1710</v>
      </c>
      <c r="G4921" s="13" t="s">
        <v>1709</v>
      </c>
    </row>
    <row r="4922" spans="1:7">
      <c r="A4922" s="15" t="s">
        <v>1711</v>
      </c>
      <c r="B4922" s="13">
        <v>0.2</v>
      </c>
      <c r="C4922" s="16">
        <v>-0.13900000000000001</v>
      </c>
      <c r="D4922" s="13" t="s">
        <v>1709</v>
      </c>
      <c r="E4922" s="12" t="s">
        <v>1710</v>
      </c>
      <c r="F4922" s="12" t="s">
        <v>1710</v>
      </c>
      <c r="G4922" s="13" t="s">
        <v>1709</v>
      </c>
    </row>
    <row r="4923" spans="1:7">
      <c r="A4923" s="15" t="s">
        <v>1711</v>
      </c>
      <c r="B4923" s="13">
        <v>0.2</v>
      </c>
      <c r="C4923" s="16">
        <v>-0.13900000000000001</v>
      </c>
      <c r="D4923" s="13" t="s">
        <v>1709</v>
      </c>
      <c r="E4923" s="12" t="s">
        <v>1710</v>
      </c>
      <c r="F4923" s="12" t="s">
        <v>1710</v>
      </c>
      <c r="G4923" s="13" t="s">
        <v>1709</v>
      </c>
    </row>
    <row r="4924" spans="1:7">
      <c r="A4924" s="15" t="s">
        <v>1711</v>
      </c>
      <c r="B4924" s="13">
        <v>0.2</v>
      </c>
      <c r="C4924" s="16">
        <v>-0.13900000000000001</v>
      </c>
      <c r="D4924" s="13" t="s">
        <v>1709</v>
      </c>
      <c r="E4924" s="12" t="s">
        <v>1710</v>
      </c>
      <c r="F4924" s="12" t="s">
        <v>1710</v>
      </c>
      <c r="G4924" s="13" t="s">
        <v>1709</v>
      </c>
    </row>
    <row r="4925" spans="1:7">
      <c r="A4925" s="15" t="s">
        <v>1711</v>
      </c>
      <c r="B4925" s="13">
        <v>0.2</v>
      </c>
      <c r="C4925" s="16">
        <v>-0.13900000000000001</v>
      </c>
      <c r="D4925" s="13" t="s">
        <v>1709</v>
      </c>
      <c r="E4925" s="12" t="s">
        <v>1710</v>
      </c>
      <c r="F4925" s="12" t="s">
        <v>1710</v>
      </c>
      <c r="G4925" s="13" t="s">
        <v>1709</v>
      </c>
    </row>
    <row r="4926" spans="1:7">
      <c r="A4926" s="15" t="s">
        <v>1711</v>
      </c>
      <c r="B4926" s="13">
        <v>0.2</v>
      </c>
      <c r="C4926" s="16">
        <v>-0.13900000000000001</v>
      </c>
      <c r="D4926" s="13" t="s">
        <v>1709</v>
      </c>
      <c r="E4926" s="12" t="s">
        <v>1710</v>
      </c>
      <c r="F4926" s="12" t="s">
        <v>1710</v>
      </c>
      <c r="G4926" s="13" t="s">
        <v>1709</v>
      </c>
    </row>
    <row r="4927" spans="1:7">
      <c r="A4927" s="15" t="s">
        <v>1711</v>
      </c>
      <c r="B4927" s="13">
        <v>0.2</v>
      </c>
      <c r="C4927" s="16">
        <v>-0.13900000000000001</v>
      </c>
      <c r="D4927" s="13" t="s">
        <v>1709</v>
      </c>
      <c r="E4927" s="12" t="s">
        <v>1710</v>
      </c>
      <c r="F4927" s="12" t="s">
        <v>1710</v>
      </c>
      <c r="G4927" s="13" t="s">
        <v>1709</v>
      </c>
    </row>
    <row r="4928" spans="1:7">
      <c r="A4928" s="15" t="s">
        <v>1711</v>
      </c>
      <c r="B4928" s="13">
        <v>0.2</v>
      </c>
      <c r="C4928" s="16">
        <v>-0.13900000000000001</v>
      </c>
      <c r="D4928" s="13" t="s">
        <v>1709</v>
      </c>
      <c r="E4928" s="12" t="s">
        <v>1710</v>
      </c>
      <c r="F4928" s="12" t="s">
        <v>1710</v>
      </c>
      <c r="G4928" s="13" t="s">
        <v>1709</v>
      </c>
    </row>
    <row r="4929" spans="1:7">
      <c r="A4929" s="15" t="s">
        <v>1711</v>
      </c>
      <c r="B4929" s="13">
        <v>0.2</v>
      </c>
      <c r="C4929" s="16">
        <v>0.35499999999999998</v>
      </c>
      <c r="D4929" s="13" t="s">
        <v>1712</v>
      </c>
      <c r="E4929" s="12" t="s">
        <v>1713</v>
      </c>
      <c r="F4929" s="12" t="s">
        <v>1714</v>
      </c>
      <c r="G4929" s="13" t="s">
        <v>1709</v>
      </c>
    </row>
    <row r="4930" spans="1:7">
      <c r="A4930" s="15" t="s">
        <v>1711</v>
      </c>
      <c r="B4930" s="13">
        <v>0.2</v>
      </c>
      <c r="C4930" s="16">
        <v>0.3</v>
      </c>
      <c r="D4930" s="13" t="s">
        <v>1712</v>
      </c>
      <c r="E4930" s="12" t="s">
        <v>1713</v>
      </c>
      <c r="F4930" s="12" t="s">
        <v>1714</v>
      </c>
      <c r="G4930" s="13" t="s">
        <v>1709</v>
      </c>
    </row>
    <row r="4931" spans="1:7">
      <c r="A4931" s="15" t="s">
        <v>1711</v>
      </c>
      <c r="B4931" s="13">
        <v>0.2</v>
      </c>
      <c r="C4931" s="16">
        <v>0.11800000000000001</v>
      </c>
      <c r="D4931" s="13" t="s">
        <v>1712</v>
      </c>
      <c r="E4931" s="12" t="s">
        <v>1713</v>
      </c>
      <c r="F4931" s="12" t="s">
        <v>1714</v>
      </c>
      <c r="G4931" s="13" t="s">
        <v>1709</v>
      </c>
    </row>
    <row r="4932" spans="1:7">
      <c r="A4932" s="15" t="s">
        <v>1711</v>
      </c>
      <c r="B4932" s="13">
        <v>0.2</v>
      </c>
      <c r="C4932" s="16">
        <v>0.23799999999999999</v>
      </c>
      <c r="D4932" s="13" t="s">
        <v>1712</v>
      </c>
      <c r="E4932" s="12" t="s">
        <v>1713</v>
      </c>
      <c r="F4932" s="12" t="s">
        <v>1714</v>
      </c>
      <c r="G4932" s="13" t="s">
        <v>1709</v>
      </c>
    </row>
    <row r="4933" spans="1:7">
      <c r="A4933" s="15" t="s">
        <v>1711</v>
      </c>
      <c r="B4933" s="13">
        <v>0.2</v>
      </c>
      <c r="C4933" s="16">
        <v>0.27900000000000003</v>
      </c>
      <c r="D4933" s="13" t="s">
        <v>1712</v>
      </c>
      <c r="E4933" s="12" t="s">
        <v>1713</v>
      </c>
      <c r="F4933" s="12" t="s">
        <v>1714</v>
      </c>
      <c r="G4933" s="13" t="s">
        <v>1709</v>
      </c>
    </row>
    <row r="4934" spans="1:7">
      <c r="A4934" s="15" t="s">
        <v>1711</v>
      </c>
      <c r="B4934" s="13">
        <v>0.2</v>
      </c>
      <c r="C4934" s="16">
        <v>0.27900000000000003</v>
      </c>
      <c r="D4934" s="13" t="s">
        <v>1712</v>
      </c>
      <c r="E4934" s="12" t="s">
        <v>1713</v>
      </c>
      <c r="F4934" s="12" t="s">
        <v>1714</v>
      </c>
      <c r="G4934" s="13" t="s">
        <v>1709</v>
      </c>
    </row>
    <row r="4935" spans="1:7">
      <c r="A4935" s="15" t="s">
        <v>1711</v>
      </c>
      <c r="B4935" s="13">
        <v>0.2</v>
      </c>
      <c r="C4935" s="16">
        <v>0.27900000000000003</v>
      </c>
      <c r="D4935" s="13" t="s">
        <v>1712</v>
      </c>
      <c r="E4935" s="12" t="s">
        <v>1713</v>
      </c>
      <c r="F4935" s="12" t="s">
        <v>1714</v>
      </c>
      <c r="G4935" s="13" t="s">
        <v>1709</v>
      </c>
    </row>
    <row r="4936" spans="1:7">
      <c r="A4936" s="15" t="s">
        <v>1711</v>
      </c>
      <c r="B4936" s="13">
        <v>0.2</v>
      </c>
      <c r="C4936" s="16">
        <v>0.27900000000000003</v>
      </c>
      <c r="D4936" s="13" t="s">
        <v>1712</v>
      </c>
      <c r="E4936" s="12" t="s">
        <v>1713</v>
      </c>
      <c r="F4936" s="12" t="s">
        <v>1714</v>
      </c>
      <c r="G4936" s="13" t="s">
        <v>1709</v>
      </c>
    </row>
    <row r="4937" spans="1:7">
      <c r="A4937" s="15" t="s">
        <v>1711</v>
      </c>
      <c r="B4937" s="13">
        <v>0.2</v>
      </c>
      <c r="C4937" s="16">
        <v>0.27900000000000003</v>
      </c>
      <c r="D4937" s="13" t="s">
        <v>1712</v>
      </c>
      <c r="E4937" s="12" t="s">
        <v>1713</v>
      </c>
      <c r="F4937" s="12" t="s">
        <v>1714</v>
      </c>
      <c r="G4937" s="13" t="s">
        <v>1709</v>
      </c>
    </row>
    <row r="4938" spans="1:7">
      <c r="A4938" s="15" t="s">
        <v>1711</v>
      </c>
      <c r="B4938" s="13">
        <v>0.2</v>
      </c>
      <c r="C4938" s="16">
        <v>0.27900000000000003</v>
      </c>
      <c r="D4938" s="13" t="s">
        <v>1712</v>
      </c>
      <c r="E4938" s="12" t="s">
        <v>1713</v>
      </c>
      <c r="F4938" s="12" t="s">
        <v>1714</v>
      </c>
      <c r="G4938" s="13" t="s">
        <v>1709</v>
      </c>
    </row>
    <row r="4939" spans="1:7">
      <c r="A4939" s="15" t="s">
        <v>1711</v>
      </c>
      <c r="B4939" s="13">
        <v>0.2</v>
      </c>
      <c r="C4939" s="16">
        <v>0.27900000000000003</v>
      </c>
      <c r="D4939" s="13" t="s">
        <v>1712</v>
      </c>
      <c r="E4939" s="12" t="s">
        <v>1713</v>
      </c>
      <c r="F4939" s="12" t="s">
        <v>1714</v>
      </c>
      <c r="G4939" s="13" t="s">
        <v>1709</v>
      </c>
    </row>
    <row r="4940" spans="1:7">
      <c r="A4940" s="15" t="s">
        <v>1711</v>
      </c>
      <c r="B4940" s="13">
        <v>0.2</v>
      </c>
      <c r="C4940" s="16">
        <v>0.27900000000000003</v>
      </c>
      <c r="D4940" s="13" t="s">
        <v>1712</v>
      </c>
      <c r="E4940" s="12" t="s">
        <v>1713</v>
      </c>
      <c r="F4940" s="12" t="s">
        <v>1714</v>
      </c>
      <c r="G4940" s="13" t="s">
        <v>1709</v>
      </c>
    </row>
    <row r="4941" spans="1:7">
      <c r="A4941" s="15" t="s">
        <v>1711</v>
      </c>
      <c r="B4941" s="13">
        <v>0.2</v>
      </c>
      <c r="C4941" s="16">
        <v>0.27900000000000003</v>
      </c>
      <c r="D4941" s="13" t="s">
        <v>1712</v>
      </c>
      <c r="E4941" s="12" t="s">
        <v>1713</v>
      </c>
      <c r="F4941" s="12" t="s">
        <v>1714</v>
      </c>
      <c r="G4941" s="13" t="s">
        <v>1709</v>
      </c>
    </row>
    <row r="4942" spans="1:7">
      <c r="A4942" s="15" t="s">
        <v>1711</v>
      </c>
      <c r="B4942" s="13">
        <v>0.2</v>
      </c>
      <c r="C4942" s="16">
        <v>0.27900000000000003</v>
      </c>
      <c r="D4942" s="13" t="s">
        <v>1712</v>
      </c>
      <c r="E4942" s="12" t="s">
        <v>1713</v>
      </c>
      <c r="F4942" s="12" t="s">
        <v>1714</v>
      </c>
      <c r="G4942" s="13" t="s">
        <v>1709</v>
      </c>
    </row>
    <row r="4943" spans="1:7">
      <c r="A4943" s="15" t="s">
        <v>1711</v>
      </c>
      <c r="B4943" s="13">
        <v>0.2</v>
      </c>
      <c r="C4943" s="16">
        <v>0.27900000000000003</v>
      </c>
      <c r="D4943" s="13" t="s">
        <v>1712</v>
      </c>
      <c r="E4943" s="12" t="s">
        <v>1713</v>
      </c>
      <c r="F4943" s="12" t="s">
        <v>1714</v>
      </c>
      <c r="G4943" s="13" t="s">
        <v>1709</v>
      </c>
    </row>
    <row r="4944" spans="1:7">
      <c r="A4944" s="15" t="s">
        <v>1711</v>
      </c>
      <c r="B4944" s="13">
        <v>0.2</v>
      </c>
      <c r="C4944" s="16">
        <v>0.27900000000000003</v>
      </c>
      <c r="D4944" s="13" t="s">
        <v>1712</v>
      </c>
      <c r="E4944" s="12" t="s">
        <v>1713</v>
      </c>
      <c r="F4944" s="12" t="s">
        <v>1714</v>
      </c>
      <c r="G4944" s="13" t="s">
        <v>1709</v>
      </c>
    </row>
    <row r="4945" spans="1:7">
      <c r="A4945" s="15" t="s">
        <v>1711</v>
      </c>
      <c r="B4945" s="13">
        <v>0.2</v>
      </c>
      <c r="C4945" s="16">
        <v>0.27900000000000003</v>
      </c>
      <c r="D4945" s="13" t="s">
        <v>1712</v>
      </c>
      <c r="E4945" s="12" t="s">
        <v>1713</v>
      </c>
      <c r="F4945" s="12" t="s">
        <v>1714</v>
      </c>
      <c r="G4945" s="13" t="s">
        <v>1709</v>
      </c>
    </row>
    <row r="4946" spans="1:7">
      <c r="A4946" s="15" t="s">
        <v>1711</v>
      </c>
      <c r="B4946" s="13">
        <v>0.2</v>
      </c>
      <c r="C4946" s="16">
        <v>0.27900000000000003</v>
      </c>
      <c r="D4946" s="13" t="s">
        <v>1712</v>
      </c>
      <c r="E4946" s="12" t="s">
        <v>1713</v>
      </c>
      <c r="F4946" s="12" t="s">
        <v>1714</v>
      </c>
      <c r="G4946" s="13" t="s">
        <v>1709</v>
      </c>
    </row>
    <row r="4947" spans="1:7">
      <c r="A4947" s="15" t="s">
        <v>1711</v>
      </c>
      <c r="B4947" s="13">
        <v>0.2</v>
      </c>
      <c r="C4947" s="16">
        <v>0.27900000000000003</v>
      </c>
      <c r="D4947" s="13" t="s">
        <v>1712</v>
      </c>
      <c r="E4947" s="12" t="s">
        <v>1713</v>
      </c>
      <c r="F4947" s="12" t="s">
        <v>1714</v>
      </c>
      <c r="G4947" s="13" t="s">
        <v>1709</v>
      </c>
    </row>
    <row r="4948" spans="1:7">
      <c r="A4948" s="15" t="s">
        <v>1711</v>
      </c>
      <c r="B4948" s="13">
        <v>0.2</v>
      </c>
      <c r="C4948" s="16">
        <v>0.27900000000000003</v>
      </c>
      <c r="D4948" s="13" t="s">
        <v>1712</v>
      </c>
      <c r="E4948" s="12" t="s">
        <v>1713</v>
      </c>
      <c r="F4948" s="12" t="s">
        <v>1714</v>
      </c>
      <c r="G4948" s="13" t="s">
        <v>1709</v>
      </c>
    </row>
    <row r="4949" spans="1:7">
      <c r="A4949" s="15" t="s">
        <v>1711</v>
      </c>
      <c r="B4949" s="13">
        <v>0.2</v>
      </c>
      <c r="C4949" s="16">
        <v>0.27900000000000003</v>
      </c>
      <c r="D4949" s="13" t="s">
        <v>1712</v>
      </c>
      <c r="E4949" s="12" t="s">
        <v>1713</v>
      </c>
      <c r="F4949" s="12" t="s">
        <v>1714</v>
      </c>
      <c r="G4949" s="13" t="s">
        <v>1709</v>
      </c>
    </row>
    <row r="4950" spans="1:7">
      <c r="A4950" s="15" t="s">
        <v>1711</v>
      </c>
      <c r="B4950" s="13">
        <v>0.2</v>
      </c>
      <c r="C4950" s="16">
        <v>0.27900000000000003</v>
      </c>
      <c r="D4950" s="13" t="s">
        <v>1712</v>
      </c>
      <c r="E4950" s="12" t="s">
        <v>1713</v>
      </c>
      <c r="F4950" s="12" t="s">
        <v>1714</v>
      </c>
      <c r="G4950" s="13" t="s">
        <v>1709</v>
      </c>
    </row>
    <row r="4951" spans="1:7">
      <c r="A4951" s="15" t="s">
        <v>1711</v>
      </c>
      <c r="B4951" s="13">
        <v>0.2</v>
      </c>
      <c r="C4951" s="16">
        <v>0.27900000000000003</v>
      </c>
      <c r="D4951" s="13" t="s">
        <v>1712</v>
      </c>
      <c r="E4951" s="12" t="s">
        <v>1713</v>
      </c>
      <c r="F4951" s="12" t="s">
        <v>1714</v>
      </c>
      <c r="G4951" s="13" t="s">
        <v>1709</v>
      </c>
    </row>
    <row r="4952" spans="1:7">
      <c r="A4952" s="15" t="s">
        <v>1711</v>
      </c>
      <c r="B4952" s="13">
        <v>0.2</v>
      </c>
      <c r="C4952" s="16">
        <v>0.27900000000000003</v>
      </c>
      <c r="D4952" s="13" t="s">
        <v>1712</v>
      </c>
      <c r="E4952" s="12" t="s">
        <v>1713</v>
      </c>
      <c r="F4952" s="12" t="s">
        <v>1714</v>
      </c>
      <c r="G4952" s="13" t="s">
        <v>1709</v>
      </c>
    </row>
    <row r="4953" spans="1:7">
      <c r="A4953" s="15" t="s">
        <v>1711</v>
      </c>
      <c r="B4953" s="13">
        <v>0.2</v>
      </c>
      <c r="C4953" s="16">
        <v>0.27900000000000003</v>
      </c>
      <c r="D4953" s="13" t="s">
        <v>1712</v>
      </c>
      <c r="E4953" s="12" t="s">
        <v>1713</v>
      </c>
      <c r="F4953" s="12" t="s">
        <v>1714</v>
      </c>
      <c r="G4953" s="13" t="s">
        <v>1709</v>
      </c>
    </row>
    <row r="4954" spans="1:7">
      <c r="A4954" s="15" t="s">
        <v>1711</v>
      </c>
      <c r="B4954" s="13">
        <v>0.2</v>
      </c>
      <c r="C4954" s="16">
        <v>0.70299999999999996</v>
      </c>
      <c r="D4954" s="13" t="s">
        <v>1712</v>
      </c>
      <c r="E4954" s="12" t="s">
        <v>1713</v>
      </c>
      <c r="F4954" s="12" t="s">
        <v>1714</v>
      </c>
      <c r="G4954" s="13" t="s">
        <v>1709</v>
      </c>
    </row>
    <row r="4955" spans="1:7">
      <c r="A4955" s="15" t="s">
        <v>1711</v>
      </c>
      <c r="B4955" s="13">
        <v>0.2</v>
      </c>
      <c r="C4955" s="16">
        <v>0.70299999999999996</v>
      </c>
      <c r="D4955" s="13" t="s">
        <v>1712</v>
      </c>
      <c r="E4955" s="12" t="s">
        <v>1713</v>
      </c>
      <c r="F4955" s="12" t="s">
        <v>1714</v>
      </c>
      <c r="G4955" s="13" t="s">
        <v>1709</v>
      </c>
    </row>
    <row r="4956" spans="1:7">
      <c r="A4956" s="15" t="s">
        <v>1711</v>
      </c>
      <c r="B4956" s="13">
        <v>0.2</v>
      </c>
      <c r="C4956" s="16">
        <v>0.99199999999999999</v>
      </c>
      <c r="D4956" s="13" t="s">
        <v>1712</v>
      </c>
      <c r="E4956" s="12" t="s">
        <v>1713</v>
      </c>
      <c r="F4956" s="12" t="s">
        <v>1714</v>
      </c>
      <c r="G4956" s="13" t="s">
        <v>1709</v>
      </c>
    </row>
    <row r="4957" spans="1:7">
      <c r="A4957" s="15" t="s">
        <v>1711</v>
      </c>
      <c r="B4957" s="13">
        <v>0.2</v>
      </c>
      <c r="C4957" s="16">
        <v>-3.9E-2</v>
      </c>
      <c r="D4957" s="13" t="s">
        <v>1709</v>
      </c>
      <c r="E4957" s="12" t="s">
        <v>1710</v>
      </c>
      <c r="F4957" s="12" t="s">
        <v>1710</v>
      </c>
      <c r="G4957" s="13" t="s">
        <v>1709</v>
      </c>
    </row>
    <row r="4958" spans="1:7">
      <c r="A4958" s="15" t="s">
        <v>1711</v>
      </c>
      <c r="B4958" s="13">
        <v>0.2</v>
      </c>
      <c r="C4958" s="16">
        <v>-5.9000000000000004E-2</v>
      </c>
      <c r="D4958" s="13" t="s">
        <v>1709</v>
      </c>
      <c r="E4958" s="12" t="s">
        <v>1710</v>
      </c>
      <c r="F4958" s="12" t="s">
        <v>1710</v>
      </c>
      <c r="G4958" s="13" t="s">
        <v>1709</v>
      </c>
    </row>
    <row r="4959" spans="1:7">
      <c r="A4959" s="15" t="s">
        <v>1711</v>
      </c>
      <c r="B4959" s="13">
        <v>0.2</v>
      </c>
      <c r="C4959" s="16">
        <v>-1.4999999999999999E-2</v>
      </c>
      <c r="D4959" s="13" t="s">
        <v>1709</v>
      </c>
      <c r="E4959" s="12" t="s">
        <v>1710</v>
      </c>
      <c r="F4959" s="12" t="s">
        <v>1710</v>
      </c>
      <c r="G4959" s="13" t="s">
        <v>1709</v>
      </c>
    </row>
    <row r="4960" spans="1:7">
      <c r="A4960" s="15" t="s">
        <v>1711</v>
      </c>
      <c r="B4960" s="13">
        <v>0.2</v>
      </c>
      <c r="C4960" s="16">
        <v>8.0000000000000002E-3</v>
      </c>
      <c r="D4960" s="13" t="s">
        <v>1712</v>
      </c>
      <c r="E4960" s="12" t="s">
        <v>1713</v>
      </c>
      <c r="F4960" s="12" t="s">
        <v>1714</v>
      </c>
      <c r="G4960" s="13" t="s">
        <v>1709</v>
      </c>
    </row>
    <row r="4961" spans="1:7">
      <c r="A4961" s="15" t="s">
        <v>1711</v>
      </c>
      <c r="B4961" s="13">
        <v>0.2</v>
      </c>
      <c r="C4961" s="16">
        <v>0.14000000000000001</v>
      </c>
      <c r="D4961" s="13" t="s">
        <v>1712</v>
      </c>
      <c r="E4961" s="12" t="s">
        <v>1713</v>
      </c>
      <c r="F4961" s="12" t="s">
        <v>1714</v>
      </c>
      <c r="G4961" s="13" t="s">
        <v>1709</v>
      </c>
    </row>
    <row r="4962" spans="1:7">
      <c r="A4962" s="15" t="s">
        <v>1711</v>
      </c>
      <c r="B4962" s="13">
        <v>0.2</v>
      </c>
      <c r="C4962" s="16">
        <v>0.14000000000000001</v>
      </c>
      <c r="D4962" s="13" t="s">
        <v>1712</v>
      </c>
      <c r="E4962" s="12" t="s">
        <v>1713</v>
      </c>
      <c r="F4962" s="12" t="s">
        <v>1714</v>
      </c>
      <c r="G4962" s="13" t="s">
        <v>1709</v>
      </c>
    </row>
    <row r="4963" spans="1:7">
      <c r="A4963" s="15" t="s">
        <v>1711</v>
      </c>
      <c r="B4963" s="13">
        <v>0.2</v>
      </c>
      <c r="C4963" s="16">
        <v>0.14000000000000001</v>
      </c>
      <c r="D4963" s="13" t="s">
        <v>1712</v>
      </c>
      <c r="E4963" s="12" t="s">
        <v>1713</v>
      </c>
      <c r="F4963" s="12" t="s">
        <v>1714</v>
      </c>
      <c r="G4963" s="13" t="s">
        <v>1709</v>
      </c>
    </row>
    <row r="4964" spans="1:7">
      <c r="A4964" s="15" t="s">
        <v>1711</v>
      </c>
      <c r="B4964" s="13">
        <v>0.2</v>
      </c>
      <c r="C4964" s="16">
        <v>0.14000000000000001</v>
      </c>
      <c r="D4964" s="13" t="s">
        <v>1712</v>
      </c>
      <c r="E4964" s="12" t="s">
        <v>1713</v>
      </c>
      <c r="F4964" s="12" t="s">
        <v>1714</v>
      </c>
      <c r="G4964" s="13" t="s">
        <v>1709</v>
      </c>
    </row>
    <row r="4965" spans="1:7">
      <c r="A4965" s="15" t="s">
        <v>1711</v>
      </c>
      <c r="B4965" s="13">
        <v>0.2</v>
      </c>
      <c r="C4965" s="16">
        <v>0.14000000000000001</v>
      </c>
      <c r="D4965" s="13" t="s">
        <v>1712</v>
      </c>
      <c r="E4965" s="12" t="s">
        <v>1713</v>
      </c>
      <c r="F4965" s="12" t="s">
        <v>1714</v>
      </c>
      <c r="G4965" s="13" t="s">
        <v>1709</v>
      </c>
    </row>
    <row r="4966" spans="1:7">
      <c r="A4966" s="15" t="s">
        <v>1711</v>
      </c>
      <c r="B4966" s="13">
        <v>0.2</v>
      </c>
      <c r="C4966" s="16">
        <v>0.14000000000000001</v>
      </c>
      <c r="D4966" s="13" t="s">
        <v>1712</v>
      </c>
      <c r="E4966" s="12" t="s">
        <v>1713</v>
      </c>
      <c r="F4966" s="12" t="s">
        <v>1714</v>
      </c>
      <c r="G4966" s="13" t="s">
        <v>1709</v>
      </c>
    </row>
    <row r="4967" spans="1:7">
      <c r="A4967" s="15" t="s">
        <v>1711</v>
      </c>
      <c r="B4967" s="13">
        <v>0.2</v>
      </c>
      <c r="C4967" s="16">
        <v>0.14000000000000001</v>
      </c>
      <c r="D4967" s="13" t="s">
        <v>1712</v>
      </c>
      <c r="E4967" s="12" t="s">
        <v>1713</v>
      </c>
      <c r="F4967" s="12" t="s">
        <v>1714</v>
      </c>
      <c r="G4967" s="13" t="s">
        <v>1709</v>
      </c>
    </row>
    <row r="4968" spans="1:7">
      <c r="A4968" s="15" t="s">
        <v>1711</v>
      </c>
      <c r="B4968" s="13">
        <v>0.2</v>
      </c>
      <c r="C4968" s="16">
        <v>0.14000000000000001</v>
      </c>
      <c r="D4968" s="13" t="s">
        <v>1712</v>
      </c>
      <c r="E4968" s="12" t="s">
        <v>1713</v>
      </c>
      <c r="F4968" s="12" t="s">
        <v>1714</v>
      </c>
      <c r="G4968" s="13" t="s">
        <v>1709</v>
      </c>
    </row>
    <row r="4969" spans="1:7">
      <c r="A4969" s="15" t="s">
        <v>1711</v>
      </c>
      <c r="B4969" s="13">
        <v>0.2</v>
      </c>
      <c r="C4969" s="16">
        <v>0.14000000000000001</v>
      </c>
      <c r="D4969" s="13" t="s">
        <v>1712</v>
      </c>
      <c r="E4969" s="12" t="s">
        <v>1713</v>
      </c>
      <c r="F4969" s="12" t="s">
        <v>1714</v>
      </c>
      <c r="G4969" s="13" t="s">
        <v>1709</v>
      </c>
    </row>
    <row r="4970" spans="1:7">
      <c r="A4970" s="15" t="s">
        <v>1711</v>
      </c>
      <c r="B4970" s="13">
        <v>0.2</v>
      </c>
      <c r="C4970" s="16">
        <v>0.14000000000000001</v>
      </c>
      <c r="D4970" s="13" t="s">
        <v>1712</v>
      </c>
      <c r="E4970" s="12" t="s">
        <v>1713</v>
      </c>
      <c r="F4970" s="12" t="s">
        <v>1714</v>
      </c>
      <c r="G4970" s="13" t="s">
        <v>1709</v>
      </c>
    </row>
    <row r="4971" spans="1:7">
      <c r="A4971" s="15" t="s">
        <v>1711</v>
      </c>
      <c r="B4971" s="13">
        <v>0.2</v>
      </c>
      <c r="C4971" s="16">
        <v>0.14000000000000001</v>
      </c>
      <c r="D4971" s="13" t="s">
        <v>1712</v>
      </c>
      <c r="E4971" s="12" t="s">
        <v>1713</v>
      </c>
      <c r="F4971" s="12" t="s">
        <v>1714</v>
      </c>
      <c r="G4971" s="13" t="s">
        <v>1709</v>
      </c>
    </row>
    <row r="4972" spans="1:7">
      <c r="A4972" s="15" t="s">
        <v>1711</v>
      </c>
      <c r="B4972" s="13">
        <v>0.2</v>
      </c>
      <c r="C4972" s="16">
        <v>0.14000000000000001</v>
      </c>
      <c r="D4972" s="13" t="s">
        <v>1712</v>
      </c>
      <c r="E4972" s="12" t="s">
        <v>1713</v>
      </c>
      <c r="F4972" s="12" t="s">
        <v>1714</v>
      </c>
      <c r="G4972" s="13" t="s">
        <v>1709</v>
      </c>
    </row>
    <row r="4973" spans="1:7">
      <c r="A4973" s="15" t="s">
        <v>1711</v>
      </c>
      <c r="B4973" s="13">
        <v>0.2</v>
      </c>
      <c r="C4973" s="16">
        <v>0.14000000000000001</v>
      </c>
      <c r="D4973" s="13" t="s">
        <v>1712</v>
      </c>
      <c r="E4973" s="12" t="s">
        <v>1713</v>
      </c>
      <c r="F4973" s="12" t="s">
        <v>1714</v>
      </c>
      <c r="G4973" s="13" t="s">
        <v>1709</v>
      </c>
    </row>
    <row r="4974" spans="1:7">
      <c r="A4974" s="15" t="s">
        <v>1711</v>
      </c>
      <c r="B4974" s="13">
        <v>0.2</v>
      </c>
      <c r="C4974" s="16">
        <v>0.14000000000000001</v>
      </c>
      <c r="D4974" s="13" t="s">
        <v>1712</v>
      </c>
      <c r="E4974" s="12" t="s">
        <v>1713</v>
      </c>
      <c r="F4974" s="12" t="s">
        <v>1714</v>
      </c>
      <c r="G4974" s="13" t="s">
        <v>1709</v>
      </c>
    </row>
    <row r="4975" spans="1:7">
      <c r="A4975" s="15" t="s">
        <v>1711</v>
      </c>
      <c r="B4975" s="13">
        <v>0.2</v>
      </c>
      <c r="C4975" s="16">
        <v>0.14000000000000001</v>
      </c>
      <c r="D4975" s="13" t="s">
        <v>1712</v>
      </c>
      <c r="E4975" s="12" t="s">
        <v>1713</v>
      </c>
      <c r="F4975" s="12" t="s">
        <v>1714</v>
      </c>
      <c r="G4975" s="13" t="s">
        <v>1709</v>
      </c>
    </row>
    <row r="4976" spans="1:7">
      <c r="A4976" s="15" t="s">
        <v>1711</v>
      </c>
      <c r="B4976" s="13">
        <v>0.2</v>
      </c>
      <c r="C4976" s="16">
        <v>0.14000000000000001</v>
      </c>
      <c r="D4976" s="13" t="s">
        <v>1712</v>
      </c>
      <c r="E4976" s="12" t="s">
        <v>1713</v>
      </c>
      <c r="F4976" s="12" t="s">
        <v>1714</v>
      </c>
      <c r="G4976" s="13" t="s">
        <v>1709</v>
      </c>
    </row>
    <row r="4977" spans="1:7">
      <c r="A4977" s="15" t="s">
        <v>1711</v>
      </c>
      <c r="B4977" s="13">
        <v>0.2</v>
      </c>
      <c r="C4977" s="16">
        <v>0.14000000000000001</v>
      </c>
      <c r="D4977" s="13" t="s">
        <v>1712</v>
      </c>
      <c r="E4977" s="12" t="s">
        <v>1713</v>
      </c>
      <c r="F4977" s="12" t="s">
        <v>1714</v>
      </c>
      <c r="G4977" s="13" t="s">
        <v>1709</v>
      </c>
    </row>
    <row r="4978" spans="1:7">
      <c r="A4978" s="15" t="s">
        <v>1711</v>
      </c>
      <c r="B4978" s="13">
        <v>0.2</v>
      </c>
      <c r="C4978" s="16">
        <v>0.14000000000000001</v>
      </c>
      <c r="D4978" s="13" t="s">
        <v>1712</v>
      </c>
      <c r="E4978" s="12" t="s">
        <v>1713</v>
      </c>
      <c r="F4978" s="12" t="s">
        <v>1714</v>
      </c>
      <c r="G4978" s="13" t="s">
        <v>1709</v>
      </c>
    </row>
    <row r="4979" spans="1:7">
      <c r="A4979" s="15" t="s">
        <v>1711</v>
      </c>
      <c r="B4979" s="13">
        <v>0.2</v>
      </c>
      <c r="C4979" s="16">
        <v>0.22500000000000001</v>
      </c>
      <c r="D4979" s="13" t="s">
        <v>1712</v>
      </c>
      <c r="E4979" s="12" t="s">
        <v>1713</v>
      </c>
      <c r="F4979" s="12" t="s">
        <v>1714</v>
      </c>
      <c r="G4979" s="13" t="s">
        <v>1709</v>
      </c>
    </row>
    <row r="4980" spans="1:7">
      <c r="A4980" s="15" t="s">
        <v>1711</v>
      </c>
      <c r="B4980" s="13">
        <v>0.2</v>
      </c>
      <c r="C4980" s="16">
        <v>0.96299999999999997</v>
      </c>
      <c r="D4980" s="13" t="s">
        <v>1712</v>
      </c>
      <c r="E4980" s="12" t="s">
        <v>1713</v>
      </c>
      <c r="F4980" s="12" t="s">
        <v>1714</v>
      </c>
      <c r="G4980" s="13" t="s">
        <v>1709</v>
      </c>
    </row>
    <row r="4981" spans="1:7">
      <c r="A4981" s="15" t="s">
        <v>1711</v>
      </c>
      <c r="B4981" s="13">
        <v>0.2</v>
      </c>
      <c r="C4981" s="16">
        <v>0.96299999999999997</v>
      </c>
      <c r="D4981" s="13" t="s">
        <v>1712</v>
      </c>
      <c r="E4981" s="12" t="s">
        <v>1713</v>
      </c>
      <c r="F4981" s="12" t="s">
        <v>1714</v>
      </c>
      <c r="G4981" s="13" t="s">
        <v>1709</v>
      </c>
    </row>
    <row r="4982" spans="1:7">
      <c r="A4982" s="15" t="s">
        <v>1711</v>
      </c>
      <c r="B4982" s="13">
        <v>0.2</v>
      </c>
      <c r="C4982" s="16">
        <v>1.8379999999999999</v>
      </c>
      <c r="D4982" s="13" t="s">
        <v>1712</v>
      </c>
      <c r="E4982" s="12" t="s">
        <v>1713</v>
      </c>
      <c r="F4982" s="12" t="s">
        <v>1714</v>
      </c>
      <c r="G4982" s="13" t="s">
        <v>1709</v>
      </c>
    </row>
    <row r="4983" spans="1:7">
      <c r="A4983" s="15" t="s">
        <v>1711</v>
      </c>
      <c r="B4983" s="13">
        <v>0.2</v>
      </c>
      <c r="C4983" s="16">
        <v>1.8379999999999999</v>
      </c>
      <c r="D4983" s="13" t="s">
        <v>1712</v>
      </c>
      <c r="E4983" s="12" t="s">
        <v>1713</v>
      </c>
      <c r="F4983" s="12" t="s">
        <v>1714</v>
      </c>
      <c r="G4983" s="13" t="s">
        <v>1709</v>
      </c>
    </row>
    <row r="4984" spans="1:7">
      <c r="A4984" s="15" t="s">
        <v>1711</v>
      </c>
      <c r="B4984" s="13">
        <v>0.2</v>
      </c>
      <c r="C4984" s="16">
        <v>1.8379999999999999</v>
      </c>
      <c r="D4984" s="13" t="s">
        <v>1712</v>
      </c>
      <c r="E4984" s="12" t="s">
        <v>1713</v>
      </c>
      <c r="F4984" s="12" t="s">
        <v>1714</v>
      </c>
      <c r="G4984" s="13" t="s">
        <v>1709</v>
      </c>
    </row>
    <row r="4985" spans="1:7">
      <c r="A4985" s="15" t="s">
        <v>1711</v>
      </c>
      <c r="B4985" s="13">
        <v>0.2</v>
      </c>
      <c r="C4985" s="16">
        <v>1.8379999999999999</v>
      </c>
      <c r="D4985" s="13" t="s">
        <v>1712</v>
      </c>
      <c r="E4985" s="12" t="s">
        <v>1713</v>
      </c>
      <c r="F4985" s="12" t="s">
        <v>1714</v>
      </c>
      <c r="G4985" s="13" t="s">
        <v>1709</v>
      </c>
    </row>
    <row r="4986" spans="1:7">
      <c r="A4986" s="15" t="s">
        <v>1711</v>
      </c>
      <c r="B4986" s="13">
        <v>0.2</v>
      </c>
      <c r="C4986" s="16">
        <v>1.8379999999999999</v>
      </c>
      <c r="D4986" s="13" t="s">
        <v>1712</v>
      </c>
      <c r="E4986" s="12" t="s">
        <v>1713</v>
      </c>
      <c r="F4986" s="12" t="s">
        <v>1714</v>
      </c>
      <c r="G4986" s="13" t="s">
        <v>1709</v>
      </c>
    </row>
    <row r="4987" spans="1:7">
      <c r="A4987" s="15" t="s">
        <v>1711</v>
      </c>
      <c r="B4987" s="13">
        <v>0.2</v>
      </c>
      <c r="C4987" s="16">
        <v>1.8379999999999999</v>
      </c>
      <c r="D4987" s="13" t="s">
        <v>1712</v>
      </c>
      <c r="E4987" s="12" t="s">
        <v>1713</v>
      </c>
      <c r="F4987" s="12" t="s">
        <v>1714</v>
      </c>
      <c r="G4987" s="13" t="s">
        <v>1709</v>
      </c>
    </row>
    <row r="4988" spans="1:7">
      <c r="A4988" s="15" t="s">
        <v>1711</v>
      </c>
      <c r="B4988" s="13">
        <v>0.2</v>
      </c>
      <c r="C4988" s="16">
        <v>1.8379999999999999</v>
      </c>
      <c r="D4988" s="13" t="s">
        <v>1712</v>
      </c>
      <c r="E4988" s="12" t="s">
        <v>1713</v>
      </c>
      <c r="F4988" s="12" t="s">
        <v>1714</v>
      </c>
      <c r="G4988" s="13" t="s">
        <v>1709</v>
      </c>
    </row>
    <row r="4989" spans="1:7">
      <c r="A4989" s="15" t="s">
        <v>1711</v>
      </c>
      <c r="B4989" s="13">
        <v>0.2</v>
      </c>
      <c r="C4989" s="16">
        <v>1.8599999999999999</v>
      </c>
      <c r="D4989" s="13" t="s">
        <v>1712</v>
      </c>
      <c r="E4989" s="12" t="s">
        <v>1713</v>
      </c>
      <c r="F4989" s="12" t="s">
        <v>1714</v>
      </c>
      <c r="G4989" s="13" t="s">
        <v>1709</v>
      </c>
    </row>
    <row r="4990" spans="1:7">
      <c r="A4990" s="15" t="s">
        <v>1711</v>
      </c>
      <c r="B4990" s="13">
        <v>0.2</v>
      </c>
      <c r="C4990" s="16">
        <v>0.94199999999999995</v>
      </c>
      <c r="D4990" s="13" t="s">
        <v>1712</v>
      </c>
      <c r="E4990" s="12" t="s">
        <v>1713</v>
      </c>
      <c r="F4990" s="12" t="s">
        <v>1714</v>
      </c>
      <c r="G4990" s="13" t="s">
        <v>1709</v>
      </c>
    </row>
    <row r="4991" spans="1:7">
      <c r="A4991" s="15" t="s">
        <v>1711</v>
      </c>
      <c r="B4991" s="13">
        <v>0.2</v>
      </c>
      <c r="C4991" s="16">
        <v>0.189</v>
      </c>
      <c r="D4991" s="13" t="s">
        <v>1712</v>
      </c>
      <c r="E4991" s="12" t="s">
        <v>1713</v>
      </c>
      <c r="F4991" s="12" t="s">
        <v>1714</v>
      </c>
      <c r="G4991" s="13" t="s">
        <v>1709</v>
      </c>
    </row>
    <row r="4992" spans="1:7">
      <c r="A4992" s="15" t="s">
        <v>1711</v>
      </c>
      <c r="B4992" s="13">
        <v>0.2</v>
      </c>
      <c r="C4992" s="16">
        <v>-0.09</v>
      </c>
      <c r="D4992" s="13" t="s">
        <v>1709</v>
      </c>
      <c r="E4992" s="12" t="s">
        <v>1710</v>
      </c>
      <c r="F4992" s="12" t="s">
        <v>1710</v>
      </c>
      <c r="G4992" s="13" t="s">
        <v>1709</v>
      </c>
    </row>
    <row r="4993" spans="1:7">
      <c r="A4993" s="15" t="s">
        <v>1711</v>
      </c>
      <c r="B4993" s="13">
        <v>0.2</v>
      </c>
      <c r="C4993" s="16">
        <v>0.17799999999999999</v>
      </c>
      <c r="D4993" s="13" t="s">
        <v>1712</v>
      </c>
      <c r="E4993" s="12" t="s">
        <v>1713</v>
      </c>
      <c r="F4993" s="12" t="s">
        <v>1714</v>
      </c>
      <c r="G4993" s="13" t="s">
        <v>1709</v>
      </c>
    </row>
    <row r="4994" spans="1:7">
      <c r="A4994" s="15" t="s">
        <v>1711</v>
      </c>
      <c r="B4994" s="13">
        <v>0.2</v>
      </c>
      <c r="C4994" s="16">
        <v>0.17799999999999999</v>
      </c>
      <c r="D4994" s="13" t="s">
        <v>1712</v>
      </c>
      <c r="E4994" s="12" t="s">
        <v>1713</v>
      </c>
      <c r="F4994" s="12" t="s">
        <v>1714</v>
      </c>
      <c r="G4994" s="13" t="s">
        <v>1709</v>
      </c>
    </row>
    <row r="4995" spans="1:7">
      <c r="A4995" s="15" t="s">
        <v>1711</v>
      </c>
      <c r="B4995" s="13">
        <v>0.2</v>
      </c>
      <c r="C4995" s="16">
        <v>-5.9000000000000004E-2</v>
      </c>
      <c r="D4995" s="13" t="s">
        <v>1709</v>
      </c>
      <c r="E4995" s="12" t="s">
        <v>1710</v>
      </c>
      <c r="F4995" s="12" t="s">
        <v>1710</v>
      </c>
      <c r="G4995" s="13" t="s">
        <v>1709</v>
      </c>
    </row>
    <row r="4996" spans="1:7">
      <c r="A4996" s="15" t="s">
        <v>1711</v>
      </c>
      <c r="B4996" s="13">
        <v>0.2</v>
      </c>
      <c r="C4996" s="16">
        <v>-5.9000000000000004E-2</v>
      </c>
      <c r="D4996" s="13" t="s">
        <v>1709</v>
      </c>
      <c r="E4996" s="12" t="s">
        <v>1710</v>
      </c>
      <c r="F4996" s="12" t="s">
        <v>1710</v>
      </c>
      <c r="G4996" s="13" t="s">
        <v>1709</v>
      </c>
    </row>
    <row r="4997" spans="1:7">
      <c r="A4997" s="15" t="s">
        <v>1711</v>
      </c>
      <c r="B4997" s="13">
        <v>0.2</v>
      </c>
      <c r="C4997" s="16">
        <v>-5.9000000000000004E-2</v>
      </c>
      <c r="D4997" s="13" t="s">
        <v>1709</v>
      </c>
      <c r="E4997" s="12" t="s">
        <v>1710</v>
      </c>
      <c r="F4997" s="12" t="s">
        <v>1710</v>
      </c>
      <c r="G4997" s="13" t="s">
        <v>1709</v>
      </c>
    </row>
    <row r="4998" spans="1:7">
      <c r="A4998" s="15" t="s">
        <v>1711</v>
      </c>
      <c r="B4998" s="13">
        <v>0.2</v>
      </c>
      <c r="C4998" s="16">
        <v>-3.5000000000000003E-2</v>
      </c>
      <c r="D4998" s="13" t="s">
        <v>1709</v>
      </c>
      <c r="E4998" s="12" t="s">
        <v>1710</v>
      </c>
      <c r="F4998" s="12" t="s">
        <v>1710</v>
      </c>
      <c r="G4998" s="13" t="s">
        <v>1709</v>
      </c>
    </row>
    <row r="4999" spans="1:7">
      <c r="A4999" s="15" t="s">
        <v>1711</v>
      </c>
      <c r="B4999" s="13">
        <v>0.2</v>
      </c>
      <c r="C4999" s="16">
        <v>0.99299999999999999</v>
      </c>
      <c r="D4999" s="13" t="s">
        <v>1712</v>
      </c>
      <c r="E4999" s="12" t="s">
        <v>1713</v>
      </c>
      <c r="F4999" s="12" t="s">
        <v>1714</v>
      </c>
      <c r="G4999" s="13" t="s">
        <v>1709</v>
      </c>
    </row>
    <row r="5000" spans="1:7">
      <c r="A5000" s="15" t="s">
        <v>1711</v>
      </c>
      <c r="B5000" s="13">
        <v>0.2</v>
      </c>
      <c r="C5000" s="16">
        <v>0.79800000000000004</v>
      </c>
      <c r="D5000" s="13" t="s">
        <v>1712</v>
      </c>
      <c r="E5000" s="12" t="s">
        <v>1713</v>
      </c>
      <c r="F5000" s="12" t="s">
        <v>1714</v>
      </c>
      <c r="G5000" s="13" t="s">
        <v>1709</v>
      </c>
    </row>
    <row r="5001" spans="1:7">
      <c r="A5001" s="15" t="s">
        <v>1711</v>
      </c>
      <c r="B5001" s="13">
        <v>0.2</v>
      </c>
      <c r="C5001" s="16">
        <v>-1.4999999999999999E-2</v>
      </c>
      <c r="D5001" s="13" t="s">
        <v>1709</v>
      </c>
      <c r="E5001" s="12" t="s">
        <v>1710</v>
      </c>
      <c r="F5001" s="12" t="s">
        <v>1710</v>
      </c>
      <c r="G5001" s="13" t="s">
        <v>1709</v>
      </c>
    </row>
    <row r="5002" spans="1:7">
      <c r="A5002" s="15" t="s">
        <v>1711</v>
      </c>
      <c r="B5002" s="13">
        <v>0.2</v>
      </c>
      <c r="C5002" s="16">
        <v>-4.3999999999999997E-2</v>
      </c>
      <c r="D5002" s="13" t="s">
        <v>1709</v>
      </c>
      <c r="E5002" s="12" t="s">
        <v>1710</v>
      </c>
      <c r="F5002" s="12" t="s">
        <v>1710</v>
      </c>
      <c r="G5002" s="13" t="s">
        <v>1709</v>
      </c>
    </row>
    <row r="5003" spans="1:7">
      <c r="A5003" s="15" t="s">
        <v>1711</v>
      </c>
      <c r="B5003" s="13">
        <v>0.2</v>
      </c>
      <c r="C5003" s="16">
        <v>-3.2000000000000001E-2</v>
      </c>
      <c r="D5003" s="13" t="s">
        <v>1709</v>
      </c>
      <c r="E5003" s="12" t="s">
        <v>1710</v>
      </c>
      <c r="F5003" s="12" t="s">
        <v>1710</v>
      </c>
      <c r="G5003" s="13" t="s">
        <v>1709</v>
      </c>
    </row>
    <row r="5004" spans="1:7">
      <c r="A5004" s="15" t="s">
        <v>1711</v>
      </c>
      <c r="B5004" s="13">
        <v>0.2</v>
      </c>
      <c r="C5004" s="16">
        <v>1.4389999999999998</v>
      </c>
      <c r="D5004" s="13" t="s">
        <v>1712</v>
      </c>
      <c r="E5004" s="12" t="s">
        <v>1713</v>
      </c>
      <c r="F5004" s="12" t="s">
        <v>1714</v>
      </c>
      <c r="G5004" s="13" t="s">
        <v>1709</v>
      </c>
    </row>
    <row r="5005" spans="1:7">
      <c r="A5005" s="15" t="s">
        <v>1711</v>
      </c>
      <c r="B5005" s="13">
        <v>0.2</v>
      </c>
      <c r="C5005" s="16">
        <v>0.79800000000000004</v>
      </c>
      <c r="D5005" s="13" t="s">
        <v>1712</v>
      </c>
      <c r="E5005" s="12" t="s">
        <v>1713</v>
      </c>
      <c r="F5005" s="12" t="s">
        <v>1714</v>
      </c>
      <c r="G5005" s="13" t="s">
        <v>1709</v>
      </c>
    </row>
    <row r="5006" spans="1:7">
      <c r="A5006" s="15" t="s">
        <v>1711</v>
      </c>
      <c r="B5006" s="13">
        <v>0.2</v>
      </c>
      <c r="C5006" s="16">
        <v>0.79800000000000004</v>
      </c>
      <c r="D5006" s="13" t="s">
        <v>1712</v>
      </c>
      <c r="E5006" s="12" t="s">
        <v>1713</v>
      </c>
      <c r="F5006" s="12" t="s">
        <v>1714</v>
      </c>
      <c r="G5006" s="13" t="s">
        <v>1709</v>
      </c>
    </row>
    <row r="5007" spans="1:7">
      <c r="A5007" s="15" t="s">
        <v>1711</v>
      </c>
      <c r="B5007" s="13">
        <v>0.2</v>
      </c>
      <c r="C5007" s="16">
        <v>0.79800000000000004</v>
      </c>
      <c r="D5007" s="13" t="s">
        <v>1712</v>
      </c>
      <c r="E5007" s="12" t="s">
        <v>1713</v>
      </c>
      <c r="F5007" s="12" t="s">
        <v>1714</v>
      </c>
      <c r="G5007" s="13" t="s">
        <v>1709</v>
      </c>
    </row>
    <row r="5008" spans="1:7">
      <c r="A5008" s="15" t="s">
        <v>1711</v>
      </c>
      <c r="B5008" s="13">
        <v>0.2</v>
      </c>
      <c r="C5008" s="16">
        <v>0.79800000000000004</v>
      </c>
      <c r="D5008" s="13" t="s">
        <v>1712</v>
      </c>
      <c r="E5008" s="12" t="s">
        <v>1713</v>
      </c>
      <c r="F5008" s="12" t="s">
        <v>1714</v>
      </c>
      <c r="G5008" s="13" t="s">
        <v>1709</v>
      </c>
    </row>
    <row r="5009" spans="1:7">
      <c r="A5009" s="15" t="s">
        <v>1711</v>
      </c>
      <c r="B5009" s="13">
        <v>0.2</v>
      </c>
      <c r="C5009" s="16">
        <v>0.216</v>
      </c>
      <c r="D5009" s="13" t="s">
        <v>1712</v>
      </c>
      <c r="E5009" s="12" t="s">
        <v>1713</v>
      </c>
      <c r="F5009" s="12" t="s">
        <v>1714</v>
      </c>
      <c r="G5009" s="13" t="s">
        <v>1709</v>
      </c>
    </row>
    <row r="5010" spans="1:7">
      <c r="A5010" s="15" t="s">
        <v>1711</v>
      </c>
      <c r="B5010" s="13">
        <v>0.2</v>
      </c>
      <c r="C5010" s="16">
        <v>0.216</v>
      </c>
      <c r="D5010" s="13" t="s">
        <v>1712</v>
      </c>
      <c r="E5010" s="12" t="s">
        <v>1713</v>
      </c>
      <c r="F5010" s="12" t="s">
        <v>1714</v>
      </c>
      <c r="G5010" s="13" t="s">
        <v>1709</v>
      </c>
    </row>
    <row r="5011" spans="1:7">
      <c r="A5011" s="15" t="s">
        <v>1711</v>
      </c>
      <c r="B5011" s="13">
        <v>0.2</v>
      </c>
      <c r="C5011" s="16">
        <v>0.216</v>
      </c>
      <c r="D5011" s="13" t="s">
        <v>1712</v>
      </c>
      <c r="E5011" s="12" t="s">
        <v>1713</v>
      </c>
      <c r="F5011" s="12" t="s">
        <v>1714</v>
      </c>
      <c r="G5011" s="13" t="s">
        <v>1709</v>
      </c>
    </row>
    <row r="5012" spans="1:7">
      <c r="A5012" s="15" t="s">
        <v>1711</v>
      </c>
      <c r="B5012" s="13">
        <v>0.2</v>
      </c>
      <c r="C5012" s="16">
        <v>0.216</v>
      </c>
      <c r="D5012" s="13" t="s">
        <v>1712</v>
      </c>
      <c r="E5012" s="12" t="s">
        <v>1713</v>
      </c>
      <c r="F5012" s="12" t="s">
        <v>1714</v>
      </c>
      <c r="G5012" s="13" t="s">
        <v>1709</v>
      </c>
    </row>
    <row r="5013" spans="1:7">
      <c r="A5013" s="15" t="s">
        <v>1711</v>
      </c>
      <c r="B5013" s="13">
        <v>0.2</v>
      </c>
      <c r="C5013" s="16">
        <v>0.216</v>
      </c>
      <c r="D5013" s="13" t="s">
        <v>1712</v>
      </c>
      <c r="E5013" s="12" t="s">
        <v>1713</v>
      </c>
      <c r="F5013" s="12" t="s">
        <v>1714</v>
      </c>
      <c r="G5013" s="13" t="s">
        <v>1709</v>
      </c>
    </row>
    <row r="5014" spans="1:7">
      <c r="A5014" s="15" t="s">
        <v>1711</v>
      </c>
      <c r="B5014" s="13">
        <v>0.2</v>
      </c>
      <c r="C5014" s="16">
        <v>-0.189</v>
      </c>
      <c r="D5014" s="13" t="s">
        <v>1709</v>
      </c>
      <c r="E5014" s="12" t="s">
        <v>1710</v>
      </c>
      <c r="F5014" s="12" t="s">
        <v>1710</v>
      </c>
      <c r="G5014" s="13" t="s">
        <v>1709</v>
      </c>
    </row>
    <row r="5015" spans="1:7">
      <c r="A5015" s="15" t="s">
        <v>1711</v>
      </c>
      <c r="B5015" s="13">
        <v>0.2</v>
      </c>
      <c r="C5015" s="16">
        <v>-0.154</v>
      </c>
      <c r="D5015" s="13" t="s">
        <v>1709</v>
      </c>
      <c r="E5015" s="12" t="s">
        <v>1710</v>
      </c>
      <c r="F5015" s="12" t="s">
        <v>1710</v>
      </c>
      <c r="G5015" s="13" t="s">
        <v>1709</v>
      </c>
    </row>
    <row r="5016" spans="1:7">
      <c r="A5016" s="15" t="s">
        <v>1711</v>
      </c>
      <c r="B5016" s="13">
        <v>0.2</v>
      </c>
      <c r="C5016" s="16">
        <v>-8.8999999999999996E-2</v>
      </c>
      <c r="D5016" s="13" t="s">
        <v>1709</v>
      </c>
      <c r="E5016" s="12" t="s">
        <v>1710</v>
      </c>
      <c r="F5016" s="12" t="s">
        <v>1710</v>
      </c>
      <c r="G5016" s="13" t="s">
        <v>1709</v>
      </c>
    </row>
    <row r="5017" spans="1:7">
      <c r="A5017" s="15" t="s">
        <v>1711</v>
      </c>
      <c r="B5017" s="13">
        <v>0.2</v>
      </c>
      <c r="C5017" s="16">
        <v>-2.7E-2</v>
      </c>
      <c r="D5017" s="13" t="s">
        <v>1709</v>
      </c>
      <c r="E5017" s="12" t="s">
        <v>1710</v>
      </c>
      <c r="F5017" s="12" t="s">
        <v>1710</v>
      </c>
      <c r="G5017" s="13" t="s">
        <v>1709</v>
      </c>
    </row>
    <row r="5018" spans="1:7">
      <c r="A5018" s="15" t="s">
        <v>1711</v>
      </c>
      <c r="B5018" s="13">
        <v>0.2</v>
      </c>
      <c r="C5018" s="16">
        <v>-2.7E-2</v>
      </c>
      <c r="D5018" s="13" t="s">
        <v>1709</v>
      </c>
      <c r="E5018" s="12" t="s">
        <v>1710</v>
      </c>
      <c r="F5018" s="12" t="s">
        <v>1710</v>
      </c>
      <c r="G5018" s="13" t="s">
        <v>1709</v>
      </c>
    </row>
    <row r="5019" spans="1:7">
      <c r="A5019" s="15" t="s">
        <v>1711</v>
      </c>
      <c r="B5019" s="13">
        <v>0.2</v>
      </c>
      <c r="C5019" s="16">
        <v>-2.7E-2</v>
      </c>
      <c r="D5019" s="13" t="s">
        <v>1709</v>
      </c>
      <c r="E5019" s="12" t="s">
        <v>1710</v>
      </c>
      <c r="F5019" s="12" t="s">
        <v>1710</v>
      </c>
      <c r="G5019" s="13" t="s">
        <v>1709</v>
      </c>
    </row>
    <row r="5020" spans="1:7">
      <c r="A5020" s="15" t="s">
        <v>1711</v>
      </c>
      <c r="B5020" s="13">
        <v>0.2</v>
      </c>
      <c r="C5020" s="16">
        <v>-2.7E-2</v>
      </c>
      <c r="D5020" s="13" t="s">
        <v>1709</v>
      </c>
      <c r="E5020" s="12" t="s">
        <v>1710</v>
      </c>
      <c r="F5020" s="12" t="s">
        <v>1710</v>
      </c>
      <c r="G5020" s="13" t="s">
        <v>1709</v>
      </c>
    </row>
    <row r="5021" spans="1:7">
      <c r="A5021" s="15" t="s">
        <v>1711</v>
      </c>
      <c r="B5021" s="13">
        <v>0.2</v>
      </c>
      <c r="C5021" s="16">
        <v>-2.7E-2</v>
      </c>
      <c r="D5021" s="13" t="s">
        <v>1709</v>
      </c>
      <c r="E5021" s="12" t="s">
        <v>1710</v>
      </c>
      <c r="F5021" s="12" t="s">
        <v>1710</v>
      </c>
      <c r="G5021" s="13" t="s">
        <v>1709</v>
      </c>
    </row>
    <row r="5022" spans="1:7">
      <c r="A5022" s="15" t="s">
        <v>1711</v>
      </c>
      <c r="B5022" s="13">
        <v>0.2</v>
      </c>
      <c r="C5022" s="16">
        <v>-7.0000000000000007E-2</v>
      </c>
      <c r="D5022" s="13" t="s">
        <v>1709</v>
      </c>
      <c r="E5022" s="12" t="s">
        <v>1710</v>
      </c>
      <c r="F5022" s="12" t="s">
        <v>1710</v>
      </c>
      <c r="G5022" s="13" t="s">
        <v>1709</v>
      </c>
    </row>
    <row r="5023" spans="1:7">
      <c r="A5023" s="15" t="s">
        <v>1711</v>
      </c>
      <c r="B5023" s="13">
        <v>0.2</v>
      </c>
      <c r="C5023" s="16">
        <v>-0.13400000000000001</v>
      </c>
      <c r="D5023" s="13" t="s">
        <v>1709</v>
      </c>
      <c r="E5023" s="12" t="s">
        <v>1710</v>
      </c>
      <c r="F5023" s="12" t="s">
        <v>1710</v>
      </c>
      <c r="G5023" s="13" t="s">
        <v>1709</v>
      </c>
    </row>
    <row r="5024" spans="1:7">
      <c r="A5024" s="15" t="s">
        <v>1711</v>
      </c>
      <c r="B5024" s="13">
        <v>0.2</v>
      </c>
      <c r="C5024" s="16">
        <v>0.17799999999999999</v>
      </c>
      <c r="D5024" s="13" t="s">
        <v>1712</v>
      </c>
      <c r="E5024" s="12" t="s">
        <v>1715</v>
      </c>
      <c r="F5024" s="12" t="s">
        <v>1714</v>
      </c>
      <c r="G5024" s="13" t="s">
        <v>1709</v>
      </c>
    </row>
    <row r="5025" spans="1:7">
      <c r="A5025" s="15" t="s">
        <v>1711</v>
      </c>
      <c r="B5025" s="13">
        <v>0.2</v>
      </c>
      <c r="C5025" s="16">
        <v>0.17799999999999999</v>
      </c>
      <c r="D5025" s="13" t="s">
        <v>1712</v>
      </c>
      <c r="E5025" s="12" t="s">
        <v>1715</v>
      </c>
      <c r="F5025" s="12" t="s">
        <v>1714</v>
      </c>
      <c r="G5025" s="13" t="s">
        <v>1709</v>
      </c>
    </row>
    <row r="5026" spans="1:7">
      <c r="A5026" s="15" t="s">
        <v>1711</v>
      </c>
      <c r="B5026" s="13">
        <v>0.2</v>
      </c>
      <c r="C5026" s="16">
        <v>9.8000000000000004E-2</v>
      </c>
      <c r="D5026" s="13" t="s">
        <v>1712</v>
      </c>
      <c r="E5026" s="12" t="s">
        <v>1715</v>
      </c>
      <c r="F5026" s="12" t="s">
        <v>1714</v>
      </c>
      <c r="G5026" s="13" t="s">
        <v>1709</v>
      </c>
    </row>
    <row r="5027" spans="1:7">
      <c r="A5027" s="15" t="s">
        <v>1711</v>
      </c>
      <c r="B5027" s="13">
        <v>0.2</v>
      </c>
      <c r="C5027" s="16">
        <v>0.152</v>
      </c>
      <c r="D5027" s="13" t="s">
        <v>1712</v>
      </c>
      <c r="E5027" s="12" t="s">
        <v>1715</v>
      </c>
      <c r="F5027" s="12" t="s">
        <v>1714</v>
      </c>
      <c r="G5027" s="13" t="s">
        <v>1709</v>
      </c>
    </row>
    <row r="5028" spans="1:7">
      <c r="A5028" s="15" t="s">
        <v>1711</v>
      </c>
      <c r="B5028" s="13">
        <v>0.2</v>
      </c>
      <c r="C5028" s="16">
        <v>0.16700000000000001</v>
      </c>
      <c r="D5028" s="13" t="s">
        <v>1712</v>
      </c>
      <c r="E5028" s="12" t="s">
        <v>1715</v>
      </c>
      <c r="F5028" s="12" t="s">
        <v>1714</v>
      </c>
      <c r="G5028" s="13" t="s">
        <v>1709</v>
      </c>
    </row>
    <row r="5029" spans="1:7">
      <c r="A5029" s="15" t="s">
        <v>1711</v>
      </c>
      <c r="B5029" s="13">
        <v>0.2</v>
      </c>
      <c r="C5029" s="16">
        <v>0.64400000000000002</v>
      </c>
      <c r="D5029" s="13" t="s">
        <v>1712</v>
      </c>
      <c r="E5029" s="12" t="s">
        <v>1715</v>
      </c>
      <c r="F5029" s="12" t="s">
        <v>1714</v>
      </c>
      <c r="G5029" s="13" t="s">
        <v>1709</v>
      </c>
    </row>
    <row r="5030" spans="1:7">
      <c r="A5030" s="15" t="s">
        <v>1711</v>
      </c>
      <c r="B5030" s="13">
        <v>0.2</v>
      </c>
      <c r="C5030" s="16">
        <v>1.1599999999999999</v>
      </c>
      <c r="D5030" s="13" t="s">
        <v>1712</v>
      </c>
      <c r="E5030" s="12" t="s">
        <v>1715</v>
      </c>
      <c r="F5030" s="12" t="s">
        <v>1714</v>
      </c>
      <c r="G5030" s="13" t="s">
        <v>1709</v>
      </c>
    </row>
    <row r="5031" spans="1:7">
      <c r="A5031" s="15" t="s">
        <v>1711</v>
      </c>
      <c r="B5031" s="13">
        <v>0.2</v>
      </c>
      <c r="C5031" s="16">
        <v>1.1589999999999998</v>
      </c>
      <c r="D5031" s="13" t="s">
        <v>1712</v>
      </c>
      <c r="E5031" s="12" t="s">
        <v>1715</v>
      </c>
      <c r="F5031" s="12" t="s">
        <v>1714</v>
      </c>
      <c r="G5031" s="13" t="s">
        <v>1709</v>
      </c>
    </row>
    <row r="5032" spans="1:7">
      <c r="A5032" s="15" t="s">
        <v>1711</v>
      </c>
      <c r="B5032" s="13">
        <v>0.2</v>
      </c>
      <c r="C5032" s="16">
        <v>0.89800000000000002</v>
      </c>
      <c r="D5032" s="13" t="s">
        <v>1712</v>
      </c>
      <c r="E5032" s="12" t="s">
        <v>1715</v>
      </c>
      <c r="F5032" s="12" t="s">
        <v>1714</v>
      </c>
      <c r="G5032" s="13" t="s">
        <v>1709</v>
      </c>
    </row>
    <row r="5033" spans="1:7">
      <c r="A5033" s="15" t="s">
        <v>1711</v>
      </c>
      <c r="B5033" s="13">
        <v>0.2</v>
      </c>
      <c r="C5033" s="16">
        <v>0.20200000000000001</v>
      </c>
      <c r="D5033" s="13" t="s">
        <v>1712</v>
      </c>
      <c r="E5033" s="12" t="s">
        <v>1715</v>
      </c>
      <c r="F5033" s="12" t="s">
        <v>1714</v>
      </c>
      <c r="G5033" s="13" t="s">
        <v>1709</v>
      </c>
    </row>
    <row r="5034" spans="1:7">
      <c r="A5034" s="15" t="s">
        <v>1711</v>
      </c>
      <c r="B5034" s="13">
        <v>0.2</v>
      </c>
      <c r="C5034" s="16">
        <v>1.1639999999999999</v>
      </c>
      <c r="D5034" s="13" t="s">
        <v>1712</v>
      </c>
      <c r="E5034" s="12" t="s">
        <v>1715</v>
      </c>
      <c r="F5034" s="12" t="s">
        <v>1714</v>
      </c>
      <c r="G5034" s="13" t="s">
        <v>1709</v>
      </c>
    </row>
    <row r="5035" spans="1:7">
      <c r="A5035" s="15" t="s">
        <v>1711</v>
      </c>
      <c r="B5035" s="13">
        <v>0.2</v>
      </c>
      <c r="C5035" s="16">
        <v>0.82099999999999995</v>
      </c>
      <c r="D5035" s="13" t="s">
        <v>1712</v>
      </c>
      <c r="E5035" s="12" t="s">
        <v>1715</v>
      </c>
      <c r="F5035" s="12" t="s">
        <v>1714</v>
      </c>
      <c r="G5035" s="13" t="s">
        <v>1709</v>
      </c>
    </row>
    <row r="5036" spans="1:7">
      <c r="A5036" s="15" t="s">
        <v>1711</v>
      </c>
      <c r="B5036" s="13">
        <v>0.2</v>
      </c>
      <c r="C5036" s="16">
        <v>0.82099999999999995</v>
      </c>
      <c r="D5036" s="13" t="s">
        <v>1712</v>
      </c>
      <c r="E5036" s="12" t="s">
        <v>1715</v>
      </c>
      <c r="F5036" s="12" t="s">
        <v>1714</v>
      </c>
      <c r="G5036" s="13" t="s">
        <v>1709</v>
      </c>
    </row>
    <row r="5037" spans="1:7">
      <c r="A5037" s="15" t="s">
        <v>1711</v>
      </c>
      <c r="B5037" s="13">
        <v>0.2</v>
      </c>
      <c r="C5037" s="16">
        <v>0.82099999999999995</v>
      </c>
      <c r="D5037" s="13" t="s">
        <v>1712</v>
      </c>
      <c r="E5037" s="12" t="s">
        <v>1715</v>
      </c>
      <c r="F5037" s="12" t="s">
        <v>1714</v>
      </c>
      <c r="G5037" s="13" t="s">
        <v>1709</v>
      </c>
    </row>
    <row r="5038" spans="1:7">
      <c r="A5038" s="15" t="s">
        <v>1711</v>
      </c>
      <c r="B5038" s="13">
        <v>0.2</v>
      </c>
      <c r="C5038" s="16">
        <v>1.3000000000000001E-2</v>
      </c>
      <c r="D5038" s="13" t="s">
        <v>1712</v>
      </c>
      <c r="E5038" s="12" t="s">
        <v>1715</v>
      </c>
      <c r="F5038" s="12" t="s">
        <v>1714</v>
      </c>
      <c r="G5038" s="13" t="s">
        <v>1709</v>
      </c>
    </row>
    <row r="5039" spans="1:7">
      <c r="A5039" s="15" t="s">
        <v>1711</v>
      </c>
      <c r="B5039" s="13">
        <v>0.2</v>
      </c>
      <c r="C5039" s="16">
        <v>0.185</v>
      </c>
      <c r="D5039" s="13" t="s">
        <v>1712</v>
      </c>
      <c r="E5039" s="12" t="s">
        <v>1715</v>
      </c>
      <c r="F5039" s="12" t="s">
        <v>1714</v>
      </c>
      <c r="G5039" s="13" t="s">
        <v>1709</v>
      </c>
    </row>
    <row r="5040" spans="1:7">
      <c r="A5040" s="15" t="s">
        <v>1711</v>
      </c>
      <c r="B5040" s="13">
        <v>0.2</v>
      </c>
      <c r="C5040" s="16">
        <v>0.18</v>
      </c>
      <c r="D5040" s="13" t="s">
        <v>1712</v>
      </c>
      <c r="E5040" s="12" t="s">
        <v>1715</v>
      </c>
      <c r="F5040" s="12" t="s">
        <v>1714</v>
      </c>
      <c r="G5040" s="13" t="s">
        <v>1709</v>
      </c>
    </row>
    <row r="5041" spans="1:7">
      <c r="A5041" s="15" t="s">
        <v>1711</v>
      </c>
      <c r="B5041" s="13">
        <v>0.2</v>
      </c>
      <c r="C5041" s="16">
        <v>1.8959999999999999</v>
      </c>
      <c r="D5041" s="13" t="s">
        <v>1712</v>
      </c>
      <c r="E5041" s="12" t="s">
        <v>1715</v>
      </c>
      <c r="F5041" s="12" t="s">
        <v>1714</v>
      </c>
      <c r="G5041" s="13" t="s">
        <v>1709</v>
      </c>
    </row>
    <row r="5042" spans="1:7">
      <c r="A5042" s="15" t="s">
        <v>1711</v>
      </c>
      <c r="B5042" s="13">
        <v>0.2</v>
      </c>
      <c r="C5042" s="16">
        <v>3.0000000000000002E-2</v>
      </c>
      <c r="D5042" s="13" t="s">
        <v>1712</v>
      </c>
      <c r="E5042" s="12" t="s">
        <v>1715</v>
      </c>
      <c r="F5042" s="12" t="s">
        <v>1714</v>
      </c>
      <c r="G5042" s="13" t="s">
        <v>1709</v>
      </c>
    </row>
    <row r="5043" spans="1:7">
      <c r="A5043" s="15" t="s">
        <v>1711</v>
      </c>
      <c r="B5043" s="13">
        <v>0.2</v>
      </c>
      <c r="C5043" s="16">
        <v>3.0000000000000002E-2</v>
      </c>
      <c r="D5043" s="13" t="s">
        <v>1712</v>
      </c>
      <c r="E5043" s="12" t="s">
        <v>1715</v>
      </c>
      <c r="F5043" s="12" t="s">
        <v>1714</v>
      </c>
      <c r="G5043" s="13" t="s">
        <v>1709</v>
      </c>
    </row>
    <row r="5044" spans="1:7">
      <c r="A5044" s="15" t="s">
        <v>1711</v>
      </c>
      <c r="B5044" s="13">
        <v>0.2</v>
      </c>
      <c r="C5044" s="16">
        <v>0.23200000000000001</v>
      </c>
      <c r="D5044" s="13" t="s">
        <v>1712</v>
      </c>
      <c r="E5044" s="12" t="s">
        <v>1715</v>
      </c>
      <c r="F5044" s="12" t="s">
        <v>1714</v>
      </c>
      <c r="G5044" s="13" t="s">
        <v>1709</v>
      </c>
    </row>
    <row r="5045" spans="1:7">
      <c r="A5045" s="15" t="s">
        <v>1711</v>
      </c>
      <c r="B5045" s="13">
        <v>0.2</v>
      </c>
      <c r="C5045" s="16">
        <v>0.38700000000000001</v>
      </c>
      <c r="D5045" s="13" t="s">
        <v>1712</v>
      </c>
      <c r="E5045" s="12" t="s">
        <v>1715</v>
      </c>
      <c r="F5045" s="12" t="s">
        <v>1714</v>
      </c>
      <c r="G5045" s="13" t="s">
        <v>1709</v>
      </c>
    </row>
    <row r="5046" spans="1:7">
      <c r="A5046" s="15" t="s">
        <v>1711</v>
      </c>
      <c r="B5046" s="13">
        <v>0.2</v>
      </c>
      <c r="C5046" s="16">
        <v>-1.8000000000000002E-2</v>
      </c>
      <c r="D5046" s="13" t="s">
        <v>1709</v>
      </c>
      <c r="E5046" s="12" t="s">
        <v>1710</v>
      </c>
      <c r="F5046" s="12" t="s">
        <v>1710</v>
      </c>
      <c r="G5046" s="13" t="s">
        <v>1709</v>
      </c>
    </row>
    <row r="5047" spans="1:7">
      <c r="A5047" s="15" t="s">
        <v>1711</v>
      </c>
      <c r="B5047" s="13">
        <v>0.2</v>
      </c>
      <c r="C5047" s="16">
        <v>-9.1999999999999998E-2</v>
      </c>
      <c r="D5047" s="13" t="s">
        <v>1709</v>
      </c>
      <c r="E5047" s="12" t="s">
        <v>1710</v>
      </c>
      <c r="F5047" s="12" t="s">
        <v>1710</v>
      </c>
      <c r="G5047" s="13" t="s">
        <v>1709</v>
      </c>
    </row>
    <row r="5048" spans="1:7">
      <c r="A5048" s="15" t="s">
        <v>1711</v>
      </c>
      <c r="B5048" s="13">
        <v>0.2</v>
      </c>
      <c r="C5048" s="16">
        <v>-6.0999999999999999E-2</v>
      </c>
      <c r="D5048" s="13" t="s">
        <v>1709</v>
      </c>
      <c r="E5048" s="12" t="s">
        <v>1710</v>
      </c>
      <c r="F5048" s="12" t="s">
        <v>1710</v>
      </c>
      <c r="G5048" s="13" t="s">
        <v>1709</v>
      </c>
    </row>
    <row r="5049" spans="1:7">
      <c r="A5049" s="15" t="s">
        <v>1711</v>
      </c>
      <c r="B5049" s="13">
        <v>0.2</v>
      </c>
      <c r="C5049" s="16">
        <v>-0.1</v>
      </c>
      <c r="D5049" s="13" t="s">
        <v>1709</v>
      </c>
      <c r="E5049" s="12" t="s">
        <v>1710</v>
      </c>
      <c r="F5049" s="12" t="s">
        <v>1710</v>
      </c>
      <c r="G5049" s="13" t="s">
        <v>1709</v>
      </c>
    </row>
    <row r="5050" spans="1:7">
      <c r="A5050" s="15" t="s">
        <v>1711</v>
      </c>
      <c r="B5050" s="13">
        <v>0.2</v>
      </c>
      <c r="C5050" s="16">
        <v>-5.0000000000000001E-3</v>
      </c>
      <c r="D5050" s="13" t="s">
        <v>1709</v>
      </c>
      <c r="E5050" s="12" t="s">
        <v>1710</v>
      </c>
      <c r="F5050" s="12" t="s">
        <v>1710</v>
      </c>
      <c r="G5050" s="13" t="s">
        <v>1709</v>
      </c>
    </row>
    <row r="5051" spans="1:7">
      <c r="A5051" s="15" t="s">
        <v>1711</v>
      </c>
      <c r="B5051" s="13">
        <v>0.2</v>
      </c>
      <c r="C5051" s="16">
        <v>-2.3E-2</v>
      </c>
      <c r="D5051" s="13" t="s">
        <v>1709</v>
      </c>
      <c r="E5051" s="12" t="s">
        <v>1710</v>
      </c>
      <c r="F5051" s="12" t="s">
        <v>1710</v>
      </c>
      <c r="G5051" s="13" t="s">
        <v>1709</v>
      </c>
    </row>
    <row r="5052" spans="1:7">
      <c r="A5052" s="15" t="s">
        <v>1711</v>
      </c>
      <c r="B5052" s="13">
        <v>0.2</v>
      </c>
      <c r="C5052" s="16">
        <v>0.19800000000000001</v>
      </c>
      <c r="D5052" s="13" t="s">
        <v>1712</v>
      </c>
      <c r="E5052" s="12" t="s">
        <v>1736</v>
      </c>
      <c r="F5052" s="12" t="s">
        <v>1714</v>
      </c>
      <c r="G5052" s="13" t="s">
        <v>1709</v>
      </c>
    </row>
    <row r="5053" spans="1:7">
      <c r="A5053" s="15" t="s">
        <v>1711</v>
      </c>
      <c r="B5053" s="13">
        <v>0.2</v>
      </c>
      <c r="C5053" s="16">
        <v>0.19800000000000001</v>
      </c>
      <c r="D5053" s="13" t="s">
        <v>1712</v>
      </c>
      <c r="E5053" s="12" t="s">
        <v>1736</v>
      </c>
      <c r="F5053" s="12" t="s">
        <v>1714</v>
      </c>
      <c r="G5053" s="13" t="s">
        <v>1709</v>
      </c>
    </row>
    <row r="5054" spans="1:7">
      <c r="A5054" s="15" t="s">
        <v>1711</v>
      </c>
      <c r="B5054" s="13">
        <v>0.2</v>
      </c>
      <c r="C5054" s="16">
        <v>0.19800000000000001</v>
      </c>
      <c r="D5054" s="13" t="s">
        <v>1712</v>
      </c>
      <c r="E5054" s="12" t="s">
        <v>1736</v>
      </c>
      <c r="F5054" s="12" t="s">
        <v>1714</v>
      </c>
      <c r="G5054" s="13" t="s">
        <v>1709</v>
      </c>
    </row>
    <row r="5055" spans="1:7">
      <c r="A5055" s="15" t="s">
        <v>1711</v>
      </c>
      <c r="B5055" s="13">
        <v>0.2</v>
      </c>
      <c r="C5055" s="16">
        <v>0.19800000000000001</v>
      </c>
      <c r="D5055" s="13" t="s">
        <v>1712</v>
      </c>
      <c r="E5055" s="12" t="s">
        <v>1736</v>
      </c>
      <c r="F5055" s="12" t="s">
        <v>1714</v>
      </c>
      <c r="G5055" s="13" t="s">
        <v>1709</v>
      </c>
    </row>
    <row r="5056" spans="1:7">
      <c r="A5056" s="15" t="s">
        <v>1711</v>
      </c>
      <c r="B5056" s="13">
        <v>0.2</v>
      </c>
      <c r="C5056" s="16">
        <v>0.19800000000000001</v>
      </c>
      <c r="D5056" s="13" t="s">
        <v>1712</v>
      </c>
      <c r="E5056" s="12" t="s">
        <v>1736</v>
      </c>
      <c r="F5056" s="12" t="s">
        <v>1714</v>
      </c>
      <c r="G5056" s="13" t="s">
        <v>1709</v>
      </c>
    </row>
    <row r="5057" spans="1:7">
      <c r="A5057" s="15" t="s">
        <v>1711</v>
      </c>
      <c r="B5057" s="13">
        <v>0.2</v>
      </c>
      <c r="C5057" s="16">
        <v>0.19800000000000001</v>
      </c>
      <c r="D5057" s="13" t="s">
        <v>1712</v>
      </c>
      <c r="E5057" s="12" t="s">
        <v>1736</v>
      </c>
      <c r="F5057" s="12" t="s">
        <v>1714</v>
      </c>
      <c r="G5057" s="13" t="s">
        <v>1709</v>
      </c>
    </row>
    <row r="5058" spans="1:7">
      <c r="A5058" s="15" t="s">
        <v>1711</v>
      </c>
      <c r="B5058" s="13">
        <v>0.2</v>
      </c>
      <c r="C5058" s="16">
        <v>0.19800000000000001</v>
      </c>
      <c r="D5058" s="13" t="s">
        <v>1712</v>
      </c>
      <c r="E5058" s="12" t="s">
        <v>1736</v>
      </c>
      <c r="F5058" s="12" t="s">
        <v>1714</v>
      </c>
      <c r="G5058" s="13" t="s">
        <v>1709</v>
      </c>
    </row>
    <row r="5059" spans="1:7">
      <c r="A5059" s="15" t="s">
        <v>1711</v>
      </c>
      <c r="B5059" s="13">
        <v>0.2</v>
      </c>
      <c r="C5059" s="16">
        <v>0.19800000000000001</v>
      </c>
      <c r="D5059" s="13" t="s">
        <v>1712</v>
      </c>
      <c r="E5059" s="12" t="s">
        <v>1736</v>
      </c>
      <c r="F5059" s="12" t="s">
        <v>1714</v>
      </c>
      <c r="G5059" s="13" t="s">
        <v>1709</v>
      </c>
    </row>
    <row r="5060" spans="1:7">
      <c r="A5060" s="15" t="s">
        <v>1711</v>
      </c>
      <c r="B5060" s="13">
        <v>0.2</v>
      </c>
      <c r="C5060" s="16">
        <v>0.246</v>
      </c>
      <c r="D5060" s="13" t="s">
        <v>1712</v>
      </c>
      <c r="E5060" s="12" t="s">
        <v>1736</v>
      </c>
      <c r="F5060" s="12" t="s">
        <v>1714</v>
      </c>
      <c r="G5060" s="13" t="s">
        <v>1709</v>
      </c>
    </row>
    <row r="5061" spans="1:7">
      <c r="A5061" s="15" t="s">
        <v>1711</v>
      </c>
      <c r="B5061" s="13">
        <v>0.2</v>
      </c>
      <c r="C5061" s="16">
        <v>1.0089999999999999</v>
      </c>
      <c r="D5061" s="13" t="s">
        <v>1712</v>
      </c>
      <c r="E5061" s="12" t="s">
        <v>1736</v>
      </c>
      <c r="F5061" s="12" t="s">
        <v>1714</v>
      </c>
      <c r="G5061" s="13" t="s">
        <v>1709</v>
      </c>
    </row>
    <row r="5062" spans="1:7">
      <c r="A5062" s="15" t="s">
        <v>1711</v>
      </c>
      <c r="B5062" s="13">
        <v>0.2</v>
      </c>
      <c r="C5062" s="16">
        <v>0.16300000000000001</v>
      </c>
      <c r="D5062" s="13" t="s">
        <v>1712</v>
      </c>
      <c r="E5062" s="12" t="s">
        <v>1736</v>
      </c>
      <c r="F5062" s="12" t="s">
        <v>1714</v>
      </c>
      <c r="G5062" s="13" t="s">
        <v>1709</v>
      </c>
    </row>
    <row r="5063" spans="1:7">
      <c r="A5063" s="15" t="s">
        <v>1711</v>
      </c>
      <c r="B5063" s="13">
        <v>0.2</v>
      </c>
      <c r="C5063" s="16">
        <v>1.0019999999999998</v>
      </c>
      <c r="D5063" s="13" t="s">
        <v>1712</v>
      </c>
      <c r="E5063" s="12" t="s">
        <v>1736</v>
      </c>
      <c r="F5063" s="12" t="s">
        <v>1714</v>
      </c>
      <c r="G5063" s="13" t="s">
        <v>1709</v>
      </c>
    </row>
    <row r="5064" spans="1:7">
      <c r="A5064" s="15" t="s">
        <v>1711</v>
      </c>
      <c r="B5064" s="13">
        <v>0.2</v>
      </c>
      <c r="C5064" s="16">
        <v>0.20200000000000001</v>
      </c>
      <c r="D5064" s="13" t="s">
        <v>1712</v>
      </c>
      <c r="E5064" s="12" t="s">
        <v>1736</v>
      </c>
      <c r="F5064" s="12" t="s">
        <v>1714</v>
      </c>
      <c r="G5064" s="13" t="s">
        <v>1709</v>
      </c>
    </row>
    <row r="5065" spans="1:7">
      <c r="A5065" s="15" t="s">
        <v>1711</v>
      </c>
      <c r="B5065" s="13">
        <v>0.2</v>
      </c>
      <c r="C5065" s="16">
        <v>0.92300000000000004</v>
      </c>
      <c r="D5065" s="13" t="s">
        <v>1712</v>
      </c>
      <c r="E5065" s="12" t="s">
        <v>1736</v>
      </c>
      <c r="F5065" s="12" t="s">
        <v>1714</v>
      </c>
      <c r="G5065" s="13" t="s">
        <v>1709</v>
      </c>
    </row>
    <row r="5066" spans="1:7">
      <c r="A5066" s="15" t="s">
        <v>1711</v>
      </c>
      <c r="B5066" s="13">
        <v>0.2</v>
      </c>
      <c r="C5066" s="16">
        <v>0.90900000000000003</v>
      </c>
      <c r="D5066" s="13" t="s">
        <v>1712</v>
      </c>
      <c r="E5066" s="12" t="s">
        <v>1736</v>
      </c>
      <c r="F5066" s="12" t="s">
        <v>1714</v>
      </c>
      <c r="G5066" s="13" t="s">
        <v>1709</v>
      </c>
    </row>
    <row r="5067" spans="1:7">
      <c r="A5067" s="15" t="s">
        <v>1711</v>
      </c>
      <c r="B5067" s="13">
        <v>0.2</v>
      </c>
      <c r="C5067" s="16">
        <v>0.30499999999999999</v>
      </c>
      <c r="D5067" s="13" t="s">
        <v>1712</v>
      </c>
      <c r="E5067" s="12" t="s">
        <v>1736</v>
      </c>
      <c r="F5067" s="12" t="s">
        <v>1714</v>
      </c>
      <c r="G5067" s="13" t="s">
        <v>1709</v>
      </c>
    </row>
    <row r="5068" spans="1:7">
      <c r="A5068" s="15" t="s">
        <v>1711</v>
      </c>
      <c r="B5068" s="13">
        <v>0.2</v>
      </c>
      <c r="C5068" s="16">
        <v>0.316</v>
      </c>
      <c r="D5068" s="13" t="s">
        <v>1712</v>
      </c>
      <c r="E5068" s="12" t="s">
        <v>1736</v>
      </c>
      <c r="F5068" s="12" t="s">
        <v>1714</v>
      </c>
      <c r="G5068" s="13" t="s">
        <v>1709</v>
      </c>
    </row>
    <row r="5069" spans="1:7">
      <c r="A5069" s="15" t="s">
        <v>1711</v>
      </c>
      <c r="B5069" s="13">
        <v>0.2</v>
      </c>
      <c r="C5069" s="16">
        <v>0.32900000000000001</v>
      </c>
      <c r="D5069" s="13" t="s">
        <v>1712</v>
      </c>
      <c r="E5069" s="12" t="s">
        <v>1736</v>
      </c>
      <c r="F5069" s="12" t="s">
        <v>1714</v>
      </c>
      <c r="G5069" s="13" t="s">
        <v>1709</v>
      </c>
    </row>
    <row r="5070" spans="1:7">
      <c r="A5070" s="15" t="s">
        <v>1711</v>
      </c>
      <c r="B5070" s="13">
        <v>0.2</v>
      </c>
      <c r="C5070" s="16">
        <v>0.32900000000000001</v>
      </c>
      <c r="D5070" s="13" t="s">
        <v>1712</v>
      </c>
      <c r="E5070" s="12" t="s">
        <v>1736</v>
      </c>
      <c r="F5070" s="12" t="s">
        <v>1714</v>
      </c>
      <c r="G5070" s="13" t="s">
        <v>1709</v>
      </c>
    </row>
    <row r="5071" spans="1:7">
      <c r="A5071" s="15" t="s">
        <v>1711</v>
      </c>
      <c r="B5071" s="13">
        <v>0.2</v>
      </c>
      <c r="C5071" s="16">
        <v>0.32900000000000001</v>
      </c>
      <c r="D5071" s="13" t="s">
        <v>1712</v>
      </c>
      <c r="E5071" s="12" t="s">
        <v>1736</v>
      </c>
      <c r="F5071" s="12" t="s">
        <v>1714</v>
      </c>
      <c r="G5071" s="13" t="s">
        <v>1709</v>
      </c>
    </row>
    <row r="5072" spans="1:7">
      <c r="A5072" s="15" t="s">
        <v>1711</v>
      </c>
      <c r="B5072" s="13">
        <v>0.2</v>
      </c>
      <c r="C5072" s="16">
        <v>0.32900000000000001</v>
      </c>
      <c r="D5072" s="13" t="s">
        <v>1712</v>
      </c>
      <c r="E5072" s="12" t="s">
        <v>1736</v>
      </c>
      <c r="F5072" s="12" t="s">
        <v>1714</v>
      </c>
      <c r="G5072" s="13" t="s">
        <v>1709</v>
      </c>
    </row>
    <row r="5073" spans="1:7">
      <c r="A5073" s="15" t="s">
        <v>1711</v>
      </c>
      <c r="B5073" s="13">
        <v>0.2</v>
      </c>
      <c r="C5073" s="16">
        <v>0.32900000000000001</v>
      </c>
      <c r="D5073" s="13" t="s">
        <v>1712</v>
      </c>
      <c r="E5073" s="12" t="s">
        <v>1736</v>
      </c>
      <c r="F5073" s="12" t="s">
        <v>1714</v>
      </c>
      <c r="G5073" s="13" t="s">
        <v>1709</v>
      </c>
    </row>
    <row r="5074" spans="1:7">
      <c r="A5074" s="15" t="s">
        <v>1711</v>
      </c>
      <c r="B5074" s="13">
        <v>0.2</v>
      </c>
      <c r="C5074" s="16">
        <v>0.23200000000000001</v>
      </c>
      <c r="D5074" s="13" t="s">
        <v>1712</v>
      </c>
      <c r="E5074" s="12" t="s">
        <v>1736</v>
      </c>
      <c r="F5074" s="12" t="s">
        <v>1714</v>
      </c>
      <c r="G5074" s="13" t="s">
        <v>1709</v>
      </c>
    </row>
    <row r="5075" spans="1:7">
      <c r="A5075" s="15" t="s">
        <v>1711</v>
      </c>
      <c r="B5075" s="13">
        <v>0.2</v>
      </c>
      <c r="C5075" s="16">
        <v>0.23200000000000001</v>
      </c>
      <c r="D5075" s="13" t="s">
        <v>1712</v>
      </c>
      <c r="E5075" s="12" t="s">
        <v>1736</v>
      </c>
      <c r="F5075" s="12" t="s">
        <v>1714</v>
      </c>
      <c r="G5075" s="13" t="s">
        <v>1709</v>
      </c>
    </row>
    <row r="5076" spans="1:7">
      <c r="A5076" s="15" t="s">
        <v>1711</v>
      </c>
      <c r="B5076" s="13">
        <v>0.2</v>
      </c>
      <c r="C5076" s="16">
        <v>0.90300000000000002</v>
      </c>
      <c r="D5076" s="13" t="s">
        <v>1712</v>
      </c>
      <c r="E5076" s="12" t="s">
        <v>1736</v>
      </c>
      <c r="F5076" s="12" t="s">
        <v>1714</v>
      </c>
      <c r="G5076" s="13" t="s">
        <v>1709</v>
      </c>
    </row>
    <row r="5077" spans="1:7">
      <c r="A5077" s="15" t="s">
        <v>1711</v>
      </c>
      <c r="B5077" s="13">
        <v>0.2</v>
      </c>
      <c r="C5077" s="16">
        <v>0.29399999999999998</v>
      </c>
      <c r="D5077" s="13" t="s">
        <v>1712</v>
      </c>
      <c r="E5077" s="12" t="s">
        <v>1736</v>
      </c>
      <c r="F5077" s="12" t="s">
        <v>1714</v>
      </c>
      <c r="G5077" s="13" t="s">
        <v>1709</v>
      </c>
    </row>
    <row r="5078" spans="1:7">
      <c r="A5078" s="15" t="s">
        <v>1711</v>
      </c>
      <c r="B5078" s="13">
        <v>0.2</v>
      </c>
      <c r="C5078" s="16">
        <v>0.29399999999999998</v>
      </c>
      <c r="D5078" s="13" t="s">
        <v>1712</v>
      </c>
      <c r="E5078" s="12" t="s">
        <v>1736</v>
      </c>
      <c r="F5078" s="12" t="s">
        <v>1714</v>
      </c>
      <c r="G5078" s="13" t="s">
        <v>1709</v>
      </c>
    </row>
    <row r="5079" spans="1:7">
      <c r="A5079" s="15" t="s">
        <v>1711</v>
      </c>
      <c r="B5079" s="13">
        <v>0.2</v>
      </c>
      <c r="C5079" s="16">
        <v>0.29399999999999998</v>
      </c>
      <c r="D5079" s="13" t="s">
        <v>1712</v>
      </c>
      <c r="E5079" s="12" t="s">
        <v>1736</v>
      </c>
      <c r="F5079" s="12" t="s">
        <v>1714</v>
      </c>
      <c r="G5079" s="13" t="s">
        <v>1709</v>
      </c>
    </row>
    <row r="5080" spans="1:7">
      <c r="A5080" s="15" t="s">
        <v>1711</v>
      </c>
      <c r="B5080" s="13">
        <v>0.2</v>
      </c>
      <c r="C5080" s="16">
        <v>0.29399999999999998</v>
      </c>
      <c r="D5080" s="13" t="s">
        <v>1712</v>
      </c>
      <c r="E5080" s="12" t="s">
        <v>1736</v>
      </c>
      <c r="F5080" s="12" t="s">
        <v>1714</v>
      </c>
      <c r="G5080" s="13" t="s">
        <v>1709</v>
      </c>
    </row>
    <row r="5081" spans="1:7">
      <c r="A5081" s="15" t="s">
        <v>1711</v>
      </c>
      <c r="B5081" s="13">
        <v>0.2</v>
      </c>
      <c r="C5081" s="16">
        <v>0.79900000000000004</v>
      </c>
      <c r="D5081" s="13" t="s">
        <v>1712</v>
      </c>
      <c r="E5081" s="12" t="s">
        <v>1736</v>
      </c>
      <c r="F5081" s="12" t="s">
        <v>1714</v>
      </c>
      <c r="G5081" s="13" t="s">
        <v>1709</v>
      </c>
    </row>
    <row r="5082" spans="1:7">
      <c r="A5082" s="15" t="s">
        <v>1711</v>
      </c>
      <c r="B5082" s="13">
        <v>0.2</v>
      </c>
      <c r="C5082" s="16">
        <v>0.79900000000000004</v>
      </c>
      <c r="D5082" s="13" t="s">
        <v>1712</v>
      </c>
      <c r="E5082" s="12" t="s">
        <v>1736</v>
      </c>
      <c r="F5082" s="12" t="s">
        <v>1714</v>
      </c>
      <c r="G5082" s="13" t="s">
        <v>1709</v>
      </c>
    </row>
    <row r="5083" spans="1:7">
      <c r="A5083" s="15" t="s">
        <v>1711</v>
      </c>
      <c r="B5083" s="13">
        <v>0.2</v>
      </c>
      <c r="C5083" s="16">
        <v>0.79900000000000004</v>
      </c>
      <c r="D5083" s="13" t="s">
        <v>1712</v>
      </c>
      <c r="E5083" s="12" t="s">
        <v>1736</v>
      </c>
      <c r="F5083" s="12" t="s">
        <v>1714</v>
      </c>
      <c r="G5083" s="13" t="s">
        <v>1709</v>
      </c>
    </row>
    <row r="5084" spans="1:7">
      <c r="A5084" s="15" t="s">
        <v>1711</v>
      </c>
      <c r="B5084" s="13">
        <v>0.2</v>
      </c>
      <c r="C5084" s="16">
        <v>0.79900000000000004</v>
      </c>
      <c r="D5084" s="13" t="s">
        <v>1712</v>
      </c>
      <c r="E5084" s="12" t="s">
        <v>1736</v>
      </c>
      <c r="F5084" s="12" t="s">
        <v>1714</v>
      </c>
      <c r="G5084" s="13" t="s">
        <v>1709</v>
      </c>
    </row>
    <row r="5085" spans="1:7">
      <c r="A5085" s="15" t="s">
        <v>1711</v>
      </c>
      <c r="B5085" s="13">
        <v>0.2</v>
      </c>
      <c r="C5085" s="16">
        <v>0.79900000000000004</v>
      </c>
      <c r="D5085" s="13" t="s">
        <v>1712</v>
      </c>
      <c r="E5085" s="12" t="s">
        <v>1736</v>
      </c>
      <c r="F5085" s="12" t="s">
        <v>1714</v>
      </c>
      <c r="G5085" s="13" t="s">
        <v>1709</v>
      </c>
    </row>
    <row r="5086" spans="1:7">
      <c r="A5086" s="15" t="s">
        <v>1711</v>
      </c>
      <c r="B5086" s="13">
        <v>0.2</v>
      </c>
      <c r="C5086" s="16">
        <v>0.79900000000000004</v>
      </c>
      <c r="D5086" s="13" t="s">
        <v>1712</v>
      </c>
      <c r="E5086" s="12" t="s">
        <v>1736</v>
      </c>
      <c r="F5086" s="12" t="s">
        <v>1714</v>
      </c>
      <c r="G5086" s="13" t="s">
        <v>1709</v>
      </c>
    </row>
    <row r="5087" spans="1:7">
      <c r="A5087" s="15" t="s">
        <v>1711</v>
      </c>
      <c r="B5087" s="13">
        <v>0.2</v>
      </c>
      <c r="C5087" s="16">
        <v>0.79900000000000004</v>
      </c>
      <c r="D5087" s="13" t="s">
        <v>1712</v>
      </c>
      <c r="E5087" s="12" t="s">
        <v>1736</v>
      </c>
      <c r="F5087" s="12" t="s">
        <v>1714</v>
      </c>
      <c r="G5087" s="13" t="s">
        <v>1709</v>
      </c>
    </row>
    <row r="5088" spans="1:7">
      <c r="A5088" s="15" t="s">
        <v>1711</v>
      </c>
      <c r="B5088" s="13">
        <v>0.2</v>
      </c>
      <c r="C5088" s="16">
        <v>0.79900000000000004</v>
      </c>
      <c r="D5088" s="13" t="s">
        <v>1712</v>
      </c>
      <c r="E5088" s="12" t="s">
        <v>1736</v>
      </c>
      <c r="F5088" s="12" t="s">
        <v>1714</v>
      </c>
      <c r="G5088" s="13" t="s">
        <v>1709</v>
      </c>
    </row>
    <row r="5089" spans="1:7">
      <c r="A5089" s="15" t="s">
        <v>1711</v>
      </c>
      <c r="B5089" s="13">
        <v>0.2</v>
      </c>
      <c r="C5089" s="16">
        <v>0.79900000000000004</v>
      </c>
      <c r="D5089" s="13" t="s">
        <v>1712</v>
      </c>
      <c r="E5089" s="12" t="s">
        <v>1736</v>
      </c>
      <c r="F5089" s="12" t="s">
        <v>1714</v>
      </c>
      <c r="G5089" s="13" t="s">
        <v>1709</v>
      </c>
    </row>
    <row r="5090" spans="1:7">
      <c r="A5090" s="15" t="s">
        <v>1711</v>
      </c>
      <c r="B5090" s="13">
        <v>0.2</v>
      </c>
      <c r="C5090" s="16">
        <v>0.79900000000000004</v>
      </c>
      <c r="D5090" s="13" t="s">
        <v>1712</v>
      </c>
      <c r="E5090" s="12" t="s">
        <v>1736</v>
      </c>
      <c r="F5090" s="12" t="s">
        <v>1714</v>
      </c>
      <c r="G5090" s="13" t="s">
        <v>1709</v>
      </c>
    </row>
    <row r="5091" spans="1:7">
      <c r="A5091" s="15" t="s">
        <v>1711</v>
      </c>
      <c r="B5091" s="13">
        <v>0.2</v>
      </c>
      <c r="C5091" s="16">
        <v>0.79900000000000004</v>
      </c>
      <c r="D5091" s="13" t="s">
        <v>1712</v>
      </c>
      <c r="E5091" s="12" t="s">
        <v>1736</v>
      </c>
      <c r="F5091" s="12" t="s">
        <v>1714</v>
      </c>
      <c r="G5091" s="13" t="s">
        <v>1709</v>
      </c>
    </row>
    <row r="5092" spans="1:7">
      <c r="A5092" s="15" t="s">
        <v>1711</v>
      </c>
      <c r="B5092" s="13">
        <v>0.2</v>
      </c>
      <c r="C5092" s="16">
        <v>0.79900000000000004</v>
      </c>
      <c r="D5092" s="13" t="s">
        <v>1712</v>
      </c>
      <c r="E5092" s="12" t="s">
        <v>1736</v>
      </c>
      <c r="F5092" s="12" t="s">
        <v>1714</v>
      </c>
      <c r="G5092" s="13" t="s">
        <v>1709</v>
      </c>
    </row>
    <row r="5093" spans="1:7">
      <c r="A5093" s="15" t="s">
        <v>1711</v>
      </c>
      <c r="B5093" s="13">
        <v>0.2</v>
      </c>
      <c r="C5093" s="16">
        <v>0.79900000000000004</v>
      </c>
      <c r="D5093" s="13" t="s">
        <v>1712</v>
      </c>
      <c r="E5093" s="12" t="s">
        <v>1736</v>
      </c>
      <c r="F5093" s="12" t="s">
        <v>1714</v>
      </c>
      <c r="G5093" s="13" t="s">
        <v>1709</v>
      </c>
    </row>
    <row r="5094" spans="1:7">
      <c r="A5094" s="15" t="s">
        <v>1711</v>
      </c>
      <c r="B5094" s="13">
        <v>0.2</v>
      </c>
      <c r="C5094" s="16">
        <v>0.79900000000000004</v>
      </c>
      <c r="D5094" s="13" t="s">
        <v>1712</v>
      </c>
      <c r="E5094" s="12" t="s">
        <v>1736</v>
      </c>
      <c r="F5094" s="12" t="s">
        <v>1714</v>
      </c>
      <c r="G5094" s="13" t="s">
        <v>1709</v>
      </c>
    </row>
    <row r="5095" spans="1:7">
      <c r="A5095" s="15" t="s">
        <v>1711</v>
      </c>
      <c r="B5095" s="13">
        <v>0.2</v>
      </c>
      <c r="C5095" s="16">
        <v>0.79900000000000004</v>
      </c>
      <c r="D5095" s="13" t="s">
        <v>1712</v>
      </c>
      <c r="E5095" s="12" t="s">
        <v>1736</v>
      </c>
      <c r="F5095" s="12" t="s">
        <v>1714</v>
      </c>
      <c r="G5095" s="13" t="s">
        <v>1709</v>
      </c>
    </row>
    <row r="5096" spans="1:7">
      <c r="A5096" s="15" t="s">
        <v>1711</v>
      </c>
      <c r="B5096" s="13">
        <v>0.2</v>
      </c>
      <c r="C5096" s="16">
        <v>0.79900000000000004</v>
      </c>
      <c r="D5096" s="13" t="s">
        <v>1712</v>
      </c>
      <c r="E5096" s="12" t="s">
        <v>1736</v>
      </c>
      <c r="F5096" s="12" t="s">
        <v>1714</v>
      </c>
      <c r="G5096" s="13" t="s">
        <v>1709</v>
      </c>
    </row>
    <row r="5097" spans="1:7">
      <c r="A5097" s="15" t="s">
        <v>1711</v>
      </c>
      <c r="B5097" s="13">
        <v>0.2</v>
      </c>
      <c r="C5097" s="16">
        <v>0.79900000000000004</v>
      </c>
      <c r="D5097" s="13" t="s">
        <v>1712</v>
      </c>
      <c r="E5097" s="12" t="s">
        <v>1736</v>
      </c>
      <c r="F5097" s="12" t="s">
        <v>1714</v>
      </c>
      <c r="G5097" s="13" t="s">
        <v>1709</v>
      </c>
    </row>
    <row r="5098" spans="1:7">
      <c r="A5098" s="15" t="s">
        <v>1711</v>
      </c>
      <c r="B5098" s="13">
        <v>0.2</v>
      </c>
      <c r="C5098" s="16">
        <v>0.79900000000000004</v>
      </c>
      <c r="D5098" s="13" t="s">
        <v>1712</v>
      </c>
      <c r="E5098" s="12" t="s">
        <v>1736</v>
      </c>
      <c r="F5098" s="12" t="s">
        <v>1714</v>
      </c>
      <c r="G5098" s="13" t="s">
        <v>1709</v>
      </c>
    </row>
    <row r="5099" spans="1:7">
      <c r="A5099" s="15" t="s">
        <v>1711</v>
      </c>
      <c r="B5099" s="13">
        <v>0.2</v>
      </c>
      <c r="C5099" s="16">
        <v>0.79900000000000004</v>
      </c>
      <c r="D5099" s="13" t="s">
        <v>1712</v>
      </c>
      <c r="E5099" s="12" t="s">
        <v>1736</v>
      </c>
      <c r="F5099" s="12" t="s">
        <v>1714</v>
      </c>
      <c r="G5099" s="13" t="s">
        <v>1709</v>
      </c>
    </row>
    <row r="5100" spans="1:7">
      <c r="A5100" s="15" t="s">
        <v>1711</v>
      </c>
      <c r="B5100" s="13">
        <v>0.2</v>
      </c>
      <c r="C5100" s="16">
        <v>0.79900000000000004</v>
      </c>
      <c r="D5100" s="13" t="s">
        <v>1712</v>
      </c>
      <c r="E5100" s="12" t="s">
        <v>1736</v>
      </c>
      <c r="F5100" s="12" t="s">
        <v>1714</v>
      </c>
      <c r="G5100" s="13" t="s">
        <v>1709</v>
      </c>
    </row>
    <row r="5101" spans="1:7">
      <c r="A5101" s="15" t="s">
        <v>1711</v>
      </c>
      <c r="B5101" s="13">
        <v>0.2</v>
      </c>
      <c r="C5101" s="16">
        <v>0.79800000000000004</v>
      </c>
      <c r="D5101" s="13" t="s">
        <v>1712</v>
      </c>
      <c r="E5101" s="12" t="s">
        <v>1736</v>
      </c>
      <c r="F5101" s="12" t="s">
        <v>1714</v>
      </c>
      <c r="G5101" s="13" t="s">
        <v>1709</v>
      </c>
    </row>
    <row r="5102" spans="1:7">
      <c r="A5102" s="15" t="s">
        <v>1711</v>
      </c>
      <c r="B5102" s="13">
        <v>0.2</v>
      </c>
      <c r="C5102" s="16">
        <v>0.93800000000000006</v>
      </c>
      <c r="D5102" s="13" t="s">
        <v>1712</v>
      </c>
      <c r="E5102" s="12" t="s">
        <v>1736</v>
      </c>
      <c r="F5102" s="12" t="s">
        <v>1714</v>
      </c>
      <c r="G5102" s="13" t="s">
        <v>1709</v>
      </c>
    </row>
    <row r="5103" spans="1:7">
      <c r="A5103" s="15" t="s">
        <v>1711</v>
      </c>
      <c r="B5103" s="13">
        <v>0.2</v>
      </c>
      <c r="C5103" s="16">
        <v>0.16400000000000001</v>
      </c>
      <c r="D5103" s="13" t="s">
        <v>1712</v>
      </c>
      <c r="E5103" s="12" t="s">
        <v>1736</v>
      </c>
      <c r="F5103" s="12" t="s">
        <v>1714</v>
      </c>
      <c r="G5103" s="13" t="s">
        <v>1709</v>
      </c>
    </row>
    <row r="5104" spans="1:7">
      <c r="A5104" s="15" t="s">
        <v>1711</v>
      </c>
      <c r="B5104" s="13">
        <v>0.2</v>
      </c>
      <c r="C5104" s="16">
        <v>1.3979999999999999</v>
      </c>
      <c r="D5104" s="13" t="s">
        <v>1712</v>
      </c>
      <c r="E5104" s="12" t="s">
        <v>1736</v>
      </c>
      <c r="F5104" s="12" t="s">
        <v>1714</v>
      </c>
      <c r="G5104" s="13" t="s">
        <v>1709</v>
      </c>
    </row>
    <row r="5105" spans="1:7">
      <c r="A5105" s="15" t="s">
        <v>1711</v>
      </c>
      <c r="B5105" s="13">
        <v>0.2</v>
      </c>
      <c r="C5105" s="16">
        <v>1.3979999999999999</v>
      </c>
      <c r="D5105" s="13" t="s">
        <v>1712</v>
      </c>
      <c r="E5105" s="12" t="s">
        <v>1736</v>
      </c>
      <c r="F5105" s="12" t="s">
        <v>1714</v>
      </c>
      <c r="G5105" s="13" t="s">
        <v>1709</v>
      </c>
    </row>
    <row r="5106" spans="1:7">
      <c r="A5106" s="15" t="s">
        <v>1711</v>
      </c>
      <c r="B5106" s="13">
        <v>0.2</v>
      </c>
      <c r="C5106" s="16">
        <v>0.79900000000000004</v>
      </c>
      <c r="D5106" s="13" t="s">
        <v>1712</v>
      </c>
      <c r="E5106" s="12" t="s">
        <v>1713</v>
      </c>
      <c r="F5106" s="12" t="s">
        <v>1714</v>
      </c>
      <c r="G5106" s="13" t="s">
        <v>1709</v>
      </c>
    </row>
    <row r="5107" spans="1:7">
      <c r="A5107" s="15" t="s">
        <v>1711</v>
      </c>
      <c r="B5107" s="13">
        <v>0.2</v>
      </c>
      <c r="C5107" s="16">
        <v>0.79900000000000004</v>
      </c>
      <c r="D5107" s="13" t="s">
        <v>1712</v>
      </c>
      <c r="E5107" s="12" t="s">
        <v>1713</v>
      </c>
      <c r="F5107" s="12" t="s">
        <v>1714</v>
      </c>
      <c r="G5107" s="13" t="s">
        <v>1709</v>
      </c>
    </row>
    <row r="5108" spans="1:7">
      <c r="A5108" s="15" t="s">
        <v>1711</v>
      </c>
      <c r="B5108" s="13">
        <v>0.2</v>
      </c>
      <c r="C5108" s="16">
        <v>0.79900000000000004</v>
      </c>
      <c r="D5108" s="13" t="s">
        <v>1712</v>
      </c>
      <c r="E5108" s="12" t="s">
        <v>1713</v>
      </c>
      <c r="F5108" s="12" t="s">
        <v>1714</v>
      </c>
      <c r="G5108" s="13" t="s">
        <v>1709</v>
      </c>
    </row>
    <row r="5109" spans="1:7">
      <c r="A5109" s="15" t="s">
        <v>1711</v>
      </c>
      <c r="B5109" s="13">
        <v>0.2</v>
      </c>
      <c r="C5109" s="16">
        <v>0.79900000000000004</v>
      </c>
      <c r="D5109" s="13" t="s">
        <v>1712</v>
      </c>
      <c r="E5109" s="12" t="s">
        <v>1713</v>
      </c>
      <c r="F5109" s="12" t="s">
        <v>1714</v>
      </c>
      <c r="G5109" s="13" t="s">
        <v>1709</v>
      </c>
    </row>
    <row r="5110" spans="1:7">
      <c r="A5110" s="15" t="s">
        <v>1711</v>
      </c>
      <c r="B5110" s="13">
        <v>0.2</v>
      </c>
      <c r="C5110" s="16">
        <v>0.79900000000000004</v>
      </c>
      <c r="D5110" s="13" t="s">
        <v>1712</v>
      </c>
      <c r="E5110" s="12" t="s">
        <v>1713</v>
      </c>
      <c r="F5110" s="12" t="s">
        <v>1714</v>
      </c>
      <c r="G5110" s="13" t="s">
        <v>1709</v>
      </c>
    </row>
    <row r="5111" spans="1:7">
      <c r="A5111" s="15" t="s">
        <v>1711</v>
      </c>
      <c r="B5111" s="13">
        <v>0.2</v>
      </c>
      <c r="C5111" s="16">
        <v>0.79900000000000004</v>
      </c>
      <c r="D5111" s="13" t="s">
        <v>1712</v>
      </c>
      <c r="E5111" s="12" t="s">
        <v>1713</v>
      </c>
      <c r="F5111" s="12" t="s">
        <v>1714</v>
      </c>
      <c r="G5111" s="13" t="s">
        <v>1709</v>
      </c>
    </row>
    <row r="5112" spans="1:7">
      <c r="A5112" s="15" t="s">
        <v>1711</v>
      </c>
      <c r="B5112" s="13">
        <v>0.2</v>
      </c>
      <c r="C5112" s="16">
        <v>0.79900000000000004</v>
      </c>
      <c r="D5112" s="13" t="s">
        <v>1712</v>
      </c>
      <c r="E5112" s="12" t="s">
        <v>1713</v>
      </c>
      <c r="F5112" s="12" t="s">
        <v>1714</v>
      </c>
      <c r="G5112" s="13" t="s">
        <v>1709</v>
      </c>
    </row>
    <row r="5113" spans="1:7">
      <c r="A5113" s="15" t="s">
        <v>1711</v>
      </c>
      <c r="B5113" s="13">
        <v>0.2</v>
      </c>
      <c r="C5113" s="16">
        <v>0.79900000000000004</v>
      </c>
      <c r="D5113" s="13" t="s">
        <v>1712</v>
      </c>
      <c r="E5113" s="12" t="s">
        <v>1713</v>
      </c>
      <c r="F5113" s="12" t="s">
        <v>1714</v>
      </c>
      <c r="G5113" s="13" t="s">
        <v>1709</v>
      </c>
    </row>
    <row r="5114" spans="1:7">
      <c r="A5114" s="15" t="s">
        <v>1711</v>
      </c>
      <c r="B5114" s="13">
        <v>0.2</v>
      </c>
      <c r="C5114" s="16">
        <v>-0.06</v>
      </c>
      <c r="D5114" s="13" t="s">
        <v>1709</v>
      </c>
      <c r="E5114" s="12" t="s">
        <v>1710</v>
      </c>
      <c r="F5114" s="12" t="s">
        <v>1710</v>
      </c>
      <c r="G5114" s="13" t="s">
        <v>1709</v>
      </c>
    </row>
    <row r="5115" spans="1:7">
      <c r="A5115" s="15" t="s">
        <v>1711</v>
      </c>
      <c r="B5115" s="13">
        <v>0.2</v>
      </c>
      <c r="C5115" s="16">
        <v>-0.06</v>
      </c>
      <c r="D5115" s="13" t="s">
        <v>1709</v>
      </c>
      <c r="E5115" s="12" t="s">
        <v>1710</v>
      </c>
      <c r="F5115" s="12" t="s">
        <v>1710</v>
      </c>
      <c r="G5115" s="13" t="s">
        <v>1709</v>
      </c>
    </row>
    <row r="5116" spans="1:7">
      <c r="A5116" s="15" t="s">
        <v>1711</v>
      </c>
      <c r="B5116" s="13">
        <v>0.2</v>
      </c>
      <c r="C5116" s="16">
        <v>-0.06</v>
      </c>
      <c r="D5116" s="13" t="s">
        <v>1709</v>
      </c>
      <c r="E5116" s="12" t="s">
        <v>1710</v>
      </c>
      <c r="F5116" s="12" t="s">
        <v>1710</v>
      </c>
      <c r="G5116" s="13" t="s">
        <v>1709</v>
      </c>
    </row>
    <row r="5117" spans="1:7">
      <c r="A5117" s="15" t="s">
        <v>1711</v>
      </c>
      <c r="B5117" s="13">
        <v>0.2</v>
      </c>
      <c r="C5117" s="16">
        <v>-0.06</v>
      </c>
      <c r="D5117" s="13" t="s">
        <v>1709</v>
      </c>
      <c r="E5117" s="12" t="s">
        <v>1710</v>
      </c>
      <c r="F5117" s="12" t="s">
        <v>1710</v>
      </c>
      <c r="G5117" s="13" t="s">
        <v>1709</v>
      </c>
    </row>
    <row r="5118" spans="1:7">
      <c r="A5118" s="15" t="s">
        <v>1711</v>
      </c>
      <c r="B5118" s="13">
        <v>0.2</v>
      </c>
      <c r="C5118" s="16">
        <v>-0.06</v>
      </c>
      <c r="D5118" s="13" t="s">
        <v>1709</v>
      </c>
      <c r="E5118" s="12" t="s">
        <v>1710</v>
      </c>
      <c r="F5118" s="12" t="s">
        <v>1710</v>
      </c>
      <c r="G5118" s="13" t="s">
        <v>1709</v>
      </c>
    </row>
    <row r="5119" spans="1:7">
      <c r="A5119" s="15" t="s">
        <v>1711</v>
      </c>
      <c r="B5119" s="13">
        <v>0.2</v>
      </c>
      <c r="C5119" s="16">
        <v>-0.19800000000000001</v>
      </c>
      <c r="D5119" s="13" t="s">
        <v>1709</v>
      </c>
      <c r="E5119" s="12" t="s">
        <v>1710</v>
      </c>
      <c r="F5119" s="12" t="s">
        <v>1710</v>
      </c>
      <c r="G5119" s="13" t="s">
        <v>1709</v>
      </c>
    </row>
    <row r="5120" spans="1:7">
      <c r="A5120" s="15" t="s">
        <v>1711</v>
      </c>
      <c r="B5120" s="13">
        <v>0.2</v>
      </c>
      <c r="C5120" s="16">
        <v>0.10299999999999999</v>
      </c>
      <c r="D5120" s="13" t="s">
        <v>1712</v>
      </c>
      <c r="E5120" s="12" t="s">
        <v>1713</v>
      </c>
      <c r="F5120" s="12" t="s">
        <v>1714</v>
      </c>
      <c r="G5120" s="13" t="s">
        <v>1709</v>
      </c>
    </row>
    <row r="5121" spans="1:7">
      <c r="A5121" s="15" t="s">
        <v>1711</v>
      </c>
      <c r="B5121" s="13">
        <v>0.2</v>
      </c>
      <c r="C5121" s="16">
        <v>0.79800000000000004</v>
      </c>
      <c r="D5121" s="13" t="s">
        <v>1712</v>
      </c>
      <c r="E5121" s="12" t="s">
        <v>1713</v>
      </c>
      <c r="F5121" s="12" t="s">
        <v>1714</v>
      </c>
      <c r="G5121" s="13" t="s">
        <v>1709</v>
      </c>
    </row>
    <row r="5122" spans="1:7">
      <c r="A5122" s="15" t="s">
        <v>1711</v>
      </c>
      <c r="B5122" s="13">
        <v>0.2</v>
      </c>
      <c r="C5122" s="16">
        <v>0.84699999999999998</v>
      </c>
      <c r="D5122" s="13" t="s">
        <v>1712</v>
      </c>
      <c r="E5122" s="12" t="s">
        <v>1713</v>
      </c>
      <c r="F5122" s="12" t="s">
        <v>1714</v>
      </c>
      <c r="G5122" s="13" t="s">
        <v>1709</v>
      </c>
    </row>
    <row r="5123" spans="1:7">
      <c r="A5123" s="15" t="s">
        <v>1711</v>
      </c>
      <c r="B5123" s="13">
        <v>0.2</v>
      </c>
      <c r="C5123" s="16">
        <v>0.84699999999999998</v>
      </c>
      <c r="D5123" s="13" t="s">
        <v>1712</v>
      </c>
      <c r="E5123" s="12" t="s">
        <v>1713</v>
      </c>
      <c r="F5123" s="12" t="s">
        <v>1714</v>
      </c>
      <c r="G5123" s="13" t="s">
        <v>1709</v>
      </c>
    </row>
    <row r="5124" spans="1:7">
      <c r="A5124" s="15" t="s">
        <v>1711</v>
      </c>
      <c r="B5124" s="13">
        <v>0.2</v>
      </c>
      <c r="C5124" s="16">
        <v>-0.183</v>
      </c>
      <c r="D5124" s="13" t="s">
        <v>1709</v>
      </c>
      <c r="E5124" s="12" t="s">
        <v>1710</v>
      </c>
      <c r="F5124" s="12" t="s">
        <v>1710</v>
      </c>
      <c r="G5124" s="13" t="s">
        <v>1709</v>
      </c>
    </row>
    <row r="5125" spans="1:7">
      <c r="A5125" s="15" t="s">
        <v>1711</v>
      </c>
      <c r="B5125" s="13">
        <v>0.2</v>
      </c>
      <c r="C5125" s="16">
        <v>1.607</v>
      </c>
      <c r="D5125" s="13" t="s">
        <v>1712</v>
      </c>
      <c r="E5125" s="12" t="s">
        <v>1713</v>
      </c>
      <c r="F5125" s="12" t="s">
        <v>1714</v>
      </c>
      <c r="G5125" s="13" t="s">
        <v>1709</v>
      </c>
    </row>
    <row r="5126" spans="1:7">
      <c r="A5126" s="15" t="s">
        <v>1711</v>
      </c>
      <c r="B5126" s="13">
        <v>0.2</v>
      </c>
      <c r="C5126" s="16">
        <v>1.607</v>
      </c>
      <c r="D5126" s="13" t="s">
        <v>1712</v>
      </c>
      <c r="E5126" s="12" t="s">
        <v>1713</v>
      </c>
      <c r="F5126" s="12" t="s">
        <v>1714</v>
      </c>
      <c r="G5126" s="13" t="s">
        <v>1709</v>
      </c>
    </row>
    <row r="5127" spans="1:7">
      <c r="A5127" s="15" t="s">
        <v>1711</v>
      </c>
      <c r="B5127" s="13">
        <v>0.2</v>
      </c>
      <c r="C5127" s="16">
        <v>1.607</v>
      </c>
      <c r="D5127" s="13" t="s">
        <v>1712</v>
      </c>
      <c r="E5127" s="12" t="s">
        <v>1713</v>
      </c>
      <c r="F5127" s="12" t="s">
        <v>1714</v>
      </c>
      <c r="G5127" s="13" t="s">
        <v>1709</v>
      </c>
    </row>
    <row r="5128" spans="1:7">
      <c r="A5128" s="15" t="s">
        <v>1711</v>
      </c>
      <c r="B5128" s="13">
        <v>0.2</v>
      </c>
      <c r="C5128" s="16">
        <v>1.607</v>
      </c>
      <c r="D5128" s="13" t="s">
        <v>1712</v>
      </c>
      <c r="E5128" s="12" t="s">
        <v>1713</v>
      </c>
      <c r="F5128" s="12" t="s">
        <v>1714</v>
      </c>
      <c r="G5128" s="13" t="s">
        <v>1709</v>
      </c>
    </row>
    <row r="5129" spans="1:7">
      <c r="A5129" s="15" t="s">
        <v>1711</v>
      </c>
      <c r="B5129" s="13">
        <v>0.2</v>
      </c>
      <c r="C5129" s="16">
        <v>1.607</v>
      </c>
      <c r="D5129" s="13" t="s">
        <v>1712</v>
      </c>
      <c r="E5129" s="12" t="s">
        <v>1713</v>
      </c>
      <c r="F5129" s="12" t="s">
        <v>1714</v>
      </c>
      <c r="G5129" s="13" t="s">
        <v>1709</v>
      </c>
    </row>
    <row r="5130" spans="1:7">
      <c r="A5130" s="15" t="s">
        <v>1711</v>
      </c>
      <c r="B5130" s="13">
        <v>0.2</v>
      </c>
      <c r="C5130" s="16">
        <v>1.819</v>
      </c>
      <c r="D5130" s="13" t="s">
        <v>1712</v>
      </c>
      <c r="E5130" s="12" t="s">
        <v>1713</v>
      </c>
      <c r="F5130" s="12" t="s">
        <v>1714</v>
      </c>
      <c r="G5130" s="13" t="s">
        <v>1709</v>
      </c>
    </row>
    <row r="5131" spans="1:7">
      <c r="A5131" s="15" t="s">
        <v>1711</v>
      </c>
      <c r="B5131" s="13">
        <v>0.2</v>
      </c>
      <c r="C5131" s="16">
        <v>1.819</v>
      </c>
      <c r="D5131" s="13" t="s">
        <v>1712</v>
      </c>
      <c r="E5131" s="12" t="s">
        <v>1713</v>
      </c>
      <c r="F5131" s="12" t="s">
        <v>1714</v>
      </c>
      <c r="G5131" s="13" t="s">
        <v>1709</v>
      </c>
    </row>
    <row r="5132" spans="1:7">
      <c r="A5132" s="15" t="s">
        <v>1711</v>
      </c>
      <c r="B5132" s="13">
        <v>0.2</v>
      </c>
      <c r="C5132" s="16">
        <v>1.819</v>
      </c>
      <c r="D5132" s="13" t="s">
        <v>1712</v>
      </c>
      <c r="E5132" s="12" t="s">
        <v>1713</v>
      </c>
      <c r="F5132" s="12" t="s">
        <v>1714</v>
      </c>
      <c r="G5132" s="13" t="s">
        <v>1709</v>
      </c>
    </row>
    <row r="5133" spans="1:7">
      <c r="A5133" s="15" t="s">
        <v>1711</v>
      </c>
      <c r="B5133" s="13">
        <v>0.2</v>
      </c>
      <c r="C5133" s="16">
        <v>0.54800000000000004</v>
      </c>
      <c r="D5133" s="13" t="s">
        <v>1712</v>
      </c>
      <c r="E5133" s="12" t="s">
        <v>1713</v>
      </c>
      <c r="F5133" s="12" t="s">
        <v>1714</v>
      </c>
      <c r="G5133" s="13" t="s">
        <v>1709</v>
      </c>
    </row>
    <row r="5134" spans="1:7">
      <c r="A5134" s="15" t="s">
        <v>1711</v>
      </c>
      <c r="B5134" s="13">
        <v>0.2</v>
      </c>
      <c r="C5134" s="16">
        <v>0.54800000000000004</v>
      </c>
      <c r="D5134" s="13" t="s">
        <v>1712</v>
      </c>
      <c r="E5134" s="12" t="s">
        <v>1713</v>
      </c>
      <c r="F5134" s="12" t="s">
        <v>1714</v>
      </c>
      <c r="G5134" s="13" t="s">
        <v>1709</v>
      </c>
    </row>
    <row r="5135" spans="1:7">
      <c r="A5135" s="15" t="s">
        <v>1711</v>
      </c>
      <c r="B5135" s="13">
        <v>0.2</v>
      </c>
      <c r="C5135" s="16">
        <v>0.121</v>
      </c>
      <c r="D5135" s="13" t="s">
        <v>1712</v>
      </c>
      <c r="E5135" s="12" t="s">
        <v>1713</v>
      </c>
      <c r="F5135" s="12" t="s">
        <v>1714</v>
      </c>
      <c r="G5135" s="13" t="s">
        <v>1709</v>
      </c>
    </row>
    <row r="5136" spans="1:7">
      <c r="A5136" s="15" t="s">
        <v>1711</v>
      </c>
      <c r="B5136" s="13">
        <v>0.2</v>
      </c>
      <c r="C5136" s="16">
        <v>0.121</v>
      </c>
      <c r="D5136" s="13" t="s">
        <v>1712</v>
      </c>
      <c r="E5136" s="12" t="s">
        <v>1713</v>
      </c>
      <c r="F5136" s="12" t="s">
        <v>1714</v>
      </c>
      <c r="G5136" s="13" t="s">
        <v>1709</v>
      </c>
    </row>
    <row r="5137" spans="1:7">
      <c r="A5137" s="15" t="s">
        <v>1711</v>
      </c>
      <c r="B5137" s="13">
        <v>0.2</v>
      </c>
      <c r="C5137" s="16">
        <v>0.121</v>
      </c>
      <c r="D5137" s="13" t="s">
        <v>1712</v>
      </c>
      <c r="E5137" s="12" t="s">
        <v>1713</v>
      </c>
      <c r="F5137" s="12" t="s">
        <v>1714</v>
      </c>
      <c r="G5137" s="13" t="s">
        <v>1709</v>
      </c>
    </row>
    <row r="5138" spans="1:7">
      <c r="A5138" s="15" t="s">
        <v>1711</v>
      </c>
      <c r="B5138" s="13">
        <v>0.2</v>
      </c>
      <c r="C5138" s="16">
        <v>0.121</v>
      </c>
      <c r="D5138" s="13" t="s">
        <v>1712</v>
      </c>
      <c r="E5138" s="12" t="s">
        <v>1713</v>
      </c>
      <c r="F5138" s="12" t="s">
        <v>1714</v>
      </c>
      <c r="G5138" s="13" t="s">
        <v>1709</v>
      </c>
    </row>
    <row r="5139" spans="1:7">
      <c r="A5139" s="15" t="s">
        <v>1711</v>
      </c>
      <c r="B5139" s="13">
        <v>0.2</v>
      </c>
      <c r="C5139" s="16">
        <v>0.121</v>
      </c>
      <c r="D5139" s="13" t="s">
        <v>1712</v>
      </c>
      <c r="E5139" s="12" t="s">
        <v>1713</v>
      </c>
      <c r="F5139" s="12" t="s">
        <v>1714</v>
      </c>
      <c r="G5139" s="13" t="s">
        <v>1709</v>
      </c>
    </row>
    <row r="5140" spans="1:7">
      <c r="A5140" s="15" t="s">
        <v>1711</v>
      </c>
      <c r="B5140" s="13">
        <v>0.2</v>
      </c>
      <c r="C5140" s="16">
        <v>0.121</v>
      </c>
      <c r="D5140" s="13" t="s">
        <v>1712</v>
      </c>
      <c r="E5140" s="12" t="s">
        <v>1713</v>
      </c>
      <c r="F5140" s="12" t="s">
        <v>1714</v>
      </c>
      <c r="G5140" s="13" t="s">
        <v>1709</v>
      </c>
    </row>
    <row r="5141" spans="1:7">
      <c r="A5141" s="15" t="s">
        <v>1711</v>
      </c>
      <c r="B5141" s="13">
        <v>0.2</v>
      </c>
      <c r="C5141" s="16">
        <v>0.121</v>
      </c>
      <c r="D5141" s="13" t="s">
        <v>1712</v>
      </c>
      <c r="E5141" s="12" t="s">
        <v>1713</v>
      </c>
      <c r="F5141" s="12" t="s">
        <v>1714</v>
      </c>
      <c r="G5141" s="13" t="s">
        <v>1709</v>
      </c>
    </row>
    <row r="5142" spans="1:7">
      <c r="A5142" s="15" t="s">
        <v>1711</v>
      </c>
      <c r="B5142" s="13">
        <v>0.2</v>
      </c>
      <c r="C5142" s="16">
        <v>0.121</v>
      </c>
      <c r="D5142" s="13" t="s">
        <v>1712</v>
      </c>
      <c r="E5142" s="12" t="s">
        <v>1713</v>
      </c>
      <c r="F5142" s="12" t="s">
        <v>1714</v>
      </c>
      <c r="G5142" s="13" t="s">
        <v>1709</v>
      </c>
    </row>
    <row r="5143" spans="1:7">
      <c r="A5143" s="15" t="s">
        <v>1711</v>
      </c>
      <c r="B5143" s="13">
        <v>0.2</v>
      </c>
      <c r="C5143" s="16">
        <v>0.121</v>
      </c>
      <c r="D5143" s="13" t="s">
        <v>1712</v>
      </c>
      <c r="E5143" s="12" t="s">
        <v>1713</v>
      </c>
      <c r="F5143" s="12" t="s">
        <v>1714</v>
      </c>
      <c r="G5143" s="13" t="s">
        <v>1709</v>
      </c>
    </row>
    <row r="5144" spans="1:7">
      <c r="A5144" s="15" t="s">
        <v>1711</v>
      </c>
      <c r="B5144" s="13">
        <v>0.2</v>
      </c>
      <c r="C5144" s="16">
        <v>0.121</v>
      </c>
      <c r="D5144" s="13" t="s">
        <v>1712</v>
      </c>
      <c r="E5144" s="12" t="s">
        <v>1713</v>
      </c>
      <c r="F5144" s="12" t="s">
        <v>1714</v>
      </c>
      <c r="G5144" s="13" t="s">
        <v>1709</v>
      </c>
    </row>
    <row r="5145" spans="1:7">
      <c r="A5145" s="15" t="s">
        <v>1711</v>
      </c>
      <c r="B5145" s="13">
        <v>0.2</v>
      </c>
      <c r="C5145" s="16">
        <v>0.121</v>
      </c>
      <c r="D5145" s="13" t="s">
        <v>1712</v>
      </c>
      <c r="E5145" s="12" t="s">
        <v>1713</v>
      </c>
      <c r="F5145" s="12" t="s">
        <v>1714</v>
      </c>
      <c r="G5145" s="13" t="s">
        <v>1709</v>
      </c>
    </row>
    <row r="5146" spans="1:7">
      <c r="A5146" s="15" t="s">
        <v>1711</v>
      </c>
      <c r="B5146" s="13">
        <v>0.2</v>
      </c>
      <c r="C5146" s="16">
        <v>0.121</v>
      </c>
      <c r="D5146" s="13" t="s">
        <v>1712</v>
      </c>
      <c r="E5146" s="12" t="s">
        <v>1713</v>
      </c>
      <c r="F5146" s="12" t="s">
        <v>1714</v>
      </c>
      <c r="G5146" s="13" t="s">
        <v>1709</v>
      </c>
    </row>
    <row r="5147" spans="1:7">
      <c r="A5147" s="15" t="s">
        <v>1711</v>
      </c>
      <c r="B5147" s="13">
        <v>0.2</v>
      </c>
      <c r="C5147" s="16">
        <v>0.121</v>
      </c>
      <c r="D5147" s="13" t="s">
        <v>1712</v>
      </c>
      <c r="E5147" s="12" t="s">
        <v>1713</v>
      </c>
      <c r="F5147" s="12" t="s">
        <v>1714</v>
      </c>
      <c r="G5147" s="13" t="s">
        <v>1709</v>
      </c>
    </row>
    <row r="5148" spans="1:7">
      <c r="A5148" s="15" t="s">
        <v>1711</v>
      </c>
      <c r="B5148" s="13">
        <v>0.2</v>
      </c>
      <c r="C5148" s="16">
        <v>0.121</v>
      </c>
      <c r="D5148" s="13" t="s">
        <v>1712</v>
      </c>
      <c r="E5148" s="12" t="s">
        <v>1713</v>
      </c>
      <c r="F5148" s="12" t="s">
        <v>1714</v>
      </c>
      <c r="G5148" s="13" t="s">
        <v>1709</v>
      </c>
    </row>
    <row r="5149" spans="1:7">
      <c r="A5149" s="15" t="s">
        <v>1711</v>
      </c>
      <c r="B5149" s="13">
        <v>0.2</v>
      </c>
      <c r="C5149" s="16">
        <v>0.121</v>
      </c>
      <c r="D5149" s="13" t="s">
        <v>1712</v>
      </c>
      <c r="E5149" s="12" t="s">
        <v>1713</v>
      </c>
      <c r="F5149" s="12" t="s">
        <v>1714</v>
      </c>
      <c r="G5149" s="13" t="s">
        <v>1709</v>
      </c>
    </row>
    <row r="5150" spans="1:7">
      <c r="A5150" s="15" t="s">
        <v>1711</v>
      </c>
      <c r="B5150" s="13">
        <v>0.2</v>
      </c>
      <c r="C5150" s="16">
        <v>0.121</v>
      </c>
      <c r="D5150" s="13" t="s">
        <v>1712</v>
      </c>
      <c r="E5150" s="12" t="s">
        <v>1713</v>
      </c>
      <c r="F5150" s="12" t="s">
        <v>1714</v>
      </c>
      <c r="G5150" s="13" t="s">
        <v>1709</v>
      </c>
    </row>
    <row r="5151" spans="1:7">
      <c r="A5151" s="15" t="s">
        <v>1711</v>
      </c>
      <c r="B5151" s="13">
        <v>0.2</v>
      </c>
      <c r="C5151" s="16">
        <v>0.121</v>
      </c>
      <c r="D5151" s="13" t="s">
        <v>1712</v>
      </c>
      <c r="E5151" s="12" t="s">
        <v>1713</v>
      </c>
      <c r="F5151" s="12" t="s">
        <v>1714</v>
      </c>
      <c r="G5151" s="13" t="s">
        <v>1709</v>
      </c>
    </row>
    <row r="5152" spans="1:7">
      <c r="A5152" s="15" t="s">
        <v>1711</v>
      </c>
      <c r="B5152" s="13">
        <v>0.2</v>
      </c>
      <c r="C5152" s="16">
        <v>1.244</v>
      </c>
      <c r="D5152" s="13" t="s">
        <v>1712</v>
      </c>
      <c r="E5152" s="12" t="s">
        <v>1713</v>
      </c>
      <c r="F5152" s="12" t="s">
        <v>1714</v>
      </c>
      <c r="G5152" s="13" t="s">
        <v>1709</v>
      </c>
    </row>
    <row r="5153" spans="1:7">
      <c r="A5153" s="15" t="s">
        <v>1711</v>
      </c>
      <c r="B5153" s="13">
        <v>0.2</v>
      </c>
      <c r="C5153" s="16">
        <v>1.244</v>
      </c>
      <c r="D5153" s="13" t="s">
        <v>1712</v>
      </c>
      <c r="E5153" s="12" t="s">
        <v>1713</v>
      </c>
      <c r="F5153" s="12" t="s">
        <v>1714</v>
      </c>
      <c r="G5153" s="13" t="s">
        <v>1709</v>
      </c>
    </row>
    <row r="5154" spans="1:7">
      <c r="A5154" s="15" t="s">
        <v>1711</v>
      </c>
      <c r="B5154" s="13">
        <v>0.2</v>
      </c>
      <c r="C5154" s="16">
        <v>1.244</v>
      </c>
      <c r="D5154" s="13" t="s">
        <v>1712</v>
      </c>
      <c r="E5154" s="12" t="s">
        <v>1713</v>
      </c>
      <c r="F5154" s="12" t="s">
        <v>1714</v>
      </c>
      <c r="G5154" s="13" t="s">
        <v>1709</v>
      </c>
    </row>
    <row r="5155" spans="1:7">
      <c r="A5155" s="15" t="s">
        <v>1711</v>
      </c>
      <c r="B5155" s="13">
        <v>0.2</v>
      </c>
      <c r="C5155" s="16">
        <v>1.244</v>
      </c>
      <c r="D5155" s="13" t="s">
        <v>1712</v>
      </c>
      <c r="E5155" s="12" t="s">
        <v>1713</v>
      </c>
      <c r="F5155" s="12" t="s">
        <v>1714</v>
      </c>
      <c r="G5155" s="13" t="s">
        <v>1709</v>
      </c>
    </row>
    <row r="5156" spans="1:7">
      <c r="A5156" s="15" t="s">
        <v>1711</v>
      </c>
      <c r="B5156" s="13">
        <v>0.2</v>
      </c>
      <c r="C5156" s="16">
        <v>1.244</v>
      </c>
      <c r="D5156" s="13" t="s">
        <v>1712</v>
      </c>
      <c r="E5156" s="12" t="s">
        <v>1713</v>
      </c>
      <c r="F5156" s="12" t="s">
        <v>1714</v>
      </c>
      <c r="G5156" s="13" t="s">
        <v>1709</v>
      </c>
    </row>
    <row r="5157" spans="1:7">
      <c r="A5157" s="15" t="s">
        <v>1711</v>
      </c>
      <c r="B5157" s="13">
        <v>0.2</v>
      </c>
      <c r="C5157" s="16">
        <v>1.853</v>
      </c>
      <c r="D5157" s="13" t="s">
        <v>1712</v>
      </c>
      <c r="E5157" s="12" t="s">
        <v>1736</v>
      </c>
      <c r="F5157" s="12" t="s">
        <v>1714</v>
      </c>
      <c r="G5157" s="13" t="s">
        <v>1709</v>
      </c>
    </row>
    <row r="5158" spans="1:7">
      <c r="A5158" s="15" t="s">
        <v>1711</v>
      </c>
      <c r="B5158" s="13">
        <v>0.2</v>
      </c>
      <c r="C5158" s="16">
        <v>0.64100000000000001</v>
      </c>
      <c r="D5158" s="13" t="s">
        <v>1712</v>
      </c>
      <c r="E5158" s="12" t="s">
        <v>1715</v>
      </c>
      <c r="F5158" s="12" t="s">
        <v>1714</v>
      </c>
      <c r="G5158" s="13" t="s">
        <v>1709</v>
      </c>
    </row>
    <row r="5159" spans="1:7">
      <c r="A5159" s="15" t="s">
        <v>1711</v>
      </c>
      <c r="B5159" s="13">
        <v>0.2</v>
      </c>
      <c r="C5159" s="16">
        <v>5.5E-2</v>
      </c>
      <c r="D5159" s="13" t="s">
        <v>1712</v>
      </c>
      <c r="E5159" s="12" t="s">
        <v>1713</v>
      </c>
      <c r="F5159" s="12" t="s">
        <v>1714</v>
      </c>
      <c r="G5159" s="13" t="s">
        <v>1709</v>
      </c>
    </row>
    <row r="5160" spans="1:7">
      <c r="A5160" s="15" t="s">
        <v>1711</v>
      </c>
      <c r="B5160" s="13">
        <v>0.2</v>
      </c>
      <c r="C5160" s="16">
        <v>1.333</v>
      </c>
      <c r="D5160" s="13" t="s">
        <v>1712</v>
      </c>
      <c r="E5160" s="12" t="s">
        <v>1737</v>
      </c>
      <c r="F5160" s="12" t="s">
        <v>1714</v>
      </c>
      <c r="G5160" s="13" t="s">
        <v>1709</v>
      </c>
    </row>
    <row r="5161" spans="1:7">
      <c r="A5161" s="15" t="s">
        <v>1711</v>
      </c>
      <c r="B5161" s="13">
        <v>0.2</v>
      </c>
      <c r="C5161" s="16">
        <v>1.333</v>
      </c>
      <c r="D5161" s="13" t="s">
        <v>1712</v>
      </c>
      <c r="E5161" s="12" t="s">
        <v>1713</v>
      </c>
      <c r="F5161" s="12" t="s">
        <v>1714</v>
      </c>
      <c r="G5161" s="13" t="s">
        <v>1709</v>
      </c>
    </row>
  </sheetData>
  <phoneticPr fontId="1" type="noConversion"/>
  <conditionalFormatting sqref="C1:C3960">
    <cfRule type="cellIs" dxfId="2" priority="1" operator="equal">
      <formula>"X"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428B-F7D2-46CD-86F5-3204BDB9490C}">
  <sheetPr>
    <tabColor rgb="FF7030A0"/>
  </sheetPr>
  <dimension ref="A1:Q646"/>
  <sheetViews>
    <sheetView showGridLines="0" zoomScale="85" zoomScaleNormal="85" workbookViewId="0">
      <pane xSplit="2" ySplit="1" topLeftCell="C5" activePane="bottomRight" state="frozen"/>
      <selection pane="topRight" activeCell="C1" sqref="C1"/>
      <selection pane="bottomLeft" activeCell="A3" sqref="A3"/>
      <selection pane="bottomRight" activeCell="C16" sqref="C16"/>
    </sheetView>
  </sheetViews>
  <sheetFormatPr defaultColWidth="17.42578125" defaultRowHeight="13.5"/>
  <cols>
    <col min="1" max="2" width="17.42578125" style="27" customWidth="1"/>
    <col min="3" max="3" width="20.5703125" style="27" customWidth="1"/>
    <col min="4" max="4" width="20" style="27" customWidth="1"/>
    <col min="5" max="5" width="25.140625" style="40" customWidth="1"/>
    <col min="6" max="6" width="20.5703125" style="40" customWidth="1"/>
    <col min="7" max="7" width="22" style="37" bestFit="1" customWidth="1"/>
    <col min="8" max="8" width="17.5703125" style="27" bestFit="1" customWidth="1"/>
    <col min="9" max="9" width="15.85546875" style="27" customWidth="1"/>
    <col min="10" max="10" width="17.42578125" style="41" customWidth="1"/>
    <col min="11" max="11" width="17.42578125" style="27" customWidth="1"/>
    <col min="12" max="12" width="50.85546875" style="46" customWidth="1"/>
    <col min="13" max="13" width="19.42578125" style="27" customWidth="1"/>
    <col min="14" max="15" width="17.42578125" style="27"/>
    <col min="16" max="16" width="17.42578125" style="27" customWidth="1"/>
    <col min="17" max="16384" width="17.42578125" style="23"/>
  </cols>
  <sheetData>
    <row r="1" spans="1:16" ht="94.5">
      <c r="A1" s="20" t="s">
        <v>1728</v>
      </c>
      <c r="B1" s="20" t="s">
        <v>1727</v>
      </c>
      <c r="C1" s="20" t="s">
        <v>1726</v>
      </c>
      <c r="D1" s="20" t="s">
        <v>1725</v>
      </c>
      <c r="E1" s="20" t="s">
        <v>1724</v>
      </c>
      <c r="F1" s="20" t="s">
        <v>1723</v>
      </c>
      <c r="G1" s="20" t="s">
        <v>1</v>
      </c>
      <c r="H1" s="20" t="s">
        <v>5</v>
      </c>
      <c r="I1" s="20" t="s">
        <v>1722</v>
      </c>
      <c r="J1" s="42" t="s">
        <v>1721</v>
      </c>
      <c r="K1" s="20" t="s">
        <v>1720</v>
      </c>
      <c r="L1" s="20" t="s">
        <v>1749</v>
      </c>
      <c r="M1" s="20" t="s">
        <v>1719</v>
      </c>
      <c r="N1" s="20" t="s">
        <v>1717</v>
      </c>
      <c r="O1" s="20" t="s">
        <v>1718</v>
      </c>
      <c r="P1" s="20" t="s">
        <v>1716</v>
      </c>
    </row>
    <row r="2" spans="1:16">
      <c r="A2" s="21" t="s">
        <v>2187</v>
      </c>
      <c r="B2" s="43" t="s">
        <v>2186</v>
      </c>
      <c r="C2" s="38" t="s">
        <v>2188</v>
      </c>
      <c r="D2" s="44" t="s">
        <v>2515</v>
      </c>
      <c r="E2" s="35" t="s">
        <v>1710</v>
      </c>
      <c r="F2" s="35" t="s">
        <v>1710</v>
      </c>
      <c r="G2" s="39">
        <v>45510.416666666664</v>
      </c>
      <c r="H2" s="36">
        <v>45510.438888888886</v>
      </c>
      <c r="I2" s="47">
        <v>6.25E-2</v>
      </c>
      <c r="J2" s="47">
        <f t="shared" ref="J2:J65" si="0">H2-G2</f>
        <v>2.2222222221898846E-2</v>
      </c>
      <c r="K2" s="24">
        <f t="shared" ref="K2:K65" si="1">J2-I2</f>
        <v>-4.0277777778101154E-2</v>
      </c>
      <c r="L2" s="33"/>
      <c r="M2" s="25"/>
      <c r="N2" s="22"/>
      <c r="O2" s="26"/>
      <c r="P2" s="35"/>
    </row>
    <row r="3" spans="1:16">
      <c r="A3" s="21" t="s">
        <v>2187</v>
      </c>
      <c r="B3" s="43" t="s">
        <v>2186</v>
      </c>
      <c r="C3" s="38" t="s">
        <v>2189</v>
      </c>
      <c r="D3" s="44" t="s">
        <v>2515</v>
      </c>
      <c r="E3" s="35" t="s">
        <v>1710</v>
      </c>
      <c r="F3" s="35" t="s">
        <v>1710</v>
      </c>
      <c r="G3" s="39">
        <v>45510.416666666664</v>
      </c>
      <c r="H3" s="36">
        <v>45510.438888888886</v>
      </c>
      <c r="I3" s="47">
        <v>6.25E-2</v>
      </c>
      <c r="J3" s="47">
        <f t="shared" si="0"/>
        <v>2.2222222221898846E-2</v>
      </c>
      <c r="K3" s="24">
        <f t="shared" si="1"/>
        <v>-4.0277777778101154E-2</v>
      </c>
      <c r="L3" s="33"/>
      <c r="M3" s="25"/>
      <c r="N3" s="22"/>
      <c r="O3" s="26"/>
      <c r="P3" s="35"/>
    </row>
    <row r="4" spans="1:16">
      <c r="A4" s="21" t="s">
        <v>2187</v>
      </c>
      <c r="B4" s="43" t="s">
        <v>2186</v>
      </c>
      <c r="C4" s="38" t="s">
        <v>2190</v>
      </c>
      <c r="D4" s="44" t="s">
        <v>2515</v>
      </c>
      <c r="E4" s="35" t="s">
        <v>1710</v>
      </c>
      <c r="F4" s="35" t="s">
        <v>1710</v>
      </c>
      <c r="G4" s="39">
        <v>45510.416666666664</v>
      </c>
      <c r="H4" s="36">
        <v>45510.438888888886</v>
      </c>
      <c r="I4" s="47">
        <v>6.25E-2</v>
      </c>
      <c r="J4" s="47">
        <f t="shared" si="0"/>
        <v>2.2222222221898846E-2</v>
      </c>
      <c r="K4" s="24">
        <f t="shared" si="1"/>
        <v>-4.0277777778101154E-2</v>
      </c>
      <c r="L4" s="33"/>
      <c r="M4" s="25"/>
      <c r="N4" s="22"/>
      <c r="O4" s="26"/>
      <c r="P4" s="35"/>
    </row>
    <row r="5" spans="1:16">
      <c r="A5" s="21" t="s">
        <v>2187</v>
      </c>
      <c r="B5" s="43" t="s">
        <v>2186</v>
      </c>
      <c r="C5" s="38" t="s">
        <v>2191</v>
      </c>
      <c r="D5" s="44" t="s">
        <v>2515</v>
      </c>
      <c r="E5" s="35" t="s">
        <v>1710</v>
      </c>
      <c r="F5" s="35" t="s">
        <v>1710</v>
      </c>
      <c r="G5" s="39">
        <v>45510.416666666664</v>
      </c>
      <c r="H5" s="36">
        <v>45510.438888888886</v>
      </c>
      <c r="I5" s="47">
        <v>6.25E-2</v>
      </c>
      <c r="J5" s="47">
        <f t="shared" si="0"/>
        <v>2.2222222221898846E-2</v>
      </c>
      <c r="K5" s="24">
        <f t="shared" si="1"/>
        <v>-4.0277777778101154E-2</v>
      </c>
      <c r="L5" s="33"/>
      <c r="M5" s="25"/>
      <c r="N5" s="22"/>
      <c r="O5" s="26"/>
      <c r="P5" s="35"/>
    </row>
    <row r="6" spans="1:16">
      <c r="A6" s="21" t="s">
        <v>2187</v>
      </c>
      <c r="B6" s="43" t="s">
        <v>2186</v>
      </c>
      <c r="C6" s="38" t="s">
        <v>2192</v>
      </c>
      <c r="D6" s="44" t="s">
        <v>2515</v>
      </c>
      <c r="E6" s="35" t="s">
        <v>1710</v>
      </c>
      <c r="F6" s="35" t="s">
        <v>1710</v>
      </c>
      <c r="G6" s="39">
        <v>45510.416666666664</v>
      </c>
      <c r="H6" s="36">
        <v>45510.438888888886</v>
      </c>
      <c r="I6" s="47">
        <v>6.25E-2</v>
      </c>
      <c r="J6" s="47">
        <f t="shared" si="0"/>
        <v>2.2222222221898846E-2</v>
      </c>
      <c r="K6" s="24">
        <f t="shared" si="1"/>
        <v>-4.0277777778101154E-2</v>
      </c>
      <c r="L6" s="33"/>
      <c r="M6" s="25"/>
      <c r="N6" s="22"/>
      <c r="O6" s="26"/>
      <c r="P6" s="35"/>
    </row>
    <row r="7" spans="1:16">
      <c r="A7" s="21" t="s">
        <v>2187</v>
      </c>
      <c r="B7" s="43" t="s">
        <v>2186</v>
      </c>
      <c r="C7" s="38" t="s">
        <v>2193</v>
      </c>
      <c r="D7" s="44" t="s">
        <v>2515</v>
      </c>
      <c r="E7" s="35" t="s">
        <v>1710</v>
      </c>
      <c r="F7" s="35" t="s">
        <v>1710</v>
      </c>
      <c r="G7" s="39">
        <v>45511.454861111109</v>
      </c>
      <c r="H7" s="36">
        <v>45511.500694444447</v>
      </c>
      <c r="I7" s="47">
        <v>6.25E-2</v>
      </c>
      <c r="J7" s="47">
        <f t="shared" si="0"/>
        <v>4.5833333337213844E-2</v>
      </c>
      <c r="K7" s="24">
        <f t="shared" si="1"/>
        <v>-1.6666666662786156E-2</v>
      </c>
      <c r="L7" s="33"/>
      <c r="M7" s="25"/>
      <c r="N7" s="22"/>
      <c r="O7" s="26"/>
      <c r="P7" s="35"/>
    </row>
    <row r="8" spans="1:16">
      <c r="A8" s="21" t="s">
        <v>2187</v>
      </c>
      <c r="B8" s="43" t="s">
        <v>2186</v>
      </c>
      <c r="C8" s="38" t="s">
        <v>2194</v>
      </c>
      <c r="D8" s="44" t="s">
        <v>2515</v>
      </c>
      <c r="E8" s="35" t="s">
        <v>1710</v>
      </c>
      <c r="F8" s="35" t="s">
        <v>1710</v>
      </c>
      <c r="G8" s="39">
        <v>45511.454861111109</v>
      </c>
      <c r="H8" s="36">
        <v>45511.500694444447</v>
      </c>
      <c r="I8" s="47">
        <v>6.25E-2</v>
      </c>
      <c r="J8" s="47">
        <f t="shared" si="0"/>
        <v>4.5833333337213844E-2</v>
      </c>
      <c r="K8" s="24">
        <f t="shared" si="1"/>
        <v>-1.6666666662786156E-2</v>
      </c>
      <c r="L8" s="45"/>
      <c r="M8" s="25"/>
      <c r="N8" s="22"/>
      <c r="O8" s="26"/>
      <c r="P8" s="35"/>
    </row>
    <row r="9" spans="1:16">
      <c r="A9" s="21" t="s">
        <v>2187</v>
      </c>
      <c r="B9" s="43" t="s">
        <v>2186</v>
      </c>
      <c r="C9" s="38" t="s">
        <v>2195</v>
      </c>
      <c r="D9" s="44" t="s">
        <v>2515</v>
      </c>
      <c r="E9" s="35" t="s">
        <v>1710</v>
      </c>
      <c r="F9" s="35" t="s">
        <v>1710</v>
      </c>
      <c r="G9" s="39">
        <v>45511.454861111109</v>
      </c>
      <c r="H9" s="36">
        <v>45511.500694444447</v>
      </c>
      <c r="I9" s="47">
        <v>6.25E-2</v>
      </c>
      <c r="J9" s="47">
        <f t="shared" si="0"/>
        <v>4.5833333337213844E-2</v>
      </c>
      <c r="K9" s="24">
        <f t="shared" si="1"/>
        <v>-1.6666666662786156E-2</v>
      </c>
      <c r="L9" s="45"/>
      <c r="M9" s="25"/>
      <c r="N9" s="22"/>
      <c r="O9" s="26"/>
      <c r="P9" s="35"/>
    </row>
    <row r="10" spans="1:16">
      <c r="A10" s="21" t="s">
        <v>2187</v>
      </c>
      <c r="B10" s="43" t="s">
        <v>2186</v>
      </c>
      <c r="C10" s="38" t="s">
        <v>2196</v>
      </c>
      <c r="D10" s="44" t="s">
        <v>2515</v>
      </c>
      <c r="E10" s="35" t="s">
        <v>2177</v>
      </c>
      <c r="F10" s="35" t="s">
        <v>1710</v>
      </c>
      <c r="G10" s="39">
        <v>45511.454861111109</v>
      </c>
      <c r="H10" s="36">
        <v>45511.541666666664</v>
      </c>
      <c r="I10" s="47">
        <v>6.25E-2</v>
      </c>
      <c r="J10" s="47">
        <f t="shared" si="0"/>
        <v>8.6805555554747116E-2</v>
      </c>
      <c r="K10" s="24">
        <f t="shared" si="1"/>
        <v>2.4305555554747116E-2</v>
      </c>
      <c r="L10" s="45"/>
      <c r="M10" s="25"/>
      <c r="N10" s="22"/>
      <c r="O10" s="26"/>
      <c r="P10" s="35"/>
    </row>
    <row r="11" spans="1:16">
      <c r="A11" s="21" t="s">
        <v>2187</v>
      </c>
      <c r="B11" s="43" t="s">
        <v>2186</v>
      </c>
      <c r="C11" s="38" t="s">
        <v>2197</v>
      </c>
      <c r="D11" s="44" t="s">
        <v>2515</v>
      </c>
      <c r="E11" s="35" t="s">
        <v>1710</v>
      </c>
      <c r="F11" s="35" t="s">
        <v>1710</v>
      </c>
      <c r="G11" s="39">
        <v>45511.454861111109</v>
      </c>
      <c r="H11" s="36">
        <v>45511.500694444447</v>
      </c>
      <c r="I11" s="47">
        <v>6.25E-2</v>
      </c>
      <c r="J11" s="47">
        <f t="shared" si="0"/>
        <v>4.5833333337213844E-2</v>
      </c>
      <c r="K11" s="24">
        <f t="shared" si="1"/>
        <v>-1.6666666662786156E-2</v>
      </c>
      <c r="L11" s="45"/>
      <c r="M11" s="25"/>
      <c r="N11" s="22"/>
      <c r="O11" s="26"/>
      <c r="P11" s="35"/>
    </row>
    <row r="12" spans="1:16">
      <c r="A12" s="21" t="s">
        <v>2187</v>
      </c>
      <c r="B12" s="43" t="s">
        <v>2186</v>
      </c>
      <c r="C12" s="38" t="s">
        <v>2198</v>
      </c>
      <c r="D12" s="44" t="s">
        <v>2515</v>
      </c>
      <c r="E12" s="35" t="s">
        <v>1710</v>
      </c>
      <c r="F12" s="35" t="s">
        <v>1710</v>
      </c>
      <c r="G12" s="39">
        <v>45511.454861111109</v>
      </c>
      <c r="H12" s="36">
        <v>45511.500694444447</v>
      </c>
      <c r="I12" s="47">
        <v>6.25E-2</v>
      </c>
      <c r="J12" s="47">
        <f t="shared" si="0"/>
        <v>4.5833333337213844E-2</v>
      </c>
      <c r="K12" s="24">
        <f t="shared" si="1"/>
        <v>-1.6666666662786156E-2</v>
      </c>
      <c r="L12" s="45"/>
      <c r="M12" s="25"/>
      <c r="N12" s="22"/>
      <c r="O12" s="26"/>
      <c r="P12" s="35"/>
    </row>
    <row r="13" spans="1:16">
      <c r="A13" s="21" t="s">
        <v>2187</v>
      </c>
      <c r="B13" s="43" t="s">
        <v>2186</v>
      </c>
      <c r="C13" s="38" t="s">
        <v>2199</v>
      </c>
      <c r="D13" s="44" t="s">
        <v>2515</v>
      </c>
      <c r="E13" s="35" t="s">
        <v>1710</v>
      </c>
      <c r="F13" s="35" t="s">
        <v>1710</v>
      </c>
      <c r="G13" s="39">
        <v>45511.454861111109</v>
      </c>
      <c r="H13" s="36">
        <v>45511.500694444447</v>
      </c>
      <c r="I13" s="47">
        <v>6.25E-2</v>
      </c>
      <c r="J13" s="47">
        <f t="shared" si="0"/>
        <v>4.5833333337213844E-2</v>
      </c>
      <c r="K13" s="24">
        <f t="shared" si="1"/>
        <v>-1.6666666662786156E-2</v>
      </c>
      <c r="L13" s="45"/>
      <c r="M13" s="25"/>
      <c r="N13" s="22"/>
      <c r="O13" s="26"/>
      <c r="P13" s="35"/>
    </row>
    <row r="14" spans="1:16">
      <c r="A14" s="21" t="s">
        <v>2187</v>
      </c>
      <c r="B14" s="43" t="s">
        <v>2186</v>
      </c>
      <c r="C14" s="38" t="s">
        <v>2200</v>
      </c>
      <c r="D14" s="44" t="s">
        <v>2515</v>
      </c>
      <c r="E14" s="35" t="s">
        <v>1710</v>
      </c>
      <c r="F14" s="35" t="s">
        <v>2182</v>
      </c>
      <c r="G14" s="39">
        <v>45512.318055555559</v>
      </c>
      <c r="H14" s="36">
        <v>45512.341666666667</v>
      </c>
      <c r="I14" s="47">
        <v>6.25E-2</v>
      </c>
      <c r="J14" s="47">
        <f t="shared" si="0"/>
        <v>2.361111110803904E-2</v>
      </c>
      <c r="K14" s="24">
        <f t="shared" si="1"/>
        <v>-3.888888889196096E-2</v>
      </c>
      <c r="L14" s="45"/>
      <c r="M14" s="25"/>
      <c r="N14" s="22"/>
      <c r="O14" s="26"/>
      <c r="P14" s="35"/>
    </row>
    <row r="15" spans="1:16">
      <c r="A15" s="21" t="s">
        <v>2187</v>
      </c>
      <c r="B15" s="43" t="s">
        <v>2186</v>
      </c>
      <c r="C15" s="38" t="s">
        <v>2201</v>
      </c>
      <c r="D15" s="44" t="s">
        <v>2515</v>
      </c>
      <c r="E15" s="35" t="s">
        <v>1710</v>
      </c>
      <c r="F15" s="35" t="s">
        <v>1710</v>
      </c>
      <c r="G15" s="39">
        <v>45512.376388888886</v>
      </c>
      <c r="H15" s="36">
        <v>45512.448611111111</v>
      </c>
      <c r="I15" s="47">
        <v>6.25E-2</v>
      </c>
      <c r="J15" s="47">
        <f t="shared" si="0"/>
        <v>7.2222222224809229E-2</v>
      </c>
      <c r="K15" s="24">
        <f t="shared" si="1"/>
        <v>9.7222222248092294E-3</v>
      </c>
      <c r="L15" s="45"/>
      <c r="M15" s="25"/>
      <c r="N15" s="22"/>
      <c r="O15" s="26"/>
      <c r="P15" s="35"/>
    </row>
    <row r="16" spans="1:16">
      <c r="A16" s="21" t="s">
        <v>2187</v>
      </c>
      <c r="B16" s="43" t="s">
        <v>2186</v>
      </c>
      <c r="C16" s="38" t="s">
        <v>2202</v>
      </c>
      <c r="D16" s="44" t="s">
        <v>2515</v>
      </c>
      <c r="E16" s="35" t="s">
        <v>1710</v>
      </c>
      <c r="F16" s="35" t="s">
        <v>1710</v>
      </c>
      <c r="G16" s="39">
        <v>45512.376388888886</v>
      </c>
      <c r="H16" s="36">
        <v>45512.448611111111</v>
      </c>
      <c r="I16" s="47">
        <v>6.25E-2</v>
      </c>
      <c r="J16" s="47">
        <f t="shared" si="0"/>
        <v>7.2222222224809229E-2</v>
      </c>
      <c r="K16" s="24">
        <f t="shared" si="1"/>
        <v>9.7222222248092294E-3</v>
      </c>
      <c r="L16" s="45"/>
      <c r="M16" s="25"/>
      <c r="N16" s="22"/>
      <c r="O16" s="26"/>
      <c r="P16" s="35"/>
    </row>
    <row r="17" spans="1:16">
      <c r="A17" s="21" t="s">
        <v>2187</v>
      </c>
      <c r="B17" s="43" t="s">
        <v>2186</v>
      </c>
      <c r="C17" s="38" t="s">
        <v>2203</v>
      </c>
      <c r="D17" s="44" t="s">
        <v>2515</v>
      </c>
      <c r="E17" s="35" t="s">
        <v>2178</v>
      </c>
      <c r="F17" s="35" t="s">
        <v>1710</v>
      </c>
      <c r="G17" s="39">
        <v>45512.378472222219</v>
      </c>
      <c r="H17" s="36">
        <v>45512.677083333336</v>
      </c>
      <c r="I17" s="47">
        <v>6.25E-2</v>
      </c>
      <c r="J17" s="47">
        <f t="shared" si="0"/>
        <v>0.29861111111677019</v>
      </c>
      <c r="K17" s="24">
        <f t="shared" si="1"/>
        <v>0.23611111111677019</v>
      </c>
      <c r="L17" s="45"/>
      <c r="M17" s="25"/>
      <c r="N17" s="22"/>
      <c r="O17" s="26"/>
      <c r="P17" s="35"/>
    </row>
    <row r="18" spans="1:16">
      <c r="A18" s="21" t="s">
        <v>2187</v>
      </c>
      <c r="B18" s="43" t="s">
        <v>2186</v>
      </c>
      <c r="C18" s="38" t="s">
        <v>2204</v>
      </c>
      <c r="D18" s="44" t="s">
        <v>2515</v>
      </c>
      <c r="E18" s="35" t="s">
        <v>1710</v>
      </c>
      <c r="F18" s="35" t="s">
        <v>1710</v>
      </c>
      <c r="G18" s="39">
        <v>45512.378472222219</v>
      </c>
      <c r="H18" s="36">
        <v>45512.42083333333</v>
      </c>
      <c r="I18" s="47">
        <v>6.25E-2</v>
      </c>
      <c r="J18" s="47">
        <f t="shared" si="0"/>
        <v>4.2361111110949423E-2</v>
      </c>
      <c r="K18" s="24">
        <f t="shared" si="1"/>
        <v>-2.0138888889050577E-2</v>
      </c>
      <c r="L18" s="45"/>
      <c r="M18" s="25"/>
      <c r="N18" s="22"/>
      <c r="O18" s="26"/>
      <c r="P18" s="35"/>
    </row>
    <row r="19" spans="1:16">
      <c r="A19" s="21" t="s">
        <v>2187</v>
      </c>
      <c r="B19" s="43" t="s">
        <v>2186</v>
      </c>
      <c r="C19" s="38" t="s">
        <v>2205</v>
      </c>
      <c r="D19" s="44" t="s">
        <v>2515</v>
      </c>
      <c r="E19" s="35" t="s">
        <v>1710</v>
      </c>
      <c r="F19" s="35" t="s">
        <v>1710</v>
      </c>
      <c r="G19" s="39">
        <v>45513.382638888892</v>
      </c>
      <c r="H19" s="36">
        <v>45513.393750000003</v>
      </c>
      <c r="I19" s="47">
        <v>6.25E-2</v>
      </c>
      <c r="J19" s="47">
        <f t="shared" si="0"/>
        <v>1.1111111110949423E-2</v>
      </c>
      <c r="K19" s="24">
        <f t="shared" si="1"/>
        <v>-5.1388888889050577E-2</v>
      </c>
      <c r="L19" s="33"/>
      <c r="M19" s="25"/>
      <c r="N19" s="22"/>
      <c r="O19" s="26"/>
      <c r="P19" s="35"/>
    </row>
    <row r="20" spans="1:16">
      <c r="A20" s="21" t="s">
        <v>2187</v>
      </c>
      <c r="B20" s="43" t="s">
        <v>2186</v>
      </c>
      <c r="C20" s="38" t="s">
        <v>2206</v>
      </c>
      <c r="D20" s="44" t="s">
        <v>2515</v>
      </c>
      <c r="E20" s="35" t="s">
        <v>1710</v>
      </c>
      <c r="F20" s="35" t="s">
        <v>1710</v>
      </c>
      <c r="G20" s="39">
        <v>45513.393750000003</v>
      </c>
      <c r="H20" s="36">
        <v>45513.413888888892</v>
      </c>
      <c r="I20" s="47">
        <v>6.25E-2</v>
      </c>
      <c r="J20" s="47">
        <f t="shared" si="0"/>
        <v>2.0138888889050577E-2</v>
      </c>
      <c r="K20" s="24">
        <f t="shared" si="1"/>
        <v>-4.2361111110949423E-2</v>
      </c>
      <c r="L20" s="33"/>
      <c r="M20" s="25"/>
      <c r="N20" s="22"/>
      <c r="O20" s="26"/>
      <c r="P20" s="35"/>
    </row>
    <row r="21" spans="1:16">
      <c r="A21" s="21" t="s">
        <v>2187</v>
      </c>
      <c r="B21" s="43" t="s">
        <v>2186</v>
      </c>
      <c r="C21" s="38" t="s">
        <v>2207</v>
      </c>
      <c r="D21" s="44" t="s">
        <v>2515</v>
      </c>
      <c r="E21" s="35" t="s">
        <v>1710</v>
      </c>
      <c r="F21" s="35" t="s">
        <v>1710</v>
      </c>
      <c r="G21" s="39">
        <v>45513.589583333334</v>
      </c>
      <c r="H21" s="36">
        <v>45513.599305555559</v>
      </c>
      <c r="I21" s="47">
        <v>6.25E-2</v>
      </c>
      <c r="J21" s="47">
        <f t="shared" si="0"/>
        <v>9.7222222248092294E-3</v>
      </c>
      <c r="K21" s="24">
        <f t="shared" si="1"/>
        <v>-5.2777777775190771E-2</v>
      </c>
      <c r="L21" s="33"/>
      <c r="M21" s="25"/>
      <c r="N21" s="22"/>
      <c r="O21" s="26"/>
      <c r="P21" s="35"/>
    </row>
    <row r="22" spans="1:16">
      <c r="A22" s="21" t="s">
        <v>2187</v>
      </c>
      <c r="B22" s="43" t="s">
        <v>2186</v>
      </c>
      <c r="C22" s="38" t="s">
        <v>2208</v>
      </c>
      <c r="D22" s="44" t="s">
        <v>2515</v>
      </c>
      <c r="E22" s="35" t="s">
        <v>1710</v>
      </c>
      <c r="F22" s="35" t="s">
        <v>1710</v>
      </c>
      <c r="G22" s="39">
        <v>45513.589583333334</v>
      </c>
      <c r="H22" s="36">
        <v>45513.599305555559</v>
      </c>
      <c r="I22" s="47">
        <v>6.25E-2</v>
      </c>
      <c r="J22" s="47">
        <f t="shared" si="0"/>
        <v>9.7222222248092294E-3</v>
      </c>
      <c r="K22" s="24">
        <f t="shared" si="1"/>
        <v>-5.2777777775190771E-2</v>
      </c>
      <c r="L22" s="33"/>
      <c r="M22" s="25"/>
      <c r="N22" s="22"/>
      <c r="O22" s="26"/>
      <c r="P22" s="35"/>
    </row>
    <row r="23" spans="1:16">
      <c r="A23" s="21" t="s">
        <v>2187</v>
      </c>
      <c r="B23" s="43" t="s">
        <v>2186</v>
      </c>
      <c r="C23" s="38" t="s">
        <v>2209</v>
      </c>
      <c r="D23" s="44" t="s">
        <v>2515</v>
      </c>
      <c r="E23" s="35" t="s">
        <v>1710</v>
      </c>
      <c r="F23" s="35" t="s">
        <v>2516</v>
      </c>
      <c r="G23" s="39">
        <v>45510.375</v>
      </c>
      <c r="H23" s="36">
        <v>45510.388194444444</v>
      </c>
      <c r="I23" s="47">
        <v>6.25E-2</v>
      </c>
      <c r="J23" s="47">
        <f t="shared" si="0"/>
        <v>1.3194444443797693E-2</v>
      </c>
      <c r="K23" s="24">
        <f t="shared" si="1"/>
        <v>-4.9305555556202307E-2</v>
      </c>
      <c r="L23" s="33"/>
      <c r="M23" s="25"/>
      <c r="N23" s="22"/>
      <c r="O23" s="26"/>
      <c r="P23" s="35"/>
    </row>
    <row r="24" spans="1:16">
      <c r="A24" s="21" t="s">
        <v>2187</v>
      </c>
      <c r="B24" s="43" t="s">
        <v>2186</v>
      </c>
      <c r="C24" s="38" t="s">
        <v>2210</v>
      </c>
      <c r="D24" s="44" t="s">
        <v>2515</v>
      </c>
      <c r="E24" s="35" t="s">
        <v>1710</v>
      </c>
      <c r="F24" s="35" t="s">
        <v>2182</v>
      </c>
      <c r="G24" s="39">
        <v>45509.375</v>
      </c>
      <c r="H24" s="36">
        <v>45509.400694444441</v>
      </c>
      <c r="I24" s="47">
        <v>6.25E-2</v>
      </c>
      <c r="J24" s="47">
        <f t="shared" si="0"/>
        <v>2.569444444088731E-2</v>
      </c>
      <c r="K24" s="24">
        <f t="shared" si="1"/>
        <v>-3.680555555911269E-2</v>
      </c>
      <c r="L24" s="33"/>
      <c r="M24" s="25"/>
      <c r="N24" s="22"/>
      <c r="O24" s="26"/>
      <c r="P24" s="35"/>
    </row>
    <row r="25" spans="1:16">
      <c r="A25" s="21" t="s">
        <v>2187</v>
      </c>
      <c r="B25" s="43" t="s">
        <v>2186</v>
      </c>
      <c r="C25" s="38" t="s">
        <v>2211</v>
      </c>
      <c r="D25" s="44" t="s">
        <v>2515</v>
      </c>
      <c r="E25" s="35" t="s">
        <v>1710</v>
      </c>
      <c r="F25" s="35" t="s">
        <v>1710</v>
      </c>
      <c r="G25" s="39">
        <v>45509.375</v>
      </c>
      <c r="H25" s="36">
        <v>45509.408333333333</v>
      </c>
      <c r="I25" s="47">
        <v>6.25E-2</v>
      </c>
      <c r="J25" s="47">
        <f t="shared" si="0"/>
        <v>3.3333333332848269E-2</v>
      </c>
      <c r="K25" s="24">
        <f t="shared" si="1"/>
        <v>-2.9166666667151731E-2</v>
      </c>
      <c r="L25" s="33"/>
      <c r="M25" s="25"/>
      <c r="N25" s="22"/>
      <c r="O25" s="26"/>
      <c r="P25" s="35"/>
    </row>
    <row r="26" spans="1:16">
      <c r="A26" s="21" t="s">
        <v>2187</v>
      </c>
      <c r="B26" s="43" t="s">
        <v>2186</v>
      </c>
      <c r="C26" s="38" t="s">
        <v>2212</v>
      </c>
      <c r="D26" s="44" t="s">
        <v>2515</v>
      </c>
      <c r="E26" s="35" t="s">
        <v>1710</v>
      </c>
      <c r="F26" s="35" t="s">
        <v>1710</v>
      </c>
      <c r="G26" s="39">
        <v>45509.375</v>
      </c>
      <c r="H26" s="36">
        <v>45509.410416666666</v>
      </c>
      <c r="I26" s="47">
        <v>6.25E-2</v>
      </c>
      <c r="J26" s="47">
        <f t="shared" si="0"/>
        <v>3.5416666665696539E-2</v>
      </c>
      <c r="K26" s="24">
        <f t="shared" si="1"/>
        <v>-2.7083333334303461E-2</v>
      </c>
      <c r="L26" s="45"/>
      <c r="M26" s="25"/>
      <c r="N26" s="22"/>
      <c r="O26" s="26"/>
      <c r="P26" s="35"/>
    </row>
    <row r="27" spans="1:16">
      <c r="A27" s="21" t="s">
        <v>2187</v>
      </c>
      <c r="B27" s="43" t="s">
        <v>2186</v>
      </c>
      <c r="C27" s="38" t="s">
        <v>2213</v>
      </c>
      <c r="D27" s="44" t="s">
        <v>2515</v>
      </c>
      <c r="E27" s="35" t="s">
        <v>1710</v>
      </c>
      <c r="F27" s="35" t="s">
        <v>1710</v>
      </c>
      <c r="G27" s="39">
        <v>45509.375</v>
      </c>
      <c r="H27" s="36">
        <v>45509.411805555559</v>
      </c>
      <c r="I27" s="47">
        <v>6.25E-2</v>
      </c>
      <c r="J27" s="47">
        <f t="shared" si="0"/>
        <v>3.680555555911269E-2</v>
      </c>
      <c r="K27" s="24">
        <f t="shared" si="1"/>
        <v>-2.569444444088731E-2</v>
      </c>
      <c r="L27" s="45"/>
      <c r="M27" s="25"/>
      <c r="N27" s="22"/>
      <c r="O27" s="26"/>
      <c r="P27" s="35"/>
    </row>
    <row r="28" spans="1:16">
      <c r="A28" s="21" t="s">
        <v>2187</v>
      </c>
      <c r="B28" s="43" t="s">
        <v>2186</v>
      </c>
      <c r="C28" s="38" t="s">
        <v>2214</v>
      </c>
      <c r="D28" s="44" t="s">
        <v>2515</v>
      </c>
      <c r="E28" s="35" t="s">
        <v>1710</v>
      </c>
      <c r="F28" s="35" t="s">
        <v>1710</v>
      </c>
      <c r="G28" s="39">
        <v>45509.375</v>
      </c>
      <c r="H28" s="36">
        <v>45509.413194444445</v>
      </c>
      <c r="I28" s="47">
        <v>6.25E-2</v>
      </c>
      <c r="J28" s="47">
        <f t="shared" si="0"/>
        <v>3.8194444445252884E-2</v>
      </c>
      <c r="K28" s="24">
        <f t="shared" si="1"/>
        <v>-2.4305555554747116E-2</v>
      </c>
      <c r="L28" s="45"/>
      <c r="M28" s="25"/>
      <c r="N28" s="22"/>
      <c r="O28" s="26"/>
      <c r="P28" s="35"/>
    </row>
    <row r="29" spans="1:16">
      <c r="A29" s="21" t="s">
        <v>2187</v>
      </c>
      <c r="B29" s="43" t="s">
        <v>2186</v>
      </c>
      <c r="C29" s="38" t="s">
        <v>2215</v>
      </c>
      <c r="D29" s="44" t="s">
        <v>2515</v>
      </c>
      <c r="E29" s="35" t="s">
        <v>2177</v>
      </c>
      <c r="F29" s="35" t="s">
        <v>1710</v>
      </c>
      <c r="G29" s="39">
        <v>45509.375</v>
      </c>
      <c r="H29" s="36">
        <v>45509.420138888891</v>
      </c>
      <c r="I29" s="47">
        <v>6.25E-2</v>
      </c>
      <c r="J29" s="47">
        <f t="shared" si="0"/>
        <v>4.5138888890505768E-2</v>
      </c>
      <c r="K29" s="24">
        <f t="shared" si="1"/>
        <v>-1.7361111109494232E-2</v>
      </c>
      <c r="L29" s="33"/>
      <c r="M29" s="25"/>
      <c r="N29" s="22"/>
      <c r="O29" s="26"/>
      <c r="P29" s="35"/>
    </row>
    <row r="30" spans="1:16">
      <c r="A30" s="21" t="s">
        <v>2187</v>
      </c>
      <c r="B30" s="43" t="s">
        <v>2186</v>
      </c>
      <c r="C30" s="38" t="s">
        <v>2216</v>
      </c>
      <c r="D30" s="44" t="s">
        <v>2515</v>
      </c>
      <c r="E30" s="35" t="s">
        <v>1710</v>
      </c>
      <c r="F30" s="35" t="s">
        <v>1710</v>
      </c>
      <c r="G30" s="39">
        <v>45509.375</v>
      </c>
      <c r="H30" s="36">
        <v>45509.416666666664</v>
      </c>
      <c r="I30" s="47">
        <v>6.25E-2</v>
      </c>
      <c r="J30" s="47">
        <f t="shared" si="0"/>
        <v>4.1666666664241347E-2</v>
      </c>
      <c r="K30" s="24">
        <f t="shared" si="1"/>
        <v>-2.0833333335758653E-2</v>
      </c>
      <c r="L30" s="33"/>
      <c r="M30" s="25"/>
      <c r="N30" s="22"/>
      <c r="O30" s="26"/>
      <c r="P30" s="35"/>
    </row>
    <row r="31" spans="1:16">
      <c r="A31" s="21" t="s">
        <v>2187</v>
      </c>
      <c r="B31" s="43" t="s">
        <v>2186</v>
      </c>
      <c r="C31" s="38" t="s">
        <v>2217</v>
      </c>
      <c r="D31" s="44" t="s">
        <v>2515</v>
      </c>
      <c r="E31" s="35" t="s">
        <v>1710</v>
      </c>
      <c r="F31" s="35" t="s">
        <v>2516</v>
      </c>
      <c r="G31" s="39">
        <v>45509.375</v>
      </c>
      <c r="H31" s="36">
        <v>45509.422222222223</v>
      </c>
      <c r="I31" s="47">
        <v>6.25E-2</v>
      </c>
      <c r="J31" s="47">
        <f t="shared" si="0"/>
        <v>4.7222222223354038E-2</v>
      </c>
      <c r="K31" s="24">
        <f t="shared" si="1"/>
        <v>-1.5277777776645962E-2</v>
      </c>
      <c r="L31" s="33"/>
      <c r="M31" s="25"/>
      <c r="N31" s="22"/>
      <c r="O31" s="26"/>
      <c r="P31" s="35"/>
    </row>
    <row r="32" spans="1:16">
      <c r="A32" s="21" t="s">
        <v>2187</v>
      </c>
      <c r="B32" s="43" t="s">
        <v>2186</v>
      </c>
      <c r="C32" s="38" t="s">
        <v>2218</v>
      </c>
      <c r="D32" s="44" t="s">
        <v>2515</v>
      </c>
      <c r="E32" s="35" t="s">
        <v>1710</v>
      </c>
      <c r="F32" s="35" t="s">
        <v>1710</v>
      </c>
      <c r="G32" s="39">
        <v>45509.375</v>
      </c>
      <c r="H32" s="36">
        <v>45509.425000000003</v>
      </c>
      <c r="I32" s="47">
        <v>6.25E-2</v>
      </c>
      <c r="J32" s="47">
        <f t="shared" si="0"/>
        <v>5.0000000002910383E-2</v>
      </c>
      <c r="K32" s="24">
        <f t="shared" si="1"/>
        <v>-1.2499999997089617E-2</v>
      </c>
      <c r="L32" s="33"/>
      <c r="M32" s="25"/>
      <c r="N32" s="22"/>
      <c r="O32" s="26"/>
      <c r="P32" s="35"/>
    </row>
    <row r="33" spans="1:16">
      <c r="A33" s="21" t="s">
        <v>2187</v>
      </c>
      <c r="B33" s="43" t="s">
        <v>2186</v>
      </c>
      <c r="C33" s="38" t="s">
        <v>2219</v>
      </c>
      <c r="D33" s="44" t="s">
        <v>2515</v>
      </c>
      <c r="E33" s="35" t="s">
        <v>1710</v>
      </c>
      <c r="F33" s="35" t="s">
        <v>1710</v>
      </c>
      <c r="G33" s="39">
        <v>45509.4375</v>
      </c>
      <c r="H33" s="36">
        <v>45509.462500000001</v>
      </c>
      <c r="I33" s="47">
        <v>6.25E-2</v>
      </c>
      <c r="J33" s="47">
        <f t="shared" si="0"/>
        <v>2.5000000001455192E-2</v>
      </c>
      <c r="K33" s="24">
        <f t="shared" si="1"/>
        <v>-3.7499999998544808E-2</v>
      </c>
      <c r="L33" s="33"/>
      <c r="M33" s="25"/>
      <c r="N33" s="22"/>
      <c r="O33" s="26"/>
      <c r="P33" s="35"/>
    </row>
    <row r="34" spans="1:16">
      <c r="A34" s="21" t="s">
        <v>2187</v>
      </c>
      <c r="B34" s="43" t="s">
        <v>2186</v>
      </c>
      <c r="C34" s="38" t="s">
        <v>2220</v>
      </c>
      <c r="D34" s="44" t="s">
        <v>2515</v>
      </c>
      <c r="E34" s="35" t="s">
        <v>2178</v>
      </c>
      <c r="F34" s="35" t="s">
        <v>2181</v>
      </c>
      <c r="G34" s="39">
        <v>45509.4375</v>
      </c>
      <c r="H34" s="36">
        <v>45509.631944444445</v>
      </c>
      <c r="I34" s="47">
        <v>6.25E-2</v>
      </c>
      <c r="J34" s="47">
        <f t="shared" si="0"/>
        <v>0.19444444444525288</v>
      </c>
      <c r="K34" s="24">
        <f t="shared" si="1"/>
        <v>0.13194444444525288</v>
      </c>
      <c r="L34" s="33"/>
      <c r="M34" s="25"/>
      <c r="N34" s="22"/>
      <c r="O34" s="26"/>
      <c r="P34" s="35"/>
    </row>
    <row r="35" spans="1:16">
      <c r="A35" s="21" t="s">
        <v>2187</v>
      </c>
      <c r="B35" s="43" t="s">
        <v>2186</v>
      </c>
      <c r="C35" s="38" t="s">
        <v>2221</v>
      </c>
      <c r="D35" s="44" t="s">
        <v>2515</v>
      </c>
      <c r="E35" s="35" t="s">
        <v>1710</v>
      </c>
      <c r="F35" s="35" t="s">
        <v>1710</v>
      </c>
      <c r="G35" s="39">
        <v>45509.4375</v>
      </c>
      <c r="H35" s="36">
        <v>45509.46597222222</v>
      </c>
      <c r="I35" s="47">
        <v>6.25E-2</v>
      </c>
      <c r="J35" s="47">
        <f t="shared" si="0"/>
        <v>2.8472222220443655E-2</v>
      </c>
      <c r="K35" s="24">
        <f t="shared" si="1"/>
        <v>-3.4027777779556345E-2</v>
      </c>
      <c r="L35" s="33"/>
      <c r="M35" s="25"/>
      <c r="N35" s="22"/>
      <c r="O35" s="26"/>
      <c r="P35" s="35"/>
    </row>
    <row r="36" spans="1:16">
      <c r="A36" s="21" t="s">
        <v>2187</v>
      </c>
      <c r="B36" s="43" t="s">
        <v>2186</v>
      </c>
      <c r="C36" s="38" t="s">
        <v>2222</v>
      </c>
      <c r="D36" s="44" t="s">
        <v>2515</v>
      </c>
      <c r="E36" s="35" t="s">
        <v>2178</v>
      </c>
      <c r="F36" s="35" t="s">
        <v>2181</v>
      </c>
      <c r="G36" s="39">
        <v>45509.4375</v>
      </c>
      <c r="H36" s="36">
        <v>45509.482638888891</v>
      </c>
      <c r="I36" s="47">
        <v>6.25E-2</v>
      </c>
      <c r="J36" s="47">
        <f t="shared" si="0"/>
        <v>4.5138888890505768E-2</v>
      </c>
      <c r="K36" s="24">
        <f t="shared" si="1"/>
        <v>-1.7361111109494232E-2</v>
      </c>
      <c r="L36" s="33"/>
      <c r="M36" s="19"/>
      <c r="N36" s="22"/>
      <c r="O36" s="26"/>
      <c r="P36" s="35"/>
    </row>
    <row r="37" spans="1:16">
      <c r="A37" s="21" t="s">
        <v>2187</v>
      </c>
      <c r="B37" s="43" t="s">
        <v>2186</v>
      </c>
      <c r="C37" s="38" t="s">
        <v>2223</v>
      </c>
      <c r="D37" s="44" t="s">
        <v>2515</v>
      </c>
      <c r="E37" s="35" t="s">
        <v>1710</v>
      </c>
      <c r="F37" s="35" t="s">
        <v>1710</v>
      </c>
      <c r="G37" s="39">
        <v>45509.4375</v>
      </c>
      <c r="H37" s="36">
        <v>45509.469444444447</v>
      </c>
      <c r="I37" s="47">
        <v>6.25E-2</v>
      </c>
      <c r="J37" s="47">
        <f t="shared" si="0"/>
        <v>3.1944444446708076E-2</v>
      </c>
      <c r="K37" s="24">
        <f t="shared" si="1"/>
        <v>-3.0555555553291924E-2</v>
      </c>
      <c r="L37" s="33"/>
      <c r="M37" s="25"/>
      <c r="N37" s="22"/>
      <c r="O37" s="26"/>
      <c r="P37" s="35"/>
    </row>
    <row r="38" spans="1:16">
      <c r="A38" s="21" t="s">
        <v>2187</v>
      </c>
      <c r="B38" s="43" t="s">
        <v>2186</v>
      </c>
      <c r="C38" s="38" t="s">
        <v>2224</v>
      </c>
      <c r="D38" s="44" t="s">
        <v>2515</v>
      </c>
      <c r="E38" s="35" t="s">
        <v>2178</v>
      </c>
      <c r="F38" s="35" t="s">
        <v>1710</v>
      </c>
      <c r="G38" s="39">
        <v>45509.4375</v>
      </c>
      <c r="H38" s="36">
        <v>45509.715277777781</v>
      </c>
      <c r="I38" s="47">
        <v>6.25E-2</v>
      </c>
      <c r="J38" s="47">
        <f t="shared" si="0"/>
        <v>0.27777777778101154</v>
      </c>
      <c r="K38" s="24">
        <f t="shared" si="1"/>
        <v>0.21527777778101154</v>
      </c>
      <c r="L38" s="45"/>
      <c r="M38" s="25"/>
      <c r="N38" s="22"/>
      <c r="O38" s="26"/>
      <c r="P38" s="35"/>
    </row>
    <row r="39" spans="1:16">
      <c r="A39" s="21" t="s">
        <v>2187</v>
      </c>
      <c r="B39" s="43" t="s">
        <v>2186</v>
      </c>
      <c r="C39" s="38" t="s">
        <v>2225</v>
      </c>
      <c r="D39" s="44" t="s">
        <v>2515</v>
      </c>
      <c r="E39" s="35" t="s">
        <v>1710</v>
      </c>
      <c r="F39" s="35" t="s">
        <v>1710</v>
      </c>
      <c r="G39" s="39">
        <v>45509.4375</v>
      </c>
      <c r="H39" s="36">
        <v>45509.474305555559</v>
      </c>
      <c r="I39" s="47">
        <v>6.25E-2</v>
      </c>
      <c r="J39" s="47">
        <f t="shared" si="0"/>
        <v>3.680555555911269E-2</v>
      </c>
      <c r="K39" s="24">
        <f t="shared" si="1"/>
        <v>-2.569444444088731E-2</v>
      </c>
      <c r="L39" s="33"/>
      <c r="M39" s="25"/>
      <c r="N39" s="22"/>
      <c r="O39" s="26"/>
      <c r="P39" s="35"/>
    </row>
    <row r="40" spans="1:16">
      <c r="A40" s="21" t="s">
        <v>2187</v>
      </c>
      <c r="B40" s="43" t="s">
        <v>2186</v>
      </c>
      <c r="C40" s="38" t="s">
        <v>2226</v>
      </c>
      <c r="D40" s="44" t="s">
        <v>2515</v>
      </c>
      <c r="E40" s="35" t="s">
        <v>2177</v>
      </c>
      <c r="F40" s="35" t="s">
        <v>1710</v>
      </c>
      <c r="G40" s="39">
        <v>45509.4375</v>
      </c>
      <c r="H40" s="36">
        <v>45509.572222222225</v>
      </c>
      <c r="I40" s="47">
        <v>6.25E-2</v>
      </c>
      <c r="J40" s="47">
        <f t="shared" si="0"/>
        <v>0.13472222222480923</v>
      </c>
      <c r="K40" s="24">
        <f t="shared" si="1"/>
        <v>7.2222222224809229E-2</v>
      </c>
      <c r="L40" s="33"/>
      <c r="M40" s="25"/>
      <c r="N40" s="22"/>
      <c r="O40" s="26"/>
      <c r="P40" s="35"/>
    </row>
    <row r="41" spans="1:16">
      <c r="A41" s="21" t="s">
        <v>2187</v>
      </c>
      <c r="B41" s="43" t="s">
        <v>2186</v>
      </c>
      <c r="C41" s="38" t="s">
        <v>2227</v>
      </c>
      <c r="D41" s="44" t="s">
        <v>2515</v>
      </c>
      <c r="E41" s="35" t="s">
        <v>1710</v>
      </c>
      <c r="F41" s="35" t="s">
        <v>1710</v>
      </c>
      <c r="G41" s="39">
        <v>45509.4375</v>
      </c>
      <c r="H41" s="36">
        <v>45509.479861111111</v>
      </c>
      <c r="I41" s="47">
        <v>6.25E-2</v>
      </c>
      <c r="J41" s="47">
        <f t="shared" si="0"/>
        <v>4.2361111110949423E-2</v>
      </c>
      <c r="K41" s="24">
        <f t="shared" si="1"/>
        <v>-2.0138888889050577E-2</v>
      </c>
      <c r="L41" s="33"/>
      <c r="M41" s="25"/>
      <c r="N41" s="22"/>
      <c r="O41" s="26"/>
      <c r="P41" s="35"/>
    </row>
    <row r="42" spans="1:16">
      <c r="A42" s="21" t="s">
        <v>2187</v>
      </c>
      <c r="B42" s="43" t="s">
        <v>2186</v>
      </c>
      <c r="C42" s="38" t="s">
        <v>2228</v>
      </c>
      <c r="D42" s="44" t="s">
        <v>2515</v>
      </c>
      <c r="E42" s="35" t="s">
        <v>1710</v>
      </c>
      <c r="F42" s="35" t="s">
        <v>1710</v>
      </c>
      <c r="G42" s="39">
        <v>45509.4375</v>
      </c>
      <c r="H42" s="36">
        <v>45509.481249999997</v>
      </c>
      <c r="I42" s="47">
        <v>6.25E-2</v>
      </c>
      <c r="J42" s="47">
        <f t="shared" si="0"/>
        <v>4.3749999997089617E-2</v>
      </c>
      <c r="K42" s="24">
        <f t="shared" si="1"/>
        <v>-1.8750000002910383E-2</v>
      </c>
      <c r="L42" s="33"/>
      <c r="M42" s="19"/>
      <c r="N42" s="22"/>
      <c r="O42" s="26"/>
      <c r="P42" s="35"/>
    </row>
    <row r="43" spans="1:16">
      <c r="A43" s="21" t="s">
        <v>2187</v>
      </c>
      <c r="B43" s="43" t="s">
        <v>2186</v>
      </c>
      <c r="C43" s="38" t="s">
        <v>2229</v>
      </c>
      <c r="D43" s="44" t="s">
        <v>2515</v>
      </c>
      <c r="E43" s="35" t="s">
        <v>1710</v>
      </c>
      <c r="F43" s="35" t="s">
        <v>1710</v>
      </c>
      <c r="G43" s="39">
        <v>45509.4375</v>
      </c>
      <c r="H43" s="36">
        <v>45509.487500000003</v>
      </c>
      <c r="I43" s="47">
        <v>6.25E-2</v>
      </c>
      <c r="J43" s="47">
        <f t="shared" si="0"/>
        <v>5.0000000002910383E-2</v>
      </c>
      <c r="K43" s="24">
        <f t="shared" si="1"/>
        <v>-1.2499999997089617E-2</v>
      </c>
      <c r="L43" s="45"/>
      <c r="M43" s="25"/>
      <c r="N43" s="22"/>
      <c r="O43" s="26"/>
      <c r="P43" s="35"/>
    </row>
    <row r="44" spans="1:16">
      <c r="A44" s="21" t="s">
        <v>2187</v>
      </c>
      <c r="B44" s="43" t="s">
        <v>2186</v>
      </c>
      <c r="C44" s="38" t="s">
        <v>2230</v>
      </c>
      <c r="D44" s="44" t="s">
        <v>2515</v>
      </c>
      <c r="E44" s="35" t="s">
        <v>1710</v>
      </c>
      <c r="F44" s="35" t="s">
        <v>1710</v>
      </c>
      <c r="G44" s="39">
        <v>45509.541666666664</v>
      </c>
      <c r="H44" s="36">
        <v>45509.571527777778</v>
      </c>
      <c r="I44" s="47">
        <v>6.25E-2</v>
      </c>
      <c r="J44" s="47">
        <f t="shared" si="0"/>
        <v>2.9861111113859806E-2</v>
      </c>
      <c r="K44" s="24">
        <f t="shared" si="1"/>
        <v>-3.2638888886140194E-2</v>
      </c>
      <c r="L44" s="33"/>
      <c r="M44" s="19"/>
      <c r="N44" s="22"/>
      <c r="O44" s="26"/>
      <c r="P44" s="35"/>
    </row>
    <row r="45" spans="1:16">
      <c r="A45" s="21" t="s">
        <v>2187</v>
      </c>
      <c r="B45" s="43" t="s">
        <v>2186</v>
      </c>
      <c r="C45" s="38" t="s">
        <v>2231</v>
      </c>
      <c r="D45" s="44" t="s">
        <v>2515</v>
      </c>
      <c r="E45" s="35" t="s">
        <v>2178</v>
      </c>
      <c r="F45" s="35" t="s">
        <v>2181</v>
      </c>
      <c r="G45" s="39">
        <v>45509.541666666664</v>
      </c>
      <c r="H45" s="36">
        <v>45509.599305555559</v>
      </c>
      <c r="I45" s="47">
        <v>6.25E-2</v>
      </c>
      <c r="J45" s="47">
        <f t="shared" si="0"/>
        <v>5.7638888894871343E-2</v>
      </c>
      <c r="K45" s="24">
        <f t="shared" si="1"/>
        <v>-4.8611111051286571E-3</v>
      </c>
      <c r="L45" s="33"/>
      <c r="M45" s="19"/>
      <c r="N45" s="22"/>
      <c r="O45" s="26"/>
      <c r="P45" s="35"/>
    </row>
    <row r="46" spans="1:16">
      <c r="A46" s="21" t="s">
        <v>2187</v>
      </c>
      <c r="B46" s="43" t="s">
        <v>2186</v>
      </c>
      <c r="C46" s="38" t="s">
        <v>2232</v>
      </c>
      <c r="D46" s="44" t="s">
        <v>2515</v>
      </c>
      <c r="E46" s="35" t="s">
        <v>1710</v>
      </c>
      <c r="F46" s="35" t="s">
        <v>1710</v>
      </c>
      <c r="G46" s="39">
        <v>45510.375</v>
      </c>
      <c r="H46" s="36">
        <v>45510.38958333333</v>
      </c>
      <c r="I46" s="47">
        <v>6.25E-2</v>
      </c>
      <c r="J46" s="47">
        <f t="shared" si="0"/>
        <v>1.4583333329937886E-2</v>
      </c>
      <c r="K46" s="24">
        <f t="shared" si="1"/>
        <v>-4.7916666670062114E-2</v>
      </c>
      <c r="L46" s="45"/>
      <c r="M46" s="25"/>
      <c r="N46" s="22"/>
      <c r="O46" s="26"/>
      <c r="P46" s="35"/>
    </row>
    <row r="47" spans="1:16">
      <c r="A47" s="21" t="s">
        <v>2187</v>
      </c>
      <c r="B47" s="43" t="s">
        <v>2186</v>
      </c>
      <c r="C47" s="38" t="s">
        <v>2233</v>
      </c>
      <c r="D47" s="44" t="s">
        <v>2515</v>
      </c>
      <c r="E47" s="35" t="s">
        <v>1710</v>
      </c>
      <c r="F47" s="35" t="s">
        <v>1710</v>
      </c>
      <c r="G47" s="39">
        <v>45510.375</v>
      </c>
      <c r="H47" s="36">
        <v>45510.390277777777</v>
      </c>
      <c r="I47" s="47">
        <v>6.25E-2</v>
      </c>
      <c r="J47" s="47">
        <f t="shared" si="0"/>
        <v>1.5277777776645962E-2</v>
      </c>
      <c r="K47" s="24">
        <f t="shared" si="1"/>
        <v>-4.7222222223354038E-2</v>
      </c>
      <c r="L47" s="33"/>
      <c r="M47" s="25"/>
      <c r="N47" s="22"/>
      <c r="O47" s="26"/>
      <c r="P47" s="35"/>
    </row>
    <row r="48" spans="1:16">
      <c r="A48" s="21" t="s">
        <v>2187</v>
      </c>
      <c r="B48" s="43" t="s">
        <v>2186</v>
      </c>
      <c r="C48" s="38" t="s">
        <v>2234</v>
      </c>
      <c r="D48" s="44" t="s">
        <v>2515</v>
      </c>
      <c r="E48" s="35" t="s">
        <v>1710</v>
      </c>
      <c r="F48" s="35" t="s">
        <v>1710</v>
      </c>
      <c r="G48" s="39">
        <v>45510.375</v>
      </c>
      <c r="H48" s="36">
        <v>45510.390972222223</v>
      </c>
      <c r="I48" s="47">
        <v>6.25E-2</v>
      </c>
      <c r="J48" s="47">
        <f t="shared" si="0"/>
        <v>1.5972222223354038E-2</v>
      </c>
      <c r="K48" s="24">
        <f t="shared" si="1"/>
        <v>-4.6527777776645962E-2</v>
      </c>
      <c r="L48" s="33"/>
      <c r="M48" s="25"/>
      <c r="N48" s="22"/>
      <c r="O48" s="26"/>
      <c r="P48" s="35"/>
    </row>
    <row r="49" spans="1:16">
      <c r="A49" s="21" t="s">
        <v>2187</v>
      </c>
      <c r="B49" s="43" t="s">
        <v>2186</v>
      </c>
      <c r="C49" s="38" t="s">
        <v>2235</v>
      </c>
      <c r="D49" s="44" t="s">
        <v>2515</v>
      </c>
      <c r="E49" s="35" t="s">
        <v>1710</v>
      </c>
      <c r="F49" s="35" t="s">
        <v>1710</v>
      </c>
      <c r="G49" s="39">
        <v>45510.375</v>
      </c>
      <c r="H49" s="36">
        <v>45510.412499999999</v>
      </c>
      <c r="I49" s="47">
        <v>6.25E-2</v>
      </c>
      <c r="J49" s="47">
        <f t="shared" si="0"/>
        <v>3.7499999998544808E-2</v>
      </c>
      <c r="K49" s="24">
        <f t="shared" si="1"/>
        <v>-2.5000000001455192E-2</v>
      </c>
      <c r="L49" s="33"/>
      <c r="M49" s="25"/>
      <c r="N49" s="22"/>
      <c r="O49" s="26"/>
      <c r="P49" s="35"/>
    </row>
    <row r="50" spans="1:16">
      <c r="A50" s="21" t="s">
        <v>2187</v>
      </c>
      <c r="B50" s="43" t="s">
        <v>2186</v>
      </c>
      <c r="C50" s="38" t="s">
        <v>2236</v>
      </c>
      <c r="D50" s="44" t="s">
        <v>2515</v>
      </c>
      <c r="E50" s="35" t="s">
        <v>2178</v>
      </c>
      <c r="F50" s="35" t="s">
        <v>2181</v>
      </c>
      <c r="G50" s="39">
        <v>45510.375</v>
      </c>
      <c r="H50" s="36">
        <v>45510.480555555558</v>
      </c>
      <c r="I50" s="47">
        <v>6.25E-2</v>
      </c>
      <c r="J50" s="47">
        <f t="shared" si="0"/>
        <v>0.1055555555576575</v>
      </c>
      <c r="K50" s="24">
        <f t="shared" si="1"/>
        <v>4.3055555557657499E-2</v>
      </c>
      <c r="L50" s="45"/>
      <c r="M50" s="25"/>
      <c r="N50" s="22"/>
      <c r="O50" s="26"/>
      <c r="P50" s="35"/>
    </row>
    <row r="51" spans="1:16">
      <c r="A51" s="21" t="s">
        <v>2187</v>
      </c>
      <c r="B51" s="43" t="s">
        <v>2186</v>
      </c>
      <c r="C51" s="38" t="s">
        <v>2237</v>
      </c>
      <c r="D51" s="44" t="s">
        <v>2515</v>
      </c>
      <c r="E51" s="35" t="s">
        <v>1710</v>
      </c>
      <c r="F51" s="35" t="s">
        <v>1710</v>
      </c>
      <c r="G51" s="39">
        <v>45510.416666666664</v>
      </c>
      <c r="H51" s="36">
        <v>45510.429861111108</v>
      </c>
      <c r="I51" s="47">
        <v>6.25E-2</v>
      </c>
      <c r="J51" s="47">
        <f t="shared" si="0"/>
        <v>1.3194444443797693E-2</v>
      </c>
      <c r="K51" s="24">
        <f t="shared" si="1"/>
        <v>-4.9305555556202307E-2</v>
      </c>
      <c r="L51" s="45"/>
      <c r="M51" s="25"/>
      <c r="N51" s="22"/>
      <c r="O51" s="26"/>
      <c r="P51" s="35"/>
    </row>
    <row r="52" spans="1:16">
      <c r="A52" s="21" t="s">
        <v>2187</v>
      </c>
      <c r="B52" s="43" t="s">
        <v>2186</v>
      </c>
      <c r="C52" s="38" t="s">
        <v>2238</v>
      </c>
      <c r="D52" s="44" t="s">
        <v>2515</v>
      </c>
      <c r="E52" s="35" t="s">
        <v>1710</v>
      </c>
      <c r="F52" s="35" t="s">
        <v>1710</v>
      </c>
      <c r="G52" s="39">
        <v>45510.416666666664</v>
      </c>
      <c r="H52" s="36">
        <v>45510.431250000001</v>
      </c>
      <c r="I52" s="47">
        <v>6.25E-2</v>
      </c>
      <c r="J52" s="47">
        <f t="shared" si="0"/>
        <v>1.4583333337213844E-2</v>
      </c>
      <c r="K52" s="24">
        <f t="shared" si="1"/>
        <v>-4.7916666662786156E-2</v>
      </c>
      <c r="L52" s="45"/>
      <c r="M52" s="25"/>
      <c r="N52" s="22"/>
      <c r="O52" s="26"/>
      <c r="P52" s="35"/>
    </row>
    <row r="53" spans="1:16">
      <c r="A53" s="21" t="s">
        <v>2187</v>
      </c>
      <c r="B53" s="43" t="s">
        <v>2186</v>
      </c>
      <c r="C53" s="38" t="s">
        <v>2239</v>
      </c>
      <c r="D53" s="44" t="s">
        <v>2515</v>
      </c>
      <c r="E53" s="35" t="s">
        <v>1710</v>
      </c>
      <c r="F53" s="35" t="s">
        <v>1710</v>
      </c>
      <c r="G53" s="39">
        <v>45510.416666666664</v>
      </c>
      <c r="H53" s="36">
        <v>45510.431250000001</v>
      </c>
      <c r="I53" s="47">
        <v>6.25E-2</v>
      </c>
      <c r="J53" s="47">
        <f t="shared" si="0"/>
        <v>1.4583333337213844E-2</v>
      </c>
      <c r="K53" s="24">
        <f t="shared" si="1"/>
        <v>-4.7916666662786156E-2</v>
      </c>
      <c r="L53" s="45"/>
      <c r="M53" s="25"/>
      <c r="N53" s="22"/>
      <c r="O53" s="26"/>
      <c r="P53" s="35"/>
    </row>
    <row r="54" spans="1:16">
      <c r="A54" s="21" t="s">
        <v>2187</v>
      </c>
      <c r="B54" s="43" t="s">
        <v>2186</v>
      </c>
      <c r="C54" s="38" t="s">
        <v>2240</v>
      </c>
      <c r="D54" s="44" t="s">
        <v>2515</v>
      </c>
      <c r="E54" s="35" t="s">
        <v>1710</v>
      </c>
      <c r="F54" s="35" t="s">
        <v>1710</v>
      </c>
      <c r="G54" s="39">
        <v>45510.416666666664</v>
      </c>
      <c r="H54" s="36">
        <v>45510.431944444441</v>
      </c>
      <c r="I54" s="47">
        <v>6.25E-2</v>
      </c>
      <c r="J54" s="47">
        <f t="shared" si="0"/>
        <v>1.5277777776645962E-2</v>
      </c>
      <c r="K54" s="24">
        <f t="shared" si="1"/>
        <v>-4.7222222223354038E-2</v>
      </c>
      <c r="L54" s="45"/>
      <c r="M54" s="25"/>
      <c r="N54" s="22"/>
      <c r="O54" s="26"/>
      <c r="P54" s="35"/>
    </row>
    <row r="55" spans="1:16">
      <c r="A55" s="21" t="s">
        <v>2187</v>
      </c>
      <c r="B55" s="43" t="s">
        <v>2186</v>
      </c>
      <c r="C55" s="38" t="s">
        <v>2241</v>
      </c>
      <c r="D55" s="44" t="s">
        <v>2515</v>
      </c>
      <c r="E55" s="35" t="s">
        <v>1710</v>
      </c>
      <c r="F55" s="35" t="s">
        <v>1710</v>
      </c>
      <c r="G55" s="39">
        <v>45510.416666666664</v>
      </c>
      <c r="H55" s="36">
        <v>45510.442361111112</v>
      </c>
      <c r="I55" s="47">
        <v>6.25E-2</v>
      </c>
      <c r="J55" s="47">
        <f t="shared" si="0"/>
        <v>2.5694444448163267E-2</v>
      </c>
      <c r="K55" s="24">
        <f t="shared" si="1"/>
        <v>-3.6805555551836733E-2</v>
      </c>
      <c r="L55" s="45"/>
      <c r="M55" s="25"/>
      <c r="N55" s="22"/>
      <c r="O55" s="26"/>
      <c r="P55" s="35"/>
    </row>
    <row r="56" spans="1:16">
      <c r="A56" s="21" t="s">
        <v>2187</v>
      </c>
      <c r="B56" s="43" t="s">
        <v>2186</v>
      </c>
      <c r="C56" s="38" t="s">
        <v>2242</v>
      </c>
      <c r="D56" s="44" t="s">
        <v>2515</v>
      </c>
      <c r="E56" s="35" t="s">
        <v>2177</v>
      </c>
      <c r="F56" s="35" t="s">
        <v>1710</v>
      </c>
      <c r="G56" s="39">
        <v>45510.416666666664</v>
      </c>
      <c r="H56" s="36">
        <v>45510.467361111114</v>
      </c>
      <c r="I56" s="47">
        <v>6.25E-2</v>
      </c>
      <c r="J56" s="47">
        <f t="shared" si="0"/>
        <v>5.0694444449618459E-2</v>
      </c>
      <c r="K56" s="24">
        <f t="shared" si="1"/>
        <v>-1.1805555550381541E-2</v>
      </c>
      <c r="L56" s="45"/>
      <c r="M56" s="25"/>
      <c r="N56" s="22"/>
      <c r="O56" s="26"/>
      <c r="P56" s="35"/>
    </row>
    <row r="57" spans="1:16">
      <c r="A57" s="21" t="s">
        <v>2187</v>
      </c>
      <c r="B57" s="43" t="s">
        <v>2186</v>
      </c>
      <c r="C57" s="38" t="s">
        <v>2243</v>
      </c>
      <c r="D57" s="44" t="s">
        <v>2515</v>
      </c>
      <c r="E57" s="35" t="s">
        <v>1710</v>
      </c>
      <c r="F57" s="35" t="s">
        <v>1710</v>
      </c>
      <c r="G57" s="39">
        <v>45510.416666666664</v>
      </c>
      <c r="H57" s="36">
        <v>45510.444444444445</v>
      </c>
      <c r="I57" s="47">
        <v>6.25E-2</v>
      </c>
      <c r="J57" s="47">
        <f t="shared" si="0"/>
        <v>2.7777777781011537E-2</v>
      </c>
      <c r="K57" s="24">
        <f t="shared" si="1"/>
        <v>-3.4722222218988463E-2</v>
      </c>
      <c r="L57" s="45"/>
      <c r="M57" s="25"/>
      <c r="N57" s="22"/>
      <c r="O57" s="26"/>
      <c r="P57" s="35"/>
    </row>
    <row r="58" spans="1:16">
      <c r="A58" s="21" t="s">
        <v>2187</v>
      </c>
      <c r="B58" s="43" t="s">
        <v>2186</v>
      </c>
      <c r="C58" s="38" t="s">
        <v>2244</v>
      </c>
      <c r="D58" s="44" t="s">
        <v>2515</v>
      </c>
      <c r="E58" s="35" t="s">
        <v>1710</v>
      </c>
      <c r="F58" s="35" t="s">
        <v>1710</v>
      </c>
      <c r="G58" s="39">
        <v>45510.416666666664</v>
      </c>
      <c r="H58" s="36">
        <v>45510.445138888892</v>
      </c>
      <c r="I58" s="47">
        <v>6.25E-2</v>
      </c>
      <c r="J58" s="47">
        <f t="shared" si="0"/>
        <v>2.8472222227719612E-2</v>
      </c>
      <c r="K58" s="24">
        <f t="shared" si="1"/>
        <v>-3.4027777772280388E-2</v>
      </c>
      <c r="L58" s="45"/>
      <c r="M58" s="25"/>
      <c r="N58" s="22"/>
      <c r="O58" s="26"/>
      <c r="P58" s="35"/>
    </row>
    <row r="59" spans="1:16">
      <c r="A59" s="21" t="s">
        <v>2187</v>
      </c>
      <c r="B59" s="43" t="s">
        <v>2186</v>
      </c>
      <c r="C59" s="38" t="s">
        <v>2245</v>
      </c>
      <c r="D59" s="44" t="s">
        <v>2515</v>
      </c>
      <c r="E59" s="35" t="s">
        <v>1710</v>
      </c>
      <c r="F59" s="35" t="s">
        <v>1710</v>
      </c>
      <c r="G59" s="39">
        <v>45510.416666666664</v>
      </c>
      <c r="H59" s="36">
        <v>45510.445833333331</v>
      </c>
      <c r="I59" s="47">
        <v>6.25E-2</v>
      </c>
      <c r="J59" s="47">
        <f t="shared" si="0"/>
        <v>2.9166666667151731E-2</v>
      </c>
      <c r="K59" s="24">
        <f t="shared" si="1"/>
        <v>-3.3333333332848269E-2</v>
      </c>
      <c r="L59" s="45"/>
      <c r="M59" s="25"/>
      <c r="N59" s="22"/>
      <c r="O59" s="26"/>
      <c r="P59" s="35"/>
    </row>
    <row r="60" spans="1:16">
      <c r="A60" s="21" t="s">
        <v>2187</v>
      </c>
      <c r="B60" s="43" t="s">
        <v>2186</v>
      </c>
      <c r="C60" s="38" t="s">
        <v>2246</v>
      </c>
      <c r="D60" s="44" t="s">
        <v>2515</v>
      </c>
      <c r="E60" s="35" t="s">
        <v>1710</v>
      </c>
      <c r="F60" s="35" t="s">
        <v>1710</v>
      </c>
      <c r="G60" s="39">
        <v>45510.416666666664</v>
      </c>
      <c r="H60" s="36">
        <v>45510.446527777778</v>
      </c>
      <c r="I60" s="47">
        <v>6.25E-2</v>
      </c>
      <c r="J60" s="47">
        <f t="shared" si="0"/>
        <v>2.9861111113859806E-2</v>
      </c>
      <c r="K60" s="24">
        <f t="shared" si="1"/>
        <v>-3.2638888886140194E-2</v>
      </c>
      <c r="L60" s="45"/>
      <c r="M60" s="25"/>
      <c r="N60" s="22"/>
      <c r="O60" s="26"/>
      <c r="P60" s="35"/>
    </row>
    <row r="61" spans="1:16">
      <c r="A61" s="21" t="s">
        <v>2187</v>
      </c>
      <c r="B61" s="43" t="s">
        <v>2186</v>
      </c>
      <c r="C61" s="38" t="s">
        <v>2247</v>
      </c>
      <c r="D61" s="44" t="s">
        <v>2515</v>
      </c>
      <c r="E61" s="35" t="s">
        <v>1710</v>
      </c>
      <c r="F61" s="35" t="s">
        <v>1710</v>
      </c>
      <c r="G61" s="39">
        <v>45510.416666666664</v>
      </c>
      <c r="H61" s="36">
        <v>45510.447916666664</v>
      </c>
      <c r="I61" s="47">
        <v>6.25E-2</v>
      </c>
      <c r="J61" s="47">
        <f t="shared" si="0"/>
        <v>3.125E-2</v>
      </c>
      <c r="K61" s="24">
        <f t="shared" si="1"/>
        <v>-3.125E-2</v>
      </c>
      <c r="L61" s="45"/>
      <c r="M61" s="25"/>
      <c r="N61" s="22"/>
      <c r="O61" s="26"/>
      <c r="P61" s="35"/>
    </row>
    <row r="62" spans="1:16">
      <c r="A62" s="21" t="s">
        <v>2187</v>
      </c>
      <c r="B62" s="43" t="s">
        <v>2186</v>
      </c>
      <c r="C62" s="38" t="s">
        <v>2248</v>
      </c>
      <c r="D62" s="44" t="s">
        <v>2515</v>
      </c>
      <c r="E62" s="35" t="s">
        <v>1710</v>
      </c>
      <c r="F62" s="35" t="s">
        <v>1710</v>
      </c>
      <c r="G62" s="39">
        <v>45510.416666666664</v>
      </c>
      <c r="H62" s="36">
        <v>45510.449305555558</v>
      </c>
      <c r="I62" s="47">
        <v>6.25E-2</v>
      </c>
      <c r="J62" s="47">
        <f t="shared" si="0"/>
        <v>3.2638888893416151E-2</v>
      </c>
      <c r="K62" s="24">
        <f t="shared" si="1"/>
        <v>-2.9861111106583849E-2</v>
      </c>
      <c r="L62" s="45"/>
      <c r="M62" s="25"/>
      <c r="N62" s="22"/>
      <c r="O62" s="26"/>
      <c r="P62" s="35"/>
    </row>
    <row r="63" spans="1:16">
      <c r="A63" s="21" t="s">
        <v>2187</v>
      </c>
      <c r="B63" s="43" t="s">
        <v>2186</v>
      </c>
      <c r="C63" s="38" t="s">
        <v>2249</v>
      </c>
      <c r="D63" s="44" t="s">
        <v>2515</v>
      </c>
      <c r="E63" s="35" t="s">
        <v>1710</v>
      </c>
      <c r="F63" s="35" t="s">
        <v>1710</v>
      </c>
      <c r="G63" s="39">
        <v>45510.416666666664</v>
      </c>
      <c r="H63" s="36">
        <v>45510.450694444444</v>
      </c>
      <c r="I63" s="47">
        <v>6.25E-2</v>
      </c>
      <c r="J63" s="47">
        <f t="shared" si="0"/>
        <v>3.4027777779556345E-2</v>
      </c>
      <c r="K63" s="24">
        <f t="shared" si="1"/>
        <v>-2.8472222220443655E-2</v>
      </c>
      <c r="L63" s="33"/>
      <c r="M63" s="25"/>
      <c r="N63" s="22"/>
      <c r="O63" s="26"/>
      <c r="P63" s="35"/>
    </row>
    <row r="64" spans="1:16">
      <c r="A64" s="21" t="s">
        <v>2187</v>
      </c>
      <c r="B64" s="43" t="s">
        <v>2186</v>
      </c>
      <c r="C64" s="38" t="s">
        <v>2250</v>
      </c>
      <c r="D64" s="44" t="s">
        <v>2515</v>
      </c>
      <c r="E64" s="35" t="s">
        <v>1710</v>
      </c>
      <c r="F64" s="35" t="s">
        <v>1710</v>
      </c>
      <c r="G64" s="39">
        <v>45510.416666666664</v>
      </c>
      <c r="H64" s="36">
        <v>45510.45208333333</v>
      </c>
      <c r="I64" s="47">
        <v>6.25E-2</v>
      </c>
      <c r="J64" s="47">
        <f t="shared" si="0"/>
        <v>3.5416666665696539E-2</v>
      </c>
      <c r="K64" s="24">
        <f t="shared" si="1"/>
        <v>-2.7083333334303461E-2</v>
      </c>
      <c r="L64" s="33"/>
      <c r="M64" s="25"/>
      <c r="N64" s="22"/>
      <c r="O64" s="26"/>
      <c r="P64" s="35"/>
    </row>
    <row r="65" spans="1:16">
      <c r="A65" s="21" t="s">
        <v>2187</v>
      </c>
      <c r="B65" s="43" t="s">
        <v>2186</v>
      </c>
      <c r="C65" s="38" t="s">
        <v>2251</v>
      </c>
      <c r="D65" s="44" t="s">
        <v>2515</v>
      </c>
      <c r="E65" s="35" t="s">
        <v>1710</v>
      </c>
      <c r="F65" s="35" t="s">
        <v>1710</v>
      </c>
      <c r="G65" s="39">
        <v>45510.416666666664</v>
      </c>
      <c r="H65" s="36">
        <v>45510.452777777777</v>
      </c>
      <c r="I65" s="47">
        <v>6.25E-2</v>
      </c>
      <c r="J65" s="47">
        <f t="shared" si="0"/>
        <v>3.6111111112404615E-2</v>
      </c>
      <c r="K65" s="24">
        <f t="shared" si="1"/>
        <v>-2.6388888887595385E-2</v>
      </c>
      <c r="L65" s="45"/>
      <c r="M65" s="25"/>
      <c r="N65" s="22"/>
      <c r="O65" s="26"/>
      <c r="P65" s="35"/>
    </row>
    <row r="66" spans="1:16">
      <c r="A66" s="21" t="s">
        <v>2187</v>
      </c>
      <c r="B66" s="43" t="s">
        <v>2186</v>
      </c>
      <c r="C66" s="38" t="s">
        <v>2252</v>
      </c>
      <c r="D66" s="44" t="s">
        <v>2515</v>
      </c>
      <c r="E66" s="35" t="s">
        <v>1710</v>
      </c>
      <c r="F66" s="35" t="s">
        <v>1710</v>
      </c>
      <c r="G66" s="39">
        <v>45510.416666666664</v>
      </c>
      <c r="H66" s="36">
        <v>45510.453472222223</v>
      </c>
      <c r="I66" s="47">
        <v>6.25E-2</v>
      </c>
      <c r="J66" s="47">
        <f t="shared" ref="J66:J129" si="2">H66-G66</f>
        <v>3.680555555911269E-2</v>
      </c>
      <c r="K66" s="24">
        <f t="shared" ref="K66:K129" si="3">J66-I66</f>
        <v>-2.569444444088731E-2</v>
      </c>
      <c r="L66" s="45"/>
      <c r="M66" s="25"/>
      <c r="N66" s="22"/>
      <c r="O66" s="26"/>
      <c r="P66" s="35"/>
    </row>
    <row r="67" spans="1:16">
      <c r="A67" s="21" t="s">
        <v>2187</v>
      </c>
      <c r="B67" s="43" t="s">
        <v>2186</v>
      </c>
      <c r="C67" s="38" t="s">
        <v>2253</v>
      </c>
      <c r="D67" s="44" t="s">
        <v>2515</v>
      </c>
      <c r="E67" s="35" t="s">
        <v>1710</v>
      </c>
      <c r="F67" s="35" t="s">
        <v>1710</v>
      </c>
      <c r="G67" s="39">
        <v>45510.416666666664</v>
      </c>
      <c r="H67" s="36">
        <v>45510.455555555556</v>
      </c>
      <c r="I67" s="47">
        <v>6.25E-2</v>
      </c>
      <c r="J67" s="47">
        <f t="shared" si="2"/>
        <v>3.888888889196096E-2</v>
      </c>
      <c r="K67" s="24">
        <f t="shared" si="3"/>
        <v>-2.361111110803904E-2</v>
      </c>
      <c r="L67" s="33"/>
      <c r="M67" s="25"/>
      <c r="N67" s="22"/>
      <c r="O67" s="26"/>
      <c r="P67" s="35"/>
    </row>
    <row r="68" spans="1:16">
      <c r="A68" s="21" t="s">
        <v>2187</v>
      </c>
      <c r="B68" s="43" t="s">
        <v>2186</v>
      </c>
      <c r="C68" s="38" t="s">
        <v>2254</v>
      </c>
      <c r="D68" s="44" t="s">
        <v>2515</v>
      </c>
      <c r="E68" s="35" t="s">
        <v>1710</v>
      </c>
      <c r="F68" s="35" t="s">
        <v>1710</v>
      </c>
      <c r="G68" s="39">
        <v>45510.416666666664</v>
      </c>
      <c r="H68" s="36">
        <v>45510.456250000003</v>
      </c>
      <c r="I68" s="47">
        <v>6.25E-2</v>
      </c>
      <c r="J68" s="47">
        <f t="shared" si="2"/>
        <v>3.9583333338669036E-2</v>
      </c>
      <c r="K68" s="24">
        <f t="shared" si="3"/>
        <v>-2.2916666661330964E-2</v>
      </c>
      <c r="L68" s="45"/>
      <c r="M68" s="25"/>
      <c r="N68" s="22"/>
      <c r="O68" s="26"/>
      <c r="P68" s="35"/>
    </row>
    <row r="69" spans="1:16">
      <c r="A69" s="21" t="s">
        <v>2187</v>
      </c>
      <c r="B69" s="43" t="s">
        <v>2186</v>
      </c>
      <c r="C69" s="38" t="s">
        <v>2255</v>
      </c>
      <c r="D69" s="44" t="s">
        <v>2515</v>
      </c>
      <c r="E69" s="35" t="s">
        <v>1710</v>
      </c>
      <c r="F69" s="35" t="s">
        <v>1710</v>
      </c>
      <c r="G69" s="39">
        <v>45510.416666666664</v>
      </c>
      <c r="H69" s="36">
        <v>45510.457638888889</v>
      </c>
      <c r="I69" s="47">
        <v>6.25E-2</v>
      </c>
      <c r="J69" s="47">
        <f t="shared" si="2"/>
        <v>4.0972222224809229E-2</v>
      </c>
      <c r="K69" s="24">
        <f t="shared" si="3"/>
        <v>-2.1527777775190771E-2</v>
      </c>
      <c r="L69" s="45"/>
      <c r="M69" s="25"/>
      <c r="N69" s="22"/>
      <c r="O69" s="26"/>
      <c r="P69" s="35"/>
    </row>
    <row r="70" spans="1:16">
      <c r="A70" s="21" t="s">
        <v>2187</v>
      </c>
      <c r="B70" s="43" t="s">
        <v>2186</v>
      </c>
      <c r="C70" s="38" t="s">
        <v>2256</v>
      </c>
      <c r="D70" s="44" t="s">
        <v>2515</v>
      </c>
      <c r="E70" s="35" t="s">
        <v>2177</v>
      </c>
      <c r="F70" s="35" t="s">
        <v>1710</v>
      </c>
      <c r="G70" s="39">
        <v>45510.416666666664</v>
      </c>
      <c r="H70" s="36">
        <v>45510.480555555558</v>
      </c>
      <c r="I70" s="47">
        <v>6.25E-2</v>
      </c>
      <c r="J70" s="47">
        <f t="shared" si="2"/>
        <v>6.3888888893416151E-2</v>
      </c>
      <c r="K70" s="24">
        <f t="shared" si="3"/>
        <v>1.3888888934161514E-3</v>
      </c>
      <c r="L70" s="45"/>
      <c r="M70" s="25"/>
      <c r="N70" s="22"/>
      <c r="O70" s="26"/>
      <c r="P70" s="35"/>
    </row>
    <row r="71" spans="1:16">
      <c r="A71" s="21" t="s">
        <v>2187</v>
      </c>
      <c r="B71" s="43" t="s">
        <v>2186</v>
      </c>
      <c r="C71" s="38" t="s">
        <v>2257</v>
      </c>
      <c r="D71" s="44" t="s">
        <v>2515</v>
      </c>
      <c r="E71" s="35" t="s">
        <v>1710</v>
      </c>
      <c r="F71" s="35" t="s">
        <v>1710</v>
      </c>
      <c r="G71" s="39">
        <v>45510.416666666664</v>
      </c>
      <c r="H71" s="36">
        <v>45510.460416666669</v>
      </c>
      <c r="I71" s="47">
        <v>6.25E-2</v>
      </c>
      <c r="J71" s="47">
        <f t="shared" si="2"/>
        <v>4.3750000004365575E-2</v>
      </c>
      <c r="K71" s="24">
        <f t="shared" si="3"/>
        <v>-1.8749999995634425E-2</v>
      </c>
      <c r="L71" s="45"/>
      <c r="M71" s="25"/>
      <c r="N71" s="22"/>
      <c r="O71" s="26"/>
      <c r="P71" s="35"/>
    </row>
    <row r="72" spans="1:16">
      <c r="A72" s="21" t="s">
        <v>2187</v>
      </c>
      <c r="B72" s="43" t="s">
        <v>2186</v>
      </c>
      <c r="C72" s="38" t="s">
        <v>2258</v>
      </c>
      <c r="D72" s="44" t="s">
        <v>2515</v>
      </c>
      <c r="E72" s="35" t="s">
        <v>1710</v>
      </c>
      <c r="F72" s="35" t="s">
        <v>1710</v>
      </c>
      <c r="G72" s="39">
        <v>45510.416666666664</v>
      </c>
      <c r="H72" s="36">
        <v>45510.461111111108</v>
      </c>
      <c r="I72" s="47">
        <v>6.25E-2</v>
      </c>
      <c r="J72" s="47">
        <f t="shared" si="2"/>
        <v>4.4444444443797693E-2</v>
      </c>
      <c r="K72" s="24">
        <f t="shared" si="3"/>
        <v>-1.8055555556202307E-2</v>
      </c>
      <c r="L72" s="45"/>
      <c r="M72" s="25"/>
      <c r="N72" s="22"/>
      <c r="O72" s="26"/>
      <c r="P72" s="35"/>
    </row>
    <row r="73" spans="1:16">
      <c r="A73" s="21" t="s">
        <v>2187</v>
      </c>
      <c r="B73" s="43" t="s">
        <v>2186</v>
      </c>
      <c r="C73" s="38" t="s">
        <v>2259</v>
      </c>
      <c r="D73" s="44" t="s">
        <v>2515</v>
      </c>
      <c r="E73" s="35" t="s">
        <v>1710</v>
      </c>
      <c r="F73" s="35" t="s">
        <v>1710</v>
      </c>
      <c r="G73" s="39">
        <v>45510.416666666664</v>
      </c>
      <c r="H73" s="36">
        <v>45510.461805555555</v>
      </c>
      <c r="I73" s="47">
        <v>6.25E-2</v>
      </c>
      <c r="J73" s="47">
        <f t="shared" si="2"/>
        <v>4.5138888890505768E-2</v>
      </c>
      <c r="K73" s="24">
        <f t="shared" si="3"/>
        <v>-1.7361111109494232E-2</v>
      </c>
      <c r="L73" s="45"/>
      <c r="M73" s="25"/>
      <c r="N73" s="22"/>
      <c r="O73" s="26"/>
      <c r="P73" s="35"/>
    </row>
    <row r="74" spans="1:16">
      <c r="A74" s="21" t="s">
        <v>2187</v>
      </c>
      <c r="B74" s="43" t="s">
        <v>2186</v>
      </c>
      <c r="C74" s="38" t="s">
        <v>2260</v>
      </c>
      <c r="D74" s="44" t="s">
        <v>2515</v>
      </c>
      <c r="E74" s="35" t="s">
        <v>1710</v>
      </c>
      <c r="F74" s="35" t="s">
        <v>1710</v>
      </c>
      <c r="G74" s="39">
        <v>45510.416666666664</v>
      </c>
      <c r="H74" s="36">
        <v>45510.463194444441</v>
      </c>
      <c r="I74" s="47">
        <v>6.25E-2</v>
      </c>
      <c r="J74" s="47">
        <f t="shared" si="2"/>
        <v>4.6527777776645962E-2</v>
      </c>
      <c r="K74" s="24">
        <f t="shared" si="3"/>
        <v>-1.5972222223354038E-2</v>
      </c>
      <c r="L74" s="33"/>
      <c r="M74" s="25"/>
      <c r="N74" s="22"/>
      <c r="O74" s="26"/>
      <c r="P74" s="35"/>
    </row>
    <row r="75" spans="1:16">
      <c r="A75" s="21" t="s">
        <v>2187</v>
      </c>
      <c r="B75" s="43" t="s">
        <v>2186</v>
      </c>
      <c r="C75" s="38" t="s">
        <v>2261</v>
      </c>
      <c r="D75" s="44" t="s">
        <v>2515</v>
      </c>
      <c r="E75" s="35" t="s">
        <v>2178</v>
      </c>
      <c r="F75" s="35" t="s">
        <v>2181</v>
      </c>
      <c r="G75" s="39">
        <v>45510.416666666664</v>
      </c>
      <c r="H75" s="36">
        <v>45510.565972222219</v>
      </c>
      <c r="I75" s="47">
        <v>6.25E-2</v>
      </c>
      <c r="J75" s="47">
        <f t="shared" si="2"/>
        <v>0.14930555555474712</v>
      </c>
      <c r="K75" s="24">
        <f t="shared" si="3"/>
        <v>8.6805555554747116E-2</v>
      </c>
      <c r="L75" s="45"/>
      <c r="M75" s="25"/>
      <c r="N75" s="22"/>
      <c r="O75" s="26"/>
      <c r="P75" s="35"/>
    </row>
    <row r="76" spans="1:16">
      <c r="A76" s="21" t="s">
        <v>2187</v>
      </c>
      <c r="B76" s="43" t="s">
        <v>2186</v>
      </c>
      <c r="C76" s="38" t="s">
        <v>2262</v>
      </c>
      <c r="D76" s="44" t="s">
        <v>2515</v>
      </c>
      <c r="E76" s="35" t="s">
        <v>2178</v>
      </c>
      <c r="F76" s="35" t="s">
        <v>2181</v>
      </c>
      <c r="G76" s="39">
        <v>45510.416666666664</v>
      </c>
      <c r="H76" s="36">
        <v>45510.545138888891</v>
      </c>
      <c r="I76" s="47">
        <v>6.25E-2</v>
      </c>
      <c r="J76" s="47">
        <f t="shared" si="2"/>
        <v>0.12847222222626442</v>
      </c>
      <c r="K76" s="24">
        <f t="shared" si="3"/>
        <v>6.5972222226264421E-2</v>
      </c>
      <c r="L76" s="33"/>
      <c r="M76" s="25"/>
      <c r="N76" s="22"/>
      <c r="O76" s="26"/>
      <c r="P76" s="35"/>
    </row>
    <row r="77" spans="1:16">
      <c r="A77" s="21" t="s">
        <v>2187</v>
      </c>
      <c r="B77" s="43" t="s">
        <v>2186</v>
      </c>
      <c r="C77" s="38" t="s">
        <v>2263</v>
      </c>
      <c r="D77" s="44" t="s">
        <v>2515</v>
      </c>
      <c r="E77" s="35" t="s">
        <v>1710</v>
      </c>
      <c r="F77" s="35" t="s">
        <v>1710</v>
      </c>
      <c r="G77" s="39">
        <v>45510.4375</v>
      </c>
      <c r="H77" s="36">
        <v>45510.495833333334</v>
      </c>
      <c r="I77" s="47">
        <v>6.25E-2</v>
      </c>
      <c r="J77" s="47">
        <f t="shared" si="2"/>
        <v>5.8333333334303461E-2</v>
      </c>
      <c r="K77" s="24">
        <f t="shared" si="3"/>
        <v>-4.166666665696539E-3</v>
      </c>
      <c r="L77" s="45"/>
      <c r="M77" s="25"/>
      <c r="N77" s="22"/>
      <c r="O77" s="26"/>
      <c r="P77" s="35"/>
    </row>
    <row r="78" spans="1:16">
      <c r="A78" s="21" t="s">
        <v>2187</v>
      </c>
      <c r="B78" s="43" t="s">
        <v>2186</v>
      </c>
      <c r="C78" s="38" t="s">
        <v>2264</v>
      </c>
      <c r="D78" s="44" t="s">
        <v>2515</v>
      </c>
      <c r="E78" s="35" t="s">
        <v>2178</v>
      </c>
      <c r="F78" s="35" t="s">
        <v>2181</v>
      </c>
      <c r="G78" s="39">
        <v>45510.4375</v>
      </c>
      <c r="H78" s="36">
        <v>45510.602777777778</v>
      </c>
      <c r="I78" s="47">
        <v>6.25E-2</v>
      </c>
      <c r="J78" s="47">
        <f t="shared" si="2"/>
        <v>0.16527777777810115</v>
      </c>
      <c r="K78" s="24">
        <f t="shared" si="3"/>
        <v>0.10277777777810115</v>
      </c>
      <c r="L78" s="45"/>
      <c r="M78" s="25"/>
      <c r="N78" s="22"/>
      <c r="O78" s="26"/>
      <c r="P78" s="35"/>
    </row>
    <row r="79" spans="1:16">
      <c r="A79" s="21" t="s">
        <v>2187</v>
      </c>
      <c r="B79" s="43" t="s">
        <v>2186</v>
      </c>
      <c r="C79" s="38" t="s">
        <v>2265</v>
      </c>
      <c r="D79" s="44" t="s">
        <v>2515</v>
      </c>
      <c r="E79" s="35" t="s">
        <v>1710</v>
      </c>
      <c r="F79" s="35" t="s">
        <v>1710</v>
      </c>
      <c r="G79" s="39">
        <v>45510.4375</v>
      </c>
      <c r="H79" s="36">
        <v>45510.499305555553</v>
      </c>
      <c r="I79" s="47">
        <v>6.25E-2</v>
      </c>
      <c r="J79" s="47">
        <f t="shared" si="2"/>
        <v>6.1805555553291924E-2</v>
      </c>
      <c r="K79" s="24">
        <f t="shared" si="3"/>
        <v>-6.944444467080757E-4</v>
      </c>
      <c r="L79" s="45"/>
      <c r="M79" s="25"/>
      <c r="N79" s="22"/>
      <c r="O79" s="26"/>
      <c r="P79" s="35"/>
    </row>
    <row r="80" spans="1:16">
      <c r="A80" s="21" t="s">
        <v>2187</v>
      </c>
      <c r="B80" s="43" t="s">
        <v>2186</v>
      </c>
      <c r="C80" s="38" t="s">
        <v>2266</v>
      </c>
      <c r="D80" s="44" t="s">
        <v>2515</v>
      </c>
      <c r="E80" s="35" t="s">
        <v>2178</v>
      </c>
      <c r="F80" s="35" t="s">
        <v>2181</v>
      </c>
      <c r="G80" s="39">
        <v>45510.4375</v>
      </c>
      <c r="H80" s="36">
        <v>45510.595138888886</v>
      </c>
      <c r="I80" s="47">
        <v>6.25E-2</v>
      </c>
      <c r="J80" s="47">
        <f t="shared" si="2"/>
        <v>0.15763888888614019</v>
      </c>
      <c r="K80" s="24">
        <f t="shared" si="3"/>
        <v>9.5138888886140194E-2</v>
      </c>
      <c r="L80" s="33"/>
      <c r="M80" s="25"/>
      <c r="N80" s="22"/>
      <c r="O80" s="26"/>
      <c r="P80" s="35"/>
    </row>
    <row r="81" spans="1:16">
      <c r="A81" s="21" t="s">
        <v>2187</v>
      </c>
      <c r="B81" s="43" t="s">
        <v>2186</v>
      </c>
      <c r="C81" s="38" t="s">
        <v>2267</v>
      </c>
      <c r="D81" s="44" t="s">
        <v>2515</v>
      </c>
      <c r="E81" s="35" t="s">
        <v>1710</v>
      </c>
      <c r="F81" s="35" t="s">
        <v>1710</v>
      </c>
      <c r="G81" s="39">
        <v>45510.541666666664</v>
      </c>
      <c r="H81" s="36">
        <v>45510.549305555556</v>
      </c>
      <c r="I81" s="47">
        <v>6.25E-2</v>
      </c>
      <c r="J81" s="47">
        <f t="shared" si="2"/>
        <v>7.6388888919609599E-3</v>
      </c>
      <c r="K81" s="24">
        <f t="shared" si="3"/>
        <v>-5.486111110803904E-2</v>
      </c>
      <c r="L81" s="33"/>
      <c r="M81" s="25"/>
      <c r="N81" s="22"/>
      <c r="O81" s="26"/>
      <c r="P81" s="35"/>
    </row>
    <row r="82" spans="1:16">
      <c r="A82" s="21" t="s">
        <v>2187</v>
      </c>
      <c r="B82" s="43" t="s">
        <v>2186</v>
      </c>
      <c r="C82" s="38" t="s">
        <v>2268</v>
      </c>
      <c r="D82" s="44" t="s">
        <v>2515</v>
      </c>
      <c r="E82" s="35" t="s">
        <v>2178</v>
      </c>
      <c r="F82" s="35" t="s">
        <v>2181</v>
      </c>
      <c r="G82" s="39">
        <v>45510.541666666664</v>
      </c>
      <c r="H82" s="36">
        <v>45510.602777777778</v>
      </c>
      <c r="I82" s="47">
        <v>6.25E-2</v>
      </c>
      <c r="J82" s="47">
        <f t="shared" si="2"/>
        <v>6.1111111113859806E-2</v>
      </c>
      <c r="K82" s="24">
        <f t="shared" si="3"/>
        <v>-1.3888888861401938E-3</v>
      </c>
      <c r="L82" s="45"/>
      <c r="M82" s="25"/>
      <c r="N82" s="22"/>
      <c r="O82" s="26"/>
      <c r="P82" s="35"/>
    </row>
    <row r="83" spans="1:16">
      <c r="A83" s="21" t="s">
        <v>2187</v>
      </c>
      <c r="B83" s="43" t="s">
        <v>2186</v>
      </c>
      <c r="C83" s="38" t="s">
        <v>2269</v>
      </c>
      <c r="D83" s="44" t="s">
        <v>2515</v>
      </c>
      <c r="E83" s="35" t="s">
        <v>1710</v>
      </c>
      <c r="F83" s="35" t="s">
        <v>1710</v>
      </c>
      <c r="G83" s="39">
        <v>45511.368055555555</v>
      </c>
      <c r="H83" s="36">
        <v>45511.37222222222</v>
      </c>
      <c r="I83" s="47">
        <v>6.25E-2</v>
      </c>
      <c r="J83" s="47">
        <f t="shared" si="2"/>
        <v>4.166666665696539E-3</v>
      </c>
      <c r="K83" s="24">
        <f t="shared" si="3"/>
        <v>-5.8333333334303461E-2</v>
      </c>
      <c r="L83" s="45"/>
      <c r="M83" s="25"/>
      <c r="N83" s="22"/>
      <c r="O83" s="26"/>
      <c r="P83" s="35"/>
    </row>
    <row r="84" spans="1:16">
      <c r="A84" s="21" t="s">
        <v>2187</v>
      </c>
      <c r="B84" s="43" t="s">
        <v>2186</v>
      </c>
      <c r="C84" s="38" t="s">
        <v>2270</v>
      </c>
      <c r="D84" s="44" t="s">
        <v>2515</v>
      </c>
      <c r="E84" s="35" t="s">
        <v>1710</v>
      </c>
      <c r="F84" s="35" t="s">
        <v>1710</v>
      </c>
      <c r="G84" s="39">
        <v>45511.368055555555</v>
      </c>
      <c r="H84" s="36">
        <v>45511.393055555556</v>
      </c>
      <c r="I84" s="47">
        <v>6.25E-2</v>
      </c>
      <c r="J84" s="47">
        <f t="shared" si="2"/>
        <v>2.5000000001455192E-2</v>
      </c>
      <c r="K84" s="24">
        <f t="shared" si="3"/>
        <v>-3.7499999998544808E-2</v>
      </c>
      <c r="L84" s="45"/>
      <c r="M84" s="25"/>
      <c r="N84" s="22"/>
      <c r="O84" s="26"/>
      <c r="P84" s="35"/>
    </row>
    <row r="85" spans="1:16">
      <c r="A85" s="21" t="s">
        <v>2187</v>
      </c>
      <c r="B85" s="43" t="s">
        <v>2186</v>
      </c>
      <c r="C85" s="38" t="s">
        <v>2271</v>
      </c>
      <c r="D85" s="44" t="s">
        <v>2515</v>
      </c>
      <c r="E85" s="35" t="s">
        <v>1710</v>
      </c>
      <c r="F85" s="35" t="s">
        <v>1710</v>
      </c>
      <c r="G85" s="39">
        <v>45511.368055555555</v>
      </c>
      <c r="H85" s="36">
        <v>45511.393750000003</v>
      </c>
      <c r="I85" s="47">
        <v>6.25E-2</v>
      </c>
      <c r="J85" s="47">
        <f t="shared" si="2"/>
        <v>2.5694444448163267E-2</v>
      </c>
      <c r="K85" s="24">
        <f t="shared" si="3"/>
        <v>-3.6805555551836733E-2</v>
      </c>
      <c r="L85" s="45"/>
      <c r="M85" s="25"/>
      <c r="N85" s="22"/>
      <c r="O85" s="26"/>
      <c r="P85" s="35"/>
    </row>
    <row r="86" spans="1:16">
      <c r="A86" s="21" t="s">
        <v>2187</v>
      </c>
      <c r="B86" s="43" t="s">
        <v>2186</v>
      </c>
      <c r="C86" s="38" t="s">
        <v>2272</v>
      </c>
      <c r="D86" s="44" t="s">
        <v>2515</v>
      </c>
      <c r="E86" s="35" t="s">
        <v>2177</v>
      </c>
      <c r="F86" s="35" t="s">
        <v>1710</v>
      </c>
      <c r="G86" s="39">
        <v>45511.368055555555</v>
      </c>
      <c r="H86" s="36">
        <v>45511.413194444445</v>
      </c>
      <c r="I86" s="47">
        <v>6.25E-2</v>
      </c>
      <c r="J86" s="47">
        <f t="shared" si="2"/>
        <v>4.5138888890505768E-2</v>
      </c>
      <c r="K86" s="24">
        <f t="shared" si="3"/>
        <v>-1.7361111109494232E-2</v>
      </c>
      <c r="L86" s="33"/>
      <c r="M86" s="25"/>
      <c r="N86" s="22"/>
      <c r="O86" s="26"/>
      <c r="P86" s="35"/>
    </row>
    <row r="87" spans="1:16">
      <c r="A87" s="21" t="s">
        <v>2187</v>
      </c>
      <c r="B87" s="43" t="s">
        <v>2186</v>
      </c>
      <c r="C87" s="38" t="s">
        <v>2273</v>
      </c>
      <c r="D87" s="44" t="s">
        <v>2515</v>
      </c>
      <c r="E87" s="35" t="s">
        <v>1710</v>
      </c>
      <c r="F87" s="35" t="s">
        <v>1710</v>
      </c>
      <c r="G87" s="39">
        <v>45511.368055555555</v>
      </c>
      <c r="H87" s="36">
        <v>45511.397222222222</v>
      </c>
      <c r="I87" s="47">
        <v>6.25E-2</v>
      </c>
      <c r="J87" s="47">
        <f t="shared" si="2"/>
        <v>2.9166666667151731E-2</v>
      </c>
      <c r="K87" s="24">
        <f t="shared" si="3"/>
        <v>-3.3333333332848269E-2</v>
      </c>
      <c r="L87" s="45"/>
      <c r="M87" s="25"/>
      <c r="N87" s="22"/>
      <c r="O87" s="26"/>
      <c r="P87" s="35"/>
    </row>
    <row r="88" spans="1:16">
      <c r="A88" s="21" t="s">
        <v>2187</v>
      </c>
      <c r="B88" s="43" t="s">
        <v>2186</v>
      </c>
      <c r="C88" s="38" t="s">
        <v>2274</v>
      </c>
      <c r="D88" s="44" t="s">
        <v>2515</v>
      </c>
      <c r="E88" s="35" t="s">
        <v>1710</v>
      </c>
      <c r="F88" s="35" t="s">
        <v>1710</v>
      </c>
      <c r="G88" s="39">
        <v>45511.368055555555</v>
      </c>
      <c r="H88" s="36">
        <v>45511.398611111108</v>
      </c>
      <c r="I88" s="47">
        <v>6.25E-2</v>
      </c>
      <c r="J88" s="47">
        <f t="shared" si="2"/>
        <v>3.0555555553291924E-2</v>
      </c>
      <c r="K88" s="24">
        <f t="shared" si="3"/>
        <v>-3.1944444446708076E-2</v>
      </c>
      <c r="L88" s="45"/>
      <c r="M88" s="25"/>
      <c r="N88" s="22"/>
      <c r="O88" s="26"/>
      <c r="P88" s="35"/>
    </row>
    <row r="89" spans="1:16">
      <c r="A89" s="21" t="s">
        <v>2187</v>
      </c>
      <c r="B89" s="43" t="s">
        <v>2186</v>
      </c>
      <c r="C89" s="38" t="s">
        <v>2275</v>
      </c>
      <c r="D89" s="44" t="s">
        <v>2515</v>
      </c>
      <c r="E89" s="35" t="s">
        <v>2177</v>
      </c>
      <c r="F89" s="35" t="s">
        <v>1710</v>
      </c>
      <c r="G89" s="39">
        <v>45511.408333333333</v>
      </c>
      <c r="H89" s="36">
        <v>45511.456944444442</v>
      </c>
      <c r="I89" s="47">
        <v>6.25E-2</v>
      </c>
      <c r="J89" s="47">
        <f t="shared" si="2"/>
        <v>4.8611111109494232E-2</v>
      </c>
      <c r="K89" s="24">
        <f t="shared" si="3"/>
        <v>-1.3888888890505768E-2</v>
      </c>
      <c r="L89" s="33"/>
      <c r="M89" s="25"/>
      <c r="N89" s="22"/>
      <c r="O89" s="26"/>
      <c r="P89" s="35"/>
    </row>
    <row r="90" spans="1:16">
      <c r="A90" s="21" t="s">
        <v>2187</v>
      </c>
      <c r="B90" s="43" t="s">
        <v>2186</v>
      </c>
      <c r="C90" s="38" t="s">
        <v>2276</v>
      </c>
      <c r="D90" s="44" t="s">
        <v>2515</v>
      </c>
      <c r="E90" s="35" t="s">
        <v>2178</v>
      </c>
      <c r="F90" s="35" t="s">
        <v>2181</v>
      </c>
      <c r="G90" s="39">
        <v>45511.408333333333</v>
      </c>
      <c r="H90" s="36">
        <v>45511.473611111112</v>
      </c>
      <c r="I90" s="47">
        <v>6.25E-2</v>
      </c>
      <c r="J90" s="47">
        <f t="shared" si="2"/>
        <v>6.5277777779556345E-2</v>
      </c>
      <c r="K90" s="24">
        <f t="shared" si="3"/>
        <v>2.7777777795563452E-3</v>
      </c>
      <c r="L90" s="33"/>
      <c r="M90" s="25"/>
      <c r="N90" s="22"/>
      <c r="O90" s="26"/>
      <c r="P90" s="35"/>
    </row>
    <row r="91" spans="1:16">
      <c r="A91" s="21" t="s">
        <v>2187</v>
      </c>
      <c r="B91" s="43" t="s">
        <v>2186</v>
      </c>
      <c r="C91" s="38" t="s">
        <v>2277</v>
      </c>
      <c r="D91" s="44" t="s">
        <v>2515</v>
      </c>
      <c r="E91" s="35" t="s">
        <v>2178</v>
      </c>
      <c r="F91" s="35" t="s">
        <v>2181</v>
      </c>
      <c r="G91" s="39">
        <v>45511.408333333333</v>
      </c>
      <c r="H91" s="36">
        <v>45511.472916666666</v>
      </c>
      <c r="I91" s="47">
        <v>6.25E-2</v>
      </c>
      <c r="J91" s="47">
        <f t="shared" si="2"/>
        <v>6.4583333332848269E-2</v>
      </c>
      <c r="K91" s="24">
        <f t="shared" si="3"/>
        <v>2.0833333328482695E-3</v>
      </c>
      <c r="L91" s="33"/>
      <c r="M91" s="19"/>
      <c r="N91" s="22"/>
      <c r="O91" s="26"/>
      <c r="P91" s="35"/>
    </row>
    <row r="92" spans="1:16">
      <c r="A92" s="21" t="s">
        <v>2187</v>
      </c>
      <c r="B92" s="43" t="s">
        <v>2186</v>
      </c>
      <c r="C92" s="38" t="s">
        <v>2278</v>
      </c>
      <c r="D92" s="44" t="s">
        <v>2515</v>
      </c>
      <c r="E92" s="35" t="s">
        <v>1710</v>
      </c>
      <c r="F92" s="35" t="s">
        <v>1710</v>
      </c>
      <c r="G92" s="39">
        <v>45511.408333333333</v>
      </c>
      <c r="H92" s="36">
        <v>45511.444444444445</v>
      </c>
      <c r="I92" s="47">
        <v>6.25E-2</v>
      </c>
      <c r="J92" s="47">
        <f t="shared" si="2"/>
        <v>3.6111111112404615E-2</v>
      </c>
      <c r="K92" s="24">
        <f t="shared" si="3"/>
        <v>-2.6388888887595385E-2</v>
      </c>
      <c r="L92" s="33"/>
      <c r="M92" s="25"/>
      <c r="N92" s="22"/>
      <c r="O92" s="26"/>
      <c r="P92" s="35"/>
    </row>
    <row r="93" spans="1:16">
      <c r="A93" s="21" t="s">
        <v>2187</v>
      </c>
      <c r="B93" s="43" t="s">
        <v>2186</v>
      </c>
      <c r="C93" s="38" t="s">
        <v>2279</v>
      </c>
      <c r="D93" s="44" t="s">
        <v>2515</v>
      </c>
      <c r="E93" s="35" t="s">
        <v>2178</v>
      </c>
      <c r="F93" s="35" t="s">
        <v>2181</v>
      </c>
      <c r="G93" s="39">
        <v>45511.408333333333</v>
      </c>
      <c r="H93" s="36">
        <v>45511.473611111112</v>
      </c>
      <c r="I93" s="47">
        <v>6.25E-2</v>
      </c>
      <c r="J93" s="47">
        <f t="shared" si="2"/>
        <v>6.5277777779556345E-2</v>
      </c>
      <c r="K93" s="24">
        <f t="shared" si="3"/>
        <v>2.7777777795563452E-3</v>
      </c>
      <c r="L93" s="33"/>
      <c r="M93" s="25"/>
      <c r="N93" s="22"/>
      <c r="O93" s="26"/>
      <c r="P93" s="35"/>
    </row>
    <row r="94" spans="1:16">
      <c r="A94" s="21" t="s">
        <v>2187</v>
      </c>
      <c r="B94" s="43" t="s">
        <v>2186</v>
      </c>
      <c r="C94" s="38" t="s">
        <v>2280</v>
      </c>
      <c r="D94" s="44" t="s">
        <v>2515</v>
      </c>
      <c r="E94" s="35" t="s">
        <v>1710</v>
      </c>
      <c r="F94" s="35" t="s">
        <v>1710</v>
      </c>
      <c r="G94" s="39">
        <v>45511.408333333333</v>
      </c>
      <c r="H94" s="36">
        <v>45511.450694444444</v>
      </c>
      <c r="I94" s="47">
        <v>6.25E-2</v>
      </c>
      <c r="J94" s="47">
        <f t="shared" si="2"/>
        <v>4.2361111110949423E-2</v>
      </c>
      <c r="K94" s="24">
        <f t="shared" si="3"/>
        <v>-2.0138888889050577E-2</v>
      </c>
      <c r="L94" s="33"/>
      <c r="M94" s="25"/>
      <c r="N94" s="22"/>
      <c r="O94" s="26"/>
      <c r="P94" s="35"/>
    </row>
    <row r="95" spans="1:16">
      <c r="A95" s="21" t="s">
        <v>2187</v>
      </c>
      <c r="B95" s="43" t="s">
        <v>2186</v>
      </c>
      <c r="C95" s="38" t="s">
        <v>2281</v>
      </c>
      <c r="D95" s="44" t="s">
        <v>2515</v>
      </c>
      <c r="E95" s="35" t="s">
        <v>2178</v>
      </c>
      <c r="F95" s="35" t="s">
        <v>2181</v>
      </c>
      <c r="G95" s="39">
        <v>45511.408333333333</v>
      </c>
      <c r="H95" s="36">
        <v>45511.473611111112</v>
      </c>
      <c r="I95" s="47">
        <v>6.25E-2</v>
      </c>
      <c r="J95" s="47">
        <f t="shared" si="2"/>
        <v>6.5277777779556345E-2</v>
      </c>
      <c r="K95" s="24">
        <f t="shared" si="3"/>
        <v>2.7777777795563452E-3</v>
      </c>
      <c r="L95" s="33"/>
      <c r="M95" s="25"/>
      <c r="N95" s="22"/>
      <c r="O95" s="26"/>
      <c r="P95" s="35"/>
    </row>
    <row r="96" spans="1:16">
      <c r="A96" s="21" t="s">
        <v>2187</v>
      </c>
      <c r="B96" s="43" t="s">
        <v>2186</v>
      </c>
      <c r="C96" s="38" t="s">
        <v>2282</v>
      </c>
      <c r="D96" s="44" t="s">
        <v>2515</v>
      </c>
      <c r="E96" s="35" t="s">
        <v>2178</v>
      </c>
      <c r="F96" s="35" t="s">
        <v>2181</v>
      </c>
      <c r="G96" s="39">
        <v>45511.408333333333</v>
      </c>
      <c r="H96" s="36">
        <v>45511.472916666666</v>
      </c>
      <c r="I96" s="47">
        <v>6.25E-2</v>
      </c>
      <c r="J96" s="47">
        <f t="shared" si="2"/>
        <v>6.4583333332848269E-2</v>
      </c>
      <c r="K96" s="24">
        <f t="shared" si="3"/>
        <v>2.0833333328482695E-3</v>
      </c>
      <c r="L96" s="45"/>
      <c r="M96" s="25"/>
      <c r="N96" s="22"/>
      <c r="O96" s="26"/>
      <c r="P96" s="35"/>
    </row>
    <row r="97" spans="1:16">
      <c r="A97" s="21" t="s">
        <v>2187</v>
      </c>
      <c r="B97" s="43" t="s">
        <v>2186</v>
      </c>
      <c r="C97" s="38" t="s">
        <v>2283</v>
      </c>
      <c r="D97" s="44" t="s">
        <v>2515</v>
      </c>
      <c r="E97" s="35" t="s">
        <v>1710</v>
      </c>
      <c r="F97" s="35" t="s">
        <v>1710</v>
      </c>
      <c r="G97" s="39">
        <v>45511.408333333333</v>
      </c>
      <c r="H97" s="36">
        <v>45511.459027777775</v>
      </c>
      <c r="I97" s="47">
        <v>6.25E-2</v>
      </c>
      <c r="J97" s="47">
        <f t="shared" si="2"/>
        <v>5.0694444442342501E-2</v>
      </c>
      <c r="K97" s="24">
        <f t="shared" si="3"/>
        <v>-1.1805555557657499E-2</v>
      </c>
      <c r="L97" s="45"/>
      <c r="M97" s="25"/>
      <c r="N97" s="22"/>
      <c r="O97" s="26"/>
      <c r="P97" s="35"/>
    </row>
    <row r="98" spans="1:16">
      <c r="A98" s="21" t="s">
        <v>2187</v>
      </c>
      <c r="B98" s="43" t="s">
        <v>2186</v>
      </c>
      <c r="C98" s="38" t="s">
        <v>2284</v>
      </c>
      <c r="D98" s="44" t="s">
        <v>2515</v>
      </c>
      <c r="E98" s="35" t="s">
        <v>2177</v>
      </c>
      <c r="F98" s="35" t="s">
        <v>1710</v>
      </c>
      <c r="G98" s="39">
        <v>45511.454861111109</v>
      </c>
      <c r="H98" s="36">
        <v>45511.466666666667</v>
      </c>
      <c r="I98" s="47">
        <v>6.25E-2</v>
      </c>
      <c r="J98" s="47">
        <f t="shared" si="2"/>
        <v>1.1805555557657499E-2</v>
      </c>
      <c r="K98" s="24">
        <f t="shared" si="3"/>
        <v>-5.0694444442342501E-2</v>
      </c>
      <c r="L98" s="33"/>
      <c r="M98" s="25"/>
      <c r="N98" s="22"/>
      <c r="O98" s="26"/>
      <c r="P98" s="35"/>
    </row>
    <row r="99" spans="1:16">
      <c r="A99" s="21" t="s">
        <v>2187</v>
      </c>
      <c r="B99" s="43" t="s">
        <v>2186</v>
      </c>
      <c r="C99" s="38" t="s">
        <v>2285</v>
      </c>
      <c r="D99" s="44" t="s">
        <v>2515</v>
      </c>
      <c r="E99" s="35" t="s">
        <v>1710</v>
      </c>
      <c r="F99" s="35" t="s">
        <v>1710</v>
      </c>
      <c r="G99" s="39">
        <v>45511.454861111109</v>
      </c>
      <c r="H99" s="36">
        <v>45511.47152777778</v>
      </c>
      <c r="I99" s="47">
        <v>6.25E-2</v>
      </c>
      <c r="J99" s="47">
        <f t="shared" si="2"/>
        <v>1.6666666670062114E-2</v>
      </c>
      <c r="K99" s="24">
        <f t="shared" si="3"/>
        <v>-4.5833333329937886E-2</v>
      </c>
      <c r="L99" s="33"/>
      <c r="M99" s="25"/>
      <c r="N99" s="22"/>
      <c r="O99" s="26"/>
      <c r="P99" s="35"/>
    </row>
    <row r="100" spans="1:16">
      <c r="A100" s="21" t="s">
        <v>2187</v>
      </c>
      <c r="B100" s="43" t="s">
        <v>2186</v>
      </c>
      <c r="C100" s="38" t="s">
        <v>2286</v>
      </c>
      <c r="D100" s="44" t="s">
        <v>2515</v>
      </c>
      <c r="E100" s="35" t="s">
        <v>1710</v>
      </c>
      <c r="F100" s="35" t="s">
        <v>1710</v>
      </c>
      <c r="G100" s="39">
        <v>45512.375</v>
      </c>
      <c r="H100" s="36">
        <v>45512.397222222222</v>
      </c>
      <c r="I100" s="47">
        <v>6.25E-2</v>
      </c>
      <c r="J100" s="47">
        <f t="shared" si="2"/>
        <v>2.2222222221898846E-2</v>
      </c>
      <c r="K100" s="24">
        <f t="shared" si="3"/>
        <v>-4.0277777778101154E-2</v>
      </c>
      <c r="L100" s="33"/>
      <c r="M100" s="25"/>
      <c r="N100" s="22"/>
      <c r="O100" s="26"/>
      <c r="P100" s="35"/>
    </row>
    <row r="101" spans="1:16">
      <c r="A101" s="21" t="s">
        <v>2187</v>
      </c>
      <c r="B101" s="43" t="s">
        <v>2186</v>
      </c>
      <c r="C101" s="38" t="s">
        <v>2287</v>
      </c>
      <c r="D101" s="44" t="s">
        <v>2515</v>
      </c>
      <c r="E101" s="35" t="s">
        <v>2178</v>
      </c>
      <c r="F101" s="35" t="s">
        <v>2181</v>
      </c>
      <c r="G101" s="39">
        <v>45512.375</v>
      </c>
      <c r="H101" s="36">
        <v>45512.431944444441</v>
      </c>
      <c r="I101" s="47">
        <v>6.25E-2</v>
      </c>
      <c r="J101" s="47">
        <f t="shared" si="2"/>
        <v>5.694444444088731E-2</v>
      </c>
      <c r="K101" s="24">
        <f t="shared" si="3"/>
        <v>-5.5555555591126904E-3</v>
      </c>
      <c r="L101" s="33"/>
      <c r="M101" s="25"/>
      <c r="N101" s="22"/>
      <c r="O101" s="26"/>
      <c r="P101" s="35"/>
    </row>
    <row r="102" spans="1:16">
      <c r="A102" s="21" t="s">
        <v>2187</v>
      </c>
      <c r="B102" s="43" t="s">
        <v>2186</v>
      </c>
      <c r="C102" s="38" t="s">
        <v>2288</v>
      </c>
      <c r="D102" s="44" t="s">
        <v>2515</v>
      </c>
      <c r="E102" s="35" t="s">
        <v>1710</v>
      </c>
      <c r="F102" s="35" t="s">
        <v>1710</v>
      </c>
      <c r="G102" s="39">
        <v>45512.375</v>
      </c>
      <c r="H102" s="36">
        <v>45512.412499999999</v>
      </c>
      <c r="I102" s="47">
        <v>6.25E-2</v>
      </c>
      <c r="J102" s="47">
        <f t="shared" si="2"/>
        <v>3.7499999998544808E-2</v>
      </c>
      <c r="K102" s="24">
        <f t="shared" si="3"/>
        <v>-2.5000000001455192E-2</v>
      </c>
      <c r="L102" s="33"/>
      <c r="M102" s="25"/>
      <c r="N102" s="22"/>
      <c r="O102" s="26"/>
      <c r="P102" s="35"/>
    </row>
    <row r="103" spans="1:16">
      <c r="A103" s="21" t="s">
        <v>2187</v>
      </c>
      <c r="B103" s="43" t="s">
        <v>2186</v>
      </c>
      <c r="C103" s="38" t="s">
        <v>2289</v>
      </c>
      <c r="D103" s="44" t="s">
        <v>2515</v>
      </c>
      <c r="E103" s="35" t="s">
        <v>1710</v>
      </c>
      <c r="F103" s="35" t="s">
        <v>1710</v>
      </c>
      <c r="G103" s="39">
        <v>45512.375</v>
      </c>
      <c r="H103" s="36">
        <v>45512.413888888892</v>
      </c>
      <c r="I103" s="47">
        <v>6.25E-2</v>
      </c>
      <c r="J103" s="47">
        <f t="shared" si="2"/>
        <v>3.888888889196096E-2</v>
      </c>
      <c r="K103" s="24">
        <f t="shared" si="3"/>
        <v>-2.361111110803904E-2</v>
      </c>
      <c r="L103" s="33"/>
      <c r="M103" s="25"/>
      <c r="N103" s="22"/>
      <c r="O103" s="26"/>
      <c r="P103" s="35"/>
    </row>
    <row r="104" spans="1:16">
      <c r="A104" s="21" t="s">
        <v>2187</v>
      </c>
      <c r="B104" s="43" t="s">
        <v>2186</v>
      </c>
      <c r="C104" s="38" t="s">
        <v>2290</v>
      </c>
      <c r="D104" s="44" t="s">
        <v>2515</v>
      </c>
      <c r="E104" s="35" t="s">
        <v>2177</v>
      </c>
      <c r="F104" s="35" t="s">
        <v>1710</v>
      </c>
      <c r="G104" s="39">
        <v>45512.375</v>
      </c>
      <c r="H104" s="36">
        <v>45512.428472222222</v>
      </c>
      <c r="I104" s="47">
        <v>6.25E-2</v>
      </c>
      <c r="J104" s="47">
        <f t="shared" si="2"/>
        <v>5.3472222221898846E-2</v>
      </c>
      <c r="K104" s="24">
        <f t="shared" si="3"/>
        <v>-9.0277777781011537E-3</v>
      </c>
      <c r="L104" s="33"/>
      <c r="M104" s="25"/>
      <c r="N104" s="22"/>
      <c r="O104" s="26"/>
      <c r="P104" s="35"/>
    </row>
    <row r="105" spans="1:16">
      <c r="A105" s="21" t="s">
        <v>2187</v>
      </c>
      <c r="B105" s="43" t="s">
        <v>2186</v>
      </c>
      <c r="C105" s="38" t="s">
        <v>2291</v>
      </c>
      <c r="D105" s="44" t="s">
        <v>2515</v>
      </c>
      <c r="E105" s="35" t="s">
        <v>1710</v>
      </c>
      <c r="F105" s="35" t="s">
        <v>1710</v>
      </c>
      <c r="G105" s="39">
        <v>45512.375</v>
      </c>
      <c r="H105" s="36">
        <v>45512.431250000001</v>
      </c>
      <c r="I105" s="47">
        <v>6.25E-2</v>
      </c>
      <c r="J105" s="47">
        <f t="shared" si="2"/>
        <v>5.6250000001455192E-2</v>
      </c>
      <c r="K105" s="24">
        <f t="shared" si="3"/>
        <v>-6.2499999985448085E-3</v>
      </c>
      <c r="L105" s="33"/>
      <c r="M105" s="25"/>
      <c r="N105" s="22"/>
      <c r="O105" s="26"/>
      <c r="P105" s="35"/>
    </row>
    <row r="106" spans="1:16">
      <c r="A106" s="21" t="s">
        <v>2187</v>
      </c>
      <c r="B106" s="43" t="s">
        <v>2186</v>
      </c>
      <c r="C106" s="38" t="s">
        <v>2292</v>
      </c>
      <c r="D106" s="44" t="s">
        <v>2515</v>
      </c>
      <c r="E106" s="35" t="s">
        <v>2178</v>
      </c>
      <c r="F106" s="35" t="s">
        <v>1710</v>
      </c>
      <c r="G106" s="39">
        <v>45512.375</v>
      </c>
      <c r="H106" s="36">
        <v>45512.458333333336</v>
      </c>
      <c r="I106" s="47">
        <v>6.25E-2</v>
      </c>
      <c r="J106" s="47">
        <f t="shared" si="2"/>
        <v>8.3333333335758653E-2</v>
      </c>
      <c r="K106" s="24">
        <f t="shared" si="3"/>
        <v>2.0833333335758653E-2</v>
      </c>
      <c r="L106" s="33"/>
      <c r="M106" s="25"/>
      <c r="N106" s="22"/>
      <c r="O106" s="26"/>
      <c r="P106" s="35"/>
    </row>
    <row r="107" spans="1:16">
      <c r="A107" s="21" t="s">
        <v>2187</v>
      </c>
      <c r="B107" s="43" t="s">
        <v>2186</v>
      </c>
      <c r="C107" s="38" t="s">
        <v>2293</v>
      </c>
      <c r="D107" s="44" t="s">
        <v>2515</v>
      </c>
      <c r="E107" s="35" t="s">
        <v>1710</v>
      </c>
      <c r="F107" s="35" t="s">
        <v>1710</v>
      </c>
      <c r="G107" s="39">
        <v>45512.375</v>
      </c>
      <c r="H107" s="36">
        <v>45512.433333333334</v>
      </c>
      <c r="I107" s="47">
        <v>6.25E-2</v>
      </c>
      <c r="J107" s="47">
        <f t="shared" si="2"/>
        <v>5.8333333334303461E-2</v>
      </c>
      <c r="K107" s="24">
        <f t="shared" si="3"/>
        <v>-4.166666665696539E-3</v>
      </c>
      <c r="L107" s="33"/>
      <c r="M107" s="25"/>
      <c r="N107" s="22"/>
      <c r="O107" s="26"/>
      <c r="P107" s="35"/>
    </row>
    <row r="108" spans="1:16">
      <c r="A108" s="21" t="s">
        <v>2187</v>
      </c>
      <c r="B108" s="43" t="s">
        <v>2186</v>
      </c>
      <c r="C108" s="38" t="s">
        <v>2294</v>
      </c>
      <c r="D108" s="44" t="s">
        <v>2515</v>
      </c>
      <c r="E108" s="35" t="s">
        <v>1710</v>
      </c>
      <c r="F108" s="35" t="s">
        <v>1710</v>
      </c>
      <c r="G108" s="39">
        <v>45512.375</v>
      </c>
      <c r="H108" s="36">
        <v>45512.43472222222</v>
      </c>
      <c r="I108" s="47">
        <v>6.25E-2</v>
      </c>
      <c r="J108" s="47">
        <f t="shared" si="2"/>
        <v>5.9722222220443655E-2</v>
      </c>
      <c r="K108" s="24">
        <f t="shared" si="3"/>
        <v>-2.7777777795563452E-3</v>
      </c>
      <c r="L108" s="33"/>
      <c r="M108" s="25"/>
      <c r="N108" s="22"/>
      <c r="O108" s="26"/>
      <c r="P108" s="35"/>
    </row>
    <row r="109" spans="1:16">
      <c r="A109" s="21" t="s">
        <v>2187</v>
      </c>
      <c r="B109" s="43" t="s">
        <v>2186</v>
      </c>
      <c r="C109" s="38" t="s">
        <v>2295</v>
      </c>
      <c r="D109" s="44" t="s">
        <v>2515</v>
      </c>
      <c r="E109" s="35" t="s">
        <v>2177</v>
      </c>
      <c r="F109" s="35" t="s">
        <v>1710</v>
      </c>
      <c r="G109" s="39">
        <v>45512.375</v>
      </c>
      <c r="H109" s="36">
        <v>45512.453472222223</v>
      </c>
      <c r="I109" s="47">
        <v>6.25E-2</v>
      </c>
      <c r="J109" s="47">
        <f t="shared" si="2"/>
        <v>7.8472222223354038E-2</v>
      </c>
      <c r="K109" s="24">
        <f t="shared" si="3"/>
        <v>1.5972222223354038E-2</v>
      </c>
      <c r="L109" s="33"/>
      <c r="M109" s="25"/>
      <c r="N109" s="22"/>
      <c r="O109" s="26"/>
      <c r="P109" s="35"/>
    </row>
    <row r="110" spans="1:16">
      <c r="A110" s="21" t="s">
        <v>2187</v>
      </c>
      <c r="B110" s="43" t="s">
        <v>2186</v>
      </c>
      <c r="C110" s="38" t="s">
        <v>2296</v>
      </c>
      <c r="D110" s="44" t="s">
        <v>2515</v>
      </c>
      <c r="E110" s="35" t="s">
        <v>2178</v>
      </c>
      <c r="F110" s="35" t="s">
        <v>2181</v>
      </c>
      <c r="G110" s="39">
        <v>45512.416666666664</v>
      </c>
      <c r="H110" s="36">
        <v>45512.54583333333</v>
      </c>
      <c r="I110" s="47">
        <v>6.25E-2</v>
      </c>
      <c r="J110" s="47">
        <f t="shared" si="2"/>
        <v>0.12916666666569654</v>
      </c>
      <c r="K110" s="24">
        <f t="shared" si="3"/>
        <v>6.6666666665696539E-2</v>
      </c>
      <c r="L110" s="33"/>
      <c r="M110" s="25"/>
      <c r="N110" s="22"/>
      <c r="O110" s="26"/>
      <c r="P110" s="35"/>
    </row>
    <row r="111" spans="1:16">
      <c r="A111" s="21" t="s">
        <v>2187</v>
      </c>
      <c r="B111" s="43" t="s">
        <v>2186</v>
      </c>
      <c r="C111" s="38" t="s">
        <v>2297</v>
      </c>
      <c r="D111" s="44" t="s">
        <v>2515</v>
      </c>
      <c r="E111" s="35" t="s">
        <v>1710</v>
      </c>
      <c r="F111" s="35" t="s">
        <v>1710</v>
      </c>
      <c r="G111" s="39">
        <v>45512.54791666667</v>
      </c>
      <c r="H111" s="36">
        <v>45512.564583333333</v>
      </c>
      <c r="I111" s="47">
        <v>6.25E-2</v>
      </c>
      <c r="J111" s="47">
        <f t="shared" si="2"/>
        <v>1.6666666662786156E-2</v>
      </c>
      <c r="K111" s="24">
        <f t="shared" si="3"/>
        <v>-4.5833333337213844E-2</v>
      </c>
      <c r="L111" s="45"/>
      <c r="M111" s="25"/>
      <c r="N111" s="22"/>
      <c r="O111" s="26"/>
      <c r="P111" s="35"/>
    </row>
    <row r="112" spans="1:16">
      <c r="A112" s="21" t="s">
        <v>2187</v>
      </c>
      <c r="B112" s="43" t="s">
        <v>2186</v>
      </c>
      <c r="C112" s="38" t="s">
        <v>2298</v>
      </c>
      <c r="D112" s="44" t="s">
        <v>2515</v>
      </c>
      <c r="E112" s="35" t="s">
        <v>1710</v>
      </c>
      <c r="F112" s="35" t="s">
        <v>1710</v>
      </c>
      <c r="G112" s="39">
        <v>45512.54791666667</v>
      </c>
      <c r="H112" s="36">
        <v>45512.565972222219</v>
      </c>
      <c r="I112" s="47">
        <v>6.25E-2</v>
      </c>
      <c r="J112" s="47">
        <f t="shared" si="2"/>
        <v>1.805555554892635E-2</v>
      </c>
      <c r="K112" s="24">
        <f t="shared" si="3"/>
        <v>-4.444444445107365E-2</v>
      </c>
      <c r="L112" s="45"/>
      <c r="M112" s="25"/>
      <c r="N112" s="22"/>
      <c r="O112" s="26"/>
      <c r="P112" s="35"/>
    </row>
    <row r="113" spans="1:16">
      <c r="A113" s="21" t="s">
        <v>2187</v>
      </c>
      <c r="B113" s="43" t="s">
        <v>2186</v>
      </c>
      <c r="C113" s="38" t="s">
        <v>2299</v>
      </c>
      <c r="D113" s="44" t="s">
        <v>2515</v>
      </c>
      <c r="E113" s="35" t="s">
        <v>1710</v>
      </c>
      <c r="F113" s="35" t="s">
        <v>1710</v>
      </c>
      <c r="G113" s="39">
        <v>45512.54791666667</v>
      </c>
      <c r="H113" s="36">
        <v>45512.568749999999</v>
      </c>
      <c r="I113" s="47">
        <v>6.25E-2</v>
      </c>
      <c r="J113" s="47">
        <f t="shared" si="2"/>
        <v>2.0833333328482695E-2</v>
      </c>
      <c r="K113" s="24">
        <f t="shared" si="3"/>
        <v>-4.1666666671517305E-2</v>
      </c>
      <c r="L113" s="45"/>
      <c r="M113" s="25"/>
      <c r="N113" s="22"/>
      <c r="O113" s="26"/>
      <c r="P113" s="35"/>
    </row>
    <row r="114" spans="1:16">
      <c r="A114" s="21" t="s">
        <v>2187</v>
      </c>
      <c r="B114" s="43" t="s">
        <v>2186</v>
      </c>
      <c r="C114" s="38" t="s">
        <v>2300</v>
      </c>
      <c r="D114" s="44" t="s">
        <v>2515</v>
      </c>
      <c r="E114" s="35" t="s">
        <v>1710</v>
      </c>
      <c r="F114" s="35" t="s">
        <v>1710</v>
      </c>
      <c r="G114" s="39">
        <v>45512.54791666667</v>
      </c>
      <c r="H114" s="36">
        <v>45512.570833333331</v>
      </c>
      <c r="I114" s="47">
        <v>6.25E-2</v>
      </c>
      <c r="J114" s="47">
        <f t="shared" si="2"/>
        <v>2.2916666661330964E-2</v>
      </c>
      <c r="K114" s="24">
        <f t="shared" si="3"/>
        <v>-3.9583333338669036E-2</v>
      </c>
      <c r="L114" s="33"/>
      <c r="M114" s="25"/>
      <c r="N114" s="22"/>
      <c r="O114" s="26"/>
      <c r="P114" s="35"/>
    </row>
    <row r="115" spans="1:16">
      <c r="A115" s="21" t="s">
        <v>2187</v>
      </c>
      <c r="B115" s="43" t="s">
        <v>2186</v>
      </c>
      <c r="C115" s="38" t="s">
        <v>2301</v>
      </c>
      <c r="D115" s="44" t="s">
        <v>2515</v>
      </c>
      <c r="E115" s="35" t="s">
        <v>1710</v>
      </c>
      <c r="F115" s="35" t="s">
        <v>1710</v>
      </c>
      <c r="G115" s="39">
        <v>45512.54791666667</v>
      </c>
      <c r="H115" s="36">
        <v>45512.572916666664</v>
      </c>
      <c r="I115" s="47">
        <v>6.25E-2</v>
      </c>
      <c r="J115" s="47">
        <f t="shared" si="2"/>
        <v>2.4999999994179234E-2</v>
      </c>
      <c r="K115" s="24">
        <f t="shared" si="3"/>
        <v>-3.7500000005820766E-2</v>
      </c>
      <c r="L115" s="33"/>
      <c r="M115" s="25"/>
      <c r="N115" s="22"/>
      <c r="O115" s="26"/>
      <c r="P115" s="35"/>
    </row>
    <row r="116" spans="1:16">
      <c r="A116" s="21" t="s">
        <v>2187</v>
      </c>
      <c r="B116" s="43" t="s">
        <v>2186</v>
      </c>
      <c r="C116" s="38" t="s">
        <v>2302</v>
      </c>
      <c r="D116" s="44" t="s">
        <v>2515</v>
      </c>
      <c r="E116" s="35" t="s">
        <v>1710</v>
      </c>
      <c r="F116" s="35" t="s">
        <v>1710</v>
      </c>
      <c r="G116" s="39">
        <v>45512.54791666667</v>
      </c>
      <c r="H116" s="36">
        <v>45512.574305555558</v>
      </c>
      <c r="I116" s="47">
        <v>6.25E-2</v>
      </c>
      <c r="J116" s="47">
        <f t="shared" si="2"/>
        <v>2.6388888887595385E-2</v>
      </c>
      <c r="K116" s="24">
        <f t="shared" si="3"/>
        <v>-3.6111111112404615E-2</v>
      </c>
      <c r="L116" s="33"/>
      <c r="M116" s="25"/>
      <c r="N116" s="22"/>
      <c r="O116" s="26"/>
      <c r="P116" s="35"/>
    </row>
    <row r="117" spans="1:16">
      <c r="A117" s="21" t="s">
        <v>2187</v>
      </c>
      <c r="B117" s="43" t="s">
        <v>2186</v>
      </c>
      <c r="C117" s="38" t="s">
        <v>2303</v>
      </c>
      <c r="D117" s="44" t="s">
        <v>2515</v>
      </c>
      <c r="E117" s="35" t="s">
        <v>1710</v>
      </c>
      <c r="F117" s="35" t="s">
        <v>1710</v>
      </c>
      <c r="G117" s="39">
        <v>45512.54791666667</v>
      </c>
      <c r="H117" s="36">
        <v>45512.574999999997</v>
      </c>
      <c r="I117" s="47">
        <v>6.25E-2</v>
      </c>
      <c r="J117" s="47">
        <f t="shared" si="2"/>
        <v>2.7083333327027503E-2</v>
      </c>
      <c r="K117" s="24">
        <f t="shared" si="3"/>
        <v>-3.5416666672972497E-2</v>
      </c>
      <c r="L117" s="45"/>
      <c r="M117" s="25"/>
      <c r="N117" s="22"/>
      <c r="O117" s="26"/>
      <c r="P117" s="35"/>
    </row>
    <row r="118" spans="1:16">
      <c r="A118" s="21" t="s">
        <v>2187</v>
      </c>
      <c r="B118" s="43" t="s">
        <v>2186</v>
      </c>
      <c r="C118" s="38" t="s">
        <v>2304</v>
      </c>
      <c r="D118" s="44" t="s">
        <v>2515</v>
      </c>
      <c r="E118" s="35" t="s">
        <v>1710</v>
      </c>
      <c r="F118" s="35" t="s">
        <v>2182</v>
      </c>
      <c r="G118" s="39">
        <v>45512.54791666667</v>
      </c>
      <c r="H118" s="36">
        <v>45512.584027777775</v>
      </c>
      <c r="I118" s="47">
        <v>6.25E-2</v>
      </c>
      <c r="J118" s="47">
        <f t="shared" si="2"/>
        <v>3.6111111105128657E-2</v>
      </c>
      <c r="K118" s="24">
        <f t="shared" si="3"/>
        <v>-2.6388888894871343E-2</v>
      </c>
      <c r="L118" s="33"/>
      <c r="M118" s="25"/>
      <c r="N118" s="22"/>
      <c r="O118" s="26"/>
      <c r="P118" s="35"/>
    </row>
    <row r="119" spans="1:16">
      <c r="A119" s="21" t="s">
        <v>2187</v>
      </c>
      <c r="B119" s="43" t="s">
        <v>2186</v>
      </c>
      <c r="C119" s="38" t="s">
        <v>2305</v>
      </c>
      <c r="D119" s="44" t="s">
        <v>2515</v>
      </c>
      <c r="E119" s="35" t="s">
        <v>1710</v>
      </c>
      <c r="F119" s="35" t="s">
        <v>1710</v>
      </c>
      <c r="G119" s="39">
        <v>45513.375</v>
      </c>
      <c r="H119" s="36">
        <v>45513.402083333334</v>
      </c>
      <c r="I119" s="47">
        <v>6.25E-2</v>
      </c>
      <c r="J119" s="47">
        <f t="shared" si="2"/>
        <v>2.7083333334303461E-2</v>
      </c>
      <c r="K119" s="24">
        <f t="shared" si="3"/>
        <v>-3.5416666665696539E-2</v>
      </c>
      <c r="L119" s="33"/>
      <c r="M119" s="25"/>
      <c r="N119" s="22"/>
      <c r="O119" s="26"/>
      <c r="P119" s="35"/>
    </row>
    <row r="120" spans="1:16">
      <c r="A120" s="21" t="s">
        <v>2187</v>
      </c>
      <c r="B120" s="43" t="s">
        <v>2186</v>
      </c>
      <c r="C120" s="38" t="s">
        <v>2306</v>
      </c>
      <c r="D120" s="44" t="s">
        <v>2515</v>
      </c>
      <c r="E120" s="35" t="s">
        <v>1710</v>
      </c>
      <c r="F120" s="35" t="s">
        <v>1710</v>
      </c>
      <c r="G120" s="39">
        <v>45513.375</v>
      </c>
      <c r="H120" s="36">
        <v>45513.416666666664</v>
      </c>
      <c r="I120" s="47">
        <v>6.25E-2</v>
      </c>
      <c r="J120" s="47">
        <f t="shared" si="2"/>
        <v>4.1666666664241347E-2</v>
      </c>
      <c r="K120" s="24">
        <f t="shared" si="3"/>
        <v>-2.0833333335758653E-2</v>
      </c>
      <c r="L120" s="33"/>
      <c r="M120" s="25"/>
      <c r="N120" s="22"/>
      <c r="O120" s="26"/>
      <c r="P120" s="35"/>
    </row>
    <row r="121" spans="1:16">
      <c r="A121" s="21" t="s">
        <v>2187</v>
      </c>
      <c r="B121" s="43" t="s">
        <v>2186</v>
      </c>
      <c r="C121" s="38" t="s">
        <v>2307</v>
      </c>
      <c r="D121" s="44" t="s">
        <v>2515</v>
      </c>
      <c r="E121" s="35" t="s">
        <v>1710</v>
      </c>
      <c r="F121" s="35" t="s">
        <v>1710</v>
      </c>
      <c r="G121" s="39">
        <v>45513.375</v>
      </c>
      <c r="H121" s="36">
        <v>45513.418055555558</v>
      </c>
      <c r="I121" s="47">
        <v>6.25E-2</v>
      </c>
      <c r="J121" s="47">
        <f t="shared" si="2"/>
        <v>4.3055555557657499E-2</v>
      </c>
      <c r="K121" s="24">
        <f t="shared" si="3"/>
        <v>-1.9444444442342501E-2</v>
      </c>
      <c r="L121" s="33"/>
      <c r="M121" s="25"/>
      <c r="N121" s="22"/>
      <c r="O121" s="26"/>
      <c r="P121" s="35"/>
    </row>
    <row r="122" spans="1:16">
      <c r="A122" s="21" t="s">
        <v>2187</v>
      </c>
      <c r="B122" s="43" t="s">
        <v>2186</v>
      </c>
      <c r="C122" s="38" t="s">
        <v>2308</v>
      </c>
      <c r="D122" s="44" t="s">
        <v>2515</v>
      </c>
      <c r="E122" s="35" t="s">
        <v>2178</v>
      </c>
      <c r="F122" s="35" t="s">
        <v>2181</v>
      </c>
      <c r="G122" s="39">
        <v>45513.395833333336</v>
      </c>
      <c r="H122" s="36">
        <v>45513.472916666666</v>
      </c>
      <c r="I122" s="47">
        <v>6.25E-2</v>
      </c>
      <c r="J122" s="47">
        <f t="shared" si="2"/>
        <v>7.7083333329937886E-2</v>
      </c>
      <c r="K122" s="24">
        <f t="shared" si="3"/>
        <v>1.4583333329937886E-2</v>
      </c>
      <c r="L122" s="33"/>
      <c r="M122" s="25"/>
      <c r="N122" s="22"/>
      <c r="O122" s="26"/>
      <c r="P122" s="35"/>
    </row>
    <row r="123" spans="1:16">
      <c r="A123" s="21" t="s">
        <v>2187</v>
      </c>
      <c r="B123" s="43" t="s">
        <v>2186</v>
      </c>
      <c r="C123" s="38" t="s">
        <v>2309</v>
      </c>
      <c r="D123" s="44" t="s">
        <v>2515</v>
      </c>
      <c r="E123" s="35" t="s">
        <v>1710</v>
      </c>
      <c r="F123" s="35" t="s">
        <v>1710</v>
      </c>
      <c r="G123" s="39">
        <v>45513.395833333336</v>
      </c>
      <c r="H123" s="36">
        <v>45513.4375</v>
      </c>
      <c r="I123" s="47">
        <v>6.25E-2</v>
      </c>
      <c r="J123" s="47">
        <f t="shared" si="2"/>
        <v>4.1666666664241347E-2</v>
      </c>
      <c r="K123" s="24">
        <f t="shared" si="3"/>
        <v>-2.0833333335758653E-2</v>
      </c>
      <c r="L123" s="45"/>
      <c r="M123" s="25"/>
      <c r="N123" s="22"/>
      <c r="O123" s="26"/>
      <c r="P123" s="35"/>
    </row>
    <row r="124" spans="1:16">
      <c r="A124" s="21" t="s">
        <v>2187</v>
      </c>
      <c r="B124" s="43" t="s">
        <v>2186</v>
      </c>
      <c r="C124" s="38" t="s">
        <v>2310</v>
      </c>
      <c r="D124" s="44" t="s">
        <v>2515</v>
      </c>
      <c r="E124" s="35" t="s">
        <v>2178</v>
      </c>
      <c r="F124" s="35" t="s">
        <v>2181</v>
      </c>
      <c r="G124" s="39">
        <v>45513.395833333336</v>
      </c>
      <c r="H124" s="36">
        <v>45513.618055555555</v>
      </c>
      <c r="I124" s="47">
        <v>6.25E-2</v>
      </c>
      <c r="J124" s="47">
        <f t="shared" si="2"/>
        <v>0.22222222221898846</v>
      </c>
      <c r="K124" s="24">
        <f t="shared" si="3"/>
        <v>0.15972222221898846</v>
      </c>
      <c r="L124" s="45"/>
      <c r="M124" s="25"/>
      <c r="N124" s="22"/>
      <c r="O124" s="26"/>
      <c r="P124" s="35"/>
    </row>
    <row r="125" spans="1:16">
      <c r="A125" s="21" t="s">
        <v>2187</v>
      </c>
      <c r="B125" s="43" t="s">
        <v>2186</v>
      </c>
      <c r="C125" s="38" t="s">
        <v>2311</v>
      </c>
      <c r="D125" s="44" t="s">
        <v>2515</v>
      </c>
      <c r="E125" s="35" t="s">
        <v>1710</v>
      </c>
      <c r="F125" s="35" t="s">
        <v>1710</v>
      </c>
      <c r="G125" s="39">
        <v>45513.395833333336</v>
      </c>
      <c r="H125" s="36">
        <v>45513.438888888886</v>
      </c>
      <c r="I125" s="47">
        <v>6.25E-2</v>
      </c>
      <c r="J125" s="47">
        <f t="shared" si="2"/>
        <v>4.3055555550381541E-2</v>
      </c>
      <c r="K125" s="24">
        <f t="shared" si="3"/>
        <v>-1.9444444449618459E-2</v>
      </c>
      <c r="L125" s="45"/>
      <c r="M125" s="25"/>
      <c r="N125" s="22"/>
      <c r="O125" s="26"/>
      <c r="P125" s="35"/>
    </row>
    <row r="126" spans="1:16">
      <c r="A126" s="21" t="s">
        <v>2187</v>
      </c>
      <c r="B126" s="43" t="s">
        <v>2186</v>
      </c>
      <c r="C126" s="38" t="s">
        <v>2312</v>
      </c>
      <c r="D126" s="44" t="s">
        <v>2515</v>
      </c>
      <c r="E126" s="35" t="s">
        <v>1710</v>
      </c>
      <c r="F126" s="35" t="s">
        <v>1710</v>
      </c>
      <c r="G126" s="39">
        <v>45513.395833333336</v>
      </c>
      <c r="H126" s="36">
        <v>45513.439583333333</v>
      </c>
      <c r="I126" s="47">
        <v>6.25E-2</v>
      </c>
      <c r="J126" s="47">
        <f t="shared" si="2"/>
        <v>4.3749999997089617E-2</v>
      </c>
      <c r="K126" s="24">
        <f t="shared" si="3"/>
        <v>-1.8750000002910383E-2</v>
      </c>
      <c r="L126" s="45"/>
      <c r="M126" s="25"/>
      <c r="N126" s="22"/>
      <c r="O126" s="26"/>
      <c r="P126" s="35"/>
    </row>
    <row r="127" spans="1:16">
      <c r="A127" s="21" t="s">
        <v>2187</v>
      </c>
      <c r="B127" s="43" t="s">
        <v>2186</v>
      </c>
      <c r="C127" s="38" t="s">
        <v>2313</v>
      </c>
      <c r="D127" s="44" t="s">
        <v>2515</v>
      </c>
      <c r="E127" s="35" t="s">
        <v>1710</v>
      </c>
      <c r="F127" s="35" t="s">
        <v>1710</v>
      </c>
      <c r="G127" s="39">
        <v>45513.395833333336</v>
      </c>
      <c r="H127" s="36">
        <v>45513.442361111112</v>
      </c>
      <c r="I127" s="47">
        <v>6.25E-2</v>
      </c>
      <c r="J127" s="47">
        <f t="shared" si="2"/>
        <v>4.6527777776645962E-2</v>
      </c>
      <c r="K127" s="24">
        <f t="shared" si="3"/>
        <v>-1.5972222223354038E-2</v>
      </c>
      <c r="L127" s="33"/>
      <c r="M127" s="25"/>
      <c r="N127" s="22"/>
      <c r="O127" s="26"/>
      <c r="P127" s="35"/>
    </row>
    <row r="128" spans="1:16">
      <c r="A128" s="21" t="s">
        <v>2187</v>
      </c>
      <c r="B128" s="43" t="s">
        <v>2186</v>
      </c>
      <c r="C128" s="38" t="s">
        <v>2314</v>
      </c>
      <c r="D128" s="44" t="s">
        <v>2515</v>
      </c>
      <c r="E128" s="35" t="s">
        <v>1710</v>
      </c>
      <c r="F128" s="35" t="s">
        <v>1710</v>
      </c>
      <c r="G128" s="39">
        <v>45513.4375</v>
      </c>
      <c r="H128" s="36">
        <v>45513.48333333333</v>
      </c>
      <c r="I128" s="47">
        <v>6.25E-2</v>
      </c>
      <c r="J128" s="47">
        <f t="shared" si="2"/>
        <v>4.5833333329937886E-2</v>
      </c>
      <c r="K128" s="24">
        <f t="shared" si="3"/>
        <v>-1.6666666670062114E-2</v>
      </c>
      <c r="L128" s="33"/>
      <c r="M128" s="25"/>
      <c r="N128" s="22"/>
      <c r="O128" s="26"/>
      <c r="P128" s="35"/>
    </row>
    <row r="129" spans="1:16">
      <c r="A129" s="21" t="s">
        <v>2187</v>
      </c>
      <c r="B129" s="43" t="s">
        <v>2186</v>
      </c>
      <c r="C129" s="38" t="s">
        <v>2315</v>
      </c>
      <c r="D129" s="44" t="s">
        <v>2515</v>
      </c>
      <c r="E129" s="35" t="s">
        <v>1710</v>
      </c>
      <c r="F129" s="35" t="s">
        <v>1710</v>
      </c>
      <c r="G129" s="39">
        <v>45513.4375</v>
      </c>
      <c r="H129" s="36">
        <v>45513.48333333333</v>
      </c>
      <c r="I129" s="47">
        <v>6.25E-2</v>
      </c>
      <c r="J129" s="47">
        <f t="shared" si="2"/>
        <v>4.5833333329937886E-2</v>
      </c>
      <c r="K129" s="24">
        <f t="shared" si="3"/>
        <v>-1.6666666670062114E-2</v>
      </c>
      <c r="L129" s="45"/>
      <c r="M129" s="25"/>
      <c r="N129" s="22"/>
      <c r="O129" s="26"/>
      <c r="P129" s="35"/>
    </row>
    <row r="130" spans="1:16">
      <c r="A130" s="21" t="s">
        <v>2187</v>
      </c>
      <c r="B130" s="43" t="s">
        <v>2186</v>
      </c>
      <c r="C130" s="38" t="s">
        <v>2316</v>
      </c>
      <c r="D130" s="44" t="s">
        <v>2515</v>
      </c>
      <c r="E130" s="35" t="s">
        <v>2177</v>
      </c>
      <c r="F130" s="35" t="s">
        <v>1710</v>
      </c>
      <c r="G130" s="39">
        <v>45513.4375</v>
      </c>
      <c r="H130" s="36">
        <v>45513.563194444447</v>
      </c>
      <c r="I130" s="47">
        <v>6.25E-2</v>
      </c>
      <c r="J130" s="47">
        <f t="shared" ref="J130:J193" si="4">H130-G130</f>
        <v>0.12569444444670808</v>
      </c>
      <c r="K130" s="24">
        <f t="shared" ref="K130:K193" si="5">J130-I130</f>
        <v>6.3194444446708076E-2</v>
      </c>
      <c r="L130" s="45"/>
      <c r="M130" s="25"/>
      <c r="N130" s="22"/>
      <c r="O130" s="26"/>
      <c r="P130" s="35"/>
    </row>
    <row r="131" spans="1:16">
      <c r="A131" s="21" t="s">
        <v>2187</v>
      </c>
      <c r="B131" s="43" t="s">
        <v>2186</v>
      </c>
      <c r="C131" s="38" t="s">
        <v>2317</v>
      </c>
      <c r="D131" s="44" t="s">
        <v>2515</v>
      </c>
      <c r="E131" s="35" t="s">
        <v>1710</v>
      </c>
      <c r="F131" s="35" t="s">
        <v>1710</v>
      </c>
      <c r="G131" s="39">
        <v>45513.4375</v>
      </c>
      <c r="H131" s="36">
        <v>45513.494444444441</v>
      </c>
      <c r="I131" s="47">
        <v>6.25E-2</v>
      </c>
      <c r="J131" s="47">
        <f t="shared" si="4"/>
        <v>5.694444444088731E-2</v>
      </c>
      <c r="K131" s="24">
        <f t="shared" si="5"/>
        <v>-5.5555555591126904E-3</v>
      </c>
      <c r="L131" s="45"/>
      <c r="M131" s="25"/>
      <c r="N131" s="22"/>
      <c r="O131" s="26"/>
      <c r="P131" s="35"/>
    </row>
    <row r="132" spans="1:16">
      <c r="A132" s="21" t="s">
        <v>2187</v>
      </c>
      <c r="B132" s="43" t="s">
        <v>2186</v>
      </c>
      <c r="C132" s="38" t="s">
        <v>2318</v>
      </c>
      <c r="D132" s="44" t="s">
        <v>2515</v>
      </c>
      <c r="E132" s="35" t="s">
        <v>2177</v>
      </c>
      <c r="F132" s="35" t="s">
        <v>1710</v>
      </c>
      <c r="G132" s="39">
        <v>45513.4375</v>
      </c>
      <c r="H132" s="36">
        <v>45513.55</v>
      </c>
      <c r="I132" s="47">
        <v>6.25E-2</v>
      </c>
      <c r="J132" s="47">
        <f t="shared" si="4"/>
        <v>0.11250000000291038</v>
      </c>
      <c r="K132" s="24">
        <f t="shared" si="5"/>
        <v>5.0000000002910383E-2</v>
      </c>
      <c r="L132" s="33"/>
      <c r="M132" s="25"/>
      <c r="N132" s="22"/>
      <c r="O132" s="26"/>
      <c r="P132" s="35"/>
    </row>
    <row r="133" spans="1:16">
      <c r="A133" s="21" t="s">
        <v>2187</v>
      </c>
      <c r="B133" s="43" t="s">
        <v>2186</v>
      </c>
      <c r="C133" s="38" t="s">
        <v>2319</v>
      </c>
      <c r="D133" s="44" t="s">
        <v>2515</v>
      </c>
      <c r="E133" s="35" t="s">
        <v>2177</v>
      </c>
      <c r="F133" s="35" t="s">
        <v>1710</v>
      </c>
      <c r="G133" s="39">
        <v>45513.44027777778</v>
      </c>
      <c r="H133" s="36">
        <v>45513.543055555558</v>
      </c>
      <c r="I133" s="47">
        <v>6.25E-2</v>
      </c>
      <c r="J133" s="47">
        <f t="shared" si="4"/>
        <v>0.10277777777810115</v>
      </c>
      <c r="K133" s="24">
        <f t="shared" si="5"/>
        <v>4.0277777778101154E-2</v>
      </c>
      <c r="L133" s="33"/>
      <c r="M133" s="25"/>
      <c r="N133" s="22"/>
      <c r="O133" s="26"/>
      <c r="P133" s="35"/>
    </row>
    <row r="134" spans="1:16">
      <c r="A134" s="21" t="s">
        <v>2187</v>
      </c>
      <c r="B134" s="43" t="s">
        <v>2186</v>
      </c>
      <c r="C134" s="38" t="s">
        <v>2320</v>
      </c>
      <c r="D134" s="44" t="s">
        <v>2515</v>
      </c>
      <c r="E134" s="35" t="s">
        <v>1710</v>
      </c>
      <c r="F134" s="35" t="s">
        <v>1710</v>
      </c>
      <c r="G134" s="39">
        <v>45513.611111111109</v>
      </c>
      <c r="H134" s="36">
        <v>45513.634722222225</v>
      </c>
      <c r="I134" s="47">
        <v>6.25E-2</v>
      </c>
      <c r="J134" s="47">
        <f t="shared" si="4"/>
        <v>2.3611111115314998E-2</v>
      </c>
      <c r="K134" s="24">
        <f t="shared" si="5"/>
        <v>-3.8888888884685002E-2</v>
      </c>
      <c r="L134" s="33"/>
      <c r="M134" s="19"/>
      <c r="N134" s="22"/>
      <c r="O134" s="26"/>
      <c r="P134" s="35"/>
    </row>
    <row r="135" spans="1:16">
      <c r="A135" s="21" t="s">
        <v>2187</v>
      </c>
      <c r="B135" s="43" t="s">
        <v>2186</v>
      </c>
      <c r="C135" s="38" t="s">
        <v>2321</v>
      </c>
      <c r="D135" s="44" t="s">
        <v>2515</v>
      </c>
      <c r="E135" s="35" t="s">
        <v>1710</v>
      </c>
      <c r="F135" s="35" t="s">
        <v>1710</v>
      </c>
      <c r="G135" s="39">
        <v>45513.611111111109</v>
      </c>
      <c r="H135" s="36">
        <v>45513.635416666664</v>
      </c>
      <c r="I135" s="47">
        <v>6.25E-2</v>
      </c>
      <c r="J135" s="47">
        <f t="shared" si="4"/>
        <v>2.4305555554747116E-2</v>
      </c>
      <c r="K135" s="24">
        <f t="shared" si="5"/>
        <v>-3.8194444445252884E-2</v>
      </c>
      <c r="L135" s="33"/>
      <c r="M135" s="25"/>
      <c r="N135" s="22"/>
      <c r="O135" s="26"/>
      <c r="P135" s="35"/>
    </row>
    <row r="136" spans="1:16">
      <c r="A136" s="21" t="s">
        <v>2187</v>
      </c>
      <c r="B136" s="43" t="s">
        <v>2186</v>
      </c>
      <c r="C136" s="38" t="s">
        <v>2322</v>
      </c>
      <c r="D136" s="44" t="s">
        <v>2515</v>
      </c>
      <c r="E136" s="35" t="s">
        <v>2177</v>
      </c>
      <c r="F136" s="35" t="s">
        <v>1710</v>
      </c>
      <c r="G136" s="39">
        <v>45509.375</v>
      </c>
      <c r="H136" s="36">
        <v>45509.445138888892</v>
      </c>
      <c r="I136" s="47">
        <v>6.25E-2</v>
      </c>
      <c r="J136" s="47">
        <f t="shared" si="4"/>
        <v>7.013888889196096E-2</v>
      </c>
      <c r="K136" s="24">
        <f t="shared" si="5"/>
        <v>7.6388888919609599E-3</v>
      </c>
      <c r="L136" s="33"/>
      <c r="M136" s="25"/>
      <c r="N136" s="22"/>
      <c r="O136" s="26"/>
      <c r="P136" s="35"/>
    </row>
    <row r="137" spans="1:16">
      <c r="A137" s="21" t="s">
        <v>2187</v>
      </c>
      <c r="B137" s="43" t="s">
        <v>2186</v>
      </c>
      <c r="C137" s="38" t="s">
        <v>2323</v>
      </c>
      <c r="D137" s="44" t="s">
        <v>2515</v>
      </c>
      <c r="E137" s="35" t="s">
        <v>2178</v>
      </c>
      <c r="F137" s="35" t="s">
        <v>2181</v>
      </c>
      <c r="G137" s="39">
        <v>45509.375</v>
      </c>
      <c r="H137" s="36">
        <v>45509.402777777781</v>
      </c>
      <c r="I137" s="47">
        <v>6.25E-2</v>
      </c>
      <c r="J137" s="47">
        <f t="shared" si="4"/>
        <v>2.7777777781011537E-2</v>
      </c>
      <c r="K137" s="24">
        <f t="shared" si="5"/>
        <v>-3.4722222218988463E-2</v>
      </c>
      <c r="L137" s="33"/>
      <c r="M137" s="25"/>
      <c r="N137" s="22"/>
      <c r="O137" s="26"/>
      <c r="P137" s="35"/>
    </row>
    <row r="138" spans="1:16">
      <c r="A138" s="21" t="s">
        <v>2187</v>
      </c>
      <c r="B138" s="43" t="s">
        <v>2186</v>
      </c>
      <c r="C138" s="38" t="s">
        <v>2324</v>
      </c>
      <c r="D138" s="44" t="s">
        <v>2515</v>
      </c>
      <c r="E138" s="35" t="s">
        <v>1710</v>
      </c>
      <c r="F138" s="35" t="s">
        <v>1710</v>
      </c>
      <c r="G138" s="39">
        <v>45509.375</v>
      </c>
      <c r="H138" s="36">
        <v>45509.380555555559</v>
      </c>
      <c r="I138" s="47">
        <v>6.25E-2</v>
      </c>
      <c r="J138" s="47">
        <f t="shared" si="4"/>
        <v>5.5555555591126904E-3</v>
      </c>
      <c r="K138" s="24">
        <f t="shared" si="5"/>
        <v>-5.694444444088731E-2</v>
      </c>
      <c r="L138" s="33"/>
      <c r="M138" s="25"/>
      <c r="N138" s="22"/>
      <c r="O138" s="26"/>
      <c r="P138" s="35"/>
    </row>
    <row r="139" spans="1:16">
      <c r="A139" s="21" t="s">
        <v>2187</v>
      </c>
      <c r="B139" s="43" t="s">
        <v>2186</v>
      </c>
      <c r="C139" s="38" t="s">
        <v>2325</v>
      </c>
      <c r="D139" s="44" t="s">
        <v>2515</v>
      </c>
      <c r="E139" s="35" t="s">
        <v>1710</v>
      </c>
      <c r="F139" s="35" t="s">
        <v>1710</v>
      </c>
      <c r="G139" s="39">
        <v>45509.375</v>
      </c>
      <c r="H139" s="36">
        <v>45509.385416666664</v>
      </c>
      <c r="I139" s="47">
        <v>6.25E-2</v>
      </c>
      <c r="J139" s="47">
        <f t="shared" si="4"/>
        <v>1.0416666664241347E-2</v>
      </c>
      <c r="K139" s="24">
        <f t="shared" si="5"/>
        <v>-5.2083333335758653E-2</v>
      </c>
      <c r="L139" s="33"/>
      <c r="M139" s="25"/>
      <c r="N139" s="22"/>
      <c r="O139" s="26"/>
      <c r="P139" s="35"/>
    </row>
    <row r="140" spans="1:16">
      <c r="A140" s="21" t="s">
        <v>2187</v>
      </c>
      <c r="B140" s="43" t="s">
        <v>2186</v>
      </c>
      <c r="C140" s="38" t="s">
        <v>2326</v>
      </c>
      <c r="D140" s="44" t="s">
        <v>2515</v>
      </c>
      <c r="E140" s="35" t="s">
        <v>1710</v>
      </c>
      <c r="F140" s="35" t="s">
        <v>1710</v>
      </c>
      <c r="G140" s="39">
        <v>45509.375</v>
      </c>
      <c r="H140" s="36">
        <v>45509.388194444444</v>
      </c>
      <c r="I140" s="47">
        <v>6.25E-2</v>
      </c>
      <c r="J140" s="47">
        <f t="shared" si="4"/>
        <v>1.3194444443797693E-2</v>
      </c>
      <c r="K140" s="24">
        <f t="shared" si="5"/>
        <v>-4.9305555556202307E-2</v>
      </c>
      <c r="L140" s="33"/>
      <c r="M140" s="25"/>
      <c r="N140" s="22"/>
      <c r="O140" s="26"/>
      <c r="P140" s="35"/>
    </row>
    <row r="141" spans="1:16">
      <c r="A141" s="21" t="s">
        <v>2187</v>
      </c>
      <c r="B141" s="43" t="s">
        <v>2186</v>
      </c>
      <c r="C141" s="38" t="s">
        <v>2327</v>
      </c>
      <c r="D141" s="44" t="s">
        <v>2515</v>
      </c>
      <c r="E141" s="35" t="s">
        <v>1710</v>
      </c>
      <c r="F141" s="35" t="s">
        <v>1710</v>
      </c>
      <c r="G141" s="39">
        <v>45509.384722222225</v>
      </c>
      <c r="H141" s="36">
        <v>45509.397916666669</v>
      </c>
      <c r="I141" s="47">
        <v>6.25E-2</v>
      </c>
      <c r="J141" s="47">
        <f t="shared" si="4"/>
        <v>1.3194444443797693E-2</v>
      </c>
      <c r="K141" s="24">
        <f t="shared" si="5"/>
        <v>-4.9305555556202307E-2</v>
      </c>
      <c r="L141" s="33"/>
      <c r="M141" s="25"/>
      <c r="N141" s="22"/>
      <c r="O141" s="26"/>
      <c r="P141" s="35"/>
    </row>
    <row r="142" spans="1:16">
      <c r="A142" s="21" t="s">
        <v>2187</v>
      </c>
      <c r="B142" s="43" t="s">
        <v>2186</v>
      </c>
      <c r="C142" s="38" t="s">
        <v>2328</v>
      </c>
      <c r="D142" s="44" t="s">
        <v>2515</v>
      </c>
      <c r="E142" s="35" t="s">
        <v>1710</v>
      </c>
      <c r="F142" s="35" t="s">
        <v>1710</v>
      </c>
      <c r="G142" s="39">
        <v>45509.384722222225</v>
      </c>
      <c r="H142" s="36">
        <v>45509.397222222222</v>
      </c>
      <c r="I142" s="47">
        <v>6.25E-2</v>
      </c>
      <c r="J142" s="47">
        <f t="shared" si="4"/>
        <v>1.2499999997089617E-2</v>
      </c>
      <c r="K142" s="24">
        <f t="shared" si="5"/>
        <v>-5.0000000002910383E-2</v>
      </c>
      <c r="L142" s="33"/>
      <c r="M142" s="25"/>
      <c r="N142" s="22"/>
      <c r="O142" s="26"/>
      <c r="P142" s="35"/>
    </row>
    <row r="143" spans="1:16">
      <c r="A143" s="21" t="s">
        <v>2187</v>
      </c>
      <c r="B143" s="43" t="s">
        <v>2186</v>
      </c>
      <c r="C143" s="38" t="s">
        <v>2329</v>
      </c>
      <c r="D143" s="44" t="s">
        <v>2515</v>
      </c>
      <c r="E143" s="35" t="s">
        <v>1710</v>
      </c>
      <c r="F143" s="35" t="s">
        <v>1710</v>
      </c>
      <c r="G143" s="39">
        <v>45509.384722222225</v>
      </c>
      <c r="H143" s="36">
        <v>45509.399305555555</v>
      </c>
      <c r="I143" s="47">
        <v>6.25E-2</v>
      </c>
      <c r="J143" s="47">
        <f t="shared" si="4"/>
        <v>1.4583333329937886E-2</v>
      </c>
      <c r="K143" s="24">
        <f t="shared" si="5"/>
        <v>-4.7916666670062114E-2</v>
      </c>
      <c r="L143" s="33"/>
      <c r="M143" s="25"/>
      <c r="N143" s="22"/>
      <c r="O143" s="26"/>
      <c r="P143" s="35"/>
    </row>
    <row r="144" spans="1:16">
      <c r="A144" s="21" t="s">
        <v>2187</v>
      </c>
      <c r="B144" s="43" t="s">
        <v>2186</v>
      </c>
      <c r="C144" s="38" t="s">
        <v>2330</v>
      </c>
      <c r="D144" s="44" t="s">
        <v>2515</v>
      </c>
      <c r="E144" s="35" t="s">
        <v>1710</v>
      </c>
      <c r="F144" s="35" t="s">
        <v>1710</v>
      </c>
      <c r="G144" s="39">
        <v>45509.395833333336</v>
      </c>
      <c r="H144" s="36">
        <v>45509.40625</v>
      </c>
      <c r="I144" s="47">
        <v>6.25E-2</v>
      </c>
      <c r="J144" s="47">
        <f t="shared" si="4"/>
        <v>1.0416666664241347E-2</v>
      </c>
      <c r="K144" s="24">
        <f t="shared" si="5"/>
        <v>-5.2083333335758653E-2</v>
      </c>
      <c r="L144" s="45"/>
      <c r="M144" s="25"/>
      <c r="N144" s="22"/>
      <c r="O144" s="26"/>
      <c r="P144" s="35"/>
    </row>
    <row r="145" spans="1:16">
      <c r="A145" s="21" t="s">
        <v>2187</v>
      </c>
      <c r="B145" s="43" t="s">
        <v>2186</v>
      </c>
      <c r="C145" s="38" t="s">
        <v>2331</v>
      </c>
      <c r="D145" s="44" t="s">
        <v>2515</v>
      </c>
      <c r="E145" s="35" t="s">
        <v>2177</v>
      </c>
      <c r="F145" s="35" t="s">
        <v>1710</v>
      </c>
      <c r="G145" s="39">
        <v>45509.395833333336</v>
      </c>
      <c r="H145" s="36">
        <v>45509.415277777778</v>
      </c>
      <c r="I145" s="47">
        <v>6.25E-2</v>
      </c>
      <c r="J145" s="47">
        <f t="shared" si="4"/>
        <v>1.9444444442342501E-2</v>
      </c>
      <c r="K145" s="24">
        <f t="shared" si="5"/>
        <v>-4.3055555557657499E-2</v>
      </c>
      <c r="L145" s="45"/>
      <c r="M145" s="25"/>
      <c r="N145" s="22"/>
      <c r="O145" s="26"/>
      <c r="P145" s="35"/>
    </row>
    <row r="146" spans="1:16">
      <c r="A146" s="21" t="s">
        <v>2187</v>
      </c>
      <c r="B146" s="43" t="s">
        <v>2186</v>
      </c>
      <c r="C146" s="38" t="s">
        <v>2332</v>
      </c>
      <c r="D146" s="44" t="s">
        <v>2515</v>
      </c>
      <c r="E146" s="35" t="s">
        <v>1710</v>
      </c>
      <c r="F146" s="35" t="s">
        <v>1710</v>
      </c>
      <c r="G146" s="39">
        <v>45509.395833333336</v>
      </c>
      <c r="H146" s="36">
        <v>45509.409722222219</v>
      </c>
      <c r="I146" s="47">
        <v>6.25E-2</v>
      </c>
      <c r="J146" s="47">
        <f t="shared" si="4"/>
        <v>1.3888888883229811E-2</v>
      </c>
      <c r="K146" s="24">
        <f t="shared" si="5"/>
        <v>-4.8611111116770189E-2</v>
      </c>
      <c r="L146" s="33"/>
      <c r="M146" s="25"/>
      <c r="N146" s="22"/>
      <c r="O146" s="26"/>
      <c r="P146" s="35"/>
    </row>
    <row r="147" spans="1:16">
      <c r="A147" s="21" t="s">
        <v>2187</v>
      </c>
      <c r="B147" s="43" t="s">
        <v>2186</v>
      </c>
      <c r="C147" s="38" t="s">
        <v>2333</v>
      </c>
      <c r="D147" s="44" t="s">
        <v>2515</v>
      </c>
      <c r="E147" s="35" t="s">
        <v>1710</v>
      </c>
      <c r="F147" s="35" t="s">
        <v>1710</v>
      </c>
      <c r="G147" s="39">
        <v>45509.395833333336</v>
      </c>
      <c r="H147" s="36">
        <v>45509.411805555559</v>
      </c>
      <c r="I147" s="47">
        <v>6.25E-2</v>
      </c>
      <c r="J147" s="47">
        <f t="shared" si="4"/>
        <v>1.5972222223354038E-2</v>
      </c>
      <c r="K147" s="24">
        <f t="shared" si="5"/>
        <v>-4.6527777776645962E-2</v>
      </c>
      <c r="L147" s="33"/>
      <c r="M147" s="25"/>
      <c r="N147" s="22"/>
      <c r="O147" s="26"/>
      <c r="P147" s="35"/>
    </row>
    <row r="148" spans="1:16">
      <c r="A148" s="21" t="s">
        <v>2187</v>
      </c>
      <c r="B148" s="43" t="s">
        <v>2186</v>
      </c>
      <c r="C148" s="38" t="s">
        <v>2334</v>
      </c>
      <c r="D148" s="44" t="s">
        <v>2515</v>
      </c>
      <c r="E148" s="35" t="s">
        <v>1710</v>
      </c>
      <c r="F148" s="35" t="s">
        <v>1710</v>
      </c>
      <c r="G148" s="39">
        <v>45509.395833333336</v>
      </c>
      <c r="H148" s="36">
        <v>45509.413888888892</v>
      </c>
      <c r="I148" s="47">
        <v>6.25E-2</v>
      </c>
      <c r="J148" s="47">
        <f t="shared" si="4"/>
        <v>1.8055555556202307E-2</v>
      </c>
      <c r="K148" s="24">
        <f t="shared" si="5"/>
        <v>-4.4444444443797693E-2</v>
      </c>
      <c r="L148" s="33"/>
      <c r="M148" s="25"/>
      <c r="N148" s="22"/>
      <c r="O148" s="26"/>
      <c r="P148" s="35"/>
    </row>
    <row r="149" spans="1:16">
      <c r="A149" s="21" t="s">
        <v>2187</v>
      </c>
      <c r="B149" s="43" t="s">
        <v>2186</v>
      </c>
      <c r="C149" s="38" t="s">
        <v>2335</v>
      </c>
      <c r="D149" s="44" t="s">
        <v>2515</v>
      </c>
      <c r="E149" s="35" t="s">
        <v>1710</v>
      </c>
      <c r="F149" s="35" t="s">
        <v>1710</v>
      </c>
      <c r="G149" s="39">
        <v>45509.395833333336</v>
      </c>
      <c r="H149" s="36">
        <v>45509.415277777778</v>
      </c>
      <c r="I149" s="47">
        <v>6.25E-2</v>
      </c>
      <c r="J149" s="47">
        <f t="shared" si="4"/>
        <v>1.9444444442342501E-2</v>
      </c>
      <c r="K149" s="24">
        <f t="shared" si="5"/>
        <v>-4.3055555557657499E-2</v>
      </c>
      <c r="L149" s="33"/>
      <c r="M149" s="19"/>
      <c r="N149" s="22"/>
      <c r="O149" s="26"/>
      <c r="P149" s="35"/>
    </row>
    <row r="150" spans="1:16">
      <c r="A150" s="21" t="s">
        <v>2187</v>
      </c>
      <c r="B150" s="43" t="s">
        <v>2186</v>
      </c>
      <c r="C150" s="38" t="s">
        <v>2336</v>
      </c>
      <c r="D150" s="44" t="s">
        <v>2515</v>
      </c>
      <c r="E150" s="35" t="s">
        <v>1710</v>
      </c>
      <c r="F150" s="35" t="s">
        <v>1710</v>
      </c>
      <c r="G150" s="39">
        <v>45509.395833333336</v>
      </c>
      <c r="H150" s="36">
        <v>45509.418055555558</v>
      </c>
      <c r="I150" s="47">
        <v>6.25E-2</v>
      </c>
      <c r="J150" s="47">
        <f t="shared" si="4"/>
        <v>2.2222222221898846E-2</v>
      </c>
      <c r="K150" s="24">
        <f t="shared" si="5"/>
        <v>-4.0277777778101154E-2</v>
      </c>
      <c r="L150" s="33"/>
      <c r="M150" s="25"/>
      <c r="N150" s="22"/>
      <c r="O150" s="26"/>
      <c r="P150" s="35"/>
    </row>
    <row r="151" spans="1:16">
      <c r="A151" s="21" t="s">
        <v>2187</v>
      </c>
      <c r="B151" s="43" t="s">
        <v>2186</v>
      </c>
      <c r="C151" s="38" t="s">
        <v>2337</v>
      </c>
      <c r="D151" s="44" t="s">
        <v>2515</v>
      </c>
      <c r="E151" s="35" t="s">
        <v>1710</v>
      </c>
      <c r="F151" s="35" t="s">
        <v>1710</v>
      </c>
      <c r="G151" s="39">
        <v>45509.395833333336</v>
      </c>
      <c r="H151" s="36">
        <v>45509.420138888891</v>
      </c>
      <c r="I151" s="47">
        <v>6.25E-2</v>
      </c>
      <c r="J151" s="47">
        <f t="shared" si="4"/>
        <v>2.4305555554747116E-2</v>
      </c>
      <c r="K151" s="24">
        <f t="shared" si="5"/>
        <v>-3.8194444445252884E-2</v>
      </c>
      <c r="L151" s="33"/>
      <c r="M151" s="25"/>
      <c r="N151" s="22"/>
      <c r="O151" s="26"/>
      <c r="P151" s="35"/>
    </row>
    <row r="152" spans="1:16">
      <c r="A152" s="21" t="s">
        <v>2187</v>
      </c>
      <c r="B152" s="43" t="s">
        <v>2186</v>
      </c>
      <c r="C152" s="38" t="s">
        <v>2338</v>
      </c>
      <c r="D152" s="44" t="s">
        <v>2515</v>
      </c>
      <c r="E152" s="35" t="s">
        <v>1710</v>
      </c>
      <c r="F152" s="35" t="s">
        <v>1710</v>
      </c>
      <c r="G152" s="39">
        <v>45509.395833333336</v>
      </c>
      <c r="H152" s="36">
        <v>45509.422222222223</v>
      </c>
      <c r="I152" s="47">
        <v>6.25E-2</v>
      </c>
      <c r="J152" s="47">
        <f t="shared" si="4"/>
        <v>2.6388888887595385E-2</v>
      </c>
      <c r="K152" s="24">
        <f t="shared" si="5"/>
        <v>-3.6111111112404615E-2</v>
      </c>
      <c r="L152" s="45"/>
      <c r="M152" s="25"/>
      <c r="N152" s="22"/>
      <c r="O152" s="26"/>
      <c r="P152" s="35"/>
    </row>
    <row r="153" spans="1:16">
      <c r="A153" s="21" t="s">
        <v>2187</v>
      </c>
      <c r="B153" s="43" t="s">
        <v>2186</v>
      </c>
      <c r="C153" s="38" t="s">
        <v>2339</v>
      </c>
      <c r="D153" s="44" t="s">
        <v>2515</v>
      </c>
      <c r="E153" s="35" t="s">
        <v>1710</v>
      </c>
      <c r="F153" s="35" t="s">
        <v>1710</v>
      </c>
      <c r="G153" s="39">
        <v>45509.395833333336</v>
      </c>
      <c r="H153" s="36">
        <v>45509.424305555556</v>
      </c>
      <c r="I153" s="47">
        <v>6.25E-2</v>
      </c>
      <c r="J153" s="47">
        <f t="shared" si="4"/>
        <v>2.8472222220443655E-2</v>
      </c>
      <c r="K153" s="24">
        <f t="shared" si="5"/>
        <v>-3.4027777779556345E-2</v>
      </c>
      <c r="L153" s="33"/>
      <c r="M153" s="19"/>
      <c r="N153" s="22"/>
      <c r="O153" s="26"/>
      <c r="P153" s="35"/>
    </row>
    <row r="154" spans="1:16">
      <c r="A154" s="21" t="s">
        <v>2187</v>
      </c>
      <c r="B154" s="43" t="s">
        <v>2186</v>
      </c>
      <c r="C154" s="38" t="s">
        <v>2340</v>
      </c>
      <c r="D154" s="44" t="s">
        <v>2515</v>
      </c>
      <c r="E154" s="35" t="s">
        <v>1710</v>
      </c>
      <c r="F154" s="35" t="s">
        <v>1710</v>
      </c>
      <c r="G154" s="39">
        <v>45509.395833333336</v>
      </c>
      <c r="H154" s="36">
        <v>45509.427777777775</v>
      </c>
      <c r="I154" s="47">
        <v>6.25E-2</v>
      </c>
      <c r="J154" s="47">
        <f t="shared" si="4"/>
        <v>3.1944444439432118E-2</v>
      </c>
      <c r="K154" s="24">
        <f t="shared" si="5"/>
        <v>-3.0555555560567882E-2</v>
      </c>
      <c r="L154" s="33"/>
      <c r="M154" s="19"/>
      <c r="N154" s="22"/>
      <c r="O154" s="26"/>
      <c r="P154" s="35"/>
    </row>
    <row r="155" spans="1:16">
      <c r="A155" s="21" t="s">
        <v>2187</v>
      </c>
      <c r="B155" s="43" t="s">
        <v>2186</v>
      </c>
      <c r="C155" s="38" t="s">
        <v>2341</v>
      </c>
      <c r="D155" s="44" t="s">
        <v>2515</v>
      </c>
      <c r="E155" s="35" t="s">
        <v>1710</v>
      </c>
      <c r="F155" s="35" t="s">
        <v>1710</v>
      </c>
      <c r="G155" s="39">
        <v>45509.395833333336</v>
      </c>
      <c r="H155" s="36">
        <v>45509.429861111108</v>
      </c>
      <c r="I155" s="47">
        <v>6.25E-2</v>
      </c>
      <c r="J155" s="47">
        <f t="shared" si="4"/>
        <v>3.4027777772280388E-2</v>
      </c>
      <c r="K155" s="24">
        <f t="shared" si="5"/>
        <v>-2.8472222227719612E-2</v>
      </c>
      <c r="L155" s="33"/>
      <c r="M155" s="19"/>
      <c r="N155" s="22"/>
      <c r="O155" s="26"/>
      <c r="P155" s="35"/>
    </row>
    <row r="156" spans="1:16">
      <c r="A156" s="21" t="s">
        <v>2187</v>
      </c>
      <c r="B156" s="43" t="s">
        <v>2186</v>
      </c>
      <c r="C156" s="38" t="s">
        <v>2342</v>
      </c>
      <c r="D156" s="44" t="s">
        <v>2515</v>
      </c>
      <c r="E156" s="35" t="s">
        <v>1710</v>
      </c>
      <c r="F156" s="35" t="s">
        <v>1710</v>
      </c>
      <c r="G156" s="39">
        <v>45509.395833333336</v>
      </c>
      <c r="H156" s="36">
        <v>45509.431944444441</v>
      </c>
      <c r="I156" s="47">
        <v>6.25E-2</v>
      </c>
      <c r="J156" s="47">
        <f t="shared" si="4"/>
        <v>3.6111111105128657E-2</v>
      </c>
      <c r="K156" s="24">
        <f t="shared" si="5"/>
        <v>-2.6388888894871343E-2</v>
      </c>
      <c r="L156" s="45"/>
      <c r="M156" s="25"/>
      <c r="N156" s="22"/>
      <c r="O156" s="26"/>
      <c r="P156" s="35"/>
    </row>
    <row r="157" spans="1:16">
      <c r="A157" s="21" t="s">
        <v>2187</v>
      </c>
      <c r="B157" s="43" t="s">
        <v>2186</v>
      </c>
      <c r="C157" s="38" t="s">
        <v>2343</v>
      </c>
      <c r="D157" s="44" t="s">
        <v>2515</v>
      </c>
      <c r="E157" s="35" t="s">
        <v>1710</v>
      </c>
      <c r="F157" s="35" t="s">
        <v>1710</v>
      </c>
      <c r="G157" s="39">
        <v>45509.395833333336</v>
      </c>
      <c r="H157" s="36">
        <v>45509.432638888888</v>
      </c>
      <c r="I157" s="47">
        <v>6.25E-2</v>
      </c>
      <c r="J157" s="47">
        <f t="shared" si="4"/>
        <v>3.6805555551836733E-2</v>
      </c>
      <c r="K157" s="24">
        <f t="shared" si="5"/>
        <v>-2.5694444448163267E-2</v>
      </c>
      <c r="L157" s="45"/>
      <c r="M157" s="25"/>
      <c r="N157" s="22"/>
      <c r="O157" s="26"/>
      <c r="P157" s="35"/>
    </row>
    <row r="158" spans="1:16">
      <c r="A158" s="21" t="s">
        <v>2187</v>
      </c>
      <c r="B158" s="43" t="s">
        <v>2186</v>
      </c>
      <c r="C158" s="38" t="s">
        <v>2344</v>
      </c>
      <c r="D158" s="44" t="s">
        <v>2515</v>
      </c>
      <c r="E158" s="35" t="s">
        <v>1710</v>
      </c>
      <c r="F158" s="35" t="s">
        <v>1710</v>
      </c>
      <c r="G158" s="39">
        <v>45509.395833333336</v>
      </c>
      <c r="H158" s="36">
        <v>45509.43472222222</v>
      </c>
      <c r="I158" s="47">
        <v>6.25E-2</v>
      </c>
      <c r="J158" s="47">
        <f t="shared" si="4"/>
        <v>3.8888888884685002E-2</v>
      </c>
      <c r="K158" s="24">
        <f t="shared" si="5"/>
        <v>-2.3611111115314998E-2</v>
      </c>
      <c r="L158" s="45"/>
      <c r="M158" s="25"/>
      <c r="N158" s="22"/>
      <c r="O158" s="26"/>
      <c r="P158" s="35"/>
    </row>
    <row r="159" spans="1:16">
      <c r="A159" s="21" t="s">
        <v>2187</v>
      </c>
      <c r="B159" s="43" t="s">
        <v>2186</v>
      </c>
      <c r="C159" s="38" t="s">
        <v>2345</v>
      </c>
      <c r="D159" s="44" t="s">
        <v>2515</v>
      </c>
      <c r="E159" s="35" t="s">
        <v>1710</v>
      </c>
      <c r="F159" s="35" t="s">
        <v>1710</v>
      </c>
      <c r="G159" s="39">
        <v>45509.395833333336</v>
      </c>
      <c r="H159" s="36">
        <v>45509.436111111114</v>
      </c>
      <c r="I159" s="47">
        <v>6.25E-2</v>
      </c>
      <c r="J159" s="47">
        <f t="shared" si="4"/>
        <v>4.0277777778101154E-2</v>
      </c>
      <c r="K159" s="24">
        <f t="shared" si="5"/>
        <v>-2.2222222221898846E-2</v>
      </c>
      <c r="L159" s="45"/>
      <c r="M159" s="25"/>
      <c r="N159" s="22"/>
      <c r="O159" s="26"/>
      <c r="P159" s="35"/>
    </row>
    <row r="160" spans="1:16">
      <c r="A160" s="21" t="s">
        <v>2187</v>
      </c>
      <c r="B160" s="43" t="s">
        <v>2186</v>
      </c>
      <c r="C160" s="38" t="s">
        <v>2346</v>
      </c>
      <c r="D160" s="44" t="s">
        <v>2515</v>
      </c>
      <c r="E160" s="35" t="s">
        <v>1710</v>
      </c>
      <c r="F160" s="35" t="s">
        <v>1710</v>
      </c>
      <c r="G160" s="39">
        <v>45509.4375</v>
      </c>
      <c r="H160" s="36">
        <v>45509.438888888886</v>
      </c>
      <c r="I160" s="47">
        <v>6.25E-2</v>
      </c>
      <c r="J160" s="47">
        <f t="shared" si="4"/>
        <v>1.3888888861401938E-3</v>
      </c>
      <c r="K160" s="24">
        <f t="shared" si="5"/>
        <v>-6.1111111113859806E-2</v>
      </c>
      <c r="L160" s="45"/>
      <c r="M160" s="25"/>
      <c r="N160" s="22"/>
      <c r="O160" s="26"/>
      <c r="P160" s="35"/>
    </row>
    <row r="161" spans="1:16">
      <c r="A161" s="21" t="s">
        <v>2187</v>
      </c>
      <c r="B161" s="43" t="s">
        <v>2186</v>
      </c>
      <c r="C161" s="38" t="s">
        <v>2347</v>
      </c>
      <c r="D161" s="44" t="s">
        <v>2515</v>
      </c>
      <c r="E161" s="35" t="s">
        <v>1710</v>
      </c>
      <c r="F161" s="35" t="s">
        <v>1710</v>
      </c>
      <c r="G161" s="39">
        <v>45509.4375</v>
      </c>
      <c r="H161" s="36">
        <v>45509.44027777778</v>
      </c>
      <c r="I161" s="47">
        <v>6.25E-2</v>
      </c>
      <c r="J161" s="47">
        <f t="shared" si="4"/>
        <v>2.7777777795563452E-3</v>
      </c>
      <c r="K161" s="24">
        <f t="shared" si="5"/>
        <v>-5.9722222220443655E-2</v>
      </c>
      <c r="L161" s="45"/>
      <c r="M161" s="25"/>
      <c r="N161" s="22"/>
      <c r="O161" s="26"/>
      <c r="P161" s="35"/>
    </row>
    <row r="162" spans="1:16">
      <c r="A162" s="21" t="s">
        <v>2187</v>
      </c>
      <c r="B162" s="43" t="s">
        <v>2186</v>
      </c>
      <c r="C162" s="38" t="s">
        <v>2348</v>
      </c>
      <c r="D162" s="44" t="s">
        <v>2515</v>
      </c>
      <c r="E162" s="35" t="s">
        <v>1710</v>
      </c>
      <c r="F162" s="35" t="s">
        <v>1710</v>
      </c>
      <c r="G162" s="39">
        <v>45509.4375</v>
      </c>
      <c r="H162" s="36">
        <v>45509.440972222219</v>
      </c>
      <c r="I162" s="47">
        <v>6.25E-2</v>
      </c>
      <c r="J162" s="47">
        <f t="shared" si="4"/>
        <v>3.4722222189884633E-3</v>
      </c>
      <c r="K162" s="24">
        <f t="shared" si="5"/>
        <v>-5.9027777781011537E-2</v>
      </c>
      <c r="L162" s="45"/>
      <c r="M162" s="25"/>
      <c r="N162" s="22"/>
      <c r="O162" s="26"/>
      <c r="P162" s="35"/>
    </row>
    <row r="163" spans="1:16">
      <c r="A163" s="21" t="s">
        <v>2187</v>
      </c>
      <c r="B163" s="43" t="s">
        <v>2186</v>
      </c>
      <c r="C163" s="38" t="s">
        <v>2349</v>
      </c>
      <c r="D163" s="44" t="s">
        <v>2515</v>
      </c>
      <c r="E163" s="35" t="s">
        <v>1710</v>
      </c>
      <c r="F163" s="35" t="s">
        <v>1710</v>
      </c>
      <c r="G163" s="39">
        <v>45509.4375</v>
      </c>
      <c r="H163" s="36">
        <v>45509.443055555559</v>
      </c>
      <c r="I163" s="47">
        <v>6.25E-2</v>
      </c>
      <c r="J163" s="47">
        <f t="shared" si="4"/>
        <v>5.5555555591126904E-3</v>
      </c>
      <c r="K163" s="24">
        <f t="shared" si="5"/>
        <v>-5.694444444088731E-2</v>
      </c>
      <c r="L163" s="45"/>
      <c r="M163" s="25"/>
      <c r="N163" s="22"/>
      <c r="O163" s="26"/>
      <c r="P163" s="35"/>
    </row>
    <row r="164" spans="1:16">
      <c r="A164" s="21" t="s">
        <v>2187</v>
      </c>
      <c r="B164" s="43" t="s">
        <v>2186</v>
      </c>
      <c r="C164" s="38" t="s">
        <v>2350</v>
      </c>
      <c r="D164" s="44" t="s">
        <v>2515</v>
      </c>
      <c r="E164" s="35" t="s">
        <v>1710</v>
      </c>
      <c r="F164" s="35" t="s">
        <v>1710</v>
      </c>
      <c r="G164" s="39">
        <v>45509.4375</v>
      </c>
      <c r="H164" s="36">
        <v>45509.445833333331</v>
      </c>
      <c r="I164" s="47">
        <v>6.25E-2</v>
      </c>
      <c r="J164" s="47">
        <f t="shared" si="4"/>
        <v>8.333333331393078E-3</v>
      </c>
      <c r="K164" s="24">
        <f t="shared" si="5"/>
        <v>-5.4166666668606922E-2</v>
      </c>
      <c r="L164" s="45"/>
      <c r="M164" s="25"/>
      <c r="N164" s="22"/>
      <c r="O164" s="26"/>
      <c r="P164" s="35"/>
    </row>
    <row r="165" spans="1:16">
      <c r="A165" s="21" t="s">
        <v>2187</v>
      </c>
      <c r="B165" s="43" t="s">
        <v>2186</v>
      </c>
      <c r="C165" s="38" t="s">
        <v>2351</v>
      </c>
      <c r="D165" s="44" t="s">
        <v>2515</v>
      </c>
      <c r="E165" s="35" t="s">
        <v>1710</v>
      </c>
      <c r="F165" s="35" t="s">
        <v>1710</v>
      </c>
      <c r="G165" s="39">
        <v>45509.4375</v>
      </c>
      <c r="H165" s="36">
        <v>45509.447916666664</v>
      </c>
      <c r="I165" s="47">
        <v>6.25E-2</v>
      </c>
      <c r="J165" s="47">
        <f t="shared" si="4"/>
        <v>1.0416666664241347E-2</v>
      </c>
      <c r="K165" s="24">
        <f t="shared" si="5"/>
        <v>-5.2083333335758653E-2</v>
      </c>
      <c r="L165" s="45"/>
      <c r="M165" s="25"/>
      <c r="N165" s="22"/>
      <c r="O165" s="26"/>
      <c r="P165" s="35"/>
    </row>
    <row r="166" spans="1:16">
      <c r="A166" s="21" t="s">
        <v>2187</v>
      </c>
      <c r="B166" s="43" t="s">
        <v>2186</v>
      </c>
      <c r="C166" s="38" t="s">
        <v>2352</v>
      </c>
      <c r="D166" s="44" t="s">
        <v>2515</v>
      </c>
      <c r="E166" s="35" t="s">
        <v>2178</v>
      </c>
      <c r="F166" s="35" t="s">
        <v>2181</v>
      </c>
      <c r="G166" s="39">
        <v>45509.4375</v>
      </c>
      <c r="H166" s="36">
        <v>45509.482638888891</v>
      </c>
      <c r="I166" s="47">
        <v>6.25E-2</v>
      </c>
      <c r="J166" s="47">
        <f t="shared" si="4"/>
        <v>4.5138888890505768E-2</v>
      </c>
      <c r="K166" s="24">
        <f t="shared" si="5"/>
        <v>-1.7361111109494232E-2</v>
      </c>
      <c r="L166" s="33"/>
      <c r="M166" s="19"/>
      <c r="N166" s="22"/>
      <c r="O166" s="26"/>
      <c r="P166" s="35"/>
    </row>
    <row r="167" spans="1:16">
      <c r="A167" s="21" t="s">
        <v>2187</v>
      </c>
      <c r="B167" s="43" t="s">
        <v>2186</v>
      </c>
      <c r="C167" s="38" t="s">
        <v>2353</v>
      </c>
      <c r="D167" s="44" t="s">
        <v>2515</v>
      </c>
      <c r="E167" s="35" t="s">
        <v>2178</v>
      </c>
      <c r="F167" s="35" t="s">
        <v>2181</v>
      </c>
      <c r="G167" s="39">
        <v>45509.4375</v>
      </c>
      <c r="H167" s="36">
        <v>45509.476388888892</v>
      </c>
      <c r="I167" s="47">
        <v>6.25E-2</v>
      </c>
      <c r="J167" s="47">
        <f t="shared" si="4"/>
        <v>3.888888889196096E-2</v>
      </c>
      <c r="K167" s="24">
        <f t="shared" si="5"/>
        <v>-2.361111110803904E-2</v>
      </c>
      <c r="L167" s="45"/>
      <c r="M167" s="25"/>
      <c r="N167" s="22"/>
      <c r="O167" s="26"/>
      <c r="P167" s="35"/>
    </row>
    <row r="168" spans="1:16">
      <c r="A168" s="21" t="s">
        <v>2187</v>
      </c>
      <c r="B168" s="43" t="s">
        <v>2186</v>
      </c>
      <c r="C168" s="38" t="s">
        <v>2354</v>
      </c>
      <c r="D168" s="44" t="s">
        <v>2515</v>
      </c>
      <c r="E168" s="35" t="s">
        <v>2178</v>
      </c>
      <c r="F168" s="35" t="s">
        <v>2181</v>
      </c>
      <c r="G168" s="39">
        <v>45509.4375</v>
      </c>
      <c r="H168" s="36">
        <v>45509.470833333333</v>
      </c>
      <c r="I168" s="47">
        <v>6.25E-2</v>
      </c>
      <c r="J168" s="47">
        <f t="shared" si="4"/>
        <v>3.3333333332848269E-2</v>
      </c>
      <c r="K168" s="24">
        <f t="shared" si="5"/>
        <v>-2.9166666667151731E-2</v>
      </c>
      <c r="L168" s="45"/>
      <c r="M168" s="25"/>
      <c r="N168" s="22"/>
      <c r="O168" s="26"/>
      <c r="P168" s="35"/>
    </row>
    <row r="169" spans="1:16">
      <c r="A169" s="21" t="s">
        <v>2187</v>
      </c>
      <c r="B169" s="43" t="s">
        <v>2186</v>
      </c>
      <c r="C169" s="38" t="s">
        <v>2355</v>
      </c>
      <c r="D169" s="44" t="s">
        <v>2515</v>
      </c>
      <c r="E169" s="35" t="s">
        <v>1710</v>
      </c>
      <c r="F169" s="35" t="s">
        <v>2516</v>
      </c>
      <c r="G169" s="39">
        <v>45509.458333333336</v>
      </c>
      <c r="H169" s="36">
        <v>45509.464583333334</v>
      </c>
      <c r="I169" s="47">
        <v>6.25E-2</v>
      </c>
      <c r="J169" s="47">
        <f t="shared" si="4"/>
        <v>6.2499999985448085E-3</v>
      </c>
      <c r="K169" s="24">
        <f t="shared" si="5"/>
        <v>-5.6250000001455192E-2</v>
      </c>
      <c r="L169" s="45"/>
      <c r="M169" s="25"/>
      <c r="N169" s="22"/>
      <c r="O169" s="26"/>
      <c r="P169" s="35"/>
    </row>
    <row r="170" spans="1:16">
      <c r="A170" s="21" t="s">
        <v>2187</v>
      </c>
      <c r="B170" s="43" t="s">
        <v>2186</v>
      </c>
      <c r="C170" s="38" t="s">
        <v>2356</v>
      </c>
      <c r="D170" s="44" t="s">
        <v>2515</v>
      </c>
      <c r="E170" s="35" t="s">
        <v>2178</v>
      </c>
      <c r="F170" s="35" t="s">
        <v>2181</v>
      </c>
      <c r="G170" s="39">
        <v>45509.458333333336</v>
      </c>
      <c r="H170" s="36">
        <v>45509.481249999997</v>
      </c>
      <c r="I170" s="47">
        <v>6.25E-2</v>
      </c>
      <c r="J170" s="47">
        <f t="shared" si="4"/>
        <v>2.2916666661330964E-2</v>
      </c>
      <c r="K170" s="24">
        <f t="shared" si="5"/>
        <v>-3.9583333338669036E-2</v>
      </c>
      <c r="L170" s="33"/>
      <c r="M170" s="19"/>
      <c r="N170" s="22"/>
      <c r="O170" s="26"/>
      <c r="P170" s="35"/>
    </row>
    <row r="171" spans="1:16">
      <c r="A171" s="21" t="s">
        <v>2187</v>
      </c>
      <c r="B171" s="43" t="s">
        <v>2186</v>
      </c>
      <c r="C171" s="38" t="s">
        <v>2357</v>
      </c>
      <c r="D171" s="44" t="s">
        <v>2515</v>
      </c>
      <c r="E171" s="35" t="s">
        <v>1710</v>
      </c>
      <c r="F171" s="35" t="s">
        <v>1710</v>
      </c>
      <c r="G171" s="39">
        <v>45509.458333333336</v>
      </c>
      <c r="H171" s="36">
        <v>45509.473611111112</v>
      </c>
      <c r="I171" s="47">
        <v>6.25E-2</v>
      </c>
      <c r="J171" s="47">
        <f t="shared" si="4"/>
        <v>1.5277777776645962E-2</v>
      </c>
      <c r="K171" s="24">
        <f t="shared" si="5"/>
        <v>-4.7222222223354038E-2</v>
      </c>
      <c r="L171" s="45"/>
      <c r="M171" s="25"/>
      <c r="N171" s="22"/>
      <c r="O171" s="26"/>
      <c r="P171" s="35"/>
    </row>
    <row r="172" spans="1:16">
      <c r="A172" s="21" t="s">
        <v>2187</v>
      </c>
      <c r="B172" s="43" t="s">
        <v>2186</v>
      </c>
      <c r="C172" s="38" t="s">
        <v>2358</v>
      </c>
      <c r="D172" s="44" t="s">
        <v>2515</v>
      </c>
      <c r="E172" s="35" t="s">
        <v>1710</v>
      </c>
      <c r="F172" s="35" t="s">
        <v>1710</v>
      </c>
      <c r="G172" s="39">
        <v>45509.458333333336</v>
      </c>
      <c r="H172" s="36">
        <v>45509.480555555558</v>
      </c>
      <c r="I172" s="47">
        <v>6.25E-2</v>
      </c>
      <c r="J172" s="47">
        <f t="shared" si="4"/>
        <v>2.2222222221898846E-2</v>
      </c>
      <c r="K172" s="24">
        <f t="shared" si="5"/>
        <v>-4.0277777778101154E-2</v>
      </c>
      <c r="L172" s="45"/>
      <c r="M172" s="25"/>
      <c r="N172" s="22"/>
      <c r="O172" s="26"/>
      <c r="P172" s="35"/>
    </row>
    <row r="173" spans="1:16">
      <c r="A173" s="21" t="s">
        <v>2187</v>
      </c>
      <c r="B173" s="43" t="s">
        <v>2186</v>
      </c>
      <c r="C173" s="38" t="s">
        <v>2359</v>
      </c>
      <c r="D173" s="44" t="s">
        <v>2515</v>
      </c>
      <c r="E173" s="35" t="s">
        <v>1710</v>
      </c>
      <c r="F173" s="35" t="s">
        <v>1710</v>
      </c>
      <c r="G173" s="39">
        <v>45509.458333333336</v>
      </c>
      <c r="H173" s="36">
        <v>45509.476388888892</v>
      </c>
      <c r="I173" s="47">
        <v>6.25E-2</v>
      </c>
      <c r="J173" s="47">
        <f t="shared" si="4"/>
        <v>1.8055555556202307E-2</v>
      </c>
      <c r="K173" s="24">
        <f t="shared" si="5"/>
        <v>-4.4444444443797693E-2</v>
      </c>
      <c r="L173" s="45"/>
      <c r="M173" s="25"/>
      <c r="N173" s="22"/>
      <c r="O173" s="26"/>
      <c r="P173" s="35"/>
    </row>
    <row r="174" spans="1:16">
      <c r="A174" s="21" t="s">
        <v>2187</v>
      </c>
      <c r="B174" s="43" t="s">
        <v>2186</v>
      </c>
      <c r="C174" s="38" t="s">
        <v>2360</v>
      </c>
      <c r="D174" s="44" t="s">
        <v>2515</v>
      </c>
      <c r="E174" s="35" t="s">
        <v>1710</v>
      </c>
      <c r="F174" s="35" t="s">
        <v>1710</v>
      </c>
      <c r="G174" s="39">
        <v>45509.458333333336</v>
      </c>
      <c r="H174" s="36">
        <v>45509.479166666664</v>
      </c>
      <c r="I174" s="47">
        <v>6.25E-2</v>
      </c>
      <c r="J174" s="47">
        <f t="shared" si="4"/>
        <v>2.0833333328482695E-2</v>
      </c>
      <c r="K174" s="24">
        <f t="shared" si="5"/>
        <v>-4.1666666671517305E-2</v>
      </c>
      <c r="L174" s="33"/>
      <c r="M174" s="19"/>
      <c r="N174" s="22"/>
      <c r="O174" s="26"/>
      <c r="P174" s="35"/>
    </row>
    <row r="175" spans="1:16">
      <c r="A175" s="21" t="s">
        <v>2187</v>
      </c>
      <c r="B175" s="43" t="s">
        <v>2186</v>
      </c>
      <c r="C175" s="38" t="s">
        <v>2361</v>
      </c>
      <c r="D175" s="44" t="s">
        <v>2515</v>
      </c>
      <c r="E175" s="35" t="s">
        <v>1710</v>
      </c>
      <c r="F175" s="35" t="s">
        <v>1710</v>
      </c>
      <c r="G175" s="39">
        <v>45509.458333333336</v>
      </c>
      <c r="H175" s="36">
        <v>45509.481944444444</v>
      </c>
      <c r="I175" s="47">
        <v>6.25E-2</v>
      </c>
      <c r="J175" s="47">
        <f t="shared" si="4"/>
        <v>2.361111110803904E-2</v>
      </c>
      <c r="K175" s="24">
        <f t="shared" si="5"/>
        <v>-3.888888889196096E-2</v>
      </c>
      <c r="L175" s="33"/>
      <c r="M175" s="25"/>
      <c r="N175" s="22"/>
      <c r="O175" s="26"/>
      <c r="P175" s="35"/>
    </row>
    <row r="176" spans="1:16">
      <c r="A176" s="21" t="s">
        <v>2187</v>
      </c>
      <c r="B176" s="43" t="s">
        <v>2186</v>
      </c>
      <c r="C176" s="38" t="s">
        <v>2362</v>
      </c>
      <c r="D176" s="44" t="s">
        <v>2515</v>
      </c>
      <c r="E176" s="35" t="s">
        <v>1710</v>
      </c>
      <c r="F176" s="35" t="s">
        <v>1710</v>
      </c>
      <c r="G176" s="39">
        <v>45509.458333333336</v>
      </c>
      <c r="H176" s="36">
        <v>45509.48333333333</v>
      </c>
      <c r="I176" s="47">
        <v>6.25E-2</v>
      </c>
      <c r="J176" s="47">
        <f t="shared" si="4"/>
        <v>2.4999999994179234E-2</v>
      </c>
      <c r="K176" s="24">
        <f t="shared" si="5"/>
        <v>-3.7500000005820766E-2</v>
      </c>
      <c r="L176" s="45"/>
      <c r="M176" s="25"/>
      <c r="N176" s="22"/>
      <c r="O176" s="26"/>
      <c r="P176" s="35"/>
    </row>
    <row r="177" spans="1:16">
      <c r="A177" s="21" t="s">
        <v>2187</v>
      </c>
      <c r="B177" s="43" t="s">
        <v>2186</v>
      </c>
      <c r="C177" s="38" t="s">
        <v>2363</v>
      </c>
      <c r="D177" s="44" t="s">
        <v>2515</v>
      </c>
      <c r="E177" s="35" t="s">
        <v>1710</v>
      </c>
      <c r="F177" s="35" t="s">
        <v>1710</v>
      </c>
      <c r="G177" s="39">
        <v>45509.541666666664</v>
      </c>
      <c r="H177" s="36">
        <v>45509.548611111109</v>
      </c>
      <c r="I177" s="47">
        <v>6.25E-2</v>
      </c>
      <c r="J177" s="47">
        <f t="shared" si="4"/>
        <v>6.9444444452528842E-3</v>
      </c>
      <c r="K177" s="24">
        <f t="shared" si="5"/>
        <v>-5.5555555554747116E-2</v>
      </c>
      <c r="L177" s="45"/>
      <c r="M177" s="25"/>
      <c r="N177" s="22"/>
      <c r="O177" s="26"/>
      <c r="P177" s="35"/>
    </row>
    <row r="178" spans="1:16">
      <c r="A178" s="21" t="s">
        <v>2187</v>
      </c>
      <c r="B178" s="43" t="s">
        <v>2186</v>
      </c>
      <c r="C178" s="38" t="s">
        <v>2364</v>
      </c>
      <c r="D178" s="44" t="s">
        <v>2515</v>
      </c>
      <c r="E178" s="35" t="s">
        <v>1710</v>
      </c>
      <c r="F178" s="35" t="s">
        <v>1710</v>
      </c>
      <c r="G178" s="39">
        <v>45509.550694444442</v>
      </c>
      <c r="H178" s="36">
        <v>45509.556250000001</v>
      </c>
      <c r="I178" s="47">
        <v>6.25E-2</v>
      </c>
      <c r="J178" s="47">
        <f t="shared" si="4"/>
        <v>5.5555555591126904E-3</v>
      </c>
      <c r="K178" s="24">
        <f t="shared" si="5"/>
        <v>-5.694444444088731E-2</v>
      </c>
      <c r="L178" s="45"/>
      <c r="M178" s="25"/>
      <c r="N178" s="22"/>
      <c r="O178" s="26"/>
      <c r="P178" s="35"/>
    </row>
    <row r="179" spans="1:16">
      <c r="A179" s="21" t="s">
        <v>2187</v>
      </c>
      <c r="B179" s="43" t="s">
        <v>2186</v>
      </c>
      <c r="C179" s="38" t="s">
        <v>2365</v>
      </c>
      <c r="D179" s="44" t="s">
        <v>2515</v>
      </c>
      <c r="E179" s="35" t="s">
        <v>1710</v>
      </c>
      <c r="F179" s="35" t="s">
        <v>1710</v>
      </c>
      <c r="G179" s="39">
        <v>45509.550694444442</v>
      </c>
      <c r="H179" s="36">
        <v>45509.561805555553</v>
      </c>
      <c r="I179" s="47">
        <v>6.25E-2</v>
      </c>
      <c r="J179" s="47">
        <f t="shared" si="4"/>
        <v>1.1111111110949423E-2</v>
      </c>
      <c r="K179" s="24">
        <f t="shared" si="5"/>
        <v>-5.1388888889050577E-2</v>
      </c>
      <c r="L179" s="45"/>
      <c r="M179" s="25"/>
      <c r="N179" s="22"/>
      <c r="O179" s="26"/>
      <c r="P179" s="35"/>
    </row>
    <row r="180" spans="1:16">
      <c r="A180" s="21" t="s">
        <v>2187</v>
      </c>
      <c r="B180" s="43" t="s">
        <v>2186</v>
      </c>
      <c r="C180" s="38" t="s">
        <v>2366</v>
      </c>
      <c r="D180" s="44" t="s">
        <v>2515</v>
      </c>
      <c r="E180" s="35" t="s">
        <v>2178</v>
      </c>
      <c r="F180" s="35" t="s">
        <v>2181</v>
      </c>
      <c r="G180" s="39">
        <v>45509.550694444442</v>
      </c>
      <c r="H180" s="36">
        <v>45509.615277777775</v>
      </c>
      <c r="I180" s="47">
        <v>6.25E-2</v>
      </c>
      <c r="J180" s="47">
        <f t="shared" si="4"/>
        <v>6.4583333332848269E-2</v>
      </c>
      <c r="K180" s="24">
        <f t="shared" si="5"/>
        <v>2.0833333328482695E-3</v>
      </c>
      <c r="L180" s="33"/>
      <c r="M180" s="25"/>
      <c r="N180" s="22"/>
      <c r="O180" s="26"/>
      <c r="P180" s="35"/>
    </row>
    <row r="181" spans="1:16">
      <c r="A181" s="21" t="s">
        <v>2187</v>
      </c>
      <c r="B181" s="43" t="s">
        <v>2186</v>
      </c>
      <c r="C181" s="38" t="s">
        <v>2367</v>
      </c>
      <c r="D181" s="44" t="s">
        <v>2515</v>
      </c>
      <c r="E181" s="35" t="s">
        <v>1710</v>
      </c>
      <c r="F181" s="35" t="s">
        <v>2516</v>
      </c>
      <c r="G181" s="39">
        <v>45509.572916666664</v>
      </c>
      <c r="H181" s="36">
        <v>45509.577777777777</v>
      </c>
      <c r="I181" s="47">
        <v>6.25E-2</v>
      </c>
      <c r="J181" s="47">
        <f t="shared" si="4"/>
        <v>4.8611111124046147E-3</v>
      </c>
      <c r="K181" s="24">
        <f t="shared" si="5"/>
        <v>-5.7638888887595385E-2</v>
      </c>
      <c r="L181" s="33"/>
      <c r="M181" s="25"/>
      <c r="N181" s="22"/>
      <c r="O181" s="26"/>
      <c r="P181" s="35"/>
    </row>
    <row r="182" spans="1:16">
      <c r="A182" s="21" t="s">
        <v>2187</v>
      </c>
      <c r="B182" s="43" t="s">
        <v>2186</v>
      </c>
      <c r="C182" s="38" t="s">
        <v>2368</v>
      </c>
      <c r="D182" s="44" t="s">
        <v>2515</v>
      </c>
      <c r="E182" s="35" t="s">
        <v>1710</v>
      </c>
      <c r="F182" s="35" t="s">
        <v>2516</v>
      </c>
      <c r="G182" s="39">
        <v>45509.572916666664</v>
      </c>
      <c r="H182" s="36">
        <v>45509.579861111109</v>
      </c>
      <c r="I182" s="47">
        <v>6.25E-2</v>
      </c>
      <c r="J182" s="47">
        <f t="shared" si="4"/>
        <v>6.9444444452528842E-3</v>
      </c>
      <c r="K182" s="24">
        <f t="shared" si="5"/>
        <v>-5.5555555554747116E-2</v>
      </c>
      <c r="L182" s="33"/>
      <c r="M182" s="25"/>
      <c r="N182" s="22"/>
      <c r="O182" s="26"/>
      <c r="P182" s="35"/>
    </row>
    <row r="183" spans="1:16">
      <c r="A183" s="21" t="s">
        <v>2187</v>
      </c>
      <c r="B183" s="43" t="s">
        <v>2186</v>
      </c>
      <c r="C183" s="38" t="s">
        <v>2369</v>
      </c>
      <c r="D183" s="44" t="s">
        <v>2515</v>
      </c>
      <c r="E183" s="35" t="s">
        <v>1710</v>
      </c>
      <c r="F183" s="35" t="s">
        <v>1710</v>
      </c>
      <c r="G183" s="39">
        <v>45510.375</v>
      </c>
      <c r="H183" s="36">
        <v>45510.357638888891</v>
      </c>
      <c r="I183" s="47">
        <v>6.25E-2</v>
      </c>
      <c r="J183" s="47">
        <f t="shared" si="4"/>
        <v>-1.7361111109494232E-2</v>
      </c>
      <c r="K183" s="24">
        <f t="shared" si="5"/>
        <v>-7.9861111109494232E-2</v>
      </c>
      <c r="L183" s="33"/>
      <c r="M183" s="25"/>
      <c r="N183" s="22"/>
      <c r="O183" s="26"/>
      <c r="P183" s="35"/>
    </row>
    <row r="184" spans="1:16">
      <c r="A184" s="21" t="s">
        <v>2187</v>
      </c>
      <c r="B184" s="43" t="s">
        <v>2186</v>
      </c>
      <c r="C184" s="38" t="s">
        <v>2370</v>
      </c>
      <c r="D184" s="44" t="s">
        <v>2515</v>
      </c>
      <c r="E184" s="35" t="s">
        <v>2177</v>
      </c>
      <c r="F184" s="35" t="s">
        <v>1710</v>
      </c>
      <c r="G184" s="39">
        <v>45510.375</v>
      </c>
      <c r="H184" s="36">
        <v>45510.379861111112</v>
      </c>
      <c r="I184" s="47">
        <v>6.25E-2</v>
      </c>
      <c r="J184" s="47">
        <f t="shared" si="4"/>
        <v>4.8611111124046147E-3</v>
      </c>
      <c r="K184" s="24">
        <f t="shared" si="5"/>
        <v>-5.7638888887595385E-2</v>
      </c>
      <c r="L184" s="33"/>
      <c r="M184" s="25"/>
      <c r="N184" s="22"/>
      <c r="O184" s="26"/>
      <c r="P184" s="35"/>
    </row>
    <row r="185" spans="1:16">
      <c r="A185" s="21" t="s">
        <v>2187</v>
      </c>
      <c r="B185" s="43" t="s">
        <v>2186</v>
      </c>
      <c r="C185" s="38" t="s">
        <v>2371</v>
      </c>
      <c r="D185" s="44" t="s">
        <v>2515</v>
      </c>
      <c r="E185" s="35" t="s">
        <v>1710</v>
      </c>
      <c r="F185" s="35" t="s">
        <v>1710</v>
      </c>
      <c r="G185" s="39">
        <v>45510.375</v>
      </c>
      <c r="H185" s="36">
        <v>45510.370833333334</v>
      </c>
      <c r="I185" s="47">
        <v>6.25E-2</v>
      </c>
      <c r="J185" s="47">
        <f t="shared" si="4"/>
        <v>-4.166666665696539E-3</v>
      </c>
      <c r="K185" s="24">
        <f t="shared" si="5"/>
        <v>-6.6666666665696539E-2</v>
      </c>
      <c r="L185" s="33"/>
      <c r="M185" s="25"/>
      <c r="N185" s="22"/>
      <c r="O185" s="26"/>
      <c r="P185" s="35"/>
    </row>
    <row r="186" spans="1:16">
      <c r="A186" s="21" t="s">
        <v>2187</v>
      </c>
      <c r="B186" s="43" t="s">
        <v>2186</v>
      </c>
      <c r="C186" s="38" t="s">
        <v>2372</v>
      </c>
      <c r="D186" s="44" t="s">
        <v>2515</v>
      </c>
      <c r="E186" s="35" t="s">
        <v>1710</v>
      </c>
      <c r="F186" s="35" t="s">
        <v>1710</v>
      </c>
      <c r="G186" s="39">
        <v>45510.375</v>
      </c>
      <c r="H186" s="36">
        <v>45510.380555555559</v>
      </c>
      <c r="I186" s="47">
        <v>6.25E-2</v>
      </c>
      <c r="J186" s="47">
        <f t="shared" si="4"/>
        <v>5.5555555591126904E-3</v>
      </c>
      <c r="K186" s="24">
        <f t="shared" si="5"/>
        <v>-5.694444444088731E-2</v>
      </c>
      <c r="L186" s="33"/>
      <c r="M186" s="25"/>
      <c r="N186" s="22"/>
      <c r="O186" s="26"/>
      <c r="P186" s="35"/>
    </row>
    <row r="187" spans="1:16">
      <c r="A187" s="21" t="s">
        <v>2187</v>
      </c>
      <c r="B187" s="43" t="s">
        <v>2186</v>
      </c>
      <c r="C187" s="38" t="s">
        <v>2373</v>
      </c>
      <c r="D187" s="44" t="s">
        <v>2515</v>
      </c>
      <c r="E187" s="35" t="s">
        <v>1710</v>
      </c>
      <c r="F187" s="35" t="s">
        <v>1710</v>
      </c>
      <c r="G187" s="39">
        <v>45510.375</v>
      </c>
      <c r="H187" s="36">
        <v>45510.385416666664</v>
      </c>
      <c r="I187" s="47">
        <v>6.25E-2</v>
      </c>
      <c r="J187" s="47">
        <f t="shared" si="4"/>
        <v>1.0416666664241347E-2</v>
      </c>
      <c r="K187" s="24">
        <f t="shared" si="5"/>
        <v>-5.2083333335758653E-2</v>
      </c>
      <c r="L187" s="33"/>
      <c r="M187" s="25"/>
      <c r="N187" s="22"/>
      <c r="O187" s="26"/>
      <c r="P187" s="35"/>
    </row>
    <row r="188" spans="1:16">
      <c r="A188" s="21" t="s">
        <v>2187</v>
      </c>
      <c r="B188" s="43" t="s">
        <v>2186</v>
      </c>
      <c r="C188" s="38" t="s">
        <v>2374</v>
      </c>
      <c r="D188" s="44" t="s">
        <v>2515</v>
      </c>
      <c r="E188" s="35" t="s">
        <v>1710</v>
      </c>
      <c r="F188" s="35" t="s">
        <v>1710</v>
      </c>
      <c r="G188" s="39">
        <v>45510.375</v>
      </c>
      <c r="H188" s="36">
        <v>45510.388194444444</v>
      </c>
      <c r="I188" s="47">
        <v>6.25E-2</v>
      </c>
      <c r="J188" s="47">
        <f t="shared" si="4"/>
        <v>1.3194444443797693E-2</v>
      </c>
      <c r="K188" s="24">
        <f t="shared" si="5"/>
        <v>-4.9305555556202307E-2</v>
      </c>
      <c r="L188" s="45"/>
      <c r="M188" s="25"/>
      <c r="N188" s="22"/>
      <c r="O188" s="26"/>
      <c r="P188" s="35"/>
    </row>
    <row r="189" spans="1:16">
      <c r="A189" s="21" t="s">
        <v>2187</v>
      </c>
      <c r="B189" s="43" t="s">
        <v>2186</v>
      </c>
      <c r="C189" s="38" t="s">
        <v>2375</v>
      </c>
      <c r="D189" s="44" t="s">
        <v>2515</v>
      </c>
      <c r="E189" s="35" t="s">
        <v>1710</v>
      </c>
      <c r="F189" s="35" t="s">
        <v>1710</v>
      </c>
      <c r="G189" s="39">
        <v>45510.375</v>
      </c>
      <c r="H189" s="36">
        <v>45510.390277777777</v>
      </c>
      <c r="I189" s="47">
        <v>6.25E-2</v>
      </c>
      <c r="J189" s="47">
        <f t="shared" si="4"/>
        <v>1.5277777776645962E-2</v>
      </c>
      <c r="K189" s="24">
        <f t="shared" si="5"/>
        <v>-4.7222222223354038E-2</v>
      </c>
      <c r="L189" s="45"/>
      <c r="M189" s="25"/>
      <c r="N189" s="22"/>
      <c r="O189" s="26"/>
      <c r="P189" s="35"/>
    </row>
    <row r="190" spans="1:16">
      <c r="A190" s="21" t="s">
        <v>2187</v>
      </c>
      <c r="B190" s="43" t="s">
        <v>2186</v>
      </c>
      <c r="C190" s="38" t="s">
        <v>2376</v>
      </c>
      <c r="D190" s="44" t="s">
        <v>2515</v>
      </c>
      <c r="E190" s="35" t="s">
        <v>1710</v>
      </c>
      <c r="F190" s="35" t="s">
        <v>1710</v>
      </c>
      <c r="G190" s="39">
        <v>45510.375</v>
      </c>
      <c r="H190" s="36">
        <v>45510.39166666667</v>
      </c>
      <c r="I190" s="47">
        <v>6.25E-2</v>
      </c>
      <c r="J190" s="47">
        <f t="shared" si="4"/>
        <v>1.6666666670062114E-2</v>
      </c>
      <c r="K190" s="24">
        <f t="shared" si="5"/>
        <v>-4.5833333329937886E-2</v>
      </c>
      <c r="L190" s="45"/>
      <c r="M190" s="25"/>
      <c r="N190" s="22"/>
      <c r="O190" s="26"/>
      <c r="P190" s="35"/>
    </row>
    <row r="191" spans="1:16">
      <c r="A191" s="21" t="s">
        <v>2187</v>
      </c>
      <c r="B191" s="43" t="s">
        <v>2186</v>
      </c>
      <c r="C191" s="38" t="s">
        <v>2377</v>
      </c>
      <c r="D191" s="44" t="s">
        <v>2515</v>
      </c>
      <c r="E191" s="35" t="s">
        <v>1710</v>
      </c>
      <c r="F191" s="35" t="s">
        <v>1710</v>
      </c>
      <c r="G191" s="39">
        <v>45510.375</v>
      </c>
      <c r="H191" s="36">
        <v>45510.393750000003</v>
      </c>
      <c r="I191" s="47">
        <v>6.25E-2</v>
      </c>
      <c r="J191" s="47">
        <f t="shared" si="4"/>
        <v>1.8750000002910383E-2</v>
      </c>
      <c r="K191" s="24">
        <f t="shared" si="5"/>
        <v>-4.3749999997089617E-2</v>
      </c>
      <c r="L191" s="45"/>
      <c r="M191" s="25"/>
      <c r="N191" s="22"/>
      <c r="O191" s="26"/>
      <c r="P191" s="35"/>
    </row>
    <row r="192" spans="1:16">
      <c r="A192" s="21" t="s">
        <v>2187</v>
      </c>
      <c r="B192" s="43" t="s">
        <v>2186</v>
      </c>
      <c r="C192" s="38" t="s">
        <v>2378</v>
      </c>
      <c r="D192" s="44" t="s">
        <v>2515</v>
      </c>
      <c r="E192" s="35" t="s">
        <v>1710</v>
      </c>
      <c r="F192" s="35" t="s">
        <v>1710</v>
      </c>
      <c r="G192" s="39">
        <v>45510.419444444444</v>
      </c>
      <c r="H192" s="36">
        <v>45510.424305555556</v>
      </c>
      <c r="I192" s="47">
        <v>6.25E-2</v>
      </c>
      <c r="J192" s="47">
        <f t="shared" si="4"/>
        <v>4.8611111124046147E-3</v>
      </c>
      <c r="K192" s="24">
        <f t="shared" si="5"/>
        <v>-5.7638888887595385E-2</v>
      </c>
      <c r="L192" s="45"/>
      <c r="M192" s="25"/>
      <c r="N192" s="22"/>
      <c r="O192" s="26"/>
      <c r="P192" s="35"/>
    </row>
    <row r="193" spans="1:16">
      <c r="A193" s="21" t="s">
        <v>2187</v>
      </c>
      <c r="B193" s="43" t="s">
        <v>2186</v>
      </c>
      <c r="C193" s="38" t="s">
        <v>2379</v>
      </c>
      <c r="D193" s="44" t="s">
        <v>2515</v>
      </c>
      <c r="E193" s="35" t="s">
        <v>1710</v>
      </c>
      <c r="F193" s="35" t="s">
        <v>1710</v>
      </c>
      <c r="G193" s="39">
        <v>45510.458333333336</v>
      </c>
      <c r="H193" s="36">
        <v>45510.464583333334</v>
      </c>
      <c r="I193" s="47">
        <v>6.25E-2</v>
      </c>
      <c r="J193" s="47">
        <f t="shared" si="4"/>
        <v>6.2499999985448085E-3</v>
      </c>
      <c r="K193" s="24">
        <f t="shared" si="5"/>
        <v>-5.6250000001455192E-2</v>
      </c>
      <c r="L193" s="45"/>
      <c r="M193" s="25"/>
      <c r="N193" s="22"/>
      <c r="O193" s="26"/>
      <c r="P193" s="35"/>
    </row>
    <row r="194" spans="1:16">
      <c r="A194" s="21" t="s">
        <v>2187</v>
      </c>
      <c r="B194" s="43" t="s">
        <v>2186</v>
      </c>
      <c r="C194" s="38" t="s">
        <v>2380</v>
      </c>
      <c r="D194" s="44" t="s">
        <v>2515</v>
      </c>
      <c r="E194" s="35" t="s">
        <v>1710</v>
      </c>
      <c r="F194" s="35" t="s">
        <v>1710</v>
      </c>
      <c r="G194" s="39">
        <v>45510.458333333336</v>
      </c>
      <c r="H194" s="36">
        <v>45510.466666666667</v>
      </c>
      <c r="I194" s="47">
        <v>6.25E-2</v>
      </c>
      <c r="J194" s="47">
        <f t="shared" ref="J194:J257" si="6">H194-G194</f>
        <v>8.333333331393078E-3</v>
      </c>
      <c r="K194" s="24">
        <f t="shared" ref="K194:K257" si="7">J194-I194</f>
        <v>-5.4166666668606922E-2</v>
      </c>
      <c r="L194" s="45"/>
      <c r="M194" s="25"/>
      <c r="N194" s="22"/>
      <c r="O194" s="26"/>
      <c r="P194" s="35"/>
    </row>
    <row r="195" spans="1:16">
      <c r="A195" s="21" t="s">
        <v>2187</v>
      </c>
      <c r="B195" s="43" t="s">
        <v>2186</v>
      </c>
      <c r="C195" s="38" t="s">
        <v>2381</v>
      </c>
      <c r="D195" s="44" t="s">
        <v>2515</v>
      </c>
      <c r="E195" s="35" t="s">
        <v>1710</v>
      </c>
      <c r="F195" s="35" t="s">
        <v>1710</v>
      </c>
      <c r="G195" s="39">
        <v>45510.458333333336</v>
      </c>
      <c r="H195" s="36">
        <v>45510.469444444447</v>
      </c>
      <c r="I195" s="47">
        <v>6.25E-2</v>
      </c>
      <c r="J195" s="47">
        <f t="shared" si="6"/>
        <v>1.1111111110949423E-2</v>
      </c>
      <c r="K195" s="24">
        <f t="shared" si="7"/>
        <v>-5.1388888889050577E-2</v>
      </c>
      <c r="L195" s="45"/>
      <c r="M195" s="25"/>
      <c r="N195" s="22"/>
      <c r="O195" s="26"/>
      <c r="P195" s="35"/>
    </row>
    <row r="196" spans="1:16">
      <c r="A196" s="21" t="s">
        <v>2187</v>
      </c>
      <c r="B196" s="43" t="s">
        <v>2186</v>
      </c>
      <c r="C196" s="38" t="s">
        <v>2382</v>
      </c>
      <c r="D196" s="44" t="s">
        <v>2515</v>
      </c>
      <c r="E196" s="35" t="s">
        <v>1710</v>
      </c>
      <c r="F196" s="35" t="s">
        <v>1710</v>
      </c>
      <c r="G196" s="39">
        <v>45510.458333333336</v>
      </c>
      <c r="H196" s="36">
        <v>45510.47152777778</v>
      </c>
      <c r="I196" s="47">
        <v>6.25E-2</v>
      </c>
      <c r="J196" s="47">
        <f t="shared" si="6"/>
        <v>1.3194444443797693E-2</v>
      </c>
      <c r="K196" s="24">
        <f t="shared" si="7"/>
        <v>-4.9305555556202307E-2</v>
      </c>
      <c r="L196" s="45"/>
      <c r="M196" s="25"/>
      <c r="N196" s="22"/>
      <c r="O196" s="26"/>
      <c r="P196" s="35"/>
    </row>
    <row r="197" spans="1:16">
      <c r="A197" s="21" t="s">
        <v>2187</v>
      </c>
      <c r="B197" s="43" t="s">
        <v>2186</v>
      </c>
      <c r="C197" s="38" t="s">
        <v>2383</v>
      </c>
      <c r="D197" s="44" t="s">
        <v>2515</v>
      </c>
      <c r="E197" s="35" t="s">
        <v>1710</v>
      </c>
      <c r="F197" s="35" t="s">
        <v>1710</v>
      </c>
      <c r="G197" s="39">
        <v>45510.458333333336</v>
      </c>
      <c r="H197" s="36">
        <v>45510.472916666666</v>
      </c>
      <c r="I197" s="47">
        <v>6.25E-2</v>
      </c>
      <c r="J197" s="47">
        <f t="shared" si="6"/>
        <v>1.4583333329937886E-2</v>
      </c>
      <c r="K197" s="24">
        <f t="shared" si="7"/>
        <v>-4.7916666670062114E-2</v>
      </c>
      <c r="L197" s="45"/>
      <c r="M197" s="25"/>
      <c r="N197" s="22"/>
      <c r="O197" s="26"/>
      <c r="P197" s="35"/>
    </row>
    <row r="198" spans="1:16">
      <c r="A198" s="21" t="s">
        <v>2187</v>
      </c>
      <c r="B198" s="43" t="s">
        <v>2186</v>
      </c>
      <c r="C198" s="38" t="s">
        <v>2384</v>
      </c>
      <c r="D198" s="44" t="s">
        <v>2515</v>
      </c>
      <c r="E198" s="35" t="s">
        <v>1710</v>
      </c>
      <c r="F198" s="35" t="s">
        <v>1710</v>
      </c>
      <c r="G198" s="39">
        <v>45510.458333333336</v>
      </c>
      <c r="H198" s="36">
        <v>45510.474305555559</v>
      </c>
      <c r="I198" s="47">
        <v>6.25E-2</v>
      </c>
      <c r="J198" s="47">
        <f t="shared" si="6"/>
        <v>1.5972222223354038E-2</v>
      </c>
      <c r="K198" s="24">
        <f t="shared" si="7"/>
        <v>-4.6527777776645962E-2</v>
      </c>
      <c r="L198" s="45"/>
      <c r="M198" s="25"/>
      <c r="N198" s="22"/>
      <c r="O198" s="26"/>
      <c r="P198" s="35"/>
    </row>
    <row r="199" spans="1:16">
      <c r="A199" s="21" t="s">
        <v>2187</v>
      </c>
      <c r="B199" s="43" t="s">
        <v>2186</v>
      </c>
      <c r="C199" s="38" t="s">
        <v>2385</v>
      </c>
      <c r="D199" s="44" t="s">
        <v>2515</v>
      </c>
      <c r="E199" s="35" t="s">
        <v>1710</v>
      </c>
      <c r="F199" s="35" t="s">
        <v>1710</v>
      </c>
      <c r="G199" s="39">
        <v>45510.458333333336</v>
      </c>
      <c r="H199" s="36">
        <v>45510.475694444445</v>
      </c>
      <c r="I199" s="47">
        <v>6.25E-2</v>
      </c>
      <c r="J199" s="47">
        <f t="shared" si="6"/>
        <v>1.7361111109494232E-2</v>
      </c>
      <c r="K199" s="24">
        <f t="shared" si="7"/>
        <v>-4.5138888890505768E-2</v>
      </c>
      <c r="L199" s="45"/>
      <c r="M199" s="25"/>
      <c r="N199" s="22"/>
      <c r="O199" s="26"/>
      <c r="P199" s="35"/>
    </row>
    <row r="200" spans="1:16">
      <c r="A200" s="21" t="s">
        <v>2187</v>
      </c>
      <c r="B200" s="43" t="s">
        <v>2186</v>
      </c>
      <c r="C200" s="38" t="s">
        <v>2386</v>
      </c>
      <c r="D200" s="44" t="s">
        <v>2515</v>
      </c>
      <c r="E200" s="35" t="s">
        <v>1710</v>
      </c>
      <c r="F200" s="35" t="s">
        <v>2516</v>
      </c>
      <c r="G200" s="39">
        <v>45510.493055555555</v>
      </c>
      <c r="H200" s="36">
        <v>45510.502083333333</v>
      </c>
      <c r="I200" s="47">
        <v>6.25E-2</v>
      </c>
      <c r="J200" s="47">
        <f t="shared" si="6"/>
        <v>9.0277777781011537E-3</v>
      </c>
      <c r="K200" s="24">
        <f t="shared" si="7"/>
        <v>-5.3472222221898846E-2</v>
      </c>
      <c r="L200" s="33"/>
      <c r="M200" s="25"/>
      <c r="N200" s="22"/>
      <c r="O200" s="26"/>
      <c r="P200" s="35"/>
    </row>
    <row r="201" spans="1:16">
      <c r="A201" s="21" t="s">
        <v>2187</v>
      </c>
      <c r="B201" s="43" t="s">
        <v>2186</v>
      </c>
      <c r="C201" s="38" t="s">
        <v>2387</v>
      </c>
      <c r="D201" s="44" t="s">
        <v>2515</v>
      </c>
      <c r="E201" s="35" t="s">
        <v>1710</v>
      </c>
      <c r="F201" s="35" t="s">
        <v>2182</v>
      </c>
      <c r="G201" s="39">
        <v>45510.549305555556</v>
      </c>
      <c r="H201" s="36">
        <v>45510.557638888888</v>
      </c>
      <c r="I201" s="47">
        <v>6.25E-2</v>
      </c>
      <c r="J201" s="47">
        <f t="shared" si="6"/>
        <v>8.333333331393078E-3</v>
      </c>
      <c r="K201" s="24">
        <f t="shared" si="7"/>
        <v>-5.4166666668606922E-2</v>
      </c>
      <c r="L201" s="33"/>
      <c r="M201" s="25"/>
      <c r="N201" s="22"/>
      <c r="O201" s="26"/>
      <c r="P201" s="35"/>
    </row>
    <row r="202" spans="1:16">
      <c r="A202" s="21" t="s">
        <v>2187</v>
      </c>
      <c r="B202" s="43" t="s">
        <v>2186</v>
      </c>
      <c r="C202" s="38" t="s">
        <v>2388</v>
      </c>
      <c r="D202" s="44" t="s">
        <v>2515</v>
      </c>
      <c r="E202" s="35" t="s">
        <v>1710</v>
      </c>
      <c r="F202" s="35" t="s">
        <v>2182</v>
      </c>
      <c r="G202" s="39">
        <v>45510.549305555556</v>
      </c>
      <c r="H202" s="36">
        <v>45510.559027777781</v>
      </c>
      <c r="I202" s="47">
        <v>6.25E-2</v>
      </c>
      <c r="J202" s="47">
        <f t="shared" si="6"/>
        <v>9.7222222248092294E-3</v>
      </c>
      <c r="K202" s="24">
        <f t="shared" si="7"/>
        <v>-5.2777777775190771E-2</v>
      </c>
      <c r="L202" s="45"/>
      <c r="M202" s="25"/>
      <c r="N202" s="22"/>
      <c r="O202" s="26"/>
      <c r="P202" s="35"/>
    </row>
    <row r="203" spans="1:16">
      <c r="A203" s="21" t="s">
        <v>2187</v>
      </c>
      <c r="B203" s="43" t="s">
        <v>2186</v>
      </c>
      <c r="C203" s="38" t="s">
        <v>2389</v>
      </c>
      <c r="D203" s="44" t="s">
        <v>2515</v>
      </c>
      <c r="E203" s="35" t="s">
        <v>1710</v>
      </c>
      <c r="F203" s="35" t="s">
        <v>2182</v>
      </c>
      <c r="G203" s="39">
        <v>45510.560416666667</v>
      </c>
      <c r="H203" s="36">
        <v>45510.568055555559</v>
      </c>
      <c r="I203" s="47">
        <v>6.25E-2</v>
      </c>
      <c r="J203" s="47">
        <f t="shared" si="6"/>
        <v>7.6388888919609599E-3</v>
      </c>
      <c r="K203" s="24">
        <f t="shared" si="7"/>
        <v>-5.486111110803904E-2</v>
      </c>
      <c r="L203" s="33"/>
      <c r="M203" s="25"/>
      <c r="N203" s="22"/>
      <c r="O203" s="26"/>
      <c r="P203" s="35"/>
    </row>
    <row r="204" spans="1:16">
      <c r="A204" s="21" t="s">
        <v>2187</v>
      </c>
      <c r="B204" s="43" t="s">
        <v>2186</v>
      </c>
      <c r="C204" s="38" t="s">
        <v>2390</v>
      </c>
      <c r="D204" s="44" t="s">
        <v>2515</v>
      </c>
      <c r="E204" s="35" t="s">
        <v>1710</v>
      </c>
      <c r="F204" s="35" t="s">
        <v>2182</v>
      </c>
      <c r="G204" s="39">
        <v>45510.583333333336</v>
      </c>
      <c r="H204" s="36">
        <v>45510.587500000001</v>
      </c>
      <c r="I204" s="47">
        <v>6.25E-2</v>
      </c>
      <c r="J204" s="47">
        <f t="shared" si="6"/>
        <v>4.166666665696539E-3</v>
      </c>
      <c r="K204" s="24">
        <f t="shared" si="7"/>
        <v>-5.8333333334303461E-2</v>
      </c>
      <c r="L204" s="33"/>
      <c r="M204" s="25"/>
      <c r="N204" s="22"/>
      <c r="O204" s="26"/>
      <c r="P204" s="35"/>
    </row>
    <row r="205" spans="1:16">
      <c r="A205" s="21" t="s">
        <v>2187</v>
      </c>
      <c r="B205" s="43" t="s">
        <v>2186</v>
      </c>
      <c r="C205" s="38" t="s">
        <v>2391</v>
      </c>
      <c r="D205" s="44" t="s">
        <v>2515</v>
      </c>
      <c r="E205" s="35" t="s">
        <v>2177</v>
      </c>
      <c r="F205" s="35" t="s">
        <v>1710</v>
      </c>
      <c r="G205" s="39">
        <v>45510.583333333336</v>
      </c>
      <c r="H205" s="36">
        <v>45510.650694444441</v>
      </c>
      <c r="I205" s="47">
        <v>6.25E-2</v>
      </c>
      <c r="J205" s="47">
        <f t="shared" si="6"/>
        <v>6.7361111105128657E-2</v>
      </c>
      <c r="K205" s="24">
        <f t="shared" si="7"/>
        <v>4.8611111051286571E-3</v>
      </c>
      <c r="L205" s="45"/>
      <c r="M205" s="25"/>
      <c r="N205" s="22"/>
      <c r="O205" s="26"/>
      <c r="P205" s="35"/>
    </row>
    <row r="206" spans="1:16">
      <c r="A206" s="21" t="s">
        <v>2187</v>
      </c>
      <c r="B206" s="43" t="s">
        <v>2186</v>
      </c>
      <c r="C206" s="38" t="s">
        <v>2392</v>
      </c>
      <c r="D206" s="44" t="s">
        <v>2515</v>
      </c>
      <c r="E206" s="35" t="s">
        <v>1710</v>
      </c>
      <c r="F206" s="35" t="s">
        <v>2182</v>
      </c>
      <c r="G206" s="39">
        <v>45510.652777777781</v>
      </c>
      <c r="H206" s="36">
        <v>45510.656944444447</v>
      </c>
      <c r="I206" s="47">
        <v>6.25E-2</v>
      </c>
      <c r="J206" s="47">
        <f t="shared" si="6"/>
        <v>4.166666665696539E-3</v>
      </c>
      <c r="K206" s="24">
        <f t="shared" si="7"/>
        <v>-5.8333333334303461E-2</v>
      </c>
      <c r="L206" s="45"/>
      <c r="M206" s="25"/>
      <c r="N206" s="22"/>
      <c r="O206" s="26"/>
      <c r="P206" s="35"/>
    </row>
    <row r="207" spans="1:16">
      <c r="A207" s="21" t="s">
        <v>2187</v>
      </c>
      <c r="B207" s="43" t="s">
        <v>2186</v>
      </c>
      <c r="C207" s="38" t="s">
        <v>2393</v>
      </c>
      <c r="D207" s="44" t="s">
        <v>2515</v>
      </c>
      <c r="E207" s="35" t="s">
        <v>1710</v>
      </c>
      <c r="F207" s="35" t="s">
        <v>1710</v>
      </c>
      <c r="G207" s="39">
        <v>45511.375</v>
      </c>
      <c r="H207" s="36">
        <v>45511.393750000003</v>
      </c>
      <c r="I207" s="47">
        <v>6.25E-2</v>
      </c>
      <c r="J207" s="47">
        <f t="shared" si="6"/>
        <v>1.8750000002910383E-2</v>
      </c>
      <c r="K207" s="24">
        <f t="shared" si="7"/>
        <v>-4.3749999997089617E-2</v>
      </c>
      <c r="L207" s="33"/>
      <c r="M207" s="25"/>
      <c r="N207" s="22"/>
      <c r="O207" s="26"/>
      <c r="P207" s="35"/>
    </row>
    <row r="208" spans="1:16">
      <c r="A208" s="21" t="s">
        <v>2187</v>
      </c>
      <c r="B208" s="43" t="s">
        <v>2186</v>
      </c>
      <c r="C208" s="38" t="s">
        <v>2394</v>
      </c>
      <c r="D208" s="44" t="s">
        <v>2515</v>
      </c>
      <c r="E208" s="35" t="s">
        <v>1710</v>
      </c>
      <c r="F208" s="35" t="s">
        <v>1710</v>
      </c>
      <c r="G208" s="39">
        <v>45511.400694444441</v>
      </c>
      <c r="H208" s="36">
        <v>45511.40347222222</v>
      </c>
      <c r="I208" s="47">
        <v>6.25E-2</v>
      </c>
      <c r="J208" s="47">
        <f t="shared" si="6"/>
        <v>2.7777777795563452E-3</v>
      </c>
      <c r="K208" s="24">
        <f t="shared" si="7"/>
        <v>-5.9722222220443655E-2</v>
      </c>
      <c r="L208" s="45"/>
      <c r="M208" s="25"/>
      <c r="N208" s="22"/>
      <c r="O208" s="26"/>
      <c r="P208" s="35"/>
    </row>
    <row r="209" spans="1:16">
      <c r="A209" s="21" t="s">
        <v>2187</v>
      </c>
      <c r="B209" s="43" t="s">
        <v>2186</v>
      </c>
      <c r="C209" s="38" t="s">
        <v>2395</v>
      </c>
      <c r="D209" s="44" t="s">
        <v>2515</v>
      </c>
      <c r="E209" s="35" t="s">
        <v>1710</v>
      </c>
      <c r="F209" s="35" t="s">
        <v>1710</v>
      </c>
      <c r="G209" s="39">
        <v>45511.400694444441</v>
      </c>
      <c r="H209" s="36">
        <v>45511.404861111114</v>
      </c>
      <c r="I209" s="47">
        <v>6.25E-2</v>
      </c>
      <c r="J209" s="47">
        <f t="shared" si="6"/>
        <v>4.1666666729724966E-3</v>
      </c>
      <c r="K209" s="24">
        <f t="shared" si="7"/>
        <v>-5.8333333327027503E-2</v>
      </c>
      <c r="L209" s="45"/>
      <c r="M209" s="25"/>
      <c r="N209" s="22"/>
      <c r="O209" s="26"/>
      <c r="P209" s="35"/>
    </row>
    <row r="210" spans="1:16">
      <c r="A210" s="21" t="s">
        <v>2187</v>
      </c>
      <c r="B210" s="43" t="s">
        <v>2186</v>
      </c>
      <c r="C210" s="38" t="s">
        <v>2396</v>
      </c>
      <c r="D210" s="44" t="s">
        <v>2515</v>
      </c>
      <c r="E210" s="35" t="s">
        <v>1710</v>
      </c>
      <c r="F210" s="35" t="s">
        <v>1710</v>
      </c>
      <c r="G210" s="39">
        <v>45511.400694444441</v>
      </c>
      <c r="H210" s="36">
        <v>45511.40625</v>
      </c>
      <c r="I210" s="47">
        <v>6.25E-2</v>
      </c>
      <c r="J210" s="47">
        <f t="shared" si="6"/>
        <v>5.5555555591126904E-3</v>
      </c>
      <c r="K210" s="24">
        <f t="shared" si="7"/>
        <v>-5.694444444088731E-2</v>
      </c>
      <c r="L210" s="33"/>
      <c r="M210" s="25"/>
      <c r="N210" s="22"/>
      <c r="O210" s="26"/>
      <c r="P210" s="35"/>
    </row>
    <row r="211" spans="1:16">
      <c r="A211" s="21" t="s">
        <v>2187</v>
      </c>
      <c r="B211" s="43" t="s">
        <v>2186</v>
      </c>
      <c r="C211" s="38" t="s">
        <v>2397</v>
      </c>
      <c r="D211" s="44" t="s">
        <v>2515</v>
      </c>
      <c r="E211" s="35" t="s">
        <v>1710</v>
      </c>
      <c r="F211" s="35" t="s">
        <v>1710</v>
      </c>
      <c r="G211" s="39">
        <v>45511.400694444441</v>
      </c>
      <c r="H211" s="36">
        <v>45511.407638888886</v>
      </c>
      <c r="I211" s="47">
        <v>6.25E-2</v>
      </c>
      <c r="J211" s="47">
        <f t="shared" si="6"/>
        <v>6.9444444452528842E-3</v>
      </c>
      <c r="K211" s="24">
        <f t="shared" si="7"/>
        <v>-5.5555555554747116E-2</v>
      </c>
      <c r="L211" s="33"/>
      <c r="M211" s="25"/>
      <c r="N211" s="22"/>
      <c r="O211" s="26"/>
      <c r="P211" s="35"/>
    </row>
    <row r="212" spans="1:16">
      <c r="A212" s="21" t="s">
        <v>2187</v>
      </c>
      <c r="B212" s="43" t="s">
        <v>2186</v>
      </c>
      <c r="C212" s="38" t="s">
        <v>2398</v>
      </c>
      <c r="D212" s="44" t="s">
        <v>2515</v>
      </c>
      <c r="E212" s="35" t="s">
        <v>1710</v>
      </c>
      <c r="F212" s="35" t="s">
        <v>1710</v>
      </c>
      <c r="G212" s="39">
        <v>45511.400694444441</v>
      </c>
      <c r="H212" s="36">
        <v>45511.408333333333</v>
      </c>
      <c r="I212" s="47">
        <v>6.25E-2</v>
      </c>
      <c r="J212" s="47">
        <f t="shared" si="6"/>
        <v>7.6388888919609599E-3</v>
      </c>
      <c r="K212" s="24">
        <f t="shared" si="7"/>
        <v>-5.486111110803904E-2</v>
      </c>
      <c r="L212" s="33"/>
      <c r="M212" s="19"/>
      <c r="N212" s="22"/>
      <c r="O212" s="26"/>
      <c r="P212" s="35"/>
    </row>
    <row r="213" spans="1:16">
      <c r="A213" s="21" t="s">
        <v>2187</v>
      </c>
      <c r="B213" s="43" t="s">
        <v>2186</v>
      </c>
      <c r="C213" s="38" t="s">
        <v>2399</v>
      </c>
      <c r="D213" s="44" t="s">
        <v>2515</v>
      </c>
      <c r="E213" s="35" t="s">
        <v>1710</v>
      </c>
      <c r="F213" s="35" t="s">
        <v>1710</v>
      </c>
      <c r="G213" s="39">
        <v>45511.400694444441</v>
      </c>
      <c r="H213" s="36">
        <v>45511.409722222219</v>
      </c>
      <c r="I213" s="47">
        <v>6.25E-2</v>
      </c>
      <c r="J213" s="47">
        <f t="shared" si="6"/>
        <v>9.0277777781011537E-3</v>
      </c>
      <c r="K213" s="24">
        <f t="shared" si="7"/>
        <v>-5.3472222221898846E-2</v>
      </c>
      <c r="L213" s="33"/>
      <c r="M213" s="19"/>
      <c r="N213" s="22"/>
      <c r="O213" s="26"/>
      <c r="P213" s="35"/>
    </row>
    <row r="214" spans="1:16">
      <c r="A214" s="21" t="s">
        <v>2187</v>
      </c>
      <c r="B214" s="43" t="s">
        <v>2186</v>
      </c>
      <c r="C214" s="38" t="s">
        <v>2400</v>
      </c>
      <c r="D214" s="44" t="s">
        <v>2515</v>
      </c>
      <c r="E214" s="35" t="s">
        <v>1710</v>
      </c>
      <c r="F214" s="35" t="s">
        <v>1710</v>
      </c>
      <c r="G214" s="39">
        <v>45511.400694444441</v>
      </c>
      <c r="H214" s="36">
        <v>45511.411111111112</v>
      </c>
      <c r="I214" s="47">
        <v>6.25E-2</v>
      </c>
      <c r="J214" s="47">
        <f t="shared" si="6"/>
        <v>1.0416666671517305E-2</v>
      </c>
      <c r="K214" s="24">
        <f t="shared" si="7"/>
        <v>-5.2083333328482695E-2</v>
      </c>
      <c r="L214" s="33"/>
      <c r="M214" s="19"/>
      <c r="N214" s="22"/>
      <c r="O214" s="26"/>
      <c r="P214" s="35"/>
    </row>
    <row r="215" spans="1:16">
      <c r="A215" s="21" t="s">
        <v>2187</v>
      </c>
      <c r="B215" s="43" t="s">
        <v>2186</v>
      </c>
      <c r="C215" s="38" t="s">
        <v>2401</v>
      </c>
      <c r="D215" s="44" t="s">
        <v>2515</v>
      </c>
      <c r="E215" s="35" t="s">
        <v>1710</v>
      </c>
      <c r="F215" s="35" t="s">
        <v>1710</v>
      </c>
      <c r="G215" s="39">
        <v>45511.400694444441</v>
      </c>
      <c r="H215" s="36">
        <v>45511.411805555559</v>
      </c>
      <c r="I215" s="47">
        <v>6.25E-2</v>
      </c>
      <c r="J215" s="47">
        <f t="shared" si="6"/>
        <v>1.1111111118225381E-2</v>
      </c>
      <c r="K215" s="24">
        <f t="shared" si="7"/>
        <v>-5.1388888881774619E-2</v>
      </c>
      <c r="L215" s="33"/>
      <c r="M215" s="25"/>
      <c r="N215" s="22"/>
      <c r="O215" s="26"/>
      <c r="P215" s="35"/>
    </row>
    <row r="216" spans="1:16">
      <c r="A216" s="21" t="s">
        <v>2187</v>
      </c>
      <c r="B216" s="43" t="s">
        <v>2186</v>
      </c>
      <c r="C216" s="38" t="s">
        <v>2402</v>
      </c>
      <c r="D216" s="44" t="s">
        <v>2515</v>
      </c>
      <c r="E216" s="35" t="s">
        <v>1710</v>
      </c>
      <c r="F216" s="35" t="s">
        <v>1710</v>
      </c>
      <c r="G216" s="39">
        <v>45511.400694444441</v>
      </c>
      <c r="H216" s="36">
        <v>45511.413194444445</v>
      </c>
      <c r="I216" s="47">
        <v>6.25E-2</v>
      </c>
      <c r="J216" s="47">
        <f t="shared" si="6"/>
        <v>1.2500000004365575E-2</v>
      </c>
      <c r="K216" s="24">
        <f t="shared" si="7"/>
        <v>-4.9999999995634425E-2</v>
      </c>
      <c r="L216" s="33"/>
      <c r="M216" s="25"/>
      <c r="N216" s="22"/>
      <c r="O216" s="26"/>
      <c r="P216" s="35"/>
    </row>
    <row r="217" spans="1:16">
      <c r="A217" s="21" t="s">
        <v>2187</v>
      </c>
      <c r="B217" s="43" t="s">
        <v>2186</v>
      </c>
      <c r="C217" s="38" t="s">
        <v>2403</v>
      </c>
      <c r="D217" s="44" t="s">
        <v>2515</v>
      </c>
      <c r="E217" s="35" t="s">
        <v>1710</v>
      </c>
      <c r="F217" s="35" t="s">
        <v>1710</v>
      </c>
      <c r="G217" s="39">
        <v>45511.416666666664</v>
      </c>
      <c r="H217" s="36">
        <v>45511.42291666667</v>
      </c>
      <c r="I217" s="47">
        <v>6.25E-2</v>
      </c>
      <c r="J217" s="47">
        <f t="shared" si="6"/>
        <v>6.2500000058207661E-3</v>
      </c>
      <c r="K217" s="24">
        <f t="shared" si="7"/>
        <v>-5.6249999994179234E-2</v>
      </c>
      <c r="L217" s="33"/>
      <c r="M217" s="25"/>
      <c r="N217" s="22"/>
      <c r="O217" s="26"/>
      <c r="P217" s="35"/>
    </row>
    <row r="218" spans="1:16">
      <c r="A218" s="21" t="s">
        <v>2187</v>
      </c>
      <c r="B218" s="43" t="s">
        <v>2186</v>
      </c>
      <c r="C218" s="38" t="s">
        <v>2404</v>
      </c>
      <c r="D218" s="44" t="s">
        <v>2515</v>
      </c>
      <c r="E218" s="35" t="s">
        <v>1710</v>
      </c>
      <c r="F218" s="35" t="s">
        <v>1710</v>
      </c>
      <c r="G218" s="39">
        <v>45511.416666666664</v>
      </c>
      <c r="H218" s="36">
        <v>45511.425000000003</v>
      </c>
      <c r="I218" s="47">
        <v>6.25E-2</v>
      </c>
      <c r="J218" s="47">
        <f t="shared" si="6"/>
        <v>8.3333333386690356E-3</v>
      </c>
      <c r="K218" s="24">
        <f t="shared" si="7"/>
        <v>-5.4166666661330964E-2</v>
      </c>
      <c r="L218" s="33"/>
      <c r="M218" s="25"/>
      <c r="N218" s="22"/>
      <c r="O218" s="26"/>
      <c r="P218" s="35"/>
    </row>
    <row r="219" spans="1:16">
      <c r="A219" s="21" t="s">
        <v>2187</v>
      </c>
      <c r="B219" s="43" t="s">
        <v>2186</v>
      </c>
      <c r="C219" s="38" t="s">
        <v>2405</v>
      </c>
      <c r="D219" s="44" t="s">
        <v>2515</v>
      </c>
      <c r="E219" s="35" t="s">
        <v>1710</v>
      </c>
      <c r="F219" s="35" t="s">
        <v>1710</v>
      </c>
      <c r="G219" s="39">
        <v>45511.416666666664</v>
      </c>
      <c r="H219" s="36">
        <v>45511.426388888889</v>
      </c>
      <c r="I219" s="47">
        <v>6.25E-2</v>
      </c>
      <c r="J219" s="47">
        <f t="shared" si="6"/>
        <v>9.7222222248092294E-3</v>
      </c>
      <c r="K219" s="24">
        <f t="shared" si="7"/>
        <v>-5.2777777775190771E-2</v>
      </c>
      <c r="L219" s="33"/>
      <c r="M219" s="25"/>
      <c r="N219" s="22"/>
      <c r="O219" s="26"/>
      <c r="P219" s="35"/>
    </row>
    <row r="220" spans="1:16">
      <c r="A220" s="21" t="s">
        <v>2187</v>
      </c>
      <c r="B220" s="43" t="s">
        <v>2186</v>
      </c>
      <c r="C220" s="38" t="s">
        <v>2406</v>
      </c>
      <c r="D220" s="44" t="s">
        <v>2515</v>
      </c>
      <c r="E220" s="35" t="s">
        <v>1710</v>
      </c>
      <c r="F220" s="35" t="s">
        <v>1710</v>
      </c>
      <c r="G220" s="39">
        <v>45511.416666666664</v>
      </c>
      <c r="H220" s="36">
        <v>45511.428472222222</v>
      </c>
      <c r="I220" s="47">
        <v>6.25E-2</v>
      </c>
      <c r="J220" s="47">
        <f t="shared" si="6"/>
        <v>1.1805555557657499E-2</v>
      </c>
      <c r="K220" s="24">
        <f t="shared" si="7"/>
        <v>-5.0694444442342501E-2</v>
      </c>
      <c r="L220" s="33"/>
      <c r="M220" s="25"/>
      <c r="N220" s="22"/>
      <c r="O220" s="26"/>
      <c r="P220" s="35"/>
    </row>
    <row r="221" spans="1:16">
      <c r="A221" s="21" t="s">
        <v>2187</v>
      </c>
      <c r="B221" s="43" t="s">
        <v>2186</v>
      </c>
      <c r="C221" s="38" t="s">
        <v>2407</v>
      </c>
      <c r="D221" s="44" t="s">
        <v>2515</v>
      </c>
      <c r="E221" s="35" t="s">
        <v>1710</v>
      </c>
      <c r="F221" s="35" t="s">
        <v>1710</v>
      </c>
      <c r="G221" s="39">
        <v>45511.416666666664</v>
      </c>
      <c r="H221" s="36">
        <v>45511.429861111108</v>
      </c>
      <c r="I221" s="47">
        <v>6.25E-2</v>
      </c>
      <c r="J221" s="47">
        <f t="shared" si="6"/>
        <v>1.3194444443797693E-2</v>
      </c>
      <c r="K221" s="24">
        <f t="shared" si="7"/>
        <v>-4.9305555556202307E-2</v>
      </c>
      <c r="L221" s="45"/>
      <c r="M221" s="25"/>
      <c r="N221" s="22"/>
      <c r="O221" s="26"/>
      <c r="P221" s="35"/>
    </row>
    <row r="222" spans="1:16">
      <c r="A222" s="21" t="s">
        <v>2187</v>
      </c>
      <c r="B222" s="43" t="s">
        <v>2186</v>
      </c>
      <c r="C222" s="38" t="s">
        <v>2408</v>
      </c>
      <c r="D222" s="44" t="s">
        <v>2515</v>
      </c>
      <c r="E222" s="35" t="s">
        <v>1710</v>
      </c>
      <c r="F222" s="35" t="s">
        <v>1710</v>
      </c>
      <c r="G222" s="39">
        <v>45511.416666666664</v>
      </c>
      <c r="H222" s="36">
        <v>45511.431250000001</v>
      </c>
      <c r="I222" s="47">
        <v>6.25E-2</v>
      </c>
      <c r="J222" s="47">
        <f t="shared" si="6"/>
        <v>1.4583333337213844E-2</v>
      </c>
      <c r="K222" s="24">
        <f t="shared" si="7"/>
        <v>-4.7916666662786156E-2</v>
      </c>
      <c r="L222" s="45"/>
      <c r="M222" s="25"/>
      <c r="N222" s="22"/>
      <c r="O222" s="26"/>
      <c r="P222" s="35"/>
    </row>
    <row r="223" spans="1:16">
      <c r="A223" s="21" t="s">
        <v>2187</v>
      </c>
      <c r="B223" s="43" t="s">
        <v>2186</v>
      </c>
      <c r="C223" s="38" t="s">
        <v>2409</v>
      </c>
      <c r="D223" s="44" t="s">
        <v>2515</v>
      </c>
      <c r="E223" s="35" t="s">
        <v>1710</v>
      </c>
      <c r="F223" s="35" t="s">
        <v>1710</v>
      </c>
      <c r="G223" s="39">
        <v>45511.416666666664</v>
      </c>
      <c r="H223" s="36">
        <v>45511.434027777781</v>
      </c>
      <c r="I223" s="47">
        <v>6.25E-2</v>
      </c>
      <c r="J223" s="47">
        <f t="shared" si="6"/>
        <v>1.7361111116770189E-2</v>
      </c>
      <c r="K223" s="24">
        <f t="shared" si="7"/>
        <v>-4.5138888883229811E-2</v>
      </c>
      <c r="L223" s="45"/>
      <c r="M223" s="25"/>
      <c r="N223" s="22"/>
      <c r="O223" s="26"/>
      <c r="P223" s="35"/>
    </row>
    <row r="224" spans="1:16">
      <c r="A224" s="21" t="s">
        <v>2187</v>
      </c>
      <c r="B224" s="43" t="s">
        <v>2186</v>
      </c>
      <c r="C224" s="38" t="s">
        <v>2410</v>
      </c>
      <c r="D224" s="44" t="s">
        <v>2515</v>
      </c>
      <c r="E224" s="35" t="s">
        <v>1710</v>
      </c>
      <c r="F224" s="35" t="s">
        <v>1710</v>
      </c>
      <c r="G224" s="39">
        <v>45511.416666666664</v>
      </c>
      <c r="H224" s="36">
        <v>45511.436111111114</v>
      </c>
      <c r="I224" s="47">
        <v>6.25E-2</v>
      </c>
      <c r="J224" s="47">
        <f t="shared" si="6"/>
        <v>1.9444444449618459E-2</v>
      </c>
      <c r="K224" s="24">
        <f t="shared" si="7"/>
        <v>-4.3055555550381541E-2</v>
      </c>
      <c r="L224" s="33"/>
      <c r="M224" s="25"/>
      <c r="N224" s="22"/>
      <c r="O224" s="26"/>
      <c r="P224" s="35"/>
    </row>
    <row r="225" spans="1:16">
      <c r="A225" s="21" t="s">
        <v>2187</v>
      </c>
      <c r="B225" s="43" t="s">
        <v>2186</v>
      </c>
      <c r="C225" s="38" t="s">
        <v>2411</v>
      </c>
      <c r="D225" s="44" t="s">
        <v>2515</v>
      </c>
      <c r="E225" s="35" t="s">
        <v>1710</v>
      </c>
      <c r="F225" s="35" t="s">
        <v>1710</v>
      </c>
      <c r="G225" s="39">
        <v>45511.416666666664</v>
      </c>
      <c r="H225" s="36">
        <v>45511.4375</v>
      </c>
      <c r="I225" s="47">
        <v>6.25E-2</v>
      </c>
      <c r="J225" s="47">
        <f t="shared" si="6"/>
        <v>2.0833333335758653E-2</v>
      </c>
      <c r="K225" s="24">
        <f t="shared" si="7"/>
        <v>-4.1666666664241347E-2</v>
      </c>
      <c r="L225" s="33"/>
      <c r="M225" s="25"/>
      <c r="N225" s="22"/>
      <c r="O225" s="26"/>
      <c r="P225" s="35"/>
    </row>
    <row r="226" spans="1:16">
      <c r="A226" s="21" t="s">
        <v>2187</v>
      </c>
      <c r="B226" s="43" t="s">
        <v>2186</v>
      </c>
      <c r="C226" s="38" t="s">
        <v>2412</v>
      </c>
      <c r="D226" s="44" t="s">
        <v>2515</v>
      </c>
      <c r="E226" s="35" t="s">
        <v>1710</v>
      </c>
      <c r="F226" s="35" t="s">
        <v>1710</v>
      </c>
      <c r="G226" s="39">
        <v>45511.416666666664</v>
      </c>
      <c r="H226" s="36">
        <v>45511.44027777778</v>
      </c>
      <c r="I226" s="47">
        <v>6.25E-2</v>
      </c>
      <c r="J226" s="47">
        <f t="shared" si="6"/>
        <v>2.3611111115314998E-2</v>
      </c>
      <c r="K226" s="24">
        <f t="shared" si="7"/>
        <v>-3.8888888884685002E-2</v>
      </c>
      <c r="L226" s="33"/>
      <c r="M226" s="25"/>
      <c r="N226" s="22"/>
      <c r="O226" s="26"/>
      <c r="P226" s="35"/>
    </row>
    <row r="227" spans="1:16">
      <c r="A227" s="21" t="s">
        <v>2187</v>
      </c>
      <c r="B227" s="43" t="s">
        <v>2186</v>
      </c>
      <c r="C227" s="38" t="s">
        <v>2413</v>
      </c>
      <c r="D227" s="44" t="s">
        <v>2515</v>
      </c>
      <c r="E227" s="35" t="s">
        <v>1710</v>
      </c>
      <c r="F227" s="35" t="s">
        <v>1710</v>
      </c>
      <c r="G227" s="39">
        <v>45511.416666666664</v>
      </c>
      <c r="H227" s="36">
        <v>45511.441666666666</v>
      </c>
      <c r="I227" s="47">
        <v>6.25E-2</v>
      </c>
      <c r="J227" s="47">
        <f t="shared" si="6"/>
        <v>2.5000000001455192E-2</v>
      </c>
      <c r="K227" s="24">
        <f t="shared" si="7"/>
        <v>-3.7499999998544808E-2</v>
      </c>
      <c r="L227" s="33"/>
      <c r="M227" s="25"/>
      <c r="N227" s="22"/>
      <c r="O227" s="26"/>
      <c r="P227" s="35"/>
    </row>
    <row r="228" spans="1:16">
      <c r="A228" s="21" t="s">
        <v>2187</v>
      </c>
      <c r="B228" s="43" t="s">
        <v>2186</v>
      </c>
      <c r="C228" s="38" t="s">
        <v>2414</v>
      </c>
      <c r="D228" s="44" t="s">
        <v>2515</v>
      </c>
      <c r="E228" s="35" t="s">
        <v>2178</v>
      </c>
      <c r="F228" s="35" t="s">
        <v>1710</v>
      </c>
      <c r="G228" s="39">
        <v>45511.416666666664</v>
      </c>
      <c r="H228" s="36">
        <v>45511.464583333334</v>
      </c>
      <c r="I228" s="47">
        <v>6.25E-2</v>
      </c>
      <c r="J228" s="47">
        <f t="shared" si="6"/>
        <v>4.7916666670062114E-2</v>
      </c>
      <c r="K228" s="24">
        <f t="shared" si="7"/>
        <v>-1.4583333329937886E-2</v>
      </c>
      <c r="L228" s="33"/>
      <c r="M228" s="25"/>
      <c r="N228" s="22"/>
      <c r="O228" s="26"/>
      <c r="P228" s="35"/>
    </row>
    <row r="229" spans="1:16">
      <c r="A229" s="21" t="s">
        <v>2187</v>
      </c>
      <c r="B229" s="43" t="s">
        <v>2186</v>
      </c>
      <c r="C229" s="38" t="s">
        <v>2415</v>
      </c>
      <c r="D229" s="44" t="s">
        <v>2515</v>
      </c>
      <c r="E229" s="35" t="s">
        <v>1710</v>
      </c>
      <c r="F229" s="35" t="s">
        <v>1710</v>
      </c>
      <c r="G229" s="39">
        <v>45511.416666666664</v>
      </c>
      <c r="H229" s="36">
        <v>45511.446527777778</v>
      </c>
      <c r="I229" s="47">
        <v>6.25E-2</v>
      </c>
      <c r="J229" s="47">
        <f t="shared" si="6"/>
        <v>2.9861111113859806E-2</v>
      </c>
      <c r="K229" s="24">
        <f t="shared" si="7"/>
        <v>-3.2638888886140194E-2</v>
      </c>
      <c r="L229" s="33"/>
      <c r="M229" s="25"/>
      <c r="N229" s="22"/>
      <c r="O229" s="26"/>
      <c r="P229" s="35"/>
    </row>
    <row r="230" spans="1:16">
      <c r="A230" s="21" t="s">
        <v>2187</v>
      </c>
      <c r="B230" s="43" t="s">
        <v>2186</v>
      </c>
      <c r="C230" s="38" t="s">
        <v>2416</v>
      </c>
      <c r="D230" s="44" t="s">
        <v>2515</v>
      </c>
      <c r="E230" s="35" t="s">
        <v>1710</v>
      </c>
      <c r="F230" s="35" t="s">
        <v>1710</v>
      </c>
      <c r="G230" s="39">
        <v>45511.416666666664</v>
      </c>
      <c r="H230" s="36">
        <v>45511.449305555558</v>
      </c>
      <c r="I230" s="47">
        <v>6.25E-2</v>
      </c>
      <c r="J230" s="47">
        <f t="shared" si="6"/>
        <v>3.2638888893416151E-2</v>
      </c>
      <c r="K230" s="24">
        <f t="shared" si="7"/>
        <v>-2.9861111106583849E-2</v>
      </c>
      <c r="L230" s="33"/>
      <c r="M230" s="25"/>
      <c r="N230" s="22"/>
      <c r="O230" s="26"/>
      <c r="P230" s="35"/>
    </row>
    <row r="231" spans="1:16">
      <c r="A231" s="21" t="s">
        <v>2187</v>
      </c>
      <c r="B231" s="43" t="s">
        <v>2186</v>
      </c>
      <c r="C231" s="38" t="s">
        <v>2417</v>
      </c>
      <c r="D231" s="44" t="s">
        <v>2515</v>
      </c>
      <c r="E231" s="35" t="s">
        <v>1710</v>
      </c>
      <c r="F231" s="35" t="s">
        <v>1710</v>
      </c>
      <c r="G231" s="39">
        <v>45511.416666666664</v>
      </c>
      <c r="H231" s="36">
        <v>45511.453472222223</v>
      </c>
      <c r="I231" s="47">
        <v>6.25E-2</v>
      </c>
      <c r="J231" s="47">
        <f t="shared" si="6"/>
        <v>3.680555555911269E-2</v>
      </c>
      <c r="K231" s="24">
        <f t="shared" si="7"/>
        <v>-2.569444444088731E-2</v>
      </c>
      <c r="L231" s="33"/>
      <c r="M231" s="25"/>
      <c r="N231" s="22"/>
      <c r="O231" s="26"/>
      <c r="P231" s="35"/>
    </row>
    <row r="232" spans="1:16">
      <c r="A232" s="21" t="s">
        <v>2187</v>
      </c>
      <c r="B232" s="43" t="s">
        <v>2186</v>
      </c>
      <c r="C232" s="38" t="s">
        <v>2418</v>
      </c>
      <c r="D232" s="44" t="s">
        <v>2515</v>
      </c>
      <c r="E232" s="35" t="s">
        <v>1710</v>
      </c>
      <c r="F232" s="35" t="s">
        <v>1710</v>
      </c>
      <c r="G232" s="39">
        <v>45511.416666666664</v>
      </c>
      <c r="H232" s="36">
        <v>45511.454861111109</v>
      </c>
      <c r="I232" s="47">
        <v>6.25E-2</v>
      </c>
      <c r="J232" s="47">
        <f t="shared" si="6"/>
        <v>3.8194444445252884E-2</v>
      </c>
      <c r="K232" s="24">
        <f t="shared" si="7"/>
        <v>-2.4305555554747116E-2</v>
      </c>
      <c r="L232" s="33"/>
      <c r="M232" s="25"/>
      <c r="N232" s="22"/>
      <c r="O232" s="26"/>
      <c r="P232" s="35"/>
    </row>
    <row r="233" spans="1:16">
      <c r="A233" s="21" t="s">
        <v>2187</v>
      </c>
      <c r="B233" s="43" t="s">
        <v>2186</v>
      </c>
      <c r="C233" s="38" t="s">
        <v>2419</v>
      </c>
      <c r="D233" s="44" t="s">
        <v>2515</v>
      </c>
      <c r="E233" s="35" t="s">
        <v>1710</v>
      </c>
      <c r="F233" s="35" t="s">
        <v>1710</v>
      </c>
      <c r="G233" s="39">
        <v>45511.416666666664</v>
      </c>
      <c r="H233" s="36">
        <v>45511.456944444442</v>
      </c>
      <c r="I233" s="47">
        <v>6.25E-2</v>
      </c>
      <c r="J233" s="47">
        <f t="shared" si="6"/>
        <v>4.0277777778101154E-2</v>
      </c>
      <c r="K233" s="24">
        <f t="shared" si="7"/>
        <v>-2.2222222221898846E-2</v>
      </c>
      <c r="L233" s="33"/>
      <c r="M233" s="25"/>
      <c r="N233" s="22"/>
      <c r="O233" s="26"/>
      <c r="P233" s="35"/>
    </row>
    <row r="234" spans="1:16">
      <c r="A234" s="21" t="s">
        <v>2187</v>
      </c>
      <c r="B234" s="43" t="s">
        <v>2186</v>
      </c>
      <c r="C234" s="38" t="s">
        <v>2420</v>
      </c>
      <c r="D234" s="44" t="s">
        <v>2515</v>
      </c>
      <c r="E234" s="35" t="s">
        <v>1710</v>
      </c>
      <c r="F234" s="35" t="s">
        <v>1710</v>
      </c>
      <c r="G234" s="39">
        <v>45511.416666666664</v>
      </c>
      <c r="H234" s="36">
        <v>45511.458333333336</v>
      </c>
      <c r="I234" s="47">
        <v>6.25E-2</v>
      </c>
      <c r="J234" s="47">
        <f t="shared" si="6"/>
        <v>4.1666666671517305E-2</v>
      </c>
      <c r="K234" s="24">
        <f t="shared" si="7"/>
        <v>-2.0833333328482695E-2</v>
      </c>
      <c r="L234" s="33"/>
      <c r="M234" s="25"/>
      <c r="N234" s="22"/>
      <c r="O234" s="26"/>
      <c r="P234" s="35"/>
    </row>
    <row r="235" spans="1:16">
      <c r="A235" s="21" t="s">
        <v>2187</v>
      </c>
      <c r="B235" s="43" t="s">
        <v>2186</v>
      </c>
      <c r="C235" s="38" t="s">
        <v>2421</v>
      </c>
      <c r="D235" s="44" t="s">
        <v>2515</v>
      </c>
      <c r="E235" s="35" t="s">
        <v>1710</v>
      </c>
      <c r="F235" s="35" t="s">
        <v>1710</v>
      </c>
      <c r="G235" s="39">
        <v>45511.416666666664</v>
      </c>
      <c r="H235" s="36">
        <v>45511.461111111108</v>
      </c>
      <c r="I235" s="47">
        <v>6.25E-2</v>
      </c>
      <c r="J235" s="47">
        <f t="shared" si="6"/>
        <v>4.4444444443797693E-2</v>
      </c>
      <c r="K235" s="24">
        <f t="shared" si="7"/>
        <v>-1.8055555556202307E-2</v>
      </c>
      <c r="L235" s="33"/>
      <c r="M235" s="25"/>
      <c r="N235" s="22"/>
      <c r="O235" s="26"/>
      <c r="P235" s="35"/>
    </row>
    <row r="236" spans="1:16">
      <c r="A236" s="21" t="s">
        <v>2187</v>
      </c>
      <c r="B236" s="43" t="s">
        <v>2186</v>
      </c>
      <c r="C236" s="38" t="s">
        <v>2422</v>
      </c>
      <c r="D236" s="44" t="s">
        <v>2515</v>
      </c>
      <c r="E236" s="35" t="s">
        <v>1710</v>
      </c>
      <c r="F236" s="35" t="s">
        <v>1710</v>
      </c>
      <c r="G236" s="39">
        <v>45511.416666666664</v>
      </c>
      <c r="H236" s="36">
        <v>45511.463888888888</v>
      </c>
      <c r="I236" s="47">
        <v>6.25E-2</v>
      </c>
      <c r="J236" s="47">
        <f t="shared" si="6"/>
        <v>4.7222222223354038E-2</v>
      </c>
      <c r="K236" s="24">
        <f t="shared" si="7"/>
        <v>-1.5277777776645962E-2</v>
      </c>
      <c r="L236" s="45"/>
      <c r="M236" s="25"/>
      <c r="N236" s="22"/>
      <c r="O236" s="26"/>
      <c r="P236" s="35"/>
    </row>
    <row r="237" spans="1:16">
      <c r="A237" s="21" t="s">
        <v>2187</v>
      </c>
      <c r="B237" s="43" t="s">
        <v>2186</v>
      </c>
      <c r="C237" s="38" t="s">
        <v>2423</v>
      </c>
      <c r="D237" s="44" t="s">
        <v>2515</v>
      </c>
      <c r="E237" s="35" t="s">
        <v>1710</v>
      </c>
      <c r="F237" s="35" t="s">
        <v>2516</v>
      </c>
      <c r="G237" s="39">
        <v>45511.568055555559</v>
      </c>
      <c r="H237" s="36">
        <v>45511.572916666664</v>
      </c>
      <c r="I237" s="47">
        <v>6.25E-2</v>
      </c>
      <c r="J237" s="47">
        <f t="shared" si="6"/>
        <v>4.8611111051286571E-3</v>
      </c>
      <c r="K237" s="24">
        <f t="shared" si="7"/>
        <v>-5.7638888894871343E-2</v>
      </c>
      <c r="L237" s="45"/>
      <c r="M237" s="25"/>
      <c r="N237" s="22"/>
      <c r="O237" s="26"/>
      <c r="P237" s="35"/>
    </row>
    <row r="238" spans="1:16">
      <c r="A238" s="21" t="s">
        <v>2187</v>
      </c>
      <c r="B238" s="43" t="s">
        <v>2186</v>
      </c>
      <c r="C238" s="38" t="s">
        <v>2424</v>
      </c>
      <c r="D238" s="44" t="s">
        <v>2515</v>
      </c>
      <c r="E238" s="35" t="s">
        <v>1710</v>
      </c>
      <c r="F238" s="35" t="s">
        <v>1710</v>
      </c>
      <c r="G238" s="39">
        <v>45511.588888888888</v>
      </c>
      <c r="H238" s="36">
        <v>45511.594444444447</v>
      </c>
      <c r="I238" s="47">
        <v>6.25E-2</v>
      </c>
      <c r="J238" s="47">
        <f t="shared" si="6"/>
        <v>5.5555555591126904E-3</v>
      </c>
      <c r="K238" s="24">
        <f t="shared" si="7"/>
        <v>-5.694444444088731E-2</v>
      </c>
      <c r="L238" s="33"/>
      <c r="M238" s="25"/>
      <c r="N238" s="22"/>
      <c r="O238" s="26"/>
      <c r="P238" s="35"/>
    </row>
    <row r="239" spans="1:16">
      <c r="A239" s="21" t="s">
        <v>2187</v>
      </c>
      <c r="B239" s="43" t="s">
        <v>2186</v>
      </c>
      <c r="C239" s="38" t="s">
        <v>2425</v>
      </c>
      <c r="D239" s="44" t="s">
        <v>2515</v>
      </c>
      <c r="E239" s="35" t="s">
        <v>1710</v>
      </c>
      <c r="F239" s="35" t="s">
        <v>1710</v>
      </c>
      <c r="G239" s="39">
        <v>45511.588888888888</v>
      </c>
      <c r="H239" s="36">
        <v>45511.613194444442</v>
      </c>
      <c r="I239" s="47">
        <v>6.25E-2</v>
      </c>
      <c r="J239" s="47">
        <f t="shared" si="6"/>
        <v>2.4305555554747116E-2</v>
      </c>
      <c r="K239" s="24">
        <f t="shared" si="7"/>
        <v>-3.8194444445252884E-2</v>
      </c>
      <c r="L239" s="33"/>
      <c r="M239" s="25"/>
      <c r="N239" s="22"/>
      <c r="O239" s="26"/>
      <c r="P239" s="35"/>
    </row>
    <row r="240" spans="1:16">
      <c r="A240" s="21" t="s">
        <v>2187</v>
      </c>
      <c r="B240" s="43" t="s">
        <v>2186</v>
      </c>
      <c r="C240" s="38" t="s">
        <v>2426</v>
      </c>
      <c r="D240" s="44" t="s">
        <v>2515</v>
      </c>
      <c r="E240" s="35" t="s">
        <v>2178</v>
      </c>
      <c r="F240" s="35" t="s">
        <v>2181</v>
      </c>
      <c r="G240" s="39">
        <v>45511.588888888888</v>
      </c>
      <c r="H240" s="36">
        <v>45511.649305555555</v>
      </c>
      <c r="I240" s="47">
        <v>6.25E-2</v>
      </c>
      <c r="J240" s="47">
        <f t="shared" si="6"/>
        <v>6.0416666667151731E-2</v>
      </c>
      <c r="K240" s="24">
        <f t="shared" si="7"/>
        <v>-2.0833333328482695E-3</v>
      </c>
      <c r="L240" s="45"/>
      <c r="M240" s="25"/>
      <c r="N240" s="22"/>
      <c r="O240" s="26"/>
      <c r="P240" s="35"/>
    </row>
    <row r="241" spans="1:16">
      <c r="A241" s="21" t="s">
        <v>2187</v>
      </c>
      <c r="B241" s="43" t="s">
        <v>2186</v>
      </c>
      <c r="C241" s="38" t="s">
        <v>2427</v>
      </c>
      <c r="D241" s="44" t="s">
        <v>2515</v>
      </c>
      <c r="E241" s="35" t="s">
        <v>1710</v>
      </c>
      <c r="F241" s="35" t="s">
        <v>1710</v>
      </c>
      <c r="G241" s="39">
        <v>45512.375</v>
      </c>
      <c r="H241" s="36">
        <v>45512.370138888888</v>
      </c>
      <c r="I241" s="47">
        <v>6.25E-2</v>
      </c>
      <c r="J241" s="47">
        <f t="shared" si="6"/>
        <v>-4.8611111124046147E-3</v>
      </c>
      <c r="K241" s="24">
        <f t="shared" si="7"/>
        <v>-6.7361111112404615E-2</v>
      </c>
      <c r="L241" s="33"/>
      <c r="M241" s="25"/>
      <c r="N241" s="22"/>
      <c r="O241" s="26"/>
      <c r="P241" s="35"/>
    </row>
    <row r="242" spans="1:16">
      <c r="A242" s="21" t="s">
        <v>2187</v>
      </c>
      <c r="B242" s="43" t="s">
        <v>2186</v>
      </c>
      <c r="C242" s="38" t="s">
        <v>2428</v>
      </c>
      <c r="D242" s="44" t="s">
        <v>2515</v>
      </c>
      <c r="E242" s="35" t="s">
        <v>1710</v>
      </c>
      <c r="F242" s="35" t="s">
        <v>1710</v>
      </c>
      <c r="G242" s="39">
        <v>45512.375</v>
      </c>
      <c r="H242" s="36">
        <v>45512.388888888891</v>
      </c>
      <c r="I242" s="47">
        <v>6.25E-2</v>
      </c>
      <c r="J242" s="47">
        <f t="shared" si="6"/>
        <v>1.3888888890505768E-2</v>
      </c>
      <c r="K242" s="24">
        <f t="shared" si="7"/>
        <v>-4.8611111109494232E-2</v>
      </c>
      <c r="L242" s="33"/>
      <c r="M242" s="25"/>
      <c r="N242" s="22"/>
      <c r="O242" s="26"/>
      <c r="P242" s="35"/>
    </row>
    <row r="243" spans="1:16">
      <c r="A243" s="21" t="s">
        <v>2187</v>
      </c>
      <c r="B243" s="43" t="s">
        <v>2186</v>
      </c>
      <c r="C243" s="38" t="s">
        <v>2429</v>
      </c>
      <c r="D243" s="44" t="s">
        <v>2515</v>
      </c>
      <c r="E243" s="35" t="s">
        <v>2178</v>
      </c>
      <c r="F243" s="35" t="s">
        <v>2181</v>
      </c>
      <c r="G243" s="39">
        <v>45512.375</v>
      </c>
      <c r="H243" s="36">
        <v>45512.443749999999</v>
      </c>
      <c r="I243" s="47">
        <v>6.25E-2</v>
      </c>
      <c r="J243" s="47">
        <f t="shared" si="6"/>
        <v>6.8749999998544808E-2</v>
      </c>
      <c r="K243" s="24">
        <f t="shared" si="7"/>
        <v>6.2499999985448085E-3</v>
      </c>
      <c r="L243" s="33"/>
      <c r="M243" s="25"/>
      <c r="N243" s="22"/>
      <c r="O243" s="26"/>
      <c r="P243" s="35"/>
    </row>
    <row r="244" spans="1:16">
      <c r="A244" s="21" t="s">
        <v>2187</v>
      </c>
      <c r="B244" s="43" t="s">
        <v>2186</v>
      </c>
      <c r="C244" s="38" t="s">
        <v>2430</v>
      </c>
      <c r="D244" s="44" t="s">
        <v>2515</v>
      </c>
      <c r="E244" s="35" t="s">
        <v>1710</v>
      </c>
      <c r="F244" s="35" t="s">
        <v>1710</v>
      </c>
      <c r="G244" s="39">
        <v>45512.375</v>
      </c>
      <c r="H244" s="36">
        <v>45512.392361111109</v>
      </c>
      <c r="I244" s="47">
        <v>6.25E-2</v>
      </c>
      <c r="J244" s="47">
        <f t="shared" si="6"/>
        <v>1.7361111109494232E-2</v>
      </c>
      <c r="K244" s="24">
        <f t="shared" si="7"/>
        <v>-4.5138888890505768E-2</v>
      </c>
      <c r="L244" s="33"/>
      <c r="M244" s="25"/>
      <c r="N244" s="22"/>
      <c r="O244" s="26"/>
      <c r="P244" s="35"/>
    </row>
    <row r="245" spans="1:16">
      <c r="A245" s="21" t="s">
        <v>2187</v>
      </c>
      <c r="B245" s="43" t="s">
        <v>2186</v>
      </c>
      <c r="C245" s="38" t="s">
        <v>2431</v>
      </c>
      <c r="D245" s="44" t="s">
        <v>2515</v>
      </c>
      <c r="E245" s="35" t="s">
        <v>1710</v>
      </c>
      <c r="F245" s="35" t="s">
        <v>1710</v>
      </c>
      <c r="G245" s="39">
        <v>45512.375</v>
      </c>
      <c r="H245" s="36">
        <v>45512.395138888889</v>
      </c>
      <c r="I245" s="47">
        <v>6.25E-2</v>
      </c>
      <c r="J245" s="47">
        <f t="shared" si="6"/>
        <v>2.0138888889050577E-2</v>
      </c>
      <c r="K245" s="24">
        <f t="shared" si="7"/>
        <v>-4.2361111110949423E-2</v>
      </c>
      <c r="L245" s="33"/>
      <c r="M245" s="25"/>
      <c r="N245" s="22"/>
      <c r="O245" s="26"/>
      <c r="P245" s="35"/>
    </row>
    <row r="246" spans="1:16">
      <c r="A246" s="21" t="s">
        <v>2187</v>
      </c>
      <c r="B246" s="43" t="s">
        <v>2186</v>
      </c>
      <c r="C246" s="38" t="s">
        <v>2432</v>
      </c>
      <c r="D246" s="44" t="s">
        <v>2515</v>
      </c>
      <c r="E246" s="35" t="s">
        <v>1710</v>
      </c>
      <c r="F246" s="35" t="s">
        <v>1710</v>
      </c>
      <c r="G246" s="39">
        <v>45512.395833333336</v>
      </c>
      <c r="H246" s="36">
        <v>45512.409722222219</v>
      </c>
      <c r="I246" s="47">
        <v>6.25E-2</v>
      </c>
      <c r="J246" s="47">
        <f t="shared" si="6"/>
        <v>1.3888888883229811E-2</v>
      </c>
      <c r="K246" s="24">
        <f t="shared" si="7"/>
        <v>-4.8611111116770189E-2</v>
      </c>
      <c r="L246" s="45"/>
      <c r="M246" s="25"/>
      <c r="N246" s="22"/>
      <c r="O246" s="26"/>
      <c r="P246" s="35"/>
    </row>
    <row r="247" spans="1:16">
      <c r="A247" s="21" t="s">
        <v>2187</v>
      </c>
      <c r="B247" s="43" t="s">
        <v>2186</v>
      </c>
      <c r="C247" s="38" t="s">
        <v>2433</v>
      </c>
      <c r="D247" s="44" t="s">
        <v>2515</v>
      </c>
      <c r="E247" s="35" t="s">
        <v>1710</v>
      </c>
      <c r="F247" s="35" t="s">
        <v>1710</v>
      </c>
      <c r="G247" s="39">
        <v>45512.395833333336</v>
      </c>
      <c r="H247" s="36">
        <v>45512.402777777781</v>
      </c>
      <c r="I247" s="47">
        <v>6.25E-2</v>
      </c>
      <c r="J247" s="47">
        <f t="shared" si="6"/>
        <v>6.9444444452528842E-3</v>
      </c>
      <c r="K247" s="24">
        <f t="shared" si="7"/>
        <v>-5.5555555554747116E-2</v>
      </c>
      <c r="L247" s="45"/>
      <c r="M247" s="25"/>
      <c r="N247" s="22"/>
      <c r="O247" s="26"/>
      <c r="P247" s="35"/>
    </row>
    <row r="248" spans="1:16">
      <c r="A248" s="21" t="s">
        <v>2187</v>
      </c>
      <c r="B248" s="43" t="s">
        <v>2186</v>
      </c>
      <c r="C248" s="38" t="s">
        <v>2434</v>
      </c>
      <c r="D248" s="44" t="s">
        <v>2515</v>
      </c>
      <c r="E248" s="35" t="s">
        <v>1710</v>
      </c>
      <c r="F248" s="35" t="s">
        <v>1710</v>
      </c>
      <c r="G248" s="39">
        <v>45512.395833333336</v>
      </c>
      <c r="H248" s="36">
        <v>45512.404166666667</v>
      </c>
      <c r="I248" s="47">
        <v>6.25E-2</v>
      </c>
      <c r="J248" s="47">
        <f t="shared" si="6"/>
        <v>8.333333331393078E-3</v>
      </c>
      <c r="K248" s="24">
        <f t="shared" si="7"/>
        <v>-5.4166666668606922E-2</v>
      </c>
      <c r="L248" s="45"/>
      <c r="M248" s="25"/>
      <c r="N248" s="22"/>
      <c r="O248" s="26"/>
      <c r="P248" s="35"/>
    </row>
    <row r="249" spans="1:16">
      <c r="A249" s="21" t="s">
        <v>2187</v>
      </c>
      <c r="B249" s="43" t="s">
        <v>2186</v>
      </c>
      <c r="C249" s="38" t="s">
        <v>2435</v>
      </c>
      <c r="D249" s="44" t="s">
        <v>2515</v>
      </c>
      <c r="E249" s="35" t="s">
        <v>1710</v>
      </c>
      <c r="F249" s="35" t="s">
        <v>1710</v>
      </c>
      <c r="G249" s="39">
        <v>45512.395833333336</v>
      </c>
      <c r="H249" s="36">
        <v>45512.405555555553</v>
      </c>
      <c r="I249" s="47">
        <v>6.25E-2</v>
      </c>
      <c r="J249" s="47">
        <f t="shared" si="6"/>
        <v>9.7222222175332718E-3</v>
      </c>
      <c r="K249" s="24">
        <f t="shared" si="7"/>
        <v>-5.2777777782466728E-2</v>
      </c>
      <c r="L249" s="45"/>
      <c r="M249" s="25"/>
      <c r="N249" s="22"/>
      <c r="O249" s="26"/>
      <c r="P249" s="35"/>
    </row>
    <row r="250" spans="1:16">
      <c r="A250" s="21" t="s">
        <v>2187</v>
      </c>
      <c r="B250" s="43" t="s">
        <v>2186</v>
      </c>
      <c r="C250" s="38" t="s">
        <v>2436</v>
      </c>
      <c r="D250" s="44" t="s">
        <v>2515</v>
      </c>
      <c r="E250" s="35" t="s">
        <v>1710</v>
      </c>
      <c r="F250" s="35" t="s">
        <v>1710</v>
      </c>
      <c r="G250" s="39">
        <v>45512.395833333336</v>
      </c>
      <c r="H250" s="36">
        <v>45512.406944444447</v>
      </c>
      <c r="I250" s="47">
        <v>6.25E-2</v>
      </c>
      <c r="J250" s="47">
        <f t="shared" si="6"/>
        <v>1.1111111110949423E-2</v>
      </c>
      <c r="K250" s="24">
        <f t="shared" si="7"/>
        <v>-5.1388888889050577E-2</v>
      </c>
      <c r="L250" s="33"/>
      <c r="M250" s="25"/>
      <c r="N250" s="22"/>
      <c r="O250" s="26"/>
      <c r="P250" s="35"/>
    </row>
    <row r="251" spans="1:16">
      <c r="A251" s="21" t="s">
        <v>2187</v>
      </c>
      <c r="B251" s="43" t="s">
        <v>2186</v>
      </c>
      <c r="C251" s="38" t="s">
        <v>2437</v>
      </c>
      <c r="D251" s="44" t="s">
        <v>2515</v>
      </c>
      <c r="E251" s="35" t="s">
        <v>1710</v>
      </c>
      <c r="F251" s="35" t="s">
        <v>1710</v>
      </c>
      <c r="G251" s="39">
        <v>45512.395833333336</v>
      </c>
      <c r="H251" s="36">
        <v>45512.408333333333</v>
      </c>
      <c r="I251" s="47">
        <v>6.25E-2</v>
      </c>
      <c r="J251" s="47">
        <f t="shared" si="6"/>
        <v>1.2499999997089617E-2</v>
      </c>
      <c r="K251" s="24">
        <f t="shared" si="7"/>
        <v>-5.0000000002910383E-2</v>
      </c>
      <c r="L251" s="33"/>
      <c r="M251" s="25"/>
      <c r="N251" s="22"/>
      <c r="O251" s="26"/>
      <c r="P251" s="35"/>
    </row>
    <row r="252" spans="1:16">
      <c r="A252" s="21" t="s">
        <v>2187</v>
      </c>
      <c r="B252" s="43" t="s">
        <v>2186</v>
      </c>
      <c r="C252" s="38" t="s">
        <v>2438</v>
      </c>
      <c r="D252" s="44" t="s">
        <v>2515</v>
      </c>
      <c r="E252" s="35" t="s">
        <v>1710</v>
      </c>
      <c r="F252" s="35" t="s">
        <v>1710</v>
      </c>
      <c r="G252" s="39">
        <v>45512.395833333336</v>
      </c>
      <c r="H252" s="36">
        <v>45512.411111111112</v>
      </c>
      <c r="I252" s="47">
        <v>6.25E-2</v>
      </c>
      <c r="J252" s="47">
        <f t="shared" si="6"/>
        <v>1.5277777776645962E-2</v>
      </c>
      <c r="K252" s="24">
        <f t="shared" si="7"/>
        <v>-4.7222222223354038E-2</v>
      </c>
      <c r="L252" s="45"/>
      <c r="M252" s="25"/>
      <c r="N252" s="22"/>
      <c r="O252" s="26"/>
      <c r="P252" s="35"/>
    </row>
    <row r="253" spans="1:16">
      <c r="A253" s="21" t="s">
        <v>2187</v>
      </c>
      <c r="B253" s="43" t="s">
        <v>2186</v>
      </c>
      <c r="C253" s="38" t="s">
        <v>2439</v>
      </c>
      <c r="D253" s="44" t="s">
        <v>2515</v>
      </c>
      <c r="E253" s="35" t="s">
        <v>1710</v>
      </c>
      <c r="F253" s="35" t="s">
        <v>1710</v>
      </c>
      <c r="G253" s="39">
        <v>45512.395833333336</v>
      </c>
      <c r="H253" s="36">
        <v>45512.413888888892</v>
      </c>
      <c r="I253" s="47">
        <v>6.25E-2</v>
      </c>
      <c r="J253" s="47">
        <f t="shared" si="6"/>
        <v>1.8055555556202307E-2</v>
      </c>
      <c r="K253" s="24">
        <f t="shared" si="7"/>
        <v>-4.4444444443797693E-2</v>
      </c>
      <c r="L253" s="45"/>
      <c r="M253" s="25"/>
      <c r="N253" s="22"/>
      <c r="O253" s="26"/>
      <c r="P253" s="35"/>
    </row>
    <row r="254" spans="1:16">
      <c r="A254" s="21" t="s">
        <v>2187</v>
      </c>
      <c r="B254" s="43" t="s">
        <v>2186</v>
      </c>
      <c r="C254" s="38" t="s">
        <v>2440</v>
      </c>
      <c r="D254" s="44" t="s">
        <v>2515</v>
      </c>
      <c r="E254" s="35" t="s">
        <v>1710</v>
      </c>
      <c r="F254" s="35" t="s">
        <v>1710</v>
      </c>
      <c r="G254" s="39">
        <v>45512.395833333336</v>
      </c>
      <c r="H254" s="36">
        <v>45512.414583333331</v>
      </c>
      <c r="I254" s="47">
        <v>6.25E-2</v>
      </c>
      <c r="J254" s="47">
        <f t="shared" si="6"/>
        <v>1.8749999995634425E-2</v>
      </c>
      <c r="K254" s="24">
        <f t="shared" si="7"/>
        <v>-4.3750000004365575E-2</v>
      </c>
      <c r="L254" s="45"/>
      <c r="M254" s="25"/>
      <c r="N254" s="22"/>
      <c r="O254" s="26"/>
      <c r="P254" s="35"/>
    </row>
    <row r="255" spans="1:16">
      <c r="A255" s="21" t="s">
        <v>2187</v>
      </c>
      <c r="B255" s="43" t="s">
        <v>2186</v>
      </c>
      <c r="C255" s="38" t="s">
        <v>2441</v>
      </c>
      <c r="D255" s="44" t="s">
        <v>2515</v>
      </c>
      <c r="E255" s="35" t="s">
        <v>1710</v>
      </c>
      <c r="F255" s="35" t="s">
        <v>1710</v>
      </c>
      <c r="G255" s="39">
        <v>45512.395833333336</v>
      </c>
      <c r="H255" s="36">
        <v>45512.416666666664</v>
      </c>
      <c r="I255" s="47">
        <v>6.25E-2</v>
      </c>
      <c r="J255" s="47">
        <f t="shared" si="6"/>
        <v>2.0833333328482695E-2</v>
      </c>
      <c r="K255" s="24">
        <f t="shared" si="7"/>
        <v>-4.1666666671517305E-2</v>
      </c>
      <c r="L255" s="33"/>
      <c r="M255" s="25"/>
      <c r="N255" s="22"/>
      <c r="O255" s="26"/>
      <c r="P255" s="35"/>
    </row>
    <row r="256" spans="1:16">
      <c r="A256" s="21" t="s">
        <v>2187</v>
      </c>
      <c r="B256" s="43" t="s">
        <v>2186</v>
      </c>
      <c r="C256" s="38" t="s">
        <v>2442</v>
      </c>
      <c r="D256" s="44" t="s">
        <v>2515</v>
      </c>
      <c r="E256" s="35" t="s">
        <v>1710</v>
      </c>
      <c r="F256" s="35" t="s">
        <v>1710</v>
      </c>
      <c r="G256" s="39">
        <v>45512.395833333336</v>
      </c>
      <c r="H256" s="36">
        <v>45512.418055555558</v>
      </c>
      <c r="I256" s="47">
        <v>6.25E-2</v>
      </c>
      <c r="J256" s="47">
        <f t="shared" si="6"/>
        <v>2.2222222221898846E-2</v>
      </c>
      <c r="K256" s="24">
        <f t="shared" si="7"/>
        <v>-4.0277777778101154E-2</v>
      </c>
      <c r="L256" s="33"/>
      <c r="M256" s="19"/>
      <c r="N256" s="22"/>
      <c r="O256" s="26"/>
      <c r="P256" s="35"/>
    </row>
    <row r="257" spans="1:16">
      <c r="A257" s="21" t="s">
        <v>2187</v>
      </c>
      <c r="B257" s="43" t="s">
        <v>2186</v>
      </c>
      <c r="C257" s="38" t="s">
        <v>2443</v>
      </c>
      <c r="D257" s="44" t="s">
        <v>2515</v>
      </c>
      <c r="E257" s="35" t="s">
        <v>1710</v>
      </c>
      <c r="F257" s="35" t="s">
        <v>1710</v>
      </c>
      <c r="G257" s="39">
        <v>45512.395833333336</v>
      </c>
      <c r="H257" s="36">
        <v>45512.418749999997</v>
      </c>
      <c r="I257" s="47">
        <v>6.25E-2</v>
      </c>
      <c r="J257" s="47">
        <f t="shared" si="6"/>
        <v>2.2916666661330964E-2</v>
      </c>
      <c r="K257" s="24">
        <f t="shared" si="7"/>
        <v>-3.9583333338669036E-2</v>
      </c>
      <c r="L257" s="45"/>
      <c r="M257" s="25"/>
      <c r="N257" s="22"/>
      <c r="O257" s="26"/>
      <c r="P257" s="35"/>
    </row>
    <row r="258" spans="1:16">
      <c r="A258" s="21" t="s">
        <v>2187</v>
      </c>
      <c r="B258" s="43" t="s">
        <v>2186</v>
      </c>
      <c r="C258" s="38" t="s">
        <v>2444</v>
      </c>
      <c r="D258" s="44" t="s">
        <v>2515</v>
      </c>
      <c r="E258" s="35" t="s">
        <v>1710</v>
      </c>
      <c r="F258" s="35" t="s">
        <v>1710</v>
      </c>
      <c r="G258" s="39">
        <v>45512.395833333336</v>
      </c>
      <c r="H258" s="36">
        <v>45512.420138888891</v>
      </c>
      <c r="I258" s="47">
        <v>6.25E-2</v>
      </c>
      <c r="J258" s="47">
        <f t="shared" ref="J258:J321" si="8">H258-G258</f>
        <v>2.4305555554747116E-2</v>
      </c>
      <c r="K258" s="24">
        <f t="shared" ref="K258:K321" si="9">J258-I258</f>
        <v>-3.8194444445252884E-2</v>
      </c>
      <c r="L258" s="45"/>
      <c r="M258" s="25"/>
      <c r="N258" s="22"/>
      <c r="O258" s="26"/>
      <c r="P258" s="35"/>
    </row>
    <row r="259" spans="1:16">
      <c r="A259" s="21" t="s">
        <v>2187</v>
      </c>
      <c r="B259" s="43" t="s">
        <v>2186</v>
      </c>
      <c r="C259" s="38" t="s">
        <v>2445</v>
      </c>
      <c r="D259" s="44" t="s">
        <v>2515</v>
      </c>
      <c r="E259" s="35" t="s">
        <v>2177</v>
      </c>
      <c r="F259" s="35" t="s">
        <v>1710</v>
      </c>
      <c r="G259" s="39">
        <v>45512.395833333336</v>
      </c>
      <c r="H259" s="36">
        <v>45512.425694444442</v>
      </c>
      <c r="I259" s="47">
        <v>6.25E-2</v>
      </c>
      <c r="J259" s="47">
        <f t="shared" si="8"/>
        <v>2.9861111106583849E-2</v>
      </c>
      <c r="K259" s="24">
        <f t="shared" si="9"/>
        <v>-3.2638888893416151E-2</v>
      </c>
      <c r="L259" s="45"/>
      <c r="M259" s="25"/>
      <c r="N259" s="22"/>
      <c r="O259" s="26"/>
      <c r="P259" s="35"/>
    </row>
    <row r="260" spans="1:16">
      <c r="A260" s="21" t="s">
        <v>2187</v>
      </c>
      <c r="B260" s="43" t="s">
        <v>2186</v>
      </c>
      <c r="C260" s="38" t="s">
        <v>2446</v>
      </c>
      <c r="D260" s="44" t="s">
        <v>2515</v>
      </c>
      <c r="E260" s="35" t="s">
        <v>1710</v>
      </c>
      <c r="F260" s="35" t="s">
        <v>1710</v>
      </c>
      <c r="G260" s="39">
        <v>45512.395833333336</v>
      </c>
      <c r="H260" s="36">
        <v>45512.426388888889</v>
      </c>
      <c r="I260" s="47">
        <v>6.25E-2</v>
      </c>
      <c r="J260" s="47">
        <f t="shared" si="8"/>
        <v>3.0555555553291924E-2</v>
      </c>
      <c r="K260" s="24">
        <f t="shared" si="9"/>
        <v>-3.1944444446708076E-2</v>
      </c>
      <c r="L260" s="33"/>
      <c r="M260" s="25"/>
      <c r="N260" s="22"/>
      <c r="O260" s="26"/>
      <c r="P260" s="35"/>
    </row>
    <row r="261" spans="1:16">
      <c r="A261" s="21" t="s">
        <v>2187</v>
      </c>
      <c r="B261" s="43" t="s">
        <v>2186</v>
      </c>
      <c r="C261" s="38" t="s">
        <v>2447</v>
      </c>
      <c r="D261" s="44" t="s">
        <v>2515</v>
      </c>
      <c r="E261" s="35" t="s">
        <v>1710</v>
      </c>
      <c r="F261" s="35" t="s">
        <v>1710</v>
      </c>
      <c r="G261" s="39">
        <v>45512.427083333336</v>
      </c>
      <c r="H261" s="36">
        <v>45512.432638888888</v>
      </c>
      <c r="I261" s="47">
        <v>6.25E-2</v>
      </c>
      <c r="J261" s="47">
        <f t="shared" si="8"/>
        <v>5.5555555518367328E-3</v>
      </c>
      <c r="K261" s="24">
        <f t="shared" si="9"/>
        <v>-5.6944444448163267E-2</v>
      </c>
      <c r="L261" s="33"/>
      <c r="M261" s="19"/>
      <c r="N261" s="22"/>
      <c r="O261" s="26"/>
      <c r="P261" s="35"/>
    </row>
    <row r="262" spans="1:16">
      <c r="A262" s="21" t="s">
        <v>2187</v>
      </c>
      <c r="B262" s="43" t="s">
        <v>2186</v>
      </c>
      <c r="C262" s="38" t="s">
        <v>2448</v>
      </c>
      <c r="D262" s="44" t="s">
        <v>2515</v>
      </c>
      <c r="E262" s="35" t="s">
        <v>1710</v>
      </c>
      <c r="F262" s="35" t="s">
        <v>1710</v>
      </c>
      <c r="G262" s="39">
        <v>45512.427083333336</v>
      </c>
      <c r="H262" s="36">
        <v>45512.435416666667</v>
      </c>
      <c r="I262" s="47">
        <v>6.25E-2</v>
      </c>
      <c r="J262" s="47">
        <f t="shared" si="8"/>
        <v>8.333333331393078E-3</v>
      </c>
      <c r="K262" s="24">
        <f t="shared" si="9"/>
        <v>-5.4166666668606922E-2</v>
      </c>
      <c r="L262" s="33"/>
      <c r="M262" s="25"/>
      <c r="N262" s="22"/>
      <c r="O262" s="26"/>
      <c r="P262" s="35"/>
    </row>
    <row r="263" spans="1:16">
      <c r="A263" s="21" t="s">
        <v>2187</v>
      </c>
      <c r="B263" s="43" t="s">
        <v>2186</v>
      </c>
      <c r="C263" s="38" t="s">
        <v>2449</v>
      </c>
      <c r="D263" s="44" t="s">
        <v>2515</v>
      </c>
      <c r="E263" s="35" t="s">
        <v>2178</v>
      </c>
      <c r="F263" s="35" t="s">
        <v>2181</v>
      </c>
      <c r="G263" s="39">
        <v>45512.552083333336</v>
      </c>
      <c r="H263" s="36">
        <v>45512.629861111112</v>
      </c>
      <c r="I263" s="47">
        <v>6.25E-2</v>
      </c>
      <c r="J263" s="47">
        <f t="shared" si="8"/>
        <v>7.7777777776645962E-2</v>
      </c>
      <c r="K263" s="24">
        <f t="shared" si="9"/>
        <v>1.5277777776645962E-2</v>
      </c>
      <c r="L263" s="45"/>
      <c r="M263" s="25"/>
      <c r="N263" s="22"/>
      <c r="O263" s="26"/>
      <c r="P263" s="35"/>
    </row>
    <row r="264" spans="1:16">
      <c r="A264" s="21" t="s">
        <v>2187</v>
      </c>
      <c r="B264" s="43" t="s">
        <v>2186</v>
      </c>
      <c r="C264" s="38" t="s">
        <v>2450</v>
      </c>
      <c r="D264" s="44" t="s">
        <v>2515</v>
      </c>
      <c r="E264" s="35" t="s">
        <v>1710</v>
      </c>
      <c r="F264" s="35" t="s">
        <v>1710</v>
      </c>
      <c r="G264" s="39">
        <v>45512.552083333336</v>
      </c>
      <c r="H264" s="36">
        <v>45512.560416666667</v>
      </c>
      <c r="I264" s="47">
        <v>6.25E-2</v>
      </c>
      <c r="J264" s="47">
        <f t="shared" si="8"/>
        <v>8.333333331393078E-3</v>
      </c>
      <c r="K264" s="24">
        <f t="shared" si="9"/>
        <v>-5.4166666668606922E-2</v>
      </c>
      <c r="L264" s="33"/>
      <c r="M264" s="19"/>
      <c r="N264" s="22"/>
      <c r="O264" s="26"/>
      <c r="P264" s="35"/>
    </row>
    <row r="265" spans="1:16">
      <c r="A265" s="21" t="s">
        <v>2187</v>
      </c>
      <c r="B265" s="43" t="s">
        <v>2186</v>
      </c>
      <c r="C265" s="38" t="s">
        <v>2451</v>
      </c>
      <c r="D265" s="44" t="s">
        <v>2515</v>
      </c>
      <c r="E265" s="35" t="s">
        <v>2178</v>
      </c>
      <c r="F265" s="35" t="s">
        <v>2181</v>
      </c>
      <c r="G265" s="39">
        <v>45512.552083333336</v>
      </c>
      <c r="H265" s="36">
        <v>45512.629861111112</v>
      </c>
      <c r="I265" s="47">
        <v>6.25E-2</v>
      </c>
      <c r="J265" s="47">
        <f t="shared" si="8"/>
        <v>7.7777777776645962E-2</v>
      </c>
      <c r="K265" s="24">
        <f t="shared" si="9"/>
        <v>1.5277777776645962E-2</v>
      </c>
      <c r="L265" s="33"/>
      <c r="M265" s="25"/>
      <c r="N265" s="22"/>
      <c r="O265" s="26"/>
      <c r="P265" s="35"/>
    </row>
    <row r="266" spans="1:16">
      <c r="A266" s="21" t="s">
        <v>2187</v>
      </c>
      <c r="B266" s="43" t="s">
        <v>2186</v>
      </c>
      <c r="C266" s="38" t="s">
        <v>2452</v>
      </c>
      <c r="D266" s="44" t="s">
        <v>2515</v>
      </c>
      <c r="E266" s="35" t="s">
        <v>2178</v>
      </c>
      <c r="F266" s="35" t="s">
        <v>2181</v>
      </c>
      <c r="G266" s="39">
        <v>45512.552083333336</v>
      </c>
      <c r="H266" s="36">
        <v>45512.606249999997</v>
      </c>
      <c r="I266" s="47">
        <v>6.25E-2</v>
      </c>
      <c r="J266" s="47">
        <f t="shared" si="8"/>
        <v>5.4166666661330964E-2</v>
      </c>
      <c r="K266" s="24">
        <f t="shared" si="9"/>
        <v>-8.3333333386690356E-3</v>
      </c>
      <c r="L266" s="45"/>
      <c r="M266" s="25"/>
      <c r="N266" s="22"/>
      <c r="O266" s="26"/>
      <c r="P266" s="35"/>
    </row>
    <row r="267" spans="1:16">
      <c r="A267" s="21" t="s">
        <v>2187</v>
      </c>
      <c r="B267" s="43" t="s">
        <v>2186</v>
      </c>
      <c r="C267" s="38" t="s">
        <v>2453</v>
      </c>
      <c r="D267" s="44" t="s">
        <v>2515</v>
      </c>
      <c r="E267" s="35" t="s">
        <v>1710</v>
      </c>
      <c r="F267" s="35" t="s">
        <v>1710</v>
      </c>
      <c r="G267" s="39">
        <v>45512.552083333336</v>
      </c>
      <c r="H267" s="36">
        <v>45512.568749999999</v>
      </c>
      <c r="I267" s="47">
        <v>6.25E-2</v>
      </c>
      <c r="J267" s="47">
        <f t="shared" si="8"/>
        <v>1.6666666662786156E-2</v>
      </c>
      <c r="K267" s="24">
        <f t="shared" si="9"/>
        <v>-4.5833333337213844E-2</v>
      </c>
      <c r="L267" s="33"/>
      <c r="M267" s="25"/>
      <c r="N267" s="22"/>
      <c r="O267" s="26"/>
      <c r="P267" s="35"/>
    </row>
    <row r="268" spans="1:16">
      <c r="A268" s="21" t="s">
        <v>2187</v>
      </c>
      <c r="B268" s="43" t="s">
        <v>2186</v>
      </c>
      <c r="C268" s="38" t="s">
        <v>2454</v>
      </c>
      <c r="D268" s="44" t="s">
        <v>2515</v>
      </c>
      <c r="E268" s="35" t="s">
        <v>1710</v>
      </c>
      <c r="F268" s="35" t="s">
        <v>1710</v>
      </c>
      <c r="G268" s="39">
        <v>45512.552083333336</v>
      </c>
      <c r="H268" s="36">
        <v>45512.568055555559</v>
      </c>
      <c r="I268" s="47">
        <v>6.25E-2</v>
      </c>
      <c r="J268" s="47">
        <f t="shared" si="8"/>
        <v>1.5972222223354038E-2</v>
      </c>
      <c r="K268" s="24">
        <f t="shared" si="9"/>
        <v>-4.6527777776645962E-2</v>
      </c>
      <c r="L268" s="33"/>
      <c r="M268" s="19"/>
      <c r="N268" s="22"/>
      <c r="O268" s="26"/>
      <c r="P268" s="35"/>
    </row>
    <row r="269" spans="1:16">
      <c r="A269" s="21" t="s">
        <v>2187</v>
      </c>
      <c r="B269" s="43" t="s">
        <v>2186</v>
      </c>
      <c r="C269" s="38" t="s">
        <v>2455</v>
      </c>
      <c r="D269" s="44" t="s">
        <v>2515</v>
      </c>
      <c r="E269" s="35" t="s">
        <v>1710</v>
      </c>
      <c r="F269" s="35" t="s">
        <v>1710</v>
      </c>
      <c r="G269" s="39">
        <v>45512.552083333336</v>
      </c>
      <c r="H269" s="36">
        <v>45512.574999999997</v>
      </c>
      <c r="I269" s="47">
        <v>6.25E-2</v>
      </c>
      <c r="J269" s="47">
        <f t="shared" si="8"/>
        <v>2.2916666661330964E-2</v>
      </c>
      <c r="K269" s="24">
        <f t="shared" si="9"/>
        <v>-3.9583333338669036E-2</v>
      </c>
      <c r="L269" s="45"/>
      <c r="M269" s="25"/>
      <c r="N269" s="22"/>
      <c r="O269" s="26"/>
      <c r="P269" s="35"/>
    </row>
    <row r="270" spans="1:16">
      <c r="A270" s="21" t="s">
        <v>2187</v>
      </c>
      <c r="B270" s="43" t="s">
        <v>2186</v>
      </c>
      <c r="C270" s="38" t="s">
        <v>2456</v>
      </c>
      <c r="D270" s="44" t="s">
        <v>2515</v>
      </c>
      <c r="E270" s="35" t="s">
        <v>1710</v>
      </c>
      <c r="F270" s="35" t="s">
        <v>1710</v>
      </c>
      <c r="G270" s="39">
        <v>45512.552083333336</v>
      </c>
      <c r="H270" s="36">
        <v>45512.573611111111</v>
      </c>
      <c r="I270" s="47">
        <v>6.25E-2</v>
      </c>
      <c r="J270" s="47">
        <f t="shared" si="8"/>
        <v>2.1527777775190771E-2</v>
      </c>
      <c r="K270" s="24">
        <f t="shared" si="9"/>
        <v>-4.0972222224809229E-2</v>
      </c>
      <c r="L270" s="45"/>
      <c r="M270" s="25"/>
      <c r="N270" s="22"/>
      <c r="O270" s="26"/>
      <c r="P270" s="35"/>
    </row>
    <row r="271" spans="1:16">
      <c r="A271" s="21" t="s">
        <v>2187</v>
      </c>
      <c r="B271" s="43" t="s">
        <v>2186</v>
      </c>
      <c r="C271" s="38" t="s">
        <v>2457</v>
      </c>
      <c r="D271" s="44" t="s">
        <v>2515</v>
      </c>
      <c r="E271" s="35" t="s">
        <v>1710</v>
      </c>
      <c r="F271" s="35" t="s">
        <v>1710</v>
      </c>
      <c r="G271" s="39">
        <v>45512.552083333336</v>
      </c>
      <c r="H271" s="36">
        <v>45512.575694444444</v>
      </c>
      <c r="I271" s="47">
        <v>6.25E-2</v>
      </c>
      <c r="J271" s="47">
        <f t="shared" si="8"/>
        <v>2.361111110803904E-2</v>
      </c>
      <c r="K271" s="24">
        <f t="shared" si="9"/>
        <v>-3.888888889196096E-2</v>
      </c>
      <c r="L271" s="33"/>
      <c r="M271" s="25"/>
      <c r="N271" s="22"/>
      <c r="O271" s="26"/>
      <c r="P271" s="35"/>
    </row>
    <row r="272" spans="1:16">
      <c r="A272" s="21" t="s">
        <v>2187</v>
      </c>
      <c r="B272" s="43" t="s">
        <v>2186</v>
      </c>
      <c r="C272" s="38" t="s">
        <v>2458</v>
      </c>
      <c r="D272" s="44" t="s">
        <v>2515</v>
      </c>
      <c r="E272" s="35" t="s">
        <v>1710</v>
      </c>
      <c r="F272" s="35" t="s">
        <v>1710</v>
      </c>
      <c r="G272" s="39">
        <v>45512.552083333336</v>
      </c>
      <c r="H272" s="36">
        <v>45512.57708333333</v>
      </c>
      <c r="I272" s="47">
        <v>6.25E-2</v>
      </c>
      <c r="J272" s="47">
        <f t="shared" si="8"/>
        <v>2.4999999994179234E-2</v>
      </c>
      <c r="K272" s="24">
        <f t="shared" si="9"/>
        <v>-3.7500000005820766E-2</v>
      </c>
      <c r="L272" s="45"/>
      <c r="M272" s="25"/>
      <c r="N272" s="22"/>
      <c r="O272" s="26"/>
      <c r="P272" s="35"/>
    </row>
    <row r="273" spans="1:16">
      <c r="A273" s="21" t="s">
        <v>2187</v>
      </c>
      <c r="B273" s="43" t="s">
        <v>2186</v>
      </c>
      <c r="C273" s="38" t="s">
        <v>2459</v>
      </c>
      <c r="D273" s="44" t="s">
        <v>2515</v>
      </c>
      <c r="E273" s="35" t="s">
        <v>1710</v>
      </c>
      <c r="F273" s="35" t="s">
        <v>1710</v>
      </c>
      <c r="G273" s="39">
        <v>45512.552083333336</v>
      </c>
      <c r="H273" s="36">
        <v>45512.578472222223</v>
      </c>
      <c r="I273" s="47">
        <v>6.25E-2</v>
      </c>
      <c r="J273" s="47">
        <f t="shared" si="8"/>
        <v>2.6388888887595385E-2</v>
      </c>
      <c r="K273" s="24">
        <f t="shared" si="9"/>
        <v>-3.6111111112404615E-2</v>
      </c>
      <c r="L273" s="33"/>
      <c r="M273" s="25"/>
      <c r="N273" s="22"/>
      <c r="O273" s="26"/>
      <c r="P273" s="35"/>
    </row>
    <row r="274" spans="1:16">
      <c r="A274" s="21" t="s">
        <v>2187</v>
      </c>
      <c r="B274" s="43" t="s">
        <v>2186</v>
      </c>
      <c r="C274" s="38" t="s">
        <v>2460</v>
      </c>
      <c r="D274" s="44" t="s">
        <v>2515</v>
      </c>
      <c r="E274" s="35" t="s">
        <v>2177</v>
      </c>
      <c r="F274" s="35" t="s">
        <v>1710</v>
      </c>
      <c r="G274" s="39">
        <v>45512.552083333336</v>
      </c>
      <c r="H274" s="36">
        <v>45512.620833333334</v>
      </c>
      <c r="I274" s="47">
        <v>6.25E-2</v>
      </c>
      <c r="J274" s="47">
        <f t="shared" si="8"/>
        <v>6.8749999998544808E-2</v>
      </c>
      <c r="K274" s="24">
        <f t="shared" si="9"/>
        <v>6.2499999985448085E-3</v>
      </c>
      <c r="L274" s="33"/>
      <c r="M274" s="25"/>
      <c r="N274" s="22"/>
      <c r="O274" s="26"/>
      <c r="P274" s="35"/>
    </row>
    <row r="275" spans="1:16">
      <c r="A275" s="21" t="s">
        <v>2187</v>
      </c>
      <c r="B275" s="43" t="s">
        <v>2186</v>
      </c>
      <c r="C275" s="38" t="s">
        <v>2461</v>
      </c>
      <c r="D275" s="44" t="s">
        <v>2515</v>
      </c>
      <c r="E275" s="35" t="s">
        <v>1710</v>
      </c>
      <c r="F275" s="35" t="s">
        <v>1710</v>
      </c>
      <c r="G275" s="39">
        <v>45512.552083333336</v>
      </c>
      <c r="H275" s="36">
        <v>45512.582638888889</v>
      </c>
      <c r="I275" s="47">
        <v>6.25E-2</v>
      </c>
      <c r="J275" s="47">
        <f t="shared" si="8"/>
        <v>3.0555555553291924E-2</v>
      </c>
      <c r="K275" s="24">
        <f t="shared" si="9"/>
        <v>-3.1944444446708076E-2</v>
      </c>
      <c r="L275" s="45"/>
      <c r="M275" s="25"/>
      <c r="N275" s="22"/>
      <c r="O275" s="26"/>
      <c r="P275" s="35"/>
    </row>
    <row r="276" spans="1:16">
      <c r="A276" s="21" t="s">
        <v>2187</v>
      </c>
      <c r="B276" s="43" t="s">
        <v>2186</v>
      </c>
      <c r="C276" s="38" t="s">
        <v>2462</v>
      </c>
      <c r="D276" s="44" t="s">
        <v>2515</v>
      </c>
      <c r="E276" s="35" t="s">
        <v>1710</v>
      </c>
      <c r="F276" s="35" t="s">
        <v>1710</v>
      </c>
      <c r="G276" s="39">
        <v>45512.552083333336</v>
      </c>
      <c r="H276" s="36">
        <v>45512.584027777775</v>
      </c>
      <c r="I276" s="47">
        <v>6.25E-2</v>
      </c>
      <c r="J276" s="47">
        <f t="shared" si="8"/>
        <v>3.1944444439432118E-2</v>
      </c>
      <c r="K276" s="24">
        <f t="shared" si="9"/>
        <v>-3.0555555560567882E-2</v>
      </c>
      <c r="L276" s="33"/>
      <c r="M276" s="25"/>
      <c r="N276" s="22"/>
      <c r="O276" s="26"/>
      <c r="P276" s="35"/>
    </row>
    <row r="277" spans="1:16">
      <c r="A277" s="21" t="s">
        <v>2187</v>
      </c>
      <c r="B277" s="43" t="s">
        <v>2186</v>
      </c>
      <c r="C277" s="38" t="s">
        <v>2463</v>
      </c>
      <c r="D277" s="44" t="s">
        <v>2515</v>
      </c>
      <c r="E277" s="35" t="s">
        <v>1710</v>
      </c>
      <c r="F277" s="35" t="s">
        <v>1710</v>
      </c>
      <c r="G277" s="39">
        <v>45512.552083333336</v>
      </c>
      <c r="H277" s="36">
        <v>45512.585416666669</v>
      </c>
      <c r="I277" s="47">
        <v>6.25E-2</v>
      </c>
      <c r="J277" s="47">
        <f t="shared" si="8"/>
        <v>3.3333333332848269E-2</v>
      </c>
      <c r="K277" s="24">
        <f t="shared" si="9"/>
        <v>-2.9166666667151731E-2</v>
      </c>
      <c r="L277" s="33"/>
      <c r="M277" s="25"/>
      <c r="N277" s="22"/>
      <c r="O277" s="26"/>
      <c r="P277" s="35"/>
    </row>
    <row r="278" spans="1:16">
      <c r="A278" s="21" t="s">
        <v>2187</v>
      </c>
      <c r="B278" s="43" t="s">
        <v>2186</v>
      </c>
      <c r="C278" s="38" t="s">
        <v>2464</v>
      </c>
      <c r="D278" s="44" t="s">
        <v>2515</v>
      </c>
      <c r="E278" s="35" t="s">
        <v>1710</v>
      </c>
      <c r="F278" s="35" t="s">
        <v>2516</v>
      </c>
      <c r="G278" s="39">
        <v>45512.583333333336</v>
      </c>
      <c r="H278" s="36">
        <v>45512.59097222222</v>
      </c>
      <c r="I278" s="47">
        <v>6.25E-2</v>
      </c>
      <c r="J278" s="47">
        <f t="shared" si="8"/>
        <v>7.6388888846850023E-3</v>
      </c>
      <c r="K278" s="24">
        <f t="shared" si="9"/>
        <v>-5.4861111115314998E-2</v>
      </c>
      <c r="L278" s="45"/>
      <c r="M278" s="25"/>
      <c r="N278" s="22"/>
      <c r="O278" s="26"/>
      <c r="P278" s="35"/>
    </row>
    <row r="279" spans="1:16">
      <c r="A279" s="21" t="s">
        <v>2187</v>
      </c>
      <c r="B279" s="43" t="s">
        <v>2186</v>
      </c>
      <c r="C279" s="38" t="s">
        <v>2465</v>
      </c>
      <c r="D279" s="44" t="s">
        <v>2515</v>
      </c>
      <c r="E279" s="35" t="s">
        <v>1710</v>
      </c>
      <c r="F279" s="35" t="s">
        <v>2516</v>
      </c>
      <c r="G279" s="39">
        <v>45512.59375</v>
      </c>
      <c r="H279" s="36">
        <v>45512.594444444447</v>
      </c>
      <c r="I279" s="47">
        <v>6.25E-2</v>
      </c>
      <c r="J279" s="47">
        <f t="shared" si="8"/>
        <v>6.944444467080757E-4</v>
      </c>
      <c r="K279" s="24">
        <f t="shared" si="9"/>
        <v>-6.1805555553291924E-2</v>
      </c>
      <c r="L279" s="33"/>
      <c r="M279" s="25"/>
      <c r="N279" s="22"/>
      <c r="O279" s="26"/>
      <c r="P279" s="35"/>
    </row>
    <row r="280" spans="1:16">
      <c r="A280" s="21" t="s">
        <v>2187</v>
      </c>
      <c r="B280" s="43" t="s">
        <v>2186</v>
      </c>
      <c r="C280" s="38" t="s">
        <v>2466</v>
      </c>
      <c r="D280" s="44" t="s">
        <v>2515</v>
      </c>
      <c r="E280" s="35" t="s">
        <v>1710</v>
      </c>
      <c r="F280" s="35" t="s">
        <v>2516</v>
      </c>
      <c r="G280" s="39">
        <v>45512.59375</v>
      </c>
      <c r="H280" s="36">
        <v>45512.595833333333</v>
      </c>
      <c r="I280" s="47">
        <v>6.25E-2</v>
      </c>
      <c r="J280" s="47">
        <f t="shared" si="8"/>
        <v>2.0833333328482695E-3</v>
      </c>
      <c r="K280" s="24">
        <f t="shared" si="9"/>
        <v>-6.0416666667151731E-2</v>
      </c>
      <c r="L280" s="33"/>
      <c r="M280" s="19"/>
      <c r="N280" s="22"/>
      <c r="O280" s="26"/>
      <c r="P280" s="35"/>
    </row>
    <row r="281" spans="1:16">
      <c r="A281" s="21" t="s">
        <v>2187</v>
      </c>
      <c r="B281" s="43" t="s">
        <v>2186</v>
      </c>
      <c r="C281" s="38" t="s">
        <v>2467</v>
      </c>
      <c r="D281" s="44" t="s">
        <v>2515</v>
      </c>
      <c r="E281" s="35" t="s">
        <v>1710</v>
      </c>
      <c r="F281" s="35" t="s">
        <v>1710</v>
      </c>
      <c r="G281" s="39">
        <v>45512.59375</v>
      </c>
      <c r="H281" s="36">
        <v>45512.599305555559</v>
      </c>
      <c r="I281" s="47">
        <v>6.25E-2</v>
      </c>
      <c r="J281" s="47">
        <f t="shared" si="8"/>
        <v>5.5555555591126904E-3</v>
      </c>
      <c r="K281" s="24">
        <f t="shared" si="9"/>
        <v>-5.694444444088731E-2</v>
      </c>
      <c r="L281" s="33"/>
      <c r="M281" s="25"/>
      <c r="N281" s="22"/>
      <c r="O281" s="26"/>
      <c r="P281" s="35"/>
    </row>
    <row r="282" spans="1:16">
      <c r="A282" s="21" t="s">
        <v>2187</v>
      </c>
      <c r="B282" s="43" t="s">
        <v>2186</v>
      </c>
      <c r="C282" s="38" t="s">
        <v>2468</v>
      </c>
      <c r="D282" s="44" t="s">
        <v>2515</v>
      </c>
      <c r="E282" s="35" t="s">
        <v>1710</v>
      </c>
      <c r="F282" s="35" t="s">
        <v>1710</v>
      </c>
      <c r="G282" s="39">
        <v>45512.59375</v>
      </c>
      <c r="H282" s="36">
        <v>45512.601388888892</v>
      </c>
      <c r="I282" s="47">
        <v>6.25E-2</v>
      </c>
      <c r="J282" s="47">
        <f t="shared" si="8"/>
        <v>7.6388888919609599E-3</v>
      </c>
      <c r="K282" s="24">
        <f t="shared" si="9"/>
        <v>-5.486111110803904E-2</v>
      </c>
      <c r="L282" s="33"/>
      <c r="M282" s="25"/>
      <c r="N282" s="22"/>
      <c r="O282" s="26"/>
      <c r="P282" s="35"/>
    </row>
    <row r="283" spans="1:16">
      <c r="A283" s="21" t="s">
        <v>2187</v>
      </c>
      <c r="B283" s="43" t="s">
        <v>2186</v>
      </c>
      <c r="C283" s="38" t="s">
        <v>2469</v>
      </c>
      <c r="D283" s="44" t="s">
        <v>2515</v>
      </c>
      <c r="E283" s="35" t="s">
        <v>1710</v>
      </c>
      <c r="F283" s="35" t="s">
        <v>2182</v>
      </c>
      <c r="G283" s="39">
        <v>45513.375</v>
      </c>
      <c r="H283" s="36">
        <v>45513.386111111111</v>
      </c>
      <c r="I283" s="47">
        <v>6.25E-2</v>
      </c>
      <c r="J283" s="47">
        <f t="shared" si="8"/>
        <v>1.1111111110949423E-2</v>
      </c>
      <c r="K283" s="24">
        <f t="shared" si="9"/>
        <v>-5.1388888889050577E-2</v>
      </c>
      <c r="L283" s="45"/>
      <c r="M283" s="25"/>
      <c r="N283" s="22"/>
      <c r="O283" s="26"/>
      <c r="P283" s="35"/>
    </row>
    <row r="284" spans="1:16">
      <c r="A284" s="21" t="s">
        <v>2187</v>
      </c>
      <c r="B284" s="43" t="s">
        <v>2186</v>
      </c>
      <c r="C284" s="38" t="s">
        <v>2470</v>
      </c>
      <c r="D284" s="44" t="s">
        <v>2515</v>
      </c>
      <c r="E284" s="35" t="s">
        <v>1710</v>
      </c>
      <c r="F284" s="35" t="s">
        <v>2182</v>
      </c>
      <c r="G284" s="39">
        <v>45513.375</v>
      </c>
      <c r="H284" s="36">
        <v>45513.388888888891</v>
      </c>
      <c r="I284" s="47">
        <v>6.25E-2</v>
      </c>
      <c r="J284" s="47">
        <f t="shared" si="8"/>
        <v>1.3888888890505768E-2</v>
      </c>
      <c r="K284" s="24">
        <f t="shared" si="9"/>
        <v>-4.8611111109494232E-2</v>
      </c>
      <c r="L284" s="33"/>
      <c r="M284" s="25"/>
      <c r="N284" s="22"/>
      <c r="O284" s="26"/>
      <c r="P284" s="35"/>
    </row>
    <row r="285" spans="1:16">
      <c r="A285" s="21" t="s">
        <v>2187</v>
      </c>
      <c r="B285" s="43" t="s">
        <v>2186</v>
      </c>
      <c r="C285" s="38" t="s">
        <v>2471</v>
      </c>
      <c r="D285" s="44" t="s">
        <v>2515</v>
      </c>
      <c r="E285" s="35" t="s">
        <v>1710</v>
      </c>
      <c r="F285" s="35" t="s">
        <v>2516</v>
      </c>
      <c r="G285" s="39">
        <v>45513.375</v>
      </c>
      <c r="H285" s="36">
        <v>45513.392361111109</v>
      </c>
      <c r="I285" s="47">
        <v>6.25E-2</v>
      </c>
      <c r="J285" s="47">
        <f t="shared" si="8"/>
        <v>1.7361111109494232E-2</v>
      </c>
      <c r="K285" s="24">
        <f t="shared" si="9"/>
        <v>-4.5138888890505768E-2</v>
      </c>
      <c r="L285" s="45"/>
      <c r="M285" s="25"/>
      <c r="N285" s="22"/>
      <c r="O285" s="26"/>
      <c r="P285" s="35"/>
    </row>
    <row r="286" spans="1:16">
      <c r="A286" s="21" t="s">
        <v>2187</v>
      </c>
      <c r="B286" s="43" t="s">
        <v>2186</v>
      </c>
      <c r="C286" s="38" t="s">
        <v>2472</v>
      </c>
      <c r="D286" s="44" t="s">
        <v>2515</v>
      </c>
      <c r="E286" s="35" t="s">
        <v>1710</v>
      </c>
      <c r="F286" s="35" t="s">
        <v>2516</v>
      </c>
      <c r="G286" s="39">
        <v>45513.395833333336</v>
      </c>
      <c r="H286" s="36">
        <v>45513.398611111108</v>
      </c>
      <c r="I286" s="47">
        <v>6.25E-2</v>
      </c>
      <c r="J286" s="47">
        <f t="shared" si="8"/>
        <v>2.7777777722803876E-3</v>
      </c>
      <c r="K286" s="24">
        <f t="shared" si="9"/>
        <v>-5.9722222227719612E-2</v>
      </c>
      <c r="L286" s="45"/>
      <c r="M286" s="25"/>
      <c r="N286" s="22"/>
      <c r="O286" s="26"/>
      <c r="P286" s="35"/>
    </row>
    <row r="287" spans="1:16">
      <c r="A287" s="21" t="s">
        <v>2187</v>
      </c>
      <c r="B287" s="43" t="s">
        <v>2186</v>
      </c>
      <c r="C287" s="38" t="s">
        <v>2473</v>
      </c>
      <c r="D287" s="44" t="s">
        <v>2515</v>
      </c>
      <c r="E287" s="35" t="s">
        <v>1710</v>
      </c>
      <c r="F287" s="35" t="s">
        <v>2516</v>
      </c>
      <c r="G287" s="39">
        <v>45513.395833333336</v>
      </c>
      <c r="H287" s="36">
        <v>45513.4</v>
      </c>
      <c r="I287" s="47">
        <v>6.25E-2</v>
      </c>
      <c r="J287" s="47">
        <f t="shared" si="8"/>
        <v>4.166666665696539E-3</v>
      </c>
      <c r="K287" s="24">
        <f t="shared" si="9"/>
        <v>-5.8333333334303461E-2</v>
      </c>
      <c r="L287" s="33"/>
      <c r="M287" s="19"/>
      <c r="N287" s="22"/>
      <c r="O287" s="26"/>
      <c r="P287" s="35"/>
    </row>
    <row r="288" spans="1:16">
      <c r="A288" s="21" t="s">
        <v>2187</v>
      </c>
      <c r="B288" s="43" t="s">
        <v>2186</v>
      </c>
      <c r="C288" s="38" t="s">
        <v>2474</v>
      </c>
      <c r="D288" s="44" t="s">
        <v>2515</v>
      </c>
      <c r="E288" s="35" t="s">
        <v>1710</v>
      </c>
      <c r="F288" s="35" t="s">
        <v>1710</v>
      </c>
      <c r="G288" s="39">
        <v>45513.395833333336</v>
      </c>
      <c r="H288" s="36">
        <v>45513.404861111114</v>
      </c>
      <c r="I288" s="47">
        <v>6.25E-2</v>
      </c>
      <c r="J288" s="47">
        <f t="shared" si="8"/>
        <v>9.0277777781011537E-3</v>
      </c>
      <c r="K288" s="24">
        <f t="shared" si="9"/>
        <v>-5.3472222221898846E-2</v>
      </c>
      <c r="L288" s="33"/>
      <c r="M288" s="19"/>
      <c r="N288" s="22"/>
      <c r="O288" s="26"/>
      <c r="P288" s="35"/>
    </row>
    <row r="289" spans="1:16">
      <c r="A289" s="21" t="s">
        <v>2187</v>
      </c>
      <c r="B289" s="43" t="s">
        <v>2186</v>
      </c>
      <c r="C289" s="38" t="s">
        <v>2475</v>
      </c>
      <c r="D289" s="44" t="s">
        <v>2515</v>
      </c>
      <c r="E289" s="35" t="s">
        <v>1710</v>
      </c>
      <c r="F289" s="35" t="s">
        <v>1710</v>
      </c>
      <c r="G289" s="39">
        <v>45513.395833333336</v>
      </c>
      <c r="H289" s="36">
        <v>45513.407638888886</v>
      </c>
      <c r="I289" s="47">
        <v>6.25E-2</v>
      </c>
      <c r="J289" s="47">
        <f t="shared" si="8"/>
        <v>1.1805555550381541E-2</v>
      </c>
      <c r="K289" s="24">
        <f t="shared" si="9"/>
        <v>-5.0694444449618459E-2</v>
      </c>
      <c r="L289" s="45"/>
      <c r="M289" s="25"/>
      <c r="N289" s="22"/>
      <c r="O289" s="26"/>
      <c r="P289" s="35"/>
    </row>
    <row r="290" spans="1:16">
      <c r="A290" s="21" t="s">
        <v>2187</v>
      </c>
      <c r="B290" s="43" t="s">
        <v>2186</v>
      </c>
      <c r="C290" s="38" t="s">
        <v>2476</v>
      </c>
      <c r="D290" s="44" t="s">
        <v>2515</v>
      </c>
      <c r="E290" s="35" t="s">
        <v>1710</v>
      </c>
      <c r="F290" s="35" t="s">
        <v>1710</v>
      </c>
      <c r="G290" s="39">
        <v>45513.408333333333</v>
      </c>
      <c r="H290" s="36">
        <v>45513.411111111112</v>
      </c>
      <c r="I290" s="47">
        <v>6.25E-2</v>
      </c>
      <c r="J290" s="47">
        <f t="shared" si="8"/>
        <v>2.7777777795563452E-3</v>
      </c>
      <c r="K290" s="24">
        <f t="shared" si="9"/>
        <v>-5.9722222220443655E-2</v>
      </c>
      <c r="L290" s="45"/>
      <c r="M290" s="25"/>
      <c r="N290" s="22"/>
      <c r="O290" s="26"/>
      <c r="P290" s="35"/>
    </row>
    <row r="291" spans="1:16">
      <c r="A291" s="21" t="s">
        <v>2187</v>
      </c>
      <c r="B291" s="43" t="s">
        <v>2186</v>
      </c>
      <c r="C291" s="38" t="s">
        <v>2477</v>
      </c>
      <c r="D291" s="44" t="s">
        <v>2515</v>
      </c>
      <c r="E291" s="35" t="s">
        <v>1710</v>
      </c>
      <c r="F291" s="35" t="s">
        <v>1710</v>
      </c>
      <c r="G291" s="39">
        <v>45513.416666666664</v>
      </c>
      <c r="H291" s="36">
        <v>45513.419444444444</v>
      </c>
      <c r="I291" s="47">
        <v>6.25E-2</v>
      </c>
      <c r="J291" s="47">
        <f t="shared" si="8"/>
        <v>2.7777777795563452E-3</v>
      </c>
      <c r="K291" s="24">
        <f t="shared" si="9"/>
        <v>-5.9722222220443655E-2</v>
      </c>
      <c r="L291" s="33"/>
      <c r="M291" s="19"/>
      <c r="N291" s="22"/>
      <c r="O291" s="26"/>
      <c r="P291" s="35"/>
    </row>
    <row r="292" spans="1:16">
      <c r="A292" s="21" t="s">
        <v>2187</v>
      </c>
      <c r="B292" s="43" t="s">
        <v>2186</v>
      </c>
      <c r="C292" s="38" t="s">
        <v>2478</v>
      </c>
      <c r="D292" s="44" t="s">
        <v>2515</v>
      </c>
      <c r="E292" s="35" t="s">
        <v>2178</v>
      </c>
      <c r="F292" s="35" t="s">
        <v>2181</v>
      </c>
      <c r="G292" s="39">
        <v>45513.416666666664</v>
      </c>
      <c r="H292" s="36">
        <v>45513.470138888886</v>
      </c>
      <c r="I292" s="47">
        <v>6.25E-2</v>
      </c>
      <c r="J292" s="47">
        <f t="shared" si="8"/>
        <v>5.3472222221898846E-2</v>
      </c>
      <c r="K292" s="24">
        <f t="shared" si="9"/>
        <v>-9.0277777781011537E-3</v>
      </c>
      <c r="L292" s="33"/>
      <c r="M292" s="19"/>
      <c r="N292" s="22"/>
      <c r="O292" s="26"/>
      <c r="P292" s="35"/>
    </row>
    <row r="293" spans="1:16">
      <c r="A293" s="21" t="s">
        <v>2187</v>
      </c>
      <c r="B293" s="43" t="s">
        <v>2186</v>
      </c>
      <c r="C293" s="38" t="s">
        <v>2479</v>
      </c>
      <c r="D293" s="44" t="s">
        <v>2515</v>
      </c>
      <c r="E293" s="35" t="s">
        <v>1710</v>
      </c>
      <c r="F293" s="35" t="s">
        <v>1710</v>
      </c>
      <c r="G293" s="39">
        <v>45513.416666666664</v>
      </c>
      <c r="H293" s="36">
        <v>45513.422222222223</v>
      </c>
      <c r="I293" s="47">
        <v>6.25E-2</v>
      </c>
      <c r="J293" s="47">
        <f t="shared" si="8"/>
        <v>5.5555555591126904E-3</v>
      </c>
      <c r="K293" s="24">
        <f t="shared" si="9"/>
        <v>-5.694444444088731E-2</v>
      </c>
      <c r="L293" s="33"/>
      <c r="M293" s="19"/>
      <c r="N293" s="22"/>
      <c r="O293" s="26"/>
      <c r="P293" s="35"/>
    </row>
    <row r="294" spans="1:16">
      <c r="A294" s="21" t="s">
        <v>2187</v>
      </c>
      <c r="B294" s="43" t="s">
        <v>2186</v>
      </c>
      <c r="C294" s="38" t="s">
        <v>2480</v>
      </c>
      <c r="D294" s="44" t="s">
        <v>2515</v>
      </c>
      <c r="E294" s="35" t="s">
        <v>1710</v>
      </c>
      <c r="F294" s="35" t="s">
        <v>1710</v>
      </c>
      <c r="G294" s="39">
        <v>45513.416666666664</v>
      </c>
      <c r="H294" s="36">
        <v>45513.423611111109</v>
      </c>
      <c r="I294" s="47">
        <v>6.25E-2</v>
      </c>
      <c r="J294" s="47">
        <f t="shared" si="8"/>
        <v>6.9444444452528842E-3</v>
      </c>
      <c r="K294" s="24">
        <f t="shared" si="9"/>
        <v>-5.5555555554747116E-2</v>
      </c>
      <c r="L294" s="33"/>
      <c r="M294" s="19"/>
      <c r="N294" s="22"/>
      <c r="O294" s="26"/>
      <c r="P294" s="35"/>
    </row>
    <row r="295" spans="1:16">
      <c r="A295" s="21" t="s">
        <v>2187</v>
      </c>
      <c r="B295" s="43" t="s">
        <v>2186</v>
      </c>
      <c r="C295" s="38" t="s">
        <v>2481</v>
      </c>
      <c r="D295" s="44" t="s">
        <v>2515</v>
      </c>
      <c r="E295" s="35" t="s">
        <v>1710</v>
      </c>
      <c r="F295" s="35" t="s">
        <v>1710</v>
      </c>
      <c r="G295" s="39">
        <v>45513.416666666664</v>
      </c>
      <c r="H295" s="36">
        <v>45513.425000000003</v>
      </c>
      <c r="I295" s="47">
        <v>6.25E-2</v>
      </c>
      <c r="J295" s="47">
        <f t="shared" si="8"/>
        <v>8.3333333386690356E-3</v>
      </c>
      <c r="K295" s="24">
        <f t="shared" si="9"/>
        <v>-5.4166666661330964E-2</v>
      </c>
      <c r="L295" s="45"/>
      <c r="M295" s="25"/>
      <c r="N295" s="22"/>
      <c r="O295" s="26"/>
      <c r="P295" s="35"/>
    </row>
    <row r="296" spans="1:16">
      <c r="A296" s="21" t="s">
        <v>2187</v>
      </c>
      <c r="B296" s="43" t="s">
        <v>2186</v>
      </c>
      <c r="C296" s="38" t="s">
        <v>2482</v>
      </c>
      <c r="D296" s="44" t="s">
        <v>2515</v>
      </c>
      <c r="E296" s="35" t="s">
        <v>1710</v>
      </c>
      <c r="F296" s="35" t="s">
        <v>1710</v>
      </c>
      <c r="G296" s="39">
        <v>45513.416666666664</v>
      </c>
      <c r="H296" s="36">
        <v>45513.427083333336</v>
      </c>
      <c r="I296" s="47">
        <v>6.25E-2</v>
      </c>
      <c r="J296" s="47">
        <f t="shared" si="8"/>
        <v>1.0416666671517305E-2</v>
      </c>
      <c r="K296" s="24">
        <f t="shared" si="9"/>
        <v>-5.2083333328482695E-2</v>
      </c>
      <c r="L296" s="33"/>
      <c r="M296" s="19"/>
      <c r="N296" s="22"/>
      <c r="O296" s="26"/>
      <c r="P296" s="35"/>
    </row>
    <row r="297" spans="1:16">
      <c r="A297" s="21" t="s">
        <v>2187</v>
      </c>
      <c r="B297" s="43" t="s">
        <v>2186</v>
      </c>
      <c r="C297" s="38" t="s">
        <v>2483</v>
      </c>
      <c r="D297" s="44" t="s">
        <v>2515</v>
      </c>
      <c r="E297" s="35" t="s">
        <v>1710</v>
      </c>
      <c r="F297" s="35" t="s">
        <v>1710</v>
      </c>
      <c r="G297" s="39">
        <v>45513.416666666664</v>
      </c>
      <c r="H297" s="36">
        <v>45513.428472222222</v>
      </c>
      <c r="I297" s="47">
        <v>6.25E-2</v>
      </c>
      <c r="J297" s="47">
        <f t="shared" si="8"/>
        <v>1.1805555557657499E-2</v>
      </c>
      <c r="K297" s="24">
        <f t="shared" si="9"/>
        <v>-5.0694444442342501E-2</v>
      </c>
      <c r="L297" s="33"/>
      <c r="M297" s="19"/>
      <c r="N297" s="22"/>
      <c r="O297" s="26"/>
      <c r="P297" s="35"/>
    </row>
    <row r="298" spans="1:16">
      <c r="A298" s="21" t="s">
        <v>2187</v>
      </c>
      <c r="B298" s="43" t="s">
        <v>2186</v>
      </c>
      <c r="C298" s="38" t="s">
        <v>2484</v>
      </c>
      <c r="D298" s="44" t="s">
        <v>2515</v>
      </c>
      <c r="E298" s="35" t="s">
        <v>1710</v>
      </c>
      <c r="F298" s="35" t="s">
        <v>1710</v>
      </c>
      <c r="G298" s="39">
        <v>45513.416666666664</v>
      </c>
      <c r="H298" s="36">
        <v>45513.434027777781</v>
      </c>
      <c r="I298" s="47">
        <v>6.25E-2</v>
      </c>
      <c r="J298" s="47">
        <f t="shared" si="8"/>
        <v>1.7361111116770189E-2</v>
      </c>
      <c r="K298" s="24">
        <f t="shared" si="9"/>
        <v>-4.5138888883229811E-2</v>
      </c>
      <c r="L298" s="33"/>
      <c r="M298" s="19"/>
      <c r="N298" s="22"/>
      <c r="O298" s="26"/>
      <c r="P298" s="35"/>
    </row>
    <row r="299" spans="1:16">
      <c r="A299" s="21" t="s">
        <v>2187</v>
      </c>
      <c r="B299" s="43" t="s">
        <v>2186</v>
      </c>
      <c r="C299" s="38" t="s">
        <v>2485</v>
      </c>
      <c r="D299" s="44" t="s">
        <v>2515</v>
      </c>
      <c r="E299" s="35" t="s">
        <v>1710</v>
      </c>
      <c r="F299" s="35" t="s">
        <v>1710</v>
      </c>
      <c r="G299" s="39">
        <v>45513.416666666664</v>
      </c>
      <c r="H299" s="36">
        <v>45513.435416666667</v>
      </c>
      <c r="I299" s="47">
        <v>6.25E-2</v>
      </c>
      <c r="J299" s="47">
        <f t="shared" si="8"/>
        <v>1.8750000002910383E-2</v>
      </c>
      <c r="K299" s="24">
        <f t="shared" si="9"/>
        <v>-4.3749999997089617E-2</v>
      </c>
      <c r="L299" s="45"/>
      <c r="M299" s="25"/>
      <c r="N299" s="22"/>
      <c r="O299" s="26"/>
      <c r="P299" s="35"/>
    </row>
    <row r="300" spans="1:16">
      <c r="A300" s="21" t="s">
        <v>2187</v>
      </c>
      <c r="B300" s="43" t="s">
        <v>2186</v>
      </c>
      <c r="C300" s="38" t="s">
        <v>2486</v>
      </c>
      <c r="D300" s="44" t="s">
        <v>2515</v>
      </c>
      <c r="E300" s="35" t="s">
        <v>1710</v>
      </c>
      <c r="F300" s="35" t="s">
        <v>1710</v>
      </c>
      <c r="G300" s="39">
        <v>45513.416666666664</v>
      </c>
      <c r="H300" s="36">
        <v>45513.436805555553</v>
      </c>
      <c r="I300" s="47">
        <v>6.25E-2</v>
      </c>
      <c r="J300" s="47">
        <f t="shared" si="8"/>
        <v>2.0138888889050577E-2</v>
      </c>
      <c r="K300" s="24">
        <f t="shared" si="9"/>
        <v>-4.2361111110949423E-2</v>
      </c>
      <c r="L300" s="45"/>
      <c r="M300" s="25"/>
      <c r="N300" s="22"/>
      <c r="O300" s="26"/>
      <c r="P300" s="35"/>
    </row>
    <row r="301" spans="1:16">
      <c r="A301" s="21" t="s">
        <v>2187</v>
      </c>
      <c r="B301" s="43" t="s">
        <v>2186</v>
      </c>
      <c r="C301" s="38" t="s">
        <v>2487</v>
      </c>
      <c r="D301" s="44" t="s">
        <v>2515</v>
      </c>
      <c r="E301" s="35" t="s">
        <v>1710</v>
      </c>
      <c r="F301" s="35" t="s">
        <v>1710</v>
      </c>
      <c r="G301" s="39">
        <v>45513.416666666664</v>
      </c>
      <c r="H301" s="36">
        <v>45513.438194444447</v>
      </c>
      <c r="I301" s="47">
        <v>6.25E-2</v>
      </c>
      <c r="J301" s="47">
        <f t="shared" si="8"/>
        <v>2.1527777782466728E-2</v>
      </c>
      <c r="K301" s="24">
        <f t="shared" si="9"/>
        <v>-4.0972222217533272E-2</v>
      </c>
      <c r="L301" s="45"/>
      <c r="M301" s="25"/>
      <c r="N301" s="22"/>
      <c r="O301" s="26"/>
      <c r="P301" s="35"/>
    </row>
    <row r="302" spans="1:16">
      <c r="A302" s="21" t="s">
        <v>2187</v>
      </c>
      <c r="B302" s="43" t="s">
        <v>2186</v>
      </c>
      <c r="C302" s="38" t="s">
        <v>2488</v>
      </c>
      <c r="D302" s="44" t="s">
        <v>2515</v>
      </c>
      <c r="E302" s="35" t="s">
        <v>1710</v>
      </c>
      <c r="F302" s="35" t="s">
        <v>1710</v>
      </c>
      <c r="G302" s="39">
        <v>45513.416666666664</v>
      </c>
      <c r="H302" s="36">
        <v>45513.439583333333</v>
      </c>
      <c r="I302" s="47">
        <v>6.25E-2</v>
      </c>
      <c r="J302" s="47">
        <f t="shared" si="8"/>
        <v>2.2916666668606922E-2</v>
      </c>
      <c r="K302" s="24">
        <f t="shared" si="9"/>
        <v>-3.9583333331393078E-2</v>
      </c>
      <c r="L302" s="45"/>
      <c r="M302" s="25"/>
      <c r="N302" s="22"/>
      <c r="O302" s="26"/>
      <c r="P302" s="35"/>
    </row>
    <row r="303" spans="1:16">
      <c r="A303" s="21" t="s">
        <v>2187</v>
      </c>
      <c r="B303" s="43" t="s">
        <v>2186</v>
      </c>
      <c r="C303" s="38" t="s">
        <v>2489</v>
      </c>
      <c r="D303" s="44" t="s">
        <v>2515</v>
      </c>
      <c r="E303" s="35" t="s">
        <v>1710</v>
      </c>
      <c r="F303" s="35" t="s">
        <v>1710</v>
      </c>
      <c r="G303" s="39">
        <v>45513.416666666664</v>
      </c>
      <c r="H303" s="36">
        <v>45513.440972222219</v>
      </c>
      <c r="I303" s="47">
        <v>6.25E-2</v>
      </c>
      <c r="J303" s="47">
        <f t="shared" si="8"/>
        <v>2.4305555554747116E-2</v>
      </c>
      <c r="K303" s="24">
        <f t="shared" si="9"/>
        <v>-3.8194444445252884E-2</v>
      </c>
      <c r="L303" s="45"/>
      <c r="M303" s="25"/>
      <c r="N303" s="22"/>
      <c r="O303" s="26"/>
      <c r="P303" s="35"/>
    </row>
    <row r="304" spans="1:16">
      <c r="A304" s="21" t="s">
        <v>2187</v>
      </c>
      <c r="B304" s="43" t="s">
        <v>2186</v>
      </c>
      <c r="C304" s="38" t="s">
        <v>2490</v>
      </c>
      <c r="D304" s="44" t="s">
        <v>2515</v>
      </c>
      <c r="E304" s="35" t="s">
        <v>1710</v>
      </c>
      <c r="F304" s="35" t="s">
        <v>1710</v>
      </c>
      <c r="G304" s="39">
        <v>45513.416666666664</v>
      </c>
      <c r="H304" s="36">
        <v>45513.442361111112</v>
      </c>
      <c r="I304" s="47">
        <v>6.25E-2</v>
      </c>
      <c r="J304" s="47">
        <f t="shared" si="8"/>
        <v>2.5694444448163267E-2</v>
      </c>
      <c r="K304" s="24">
        <f t="shared" si="9"/>
        <v>-3.6805555551836733E-2</v>
      </c>
      <c r="L304" s="45"/>
      <c r="M304" s="25"/>
      <c r="N304" s="22"/>
      <c r="O304" s="26"/>
      <c r="P304" s="35"/>
    </row>
    <row r="305" spans="1:16">
      <c r="A305" s="21" t="s">
        <v>2187</v>
      </c>
      <c r="B305" s="43" t="s">
        <v>2186</v>
      </c>
      <c r="C305" s="38" t="s">
        <v>2491</v>
      </c>
      <c r="D305" s="44" t="s">
        <v>2515</v>
      </c>
      <c r="E305" s="35" t="s">
        <v>1710</v>
      </c>
      <c r="F305" s="35" t="s">
        <v>1710</v>
      </c>
      <c r="G305" s="39">
        <v>45513.416666666664</v>
      </c>
      <c r="H305" s="36">
        <v>45513.443749999999</v>
      </c>
      <c r="I305" s="47">
        <v>6.25E-2</v>
      </c>
      <c r="J305" s="47">
        <f t="shared" si="8"/>
        <v>2.7083333334303461E-2</v>
      </c>
      <c r="K305" s="24">
        <f t="shared" si="9"/>
        <v>-3.5416666665696539E-2</v>
      </c>
      <c r="L305" s="45"/>
      <c r="M305" s="25"/>
      <c r="N305" s="22"/>
      <c r="O305" s="26"/>
      <c r="P305" s="35"/>
    </row>
    <row r="306" spans="1:16">
      <c r="A306" s="21" t="s">
        <v>2187</v>
      </c>
      <c r="B306" s="43" t="s">
        <v>2186</v>
      </c>
      <c r="C306" s="38" t="s">
        <v>2492</v>
      </c>
      <c r="D306" s="44" t="s">
        <v>2515</v>
      </c>
      <c r="E306" s="35" t="s">
        <v>1710</v>
      </c>
      <c r="F306" s="35" t="s">
        <v>1710</v>
      </c>
      <c r="G306" s="39">
        <v>45513.416666666664</v>
      </c>
      <c r="H306" s="36">
        <v>45513.447222222225</v>
      </c>
      <c r="I306" s="47">
        <v>6.25E-2</v>
      </c>
      <c r="J306" s="47">
        <f t="shared" si="8"/>
        <v>3.0555555560567882E-2</v>
      </c>
      <c r="K306" s="24">
        <f t="shared" si="9"/>
        <v>-3.1944444439432118E-2</v>
      </c>
      <c r="L306" s="45"/>
      <c r="M306" s="25"/>
      <c r="N306" s="22"/>
      <c r="O306" s="26"/>
      <c r="P306" s="35"/>
    </row>
    <row r="307" spans="1:16">
      <c r="A307" s="21" t="s">
        <v>2187</v>
      </c>
      <c r="B307" s="43" t="s">
        <v>2186</v>
      </c>
      <c r="C307" s="38" t="s">
        <v>2493</v>
      </c>
      <c r="D307" s="44" t="s">
        <v>2515</v>
      </c>
      <c r="E307" s="35" t="s">
        <v>1710</v>
      </c>
      <c r="F307" s="35" t="s">
        <v>1710</v>
      </c>
      <c r="G307" s="39">
        <v>45513.416666666664</v>
      </c>
      <c r="H307" s="36">
        <v>45513.448611111111</v>
      </c>
      <c r="I307" s="47">
        <v>6.25E-2</v>
      </c>
      <c r="J307" s="47">
        <f t="shared" si="8"/>
        <v>3.1944444446708076E-2</v>
      </c>
      <c r="K307" s="24">
        <f t="shared" si="9"/>
        <v>-3.0555555553291924E-2</v>
      </c>
      <c r="L307" s="45"/>
      <c r="M307" s="25"/>
      <c r="N307" s="22"/>
      <c r="O307" s="26"/>
      <c r="P307" s="35"/>
    </row>
    <row r="308" spans="1:16">
      <c r="A308" s="21" t="s">
        <v>2187</v>
      </c>
      <c r="B308" s="43" t="s">
        <v>2186</v>
      </c>
      <c r="C308" s="38" t="s">
        <v>2494</v>
      </c>
      <c r="D308" s="44" t="s">
        <v>2515</v>
      </c>
      <c r="E308" s="35" t="s">
        <v>1710</v>
      </c>
      <c r="F308" s="35" t="s">
        <v>1710</v>
      </c>
      <c r="G308" s="39">
        <v>45513.416666666664</v>
      </c>
      <c r="H308" s="36">
        <v>45513.45</v>
      </c>
      <c r="I308" s="47">
        <v>6.25E-2</v>
      </c>
      <c r="J308" s="47">
        <f t="shared" si="8"/>
        <v>3.3333333332848269E-2</v>
      </c>
      <c r="K308" s="24">
        <f t="shared" si="9"/>
        <v>-2.9166666667151731E-2</v>
      </c>
      <c r="L308" s="45"/>
      <c r="M308" s="25"/>
      <c r="N308" s="22"/>
      <c r="O308" s="26"/>
      <c r="P308" s="35"/>
    </row>
    <row r="309" spans="1:16">
      <c r="A309" s="21" t="s">
        <v>2187</v>
      </c>
      <c r="B309" s="43" t="s">
        <v>2186</v>
      </c>
      <c r="C309" s="38" t="s">
        <v>2495</v>
      </c>
      <c r="D309" s="44" t="s">
        <v>2515</v>
      </c>
      <c r="E309" s="35" t="s">
        <v>1710</v>
      </c>
      <c r="F309" s="35" t="s">
        <v>1710</v>
      </c>
      <c r="G309" s="39">
        <v>45513.416666666664</v>
      </c>
      <c r="H309" s="36">
        <v>45513.451388888891</v>
      </c>
      <c r="I309" s="47">
        <v>6.25E-2</v>
      </c>
      <c r="J309" s="47">
        <f t="shared" si="8"/>
        <v>3.4722222226264421E-2</v>
      </c>
      <c r="K309" s="24">
        <f t="shared" si="9"/>
        <v>-2.7777777773735579E-2</v>
      </c>
      <c r="L309" s="33"/>
      <c r="M309" s="25"/>
      <c r="N309" s="22"/>
      <c r="O309" s="26"/>
      <c r="P309" s="35"/>
    </row>
    <row r="310" spans="1:16">
      <c r="A310" s="21" t="s">
        <v>2187</v>
      </c>
      <c r="B310" s="43" t="s">
        <v>2186</v>
      </c>
      <c r="C310" s="38" t="s">
        <v>2496</v>
      </c>
      <c r="D310" s="44" t="s">
        <v>2515</v>
      </c>
      <c r="E310" s="35" t="s">
        <v>1710</v>
      </c>
      <c r="F310" s="35" t="s">
        <v>1710</v>
      </c>
      <c r="G310" s="39">
        <v>45513.416666666664</v>
      </c>
      <c r="H310" s="36">
        <v>45513.457638888889</v>
      </c>
      <c r="I310" s="47">
        <v>6.25E-2</v>
      </c>
      <c r="J310" s="47">
        <f t="shared" si="8"/>
        <v>4.0972222224809229E-2</v>
      </c>
      <c r="K310" s="24">
        <f t="shared" si="9"/>
        <v>-2.1527777775190771E-2</v>
      </c>
      <c r="L310" s="45"/>
      <c r="M310" s="25"/>
      <c r="N310" s="22"/>
      <c r="O310" s="26"/>
      <c r="P310" s="35"/>
    </row>
    <row r="311" spans="1:16">
      <c r="A311" s="21" t="s">
        <v>2187</v>
      </c>
      <c r="B311" s="43" t="s">
        <v>2186</v>
      </c>
      <c r="C311" s="38" t="s">
        <v>2497</v>
      </c>
      <c r="D311" s="44" t="s">
        <v>2515</v>
      </c>
      <c r="E311" s="35" t="s">
        <v>1710</v>
      </c>
      <c r="F311" s="35" t="s">
        <v>1710</v>
      </c>
      <c r="G311" s="39">
        <v>45513.416666666664</v>
      </c>
      <c r="H311" s="36">
        <v>45513.459027777775</v>
      </c>
      <c r="I311" s="47">
        <v>6.25E-2</v>
      </c>
      <c r="J311" s="47">
        <f t="shared" si="8"/>
        <v>4.2361111110949423E-2</v>
      </c>
      <c r="K311" s="24">
        <f t="shared" si="9"/>
        <v>-2.0138888889050577E-2</v>
      </c>
      <c r="L311" s="45"/>
      <c r="M311" s="25"/>
      <c r="N311" s="22"/>
      <c r="O311" s="26"/>
      <c r="P311" s="35"/>
    </row>
    <row r="312" spans="1:16">
      <c r="A312" s="21" t="s">
        <v>2187</v>
      </c>
      <c r="B312" s="43" t="s">
        <v>2186</v>
      </c>
      <c r="C312" s="38" t="s">
        <v>2498</v>
      </c>
      <c r="D312" s="44" t="s">
        <v>2515</v>
      </c>
      <c r="E312" s="35" t="s">
        <v>2177</v>
      </c>
      <c r="F312" s="35" t="s">
        <v>1710</v>
      </c>
      <c r="G312" s="39">
        <v>45513.416666666664</v>
      </c>
      <c r="H312" s="36">
        <v>45513.468055555553</v>
      </c>
      <c r="I312" s="47">
        <v>6.25E-2</v>
      </c>
      <c r="J312" s="47">
        <f t="shared" si="8"/>
        <v>5.1388888889050577E-2</v>
      </c>
      <c r="K312" s="24">
        <f t="shared" si="9"/>
        <v>-1.1111111110949423E-2</v>
      </c>
      <c r="L312" s="45"/>
      <c r="M312" s="25"/>
      <c r="N312" s="22"/>
      <c r="O312" s="26"/>
      <c r="P312" s="35"/>
    </row>
    <row r="313" spans="1:16">
      <c r="A313" s="21" t="s">
        <v>2187</v>
      </c>
      <c r="B313" s="43" t="s">
        <v>2186</v>
      </c>
      <c r="C313" s="38" t="s">
        <v>2499</v>
      </c>
      <c r="D313" s="44" t="s">
        <v>2515</v>
      </c>
      <c r="E313" s="35" t="s">
        <v>1710</v>
      </c>
      <c r="F313" s="35" t="s">
        <v>1710</v>
      </c>
      <c r="G313" s="39">
        <v>45513.549305555556</v>
      </c>
      <c r="H313" s="36">
        <v>45513.576388888891</v>
      </c>
      <c r="I313" s="47">
        <v>6.25E-2</v>
      </c>
      <c r="J313" s="47">
        <f t="shared" si="8"/>
        <v>2.7083333334303461E-2</v>
      </c>
      <c r="K313" s="24">
        <f t="shared" si="9"/>
        <v>-3.5416666665696539E-2</v>
      </c>
      <c r="L313" s="33"/>
      <c r="M313" s="25"/>
      <c r="N313" s="22"/>
      <c r="O313" s="26"/>
      <c r="P313" s="35"/>
    </row>
    <row r="314" spans="1:16">
      <c r="A314" s="21" t="s">
        <v>2187</v>
      </c>
      <c r="B314" s="43" t="s">
        <v>2186</v>
      </c>
      <c r="C314" s="38" t="s">
        <v>2500</v>
      </c>
      <c r="D314" s="44" t="s">
        <v>2515</v>
      </c>
      <c r="E314" s="35" t="s">
        <v>1710</v>
      </c>
      <c r="F314" s="35" t="s">
        <v>1710</v>
      </c>
      <c r="G314" s="39">
        <v>45513.549305555556</v>
      </c>
      <c r="H314" s="36">
        <v>45513.554861111108</v>
      </c>
      <c r="I314" s="47">
        <v>6.25E-2</v>
      </c>
      <c r="J314" s="47">
        <f t="shared" si="8"/>
        <v>5.5555555518367328E-3</v>
      </c>
      <c r="K314" s="24">
        <f t="shared" si="9"/>
        <v>-5.6944444448163267E-2</v>
      </c>
      <c r="L314" s="33"/>
      <c r="M314" s="19"/>
      <c r="N314" s="22"/>
      <c r="O314" s="26"/>
      <c r="P314" s="35"/>
    </row>
    <row r="315" spans="1:16">
      <c r="A315" s="21" t="s">
        <v>2187</v>
      </c>
      <c r="B315" s="43" t="s">
        <v>2186</v>
      </c>
      <c r="C315" s="38" t="s">
        <v>2501</v>
      </c>
      <c r="D315" s="44" t="s">
        <v>2515</v>
      </c>
      <c r="E315" s="35" t="s">
        <v>1710</v>
      </c>
      <c r="F315" s="35" t="s">
        <v>1710</v>
      </c>
      <c r="G315" s="39">
        <v>45513.549305555556</v>
      </c>
      <c r="H315" s="36">
        <v>45513.556250000001</v>
      </c>
      <c r="I315" s="47">
        <v>6.25E-2</v>
      </c>
      <c r="J315" s="47">
        <f t="shared" si="8"/>
        <v>6.9444444452528842E-3</v>
      </c>
      <c r="K315" s="24">
        <f t="shared" si="9"/>
        <v>-5.5555555554747116E-2</v>
      </c>
      <c r="L315" s="45"/>
      <c r="M315" s="25"/>
      <c r="N315" s="22"/>
      <c r="O315" s="26"/>
      <c r="P315" s="35"/>
    </row>
    <row r="316" spans="1:16">
      <c r="A316" s="21" t="s">
        <v>2187</v>
      </c>
      <c r="B316" s="43" t="s">
        <v>2186</v>
      </c>
      <c r="C316" s="38" t="s">
        <v>2502</v>
      </c>
      <c r="D316" s="44" t="s">
        <v>2515</v>
      </c>
      <c r="E316" s="35" t="s">
        <v>1710</v>
      </c>
      <c r="F316" s="35" t="s">
        <v>1710</v>
      </c>
      <c r="G316" s="39">
        <v>45513.549305555556</v>
      </c>
      <c r="H316" s="36">
        <v>45513.557638888888</v>
      </c>
      <c r="I316" s="47">
        <v>6.25E-2</v>
      </c>
      <c r="J316" s="47">
        <f t="shared" si="8"/>
        <v>8.333333331393078E-3</v>
      </c>
      <c r="K316" s="24">
        <f t="shared" si="9"/>
        <v>-5.4166666668606922E-2</v>
      </c>
      <c r="L316" s="45"/>
      <c r="M316" s="25"/>
      <c r="N316" s="22"/>
      <c r="O316" s="26"/>
      <c r="P316" s="35"/>
    </row>
    <row r="317" spans="1:16">
      <c r="A317" s="21" t="s">
        <v>2187</v>
      </c>
      <c r="B317" s="43" t="s">
        <v>2186</v>
      </c>
      <c r="C317" s="38" t="s">
        <v>2503</v>
      </c>
      <c r="D317" s="44" t="s">
        <v>2515</v>
      </c>
      <c r="E317" s="35" t="s">
        <v>1710</v>
      </c>
      <c r="F317" s="35" t="s">
        <v>2182</v>
      </c>
      <c r="G317" s="39">
        <v>45513.574999999997</v>
      </c>
      <c r="H317" s="36">
        <v>45513.588888888888</v>
      </c>
      <c r="I317" s="47">
        <v>6.25E-2</v>
      </c>
      <c r="J317" s="47">
        <f t="shared" si="8"/>
        <v>1.3888888890505768E-2</v>
      </c>
      <c r="K317" s="24">
        <f t="shared" si="9"/>
        <v>-4.8611111109494232E-2</v>
      </c>
      <c r="L317" s="33"/>
      <c r="M317" s="19"/>
      <c r="N317" s="22"/>
      <c r="O317" s="26"/>
      <c r="P317" s="35"/>
    </row>
    <row r="318" spans="1:16">
      <c r="A318" s="21" t="s">
        <v>2187</v>
      </c>
      <c r="B318" s="43" t="s">
        <v>2186</v>
      </c>
      <c r="C318" s="38" t="s">
        <v>2504</v>
      </c>
      <c r="D318" s="44" t="s">
        <v>2515</v>
      </c>
      <c r="E318" s="35" t="s">
        <v>1710</v>
      </c>
      <c r="F318" s="35" t="s">
        <v>1710</v>
      </c>
      <c r="G318" s="39">
        <v>45513.588888888888</v>
      </c>
      <c r="H318" s="36">
        <v>45513.594444444447</v>
      </c>
      <c r="I318" s="47">
        <v>6.25E-2</v>
      </c>
      <c r="J318" s="47">
        <f t="shared" si="8"/>
        <v>5.5555555591126904E-3</v>
      </c>
      <c r="K318" s="24">
        <f t="shared" si="9"/>
        <v>-5.694444444088731E-2</v>
      </c>
      <c r="L318" s="33"/>
      <c r="M318" s="25"/>
      <c r="N318" s="22"/>
      <c r="O318" s="26"/>
      <c r="P318" s="35"/>
    </row>
    <row r="319" spans="1:16">
      <c r="A319" s="21" t="s">
        <v>2187</v>
      </c>
      <c r="B319" s="43" t="s">
        <v>2186</v>
      </c>
      <c r="C319" s="38" t="s">
        <v>2505</v>
      </c>
      <c r="D319" s="44" t="s">
        <v>2515</v>
      </c>
      <c r="E319" s="35" t="s">
        <v>1710</v>
      </c>
      <c r="F319" s="35" t="s">
        <v>1710</v>
      </c>
      <c r="G319" s="39">
        <v>45513.588888888888</v>
      </c>
      <c r="H319" s="36">
        <v>45513.595833333333</v>
      </c>
      <c r="I319" s="47">
        <v>6.25E-2</v>
      </c>
      <c r="J319" s="47">
        <f t="shared" si="8"/>
        <v>6.9444444452528842E-3</v>
      </c>
      <c r="K319" s="24">
        <f t="shared" si="9"/>
        <v>-5.5555555554747116E-2</v>
      </c>
      <c r="L319" s="45"/>
      <c r="M319" s="25"/>
      <c r="N319" s="22"/>
      <c r="O319" s="26"/>
      <c r="P319" s="35"/>
    </row>
    <row r="320" spans="1:16">
      <c r="A320" s="21" t="s">
        <v>2187</v>
      </c>
      <c r="B320" s="43" t="s">
        <v>2186</v>
      </c>
      <c r="C320" s="38" t="s">
        <v>2506</v>
      </c>
      <c r="D320" s="44" t="s">
        <v>2515</v>
      </c>
      <c r="E320" s="35" t="s">
        <v>1710</v>
      </c>
      <c r="F320" s="35" t="s">
        <v>1710</v>
      </c>
      <c r="G320" s="39">
        <v>45513.613888888889</v>
      </c>
      <c r="H320" s="36">
        <v>45513.620138888888</v>
      </c>
      <c r="I320" s="47">
        <v>6.25E-2</v>
      </c>
      <c r="J320" s="47">
        <f t="shared" si="8"/>
        <v>6.2499999985448085E-3</v>
      </c>
      <c r="K320" s="24">
        <f t="shared" si="9"/>
        <v>-5.6250000001455192E-2</v>
      </c>
      <c r="L320" s="45"/>
      <c r="M320" s="25"/>
      <c r="N320" s="22"/>
      <c r="O320" s="26"/>
      <c r="P320" s="35"/>
    </row>
    <row r="321" spans="1:16">
      <c r="A321" s="21" t="s">
        <v>2187</v>
      </c>
      <c r="B321" s="43" t="s">
        <v>2186</v>
      </c>
      <c r="C321" s="38" t="s">
        <v>2507</v>
      </c>
      <c r="D321" s="44" t="s">
        <v>2517</v>
      </c>
      <c r="E321" s="35" t="s">
        <v>1710</v>
      </c>
      <c r="F321" s="35" t="s">
        <v>1710</v>
      </c>
      <c r="G321" s="39">
        <v>45514.48541666667</v>
      </c>
      <c r="H321" s="36">
        <v>45514.497916666667</v>
      </c>
      <c r="I321" s="47">
        <v>6.25E-2</v>
      </c>
      <c r="J321" s="47">
        <f t="shared" si="8"/>
        <v>1.2499999997089617E-2</v>
      </c>
      <c r="K321" s="24">
        <f t="shared" si="9"/>
        <v>-5.0000000002910383E-2</v>
      </c>
      <c r="L321" s="45"/>
      <c r="M321" s="25"/>
      <c r="N321" s="22"/>
      <c r="O321" s="26"/>
      <c r="P321" s="35"/>
    </row>
    <row r="322" spans="1:16">
      <c r="A322" s="21" t="s">
        <v>2187</v>
      </c>
      <c r="B322" s="43" t="s">
        <v>2186</v>
      </c>
      <c r="C322" s="38" t="s">
        <v>2508</v>
      </c>
      <c r="D322" s="44" t="s">
        <v>2517</v>
      </c>
      <c r="E322" s="35" t="s">
        <v>1710</v>
      </c>
      <c r="F322" s="35" t="s">
        <v>1710</v>
      </c>
      <c r="G322" s="39">
        <v>45514.48541666667</v>
      </c>
      <c r="H322" s="36">
        <v>45514.497916666667</v>
      </c>
      <c r="I322" s="47">
        <v>6.25E-2</v>
      </c>
      <c r="J322" s="47">
        <f t="shared" ref="J322:J385" si="10">H322-G322</f>
        <v>1.2499999997089617E-2</v>
      </c>
      <c r="K322" s="24">
        <f t="shared" ref="K322:K385" si="11">J322-I322</f>
        <v>-5.0000000002910383E-2</v>
      </c>
      <c r="L322" s="45"/>
      <c r="M322" s="25"/>
      <c r="N322" s="22"/>
      <c r="O322" s="26"/>
      <c r="P322" s="35"/>
    </row>
    <row r="323" spans="1:16">
      <c r="A323" s="21" t="s">
        <v>2187</v>
      </c>
      <c r="B323" s="43" t="s">
        <v>2186</v>
      </c>
      <c r="C323" s="38" t="s">
        <v>2509</v>
      </c>
      <c r="D323" s="44" t="s">
        <v>2517</v>
      </c>
      <c r="E323" s="35" t="s">
        <v>1710</v>
      </c>
      <c r="F323" s="35" t="s">
        <v>1710</v>
      </c>
      <c r="G323" s="39">
        <v>45514.486111111109</v>
      </c>
      <c r="H323" s="36">
        <v>45514.501388888886</v>
      </c>
      <c r="I323" s="47">
        <v>6.25E-2</v>
      </c>
      <c r="J323" s="47">
        <f t="shared" si="10"/>
        <v>1.5277777776645962E-2</v>
      </c>
      <c r="K323" s="24">
        <f t="shared" si="11"/>
        <v>-4.7222222223354038E-2</v>
      </c>
      <c r="L323" s="45"/>
      <c r="M323" s="25"/>
      <c r="N323" s="22"/>
      <c r="O323" s="26"/>
      <c r="P323" s="35"/>
    </row>
    <row r="324" spans="1:16">
      <c r="A324" s="21" t="s">
        <v>2187</v>
      </c>
      <c r="B324" s="43" t="s">
        <v>2186</v>
      </c>
      <c r="C324" s="38" t="s">
        <v>2510</v>
      </c>
      <c r="D324" s="44" t="s">
        <v>2517</v>
      </c>
      <c r="E324" s="35" t="s">
        <v>1710</v>
      </c>
      <c r="F324" s="35" t="s">
        <v>1710</v>
      </c>
      <c r="G324" s="39">
        <v>45514.48541666667</v>
      </c>
      <c r="H324" s="36">
        <v>45514.497916666667</v>
      </c>
      <c r="I324" s="47">
        <v>6.25E-2</v>
      </c>
      <c r="J324" s="47">
        <f t="shared" si="10"/>
        <v>1.2499999997089617E-2</v>
      </c>
      <c r="K324" s="24">
        <f t="shared" si="11"/>
        <v>-5.0000000002910383E-2</v>
      </c>
      <c r="L324" s="45"/>
      <c r="M324" s="25"/>
      <c r="N324" s="22"/>
      <c r="O324" s="26"/>
      <c r="P324" s="35"/>
    </row>
    <row r="325" spans="1:16">
      <c r="A325" s="21" t="s">
        <v>2187</v>
      </c>
      <c r="B325" s="43" t="s">
        <v>2186</v>
      </c>
      <c r="C325" s="38" t="s">
        <v>2511</v>
      </c>
      <c r="D325" s="44" t="s">
        <v>2517</v>
      </c>
      <c r="E325" s="35" t="s">
        <v>1710</v>
      </c>
      <c r="F325" s="35" t="s">
        <v>1710</v>
      </c>
      <c r="G325" s="39">
        <v>45514.486111111109</v>
      </c>
      <c r="H325" s="36">
        <v>45514.501388888886</v>
      </c>
      <c r="I325" s="47">
        <v>6.25E-2</v>
      </c>
      <c r="J325" s="47">
        <f t="shared" si="10"/>
        <v>1.5277777776645962E-2</v>
      </c>
      <c r="K325" s="24">
        <f t="shared" si="11"/>
        <v>-4.7222222223354038E-2</v>
      </c>
      <c r="L325" s="45"/>
      <c r="M325" s="25"/>
      <c r="N325" s="22"/>
      <c r="O325" s="26"/>
      <c r="P325" s="35"/>
    </row>
    <row r="326" spans="1:16">
      <c r="A326" s="21" t="s">
        <v>2187</v>
      </c>
      <c r="B326" s="43" t="s">
        <v>2186</v>
      </c>
      <c r="C326" s="38" t="s">
        <v>2512</v>
      </c>
      <c r="D326" s="44" t="s">
        <v>2517</v>
      </c>
      <c r="E326" s="35" t="s">
        <v>1710</v>
      </c>
      <c r="F326" s="35" t="s">
        <v>1710</v>
      </c>
      <c r="G326" s="39">
        <v>45514.486111111109</v>
      </c>
      <c r="H326" s="36">
        <v>45514.501388888886</v>
      </c>
      <c r="I326" s="47">
        <v>6.25E-2</v>
      </c>
      <c r="J326" s="47">
        <f t="shared" si="10"/>
        <v>1.5277777776645962E-2</v>
      </c>
      <c r="K326" s="24">
        <f t="shared" si="11"/>
        <v>-4.7222222223354038E-2</v>
      </c>
      <c r="L326" s="45"/>
      <c r="M326" s="25"/>
      <c r="N326" s="22"/>
      <c r="O326" s="26"/>
      <c r="P326" s="35"/>
    </row>
    <row r="327" spans="1:16">
      <c r="A327" s="21" t="s">
        <v>2187</v>
      </c>
      <c r="B327" s="43" t="s">
        <v>2186</v>
      </c>
      <c r="C327" s="38" t="s">
        <v>2513</v>
      </c>
      <c r="D327" s="44" t="s">
        <v>2517</v>
      </c>
      <c r="E327" s="35" t="s">
        <v>2177</v>
      </c>
      <c r="F327" s="35" t="s">
        <v>1710</v>
      </c>
      <c r="G327" s="39">
        <v>45513.611111111109</v>
      </c>
      <c r="H327" s="36">
        <v>45513.62222222222</v>
      </c>
      <c r="I327" s="47">
        <v>6.25E-2</v>
      </c>
      <c r="J327" s="47">
        <f t="shared" si="10"/>
        <v>1.1111111110949423E-2</v>
      </c>
      <c r="K327" s="24">
        <f t="shared" si="11"/>
        <v>-5.1388888889050577E-2</v>
      </c>
      <c r="L327" s="45"/>
      <c r="M327" s="25"/>
      <c r="N327" s="22"/>
      <c r="O327" s="26"/>
      <c r="P327" s="35"/>
    </row>
    <row r="328" spans="1:16">
      <c r="A328" s="21"/>
      <c r="B328" s="43"/>
      <c r="C328" s="38"/>
      <c r="D328" s="44"/>
      <c r="E328" s="35"/>
      <c r="F328" s="35"/>
      <c r="G328" s="39"/>
      <c r="H328" s="36"/>
      <c r="I328" s="47">
        <v>6.25E-2</v>
      </c>
      <c r="J328" s="47">
        <f t="shared" si="10"/>
        <v>0</v>
      </c>
      <c r="K328" s="24">
        <f t="shared" si="11"/>
        <v>-6.25E-2</v>
      </c>
      <c r="L328" s="45"/>
      <c r="M328" s="25"/>
      <c r="N328" s="22"/>
      <c r="O328" s="26"/>
      <c r="P328" s="35"/>
    </row>
    <row r="329" spans="1:16">
      <c r="A329" s="21"/>
      <c r="B329" s="43"/>
      <c r="C329" s="38"/>
      <c r="D329" s="44"/>
      <c r="E329" s="35"/>
      <c r="F329" s="35"/>
      <c r="G329" s="39"/>
      <c r="H329" s="36"/>
      <c r="I329" s="47">
        <v>6.25E-2</v>
      </c>
      <c r="J329" s="47">
        <f t="shared" si="10"/>
        <v>0</v>
      </c>
      <c r="K329" s="24">
        <f t="shared" si="11"/>
        <v>-6.25E-2</v>
      </c>
      <c r="L329" s="45"/>
      <c r="M329" s="25"/>
      <c r="N329" s="22"/>
      <c r="O329" s="26"/>
      <c r="P329" s="35"/>
    </row>
    <row r="330" spans="1:16">
      <c r="A330" s="21"/>
      <c r="B330" s="43"/>
      <c r="C330" s="38"/>
      <c r="D330" s="44"/>
      <c r="E330" s="35"/>
      <c r="F330" s="35"/>
      <c r="G330" s="39"/>
      <c r="H330" s="36"/>
      <c r="I330" s="47">
        <v>6.25E-2</v>
      </c>
      <c r="J330" s="47">
        <f t="shared" si="10"/>
        <v>0</v>
      </c>
      <c r="K330" s="24">
        <f t="shared" si="11"/>
        <v>-6.25E-2</v>
      </c>
      <c r="L330" s="45"/>
      <c r="M330" s="25"/>
      <c r="N330" s="22"/>
      <c r="O330" s="26"/>
      <c r="P330" s="35"/>
    </row>
    <row r="331" spans="1:16">
      <c r="A331" s="21"/>
      <c r="B331" s="43"/>
      <c r="C331" s="38"/>
      <c r="D331" s="44"/>
      <c r="E331" s="35"/>
      <c r="F331" s="35"/>
      <c r="G331" s="39"/>
      <c r="H331" s="36"/>
      <c r="I331" s="47">
        <v>6.25E-2</v>
      </c>
      <c r="J331" s="47">
        <f t="shared" si="10"/>
        <v>0</v>
      </c>
      <c r="K331" s="24">
        <f t="shared" si="11"/>
        <v>-6.25E-2</v>
      </c>
      <c r="L331" s="45"/>
      <c r="M331" s="25"/>
      <c r="N331" s="22"/>
      <c r="O331" s="26"/>
      <c r="P331" s="35"/>
    </row>
    <row r="332" spans="1:16">
      <c r="A332" s="21"/>
      <c r="B332" s="43"/>
      <c r="C332" s="38"/>
      <c r="D332" s="44"/>
      <c r="E332" s="35"/>
      <c r="F332" s="35"/>
      <c r="G332" s="39"/>
      <c r="H332" s="36"/>
      <c r="I332" s="47">
        <v>6.25E-2</v>
      </c>
      <c r="J332" s="47">
        <f t="shared" si="10"/>
        <v>0</v>
      </c>
      <c r="K332" s="24">
        <f t="shared" si="11"/>
        <v>-6.25E-2</v>
      </c>
      <c r="L332" s="45"/>
      <c r="M332" s="25"/>
      <c r="N332" s="22"/>
      <c r="O332" s="26"/>
      <c r="P332" s="35"/>
    </row>
    <row r="333" spans="1:16">
      <c r="A333" s="21"/>
      <c r="B333" s="43"/>
      <c r="C333" s="38"/>
      <c r="D333" s="44"/>
      <c r="E333" s="35"/>
      <c r="F333" s="35"/>
      <c r="G333" s="39"/>
      <c r="H333" s="36"/>
      <c r="I333" s="47">
        <v>6.25E-2</v>
      </c>
      <c r="J333" s="47">
        <f t="shared" si="10"/>
        <v>0</v>
      </c>
      <c r="K333" s="24">
        <f t="shared" si="11"/>
        <v>-6.25E-2</v>
      </c>
      <c r="L333" s="45"/>
      <c r="M333" s="25"/>
      <c r="N333" s="22"/>
      <c r="O333" s="26"/>
      <c r="P333" s="35"/>
    </row>
    <row r="334" spans="1:16">
      <c r="A334" s="21"/>
      <c r="B334" s="43"/>
      <c r="C334" s="38"/>
      <c r="D334" s="44"/>
      <c r="E334" s="35"/>
      <c r="F334" s="35"/>
      <c r="G334" s="39"/>
      <c r="H334" s="36"/>
      <c r="I334" s="47">
        <v>6.25E-2</v>
      </c>
      <c r="J334" s="47">
        <f t="shared" si="10"/>
        <v>0</v>
      </c>
      <c r="K334" s="24">
        <f t="shared" si="11"/>
        <v>-6.25E-2</v>
      </c>
      <c r="L334" s="45"/>
      <c r="M334" s="25"/>
      <c r="N334" s="22"/>
      <c r="O334" s="26"/>
      <c r="P334" s="35"/>
    </row>
    <row r="335" spans="1:16">
      <c r="A335" s="21"/>
      <c r="B335" s="43"/>
      <c r="C335" s="38"/>
      <c r="D335" s="44"/>
      <c r="E335" s="35"/>
      <c r="F335" s="35"/>
      <c r="G335" s="39"/>
      <c r="H335" s="36"/>
      <c r="I335" s="47">
        <v>6.25E-2</v>
      </c>
      <c r="J335" s="47">
        <f t="shared" si="10"/>
        <v>0</v>
      </c>
      <c r="K335" s="24">
        <f t="shared" si="11"/>
        <v>-6.25E-2</v>
      </c>
      <c r="L335" s="45"/>
      <c r="M335" s="25"/>
      <c r="N335" s="22"/>
      <c r="O335" s="26"/>
      <c r="P335" s="35"/>
    </row>
    <row r="336" spans="1:16">
      <c r="A336" s="21"/>
      <c r="B336" s="43"/>
      <c r="C336" s="38"/>
      <c r="D336" s="44"/>
      <c r="E336" s="35"/>
      <c r="F336" s="35"/>
      <c r="G336" s="39"/>
      <c r="H336" s="36"/>
      <c r="I336" s="47">
        <v>6.25E-2</v>
      </c>
      <c r="J336" s="47">
        <f t="shared" si="10"/>
        <v>0</v>
      </c>
      <c r="K336" s="24">
        <f t="shared" si="11"/>
        <v>-6.25E-2</v>
      </c>
      <c r="L336" s="45"/>
      <c r="M336" s="25"/>
      <c r="N336" s="22"/>
      <c r="O336" s="26"/>
      <c r="P336" s="35"/>
    </row>
    <row r="337" spans="1:16">
      <c r="A337" s="21"/>
      <c r="B337" s="43"/>
      <c r="C337" s="38"/>
      <c r="D337" s="44"/>
      <c r="E337" s="35"/>
      <c r="F337" s="35"/>
      <c r="G337" s="39"/>
      <c r="H337" s="36"/>
      <c r="I337" s="47">
        <v>6.25E-2</v>
      </c>
      <c r="J337" s="47">
        <f t="shared" si="10"/>
        <v>0</v>
      </c>
      <c r="K337" s="24">
        <f t="shared" si="11"/>
        <v>-6.25E-2</v>
      </c>
      <c r="L337" s="45"/>
      <c r="M337" s="25"/>
      <c r="N337" s="22"/>
      <c r="O337" s="26"/>
      <c r="P337" s="35"/>
    </row>
    <row r="338" spans="1:16">
      <c r="A338" s="21"/>
      <c r="B338" s="43"/>
      <c r="C338" s="38"/>
      <c r="D338" s="44"/>
      <c r="E338" s="35"/>
      <c r="F338" s="35"/>
      <c r="G338" s="39"/>
      <c r="H338" s="36"/>
      <c r="I338" s="47">
        <v>6.25E-2</v>
      </c>
      <c r="J338" s="47">
        <f t="shared" si="10"/>
        <v>0</v>
      </c>
      <c r="K338" s="24">
        <f t="shared" si="11"/>
        <v>-6.25E-2</v>
      </c>
      <c r="L338" s="45"/>
      <c r="M338" s="25"/>
      <c r="N338" s="22"/>
      <c r="O338" s="26"/>
      <c r="P338" s="35"/>
    </row>
    <row r="339" spans="1:16">
      <c r="A339" s="21"/>
      <c r="B339" s="43"/>
      <c r="C339" s="38"/>
      <c r="D339" s="44"/>
      <c r="E339" s="35"/>
      <c r="F339" s="35"/>
      <c r="G339" s="39"/>
      <c r="H339" s="36"/>
      <c r="I339" s="47">
        <v>6.25E-2</v>
      </c>
      <c r="J339" s="47">
        <f t="shared" si="10"/>
        <v>0</v>
      </c>
      <c r="K339" s="24">
        <f t="shared" si="11"/>
        <v>-6.25E-2</v>
      </c>
      <c r="L339" s="45"/>
      <c r="M339" s="25"/>
      <c r="N339" s="22"/>
      <c r="O339" s="26"/>
      <c r="P339" s="35"/>
    </row>
    <row r="340" spans="1:16">
      <c r="A340" s="21"/>
      <c r="B340" s="43"/>
      <c r="C340" s="38"/>
      <c r="D340" s="44"/>
      <c r="E340" s="35"/>
      <c r="F340" s="35"/>
      <c r="G340" s="39"/>
      <c r="H340" s="36"/>
      <c r="I340" s="47">
        <v>6.25E-2</v>
      </c>
      <c r="J340" s="47">
        <f t="shared" si="10"/>
        <v>0</v>
      </c>
      <c r="K340" s="24">
        <f t="shared" si="11"/>
        <v>-6.25E-2</v>
      </c>
      <c r="L340" s="45"/>
      <c r="M340" s="25"/>
      <c r="N340" s="22"/>
      <c r="O340" s="26"/>
      <c r="P340" s="35"/>
    </row>
    <row r="341" spans="1:16">
      <c r="A341" s="21"/>
      <c r="B341" s="43"/>
      <c r="C341" s="38"/>
      <c r="D341" s="44"/>
      <c r="E341" s="35"/>
      <c r="F341" s="35"/>
      <c r="G341" s="39"/>
      <c r="H341" s="36"/>
      <c r="I341" s="47">
        <v>6.25E-2</v>
      </c>
      <c r="J341" s="47">
        <f t="shared" si="10"/>
        <v>0</v>
      </c>
      <c r="K341" s="24">
        <f t="shared" si="11"/>
        <v>-6.25E-2</v>
      </c>
      <c r="L341" s="45"/>
      <c r="M341" s="25"/>
      <c r="N341" s="22"/>
      <c r="O341" s="26"/>
      <c r="P341" s="35"/>
    </row>
    <row r="342" spans="1:16">
      <c r="A342" s="21"/>
      <c r="B342" s="43"/>
      <c r="C342" s="38"/>
      <c r="D342" s="44"/>
      <c r="E342" s="35"/>
      <c r="F342" s="35"/>
      <c r="G342" s="39"/>
      <c r="H342" s="36"/>
      <c r="I342" s="47">
        <v>6.25E-2</v>
      </c>
      <c r="J342" s="47">
        <f t="shared" si="10"/>
        <v>0</v>
      </c>
      <c r="K342" s="24">
        <f t="shared" si="11"/>
        <v>-6.25E-2</v>
      </c>
      <c r="L342" s="45"/>
      <c r="M342" s="25"/>
      <c r="N342" s="22"/>
      <c r="O342" s="26"/>
      <c r="P342" s="35"/>
    </row>
    <row r="343" spans="1:16">
      <c r="A343" s="21"/>
      <c r="B343" s="43"/>
      <c r="C343" s="38"/>
      <c r="D343" s="44"/>
      <c r="E343" s="35"/>
      <c r="F343" s="35"/>
      <c r="G343" s="39"/>
      <c r="H343" s="36"/>
      <c r="I343" s="47">
        <v>6.25E-2</v>
      </c>
      <c r="J343" s="47">
        <f t="shared" si="10"/>
        <v>0</v>
      </c>
      <c r="K343" s="24">
        <f t="shared" si="11"/>
        <v>-6.25E-2</v>
      </c>
      <c r="L343" s="45"/>
      <c r="M343" s="25"/>
      <c r="N343" s="22"/>
      <c r="O343" s="26"/>
      <c r="P343" s="35"/>
    </row>
    <row r="344" spans="1:16">
      <c r="A344" s="21"/>
      <c r="B344" s="43"/>
      <c r="C344" s="38"/>
      <c r="D344" s="44"/>
      <c r="E344" s="35"/>
      <c r="F344" s="35"/>
      <c r="G344" s="39"/>
      <c r="H344" s="36"/>
      <c r="I344" s="47">
        <v>6.25E-2</v>
      </c>
      <c r="J344" s="47">
        <f t="shared" si="10"/>
        <v>0</v>
      </c>
      <c r="K344" s="24">
        <f t="shared" si="11"/>
        <v>-6.25E-2</v>
      </c>
      <c r="L344" s="45"/>
      <c r="M344" s="25"/>
      <c r="N344" s="22"/>
      <c r="O344" s="26"/>
      <c r="P344" s="35"/>
    </row>
    <row r="345" spans="1:16">
      <c r="A345" s="21"/>
      <c r="B345" s="43"/>
      <c r="C345" s="38"/>
      <c r="D345" s="44"/>
      <c r="E345" s="35"/>
      <c r="F345" s="35"/>
      <c r="G345" s="39"/>
      <c r="H345" s="36"/>
      <c r="I345" s="47">
        <v>6.25E-2</v>
      </c>
      <c r="J345" s="47">
        <f t="shared" si="10"/>
        <v>0</v>
      </c>
      <c r="K345" s="24">
        <f t="shared" si="11"/>
        <v>-6.25E-2</v>
      </c>
      <c r="L345" s="45"/>
      <c r="M345" s="25"/>
      <c r="N345" s="22"/>
      <c r="O345" s="26"/>
      <c r="P345" s="35"/>
    </row>
    <row r="346" spans="1:16">
      <c r="A346" s="21"/>
      <c r="B346" s="43"/>
      <c r="C346" s="38"/>
      <c r="D346" s="44"/>
      <c r="E346" s="35"/>
      <c r="F346" s="35"/>
      <c r="G346" s="39"/>
      <c r="H346" s="36"/>
      <c r="I346" s="47">
        <v>6.25E-2</v>
      </c>
      <c r="J346" s="47">
        <f t="shared" si="10"/>
        <v>0</v>
      </c>
      <c r="K346" s="24">
        <f t="shared" si="11"/>
        <v>-6.25E-2</v>
      </c>
      <c r="L346" s="33"/>
      <c r="M346" s="19"/>
      <c r="N346" s="22"/>
      <c r="O346" s="26"/>
      <c r="P346" s="35"/>
    </row>
    <row r="347" spans="1:16">
      <c r="A347" s="21"/>
      <c r="B347" s="43"/>
      <c r="C347" s="38"/>
      <c r="D347" s="44"/>
      <c r="E347" s="35"/>
      <c r="F347" s="35"/>
      <c r="G347" s="39"/>
      <c r="H347" s="36"/>
      <c r="I347" s="47">
        <v>6.25E-2</v>
      </c>
      <c r="J347" s="47">
        <f t="shared" si="10"/>
        <v>0</v>
      </c>
      <c r="K347" s="24">
        <f t="shared" si="11"/>
        <v>-6.25E-2</v>
      </c>
      <c r="L347" s="45"/>
      <c r="M347" s="25"/>
      <c r="N347" s="22"/>
      <c r="O347" s="26"/>
      <c r="P347" s="35"/>
    </row>
    <row r="348" spans="1:16">
      <c r="A348" s="21"/>
      <c r="B348" s="43"/>
      <c r="C348" s="38"/>
      <c r="D348" s="44"/>
      <c r="E348" s="35"/>
      <c r="F348" s="35"/>
      <c r="G348" s="39"/>
      <c r="H348" s="36"/>
      <c r="I348" s="47">
        <v>6.25E-2</v>
      </c>
      <c r="J348" s="47">
        <f t="shared" si="10"/>
        <v>0</v>
      </c>
      <c r="K348" s="24">
        <f t="shared" si="11"/>
        <v>-6.25E-2</v>
      </c>
      <c r="L348" s="45"/>
      <c r="M348" s="25"/>
      <c r="N348" s="22"/>
      <c r="O348" s="26"/>
      <c r="P348" s="35"/>
    </row>
    <row r="349" spans="1:16">
      <c r="A349" s="21"/>
      <c r="B349" s="43"/>
      <c r="C349" s="38"/>
      <c r="D349" s="44"/>
      <c r="E349" s="35"/>
      <c r="F349" s="35"/>
      <c r="G349" s="39"/>
      <c r="H349" s="36"/>
      <c r="I349" s="47">
        <v>6.25E-2</v>
      </c>
      <c r="J349" s="47">
        <f t="shared" si="10"/>
        <v>0</v>
      </c>
      <c r="K349" s="24">
        <f t="shared" si="11"/>
        <v>-6.25E-2</v>
      </c>
      <c r="L349" s="45"/>
      <c r="M349" s="25"/>
      <c r="N349" s="22"/>
      <c r="O349" s="26"/>
      <c r="P349" s="35"/>
    </row>
    <row r="350" spans="1:16">
      <c r="A350" s="21"/>
      <c r="B350" s="43"/>
      <c r="C350" s="38"/>
      <c r="D350" s="44"/>
      <c r="E350" s="35"/>
      <c r="F350" s="35"/>
      <c r="G350" s="39"/>
      <c r="H350" s="36"/>
      <c r="I350" s="47">
        <v>6.25E-2</v>
      </c>
      <c r="J350" s="47">
        <f t="shared" si="10"/>
        <v>0</v>
      </c>
      <c r="K350" s="24">
        <f t="shared" si="11"/>
        <v>-6.25E-2</v>
      </c>
      <c r="L350" s="45"/>
      <c r="M350" s="25"/>
      <c r="N350" s="22"/>
      <c r="O350" s="26"/>
      <c r="P350" s="35"/>
    </row>
    <row r="351" spans="1:16">
      <c r="A351" s="21"/>
      <c r="B351" s="43"/>
      <c r="C351" s="38"/>
      <c r="D351" s="44"/>
      <c r="E351" s="35"/>
      <c r="F351" s="35"/>
      <c r="G351" s="39"/>
      <c r="H351" s="36"/>
      <c r="I351" s="47">
        <v>6.25E-2</v>
      </c>
      <c r="J351" s="47">
        <f t="shared" si="10"/>
        <v>0</v>
      </c>
      <c r="K351" s="24">
        <f t="shared" si="11"/>
        <v>-6.25E-2</v>
      </c>
      <c r="L351" s="45"/>
      <c r="M351" s="25"/>
      <c r="N351" s="22"/>
      <c r="O351" s="26"/>
      <c r="P351" s="35"/>
    </row>
    <row r="352" spans="1:16">
      <c r="A352" s="21"/>
      <c r="B352" s="43"/>
      <c r="C352" s="38"/>
      <c r="D352" s="44"/>
      <c r="E352" s="35"/>
      <c r="F352" s="35"/>
      <c r="G352" s="39"/>
      <c r="H352" s="36"/>
      <c r="I352" s="47">
        <v>6.25E-2</v>
      </c>
      <c r="J352" s="47">
        <f t="shared" si="10"/>
        <v>0</v>
      </c>
      <c r="K352" s="24">
        <f t="shared" si="11"/>
        <v>-6.25E-2</v>
      </c>
      <c r="L352" s="45"/>
      <c r="M352" s="25"/>
      <c r="N352" s="22"/>
      <c r="O352" s="26"/>
      <c r="P352" s="35"/>
    </row>
    <row r="353" spans="1:16">
      <c r="A353" s="21"/>
      <c r="B353" s="43"/>
      <c r="C353" s="38"/>
      <c r="D353" s="44"/>
      <c r="E353" s="35"/>
      <c r="F353" s="35"/>
      <c r="G353" s="39"/>
      <c r="H353" s="36"/>
      <c r="I353" s="47">
        <v>6.25E-2</v>
      </c>
      <c r="J353" s="47">
        <f t="shared" si="10"/>
        <v>0</v>
      </c>
      <c r="K353" s="24">
        <f t="shared" si="11"/>
        <v>-6.25E-2</v>
      </c>
      <c r="L353" s="45"/>
      <c r="M353" s="25"/>
      <c r="N353" s="22"/>
      <c r="O353" s="26"/>
      <c r="P353" s="35"/>
    </row>
    <row r="354" spans="1:16">
      <c r="A354" s="21"/>
      <c r="B354" s="43"/>
      <c r="C354" s="38"/>
      <c r="D354" s="44"/>
      <c r="E354" s="35"/>
      <c r="F354" s="35"/>
      <c r="G354" s="39"/>
      <c r="H354" s="36"/>
      <c r="I354" s="47">
        <v>6.25E-2</v>
      </c>
      <c r="J354" s="47">
        <f t="shared" si="10"/>
        <v>0</v>
      </c>
      <c r="K354" s="24">
        <f t="shared" si="11"/>
        <v>-6.25E-2</v>
      </c>
      <c r="L354" s="45"/>
      <c r="M354" s="25"/>
      <c r="N354" s="22"/>
      <c r="O354" s="26"/>
      <c r="P354" s="35"/>
    </row>
    <row r="355" spans="1:16">
      <c r="A355" s="21"/>
      <c r="B355" s="43"/>
      <c r="C355" s="38"/>
      <c r="D355" s="44"/>
      <c r="E355" s="35"/>
      <c r="F355" s="35"/>
      <c r="G355" s="39"/>
      <c r="H355" s="36"/>
      <c r="I355" s="47">
        <v>6.25E-2</v>
      </c>
      <c r="J355" s="47">
        <f t="shared" si="10"/>
        <v>0</v>
      </c>
      <c r="K355" s="24">
        <f t="shared" si="11"/>
        <v>-6.25E-2</v>
      </c>
      <c r="L355" s="45"/>
      <c r="M355" s="25"/>
      <c r="N355" s="22"/>
      <c r="O355" s="26"/>
      <c r="P355" s="35"/>
    </row>
    <row r="356" spans="1:16">
      <c r="A356" s="21"/>
      <c r="B356" s="43"/>
      <c r="C356" s="38"/>
      <c r="D356" s="44"/>
      <c r="E356" s="35"/>
      <c r="F356" s="35"/>
      <c r="G356" s="39"/>
      <c r="H356" s="36"/>
      <c r="I356" s="47">
        <v>6.25E-2</v>
      </c>
      <c r="J356" s="47">
        <f t="shared" si="10"/>
        <v>0</v>
      </c>
      <c r="K356" s="24">
        <f t="shared" si="11"/>
        <v>-6.25E-2</v>
      </c>
      <c r="L356" s="33"/>
      <c r="M356" s="25"/>
      <c r="N356" s="22"/>
      <c r="O356" s="26"/>
      <c r="P356" s="35"/>
    </row>
    <row r="357" spans="1:16">
      <c r="A357" s="21"/>
      <c r="B357" s="43"/>
      <c r="C357" s="38"/>
      <c r="D357" s="44"/>
      <c r="E357" s="35"/>
      <c r="F357" s="35"/>
      <c r="G357" s="39"/>
      <c r="H357" s="36"/>
      <c r="I357" s="47">
        <v>6.25E-2</v>
      </c>
      <c r="J357" s="47">
        <f t="shared" si="10"/>
        <v>0</v>
      </c>
      <c r="K357" s="24">
        <f t="shared" si="11"/>
        <v>-6.25E-2</v>
      </c>
      <c r="L357" s="33"/>
      <c r="M357" s="19"/>
      <c r="N357" s="22"/>
      <c r="O357" s="26"/>
      <c r="P357" s="35"/>
    </row>
    <row r="358" spans="1:16">
      <c r="A358" s="21"/>
      <c r="B358" s="43"/>
      <c r="C358" s="38"/>
      <c r="D358" s="44"/>
      <c r="E358" s="35"/>
      <c r="F358" s="35"/>
      <c r="G358" s="39"/>
      <c r="H358" s="36"/>
      <c r="I358" s="47">
        <v>6.25E-2</v>
      </c>
      <c r="J358" s="47">
        <f t="shared" si="10"/>
        <v>0</v>
      </c>
      <c r="K358" s="24">
        <f t="shared" si="11"/>
        <v>-6.25E-2</v>
      </c>
      <c r="L358" s="33"/>
      <c r="M358" s="19"/>
      <c r="N358" s="22"/>
      <c r="O358" s="26"/>
      <c r="P358" s="35"/>
    </row>
    <row r="359" spans="1:16">
      <c r="A359" s="21"/>
      <c r="B359" s="43"/>
      <c r="C359" s="38"/>
      <c r="D359" s="44"/>
      <c r="E359" s="35"/>
      <c r="F359" s="35"/>
      <c r="G359" s="39"/>
      <c r="H359" s="36"/>
      <c r="I359" s="47">
        <v>6.25E-2</v>
      </c>
      <c r="J359" s="47">
        <f t="shared" si="10"/>
        <v>0</v>
      </c>
      <c r="K359" s="24">
        <f t="shared" si="11"/>
        <v>-6.25E-2</v>
      </c>
      <c r="L359" s="45"/>
      <c r="M359" s="25"/>
      <c r="N359" s="22"/>
      <c r="O359" s="26"/>
      <c r="P359" s="35"/>
    </row>
    <row r="360" spans="1:16">
      <c r="A360" s="21"/>
      <c r="B360" s="43"/>
      <c r="C360" s="38"/>
      <c r="D360" s="44"/>
      <c r="E360" s="35"/>
      <c r="F360" s="35"/>
      <c r="G360" s="39"/>
      <c r="H360" s="36"/>
      <c r="I360" s="47">
        <v>6.25E-2</v>
      </c>
      <c r="J360" s="47">
        <f t="shared" si="10"/>
        <v>0</v>
      </c>
      <c r="K360" s="24">
        <f t="shared" si="11"/>
        <v>-6.25E-2</v>
      </c>
      <c r="L360" s="45"/>
      <c r="M360" s="25"/>
      <c r="N360" s="22"/>
      <c r="O360" s="26"/>
      <c r="P360" s="35"/>
    </row>
    <row r="361" spans="1:16">
      <c r="A361" s="21"/>
      <c r="B361" s="43"/>
      <c r="C361" s="38"/>
      <c r="D361" s="44"/>
      <c r="E361" s="35"/>
      <c r="F361" s="35"/>
      <c r="G361" s="39"/>
      <c r="H361" s="36"/>
      <c r="I361" s="47">
        <v>6.25E-2</v>
      </c>
      <c r="J361" s="47">
        <f t="shared" si="10"/>
        <v>0</v>
      </c>
      <c r="K361" s="24">
        <f t="shared" si="11"/>
        <v>-6.25E-2</v>
      </c>
      <c r="L361" s="33"/>
      <c r="M361" s="25"/>
      <c r="N361" s="22"/>
      <c r="O361" s="26"/>
      <c r="P361" s="35"/>
    </row>
    <row r="362" spans="1:16">
      <c r="A362" s="21"/>
      <c r="B362" s="43"/>
      <c r="C362" s="38"/>
      <c r="D362" s="44"/>
      <c r="E362" s="35"/>
      <c r="F362" s="35"/>
      <c r="G362" s="39"/>
      <c r="H362" s="36"/>
      <c r="I362" s="47">
        <v>6.25E-2</v>
      </c>
      <c r="J362" s="47">
        <f t="shared" si="10"/>
        <v>0</v>
      </c>
      <c r="K362" s="24">
        <f t="shared" si="11"/>
        <v>-6.25E-2</v>
      </c>
      <c r="L362" s="45"/>
      <c r="M362" s="25"/>
      <c r="N362" s="22"/>
      <c r="O362" s="26"/>
      <c r="P362" s="35"/>
    </row>
    <row r="363" spans="1:16">
      <c r="A363" s="21"/>
      <c r="B363" s="43"/>
      <c r="C363" s="38"/>
      <c r="D363" s="44"/>
      <c r="E363" s="35"/>
      <c r="F363" s="35"/>
      <c r="G363" s="39"/>
      <c r="H363" s="36"/>
      <c r="I363" s="47">
        <v>6.25E-2</v>
      </c>
      <c r="J363" s="47">
        <f t="shared" si="10"/>
        <v>0</v>
      </c>
      <c r="K363" s="24">
        <f t="shared" si="11"/>
        <v>-6.25E-2</v>
      </c>
      <c r="L363" s="33"/>
      <c r="M363" s="25"/>
      <c r="N363" s="22"/>
      <c r="O363" s="26"/>
      <c r="P363" s="35"/>
    </row>
    <row r="364" spans="1:16">
      <c r="A364" s="21"/>
      <c r="B364" s="43"/>
      <c r="C364" s="38"/>
      <c r="D364" s="44"/>
      <c r="E364" s="35"/>
      <c r="F364" s="35"/>
      <c r="G364" s="39"/>
      <c r="H364" s="36"/>
      <c r="I364" s="47">
        <v>6.25E-2</v>
      </c>
      <c r="J364" s="47">
        <f t="shared" si="10"/>
        <v>0</v>
      </c>
      <c r="K364" s="24">
        <f t="shared" si="11"/>
        <v>-6.25E-2</v>
      </c>
      <c r="L364" s="33"/>
      <c r="M364" s="25"/>
      <c r="N364" s="22"/>
      <c r="O364" s="26"/>
      <c r="P364" s="35"/>
    </row>
    <row r="365" spans="1:16">
      <c r="A365" s="21"/>
      <c r="B365" s="43"/>
      <c r="C365" s="38"/>
      <c r="D365" s="44"/>
      <c r="E365" s="35"/>
      <c r="F365" s="35"/>
      <c r="G365" s="39"/>
      <c r="H365" s="36"/>
      <c r="I365" s="47">
        <v>6.25E-2</v>
      </c>
      <c r="J365" s="47">
        <f t="shared" si="10"/>
        <v>0</v>
      </c>
      <c r="K365" s="24">
        <f t="shared" si="11"/>
        <v>-6.25E-2</v>
      </c>
      <c r="L365" s="45"/>
      <c r="M365" s="25"/>
      <c r="N365" s="22"/>
      <c r="O365" s="26"/>
      <c r="P365" s="35"/>
    </row>
    <row r="366" spans="1:16">
      <c r="A366" s="21"/>
      <c r="B366" s="43"/>
      <c r="C366" s="38"/>
      <c r="D366" s="44"/>
      <c r="E366" s="35"/>
      <c r="F366" s="35"/>
      <c r="G366" s="39"/>
      <c r="H366" s="36"/>
      <c r="I366" s="47">
        <v>6.25E-2</v>
      </c>
      <c r="J366" s="47">
        <f t="shared" si="10"/>
        <v>0</v>
      </c>
      <c r="K366" s="24">
        <f t="shared" si="11"/>
        <v>-6.25E-2</v>
      </c>
      <c r="L366" s="45"/>
      <c r="M366" s="25"/>
      <c r="N366" s="22"/>
      <c r="O366" s="26"/>
      <c r="P366" s="35"/>
    </row>
    <row r="367" spans="1:16">
      <c r="A367" s="21"/>
      <c r="B367" s="43"/>
      <c r="C367" s="38"/>
      <c r="D367" s="44"/>
      <c r="E367" s="35"/>
      <c r="F367" s="35"/>
      <c r="G367" s="39"/>
      <c r="H367" s="36"/>
      <c r="I367" s="47">
        <v>6.25E-2</v>
      </c>
      <c r="J367" s="47">
        <f t="shared" si="10"/>
        <v>0</v>
      </c>
      <c r="K367" s="24">
        <f t="shared" si="11"/>
        <v>-6.25E-2</v>
      </c>
      <c r="L367" s="45"/>
      <c r="M367" s="25"/>
      <c r="N367" s="22"/>
      <c r="O367" s="26"/>
      <c r="P367" s="35"/>
    </row>
    <row r="368" spans="1:16">
      <c r="A368" s="21"/>
      <c r="B368" s="43"/>
      <c r="C368" s="38"/>
      <c r="D368" s="44"/>
      <c r="E368" s="35"/>
      <c r="F368" s="35"/>
      <c r="G368" s="39"/>
      <c r="H368" s="36"/>
      <c r="I368" s="47">
        <v>6.25E-2</v>
      </c>
      <c r="J368" s="47">
        <f t="shared" si="10"/>
        <v>0</v>
      </c>
      <c r="K368" s="24">
        <f t="shared" si="11"/>
        <v>-6.25E-2</v>
      </c>
      <c r="L368" s="45"/>
      <c r="M368" s="25"/>
      <c r="N368" s="22"/>
      <c r="O368" s="26"/>
      <c r="P368" s="35"/>
    </row>
    <row r="369" spans="1:16">
      <c r="A369" s="21"/>
      <c r="B369" s="43"/>
      <c r="C369" s="38"/>
      <c r="D369" s="44"/>
      <c r="E369" s="35"/>
      <c r="F369" s="35"/>
      <c r="G369" s="39"/>
      <c r="H369" s="36"/>
      <c r="I369" s="47">
        <v>6.25E-2</v>
      </c>
      <c r="J369" s="47">
        <f t="shared" si="10"/>
        <v>0</v>
      </c>
      <c r="K369" s="24">
        <f t="shared" si="11"/>
        <v>-6.25E-2</v>
      </c>
      <c r="L369" s="45"/>
      <c r="M369" s="25"/>
      <c r="N369" s="22"/>
      <c r="O369" s="26"/>
      <c r="P369" s="35"/>
    </row>
    <row r="370" spans="1:16">
      <c r="A370" s="21"/>
      <c r="B370" s="43"/>
      <c r="C370" s="38"/>
      <c r="D370" s="44"/>
      <c r="E370" s="35"/>
      <c r="F370" s="35"/>
      <c r="G370" s="39"/>
      <c r="H370" s="36"/>
      <c r="I370" s="47">
        <v>6.25E-2</v>
      </c>
      <c r="J370" s="47">
        <f t="shared" si="10"/>
        <v>0</v>
      </c>
      <c r="K370" s="24">
        <f t="shared" si="11"/>
        <v>-6.25E-2</v>
      </c>
      <c r="L370" s="45"/>
      <c r="M370" s="25"/>
      <c r="N370" s="22"/>
      <c r="O370" s="26"/>
      <c r="P370" s="35"/>
    </row>
    <row r="371" spans="1:16">
      <c r="A371" s="21"/>
      <c r="B371" s="43"/>
      <c r="C371" s="38"/>
      <c r="D371" s="44"/>
      <c r="E371" s="35"/>
      <c r="F371" s="35"/>
      <c r="G371" s="39"/>
      <c r="H371" s="36"/>
      <c r="I371" s="47">
        <v>6.25E-2</v>
      </c>
      <c r="J371" s="47">
        <f t="shared" si="10"/>
        <v>0</v>
      </c>
      <c r="K371" s="24">
        <f t="shared" si="11"/>
        <v>-6.25E-2</v>
      </c>
      <c r="L371" s="45"/>
      <c r="M371" s="25"/>
      <c r="N371" s="22"/>
      <c r="O371" s="26"/>
      <c r="P371" s="35"/>
    </row>
    <row r="372" spans="1:16">
      <c r="A372" s="21"/>
      <c r="B372" s="43"/>
      <c r="C372" s="38"/>
      <c r="D372" s="44"/>
      <c r="E372" s="35"/>
      <c r="F372" s="35"/>
      <c r="G372" s="39"/>
      <c r="H372" s="36"/>
      <c r="I372" s="47">
        <v>6.25E-2</v>
      </c>
      <c r="J372" s="47">
        <f t="shared" si="10"/>
        <v>0</v>
      </c>
      <c r="K372" s="24">
        <f t="shared" si="11"/>
        <v>-6.25E-2</v>
      </c>
      <c r="L372" s="45"/>
      <c r="M372" s="25"/>
      <c r="N372" s="22"/>
      <c r="O372" s="26"/>
      <c r="P372" s="35"/>
    </row>
    <row r="373" spans="1:16">
      <c r="A373" s="21"/>
      <c r="B373" s="43"/>
      <c r="C373" s="38"/>
      <c r="D373" s="44"/>
      <c r="E373" s="35"/>
      <c r="F373" s="35"/>
      <c r="G373" s="39"/>
      <c r="H373" s="36"/>
      <c r="I373" s="47">
        <v>6.25E-2</v>
      </c>
      <c r="J373" s="47">
        <f t="shared" si="10"/>
        <v>0</v>
      </c>
      <c r="K373" s="24">
        <f t="shared" si="11"/>
        <v>-6.25E-2</v>
      </c>
      <c r="L373" s="45"/>
      <c r="M373" s="25"/>
      <c r="N373" s="22"/>
      <c r="O373" s="26"/>
      <c r="P373" s="35"/>
    </row>
    <row r="374" spans="1:16">
      <c r="A374" s="21"/>
      <c r="B374" s="43"/>
      <c r="C374" s="38"/>
      <c r="D374" s="44"/>
      <c r="E374" s="35"/>
      <c r="F374" s="35"/>
      <c r="G374" s="39"/>
      <c r="H374" s="36"/>
      <c r="I374" s="47">
        <v>6.25E-2</v>
      </c>
      <c r="J374" s="47">
        <f t="shared" si="10"/>
        <v>0</v>
      </c>
      <c r="K374" s="24">
        <f t="shared" si="11"/>
        <v>-6.25E-2</v>
      </c>
      <c r="L374" s="45"/>
      <c r="M374" s="25"/>
      <c r="N374" s="22"/>
      <c r="O374" s="26"/>
      <c r="P374" s="35"/>
    </row>
    <row r="375" spans="1:16">
      <c r="A375" s="21"/>
      <c r="B375" s="43"/>
      <c r="C375" s="38"/>
      <c r="D375" s="44"/>
      <c r="E375" s="35"/>
      <c r="F375" s="35"/>
      <c r="G375" s="39"/>
      <c r="H375" s="36"/>
      <c r="I375" s="47">
        <v>6.25E-2</v>
      </c>
      <c r="J375" s="47">
        <f t="shared" si="10"/>
        <v>0</v>
      </c>
      <c r="K375" s="24">
        <f t="shared" si="11"/>
        <v>-6.25E-2</v>
      </c>
      <c r="L375" s="45"/>
      <c r="M375" s="25"/>
      <c r="N375" s="22"/>
      <c r="O375" s="26"/>
      <c r="P375" s="35"/>
    </row>
    <row r="376" spans="1:16">
      <c r="A376" s="21"/>
      <c r="B376" s="43"/>
      <c r="C376" s="38"/>
      <c r="D376" s="44"/>
      <c r="E376" s="35"/>
      <c r="F376" s="35"/>
      <c r="G376" s="39"/>
      <c r="H376" s="36"/>
      <c r="I376" s="47">
        <v>6.25E-2</v>
      </c>
      <c r="J376" s="47">
        <f t="shared" si="10"/>
        <v>0</v>
      </c>
      <c r="K376" s="24">
        <f t="shared" si="11"/>
        <v>-6.25E-2</v>
      </c>
      <c r="L376" s="45"/>
      <c r="M376" s="25"/>
      <c r="N376" s="22"/>
      <c r="O376" s="26"/>
      <c r="P376" s="35"/>
    </row>
    <row r="377" spans="1:16">
      <c r="A377" s="21"/>
      <c r="B377" s="43"/>
      <c r="C377" s="38"/>
      <c r="D377" s="44"/>
      <c r="E377" s="35"/>
      <c r="F377" s="35"/>
      <c r="G377" s="39"/>
      <c r="H377" s="36"/>
      <c r="I377" s="47">
        <v>6.25E-2</v>
      </c>
      <c r="J377" s="47">
        <f t="shared" si="10"/>
        <v>0</v>
      </c>
      <c r="K377" s="24">
        <f t="shared" si="11"/>
        <v>-6.25E-2</v>
      </c>
      <c r="L377" s="45"/>
      <c r="M377" s="25"/>
      <c r="N377" s="22"/>
      <c r="O377" s="26"/>
      <c r="P377" s="35"/>
    </row>
    <row r="378" spans="1:16">
      <c r="A378" s="21"/>
      <c r="B378" s="43"/>
      <c r="C378" s="38"/>
      <c r="D378" s="44"/>
      <c r="E378" s="35"/>
      <c r="F378" s="35"/>
      <c r="G378" s="39"/>
      <c r="H378" s="36"/>
      <c r="I378" s="47">
        <v>6.25E-2</v>
      </c>
      <c r="J378" s="47">
        <f t="shared" si="10"/>
        <v>0</v>
      </c>
      <c r="K378" s="24">
        <f t="shared" si="11"/>
        <v>-6.25E-2</v>
      </c>
      <c r="L378" s="45"/>
      <c r="M378" s="25"/>
      <c r="N378" s="22"/>
      <c r="O378" s="26"/>
      <c r="P378" s="35"/>
    </row>
    <row r="379" spans="1:16">
      <c r="A379" s="21"/>
      <c r="B379" s="43"/>
      <c r="C379" s="38"/>
      <c r="D379" s="44"/>
      <c r="E379" s="35"/>
      <c r="F379" s="35"/>
      <c r="G379" s="39"/>
      <c r="H379" s="36"/>
      <c r="I379" s="47">
        <v>6.25E-2</v>
      </c>
      <c r="J379" s="47">
        <f t="shared" si="10"/>
        <v>0</v>
      </c>
      <c r="K379" s="24">
        <f t="shared" si="11"/>
        <v>-6.25E-2</v>
      </c>
      <c r="L379" s="33"/>
      <c r="M379" s="25"/>
      <c r="N379" s="22"/>
      <c r="O379" s="26"/>
      <c r="P379" s="35"/>
    </row>
    <row r="380" spans="1:16">
      <c r="A380" s="21"/>
      <c r="B380" s="43"/>
      <c r="C380" s="38"/>
      <c r="D380" s="44"/>
      <c r="E380" s="35"/>
      <c r="F380" s="35"/>
      <c r="G380" s="39"/>
      <c r="H380" s="36"/>
      <c r="I380" s="47">
        <v>6.25E-2</v>
      </c>
      <c r="J380" s="47">
        <f t="shared" si="10"/>
        <v>0</v>
      </c>
      <c r="K380" s="24">
        <f t="shared" si="11"/>
        <v>-6.25E-2</v>
      </c>
      <c r="L380" s="45"/>
      <c r="M380" s="25"/>
      <c r="N380" s="22"/>
      <c r="O380" s="26"/>
      <c r="P380" s="35"/>
    </row>
    <row r="381" spans="1:16">
      <c r="A381" s="21"/>
      <c r="B381" s="43"/>
      <c r="C381" s="38"/>
      <c r="D381" s="44"/>
      <c r="E381" s="35"/>
      <c r="F381" s="35"/>
      <c r="G381" s="39"/>
      <c r="H381" s="36"/>
      <c r="I381" s="47">
        <v>6.25E-2</v>
      </c>
      <c r="J381" s="47">
        <f t="shared" si="10"/>
        <v>0</v>
      </c>
      <c r="K381" s="24">
        <f t="shared" si="11"/>
        <v>-6.25E-2</v>
      </c>
      <c r="L381" s="45"/>
      <c r="M381" s="25"/>
      <c r="N381" s="22"/>
      <c r="O381" s="26"/>
      <c r="P381" s="35"/>
    </row>
    <row r="382" spans="1:16">
      <c r="A382" s="21"/>
      <c r="B382" s="43"/>
      <c r="C382" s="38"/>
      <c r="D382" s="44"/>
      <c r="E382" s="35"/>
      <c r="F382" s="35"/>
      <c r="G382" s="39"/>
      <c r="H382" s="36"/>
      <c r="I382" s="47">
        <v>6.25E-2</v>
      </c>
      <c r="J382" s="47">
        <f t="shared" si="10"/>
        <v>0</v>
      </c>
      <c r="K382" s="24">
        <f t="shared" si="11"/>
        <v>-6.25E-2</v>
      </c>
      <c r="L382" s="45"/>
      <c r="M382" s="25"/>
      <c r="N382" s="22"/>
      <c r="O382" s="26"/>
      <c r="P382" s="35"/>
    </row>
    <row r="383" spans="1:16">
      <c r="A383" s="21"/>
      <c r="B383" s="43"/>
      <c r="C383" s="38"/>
      <c r="D383" s="44"/>
      <c r="E383" s="35"/>
      <c r="F383" s="35"/>
      <c r="G383" s="39"/>
      <c r="H383" s="36"/>
      <c r="I383" s="47">
        <v>6.25E-2</v>
      </c>
      <c r="J383" s="47">
        <f t="shared" si="10"/>
        <v>0</v>
      </c>
      <c r="K383" s="24">
        <f t="shared" si="11"/>
        <v>-6.25E-2</v>
      </c>
      <c r="L383" s="45"/>
      <c r="M383" s="25"/>
      <c r="N383" s="22"/>
      <c r="O383" s="26"/>
      <c r="P383" s="35"/>
    </row>
    <row r="384" spans="1:16">
      <c r="A384" s="21"/>
      <c r="B384" s="43"/>
      <c r="C384" s="38"/>
      <c r="D384" s="44"/>
      <c r="E384" s="35"/>
      <c r="F384" s="35"/>
      <c r="G384" s="39"/>
      <c r="H384" s="36"/>
      <c r="I384" s="47">
        <v>6.25E-2</v>
      </c>
      <c r="J384" s="47">
        <f t="shared" si="10"/>
        <v>0</v>
      </c>
      <c r="K384" s="24">
        <f t="shared" si="11"/>
        <v>-6.25E-2</v>
      </c>
      <c r="L384" s="33"/>
      <c r="M384" s="25"/>
      <c r="N384" s="22"/>
      <c r="O384" s="26"/>
      <c r="P384" s="35"/>
    </row>
    <row r="385" spans="1:16">
      <c r="A385" s="21"/>
      <c r="B385" s="43"/>
      <c r="C385" s="38"/>
      <c r="D385" s="44"/>
      <c r="E385" s="35"/>
      <c r="F385" s="35"/>
      <c r="G385" s="39"/>
      <c r="H385" s="36"/>
      <c r="I385" s="47">
        <v>6.25E-2</v>
      </c>
      <c r="J385" s="47">
        <f t="shared" si="10"/>
        <v>0</v>
      </c>
      <c r="K385" s="24">
        <f t="shared" si="11"/>
        <v>-6.25E-2</v>
      </c>
      <c r="L385" s="33"/>
      <c r="M385" s="25"/>
      <c r="N385" s="22"/>
      <c r="O385" s="26"/>
      <c r="P385" s="35"/>
    </row>
    <row r="386" spans="1:16">
      <c r="A386" s="21"/>
      <c r="B386" s="43"/>
      <c r="C386" s="38"/>
      <c r="D386" s="44"/>
      <c r="E386" s="35"/>
      <c r="F386" s="35"/>
      <c r="G386" s="39"/>
      <c r="H386" s="36"/>
      <c r="I386" s="47">
        <v>6.25E-2</v>
      </c>
      <c r="J386" s="47">
        <f t="shared" ref="J386:J449" si="12">H386-G386</f>
        <v>0</v>
      </c>
      <c r="K386" s="24">
        <f t="shared" ref="K386:K449" si="13">J386-I386</f>
        <v>-6.25E-2</v>
      </c>
      <c r="L386" s="33"/>
      <c r="M386" s="25"/>
      <c r="N386" s="22"/>
      <c r="O386" s="26"/>
      <c r="P386" s="35"/>
    </row>
    <row r="387" spans="1:16">
      <c r="A387" s="21"/>
      <c r="B387" s="43"/>
      <c r="C387" s="38"/>
      <c r="D387" s="44"/>
      <c r="E387" s="35"/>
      <c r="F387" s="35"/>
      <c r="G387" s="39"/>
      <c r="H387" s="36"/>
      <c r="I387" s="47">
        <v>6.25E-2</v>
      </c>
      <c r="J387" s="47">
        <f t="shared" si="12"/>
        <v>0</v>
      </c>
      <c r="K387" s="24">
        <f t="shared" si="13"/>
        <v>-6.25E-2</v>
      </c>
      <c r="L387" s="33"/>
      <c r="M387" s="25"/>
      <c r="N387" s="22"/>
      <c r="O387" s="26"/>
      <c r="P387" s="35"/>
    </row>
    <row r="388" spans="1:16">
      <c r="A388" s="21"/>
      <c r="B388" s="43"/>
      <c r="C388" s="38"/>
      <c r="D388" s="44"/>
      <c r="E388" s="35"/>
      <c r="F388" s="35"/>
      <c r="G388" s="39"/>
      <c r="H388" s="36"/>
      <c r="I388" s="47">
        <v>6.25E-2</v>
      </c>
      <c r="J388" s="47">
        <f t="shared" si="12"/>
        <v>0</v>
      </c>
      <c r="K388" s="24">
        <f t="shared" si="13"/>
        <v>-6.25E-2</v>
      </c>
      <c r="L388" s="45"/>
      <c r="M388" s="25"/>
      <c r="N388" s="22"/>
      <c r="O388" s="26"/>
      <c r="P388" s="35"/>
    </row>
    <row r="389" spans="1:16">
      <c r="A389" s="21"/>
      <c r="B389" s="43"/>
      <c r="C389" s="38"/>
      <c r="D389" s="44"/>
      <c r="E389" s="35"/>
      <c r="F389" s="35"/>
      <c r="G389" s="39"/>
      <c r="H389" s="36"/>
      <c r="I389" s="47">
        <v>6.25E-2</v>
      </c>
      <c r="J389" s="47">
        <f t="shared" si="12"/>
        <v>0</v>
      </c>
      <c r="K389" s="24">
        <f t="shared" si="13"/>
        <v>-6.25E-2</v>
      </c>
      <c r="L389" s="33"/>
      <c r="M389" s="25"/>
      <c r="N389" s="22"/>
      <c r="O389" s="26"/>
      <c r="P389" s="35"/>
    </row>
    <row r="390" spans="1:16">
      <c r="A390" s="21"/>
      <c r="B390" s="43"/>
      <c r="C390" s="38"/>
      <c r="D390" s="44"/>
      <c r="E390" s="35"/>
      <c r="F390" s="35"/>
      <c r="G390" s="39"/>
      <c r="H390" s="36"/>
      <c r="I390" s="47">
        <v>6.25E-2</v>
      </c>
      <c r="J390" s="47">
        <f t="shared" si="12"/>
        <v>0</v>
      </c>
      <c r="K390" s="24">
        <f t="shared" si="13"/>
        <v>-6.25E-2</v>
      </c>
      <c r="L390" s="45"/>
      <c r="M390" s="25"/>
      <c r="N390" s="22"/>
      <c r="O390" s="26"/>
      <c r="P390" s="35"/>
    </row>
    <row r="391" spans="1:16">
      <c r="A391" s="21"/>
      <c r="B391" s="43"/>
      <c r="C391" s="38"/>
      <c r="D391" s="44"/>
      <c r="E391" s="35"/>
      <c r="F391" s="35"/>
      <c r="G391" s="39"/>
      <c r="H391" s="36"/>
      <c r="I391" s="47">
        <v>6.25E-2</v>
      </c>
      <c r="J391" s="47">
        <f t="shared" si="12"/>
        <v>0</v>
      </c>
      <c r="K391" s="24">
        <f t="shared" si="13"/>
        <v>-6.25E-2</v>
      </c>
      <c r="L391" s="45"/>
      <c r="M391" s="25"/>
      <c r="N391" s="22"/>
      <c r="O391" s="26"/>
      <c r="P391" s="35"/>
    </row>
    <row r="392" spans="1:16">
      <c r="A392" s="21"/>
      <c r="B392" s="43"/>
      <c r="C392" s="38"/>
      <c r="D392" s="44"/>
      <c r="E392" s="35"/>
      <c r="F392" s="35"/>
      <c r="G392" s="39"/>
      <c r="H392" s="36"/>
      <c r="I392" s="47">
        <v>6.25E-2</v>
      </c>
      <c r="J392" s="47">
        <f t="shared" si="12"/>
        <v>0</v>
      </c>
      <c r="K392" s="24">
        <f t="shared" si="13"/>
        <v>-6.25E-2</v>
      </c>
      <c r="L392" s="45"/>
      <c r="M392" s="25"/>
      <c r="N392" s="22"/>
      <c r="O392" s="26"/>
      <c r="P392" s="35"/>
    </row>
    <row r="393" spans="1:16">
      <c r="A393" s="21"/>
      <c r="B393" s="43"/>
      <c r="C393" s="38"/>
      <c r="D393" s="44"/>
      <c r="E393" s="35"/>
      <c r="F393" s="35"/>
      <c r="G393" s="39"/>
      <c r="H393" s="36"/>
      <c r="I393" s="47">
        <v>6.25E-2</v>
      </c>
      <c r="J393" s="47">
        <f t="shared" si="12"/>
        <v>0</v>
      </c>
      <c r="K393" s="24">
        <f t="shared" si="13"/>
        <v>-6.25E-2</v>
      </c>
      <c r="L393" s="45"/>
      <c r="M393" s="25"/>
      <c r="N393" s="22"/>
      <c r="O393" s="26"/>
      <c r="P393" s="35"/>
    </row>
    <row r="394" spans="1:16">
      <c r="A394" s="21"/>
      <c r="B394" s="43"/>
      <c r="C394" s="38"/>
      <c r="D394" s="44"/>
      <c r="E394" s="35"/>
      <c r="F394" s="35"/>
      <c r="G394" s="39"/>
      <c r="H394" s="36"/>
      <c r="I394" s="47">
        <v>6.25E-2</v>
      </c>
      <c r="J394" s="47">
        <f t="shared" si="12"/>
        <v>0</v>
      </c>
      <c r="K394" s="24">
        <f t="shared" si="13"/>
        <v>-6.25E-2</v>
      </c>
      <c r="L394" s="45"/>
      <c r="M394" s="25"/>
      <c r="N394" s="22"/>
      <c r="O394" s="26"/>
      <c r="P394" s="35"/>
    </row>
    <row r="395" spans="1:16">
      <c r="A395" s="21"/>
      <c r="B395" s="43"/>
      <c r="C395" s="38"/>
      <c r="D395" s="44"/>
      <c r="E395" s="35"/>
      <c r="F395" s="35"/>
      <c r="G395" s="39"/>
      <c r="H395" s="36"/>
      <c r="I395" s="47">
        <v>6.25E-2</v>
      </c>
      <c r="J395" s="47">
        <f t="shared" si="12"/>
        <v>0</v>
      </c>
      <c r="K395" s="24">
        <f t="shared" si="13"/>
        <v>-6.25E-2</v>
      </c>
      <c r="L395" s="45"/>
      <c r="M395" s="25"/>
      <c r="N395" s="22"/>
      <c r="O395" s="26"/>
      <c r="P395" s="35"/>
    </row>
    <row r="396" spans="1:16">
      <c r="A396" s="21"/>
      <c r="B396" s="43"/>
      <c r="C396" s="38"/>
      <c r="D396" s="44"/>
      <c r="E396" s="35"/>
      <c r="F396" s="35"/>
      <c r="G396" s="39"/>
      <c r="H396" s="36"/>
      <c r="I396" s="47">
        <v>6.25E-2</v>
      </c>
      <c r="J396" s="47">
        <f t="shared" si="12"/>
        <v>0</v>
      </c>
      <c r="K396" s="24">
        <f t="shared" si="13"/>
        <v>-6.25E-2</v>
      </c>
      <c r="L396" s="45"/>
      <c r="M396" s="25"/>
      <c r="N396" s="22"/>
      <c r="O396" s="26"/>
      <c r="P396" s="35"/>
    </row>
    <row r="397" spans="1:16">
      <c r="A397" s="21"/>
      <c r="B397" s="43"/>
      <c r="C397" s="38"/>
      <c r="D397" s="44"/>
      <c r="E397" s="35"/>
      <c r="F397" s="35"/>
      <c r="G397" s="39"/>
      <c r="H397" s="36"/>
      <c r="I397" s="47">
        <v>6.25E-2</v>
      </c>
      <c r="J397" s="47">
        <f t="shared" si="12"/>
        <v>0</v>
      </c>
      <c r="K397" s="24">
        <f t="shared" si="13"/>
        <v>-6.25E-2</v>
      </c>
      <c r="L397" s="33"/>
      <c r="M397" s="25"/>
      <c r="N397" s="22"/>
      <c r="O397" s="26"/>
      <c r="P397" s="35"/>
    </row>
    <row r="398" spans="1:16">
      <c r="A398" s="21"/>
      <c r="B398" s="43"/>
      <c r="C398" s="38"/>
      <c r="D398" s="44"/>
      <c r="E398" s="35"/>
      <c r="F398" s="35"/>
      <c r="G398" s="39"/>
      <c r="H398" s="36"/>
      <c r="I398" s="47">
        <v>6.25E-2</v>
      </c>
      <c r="J398" s="47">
        <f t="shared" si="12"/>
        <v>0</v>
      </c>
      <c r="K398" s="24">
        <f t="shared" si="13"/>
        <v>-6.25E-2</v>
      </c>
      <c r="L398" s="33"/>
      <c r="M398" s="25"/>
      <c r="N398" s="22"/>
      <c r="O398" s="26"/>
      <c r="P398" s="35"/>
    </row>
    <row r="399" spans="1:16">
      <c r="A399" s="21"/>
      <c r="B399" s="43"/>
      <c r="C399" s="38"/>
      <c r="D399" s="44"/>
      <c r="E399" s="35"/>
      <c r="F399" s="35"/>
      <c r="G399" s="39"/>
      <c r="H399" s="36"/>
      <c r="I399" s="47">
        <v>6.25E-2</v>
      </c>
      <c r="J399" s="47">
        <f t="shared" si="12"/>
        <v>0</v>
      </c>
      <c r="K399" s="24">
        <f t="shared" si="13"/>
        <v>-6.25E-2</v>
      </c>
      <c r="L399" s="45"/>
      <c r="M399" s="25"/>
      <c r="N399" s="22"/>
      <c r="O399" s="26"/>
      <c r="P399" s="35"/>
    </row>
    <row r="400" spans="1:16">
      <c r="A400" s="21"/>
      <c r="B400" s="43"/>
      <c r="C400" s="38"/>
      <c r="D400" s="44"/>
      <c r="E400" s="35"/>
      <c r="F400" s="35"/>
      <c r="G400" s="39"/>
      <c r="H400" s="36"/>
      <c r="I400" s="47">
        <v>6.25E-2</v>
      </c>
      <c r="J400" s="47">
        <f t="shared" si="12"/>
        <v>0</v>
      </c>
      <c r="K400" s="24">
        <f t="shared" si="13"/>
        <v>-6.25E-2</v>
      </c>
      <c r="L400" s="33"/>
      <c r="M400" s="25"/>
      <c r="N400" s="22"/>
      <c r="O400" s="26"/>
      <c r="P400" s="35"/>
    </row>
    <row r="401" spans="1:16">
      <c r="A401" s="21"/>
      <c r="B401" s="43"/>
      <c r="C401" s="38"/>
      <c r="D401" s="44"/>
      <c r="E401" s="35"/>
      <c r="F401" s="35"/>
      <c r="G401" s="39"/>
      <c r="H401" s="36"/>
      <c r="I401" s="47">
        <v>6.25E-2</v>
      </c>
      <c r="J401" s="47">
        <f t="shared" si="12"/>
        <v>0</v>
      </c>
      <c r="K401" s="24">
        <f t="shared" si="13"/>
        <v>-6.25E-2</v>
      </c>
      <c r="L401" s="33"/>
      <c r="M401" s="25"/>
      <c r="N401" s="22"/>
      <c r="O401" s="26"/>
      <c r="P401" s="35"/>
    </row>
    <row r="402" spans="1:16">
      <c r="A402" s="21"/>
      <c r="B402" s="43"/>
      <c r="C402" s="38"/>
      <c r="D402" s="44"/>
      <c r="E402" s="35"/>
      <c r="F402" s="35"/>
      <c r="G402" s="39"/>
      <c r="H402" s="36"/>
      <c r="I402" s="47">
        <v>6.25E-2</v>
      </c>
      <c r="J402" s="47">
        <f t="shared" si="12"/>
        <v>0</v>
      </c>
      <c r="K402" s="24">
        <f t="shared" si="13"/>
        <v>-6.25E-2</v>
      </c>
      <c r="L402" s="45"/>
      <c r="M402" s="25"/>
      <c r="N402" s="22"/>
      <c r="O402" s="26"/>
      <c r="P402" s="35"/>
    </row>
    <row r="403" spans="1:16">
      <c r="A403" s="21"/>
      <c r="B403" s="43"/>
      <c r="C403" s="38"/>
      <c r="D403" s="44"/>
      <c r="E403" s="35"/>
      <c r="F403" s="35"/>
      <c r="G403" s="39"/>
      <c r="H403" s="36"/>
      <c r="I403" s="47">
        <v>6.25E-2</v>
      </c>
      <c r="J403" s="47">
        <f t="shared" si="12"/>
        <v>0</v>
      </c>
      <c r="K403" s="24">
        <f t="shared" si="13"/>
        <v>-6.25E-2</v>
      </c>
      <c r="L403" s="45"/>
      <c r="M403" s="25"/>
      <c r="N403" s="22"/>
      <c r="O403" s="26"/>
      <c r="P403" s="35"/>
    </row>
    <row r="404" spans="1:16">
      <c r="A404" s="21"/>
      <c r="B404" s="43"/>
      <c r="C404" s="38"/>
      <c r="D404" s="44"/>
      <c r="E404" s="35"/>
      <c r="F404" s="35"/>
      <c r="G404" s="39"/>
      <c r="H404" s="36"/>
      <c r="I404" s="47">
        <v>6.25E-2</v>
      </c>
      <c r="J404" s="47">
        <f t="shared" si="12"/>
        <v>0</v>
      </c>
      <c r="K404" s="24">
        <f t="shared" si="13"/>
        <v>-6.25E-2</v>
      </c>
      <c r="L404" s="33"/>
      <c r="M404" s="25"/>
      <c r="N404" s="22"/>
      <c r="O404" s="26"/>
      <c r="P404" s="35"/>
    </row>
    <row r="405" spans="1:16">
      <c r="A405" s="21"/>
      <c r="B405" s="43"/>
      <c r="C405" s="38"/>
      <c r="D405" s="44"/>
      <c r="E405" s="35"/>
      <c r="F405" s="35"/>
      <c r="G405" s="39"/>
      <c r="H405" s="36"/>
      <c r="I405" s="47">
        <v>6.25E-2</v>
      </c>
      <c r="J405" s="47">
        <f t="shared" si="12"/>
        <v>0</v>
      </c>
      <c r="K405" s="24">
        <f t="shared" si="13"/>
        <v>-6.25E-2</v>
      </c>
      <c r="L405" s="45"/>
      <c r="M405" s="25"/>
      <c r="N405" s="22"/>
      <c r="O405" s="26"/>
      <c r="P405" s="35"/>
    </row>
    <row r="406" spans="1:16">
      <c r="A406" s="21"/>
      <c r="B406" s="43"/>
      <c r="C406" s="38"/>
      <c r="D406" s="44"/>
      <c r="E406" s="35"/>
      <c r="F406" s="35"/>
      <c r="G406" s="39"/>
      <c r="H406" s="36"/>
      <c r="I406" s="47">
        <v>6.25E-2</v>
      </c>
      <c r="J406" s="47">
        <f t="shared" si="12"/>
        <v>0</v>
      </c>
      <c r="K406" s="24">
        <f t="shared" si="13"/>
        <v>-6.25E-2</v>
      </c>
      <c r="L406" s="33"/>
      <c r="M406" s="19"/>
      <c r="N406" s="22"/>
      <c r="O406" s="26"/>
      <c r="P406" s="35"/>
    </row>
    <row r="407" spans="1:16">
      <c r="A407" s="21"/>
      <c r="B407" s="43"/>
      <c r="C407" s="38"/>
      <c r="D407" s="44"/>
      <c r="E407" s="35"/>
      <c r="F407" s="35"/>
      <c r="G407" s="39"/>
      <c r="H407" s="36"/>
      <c r="I407" s="47">
        <v>6.25E-2</v>
      </c>
      <c r="J407" s="47">
        <f t="shared" si="12"/>
        <v>0</v>
      </c>
      <c r="K407" s="24">
        <f t="shared" si="13"/>
        <v>-6.25E-2</v>
      </c>
      <c r="L407" s="33"/>
      <c r="M407" s="19"/>
      <c r="N407" s="22"/>
      <c r="O407" s="26"/>
      <c r="P407" s="35"/>
    </row>
    <row r="408" spans="1:16">
      <c r="A408" s="21"/>
      <c r="B408" s="43"/>
      <c r="C408" s="38"/>
      <c r="D408" s="44"/>
      <c r="E408" s="35"/>
      <c r="F408" s="35"/>
      <c r="G408" s="39"/>
      <c r="H408" s="36"/>
      <c r="I408" s="47">
        <v>6.25E-2</v>
      </c>
      <c r="J408" s="47">
        <f t="shared" si="12"/>
        <v>0</v>
      </c>
      <c r="K408" s="24">
        <f t="shared" si="13"/>
        <v>-6.25E-2</v>
      </c>
      <c r="L408" s="33"/>
      <c r="M408" s="19"/>
      <c r="N408" s="22"/>
      <c r="O408" s="26"/>
      <c r="P408" s="35"/>
    </row>
    <row r="409" spans="1:16">
      <c r="A409" s="21"/>
      <c r="B409" s="43"/>
      <c r="C409" s="38"/>
      <c r="D409" s="44"/>
      <c r="E409" s="35"/>
      <c r="F409" s="35"/>
      <c r="G409" s="39"/>
      <c r="H409" s="36"/>
      <c r="I409" s="47">
        <v>6.25E-2</v>
      </c>
      <c r="J409" s="47">
        <f t="shared" si="12"/>
        <v>0</v>
      </c>
      <c r="K409" s="24">
        <f t="shared" si="13"/>
        <v>-6.25E-2</v>
      </c>
      <c r="L409" s="33"/>
      <c r="M409" s="19"/>
      <c r="N409" s="22"/>
      <c r="O409" s="26"/>
      <c r="P409" s="35"/>
    </row>
    <row r="410" spans="1:16">
      <c r="A410" s="21"/>
      <c r="B410" s="43"/>
      <c r="C410" s="38"/>
      <c r="D410" s="44"/>
      <c r="E410" s="35"/>
      <c r="F410" s="35"/>
      <c r="G410" s="39"/>
      <c r="H410" s="36"/>
      <c r="I410" s="47">
        <v>6.25E-2</v>
      </c>
      <c r="J410" s="47">
        <f t="shared" si="12"/>
        <v>0</v>
      </c>
      <c r="K410" s="24">
        <f t="shared" si="13"/>
        <v>-6.25E-2</v>
      </c>
      <c r="L410" s="33"/>
      <c r="M410" s="19"/>
      <c r="N410" s="22"/>
      <c r="O410" s="26"/>
      <c r="P410" s="35"/>
    </row>
    <row r="411" spans="1:16">
      <c r="A411" s="21"/>
      <c r="B411" s="43"/>
      <c r="C411" s="38"/>
      <c r="D411" s="44"/>
      <c r="E411" s="35"/>
      <c r="F411" s="35"/>
      <c r="G411" s="39"/>
      <c r="H411" s="36"/>
      <c r="I411" s="47">
        <v>6.25E-2</v>
      </c>
      <c r="J411" s="47">
        <f t="shared" si="12"/>
        <v>0</v>
      </c>
      <c r="K411" s="24">
        <f t="shared" si="13"/>
        <v>-6.25E-2</v>
      </c>
      <c r="L411" s="33"/>
      <c r="M411" s="19"/>
      <c r="N411" s="22"/>
      <c r="O411" s="26"/>
      <c r="P411" s="35"/>
    </row>
    <row r="412" spans="1:16">
      <c r="A412" s="21"/>
      <c r="B412" s="43"/>
      <c r="C412" s="38"/>
      <c r="D412" s="44"/>
      <c r="E412" s="35"/>
      <c r="F412" s="35"/>
      <c r="G412" s="39"/>
      <c r="H412" s="36"/>
      <c r="I412" s="47">
        <v>6.25E-2</v>
      </c>
      <c r="J412" s="47">
        <f t="shared" si="12"/>
        <v>0</v>
      </c>
      <c r="K412" s="24">
        <f t="shared" si="13"/>
        <v>-6.25E-2</v>
      </c>
      <c r="L412" s="33"/>
      <c r="M412" s="19"/>
      <c r="N412" s="22"/>
      <c r="O412" s="26"/>
      <c r="P412" s="35"/>
    </row>
    <row r="413" spans="1:16">
      <c r="A413" s="21"/>
      <c r="B413" s="43"/>
      <c r="C413" s="38"/>
      <c r="D413" s="44"/>
      <c r="E413" s="35"/>
      <c r="F413" s="35"/>
      <c r="G413" s="39"/>
      <c r="H413" s="36"/>
      <c r="I413" s="47">
        <v>6.25E-2</v>
      </c>
      <c r="J413" s="47">
        <f t="shared" si="12"/>
        <v>0</v>
      </c>
      <c r="K413" s="24">
        <f t="shared" si="13"/>
        <v>-6.25E-2</v>
      </c>
      <c r="L413" s="33"/>
      <c r="M413" s="19"/>
      <c r="N413" s="22"/>
      <c r="O413" s="26"/>
      <c r="P413" s="35"/>
    </row>
    <row r="414" spans="1:16">
      <c r="A414" s="21"/>
      <c r="B414" s="43"/>
      <c r="C414" s="38"/>
      <c r="D414" s="44"/>
      <c r="E414" s="35"/>
      <c r="F414" s="35"/>
      <c r="G414" s="39"/>
      <c r="H414" s="36"/>
      <c r="I414" s="47">
        <v>6.25E-2</v>
      </c>
      <c r="J414" s="47">
        <f t="shared" si="12"/>
        <v>0</v>
      </c>
      <c r="K414" s="24">
        <f t="shared" si="13"/>
        <v>-6.25E-2</v>
      </c>
      <c r="L414" s="45"/>
      <c r="M414" s="25"/>
      <c r="N414" s="22"/>
      <c r="O414" s="26"/>
      <c r="P414" s="35"/>
    </row>
    <row r="415" spans="1:16">
      <c r="A415" s="21"/>
      <c r="B415" s="43"/>
      <c r="C415" s="38"/>
      <c r="D415" s="44"/>
      <c r="E415" s="35"/>
      <c r="F415" s="35"/>
      <c r="G415" s="39"/>
      <c r="H415" s="36"/>
      <c r="I415" s="47">
        <v>6.25E-2</v>
      </c>
      <c r="J415" s="47">
        <f t="shared" si="12"/>
        <v>0</v>
      </c>
      <c r="K415" s="24">
        <f t="shared" si="13"/>
        <v>-6.25E-2</v>
      </c>
      <c r="L415" s="45"/>
      <c r="M415" s="25"/>
      <c r="N415" s="22"/>
      <c r="O415" s="26"/>
      <c r="P415" s="35"/>
    </row>
    <row r="416" spans="1:16">
      <c r="A416" s="21"/>
      <c r="B416" s="43"/>
      <c r="C416" s="38"/>
      <c r="D416" s="44"/>
      <c r="E416" s="35"/>
      <c r="F416" s="35"/>
      <c r="G416" s="39"/>
      <c r="H416" s="36"/>
      <c r="I416" s="47">
        <v>6.25E-2</v>
      </c>
      <c r="J416" s="47">
        <f t="shared" si="12"/>
        <v>0</v>
      </c>
      <c r="K416" s="24">
        <f t="shared" si="13"/>
        <v>-6.25E-2</v>
      </c>
      <c r="L416" s="45"/>
      <c r="M416" s="25"/>
      <c r="N416" s="22"/>
      <c r="O416" s="26"/>
      <c r="P416" s="35"/>
    </row>
    <row r="417" spans="1:16">
      <c r="A417" s="21"/>
      <c r="B417" s="43"/>
      <c r="C417" s="38"/>
      <c r="D417" s="44"/>
      <c r="E417" s="35"/>
      <c r="F417" s="35"/>
      <c r="G417" s="39"/>
      <c r="H417" s="36"/>
      <c r="I417" s="47">
        <v>6.25E-2</v>
      </c>
      <c r="J417" s="47">
        <f t="shared" si="12"/>
        <v>0</v>
      </c>
      <c r="K417" s="24">
        <f t="shared" si="13"/>
        <v>-6.25E-2</v>
      </c>
      <c r="L417" s="45"/>
      <c r="M417" s="25"/>
      <c r="N417" s="22"/>
      <c r="O417" s="26"/>
      <c r="P417" s="35"/>
    </row>
    <row r="418" spans="1:16">
      <c r="A418" s="21"/>
      <c r="B418" s="43"/>
      <c r="C418" s="38"/>
      <c r="D418" s="44"/>
      <c r="E418" s="35"/>
      <c r="F418" s="35"/>
      <c r="G418" s="39"/>
      <c r="H418" s="36"/>
      <c r="I418" s="47">
        <v>6.25E-2</v>
      </c>
      <c r="J418" s="47">
        <f t="shared" si="12"/>
        <v>0</v>
      </c>
      <c r="K418" s="24">
        <f t="shared" si="13"/>
        <v>-6.25E-2</v>
      </c>
      <c r="L418" s="45"/>
      <c r="M418" s="25"/>
      <c r="N418" s="22"/>
      <c r="O418" s="26"/>
      <c r="P418" s="35"/>
    </row>
    <row r="419" spans="1:16">
      <c r="A419" s="21"/>
      <c r="B419" s="43"/>
      <c r="C419" s="38"/>
      <c r="D419" s="44"/>
      <c r="E419" s="35"/>
      <c r="F419" s="35"/>
      <c r="G419" s="39"/>
      <c r="H419" s="36"/>
      <c r="I419" s="47">
        <v>6.25E-2</v>
      </c>
      <c r="J419" s="47">
        <f t="shared" si="12"/>
        <v>0</v>
      </c>
      <c r="K419" s="24">
        <f t="shared" si="13"/>
        <v>-6.25E-2</v>
      </c>
      <c r="L419" s="45"/>
      <c r="M419" s="25"/>
      <c r="N419" s="22"/>
      <c r="O419" s="26"/>
      <c r="P419" s="35"/>
    </row>
    <row r="420" spans="1:16">
      <c r="A420" s="21"/>
      <c r="B420" s="43"/>
      <c r="C420" s="38"/>
      <c r="D420" s="44"/>
      <c r="E420" s="35"/>
      <c r="F420" s="35"/>
      <c r="G420" s="39"/>
      <c r="H420" s="36"/>
      <c r="I420" s="47">
        <v>6.25E-2</v>
      </c>
      <c r="J420" s="47">
        <f t="shared" si="12"/>
        <v>0</v>
      </c>
      <c r="K420" s="24">
        <f t="shared" si="13"/>
        <v>-6.25E-2</v>
      </c>
      <c r="L420" s="45"/>
      <c r="M420" s="25"/>
      <c r="N420" s="22"/>
      <c r="O420" s="26"/>
      <c r="P420" s="35"/>
    </row>
    <row r="421" spans="1:16">
      <c r="A421" s="21"/>
      <c r="B421" s="43"/>
      <c r="C421" s="38"/>
      <c r="D421" s="44"/>
      <c r="E421" s="35"/>
      <c r="F421" s="35"/>
      <c r="G421" s="39"/>
      <c r="H421" s="36"/>
      <c r="I421" s="47">
        <v>6.25E-2</v>
      </c>
      <c r="J421" s="47">
        <f t="shared" si="12"/>
        <v>0</v>
      </c>
      <c r="K421" s="24">
        <f t="shared" si="13"/>
        <v>-6.25E-2</v>
      </c>
      <c r="L421" s="45"/>
      <c r="M421" s="25"/>
      <c r="N421" s="22"/>
      <c r="O421" s="26"/>
      <c r="P421" s="35"/>
    </row>
    <row r="422" spans="1:16">
      <c r="A422" s="21"/>
      <c r="B422" s="43"/>
      <c r="C422" s="38"/>
      <c r="D422" s="44"/>
      <c r="E422" s="35"/>
      <c r="F422" s="35"/>
      <c r="G422" s="39"/>
      <c r="H422" s="36"/>
      <c r="I422" s="47">
        <v>6.25E-2</v>
      </c>
      <c r="J422" s="47">
        <f t="shared" si="12"/>
        <v>0</v>
      </c>
      <c r="K422" s="24">
        <f t="shared" si="13"/>
        <v>-6.25E-2</v>
      </c>
      <c r="L422" s="45"/>
      <c r="M422" s="25"/>
      <c r="N422" s="22"/>
      <c r="O422" s="26"/>
      <c r="P422" s="35"/>
    </row>
    <row r="423" spans="1:16">
      <c r="A423" s="21"/>
      <c r="B423" s="43"/>
      <c r="C423" s="38"/>
      <c r="D423" s="44"/>
      <c r="E423" s="35"/>
      <c r="F423" s="35"/>
      <c r="G423" s="39"/>
      <c r="H423" s="36"/>
      <c r="I423" s="47">
        <v>6.25E-2</v>
      </c>
      <c r="J423" s="47">
        <f t="shared" si="12"/>
        <v>0</v>
      </c>
      <c r="K423" s="24">
        <f t="shared" si="13"/>
        <v>-6.25E-2</v>
      </c>
      <c r="L423" s="45"/>
      <c r="M423" s="25"/>
      <c r="N423" s="22"/>
      <c r="O423" s="26"/>
      <c r="P423" s="35"/>
    </row>
    <row r="424" spans="1:16">
      <c r="A424" s="21"/>
      <c r="B424" s="43"/>
      <c r="C424" s="38"/>
      <c r="D424" s="44"/>
      <c r="E424" s="35"/>
      <c r="F424" s="35"/>
      <c r="G424" s="39"/>
      <c r="H424" s="36"/>
      <c r="I424" s="47">
        <v>6.25E-2</v>
      </c>
      <c r="J424" s="47">
        <f t="shared" si="12"/>
        <v>0</v>
      </c>
      <c r="K424" s="24">
        <f t="shared" si="13"/>
        <v>-6.25E-2</v>
      </c>
      <c r="L424" s="45"/>
      <c r="M424" s="25"/>
      <c r="N424" s="22"/>
      <c r="O424" s="26"/>
      <c r="P424" s="35"/>
    </row>
    <row r="425" spans="1:16">
      <c r="A425" s="21"/>
      <c r="B425" s="43"/>
      <c r="C425" s="38"/>
      <c r="D425" s="44"/>
      <c r="E425" s="35"/>
      <c r="F425" s="35"/>
      <c r="G425" s="39"/>
      <c r="H425" s="36"/>
      <c r="I425" s="47">
        <v>6.25E-2</v>
      </c>
      <c r="J425" s="47">
        <f t="shared" si="12"/>
        <v>0</v>
      </c>
      <c r="K425" s="24">
        <f t="shared" si="13"/>
        <v>-6.25E-2</v>
      </c>
      <c r="L425" s="45"/>
      <c r="M425" s="25"/>
      <c r="N425" s="22"/>
      <c r="O425" s="26"/>
      <c r="P425" s="35"/>
    </row>
    <row r="426" spans="1:16">
      <c r="A426" s="21"/>
      <c r="B426" s="43"/>
      <c r="C426" s="38"/>
      <c r="D426" s="44"/>
      <c r="E426" s="35"/>
      <c r="F426" s="35"/>
      <c r="G426" s="39"/>
      <c r="H426" s="36"/>
      <c r="I426" s="47">
        <v>6.25E-2</v>
      </c>
      <c r="J426" s="47">
        <f t="shared" si="12"/>
        <v>0</v>
      </c>
      <c r="K426" s="24">
        <f t="shared" si="13"/>
        <v>-6.25E-2</v>
      </c>
      <c r="L426" s="45"/>
      <c r="M426" s="25"/>
      <c r="N426" s="22"/>
      <c r="O426" s="26"/>
      <c r="P426" s="35"/>
    </row>
    <row r="427" spans="1:16">
      <c r="A427" s="21"/>
      <c r="B427" s="43"/>
      <c r="C427" s="38"/>
      <c r="D427" s="44"/>
      <c r="E427" s="35"/>
      <c r="F427" s="35"/>
      <c r="G427" s="39"/>
      <c r="H427" s="36"/>
      <c r="I427" s="47">
        <v>6.25E-2</v>
      </c>
      <c r="J427" s="47">
        <f t="shared" si="12"/>
        <v>0</v>
      </c>
      <c r="K427" s="24">
        <f t="shared" si="13"/>
        <v>-6.25E-2</v>
      </c>
      <c r="L427" s="45"/>
      <c r="M427" s="25"/>
      <c r="N427" s="22"/>
      <c r="O427" s="26"/>
      <c r="P427" s="35"/>
    </row>
    <row r="428" spans="1:16">
      <c r="A428" s="21"/>
      <c r="B428" s="43"/>
      <c r="C428" s="38"/>
      <c r="D428" s="44"/>
      <c r="E428" s="35"/>
      <c r="F428" s="35"/>
      <c r="G428" s="39"/>
      <c r="H428" s="36"/>
      <c r="I428" s="47">
        <v>6.25E-2</v>
      </c>
      <c r="J428" s="47">
        <f t="shared" si="12"/>
        <v>0</v>
      </c>
      <c r="K428" s="24">
        <f t="shared" si="13"/>
        <v>-6.25E-2</v>
      </c>
      <c r="L428" s="45"/>
      <c r="M428" s="25"/>
      <c r="N428" s="22"/>
      <c r="O428" s="26"/>
      <c r="P428" s="35"/>
    </row>
    <row r="429" spans="1:16">
      <c r="A429" s="21"/>
      <c r="B429" s="43"/>
      <c r="C429" s="38"/>
      <c r="D429" s="44"/>
      <c r="E429" s="35"/>
      <c r="F429" s="35"/>
      <c r="G429" s="39"/>
      <c r="H429" s="36"/>
      <c r="I429" s="47">
        <v>6.25E-2</v>
      </c>
      <c r="J429" s="47">
        <f t="shared" si="12"/>
        <v>0</v>
      </c>
      <c r="K429" s="24">
        <f t="shared" si="13"/>
        <v>-6.25E-2</v>
      </c>
      <c r="L429" s="33"/>
      <c r="M429" s="19"/>
      <c r="N429" s="22"/>
      <c r="O429" s="26"/>
      <c r="P429" s="35"/>
    </row>
    <row r="430" spans="1:16">
      <c r="A430" s="21"/>
      <c r="B430" s="43"/>
      <c r="C430" s="38"/>
      <c r="D430" s="44"/>
      <c r="E430" s="35"/>
      <c r="F430" s="35"/>
      <c r="G430" s="39"/>
      <c r="H430" s="36"/>
      <c r="I430" s="47">
        <v>6.25E-2</v>
      </c>
      <c r="J430" s="47">
        <f t="shared" si="12"/>
        <v>0</v>
      </c>
      <c r="K430" s="24">
        <f t="shared" si="13"/>
        <v>-6.25E-2</v>
      </c>
      <c r="L430" s="33"/>
      <c r="M430" s="25"/>
      <c r="N430" s="22"/>
      <c r="O430" s="26"/>
      <c r="P430" s="35"/>
    </row>
    <row r="431" spans="1:16">
      <c r="A431" s="21"/>
      <c r="B431" s="43"/>
      <c r="C431" s="38"/>
      <c r="D431" s="44"/>
      <c r="E431" s="35"/>
      <c r="F431" s="35"/>
      <c r="G431" s="39"/>
      <c r="H431" s="36"/>
      <c r="I431" s="47">
        <v>6.25E-2</v>
      </c>
      <c r="J431" s="47">
        <f t="shared" si="12"/>
        <v>0</v>
      </c>
      <c r="K431" s="24">
        <f t="shared" si="13"/>
        <v>-6.25E-2</v>
      </c>
      <c r="L431" s="33"/>
      <c r="M431" s="25"/>
      <c r="N431" s="22"/>
      <c r="O431" s="26"/>
      <c r="P431" s="35"/>
    </row>
    <row r="432" spans="1:16">
      <c r="A432" s="21"/>
      <c r="B432" s="43"/>
      <c r="C432" s="38"/>
      <c r="D432" s="44"/>
      <c r="E432" s="35"/>
      <c r="F432" s="35"/>
      <c r="G432" s="39"/>
      <c r="H432" s="36"/>
      <c r="I432" s="47">
        <v>6.25E-2</v>
      </c>
      <c r="J432" s="47">
        <f t="shared" si="12"/>
        <v>0</v>
      </c>
      <c r="K432" s="24">
        <f t="shared" si="13"/>
        <v>-6.25E-2</v>
      </c>
      <c r="L432" s="33"/>
      <c r="M432" s="25"/>
      <c r="N432" s="22"/>
      <c r="O432" s="26"/>
      <c r="P432" s="35"/>
    </row>
    <row r="433" spans="1:16">
      <c r="A433" s="21"/>
      <c r="B433" s="43"/>
      <c r="C433" s="38"/>
      <c r="D433" s="44"/>
      <c r="E433" s="35"/>
      <c r="F433" s="35"/>
      <c r="G433" s="39"/>
      <c r="H433" s="36"/>
      <c r="I433" s="47">
        <v>6.25E-2</v>
      </c>
      <c r="J433" s="47">
        <f t="shared" si="12"/>
        <v>0</v>
      </c>
      <c r="K433" s="24">
        <f t="shared" si="13"/>
        <v>-6.25E-2</v>
      </c>
      <c r="L433" s="33"/>
      <c r="M433" s="25"/>
      <c r="N433" s="22"/>
      <c r="O433" s="26"/>
      <c r="P433" s="35"/>
    </row>
    <row r="434" spans="1:16">
      <c r="A434" s="21"/>
      <c r="B434" s="43"/>
      <c r="C434" s="38"/>
      <c r="D434" s="44"/>
      <c r="E434" s="35"/>
      <c r="F434" s="35"/>
      <c r="G434" s="39"/>
      <c r="H434" s="36"/>
      <c r="I434" s="47">
        <v>6.25E-2</v>
      </c>
      <c r="J434" s="47">
        <f t="shared" si="12"/>
        <v>0</v>
      </c>
      <c r="K434" s="24">
        <f t="shared" si="13"/>
        <v>-6.25E-2</v>
      </c>
      <c r="L434" s="33"/>
      <c r="M434" s="25"/>
      <c r="N434" s="22"/>
      <c r="O434" s="26"/>
      <c r="P434" s="35"/>
    </row>
    <row r="435" spans="1:16">
      <c r="A435" s="21"/>
      <c r="B435" s="43"/>
      <c r="C435" s="38"/>
      <c r="D435" s="44"/>
      <c r="E435" s="35"/>
      <c r="F435" s="35"/>
      <c r="G435" s="39"/>
      <c r="H435" s="36"/>
      <c r="I435" s="47">
        <v>6.25E-2</v>
      </c>
      <c r="J435" s="47">
        <f t="shared" si="12"/>
        <v>0</v>
      </c>
      <c r="K435" s="24">
        <f t="shared" si="13"/>
        <v>-6.25E-2</v>
      </c>
      <c r="L435" s="45"/>
      <c r="M435" s="25"/>
      <c r="N435" s="22"/>
      <c r="O435" s="26"/>
      <c r="P435" s="35"/>
    </row>
    <row r="436" spans="1:16">
      <c r="A436" s="21"/>
      <c r="B436" s="43"/>
      <c r="C436" s="38"/>
      <c r="D436" s="44"/>
      <c r="E436" s="35"/>
      <c r="F436" s="35"/>
      <c r="G436" s="39"/>
      <c r="H436" s="36"/>
      <c r="I436" s="47">
        <v>6.25E-2</v>
      </c>
      <c r="J436" s="47">
        <f t="shared" si="12"/>
        <v>0</v>
      </c>
      <c r="K436" s="24">
        <f t="shared" si="13"/>
        <v>-6.25E-2</v>
      </c>
      <c r="L436" s="45"/>
      <c r="M436" s="25"/>
      <c r="N436" s="22"/>
      <c r="O436" s="26"/>
      <c r="P436" s="35"/>
    </row>
    <row r="437" spans="1:16">
      <c r="A437" s="21"/>
      <c r="B437" s="43"/>
      <c r="C437" s="38"/>
      <c r="D437" s="44"/>
      <c r="E437" s="35"/>
      <c r="F437" s="35"/>
      <c r="G437" s="39"/>
      <c r="H437" s="36"/>
      <c r="I437" s="47">
        <v>6.25E-2</v>
      </c>
      <c r="J437" s="47">
        <f t="shared" si="12"/>
        <v>0</v>
      </c>
      <c r="K437" s="24">
        <f t="shared" si="13"/>
        <v>-6.25E-2</v>
      </c>
      <c r="L437" s="45"/>
      <c r="M437" s="25"/>
      <c r="N437" s="22"/>
      <c r="O437" s="26"/>
      <c r="P437" s="35"/>
    </row>
    <row r="438" spans="1:16">
      <c r="A438" s="21"/>
      <c r="B438" s="43"/>
      <c r="C438" s="38"/>
      <c r="D438" s="44"/>
      <c r="E438" s="35"/>
      <c r="F438" s="35"/>
      <c r="G438" s="39"/>
      <c r="H438" s="36"/>
      <c r="I438" s="47">
        <v>6.25E-2</v>
      </c>
      <c r="J438" s="47">
        <f t="shared" si="12"/>
        <v>0</v>
      </c>
      <c r="K438" s="24">
        <f t="shared" si="13"/>
        <v>-6.25E-2</v>
      </c>
      <c r="L438" s="45"/>
      <c r="M438" s="25"/>
      <c r="N438" s="22"/>
      <c r="O438" s="26"/>
      <c r="P438" s="35"/>
    </row>
    <row r="439" spans="1:16">
      <c r="A439" s="21"/>
      <c r="B439" s="43"/>
      <c r="C439" s="38"/>
      <c r="D439" s="44"/>
      <c r="E439" s="35"/>
      <c r="F439" s="35"/>
      <c r="G439" s="39"/>
      <c r="H439" s="36"/>
      <c r="I439" s="47">
        <v>6.25E-2</v>
      </c>
      <c r="J439" s="47">
        <f t="shared" si="12"/>
        <v>0</v>
      </c>
      <c r="K439" s="24">
        <f t="shared" si="13"/>
        <v>-6.25E-2</v>
      </c>
      <c r="L439" s="45"/>
      <c r="M439" s="25"/>
      <c r="N439" s="22"/>
      <c r="O439" s="26"/>
      <c r="P439" s="35"/>
    </row>
    <row r="440" spans="1:16">
      <c r="A440" s="21"/>
      <c r="B440" s="43"/>
      <c r="C440" s="38"/>
      <c r="D440" s="44"/>
      <c r="E440" s="35"/>
      <c r="F440" s="35"/>
      <c r="G440" s="39"/>
      <c r="H440" s="36"/>
      <c r="I440" s="47">
        <v>6.25E-2</v>
      </c>
      <c r="J440" s="47">
        <f t="shared" si="12"/>
        <v>0</v>
      </c>
      <c r="K440" s="24">
        <f t="shared" si="13"/>
        <v>-6.25E-2</v>
      </c>
      <c r="L440" s="45"/>
      <c r="M440" s="25"/>
      <c r="N440" s="22"/>
      <c r="O440" s="26"/>
      <c r="P440" s="35"/>
    </row>
    <row r="441" spans="1:16">
      <c r="A441" s="21"/>
      <c r="B441" s="43"/>
      <c r="C441" s="38"/>
      <c r="D441" s="44"/>
      <c r="E441" s="35"/>
      <c r="F441" s="35"/>
      <c r="G441" s="39"/>
      <c r="H441" s="36"/>
      <c r="I441" s="47">
        <v>6.25E-2</v>
      </c>
      <c r="J441" s="47">
        <f t="shared" si="12"/>
        <v>0</v>
      </c>
      <c r="K441" s="24">
        <f t="shared" si="13"/>
        <v>-6.25E-2</v>
      </c>
      <c r="L441" s="45"/>
      <c r="M441" s="25"/>
      <c r="N441" s="22"/>
      <c r="O441" s="26"/>
      <c r="P441" s="35"/>
    </row>
    <row r="442" spans="1:16">
      <c r="A442" s="21"/>
      <c r="B442" s="43"/>
      <c r="C442" s="38"/>
      <c r="D442" s="44"/>
      <c r="E442" s="35"/>
      <c r="F442" s="35"/>
      <c r="G442" s="39"/>
      <c r="H442" s="36"/>
      <c r="I442" s="47">
        <v>6.25E-2</v>
      </c>
      <c r="J442" s="47">
        <f t="shared" si="12"/>
        <v>0</v>
      </c>
      <c r="K442" s="24">
        <f t="shared" si="13"/>
        <v>-6.25E-2</v>
      </c>
      <c r="L442" s="45"/>
      <c r="M442" s="25"/>
      <c r="N442" s="22"/>
      <c r="O442" s="26"/>
      <c r="P442" s="35"/>
    </row>
    <row r="443" spans="1:16">
      <c r="A443" s="21"/>
      <c r="B443" s="43"/>
      <c r="C443" s="38"/>
      <c r="D443" s="44"/>
      <c r="E443" s="35"/>
      <c r="F443" s="35"/>
      <c r="G443" s="39"/>
      <c r="H443" s="36"/>
      <c r="I443" s="47">
        <v>6.25E-2</v>
      </c>
      <c r="J443" s="47">
        <f t="shared" si="12"/>
        <v>0</v>
      </c>
      <c r="K443" s="24">
        <f t="shared" si="13"/>
        <v>-6.25E-2</v>
      </c>
      <c r="L443" s="45"/>
      <c r="M443" s="25"/>
      <c r="N443" s="22"/>
      <c r="O443" s="26"/>
      <c r="P443" s="35"/>
    </row>
    <row r="444" spans="1:16">
      <c r="A444" s="21"/>
      <c r="B444" s="43"/>
      <c r="C444" s="38"/>
      <c r="D444" s="44"/>
      <c r="E444" s="35"/>
      <c r="F444" s="35"/>
      <c r="G444" s="39"/>
      <c r="H444" s="36"/>
      <c r="I444" s="47">
        <v>6.25E-2</v>
      </c>
      <c r="J444" s="47">
        <f t="shared" si="12"/>
        <v>0</v>
      </c>
      <c r="K444" s="24">
        <f t="shared" si="13"/>
        <v>-6.25E-2</v>
      </c>
      <c r="L444" s="45"/>
      <c r="M444" s="25"/>
      <c r="N444" s="22"/>
      <c r="O444" s="26"/>
      <c r="P444" s="35"/>
    </row>
    <row r="445" spans="1:16">
      <c r="A445" s="21"/>
      <c r="B445" s="43"/>
      <c r="C445" s="38"/>
      <c r="D445" s="44"/>
      <c r="E445" s="35"/>
      <c r="F445" s="35"/>
      <c r="G445" s="39"/>
      <c r="H445" s="36"/>
      <c r="I445" s="47">
        <v>6.25E-2</v>
      </c>
      <c r="J445" s="47">
        <f t="shared" si="12"/>
        <v>0</v>
      </c>
      <c r="K445" s="24">
        <f t="shared" si="13"/>
        <v>-6.25E-2</v>
      </c>
      <c r="L445" s="45"/>
      <c r="M445" s="25"/>
      <c r="N445" s="22"/>
      <c r="O445" s="26"/>
      <c r="P445" s="35"/>
    </row>
    <row r="446" spans="1:16">
      <c r="A446" s="21"/>
      <c r="B446" s="43"/>
      <c r="C446" s="38"/>
      <c r="D446" s="44"/>
      <c r="E446" s="35"/>
      <c r="F446" s="35"/>
      <c r="G446" s="39"/>
      <c r="H446" s="36"/>
      <c r="I446" s="47">
        <v>6.25E-2</v>
      </c>
      <c r="J446" s="47">
        <f t="shared" si="12"/>
        <v>0</v>
      </c>
      <c r="K446" s="24">
        <f t="shared" si="13"/>
        <v>-6.25E-2</v>
      </c>
      <c r="L446" s="45"/>
      <c r="M446" s="25"/>
      <c r="N446" s="22"/>
      <c r="O446" s="26"/>
      <c r="P446" s="35"/>
    </row>
    <row r="447" spans="1:16">
      <c r="A447" s="21"/>
      <c r="B447" s="43"/>
      <c r="C447" s="38"/>
      <c r="D447" s="44"/>
      <c r="E447" s="35"/>
      <c r="F447" s="35"/>
      <c r="G447" s="39"/>
      <c r="H447" s="36"/>
      <c r="I447" s="47">
        <v>6.25E-2</v>
      </c>
      <c r="J447" s="47">
        <f t="shared" si="12"/>
        <v>0</v>
      </c>
      <c r="K447" s="24">
        <f t="shared" si="13"/>
        <v>-6.25E-2</v>
      </c>
      <c r="L447" s="45"/>
      <c r="M447" s="25"/>
      <c r="N447" s="22"/>
      <c r="O447" s="26"/>
      <c r="P447" s="35"/>
    </row>
    <row r="448" spans="1:16">
      <c r="A448" s="21"/>
      <c r="B448" s="43"/>
      <c r="C448" s="38"/>
      <c r="D448" s="44"/>
      <c r="E448" s="35"/>
      <c r="F448" s="35"/>
      <c r="G448" s="39"/>
      <c r="H448" s="36"/>
      <c r="I448" s="47">
        <v>6.25E-2</v>
      </c>
      <c r="J448" s="47">
        <f t="shared" si="12"/>
        <v>0</v>
      </c>
      <c r="K448" s="24">
        <f t="shared" si="13"/>
        <v>-6.25E-2</v>
      </c>
      <c r="L448" s="33"/>
      <c r="M448" s="25"/>
      <c r="N448" s="22"/>
      <c r="O448" s="26"/>
      <c r="P448" s="35"/>
    </row>
    <row r="449" spans="1:16">
      <c r="A449" s="21"/>
      <c r="B449" s="43"/>
      <c r="C449" s="38"/>
      <c r="D449" s="44"/>
      <c r="E449" s="35"/>
      <c r="F449" s="35"/>
      <c r="G449" s="39"/>
      <c r="H449" s="36"/>
      <c r="I449" s="47">
        <v>6.25E-2</v>
      </c>
      <c r="J449" s="47">
        <f t="shared" si="12"/>
        <v>0</v>
      </c>
      <c r="K449" s="24">
        <f t="shared" si="13"/>
        <v>-6.25E-2</v>
      </c>
      <c r="L449" s="33"/>
      <c r="M449" s="25"/>
      <c r="N449" s="22"/>
      <c r="O449" s="26"/>
      <c r="P449" s="35"/>
    </row>
    <row r="450" spans="1:16">
      <c r="A450" s="21"/>
      <c r="B450" s="43"/>
      <c r="C450" s="38"/>
      <c r="D450" s="44"/>
      <c r="E450" s="35"/>
      <c r="F450" s="35"/>
      <c r="G450" s="39"/>
      <c r="H450" s="36"/>
      <c r="I450" s="47">
        <v>6.25E-2</v>
      </c>
      <c r="J450" s="47">
        <f t="shared" ref="J450:J513" si="14">H450-G450</f>
        <v>0</v>
      </c>
      <c r="K450" s="24">
        <f t="shared" ref="K450:K513" si="15">J450-I450</f>
        <v>-6.25E-2</v>
      </c>
      <c r="L450" s="33"/>
      <c r="M450" s="25"/>
      <c r="N450" s="22"/>
      <c r="O450" s="26"/>
      <c r="P450" s="35"/>
    </row>
    <row r="451" spans="1:16">
      <c r="A451" s="21"/>
      <c r="B451" s="43"/>
      <c r="C451" s="38"/>
      <c r="D451" s="44"/>
      <c r="E451" s="35"/>
      <c r="F451" s="35"/>
      <c r="G451" s="39"/>
      <c r="H451" s="36"/>
      <c r="I451" s="47">
        <v>6.25E-2</v>
      </c>
      <c r="J451" s="47">
        <f t="shared" si="14"/>
        <v>0</v>
      </c>
      <c r="K451" s="24">
        <f t="shared" si="15"/>
        <v>-6.25E-2</v>
      </c>
      <c r="L451" s="33"/>
      <c r="M451" s="25"/>
      <c r="N451" s="22"/>
      <c r="O451" s="26"/>
      <c r="P451" s="35"/>
    </row>
    <row r="452" spans="1:16">
      <c r="A452" s="21"/>
      <c r="B452" s="43"/>
      <c r="C452" s="38"/>
      <c r="D452" s="44"/>
      <c r="E452" s="35"/>
      <c r="F452" s="35"/>
      <c r="G452" s="39"/>
      <c r="H452" s="36"/>
      <c r="I452" s="47">
        <v>6.25E-2</v>
      </c>
      <c r="J452" s="47">
        <f t="shared" si="14"/>
        <v>0</v>
      </c>
      <c r="K452" s="24">
        <f t="shared" si="15"/>
        <v>-6.25E-2</v>
      </c>
      <c r="L452" s="45"/>
      <c r="M452" s="25"/>
      <c r="N452" s="22"/>
      <c r="O452" s="26"/>
      <c r="P452" s="35"/>
    </row>
    <row r="453" spans="1:16">
      <c r="A453" s="21"/>
      <c r="B453" s="43"/>
      <c r="C453" s="38"/>
      <c r="D453" s="44"/>
      <c r="E453" s="35"/>
      <c r="F453" s="35"/>
      <c r="G453" s="39"/>
      <c r="H453" s="36"/>
      <c r="I453" s="47">
        <v>6.25E-2</v>
      </c>
      <c r="J453" s="47">
        <f t="shared" si="14"/>
        <v>0</v>
      </c>
      <c r="K453" s="24">
        <f t="shared" si="15"/>
        <v>-6.25E-2</v>
      </c>
      <c r="L453" s="45"/>
      <c r="M453" s="25"/>
      <c r="N453" s="22"/>
      <c r="O453" s="26"/>
      <c r="P453" s="35"/>
    </row>
    <row r="454" spans="1:16">
      <c r="A454" s="21"/>
      <c r="B454" s="43"/>
      <c r="C454" s="38"/>
      <c r="D454" s="44"/>
      <c r="E454" s="35"/>
      <c r="F454" s="35"/>
      <c r="G454" s="39"/>
      <c r="H454" s="36"/>
      <c r="I454" s="47">
        <v>6.25E-2</v>
      </c>
      <c r="J454" s="47">
        <f t="shared" si="14"/>
        <v>0</v>
      </c>
      <c r="K454" s="24">
        <f t="shared" si="15"/>
        <v>-6.25E-2</v>
      </c>
      <c r="L454" s="45"/>
      <c r="M454" s="25"/>
      <c r="N454" s="22"/>
      <c r="O454" s="26"/>
      <c r="P454" s="35"/>
    </row>
    <row r="455" spans="1:16">
      <c r="A455" s="21"/>
      <c r="B455" s="43"/>
      <c r="C455" s="38"/>
      <c r="D455" s="44"/>
      <c r="E455" s="35"/>
      <c r="F455" s="35"/>
      <c r="G455" s="39"/>
      <c r="H455" s="36"/>
      <c r="I455" s="47">
        <v>6.25E-2</v>
      </c>
      <c r="J455" s="47">
        <f t="shared" si="14"/>
        <v>0</v>
      </c>
      <c r="K455" s="24">
        <f t="shared" si="15"/>
        <v>-6.25E-2</v>
      </c>
      <c r="L455" s="45"/>
      <c r="M455" s="25"/>
      <c r="N455" s="22"/>
      <c r="O455" s="26"/>
      <c r="P455" s="35"/>
    </row>
    <row r="456" spans="1:16">
      <c r="A456" s="21"/>
      <c r="B456" s="43"/>
      <c r="C456" s="38"/>
      <c r="D456" s="44"/>
      <c r="E456" s="35"/>
      <c r="F456" s="35"/>
      <c r="G456" s="39"/>
      <c r="H456" s="36"/>
      <c r="I456" s="47">
        <v>6.25E-2</v>
      </c>
      <c r="J456" s="47">
        <f t="shared" si="14"/>
        <v>0</v>
      </c>
      <c r="K456" s="24">
        <f t="shared" si="15"/>
        <v>-6.25E-2</v>
      </c>
      <c r="L456" s="45"/>
      <c r="M456" s="25"/>
      <c r="N456" s="22"/>
      <c r="O456" s="26"/>
      <c r="P456" s="35"/>
    </row>
    <row r="457" spans="1:16">
      <c r="A457" s="21"/>
      <c r="B457" s="43"/>
      <c r="C457" s="38"/>
      <c r="D457" s="44"/>
      <c r="E457" s="35"/>
      <c r="F457" s="35"/>
      <c r="G457" s="39"/>
      <c r="H457" s="36"/>
      <c r="I457" s="47">
        <v>6.25E-2</v>
      </c>
      <c r="J457" s="47">
        <f t="shared" si="14"/>
        <v>0</v>
      </c>
      <c r="K457" s="24">
        <f t="shared" si="15"/>
        <v>-6.25E-2</v>
      </c>
      <c r="L457" s="45"/>
      <c r="M457" s="25"/>
      <c r="N457" s="22"/>
      <c r="O457" s="26"/>
      <c r="P457" s="35"/>
    </row>
    <row r="458" spans="1:16">
      <c r="A458" s="21"/>
      <c r="B458" s="43"/>
      <c r="C458" s="38"/>
      <c r="D458" s="44"/>
      <c r="E458" s="35"/>
      <c r="F458" s="35"/>
      <c r="G458" s="39"/>
      <c r="H458" s="36"/>
      <c r="I458" s="47">
        <v>6.25E-2</v>
      </c>
      <c r="J458" s="47">
        <f t="shared" si="14"/>
        <v>0</v>
      </c>
      <c r="K458" s="24">
        <f t="shared" si="15"/>
        <v>-6.25E-2</v>
      </c>
      <c r="L458" s="45"/>
      <c r="M458" s="25"/>
      <c r="N458" s="22"/>
      <c r="O458" s="26"/>
      <c r="P458" s="35"/>
    </row>
    <row r="459" spans="1:16">
      <c r="A459" s="21"/>
      <c r="B459" s="43"/>
      <c r="C459" s="38"/>
      <c r="D459" s="44"/>
      <c r="E459" s="35"/>
      <c r="F459" s="35"/>
      <c r="G459" s="39"/>
      <c r="H459" s="36"/>
      <c r="I459" s="47">
        <v>6.25E-2</v>
      </c>
      <c r="J459" s="47">
        <f t="shared" si="14"/>
        <v>0</v>
      </c>
      <c r="K459" s="24">
        <f t="shared" si="15"/>
        <v>-6.25E-2</v>
      </c>
      <c r="L459" s="45"/>
      <c r="M459" s="25"/>
      <c r="N459" s="22"/>
      <c r="O459" s="26"/>
      <c r="P459" s="35"/>
    </row>
    <row r="460" spans="1:16">
      <c r="A460" s="21"/>
      <c r="B460" s="43"/>
      <c r="C460" s="38"/>
      <c r="D460" s="44"/>
      <c r="E460" s="35"/>
      <c r="F460" s="35"/>
      <c r="G460" s="39"/>
      <c r="H460" s="36"/>
      <c r="I460" s="47">
        <v>6.25E-2</v>
      </c>
      <c r="J460" s="47">
        <f t="shared" si="14"/>
        <v>0</v>
      </c>
      <c r="K460" s="24">
        <f t="shared" si="15"/>
        <v>-6.25E-2</v>
      </c>
      <c r="L460" s="45"/>
      <c r="M460" s="25"/>
      <c r="N460" s="22"/>
      <c r="O460" s="26"/>
      <c r="P460" s="35"/>
    </row>
    <row r="461" spans="1:16">
      <c r="A461" s="21"/>
      <c r="B461" s="43"/>
      <c r="C461" s="38"/>
      <c r="D461" s="44"/>
      <c r="E461" s="35"/>
      <c r="F461" s="35"/>
      <c r="G461" s="39"/>
      <c r="H461" s="36"/>
      <c r="I461" s="47">
        <v>6.25E-2</v>
      </c>
      <c r="J461" s="47">
        <f t="shared" si="14"/>
        <v>0</v>
      </c>
      <c r="K461" s="24">
        <f t="shared" si="15"/>
        <v>-6.25E-2</v>
      </c>
      <c r="L461" s="33"/>
      <c r="M461" s="25"/>
      <c r="N461" s="22"/>
      <c r="O461" s="26"/>
      <c r="P461" s="35"/>
    </row>
    <row r="462" spans="1:16">
      <c r="A462" s="21"/>
      <c r="B462" s="43"/>
      <c r="C462" s="38"/>
      <c r="D462" s="44"/>
      <c r="E462" s="35"/>
      <c r="F462" s="35"/>
      <c r="G462" s="39"/>
      <c r="H462" s="36"/>
      <c r="I462" s="47">
        <v>6.25E-2</v>
      </c>
      <c r="J462" s="47">
        <f t="shared" si="14"/>
        <v>0</v>
      </c>
      <c r="K462" s="24">
        <f t="shared" si="15"/>
        <v>-6.25E-2</v>
      </c>
      <c r="L462" s="33"/>
      <c r="M462" s="25"/>
      <c r="N462" s="22"/>
      <c r="O462" s="26"/>
      <c r="P462" s="35"/>
    </row>
    <row r="463" spans="1:16">
      <c r="A463" s="21"/>
      <c r="B463" s="43"/>
      <c r="C463" s="38"/>
      <c r="D463" s="44"/>
      <c r="E463" s="35"/>
      <c r="F463" s="35"/>
      <c r="G463" s="39"/>
      <c r="H463" s="36"/>
      <c r="I463" s="47">
        <v>6.25E-2</v>
      </c>
      <c r="J463" s="47">
        <f t="shared" si="14"/>
        <v>0</v>
      </c>
      <c r="K463" s="24">
        <f t="shared" si="15"/>
        <v>-6.25E-2</v>
      </c>
      <c r="L463" s="33"/>
      <c r="M463" s="25"/>
      <c r="N463" s="22"/>
      <c r="O463" s="26"/>
      <c r="P463" s="35"/>
    </row>
    <row r="464" spans="1:16">
      <c r="A464" s="21"/>
      <c r="B464" s="43"/>
      <c r="C464" s="38"/>
      <c r="D464" s="44"/>
      <c r="E464" s="35"/>
      <c r="F464" s="35"/>
      <c r="G464" s="39"/>
      <c r="H464" s="36"/>
      <c r="I464" s="47">
        <v>6.25E-2</v>
      </c>
      <c r="J464" s="47">
        <f t="shared" si="14"/>
        <v>0</v>
      </c>
      <c r="K464" s="24">
        <f t="shared" si="15"/>
        <v>-6.25E-2</v>
      </c>
      <c r="L464" s="33"/>
      <c r="M464" s="25"/>
      <c r="N464" s="22"/>
      <c r="O464" s="26"/>
      <c r="P464" s="35"/>
    </row>
    <row r="465" spans="1:16">
      <c r="A465" s="21"/>
      <c r="B465" s="43"/>
      <c r="C465" s="38"/>
      <c r="D465" s="44"/>
      <c r="E465" s="35"/>
      <c r="F465" s="35"/>
      <c r="G465" s="39"/>
      <c r="H465" s="36"/>
      <c r="I465" s="47">
        <v>6.25E-2</v>
      </c>
      <c r="J465" s="47">
        <f t="shared" si="14"/>
        <v>0</v>
      </c>
      <c r="K465" s="24">
        <f t="shared" si="15"/>
        <v>-6.25E-2</v>
      </c>
      <c r="L465" s="45"/>
      <c r="M465" s="25"/>
      <c r="N465" s="22"/>
      <c r="O465" s="26"/>
      <c r="P465" s="35"/>
    </row>
    <row r="466" spans="1:16">
      <c r="A466" s="21"/>
      <c r="B466" s="43"/>
      <c r="C466" s="38"/>
      <c r="D466" s="44"/>
      <c r="E466" s="35"/>
      <c r="F466" s="35"/>
      <c r="G466" s="39"/>
      <c r="H466" s="36"/>
      <c r="I466" s="47">
        <v>6.25E-2</v>
      </c>
      <c r="J466" s="47">
        <f t="shared" si="14"/>
        <v>0</v>
      </c>
      <c r="K466" s="24">
        <f t="shared" si="15"/>
        <v>-6.25E-2</v>
      </c>
      <c r="L466" s="33"/>
      <c r="M466" s="25"/>
      <c r="N466" s="22"/>
      <c r="O466" s="26"/>
      <c r="P466" s="35"/>
    </row>
    <row r="467" spans="1:16">
      <c r="A467" s="21"/>
      <c r="B467" s="43"/>
      <c r="C467" s="38"/>
      <c r="D467" s="44"/>
      <c r="E467" s="35"/>
      <c r="F467" s="35"/>
      <c r="G467" s="39"/>
      <c r="H467" s="36"/>
      <c r="I467" s="47">
        <v>6.25E-2</v>
      </c>
      <c r="J467" s="47">
        <f t="shared" si="14"/>
        <v>0</v>
      </c>
      <c r="K467" s="24">
        <f t="shared" si="15"/>
        <v>-6.25E-2</v>
      </c>
      <c r="L467" s="33"/>
      <c r="M467" s="19"/>
      <c r="N467" s="22"/>
      <c r="O467" s="26"/>
      <c r="P467" s="35"/>
    </row>
    <row r="468" spans="1:16">
      <c r="A468" s="21"/>
      <c r="B468" s="43"/>
      <c r="C468" s="38"/>
      <c r="D468" s="44"/>
      <c r="E468" s="35"/>
      <c r="F468" s="35"/>
      <c r="G468" s="39"/>
      <c r="H468" s="36"/>
      <c r="I468" s="47">
        <v>6.25E-2</v>
      </c>
      <c r="J468" s="47">
        <f t="shared" si="14"/>
        <v>0</v>
      </c>
      <c r="K468" s="24">
        <f t="shared" si="15"/>
        <v>-6.25E-2</v>
      </c>
      <c r="L468" s="45"/>
      <c r="M468" s="25"/>
      <c r="N468" s="22"/>
      <c r="O468" s="26"/>
      <c r="P468" s="35"/>
    </row>
    <row r="469" spans="1:16">
      <c r="A469" s="21"/>
      <c r="B469" s="43"/>
      <c r="C469" s="38"/>
      <c r="D469" s="44"/>
      <c r="E469" s="35"/>
      <c r="F469" s="35"/>
      <c r="G469" s="39"/>
      <c r="H469" s="36"/>
      <c r="I469" s="47">
        <v>6.25E-2</v>
      </c>
      <c r="J469" s="47">
        <f t="shared" si="14"/>
        <v>0</v>
      </c>
      <c r="K469" s="24">
        <f t="shared" si="15"/>
        <v>-6.25E-2</v>
      </c>
      <c r="L469" s="45"/>
      <c r="M469" s="25"/>
      <c r="N469" s="22"/>
      <c r="O469" s="26"/>
      <c r="P469" s="35"/>
    </row>
    <row r="470" spans="1:16">
      <c r="A470" s="21"/>
      <c r="B470" s="43"/>
      <c r="C470" s="38"/>
      <c r="D470" s="44"/>
      <c r="E470" s="35"/>
      <c r="F470" s="35"/>
      <c r="G470" s="39"/>
      <c r="H470" s="36"/>
      <c r="I470" s="47">
        <v>6.25E-2</v>
      </c>
      <c r="J470" s="47">
        <f t="shared" si="14"/>
        <v>0</v>
      </c>
      <c r="K470" s="24">
        <f t="shared" si="15"/>
        <v>-6.25E-2</v>
      </c>
      <c r="L470" s="45"/>
      <c r="M470" s="25"/>
      <c r="N470" s="22"/>
      <c r="O470" s="26"/>
      <c r="P470" s="35"/>
    </row>
    <row r="471" spans="1:16">
      <c r="A471" s="21"/>
      <c r="B471" s="43"/>
      <c r="C471" s="38"/>
      <c r="D471" s="44"/>
      <c r="E471" s="35"/>
      <c r="F471" s="35"/>
      <c r="G471" s="39"/>
      <c r="H471" s="36"/>
      <c r="I471" s="47">
        <v>6.25E-2</v>
      </c>
      <c r="J471" s="47">
        <f t="shared" si="14"/>
        <v>0</v>
      </c>
      <c r="K471" s="24">
        <f t="shared" si="15"/>
        <v>-6.25E-2</v>
      </c>
      <c r="L471" s="45"/>
      <c r="M471" s="25"/>
      <c r="N471" s="22"/>
      <c r="O471" s="26"/>
      <c r="P471" s="35"/>
    </row>
    <row r="472" spans="1:16">
      <c r="A472" s="21"/>
      <c r="B472" s="43"/>
      <c r="C472" s="38"/>
      <c r="D472" s="44"/>
      <c r="E472" s="35"/>
      <c r="F472" s="35"/>
      <c r="G472" s="39"/>
      <c r="H472" s="36"/>
      <c r="I472" s="47">
        <v>6.25E-2</v>
      </c>
      <c r="J472" s="47">
        <f t="shared" si="14"/>
        <v>0</v>
      </c>
      <c r="K472" s="24">
        <f t="shared" si="15"/>
        <v>-6.25E-2</v>
      </c>
      <c r="L472" s="45"/>
      <c r="M472" s="25"/>
      <c r="N472" s="22"/>
      <c r="O472" s="26"/>
      <c r="P472" s="35"/>
    </row>
    <row r="473" spans="1:16">
      <c r="A473" s="21"/>
      <c r="B473" s="43"/>
      <c r="C473" s="38"/>
      <c r="D473" s="44"/>
      <c r="E473" s="35"/>
      <c r="F473" s="35"/>
      <c r="G473" s="39"/>
      <c r="H473" s="36"/>
      <c r="I473" s="47">
        <v>6.25E-2</v>
      </c>
      <c r="J473" s="47">
        <f t="shared" si="14"/>
        <v>0</v>
      </c>
      <c r="K473" s="24">
        <f t="shared" si="15"/>
        <v>-6.25E-2</v>
      </c>
      <c r="L473" s="45"/>
      <c r="M473" s="25"/>
      <c r="N473" s="22"/>
      <c r="O473" s="26"/>
      <c r="P473" s="35"/>
    </row>
    <row r="474" spans="1:16">
      <c r="A474" s="21"/>
      <c r="B474" s="43"/>
      <c r="C474" s="38"/>
      <c r="D474" s="44"/>
      <c r="E474" s="35"/>
      <c r="F474" s="35"/>
      <c r="G474" s="39"/>
      <c r="H474" s="36"/>
      <c r="I474" s="47">
        <v>6.25E-2</v>
      </c>
      <c r="J474" s="47">
        <f t="shared" si="14"/>
        <v>0</v>
      </c>
      <c r="K474" s="24">
        <f t="shared" si="15"/>
        <v>-6.25E-2</v>
      </c>
      <c r="L474" s="33"/>
      <c r="M474" s="25"/>
      <c r="N474" s="22"/>
      <c r="O474" s="26"/>
      <c r="P474" s="35"/>
    </row>
    <row r="475" spans="1:16">
      <c r="A475" s="21"/>
      <c r="B475" s="43"/>
      <c r="C475" s="38"/>
      <c r="D475" s="44"/>
      <c r="E475" s="35"/>
      <c r="F475" s="35"/>
      <c r="G475" s="39"/>
      <c r="H475" s="36"/>
      <c r="I475" s="47">
        <v>6.25E-2</v>
      </c>
      <c r="J475" s="47">
        <f t="shared" si="14"/>
        <v>0</v>
      </c>
      <c r="K475" s="24">
        <f t="shared" si="15"/>
        <v>-6.25E-2</v>
      </c>
      <c r="L475" s="33"/>
      <c r="M475" s="25"/>
      <c r="N475" s="22"/>
      <c r="O475" s="26"/>
      <c r="P475" s="35"/>
    </row>
    <row r="476" spans="1:16">
      <c r="A476" s="21"/>
      <c r="B476" s="43"/>
      <c r="C476" s="38"/>
      <c r="D476" s="44"/>
      <c r="E476" s="35"/>
      <c r="F476" s="35"/>
      <c r="G476" s="39"/>
      <c r="H476" s="36"/>
      <c r="I476" s="47">
        <v>6.25E-2</v>
      </c>
      <c r="J476" s="47">
        <f t="shared" si="14"/>
        <v>0</v>
      </c>
      <c r="K476" s="24">
        <f t="shared" si="15"/>
        <v>-6.25E-2</v>
      </c>
      <c r="L476" s="45"/>
      <c r="M476" s="25"/>
      <c r="N476" s="22"/>
      <c r="O476" s="26"/>
      <c r="P476" s="35"/>
    </row>
    <row r="477" spans="1:16">
      <c r="A477" s="21"/>
      <c r="B477" s="43"/>
      <c r="C477" s="38"/>
      <c r="D477" s="44"/>
      <c r="E477" s="35"/>
      <c r="F477" s="35"/>
      <c r="G477" s="39"/>
      <c r="H477" s="36"/>
      <c r="I477" s="47">
        <v>6.25E-2</v>
      </c>
      <c r="J477" s="47">
        <f t="shared" si="14"/>
        <v>0</v>
      </c>
      <c r="K477" s="24">
        <f t="shared" si="15"/>
        <v>-6.25E-2</v>
      </c>
      <c r="L477" s="45"/>
      <c r="M477" s="25"/>
      <c r="N477" s="22"/>
      <c r="O477" s="26"/>
      <c r="P477" s="35"/>
    </row>
    <row r="478" spans="1:16">
      <c r="A478" s="21"/>
      <c r="B478" s="43"/>
      <c r="C478" s="38"/>
      <c r="D478" s="44"/>
      <c r="E478" s="35"/>
      <c r="F478" s="35"/>
      <c r="G478" s="39"/>
      <c r="H478" s="36"/>
      <c r="I478" s="47">
        <v>6.25E-2</v>
      </c>
      <c r="J478" s="47">
        <f t="shared" si="14"/>
        <v>0</v>
      </c>
      <c r="K478" s="24">
        <f t="shared" si="15"/>
        <v>-6.25E-2</v>
      </c>
      <c r="L478" s="45"/>
      <c r="M478" s="25"/>
      <c r="N478" s="22"/>
      <c r="O478" s="26"/>
      <c r="P478" s="35"/>
    </row>
    <row r="479" spans="1:16">
      <c r="A479" s="21"/>
      <c r="B479" s="43"/>
      <c r="C479" s="38"/>
      <c r="D479" s="44"/>
      <c r="E479" s="35"/>
      <c r="F479" s="35"/>
      <c r="G479" s="39"/>
      <c r="H479" s="36"/>
      <c r="I479" s="47">
        <v>6.25E-2</v>
      </c>
      <c r="J479" s="47">
        <f t="shared" si="14"/>
        <v>0</v>
      </c>
      <c r="K479" s="24">
        <f t="shared" si="15"/>
        <v>-6.25E-2</v>
      </c>
      <c r="L479" s="33"/>
      <c r="M479" s="19"/>
      <c r="N479" s="22"/>
      <c r="O479" s="26"/>
      <c r="P479" s="35"/>
    </row>
    <row r="480" spans="1:16">
      <c r="A480" s="21"/>
      <c r="B480" s="43"/>
      <c r="C480" s="38"/>
      <c r="D480" s="44"/>
      <c r="E480" s="35"/>
      <c r="F480" s="35"/>
      <c r="G480" s="39"/>
      <c r="H480" s="36"/>
      <c r="I480" s="47">
        <v>6.25E-2</v>
      </c>
      <c r="J480" s="47">
        <f t="shared" si="14"/>
        <v>0</v>
      </c>
      <c r="K480" s="24">
        <f t="shared" si="15"/>
        <v>-6.25E-2</v>
      </c>
      <c r="L480" s="45"/>
      <c r="M480" s="25"/>
      <c r="N480" s="22"/>
      <c r="O480" s="26"/>
      <c r="P480" s="35"/>
    </row>
    <row r="481" spans="1:16">
      <c r="A481" s="21"/>
      <c r="B481" s="43"/>
      <c r="C481" s="38"/>
      <c r="D481" s="44"/>
      <c r="E481" s="35"/>
      <c r="F481" s="35"/>
      <c r="G481" s="39"/>
      <c r="H481" s="36"/>
      <c r="I481" s="47">
        <v>6.25E-2</v>
      </c>
      <c r="J481" s="47">
        <f t="shared" si="14"/>
        <v>0</v>
      </c>
      <c r="K481" s="24">
        <f t="shared" si="15"/>
        <v>-6.25E-2</v>
      </c>
      <c r="L481" s="45"/>
      <c r="M481" s="25"/>
      <c r="N481" s="22"/>
      <c r="O481" s="26"/>
      <c r="P481" s="35"/>
    </row>
    <row r="482" spans="1:16">
      <c r="A482" s="21"/>
      <c r="B482" s="43"/>
      <c r="C482" s="38"/>
      <c r="D482" s="44"/>
      <c r="E482" s="35"/>
      <c r="F482" s="35"/>
      <c r="G482" s="39"/>
      <c r="H482" s="36"/>
      <c r="I482" s="47">
        <v>6.25E-2</v>
      </c>
      <c r="J482" s="47">
        <f t="shared" si="14"/>
        <v>0</v>
      </c>
      <c r="K482" s="24">
        <f t="shared" si="15"/>
        <v>-6.25E-2</v>
      </c>
      <c r="L482" s="45"/>
      <c r="M482" s="25"/>
      <c r="N482" s="22"/>
      <c r="O482" s="26"/>
      <c r="P482" s="35"/>
    </row>
    <row r="483" spans="1:16">
      <c r="A483" s="21"/>
      <c r="B483" s="43"/>
      <c r="C483" s="38"/>
      <c r="D483" s="44"/>
      <c r="E483" s="35"/>
      <c r="F483" s="35"/>
      <c r="G483" s="39"/>
      <c r="H483" s="36"/>
      <c r="I483" s="47">
        <v>6.25E-2</v>
      </c>
      <c r="J483" s="47">
        <f t="shared" si="14"/>
        <v>0</v>
      </c>
      <c r="K483" s="24">
        <f t="shared" si="15"/>
        <v>-6.25E-2</v>
      </c>
      <c r="L483" s="45"/>
      <c r="M483" s="25"/>
      <c r="N483" s="22"/>
      <c r="O483" s="26"/>
      <c r="P483" s="35"/>
    </row>
    <row r="484" spans="1:16">
      <c r="A484" s="21"/>
      <c r="B484" s="43"/>
      <c r="C484" s="38"/>
      <c r="D484" s="44"/>
      <c r="E484" s="35"/>
      <c r="F484" s="35"/>
      <c r="G484" s="39"/>
      <c r="H484" s="36"/>
      <c r="I484" s="47">
        <v>6.25E-2</v>
      </c>
      <c r="J484" s="47">
        <f t="shared" si="14"/>
        <v>0</v>
      </c>
      <c r="K484" s="24">
        <f t="shared" si="15"/>
        <v>-6.25E-2</v>
      </c>
      <c r="L484" s="45"/>
      <c r="M484" s="25"/>
      <c r="N484" s="22"/>
      <c r="O484" s="26"/>
      <c r="P484" s="35"/>
    </row>
    <row r="485" spans="1:16">
      <c r="A485" s="21"/>
      <c r="B485" s="43"/>
      <c r="C485" s="38"/>
      <c r="D485" s="44"/>
      <c r="E485" s="35"/>
      <c r="F485" s="35"/>
      <c r="G485" s="39"/>
      <c r="H485" s="36"/>
      <c r="I485" s="47">
        <v>6.25E-2</v>
      </c>
      <c r="J485" s="47">
        <f t="shared" si="14"/>
        <v>0</v>
      </c>
      <c r="K485" s="24">
        <f t="shared" si="15"/>
        <v>-6.25E-2</v>
      </c>
      <c r="L485" s="45"/>
      <c r="M485" s="25"/>
      <c r="N485" s="22"/>
      <c r="O485" s="26"/>
      <c r="P485" s="35"/>
    </row>
    <row r="486" spans="1:16">
      <c r="A486" s="21"/>
      <c r="B486" s="43"/>
      <c r="C486" s="38"/>
      <c r="D486" s="44"/>
      <c r="E486" s="35"/>
      <c r="F486" s="35"/>
      <c r="G486" s="39"/>
      <c r="H486" s="36"/>
      <c r="I486" s="47">
        <v>6.25E-2</v>
      </c>
      <c r="J486" s="47">
        <f t="shared" si="14"/>
        <v>0</v>
      </c>
      <c r="K486" s="24">
        <f t="shared" si="15"/>
        <v>-6.25E-2</v>
      </c>
      <c r="L486" s="45"/>
      <c r="M486" s="25"/>
      <c r="N486" s="22"/>
      <c r="O486" s="26"/>
      <c r="P486" s="35"/>
    </row>
    <row r="487" spans="1:16">
      <c r="A487" s="21"/>
      <c r="B487" s="43"/>
      <c r="C487" s="38"/>
      <c r="D487" s="44"/>
      <c r="E487" s="35"/>
      <c r="F487" s="35"/>
      <c r="G487" s="39"/>
      <c r="H487" s="36"/>
      <c r="I487" s="47">
        <v>6.25E-2</v>
      </c>
      <c r="J487" s="47">
        <f t="shared" si="14"/>
        <v>0</v>
      </c>
      <c r="K487" s="24">
        <f t="shared" si="15"/>
        <v>-6.25E-2</v>
      </c>
      <c r="L487" s="45"/>
      <c r="M487" s="25"/>
      <c r="N487" s="22"/>
      <c r="O487" s="26"/>
      <c r="P487" s="35"/>
    </row>
    <row r="488" spans="1:16">
      <c r="A488" s="21"/>
      <c r="B488" s="43"/>
      <c r="C488" s="38"/>
      <c r="D488" s="44"/>
      <c r="E488" s="35"/>
      <c r="F488" s="35"/>
      <c r="G488" s="39"/>
      <c r="H488" s="36"/>
      <c r="I488" s="47">
        <v>6.25E-2</v>
      </c>
      <c r="J488" s="47">
        <f t="shared" si="14"/>
        <v>0</v>
      </c>
      <c r="K488" s="24">
        <f t="shared" si="15"/>
        <v>-6.25E-2</v>
      </c>
      <c r="L488" s="45"/>
      <c r="M488" s="25"/>
      <c r="N488" s="22"/>
      <c r="O488" s="26"/>
      <c r="P488" s="35"/>
    </row>
    <row r="489" spans="1:16">
      <c r="A489" s="21"/>
      <c r="B489" s="43"/>
      <c r="C489" s="38"/>
      <c r="D489" s="44"/>
      <c r="E489" s="35"/>
      <c r="F489" s="35"/>
      <c r="G489" s="39"/>
      <c r="H489" s="36"/>
      <c r="I489" s="47">
        <v>6.25E-2</v>
      </c>
      <c r="J489" s="47">
        <f t="shared" si="14"/>
        <v>0</v>
      </c>
      <c r="K489" s="24">
        <f t="shared" si="15"/>
        <v>-6.25E-2</v>
      </c>
      <c r="L489" s="45"/>
      <c r="M489" s="25"/>
      <c r="N489" s="22"/>
      <c r="O489" s="26"/>
      <c r="P489" s="35"/>
    </row>
    <row r="490" spans="1:16">
      <c r="A490" s="21"/>
      <c r="B490" s="43"/>
      <c r="C490" s="38"/>
      <c r="D490" s="44"/>
      <c r="E490" s="35"/>
      <c r="F490" s="35"/>
      <c r="G490" s="39"/>
      <c r="H490" s="36"/>
      <c r="I490" s="47">
        <v>6.25E-2</v>
      </c>
      <c r="J490" s="47">
        <f t="shared" si="14"/>
        <v>0</v>
      </c>
      <c r="K490" s="24">
        <f t="shared" si="15"/>
        <v>-6.25E-2</v>
      </c>
      <c r="L490" s="45"/>
      <c r="M490" s="25"/>
      <c r="N490" s="22"/>
      <c r="O490" s="26"/>
      <c r="P490" s="35"/>
    </row>
    <row r="491" spans="1:16">
      <c r="A491" s="21"/>
      <c r="B491" s="43"/>
      <c r="C491" s="38"/>
      <c r="D491" s="44"/>
      <c r="E491" s="35"/>
      <c r="F491" s="35"/>
      <c r="G491" s="39"/>
      <c r="H491" s="36"/>
      <c r="I491" s="47">
        <v>6.25E-2</v>
      </c>
      <c r="J491" s="47">
        <f t="shared" si="14"/>
        <v>0</v>
      </c>
      <c r="K491" s="24">
        <f t="shared" si="15"/>
        <v>-6.25E-2</v>
      </c>
      <c r="L491" s="45"/>
      <c r="M491" s="25"/>
      <c r="N491" s="22"/>
      <c r="O491" s="26"/>
      <c r="P491" s="35"/>
    </row>
    <row r="492" spans="1:16">
      <c r="A492" s="21"/>
      <c r="B492" s="43"/>
      <c r="C492" s="38"/>
      <c r="D492" s="44"/>
      <c r="E492" s="35"/>
      <c r="F492" s="35"/>
      <c r="G492" s="39"/>
      <c r="H492" s="36"/>
      <c r="I492" s="47">
        <v>6.25E-2</v>
      </c>
      <c r="J492" s="47">
        <f t="shared" si="14"/>
        <v>0</v>
      </c>
      <c r="K492" s="24">
        <f t="shared" si="15"/>
        <v>-6.25E-2</v>
      </c>
      <c r="L492" s="45"/>
      <c r="M492" s="25"/>
      <c r="N492" s="22"/>
      <c r="O492" s="26"/>
      <c r="P492" s="35"/>
    </row>
    <row r="493" spans="1:16">
      <c r="A493" s="21"/>
      <c r="B493" s="43"/>
      <c r="C493" s="38"/>
      <c r="D493" s="44"/>
      <c r="E493" s="35"/>
      <c r="F493" s="35"/>
      <c r="G493" s="39"/>
      <c r="H493" s="36"/>
      <c r="I493" s="47">
        <v>6.25E-2</v>
      </c>
      <c r="J493" s="47">
        <f t="shared" si="14"/>
        <v>0</v>
      </c>
      <c r="K493" s="24">
        <f t="shared" si="15"/>
        <v>-6.25E-2</v>
      </c>
      <c r="L493" s="45"/>
      <c r="M493" s="25"/>
      <c r="N493" s="22"/>
      <c r="O493" s="26"/>
      <c r="P493" s="35"/>
    </row>
    <row r="494" spans="1:16">
      <c r="A494" s="21"/>
      <c r="B494" s="43"/>
      <c r="C494" s="38"/>
      <c r="D494" s="44"/>
      <c r="E494" s="35"/>
      <c r="F494" s="35"/>
      <c r="G494" s="39"/>
      <c r="H494" s="36"/>
      <c r="I494" s="47">
        <v>6.25E-2</v>
      </c>
      <c r="J494" s="47">
        <f t="shared" si="14"/>
        <v>0</v>
      </c>
      <c r="K494" s="24">
        <f t="shared" si="15"/>
        <v>-6.25E-2</v>
      </c>
      <c r="L494" s="45"/>
      <c r="M494" s="25"/>
      <c r="N494" s="22"/>
      <c r="O494" s="26"/>
      <c r="P494" s="35"/>
    </row>
    <row r="495" spans="1:16">
      <c r="A495" s="21"/>
      <c r="B495" s="43"/>
      <c r="C495" s="38"/>
      <c r="D495" s="44"/>
      <c r="E495" s="35"/>
      <c r="F495" s="35"/>
      <c r="G495" s="39"/>
      <c r="H495" s="36"/>
      <c r="I495" s="47">
        <v>6.25E-2</v>
      </c>
      <c r="J495" s="47">
        <f t="shared" si="14"/>
        <v>0</v>
      </c>
      <c r="K495" s="24">
        <f t="shared" si="15"/>
        <v>-6.25E-2</v>
      </c>
      <c r="L495" s="45"/>
      <c r="M495" s="25"/>
      <c r="N495" s="22"/>
      <c r="O495" s="26"/>
      <c r="P495" s="35"/>
    </row>
    <row r="496" spans="1:16">
      <c r="A496" s="21"/>
      <c r="B496" s="43"/>
      <c r="C496" s="38"/>
      <c r="D496" s="44"/>
      <c r="E496" s="35"/>
      <c r="F496" s="35"/>
      <c r="G496" s="39"/>
      <c r="H496" s="36"/>
      <c r="I496" s="47">
        <v>6.25E-2</v>
      </c>
      <c r="J496" s="47">
        <f t="shared" si="14"/>
        <v>0</v>
      </c>
      <c r="K496" s="24">
        <f t="shared" si="15"/>
        <v>-6.25E-2</v>
      </c>
      <c r="L496" s="45"/>
      <c r="M496" s="25"/>
      <c r="N496" s="22"/>
      <c r="O496" s="26"/>
      <c r="P496" s="35"/>
    </row>
    <row r="497" spans="1:16">
      <c r="A497" s="21"/>
      <c r="B497" s="43"/>
      <c r="C497" s="38"/>
      <c r="D497" s="44"/>
      <c r="E497" s="35"/>
      <c r="F497" s="35"/>
      <c r="G497" s="39"/>
      <c r="H497" s="36"/>
      <c r="I497" s="47">
        <v>6.25E-2</v>
      </c>
      <c r="J497" s="47">
        <f t="shared" si="14"/>
        <v>0</v>
      </c>
      <c r="K497" s="24">
        <f t="shared" si="15"/>
        <v>-6.25E-2</v>
      </c>
      <c r="L497" s="45"/>
      <c r="M497" s="25"/>
      <c r="N497" s="22"/>
      <c r="O497" s="26"/>
      <c r="P497" s="35"/>
    </row>
    <row r="498" spans="1:16">
      <c r="A498" s="21"/>
      <c r="B498" s="43"/>
      <c r="C498" s="38"/>
      <c r="D498" s="44"/>
      <c r="E498" s="35"/>
      <c r="F498" s="35"/>
      <c r="G498" s="39"/>
      <c r="H498" s="36"/>
      <c r="I498" s="47">
        <v>6.25E-2</v>
      </c>
      <c r="J498" s="47">
        <f t="shared" si="14"/>
        <v>0</v>
      </c>
      <c r="K498" s="24">
        <f t="shared" si="15"/>
        <v>-6.25E-2</v>
      </c>
      <c r="L498" s="45"/>
      <c r="M498" s="25"/>
      <c r="N498" s="22"/>
      <c r="O498" s="26"/>
      <c r="P498" s="35"/>
    </row>
    <row r="499" spans="1:16">
      <c r="A499" s="21"/>
      <c r="B499" s="43"/>
      <c r="C499" s="38"/>
      <c r="D499" s="44"/>
      <c r="E499" s="35"/>
      <c r="F499" s="35"/>
      <c r="G499" s="39"/>
      <c r="H499" s="36"/>
      <c r="I499" s="47">
        <v>6.25E-2</v>
      </c>
      <c r="J499" s="47">
        <f t="shared" si="14"/>
        <v>0</v>
      </c>
      <c r="K499" s="24">
        <f t="shared" si="15"/>
        <v>-6.25E-2</v>
      </c>
      <c r="L499" s="45"/>
      <c r="M499" s="25"/>
      <c r="N499" s="22"/>
      <c r="O499" s="26"/>
      <c r="P499" s="35"/>
    </row>
    <row r="500" spans="1:16">
      <c r="A500" s="21"/>
      <c r="B500" s="43"/>
      <c r="C500" s="38"/>
      <c r="D500" s="44"/>
      <c r="E500" s="35"/>
      <c r="F500" s="35"/>
      <c r="G500" s="39"/>
      <c r="H500" s="36"/>
      <c r="I500" s="47">
        <v>6.25E-2</v>
      </c>
      <c r="J500" s="47">
        <f t="shared" si="14"/>
        <v>0</v>
      </c>
      <c r="K500" s="24">
        <f t="shared" si="15"/>
        <v>-6.25E-2</v>
      </c>
      <c r="L500" s="45"/>
      <c r="M500" s="25"/>
      <c r="N500" s="22"/>
      <c r="O500" s="26"/>
      <c r="P500" s="35"/>
    </row>
    <row r="501" spans="1:16">
      <c r="A501" s="21"/>
      <c r="B501" s="43"/>
      <c r="C501" s="38"/>
      <c r="D501" s="44"/>
      <c r="E501" s="35"/>
      <c r="F501" s="35"/>
      <c r="G501" s="39"/>
      <c r="H501" s="36"/>
      <c r="I501" s="47">
        <v>6.25E-2</v>
      </c>
      <c r="J501" s="47">
        <f t="shared" si="14"/>
        <v>0</v>
      </c>
      <c r="K501" s="24">
        <f t="shared" si="15"/>
        <v>-6.25E-2</v>
      </c>
      <c r="L501" s="45"/>
      <c r="M501" s="25"/>
      <c r="N501" s="22"/>
      <c r="O501" s="26"/>
      <c r="P501" s="35"/>
    </row>
    <row r="502" spans="1:16">
      <c r="A502" s="21"/>
      <c r="B502" s="43"/>
      <c r="C502" s="38"/>
      <c r="D502" s="44"/>
      <c r="E502" s="35"/>
      <c r="F502" s="35"/>
      <c r="G502" s="39"/>
      <c r="H502" s="36"/>
      <c r="I502" s="47">
        <v>6.25E-2</v>
      </c>
      <c r="J502" s="47">
        <f t="shared" si="14"/>
        <v>0</v>
      </c>
      <c r="K502" s="24">
        <f t="shared" si="15"/>
        <v>-6.25E-2</v>
      </c>
      <c r="L502" s="45"/>
      <c r="M502" s="25"/>
      <c r="N502" s="22"/>
      <c r="O502" s="26"/>
      <c r="P502" s="35"/>
    </row>
    <row r="503" spans="1:16">
      <c r="A503" s="21"/>
      <c r="B503" s="43"/>
      <c r="C503" s="38"/>
      <c r="D503" s="44"/>
      <c r="E503" s="35"/>
      <c r="F503" s="35"/>
      <c r="G503" s="39"/>
      <c r="H503" s="36"/>
      <c r="I503" s="47">
        <v>6.25E-2</v>
      </c>
      <c r="J503" s="47">
        <f t="shared" si="14"/>
        <v>0</v>
      </c>
      <c r="K503" s="24">
        <f t="shared" si="15"/>
        <v>-6.25E-2</v>
      </c>
      <c r="L503" s="45"/>
      <c r="M503" s="25"/>
      <c r="N503" s="22"/>
      <c r="O503" s="26"/>
      <c r="P503" s="35"/>
    </row>
    <row r="504" spans="1:16">
      <c r="A504" s="21"/>
      <c r="B504" s="43"/>
      <c r="C504" s="38"/>
      <c r="D504" s="44"/>
      <c r="E504" s="35"/>
      <c r="F504" s="35"/>
      <c r="G504" s="39"/>
      <c r="H504" s="36"/>
      <c r="I504" s="47">
        <v>6.25E-2</v>
      </c>
      <c r="J504" s="47">
        <f t="shared" si="14"/>
        <v>0</v>
      </c>
      <c r="K504" s="24">
        <f t="shared" si="15"/>
        <v>-6.25E-2</v>
      </c>
      <c r="L504" s="45"/>
      <c r="M504" s="25"/>
      <c r="N504" s="22"/>
      <c r="O504" s="26"/>
      <c r="P504" s="35"/>
    </row>
    <row r="505" spans="1:16">
      <c r="A505" s="21"/>
      <c r="B505" s="43"/>
      <c r="C505" s="38"/>
      <c r="D505" s="44"/>
      <c r="E505" s="35"/>
      <c r="F505" s="35"/>
      <c r="G505" s="39"/>
      <c r="H505" s="36"/>
      <c r="I505" s="47">
        <v>6.25E-2</v>
      </c>
      <c r="J505" s="47">
        <f t="shared" si="14"/>
        <v>0</v>
      </c>
      <c r="K505" s="24">
        <f t="shared" si="15"/>
        <v>-6.25E-2</v>
      </c>
      <c r="L505" s="45"/>
      <c r="M505" s="25"/>
      <c r="N505" s="22"/>
      <c r="O505" s="26"/>
      <c r="P505" s="35"/>
    </row>
    <row r="506" spans="1:16">
      <c r="A506" s="21"/>
      <c r="B506" s="43"/>
      <c r="C506" s="38"/>
      <c r="D506" s="44"/>
      <c r="E506" s="35"/>
      <c r="F506" s="35"/>
      <c r="G506" s="39"/>
      <c r="H506" s="36"/>
      <c r="I506" s="47">
        <v>6.25E-2</v>
      </c>
      <c r="J506" s="47">
        <f t="shared" si="14"/>
        <v>0</v>
      </c>
      <c r="K506" s="24">
        <f t="shared" si="15"/>
        <v>-6.25E-2</v>
      </c>
      <c r="L506" s="45"/>
      <c r="M506" s="25"/>
      <c r="N506" s="22"/>
      <c r="O506" s="26"/>
      <c r="P506" s="35"/>
    </row>
    <row r="507" spans="1:16">
      <c r="A507" s="21"/>
      <c r="B507" s="43"/>
      <c r="C507" s="38"/>
      <c r="D507" s="44"/>
      <c r="E507" s="35"/>
      <c r="F507" s="35"/>
      <c r="G507" s="39"/>
      <c r="H507" s="36"/>
      <c r="I507" s="47">
        <v>6.25E-2</v>
      </c>
      <c r="J507" s="47">
        <f t="shared" si="14"/>
        <v>0</v>
      </c>
      <c r="K507" s="24">
        <f t="shared" si="15"/>
        <v>-6.25E-2</v>
      </c>
      <c r="L507" s="45"/>
      <c r="M507" s="25"/>
      <c r="N507" s="22"/>
      <c r="O507" s="26"/>
      <c r="P507" s="35"/>
    </row>
    <row r="508" spans="1:16">
      <c r="A508" s="21"/>
      <c r="B508" s="43"/>
      <c r="C508" s="38"/>
      <c r="D508" s="44"/>
      <c r="E508" s="35"/>
      <c r="F508" s="35"/>
      <c r="G508" s="39"/>
      <c r="H508" s="36"/>
      <c r="I508" s="47">
        <v>6.25E-2</v>
      </c>
      <c r="J508" s="47">
        <f t="shared" si="14"/>
        <v>0</v>
      </c>
      <c r="K508" s="24">
        <f t="shared" si="15"/>
        <v>-6.25E-2</v>
      </c>
      <c r="L508" s="45"/>
      <c r="M508" s="25"/>
      <c r="N508" s="22"/>
      <c r="O508" s="26"/>
      <c r="P508" s="35"/>
    </row>
    <row r="509" spans="1:16">
      <c r="A509" s="21"/>
      <c r="B509" s="43"/>
      <c r="C509" s="38"/>
      <c r="D509" s="44"/>
      <c r="E509" s="35"/>
      <c r="F509" s="35"/>
      <c r="G509" s="39"/>
      <c r="H509" s="36"/>
      <c r="I509" s="47">
        <v>6.25E-2</v>
      </c>
      <c r="J509" s="47">
        <f t="shared" si="14"/>
        <v>0</v>
      </c>
      <c r="K509" s="24">
        <f t="shared" si="15"/>
        <v>-6.25E-2</v>
      </c>
      <c r="L509" s="45"/>
      <c r="M509" s="25"/>
      <c r="N509" s="22"/>
      <c r="O509" s="26"/>
      <c r="P509" s="35"/>
    </row>
    <row r="510" spans="1:16">
      <c r="A510" s="21"/>
      <c r="B510" s="43"/>
      <c r="C510" s="38"/>
      <c r="D510" s="44"/>
      <c r="E510" s="35"/>
      <c r="F510" s="35"/>
      <c r="G510" s="39"/>
      <c r="H510" s="36"/>
      <c r="I510" s="47">
        <v>6.25E-2</v>
      </c>
      <c r="J510" s="47">
        <f t="shared" si="14"/>
        <v>0</v>
      </c>
      <c r="K510" s="24">
        <f t="shared" si="15"/>
        <v>-6.25E-2</v>
      </c>
      <c r="L510" s="45"/>
      <c r="M510" s="25"/>
      <c r="N510" s="22"/>
      <c r="O510" s="26"/>
      <c r="P510" s="35"/>
    </row>
    <row r="511" spans="1:16">
      <c r="A511" s="21"/>
      <c r="B511" s="43"/>
      <c r="C511" s="38"/>
      <c r="D511" s="44"/>
      <c r="E511" s="35"/>
      <c r="F511" s="35"/>
      <c r="G511" s="39"/>
      <c r="H511" s="36"/>
      <c r="I511" s="47">
        <v>6.25E-2</v>
      </c>
      <c r="J511" s="47">
        <f t="shared" si="14"/>
        <v>0</v>
      </c>
      <c r="K511" s="24">
        <f t="shared" si="15"/>
        <v>-6.25E-2</v>
      </c>
      <c r="L511" s="45"/>
      <c r="M511" s="25"/>
      <c r="N511" s="22"/>
      <c r="O511" s="26"/>
      <c r="P511" s="35"/>
    </row>
    <row r="512" spans="1:16">
      <c r="A512" s="21"/>
      <c r="B512" s="43"/>
      <c r="C512" s="38"/>
      <c r="D512" s="44"/>
      <c r="E512" s="35"/>
      <c r="F512" s="35"/>
      <c r="G512" s="39"/>
      <c r="H512" s="36"/>
      <c r="I512" s="47">
        <v>6.25E-2</v>
      </c>
      <c r="J512" s="47">
        <f t="shared" si="14"/>
        <v>0</v>
      </c>
      <c r="K512" s="24">
        <f t="shared" si="15"/>
        <v>-6.25E-2</v>
      </c>
      <c r="L512" s="45"/>
      <c r="M512" s="25"/>
      <c r="N512" s="22"/>
      <c r="O512" s="26"/>
      <c r="P512" s="35"/>
    </row>
    <row r="513" spans="1:16">
      <c r="A513" s="21"/>
      <c r="B513" s="43"/>
      <c r="C513" s="38"/>
      <c r="D513" s="44"/>
      <c r="E513" s="35"/>
      <c r="F513" s="35"/>
      <c r="G513" s="39"/>
      <c r="H513" s="36"/>
      <c r="I513" s="47">
        <v>6.25E-2</v>
      </c>
      <c r="J513" s="47">
        <f t="shared" si="14"/>
        <v>0</v>
      </c>
      <c r="K513" s="24">
        <f t="shared" si="15"/>
        <v>-6.25E-2</v>
      </c>
      <c r="L513" s="45"/>
      <c r="M513" s="25"/>
      <c r="N513" s="22"/>
      <c r="O513" s="26"/>
      <c r="P513" s="35"/>
    </row>
    <row r="514" spans="1:16">
      <c r="A514" s="21"/>
      <c r="B514" s="43"/>
      <c r="C514" s="38"/>
      <c r="D514" s="44"/>
      <c r="E514" s="35"/>
      <c r="F514" s="35"/>
      <c r="G514" s="39"/>
      <c r="H514" s="36"/>
      <c r="I514" s="47">
        <v>6.25E-2</v>
      </c>
      <c r="J514" s="47">
        <f t="shared" ref="J514:J577" si="16">H514-G514</f>
        <v>0</v>
      </c>
      <c r="K514" s="24">
        <f t="shared" ref="K514:K577" si="17">J514-I514</f>
        <v>-6.25E-2</v>
      </c>
      <c r="L514" s="33"/>
      <c r="M514" s="25"/>
      <c r="N514" s="22"/>
      <c r="O514" s="26"/>
      <c r="P514" s="35"/>
    </row>
    <row r="515" spans="1:16">
      <c r="A515" s="21"/>
      <c r="B515" s="43"/>
      <c r="C515" s="38"/>
      <c r="D515" s="44"/>
      <c r="E515" s="35"/>
      <c r="F515" s="35"/>
      <c r="G515" s="39"/>
      <c r="H515" s="36"/>
      <c r="I515" s="47">
        <v>6.25E-2</v>
      </c>
      <c r="J515" s="47">
        <f t="shared" si="16"/>
        <v>0</v>
      </c>
      <c r="K515" s="24">
        <f t="shared" si="17"/>
        <v>-6.25E-2</v>
      </c>
      <c r="L515" s="33"/>
      <c r="M515" s="25"/>
      <c r="N515" s="22"/>
      <c r="O515" s="26"/>
      <c r="P515" s="35"/>
    </row>
    <row r="516" spans="1:16">
      <c r="A516" s="21"/>
      <c r="B516" s="43"/>
      <c r="C516" s="38"/>
      <c r="D516" s="44"/>
      <c r="E516" s="35"/>
      <c r="F516" s="35"/>
      <c r="G516" s="39"/>
      <c r="H516" s="36"/>
      <c r="I516" s="47">
        <v>6.25E-2</v>
      </c>
      <c r="J516" s="47">
        <f t="shared" si="16"/>
        <v>0</v>
      </c>
      <c r="K516" s="24">
        <f t="shared" si="17"/>
        <v>-6.25E-2</v>
      </c>
      <c r="L516" s="33"/>
      <c r="M516" s="25"/>
      <c r="N516" s="22"/>
      <c r="O516" s="26"/>
      <c r="P516" s="35"/>
    </row>
    <row r="517" spans="1:16">
      <c r="A517" s="21"/>
      <c r="B517" s="43"/>
      <c r="C517" s="38"/>
      <c r="D517" s="44"/>
      <c r="E517" s="35"/>
      <c r="F517" s="35"/>
      <c r="G517" s="39"/>
      <c r="H517" s="36"/>
      <c r="I517" s="47">
        <v>6.25E-2</v>
      </c>
      <c r="J517" s="47">
        <f t="shared" si="16"/>
        <v>0</v>
      </c>
      <c r="K517" s="24">
        <f t="shared" si="17"/>
        <v>-6.25E-2</v>
      </c>
      <c r="L517" s="33"/>
      <c r="M517" s="19"/>
      <c r="N517" s="22"/>
      <c r="O517" s="26"/>
      <c r="P517" s="35"/>
    </row>
    <row r="518" spans="1:16">
      <c r="A518" s="21"/>
      <c r="B518" s="43"/>
      <c r="C518" s="38"/>
      <c r="D518" s="44"/>
      <c r="E518" s="35"/>
      <c r="F518" s="35"/>
      <c r="G518" s="39"/>
      <c r="H518" s="36"/>
      <c r="I518" s="47">
        <v>6.25E-2</v>
      </c>
      <c r="J518" s="47">
        <f t="shared" si="16"/>
        <v>0</v>
      </c>
      <c r="K518" s="24">
        <f t="shared" si="17"/>
        <v>-6.25E-2</v>
      </c>
      <c r="L518" s="45"/>
      <c r="M518" s="25"/>
      <c r="N518" s="22"/>
      <c r="O518" s="26"/>
      <c r="P518" s="35"/>
    </row>
    <row r="519" spans="1:16">
      <c r="A519" s="21"/>
      <c r="B519" s="43"/>
      <c r="C519" s="38"/>
      <c r="D519" s="44"/>
      <c r="E519" s="35"/>
      <c r="F519" s="35"/>
      <c r="G519" s="39"/>
      <c r="H519" s="36"/>
      <c r="I519" s="47">
        <v>6.25E-2</v>
      </c>
      <c r="J519" s="47">
        <f t="shared" si="16"/>
        <v>0</v>
      </c>
      <c r="K519" s="24">
        <f t="shared" si="17"/>
        <v>-6.25E-2</v>
      </c>
      <c r="L519" s="45"/>
      <c r="M519" s="25"/>
      <c r="N519" s="22"/>
      <c r="O519" s="26"/>
      <c r="P519" s="35"/>
    </row>
    <row r="520" spans="1:16">
      <c r="A520" s="21"/>
      <c r="B520" s="43"/>
      <c r="C520" s="38"/>
      <c r="D520" s="44"/>
      <c r="E520" s="35"/>
      <c r="F520" s="35"/>
      <c r="G520" s="39"/>
      <c r="H520" s="36"/>
      <c r="I520" s="47">
        <v>6.25E-2</v>
      </c>
      <c r="J520" s="47">
        <f t="shared" si="16"/>
        <v>0</v>
      </c>
      <c r="K520" s="24">
        <f t="shared" si="17"/>
        <v>-6.25E-2</v>
      </c>
      <c r="L520" s="45"/>
      <c r="M520" s="25"/>
      <c r="N520" s="22"/>
      <c r="O520" s="26"/>
      <c r="P520" s="35"/>
    </row>
    <row r="521" spans="1:16">
      <c r="A521" s="21"/>
      <c r="B521" s="43"/>
      <c r="C521" s="38"/>
      <c r="D521" s="44"/>
      <c r="E521" s="35"/>
      <c r="F521" s="35"/>
      <c r="G521" s="39"/>
      <c r="H521" s="36"/>
      <c r="I521" s="47">
        <v>6.25E-2</v>
      </c>
      <c r="J521" s="47">
        <f t="shared" si="16"/>
        <v>0</v>
      </c>
      <c r="K521" s="24">
        <f t="shared" si="17"/>
        <v>-6.25E-2</v>
      </c>
      <c r="L521" s="45"/>
      <c r="M521" s="25"/>
      <c r="N521" s="22"/>
      <c r="O521" s="26"/>
      <c r="P521" s="35"/>
    </row>
    <row r="522" spans="1:16">
      <c r="A522" s="21"/>
      <c r="B522" s="43"/>
      <c r="C522" s="38"/>
      <c r="D522" s="44"/>
      <c r="E522" s="35"/>
      <c r="F522" s="35"/>
      <c r="G522" s="39"/>
      <c r="H522" s="36"/>
      <c r="I522" s="47">
        <v>6.25E-2</v>
      </c>
      <c r="J522" s="47">
        <f t="shared" si="16"/>
        <v>0</v>
      </c>
      <c r="K522" s="24">
        <f t="shared" si="17"/>
        <v>-6.25E-2</v>
      </c>
      <c r="L522" s="45"/>
      <c r="M522" s="25"/>
      <c r="N522" s="22"/>
      <c r="O522" s="26"/>
      <c r="P522" s="35"/>
    </row>
    <row r="523" spans="1:16">
      <c r="A523" s="21"/>
      <c r="B523" s="43"/>
      <c r="C523" s="38"/>
      <c r="D523" s="44"/>
      <c r="E523" s="35"/>
      <c r="F523" s="35"/>
      <c r="G523" s="39"/>
      <c r="H523" s="36"/>
      <c r="I523" s="47">
        <v>6.25E-2</v>
      </c>
      <c r="J523" s="47">
        <f t="shared" si="16"/>
        <v>0</v>
      </c>
      <c r="K523" s="24">
        <f t="shared" si="17"/>
        <v>-6.25E-2</v>
      </c>
      <c r="L523" s="45"/>
      <c r="M523" s="25"/>
      <c r="N523" s="22"/>
      <c r="O523" s="26"/>
      <c r="P523" s="35"/>
    </row>
    <row r="524" spans="1:16">
      <c r="A524" s="21"/>
      <c r="B524" s="43"/>
      <c r="C524" s="38"/>
      <c r="D524" s="44"/>
      <c r="E524" s="35"/>
      <c r="F524" s="35"/>
      <c r="G524" s="39"/>
      <c r="H524" s="36"/>
      <c r="I524" s="47">
        <v>6.25E-2</v>
      </c>
      <c r="J524" s="47">
        <f t="shared" si="16"/>
        <v>0</v>
      </c>
      <c r="K524" s="24">
        <f t="shared" si="17"/>
        <v>-6.25E-2</v>
      </c>
      <c r="L524" s="45"/>
      <c r="M524" s="25"/>
      <c r="N524" s="22"/>
      <c r="O524" s="26"/>
      <c r="P524" s="35"/>
    </row>
    <row r="525" spans="1:16">
      <c r="A525" s="21"/>
      <c r="B525" s="43"/>
      <c r="C525" s="38"/>
      <c r="D525" s="44"/>
      <c r="E525" s="35"/>
      <c r="F525" s="35"/>
      <c r="G525" s="39"/>
      <c r="H525" s="36"/>
      <c r="I525" s="47">
        <v>6.25E-2</v>
      </c>
      <c r="J525" s="47">
        <f t="shared" si="16"/>
        <v>0</v>
      </c>
      <c r="K525" s="24">
        <f t="shared" si="17"/>
        <v>-6.25E-2</v>
      </c>
      <c r="L525" s="45"/>
      <c r="M525" s="25"/>
      <c r="N525" s="22"/>
      <c r="O525" s="26"/>
      <c r="P525" s="35"/>
    </row>
    <row r="526" spans="1:16">
      <c r="A526" s="21"/>
      <c r="B526" s="43"/>
      <c r="C526" s="38"/>
      <c r="D526" s="44"/>
      <c r="E526" s="35"/>
      <c r="F526" s="35"/>
      <c r="G526" s="39"/>
      <c r="H526" s="36"/>
      <c r="I526" s="47">
        <v>6.25E-2</v>
      </c>
      <c r="J526" s="47">
        <f t="shared" si="16"/>
        <v>0</v>
      </c>
      <c r="K526" s="24">
        <f t="shared" si="17"/>
        <v>-6.25E-2</v>
      </c>
      <c r="L526" s="45"/>
      <c r="M526" s="25"/>
      <c r="N526" s="22"/>
      <c r="O526" s="26"/>
      <c r="P526" s="35"/>
    </row>
    <row r="527" spans="1:16">
      <c r="A527" s="21"/>
      <c r="B527" s="43"/>
      <c r="C527" s="38"/>
      <c r="D527" s="44"/>
      <c r="E527" s="35"/>
      <c r="F527" s="35"/>
      <c r="G527" s="39"/>
      <c r="H527" s="36"/>
      <c r="I527" s="47">
        <v>6.25E-2</v>
      </c>
      <c r="J527" s="47">
        <f t="shared" si="16"/>
        <v>0</v>
      </c>
      <c r="K527" s="24">
        <f t="shared" si="17"/>
        <v>-6.25E-2</v>
      </c>
      <c r="L527" s="45"/>
      <c r="M527" s="25"/>
      <c r="N527" s="22"/>
      <c r="O527" s="26"/>
      <c r="P527" s="35"/>
    </row>
    <row r="528" spans="1:16">
      <c r="A528" s="21"/>
      <c r="B528" s="43"/>
      <c r="C528" s="38"/>
      <c r="D528" s="44"/>
      <c r="E528" s="35"/>
      <c r="F528" s="35"/>
      <c r="G528" s="39"/>
      <c r="H528" s="36"/>
      <c r="I528" s="47">
        <v>6.25E-2</v>
      </c>
      <c r="J528" s="47">
        <f t="shared" si="16"/>
        <v>0</v>
      </c>
      <c r="K528" s="24">
        <f t="shared" si="17"/>
        <v>-6.25E-2</v>
      </c>
      <c r="L528" s="45"/>
      <c r="M528" s="25"/>
      <c r="N528" s="22"/>
      <c r="O528" s="26"/>
      <c r="P528" s="35"/>
    </row>
    <row r="529" spans="1:16">
      <c r="A529" s="21"/>
      <c r="B529" s="43"/>
      <c r="C529" s="38"/>
      <c r="D529" s="44"/>
      <c r="E529" s="35"/>
      <c r="F529" s="35"/>
      <c r="G529" s="39"/>
      <c r="H529" s="36"/>
      <c r="I529" s="47">
        <v>6.25E-2</v>
      </c>
      <c r="J529" s="47">
        <f t="shared" si="16"/>
        <v>0</v>
      </c>
      <c r="K529" s="24">
        <f t="shared" si="17"/>
        <v>-6.25E-2</v>
      </c>
      <c r="L529" s="45"/>
      <c r="M529" s="25"/>
      <c r="N529" s="22"/>
      <c r="O529" s="26"/>
      <c r="P529" s="35"/>
    </row>
    <row r="530" spans="1:16">
      <c r="A530" s="21"/>
      <c r="B530" s="43"/>
      <c r="C530" s="38"/>
      <c r="D530" s="44"/>
      <c r="E530" s="35"/>
      <c r="F530" s="35"/>
      <c r="G530" s="39"/>
      <c r="H530" s="36"/>
      <c r="I530" s="47">
        <v>6.25E-2</v>
      </c>
      <c r="J530" s="47">
        <f t="shared" si="16"/>
        <v>0</v>
      </c>
      <c r="K530" s="24">
        <f t="shared" si="17"/>
        <v>-6.25E-2</v>
      </c>
      <c r="L530" s="45"/>
      <c r="M530" s="25"/>
      <c r="N530" s="22"/>
      <c r="O530" s="26"/>
      <c r="P530" s="35"/>
    </row>
    <row r="531" spans="1:16">
      <c r="A531" s="21"/>
      <c r="B531" s="43"/>
      <c r="C531" s="38"/>
      <c r="D531" s="44"/>
      <c r="E531" s="35"/>
      <c r="F531" s="35"/>
      <c r="G531" s="39"/>
      <c r="H531" s="36"/>
      <c r="I531" s="47">
        <v>6.25E-2</v>
      </c>
      <c r="J531" s="47">
        <f t="shared" si="16"/>
        <v>0</v>
      </c>
      <c r="K531" s="24">
        <f t="shared" si="17"/>
        <v>-6.25E-2</v>
      </c>
      <c r="L531" s="45"/>
      <c r="M531" s="25"/>
      <c r="N531" s="22"/>
      <c r="O531" s="26"/>
      <c r="P531" s="35"/>
    </row>
    <row r="532" spans="1:16">
      <c r="A532" s="21"/>
      <c r="B532" s="43"/>
      <c r="C532" s="38"/>
      <c r="D532" s="44"/>
      <c r="E532" s="35"/>
      <c r="F532" s="35"/>
      <c r="G532" s="39"/>
      <c r="H532" s="36"/>
      <c r="I532" s="47">
        <v>6.25E-2</v>
      </c>
      <c r="J532" s="47">
        <f t="shared" si="16"/>
        <v>0</v>
      </c>
      <c r="K532" s="24">
        <f t="shared" si="17"/>
        <v>-6.25E-2</v>
      </c>
      <c r="L532" s="45"/>
      <c r="M532" s="25"/>
      <c r="N532" s="22"/>
      <c r="O532" s="26"/>
      <c r="P532" s="35"/>
    </row>
    <row r="533" spans="1:16">
      <c r="A533" s="21"/>
      <c r="B533" s="43"/>
      <c r="C533" s="38"/>
      <c r="D533" s="44"/>
      <c r="E533" s="35"/>
      <c r="F533" s="35"/>
      <c r="G533" s="39"/>
      <c r="H533" s="36"/>
      <c r="I533" s="47">
        <v>6.25E-2</v>
      </c>
      <c r="J533" s="47">
        <f t="shared" si="16"/>
        <v>0</v>
      </c>
      <c r="K533" s="24">
        <f t="shared" si="17"/>
        <v>-6.25E-2</v>
      </c>
      <c r="L533" s="45"/>
      <c r="M533" s="25"/>
      <c r="N533" s="22"/>
      <c r="O533" s="26"/>
      <c r="P533" s="35"/>
    </row>
    <row r="534" spans="1:16">
      <c r="A534" s="21"/>
      <c r="B534" s="43"/>
      <c r="C534" s="38"/>
      <c r="D534" s="44"/>
      <c r="E534" s="35"/>
      <c r="F534" s="35"/>
      <c r="G534" s="39"/>
      <c r="H534" s="36"/>
      <c r="I534" s="47">
        <v>6.25E-2</v>
      </c>
      <c r="J534" s="47">
        <f t="shared" si="16"/>
        <v>0</v>
      </c>
      <c r="K534" s="24">
        <f t="shared" si="17"/>
        <v>-6.25E-2</v>
      </c>
      <c r="L534" s="45"/>
      <c r="M534" s="25"/>
      <c r="N534" s="22"/>
      <c r="O534" s="26"/>
      <c r="P534" s="35"/>
    </row>
    <row r="535" spans="1:16">
      <c r="A535" s="21"/>
      <c r="B535" s="43"/>
      <c r="C535" s="38"/>
      <c r="D535" s="44"/>
      <c r="E535" s="35"/>
      <c r="F535" s="35"/>
      <c r="G535" s="39"/>
      <c r="H535" s="36"/>
      <c r="I535" s="47">
        <v>6.25E-2</v>
      </c>
      <c r="J535" s="47">
        <f t="shared" si="16"/>
        <v>0</v>
      </c>
      <c r="K535" s="24">
        <f t="shared" si="17"/>
        <v>-6.25E-2</v>
      </c>
      <c r="L535" s="45"/>
      <c r="M535" s="25"/>
      <c r="N535" s="22"/>
      <c r="O535" s="26"/>
      <c r="P535" s="35"/>
    </row>
    <row r="536" spans="1:16">
      <c r="A536" s="21"/>
      <c r="B536" s="43"/>
      <c r="C536" s="38"/>
      <c r="D536" s="44"/>
      <c r="E536" s="35"/>
      <c r="F536" s="35"/>
      <c r="G536" s="39"/>
      <c r="H536" s="36"/>
      <c r="I536" s="47">
        <v>6.25E-2</v>
      </c>
      <c r="J536" s="47">
        <f t="shared" si="16"/>
        <v>0</v>
      </c>
      <c r="K536" s="24">
        <f t="shared" si="17"/>
        <v>-6.25E-2</v>
      </c>
      <c r="L536" s="45"/>
      <c r="M536" s="25"/>
      <c r="N536" s="22"/>
      <c r="O536" s="26"/>
      <c r="P536" s="35"/>
    </row>
    <row r="537" spans="1:16">
      <c r="A537" s="21"/>
      <c r="B537" s="43"/>
      <c r="C537" s="38"/>
      <c r="D537" s="44"/>
      <c r="E537" s="35"/>
      <c r="F537" s="35"/>
      <c r="G537" s="39"/>
      <c r="H537" s="36"/>
      <c r="I537" s="47">
        <v>6.25E-2</v>
      </c>
      <c r="J537" s="47">
        <f t="shared" si="16"/>
        <v>0</v>
      </c>
      <c r="K537" s="24">
        <f t="shared" si="17"/>
        <v>-6.25E-2</v>
      </c>
      <c r="L537" s="45"/>
      <c r="M537" s="25"/>
      <c r="N537" s="22"/>
      <c r="O537" s="26"/>
      <c r="P537" s="35"/>
    </row>
    <row r="538" spans="1:16">
      <c r="A538" s="21"/>
      <c r="B538" s="43"/>
      <c r="C538" s="38"/>
      <c r="D538" s="44"/>
      <c r="E538" s="35"/>
      <c r="F538" s="35"/>
      <c r="G538" s="39"/>
      <c r="H538" s="36"/>
      <c r="I538" s="47">
        <v>6.25E-2</v>
      </c>
      <c r="J538" s="47">
        <f t="shared" si="16"/>
        <v>0</v>
      </c>
      <c r="K538" s="24">
        <f t="shared" si="17"/>
        <v>-6.25E-2</v>
      </c>
      <c r="L538" s="45"/>
      <c r="M538" s="25"/>
      <c r="N538" s="22"/>
      <c r="O538" s="26"/>
      <c r="P538" s="35"/>
    </row>
    <row r="539" spans="1:16">
      <c r="A539" s="21"/>
      <c r="B539" s="43"/>
      <c r="C539" s="38"/>
      <c r="D539" s="44"/>
      <c r="E539" s="35"/>
      <c r="F539" s="35"/>
      <c r="G539" s="39"/>
      <c r="H539" s="36"/>
      <c r="I539" s="47">
        <v>6.25E-2</v>
      </c>
      <c r="J539" s="47">
        <f t="shared" si="16"/>
        <v>0</v>
      </c>
      <c r="K539" s="24">
        <f t="shared" si="17"/>
        <v>-6.25E-2</v>
      </c>
      <c r="L539" s="45"/>
      <c r="M539" s="25"/>
      <c r="N539" s="22"/>
      <c r="O539" s="26"/>
      <c r="P539" s="35"/>
    </row>
    <row r="540" spans="1:16">
      <c r="A540" s="21"/>
      <c r="B540" s="43"/>
      <c r="C540" s="38"/>
      <c r="D540" s="44"/>
      <c r="E540" s="35"/>
      <c r="F540" s="35"/>
      <c r="G540" s="39"/>
      <c r="H540" s="36"/>
      <c r="I540" s="47">
        <v>6.25E-2</v>
      </c>
      <c r="J540" s="47">
        <f t="shared" si="16"/>
        <v>0</v>
      </c>
      <c r="K540" s="24">
        <f t="shared" si="17"/>
        <v>-6.25E-2</v>
      </c>
      <c r="L540" s="33"/>
      <c r="M540" s="19"/>
      <c r="N540" s="22"/>
      <c r="O540" s="26"/>
      <c r="P540" s="35"/>
    </row>
    <row r="541" spans="1:16">
      <c r="A541" s="21"/>
      <c r="B541" s="43"/>
      <c r="C541" s="38"/>
      <c r="D541" s="44"/>
      <c r="E541" s="35"/>
      <c r="F541" s="35"/>
      <c r="G541" s="39"/>
      <c r="H541" s="36"/>
      <c r="I541" s="47">
        <v>6.25E-2</v>
      </c>
      <c r="J541" s="47">
        <f t="shared" si="16"/>
        <v>0</v>
      </c>
      <c r="K541" s="24">
        <f t="shared" si="17"/>
        <v>-6.25E-2</v>
      </c>
      <c r="L541" s="45"/>
      <c r="M541" s="25"/>
      <c r="N541" s="22"/>
      <c r="O541" s="26"/>
      <c r="P541" s="35"/>
    </row>
    <row r="542" spans="1:16">
      <c r="A542" s="21"/>
      <c r="B542" s="43"/>
      <c r="C542" s="38"/>
      <c r="D542" s="44"/>
      <c r="E542" s="35"/>
      <c r="F542" s="35"/>
      <c r="G542" s="39"/>
      <c r="H542" s="36"/>
      <c r="I542" s="47">
        <v>6.25E-2</v>
      </c>
      <c r="J542" s="47">
        <f t="shared" si="16"/>
        <v>0</v>
      </c>
      <c r="K542" s="24">
        <f t="shared" si="17"/>
        <v>-6.25E-2</v>
      </c>
      <c r="L542" s="45"/>
      <c r="M542" s="25"/>
      <c r="N542" s="22"/>
      <c r="O542" s="26"/>
      <c r="P542" s="35"/>
    </row>
    <row r="543" spans="1:16">
      <c r="A543" s="21"/>
      <c r="B543" s="43"/>
      <c r="C543" s="38"/>
      <c r="D543" s="44"/>
      <c r="E543" s="35"/>
      <c r="F543" s="35"/>
      <c r="G543" s="39"/>
      <c r="H543" s="36"/>
      <c r="I543" s="47">
        <v>6.25E-2</v>
      </c>
      <c r="J543" s="47">
        <f t="shared" si="16"/>
        <v>0</v>
      </c>
      <c r="K543" s="24">
        <f t="shared" si="17"/>
        <v>-6.25E-2</v>
      </c>
      <c r="L543" s="45"/>
      <c r="M543" s="25"/>
      <c r="N543" s="22"/>
      <c r="O543" s="26"/>
      <c r="P543" s="35"/>
    </row>
    <row r="544" spans="1:16">
      <c r="A544" s="21"/>
      <c r="B544" s="43"/>
      <c r="C544" s="38"/>
      <c r="D544" s="44"/>
      <c r="E544" s="35"/>
      <c r="F544" s="35"/>
      <c r="G544" s="39"/>
      <c r="H544" s="36"/>
      <c r="I544" s="47">
        <v>6.25E-2</v>
      </c>
      <c r="J544" s="47">
        <f t="shared" si="16"/>
        <v>0</v>
      </c>
      <c r="K544" s="24">
        <f t="shared" si="17"/>
        <v>-6.25E-2</v>
      </c>
      <c r="L544" s="45"/>
      <c r="M544" s="25"/>
      <c r="N544" s="22"/>
      <c r="O544" s="26"/>
      <c r="P544" s="35"/>
    </row>
    <row r="545" spans="1:17">
      <c r="A545" s="21"/>
      <c r="B545" s="43"/>
      <c r="C545" s="38"/>
      <c r="D545" s="44"/>
      <c r="E545" s="35"/>
      <c r="F545" s="35"/>
      <c r="G545" s="39"/>
      <c r="H545" s="36"/>
      <c r="I545" s="47">
        <v>6.25E-2</v>
      </c>
      <c r="J545" s="47">
        <f t="shared" si="16"/>
        <v>0</v>
      </c>
      <c r="K545" s="24">
        <f t="shared" si="17"/>
        <v>-6.25E-2</v>
      </c>
      <c r="L545" s="45"/>
      <c r="M545" s="25"/>
      <c r="N545" s="22"/>
      <c r="O545" s="26"/>
      <c r="P545" s="35"/>
    </row>
    <row r="546" spans="1:17">
      <c r="A546" s="21"/>
      <c r="B546" s="43"/>
      <c r="C546" s="38"/>
      <c r="D546" s="44"/>
      <c r="E546" s="35"/>
      <c r="F546" s="35"/>
      <c r="G546" s="39"/>
      <c r="H546" s="36"/>
      <c r="I546" s="47">
        <v>6.25E-2</v>
      </c>
      <c r="J546" s="47">
        <f t="shared" si="16"/>
        <v>0</v>
      </c>
      <c r="K546" s="24">
        <f t="shared" si="17"/>
        <v>-6.25E-2</v>
      </c>
      <c r="L546" s="33"/>
      <c r="M546" s="25"/>
      <c r="N546" s="22"/>
      <c r="O546" s="26"/>
      <c r="P546" s="35"/>
    </row>
    <row r="547" spans="1:17">
      <c r="A547" s="21"/>
      <c r="B547" s="43"/>
      <c r="C547" s="38"/>
      <c r="D547" s="44"/>
      <c r="E547" s="35"/>
      <c r="F547" s="35"/>
      <c r="G547" s="39"/>
      <c r="H547" s="36"/>
      <c r="I547" s="47">
        <v>6.25E-2</v>
      </c>
      <c r="J547" s="47">
        <f t="shared" si="16"/>
        <v>0</v>
      </c>
      <c r="K547" s="24">
        <f t="shared" si="17"/>
        <v>-6.25E-2</v>
      </c>
      <c r="L547" s="33"/>
      <c r="M547" s="25"/>
      <c r="N547" s="22"/>
      <c r="O547" s="26"/>
      <c r="P547" s="35"/>
    </row>
    <row r="548" spans="1:17">
      <c r="A548" s="21"/>
      <c r="B548" s="43"/>
      <c r="C548" s="38"/>
      <c r="D548" s="44"/>
      <c r="E548" s="35"/>
      <c r="F548" s="35"/>
      <c r="G548" s="39"/>
      <c r="H548" s="36"/>
      <c r="I548" s="47">
        <v>6.25E-2</v>
      </c>
      <c r="J548" s="47">
        <f t="shared" si="16"/>
        <v>0</v>
      </c>
      <c r="K548" s="24">
        <f t="shared" si="17"/>
        <v>-6.25E-2</v>
      </c>
      <c r="L548" s="45"/>
      <c r="M548" s="25"/>
      <c r="N548" s="22"/>
      <c r="O548" s="26"/>
      <c r="P548" s="35"/>
    </row>
    <row r="549" spans="1:17">
      <c r="A549" s="21"/>
      <c r="B549" s="43"/>
      <c r="C549" s="38"/>
      <c r="D549" s="44"/>
      <c r="E549" s="35"/>
      <c r="F549" s="35"/>
      <c r="G549" s="39"/>
      <c r="H549" s="36"/>
      <c r="I549" s="47">
        <v>6.25E-2</v>
      </c>
      <c r="J549" s="47">
        <f t="shared" si="16"/>
        <v>0</v>
      </c>
      <c r="K549" s="24">
        <f t="shared" si="17"/>
        <v>-6.25E-2</v>
      </c>
      <c r="L549" s="45"/>
      <c r="M549" s="25"/>
      <c r="N549" s="22"/>
      <c r="O549" s="26"/>
      <c r="P549" s="35"/>
    </row>
    <row r="550" spans="1:17">
      <c r="A550" s="21"/>
      <c r="B550" s="43"/>
      <c r="C550" s="38"/>
      <c r="D550" s="44"/>
      <c r="E550" s="35"/>
      <c r="F550" s="35"/>
      <c r="G550" s="39"/>
      <c r="H550" s="36"/>
      <c r="I550" s="47">
        <v>6.25E-2</v>
      </c>
      <c r="J550" s="47">
        <f t="shared" si="16"/>
        <v>0</v>
      </c>
      <c r="K550" s="24">
        <f t="shared" si="17"/>
        <v>-6.25E-2</v>
      </c>
      <c r="L550" s="33"/>
      <c r="M550" s="25"/>
      <c r="N550" s="22"/>
      <c r="O550" s="26"/>
      <c r="P550" s="35"/>
    </row>
    <row r="551" spans="1:17">
      <c r="A551" s="21"/>
      <c r="B551" s="43"/>
      <c r="C551" s="38"/>
      <c r="D551" s="44"/>
      <c r="E551" s="35"/>
      <c r="F551" s="35"/>
      <c r="G551" s="39"/>
      <c r="H551" s="36"/>
      <c r="I551" s="47">
        <v>6.25E-2</v>
      </c>
      <c r="J551" s="47">
        <f t="shared" si="16"/>
        <v>0</v>
      </c>
      <c r="K551" s="24">
        <f t="shared" si="17"/>
        <v>-6.25E-2</v>
      </c>
      <c r="L551" s="33"/>
      <c r="M551" s="25"/>
      <c r="N551" s="22"/>
      <c r="O551" s="26"/>
      <c r="P551" s="35"/>
    </row>
    <row r="552" spans="1:17">
      <c r="A552" s="21"/>
      <c r="B552" s="43"/>
      <c r="C552" s="38"/>
      <c r="D552" s="44"/>
      <c r="E552" s="35"/>
      <c r="F552" s="35"/>
      <c r="G552" s="39"/>
      <c r="H552" s="36"/>
      <c r="I552" s="47">
        <v>6.25E-2</v>
      </c>
      <c r="J552" s="47">
        <f t="shared" si="16"/>
        <v>0</v>
      </c>
      <c r="K552" s="24">
        <f t="shared" si="17"/>
        <v>-6.25E-2</v>
      </c>
      <c r="L552" s="33"/>
      <c r="M552" s="25"/>
      <c r="N552" s="22"/>
      <c r="O552" s="26"/>
      <c r="P552" s="35"/>
    </row>
    <row r="553" spans="1:17">
      <c r="A553" s="21"/>
      <c r="B553" s="43"/>
      <c r="C553" s="38"/>
      <c r="D553" s="44"/>
      <c r="E553" s="35"/>
      <c r="F553" s="35"/>
      <c r="G553" s="39"/>
      <c r="H553" s="36"/>
      <c r="I553" s="47">
        <v>6.25E-2</v>
      </c>
      <c r="J553" s="47">
        <f t="shared" si="16"/>
        <v>0</v>
      </c>
      <c r="K553" s="24">
        <f t="shared" si="17"/>
        <v>-6.25E-2</v>
      </c>
      <c r="L553" s="45"/>
      <c r="M553" s="25"/>
      <c r="N553" s="22"/>
      <c r="O553" s="26"/>
      <c r="P553" s="35"/>
    </row>
    <row r="554" spans="1:17">
      <c r="A554" s="21"/>
      <c r="B554" s="43"/>
      <c r="C554" s="38"/>
      <c r="D554" s="44"/>
      <c r="E554" s="35"/>
      <c r="F554" s="35"/>
      <c r="G554" s="39"/>
      <c r="H554" s="36"/>
      <c r="I554" s="47">
        <v>6.25E-2</v>
      </c>
      <c r="J554" s="47">
        <f t="shared" si="16"/>
        <v>0</v>
      </c>
      <c r="K554" s="24">
        <f t="shared" si="17"/>
        <v>-6.25E-2</v>
      </c>
      <c r="L554" s="33"/>
      <c r="M554" s="25"/>
      <c r="N554" s="22"/>
      <c r="O554" s="26"/>
      <c r="P554" s="35"/>
    </row>
    <row r="555" spans="1:17">
      <c r="A555" s="21"/>
      <c r="B555" s="43"/>
      <c r="C555" s="38"/>
      <c r="D555" s="44"/>
      <c r="E555" s="35"/>
      <c r="F555" s="35"/>
      <c r="G555" s="39"/>
      <c r="H555" s="36"/>
      <c r="I555" s="47">
        <v>6.25E-2</v>
      </c>
      <c r="J555" s="47">
        <f t="shared" si="16"/>
        <v>0</v>
      </c>
      <c r="K555" s="24">
        <f t="shared" si="17"/>
        <v>-6.25E-2</v>
      </c>
      <c r="L555" s="33"/>
      <c r="M555" s="19"/>
      <c r="N555" s="22"/>
      <c r="O555" s="26"/>
      <c r="P555" s="35"/>
    </row>
    <row r="556" spans="1:17">
      <c r="A556" s="21"/>
      <c r="B556" s="43"/>
      <c r="C556" s="38"/>
      <c r="D556" s="44"/>
      <c r="E556" s="35"/>
      <c r="F556" s="35"/>
      <c r="G556" s="39"/>
      <c r="H556" s="36"/>
      <c r="I556" s="47">
        <v>6.25E-2</v>
      </c>
      <c r="J556" s="47">
        <f t="shared" si="16"/>
        <v>0</v>
      </c>
      <c r="K556" s="24">
        <f t="shared" si="17"/>
        <v>-6.25E-2</v>
      </c>
      <c r="L556" s="45"/>
      <c r="M556" s="25"/>
      <c r="N556" s="22"/>
      <c r="O556" s="26"/>
      <c r="P556" s="35"/>
    </row>
    <row r="557" spans="1:17" s="51" customFormat="1">
      <c r="A557" s="21"/>
      <c r="B557" s="53"/>
      <c r="C557" s="54"/>
      <c r="D557" s="44"/>
      <c r="E557" s="35"/>
      <c r="F557" s="35"/>
      <c r="G557" s="39"/>
      <c r="H557" s="36"/>
      <c r="I557" s="47">
        <v>6.25E-2</v>
      </c>
      <c r="J557" s="47">
        <f t="shared" si="16"/>
        <v>0</v>
      </c>
      <c r="K557" s="24">
        <f t="shared" si="17"/>
        <v>-6.25E-2</v>
      </c>
      <c r="L557" s="45"/>
      <c r="M557" s="25"/>
      <c r="N557" s="22"/>
      <c r="O557" s="26"/>
      <c r="P557" s="35"/>
      <c r="Q557" s="23"/>
    </row>
    <row r="558" spans="1:17">
      <c r="A558" s="21"/>
      <c r="B558" s="53"/>
      <c r="C558" s="54"/>
      <c r="D558" s="44"/>
      <c r="E558" s="35"/>
      <c r="F558" s="35"/>
      <c r="G558" s="39"/>
      <c r="H558" s="36"/>
      <c r="I558" s="47">
        <v>6.25E-2</v>
      </c>
      <c r="J558" s="47">
        <f t="shared" si="16"/>
        <v>0</v>
      </c>
      <c r="K558" s="24">
        <f t="shared" si="17"/>
        <v>-6.25E-2</v>
      </c>
      <c r="L558" s="45"/>
      <c r="M558" s="25"/>
      <c r="N558" s="22"/>
      <c r="O558" s="26"/>
      <c r="P558" s="35"/>
    </row>
    <row r="559" spans="1:17">
      <c r="A559" s="21"/>
      <c r="B559" s="53"/>
      <c r="C559" s="54"/>
      <c r="D559" s="44"/>
      <c r="E559" s="35"/>
      <c r="F559" s="35"/>
      <c r="G559" s="39"/>
      <c r="H559" s="36"/>
      <c r="I559" s="47">
        <v>6.25E-2</v>
      </c>
      <c r="J559" s="47">
        <f t="shared" si="16"/>
        <v>0</v>
      </c>
      <c r="K559" s="24">
        <f t="shared" si="17"/>
        <v>-6.25E-2</v>
      </c>
      <c r="L559" s="45"/>
      <c r="M559" s="25"/>
      <c r="N559" s="22"/>
      <c r="O559" s="26"/>
      <c r="P559" s="35"/>
    </row>
    <row r="560" spans="1:17">
      <c r="A560" s="21"/>
      <c r="B560" s="53"/>
      <c r="C560" s="54"/>
      <c r="D560" s="44"/>
      <c r="E560" s="35"/>
      <c r="F560" s="35"/>
      <c r="G560" s="39"/>
      <c r="H560" s="36"/>
      <c r="I560" s="47">
        <v>6.25E-2</v>
      </c>
      <c r="J560" s="47">
        <f t="shared" si="16"/>
        <v>0</v>
      </c>
      <c r="K560" s="24">
        <f t="shared" si="17"/>
        <v>-6.25E-2</v>
      </c>
      <c r="L560" s="45"/>
      <c r="M560" s="25"/>
      <c r="N560" s="22"/>
      <c r="O560" s="26"/>
      <c r="P560" s="35"/>
    </row>
    <row r="561" spans="1:16">
      <c r="A561" s="21"/>
      <c r="B561" s="53"/>
      <c r="C561" s="54"/>
      <c r="D561" s="44"/>
      <c r="E561" s="35"/>
      <c r="F561" s="35"/>
      <c r="G561" s="39"/>
      <c r="H561" s="36"/>
      <c r="I561" s="47">
        <v>6.25E-2</v>
      </c>
      <c r="J561" s="47">
        <f t="shared" si="16"/>
        <v>0</v>
      </c>
      <c r="K561" s="24">
        <f t="shared" si="17"/>
        <v>-6.25E-2</v>
      </c>
      <c r="L561" s="45"/>
      <c r="M561" s="25"/>
      <c r="N561" s="22"/>
      <c r="O561" s="26"/>
      <c r="P561" s="35"/>
    </row>
    <row r="562" spans="1:16">
      <c r="A562" s="21"/>
      <c r="B562" s="53"/>
      <c r="C562" s="54"/>
      <c r="D562" s="44"/>
      <c r="E562" s="35"/>
      <c r="F562" s="35"/>
      <c r="G562" s="39"/>
      <c r="H562" s="36"/>
      <c r="I562" s="47">
        <v>6.25E-2</v>
      </c>
      <c r="J562" s="47">
        <f t="shared" si="16"/>
        <v>0</v>
      </c>
      <c r="K562" s="24">
        <f t="shared" si="17"/>
        <v>-6.25E-2</v>
      </c>
      <c r="L562" s="45"/>
      <c r="M562" s="25"/>
      <c r="N562" s="22"/>
      <c r="O562" s="26"/>
      <c r="P562" s="35"/>
    </row>
    <row r="563" spans="1:16">
      <c r="A563" s="21"/>
      <c r="B563" s="53"/>
      <c r="C563" s="54"/>
      <c r="D563" s="44"/>
      <c r="E563" s="35"/>
      <c r="F563" s="35"/>
      <c r="G563" s="39"/>
      <c r="H563" s="36"/>
      <c r="I563" s="47">
        <v>6.25E-2</v>
      </c>
      <c r="J563" s="47">
        <f t="shared" si="16"/>
        <v>0</v>
      </c>
      <c r="K563" s="24">
        <f t="shared" si="17"/>
        <v>-6.25E-2</v>
      </c>
      <c r="L563" s="45"/>
      <c r="M563" s="25"/>
      <c r="N563" s="22"/>
      <c r="O563" s="26"/>
      <c r="P563" s="35"/>
    </row>
    <row r="564" spans="1:16">
      <c r="A564" s="21"/>
      <c r="B564" s="53"/>
      <c r="C564" s="54"/>
      <c r="D564" s="44"/>
      <c r="E564" s="35"/>
      <c r="F564" s="35"/>
      <c r="G564" s="39"/>
      <c r="H564" s="36"/>
      <c r="I564" s="47">
        <v>6.25E-2</v>
      </c>
      <c r="J564" s="47">
        <f t="shared" si="16"/>
        <v>0</v>
      </c>
      <c r="K564" s="24">
        <f t="shared" si="17"/>
        <v>-6.25E-2</v>
      </c>
      <c r="L564" s="45"/>
      <c r="M564" s="25"/>
      <c r="N564" s="22"/>
      <c r="O564" s="26"/>
      <c r="P564" s="35"/>
    </row>
    <row r="565" spans="1:16">
      <c r="A565" s="21"/>
      <c r="B565" s="53"/>
      <c r="C565" s="54"/>
      <c r="D565" s="44"/>
      <c r="E565" s="35"/>
      <c r="F565" s="35"/>
      <c r="G565" s="39"/>
      <c r="H565" s="36"/>
      <c r="I565" s="47">
        <v>6.25E-2</v>
      </c>
      <c r="J565" s="47">
        <f t="shared" si="16"/>
        <v>0</v>
      </c>
      <c r="K565" s="24">
        <f t="shared" si="17"/>
        <v>-6.25E-2</v>
      </c>
      <c r="L565" s="45"/>
      <c r="M565" s="25"/>
      <c r="N565" s="22"/>
      <c r="O565" s="26"/>
      <c r="P565" s="35"/>
    </row>
    <row r="566" spans="1:16">
      <c r="A566" s="21"/>
      <c r="B566" s="53"/>
      <c r="C566" s="54"/>
      <c r="D566" s="44"/>
      <c r="E566" s="35"/>
      <c r="F566" s="35"/>
      <c r="G566" s="39"/>
      <c r="H566" s="36"/>
      <c r="I566" s="47">
        <v>6.25E-2</v>
      </c>
      <c r="J566" s="47">
        <f t="shared" si="16"/>
        <v>0</v>
      </c>
      <c r="K566" s="24">
        <f t="shared" si="17"/>
        <v>-6.25E-2</v>
      </c>
      <c r="L566" s="45"/>
      <c r="M566" s="25"/>
      <c r="N566" s="22"/>
      <c r="O566" s="26"/>
      <c r="P566" s="35"/>
    </row>
    <row r="567" spans="1:16">
      <c r="A567" s="21"/>
      <c r="B567" s="53"/>
      <c r="C567" s="54"/>
      <c r="D567" s="44"/>
      <c r="E567" s="35"/>
      <c r="F567" s="35"/>
      <c r="G567" s="39"/>
      <c r="H567" s="36"/>
      <c r="I567" s="47">
        <v>6.25E-2</v>
      </c>
      <c r="J567" s="47">
        <f t="shared" si="16"/>
        <v>0</v>
      </c>
      <c r="K567" s="24">
        <f t="shared" si="17"/>
        <v>-6.25E-2</v>
      </c>
      <c r="L567" s="45"/>
      <c r="M567" s="25"/>
      <c r="N567" s="22"/>
      <c r="O567" s="26"/>
      <c r="P567" s="35"/>
    </row>
    <row r="568" spans="1:16">
      <c r="A568" s="21"/>
      <c r="B568" s="53"/>
      <c r="C568" s="54"/>
      <c r="D568" s="44"/>
      <c r="E568" s="35"/>
      <c r="F568" s="35"/>
      <c r="G568" s="39"/>
      <c r="H568" s="36"/>
      <c r="I568" s="47">
        <v>6.25E-2</v>
      </c>
      <c r="J568" s="47">
        <f t="shared" si="16"/>
        <v>0</v>
      </c>
      <c r="K568" s="24">
        <f t="shared" si="17"/>
        <v>-6.25E-2</v>
      </c>
      <c r="L568" s="45"/>
      <c r="M568" s="25"/>
      <c r="N568" s="22"/>
      <c r="O568" s="26"/>
      <c r="P568" s="35"/>
    </row>
    <row r="569" spans="1:16">
      <c r="A569" s="21"/>
      <c r="B569" s="53"/>
      <c r="C569" s="54"/>
      <c r="D569" s="44"/>
      <c r="E569" s="35"/>
      <c r="F569" s="35"/>
      <c r="G569" s="39"/>
      <c r="H569" s="36"/>
      <c r="I569" s="47">
        <v>6.25E-2</v>
      </c>
      <c r="J569" s="47">
        <f t="shared" si="16"/>
        <v>0</v>
      </c>
      <c r="K569" s="24">
        <f t="shared" si="17"/>
        <v>-6.25E-2</v>
      </c>
      <c r="L569" s="45"/>
      <c r="M569" s="25"/>
      <c r="N569" s="22"/>
      <c r="O569" s="26"/>
      <c r="P569" s="35"/>
    </row>
    <row r="570" spans="1:16">
      <c r="A570" s="21"/>
      <c r="B570" s="53"/>
      <c r="C570" s="54"/>
      <c r="D570" s="44"/>
      <c r="E570" s="35"/>
      <c r="F570" s="35"/>
      <c r="G570" s="39"/>
      <c r="H570" s="36"/>
      <c r="I570" s="47">
        <v>6.25E-2</v>
      </c>
      <c r="J570" s="47">
        <f t="shared" si="16"/>
        <v>0</v>
      </c>
      <c r="K570" s="24">
        <f t="shared" si="17"/>
        <v>-6.25E-2</v>
      </c>
      <c r="L570" s="45"/>
      <c r="M570" s="25"/>
      <c r="N570" s="22"/>
      <c r="O570" s="26"/>
      <c r="P570" s="35"/>
    </row>
    <row r="571" spans="1:16">
      <c r="A571" s="21"/>
      <c r="B571" s="53"/>
      <c r="C571" s="54"/>
      <c r="D571" s="44"/>
      <c r="E571" s="35"/>
      <c r="F571" s="35"/>
      <c r="G571" s="39"/>
      <c r="H571" s="36"/>
      <c r="I571" s="47">
        <v>6.25E-2</v>
      </c>
      <c r="J571" s="47">
        <f t="shared" si="16"/>
        <v>0</v>
      </c>
      <c r="K571" s="24">
        <f t="shared" si="17"/>
        <v>-6.25E-2</v>
      </c>
      <c r="L571" s="45"/>
      <c r="M571" s="25"/>
      <c r="N571" s="22"/>
      <c r="O571" s="26"/>
      <c r="P571" s="35"/>
    </row>
    <row r="572" spans="1:16">
      <c r="A572" s="21"/>
      <c r="B572" s="53"/>
      <c r="C572" s="54"/>
      <c r="D572" s="44"/>
      <c r="E572" s="35"/>
      <c r="F572" s="35"/>
      <c r="G572" s="39"/>
      <c r="H572" s="36"/>
      <c r="I572" s="47">
        <v>6.25E-2</v>
      </c>
      <c r="J572" s="47">
        <f t="shared" si="16"/>
        <v>0</v>
      </c>
      <c r="K572" s="24">
        <f t="shared" si="17"/>
        <v>-6.25E-2</v>
      </c>
      <c r="L572" s="45"/>
      <c r="M572" s="25"/>
      <c r="N572" s="22"/>
      <c r="O572" s="26"/>
      <c r="P572" s="35"/>
    </row>
    <row r="573" spans="1:16">
      <c r="A573" s="21"/>
      <c r="B573" s="53"/>
      <c r="C573" s="54"/>
      <c r="D573" s="44"/>
      <c r="E573" s="35"/>
      <c r="F573" s="35"/>
      <c r="G573" s="39"/>
      <c r="H573" s="36"/>
      <c r="I573" s="47">
        <v>6.25E-2</v>
      </c>
      <c r="J573" s="47">
        <f t="shared" si="16"/>
        <v>0</v>
      </c>
      <c r="K573" s="24">
        <f t="shared" si="17"/>
        <v>-6.25E-2</v>
      </c>
      <c r="L573" s="45"/>
      <c r="M573" s="25"/>
      <c r="N573" s="22"/>
      <c r="O573" s="26"/>
      <c r="P573" s="35"/>
    </row>
    <row r="574" spans="1:16">
      <c r="A574" s="21"/>
      <c r="B574" s="53"/>
      <c r="C574" s="54"/>
      <c r="D574" s="44"/>
      <c r="E574" s="35"/>
      <c r="F574" s="35"/>
      <c r="G574" s="39"/>
      <c r="H574" s="36"/>
      <c r="I574" s="47">
        <v>6.25E-2</v>
      </c>
      <c r="J574" s="47">
        <f t="shared" si="16"/>
        <v>0</v>
      </c>
      <c r="K574" s="24">
        <f t="shared" si="17"/>
        <v>-6.25E-2</v>
      </c>
      <c r="L574" s="45"/>
      <c r="M574" s="25"/>
      <c r="N574" s="22"/>
      <c r="O574" s="26"/>
      <c r="P574" s="35"/>
    </row>
    <row r="575" spans="1:16">
      <c r="A575" s="21"/>
      <c r="B575" s="53"/>
      <c r="C575" s="54"/>
      <c r="D575" s="44"/>
      <c r="E575" s="35"/>
      <c r="F575" s="35"/>
      <c r="G575" s="39"/>
      <c r="H575" s="36"/>
      <c r="I575" s="47">
        <v>6.25E-2</v>
      </c>
      <c r="J575" s="47">
        <f t="shared" si="16"/>
        <v>0</v>
      </c>
      <c r="K575" s="24">
        <f t="shared" si="17"/>
        <v>-6.25E-2</v>
      </c>
      <c r="L575" s="45"/>
      <c r="M575" s="25"/>
      <c r="N575" s="22"/>
      <c r="O575" s="26"/>
      <c r="P575" s="35"/>
    </row>
    <row r="576" spans="1:16">
      <c r="A576" s="21"/>
      <c r="B576" s="53"/>
      <c r="C576" s="54"/>
      <c r="D576" s="44"/>
      <c r="E576" s="35"/>
      <c r="F576" s="35"/>
      <c r="G576" s="39"/>
      <c r="H576" s="36"/>
      <c r="I576" s="47">
        <v>6.25E-2</v>
      </c>
      <c r="J576" s="47">
        <f t="shared" si="16"/>
        <v>0</v>
      </c>
      <c r="K576" s="24">
        <f t="shared" si="17"/>
        <v>-6.25E-2</v>
      </c>
      <c r="L576" s="45"/>
      <c r="M576" s="25"/>
      <c r="N576" s="22"/>
      <c r="O576" s="26"/>
      <c r="P576" s="35"/>
    </row>
    <row r="577" spans="1:16">
      <c r="A577" s="21"/>
      <c r="B577" s="53"/>
      <c r="C577" s="54"/>
      <c r="D577" s="44"/>
      <c r="E577" s="35"/>
      <c r="F577" s="35"/>
      <c r="G577" s="39"/>
      <c r="H577" s="36"/>
      <c r="I577" s="47">
        <v>6.25E-2</v>
      </c>
      <c r="J577" s="47">
        <f t="shared" si="16"/>
        <v>0</v>
      </c>
      <c r="K577" s="24">
        <f t="shared" si="17"/>
        <v>-6.25E-2</v>
      </c>
      <c r="L577" s="45"/>
      <c r="M577" s="25"/>
      <c r="N577" s="22"/>
      <c r="O577" s="26"/>
      <c r="P577" s="35"/>
    </row>
    <row r="578" spans="1:16">
      <c r="A578" s="21"/>
      <c r="B578" s="53"/>
      <c r="C578" s="54"/>
      <c r="D578" s="44"/>
      <c r="E578" s="35"/>
      <c r="F578" s="35"/>
      <c r="G578" s="39"/>
      <c r="H578" s="36"/>
      <c r="I578" s="47">
        <v>6.25E-2</v>
      </c>
      <c r="J578" s="47">
        <f t="shared" ref="J578:J646" si="18">H578-G578</f>
        <v>0</v>
      </c>
      <c r="K578" s="24">
        <f t="shared" ref="K578:K641" si="19">J578-I578</f>
        <v>-6.25E-2</v>
      </c>
      <c r="L578" s="45"/>
      <c r="M578" s="25"/>
      <c r="N578" s="22"/>
      <c r="O578" s="26"/>
      <c r="P578" s="35"/>
    </row>
    <row r="579" spans="1:16">
      <c r="A579" s="21"/>
      <c r="B579" s="53"/>
      <c r="C579" s="54"/>
      <c r="D579" s="44"/>
      <c r="E579" s="35"/>
      <c r="F579" s="35"/>
      <c r="G579" s="39"/>
      <c r="H579" s="36"/>
      <c r="I579" s="47">
        <v>6.25E-2</v>
      </c>
      <c r="J579" s="47">
        <f t="shared" si="18"/>
        <v>0</v>
      </c>
      <c r="K579" s="24">
        <f t="shared" si="19"/>
        <v>-6.25E-2</v>
      </c>
      <c r="L579" s="45"/>
      <c r="M579" s="25"/>
      <c r="N579" s="22"/>
      <c r="O579" s="26"/>
      <c r="P579" s="35"/>
    </row>
    <row r="580" spans="1:16">
      <c r="A580" s="21"/>
      <c r="B580" s="53"/>
      <c r="C580" s="54"/>
      <c r="D580" s="44"/>
      <c r="E580" s="35"/>
      <c r="F580" s="35"/>
      <c r="G580" s="39"/>
      <c r="H580" s="36"/>
      <c r="I580" s="47">
        <v>6.25E-2</v>
      </c>
      <c r="J580" s="47">
        <f t="shared" si="18"/>
        <v>0</v>
      </c>
      <c r="K580" s="24">
        <f t="shared" si="19"/>
        <v>-6.25E-2</v>
      </c>
      <c r="L580" s="45"/>
      <c r="M580" s="25"/>
      <c r="N580" s="22"/>
      <c r="O580" s="26"/>
      <c r="P580" s="35"/>
    </row>
    <row r="581" spans="1:16">
      <c r="A581" s="21"/>
      <c r="B581" s="53"/>
      <c r="C581" s="54"/>
      <c r="D581" s="44"/>
      <c r="E581" s="35"/>
      <c r="F581" s="35"/>
      <c r="G581" s="39"/>
      <c r="H581" s="36"/>
      <c r="I581" s="47">
        <v>6.25E-2</v>
      </c>
      <c r="J581" s="47">
        <f t="shared" si="18"/>
        <v>0</v>
      </c>
      <c r="K581" s="24">
        <f t="shared" si="19"/>
        <v>-6.25E-2</v>
      </c>
      <c r="L581" s="45"/>
      <c r="M581" s="25"/>
      <c r="N581" s="22"/>
      <c r="O581" s="26"/>
      <c r="P581" s="35"/>
    </row>
    <row r="582" spans="1:16">
      <c r="A582" s="21"/>
      <c r="B582" s="53"/>
      <c r="C582" s="54"/>
      <c r="D582" s="44"/>
      <c r="E582" s="35"/>
      <c r="F582" s="35"/>
      <c r="G582" s="39"/>
      <c r="H582" s="36"/>
      <c r="I582" s="47">
        <v>6.25E-2</v>
      </c>
      <c r="J582" s="47">
        <f t="shared" si="18"/>
        <v>0</v>
      </c>
      <c r="K582" s="24">
        <f t="shared" si="19"/>
        <v>-6.25E-2</v>
      </c>
      <c r="L582" s="45"/>
      <c r="M582" s="25"/>
      <c r="N582" s="22"/>
      <c r="O582" s="26"/>
      <c r="P582" s="35"/>
    </row>
    <row r="583" spans="1:16">
      <c r="A583" s="21"/>
      <c r="B583" s="53"/>
      <c r="C583" s="54"/>
      <c r="D583" s="44"/>
      <c r="E583" s="35"/>
      <c r="F583" s="35"/>
      <c r="G583" s="39"/>
      <c r="H583" s="36"/>
      <c r="I583" s="47">
        <v>6.25E-2</v>
      </c>
      <c r="J583" s="47">
        <f t="shared" si="18"/>
        <v>0</v>
      </c>
      <c r="K583" s="24">
        <f t="shared" si="19"/>
        <v>-6.25E-2</v>
      </c>
      <c r="L583" s="45"/>
      <c r="M583" s="25"/>
      <c r="N583" s="22"/>
      <c r="O583" s="26"/>
      <c r="P583" s="35"/>
    </row>
    <row r="584" spans="1:16">
      <c r="A584" s="21"/>
      <c r="B584" s="53"/>
      <c r="C584" s="54"/>
      <c r="D584" s="44"/>
      <c r="E584" s="35"/>
      <c r="F584" s="35"/>
      <c r="G584" s="39"/>
      <c r="H584" s="36"/>
      <c r="I584" s="47">
        <v>6.25E-2</v>
      </c>
      <c r="J584" s="47">
        <f t="shared" si="18"/>
        <v>0</v>
      </c>
      <c r="K584" s="24">
        <f t="shared" si="19"/>
        <v>-6.25E-2</v>
      </c>
      <c r="L584" s="45"/>
      <c r="M584" s="25"/>
      <c r="N584" s="22"/>
      <c r="O584" s="26"/>
      <c r="P584" s="35"/>
    </row>
    <row r="585" spans="1:16">
      <c r="A585" s="21"/>
      <c r="B585" s="53"/>
      <c r="C585" s="54"/>
      <c r="D585" s="44"/>
      <c r="E585" s="35"/>
      <c r="F585" s="35"/>
      <c r="G585" s="39"/>
      <c r="H585" s="36"/>
      <c r="I585" s="47">
        <v>6.25E-2</v>
      </c>
      <c r="J585" s="47">
        <f t="shared" si="18"/>
        <v>0</v>
      </c>
      <c r="K585" s="24">
        <f t="shared" si="19"/>
        <v>-6.25E-2</v>
      </c>
      <c r="L585" s="45"/>
      <c r="M585" s="25"/>
      <c r="N585" s="22"/>
      <c r="O585" s="26"/>
      <c r="P585" s="35"/>
    </row>
    <row r="586" spans="1:16">
      <c r="A586" s="21"/>
      <c r="B586" s="53"/>
      <c r="C586" s="54"/>
      <c r="D586" s="44"/>
      <c r="E586" s="35"/>
      <c r="F586" s="35"/>
      <c r="G586" s="39"/>
      <c r="H586" s="36"/>
      <c r="I586" s="47">
        <v>6.25E-2</v>
      </c>
      <c r="J586" s="47">
        <f t="shared" si="18"/>
        <v>0</v>
      </c>
      <c r="K586" s="24">
        <f t="shared" si="19"/>
        <v>-6.25E-2</v>
      </c>
      <c r="L586" s="45"/>
      <c r="M586" s="25"/>
      <c r="N586" s="22"/>
      <c r="O586" s="26"/>
      <c r="P586" s="35"/>
    </row>
    <row r="587" spans="1:16">
      <c r="A587" s="21"/>
      <c r="B587" s="53"/>
      <c r="C587" s="54"/>
      <c r="D587" s="44"/>
      <c r="E587" s="35"/>
      <c r="F587" s="35"/>
      <c r="G587" s="39"/>
      <c r="H587" s="36"/>
      <c r="I587" s="47">
        <v>6.25E-2</v>
      </c>
      <c r="J587" s="47">
        <f t="shared" si="18"/>
        <v>0</v>
      </c>
      <c r="K587" s="24">
        <f t="shared" si="19"/>
        <v>-6.25E-2</v>
      </c>
      <c r="L587" s="45"/>
      <c r="M587" s="25"/>
      <c r="N587" s="22"/>
      <c r="O587" s="26"/>
      <c r="P587" s="35"/>
    </row>
    <row r="588" spans="1:16">
      <c r="A588" s="21"/>
      <c r="B588" s="53"/>
      <c r="C588" s="54"/>
      <c r="D588" s="44"/>
      <c r="E588" s="35"/>
      <c r="F588" s="35"/>
      <c r="G588" s="39"/>
      <c r="H588" s="36"/>
      <c r="I588" s="47">
        <v>6.25E-2</v>
      </c>
      <c r="J588" s="47">
        <f t="shared" si="18"/>
        <v>0</v>
      </c>
      <c r="K588" s="24">
        <f t="shared" si="19"/>
        <v>-6.25E-2</v>
      </c>
      <c r="L588" s="45"/>
      <c r="M588" s="25"/>
      <c r="N588" s="22"/>
      <c r="O588" s="26"/>
      <c r="P588" s="35"/>
    </row>
    <row r="589" spans="1:16">
      <c r="A589" s="21"/>
      <c r="B589" s="53"/>
      <c r="C589" s="54"/>
      <c r="D589" s="44"/>
      <c r="E589" s="35"/>
      <c r="F589" s="35"/>
      <c r="G589" s="39"/>
      <c r="H589" s="36"/>
      <c r="I589" s="47">
        <v>6.25E-2</v>
      </c>
      <c r="J589" s="47">
        <f t="shared" si="18"/>
        <v>0</v>
      </c>
      <c r="K589" s="24">
        <f t="shared" si="19"/>
        <v>-6.25E-2</v>
      </c>
      <c r="L589" s="45"/>
      <c r="M589" s="25"/>
      <c r="N589" s="22"/>
      <c r="O589" s="26"/>
      <c r="P589" s="35"/>
    </row>
    <row r="590" spans="1:16">
      <c r="A590" s="21"/>
      <c r="B590" s="53"/>
      <c r="C590" s="54"/>
      <c r="D590" s="44"/>
      <c r="E590" s="35"/>
      <c r="F590" s="35"/>
      <c r="G590" s="39"/>
      <c r="H590" s="36"/>
      <c r="I590" s="47">
        <v>6.25E-2</v>
      </c>
      <c r="J590" s="47">
        <f t="shared" si="18"/>
        <v>0</v>
      </c>
      <c r="K590" s="24">
        <f t="shared" si="19"/>
        <v>-6.25E-2</v>
      </c>
      <c r="L590" s="33"/>
      <c r="M590" s="19"/>
      <c r="N590" s="22"/>
      <c r="O590" s="26"/>
      <c r="P590" s="35"/>
    </row>
    <row r="591" spans="1:16">
      <c r="A591" s="21"/>
      <c r="B591" s="53"/>
      <c r="C591" s="54"/>
      <c r="D591" s="44"/>
      <c r="E591" s="35"/>
      <c r="F591" s="35"/>
      <c r="G591" s="39"/>
      <c r="H591" s="36"/>
      <c r="I591" s="47">
        <v>6.25E-2</v>
      </c>
      <c r="J591" s="47">
        <f t="shared" si="18"/>
        <v>0</v>
      </c>
      <c r="K591" s="24">
        <f t="shared" si="19"/>
        <v>-6.25E-2</v>
      </c>
      <c r="L591" s="45"/>
      <c r="M591" s="25"/>
      <c r="N591" s="22"/>
      <c r="O591" s="26"/>
      <c r="P591" s="35"/>
    </row>
    <row r="592" spans="1:16">
      <c r="A592" s="21"/>
      <c r="B592" s="53"/>
      <c r="C592" s="54"/>
      <c r="D592" s="44"/>
      <c r="E592" s="35"/>
      <c r="F592" s="35"/>
      <c r="G592" s="39"/>
      <c r="H592" s="36"/>
      <c r="I592" s="47">
        <v>6.25E-2</v>
      </c>
      <c r="J592" s="47">
        <f t="shared" si="18"/>
        <v>0</v>
      </c>
      <c r="K592" s="24">
        <f t="shared" si="19"/>
        <v>-6.25E-2</v>
      </c>
      <c r="L592" s="45"/>
      <c r="M592" s="25"/>
      <c r="N592" s="22"/>
      <c r="O592" s="26"/>
      <c r="P592" s="35"/>
    </row>
    <row r="593" spans="1:16">
      <c r="A593" s="21"/>
      <c r="B593" s="53"/>
      <c r="C593" s="54"/>
      <c r="D593" s="44"/>
      <c r="E593" s="35"/>
      <c r="F593" s="35"/>
      <c r="G593" s="39"/>
      <c r="H593" s="36"/>
      <c r="I593" s="47">
        <v>6.25E-2</v>
      </c>
      <c r="J593" s="47">
        <f t="shared" si="18"/>
        <v>0</v>
      </c>
      <c r="K593" s="24">
        <f t="shared" si="19"/>
        <v>-6.25E-2</v>
      </c>
      <c r="L593" s="45"/>
      <c r="M593" s="25"/>
      <c r="N593" s="22"/>
      <c r="O593" s="26"/>
      <c r="P593" s="35"/>
    </row>
    <row r="594" spans="1:16">
      <c r="A594" s="21"/>
      <c r="B594" s="53"/>
      <c r="C594" s="54"/>
      <c r="D594" s="44"/>
      <c r="E594" s="35"/>
      <c r="F594" s="35"/>
      <c r="G594" s="39"/>
      <c r="H594" s="36"/>
      <c r="I594" s="47">
        <v>6.25E-2</v>
      </c>
      <c r="J594" s="47">
        <f t="shared" si="18"/>
        <v>0</v>
      </c>
      <c r="K594" s="24">
        <f t="shared" si="19"/>
        <v>-6.25E-2</v>
      </c>
      <c r="L594" s="45"/>
      <c r="M594" s="25"/>
      <c r="N594" s="22"/>
      <c r="O594" s="26"/>
      <c r="P594" s="35"/>
    </row>
    <row r="595" spans="1:16">
      <c r="A595" s="21"/>
      <c r="B595" s="53"/>
      <c r="C595" s="54"/>
      <c r="D595" s="44"/>
      <c r="E595" s="35"/>
      <c r="F595" s="35"/>
      <c r="G595" s="39"/>
      <c r="H595" s="36"/>
      <c r="I595" s="47">
        <v>6.25E-2</v>
      </c>
      <c r="J595" s="47">
        <f t="shared" si="18"/>
        <v>0</v>
      </c>
      <c r="K595" s="24">
        <f t="shared" si="19"/>
        <v>-6.25E-2</v>
      </c>
      <c r="L595" s="45"/>
      <c r="M595" s="25"/>
      <c r="N595" s="22"/>
      <c r="O595" s="26"/>
      <c r="P595" s="35"/>
    </row>
    <row r="596" spans="1:16">
      <c r="A596" s="21"/>
      <c r="B596" s="53"/>
      <c r="C596" s="54"/>
      <c r="D596" s="44"/>
      <c r="E596" s="35"/>
      <c r="F596" s="35"/>
      <c r="G596" s="39"/>
      <c r="H596" s="36"/>
      <c r="I596" s="47">
        <v>6.25E-2</v>
      </c>
      <c r="J596" s="47">
        <f t="shared" si="18"/>
        <v>0</v>
      </c>
      <c r="K596" s="24">
        <f t="shared" si="19"/>
        <v>-6.25E-2</v>
      </c>
      <c r="L596" s="33"/>
      <c r="M596" s="19"/>
      <c r="N596" s="22"/>
      <c r="O596" s="26"/>
      <c r="P596" s="35"/>
    </row>
    <row r="597" spans="1:16">
      <c r="A597" s="21"/>
      <c r="B597" s="53"/>
      <c r="C597" s="54"/>
      <c r="D597" s="44"/>
      <c r="E597" s="35"/>
      <c r="F597" s="35"/>
      <c r="G597" s="39"/>
      <c r="H597" s="36"/>
      <c r="I597" s="47">
        <v>6.25E-2</v>
      </c>
      <c r="J597" s="47">
        <f t="shared" si="18"/>
        <v>0</v>
      </c>
      <c r="K597" s="24">
        <f t="shared" si="19"/>
        <v>-6.25E-2</v>
      </c>
      <c r="L597" s="45"/>
      <c r="M597" s="25"/>
      <c r="N597" s="22"/>
      <c r="O597" s="26"/>
      <c r="P597" s="35"/>
    </row>
    <row r="598" spans="1:16">
      <c r="A598" s="21"/>
      <c r="B598" s="53"/>
      <c r="C598" s="54"/>
      <c r="D598" s="44"/>
      <c r="E598" s="35"/>
      <c r="F598" s="35"/>
      <c r="G598" s="39"/>
      <c r="H598" s="36"/>
      <c r="I598" s="47">
        <v>6.25E-2</v>
      </c>
      <c r="J598" s="47">
        <f t="shared" si="18"/>
        <v>0</v>
      </c>
      <c r="K598" s="24">
        <f t="shared" si="19"/>
        <v>-6.25E-2</v>
      </c>
      <c r="L598" s="45"/>
      <c r="M598" s="25"/>
      <c r="N598" s="22"/>
      <c r="O598" s="26"/>
      <c r="P598" s="35"/>
    </row>
    <row r="599" spans="1:16">
      <c r="A599" s="21"/>
      <c r="B599" s="53"/>
      <c r="C599" s="54"/>
      <c r="D599" s="44"/>
      <c r="E599" s="35"/>
      <c r="F599" s="35"/>
      <c r="G599" s="39"/>
      <c r="H599" s="36"/>
      <c r="I599" s="47">
        <v>6.25E-2</v>
      </c>
      <c r="J599" s="47">
        <f t="shared" si="18"/>
        <v>0</v>
      </c>
      <c r="K599" s="24">
        <f t="shared" si="19"/>
        <v>-6.25E-2</v>
      </c>
      <c r="L599" s="45"/>
      <c r="M599" s="25"/>
      <c r="N599" s="22"/>
      <c r="O599" s="26"/>
      <c r="P599" s="35"/>
    </row>
    <row r="600" spans="1:16">
      <c r="A600" s="21"/>
      <c r="B600" s="53"/>
      <c r="C600" s="54"/>
      <c r="D600" s="44"/>
      <c r="E600" s="35"/>
      <c r="F600" s="35"/>
      <c r="G600" s="39"/>
      <c r="H600" s="36"/>
      <c r="I600" s="47">
        <v>6.25E-2</v>
      </c>
      <c r="J600" s="47">
        <f t="shared" si="18"/>
        <v>0</v>
      </c>
      <c r="K600" s="24">
        <f t="shared" si="19"/>
        <v>-6.25E-2</v>
      </c>
      <c r="L600" s="33"/>
      <c r="M600" s="19"/>
      <c r="N600" s="22"/>
      <c r="O600" s="26"/>
      <c r="P600" s="35"/>
    </row>
    <row r="601" spans="1:16">
      <c r="A601" s="21"/>
      <c r="B601" s="53"/>
      <c r="C601" s="54"/>
      <c r="D601" s="44"/>
      <c r="E601" s="35"/>
      <c r="F601" s="35"/>
      <c r="G601" s="39"/>
      <c r="H601" s="36"/>
      <c r="I601" s="47">
        <v>6.25E-2</v>
      </c>
      <c r="J601" s="47">
        <f t="shared" si="18"/>
        <v>0</v>
      </c>
      <c r="K601" s="24">
        <f t="shared" si="19"/>
        <v>-6.25E-2</v>
      </c>
      <c r="L601" s="33"/>
      <c r="M601" s="19"/>
      <c r="N601" s="22"/>
      <c r="O601" s="26"/>
      <c r="P601" s="35"/>
    </row>
    <row r="602" spans="1:16">
      <c r="A602" s="21"/>
      <c r="B602" s="53"/>
      <c r="C602" s="54"/>
      <c r="D602" s="44"/>
      <c r="E602" s="35"/>
      <c r="F602" s="35"/>
      <c r="G602" s="39"/>
      <c r="H602" s="36"/>
      <c r="I602" s="47">
        <v>6.25E-2</v>
      </c>
      <c r="J602" s="47">
        <f t="shared" si="18"/>
        <v>0</v>
      </c>
      <c r="K602" s="24">
        <f t="shared" si="19"/>
        <v>-6.25E-2</v>
      </c>
      <c r="L602" s="45"/>
      <c r="M602" s="25"/>
      <c r="N602" s="22"/>
      <c r="O602" s="26"/>
      <c r="P602" s="35"/>
    </row>
    <row r="603" spans="1:16">
      <c r="A603" s="21"/>
      <c r="B603" s="53"/>
      <c r="C603" s="54"/>
      <c r="D603" s="44"/>
      <c r="E603" s="35"/>
      <c r="F603" s="35"/>
      <c r="G603" s="39"/>
      <c r="H603" s="36"/>
      <c r="I603" s="47">
        <v>6.25E-2</v>
      </c>
      <c r="J603" s="47">
        <f t="shared" si="18"/>
        <v>0</v>
      </c>
      <c r="K603" s="24">
        <f t="shared" si="19"/>
        <v>-6.25E-2</v>
      </c>
      <c r="L603" s="45"/>
      <c r="M603" s="25"/>
      <c r="N603" s="22"/>
      <c r="O603" s="26"/>
      <c r="P603" s="35"/>
    </row>
    <row r="604" spans="1:16">
      <c r="A604" s="21"/>
      <c r="B604" s="53"/>
      <c r="C604" s="54"/>
      <c r="D604" s="44"/>
      <c r="E604" s="35"/>
      <c r="F604" s="35"/>
      <c r="G604" s="39"/>
      <c r="H604" s="36"/>
      <c r="I604" s="47">
        <v>6.25E-2</v>
      </c>
      <c r="J604" s="47">
        <f t="shared" si="18"/>
        <v>0</v>
      </c>
      <c r="K604" s="24">
        <f t="shared" si="19"/>
        <v>-6.25E-2</v>
      </c>
      <c r="L604" s="45"/>
      <c r="M604" s="25"/>
      <c r="N604" s="22"/>
      <c r="O604" s="26"/>
      <c r="P604" s="35"/>
    </row>
    <row r="605" spans="1:16">
      <c r="A605" s="21"/>
      <c r="B605" s="53"/>
      <c r="C605" s="54"/>
      <c r="D605" s="44"/>
      <c r="E605" s="35"/>
      <c r="F605" s="35"/>
      <c r="G605" s="39"/>
      <c r="H605" s="36"/>
      <c r="I605" s="47">
        <v>6.25E-2</v>
      </c>
      <c r="J605" s="47">
        <f t="shared" si="18"/>
        <v>0</v>
      </c>
      <c r="K605" s="24">
        <f t="shared" si="19"/>
        <v>-6.25E-2</v>
      </c>
      <c r="L605" s="45"/>
      <c r="M605" s="25"/>
      <c r="N605" s="22"/>
      <c r="O605" s="26"/>
      <c r="P605" s="35"/>
    </row>
    <row r="606" spans="1:16">
      <c r="A606" s="21"/>
      <c r="B606" s="53"/>
      <c r="C606" s="54"/>
      <c r="D606" s="44"/>
      <c r="E606" s="35"/>
      <c r="F606" s="35"/>
      <c r="G606" s="39"/>
      <c r="H606" s="36"/>
      <c r="I606" s="47">
        <v>6.25E-2</v>
      </c>
      <c r="J606" s="47">
        <f t="shared" si="18"/>
        <v>0</v>
      </c>
      <c r="K606" s="24">
        <f t="shared" si="19"/>
        <v>-6.25E-2</v>
      </c>
      <c r="L606" s="45"/>
      <c r="M606" s="25"/>
      <c r="N606" s="22"/>
      <c r="O606" s="26"/>
      <c r="P606" s="35"/>
    </row>
    <row r="607" spans="1:16">
      <c r="A607" s="21"/>
      <c r="B607" s="53"/>
      <c r="C607" s="54"/>
      <c r="D607" s="44"/>
      <c r="E607" s="35"/>
      <c r="F607" s="35"/>
      <c r="G607" s="39"/>
      <c r="H607" s="36"/>
      <c r="I607" s="47">
        <v>6.25E-2</v>
      </c>
      <c r="J607" s="47">
        <f t="shared" si="18"/>
        <v>0</v>
      </c>
      <c r="K607" s="24">
        <f t="shared" si="19"/>
        <v>-6.25E-2</v>
      </c>
      <c r="L607" s="45"/>
      <c r="M607" s="25"/>
      <c r="N607" s="22"/>
      <c r="O607" s="26"/>
      <c r="P607" s="35"/>
    </row>
    <row r="608" spans="1:16">
      <c r="A608" s="21"/>
      <c r="B608" s="53"/>
      <c r="C608" s="54"/>
      <c r="D608" s="44"/>
      <c r="E608" s="35"/>
      <c r="F608" s="35"/>
      <c r="G608" s="39"/>
      <c r="H608" s="36"/>
      <c r="I608" s="47">
        <v>6.25E-2</v>
      </c>
      <c r="J608" s="47">
        <f t="shared" si="18"/>
        <v>0</v>
      </c>
      <c r="K608" s="24">
        <f t="shared" si="19"/>
        <v>-6.25E-2</v>
      </c>
      <c r="L608" s="45"/>
      <c r="M608" s="25"/>
      <c r="N608" s="22"/>
      <c r="O608" s="26"/>
      <c r="P608" s="35"/>
    </row>
    <row r="609" spans="1:16">
      <c r="A609" s="21"/>
      <c r="B609" s="53"/>
      <c r="C609" s="54"/>
      <c r="D609" s="44"/>
      <c r="E609" s="35"/>
      <c r="F609" s="35"/>
      <c r="G609" s="39"/>
      <c r="H609" s="36"/>
      <c r="I609" s="47">
        <v>6.25E-2</v>
      </c>
      <c r="J609" s="47">
        <f t="shared" si="18"/>
        <v>0</v>
      </c>
      <c r="K609" s="24">
        <f t="shared" si="19"/>
        <v>-6.25E-2</v>
      </c>
      <c r="L609" s="45"/>
      <c r="M609" s="25"/>
      <c r="N609" s="22"/>
      <c r="O609" s="26"/>
      <c r="P609" s="35"/>
    </row>
    <row r="610" spans="1:16">
      <c r="A610" s="21"/>
      <c r="B610" s="53"/>
      <c r="C610" s="54"/>
      <c r="D610" s="44"/>
      <c r="E610" s="35"/>
      <c r="F610" s="35"/>
      <c r="G610" s="39"/>
      <c r="H610" s="36"/>
      <c r="I610" s="47">
        <v>6.25E-2</v>
      </c>
      <c r="J610" s="47">
        <f t="shared" si="18"/>
        <v>0</v>
      </c>
      <c r="K610" s="24">
        <f t="shared" si="19"/>
        <v>-6.25E-2</v>
      </c>
      <c r="L610" s="45"/>
      <c r="M610" s="25"/>
      <c r="N610" s="22"/>
      <c r="O610" s="26"/>
      <c r="P610" s="35"/>
    </row>
    <row r="611" spans="1:16">
      <c r="A611" s="21"/>
      <c r="B611" s="53"/>
      <c r="C611" s="54"/>
      <c r="D611" s="44"/>
      <c r="E611" s="35"/>
      <c r="F611" s="35"/>
      <c r="G611" s="39"/>
      <c r="H611" s="36"/>
      <c r="I611" s="47">
        <v>6.25E-2</v>
      </c>
      <c r="J611" s="47">
        <f t="shared" si="18"/>
        <v>0</v>
      </c>
      <c r="K611" s="24">
        <f t="shared" si="19"/>
        <v>-6.25E-2</v>
      </c>
      <c r="L611" s="45"/>
      <c r="M611" s="25"/>
      <c r="N611" s="22"/>
      <c r="O611" s="26"/>
      <c r="P611" s="35"/>
    </row>
    <row r="612" spans="1:16">
      <c r="A612" s="21"/>
      <c r="B612" s="53"/>
      <c r="C612" s="54"/>
      <c r="D612" s="44"/>
      <c r="E612" s="35"/>
      <c r="F612" s="35"/>
      <c r="G612" s="39"/>
      <c r="H612" s="36"/>
      <c r="I612" s="47">
        <v>6.25E-2</v>
      </c>
      <c r="J612" s="47">
        <f t="shared" si="18"/>
        <v>0</v>
      </c>
      <c r="K612" s="24">
        <f t="shared" si="19"/>
        <v>-6.25E-2</v>
      </c>
      <c r="L612" s="45"/>
      <c r="M612" s="25"/>
      <c r="N612" s="22"/>
      <c r="O612" s="26"/>
      <c r="P612" s="35"/>
    </row>
    <row r="613" spans="1:16">
      <c r="A613" s="21"/>
      <c r="B613" s="53"/>
      <c r="C613" s="54"/>
      <c r="D613" s="44"/>
      <c r="E613" s="35"/>
      <c r="F613" s="35"/>
      <c r="G613" s="39"/>
      <c r="H613" s="36"/>
      <c r="I613" s="47">
        <v>6.25E-2</v>
      </c>
      <c r="J613" s="47">
        <f t="shared" si="18"/>
        <v>0</v>
      </c>
      <c r="K613" s="24">
        <f t="shared" si="19"/>
        <v>-6.25E-2</v>
      </c>
      <c r="L613" s="45"/>
      <c r="M613" s="25"/>
      <c r="N613" s="22"/>
      <c r="O613" s="26"/>
      <c r="P613" s="35"/>
    </row>
    <row r="614" spans="1:16">
      <c r="A614" s="21"/>
      <c r="B614" s="53"/>
      <c r="C614" s="54"/>
      <c r="D614" s="44"/>
      <c r="E614" s="35"/>
      <c r="F614" s="35"/>
      <c r="G614" s="39"/>
      <c r="H614" s="36"/>
      <c r="I614" s="47">
        <v>6.25E-2</v>
      </c>
      <c r="J614" s="47">
        <f t="shared" si="18"/>
        <v>0</v>
      </c>
      <c r="K614" s="24">
        <f t="shared" si="19"/>
        <v>-6.25E-2</v>
      </c>
      <c r="L614" s="45"/>
      <c r="M614" s="25"/>
      <c r="N614" s="22"/>
      <c r="O614" s="26"/>
      <c r="P614" s="35"/>
    </row>
    <row r="615" spans="1:16">
      <c r="A615" s="21"/>
      <c r="B615" s="53"/>
      <c r="C615" s="54"/>
      <c r="D615" s="44"/>
      <c r="E615" s="35"/>
      <c r="F615" s="35"/>
      <c r="G615" s="39"/>
      <c r="H615" s="36"/>
      <c r="I615" s="47">
        <v>6.25E-2</v>
      </c>
      <c r="J615" s="47">
        <f t="shared" si="18"/>
        <v>0</v>
      </c>
      <c r="K615" s="24">
        <f t="shared" si="19"/>
        <v>-6.25E-2</v>
      </c>
      <c r="L615" s="45"/>
      <c r="M615" s="25"/>
      <c r="N615" s="22"/>
      <c r="O615" s="26"/>
      <c r="P615" s="35"/>
    </row>
    <row r="616" spans="1:16">
      <c r="A616" s="21"/>
      <c r="B616" s="53"/>
      <c r="C616" s="54"/>
      <c r="D616" s="44"/>
      <c r="E616" s="35"/>
      <c r="F616" s="35"/>
      <c r="G616" s="39"/>
      <c r="H616" s="36"/>
      <c r="I616" s="47">
        <v>6.25E-2</v>
      </c>
      <c r="J616" s="47">
        <f t="shared" si="18"/>
        <v>0</v>
      </c>
      <c r="K616" s="24">
        <f t="shared" si="19"/>
        <v>-6.25E-2</v>
      </c>
      <c r="L616" s="45"/>
      <c r="M616" s="25"/>
      <c r="N616" s="22"/>
      <c r="O616" s="26"/>
      <c r="P616" s="35"/>
    </row>
    <row r="617" spans="1:16">
      <c r="A617" s="21"/>
      <c r="B617" s="53"/>
      <c r="C617" s="54"/>
      <c r="D617" s="44"/>
      <c r="E617" s="35"/>
      <c r="F617" s="35"/>
      <c r="G617" s="39"/>
      <c r="H617" s="36"/>
      <c r="I617" s="47">
        <v>6.25E-2</v>
      </c>
      <c r="J617" s="47">
        <f t="shared" si="18"/>
        <v>0</v>
      </c>
      <c r="K617" s="24">
        <f t="shared" si="19"/>
        <v>-6.25E-2</v>
      </c>
      <c r="L617" s="45"/>
      <c r="M617" s="25"/>
      <c r="N617" s="22"/>
      <c r="O617" s="26"/>
      <c r="P617" s="35"/>
    </row>
    <row r="618" spans="1:16">
      <c r="A618" s="21"/>
      <c r="B618" s="53"/>
      <c r="C618" s="54"/>
      <c r="D618" s="44"/>
      <c r="E618" s="35"/>
      <c r="F618" s="35"/>
      <c r="G618" s="39"/>
      <c r="H618" s="36"/>
      <c r="I618" s="47">
        <v>6.25E-2</v>
      </c>
      <c r="J618" s="47">
        <f t="shared" si="18"/>
        <v>0</v>
      </c>
      <c r="K618" s="24">
        <f t="shared" si="19"/>
        <v>-6.25E-2</v>
      </c>
      <c r="L618" s="45"/>
      <c r="M618" s="25"/>
      <c r="N618" s="22"/>
      <c r="O618" s="26"/>
      <c r="P618" s="35"/>
    </row>
    <row r="619" spans="1:16">
      <c r="A619" s="21"/>
      <c r="B619" s="53"/>
      <c r="C619" s="54"/>
      <c r="D619" s="44"/>
      <c r="E619" s="35"/>
      <c r="F619" s="35"/>
      <c r="G619" s="39"/>
      <c r="H619" s="36"/>
      <c r="I619" s="47">
        <v>6.25E-2</v>
      </c>
      <c r="J619" s="47">
        <f t="shared" si="18"/>
        <v>0</v>
      </c>
      <c r="K619" s="24">
        <f t="shared" si="19"/>
        <v>-6.25E-2</v>
      </c>
      <c r="L619" s="45"/>
      <c r="M619" s="25"/>
      <c r="N619" s="22"/>
      <c r="O619" s="26"/>
      <c r="P619" s="35"/>
    </row>
    <row r="620" spans="1:16">
      <c r="A620" s="21"/>
      <c r="B620" s="53"/>
      <c r="C620" s="54"/>
      <c r="D620" s="44"/>
      <c r="E620" s="35"/>
      <c r="F620" s="35"/>
      <c r="G620" s="39"/>
      <c r="H620" s="36"/>
      <c r="I620" s="47">
        <v>6.25E-2</v>
      </c>
      <c r="J620" s="47">
        <f t="shared" si="18"/>
        <v>0</v>
      </c>
      <c r="K620" s="24">
        <f t="shared" si="19"/>
        <v>-6.25E-2</v>
      </c>
      <c r="L620" s="45"/>
      <c r="M620" s="25"/>
      <c r="N620" s="22"/>
      <c r="O620" s="26"/>
      <c r="P620" s="35"/>
    </row>
    <row r="621" spans="1:16">
      <c r="A621" s="21"/>
      <c r="B621" s="53"/>
      <c r="C621" s="54"/>
      <c r="D621" s="44"/>
      <c r="E621" s="35"/>
      <c r="F621" s="35"/>
      <c r="G621" s="39"/>
      <c r="H621" s="36"/>
      <c r="I621" s="47">
        <v>6.25E-2</v>
      </c>
      <c r="J621" s="47">
        <f t="shared" si="18"/>
        <v>0</v>
      </c>
      <c r="K621" s="24">
        <f t="shared" si="19"/>
        <v>-6.25E-2</v>
      </c>
      <c r="L621" s="33"/>
      <c r="M621" s="19"/>
      <c r="N621" s="22"/>
      <c r="O621" s="26"/>
      <c r="P621" s="35"/>
    </row>
    <row r="622" spans="1:16">
      <c r="A622" s="21"/>
      <c r="B622" s="53"/>
      <c r="C622" s="54"/>
      <c r="D622" s="44"/>
      <c r="E622" s="35"/>
      <c r="F622" s="35"/>
      <c r="G622" s="39"/>
      <c r="H622" s="36"/>
      <c r="I622" s="47">
        <v>6.25E-2</v>
      </c>
      <c r="J622" s="47">
        <f t="shared" si="18"/>
        <v>0</v>
      </c>
      <c r="K622" s="24">
        <f t="shared" si="19"/>
        <v>-6.25E-2</v>
      </c>
      <c r="L622" s="45"/>
      <c r="M622" s="25"/>
      <c r="N622" s="22"/>
      <c r="O622" s="26"/>
      <c r="P622" s="35"/>
    </row>
    <row r="623" spans="1:16">
      <c r="A623" s="21"/>
      <c r="B623" s="53"/>
      <c r="C623" s="54"/>
      <c r="D623" s="44"/>
      <c r="E623" s="35"/>
      <c r="F623" s="35"/>
      <c r="G623" s="39"/>
      <c r="H623" s="36"/>
      <c r="I623" s="47">
        <v>6.25E-2</v>
      </c>
      <c r="J623" s="47">
        <f t="shared" si="18"/>
        <v>0</v>
      </c>
      <c r="K623" s="24">
        <f t="shared" si="19"/>
        <v>-6.25E-2</v>
      </c>
      <c r="L623" s="45"/>
      <c r="M623" s="25"/>
      <c r="N623" s="22"/>
      <c r="O623" s="26"/>
      <c r="P623" s="35"/>
    </row>
    <row r="624" spans="1:16">
      <c r="A624" s="21"/>
      <c r="B624" s="53"/>
      <c r="C624" s="54"/>
      <c r="D624" s="44"/>
      <c r="E624" s="35"/>
      <c r="F624" s="35"/>
      <c r="G624" s="39"/>
      <c r="H624" s="36"/>
      <c r="I624" s="47">
        <v>6.25E-2</v>
      </c>
      <c r="J624" s="47">
        <f t="shared" si="18"/>
        <v>0</v>
      </c>
      <c r="K624" s="24">
        <f t="shared" si="19"/>
        <v>-6.25E-2</v>
      </c>
      <c r="L624" s="45"/>
      <c r="M624" s="25"/>
      <c r="N624" s="22"/>
      <c r="O624" s="26"/>
      <c r="P624" s="35"/>
    </row>
    <row r="625" spans="1:16">
      <c r="A625" s="21"/>
      <c r="B625" s="53"/>
      <c r="C625" s="54"/>
      <c r="D625" s="44"/>
      <c r="E625" s="35"/>
      <c r="F625" s="35"/>
      <c r="G625" s="39"/>
      <c r="H625" s="36"/>
      <c r="I625" s="47">
        <v>6.25E-2</v>
      </c>
      <c r="J625" s="47">
        <f t="shared" si="18"/>
        <v>0</v>
      </c>
      <c r="K625" s="24">
        <f t="shared" si="19"/>
        <v>-6.25E-2</v>
      </c>
      <c r="L625" s="45"/>
      <c r="M625" s="25"/>
      <c r="N625" s="22"/>
      <c r="O625" s="26"/>
      <c r="P625" s="35"/>
    </row>
    <row r="626" spans="1:16">
      <c r="A626" s="21"/>
      <c r="B626" s="53"/>
      <c r="C626" s="54"/>
      <c r="D626" s="44"/>
      <c r="E626" s="35"/>
      <c r="F626" s="35"/>
      <c r="G626" s="39"/>
      <c r="H626" s="36"/>
      <c r="I626" s="47">
        <v>6.25E-2</v>
      </c>
      <c r="J626" s="47">
        <f t="shared" si="18"/>
        <v>0</v>
      </c>
      <c r="K626" s="24">
        <f t="shared" si="19"/>
        <v>-6.25E-2</v>
      </c>
      <c r="L626" s="45"/>
      <c r="M626" s="25"/>
      <c r="N626" s="22"/>
      <c r="O626" s="26"/>
      <c r="P626" s="35"/>
    </row>
    <row r="627" spans="1:16">
      <c r="A627" s="21"/>
      <c r="B627" s="53"/>
      <c r="C627" s="54"/>
      <c r="D627" s="44"/>
      <c r="E627" s="35"/>
      <c r="F627" s="35"/>
      <c r="G627" s="39"/>
      <c r="H627" s="36"/>
      <c r="I627" s="47">
        <v>6.25E-2</v>
      </c>
      <c r="J627" s="47">
        <f t="shared" si="18"/>
        <v>0</v>
      </c>
      <c r="K627" s="24">
        <f t="shared" si="19"/>
        <v>-6.25E-2</v>
      </c>
      <c r="L627" s="45"/>
      <c r="M627" s="25"/>
      <c r="N627" s="22"/>
      <c r="O627" s="26"/>
      <c r="P627" s="35"/>
    </row>
    <row r="628" spans="1:16">
      <c r="A628" s="21"/>
      <c r="B628" s="53"/>
      <c r="C628" s="54"/>
      <c r="D628" s="44"/>
      <c r="E628" s="35"/>
      <c r="F628" s="35"/>
      <c r="G628" s="39"/>
      <c r="H628" s="36"/>
      <c r="I628" s="47">
        <v>6.25E-2</v>
      </c>
      <c r="J628" s="47">
        <f t="shared" si="18"/>
        <v>0</v>
      </c>
      <c r="K628" s="24">
        <f t="shared" si="19"/>
        <v>-6.25E-2</v>
      </c>
      <c r="L628" s="45"/>
      <c r="M628" s="25"/>
      <c r="N628" s="22"/>
      <c r="O628" s="26"/>
      <c r="P628" s="35"/>
    </row>
    <row r="629" spans="1:16">
      <c r="A629" s="21"/>
      <c r="B629" s="53"/>
      <c r="C629" s="54"/>
      <c r="D629" s="44"/>
      <c r="E629" s="35"/>
      <c r="F629" s="35"/>
      <c r="G629" s="39"/>
      <c r="H629" s="36"/>
      <c r="I629" s="47">
        <v>6.25E-2</v>
      </c>
      <c r="J629" s="47">
        <f t="shared" si="18"/>
        <v>0</v>
      </c>
      <c r="K629" s="24">
        <f t="shared" si="19"/>
        <v>-6.25E-2</v>
      </c>
      <c r="L629" s="45"/>
      <c r="M629" s="25"/>
      <c r="N629" s="22"/>
      <c r="O629" s="26"/>
      <c r="P629" s="35"/>
    </row>
    <row r="630" spans="1:16">
      <c r="A630" s="21"/>
      <c r="B630" s="53"/>
      <c r="C630" s="54"/>
      <c r="D630" s="44"/>
      <c r="E630" s="35"/>
      <c r="F630" s="35"/>
      <c r="G630" s="39"/>
      <c r="H630" s="36"/>
      <c r="I630" s="47">
        <v>6.25E-2</v>
      </c>
      <c r="J630" s="47">
        <f t="shared" si="18"/>
        <v>0</v>
      </c>
      <c r="K630" s="24">
        <f t="shared" si="19"/>
        <v>-6.25E-2</v>
      </c>
      <c r="L630" s="45"/>
      <c r="M630" s="25"/>
      <c r="N630" s="22"/>
      <c r="O630" s="26"/>
      <c r="P630" s="35"/>
    </row>
    <row r="631" spans="1:16">
      <c r="A631" s="21"/>
      <c r="B631" s="53"/>
      <c r="C631" s="54"/>
      <c r="D631" s="44"/>
      <c r="E631" s="35"/>
      <c r="F631" s="35"/>
      <c r="G631" s="39"/>
      <c r="H631" s="36"/>
      <c r="I631" s="47">
        <v>6.25E-2</v>
      </c>
      <c r="J631" s="47">
        <f t="shared" si="18"/>
        <v>0</v>
      </c>
      <c r="K631" s="24">
        <f t="shared" si="19"/>
        <v>-6.25E-2</v>
      </c>
      <c r="L631" s="45"/>
      <c r="M631" s="25"/>
      <c r="N631" s="22"/>
      <c r="O631" s="26"/>
      <c r="P631" s="35"/>
    </row>
    <row r="632" spans="1:16">
      <c r="A632" s="21"/>
      <c r="B632" s="53"/>
      <c r="C632" s="54"/>
      <c r="D632" s="44"/>
      <c r="E632" s="35"/>
      <c r="F632" s="35"/>
      <c r="G632" s="39"/>
      <c r="H632" s="36"/>
      <c r="I632" s="47">
        <v>6.25E-2</v>
      </c>
      <c r="J632" s="47">
        <f t="shared" si="18"/>
        <v>0</v>
      </c>
      <c r="K632" s="24">
        <f t="shared" si="19"/>
        <v>-6.25E-2</v>
      </c>
      <c r="L632" s="45"/>
      <c r="M632" s="25"/>
      <c r="N632" s="22"/>
      <c r="O632" s="26"/>
      <c r="P632" s="35"/>
    </row>
    <row r="633" spans="1:16">
      <c r="A633" s="21"/>
      <c r="B633" s="53"/>
      <c r="C633" s="54"/>
      <c r="D633" s="44"/>
      <c r="E633" s="35"/>
      <c r="F633" s="35"/>
      <c r="G633" s="39"/>
      <c r="H633" s="36"/>
      <c r="I633" s="47">
        <v>6.25E-2</v>
      </c>
      <c r="J633" s="47">
        <f t="shared" si="18"/>
        <v>0</v>
      </c>
      <c r="K633" s="24">
        <f t="shared" si="19"/>
        <v>-6.25E-2</v>
      </c>
      <c r="L633" s="45"/>
      <c r="M633" s="25"/>
      <c r="N633" s="22"/>
      <c r="O633" s="26"/>
      <c r="P633" s="35"/>
    </row>
    <row r="634" spans="1:16">
      <c r="A634" s="21"/>
      <c r="B634" s="53"/>
      <c r="C634" s="54"/>
      <c r="D634" s="44"/>
      <c r="E634" s="35"/>
      <c r="F634" s="35"/>
      <c r="G634" s="39"/>
      <c r="H634" s="36"/>
      <c r="I634" s="47">
        <v>6.25E-2</v>
      </c>
      <c r="J634" s="47">
        <f t="shared" si="18"/>
        <v>0</v>
      </c>
      <c r="K634" s="24">
        <f t="shared" si="19"/>
        <v>-6.25E-2</v>
      </c>
      <c r="L634" s="33"/>
      <c r="M634" s="19"/>
      <c r="N634" s="22"/>
      <c r="O634" s="26"/>
      <c r="P634" s="35"/>
    </row>
    <row r="635" spans="1:16">
      <c r="A635" s="21"/>
      <c r="B635" s="53"/>
      <c r="C635" s="54"/>
      <c r="D635" s="44"/>
      <c r="E635" s="35"/>
      <c r="F635" s="35"/>
      <c r="G635" s="39"/>
      <c r="H635" s="36"/>
      <c r="I635" s="47">
        <v>6.25E-2</v>
      </c>
      <c r="J635" s="47">
        <f t="shared" si="18"/>
        <v>0</v>
      </c>
      <c r="K635" s="24">
        <f t="shared" si="19"/>
        <v>-6.25E-2</v>
      </c>
      <c r="L635" s="45"/>
      <c r="M635" s="25"/>
      <c r="N635" s="22"/>
      <c r="O635" s="26"/>
      <c r="P635" s="35"/>
    </row>
    <row r="636" spans="1:16">
      <c r="A636" s="21"/>
      <c r="B636" s="53"/>
      <c r="C636" s="54"/>
      <c r="D636" s="44"/>
      <c r="E636" s="35"/>
      <c r="F636" s="35"/>
      <c r="G636" s="39"/>
      <c r="H636" s="36"/>
      <c r="I636" s="47">
        <v>6.25E-2</v>
      </c>
      <c r="J636" s="47">
        <f t="shared" si="18"/>
        <v>0</v>
      </c>
      <c r="K636" s="24">
        <f t="shared" si="19"/>
        <v>-6.25E-2</v>
      </c>
      <c r="L636" s="33"/>
      <c r="M636" s="19"/>
      <c r="N636" s="22"/>
      <c r="O636" s="26"/>
      <c r="P636" s="35"/>
    </row>
    <row r="637" spans="1:16">
      <c r="A637" s="21"/>
      <c r="B637" s="53"/>
      <c r="C637" s="54"/>
      <c r="D637" s="44"/>
      <c r="E637" s="35"/>
      <c r="F637" s="35"/>
      <c r="G637" s="39"/>
      <c r="H637" s="36"/>
      <c r="I637" s="47">
        <v>6.25E-2</v>
      </c>
      <c r="J637" s="47">
        <f t="shared" si="18"/>
        <v>0</v>
      </c>
      <c r="K637" s="24">
        <f t="shared" si="19"/>
        <v>-6.25E-2</v>
      </c>
      <c r="L637" s="45"/>
      <c r="M637" s="25"/>
      <c r="N637" s="22"/>
      <c r="O637" s="26"/>
      <c r="P637" s="35"/>
    </row>
    <row r="638" spans="1:16">
      <c r="A638" s="21"/>
      <c r="B638" s="53"/>
      <c r="C638" s="54"/>
      <c r="D638" s="44"/>
      <c r="E638" s="35"/>
      <c r="F638" s="35"/>
      <c r="G638" s="39"/>
      <c r="H638" s="36"/>
      <c r="I638" s="47">
        <v>6.25E-2</v>
      </c>
      <c r="J638" s="47">
        <f t="shared" si="18"/>
        <v>0</v>
      </c>
      <c r="K638" s="24">
        <f t="shared" si="19"/>
        <v>-6.25E-2</v>
      </c>
      <c r="L638" s="45"/>
      <c r="M638" s="25"/>
      <c r="N638" s="22"/>
      <c r="O638" s="26"/>
      <c r="P638" s="35"/>
    </row>
    <row r="639" spans="1:16">
      <c r="A639" s="21"/>
      <c r="B639" s="53"/>
      <c r="C639" s="54"/>
      <c r="D639" s="44"/>
      <c r="E639" s="35"/>
      <c r="F639" s="35"/>
      <c r="G639" s="39"/>
      <c r="H639" s="36"/>
      <c r="I639" s="47">
        <v>6.25E-2</v>
      </c>
      <c r="J639" s="47">
        <f t="shared" si="18"/>
        <v>0</v>
      </c>
      <c r="K639" s="24">
        <f t="shared" si="19"/>
        <v>-6.25E-2</v>
      </c>
      <c r="L639" s="45"/>
      <c r="M639" s="25"/>
      <c r="N639" s="22"/>
      <c r="O639" s="26"/>
      <c r="P639" s="35"/>
    </row>
    <row r="640" spans="1:16">
      <c r="A640" s="21"/>
      <c r="B640" s="53"/>
      <c r="C640" s="54"/>
      <c r="D640" s="44"/>
      <c r="E640" s="35"/>
      <c r="F640" s="35"/>
      <c r="G640" s="39"/>
      <c r="H640" s="36"/>
      <c r="I640" s="47">
        <v>6.25E-2</v>
      </c>
      <c r="J640" s="47">
        <f t="shared" si="18"/>
        <v>0</v>
      </c>
      <c r="K640" s="24">
        <f t="shared" si="19"/>
        <v>-6.25E-2</v>
      </c>
      <c r="L640" s="45"/>
      <c r="M640" s="25"/>
      <c r="N640" s="22"/>
      <c r="O640" s="26"/>
      <c r="P640" s="35"/>
    </row>
    <row r="641" spans="1:16">
      <c r="A641" s="21"/>
      <c r="B641" s="53"/>
      <c r="C641" s="54"/>
      <c r="D641" s="44"/>
      <c r="E641" s="35"/>
      <c r="F641" s="35"/>
      <c r="G641" s="39"/>
      <c r="H641" s="36"/>
      <c r="I641" s="47">
        <v>6.25E-2</v>
      </c>
      <c r="J641" s="47">
        <f t="shared" si="18"/>
        <v>0</v>
      </c>
      <c r="K641" s="24">
        <f t="shared" si="19"/>
        <v>-6.25E-2</v>
      </c>
      <c r="L641" s="45"/>
      <c r="M641" s="25"/>
      <c r="N641" s="22"/>
      <c r="O641" s="26"/>
      <c r="P641" s="35"/>
    </row>
    <row r="642" spans="1:16">
      <c r="A642" s="21"/>
      <c r="B642" s="53"/>
      <c r="C642" s="54"/>
      <c r="D642" s="44"/>
      <c r="E642" s="35"/>
      <c r="F642" s="35"/>
      <c r="G642" s="39"/>
      <c r="H642" s="36"/>
      <c r="I642" s="47">
        <v>6.25E-2</v>
      </c>
      <c r="J642" s="47">
        <f t="shared" si="18"/>
        <v>0</v>
      </c>
      <c r="K642" s="24">
        <f t="shared" ref="K642:K646" si="20">J642-I642</f>
        <v>-6.25E-2</v>
      </c>
      <c r="L642" s="45"/>
      <c r="M642" s="25"/>
      <c r="N642" s="22"/>
      <c r="O642" s="26"/>
      <c r="P642" s="35"/>
    </row>
    <row r="643" spans="1:16">
      <c r="A643" s="21"/>
      <c r="B643" s="53"/>
      <c r="C643" s="54"/>
      <c r="D643" s="44"/>
      <c r="E643" s="35"/>
      <c r="F643" s="35"/>
      <c r="G643" s="39"/>
      <c r="H643" s="36"/>
      <c r="I643" s="47">
        <v>6.25E-2</v>
      </c>
      <c r="J643" s="47">
        <f t="shared" si="18"/>
        <v>0</v>
      </c>
      <c r="K643" s="24">
        <f t="shared" si="20"/>
        <v>-6.25E-2</v>
      </c>
      <c r="L643" s="45"/>
      <c r="M643" s="25"/>
      <c r="N643" s="22"/>
      <c r="O643" s="26"/>
      <c r="P643" s="35"/>
    </row>
    <row r="644" spans="1:16">
      <c r="A644" s="21"/>
      <c r="B644" s="53"/>
      <c r="C644" s="54"/>
      <c r="D644" s="44"/>
      <c r="E644" s="35"/>
      <c r="F644" s="35"/>
      <c r="G644" s="39"/>
      <c r="H644" s="36"/>
      <c r="I644" s="47">
        <v>6.25E-2</v>
      </c>
      <c r="J644" s="47">
        <f t="shared" si="18"/>
        <v>0</v>
      </c>
      <c r="K644" s="24">
        <f t="shared" si="20"/>
        <v>-6.25E-2</v>
      </c>
      <c r="L644" s="45"/>
      <c r="M644" s="25"/>
      <c r="N644" s="22"/>
      <c r="O644" s="26"/>
      <c r="P644" s="35"/>
    </row>
    <row r="645" spans="1:16">
      <c r="A645" s="21"/>
      <c r="B645" s="53"/>
      <c r="C645" s="54"/>
      <c r="D645" s="44"/>
      <c r="E645" s="35"/>
      <c r="F645" s="35"/>
      <c r="G645" s="39"/>
      <c r="H645" s="36"/>
      <c r="I645" s="47">
        <v>6.25E-2</v>
      </c>
      <c r="J645" s="47">
        <f t="shared" si="18"/>
        <v>0</v>
      </c>
      <c r="K645" s="24">
        <f t="shared" si="20"/>
        <v>-6.25E-2</v>
      </c>
      <c r="L645" s="33"/>
      <c r="M645" s="19"/>
      <c r="N645" s="22"/>
      <c r="O645" s="26"/>
      <c r="P645" s="35"/>
    </row>
    <row r="646" spans="1:16">
      <c r="A646" s="21"/>
      <c r="B646" s="53"/>
      <c r="C646" s="54"/>
      <c r="D646" s="44"/>
      <c r="E646" s="35"/>
      <c r="F646" s="35"/>
      <c r="G646" s="39"/>
      <c r="H646" s="36"/>
      <c r="I646" s="47">
        <v>6.25E-2</v>
      </c>
      <c r="J646" s="47">
        <f t="shared" si="18"/>
        <v>0</v>
      </c>
      <c r="K646" s="24">
        <f t="shared" si="20"/>
        <v>-6.25E-2</v>
      </c>
      <c r="L646" s="33"/>
      <c r="M646" s="19"/>
      <c r="N646" s="22"/>
      <c r="O646" s="26"/>
      <c r="P646" s="35"/>
    </row>
  </sheetData>
  <autoFilter ref="A1:Q646" xr:uid="{6756428B-F7D2-46CD-86F5-3204BDB9490C}"/>
  <phoneticPr fontId="1" type="noConversion"/>
  <conditionalFormatting sqref="C1:C1048576">
    <cfRule type="duplicateValues" dxfId="1" priority="1"/>
  </conditionalFormatting>
  <conditionalFormatting sqref="N2:O646">
    <cfRule type="cellIs" dxfId="0" priority="3" operator="equal">
      <formula>"N"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C1EC-7C5F-4FF7-9925-4EA63DF2C6BE}">
  <sheetPr>
    <tabColor rgb="FFFFC000"/>
  </sheetPr>
  <dimension ref="A1:GI1019"/>
  <sheetViews>
    <sheetView tabSelected="1" workbookViewId="0">
      <pane xSplit="4" ySplit="2" topLeftCell="FP258" activePane="bottomRight" state="frozen"/>
      <selection pane="topRight" activeCell="E1" sqref="E1"/>
      <selection pane="bottomLeft" activeCell="A3" sqref="A3"/>
      <selection pane="bottomRight" activeCell="GA3" sqref="GA3:GF295"/>
    </sheetView>
  </sheetViews>
  <sheetFormatPr defaultColWidth="8.7109375" defaultRowHeight="13.5"/>
  <cols>
    <col min="1" max="1" width="21.140625" customWidth="1"/>
    <col min="5" max="5" width="21.42578125" customWidth="1"/>
    <col min="56" max="56" width="21.42578125" customWidth="1"/>
    <col min="57" max="57" width="22.140625" style="66" customWidth="1"/>
    <col min="90" max="90" width="11.140625" customWidth="1"/>
    <col min="134" max="134" width="27.85546875" customWidth="1"/>
    <col min="183" max="183" width="16.5703125" bestFit="1" customWidth="1"/>
    <col min="184" max="184" width="10.42578125" customWidth="1"/>
    <col min="187" max="187" width="19.5703125" bestFit="1" customWidth="1"/>
    <col min="188" max="188" width="17" customWidth="1"/>
    <col min="191" max="191" width="19.5703125" style="59" bestFit="1" customWidth="1"/>
  </cols>
  <sheetData>
    <row r="1" spans="1:191">
      <c r="A1">
        <v>5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 s="66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</row>
    <row r="2" spans="1:191" ht="15" customHeight="1">
      <c r="A2" t="s">
        <v>1805</v>
      </c>
      <c r="B2" t="s">
        <v>1891</v>
      </c>
      <c r="C2" t="s">
        <v>1892</v>
      </c>
      <c r="D2" t="s">
        <v>1893</v>
      </c>
      <c r="E2" t="s">
        <v>1805</v>
      </c>
      <c r="F2" t="s">
        <v>1894</v>
      </c>
      <c r="G2" t="s">
        <v>1895</v>
      </c>
      <c r="H2" t="s">
        <v>1896</v>
      </c>
      <c r="I2" t="s">
        <v>1897</v>
      </c>
      <c r="J2" t="s">
        <v>1898</v>
      </c>
      <c r="K2" t="s">
        <v>1899</v>
      </c>
      <c r="L2" t="s">
        <v>1900</v>
      </c>
      <c r="M2" t="s">
        <v>1807</v>
      </c>
      <c r="N2" t="s">
        <v>1901</v>
      </c>
      <c r="O2" t="s">
        <v>1902</v>
      </c>
      <c r="P2" t="s">
        <v>1903</v>
      </c>
      <c r="Q2" t="s">
        <v>1904</v>
      </c>
      <c r="R2" t="s">
        <v>1905</v>
      </c>
      <c r="S2" t="s">
        <v>1906</v>
      </c>
      <c r="T2" t="s">
        <v>1907</v>
      </c>
      <c r="U2" t="s">
        <v>1908</v>
      </c>
      <c r="V2" t="s">
        <v>1909</v>
      </c>
      <c r="W2" t="s">
        <v>1910</v>
      </c>
      <c r="X2" t="s">
        <v>1911</v>
      </c>
      <c r="Y2" t="s">
        <v>1912</v>
      </c>
      <c r="Z2" t="s">
        <v>1913</v>
      </c>
      <c r="AA2" t="s">
        <v>1914</v>
      </c>
      <c r="AB2" t="s">
        <v>1915</v>
      </c>
      <c r="AC2" t="s">
        <v>1916</v>
      </c>
      <c r="AD2" t="s">
        <v>1917</v>
      </c>
      <c r="AE2" t="s">
        <v>1918</v>
      </c>
      <c r="AF2" t="s">
        <v>1919</v>
      </c>
      <c r="AG2" t="s">
        <v>1920</v>
      </c>
      <c r="AH2" t="s">
        <v>1921</v>
      </c>
      <c r="AI2" t="s">
        <v>1922</v>
      </c>
      <c r="AJ2" t="s">
        <v>1923</v>
      </c>
      <c r="AK2" t="s">
        <v>1924</v>
      </c>
      <c r="AL2" t="s">
        <v>1890</v>
      </c>
      <c r="AM2" t="s">
        <v>1925</v>
      </c>
      <c r="AN2" t="s">
        <v>1926</v>
      </c>
      <c r="AO2" t="s">
        <v>1927</v>
      </c>
      <c r="AP2" t="s">
        <v>1928</v>
      </c>
      <c r="AQ2" t="s">
        <v>1929</v>
      </c>
      <c r="AR2" t="s">
        <v>1930</v>
      </c>
      <c r="AS2" t="s">
        <v>1931</v>
      </c>
      <c r="AT2" t="s">
        <v>1932</v>
      </c>
      <c r="AU2" t="s">
        <v>1933</v>
      </c>
      <c r="AV2" t="s">
        <v>1934</v>
      </c>
      <c r="AW2" t="s">
        <v>1935</v>
      </c>
      <c r="AX2" t="s">
        <v>1936</v>
      </c>
      <c r="AY2" t="s">
        <v>1937</v>
      </c>
      <c r="AZ2" t="s">
        <v>1938</v>
      </c>
      <c r="BA2" t="s">
        <v>1939</v>
      </c>
      <c r="BB2" t="s">
        <v>1940</v>
      </c>
      <c r="BC2" t="s">
        <v>1941</v>
      </c>
      <c r="BD2" t="s">
        <v>1942</v>
      </c>
      <c r="BE2" s="66" t="s">
        <v>1943</v>
      </c>
      <c r="BF2" t="s">
        <v>1944</v>
      </c>
      <c r="BG2" t="s">
        <v>1945</v>
      </c>
      <c r="BH2" t="s">
        <v>1808</v>
      </c>
      <c r="BI2" t="s">
        <v>1946</v>
      </c>
      <c r="BJ2" t="s">
        <v>1947</v>
      </c>
      <c r="BK2" t="s">
        <v>1948</v>
      </c>
      <c r="BL2" t="s">
        <v>1949</v>
      </c>
      <c r="BM2" t="s">
        <v>1950</v>
      </c>
      <c r="BN2" t="s">
        <v>1951</v>
      </c>
      <c r="BO2" t="s">
        <v>1952</v>
      </c>
      <c r="BP2" t="s">
        <v>1953</v>
      </c>
      <c r="BQ2" t="s">
        <v>1954</v>
      </c>
      <c r="BR2" t="s">
        <v>1955</v>
      </c>
      <c r="BS2" t="s">
        <v>1956</v>
      </c>
      <c r="BT2" t="s">
        <v>1957</v>
      </c>
      <c r="BU2" t="s">
        <v>1958</v>
      </c>
      <c r="BV2" t="s">
        <v>1959</v>
      </c>
      <c r="BW2" t="s">
        <v>1960</v>
      </c>
      <c r="BX2" t="s">
        <v>1961</v>
      </c>
      <c r="BY2" t="s">
        <v>1962</v>
      </c>
      <c r="BZ2" t="s">
        <v>1963</v>
      </c>
      <c r="CA2" t="s">
        <v>1964</v>
      </c>
      <c r="CB2" t="s">
        <v>1965</v>
      </c>
      <c r="CC2" t="s">
        <v>1966</v>
      </c>
      <c r="CD2" t="s">
        <v>1967</v>
      </c>
      <c r="CE2" t="s">
        <v>1968</v>
      </c>
      <c r="CF2" t="s">
        <v>1969</v>
      </c>
      <c r="CG2" t="s">
        <v>1970</v>
      </c>
      <c r="CH2" t="s">
        <v>1971</v>
      </c>
      <c r="CI2" t="s">
        <v>1972</v>
      </c>
      <c r="CJ2" t="s">
        <v>1973</v>
      </c>
      <c r="CK2" t="s">
        <v>1974</v>
      </c>
      <c r="CL2" t="s">
        <v>1975</v>
      </c>
      <c r="CM2" t="s">
        <v>1976</v>
      </c>
      <c r="CN2" t="s">
        <v>1977</v>
      </c>
      <c r="CO2" t="s">
        <v>1978</v>
      </c>
      <c r="CP2" t="s">
        <v>1979</v>
      </c>
      <c r="CQ2" t="s">
        <v>1980</v>
      </c>
      <c r="CR2" t="s">
        <v>1981</v>
      </c>
      <c r="CS2" t="s">
        <v>1982</v>
      </c>
      <c r="CT2" t="s">
        <v>1983</v>
      </c>
      <c r="CU2" t="s">
        <v>1984</v>
      </c>
      <c r="CV2" t="s">
        <v>1985</v>
      </c>
      <c r="CW2" t="s">
        <v>1986</v>
      </c>
      <c r="CX2" t="s">
        <v>1987</v>
      </c>
      <c r="CY2" t="s">
        <v>1988</v>
      </c>
      <c r="CZ2" t="s">
        <v>1989</v>
      </c>
      <c r="DA2" t="s">
        <v>1990</v>
      </c>
      <c r="DB2" t="s">
        <v>1991</v>
      </c>
      <c r="DC2" t="s">
        <v>1992</v>
      </c>
      <c r="DD2" t="s">
        <v>1993</v>
      </c>
      <c r="DE2" t="s">
        <v>1994</v>
      </c>
      <c r="DF2" t="s">
        <v>1995</v>
      </c>
      <c r="DG2" t="s">
        <v>1996</v>
      </c>
      <c r="DH2" t="s">
        <v>1997</v>
      </c>
      <c r="DI2" t="s">
        <v>1998</v>
      </c>
      <c r="DJ2" t="s">
        <v>1999</v>
      </c>
      <c r="DK2" t="s">
        <v>2000</v>
      </c>
      <c r="DL2" t="s">
        <v>2001</v>
      </c>
      <c r="DM2" t="s">
        <v>2002</v>
      </c>
      <c r="DN2" t="s">
        <v>2003</v>
      </c>
      <c r="DO2" t="s">
        <v>2004</v>
      </c>
      <c r="DP2" t="s">
        <v>2005</v>
      </c>
      <c r="DQ2" t="s">
        <v>2006</v>
      </c>
      <c r="DR2" t="s">
        <v>2007</v>
      </c>
      <c r="DS2" t="s">
        <v>2008</v>
      </c>
      <c r="DT2" t="s">
        <v>2009</v>
      </c>
      <c r="DU2" t="s">
        <v>2010</v>
      </c>
      <c r="DV2" t="s">
        <v>2011</v>
      </c>
      <c r="DW2" t="s">
        <v>1889</v>
      </c>
      <c r="DX2" t="s">
        <v>2012</v>
      </c>
      <c r="DY2" t="s">
        <v>2013</v>
      </c>
      <c r="DZ2" t="s">
        <v>2014</v>
      </c>
      <c r="EA2" t="s">
        <v>2015</v>
      </c>
      <c r="EB2" t="s">
        <v>2016</v>
      </c>
      <c r="EC2" t="s">
        <v>2017</v>
      </c>
      <c r="ED2" t="s">
        <v>2018</v>
      </c>
      <c r="EE2" t="s">
        <v>2019</v>
      </c>
      <c r="EF2" t="s">
        <v>2020</v>
      </c>
      <c r="EG2" t="s">
        <v>2021</v>
      </c>
      <c r="EH2" t="s">
        <v>2022</v>
      </c>
      <c r="EI2" t="s">
        <v>2023</v>
      </c>
      <c r="EJ2" t="s">
        <v>2024</v>
      </c>
      <c r="EK2" t="s">
        <v>2025</v>
      </c>
      <c r="EL2" t="s">
        <v>2026</v>
      </c>
      <c r="EM2" t="s">
        <v>2027</v>
      </c>
      <c r="EN2" t="s">
        <v>1834</v>
      </c>
      <c r="EO2" t="s">
        <v>1833</v>
      </c>
      <c r="EP2" t="s">
        <v>1832</v>
      </c>
      <c r="EQ2" t="s">
        <v>2028</v>
      </c>
      <c r="ER2" t="s">
        <v>2029</v>
      </c>
      <c r="ES2" t="s">
        <v>2030</v>
      </c>
      <c r="ET2" t="s">
        <v>2031</v>
      </c>
      <c r="EU2" t="s">
        <v>1806</v>
      </c>
      <c r="EV2" t="s">
        <v>2576</v>
      </c>
      <c r="EW2" t="s">
        <v>2032</v>
      </c>
      <c r="EX2" t="s">
        <v>2033</v>
      </c>
      <c r="EY2" t="s">
        <v>1829</v>
      </c>
      <c r="EZ2" t="s">
        <v>1831</v>
      </c>
      <c r="FA2" t="s">
        <v>1830</v>
      </c>
      <c r="FB2" t="s">
        <v>2034</v>
      </c>
      <c r="FC2" t="s">
        <v>2035</v>
      </c>
      <c r="FD2" t="s">
        <v>2036</v>
      </c>
      <c r="FE2" t="s">
        <v>2037</v>
      </c>
      <c r="FF2" t="s">
        <v>1809</v>
      </c>
      <c r="FG2" t="s">
        <v>2038</v>
      </c>
      <c r="FH2" t="s">
        <v>1835</v>
      </c>
      <c r="FI2" t="s">
        <v>1836</v>
      </c>
      <c r="FJ2" t="s">
        <v>2039</v>
      </c>
      <c r="FK2" t="s">
        <v>1837</v>
      </c>
      <c r="FL2" t="s">
        <v>2040</v>
      </c>
      <c r="FM2" t="s">
        <v>2041</v>
      </c>
      <c r="FN2" t="s">
        <v>2042</v>
      </c>
      <c r="FO2" t="s">
        <v>2043</v>
      </c>
      <c r="FP2" t="s">
        <v>2044</v>
      </c>
      <c r="FQ2" t="s">
        <v>2045</v>
      </c>
      <c r="FR2" t="s">
        <v>2046</v>
      </c>
      <c r="FS2" t="s">
        <v>2047</v>
      </c>
      <c r="FT2" t="s">
        <v>1827</v>
      </c>
      <c r="FU2" t="s">
        <v>1828</v>
      </c>
      <c r="GA2" s="57" t="s">
        <v>2514</v>
      </c>
      <c r="GB2" s="57" t="s">
        <v>2174</v>
      </c>
      <c r="GC2" s="57" t="s">
        <v>2173</v>
      </c>
      <c r="GD2" s="58" t="s">
        <v>2180</v>
      </c>
      <c r="GE2" s="58" t="s">
        <v>2179</v>
      </c>
      <c r="GF2" s="58" t="s">
        <v>2172</v>
      </c>
      <c r="GI2" s="60" t="s">
        <v>1943</v>
      </c>
    </row>
    <row r="3" spans="1:191">
      <c r="A3" s="48" t="s">
        <v>2810</v>
      </c>
      <c r="B3" s="48" t="s">
        <v>2811</v>
      </c>
      <c r="C3" s="48" t="s">
        <v>2812</v>
      </c>
      <c r="D3" s="48" t="s">
        <v>2813</v>
      </c>
      <c r="E3" s="48" t="s">
        <v>2810</v>
      </c>
      <c r="F3" s="48" t="s">
        <v>1710</v>
      </c>
      <c r="G3" s="48" t="s">
        <v>2814</v>
      </c>
      <c r="H3" s="48" t="s">
        <v>2815</v>
      </c>
      <c r="I3" s="48" t="s">
        <v>1884</v>
      </c>
      <c r="J3" s="48" t="s">
        <v>2816</v>
      </c>
      <c r="K3" s="48" t="s">
        <v>1877</v>
      </c>
      <c r="L3" s="48" t="s">
        <v>1842</v>
      </c>
      <c r="M3" s="48" t="s">
        <v>1824</v>
      </c>
      <c r="N3" s="48" t="s">
        <v>1842</v>
      </c>
      <c r="O3" s="48" t="s">
        <v>1823</v>
      </c>
      <c r="P3" s="48" t="s">
        <v>2549</v>
      </c>
      <c r="Q3" s="48" t="s">
        <v>2049</v>
      </c>
      <c r="R3" s="48" t="s">
        <v>1838</v>
      </c>
      <c r="S3" s="48" t="s">
        <v>2050</v>
      </c>
      <c r="T3" s="48" t="s">
        <v>1845</v>
      </c>
      <c r="U3" s="48" t="s">
        <v>2049</v>
      </c>
      <c r="V3" s="48" t="s">
        <v>1838</v>
      </c>
      <c r="W3" s="48" t="s">
        <v>2051</v>
      </c>
      <c r="X3" s="48" t="s">
        <v>2052</v>
      </c>
      <c r="Y3" s="48" t="s">
        <v>2050</v>
      </c>
      <c r="Z3" s="48" t="s">
        <v>2053</v>
      </c>
      <c r="AA3" s="48" t="s">
        <v>2054</v>
      </c>
      <c r="AB3" s="48" t="s">
        <v>2817</v>
      </c>
      <c r="AC3" s="48" t="s">
        <v>2055</v>
      </c>
      <c r="AD3" s="48" t="s">
        <v>2056</v>
      </c>
      <c r="AE3" s="48" t="s">
        <v>1710</v>
      </c>
      <c r="AF3" s="48" t="s">
        <v>1710</v>
      </c>
      <c r="AG3" s="48" t="s">
        <v>2057</v>
      </c>
      <c r="AH3" s="48" t="s">
        <v>1815</v>
      </c>
      <c r="AI3" s="48" t="s">
        <v>2058</v>
      </c>
      <c r="AJ3" s="48" t="s">
        <v>1710</v>
      </c>
      <c r="AK3" s="48" t="s">
        <v>1839</v>
      </c>
      <c r="AL3" s="48" t="s">
        <v>1840</v>
      </c>
      <c r="AM3" s="48" t="s">
        <v>1816</v>
      </c>
      <c r="AN3" s="48" t="s">
        <v>2054</v>
      </c>
      <c r="AO3" s="48" t="s">
        <v>1710</v>
      </c>
      <c r="AP3" s="48" t="s">
        <v>1874</v>
      </c>
      <c r="AQ3" s="48" t="s">
        <v>2078</v>
      </c>
      <c r="AR3" s="48" t="s">
        <v>1812</v>
      </c>
      <c r="AS3" s="48" t="s">
        <v>1813</v>
      </c>
      <c r="AT3" s="48" t="s">
        <v>1826</v>
      </c>
      <c r="AU3" s="48" t="s">
        <v>2061</v>
      </c>
      <c r="AV3" s="48" t="s">
        <v>2816</v>
      </c>
      <c r="AW3" s="48" t="s">
        <v>2818</v>
      </c>
      <c r="AX3" s="48" t="s">
        <v>2819</v>
      </c>
      <c r="AY3" s="48" t="s">
        <v>1710</v>
      </c>
      <c r="AZ3" s="48" t="s">
        <v>2820</v>
      </c>
      <c r="BA3" s="48" t="s">
        <v>1710</v>
      </c>
      <c r="BB3" s="48" t="s">
        <v>1709</v>
      </c>
      <c r="BC3" s="48" t="s">
        <v>1710</v>
      </c>
      <c r="BD3" s="48" t="s">
        <v>2821</v>
      </c>
      <c r="BE3" s="52" t="s">
        <v>2822</v>
      </c>
      <c r="BF3" s="48" t="s">
        <v>1710</v>
      </c>
      <c r="BG3" s="48" t="s">
        <v>1814</v>
      </c>
      <c r="BH3">
        <v>4.5</v>
      </c>
      <c r="BI3" s="48" t="s">
        <v>1888</v>
      </c>
      <c r="BJ3">
        <v>1</v>
      </c>
      <c r="BK3">
        <v>1473.06</v>
      </c>
      <c r="BL3">
        <v>2464635</v>
      </c>
      <c r="BM3">
        <v>1673</v>
      </c>
      <c r="BN3" s="48" t="s">
        <v>2530</v>
      </c>
      <c r="BO3" s="48" t="s">
        <v>2065</v>
      </c>
      <c r="BP3">
        <v>1473.06</v>
      </c>
      <c r="BQ3">
        <v>1673.14</v>
      </c>
      <c r="BR3" s="48" t="s">
        <v>1885</v>
      </c>
      <c r="BS3" s="48" t="s">
        <v>2066</v>
      </c>
      <c r="BT3">
        <v>1</v>
      </c>
      <c r="BU3">
        <v>0</v>
      </c>
      <c r="BV3">
        <v>0</v>
      </c>
      <c r="BW3" s="48" t="s">
        <v>2065</v>
      </c>
      <c r="BX3">
        <v>1473.06</v>
      </c>
      <c r="BY3">
        <v>0</v>
      </c>
      <c r="BZ3">
        <v>0</v>
      </c>
      <c r="CA3" s="48" t="s">
        <v>2065</v>
      </c>
      <c r="CB3">
        <v>1473.06</v>
      </c>
      <c r="CC3">
        <v>0</v>
      </c>
      <c r="CD3">
        <v>0</v>
      </c>
      <c r="CE3" s="48" t="s">
        <v>1710</v>
      </c>
      <c r="CF3" s="48" t="s">
        <v>1710</v>
      </c>
      <c r="CG3" s="48" t="s">
        <v>1710</v>
      </c>
      <c r="CH3" s="48" t="s">
        <v>1710</v>
      </c>
      <c r="CI3" s="48" t="s">
        <v>2067</v>
      </c>
      <c r="CJ3" s="48" t="s">
        <v>1710</v>
      </c>
      <c r="CL3" s="48" t="s">
        <v>2816</v>
      </c>
      <c r="CM3" s="48" t="s">
        <v>1710</v>
      </c>
      <c r="CN3" s="48" t="s">
        <v>2068</v>
      </c>
      <c r="CO3" s="48" t="s">
        <v>2069</v>
      </c>
      <c r="CP3" s="48" t="s">
        <v>1710</v>
      </c>
      <c r="CQ3" s="48" t="s">
        <v>1710</v>
      </c>
      <c r="CR3" s="48" t="s">
        <v>1710</v>
      </c>
      <c r="CS3" s="48" t="s">
        <v>1710</v>
      </c>
      <c r="CT3" s="48" t="s">
        <v>1710</v>
      </c>
      <c r="CU3" s="48" t="s">
        <v>1712</v>
      </c>
      <c r="CV3" s="48" t="s">
        <v>1710</v>
      </c>
      <c r="CW3" s="48" t="s">
        <v>1710</v>
      </c>
      <c r="CX3" s="48" t="s">
        <v>2823</v>
      </c>
      <c r="CY3" s="48" t="s">
        <v>1710</v>
      </c>
      <c r="CZ3" s="48" t="s">
        <v>1712</v>
      </c>
      <c r="DA3" s="48" t="s">
        <v>1710</v>
      </c>
      <c r="DB3" s="48" t="s">
        <v>1878</v>
      </c>
      <c r="DC3" s="48" t="s">
        <v>2070</v>
      </c>
      <c r="DD3" s="48" t="s">
        <v>1842</v>
      </c>
      <c r="DE3" s="48" t="s">
        <v>1886</v>
      </c>
      <c r="DF3" s="48" t="s">
        <v>2824</v>
      </c>
      <c r="DG3" s="48" t="s">
        <v>2071</v>
      </c>
      <c r="DH3" s="48" t="s">
        <v>1712</v>
      </c>
      <c r="DI3" s="48" t="s">
        <v>1710</v>
      </c>
      <c r="DJ3" s="48" t="s">
        <v>1710</v>
      </c>
      <c r="DK3" s="48" t="s">
        <v>1710</v>
      </c>
      <c r="DL3" s="48" t="s">
        <v>1710</v>
      </c>
      <c r="DM3" s="48" t="s">
        <v>1710</v>
      </c>
      <c r="DN3" s="48" t="s">
        <v>1710</v>
      </c>
      <c r="DO3" s="48" t="s">
        <v>1710</v>
      </c>
      <c r="DP3" s="48" t="s">
        <v>1710</v>
      </c>
      <c r="DQ3" s="48" t="s">
        <v>1710</v>
      </c>
      <c r="DR3" s="48" t="s">
        <v>2072</v>
      </c>
      <c r="DS3" s="48" t="s">
        <v>1710</v>
      </c>
      <c r="DT3" s="48" t="s">
        <v>1710</v>
      </c>
      <c r="DU3" s="48" t="s">
        <v>2547</v>
      </c>
      <c r="DV3" s="48" t="s">
        <v>2825</v>
      </c>
      <c r="DW3" s="48" t="s">
        <v>1710</v>
      </c>
      <c r="DX3" s="48" t="s">
        <v>2826</v>
      </c>
      <c r="DY3" s="48" t="s">
        <v>1709</v>
      </c>
      <c r="DZ3" s="48" t="s">
        <v>2562</v>
      </c>
      <c r="EA3" s="48" t="s">
        <v>2827</v>
      </c>
      <c r="EB3">
        <v>0</v>
      </c>
      <c r="EC3" s="48" t="s">
        <v>2547</v>
      </c>
      <c r="ED3" s="48" t="s">
        <v>2828</v>
      </c>
      <c r="EE3" s="48" t="s">
        <v>1814</v>
      </c>
      <c r="EF3" s="48" t="s">
        <v>2829</v>
      </c>
      <c r="EG3" s="48" t="s">
        <v>2820</v>
      </c>
      <c r="EH3">
        <v>3</v>
      </c>
      <c r="EI3" s="48" t="s">
        <v>1888</v>
      </c>
      <c r="EJ3">
        <v>1</v>
      </c>
      <c r="EK3" s="48" t="s">
        <v>1887</v>
      </c>
      <c r="EL3">
        <v>1</v>
      </c>
      <c r="EM3" s="48" t="s">
        <v>1886</v>
      </c>
      <c r="EN3">
        <v>3</v>
      </c>
      <c r="EO3" s="48" t="s">
        <v>2830</v>
      </c>
      <c r="EP3" s="48" t="s">
        <v>2831</v>
      </c>
      <c r="EQ3">
        <v>1673.14</v>
      </c>
      <c r="ER3">
        <v>1673.14</v>
      </c>
      <c r="ES3">
        <v>2464635</v>
      </c>
      <c r="ET3">
        <v>1673</v>
      </c>
      <c r="EU3" s="48" t="s">
        <v>1710</v>
      </c>
      <c r="EV3" s="48" t="s">
        <v>1710</v>
      </c>
      <c r="EW3" s="48" t="s">
        <v>1712</v>
      </c>
      <c r="EX3" s="48" t="s">
        <v>1710</v>
      </c>
      <c r="EY3" s="48" t="s">
        <v>1848</v>
      </c>
      <c r="EZ3" s="48" t="s">
        <v>1710</v>
      </c>
      <c r="FA3" s="48" t="s">
        <v>1710</v>
      </c>
      <c r="FB3" s="48" t="s">
        <v>1712</v>
      </c>
      <c r="FC3" s="48" t="s">
        <v>1710</v>
      </c>
      <c r="FD3" s="48" t="s">
        <v>1710</v>
      </c>
      <c r="FE3" s="48" t="s">
        <v>1814</v>
      </c>
      <c r="FF3" s="48" t="s">
        <v>1815</v>
      </c>
      <c r="FG3" s="48" t="s">
        <v>1710</v>
      </c>
      <c r="FH3">
        <v>1</v>
      </c>
      <c r="FI3" s="48" t="s">
        <v>1846</v>
      </c>
      <c r="FJ3">
        <v>1673.14</v>
      </c>
      <c r="FK3">
        <v>1673.14</v>
      </c>
      <c r="FL3" s="48" t="s">
        <v>2832</v>
      </c>
      <c r="FM3" s="48" t="s">
        <v>2831</v>
      </c>
      <c r="FN3" s="48" t="s">
        <v>1710</v>
      </c>
      <c r="FO3" s="48" t="s">
        <v>1710</v>
      </c>
      <c r="FP3" s="48" t="s">
        <v>1710</v>
      </c>
      <c r="FQ3" s="48" t="s">
        <v>1710</v>
      </c>
      <c r="FR3" s="48" t="s">
        <v>1710</v>
      </c>
      <c r="FS3" s="48" t="s">
        <v>1710</v>
      </c>
      <c r="FT3" s="48" t="s">
        <v>1710</v>
      </c>
      <c r="FU3" s="48" t="s">
        <v>1710</v>
      </c>
      <c r="FV3" s="48"/>
      <c r="FW3" s="56"/>
      <c r="FX3" s="56"/>
      <c r="FY3" s="56"/>
      <c r="FZ3" s="56"/>
      <c r="GA3" s="55" t="str">
        <f>A3</f>
        <v>4388426300422X</v>
      </c>
      <c r="GB3" t="s">
        <v>2559</v>
      </c>
      <c r="GC3" t="str">
        <f>VLOOKUP(L3,수출코드!$A$2:$B$6,2,FALSE)</f>
        <v/>
      </c>
      <c r="GD3" t="str">
        <f>VLOOKUP(M3,수출코드!$E$2:$F$5,2,FALSE)</f>
        <v>재수출</v>
      </c>
      <c r="GE3" s="61">
        <f>DATE(LEFT(GI3,4),MID(GI3,5,2),MID(GI3,7,2))+TIME(MID(GI3,10,2),MID(GI3,12,2),"00")</f>
        <v>45975.658333333333</v>
      </c>
      <c r="GF3" s="62">
        <f t="shared" ref="GF3:GF66" si="0">DATE(LEFT(ED3,4),MID(ED3,5,2),MID(ED3,7,2))+TIME(MID(ED3,9,2),MID(ED3,11,2),"00")</f>
        <v>46050.45208333333</v>
      </c>
      <c r="GI3" s="48" t="s">
        <v>2729</v>
      </c>
    </row>
    <row r="4" spans="1:191">
      <c r="A4" s="48" t="s">
        <v>2833</v>
      </c>
      <c r="B4" s="48" t="s">
        <v>1821</v>
      </c>
      <c r="C4" s="48" t="s">
        <v>2048</v>
      </c>
      <c r="D4" s="48" t="s">
        <v>2813</v>
      </c>
      <c r="E4" s="48" t="s">
        <v>2833</v>
      </c>
      <c r="F4" s="48" t="s">
        <v>1710</v>
      </c>
      <c r="G4" s="48" t="s">
        <v>2814</v>
      </c>
      <c r="H4" s="48" t="s">
        <v>2834</v>
      </c>
      <c r="I4" s="48" t="s">
        <v>1884</v>
      </c>
      <c r="J4" s="48" t="s">
        <v>2835</v>
      </c>
      <c r="K4" s="48" t="s">
        <v>1877</v>
      </c>
      <c r="L4" s="48" t="s">
        <v>1883</v>
      </c>
      <c r="M4" s="48" t="s">
        <v>1810</v>
      </c>
      <c r="N4" s="48" t="s">
        <v>1842</v>
      </c>
      <c r="O4" s="48" t="s">
        <v>1811</v>
      </c>
      <c r="P4" s="48" t="s">
        <v>2549</v>
      </c>
      <c r="Q4" s="48" t="s">
        <v>2049</v>
      </c>
      <c r="R4" s="48" t="s">
        <v>1838</v>
      </c>
      <c r="S4" s="48" t="s">
        <v>2050</v>
      </c>
      <c r="T4" s="48" t="s">
        <v>1845</v>
      </c>
      <c r="U4" s="48" t="s">
        <v>2049</v>
      </c>
      <c r="V4" s="48" t="s">
        <v>1838</v>
      </c>
      <c r="W4" s="48" t="s">
        <v>2051</v>
      </c>
      <c r="X4" s="48" t="s">
        <v>2052</v>
      </c>
      <c r="Y4" s="48" t="s">
        <v>2050</v>
      </c>
      <c r="Z4" s="48" t="s">
        <v>2053</v>
      </c>
      <c r="AA4" s="48" t="s">
        <v>2054</v>
      </c>
      <c r="AB4" s="48" t="s">
        <v>2817</v>
      </c>
      <c r="AC4" s="48" t="s">
        <v>2055</v>
      </c>
      <c r="AD4" s="48" t="s">
        <v>2056</v>
      </c>
      <c r="AE4" s="48" t="s">
        <v>1710</v>
      </c>
      <c r="AF4" s="48" t="s">
        <v>1710</v>
      </c>
      <c r="AG4" s="48" t="s">
        <v>2057</v>
      </c>
      <c r="AH4" s="48" t="s">
        <v>1815</v>
      </c>
      <c r="AI4" s="48" t="s">
        <v>2058</v>
      </c>
      <c r="AJ4" s="48" t="s">
        <v>1710</v>
      </c>
      <c r="AK4" s="48" t="s">
        <v>2077</v>
      </c>
      <c r="AL4" s="48" t="s">
        <v>1858</v>
      </c>
      <c r="AM4" s="48" t="s">
        <v>1816</v>
      </c>
      <c r="AN4" s="48" t="s">
        <v>2054</v>
      </c>
      <c r="AO4" s="48" t="s">
        <v>1710</v>
      </c>
      <c r="AP4" s="48" t="s">
        <v>1848</v>
      </c>
      <c r="AQ4" s="48" t="s">
        <v>2060</v>
      </c>
      <c r="AR4" s="48" t="s">
        <v>1812</v>
      </c>
      <c r="AS4" s="48" t="s">
        <v>1813</v>
      </c>
      <c r="AT4" s="48" t="s">
        <v>1826</v>
      </c>
      <c r="AU4" s="48" t="s">
        <v>2061</v>
      </c>
      <c r="AV4" s="48" t="s">
        <v>2835</v>
      </c>
      <c r="AW4" s="48" t="s">
        <v>2062</v>
      </c>
      <c r="AX4" s="48" t="s">
        <v>2063</v>
      </c>
      <c r="AY4" s="48" t="s">
        <v>1710</v>
      </c>
      <c r="AZ4" s="48" t="s">
        <v>2836</v>
      </c>
      <c r="BA4" s="48" t="s">
        <v>1710</v>
      </c>
      <c r="BB4" s="48" t="s">
        <v>1709</v>
      </c>
      <c r="BC4" s="48" t="s">
        <v>1710</v>
      </c>
      <c r="BD4" s="48" t="s">
        <v>2837</v>
      </c>
      <c r="BE4" s="52" t="s">
        <v>2838</v>
      </c>
      <c r="BF4" s="48" t="s">
        <v>1710</v>
      </c>
      <c r="BG4" s="48" t="s">
        <v>2608</v>
      </c>
      <c r="BH4">
        <v>105</v>
      </c>
      <c r="BI4" s="48" t="s">
        <v>1888</v>
      </c>
      <c r="BJ4">
        <v>10</v>
      </c>
      <c r="BK4">
        <v>1473.06</v>
      </c>
      <c r="BL4">
        <v>210558781</v>
      </c>
      <c r="BM4">
        <v>142940</v>
      </c>
      <c r="BN4" s="48" t="s">
        <v>2064</v>
      </c>
      <c r="BO4" s="48" t="s">
        <v>2065</v>
      </c>
      <c r="BP4">
        <v>1473.06</v>
      </c>
      <c r="BQ4">
        <v>143917.28</v>
      </c>
      <c r="BR4" s="48" t="s">
        <v>1885</v>
      </c>
      <c r="BS4" s="48" t="s">
        <v>2066</v>
      </c>
      <c r="BT4">
        <v>1</v>
      </c>
      <c r="BU4">
        <v>1440000</v>
      </c>
      <c r="BV4">
        <v>1440000</v>
      </c>
      <c r="BW4" s="48" t="s">
        <v>2065</v>
      </c>
      <c r="BX4">
        <v>1473.06</v>
      </c>
      <c r="BY4">
        <v>0</v>
      </c>
      <c r="BZ4">
        <v>0</v>
      </c>
      <c r="CA4" s="48" t="s">
        <v>2065</v>
      </c>
      <c r="CB4">
        <v>1473.06</v>
      </c>
      <c r="CC4">
        <v>0</v>
      </c>
      <c r="CD4">
        <v>0</v>
      </c>
      <c r="CE4" s="48" t="s">
        <v>1710</v>
      </c>
      <c r="CF4" s="48" t="s">
        <v>1710</v>
      </c>
      <c r="CG4" s="48" t="s">
        <v>1710</v>
      </c>
      <c r="CH4" s="48" t="s">
        <v>1710</v>
      </c>
      <c r="CI4" s="48" t="s">
        <v>2067</v>
      </c>
      <c r="CJ4" s="48" t="s">
        <v>1710</v>
      </c>
      <c r="CL4" s="48" t="s">
        <v>2835</v>
      </c>
      <c r="CM4" s="48" t="s">
        <v>1710</v>
      </c>
      <c r="CN4" s="48" t="s">
        <v>2068</v>
      </c>
      <c r="CO4" s="48" t="s">
        <v>2069</v>
      </c>
      <c r="CP4" s="48" t="s">
        <v>1710</v>
      </c>
      <c r="CQ4" s="48" t="s">
        <v>1710</v>
      </c>
      <c r="CR4" s="48" t="s">
        <v>1710</v>
      </c>
      <c r="CS4" s="48" t="s">
        <v>1710</v>
      </c>
      <c r="CT4" s="48" t="s">
        <v>1710</v>
      </c>
      <c r="CU4" s="48" t="s">
        <v>1712</v>
      </c>
      <c r="CV4" s="48" t="s">
        <v>1710</v>
      </c>
      <c r="CW4" s="48" t="s">
        <v>1710</v>
      </c>
      <c r="CX4" s="48" t="s">
        <v>2839</v>
      </c>
      <c r="CY4" s="48" t="s">
        <v>1710</v>
      </c>
      <c r="CZ4" s="48" t="s">
        <v>1712</v>
      </c>
      <c r="DA4" s="48" t="s">
        <v>1710</v>
      </c>
      <c r="DB4" s="48" t="s">
        <v>1878</v>
      </c>
      <c r="DC4" s="48" t="s">
        <v>2070</v>
      </c>
      <c r="DD4" s="48" t="s">
        <v>1842</v>
      </c>
      <c r="DE4" s="48" t="s">
        <v>1886</v>
      </c>
      <c r="DF4" s="48" t="s">
        <v>2840</v>
      </c>
      <c r="DG4" s="48" t="s">
        <v>2071</v>
      </c>
      <c r="DH4" s="48" t="s">
        <v>1712</v>
      </c>
      <c r="DI4" s="48" t="s">
        <v>1710</v>
      </c>
      <c r="DJ4" s="48" t="s">
        <v>1710</v>
      </c>
      <c r="DK4" s="48" t="s">
        <v>1710</v>
      </c>
      <c r="DL4" s="48" t="s">
        <v>1710</v>
      </c>
      <c r="DM4" s="48" t="s">
        <v>1710</v>
      </c>
      <c r="DN4" s="48" t="s">
        <v>1710</v>
      </c>
      <c r="DO4" s="48" t="s">
        <v>1710</v>
      </c>
      <c r="DP4" s="48" t="s">
        <v>1710</v>
      </c>
      <c r="DQ4" s="48" t="s">
        <v>1710</v>
      </c>
      <c r="DR4" s="48" t="s">
        <v>2072</v>
      </c>
      <c r="DS4" s="48" t="s">
        <v>1710</v>
      </c>
      <c r="DT4" s="48" t="s">
        <v>1710</v>
      </c>
      <c r="DU4" s="48" t="s">
        <v>2841</v>
      </c>
      <c r="DV4" s="48" t="s">
        <v>2816</v>
      </c>
      <c r="DW4" s="48" t="s">
        <v>1710</v>
      </c>
      <c r="DX4" s="48" t="s">
        <v>2842</v>
      </c>
      <c r="DY4" s="48" t="s">
        <v>1709</v>
      </c>
      <c r="DZ4" s="48" t="s">
        <v>2073</v>
      </c>
      <c r="EA4" s="48" t="s">
        <v>2546</v>
      </c>
      <c r="EB4">
        <v>0</v>
      </c>
      <c r="EC4" s="48" t="s">
        <v>2841</v>
      </c>
      <c r="ED4" s="48" t="s">
        <v>2843</v>
      </c>
      <c r="EE4" s="48" t="s">
        <v>1814</v>
      </c>
      <c r="EF4" s="48" t="s">
        <v>1876</v>
      </c>
      <c r="EG4" s="48" t="s">
        <v>2836</v>
      </c>
      <c r="EH4">
        <v>3.45</v>
      </c>
      <c r="EI4" s="48" t="s">
        <v>1888</v>
      </c>
      <c r="EJ4">
        <v>0</v>
      </c>
      <c r="EK4" s="48" t="s">
        <v>1710</v>
      </c>
      <c r="EL4">
        <v>10</v>
      </c>
      <c r="EM4" s="48" t="s">
        <v>1886</v>
      </c>
      <c r="EN4">
        <v>3.45</v>
      </c>
      <c r="EO4" s="48" t="s">
        <v>2722</v>
      </c>
      <c r="EP4" s="48" t="s">
        <v>2844</v>
      </c>
      <c r="EQ4">
        <v>2636.2</v>
      </c>
      <c r="ER4">
        <v>2636.2</v>
      </c>
      <c r="ES4">
        <v>3856903</v>
      </c>
      <c r="ET4">
        <v>2618</v>
      </c>
      <c r="EU4" s="48" t="s">
        <v>1710</v>
      </c>
      <c r="EV4" s="48" t="s">
        <v>1710</v>
      </c>
      <c r="EW4" s="48" t="s">
        <v>1712</v>
      </c>
      <c r="EX4" s="48" t="s">
        <v>1710</v>
      </c>
      <c r="EY4" s="48" t="s">
        <v>1848</v>
      </c>
      <c r="EZ4" s="48" t="s">
        <v>1710</v>
      </c>
      <c r="FA4" s="48" t="s">
        <v>1710</v>
      </c>
      <c r="FB4" s="48" t="s">
        <v>1712</v>
      </c>
      <c r="FC4" s="48" t="s">
        <v>1710</v>
      </c>
      <c r="FD4" s="48" t="s">
        <v>1710</v>
      </c>
      <c r="FE4" s="48" t="s">
        <v>1814</v>
      </c>
      <c r="FF4" s="48" t="s">
        <v>1815</v>
      </c>
      <c r="FG4" s="48" t="s">
        <v>1710</v>
      </c>
      <c r="FH4">
        <v>1</v>
      </c>
      <c r="FI4" s="48" t="s">
        <v>1846</v>
      </c>
      <c r="FJ4">
        <v>2636.2</v>
      </c>
      <c r="FK4">
        <v>2636.2</v>
      </c>
      <c r="FL4" s="48" t="s">
        <v>2845</v>
      </c>
      <c r="FM4" s="48" t="s">
        <v>2844</v>
      </c>
      <c r="FN4" s="48" t="s">
        <v>1710</v>
      </c>
      <c r="FO4" s="48" t="s">
        <v>1710</v>
      </c>
      <c r="FP4" s="48" t="s">
        <v>1710</v>
      </c>
      <c r="FQ4" s="48" t="s">
        <v>1710</v>
      </c>
      <c r="FR4" s="48" t="s">
        <v>1710</v>
      </c>
      <c r="FS4" s="48" t="s">
        <v>1710</v>
      </c>
      <c r="FT4" s="48" t="s">
        <v>1710</v>
      </c>
      <c r="FU4" s="48" t="s">
        <v>1710</v>
      </c>
      <c r="FV4" s="48"/>
      <c r="FW4" s="56"/>
      <c r="FX4" s="56"/>
      <c r="FY4" s="56"/>
      <c r="FZ4" s="56"/>
      <c r="GA4" s="55" t="str">
        <f t="shared" ref="GA4:GA67" si="1">A4</f>
        <v>4388426100287X</v>
      </c>
      <c r="GB4" t="str">
        <f>VLOOKUP(B4,수출코드!$C$2:$D$4,2,FALSE)</f>
        <v>Suwon</v>
      </c>
      <c r="GC4" t="str">
        <f>VLOOKUP(L4,수출코드!$A$2:$B$6,2,FALSE)</f>
        <v>서류제출</v>
      </c>
      <c r="GD4" t="str">
        <f>VLOOKUP(M4,수출코드!$E$2:$F$5,2,FALSE)</f>
        <v>일반</v>
      </c>
      <c r="GE4" s="61">
        <f>DATE(LEFT(GI4,4),MID(GI4,5,2),MID(GI4,7,2))+TIME(MID(GI4,10,2),MID(GI4,12,2),"00")</f>
        <v>45975.658333333333</v>
      </c>
      <c r="GF4" s="62">
        <f t="shared" si="0"/>
        <v>46048.456250000003</v>
      </c>
      <c r="GI4" s="48" t="s">
        <v>2729</v>
      </c>
    </row>
    <row r="5" spans="1:191">
      <c r="A5" s="48" t="s">
        <v>2846</v>
      </c>
      <c r="B5" s="48" t="s">
        <v>1821</v>
      </c>
      <c r="C5" s="48" t="s">
        <v>2048</v>
      </c>
      <c r="D5" s="48" t="s">
        <v>2813</v>
      </c>
      <c r="E5" s="48" t="s">
        <v>2846</v>
      </c>
      <c r="F5" s="48" t="s">
        <v>1710</v>
      </c>
      <c r="G5" s="48" t="s">
        <v>2814</v>
      </c>
      <c r="H5" s="48" t="s">
        <v>2847</v>
      </c>
      <c r="I5" s="48" t="s">
        <v>1884</v>
      </c>
      <c r="J5" s="48" t="s">
        <v>2835</v>
      </c>
      <c r="K5" s="48" t="s">
        <v>1877</v>
      </c>
      <c r="L5" s="48" t="s">
        <v>1842</v>
      </c>
      <c r="M5" s="48" t="s">
        <v>1810</v>
      </c>
      <c r="N5" s="48" t="s">
        <v>1842</v>
      </c>
      <c r="O5" s="48" t="s">
        <v>1811</v>
      </c>
      <c r="P5" s="48" t="s">
        <v>2549</v>
      </c>
      <c r="Q5" s="48" t="s">
        <v>2049</v>
      </c>
      <c r="R5" s="48" t="s">
        <v>1838</v>
      </c>
      <c r="S5" s="48" t="s">
        <v>2050</v>
      </c>
      <c r="T5" s="48" t="s">
        <v>1845</v>
      </c>
      <c r="U5" s="48" t="s">
        <v>2049</v>
      </c>
      <c r="V5" s="48" t="s">
        <v>1838</v>
      </c>
      <c r="W5" s="48" t="s">
        <v>2051</v>
      </c>
      <c r="X5" s="48" t="s">
        <v>2052</v>
      </c>
      <c r="Y5" s="48" t="s">
        <v>2050</v>
      </c>
      <c r="Z5" s="48" t="s">
        <v>2053</v>
      </c>
      <c r="AA5" s="48" t="s">
        <v>2054</v>
      </c>
      <c r="AB5" s="48" t="s">
        <v>2817</v>
      </c>
      <c r="AC5" s="48" t="s">
        <v>2055</v>
      </c>
      <c r="AD5" s="48" t="s">
        <v>2056</v>
      </c>
      <c r="AE5" s="48" t="s">
        <v>1710</v>
      </c>
      <c r="AF5" s="48" t="s">
        <v>1710</v>
      </c>
      <c r="AG5" s="48" t="s">
        <v>2057</v>
      </c>
      <c r="AH5" s="48" t="s">
        <v>1815</v>
      </c>
      <c r="AI5" s="48" t="s">
        <v>2058</v>
      </c>
      <c r="AJ5" s="48" t="s">
        <v>1710</v>
      </c>
      <c r="AK5" s="48" t="s">
        <v>2558</v>
      </c>
      <c r="AL5" s="48" t="s">
        <v>1882</v>
      </c>
      <c r="AM5" s="48" t="s">
        <v>1816</v>
      </c>
      <c r="AN5" s="48" t="s">
        <v>2054</v>
      </c>
      <c r="AO5" s="48" t="s">
        <v>1710</v>
      </c>
      <c r="AP5" s="48" t="s">
        <v>1851</v>
      </c>
      <c r="AQ5" s="48" t="s">
        <v>2083</v>
      </c>
      <c r="AR5" s="48" t="s">
        <v>1812</v>
      </c>
      <c r="AS5" s="48" t="s">
        <v>1813</v>
      </c>
      <c r="AT5" s="48" t="s">
        <v>1826</v>
      </c>
      <c r="AU5" s="48" t="s">
        <v>2061</v>
      </c>
      <c r="AV5" s="48" t="s">
        <v>2835</v>
      </c>
      <c r="AW5" s="48" t="s">
        <v>2062</v>
      </c>
      <c r="AX5" s="48" t="s">
        <v>2063</v>
      </c>
      <c r="AY5" s="48" t="s">
        <v>1710</v>
      </c>
      <c r="AZ5" s="48" t="s">
        <v>2848</v>
      </c>
      <c r="BA5" s="48" t="s">
        <v>1710</v>
      </c>
      <c r="BB5" s="48" t="s">
        <v>1709</v>
      </c>
      <c r="BC5" s="48" t="s">
        <v>1710</v>
      </c>
      <c r="BD5" s="48" t="s">
        <v>2837</v>
      </c>
      <c r="BE5" s="52" t="s">
        <v>2838</v>
      </c>
      <c r="BF5" s="48" t="s">
        <v>1710</v>
      </c>
      <c r="BG5" s="48" t="s">
        <v>1820</v>
      </c>
      <c r="BH5">
        <v>64</v>
      </c>
      <c r="BI5" s="48" t="s">
        <v>1888</v>
      </c>
      <c r="BJ5">
        <v>5</v>
      </c>
      <c r="BK5">
        <v>1473.06</v>
      </c>
      <c r="BL5">
        <v>78108069</v>
      </c>
      <c r="BM5">
        <v>53024</v>
      </c>
      <c r="BN5" s="48" t="s">
        <v>2064</v>
      </c>
      <c r="BO5" s="48" t="s">
        <v>2065</v>
      </c>
      <c r="BP5">
        <v>1473.06</v>
      </c>
      <c r="BQ5">
        <v>53554.69</v>
      </c>
      <c r="BR5" s="48" t="s">
        <v>1885</v>
      </c>
      <c r="BS5" s="48" t="s">
        <v>2066</v>
      </c>
      <c r="BT5">
        <v>1</v>
      </c>
      <c r="BU5">
        <v>781200</v>
      </c>
      <c r="BV5">
        <v>781200</v>
      </c>
      <c r="BW5" s="48" t="s">
        <v>2065</v>
      </c>
      <c r="BX5">
        <v>1473.06</v>
      </c>
      <c r="BY5">
        <v>0</v>
      </c>
      <c r="BZ5">
        <v>0</v>
      </c>
      <c r="CA5" s="48" t="s">
        <v>2065</v>
      </c>
      <c r="CB5">
        <v>1473.06</v>
      </c>
      <c r="CC5">
        <v>0</v>
      </c>
      <c r="CD5">
        <v>0</v>
      </c>
      <c r="CE5" s="48" t="s">
        <v>1710</v>
      </c>
      <c r="CF5" s="48" t="s">
        <v>1710</v>
      </c>
      <c r="CG5" s="48" t="s">
        <v>1710</v>
      </c>
      <c r="CH5" s="48" t="s">
        <v>1710</v>
      </c>
      <c r="CI5" s="48" t="s">
        <v>2067</v>
      </c>
      <c r="CJ5" s="48" t="s">
        <v>1710</v>
      </c>
      <c r="CL5" s="48" t="s">
        <v>2835</v>
      </c>
      <c r="CM5" s="48" t="s">
        <v>1710</v>
      </c>
      <c r="CN5" s="48" t="s">
        <v>2068</v>
      </c>
      <c r="CO5" s="48" t="s">
        <v>2069</v>
      </c>
      <c r="CP5" s="48" t="s">
        <v>1710</v>
      </c>
      <c r="CQ5" s="48" t="s">
        <v>1710</v>
      </c>
      <c r="CR5" s="48" t="s">
        <v>1710</v>
      </c>
      <c r="CS5" s="48" t="s">
        <v>1710</v>
      </c>
      <c r="CT5" s="48" t="s">
        <v>1710</v>
      </c>
      <c r="CU5" s="48" t="s">
        <v>1712</v>
      </c>
      <c r="CV5" s="48" t="s">
        <v>1710</v>
      </c>
      <c r="CW5" s="48" t="s">
        <v>1710</v>
      </c>
      <c r="CX5" s="48" t="s">
        <v>2839</v>
      </c>
      <c r="CY5" s="48" t="s">
        <v>1710</v>
      </c>
      <c r="CZ5" s="48" t="s">
        <v>1712</v>
      </c>
      <c r="DA5" s="48" t="s">
        <v>1710</v>
      </c>
      <c r="DB5" s="48" t="s">
        <v>1878</v>
      </c>
      <c r="DC5" s="48" t="s">
        <v>2070</v>
      </c>
      <c r="DD5" s="48" t="s">
        <v>1842</v>
      </c>
      <c r="DE5" s="48" t="s">
        <v>1886</v>
      </c>
      <c r="DF5" s="48" t="s">
        <v>2849</v>
      </c>
      <c r="DG5" s="48" t="s">
        <v>2071</v>
      </c>
      <c r="DH5" s="48" t="s">
        <v>1712</v>
      </c>
      <c r="DI5" s="48" t="s">
        <v>1710</v>
      </c>
      <c r="DJ5" s="48" t="s">
        <v>1710</v>
      </c>
      <c r="DK5" s="48" t="s">
        <v>1710</v>
      </c>
      <c r="DL5" s="48" t="s">
        <v>1710</v>
      </c>
      <c r="DM5" s="48" t="s">
        <v>1710</v>
      </c>
      <c r="DN5" s="48" t="s">
        <v>1710</v>
      </c>
      <c r="DO5" s="48" t="s">
        <v>1710</v>
      </c>
      <c r="DP5" s="48" t="s">
        <v>1710</v>
      </c>
      <c r="DQ5" s="48" t="s">
        <v>1710</v>
      </c>
      <c r="DR5" s="48" t="s">
        <v>2072</v>
      </c>
      <c r="DS5" s="48" t="s">
        <v>1710</v>
      </c>
      <c r="DT5" s="48" t="s">
        <v>1710</v>
      </c>
      <c r="DU5" s="48" t="s">
        <v>2841</v>
      </c>
      <c r="DV5" s="48" t="s">
        <v>2850</v>
      </c>
      <c r="DW5" s="48" t="s">
        <v>1710</v>
      </c>
      <c r="DX5" s="48" t="s">
        <v>2851</v>
      </c>
      <c r="DY5" s="48" t="s">
        <v>1709</v>
      </c>
      <c r="DZ5" s="48" t="s">
        <v>2562</v>
      </c>
      <c r="EA5" s="48" t="s">
        <v>2546</v>
      </c>
      <c r="EB5">
        <v>0</v>
      </c>
      <c r="EC5" s="48" t="s">
        <v>2841</v>
      </c>
      <c r="ED5" s="48" t="s">
        <v>2852</v>
      </c>
      <c r="EE5" s="48" t="s">
        <v>1814</v>
      </c>
      <c r="EF5" s="48" t="s">
        <v>2666</v>
      </c>
      <c r="EG5" s="48" t="s">
        <v>2848</v>
      </c>
      <c r="EH5">
        <v>6.3120000000000003</v>
      </c>
      <c r="EI5" s="48" t="s">
        <v>1888</v>
      </c>
      <c r="EJ5">
        <v>1</v>
      </c>
      <c r="EK5" s="48" t="s">
        <v>1887</v>
      </c>
      <c r="EL5">
        <v>5</v>
      </c>
      <c r="EM5" s="48" t="s">
        <v>1886</v>
      </c>
      <c r="EN5">
        <v>6.3120000000000003</v>
      </c>
      <c r="EO5" s="48" t="s">
        <v>2667</v>
      </c>
      <c r="EP5" s="48" t="s">
        <v>2853</v>
      </c>
      <c r="EQ5">
        <v>6134.2</v>
      </c>
      <c r="ER5">
        <v>6134.2</v>
      </c>
      <c r="ES5">
        <v>8946565</v>
      </c>
      <c r="ET5">
        <v>6073</v>
      </c>
      <c r="EU5" s="48" t="s">
        <v>1710</v>
      </c>
      <c r="EV5" s="48" t="s">
        <v>1710</v>
      </c>
      <c r="EW5" s="48" t="s">
        <v>1712</v>
      </c>
      <c r="EX5" s="48" t="s">
        <v>1710</v>
      </c>
      <c r="EY5" s="48" t="s">
        <v>1851</v>
      </c>
      <c r="EZ5" s="48" t="s">
        <v>1710</v>
      </c>
      <c r="FA5" s="48" t="s">
        <v>1710</v>
      </c>
      <c r="FB5" s="48" t="s">
        <v>1712</v>
      </c>
      <c r="FC5" s="48" t="s">
        <v>1710</v>
      </c>
      <c r="FD5" s="48" t="s">
        <v>1710</v>
      </c>
      <c r="FE5" s="48" t="s">
        <v>1814</v>
      </c>
      <c r="FF5" s="48" t="s">
        <v>1815</v>
      </c>
      <c r="FG5" s="48" t="s">
        <v>1710</v>
      </c>
      <c r="FH5">
        <v>1</v>
      </c>
      <c r="FI5" s="48" t="s">
        <v>1846</v>
      </c>
      <c r="FJ5">
        <v>6134.2</v>
      </c>
      <c r="FK5">
        <v>6134.2</v>
      </c>
      <c r="FL5" s="48" t="s">
        <v>2854</v>
      </c>
      <c r="FM5" s="48" t="s">
        <v>2853</v>
      </c>
      <c r="FN5" s="48" t="s">
        <v>1710</v>
      </c>
      <c r="FO5" s="48" t="s">
        <v>1710</v>
      </c>
      <c r="FP5" s="48" t="s">
        <v>1710</v>
      </c>
      <c r="FQ5" s="48" t="s">
        <v>1710</v>
      </c>
      <c r="FR5" s="48" t="s">
        <v>1710</v>
      </c>
      <c r="FS5" s="48" t="s">
        <v>1710</v>
      </c>
      <c r="FT5" s="48" t="s">
        <v>1710</v>
      </c>
      <c r="FU5" s="48" t="s">
        <v>1710</v>
      </c>
      <c r="FV5" s="48"/>
      <c r="FW5" s="56"/>
      <c r="FX5" s="56"/>
      <c r="FY5" s="56"/>
      <c r="FZ5" s="56"/>
      <c r="GA5" s="55" t="str">
        <f t="shared" si="1"/>
        <v>4388426100288X</v>
      </c>
      <c r="GB5" t="str">
        <f>VLOOKUP(B5,수출코드!$C$2:$D$4,2,FALSE)</f>
        <v>Suwon</v>
      </c>
      <c r="GC5" t="str">
        <f>VLOOKUP(L5,수출코드!$A$2:$B$6,2,FALSE)</f>
        <v/>
      </c>
      <c r="GD5" t="str">
        <f>VLOOKUP(M5,수출코드!$E$2:$F$5,2,FALSE)</f>
        <v>일반</v>
      </c>
      <c r="GE5" s="61">
        <f t="shared" ref="GE5:GE66" si="2">DATE(LEFT(GI5,4),MID(GI5,5,2),MID(GI5,7,2))+TIME(MID(GI5,10,2),MID(GI5,12,2),"00")</f>
        <v>45975.658333333333</v>
      </c>
      <c r="GF5" s="62">
        <f t="shared" si="0"/>
        <v>46048.393055555556</v>
      </c>
      <c r="GI5" s="48" t="s">
        <v>2729</v>
      </c>
    </row>
    <row r="6" spans="1:191">
      <c r="A6" s="48" t="s">
        <v>2855</v>
      </c>
      <c r="B6" s="48" t="s">
        <v>1821</v>
      </c>
      <c r="C6" s="48" t="s">
        <v>2048</v>
      </c>
      <c r="D6" s="48" t="s">
        <v>2813</v>
      </c>
      <c r="E6" s="48" t="s">
        <v>2855</v>
      </c>
      <c r="F6" s="48" t="s">
        <v>1710</v>
      </c>
      <c r="G6" s="48" t="s">
        <v>2814</v>
      </c>
      <c r="H6" s="48" t="s">
        <v>2856</v>
      </c>
      <c r="I6" s="48" t="s">
        <v>1884</v>
      </c>
      <c r="J6" s="48" t="s">
        <v>2835</v>
      </c>
      <c r="K6" s="48" t="s">
        <v>1877</v>
      </c>
      <c r="L6" s="48" t="s">
        <v>1842</v>
      </c>
      <c r="M6" s="48" t="s">
        <v>1810</v>
      </c>
      <c r="N6" s="48" t="s">
        <v>1842</v>
      </c>
      <c r="O6" s="48" t="s">
        <v>1811</v>
      </c>
      <c r="P6" s="48" t="s">
        <v>2549</v>
      </c>
      <c r="Q6" s="48" t="s">
        <v>2049</v>
      </c>
      <c r="R6" s="48" t="s">
        <v>1838</v>
      </c>
      <c r="S6" s="48" t="s">
        <v>2050</v>
      </c>
      <c r="T6" s="48" t="s">
        <v>1845</v>
      </c>
      <c r="U6" s="48" t="s">
        <v>2049</v>
      </c>
      <c r="V6" s="48" t="s">
        <v>1838</v>
      </c>
      <c r="W6" s="48" t="s">
        <v>2051</v>
      </c>
      <c r="X6" s="48" t="s">
        <v>2052</v>
      </c>
      <c r="Y6" s="48" t="s">
        <v>2050</v>
      </c>
      <c r="Z6" s="48" t="s">
        <v>2053</v>
      </c>
      <c r="AA6" s="48" t="s">
        <v>2054</v>
      </c>
      <c r="AB6" s="48" t="s">
        <v>2817</v>
      </c>
      <c r="AC6" s="48" t="s">
        <v>2055</v>
      </c>
      <c r="AD6" s="48" t="s">
        <v>2056</v>
      </c>
      <c r="AE6" s="48" t="s">
        <v>1710</v>
      </c>
      <c r="AF6" s="48" t="s">
        <v>1710</v>
      </c>
      <c r="AG6" s="48" t="s">
        <v>2057</v>
      </c>
      <c r="AH6" s="48" t="s">
        <v>1815</v>
      </c>
      <c r="AI6" s="48" t="s">
        <v>2058</v>
      </c>
      <c r="AJ6" s="48" t="s">
        <v>1710</v>
      </c>
      <c r="AK6" s="48" t="s">
        <v>2077</v>
      </c>
      <c r="AL6" s="48" t="s">
        <v>1858</v>
      </c>
      <c r="AM6" s="48" t="s">
        <v>1816</v>
      </c>
      <c r="AN6" s="48" t="s">
        <v>2054</v>
      </c>
      <c r="AO6" s="48" t="s">
        <v>1710</v>
      </c>
      <c r="AP6" s="48" t="s">
        <v>1848</v>
      </c>
      <c r="AQ6" s="48" t="s">
        <v>2060</v>
      </c>
      <c r="AR6" s="48" t="s">
        <v>1812</v>
      </c>
      <c r="AS6" s="48" t="s">
        <v>1813</v>
      </c>
      <c r="AT6" s="48" t="s">
        <v>1826</v>
      </c>
      <c r="AU6" s="48" t="s">
        <v>2061</v>
      </c>
      <c r="AV6" s="48" t="s">
        <v>2835</v>
      </c>
      <c r="AW6" s="48" t="s">
        <v>2062</v>
      </c>
      <c r="AX6" s="48" t="s">
        <v>2063</v>
      </c>
      <c r="AY6" s="48" t="s">
        <v>1710</v>
      </c>
      <c r="AZ6" s="48" t="s">
        <v>2857</v>
      </c>
      <c r="BA6" s="48" t="s">
        <v>1710</v>
      </c>
      <c r="BB6" s="48" t="s">
        <v>1709</v>
      </c>
      <c r="BC6" s="48" t="s">
        <v>1710</v>
      </c>
      <c r="BD6" s="48" t="s">
        <v>2837</v>
      </c>
      <c r="BE6" s="52" t="s">
        <v>2838</v>
      </c>
      <c r="BF6" s="48" t="s">
        <v>1710</v>
      </c>
      <c r="BG6" s="48" t="s">
        <v>1814</v>
      </c>
      <c r="BH6">
        <v>2</v>
      </c>
      <c r="BI6" s="48" t="s">
        <v>1888</v>
      </c>
      <c r="BJ6">
        <v>1</v>
      </c>
      <c r="BK6">
        <v>1473.06</v>
      </c>
      <c r="BL6">
        <v>3249900</v>
      </c>
      <c r="BM6">
        <v>2206</v>
      </c>
      <c r="BN6" s="48" t="s">
        <v>2064</v>
      </c>
      <c r="BO6" s="48" t="s">
        <v>2065</v>
      </c>
      <c r="BP6">
        <v>1473.06</v>
      </c>
      <c r="BQ6">
        <v>2238.4699999999998</v>
      </c>
      <c r="BR6" s="48" t="s">
        <v>1885</v>
      </c>
      <c r="BS6" s="48" t="s">
        <v>2066</v>
      </c>
      <c r="BT6">
        <v>1</v>
      </c>
      <c r="BU6">
        <v>47500</v>
      </c>
      <c r="BV6">
        <v>47500</v>
      </c>
      <c r="BW6" s="48" t="s">
        <v>2065</v>
      </c>
      <c r="BX6">
        <v>1473.06</v>
      </c>
      <c r="BY6">
        <v>0</v>
      </c>
      <c r="BZ6">
        <v>0</v>
      </c>
      <c r="CA6" s="48" t="s">
        <v>2065</v>
      </c>
      <c r="CB6">
        <v>1473.06</v>
      </c>
      <c r="CC6">
        <v>0</v>
      </c>
      <c r="CD6">
        <v>0</v>
      </c>
      <c r="CE6" s="48" t="s">
        <v>1710</v>
      </c>
      <c r="CF6" s="48" t="s">
        <v>1710</v>
      </c>
      <c r="CG6" s="48" t="s">
        <v>1710</v>
      </c>
      <c r="CH6" s="48" t="s">
        <v>1710</v>
      </c>
      <c r="CI6" s="48" t="s">
        <v>2067</v>
      </c>
      <c r="CJ6" s="48" t="s">
        <v>1710</v>
      </c>
      <c r="CL6" s="48" t="s">
        <v>2835</v>
      </c>
      <c r="CM6" s="48" t="s">
        <v>1710</v>
      </c>
      <c r="CN6" s="48" t="s">
        <v>2068</v>
      </c>
      <c r="CO6" s="48" t="s">
        <v>2069</v>
      </c>
      <c r="CP6" s="48" t="s">
        <v>1710</v>
      </c>
      <c r="CQ6" s="48" t="s">
        <v>1710</v>
      </c>
      <c r="CR6" s="48" t="s">
        <v>1710</v>
      </c>
      <c r="CS6" s="48" t="s">
        <v>1710</v>
      </c>
      <c r="CT6" s="48" t="s">
        <v>1710</v>
      </c>
      <c r="CU6" s="48" t="s">
        <v>1712</v>
      </c>
      <c r="CV6" s="48" t="s">
        <v>1710</v>
      </c>
      <c r="CW6" s="48" t="s">
        <v>1710</v>
      </c>
      <c r="CX6" s="48" t="s">
        <v>2839</v>
      </c>
      <c r="CY6" s="48" t="s">
        <v>1710</v>
      </c>
      <c r="CZ6" s="48" t="s">
        <v>1712</v>
      </c>
      <c r="DA6" s="48" t="s">
        <v>1710</v>
      </c>
      <c r="DB6" s="48" t="s">
        <v>1878</v>
      </c>
      <c r="DC6" s="48" t="s">
        <v>2070</v>
      </c>
      <c r="DD6" s="48" t="s">
        <v>1842</v>
      </c>
      <c r="DE6" s="48" t="s">
        <v>1886</v>
      </c>
      <c r="DF6" s="48" t="s">
        <v>2858</v>
      </c>
      <c r="DG6" s="48" t="s">
        <v>2071</v>
      </c>
      <c r="DH6" s="48" t="s">
        <v>1712</v>
      </c>
      <c r="DI6" s="48" t="s">
        <v>1710</v>
      </c>
      <c r="DJ6" s="48" t="s">
        <v>1710</v>
      </c>
      <c r="DK6" s="48" t="s">
        <v>1710</v>
      </c>
      <c r="DL6" s="48" t="s">
        <v>1710</v>
      </c>
      <c r="DM6" s="48" t="s">
        <v>1710</v>
      </c>
      <c r="DN6" s="48" t="s">
        <v>1710</v>
      </c>
      <c r="DO6" s="48" t="s">
        <v>1710</v>
      </c>
      <c r="DP6" s="48" t="s">
        <v>1710</v>
      </c>
      <c r="DQ6" s="48" t="s">
        <v>1710</v>
      </c>
      <c r="DR6" s="48" t="s">
        <v>2072</v>
      </c>
      <c r="DS6" s="48" t="s">
        <v>1710</v>
      </c>
      <c r="DT6" s="48" t="s">
        <v>1710</v>
      </c>
      <c r="DU6" s="48" t="s">
        <v>2841</v>
      </c>
      <c r="DV6" s="48" t="s">
        <v>2816</v>
      </c>
      <c r="DW6" s="48" t="s">
        <v>1710</v>
      </c>
      <c r="DX6" s="48" t="s">
        <v>2859</v>
      </c>
      <c r="DY6" s="48" t="s">
        <v>1709</v>
      </c>
      <c r="DZ6" s="48" t="s">
        <v>2562</v>
      </c>
      <c r="EA6" s="48" t="s">
        <v>2546</v>
      </c>
      <c r="EB6">
        <v>0</v>
      </c>
      <c r="EC6" s="48" t="s">
        <v>2841</v>
      </c>
      <c r="ED6" s="48" t="s">
        <v>2852</v>
      </c>
      <c r="EE6" s="48" t="s">
        <v>1814</v>
      </c>
      <c r="EF6" s="48" t="s">
        <v>2645</v>
      </c>
      <c r="EG6" s="48" t="s">
        <v>2857</v>
      </c>
      <c r="EH6">
        <v>2</v>
      </c>
      <c r="EI6" s="48" t="s">
        <v>1888</v>
      </c>
      <c r="EJ6">
        <v>1</v>
      </c>
      <c r="EK6" s="48" t="s">
        <v>1887</v>
      </c>
      <c r="EL6">
        <v>2</v>
      </c>
      <c r="EM6" s="48" t="s">
        <v>1886</v>
      </c>
      <c r="EN6">
        <v>2</v>
      </c>
      <c r="EO6" s="48" t="s">
        <v>2860</v>
      </c>
      <c r="EP6" s="48" t="s">
        <v>2718</v>
      </c>
      <c r="EQ6">
        <v>2238.4699999999998</v>
      </c>
      <c r="ER6">
        <v>2238.4699999999998</v>
      </c>
      <c r="ES6">
        <v>3249900</v>
      </c>
      <c r="ET6">
        <v>2206</v>
      </c>
      <c r="EU6" s="48" t="s">
        <v>1710</v>
      </c>
      <c r="EV6" s="48" t="s">
        <v>1710</v>
      </c>
      <c r="EW6" s="48" t="s">
        <v>1712</v>
      </c>
      <c r="EX6" s="48" t="s">
        <v>1710</v>
      </c>
      <c r="EY6" s="48" t="s">
        <v>1848</v>
      </c>
      <c r="EZ6" s="48" t="s">
        <v>1710</v>
      </c>
      <c r="FA6" s="48" t="s">
        <v>1710</v>
      </c>
      <c r="FB6" s="48" t="s">
        <v>1712</v>
      </c>
      <c r="FC6" s="48" t="s">
        <v>1710</v>
      </c>
      <c r="FD6" s="48" t="s">
        <v>1710</v>
      </c>
      <c r="FE6" s="48" t="s">
        <v>1814</v>
      </c>
      <c r="FF6" s="48" t="s">
        <v>1815</v>
      </c>
      <c r="FG6" s="48" t="s">
        <v>1710</v>
      </c>
      <c r="FH6">
        <v>1</v>
      </c>
      <c r="FI6" s="48" t="s">
        <v>1846</v>
      </c>
      <c r="FJ6">
        <v>2238.4699999999998</v>
      </c>
      <c r="FK6">
        <v>2238.4699999999998</v>
      </c>
      <c r="FL6" s="48" t="s">
        <v>2719</v>
      </c>
      <c r="FM6" s="48" t="s">
        <v>2718</v>
      </c>
      <c r="FN6" s="48" t="s">
        <v>1710</v>
      </c>
      <c r="FO6" s="48" t="s">
        <v>1710</v>
      </c>
      <c r="FP6" s="48" t="s">
        <v>1710</v>
      </c>
      <c r="FQ6" s="48" t="s">
        <v>1710</v>
      </c>
      <c r="FR6" s="48" t="s">
        <v>1710</v>
      </c>
      <c r="FS6" s="48" t="s">
        <v>1710</v>
      </c>
      <c r="FT6" s="48" t="s">
        <v>1710</v>
      </c>
      <c r="FU6" s="48" t="s">
        <v>1710</v>
      </c>
      <c r="FV6" s="48"/>
      <c r="FW6" s="56"/>
      <c r="FX6" s="56"/>
      <c r="FY6" s="56"/>
      <c r="FZ6" s="56"/>
      <c r="GA6" s="55" t="str">
        <f t="shared" si="1"/>
        <v>4388426100289X</v>
      </c>
      <c r="GB6" t="str">
        <f>VLOOKUP(B6,수출코드!$C$2:$D$4,2,FALSE)</f>
        <v>Suwon</v>
      </c>
      <c r="GC6" t="str">
        <f>VLOOKUP(L6,수출코드!$A$2:$B$6,2,FALSE)</f>
        <v/>
      </c>
      <c r="GD6" t="str">
        <f>VLOOKUP(M6,수출코드!$E$2:$F$5,2,FALSE)</f>
        <v>일반</v>
      </c>
      <c r="GE6" s="61">
        <f t="shared" si="2"/>
        <v>45975.658333333333</v>
      </c>
      <c r="GF6" s="62">
        <f t="shared" si="0"/>
        <v>46048.393055555556</v>
      </c>
      <c r="GI6" s="48" t="s">
        <v>2729</v>
      </c>
    </row>
    <row r="7" spans="1:191">
      <c r="A7" s="48" t="s">
        <v>2861</v>
      </c>
      <c r="B7" s="48" t="s">
        <v>1821</v>
      </c>
      <c r="C7" s="48" t="s">
        <v>2048</v>
      </c>
      <c r="D7" s="48" t="s">
        <v>2813</v>
      </c>
      <c r="E7" s="48" t="s">
        <v>2861</v>
      </c>
      <c r="F7" s="48" t="s">
        <v>1710</v>
      </c>
      <c r="G7" s="48" t="s">
        <v>2814</v>
      </c>
      <c r="H7" s="48" t="s">
        <v>2862</v>
      </c>
      <c r="I7" s="48" t="s">
        <v>1884</v>
      </c>
      <c r="J7" s="48" t="s">
        <v>2835</v>
      </c>
      <c r="K7" s="48" t="s">
        <v>1877</v>
      </c>
      <c r="L7" s="48" t="s">
        <v>1842</v>
      </c>
      <c r="M7" s="48" t="s">
        <v>1810</v>
      </c>
      <c r="N7" s="48" t="s">
        <v>1842</v>
      </c>
      <c r="O7" s="48" t="s">
        <v>1811</v>
      </c>
      <c r="P7" s="48" t="s">
        <v>2549</v>
      </c>
      <c r="Q7" s="48" t="s">
        <v>2049</v>
      </c>
      <c r="R7" s="48" t="s">
        <v>1838</v>
      </c>
      <c r="S7" s="48" t="s">
        <v>2050</v>
      </c>
      <c r="T7" s="48" t="s">
        <v>1845</v>
      </c>
      <c r="U7" s="48" t="s">
        <v>2049</v>
      </c>
      <c r="V7" s="48" t="s">
        <v>1838</v>
      </c>
      <c r="W7" s="48" t="s">
        <v>2051</v>
      </c>
      <c r="X7" s="48" t="s">
        <v>2052</v>
      </c>
      <c r="Y7" s="48" t="s">
        <v>2050</v>
      </c>
      <c r="Z7" s="48" t="s">
        <v>2053</v>
      </c>
      <c r="AA7" s="48" t="s">
        <v>2054</v>
      </c>
      <c r="AB7" s="48" t="s">
        <v>2817</v>
      </c>
      <c r="AC7" s="48" t="s">
        <v>2055</v>
      </c>
      <c r="AD7" s="48" t="s">
        <v>2056</v>
      </c>
      <c r="AE7" s="48" t="s">
        <v>1710</v>
      </c>
      <c r="AF7" s="48" t="s">
        <v>1710</v>
      </c>
      <c r="AG7" s="48" t="s">
        <v>2057</v>
      </c>
      <c r="AH7" s="48" t="s">
        <v>1815</v>
      </c>
      <c r="AI7" s="48" t="s">
        <v>2058</v>
      </c>
      <c r="AJ7" s="48" t="s">
        <v>1710</v>
      </c>
      <c r="AK7" s="48" t="s">
        <v>2099</v>
      </c>
      <c r="AL7" s="48" t="s">
        <v>1866</v>
      </c>
      <c r="AM7" s="48" t="s">
        <v>1816</v>
      </c>
      <c r="AN7" s="48" t="s">
        <v>2054</v>
      </c>
      <c r="AO7" s="48" t="s">
        <v>1710</v>
      </c>
      <c r="AP7" s="48" t="s">
        <v>1854</v>
      </c>
      <c r="AQ7" s="48" t="s">
        <v>2081</v>
      </c>
      <c r="AR7" s="48" t="s">
        <v>1812</v>
      </c>
      <c r="AS7" s="48" t="s">
        <v>1813</v>
      </c>
      <c r="AT7" s="48" t="s">
        <v>1826</v>
      </c>
      <c r="AU7" s="48" t="s">
        <v>2061</v>
      </c>
      <c r="AV7" s="48" t="s">
        <v>2835</v>
      </c>
      <c r="AW7" s="48" t="s">
        <v>2062</v>
      </c>
      <c r="AX7" s="48" t="s">
        <v>2063</v>
      </c>
      <c r="AY7" s="48" t="s">
        <v>1710</v>
      </c>
      <c r="AZ7" s="48" t="s">
        <v>2863</v>
      </c>
      <c r="BA7" s="48" t="s">
        <v>1710</v>
      </c>
      <c r="BB7" s="48" t="s">
        <v>1709</v>
      </c>
      <c r="BC7" s="48" t="s">
        <v>1710</v>
      </c>
      <c r="BD7" s="48" t="s">
        <v>2864</v>
      </c>
      <c r="BE7" s="52" t="s">
        <v>2865</v>
      </c>
      <c r="BF7" s="48" t="s">
        <v>1710</v>
      </c>
      <c r="BG7" s="48" t="s">
        <v>1814</v>
      </c>
      <c r="BH7">
        <v>8</v>
      </c>
      <c r="BI7" s="48" t="s">
        <v>1888</v>
      </c>
      <c r="BJ7">
        <v>1</v>
      </c>
      <c r="BK7">
        <v>1473.06</v>
      </c>
      <c r="BL7">
        <v>5402042</v>
      </c>
      <c r="BM7">
        <v>3667</v>
      </c>
      <c r="BN7" s="48" t="s">
        <v>2064</v>
      </c>
      <c r="BO7" s="48" t="s">
        <v>2065</v>
      </c>
      <c r="BP7">
        <v>1473.06</v>
      </c>
      <c r="BQ7">
        <v>3739.32</v>
      </c>
      <c r="BR7" s="48" t="s">
        <v>1885</v>
      </c>
      <c r="BS7" s="48" t="s">
        <v>2066</v>
      </c>
      <c r="BT7">
        <v>1</v>
      </c>
      <c r="BU7">
        <v>106200</v>
      </c>
      <c r="BV7">
        <v>106200</v>
      </c>
      <c r="BW7" s="48" t="s">
        <v>2065</v>
      </c>
      <c r="BX7">
        <v>1473.06</v>
      </c>
      <c r="BY7">
        <v>0</v>
      </c>
      <c r="BZ7">
        <v>0</v>
      </c>
      <c r="CA7" s="48" t="s">
        <v>2065</v>
      </c>
      <c r="CB7">
        <v>1473.06</v>
      </c>
      <c r="CC7">
        <v>0</v>
      </c>
      <c r="CD7">
        <v>0</v>
      </c>
      <c r="CE7" s="48" t="s">
        <v>1710</v>
      </c>
      <c r="CF7" s="48" t="s">
        <v>1710</v>
      </c>
      <c r="CG7" s="48" t="s">
        <v>1710</v>
      </c>
      <c r="CH7" s="48" t="s">
        <v>1710</v>
      </c>
      <c r="CI7" s="48" t="s">
        <v>2067</v>
      </c>
      <c r="CJ7" s="48" t="s">
        <v>1710</v>
      </c>
      <c r="CL7" s="48" t="s">
        <v>2835</v>
      </c>
      <c r="CM7" s="48" t="s">
        <v>1710</v>
      </c>
      <c r="CN7" s="48" t="s">
        <v>2068</v>
      </c>
      <c r="CO7" s="48" t="s">
        <v>2069</v>
      </c>
      <c r="CP7" s="48" t="s">
        <v>1710</v>
      </c>
      <c r="CQ7" s="48" t="s">
        <v>1710</v>
      </c>
      <c r="CR7" s="48" t="s">
        <v>1710</v>
      </c>
      <c r="CS7" s="48" t="s">
        <v>1710</v>
      </c>
      <c r="CT7" s="48" t="s">
        <v>1710</v>
      </c>
      <c r="CU7" s="48" t="s">
        <v>1712</v>
      </c>
      <c r="CV7" s="48" t="s">
        <v>1710</v>
      </c>
      <c r="CW7" s="48" t="s">
        <v>1710</v>
      </c>
      <c r="CX7" s="48" t="s">
        <v>2839</v>
      </c>
      <c r="CY7" s="48" t="s">
        <v>1710</v>
      </c>
      <c r="CZ7" s="48" t="s">
        <v>1712</v>
      </c>
      <c r="DA7" s="48" t="s">
        <v>1710</v>
      </c>
      <c r="DB7" s="48" t="s">
        <v>1878</v>
      </c>
      <c r="DC7" s="48" t="s">
        <v>2070</v>
      </c>
      <c r="DD7" s="48" t="s">
        <v>1842</v>
      </c>
      <c r="DE7" s="48" t="s">
        <v>1886</v>
      </c>
      <c r="DF7" s="48" t="s">
        <v>2866</v>
      </c>
      <c r="DG7" s="48" t="s">
        <v>2071</v>
      </c>
      <c r="DH7" s="48" t="s">
        <v>1712</v>
      </c>
      <c r="DI7" s="48" t="s">
        <v>1710</v>
      </c>
      <c r="DJ7" s="48" t="s">
        <v>1710</v>
      </c>
      <c r="DK7" s="48" t="s">
        <v>1710</v>
      </c>
      <c r="DL7" s="48" t="s">
        <v>1710</v>
      </c>
      <c r="DM7" s="48" t="s">
        <v>1710</v>
      </c>
      <c r="DN7" s="48" t="s">
        <v>1710</v>
      </c>
      <c r="DO7" s="48" t="s">
        <v>1710</v>
      </c>
      <c r="DP7" s="48" t="s">
        <v>1710</v>
      </c>
      <c r="DQ7" s="48" t="s">
        <v>1710</v>
      </c>
      <c r="DR7" s="48" t="s">
        <v>2072</v>
      </c>
      <c r="DS7" s="48" t="s">
        <v>1710</v>
      </c>
      <c r="DT7" s="48" t="s">
        <v>1710</v>
      </c>
      <c r="DU7" s="48" t="s">
        <v>2841</v>
      </c>
      <c r="DV7" s="48" t="s">
        <v>2850</v>
      </c>
      <c r="DW7" s="48" t="s">
        <v>1710</v>
      </c>
      <c r="DX7" s="48" t="s">
        <v>2867</v>
      </c>
      <c r="DY7" s="48" t="s">
        <v>1709</v>
      </c>
      <c r="DZ7" s="48" t="s">
        <v>2562</v>
      </c>
      <c r="EA7" s="48" t="s">
        <v>2546</v>
      </c>
      <c r="EB7">
        <v>0</v>
      </c>
      <c r="EC7" s="48" t="s">
        <v>2841</v>
      </c>
      <c r="ED7" s="48" t="s">
        <v>2868</v>
      </c>
      <c r="EE7" s="48" t="s">
        <v>1814</v>
      </c>
      <c r="EF7" s="48" t="s">
        <v>1857</v>
      </c>
      <c r="EG7" s="48" t="s">
        <v>2863</v>
      </c>
      <c r="EH7">
        <v>3.45</v>
      </c>
      <c r="EI7" s="48" t="s">
        <v>1888</v>
      </c>
      <c r="EJ7">
        <v>1</v>
      </c>
      <c r="EK7" s="48" t="s">
        <v>1887</v>
      </c>
      <c r="EL7">
        <v>1</v>
      </c>
      <c r="EM7" s="48" t="s">
        <v>1886</v>
      </c>
      <c r="EN7">
        <v>3.45</v>
      </c>
      <c r="EO7" s="48" t="s">
        <v>2545</v>
      </c>
      <c r="EP7" s="48" t="s">
        <v>2664</v>
      </c>
      <c r="EQ7">
        <v>3739.32</v>
      </c>
      <c r="ER7">
        <v>3739.32</v>
      </c>
      <c r="ES7">
        <v>5402042</v>
      </c>
      <c r="ET7">
        <v>3667</v>
      </c>
      <c r="EU7" s="48" t="s">
        <v>1710</v>
      </c>
      <c r="EV7" s="48" t="s">
        <v>1710</v>
      </c>
      <c r="EW7" s="48" t="s">
        <v>1712</v>
      </c>
      <c r="EX7" s="48" t="s">
        <v>1710</v>
      </c>
      <c r="EY7" s="48" t="s">
        <v>1848</v>
      </c>
      <c r="EZ7" s="48" t="s">
        <v>1710</v>
      </c>
      <c r="FA7" s="48" t="s">
        <v>1710</v>
      </c>
      <c r="FB7" s="48" t="s">
        <v>1712</v>
      </c>
      <c r="FC7" s="48" t="s">
        <v>1710</v>
      </c>
      <c r="FD7" s="48" t="s">
        <v>1710</v>
      </c>
      <c r="FE7" s="48" t="s">
        <v>1814</v>
      </c>
      <c r="FF7" s="48" t="s">
        <v>1815</v>
      </c>
      <c r="FG7" s="48" t="s">
        <v>1710</v>
      </c>
      <c r="FH7">
        <v>1</v>
      </c>
      <c r="FI7" s="48" t="s">
        <v>1846</v>
      </c>
      <c r="FJ7">
        <v>3739.32</v>
      </c>
      <c r="FK7">
        <v>3739.32</v>
      </c>
      <c r="FL7" s="48" t="s">
        <v>2665</v>
      </c>
      <c r="FM7" s="48" t="s">
        <v>2664</v>
      </c>
      <c r="FN7" s="48" t="s">
        <v>1710</v>
      </c>
      <c r="FO7" s="48" t="s">
        <v>1710</v>
      </c>
      <c r="FP7" s="48" t="s">
        <v>1710</v>
      </c>
      <c r="FQ7" s="48" t="s">
        <v>1710</v>
      </c>
      <c r="FR7" s="48" t="s">
        <v>1710</v>
      </c>
      <c r="FS7" s="48" t="s">
        <v>1710</v>
      </c>
      <c r="FT7" s="48" t="s">
        <v>1710</v>
      </c>
      <c r="FU7" s="48" t="s">
        <v>1710</v>
      </c>
      <c r="FV7" s="48"/>
      <c r="FW7" s="56"/>
      <c r="FX7" s="56"/>
      <c r="FY7" s="56"/>
      <c r="FZ7" s="56"/>
      <c r="GA7" s="55" t="str">
        <f t="shared" si="1"/>
        <v>4388426100290X</v>
      </c>
      <c r="GB7" t="str">
        <f>VLOOKUP(B7,수출코드!$C$2:$D$4,2,FALSE)</f>
        <v>Suwon</v>
      </c>
      <c r="GC7" t="str">
        <f>VLOOKUP(L7,수출코드!$A$2:$B$6,2,FALSE)</f>
        <v/>
      </c>
      <c r="GD7" t="str">
        <f>VLOOKUP(M7,수출코드!$E$2:$F$5,2,FALSE)</f>
        <v>일반</v>
      </c>
      <c r="GE7" s="61">
        <f t="shared" si="2"/>
        <v>45975.658333333333</v>
      </c>
      <c r="GF7" s="62">
        <f t="shared" si="0"/>
        <v>46048.481249999997</v>
      </c>
      <c r="GI7" s="48" t="s">
        <v>2729</v>
      </c>
    </row>
    <row r="8" spans="1:191">
      <c r="A8" s="48" t="s">
        <v>2869</v>
      </c>
      <c r="B8" s="48" t="s">
        <v>1821</v>
      </c>
      <c r="C8" s="48" t="s">
        <v>2048</v>
      </c>
      <c r="D8" s="48" t="s">
        <v>2813</v>
      </c>
      <c r="E8" s="48" t="s">
        <v>2869</v>
      </c>
      <c r="F8" s="48" t="s">
        <v>1710</v>
      </c>
      <c r="G8" s="48" t="s">
        <v>2814</v>
      </c>
      <c r="H8" s="48" t="s">
        <v>2870</v>
      </c>
      <c r="I8" s="48" t="s">
        <v>1884</v>
      </c>
      <c r="J8" s="48" t="s">
        <v>2835</v>
      </c>
      <c r="K8" s="48" t="s">
        <v>1877</v>
      </c>
      <c r="L8" s="48" t="s">
        <v>1842</v>
      </c>
      <c r="M8" s="48" t="s">
        <v>1810</v>
      </c>
      <c r="N8" s="48" t="s">
        <v>1842</v>
      </c>
      <c r="O8" s="48" t="s">
        <v>1811</v>
      </c>
      <c r="P8" s="48" t="s">
        <v>2549</v>
      </c>
      <c r="Q8" s="48" t="s">
        <v>2049</v>
      </c>
      <c r="R8" s="48" t="s">
        <v>1838</v>
      </c>
      <c r="S8" s="48" t="s">
        <v>2050</v>
      </c>
      <c r="T8" s="48" t="s">
        <v>1845</v>
      </c>
      <c r="U8" s="48" t="s">
        <v>2049</v>
      </c>
      <c r="V8" s="48" t="s">
        <v>1838</v>
      </c>
      <c r="W8" s="48" t="s">
        <v>2051</v>
      </c>
      <c r="X8" s="48" t="s">
        <v>2052</v>
      </c>
      <c r="Y8" s="48" t="s">
        <v>2050</v>
      </c>
      <c r="Z8" s="48" t="s">
        <v>2053</v>
      </c>
      <c r="AA8" s="48" t="s">
        <v>2054</v>
      </c>
      <c r="AB8" s="48" t="s">
        <v>2817</v>
      </c>
      <c r="AC8" s="48" t="s">
        <v>2055</v>
      </c>
      <c r="AD8" s="48" t="s">
        <v>2056</v>
      </c>
      <c r="AE8" s="48" t="s">
        <v>1710</v>
      </c>
      <c r="AF8" s="48" t="s">
        <v>1710</v>
      </c>
      <c r="AG8" s="48" t="s">
        <v>2057</v>
      </c>
      <c r="AH8" s="48" t="s">
        <v>1815</v>
      </c>
      <c r="AI8" s="48" t="s">
        <v>2058</v>
      </c>
      <c r="AJ8" s="48" t="s">
        <v>1710</v>
      </c>
      <c r="AK8" s="48" t="s">
        <v>2871</v>
      </c>
      <c r="AL8" s="48" t="s">
        <v>2534</v>
      </c>
      <c r="AM8" s="48" t="s">
        <v>1816</v>
      </c>
      <c r="AN8" s="48" t="s">
        <v>2054</v>
      </c>
      <c r="AO8" s="48" t="s">
        <v>1710</v>
      </c>
      <c r="AP8" s="48" t="s">
        <v>1848</v>
      </c>
      <c r="AQ8" s="48" t="s">
        <v>2060</v>
      </c>
      <c r="AR8" s="48" t="s">
        <v>1812</v>
      </c>
      <c r="AS8" s="48" t="s">
        <v>1813</v>
      </c>
      <c r="AT8" s="48" t="s">
        <v>1826</v>
      </c>
      <c r="AU8" s="48" t="s">
        <v>2061</v>
      </c>
      <c r="AV8" s="48" t="s">
        <v>2835</v>
      </c>
      <c r="AW8" s="48" t="s">
        <v>2062</v>
      </c>
      <c r="AX8" s="48" t="s">
        <v>2063</v>
      </c>
      <c r="AY8" s="48" t="s">
        <v>1710</v>
      </c>
      <c r="AZ8" s="48" t="s">
        <v>2872</v>
      </c>
      <c r="BA8" s="48" t="s">
        <v>1710</v>
      </c>
      <c r="BB8" s="48" t="s">
        <v>1709</v>
      </c>
      <c r="BC8" s="48" t="s">
        <v>1710</v>
      </c>
      <c r="BD8" s="48" t="s">
        <v>2864</v>
      </c>
      <c r="BE8" s="52" t="s">
        <v>2865</v>
      </c>
      <c r="BF8" s="48" t="s">
        <v>1710</v>
      </c>
      <c r="BG8" s="48" t="s">
        <v>1814</v>
      </c>
      <c r="BH8">
        <v>1</v>
      </c>
      <c r="BI8" s="48" t="s">
        <v>1888</v>
      </c>
      <c r="BJ8">
        <v>1</v>
      </c>
      <c r="BK8">
        <v>1473.06</v>
      </c>
      <c r="BL8">
        <v>223475</v>
      </c>
      <c r="BM8">
        <v>152</v>
      </c>
      <c r="BN8" s="48" t="s">
        <v>2064</v>
      </c>
      <c r="BO8" s="48" t="s">
        <v>2065</v>
      </c>
      <c r="BP8">
        <v>1473.06</v>
      </c>
      <c r="BQ8">
        <v>174.45</v>
      </c>
      <c r="BR8" s="48" t="s">
        <v>1885</v>
      </c>
      <c r="BS8" s="48" t="s">
        <v>2066</v>
      </c>
      <c r="BT8">
        <v>1</v>
      </c>
      <c r="BU8">
        <v>33500</v>
      </c>
      <c r="BV8">
        <v>33500</v>
      </c>
      <c r="BW8" s="48" t="s">
        <v>2065</v>
      </c>
      <c r="BX8">
        <v>1473.06</v>
      </c>
      <c r="BY8">
        <v>0</v>
      </c>
      <c r="BZ8">
        <v>0</v>
      </c>
      <c r="CA8" s="48" t="s">
        <v>2065</v>
      </c>
      <c r="CB8">
        <v>1473.06</v>
      </c>
      <c r="CC8">
        <v>0</v>
      </c>
      <c r="CD8">
        <v>0</v>
      </c>
      <c r="CE8" s="48" t="s">
        <v>1710</v>
      </c>
      <c r="CF8" s="48" t="s">
        <v>1710</v>
      </c>
      <c r="CG8" s="48" t="s">
        <v>1710</v>
      </c>
      <c r="CH8" s="48" t="s">
        <v>1710</v>
      </c>
      <c r="CI8" s="48" t="s">
        <v>2067</v>
      </c>
      <c r="CJ8" s="48" t="s">
        <v>1710</v>
      </c>
      <c r="CL8" s="48" t="s">
        <v>2835</v>
      </c>
      <c r="CM8" s="48" t="s">
        <v>1710</v>
      </c>
      <c r="CN8" s="48" t="s">
        <v>2068</v>
      </c>
      <c r="CO8" s="48" t="s">
        <v>2069</v>
      </c>
      <c r="CP8" s="48" t="s">
        <v>1710</v>
      </c>
      <c r="CQ8" s="48" t="s">
        <v>1710</v>
      </c>
      <c r="CR8" s="48" t="s">
        <v>1710</v>
      </c>
      <c r="CS8" s="48" t="s">
        <v>1710</v>
      </c>
      <c r="CT8" s="48" t="s">
        <v>1710</v>
      </c>
      <c r="CU8" s="48" t="s">
        <v>1712</v>
      </c>
      <c r="CV8" s="48" t="s">
        <v>1710</v>
      </c>
      <c r="CW8" s="48" t="s">
        <v>1710</v>
      </c>
      <c r="CX8" s="48" t="s">
        <v>2839</v>
      </c>
      <c r="CY8" s="48" t="s">
        <v>1710</v>
      </c>
      <c r="CZ8" s="48" t="s">
        <v>1712</v>
      </c>
      <c r="DA8" s="48" t="s">
        <v>1710</v>
      </c>
      <c r="DB8" s="48" t="s">
        <v>1878</v>
      </c>
      <c r="DC8" s="48" t="s">
        <v>2070</v>
      </c>
      <c r="DD8" s="48" t="s">
        <v>1842</v>
      </c>
      <c r="DE8" s="48" t="s">
        <v>1886</v>
      </c>
      <c r="DF8" s="48" t="s">
        <v>2873</v>
      </c>
      <c r="DG8" s="48" t="s">
        <v>2071</v>
      </c>
      <c r="DH8" s="48" t="s">
        <v>1712</v>
      </c>
      <c r="DI8" s="48" t="s">
        <v>1710</v>
      </c>
      <c r="DJ8" s="48" t="s">
        <v>1710</v>
      </c>
      <c r="DK8" s="48" t="s">
        <v>1710</v>
      </c>
      <c r="DL8" s="48" t="s">
        <v>1710</v>
      </c>
      <c r="DM8" s="48" t="s">
        <v>1710</v>
      </c>
      <c r="DN8" s="48" t="s">
        <v>1710</v>
      </c>
      <c r="DO8" s="48" t="s">
        <v>1710</v>
      </c>
      <c r="DP8" s="48" t="s">
        <v>1710</v>
      </c>
      <c r="DQ8" s="48" t="s">
        <v>1710</v>
      </c>
      <c r="DR8" s="48" t="s">
        <v>2072</v>
      </c>
      <c r="DS8" s="48" t="s">
        <v>1710</v>
      </c>
      <c r="DT8" s="48" t="s">
        <v>1710</v>
      </c>
      <c r="DU8" s="48" t="s">
        <v>2841</v>
      </c>
      <c r="DV8" s="48" t="s">
        <v>2850</v>
      </c>
      <c r="DW8" s="48" t="s">
        <v>1710</v>
      </c>
      <c r="DX8" s="48" t="s">
        <v>2874</v>
      </c>
      <c r="DY8" s="48" t="s">
        <v>1709</v>
      </c>
      <c r="DZ8" s="48" t="s">
        <v>2562</v>
      </c>
      <c r="EA8" s="48" t="s">
        <v>2546</v>
      </c>
      <c r="EB8">
        <v>0</v>
      </c>
      <c r="EC8" s="48" t="s">
        <v>2841</v>
      </c>
      <c r="ED8" s="48" t="s">
        <v>2868</v>
      </c>
      <c r="EE8" s="48" t="s">
        <v>1814</v>
      </c>
      <c r="EF8" s="48" t="s">
        <v>1847</v>
      </c>
      <c r="EG8" s="48" t="s">
        <v>2872</v>
      </c>
      <c r="EH8">
        <v>0.499</v>
      </c>
      <c r="EI8" s="48" t="s">
        <v>1888</v>
      </c>
      <c r="EJ8">
        <v>0</v>
      </c>
      <c r="EK8" s="48" t="s">
        <v>1710</v>
      </c>
      <c r="EL8">
        <v>1</v>
      </c>
      <c r="EM8" s="48" t="s">
        <v>1886</v>
      </c>
      <c r="EN8">
        <v>0.499</v>
      </c>
      <c r="EO8" s="48" t="s">
        <v>2529</v>
      </c>
      <c r="EP8" s="48" t="s">
        <v>2875</v>
      </c>
      <c r="EQ8">
        <v>174.45</v>
      </c>
      <c r="ER8">
        <v>174.45</v>
      </c>
      <c r="ES8">
        <v>223475</v>
      </c>
      <c r="ET8">
        <v>152</v>
      </c>
      <c r="EU8" s="48" t="s">
        <v>1710</v>
      </c>
      <c r="EV8" s="48" t="s">
        <v>1710</v>
      </c>
      <c r="EW8" s="48" t="s">
        <v>1712</v>
      </c>
      <c r="EX8" s="48" t="s">
        <v>1710</v>
      </c>
      <c r="EY8" s="48" t="s">
        <v>1848</v>
      </c>
      <c r="EZ8" s="48" t="s">
        <v>1710</v>
      </c>
      <c r="FA8" s="48" t="s">
        <v>1710</v>
      </c>
      <c r="FB8" s="48" t="s">
        <v>1712</v>
      </c>
      <c r="FC8" s="48" t="s">
        <v>1710</v>
      </c>
      <c r="FD8" s="48" t="s">
        <v>1710</v>
      </c>
      <c r="FE8" s="48" t="s">
        <v>1814</v>
      </c>
      <c r="FF8" s="48" t="s">
        <v>1815</v>
      </c>
      <c r="FG8" s="48" t="s">
        <v>1710</v>
      </c>
      <c r="FH8">
        <v>1</v>
      </c>
      <c r="FI8" s="48" t="s">
        <v>1846</v>
      </c>
      <c r="FJ8">
        <v>174.45</v>
      </c>
      <c r="FK8">
        <v>174.45</v>
      </c>
      <c r="FL8" s="48" t="s">
        <v>2876</v>
      </c>
      <c r="FM8" s="48" t="s">
        <v>2875</v>
      </c>
      <c r="FN8" s="48" t="s">
        <v>1710</v>
      </c>
      <c r="FO8" s="48" t="s">
        <v>1710</v>
      </c>
      <c r="FP8" s="48" t="s">
        <v>1710</v>
      </c>
      <c r="FQ8" s="48" t="s">
        <v>1710</v>
      </c>
      <c r="FR8" s="48" t="s">
        <v>1710</v>
      </c>
      <c r="FS8" s="48" t="s">
        <v>1710</v>
      </c>
      <c r="FT8" s="48" t="s">
        <v>1710</v>
      </c>
      <c r="FU8" s="48" t="s">
        <v>1710</v>
      </c>
      <c r="FV8" s="48"/>
      <c r="FW8" s="56"/>
      <c r="FX8" s="56"/>
      <c r="FY8" s="56"/>
      <c r="FZ8" s="56"/>
      <c r="GA8" s="55" t="str">
        <f t="shared" si="1"/>
        <v>4388426100291X</v>
      </c>
      <c r="GB8" t="str">
        <f>VLOOKUP(B8,수출코드!$C$2:$D$4,2,FALSE)</f>
        <v>Suwon</v>
      </c>
      <c r="GC8" t="str">
        <f>VLOOKUP(L8,수출코드!$A$2:$B$6,2,FALSE)</f>
        <v/>
      </c>
      <c r="GD8" t="str">
        <f>VLOOKUP(M8,수출코드!$E$2:$F$5,2,FALSE)</f>
        <v>일반</v>
      </c>
      <c r="GE8" s="61">
        <f t="shared" si="2"/>
        <v>45975.658333333333</v>
      </c>
      <c r="GF8" s="62">
        <f t="shared" si="0"/>
        <v>46048.481249999997</v>
      </c>
      <c r="GI8" s="48" t="s">
        <v>2729</v>
      </c>
    </row>
    <row r="9" spans="1:191">
      <c r="A9" s="48" t="s">
        <v>2877</v>
      </c>
      <c r="B9" s="48" t="s">
        <v>1821</v>
      </c>
      <c r="C9" s="48" t="s">
        <v>2048</v>
      </c>
      <c r="D9" s="48" t="s">
        <v>2813</v>
      </c>
      <c r="E9" s="48" t="s">
        <v>2877</v>
      </c>
      <c r="F9" s="48" t="s">
        <v>1710</v>
      </c>
      <c r="G9" s="48" t="s">
        <v>2814</v>
      </c>
      <c r="H9" s="48" t="s">
        <v>2878</v>
      </c>
      <c r="I9" s="48" t="s">
        <v>1884</v>
      </c>
      <c r="J9" s="48" t="s">
        <v>2835</v>
      </c>
      <c r="K9" s="48" t="s">
        <v>1877</v>
      </c>
      <c r="L9" s="48" t="s">
        <v>1842</v>
      </c>
      <c r="M9" s="48" t="s">
        <v>1810</v>
      </c>
      <c r="N9" s="48" t="s">
        <v>1842</v>
      </c>
      <c r="O9" s="48" t="s">
        <v>1811</v>
      </c>
      <c r="P9" s="48" t="s">
        <v>2549</v>
      </c>
      <c r="Q9" s="48" t="s">
        <v>2049</v>
      </c>
      <c r="R9" s="48" t="s">
        <v>1838</v>
      </c>
      <c r="S9" s="48" t="s">
        <v>2050</v>
      </c>
      <c r="T9" s="48" t="s">
        <v>1845</v>
      </c>
      <c r="U9" s="48" t="s">
        <v>2049</v>
      </c>
      <c r="V9" s="48" t="s">
        <v>1838</v>
      </c>
      <c r="W9" s="48" t="s">
        <v>2051</v>
      </c>
      <c r="X9" s="48" t="s">
        <v>2052</v>
      </c>
      <c r="Y9" s="48" t="s">
        <v>2050</v>
      </c>
      <c r="Z9" s="48" t="s">
        <v>2053</v>
      </c>
      <c r="AA9" s="48" t="s">
        <v>2054</v>
      </c>
      <c r="AB9" s="48" t="s">
        <v>2817</v>
      </c>
      <c r="AC9" s="48" t="s">
        <v>2055</v>
      </c>
      <c r="AD9" s="48" t="s">
        <v>2056</v>
      </c>
      <c r="AE9" s="48" t="s">
        <v>1710</v>
      </c>
      <c r="AF9" s="48" t="s">
        <v>1710</v>
      </c>
      <c r="AG9" s="48" t="s">
        <v>2057</v>
      </c>
      <c r="AH9" s="48" t="s">
        <v>1815</v>
      </c>
      <c r="AI9" s="48" t="s">
        <v>2058</v>
      </c>
      <c r="AJ9" s="48" t="s">
        <v>1710</v>
      </c>
      <c r="AK9" s="48" t="s">
        <v>2571</v>
      </c>
      <c r="AL9" s="48" t="s">
        <v>2572</v>
      </c>
      <c r="AM9" s="48" t="s">
        <v>1816</v>
      </c>
      <c r="AN9" s="48" t="s">
        <v>2054</v>
      </c>
      <c r="AO9" s="48" t="s">
        <v>1710</v>
      </c>
      <c r="AP9" s="48" t="s">
        <v>1853</v>
      </c>
      <c r="AQ9" s="48" t="s">
        <v>2086</v>
      </c>
      <c r="AR9" s="48" t="s">
        <v>1812</v>
      </c>
      <c r="AS9" s="48" t="s">
        <v>1813</v>
      </c>
      <c r="AT9" s="48" t="s">
        <v>1826</v>
      </c>
      <c r="AU9" s="48" t="s">
        <v>2061</v>
      </c>
      <c r="AV9" s="48" t="s">
        <v>2835</v>
      </c>
      <c r="AW9" s="48" t="s">
        <v>2062</v>
      </c>
      <c r="AX9" s="48" t="s">
        <v>2063</v>
      </c>
      <c r="AY9" s="48" t="s">
        <v>1710</v>
      </c>
      <c r="AZ9" s="48" t="s">
        <v>2879</v>
      </c>
      <c r="BA9" s="48" t="s">
        <v>1710</v>
      </c>
      <c r="BB9" s="48" t="s">
        <v>1709</v>
      </c>
      <c r="BC9" s="48" t="s">
        <v>1710</v>
      </c>
      <c r="BD9" s="48" t="s">
        <v>2864</v>
      </c>
      <c r="BE9" s="52" t="s">
        <v>2865</v>
      </c>
      <c r="BF9" s="48" t="s">
        <v>1710</v>
      </c>
      <c r="BG9" s="48" t="s">
        <v>1814</v>
      </c>
      <c r="BH9">
        <v>4</v>
      </c>
      <c r="BI9" s="48" t="s">
        <v>1888</v>
      </c>
      <c r="BJ9">
        <v>1</v>
      </c>
      <c r="BK9">
        <v>1473.06</v>
      </c>
      <c r="BL9">
        <v>641678</v>
      </c>
      <c r="BM9">
        <v>436</v>
      </c>
      <c r="BN9" s="48" t="s">
        <v>2064</v>
      </c>
      <c r="BO9" s="48" t="s">
        <v>2065</v>
      </c>
      <c r="BP9">
        <v>1473.06</v>
      </c>
      <c r="BQ9">
        <v>467.38</v>
      </c>
      <c r="BR9" s="48" t="s">
        <v>1885</v>
      </c>
      <c r="BS9" s="48" t="s">
        <v>2066</v>
      </c>
      <c r="BT9">
        <v>1</v>
      </c>
      <c r="BU9">
        <v>46800</v>
      </c>
      <c r="BV9">
        <v>46800</v>
      </c>
      <c r="BW9" s="48" t="s">
        <v>2065</v>
      </c>
      <c r="BX9">
        <v>1473.06</v>
      </c>
      <c r="BY9">
        <v>0</v>
      </c>
      <c r="BZ9">
        <v>0</v>
      </c>
      <c r="CA9" s="48" t="s">
        <v>2065</v>
      </c>
      <c r="CB9">
        <v>1473.06</v>
      </c>
      <c r="CC9">
        <v>0</v>
      </c>
      <c r="CD9">
        <v>0</v>
      </c>
      <c r="CE9" s="48" t="s">
        <v>1710</v>
      </c>
      <c r="CF9" s="48" t="s">
        <v>1710</v>
      </c>
      <c r="CG9" s="48" t="s">
        <v>1710</v>
      </c>
      <c r="CH9" s="48" t="s">
        <v>1710</v>
      </c>
      <c r="CI9" s="48" t="s">
        <v>2067</v>
      </c>
      <c r="CJ9" s="48" t="s">
        <v>1710</v>
      </c>
      <c r="CL9" s="48" t="s">
        <v>2835</v>
      </c>
      <c r="CM9" s="48" t="s">
        <v>1710</v>
      </c>
      <c r="CN9" s="48" t="s">
        <v>2068</v>
      </c>
      <c r="CO9" s="48" t="s">
        <v>2069</v>
      </c>
      <c r="CP9" s="48" t="s">
        <v>1710</v>
      </c>
      <c r="CQ9" s="48" t="s">
        <v>1710</v>
      </c>
      <c r="CR9" s="48" t="s">
        <v>1710</v>
      </c>
      <c r="CS9" s="48" t="s">
        <v>1710</v>
      </c>
      <c r="CT9" s="48" t="s">
        <v>1710</v>
      </c>
      <c r="CU9" s="48" t="s">
        <v>1712</v>
      </c>
      <c r="CV9" s="48" t="s">
        <v>1710</v>
      </c>
      <c r="CW9" s="48" t="s">
        <v>1710</v>
      </c>
      <c r="CX9" s="48" t="s">
        <v>2839</v>
      </c>
      <c r="CY9" s="48" t="s">
        <v>1710</v>
      </c>
      <c r="CZ9" s="48" t="s">
        <v>1712</v>
      </c>
      <c r="DA9" s="48" t="s">
        <v>1710</v>
      </c>
      <c r="DB9" s="48" t="s">
        <v>1878</v>
      </c>
      <c r="DC9" s="48" t="s">
        <v>2070</v>
      </c>
      <c r="DD9" s="48" t="s">
        <v>1842</v>
      </c>
      <c r="DE9" s="48" t="s">
        <v>1886</v>
      </c>
      <c r="DF9" s="48" t="s">
        <v>2880</v>
      </c>
      <c r="DG9" s="48" t="s">
        <v>2071</v>
      </c>
      <c r="DH9" s="48" t="s">
        <v>1712</v>
      </c>
      <c r="DI9" s="48" t="s">
        <v>1710</v>
      </c>
      <c r="DJ9" s="48" t="s">
        <v>1710</v>
      </c>
      <c r="DK9" s="48" t="s">
        <v>1710</v>
      </c>
      <c r="DL9" s="48" t="s">
        <v>1710</v>
      </c>
      <c r="DM9" s="48" t="s">
        <v>1710</v>
      </c>
      <c r="DN9" s="48" t="s">
        <v>1710</v>
      </c>
      <c r="DO9" s="48" t="s">
        <v>1710</v>
      </c>
      <c r="DP9" s="48" t="s">
        <v>1710</v>
      </c>
      <c r="DQ9" s="48" t="s">
        <v>1710</v>
      </c>
      <c r="DR9" s="48" t="s">
        <v>2072</v>
      </c>
      <c r="DS9" s="48" t="s">
        <v>1710</v>
      </c>
      <c r="DT9" s="48" t="s">
        <v>1710</v>
      </c>
      <c r="DU9" s="48" t="s">
        <v>2841</v>
      </c>
      <c r="DV9" s="48" t="s">
        <v>2850</v>
      </c>
      <c r="DW9" s="48" t="s">
        <v>1710</v>
      </c>
      <c r="DX9" s="48" t="s">
        <v>2881</v>
      </c>
      <c r="DY9" s="48" t="s">
        <v>1709</v>
      </c>
      <c r="DZ9" s="48" t="s">
        <v>2562</v>
      </c>
      <c r="EA9" s="48" t="s">
        <v>2546</v>
      </c>
      <c r="EB9">
        <v>0</v>
      </c>
      <c r="EC9" s="48" t="s">
        <v>2841</v>
      </c>
      <c r="ED9" s="48" t="s">
        <v>2868</v>
      </c>
      <c r="EE9" s="48" t="s">
        <v>1814</v>
      </c>
      <c r="EF9" s="48" t="s">
        <v>2691</v>
      </c>
      <c r="EG9" s="48" t="s">
        <v>2879</v>
      </c>
      <c r="EH9">
        <v>2.08</v>
      </c>
      <c r="EI9" s="48" t="s">
        <v>1888</v>
      </c>
      <c r="EJ9">
        <v>0</v>
      </c>
      <c r="EK9" s="48" t="s">
        <v>1710</v>
      </c>
      <c r="EL9">
        <v>1</v>
      </c>
      <c r="EM9" s="48" t="s">
        <v>1886</v>
      </c>
      <c r="EN9">
        <v>2.08</v>
      </c>
      <c r="EO9" s="48" t="s">
        <v>2593</v>
      </c>
      <c r="EP9" s="48" t="s">
        <v>2882</v>
      </c>
      <c r="EQ9">
        <v>467.38</v>
      </c>
      <c r="ER9">
        <v>467.38</v>
      </c>
      <c r="ES9">
        <v>641678</v>
      </c>
      <c r="ET9">
        <v>436</v>
      </c>
      <c r="EU9" s="48" t="s">
        <v>1710</v>
      </c>
      <c r="EV9" s="48" t="s">
        <v>1710</v>
      </c>
      <c r="EW9" s="48" t="s">
        <v>1712</v>
      </c>
      <c r="EX9" s="48" t="s">
        <v>1710</v>
      </c>
      <c r="EY9" s="48" t="s">
        <v>1843</v>
      </c>
      <c r="EZ9" s="48" t="s">
        <v>1710</v>
      </c>
      <c r="FA9" s="48" t="s">
        <v>1710</v>
      </c>
      <c r="FB9" s="48" t="s">
        <v>1712</v>
      </c>
      <c r="FC9" s="48" t="s">
        <v>1710</v>
      </c>
      <c r="FD9" s="48" t="s">
        <v>1710</v>
      </c>
      <c r="FE9" s="48" t="s">
        <v>1814</v>
      </c>
      <c r="FF9" s="48" t="s">
        <v>1815</v>
      </c>
      <c r="FG9" s="48" t="s">
        <v>1710</v>
      </c>
      <c r="FH9">
        <v>52</v>
      </c>
      <c r="FI9" s="48" t="s">
        <v>2727</v>
      </c>
      <c r="FJ9">
        <v>467.38</v>
      </c>
      <c r="FK9">
        <v>8.9879999999999995</v>
      </c>
      <c r="FL9" s="48" t="s">
        <v>2883</v>
      </c>
      <c r="FM9" s="48" t="s">
        <v>2882</v>
      </c>
      <c r="FN9" s="48" t="s">
        <v>1710</v>
      </c>
      <c r="FO9" s="48" t="s">
        <v>1710</v>
      </c>
      <c r="FP9" s="48" t="s">
        <v>1710</v>
      </c>
      <c r="FQ9" s="48" t="s">
        <v>1710</v>
      </c>
      <c r="FR9" s="48" t="s">
        <v>1710</v>
      </c>
      <c r="FS9" s="48" t="s">
        <v>1710</v>
      </c>
      <c r="FT9" s="48" t="s">
        <v>1710</v>
      </c>
      <c r="FU9" s="48" t="s">
        <v>1710</v>
      </c>
      <c r="FV9" s="48"/>
      <c r="FW9" s="56"/>
      <c r="FX9" s="56"/>
      <c r="FY9" s="56"/>
      <c r="FZ9" s="56"/>
      <c r="GA9" s="55" t="str">
        <f t="shared" si="1"/>
        <v>4388426100292X</v>
      </c>
      <c r="GB9" t="str">
        <f>VLOOKUP(B9,수출코드!$C$2:$D$4,2,FALSE)</f>
        <v>Suwon</v>
      </c>
      <c r="GC9" t="str">
        <f>VLOOKUP(L9,수출코드!$A$2:$B$6,2,FALSE)</f>
        <v/>
      </c>
      <c r="GD9" t="str">
        <f>VLOOKUP(M9,수출코드!$E$2:$F$5,2,FALSE)</f>
        <v>일반</v>
      </c>
      <c r="GE9" s="61">
        <f t="shared" si="2"/>
        <v>45975.658333333333</v>
      </c>
      <c r="GF9" s="62">
        <f t="shared" si="0"/>
        <v>46048.481249999997</v>
      </c>
      <c r="GI9" s="48" t="s">
        <v>2729</v>
      </c>
    </row>
    <row r="10" spans="1:191">
      <c r="A10" s="48" t="s">
        <v>2884</v>
      </c>
      <c r="B10" s="48" t="s">
        <v>1821</v>
      </c>
      <c r="C10" s="48" t="s">
        <v>2048</v>
      </c>
      <c r="D10" s="48" t="s">
        <v>2813</v>
      </c>
      <c r="E10" s="48" t="s">
        <v>2884</v>
      </c>
      <c r="F10" s="48" t="s">
        <v>1710</v>
      </c>
      <c r="G10" s="48" t="s">
        <v>2814</v>
      </c>
      <c r="H10" s="48" t="s">
        <v>2885</v>
      </c>
      <c r="I10" s="48" t="s">
        <v>1884</v>
      </c>
      <c r="J10" s="48" t="s">
        <v>2835</v>
      </c>
      <c r="K10" s="48" t="s">
        <v>1877</v>
      </c>
      <c r="L10" s="48" t="s">
        <v>1842</v>
      </c>
      <c r="M10" s="48" t="s">
        <v>1810</v>
      </c>
      <c r="N10" s="48" t="s">
        <v>1842</v>
      </c>
      <c r="O10" s="48" t="s">
        <v>1811</v>
      </c>
      <c r="P10" s="48" t="s">
        <v>2549</v>
      </c>
      <c r="Q10" s="48" t="s">
        <v>2049</v>
      </c>
      <c r="R10" s="48" t="s">
        <v>1838</v>
      </c>
      <c r="S10" s="48" t="s">
        <v>2050</v>
      </c>
      <c r="T10" s="48" t="s">
        <v>1845</v>
      </c>
      <c r="U10" s="48" t="s">
        <v>2049</v>
      </c>
      <c r="V10" s="48" t="s">
        <v>1838</v>
      </c>
      <c r="W10" s="48" t="s">
        <v>2051</v>
      </c>
      <c r="X10" s="48" t="s">
        <v>2052</v>
      </c>
      <c r="Y10" s="48" t="s">
        <v>2050</v>
      </c>
      <c r="Z10" s="48" t="s">
        <v>2053</v>
      </c>
      <c r="AA10" s="48" t="s">
        <v>2054</v>
      </c>
      <c r="AB10" s="48" t="s">
        <v>2817</v>
      </c>
      <c r="AC10" s="48" t="s">
        <v>2055</v>
      </c>
      <c r="AD10" s="48" t="s">
        <v>2056</v>
      </c>
      <c r="AE10" s="48" t="s">
        <v>1710</v>
      </c>
      <c r="AF10" s="48" t="s">
        <v>1710</v>
      </c>
      <c r="AG10" s="48" t="s">
        <v>2057</v>
      </c>
      <c r="AH10" s="48" t="s">
        <v>1815</v>
      </c>
      <c r="AI10" s="48" t="s">
        <v>2058</v>
      </c>
      <c r="AJ10" s="48" t="s">
        <v>1710</v>
      </c>
      <c r="AK10" s="48" t="s">
        <v>2099</v>
      </c>
      <c r="AL10" s="48" t="s">
        <v>1866</v>
      </c>
      <c r="AM10" s="48" t="s">
        <v>1816</v>
      </c>
      <c r="AN10" s="48" t="s">
        <v>2054</v>
      </c>
      <c r="AO10" s="48" t="s">
        <v>1710</v>
      </c>
      <c r="AP10" s="48" t="s">
        <v>1854</v>
      </c>
      <c r="AQ10" s="48" t="s">
        <v>2081</v>
      </c>
      <c r="AR10" s="48" t="s">
        <v>1812</v>
      </c>
      <c r="AS10" s="48" t="s">
        <v>1813</v>
      </c>
      <c r="AT10" s="48" t="s">
        <v>1826</v>
      </c>
      <c r="AU10" s="48" t="s">
        <v>2061</v>
      </c>
      <c r="AV10" s="48" t="s">
        <v>2835</v>
      </c>
      <c r="AW10" s="48" t="s">
        <v>2062</v>
      </c>
      <c r="AX10" s="48" t="s">
        <v>2063</v>
      </c>
      <c r="AY10" s="48" t="s">
        <v>1710</v>
      </c>
      <c r="AZ10" s="48" t="s">
        <v>2886</v>
      </c>
      <c r="BA10" s="48" t="s">
        <v>1710</v>
      </c>
      <c r="BB10" s="48" t="s">
        <v>1709</v>
      </c>
      <c r="BC10" s="48" t="s">
        <v>1710</v>
      </c>
      <c r="BD10" s="48" t="s">
        <v>2097</v>
      </c>
      <c r="BE10" s="52" t="s">
        <v>2887</v>
      </c>
      <c r="BF10" s="48" t="s">
        <v>1710</v>
      </c>
      <c r="BG10" s="48" t="s">
        <v>1819</v>
      </c>
      <c r="BH10">
        <v>32</v>
      </c>
      <c r="BI10" s="48" t="s">
        <v>1888</v>
      </c>
      <c r="BJ10">
        <v>1</v>
      </c>
      <c r="BK10">
        <v>1473.06</v>
      </c>
      <c r="BL10">
        <v>21701710</v>
      </c>
      <c r="BM10">
        <v>14732</v>
      </c>
      <c r="BN10" s="48" t="s">
        <v>2064</v>
      </c>
      <c r="BO10" s="48" t="s">
        <v>2065</v>
      </c>
      <c r="BP10">
        <v>1473.06</v>
      </c>
      <c r="BQ10">
        <v>14969.46</v>
      </c>
      <c r="BR10" s="48" t="s">
        <v>1885</v>
      </c>
      <c r="BS10" s="48" t="s">
        <v>2066</v>
      </c>
      <c r="BT10">
        <v>1</v>
      </c>
      <c r="BU10">
        <v>349200</v>
      </c>
      <c r="BV10">
        <v>349200</v>
      </c>
      <c r="BW10" s="48" t="s">
        <v>2065</v>
      </c>
      <c r="BX10">
        <v>1473.06</v>
      </c>
      <c r="BY10">
        <v>0</v>
      </c>
      <c r="BZ10">
        <v>0</v>
      </c>
      <c r="CA10" s="48" t="s">
        <v>2065</v>
      </c>
      <c r="CB10">
        <v>1473.06</v>
      </c>
      <c r="CC10">
        <v>0</v>
      </c>
      <c r="CD10">
        <v>0</v>
      </c>
      <c r="CE10" s="48" t="s">
        <v>1710</v>
      </c>
      <c r="CF10" s="48" t="s">
        <v>1710</v>
      </c>
      <c r="CG10" s="48" t="s">
        <v>1710</v>
      </c>
      <c r="CH10" s="48" t="s">
        <v>1710</v>
      </c>
      <c r="CI10" s="48" t="s">
        <v>2067</v>
      </c>
      <c r="CJ10" s="48" t="s">
        <v>1710</v>
      </c>
      <c r="CL10" s="48" t="s">
        <v>2835</v>
      </c>
      <c r="CM10" s="48" t="s">
        <v>1710</v>
      </c>
      <c r="CN10" s="48" t="s">
        <v>2068</v>
      </c>
      <c r="CO10" s="48" t="s">
        <v>2069</v>
      </c>
      <c r="CP10" s="48" t="s">
        <v>1710</v>
      </c>
      <c r="CQ10" s="48" t="s">
        <v>1710</v>
      </c>
      <c r="CR10" s="48" t="s">
        <v>1710</v>
      </c>
      <c r="CS10" s="48" t="s">
        <v>1710</v>
      </c>
      <c r="CT10" s="48" t="s">
        <v>1710</v>
      </c>
      <c r="CU10" s="48" t="s">
        <v>1712</v>
      </c>
      <c r="CV10" s="48" t="s">
        <v>1710</v>
      </c>
      <c r="CW10" s="48" t="s">
        <v>1710</v>
      </c>
      <c r="CX10" s="48" t="s">
        <v>2839</v>
      </c>
      <c r="CY10" s="48" t="s">
        <v>1710</v>
      </c>
      <c r="CZ10" s="48" t="s">
        <v>1712</v>
      </c>
      <c r="DA10" s="48" t="s">
        <v>1710</v>
      </c>
      <c r="DB10" s="48" t="s">
        <v>1878</v>
      </c>
      <c r="DC10" s="48" t="s">
        <v>2070</v>
      </c>
      <c r="DD10" s="48" t="s">
        <v>1842</v>
      </c>
      <c r="DE10" s="48" t="s">
        <v>1886</v>
      </c>
      <c r="DF10" s="48" t="s">
        <v>2888</v>
      </c>
      <c r="DG10" s="48" t="s">
        <v>2071</v>
      </c>
      <c r="DH10" s="48" t="s">
        <v>1712</v>
      </c>
      <c r="DI10" s="48" t="s">
        <v>1710</v>
      </c>
      <c r="DJ10" s="48" t="s">
        <v>1710</v>
      </c>
      <c r="DK10" s="48" t="s">
        <v>1710</v>
      </c>
      <c r="DL10" s="48" t="s">
        <v>1710</v>
      </c>
      <c r="DM10" s="48" t="s">
        <v>1710</v>
      </c>
      <c r="DN10" s="48" t="s">
        <v>1710</v>
      </c>
      <c r="DO10" s="48" t="s">
        <v>1710</v>
      </c>
      <c r="DP10" s="48" t="s">
        <v>1710</v>
      </c>
      <c r="DQ10" s="48" t="s">
        <v>1710</v>
      </c>
      <c r="DR10" s="48" t="s">
        <v>2072</v>
      </c>
      <c r="DS10" s="48" t="s">
        <v>1710</v>
      </c>
      <c r="DT10" s="48" t="s">
        <v>1710</v>
      </c>
      <c r="DU10" s="48" t="s">
        <v>2841</v>
      </c>
      <c r="DV10" s="48" t="s">
        <v>2816</v>
      </c>
      <c r="DW10" s="48" t="s">
        <v>1710</v>
      </c>
      <c r="DX10" s="48" t="s">
        <v>2889</v>
      </c>
      <c r="DY10" s="48" t="s">
        <v>1709</v>
      </c>
      <c r="DZ10" s="48" t="s">
        <v>2562</v>
      </c>
      <c r="EA10" s="48" t="s">
        <v>2546</v>
      </c>
      <c r="EB10">
        <v>0</v>
      </c>
      <c r="EC10" s="48" t="s">
        <v>2841</v>
      </c>
      <c r="ED10" s="48" t="s">
        <v>2890</v>
      </c>
      <c r="EE10" s="48" t="s">
        <v>1814</v>
      </c>
      <c r="EF10" s="48" t="s">
        <v>1861</v>
      </c>
      <c r="EG10" s="48" t="s">
        <v>2886</v>
      </c>
      <c r="EH10">
        <v>21</v>
      </c>
      <c r="EI10" s="48" t="s">
        <v>1888</v>
      </c>
      <c r="EJ10">
        <v>0</v>
      </c>
      <c r="EK10" s="48" t="s">
        <v>1710</v>
      </c>
      <c r="EL10">
        <v>1</v>
      </c>
      <c r="EM10" s="48" t="s">
        <v>1886</v>
      </c>
      <c r="EN10">
        <v>21</v>
      </c>
      <c r="EO10" s="48" t="s">
        <v>2518</v>
      </c>
      <c r="EP10" s="48" t="s">
        <v>2891</v>
      </c>
      <c r="EQ10">
        <v>9901.5</v>
      </c>
      <c r="ER10">
        <v>9901.5</v>
      </c>
      <c r="ES10">
        <v>14354526</v>
      </c>
      <c r="ET10">
        <v>9745</v>
      </c>
      <c r="EU10" s="48" t="s">
        <v>1710</v>
      </c>
      <c r="EV10" s="48" t="s">
        <v>1710</v>
      </c>
      <c r="EW10" s="48" t="s">
        <v>1712</v>
      </c>
      <c r="EX10" s="48" t="s">
        <v>1710</v>
      </c>
      <c r="EY10" s="48" t="s">
        <v>1848</v>
      </c>
      <c r="EZ10" s="48" t="s">
        <v>1710</v>
      </c>
      <c r="FA10" s="48" t="s">
        <v>1710</v>
      </c>
      <c r="FB10" s="48" t="s">
        <v>1712</v>
      </c>
      <c r="FC10" s="48" t="s">
        <v>1710</v>
      </c>
      <c r="FD10" s="48" t="s">
        <v>1710</v>
      </c>
      <c r="FE10" s="48" t="s">
        <v>1814</v>
      </c>
      <c r="FF10" s="48" t="s">
        <v>1815</v>
      </c>
      <c r="FG10" s="48" t="s">
        <v>1710</v>
      </c>
      <c r="FH10">
        <v>2</v>
      </c>
      <c r="FI10" s="48" t="s">
        <v>1846</v>
      </c>
      <c r="FJ10">
        <v>9901.5</v>
      </c>
      <c r="FK10">
        <v>4950.75</v>
      </c>
      <c r="FL10" s="48" t="s">
        <v>2892</v>
      </c>
      <c r="FM10" s="48" t="s">
        <v>2891</v>
      </c>
      <c r="FN10" s="48" t="s">
        <v>1710</v>
      </c>
      <c r="FO10" s="48" t="s">
        <v>1710</v>
      </c>
      <c r="FP10" s="48" t="s">
        <v>1710</v>
      </c>
      <c r="FQ10" s="48" t="s">
        <v>1710</v>
      </c>
      <c r="FR10" s="48" t="s">
        <v>1710</v>
      </c>
      <c r="FS10" s="48" t="s">
        <v>1710</v>
      </c>
      <c r="FT10" s="48" t="s">
        <v>1710</v>
      </c>
      <c r="FU10" s="48" t="s">
        <v>1710</v>
      </c>
      <c r="FV10" s="48"/>
      <c r="FW10" s="56"/>
      <c r="FX10" s="56"/>
      <c r="FY10" s="56"/>
      <c r="FZ10" s="56"/>
      <c r="GA10" s="55" t="str">
        <f t="shared" si="1"/>
        <v>4388426100294X</v>
      </c>
      <c r="GB10" t="str">
        <f>VLOOKUP(B10,수출코드!$C$2:$D$4,2,FALSE)</f>
        <v>Suwon</v>
      </c>
      <c r="GC10" t="str">
        <f>VLOOKUP(L10,수출코드!$A$2:$B$6,2,FALSE)</f>
        <v/>
      </c>
      <c r="GD10" t="str">
        <f>VLOOKUP(M10,수출코드!$E$2:$F$5,2,FALSE)</f>
        <v>일반</v>
      </c>
      <c r="GE10" s="61">
        <f t="shared" si="2"/>
        <v>45975.658333333333</v>
      </c>
      <c r="GF10" s="62">
        <f t="shared" si="0"/>
        <v>46048.696527777778</v>
      </c>
      <c r="GI10" s="48" t="s">
        <v>2729</v>
      </c>
    </row>
    <row r="11" spans="1:191">
      <c r="A11" s="48" t="s">
        <v>2893</v>
      </c>
      <c r="B11" s="48" t="s">
        <v>1821</v>
      </c>
      <c r="C11" s="48" t="s">
        <v>2048</v>
      </c>
      <c r="D11" s="48" t="s">
        <v>2813</v>
      </c>
      <c r="E11" s="48" t="s">
        <v>2893</v>
      </c>
      <c r="F11" s="48" t="s">
        <v>1710</v>
      </c>
      <c r="G11" s="48" t="s">
        <v>2814</v>
      </c>
      <c r="H11" s="48" t="s">
        <v>2894</v>
      </c>
      <c r="I11" s="48" t="s">
        <v>1884</v>
      </c>
      <c r="J11" s="48" t="s">
        <v>2835</v>
      </c>
      <c r="K11" s="48" t="s">
        <v>1877</v>
      </c>
      <c r="L11" s="48" t="s">
        <v>1842</v>
      </c>
      <c r="M11" s="48" t="s">
        <v>1810</v>
      </c>
      <c r="N11" s="48" t="s">
        <v>1842</v>
      </c>
      <c r="O11" s="48" t="s">
        <v>1811</v>
      </c>
      <c r="P11" s="48" t="s">
        <v>2549</v>
      </c>
      <c r="Q11" s="48" t="s">
        <v>2049</v>
      </c>
      <c r="R11" s="48" t="s">
        <v>1838</v>
      </c>
      <c r="S11" s="48" t="s">
        <v>2050</v>
      </c>
      <c r="T11" s="48" t="s">
        <v>1845</v>
      </c>
      <c r="U11" s="48" t="s">
        <v>2049</v>
      </c>
      <c r="V11" s="48" t="s">
        <v>1838</v>
      </c>
      <c r="W11" s="48" t="s">
        <v>2051</v>
      </c>
      <c r="X11" s="48" t="s">
        <v>2052</v>
      </c>
      <c r="Y11" s="48" t="s">
        <v>2050</v>
      </c>
      <c r="Z11" s="48" t="s">
        <v>2053</v>
      </c>
      <c r="AA11" s="48" t="s">
        <v>2054</v>
      </c>
      <c r="AB11" s="48" t="s">
        <v>2817</v>
      </c>
      <c r="AC11" s="48" t="s">
        <v>2055</v>
      </c>
      <c r="AD11" s="48" t="s">
        <v>2056</v>
      </c>
      <c r="AE11" s="48" t="s">
        <v>1710</v>
      </c>
      <c r="AF11" s="48" t="s">
        <v>1710</v>
      </c>
      <c r="AG11" s="48" t="s">
        <v>2057</v>
      </c>
      <c r="AH11" s="48" t="s">
        <v>1815</v>
      </c>
      <c r="AI11" s="48" t="s">
        <v>2058</v>
      </c>
      <c r="AJ11" s="48" t="s">
        <v>1710</v>
      </c>
      <c r="AK11" s="48" t="s">
        <v>2895</v>
      </c>
      <c r="AL11" s="48" t="s">
        <v>2896</v>
      </c>
      <c r="AM11" s="48" t="s">
        <v>1816</v>
      </c>
      <c r="AN11" s="48" t="s">
        <v>2054</v>
      </c>
      <c r="AO11" s="48" t="s">
        <v>1710</v>
      </c>
      <c r="AP11" s="48" t="s">
        <v>2580</v>
      </c>
      <c r="AQ11" s="48" t="s">
        <v>2581</v>
      </c>
      <c r="AR11" s="48" t="s">
        <v>1812</v>
      </c>
      <c r="AS11" s="48" t="s">
        <v>1813</v>
      </c>
      <c r="AT11" s="48" t="s">
        <v>1826</v>
      </c>
      <c r="AU11" s="48" t="s">
        <v>2061</v>
      </c>
      <c r="AV11" s="48" t="s">
        <v>2835</v>
      </c>
      <c r="AW11" s="48" t="s">
        <v>2062</v>
      </c>
      <c r="AX11" s="48" t="s">
        <v>2063</v>
      </c>
      <c r="AY11" s="48" t="s">
        <v>1710</v>
      </c>
      <c r="AZ11" s="48" t="s">
        <v>2897</v>
      </c>
      <c r="BA11" s="48" t="s">
        <v>1710</v>
      </c>
      <c r="BB11" s="48" t="s">
        <v>1709</v>
      </c>
      <c r="BC11" s="48" t="s">
        <v>1710</v>
      </c>
      <c r="BD11" s="48" t="s">
        <v>2097</v>
      </c>
      <c r="BE11" s="52" t="s">
        <v>2887</v>
      </c>
      <c r="BF11" s="48" t="s">
        <v>1710</v>
      </c>
      <c r="BG11" s="48" t="s">
        <v>1819</v>
      </c>
      <c r="BH11">
        <v>35</v>
      </c>
      <c r="BI11" s="48" t="s">
        <v>1888</v>
      </c>
      <c r="BJ11">
        <v>2</v>
      </c>
      <c r="BK11">
        <v>1473.06</v>
      </c>
      <c r="BL11">
        <v>87959340</v>
      </c>
      <c r="BM11">
        <v>59712</v>
      </c>
      <c r="BN11" s="48" t="s">
        <v>2064</v>
      </c>
      <c r="BO11" s="48" t="s">
        <v>2065</v>
      </c>
      <c r="BP11">
        <v>1473.06</v>
      </c>
      <c r="BQ11">
        <v>60006.07</v>
      </c>
      <c r="BR11" s="48" t="s">
        <v>1885</v>
      </c>
      <c r="BS11" s="48" t="s">
        <v>2066</v>
      </c>
      <c r="BT11">
        <v>1</v>
      </c>
      <c r="BU11">
        <v>433200</v>
      </c>
      <c r="BV11">
        <v>433200</v>
      </c>
      <c r="BW11" s="48" t="s">
        <v>2065</v>
      </c>
      <c r="BX11">
        <v>1473.06</v>
      </c>
      <c r="BY11">
        <v>0</v>
      </c>
      <c r="BZ11">
        <v>0</v>
      </c>
      <c r="CA11" s="48" t="s">
        <v>2065</v>
      </c>
      <c r="CB11">
        <v>1473.06</v>
      </c>
      <c r="CC11">
        <v>0</v>
      </c>
      <c r="CD11">
        <v>0</v>
      </c>
      <c r="CE11" s="48" t="s">
        <v>1710</v>
      </c>
      <c r="CF11" s="48" t="s">
        <v>1710</v>
      </c>
      <c r="CG11" s="48" t="s">
        <v>1710</v>
      </c>
      <c r="CH11" s="48" t="s">
        <v>1710</v>
      </c>
      <c r="CI11" s="48" t="s">
        <v>2067</v>
      </c>
      <c r="CJ11" s="48" t="s">
        <v>1710</v>
      </c>
      <c r="CL11" s="48" t="s">
        <v>2835</v>
      </c>
      <c r="CM11" s="48" t="s">
        <v>1710</v>
      </c>
      <c r="CN11" s="48" t="s">
        <v>2068</v>
      </c>
      <c r="CO11" s="48" t="s">
        <v>2069</v>
      </c>
      <c r="CP11" s="48" t="s">
        <v>1710</v>
      </c>
      <c r="CQ11" s="48" t="s">
        <v>1710</v>
      </c>
      <c r="CR11" s="48" t="s">
        <v>1710</v>
      </c>
      <c r="CS11" s="48" t="s">
        <v>1710</v>
      </c>
      <c r="CT11" s="48" t="s">
        <v>1710</v>
      </c>
      <c r="CU11" s="48" t="s">
        <v>1712</v>
      </c>
      <c r="CV11" s="48" t="s">
        <v>1710</v>
      </c>
      <c r="CW11" s="48" t="s">
        <v>1710</v>
      </c>
      <c r="CX11" s="48" t="s">
        <v>2839</v>
      </c>
      <c r="CY11" s="48" t="s">
        <v>1710</v>
      </c>
      <c r="CZ11" s="48" t="s">
        <v>1712</v>
      </c>
      <c r="DA11" s="48" t="s">
        <v>1710</v>
      </c>
      <c r="DB11" s="48" t="s">
        <v>1878</v>
      </c>
      <c r="DC11" s="48" t="s">
        <v>2070</v>
      </c>
      <c r="DD11" s="48" t="s">
        <v>1842</v>
      </c>
      <c r="DE11" s="48" t="s">
        <v>1886</v>
      </c>
      <c r="DF11" s="48" t="s">
        <v>2898</v>
      </c>
      <c r="DG11" s="48" t="s">
        <v>2071</v>
      </c>
      <c r="DH11" s="48" t="s">
        <v>1712</v>
      </c>
      <c r="DI11" s="48" t="s">
        <v>1710</v>
      </c>
      <c r="DJ11" s="48" t="s">
        <v>1710</v>
      </c>
      <c r="DK11" s="48" t="s">
        <v>1710</v>
      </c>
      <c r="DL11" s="48" t="s">
        <v>1710</v>
      </c>
      <c r="DM11" s="48" t="s">
        <v>1710</v>
      </c>
      <c r="DN11" s="48" t="s">
        <v>1710</v>
      </c>
      <c r="DO11" s="48" t="s">
        <v>1710</v>
      </c>
      <c r="DP11" s="48" t="s">
        <v>1710</v>
      </c>
      <c r="DQ11" s="48" t="s">
        <v>1710</v>
      </c>
      <c r="DR11" s="48" t="s">
        <v>2072</v>
      </c>
      <c r="DS11" s="48" t="s">
        <v>1710</v>
      </c>
      <c r="DT11" s="48" t="s">
        <v>1710</v>
      </c>
      <c r="DU11" s="48" t="s">
        <v>2841</v>
      </c>
      <c r="DV11" s="48" t="s">
        <v>2816</v>
      </c>
      <c r="DW11" s="48" t="s">
        <v>1710</v>
      </c>
      <c r="DX11" s="48" t="s">
        <v>2899</v>
      </c>
      <c r="DY11" s="48" t="s">
        <v>1709</v>
      </c>
      <c r="DZ11" s="48" t="s">
        <v>2562</v>
      </c>
      <c r="EA11" s="48" t="s">
        <v>2546</v>
      </c>
      <c r="EB11">
        <v>0</v>
      </c>
      <c r="EC11" s="48" t="s">
        <v>2841</v>
      </c>
      <c r="ED11" s="48" t="s">
        <v>2890</v>
      </c>
      <c r="EE11" s="48" t="s">
        <v>1814</v>
      </c>
      <c r="EF11" s="48" t="s">
        <v>1879</v>
      </c>
      <c r="EG11" s="48" t="s">
        <v>2897</v>
      </c>
      <c r="EH11">
        <v>1</v>
      </c>
      <c r="EI11" s="48" t="s">
        <v>1888</v>
      </c>
      <c r="EJ11">
        <v>1</v>
      </c>
      <c r="EK11" s="48" t="s">
        <v>1887</v>
      </c>
      <c r="EL11">
        <v>2</v>
      </c>
      <c r="EM11" s="48" t="s">
        <v>1886</v>
      </c>
      <c r="EN11">
        <v>1</v>
      </c>
      <c r="EO11" s="48" t="s">
        <v>2519</v>
      </c>
      <c r="EP11" s="48" t="s">
        <v>2900</v>
      </c>
      <c r="EQ11">
        <v>2415</v>
      </c>
      <c r="ER11">
        <v>2415</v>
      </c>
      <c r="ES11">
        <v>3540005</v>
      </c>
      <c r="ET11">
        <v>2403</v>
      </c>
      <c r="EU11" s="48" t="s">
        <v>1710</v>
      </c>
      <c r="EV11" s="48" t="s">
        <v>1710</v>
      </c>
      <c r="EW11" s="48" t="s">
        <v>1712</v>
      </c>
      <c r="EX11" s="48" t="s">
        <v>1710</v>
      </c>
      <c r="EY11" s="48" t="s">
        <v>1848</v>
      </c>
      <c r="EZ11" s="48" t="s">
        <v>1710</v>
      </c>
      <c r="FA11" s="48" t="s">
        <v>1710</v>
      </c>
      <c r="FB11" s="48" t="s">
        <v>1712</v>
      </c>
      <c r="FC11" s="48" t="s">
        <v>1710</v>
      </c>
      <c r="FD11" s="48" t="s">
        <v>1710</v>
      </c>
      <c r="FE11" s="48" t="s">
        <v>1814</v>
      </c>
      <c r="FF11" s="48" t="s">
        <v>1815</v>
      </c>
      <c r="FG11" s="48" t="s">
        <v>1710</v>
      </c>
      <c r="FH11">
        <v>1</v>
      </c>
      <c r="FI11" s="48" t="s">
        <v>1846</v>
      </c>
      <c r="FJ11">
        <v>2415</v>
      </c>
      <c r="FK11">
        <v>2415</v>
      </c>
      <c r="FL11" s="48" t="s">
        <v>2901</v>
      </c>
      <c r="FM11" s="48" t="s">
        <v>2900</v>
      </c>
      <c r="FN11" s="48" t="s">
        <v>1710</v>
      </c>
      <c r="FO11" s="48" t="s">
        <v>1710</v>
      </c>
      <c r="FP11" s="48" t="s">
        <v>1710</v>
      </c>
      <c r="FQ11" s="48" t="s">
        <v>1710</v>
      </c>
      <c r="FR11" s="48" t="s">
        <v>1710</v>
      </c>
      <c r="FS11" s="48" t="s">
        <v>1710</v>
      </c>
      <c r="FT11" s="48" t="s">
        <v>1710</v>
      </c>
      <c r="FU11" s="48" t="s">
        <v>1710</v>
      </c>
      <c r="FV11" s="48"/>
      <c r="FW11" s="56"/>
      <c r="FX11" s="56"/>
      <c r="FY11" s="56"/>
      <c r="FZ11" s="56"/>
      <c r="GA11" s="55" t="str">
        <f t="shared" si="1"/>
        <v>4388426100295X</v>
      </c>
      <c r="GB11" t="str">
        <f>VLOOKUP(B11,수출코드!$C$2:$D$4,2,FALSE)</f>
        <v>Suwon</v>
      </c>
      <c r="GC11" t="str">
        <f>VLOOKUP(L11,수출코드!$A$2:$B$6,2,FALSE)</f>
        <v/>
      </c>
      <c r="GD11" t="str">
        <f>VLOOKUP(M11,수출코드!$E$2:$F$5,2,FALSE)</f>
        <v>일반</v>
      </c>
      <c r="GE11" s="61">
        <f t="shared" si="2"/>
        <v>45975.658333333333</v>
      </c>
      <c r="GF11" s="62">
        <f t="shared" si="0"/>
        <v>46048.696527777778</v>
      </c>
      <c r="GI11" s="48" t="s">
        <v>2729</v>
      </c>
    </row>
    <row r="12" spans="1:191">
      <c r="A12" s="48" t="s">
        <v>2902</v>
      </c>
      <c r="B12" s="48" t="s">
        <v>1821</v>
      </c>
      <c r="C12" s="48" t="s">
        <v>2048</v>
      </c>
      <c r="D12" s="48" t="s">
        <v>2813</v>
      </c>
      <c r="E12" s="48" t="s">
        <v>2902</v>
      </c>
      <c r="F12" s="48" t="s">
        <v>1710</v>
      </c>
      <c r="G12" s="48" t="s">
        <v>2814</v>
      </c>
      <c r="H12" s="48" t="s">
        <v>2903</v>
      </c>
      <c r="I12" s="48" t="s">
        <v>1884</v>
      </c>
      <c r="J12" s="48" t="s">
        <v>2835</v>
      </c>
      <c r="K12" s="48" t="s">
        <v>1877</v>
      </c>
      <c r="L12" s="48" t="s">
        <v>1842</v>
      </c>
      <c r="M12" s="48" t="s">
        <v>1810</v>
      </c>
      <c r="N12" s="48" t="s">
        <v>1842</v>
      </c>
      <c r="O12" s="48" t="s">
        <v>1811</v>
      </c>
      <c r="P12" s="48" t="s">
        <v>2549</v>
      </c>
      <c r="Q12" s="48" t="s">
        <v>2049</v>
      </c>
      <c r="R12" s="48" t="s">
        <v>1838</v>
      </c>
      <c r="S12" s="48" t="s">
        <v>2050</v>
      </c>
      <c r="T12" s="48" t="s">
        <v>1845</v>
      </c>
      <c r="U12" s="48" t="s">
        <v>2049</v>
      </c>
      <c r="V12" s="48" t="s">
        <v>1838</v>
      </c>
      <c r="W12" s="48" t="s">
        <v>2051</v>
      </c>
      <c r="X12" s="48" t="s">
        <v>2052</v>
      </c>
      <c r="Y12" s="48" t="s">
        <v>2050</v>
      </c>
      <c r="Z12" s="48" t="s">
        <v>2053</v>
      </c>
      <c r="AA12" s="48" t="s">
        <v>2054</v>
      </c>
      <c r="AB12" s="48" t="s">
        <v>2817</v>
      </c>
      <c r="AC12" s="48" t="s">
        <v>2055</v>
      </c>
      <c r="AD12" s="48" t="s">
        <v>2056</v>
      </c>
      <c r="AE12" s="48" t="s">
        <v>1710</v>
      </c>
      <c r="AF12" s="48" t="s">
        <v>1710</v>
      </c>
      <c r="AG12" s="48" t="s">
        <v>2057</v>
      </c>
      <c r="AH12" s="48" t="s">
        <v>1815</v>
      </c>
      <c r="AI12" s="48" t="s">
        <v>2058</v>
      </c>
      <c r="AJ12" s="48" t="s">
        <v>1710</v>
      </c>
      <c r="AK12" s="48" t="s">
        <v>2095</v>
      </c>
      <c r="AL12" s="48" t="s">
        <v>1880</v>
      </c>
      <c r="AM12" s="48" t="s">
        <v>1816</v>
      </c>
      <c r="AN12" s="48" t="s">
        <v>2054</v>
      </c>
      <c r="AO12" s="48" t="s">
        <v>1710</v>
      </c>
      <c r="AP12" s="48" t="s">
        <v>1843</v>
      </c>
      <c r="AQ12" s="48" t="s">
        <v>2079</v>
      </c>
      <c r="AR12" s="48" t="s">
        <v>1812</v>
      </c>
      <c r="AS12" s="48" t="s">
        <v>1813</v>
      </c>
      <c r="AT12" s="48" t="s">
        <v>1826</v>
      </c>
      <c r="AU12" s="48" t="s">
        <v>2061</v>
      </c>
      <c r="AV12" s="48" t="s">
        <v>2835</v>
      </c>
      <c r="AW12" s="48" t="s">
        <v>2062</v>
      </c>
      <c r="AX12" s="48" t="s">
        <v>2063</v>
      </c>
      <c r="AY12" s="48" t="s">
        <v>1710</v>
      </c>
      <c r="AZ12" s="48" t="s">
        <v>2904</v>
      </c>
      <c r="BA12" s="48" t="s">
        <v>1710</v>
      </c>
      <c r="BB12" s="48" t="s">
        <v>1709</v>
      </c>
      <c r="BC12" s="48" t="s">
        <v>1710</v>
      </c>
      <c r="BD12" s="48" t="s">
        <v>2097</v>
      </c>
      <c r="BE12" s="52" t="s">
        <v>2887</v>
      </c>
      <c r="BF12" s="48" t="s">
        <v>1710</v>
      </c>
      <c r="BG12" s="48" t="s">
        <v>1818</v>
      </c>
      <c r="BH12">
        <v>31</v>
      </c>
      <c r="BI12" s="48" t="s">
        <v>1888</v>
      </c>
      <c r="BJ12">
        <v>2</v>
      </c>
      <c r="BK12">
        <v>1473.06</v>
      </c>
      <c r="BL12">
        <v>41100624</v>
      </c>
      <c r="BM12">
        <v>27902</v>
      </c>
      <c r="BN12" s="48" t="s">
        <v>2064</v>
      </c>
      <c r="BO12" s="48" t="s">
        <v>2065</v>
      </c>
      <c r="BP12">
        <v>1473.06</v>
      </c>
      <c r="BQ12">
        <v>28002.95</v>
      </c>
      <c r="BR12" s="48" t="s">
        <v>1885</v>
      </c>
      <c r="BS12" s="48" t="s">
        <v>2066</v>
      </c>
      <c r="BT12">
        <v>1</v>
      </c>
      <c r="BU12">
        <v>149400</v>
      </c>
      <c r="BV12">
        <v>149400</v>
      </c>
      <c r="BW12" s="48" t="s">
        <v>2065</v>
      </c>
      <c r="BX12">
        <v>1473.06</v>
      </c>
      <c r="BY12">
        <v>0</v>
      </c>
      <c r="BZ12">
        <v>0</v>
      </c>
      <c r="CA12" s="48" t="s">
        <v>2065</v>
      </c>
      <c r="CB12">
        <v>1473.06</v>
      </c>
      <c r="CC12">
        <v>0</v>
      </c>
      <c r="CD12">
        <v>0</v>
      </c>
      <c r="CE12" s="48" t="s">
        <v>1710</v>
      </c>
      <c r="CF12" s="48" t="s">
        <v>1710</v>
      </c>
      <c r="CG12" s="48" t="s">
        <v>1710</v>
      </c>
      <c r="CH12" s="48" t="s">
        <v>1710</v>
      </c>
      <c r="CI12" s="48" t="s">
        <v>2067</v>
      </c>
      <c r="CJ12" s="48" t="s">
        <v>1710</v>
      </c>
      <c r="CL12" s="48" t="s">
        <v>2835</v>
      </c>
      <c r="CM12" s="48" t="s">
        <v>1710</v>
      </c>
      <c r="CN12" s="48" t="s">
        <v>2068</v>
      </c>
      <c r="CO12" s="48" t="s">
        <v>2069</v>
      </c>
      <c r="CP12" s="48" t="s">
        <v>1710</v>
      </c>
      <c r="CQ12" s="48" t="s">
        <v>1710</v>
      </c>
      <c r="CR12" s="48" t="s">
        <v>1710</v>
      </c>
      <c r="CS12" s="48" t="s">
        <v>1710</v>
      </c>
      <c r="CT12" s="48" t="s">
        <v>1710</v>
      </c>
      <c r="CU12" s="48" t="s">
        <v>1712</v>
      </c>
      <c r="CV12" s="48" t="s">
        <v>1710</v>
      </c>
      <c r="CW12" s="48" t="s">
        <v>1710</v>
      </c>
      <c r="CX12" s="48" t="s">
        <v>2839</v>
      </c>
      <c r="CY12" s="48" t="s">
        <v>1710</v>
      </c>
      <c r="CZ12" s="48" t="s">
        <v>1712</v>
      </c>
      <c r="DA12" s="48" t="s">
        <v>1710</v>
      </c>
      <c r="DB12" s="48" t="s">
        <v>1878</v>
      </c>
      <c r="DC12" s="48" t="s">
        <v>2070</v>
      </c>
      <c r="DD12" s="48" t="s">
        <v>1842</v>
      </c>
      <c r="DE12" s="48" t="s">
        <v>1886</v>
      </c>
      <c r="DF12" s="48" t="s">
        <v>2905</v>
      </c>
      <c r="DG12" s="48" t="s">
        <v>2071</v>
      </c>
      <c r="DH12" s="48" t="s">
        <v>1712</v>
      </c>
      <c r="DI12" s="48" t="s">
        <v>1710</v>
      </c>
      <c r="DJ12" s="48" t="s">
        <v>1710</v>
      </c>
      <c r="DK12" s="48" t="s">
        <v>1710</v>
      </c>
      <c r="DL12" s="48" t="s">
        <v>1710</v>
      </c>
      <c r="DM12" s="48" t="s">
        <v>1710</v>
      </c>
      <c r="DN12" s="48" t="s">
        <v>1710</v>
      </c>
      <c r="DO12" s="48" t="s">
        <v>1710</v>
      </c>
      <c r="DP12" s="48" t="s">
        <v>1710</v>
      </c>
      <c r="DQ12" s="48" t="s">
        <v>1710</v>
      </c>
      <c r="DR12" s="48" t="s">
        <v>2072</v>
      </c>
      <c r="DS12" s="48" t="s">
        <v>1710</v>
      </c>
      <c r="DT12" s="48" t="s">
        <v>1710</v>
      </c>
      <c r="DU12" s="48" t="s">
        <v>2841</v>
      </c>
      <c r="DV12" s="48" t="s">
        <v>2850</v>
      </c>
      <c r="DW12" s="48" t="s">
        <v>1710</v>
      </c>
      <c r="DX12" s="48" t="s">
        <v>2906</v>
      </c>
      <c r="DY12" s="48" t="s">
        <v>1709</v>
      </c>
      <c r="DZ12" s="48" t="s">
        <v>2562</v>
      </c>
      <c r="EA12" s="48" t="s">
        <v>2546</v>
      </c>
      <c r="EB12">
        <v>0</v>
      </c>
      <c r="EC12" s="48" t="s">
        <v>2841</v>
      </c>
      <c r="ED12" s="48" t="s">
        <v>2890</v>
      </c>
      <c r="EE12" s="48" t="s">
        <v>1814</v>
      </c>
      <c r="EF12" s="48" t="s">
        <v>2567</v>
      </c>
      <c r="EG12" s="48" t="s">
        <v>2904</v>
      </c>
      <c r="EH12">
        <v>7</v>
      </c>
      <c r="EI12" s="48" t="s">
        <v>1888</v>
      </c>
      <c r="EJ12">
        <v>1</v>
      </c>
      <c r="EK12" s="48" t="s">
        <v>1887</v>
      </c>
      <c r="EL12">
        <v>2</v>
      </c>
      <c r="EM12" s="48" t="s">
        <v>1886</v>
      </c>
      <c r="EN12">
        <v>7</v>
      </c>
      <c r="EO12" s="48" t="s">
        <v>2605</v>
      </c>
      <c r="EP12" s="48" t="s">
        <v>2907</v>
      </c>
      <c r="EQ12">
        <v>7109.98</v>
      </c>
      <c r="ER12">
        <v>7109.98</v>
      </c>
      <c r="ES12">
        <v>10435494</v>
      </c>
      <c r="ET12">
        <v>7084</v>
      </c>
      <c r="EU12" s="48" t="s">
        <v>1710</v>
      </c>
      <c r="EV12" s="48" t="s">
        <v>1710</v>
      </c>
      <c r="EW12" s="48" t="s">
        <v>1712</v>
      </c>
      <c r="EX12" s="48" t="s">
        <v>1710</v>
      </c>
      <c r="EY12" s="48" t="s">
        <v>1869</v>
      </c>
      <c r="EZ12" s="48" t="s">
        <v>1710</v>
      </c>
      <c r="FA12" s="48" t="s">
        <v>1710</v>
      </c>
      <c r="FB12" s="48" t="s">
        <v>1712</v>
      </c>
      <c r="FC12" s="48" t="s">
        <v>1710</v>
      </c>
      <c r="FD12" s="48" t="s">
        <v>1710</v>
      </c>
      <c r="FE12" s="48" t="s">
        <v>1814</v>
      </c>
      <c r="FF12" s="48" t="s">
        <v>1815</v>
      </c>
      <c r="FG12" s="48" t="s">
        <v>1710</v>
      </c>
      <c r="FH12">
        <v>1</v>
      </c>
      <c r="FI12" s="48" t="s">
        <v>1846</v>
      </c>
      <c r="FJ12">
        <v>7109.98</v>
      </c>
      <c r="FK12">
        <v>7109.98</v>
      </c>
      <c r="FL12" s="48" t="s">
        <v>2908</v>
      </c>
      <c r="FM12" s="48" t="s">
        <v>2907</v>
      </c>
      <c r="FN12" s="48" t="s">
        <v>1710</v>
      </c>
      <c r="FO12" s="48" t="s">
        <v>1710</v>
      </c>
      <c r="FP12" s="48" t="s">
        <v>1710</v>
      </c>
      <c r="FQ12" s="48" t="s">
        <v>1710</v>
      </c>
      <c r="FR12" s="48" t="s">
        <v>1710</v>
      </c>
      <c r="FS12" s="48" t="s">
        <v>1710</v>
      </c>
      <c r="FT12" s="48" t="s">
        <v>1710</v>
      </c>
      <c r="FU12" s="48" t="s">
        <v>1710</v>
      </c>
      <c r="FV12" s="48"/>
      <c r="FW12" s="56"/>
      <c r="FX12" s="56"/>
      <c r="FY12" s="56"/>
      <c r="FZ12" s="56"/>
      <c r="GA12" s="55" t="str">
        <f t="shared" si="1"/>
        <v>4388426100296X</v>
      </c>
      <c r="GB12" t="str">
        <f>VLOOKUP(B12,수출코드!$C$2:$D$4,2,FALSE)</f>
        <v>Suwon</v>
      </c>
      <c r="GC12" t="str">
        <f>VLOOKUP(L12,수출코드!$A$2:$B$6,2,FALSE)</f>
        <v/>
      </c>
      <c r="GD12" t="str">
        <f>VLOOKUP(M12,수출코드!$E$2:$F$5,2,FALSE)</f>
        <v>일반</v>
      </c>
      <c r="GE12" s="61">
        <f t="shared" si="2"/>
        <v>45971.393055555556</v>
      </c>
      <c r="GF12" s="62">
        <f t="shared" si="0"/>
        <v>46048.696527777778</v>
      </c>
      <c r="GI12" s="48" t="s">
        <v>2730</v>
      </c>
    </row>
    <row r="13" spans="1:191">
      <c r="A13" s="48" t="s">
        <v>2909</v>
      </c>
      <c r="B13" s="48" t="s">
        <v>1821</v>
      </c>
      <c r="C13" s="48" t="s">
        <v>2048</v>
      </c>
      <c r="D13" s="48" t="s">
        <v>2813</v>
      </c>
      <c r="E13" s="48" t="s">
        <v>2909</v>
      </c>
      <c r="F13" s="48" t="s">
        <v>1710</v>
      </c>
      <c r="G13" s="48" t="s">
        <v>2814</v>
      </c>
      <c r="H13" s="48" t="s">
        <v>2910</v>
      </c>
      <c r="I13" s="48" t="s">
        <v>1884</v>
      </c>
      <c r="J13" s="48" t="s">
        <v>2835</v>
      </c>
      <c r="K13" s="48" t="s">
        <v>1877</v>
      </c>
      <c r="L13" s="48" t="s">
        <v>1842</v>
      </c>
      <c r="M13" s="48" t="s">
        <v>1810</v>
      </c>
      <c r="N13" s="48" t="s">
        <v>1842</v>
      </c>
      <c r="O13" s="48" t="s">
        <v>1811</v>
      </c>
      <c r="P13" s="48" t="s">
        <v>2549</v>
      </c>
      <c r="Q13" s="48" t="s">
        <v>2049</v>
      </c>
      <c r="R13" s="48" t="s">
        <v>1838</v>
      </c>
      <c r="S13" s="48" t="s">
        <v>2050</v>
      </c>
      <c r="T13" s="48" t="s">
        <v>1845</v>
      </c>
      <c r="U13" s="48" t="s">
        <v>2049</v>
      </c>
      <c r="V13" s="48" t="s">
        <v>1838</v>
      </c>
      <c r="W13" s="48" t="s">
        <v>2051</v>
      </c>
      <c r="X13" s="48" t="s">
        <v>2052</v>
      </c>
      <c r="Y13" s="48" t="s">
        <v>2050</v>
      </c>
      <c r="Z13" s="48" t="s">
        <v>2053</v>
      </c>
      <c r="AA13" s="48" t="s">
        <v>2054</v>
      </c>
      <c r="AB13" s="48" t="s">
        <v>2817</v>
      </c>
      <c r="AC13" s="48" t="s">
        <v>2055</v>
      </c>
      <c r="AD13" s="48" t="s">
        <v>2056</v>
      </c>
      <c r="AE13" s="48" t="s">
        <v>1710</v>
      </c>
      <c r="AF13" s="48" t="s">
        <v>1710</v>
      </c>
      <c r="AG13" s="48" t="s">
        <v>2057</v>
      </c>
      <c r="AH13" s="48" t="s">
        <v>1815</v>
      </c>
      <c r="AI13" s="48" t="s">
        <v>2058</v>
      </c>
      <c r="AJ13" s="48" t="s">
        <v>1710</v>
      </c>
      <c r="AK13" s="48" t="s">
        <v>2092</v>
      </c>
      <c r="AL13" s="48" t="s">
        <v>2093</v>
      </c>
      <c r="AM13" s="48" t="s">
        <v>1816</v>
      </c>
      <c r="AN13" s="48" t="s">
        <v>2054</v>
      </c>
      <c r="AO13" s="48" t="s">
        <v>1710</v>
      </c>
      <c r="AP13" s="48" t="s">
        <v>1853</v>
      </c>
      <c r="AQ13" s="48" t="s">
        <v>2086</v>
      </c>
      <c r="AR13" s="48" t="s">
        <v>1812</v>
      </c>
      <c r="AS13" s="48" t="s">
        <v>1813</v>
      </c>
      <c r="AT13" s="48" t="s">
        <v>1826</v>
      </c>
      <c r="AU13" s="48" t="s">
        <v>2061</v>
      </c>
      <c r="AV13" s="48" t="s">
        <v>2835</v>
      </c>
      <c r="AW13" s="48" t="s">
        <v>2062</v>
      </c>
      <c r="AX13" s="48" t="s">
        <v>2063</v>
      </c>
      <c r="AY13" s="48" t="s">
        <v>1710</v>
      </c>
      <c r="AZ13" s="48" t="s">
        <v>2911</v>
      </c>
      <c r="BA13" s="48" t="s">
        <v>1710</v>
      </c>
      <c r="BB13" s="48" t="s">
        <v>1709</v>
      </c>
      <c r="BC13" s="48" t="s">
        <v>1710</v>
      </c>
      <c r="BD13" s="48" t="s">
        <v>2097</v>
      </c>
      <c r="BE13" s="52" t="s">
        <v>2887</v>
      </c>
      <c r="BF13" s="48" t="s">
        <v>1710</v>
      </c>
      <c r="BG13" s="48" t="s">
        <v>1814</v>
      </c>
      <c r="BH13">
        <v>29</v>
      </c>
      <c r="BI13" s="48" t="s">
        <v>1888</v>
      </c>
      <c r="BJ13">
        <v>1</v>
      </c>
      <c r="BK13">
        <v>1473.06</v>
      </c>
      <c r="BL13">
        <v>18841929</v>
      </c>
      <c r="BM13">
        <v>12791</v>
      </c>
      <c r="BN13" s="48" t="s">
        <v>2064</v>
      </c>
      <c r="BO13" s="48" t="s">
        <v>2065</v>
      </c>
      <c r="BP13">
        <v>1473.06</v>
      </c>
      <c r="BQ13">
        <v>12896.1</v>
      </c>
      <c r="BR13" s="48" t="s">
        <v>1885</v>
      </c>
      <c r="BS13" s="48" t="s">
        <v>2066</v>
      </c>
      <c r="BT13">
        <v>1</v>
      </c>
      <c r="BU13">
        <v>154800</v>
      </c>
      <c r="BV13">
        <v>154800</v>
      </c>
      <c r="BW13" s="48" t="s">
        <v>2065</v>
      </c>
      <c r="BX13">
        <v>1473.06</v>
      </c>
      <c r="BY13">
        <v>0</v>
      </c>
      <c r="BZ13">
        <v>0</v>
      </c>
      <c r="CA13" s="48" t="s">
        <v>2065</v>
      </c>
      <c r="CB13">
        <v>1473.06</v>
      </c>
      <c r="CC13">
        <v>0</v>
      </c>
      <c r="CD13">
        <v>0</v>
      </c>
      <c r="CE13" s="48" t="s">
        <v>1710</v>
      </c>
      <c r="CF13" s="48" t="s">
        <v>1710</v>
      </c>
      <c r="CG13" s="48" t="s">
        <v>1710</v>
      </c>
      <c r="CH13" s="48" t="s">
        <v>1710</v>
      </c>
      <c r="CI13" s="48" t="s">
        <v>2067</v>
      </c>
      <c r="CJ13" s="48" t="s">
        <v>1710</v>
      </c>
      <c r="CL13" s="48" t="s">
        <v>2835</v>
      </c>
      <c r="CM13" s="48" t="s">
        <v>1710</v>
      </c>
      <c r="CN13" s="48" t="s">
        <v>2068</v>
      </c>
      <c r="CO13" s="48" t="s">
        <v>2069</v>
      </c>
      <c r="CP13" s="48" t="s">
        <v>1710</v>
      </c>
      <c r="CQ13" s="48" t="s">
        <v>1710</v>
      </c>
      <c r="CR13" s="48" t="s">
        <v>1710</v>
      </c>
      <c r="CS13" s="48" t="s">
        <v>1710</v>
      </c>
      <c r="CT13" s="48" t="s">
        <v>1710</v>
      </c>
      <c r="CU13" s="48" t="s">
        <v>1712</v>
      </c>
      <c r="CV13" s="48" t="s">
        <v>1710</v>
      </c>
      <c r="CW13" s="48" t="s">
        <v>1710</v>
      </c>
      <c r="CX13" s="48" t="s">
        <v>2839</v>
      </c>
      <c r="CY13" s="48" t="s">
        <v>1710</v>
      </c>
      <c r="CZ13" s="48" t="s">
        <v>1712</v>
      </c>
      <c r="DA13" s="48" t="s">
        <v>1710</v>
      </c>
      <c r="DB13" s="48" t="s">
        <v>1878</v>
      </c>
      <c r="DC13" s="48" t="s">
        <v>2070</v>
      </c>
      <c r="DD13" s="48" t="s">
        <v>1842</v>
      </c>
      <c r="DE13" s="48" t="s">
        <v>1886</v>
      </c>
      <c r="DF13" s="48" t="s">
        <v>2912</v>
      </c>
      <c r="DG13" s="48" t="s">
        <v>2071</v>
      </c>
      <c r="DH13" s="48" t="s">
        <v>1712</v>
      </c>
      <c r="DI13" s="48" t="s">
        <v>1710</v>
      </c>
      <c r="DJ13" s="48" t="s">
        <v>1710</v>
      </c>
      <c r="DK13" s="48" t="s">
        <v>1710</v>
      </c>
      <c r="DL13" s="48" t="s">
        <v>1710</v>
      </c>
      <c r="DM13" s="48" t="s">
        <v>1710</v>
      </c>
      <c r="DN13" s="48" t="s">
        <v>1710</v>
      </c>
      <c r="DO13" s="48" t="s">
        <v>1710</v>
      </c>
      <c r="DP13" s="48" t="s">
        <v>1710</v>
      </c>
      <c r="DQ13" s="48" t="s">
        <v>1710</v>
      </c>
      <c r="DR13" s="48" t="s">
        <v>2072</v>
      </c>
      <c r="DS13" s="48" t="s">
        <v>1710</v>
      </c>
      <c r="DT13" s="48" t="s">
        <v>1710</v>
      </c>
      <c r="DU13" s="48" t="s">
        <v>2841</v>
      </c>
      <c r="DV13" s="48" t="s">
        <v>2850</v>
      </c>
      <c r="DW13" s="48" t="s">
        <v>1710</v>
      </c>
      <c r="DX13" s="48" t="s">
        <v>2913</v>
      </c>
      <c r="DY13" s="48" t="s">
        <v>1709</v>
      </c>
      <c r="DZ13" s="48" t="s">
        <v>2562</v>
      </c>
      <c r="EA13" s="48" t="s">
        <v>2546</v>
      </c>
      <c r="EB13">
        <v>0</v>
      </c>
      <c r="EC13" s="48" t="s">
        <v>2841</v>
      </c>
      <c r="ED13" s="48" t="s">
        <v>2914</v>
      </c>
      <c r="EE13" s="48" t="s">
        <v>1814</v>
      </c>
      <c r="EF13" s="48" t="s">
        <v>1868</v>
      </c>
      <c r="EG13" s="48" t="s">
        <v>2911</v>
      </c>
      <c r="EH13">
        <v>28</v>
      </c>
      <c r="EI13" s="48" t="s">
        <v>1888</v>
      </c>
      <c r="EJ13">
        <v>1</v>
      </c>
      <c r="EK13" s="48" t="s">
        <v>1887</v>
      </c>
      <c r="EL13">
        <v>1</v>
      </c>
      <c r="EM13" s="48" t="s">
        <v>1886</v>
      </c>
      <c r="EN13">
        <v>28</v>
      </c>
      <c r="EO13" s="48" t="s">
        <v>2528</v>
      </c>
      <c r="EP13" s="48" t="s">
        <v>2697</v>
      </c>
      <c r="EQ13">
        <v>12896.1</v>
      </c>
      <c r="ER13">
        <v>12896.1</v>
      </c>
      <c r="ES13">
        <v>18841929</v>
      </c>
      <c r="ET13">
        <v>12791</v>
      </c>
      <c r="EU13" s="48" t="s">
        <v>1710</v>
      </c>
      <c r="EV13" s="48" t="s">
        <v>1710</v>
      </c>
      <c r="EW13" s="48" t="s">
        <v>1712</v>
      </c>
      <c r="EX13" s="48" t="s">
        <v>1710</v>
      </c>
      <c r="EY13" s="48" t="s">
        <v>1853</v>
      </c>
      <c r="EZ13" s="48" t="s">
        <v>1710</v>
      </c>
      <c r="FA13" s="48" t="s">
        <v>1710</v>
      </c>
      <c r="FB13" s="48" t="s">
        <v>1712</v>
      </c>
      <c r="FC13" s="48" t="s">
        <v>1710</v>
      </c>
      <c r="FD13" s="48" t="s">
        <v>1710</v>
      </c>
      <c r="FE13" s="48" t="s">
        <v>1814</v>
      </c>
      <c r="FF13" s="48" t="s">
        <v>1815</v>
      </c>
      <c r="FG13" s="48" t="s">
        <v>1710</v>
      </c>
      <c r="FH13">
        <v>1</v>
      </c>
      <c r="FI13" s="48" t="s">
        <v>1846</v>
      </c>
      <c r="FJ13">
        <v>12896.1</v>
      </c>
      <c r="FK13">
        <v>12896.1</v>
      </c>
      <c r="FL13" s="48" t="s">
        <v>2698</v>
      </c>
      <c r="FM13" s="48" t="s">
        <v>2699</v>
      </c>
      <c r="FN13" s="48" t="s">
        <v>1710</v>
      </c>
      <c r="FO13" s="48" t="s">
        <v>1710</v>
      </c>
      <c r="FP13" s="48" t="s">
        <v>1710</v>
      </c>
      <c r="FQ13" s="48" t="s">
        <v>1710</v>
      </c>
      <c r="FR13" s="48" t="s">
        <v>1710</v>
      </c>
      <c r="FS13" s="48" t="s">
        <v>1710</v>
      </c>
      <c r="FT13" s="48" t="s">
        <v>1710</v>
      </c>
      <c r="FU13" s="48" t="s">
        <v>1710</v>
      </c>
      <c r="FV13" s="48"/>
      <c r="FW13" s="56"/>
      <c r="FX13" s="56"/>
      <c r="FY13" s="56"/>
      <c r="FZ13" s="56"/>
      <c r="GA13" s="55" t="str">
        <f t="shared" si="1"/>
        <v>4388426100297X</v>
      </c>
      <c r="GB13" t="str">
        <f>VLOOKUP(B13,수출코드!$C$2:$D$4,2,FALSE)</f>
        <v>Suwon</v>
      </c>
      <c r="GC13" t="str">
        <f>VLOOKUP(L13,수출코드!$A$2:$B$6,2,FALSE)</f>
        <v/>
      </c>
      <c r="GD13" t="str">
        <f>VLOOKUP(M13,수출코드!$E$2:$F$5,2,FALSE)</f>
        <v>일반</v>
      </c>
      <c r="GE13" s="61">
        <f t="shared" si="2"/>
        <v>45971.393055555556</v>
      </c>
      <c r="GF13" s="62">
        <f t="shared" si="0"/>
        <v>46048.701388888891</v>
      </c>
      <c r="GI13" s="48" t="s">
        <v>2731</v>
      </c>
    </row>
    <row r="14" spans="1:191">
      <c r="A14" s="48" t="s">
        <v>2915</v>
      </c>
      <c r="B14" s="48" t="s">
        <v>1821</v>
      </c>
      <c r="C14" s="48" t="s">
        <v>2048</v>
      </c>
      <c r="D14" s="48" t="s">
        <v>2813</v>
      </c>
      <c r="E14" s="48" t="s">
        <v>2915</v>
      </c>
      <c r="F14" s="48" t="s">
        <v>1710</v>
      </c>
      <c r="G14" s="48" t="s">
        <v>2814</v>
      </c>
      <c r="H14" s="48" t="s">
        <v>2916</v>
      </c>
      <c r="I14" s="48" t="s">
        <v>1884</v>
      </c>
      <c r="J14" s="48" t="s">
        <v>2835</v>
      </c>
      <c r="K14" s="48" t="s">
        <v>1877</v>
      </c>
      <c r="L14" s="48" t="s">
        <v>1842</v>
      </c>
      <c r="M14" s="48" t="s">
        <v>1810</v>
      </c>
      <c r="N14" s="48" t="s">
        <v>1842</v>
      </c>
      <c r="O14" s="48" t="s">
        <v>1811</v>
      </c>
      <c r="P14" s="48" t="s">
        <v>2549</v>
      </c>
      <c r="Q14" s="48" t="s">
        <v>2049</v>
      </c>
      <c r="R14" s="48" t="s">
        <v>1838</v>
      </c>
      <c r="S14" s="48" t="s">
        <v>2050</v>
      </c>
      <c r="T14" s="48" t="s">
        <v>1845</v>
      </c>
      <c r="U14" s="48" t="s">
        <v>2049</v>
      </c>
      <c r="V14" s="48" t="s">
        <v>1838</v>
      </c>
      <c r="W14" s="48" t="s">
        <v>2051</v>
      </c>
      <c r="X14" s="48" t="s">
        <v>2052</v>
      </c>
      <c r="Y14" s="48" t="s">
        <v>2050</v>
      </c>
      <c r="Z14" s="48" t="s">
        <v>2053</v>
      </c>
      <c r="AA14" s="48" t="s">
        <v>2054</v>
      </c>
      <c r="AB14" s="48" t="s">
        <v>2817</v>
      </c>
      <c r="AC14" s="48" t="s">
        <v>2055</v>
      </c>
      <c r="AD14" s="48" t="s">
        <v>2056</v>
      </c>
      <c r="AE14" s="48" t="s">
        <v>1710</v>
      </c>
      <c r="AF14" s="48" t="s">
        <v>1710</v>
      </c>
      <c r="AG14" s="48" t="s">
        <v>2057</v>
      </c>
      <c r="AH14" s="48" t="s">
        <v>1815</v>
      </c>
      <c r="AI14" s="48" t="s">
        <v>2058</v>
      </c>
      <c r="AJ14" s="48" t="s">
        <v>1710</v>
      </c>
      <c r="AK14" s="48" t="s">
        <v>2571</v>
      </c>
      <c r="AL14" s="48" t="s">
        <v>2572</v>
      </c>
      <c r="AM14" s="48" t="s">
        <v>1816</v>
      </c>
      <c r="AN14" s="48" t="s">
        <v>2054</v>
      </c>
      <c r="AO14" s="48" t="s">
        <v>1710</v>
      </c>
      <c r="AP14" s="48" t="s">
        <v>1853</v>
      </c>
      <c r="AQ14" s="48" t="s">
        <v>2086</v>
      </c>
      <c r="AR14" s="48" t="s">
        <v>1812</v>
      </c>
      <c r="AS14" s="48" t="s">
        <v>1813</v>
      </c>
      <c r="AT14" s="48" t="s">
        <v>1826</v>
      </c>
      <c r="AU14" s="48" t="s">
        <v>2061</v>
      </c>
      <c r="AV14" s="48" t="s">
        <v>2835</v>
      </c>
      <c r="AW14" s="48" t="s">
        <v>2062</v>
      </c>
      <c r="AX14" s="48" t="s">
        <v>2063</v>
      </c>
      <c r="AY14" s="48" t="s">
        <v>1710</v>
      </c>
      <c r="AZ14" s="48" t="s">
        <v>2917</v>
      </c>
      <c r="BA14" s="48" t="s">
        <v>1710</v>
      </c>
      <c r="BB14" s="48" t="s">
        <v>1709</v>
      </c>
      <c r="BC14" s="48" t="s">
        <v>1710</v>
      </c>
      <c r="BD14" s="48" t="s">
        <v>2097</v>
      </c>
      <c r="BE14" s="52" t="s">
        <v>2887</v>
      </c>
      <c r="BF14" s="48" t="s">
        <v>1710</v>
      </c>
      <c r="BG14" s="48" t="s">
        <v>1814</v>
      </c>
      <c r="BH14">
        <v>1</v>
      </c>
      <c r="BI14" s="48" t="s">
        <v>1888</v>
      </c>
      <c r="BJ14">
        <v>1</v>
      </c>
      <c r="BK14">
        <v>1473.06</v>
      </c>
      <c r="BL14">
        <v>1180015</v>
      </c>
      <c r="BM14">
        <v>801</v>
      </c>
      <c r="BN14" s="48" t="s">
        <v>2064</v>
      </c>
      <c r="BO14" s="48" t="s">
        <v>2065</v>
      </c>
      <c r="BP14">
        <v>1473.06</v>
      </c>
      <c r="BQ14">
        <v>815.32</v>
      </c>
      <c r="BR14" s="48" t="s">
        <v>1885</v>
      </c>
      <c r="BS14" s="48" t="s">
        <v>2066</v>
      </c>
      <c r="BT14">
        <v>1</v>
      </c>
      <c r="BU14">
        <v>21000</v>
      </c>
      <c r="BV14">
        <v>21000</v>
      </c>
      <c r="BW14" s="48" t="s">
        <v>2065</v>
      </c>
      <c r="BX14">
        <v>1473.06</v>
      </c>
      <c r="BY14">
        <v>0</v>
      </c>
      <c r="BZ14">
        <v>0</v>
      </c>
      <c r="CA14" s="48" t="s">
        <v>2065</v>
      </c>
      <c r="CB14">
        <v>1473.06</v>
      </c>
      <c r="CC14">
        <v>0</v>
      </c>
      <c r="CD14">
        <v>0</v>
      </c>
      <c r="CE14" s="48" t="s">
        <v>1710</v>
      </c>
      <c r="CF14" s="48" t="s">
        <v>1710</v>
      </c>
      <c r="CG14" s="48" t="s">
        <v>1710</v>
      </c>
      <c r="CH14" s="48" t="s">
        <v>1710</v>
      </c>
      <c r="CI14" s="48" t="s">
        <v>2067</v>
      </c>
      <c r="CJ14" s="48" t="s">
        <v>1710</v>
      </c>
      <c r="CL14" s="48" t="s">
        <v>2835</v>
      </c>
      <c r="CM14" s="48" t="s">
        <v>1710</v>
      </c>
      <c r="CN14" s="48" t="s">
        <v>2068</v>
      </c>
      <c r="CO14" s="48" t="s">
        <v>2069</v>
      </c>
      <c r="CP14" s="48" t="s">
        <v>1710</v>
      </c>
      <c r="CQ14" s="48" t="s">
        <v>1710</v>
      </c>
      <c r="CR14" s="48" t="s">
        <v>1710</v>
      </c>
      <c r="CS14" s="48" t="s">
        <v>1710</v>
      </c>
      <c r="CT14" s="48" t="s">
        <v>1710</v>
      </c>
      <c r="CU14" s="48" t="s">
        <v>1712</v>
      </c>
      <c r="CV14" s="48" t="s">
        <v>1710</v>
      </c>
      <c r="CW14" s="48" t="s">
        <v>1710</v>
      </c>
      <c r="CX14" s="48" t="s">
        <v>2839</v>
      </c>
      <c r="CY14" s="48" t="s">
        <v>1710</v>
      </c>
      <c r="CZ14" s="48" t="s">
        <v>1712</v>
      </c>
      <c r="DA14" s="48" t="s">
        <v>1710</v>
      </c>
      <c r="DB14" s="48" t="s">
        <v>1878</v>
      </c>
      <c r="DC14" s="48" t="s">
        <v>2070</v>
      </c>
      <c r="DD14" s="48" t="s">
        <v>1842</v>
      </c>
      <c r="DE14" s="48" t="s">
        <v>1886</v>
      </c>
      <c r="DF14" s="48" t="s">
        <v>2918</v>
      </c>
      <c r="DG14" s="48" t="s">
        <v>2071</v>
      </c>
      <c r="DH14" s="48" t="s">
        <v>1712</v>
      </c>
      <c r="DI14" s="48" t="s">
        <v>1710</v>
      </c>
      <c r="DJ14" s="48" t="s">
        <v>1710</v>
      </c>
      <c r="DK14" s="48" t="s">
        <v>1710</v>
      </c>
      <c r="DL14" s="48" t="s">
        <v>1710</v>
      </c>
      <c r="DM14" s="48" t="s">
        <v>1710</v>
      </c>
      <c r="DN14" s="48" t="s">
        <v>1710</v>
      </c>
      <c r="DO14" s="48" t="s">
        <v>1710</v>
      </c>
      <c r="DP14" s="48" t="s">
        <v>1710</v>
      </c>
      <c r="DQ14" s="48" t="s">
        <v>1710</v>
      </c>
      <c r="DR14" s="48" t="s">
        <v>2072</v>
      </c>
      <c r="DS14" s="48" t="s">
        <v>1710</v>
      </c>
      <c r="DT14" s="48" t="s">
        <v>1710</v>
      </c>
      <c r="DU14" s="48" t="s">
        <v>2841</v>
      </c>
      <c r="DV14" s="48" t="s">
        <v>2816</v>
      </c>
      <c r="DW14" s="48" t="s">
        <v>1710</v>
      </c>
      <c r="DX14" s="48" t="s">
        <v>2919</v>
      </c>
      <c r="DY14" s="48" t="s">
        <v>1709</v>
      </c>
      <c r="DZ14" s="48" t="s">
        <v>2562</v>
      </c>
      <c r="EA14" s="48" t="s">
        <v>2546</v>
      </c>
      <c r="EB14">
        <v>0</v>
      </c>
      <c r="EC14" s="48" t="s">
        <v>2841</v>
      </c>
      <c r="ED14" s="48" t="s">
        <v>2914</v>
      </c>
      <c r="EE14" s="48" t="s">
        <v>1814</v>
      </c>
      <c r="EF14" s="48" t="s">
        <v>1864</v>
      </c>
      <c r="EG14" s="48" t="s">
        <v>2917</v>
      </c>
      <c r="EH14">
        <v>1</v>
      </c>
      <c r="EI14" s="48" t="s">
        <v>1888</v>
      </c>
      <c r="EJ14">
        <v>1</v>
      </c>
      <c r="EK14" s="48" t="s">
        <v>1887</v>
      </c>
      <c r="EL14">
        <v>1</v>
      </c>
      <c r="EM14" s="48" t="s">
        <v>1886</v>
      </c>
      <c r="EN14">
        <v>1</v>
      </c>
      <c r="EO14" s="48" t="s">
        <v>1865</v>
      </c>
      <c r="EP14" s="48" t="s">
        <v>2920</v>
      </c>
      <c r="EQ14">
        <v>815.32</v>
      </c>
      <c r="ER14">
        <v>815.32</v>
      </c>
      <c r="ES14">
        <v>1180015</v>
      </c>
      <c r="ET14">
        <v>801</v>
      </c>
      <c r="EU14" s="48" t="s">
        <v>1710</v>
      </c>
      <c r="EV14" s="48" t="s">
        <v>1710</v>
      </c>
      <c r="EW14" s="48" t="s">
        <v>1712</v>
      </c>
      <c r="EX14" s="48" t="s">
        <v>1710</v>
      </c>
      <c r="EY14" s="48" t="s">
        <v>2539</v>
      </c>
      <c r="EZ14" s="48" t="s">
        <v>1710</v>
      </c>
      <c r="FA14" s="48" t="s">
        <v>1710</v>
      </c>
      <c r="FB14" s="48" t="s">
        <v>1712</v>
      </c>
      <c r="FC14" s="48" t="s">
        <v>1710</v>
      </c>
      <c r="FD14" s="48" t="s">
        <v>1710</v>
      </c>
      <c r="FE14" s="48" t="s">
        <v>1814</v>
      </c>
      <c r="FF14" s="48" t="s">
        <v>1815</v>
      </c>
      <c r="FG14" s="48" t="s">
        <v>1710</v>
      </c>
      <c r="FH14">
        <v>1</v>
      </c>
      <c r="FI14" s="48" t="s">
        <v>1846</v>
      </c>
      <c r="FJ14">
        <v>815.32</v>
      </c>
      <c r="FK14">
        <v>815.32</v>
      </c>
      <c r="FL14" s="48" t="s">
        <v>2921</v>
      </c>
      <c r="FM14" s="48" t="s">
        <v>2920</v>
      </c>
      <c r="FN14" s="48" t="s">
        <v>1710</v>
      </c>
      <c r="FO14" s="48" t="s">
        <v>1710</v>
      </c>
      <c r="FP14" s="48" t="s">
        <v>1710</v>
      </c>
      <c r="FQ14" s="48" t="s">
        <v>1710</v>
      </c>
      <c r="FR14" s="48" t="s">
        <v>1710</v>
      </c>
      <c r="FS14" s="48" t="s">
        <v>1710</v>
      </c>
      <c r="FT14" s="48" t="s">
        <v>1710</v>
      </c>
      <c r="FU14" s="48" t="s">
        <v>1710</v>
      </c>
      <c r="FV14" s="48"/>
      <c r="FW14" s="56"/>
      <c r="FX14" s="56"/>
      <c r="FY14" s="56"/>
      <c r="FZ14" s="56"/>
      <c r="GA14" s="55" t="str">
        <f t="shared" si="1"/>
        <v>4388426100298X</v>
      </c>
      <c r="GB14" t="str">
        <f>VLOOKUP(B14,수출코드!$C$2:$D$4,2,FALSE)</f>
        <v>Suwon</v>
      </c>
      <c r="GC14" t="str">
        <f>VLOOKUP(L14,수출코드!$A$2:$B$6,2,FALSE)</f>
        <v/>
      </c>
      <c r="GD14" t="str">
        <f>VLOOKUP(M14,수출코드!$E$2:$F$5,2,FALSE)</f>
        <v>일반</v>
      </c>
      <c r="GE14" s="61">
        <f t="shared" si="2"/>
        <v>45971.415277777778</v>
      </c>
      <c r="GF14" s="62">
        <f t="shared" si="0"/>
        <v>46048.701388888891</v>
      </c>
      <c r="GI14" s="48" t="s">
        <v>2732</v>
      </c>
    </row>
    <row r="15" spans="1:191">
      <c r="A15" s="48" t="s">
        <v>2922</v>
      </c>
      <c r="B15" s="48" t="s">
        <v>1821</v>
      </c>
      <c r="C15" s="48" t="s">
        <v>2048</v>
      </c>
      <c r="D15" s="48" t="s">
        <v>2813</v>
      </c>
      <c r="E15" s="48" t="s">
        <v>2922</v>
      </c>
      <c r="F15" s="48" t="s">
        <v>1710</v>
      </c>
      <c r="G15" s="48" t="s">
        <v>2814</v>
      </c>
      <c r="H15" s="48" t="s">
        <v>2923</v>
      </c>
      <c r="I15" s="48" t="s">
        <v>1884</v>
      </c>
      <c r="J15" s="48" t="s">
        <v>2835</v>
      </c>
      <c r="K15" s="48" t="s">
        <v>1877</v>
      </c>
      <c r="L15" s="48" t="s">
        <v>1842</v>
      </c>
      <c r="M15" s="48" t="s">
        <v>1810</v>
      </c>
      <c r="N15" s="48" t="s">
        <v>1842</v>
      </c>
      <c r="O15" s="48" t="s">
        <v>1811</v>
      </c>
      <c r="P15" s="48" t="s">
        <v>2549</v>
      </c>
      <c r="Q15" s="48" t="s">
        <v>2049</v>
      </c>
      <c r="R15" s="48" t="s">
        <v>1838</v>
      </c>
      <c r="S15" s="48" t="s">
        <v>2050</v>
      </c>
      <c r="T15" s="48" t="s">
        <v>1845</v>
      </c>
      <c r="U15" s="48" t="s">
        <v>2049</v>
      </c>
      <c r="V15" s="48" t="s">
        <v>1838</v>
      </c>
      <c r="W15" s="48" t="s">
        <v>2051</v>
      </c>
      <c r="X15" s="48" t="s">
        <v>2052</v>
      </c>
      <c r="Y15" s="48" t="s">
        <v>2050</v>
      </c>
      <c r="Z15" s="48" t="s">
        <v>2053</v>
      </c>
      <c r="AA15" s="48" t="s">
        <v>2054</v>
      </c>
      <c r="AB15" s="48" t="s">
        <v>2817</v>
      </c>
      <c r="AC15" s="48" t="s">
        <v>2055</v>
      </c>
      <c r="AD15" s="48" t="s">
        <v>2056</v>
      </c>
      <c r="AE15" s="48" t="s">
        <v>1710</v>
      </c>
      <c r="AF15" s="48" t="s">
        <v>1710</v>
      </c>
      <c r="AG15" s="48" t="s">
        <v>2057</v>
      </c>
      <c r="AH15" s="48" t="s">
        <v>1815</v>
      </c>
      <c r="AI15" s="48" t="s">
        <v>2058</v>
      </c>
      <c r="AJ15" s="48" t="s">
        <v>1710</v>
      </c>
      <c r="AK15" s="48" t="s">
        <v>2087</v>
      </c>
      <c r="AL15" s="48" t="s">
        <v>2088</v>
      </c>
      <c r="AM15" s="48" t="s">
        <v>1816</v>
      </c>
      <c r="AN15" s="48" t="s">
        <v>2054</v>
      </c>
      <c r="AO15" s="48" t="s">
        <v>1710</v>
      </c>
      <c r="AP15" s="48" t="s">
        <v>1853</v>
      </c>
      <c r="AQ15" s="48" t="s">
        <v>2086</v>
      </c>
      <c r="AR15" s="48" t="s">
        <v>1812</v>
      </c>
      <c r="AS15" s="48" t="s">
        <v>1813</v>
      </c>
      <c r="AT15" s="48" t="s">
        <v>1826</v>
      </c>
      <c r="AU15" s="48" t="s">
        <v>2061</v>
      </c>
      <c r="AV15" s="48" t="s">
        <v>2835</v>
      </c>
      <c r="AW15" s="48" t="s">
        <v>2062</v>
      </c>
      <c r="AX15" s="48" t="s">
        <v>2063</v>
      </c>
      <c r="AY15" s="48" t="s">
        <v>1710</v>
      </c>
      <c r="AZ15" s="48" t="s">
        <v>2924</v>
      </c>
      <c r="BA15" s="48" t="s">
        <v>1710</v>
      </c>
      <c r="BB15" s="48" t="s">
        <v>1709</v>
      </c>
      <c r="BC15" s="48" t="s">
        <v>1710</v>
      </c>
      <c r="BD15" s="48" t="s">
        <v>2097</v>
      </c>
      <c r="BE15" s="52" t="s">
        <v>2887</v>
      </c>
      <c r="BF15" s="48" t="s">
        <v>1710</v>
      </c>
      <c r="BG15" s="48" t="s">
        <v>1817</v>
      </c>
      <c r="BH15">
        <v>1</v>
      </c>
      <c r="BI15" s="48" t="s">
        <v>1888</v>
      </c>
      <c r="BJ15">
        <v>1</v>
      </c>
      <c r="BK15">
        <v>1473.06</v>
      </c>
      <c r="BL15">
        <v>1501112</v>
      </c>
      <c r="BM15">
        <v>1019</v>
      </c>
      <c r="BN15" s="48" t="s">
        <v>2064</v>
      </c>
      <c r="BO15" s="48" t="s">
        <v>2065</v>
      </c>
      <c r="BP15">
        <v>1473.06</v>
      </c>
      <c r="BQ15">
        <v>1033.3</v>
      </c>
      <c r="BR15" s="48" t="s">
        <v>1885</v>
      </c>
      <c r="BS15" s="48" t="s">
        <v>2066</v>
      </c>
      <c r="BT15">
        <v>1</v>
      </c>
      <c r="BU15">
        <v>21000</v>
      </c>
      <c r="BV15">
        <v>21000</v>
      </c>
      <c r="BW15" s="48" t="s">
        <v>2065</v>
      </c>
      <c r="BX15">
        <v>1473.06</v>
      </c>
      <c r="BY15">
        <v>0</v>
      </c>
      <c r="BZ15">
        <v>0</v>
      </c>
      <c r="CA15" s="48" t="s">
        <v>2065</v>
      </c>
      <c r="CB15">
        <v>1473.06</v>
      </c>
      <c r="CC15">
        <v>0</v>
      </c>
      <c r="CD15">
        <v>0</v>
      </c>
      <c r="CE15" s="48" t="s">
        <v>1710</v>
      </c>
      <c r="CF15" s="48" t="s">
        <v>1710</v>
      </c>
      <c r="CG15" s="48" t="s">
        <v>1710</v>
      </c>
      <c r="CH15" s="48" t="s">
        <v>1710</v>
      </c>
      <c r="CI15" s="48" t="s">
        <v>2067</v>
      </c>
      <c r="CJ15" s="48" t="s">
        <v>1710</v>
      </c>
      <c r="CL15" s="48" t="s">
        <v>2835</v>
      </c>
      <c r="CM15" s="48" t="s">
        <v>1710</v>
      </c>
      <c r="CN15" s="48" t="s">
        <v>2068</v>
      </c>
      <c r="CO15" s="48" t="s">
        <v>2069</v>
      </c>
      <c r="CP15" s="48" t="s">
        <v>1710</v>
      </c>
      <c r="CQ15" s="48" t="s">
        <v>1710</v>
      </c>
      <c r="CR15" s="48" t="s">
        <v>1710</v>
      </c>
      <c r="CS15" s="48" t="s">
        <v>1710</v>
      </c>
      <c r="CT15" s="48" t="s">
        <v>1710</v>
      </c>
      <c r="CU15" s="48" t="s">
        <v>1712</v>
      </c>
      <c r="CV15" s="48" t="s">
        <v>1710</v>
      </c>
      <c r="CW15" s="48" t="s">
        <v>1710</v>
      </c>
      <c r="CX15" s="48" t="s">
        <v>2839</v>
      </c>
      <c r="CY15" s="48" t="s">
        <v>1710</v>
      </c>
      <c r="CZ15" s="48" t="s">
        <v>1712</v>
      </c>
      <c r="DA15" s="48" t="s">
        <v>1710</v>
      </c>
      <c r="DB15" s="48" t="s">
        <v>1878</v>
      </c>
      <c r="DC15" s="48" t="s">
        <v>2070</v>
      </c>
      <c r="DD15" s="48" t="s">
        <v>1842</v>
      </c>
      <c r="DE15" s="48" t="s">
        <v>1886</v>
      </c>
      <c r="DF15" s="48" t="s">
        <v>2925</v>
      </c>
      <c r="DG15" s="48" t="s">
        <v>2071</v>
      </c>
      <c r="DH15" s="48" t="s">
        <v>1712</v>
      </c>
      <c r="DI15" s="48" t="s">
        <v>1710</v>
      </c>
      <c r="DJ15" s="48" t="s">
        <v>1710</v>
      </c>
      <c r="DK15" s="48" t="s">
        <v>1710</v>
      </c>
      <c r="DL15" s="48" t="s">
        <v>1710</v>
      </c>
      <c r="DM15" s="48" t="s">
        <v>1710</v>
      </c>
      <c r="DN15" s="48" t="s">
        <v>1710</v>
      </c>
      <c r="DO15" s="48" t="s">
        <v>1710</v>
      </c>
      <c r="DP15" s="48" t="s">
        <v>1710</v>
      </c>
      <c r="DQ15" s="48" t="s">
        <v>1710</v>
      </c>
      <c r="DR15" s="48" t="s">
        <v>2072</v>
      </c>
      <c r="DS15" s="48" t="s">
        <v>1710</v>
      </c>
      <c r="DT15" s="48" t="s">
        <v>1710</v>
      </c>
      <c r="DU15" s="48" t="s">
        <v>2841</v>
      </c>
      <c r="DV15" s="48" t="s">
        <v>2850</v>
      </c>
      <c r="DW15" s="48" t="s">
        <v>1710</v>
      </c>
      <c r="DX15" s="48" t="s">
        <v>2926</v>
      </c>
      <c r="DY15" s="48" t="s">
        <v>1709</v>
      </c>
      <c r="DZ15" s="48" t="s">
        <v>2562</v>
      </c>
      <c r="EA15" s="48" t="s">
        <v>2546</v>
      </c>
      <c r="EB15">
        <v>0</v>
      </c>
      <c r="EC15" s="48" t="s">
        <v>2841</v>
      </c>
      <c r="ED15" s="48" t="s">
        <v>2914</v>
      </c>
      <c r="EE15" s="48" t="s">
        <v>1814</v>
      </c>
      <c r="EF15" s="48" t="s">
        <v>2927</v>
      </c>
      <c r="EG15" s="48" t="s">
        <v>2924</v>
      </c>
      <c r="EH15">
        <v>1.7999999999999999E-2</v>
      </c>
      <c r="EI15" s="48" t="s">
        <v>1888</v>
      </c>
      <c r="EJ15">
        <v>0</v>
      </c>
      <c r="EK15" s="48" t="s">
        <v>1710</v>
      </c>
      <c r="EL15">
        <v>1</v>
      </c>
      <c r="EM15" s="48" t="s">
        <v>1886</v>
      </c>
      <c r="EN15">
        <v>1.7999999999999999E-2</v>
      </c>
      <c r="EO15" s="48" t="s">
        <v>2928</v>
      </c>
      <c r="EP15" s="48" t="s">
        <v>2929</v>
      </c>
      <c r="EQ15">
        <v>510.05</v>
      </c>
      <c r="ER15">
        <v>510.05</v>
      </c>
      <c r="ES15">
        <v>740968</v>
      </c>
      <c r="ET15">
        <v>503</v>
      </c>
      <c r="EU15" s="48" t="s">
        <v>1710</v>
      </c>
      <c r="EV15" s="48" t="s">
        <v>1710</v>
      </c>
      <c r="EW15" s="48" t="s">
        <v>1712</v>
      </c>
      <c r="EX15" s="48" t="s">
        <v>1710</v>
      </c>
      <c r="EY15" s="48" t="s">
        <v>1848</v>
      </c>
      <c r="EZ15" s="48" t="s">
        <v>1710</v>
      </c>
      <c r="FA15" s="48" t="s">
        <v>1710</v>
      </c>
      <c r="FB15" s="48" t="s">
        <v>1712</v>
      </c>
      <c r="FC15" s="48" t="s">
        <v>1710</v>
      </c>
      <c r="FD15" s="48" t="s">
        <v>1710</v>
      </c>
      <c r="FE15" s="48" t="s">
        <v>1814</v>
      </c>
      <c r="FF15" s="48" t="s">
        <v>1815</v>
      </c>
      <c r="FG15" s="48" t="s">
        <v>1710</v>
      </c>
      <c r="FH15">
        <v>18</v>
      </c>
      <c r="FI15" s="48" t="s">
        <v>2652</v>
      </c>
      <c r="FJ15">
        <v>510.05</v>
      </c>
      <c r="FK15">
        <v>28.335999999999999</v>
      </c>
      <c r="FL15" s="48" t="s">
        <v>2930</v>
      </c>
      <c r="FM15" s="48" t="s">
        <v>2929</v>
      </c>
      <c r="FN15" s="48" t="s">
        <v>1710</v>
      </c>
      <c r="FO15" s="48" t="s">
        <v>1710</v>
      </c>
      <c r="FP15" s="48" t="s">
        <v>1710</v>
      </c>
      <c r="FQ15" s="48" t="s">
        <v>1710</v>
      </c>
      <c r="FR15" s="48" t="s">
        <v>1710</v>
      </c>
      <c r="FS15" s="48" t="s">
        <v>1710</v>
      </c>
      <c r="FT15" s="48" t="s">
        <v>1710</v>
      </c>
      <c r="FU15" s="48" t="s">
        <v>1710</v>
      </c>
      <c r="FV15" s="48"/>
      <c r="FW15" s="56"/>
      <c r="FX15" s="56"/>
      <c r="FY15" s="56"/>
      <c r="FZ15" s="56"/>
      <c r="GA15" s="55" t="str">
        <f t="shared" si="1"/>
        <v>4388426100299X</v>
      </c>
      <c r="GB15" t="str">
        <f>VLOOKUP(B15,수출코드!$C$2:$D$4,2,FALSE)</f>
        <v>Suwon</v>
      </c>
      <c r="GC15" t="str">
        <f>VLOOKUP(L15,수출코드!$A$2:$B$6,2,FALSE)</f>
        <v/>
      </c>
      <c r="GD15" t="str">
        <f>VLOOKUP(M15,수출코드!$E$2:$F$5,2,FALSE)</f>
        <v>일반</v>
      </c>
      <c r="GE15" s="61">
        <f t="shared" si="2"/>
        <v>45971.447222222225</v>
      </c>
      <c r="GF15" s="62">
        <f t="shared" si="0"/>
        <v>46048.701388888891</v>
      </c>
      <c r="GI15" s="48" t="s">
        <v>2733</v>
      </c>
    </row>
    <row r="16" spans="1:191">
      <c r="A16" s="48" t="s">
        <v>2931</v>
      </c>
      <c r="B16" s="48" t="s">
        <v>1821</v>
      </c>
      <c r="C16" s="48" t="s">
        <v>2048</v>
      </c>
      <c r="D16" s="48" t="s">
        <v>2813</v>
      </c>
      <c r="E16" s="48" t="s">
        <v>2931</v>
      </c>
      <c r="F16" s="48" t="s">
        <v>1710</v>
      </c>
      <c r="G16" s="48" t="s">
        <v>2814</v>
      </c>
      <c r="H16" s="48" t="s">
        <v>2932</v>
      </c>
      <c r="I16" s="48" t="s">
        <v>1884</v>
      </c>
      <c r="J16" s="48" t="s">
        <v>2835</v>
      </c>
      <c r="K16" s="48" t="s">
        <v>1877</v>
      </c>
      <c r="L16" s="48" t="s">
        <v>1842</v>
      </c>
      <c r="M16" s="48" t="s">
        <v>1810</v>
      </c>
      <c r="N16" s="48" t="s">
        <v>1842</v>
      </c>
      <c r="O16" s="48" t="s">
        <v>1811</v>
      </c>
      <c r="P16" s="48" t="s">
        <v>2549</v>
      </c>
      <c r="Q16" s="48" t="s">
        <v>2049</v>
      </c>
      <c r="R16" s="48" t="s">
        <v>1838</v>
      </c>
      <c r="S16" s="48" t="s">
        <v>2050</v>
      </c>
      <c r="T16" s="48" t="s">
        <v>1845</v>
      </c>
      <c r="U16" s="48" t="s">
        <v>2049</v>
      </c>
      <c r="V16" s="48" t="s">
        <v>1838</v>
      </c>
      <c r="W16" s="48" t="s">
        <v>2051</v>
      </c>
      <c r="X16" s="48" t="s">
        <v>2052</v>
      </c>
      <c r="Y16" s="48" t="s">
        <v>2050</v>
      </c>
      <c r="Z16" s="48" t="s">
        <v>2053</v>
      </c>
      <c r="AA16" s="48" t="s">
        <v>2054</v>
      </c>
      <c r="AB16" s="48" t="s">
        <v>2817</v>
      </c>
      <c r="AC16" s="48" t="s">
        <v>2055</v>
      </c>
      <c r="AD16" s="48" t="s">
        <v>2056</v>
      </c>
      <c r="AE16" s="48" t="s">
        <v>1710</v>
      </c>
      <c r="AF16" s="48" t="s">
        <v>1710</v>
      </c>
      <c r="AG16" s="48" t="s">
        <v>2057</v>
      </c>
      <c r="AH16" s="48" t="s">
        <v>1815</v>
      </c>
      <c r="AI16" s="48" t="s">
        <v>2058</v>
      </c>
      <c r="AJ16" s="48" t="s">
        <v>1710</v>
      </c>
      <c r="AK16" s="48" t="s">
        <v>2632</v>
      </c>
      <c r="AL16" s="48" t="s">
        <v>2633</v>
      </c>
      <c r="AM16" s="48" t="s">
        <v>1816</v>
      </c>
      <c r="AN16" s="48" t="s">
        <v>2054</v>
      </c>
      <c r="AO16" s="48" t="s">
        <v>1710</v>
      </c>
      <c r="AP16" s="48" t="s">
        <v>1853</v>
      </c>
      <c r="AQ16" s="48" t="s">
        <v>2086</v>
      </c>
      <c r="AR16" s="48" t="s">
        <v>1812</v>
      </c>
      <c r="AS16" s="48" t="s">
        <v>1813</v>
      </c>
      <c r="AT16" s="48" t="s">
        <v>1826</v>
      </c>
      <c r="AU16" s="48" t="s">
        <v>2061</v>
      </c>
      <c r="AV16" s="48" t="s">
        <v>2835</v>
      </c>
      <c r="AW16" s="48" t="s">
        <v>2062</v>
      </c>
      <c r="AX16" s="48" t="s">
        <v>2063</v>
      </c>
      <c r="AY16" s="48" t="s">
        <v>1710</v>
      </c>
      <c r="AZ16" s="48" t="s">
        <v>2933</v>
      </c>
      <c r="BA16" s="48" t="s">
        <v>1710</v>
      </c>
      <c r="BB16" s="48" t="s">
        <v>1709</v>
      </c>
      <c r="BC16" s="48" t="s">
        <v>1710</v>
      </c>
      <c r="BD16" s="48" t="s">
        <v>2097</v>
      </c>
      <c r="BE16" s="52" t="s">
        <v>2887</v>
      </c>
      <c r="BF16" s="48" t="s">
        <v>1710</v>
      </c>
      <c r="BG16" s="48" t="s">
        <v>1817</v>
      </c>
      <c r="BH16">
        <v>6</v>
      </c>
      <c r="BI16" s="48" t="s">
        <v>1888</v>
      </c>
      <c r="BJ16">
        <v>1</v>
      </c>
      <c r="BK16">
        <v>1473.06</v>
      </c>
      <c r="BL16">
        <v>4406429</v>
      </c>
      <c r="BM16">
        <v>2991</v>
      </c>
      <c r="BN16" s="48" t="s">
        <v>2064</v>
      </c>
      <c r="BO16" s="48" t="s">
        <v>2065</v>
      </c>
      <c r="BP16">
        <v>1473.06</v>
      </c>
      <c r="BQ16">
        <v>3028.41</v>
      </c>
      <c r="BR16" s="48" t="s">
        <v>1885</v>
      </c>
      <c r="BS16" s="48" t="s">
        <v>2066</v>
      </c>
      <c r="BT16">
        <v>1</v>
      </c>
      <c r="BU16">
        <v>54600</v>
      </c>
      <c r="BV16">
        <v>54600</v>
      </c>
      <c r="BW16" s="48" t="s">
        <v>2065</v>
      </c>
      <c r="BX16">
        <v>1473.06</v>
      </c>
      <c r="BY16">
        <v>0</v>
      </c>
      <c r="BZ16">
        <v>0</v>
      </c>
      <c r="CA16" s="48" t="s">
        <v>2065</v>
      </c>
      <c r="CB16">
        <v>1473.06</v>
      </c>
      <c r="CC16">
        <v>0</v>
      </c>
      <c r="CD16">
        <v>0</v>
      </c>
      <c r="CE16" s="48" t="s">
        <v>1710</v>
      </c>
      <c r="CF16" s="48" t="s">
        <v>1710</v>
      </c>
      <c r="CG16" s="48" t="s">
        <v>1710</v>
      </c>
      <c r="CH16" s="48" t="s">
        <v>1710</v>
      </c>
      <c r="CI16" s="48" t="s">
        <v>2067</v>
      </c>
      <c r="CJ16" s="48" t="s">
        <v>1710</v>
      </c>
      <c r="CL16" s="48" t="s">
        <v>2835</v>
      </c>
      <c r="CM16" s="48" t="s">
        <v>1710</v>
      </c>
      <c r="CN16" s="48" t="s">
        <v>2068</v>
      </c>
      <c r="CO16" s="48" t="s">
        <v>2069</v>
      </c>
      <c r="CP16" s="48" t="s">
        <v>1710</v>
      </c>
      <c r="CQ16" s="48" t="s">
        <v>1710</v>
      </c>
      <c r="CR16" s="48" t="s">
        <v>1710</v>
      </c>
      <c r="CS16" s="48" t="s">
        <v>1710</v>
      </c>
      <c r="CT16" s="48" t="s">
        <v>1710</v>
      </c>
      <c r="CU16" s="48" t="s">
        <v>1712</v>
      </c>
      <c r="CV16" s="48" t="s">
        <v>1710</v>
      </c>
      <c r="CW16" s="48" t="s">
        <v>1710</v>
      </c>
      <c r="CX16" s="48" t="s">
        <v>2839</v>
      </c>
      <c r="CY16" s="48" t="s">
        <v>1710</v>
      </c>
      <c r="CZ16" s="48" t="s">
        <v>1712</v>
      </c>
      <c r="DA16" s="48" t="s">
        <v>1710</v>
      </c>
      <c r="DB16" s="48" t="s">
        <v>1878</v>
      </c>
      <c r="DC16" s="48" t="s">
        <v>2070</v>
      </c>
      <c r="DD16" s="48" t="s">
        <v>1842</v>
      </c>
      <c r="DE16" s="48" t="s">
        <v>1886</v>
      </c>
      <c r="DF16" s="48" t="s">
        <v>2934</v>
      </c>
      <c r="DG16" s="48" t="s">
        <v>2071</v>
      </c>
      <c r="DH16" s="48" t="s">
        <v>1712</v>
      </c>
      <c r="DI16" s="48" t="s">
        <v>1710</v>
      </c>
      <c r="DJ16" s="48" t="s">
        <v>1710</v>
      </c>
      <c r="DK16" s="48" t="s">
        <v>1710</v>
      </c>
      <c r="DL16" s="48" t="s">
        <v>1710</v>
      </c>
      <c r="DM16" s="48" t="s">
        <v>1710</v>
      </c>
      <c r="DN16" s="48" t="s">
        <v>1710</v>
      </c>
      <c r="DO16" s="48" t="s">
        <v>1710</v>
      </c>
      <c r="DP16" s="48" t="s">
        <v>1710</v>
      </c>
      <c r="DQ16" s="48" t="s">
        <v>1710</v>
      </c>
      <c r="DR16" s="48" t="s">
        <v>2072</v>
      </c>
      <c r="DS16" s="48" t="s">
        <v>1710</v>
      </c>
      <c r="DT16" s="48" t="s">
        <v>1710</v>
      </c>
      <c r="DU16" s="48" t="s">
        <v>2841</v>
      </c>
      <c r="DV16" s="48" t="s">
        <v>2850</v>
      </c>
      <c r="DW16" s="48" t="s">
        <v>1710</v>
      </c>
      <c r="DX16" s="48" t="s">
        <v>2935</v>
      </c>
      <c r="DY16" s="48" t="s">
        <v>1709</v>
      </c>
      <c r="DZ16" s="48" t="s">
        <v>2562</v>
      </c>
      <c r="EA16" s="48" t="s">
        <v>2546</v>
      </c>
      <c r="EB16">
        <v>0</v>
      </c>
      <c r="EC16" s="48" t="s">
        <v>2841</v>
      </c>
      <c r="ED16" s="48" t="s">
        <v>2936</v>
      </c>
      <c r="EE16" s="48" t="s">
        <v>1814</v>
      </c>
      <c r="EF16" s="48" t="s">
        <v>2937</v>
      </c>
      <c r="EG16" s="48" t="s">
        <v>2933</v>
      </c>
      <c r="EH16">
        <v>0.11799999999999999</v>
      </c>
      <c r="EI16" s="48" t="s">
        <v>1888</v>
      </c>
      <c r="EJ16">
        <v>0</v>
      </c>
      <c r="EK16" s="48" t="s">
        <v>1710</v>
      </c>
      <c r="EL16">
        <v>1</v>
      </c>
      <c r="EM16" s="48" t="s">
        <v>1886</v>
      </c>
      <c r="EN16">
        <v>0.11799999999999999</v>
      </c>
      <c r="EO16" s="48" t="s">
        <v>2938</v>
      </c>
      <c r="EP16" s="48" t="s">
        <v>2939</v>
      </c>
      <c r="EQ16">
        <v>573.16</v>
      </c>
      <c r="ER16">
        <v>573.16</v>
      </c>
      <c r="ES16">
        <v>833965</v>
      </c>
      <c r="ET16">
        <v>566</v>
      </c>
      <c r="EU16" s="48" t="s">
        <v>1710</v>
      </c>
      <c r="EV16" s="48" t="s">
        <v>1710</v>
      </c>
      <c r="EW16" s="48" t="s">
        <v>1712</v>
      </c>
      <c r="EX16" s="48" t="s">
        <v>1710</v>
      </c>
      <c r="EY16" s="48" t="s">
        <v>1848</v>
      </c>
      <c r="EZ16" s="48" t="s">
        <v>1710</v>
      </c>
      <c r="FA16" s="48" t="s">
        <v>1710</v>
      </c>
      <c r="FB16" s="48" t="s">
        <v>1712</v>
      </c>
      <c r="FC16" s="48" t="s">
        <v>1710</v>
      </c>
      <c r="FD16" s="48" t="s">
        <v>1710</v>
      </c>
      <c r="FE16" s="48" t="s">
        <v>1814</v>
      </c>
      <c r="FF16" s="48" t="s">
        <v>1815</v>
      </c>
      <c r="FG16" s="48" t="s">
        <v>1710</v>
      </c>
      <c r="FH16">
        <v>1</v>
      </c>
      <c r="FI16" s="48" t="s">
        <v>1846</v>
      </c>
      <c r="FJ16">
        <v>573.16</v>
      </c>
      <c r="FK16">
        <v>573.16</v>
      </c>
      <c r="FL16" s="48" t="s">
        <v>2940</v>
      </c>
      <c r="FM16" s="48" t="s">
        <v>2939</v>
      </c>
      <c r="FN16" s="48" t="s">
        <v>1710</v>
      </c>
      <c r="FO16" s="48" t="s">
        <v>1710</v>
      </c>
      <c r="FP16" s="48" t="s">
        <v>1710</v>
      </c>
      <c r="FQ16" s="48" t="s">
        <v>1710</v>
      </c>
      <c r="FR16" s="48" t="s">
        <v>1710</v>
      </c>
      <c r="FS16" s="48" t="s">
        <v>1710</v>
      </c>
      <c r="FT16" s="48" t="s">
        <v>1710</v>
      </c>
      <c r="FU16" s="48" t="s">
        <v>1710</v>
      </c>
      <c r="FV16" s="48"/>
      <c r="FW16" s="56"/>
      <c r="FX16" s="56"/>
      <c r="FY16" s="56"/>
      <c r="FZ16" s="56"/>
      <c r="GA16" s="55" t="str">
        <f t="shared" si="1"/>
        <v>4388426100300X</v>
      </c>
      <c r="GB16" t="str">
        <f>VLOOKUP(B16,수출코드!$C$2:$D$4,2,FALSE)</f>
        <v>Suwon</v>
      </c>
      <c r="GC16" t="str">
        <f>VLOOKUP(L16,수출코드!$A$2:$B$6,2,FALSE)</f>
        <v/>
      </c>
      <c r="GD16" t="str">
        <f>VLOOKUP(M16,수출코드!$E$2:$F$5,2,FALSE)</f>
        <v>일반</v>
      </c>
      <c r="GE16" s="61">
        <f t="shared" si="2"/>
        <v>45971.472916666666</v>
      </c>
      <c r="GF16" s="62">
        <f t="shared" si="0"/>
        <v>46048.706944444442</v>
      </c>
      <c r="GI16" s="48" t="s">
        <v>2734</v>
      </c>
    </row>
    <row r="17" spans="1:191">
      <c r="A17" s="48" t="s">
        <v>2941</v>
      </c>
      <c r="B17" s="48" t="s">
        <v>1821</v>
      </c>
      <c r="C17" s="48" t="s">
        <v>2048</v>
      </c>
      <c r="D17" s="48" t="s">
        <v>2813</v>
      </c>
      <c r="E17" s="48" t="s">
        <v>2941</v>
      </c>
      <c r="F17" s="48" t="s">
        <v>1710</v>
      </c>
      <c r="G17" s="48" t="s">
        <v>2814</v>
      </c>
      <c r="H17" s="48" t="s">
        <v>2942</v>
      </c>
      <c r="I17" s="48" t="s">
        <v>1884</v>
      </c>
      <c r="J17" s="48" t="s">
        <v>2835</v>
      </c>
      <c r="K17" s="48" t="s">
        <v>1877</v>
      </c>
      <c r="L17" s="48" t="s">
        <v>1842</v>
      </c>
      <c r="M17" s="48" t="s">
        <v>1810</v>
      </c>
      <c r="N17" s="48" t="s">
        <v>1842</v>
      </c>
      <c r="O17" s="48" t="s">
        <v>1811</v>
      </c>
      <c r="P17" s="48" t="s">
        <v>2549</v>
      </c>
      <c r="Q17" s="48" t="s">
        <v>2049</v>
      </c>
      <c r="R17" s="48" t="s">
        <v>1838</v>
      </c>
      <c r="S17" s="48" t="s">
        <v>2050</v>
      </c>
      <c r="T17" s="48" t="s">
        <v>1845</v>
      </c>
      <c r="U17" s="48" t="s">
        <v>2049</v>
      </c>
      <c r="V17" s="48" t="s">
        <v>1838</v>
      </c>
      <c r="W17" s="48" t="s">
        <v>2051</v>
      </c>
      <c r="X17" s="48" t="s">
        <v>2052</v>
      </c>
      <c r="Y17" s="48" t="s">
        <v>2050</v>
      </c>
      <c r="Z17" s="48" t="s">
        <v>2053</v>
      </c>
      <c r="AA17" s="48" t="s">
        <v>2054</v>
      </c>
      <c r="AB17" s="48" t="s">
        <v>2817</v>
      </c>
      <c r="AC17" s="48" t="s">
        <v>2055</v>
      </c>
      <c r="AD17" s="48" t="s">
        <v>2056</v>
      </c>
      <c r="AE17" s="48" t="s">
        <v>1710</v>
      </c>
      <c r="AF17" s="48" t="s">
        <v>1710</v>
      </c>
      <c r="AG17" s="48" t="s">
        <v>2057</v>
      </c>
      <c r="AH17" s="48" t="s">
        <v>1815</v>
      </c>
      <c r="AI17" s="48" t="s">
        <v>2058</v>
      </c>
      <c r="AJ17" s="48" t="s">
        <v>1710</v>
      </c>
      <c r="AK17" s="48" t="s">
        <v>2943</v>
      </c>
      <c r="AL17" s="48" t="s">
        <v>2091</v>
      </c>
      <c r="AM17" s="48" t="s">
        <v>1816</v>
      </c>
      <c r="AN17" s="48" t="s">
        <v>2054</v>
      </c>
      <c r="AO17" s="48" t="s">
        <v>1710</v>
      </c>
      <c r="AP17" s="48" t="s">
        <v>1853</v>
      </c>
      <c r="AQ17" s="48" t="s">
        <v>2086</v>
      </c>
      <c r="AR17" s="48" t="s">
        <v>1812</v>
      </c>
      <c r="AS17" s="48" t="s">
        <v>1813</v>
      </c>
      <c r="AT17" s="48" t="s">
        <v>1826</v>
      </c>
      <c r="AU17" s="48" t="s">
        <v>2061</v>
      </c>
      <c r="AV17" s="48" t="s">
        <v>2835</v>
      </c>
      <c r="AW17" s="48" t="s">
        <v>2062</v>
      </c>
      <c r="AX17" s="48" t="s">
        <v>2063</v>
      </c>
      <c r="AY17" s="48" t="s">
        <v>1710</v>
      </c>
      <c r="AZ17" s="48" t="s">
        <v>2944</v>
      </c>
      <c r="BA17" s="48" t="s">
        <v>1710</v>
      </c>
      <c r="BB17" s="48" t="s">
        <v>1709</v>
      </c>
      <c r="BC17" s="48" t="s">
        <v>1710</v>
      </c>
      <c r="BD17" s="48" t="s">
        <v>2097</v>
      </c>
      <c r="BE17" s="52" t="s">
        <v>2887</v>
      </c>
      <c r="BF17" s="48" t="s">
        <v>1710</v>
      </c>
      <c r="BG17" s="48" t="s">
        <v>1814</v>
      </c>
      <c r="BH17">
        <v>29</v>
      </c>
      <c r="BI17" s="48" t="s">
        <v>1888</v>
      </c>
      <c r="BJ17">
        <v>1</v>
      </c>
      <c r="BK17">
        <v>1473.06</v>
      </c>
      <c r="BL17">
        <v>18841929</v>
      </c>
      <c r="BM17">
        <v>12791</v>
      </c>
      <c r="BN17" s="48" t="s">
        <v>2064</v>
      </c>
      <c r="BO17" s="48" t="s">
        <v>2065</v>
      </c>
      <c r="BP17">
        <v>1473.06</v>
      </c>
      <c r="BQ17">
        <v>12896.1</v>
      </c>
      <c r="BR17" s="48" t="s">
        <v>1885</v>
      </c>
      <c r="BS17" s="48" t="s">
        <v>2066</v>
      </c>
      <c r="BT17">
        <v>1</v>
      </c>
      <c r="BU17">
        <v>154800</v>
      </c>
      <c r="BV17">
        <v>154800</v>
      </c>
      <c r="BW17" s="48" t="s">
        <v>2065</v>
      </c>
      <c r="BX17">
        <v>1473.06</v>
      </c>
      <c r="BY17">
        <v>0</v>
      </c>
      <c r="BZ17">
        <v>0</v>
      </c>
      <c r="CA17" s="48" t="s">
        <v>2065</v>
      </c>
      <c r="CB17">
        <v>1473.06</v>
      </c>
      <c r="CC17">
        <v>0</v>
      </c>
      <c r="CD17">
        <v>0</v>
      </c>
      <c r="CE17" s="48" t="s">
        <v>1710</v>
      </c>
      <c r="CF17" s="48" t="s">
        <v>1710</v>
      </c>
      <c r="CG17" s="48" t="s">
        <v>1710</v>
      </c>
      <c r="CH17" s="48" t="s">
        <v>1710</v>
      </c>
      <c r="CI17" s="48" t="s">
        <v>2067</v>
      </c>
      <c r="CJ17" s="48" t="s">
        <v>1710</v>
      </c>
      <c r="CL17" s="48" t="s">
        <v>2835</v>
      </c>
      <c r="CM17" s="48" t="s">
        <v>1710</v>
      </c>
      <c r="CN17" s="48" t="s">
        <v>2068</v>
      </c>
      <c r="CO17" s="48" t="s">
        <v>2069</v>
      </c>
      <c r="CP17" s="48" t="s">
        <v>1710</v>
      </c>
      <c r="CQ17" s="48" t="s">
        <v>1710</v>
      </c>
      <c r="CR17" s="48" t="s">
        <v>1710</v>
      </c>
      <c r="CS17" s="48" t="s">
        <v>1710</v>
      </c>
      <c r="CT17" s="48" t="s">
        <v>1710</v>
      </c>
      <c r="CU17" s="48" t="s">
        <v>1712</v>
      </c>
      <c r="CV17" s="48" t="s">
        <v>1710</v>
      </c>
      <c r="CW17" s="48" t="s">
        <v>1710</v>
      </c>
      <c r="CX17" s="48" t="s">
        <v>2839</v>
      </c>
      <c r="CY17" s="48" t="s">
        <v>1710</v>
      </c>
      <c r="CZ17" s="48" t="s">
        <v>1712</v>
      </c>
      <c r="DA17" s="48" t="s">
        <v>1710</v>
      </c>
      <c r="DB17" s="48" t="s">
        <v>1878</v>
      </c>
      <c r="DC17" s="48" t="s">
        <v>2070</v>
      </c>
      <c r="DD17" s="48" t="s">
        <v>1842</v>
      </c>
      <c r="DE17" s="48" t="s">
        <v>1886</v>
      </c>
      <c r="DF17" s="48" t="s">
        <v>2945</v>
      </c>
      <c r="DG17" s="48" t="s">
        <v>2071</v>
      </c>
      <c r="DH17" s="48" t="s">
        <v>1712</v>
      </c>
      <c r="DI17" s="48" t="s">
        <v>1710</v>
      </c>
      <c r="DJ17" s="48" t="s">
        <v>1710</v>
      </c>
      <c r="DK17" s="48" t="s">
        <v>1710</v>
      </c>
      <c r="DL17" s="48" t="s">
        <v>1710</v>
      </c>
      <c r="DM17" s="48" t="s">
        <v>1710</v>
      </c>
      <c r="DN17" s="48" t="s">
        <v>1710</v>
      </c>
      <c r="DO17" s="48" t="s">
        <v>1710</v>
      </c>
      <c r="DP17" s="48" t="s">
        <v>1710</v>
      </c>
      <c r="DQ17" s="48" t="s">
        <v>1710</v>
      </c>
      <c r="DR17" s="48" t="s">
        <v>2072</v>
      </c>
      <c r="DS17" s="48" t="s">
        <v>1710</v>
      </c>
      <c r="DT17" s="48" t="s">
        <v>1710</v>
      </c>
      <c r="DU17" s="48" t="s">
        <v>2841</v>
      </c>
      <c r="DV17" s="48" t="s">
        <v>2850</v>
      </c>
      <c r="DW17" s="48" t="s">
        <v>1710</v>
      </c>
      <c r="DX17" s="48" t="s">
        <v>2946</v>
      </c>
      <c r="DY17" s="48" t="s">
        <v>1709</v>
      </c>
      <c r="DZ17" s="48" t="s">
        <v>2562</v>
      </c>
      <c r="EA17" s="48" t="s">
        <v>2546</v>
      </c>
      <c r="EB17">
        <v>0</v>
      </c>
      <c r="EC17" s="48" t="s">
        <v>2841</v>
      </c>
      <c r="ED17" s="48" t="s">
        <v>2936</v>
      </c>
      <c r="EE17" s="48" t="s">
        <v>1814</v>
      </c>
      <c r="EF17" s="48" t="s">
        <v>1868</v>
      </c>
      <c r="EG17" s="48" t="s">
        <v>2944</v>
      </c>
      <c r="EH17">
        <v>28</v>
      </c>
      <c r="EI17" s="48" t="s">
        <v>1888</v>
      </c>
      <c r="EJ17">
        <v>1</v>
      </c>
      <c r="EK17" s="48" t="s">
        <v>1887</v>
      </c>
      <c r="EL17">
        <v>1</v>
      </c>
      <c r="EM17" s="48" t="s">
        <v>1886</v>
      </c>
      <c r="EN17">
        <v>28</v>
      </c>
      <c r="EO17" s="48" t="s">
        <v>2528</v>
      </c>
      <c r="EP17" s="48" t="s">
        <v>2697</v>
      </c>
      <c r="EQ17">
        <v>12896.1</v>
      </c>
      <c r="ER17">
        <v>12896.1</v>
      </c>
      <c r="ES17">
        <v>18841929</v>
      </c>
      <c r="ET17">
        <v>12791</v>
      </c>
      <c r="EU17" s="48" t="s">
        <v>1710</v>
      </c>
      <c r="EV17" s="48" t="s">
        <v>1710</v>
      </c>
      <c r="EW17" s="48" t="s">
        <v>1712</v>
      </c>
      <c r="EX17" s="48" t="s">
        <v>1710</v>
      </c>
      <c r="EY17" s="48" t="s">
        <v>1850</v>
      </c>
      <c r="EZ17" s="48" t="s">
        <v>1710</v>
      </c>
      <c r="FA17" s="48" t="s">
        <v>1710</v>
      </c>
      <c r="FB17" s="48" t="s">
        <v>1712</v>
      </c>
      <c r="FC17" s="48" t="s">
        <v>1710</v>
      </c>
      <c r="FD17" s="48" t="s">
        <v>1710</v>
      </c>
      <c r="FE17" s="48" t="s">
        <v>1814</v>
      </c>
      <c r="FF17" s="48" t="s">
        <v>1815</v>
      </c>
      <c r="FG17" s="48" t="s">
        <v>1710</v>
      </c>
      <c r="FH17">
        <v>1</v>
      </c>
      <c r="FI17" s="48" t="s">
        <v>1846</v>
      </c>
      <c r="FJ17">
        <v>12896.1</v>
      </c>
      <c r="FK17">
        <v>12896.1</v>
      </c>
      <c r="FL17" s="48" t="s">
        <v>2698</v>
      </c>
      <c r="FM17" s="48" t="s">
        <v>2699</v>
      </c>
      <c r="FN17" s="48" t="s">
        <v>1710</v>
      </c>
      <c r="FO17" s="48" t="s">
        <v>1710</v>
      </c>
      <c r="FP17" s="48" t="s">
        <v>1710</v>
      </c>
      <c r="FQ17" s="48" t="s">
        <v>1710</v>
      </c>
      <c r="FR17" s="48" t="s">
        <v>1710</v>
      </c>
      <c r="FS17" s="48" t="s">
        <v>1710</v>
      </c>
      <c r="FT17" s="48" t="s">
        <v>1710</v>
      </c>
      <c r="FU17" s="48" t="s">
        <v>1710</v>
      </c>
      <c r="FV17" s="48"/>
      <c r="FW17" s="56"/>
      <c r="FX17" s="56"/>
      <c r="FY17" s="56"/>
      <c r="FZ17" s="56"/>
      <c r="GA17" s="55" t="str">
        <f t="shared" si="1"/>
        <v>4388426100301X</v>
      </c>
      <c r="GB17" t="str">
        <f>VLOOKUP(B17,수출코드!$C$2:$D$4,2,FALSE)</f>
        <v>Suwon</v>
      </c>
      <c r="GC17" t="str">
        <f>VLOOKUP(L17,수출코드!$A$2:$B$6,2,FALSE)</f>
        <v/>
      </c>
      <c r="GD17" t="str">
        <f>VLOOKUP(M17,수출코드!$E$2:$F$5,2,FALSE)</f>
        <v>일반</v>
      </c>
      <c r="GE17" s="61">
        <f t="shared" si="2"/>
        <v>45971.472916666666</v>
      </c>
      <c r="GF17" s="62">
        <f t="shared" si="0"/>
        <v>46048.706944444442</v>
      </c>
      <c r="GI17" s="48" t="s">
        <v>2734</v>
      </c>
    </row>
    <row r="18" spans="1:191">
      <c r="A18" s="48" t="s">
        <v>2947</v>
      </c>
      <c r="B18" s="48" t="s">
        <v>1821</v>
      </c>
      <c r="C18" s="48" t="s">
        <v>2048</v>
      </c>
      <c r="D18" s="48" t="s">
        <v>2813</v>
      </c>
      <c r="E18" s="48" t="s">
        <v>2947</v>
      </c>
      <c r="F18" s="48" t="s">
        <v>1710</v>
      </c>
      <c r="G18" s="48" t="s">
        <v>2814</v>
      </c>
      <c r="H18" s="48" t="s">
        <v>2948</v>
      </c>
      <c r="I18" s="48" t="s">
        <v>1884</v>
      </c>
      <c r="J18" s="48" t="s">
        <v>2835</v>
      </c>
      <c r="K18" s="48" t="s">
        <v>1877</v>
      </c>
      <c r="L18" s="48" t="s">
        <v>1883</v>
      </c>
      <c r="M18" s="48" t="s">
        <v>1810</v>
      </c>
      <c r="N18" s="48" t="s">
        <v>1842</v>
      </c>
      <c r="O18" s="48" t="s">
        <v>1811</v>
      </c>
      <c r="P18" s="48" t="s">
        <v>2549</v>
      </c>
      <c r="Q18" s="48" t="s">
        <v>2049</v>
      </c>
      <c r="R18" s="48" t="s">
        <v>1838</v>
      </c>
      <c r="S18" s="48" t="s">
        <v>2050</v>
      </c>
      <c r="T18" s="48" t="s">
        <v>1845</v>
      </c>
      <c r="U18" s="48" t="s">
        <v>2049</v>
      </c>
      <c r="V18" s="48" t="s">
        <v>1838</v>
      </c>
      <c r="W18" s="48" t="s">
        <v>2051</v>
      </c>
      <c r="X18" s="48" t="s">
        <v>2052</v>
      </c>
      <c r="Y18" s="48" t="s">
        <v>2050</v>
      </c>
      <c r="Z18" s="48" t="s">
        <v>2053</v>
      </c>
      <c r="AA18" s="48" t="s">
        <v>2054</v>
      </c>
      <c r="AB18" s="48" t="s">
        <v>2817</v>
      </c>
      <c r="AC18" s="48" t="s">
        <v>2055</v>
      </c>
      <c r="AD18" s="48" t="s">
        <v>2056</v>
      </c>
      <c r="AE18" s="48" t="s">
        <v>1710</v>
      </c>
      <c r="AF18" s="48" t="s">
        <v>1710</v>
      </c>
      <c r="AG18" s="48" t="s">
        <v>2057</v>
      </c>
      <c r="AH18" s="48" t="s">
        <v>1815</v>
      </c>
      <c r="AI18" s="48" t="s">
        <v>2058</v>
      </c>
      <c r="AJ18" s="48" t="s">
        <v>1710</v>
      </c>
      <c r="AK18" s="48" t="s">
        <v>2090</v>
      </c>
      <c r="AL18" s="48" t="s">
        <v>2091</v>
      </c>
      <c r="AM18" s="48" t="s">
        <v>1816</v>
      </c>
      <c r="AN18" s="48" t="s">
        <v>2054</v>
      </c>
      <c r="AO18" s="48" t="s">
        <v>1710</v>
      </c>
      <c r="AP18" s="48" t="s">
        <v>1853</v>
      </c>
      <c r="AQ18" s="48" t="s">
        <v>2086</v>
      </c>
      <c r="AR18" s="48" t="s">
        <v>1812</v>
      </c>
      <c r="AS18" s="48" t="s">
        <v>1813</v>
      </c>
      <c r="AT18" s="48" t="s">
        <v>1826</v>
      </c>
      <c r="AU18" s="48" t="s">
        <v>2061</v>
      </c>
      <c r="AV18" s="48" t="s">
        <v>2835</v>
      </c>
      <c r="AW18" s="48" t="s">
        <v>2062</v>
      </c>
      <c r="AX18" s="48" t="s">
        <v>2063</v>
      </c>
      <c r="AY18" s="48" t="s">
        <v>1710</v>
      </c>
      <c r="AZ18" s="48" t="s">
        <v>2949</v>
      </c>
      <c r="BA18" s="48" t="s">
        <v>1710</v>
      </c>
      <c r="BB18" s="48" t="s">
        <v>1709</v>
      </c>
      <c r="BC18" s="48" t="s">
        <v>1710</v>
      </c>
      <c r="BD18" s="48" t="s">
        <v>2097</v>
      </c>
      <c r="BE18" s="52" t="s">
        <v>2887</v>
      </c>
      <c r="BF18" s="48" t="s">
        <v>1710</v>
      </c>
      <c r="BG18" s="48" t="s">
        <v>1814</v>
      </c>
      <c r="BH18">
        <v>24</v>
      </c>
      <c r="BI18" s="48" t="s">
        <v>1888</v>
      </c>
      <c r="BJ18">
        <v>2</v>
      </c>
      <c r="BK18">
        <v>1473.06</v>
      </c>
      <c r="BL18">
        <v>46271846</v>
      </c>
      <c r="BM18">
        <v>31412</v>
      </c>
      <c r="BN18" s="48" t="s">
        <v>2064</v>
      </c>
      <c r="BO18" s="48" t="s">
        <v>2065</v>
      </c>
      <c r="BP18">
        <v>1473.06</v>
      </c>
      <c r="BQ18">
        <v>31501.26</v>
      </c>
      <c r="BR18" s="48" t="s">
        <v>1885</v>
      </c>
      <c r="BS18" s="48" t="s">
        <v>2066</v>
      </c>
      <c r="BT18">
        <v>1</v>
      </c>
      <c r="BU18">
        <v>131400</v>
      </c>
      <c r="BV18">
        <v>131400</v>
      </c>
      <c r="BW18" s="48" t="s">
        <v>2065</v>
      </c>
      <c r="BX18">
        <v>1473.06</v>
      </c>
      <c r="BY18">
        <v>0</v>
      </c>
      <c r="BZ18">
        <v>0</v>
      </c>
      <c r="CA18" s="48" t="s">
        <v>2065</v>
      </c>
      <c r="CB18">
        <v>1473.06</v>
      </c>
      <c r="CC18">
        <v>0</v>
      </c>
      <c r="CD18">
        <v>0</v>
      </c>
      <c r="CE18" s="48" t="s">
        <v>1710</v>
      </c>
      <c r="CF18" s="48" t="s">
        <v>1710</v>
      </c>
      <c r="CG18" s="48" t="s">
        <v>1710</v>
      </c>
      <c r="CH18" s="48" t="s">
        <v>1710</v>
      </c>
      <c r="CI18" s="48" t="s">
        <v>2067</v>
      </c>
      <c r="CJ18" s="48" t="s">
        <v>1710</v>
      </c>
      <c r="CL18" s="48" t="s">
        <v>2835</v>
      </c>
      <c r="CM18" s="48" t="s">
        <v>1710</v>
      </c>
      <c r="CN18" s="48" t="s">
        <v>2068</v>
      </c>
      <c r="CO18" s="48" t="s">
        <v>2069</v>
      </c>
      <c r="CP18" s="48" t="s">
        <v>1710</v>
      </c>
      <c r="CQ18" s="48" t="s">
        <v>1710</v>
      </c>
      <c r="CR18" s="48" t="s">
        <v>1710</v>
      </c>
      <c r="CS18" s="48" t="s">
        <v>1710</v>
      </c>
      <c r="CT18" s="48" t="s">
        <v>1710</v>
      </c>
      <c r="CU18" s="48" t="s">
        <v>1712</v>
      </c>
      <c r="CV18" s="48" t="s">
        <v>1710</v>
      </c>
      <c r="CW18" s="48" t="s">
        <v>1710</v>
      </c>
      <c r="CX18" s="48" t="s">
        <v>2839</v>
      </c>
      <c r="CY18" s="48" t="s">
        <v>1710</v>
      </c>
      <c r="CZ18" s="48" t="s">
        <v>1712</v>
      </c>
      <c r="DA18" s="48" t="s">
        <v>1710</v>
      </c>
      <c r="DB18" s="48" t="s">
        <v>1878</v>
      </c>
      <c r="DC18" s="48" t="s">
        <v>2070</v>
      </c>
      <c r="DD18" s="48" t="s">
        <v>1842</v>
      </c>
      <c r="DE18" s="48" t="s">
        <v>1886</v>
      </c>
      <c r="DF18" s="48" t="s">
        <v>2950</v>
      </c>
      <c r="DG18" s="48" t="s">
        <v>2071</v>
      </c>
      <c r="DH18" s="48" t="s">
        <v>1712</v>
      </c>
      <c r="DI18" s="48" t="s">
        <v>1710</v>
      </c>
      <c r="DJ18" s="48" t="s">
        <v>1710</v>
      </c>
      <c r="DK18" s="48" t="s">
        <v>1710</v>
      </c>
      <c r="DL18" s="48" t="s">
        <v>1710</v>
      </c>
      <c r="DM18" s="48" t="s">
        <v>1710</v>
      </c>
      <c r="DN18" s="48" t="s">
        <v>1710</v>
      </c>
      <c r="DO18" s="48" t="s">
        <v>1710</v>
      </c>
      <c r="DP18" s="48" t="s">
        <v>1710</v>
      </c>
      <c r="DQ18" s="48" t="s">
        <v>1710</v>
      </c>
      <c r="DR18" s="48" t="s">
        <v>2072</v>
      </c>
      <c r="DS18" s="48" t="s">
        <v>1710</v>
      </c>
      <c r="DT18" s="48" t="s">
        <v>1710</v>
      </c>
      <c r="DU18" s="48" t="s">
        <v>2841</v>
      </c>
      <c r="DV18" s="48" t="s">
        <v>2850</v>
      </c>
      <c r="DW18" s="48" t="s">
        <v>1710</v>
      </c>
      <c r="DX18" s="48" t="s">
        <v>2951</v>
      </c>
      <c r="DY18" s="48" t="s">
        <v>1709</v>
      </c>
      <c r="DZ18" s="48" t="s">
        <v>2073</v>
      </c>
      <c r="EA18" s="48" t="s">
        <v>2546</v>
      </c>
      <c r="EB18">
        <v>0</v>
      </c>
      <c r="EC18" s="48" t="s">
        <v>2841</v>
      </c>
      <c r="ED18" s="48" t="s">
        <v>2952</v>
      </c>
      <c r="EE18" s="48" t="s">
        <v>1814</v>
      </c>
      <c r="EF18" s="48" t="s">
        <v>1849</v>
      </c>
      <c r="EG18" s="48" t="s">
        <v>2949</v>
      </c>
      <c r="EH18">
        <v>17.16</v>
      </c>
      <c r="EI18" s="48" t="s">
        <v>1888</v>
      </c>
      <c r="EJ18">
        <v>2</v>
      </c>
      <c r="EK18" s="48" t="s">
        <v>1887</v>
      </c>
      <c r="EL18">
        <v>2</v>
      </c>
      <c r="EM18" s="48" t="s">
        <v>1886</v>
      </c>
      <c r="EN18">
        <v>17.16</v>
      </c>
      <c r="EO18" s="48" t="s">
        <v>2526</v>
      </c>
      <c r="EP18" s="48" t="s">
        <v>2953</v>
      </c>
      <c r="EQ18">
        <v>31501.26</v>
      </c>
      <c r="ER18">
        <v>31501.26</v>
      </c>
      <c r="ES18">
        <v>46271846</v>
      </c>
      <c r="ET18">
        <v>31412</v>
      </c>
      <c r="EU18" s="48" t="s">
        <v>1710</v>
      </c>
      <c r="EV18" s="48" t="s">
        <v>1710</v>
      </c>
      <c r="EW18" s="48" t="s">
        <v>1712</v>
      </c>
      <c r="EX18" s="48" t="s">
        <v>1710</v>
      </c>
      <c r="EY18" s="48" t="s">
        <v>1853</v>
      </c>
      <c r="EZ18" s="48" t="s">
        <v>1710</v>
      </c>
      <c r="FA18" s="48" t="s">
        <v>1710</v>
      </c>
      <c r="FB18" s="48" t="s">
        <v>1712</v>
      </c>
      <c r="FC18" s="48" t="s">
        <v>1710</v>
      </c>
      <c r="FD18" s="48" t="s">
        <v>1710</v>
      </c>
      <c r="FE18" s="48" t="s">
        <v>1814</v>
      </c>
      <c r="FF18" s="48" t="s">
        <v>1815</v>
      </c>
      <c r="FG18" s="48" t="s">
        <v>1710</v>
      </c>
      <c r="FH18">
        <v>2</v>
      </c>
      <c r="FI18" s="48" t="s">
        <v>1846</v>
      </c>
      <c r="FJ18">
        <v>31501.26</v>
      </c>
      <c r="FK18">
        <v>15750.63</v>
      </c>
      <c r="FL18" s="48" t="s">
        <v>2954</v>
      </c>
      <c r="FM18" s="48" t="s">
        <v>2953</v>
      </c>
      <c r="FN18" s="48" t="s">
        <v>1710</v>
      </c>
      <c r="FO18" s="48" t="s">
        <v>1710</v>
      </c>
      <c r="FP18" s="48" t="s">
        <v>1710</v>
      </c>
      <c r="FQ18" s="48" t="s">
        <v>1710</v>
      </c>
      <c r="FR18" s="48" t="s">
        <v>1710</v>
      </c>
      <c r="FS18" s="48" t="s">
        <v>1710</v>
      </c>
      <c r="FT18" s="48" t="s">
        <v>1710</v>
      </c>
      <c r="FU18" s="48" t="s">
        <v>1710</v>
      </c>
      <c r="FV18" s="48"/>
      <c r="FW18" s="56"/>
      <c r="FX18" s="56"/>
      <c r="FY18" s="56"/>
      <c r="FZ18" s="56"/>
      <c r="GA18" s="55" t="str">
        <f t="shared" si="1"/>
        <v>4388426100302X</v>
      </c>
      <c r="GB18" t="str">
        <f>VLOOKUP(B18,수출코드!$C$2:$D$4,2,FALSE)</f>
        <v>Suwon</v>
      </c>
      <c r="GC18" t="str">
        <f>VLOOKUP(L18,수출코드!$A$2:$B$6,2,FALSE)</f>
        <v>서류제출</v>
      </c>
      <c r="GD18" t="str">
        <f>VLOOKUP(M18,수출코드!$E$2:$F$5,2,FALSE)</f>
        <v>일반</v>
      </c>
      <c r="GE18" s="61">
        <f t="shared" si="2"/>
        <v>45971.472916666666</v>
      </c>
      <c r="GF18" s="62">
        <f t="shared" si="0"/>
        <v>46048.738194444442</v>
      </c>
      <c r="GI18" s="48" t="s">
        <v>2734</v>
      </c>
    </row>
    <row r="19" spans="1:191">
      <c r="A19" s="48" t="s">
        <v>2955</v>
      </c>
      <c r="B19" s="48" t="s">
        <v>1821</v>
      </c>
      <c r="C19" s="48" t="s">
        <v>2048</v>
      </c>
      <c r="D19" s="48" t="s">
        <v>2813</v>
      </c>
      <c r="E19" s="48" t="s">
        <v>2955</v>
      </c>
      <c r="F19" s="48" t="s">
        <v>1710</v>
      </c>
      <c r="G19" s="48" t="s">
        <v>2814</v>
      </c>
      <c r="H19" s="48" t="s">
        <v>2956</v>
      </c>
      <c r="I19" s="48" t="s">
        <v>1884</v>
      </c>
      <c r="J19" s="48" t="s">
        <v>2835</v>
      </c>
      <c r="K19" s="48" t="s">
        <v>1877</v>
      </c>
      <c r="L19" s="48" t="s">
        <v>1842</v>
      </c>
      <c r="M19" s="48" t="s">
        <v>1810</v>
      </c>
      <c r="N19" s="48" t="s">
        <v>1842</v>
      </c>
      <c r="O19" s="48" t="s">
        <v>1811</v>
      </c>
      <c r="P19" s="48" t="s">
        <v>2549</v>
      </c>
      <c r="Q19" s="48" t="s">
        <v>2049</v>
      </c>
      <c r="R19" s="48" t="s">
        <v>1838</v>
      </c>
      <c r="S19" s="48" t="s">
        <v>2050</v>
      </c>
      <c r="T19" s="48" t="s">
        <v>1845</v>
      </c>
      <c r="U19" s="48" t="s">
        <v>2049</v>
      </c>
      <c r="V19" s="48" t="s">
        <v>1838</v>
      </c>
      <c r="W19" s="48" t="s">
        <v>2051</v>
      </c>
      <c r="X19" s="48" t="s">
        <v>2052</v>
      </c>
      <c r="Y19" s="48" t="s">
        <v>2050</v>
      </c>
      <c r="Z19" s="48" t="s">
        <v>2053</v>
      </c>
      <c r="AA19" s="48" t="s">
        <v>2054</v>
      </c>
      <c r="AB19" s="48" t="s">
        <v>2817</v>
      </c>
      <c r="AC19" s="48" t="s">
        <v>2055</v>
      </c>
      <c r="AD19" s="48" t="s">
        <v>2056</v>
      </c>
      <c r="AE19" s="48" t="s">
        <v>1710</v>
      </c>
      <c r="AF19" s="48" t="s">
        <v>1710</v>
      </c>
      <c r="AG19" s="48" t="s">
        <v>2057</v>
      </c>
      <c r="AH19" s="48" t="s">
        <v>1815</v>
      </c>
      <c r="AI19" s="48" t="s">
        <v>2058</v>
      </c>
      <c r="AJ19" s="48" t="s">
        <v>1710</v>
      </c>
      <c r="AK19" s="48" t="s">
        <v>2099</v>
      </c>
      <c r="AL19" s="48" t="s">
        <v>1866</v>
      </c>
      <c r="AM19" s="48" t="s">
        <v>1816</v>
      </c>
      <c r="AN19" s="48" t="s">
        <v>2054</v>
      </c>
      <c r="AO19" s="48" t="s">
        <v>1710</v>
      </c>
      <c r="AP19" s="48" t="s">
        <v>1854</v>
      </c>
      <c r="AQ19" s="48" t="s">
        <v>2081</v>
      </c>
      <c r="AR19" s="48" t="s">
        <v>1812</v>
      </c>
      <c r="AS19" s="48" t="s">
        <v>1813</v>
      </c>
      <c r="AT19" s="48" t="s">
        <v>1826</v>
      </c>
      <c r="AU19" s="48" t="s">
        <v>2061</v>
      </c>
      <c r="AV19" s="48" t="s">
        <v>2835</v>
      </c>
      <c r="AW19" s="48" t="s">
        <v>2062</v>
      </c>
      <c r="AX19" s="48" t="s">
        <v>2063</v>
      </c>
      <c r="AY19" s="48" t="s">
        <v>1710</v>
      </c>
      <c r="AZ19" s="48" t="s">
        <v>2957</v>
      </c>
      <c r="BA19" s="48" t="s">
        <v>1710</v>
      </c>
      <c r="BB19" s="48" t="s">
        <v>1709</v>
      </c>
      <c r="BC19" s="48" t="s">
        <v>1710</v>
      </c>
      <c r="BD19" s="48" t="s">
        <v>2097</v>
      </c>
      <c r="BE19" s="52" t="s">
        <v>2887</v>
      </c>
      <c r="BF19" s="48" t="s">
        <v>1710</v>
      </c>
      <c r="BG19" s="48" t="s">
        <v>1814</v>
      </c>
      <c r="BH19">
        <v>1</v>
      </c>
      <c r="BI19" s="48" t="s">
        <v>1888</v>
      </c>
      <c r="BJ19">
        <v>1</v>
      </c>
      <c r="BK19">
        <v>1473.06</v>
      </c>
      <c r="BL19">
        <v>639129</v>
      </c>
      <c r="BM19">
        <v>434</v>
      </c>
      <c r="BN19" s="48" t="s">
        <v>2064</v>
      </c>
      <c r="BO19" s="48" t="s">
        <v>2065</v>
      </c>
      <c r="BP19">
        <v>1473.06</v>
      </c>
      <c r="BQ19">
        <v>459.54</v>
      </c>
      <c r="BR19" s="48" t="s">
        <v>1885</v>
      </c>
      <c r="BS19" s="48" t="s">
        <v>2066</v>
      </c>
      <c r="BT19">
        <v>1</v>
      </c>
      <c r="BU19">
        <v>37800</v>
      </c>
      <c r="BV19">
        <v>37800</v>
      </c>
      <c r="BW19" s="48" t="s">
        <v>2065</v>
      </c>
      <c r="BX19">
        <v>1473.06</v>
      </c>
      <c r="BY19">
        <v>0</v>
      </c>
      <c r="BZ19">
        <v>0</v>
      </c>
      <c r="CA19" s="48" t="s">
        <v>2065</v>
      </c>
      <c r="CB19">
        <v>1473.06</v>
      </c>
      <c r="CC19">
        <v>0</v>
      </c>
      <c r="CD19">
        <v>0</v>
      </c>
      <c r="CE19" s="48" t="s">
        <v>1710</v>
      </c>
      <c r="CF19" s="48" t="s">
        <v>1710</v>
      </c>
      <c r="CG19" s="48" t="s">
        <v>1710</v>
      </c>
      <c r="CH19" s="48" t="s">
        <v>1710</v>
      </c>
      <c r="CI19" s="48" t="s">
        <v>2067</v>
      </c>
      <c r="CJ19" s="48" t="s">
        <v>1710</v>
      </c>
      <c r="CL19" s="48" t="s">
        <v>2835</v>
      </c>
      <c r="CM19" s="48" t="s">
        <v>1710</v>
      </c>
      <c r="CN19" s="48" t="s">
        <v>2068</v>
      </c>
      <c r="CO19" s="48" t="s">
        <v>2069</v>
      </c>
      <c r="CP19" s="48" t="s">
        <v>1710</v>
      </c>
      <c r="CQ19" s="48" t="s">
        <v>1710</v>
      </c>
      <c r="CR19" s="48" t="s">
        <v>1710</v>
      </c>
      <c r="CS19" s="48" t="s">
        <v>1710</v>
      </c>
      <c r="CT19" s="48" t="s">
        <v>1710</v>
      </c>
      <c r="CU19" s="48" t="s">
        <v>1712</v>
      </c>
      <c r="CV19" s="48" t="s">
        <v>1710</v>
      </c>
      <c r="CW19" s="48" t="s">
        <v>1710</v>
      </c>
      <c r="CX19" s="48" t="s">
        <v>2839</v>
      </c>
      <c r="CY19" s="48" t="s">
        <v>1710</v>
      </c>
      <c r="CZ19" s="48" t="s">
        <v>1712</v>
      </c>
      <c r="DA19" s="48" t="s">
        <v>1710</v>
      </c>
      <c r="DB19" s="48" t="s">
        <v>1878</v>
      </c>
      <c r="DC19" s="48" t="s">
        <v>2070</v>
      </c>
      <c r="DD19" s="48" t="s">
        <v>1842</v>
      </c>
      <c r="DE19" s="48" t="s">
        <v>1886</v>
      </c>
      <c r="DF19" s="48" t="s">
        <v>2958</v>
      </c>
      <c r="DG19" s="48" t="s">
        <v>2071</v>
      </c>
      <c r="DH19" s="48" t="s">
        <v>1712</v>
      </c>
      <c r="DI19" s="48" t="s">
        <v>1710</v>
      </c>
      <c r="DJ19" s="48" t="s">
        <v>1710</v>
      </c>
      <c r="DK19" s="48" t="s">
        <v>1710</v>
      </c>
      <c r="DL19" s="48" t="s">
        <v>1710</v>
      </c>
      <c r="DM19" s="48" t="s">
        <v>1710</v>
      </c>
      <c r="DN19" s="48" t="s">
        <v>1710</v>
      </c>
      <c r="DO19" s="48" t="s">
        <v>1710</v>
      </c>
      <c r="DP19" s="48" t="s">
        <v>1710</v>
      </c>
      <c r="DQ19" s="48" t="s">
        <v>1710</v>
      </c>
      <c r="DR19" s="48" t="s">
        <v>2072</v>
      </c>
      <c r="DS19" s="48" t="s">
        <v>1710</v>
      </c>
      <c r="DT19" s="48" t="s">
        <v>1710</v>
      </c>
      <c r="DU19" s="48" t="s">
        <v>2841</v>
      </c>
      <c r="DV19" s="48" t="s">
        <v>2816</v>
      </c>
      <c r="DW19" s="48" t="s">
        <v>1710</v>
      </c>
      <c r="DX19" s="48" t="s">
        <v>2959</v>
      </c>
      <c r="DY19" s="48" t="s">
        <v>1709</v>
      </c>
      <c r="DZ19" s="48" t="s">
        <v>2562</v>
      </c>
      <c r="EA19" s="48" t="s">
        <v>2546</v>
      </c>
      <c r="EB19">
        <v>0</v>
      </c>
      <c r="EC19" s="48" t="s">
        <v>2841</v>
      </c>
      <c r="ED19" s="48" t="s">
        <v>2960</v>
      </c>
      <c r="EE19" s="48" t="s">
        <v>1814</v>
      </c>
      <c r="EF19" s="48" t="s">
        <v>1862</v>
      </c>
      <c r="EG19" s="48" t="s">
        <v>2957</v>
      </c>
      <c r="EH19">
        <v>0.33</v>
      </c>
      <c r="EI19" s="48" t="s">
        <v>1888</v>
      </c>
      <c r="EJ19">
        <v>0</v>
      </c>
      <c r="EK19" s="48" t="s">
        <v>1710</v>
      </c>
      <c r="EL19">
        <v>1</v>
      </c>
      <c r="EM19" s="48" t="s">
        <v>1886</v>
      </c>
      <c r="EN19">
        <v>0.33</v>
      </c>
      <c r="EO19" s="48" t="s">
        <v>2522</v>
      </c>
      <c r="EP19" s="48" t="s">
        <v>2961</v>
      </c>
      <c r="EQ19">
        <v>459.54</v>
      </c>
      <c r="ER19">
        <v>459.54</v>
      </c>
      <c r="ES19">
        <v>639129</v>
      </c>
      <c r="ET19">
        <v>434</v>
      </c>
      <c r="EU19" s="48" t="s">
        <v>1710</v>
      </c>
      <c r="EV19" s="48" t="s">
        <v>1710</v>
      </c>
      <c r="EW19" s="48" t="s">
        <v>1712</v>
      </c>
      <c r="EX19" s="48" t="s">
        <v>1710</v>
      </c>
      <c r="EY19" s="48" t="s">
        <v>1843</v>
      </c>
      <c r="EZ19" s="48" t="s">
        <v>1710</v>
      </c>
      <c r="FA19" s="48" t="s">
        <v>1710</v>
      </c>
      <c r="FB19" s="48" t="s">
        <v>1712</v>
      </c>
      <c r="FC19" s="48" t="s">
        <v>1710</v>
      </c>
      <c r="FD19" s="48" t="s">
        <v>1710</v>
      </c>
      <c r="FE19" s="48" t="s">
        <v>1814</v>
      </c>
      <c r="FF19" s="48" t="s">
        <v>1815</v>
      </c>
      <c r="FG19" s="48" t="s">
        <v>1710</v>
      </c>
      <c r="FH19">
        <v>11</v>
      </c>
      <c r="FI19" s="48" t="s">
        <v>1846</v>
      </c>
      <c r="FJ19">
        <v>459.54</v>
      </c>
      <c r="FK19">
        <v>41.776000000000003</v>
      </c>
      <c r="FL19" s="48" t="s">
        <v>2962</v>
      </c>
      <c r="FM19" s="48" t="s">
        <v>2961</v>
      </c>
      <c r="FN19" s="48" t="s">
        <v>1710</v>
      </c>
      <c r="FO19" s="48" t="s">
        <v>1710</v>
      </c>
      <c r="FP19" s="48" t="s">
        <v>1710</v>
      </c>
      <c r="FQ19" s="48" t="s">
        <v>1710</v>
      </c>
      <c r="FR19" s="48" t="s">
        <v>1710</v>
      </c>
      <c r="FS19" s="48" t="s">
        <v>1710</v>
      </c>
      <c r="FT19" s="48" t="s">
        <v>1710</v>
      </c>
      <c r="FU19" s="48" t="s">
        <v>1710</v>
      </c>
      <c r="FV19" s="48"/>
      <c r="FW19" s="56"/>
      <c r="FX19" s="56"/>
      <c r="FY19" s="56"/>
      <c r="FZ19" s="56"/>
      <c r="GA19" s="55" t="str">
        <f t="shared" si="1"/>
        <v>4388426100303X</v>
      </c>
      <c r="GB19" t="str">
        <f>VLOOKUP(B19,수출코드!$C$2:$D$4,2,FALSE)</f>
        <v>Suwon</v>
      </c>
      <c r="GC19" t="str">
        <f>VLOOKUP(L19,수출코드!$A$2:$B$6,2,FALSE)</f>
        <v/>
      </c>
      <c r="GD19" t="str">
        <f>VLOOKUP(M19,수출코드!$E$2:$F$5,2,FALSE)</f>
        <v>일반</v>
      </c>
      <c r="GE19" s="61">
        <f t="shared" si="2"/>
        <v>45971.472916666666</v>
      </c>
      <c r="GF19" s="62">
        <f t="shared" si="0"/>
        <v>46048.711805555555</v>
      </c>
      <c r="GI19" s="48" t="s">
        <v>2735</v>
      </c>
    </row>
    <row r="20" spans="1:191">
      <c r="A20" s="48" t="s">
        <v>2963</v>
      </c>
      <c r="B20" s="48" t="s">
        <v>1821</v>
      </c>
      <c r="C20" s="48" t="s">
        <v>2048</v>
      </c>
      <c r="D20" s="48" t="s">
        <v>2813</v>
      </c>
      <c r="E20" s="48" t="s">
        <v>2963</v>
      </c>
      <c r="F20" s="48" t="s">
        <v>1710</v>
      </c>
      <c r="G20" s="48" t="s">
        <v>2814</v>
      </c>
      <c r="H20" s="48" t="s">
        <v>2964</v>
      </c>
      <c r="I20" s="48" t="s">
        <v>1884</v>
      </c>
      <c r="J20" s="48" t="s">
        <v>2835</v>
      </c>
      <c r="K20" s="48" t="s">
        <v>1877</v>
      </c>
      <c r="L20" s="48" t="s">
        <v>1842</v>
      </c>
      <c r="M20" s="48" t="s">
        <v>1810</v>
      </c>
      <c r="N20" s="48" t="s">
        <v>1842</v>
      </c>
      <c r="O20" s="48" t="s">
        <v>1811</v>
      </c>
      <c r="P20" s="48" t="s">
        <v>2549</v>
      </c>
      <c r="Q20" s="48" t="s">
        <v>2049</v>
      </c>
      <c r="R20" s="48" t="s">
        <v>1838</v>
      </c>
      <c r="S20" s="48" t="s">
        <v>2050</v>
      </c>
      <c r="T20" s="48" t="s">
        <v>1845</v>
      </c>
      <c r="U20" s="48" t="s">
        <v>2049</v>
      </c>
      <c r="V20" s="48" t="s">
        <v>1838</v>
      </c>
      <c r="W20" s="48" t="s">
        <v>2051</v>
      </c>
      <c r="X20" s="48" t="s">
        <v>2052</v>
      </c>
      <c r="Y20" s="48" t="s">
        <v>2050</v>
      </c>
      <c r="Z20" s="48" t="s">
        <v>2053</v>
      </c>
      <c r="AA20" s="48" t="s">
        <v>2054</v>
      </c>
      <c r="AB20" s="48" t="s">
        <v>2817</v>
      </c>
      <c r="AC20" s="48" t="s">
        <v>2055</v>
      </c>
      <c r="AD20" s="48" t="s">
        <v>2056</v>
      </c>
      <c r="AE20" s="48" t="s">
        <v>1710</v>
      </c>
      <c r="AF20" s="48" t="s">
        <v>1710</v>
      </c>
      <c r="AG20" s="48" t="s">
        <v>2057</v>
      </c>
      <c r="AH20" s="48" t="s">
        <v>1815</v>
      </c>
      <c r="AI20" s="48" t="s">
        <v>2058</v>
      </c>
      <c r="AJ20" s="48" t="s">
        <v>1710</v>
      </c>
      <c r="AK20" s="48" t="s">
        <v>2571</v>
      </c>
      <c r="AL20" s="48" t="s">
        <v>2572</v>
      </c>
      <c r="AM20" s="48" t="s">
        <v>1816</v>
      </c>
      <c r="AN20" s="48" t="s">
        <v>2054</v>
      </c>
      <c r="AO20" s="48" t="s">
        <v>1710</v>
      </c>
      <c r="AP20" s="48" t="s">
        <v>1853</v>
      </c>
      <c r="AQ20" s="48" t="s">
        <v>2086</v>
      </c>
      <c r="AR20" s="48" t="s">
        <v>1812</v>
      </c>
      <c r="AS20" s="48" t="s">
        <v>1813</v>
      </c>
      <c r="AT20" s="48" t="s">
        <v>1826</v>
      </c>
      <c r="AU20" s="48" t="s">
        <v>2061</v>
      </c>
      <c r="AV20" s="48" t="s">
        <v>2835</v>
      </c>
      <c r="AW20" s="48" t="s">
        <v>2062</v>
      </c>
      <c r="AX20" s="48" t="s">
        <v>2063</v>
      </c>
      <c r="AY20" s="48" t="s">
        <v>1710</v>
      </c>
      <c r="AZ20" s="48" t="s">
        <v>2965</v>
      </c>
      <c r="BA20" s="48" t="s">
        <v>1710</v>
      </c>
      <c r="BB20" s="48" t="s">
        <v>1709</v>
      </c>
      <c r="BC20" s="48" t="s">
        <v>1710</v>
      </c>
      <c r="BD20" s="48" t="s">
        <v>2097</v>
      </c>
      <c r="BE20" s="52" t="s">
        <v>2887</v>
      </c>
      <c r="BF20" s="48" t="s">
        <v>1710</v>
      </c>
      <c r="BG20" s="48" t="s">
        <v>1817</v>
      </c>
      <c r="BH20">
        <v>5</v>
      </c>
      <c r="BI20" s="48" t="s">
        <v>1888</v>
      </c>
      <c r="BJ20">
        <v>1</v>
      </c>
      <c r="BK20">
        <v>1473.06</v>
      </c>
      <c r="BL20">
        <v>7269455</v>
      </c>
      <c r="BM20">
        <v>4935</v>
      </c>
      <c r="BN20" s="48" t="s">
        <v>2064</v>
      </c>
      <c r="BO20" s="48" t="s">
        <v>2065</v>
      </c>
      <c r="BP20">
        <v>1473.06</v>
      </c>
      <c r="BQ20">
        <v>4969.1499999999996</v>
      </c>
      <c r="BR20" s="48" t="s">
        <v>1885</v>
      </c>
      <c r="BS20" s="48" t="s">
        <v>2066</v>
      </c>
      <c r="BT20">
        <v>1</v>
      </c>
      <c r="BU20">
        <v>50400</v>
      </c>
      <c r="BV20">
        <v>50400</v>
      </c>
      <c r="BW20" s="48" t="s">
        <v>2065</v>
      </c>
      <c r="BX20">
        <v>1473.06</v>
      </c>
      <c r="BY20">
        <v>0</v>
      </c>
      <c r="BZ20">
        <v>0</v>
      </c>
      <c r="CA20" s="48" t="s">
        <v>2065</v>
      </c>
      <c r="CB20">
        <v>1473.06</v>
      </c>
      <c r="CC20">
        <v>0</v>
      </c>
      <c r="CD20">
        <v>0</v>
      </c>
      <c r="CE20" s="48" t="s">
        <v>1710</v>
      </c>
      <c r="CF20" s="48" t="s">
        <v>1710</v>
      </c>
      <c r="CG20" s="48" t="s">
        <v>1710</v>
      </c>
      <c r="CH20" s="48" t="s">
        <v>1710</v>
      </c>
      <c r="CI20" s="48" t="s">
        <v>2067</v>
      </c>
      <c r="CJ20" s="48" t="s">
        <v>1710</v>
      </c>
      <c r="CL20" s="48" t="s">
        <v>2835</v>
      </c>
      <c r="CM20" s="48" t="s">
        <v>1710</v>
      </c>
      <c r="CN20" s="48" t="s">
        <v>2068</v>
      </c>
      <c r="CO20" s="48" t="s">
        <v>2069</v>
      </c>
      <c r="CP20" s="48" t="s">
        <v>1710</v>
      </c>
      <c r="CQ20" s="48" t="s">
        <v>1710</v>
      </c>
      <c r="CR20" s="48" t="s">
        <v>1710</v>
      </c>
      <c r="CS20" s="48" t="s">
        <v>1710</v>
      </c>
      <c r="CT20" s="48" t="s">
        <v>1710</v>
      </c>
      <c r="CU20" s="48" t="s">
        <v>1712</v>
      </c>
      <c r="CV20" s="48" t="s">
        <v>1710</v>
      </c>
      <c r="CW20" s="48" t="s">
        <v>1710</v>
      </c>
      <c r="CX20" s="48" t="s">
        <v>2839</v>
      </c>
      <c r="CY20" s="48" t="s">
        <v>1710</v>
      </c>
      <c r="CZ20" s="48" t="s">
        <v>1712</v>
      </c>
      <c r="DA20" s="48" t="s">
        <v>1710</v>
      </c>
      <c r="DB20" s="48" t="s">
        <v>1878</v>
      </c>
      <c r="DC20" s="48" t="s">
        <v>2070</v>
      </c>
      <c r="DD20" s="48" t="s">
        <v>1842</v>
      </c>
      <c r="DE20" s="48" t="s">
        <v>1886</v>
      </c>
      <c r="DF20" s="48" t="s">
        <v>2966</v>
      </c>
      <c r="DG20" s="48" t="s">
        <v>2071</v>
      </c>
      <c r="DH20" s="48" t="s">
        <v>1712</v>
      </c>
      <c r="DI20" s="48" t="s">
        <v>1710</v>
      </c>
      <c r="DJ20" s="48" t="s">
        <v>1710</v>
      </c>
      <c r="DK20" s="48" t="s">
        <v>1710</v>
      </c>
      <c r="DL20" s="48" t="s">
        <v>1710</v>
      </c>
      <c r="DM20" s="48" t="s">
        <v>1710</v>
      </c>
      <c r="DN20" s="48" t="s">
        <v>1710</v>
      </c>
      <c r="DO20" s="48" t="s">
        <v>1710</v>
      </c>
      <c r="DP20" s="48" t="s">
        <v>1710</v>
      </c>
      <c r="DQ20" s="48" t="s">
        <v>1710</v>
      </c>
      <c r="DR20" s="48" t="s">
        <v>2072</v>
      </c>
      <c r="DS20" s="48" t="s">
        <v>1710</v>
      </c>
      <c r="DT20" s="48" t="s">
        <v>1710</v>
      </c>
      <c r="DU20" s="48" t="s">
        <v>2841</v>
      </c>
      <c r="DV20" s="48" t="s">
        <v>2816</v>
      </c>
      <c r="DW20" s="48" t="s">
        <v>1710</v>
      </c>
      <c r="DX20" s="48" t="s">
        <v>2967</v>
      </c>
      <c r="DY20" s="48" t="s">
        <v>1709</v>
      </c>
      <c r="DZ20" s="48" t="s">
        <v>2562</v>
      </c>
      <c r="EA20" s="48" t="s">
        <v>2546</v>
      </c>
      <c r="EB20">
        <v>0</v>
      </c>
      <c r="EC20" s="48" t="s">
        <v>2841</v>
      </c>
      <c r="ED20" s="48" t="s">
        <v>2960</v>
      </c>
      <c r="EE20" s="48" t="s">
        <v>1814</v>
      </c>
      <c r="EF20" s="48" t="s">
        <v>2594</v>
      </c>
      <c r="EG20" s="48" t="s">
        <v>2965</v>
      </c>
      <c r="EH20">
        <v>2</v>
      </c>
      <c r="EI20" s="48" t="s">
        <v>1888</v>
      </c>
      <c r="EJ20">
        <v>0</v>
      </c>
      <c r="EK20" s="48" t="s">
        <v>1710</v>
      </c>
      <c r="EL20">
        <v>1</v>
      </c>
      <c r="EM20" s="48" t="s">
        <v>1886</v>
      </c>
      <c r="EN20">
        <v>2</v>
      </c>
      <c r="EO20" s="48" t="s">
        <v>2595</v>
      </c>
      <c r="EP20" s="48" t="s">
        <v>2672</v>
      </c>
      <c r="EQ20">
        <v>2715.01</v>
      </c>
      <c r="ER20">
        <v>2715.01</v>
      </c>
      <c r="ES20">
        <v>3971835</v>
      </c>
      <c r="ET20">
        <v>2696</v>
      </c>
      <c r="EU20" s="48" t="s">
        <v>1710</v>
      </c>
      <c r="EV20" s="48" t="s">
        <v>1710</v>
      </c>
      <c r="EW20" s="48" t="s">
        <v>1712</v>
      </c>
      <c r="EX20" s="48" t="s">
        <v>1710</v>
      </c>
      <c r="EY20" s="48" t="s">
        <v>1854</v>
      </c>
      <c r="EZ20" s="48" t="s">
        <v>1710</v>
      </c>
      <c r="FA20" s="48" t="s">
        <v>1710</v>
      </c>
      <c r="FB20" s="48" t="s">
        <v>1712</v>
      </c>
      <c r="FC20" s="48" t="s">
        <v>1710</v>
      </c>
      <c r="FD20" s="48" t="s">
        <v>1710</v>
      </c>
      <c r="FE20" s="48" t="s">
        <v>1814</v>
      </c>
      <c r="FF20" s="48" t="s">
        <v>1815</v>
      </c>
      <c r="FG20" s="48" t="s">
        <v>1710</v>
      </c>
      <c r="FH20">
        <v>3</v>
      </c>
      <c r="FI20" s="48" t="s">
        <v>1846</v>
      </c>
      <c r="FJ20">
        <v>2715.01</v>
      </c>
      <c r="FK20">
        <v>905.00300000000004</v>
      </c>
      <c r="FL20" s="48" t="s">
        <v>2673</v>
      </c>
      <c r="FM20" s="48" t="s">
        <v>2672</v>
      </c>
      <c r="FN20" s="48" t="s">
        <v>1710</v>
      </c>
      <c r="FO20" s="48" t="s">
        <v>1710</v>
      </c>
      <c r="FP20" s="48" t="s">
        <v>1710</v>
      </c>
      <c r="FQ20" s="48" t="s">
        <v>1710</v>
      </c>
      <c r="FR20" s="48" t="s">
        <v>1710</v>
      </c>
      <c r="FS20" s="48" t="s">
        <v>1710</v>
      </c>
      <c r="FT20" s="48" t="s">
        <v>1710</v>
      </c>
      <c r="FU20" s="48" t="s">
        <v>1710</v>
      </c>
      <c r="FV20" s="48"/>
      <c r="FW20" s="56"/>
      <c r="FX20" s="56"/>
      <c r="FY20" s="56"/>
      <c r="FZ20" s="56"/>
      <c r="GA20" s="55" t="str">
        <f t="shared" si="1"/>
        <v>4388426100304X</v>
      </c>
      <c r="GB20" t="str">
        <f>VLOOKUP(B20,수출코드!$C$2:$D$4,2,FALSE)</f>
        <v>Suwon</v>
      </c>
      <c r="GC20" t="str">
        <f>VLOOKUP(L20,수출코드!$A$2:$B$6,2,FALSE)</f>
        <v/>
      </c>
      <c r="GD20" t="str">
        <f>VLOOKUP(M20,수출코드!$E$2:$F$5,2,FALSE)</f>
        <v>일반</v>
      </c>
      <c r="GE20" s="61">
        <f t="shared" si="2"/>
        <v>45971.472916666666</v>
      </c>
      <c r="GF20" s="62">
        <f t="shared" si="0"/>
        <v>46048.711805555555</v>
      </c>
      <c r="GI20" s="48" t="s">
        <v>2735</v>
      </c>
    </row>
    <row r="21" spans="1:191">
      <c r="A21" s="48" t="s">
        <v>2968</v>
      </c>
      <c r="B21" s="48" t="s">
        <v>1821</v>
      </c>
      <c r="C21" s="48" t="s">
        <v>2048</v>
      </c>
      <c r="D21" s="48" t="s">
        <v>2813</v>
      </c>
      <c r="E21" s="48" t="s">
        <v>2968</v>
      </c>
      <c r="F21" s="48" t="s">
        <v>1710</v>
      </c>
      <c r="G21" s="48" t="s">
        <v>2814</v>
      </c>
      <c r="H21" s="48" t="s">
        <v>2969</v>
      </c>
      <c r="I21" s="48" t="s">
        <v>1884</v>
      </c>
      <c r="J21" s="48" t="s">
        <v>2835</v>
      </c>
      <c r="K21" s="48" t="s">
        <v>1877</v>
      </c>
      <c r="L21" s="48" t="s">
        <v>1842</v>
      </c>
      <c r="M21" s="48" t="s">
        <v>1810</v>
      </c>
      <c r="N21" s="48" t="s">
        <v>1842</v>
      </c>
      <c r="O21" s="48" t="s">
        <v>1811</v>
      </c>
      <c r="P21" s="48" t="s">
        <v>2549</v>
      </c>
      <c r="Q21" s="48" t="s">
        <v>2049</v>
      </c>
      <c r="R21" s="48" t="s">
        <v>1838</v>
      </c>
      <c r="S21" s="48" t="s">
        <v>2050</v>
      </c>
      <c r="T21" s="48" t="s">
        <v>1845</v>
      </c>
      <c r="U21" s="48" t="s">
        <v>2049</v>
      </c>
      <c r="V21" s="48" t="s">
        <v>1838</v>
      </c>
      <c r="W21" s="48" t="s">
        <v>2051</v>
      </c>
      <c r="X21" s="48" t="s">
        <v>2052</v>
      </c>
      <c r="Y21" s="48" t="s">
        <v>2050</v>
      </c>
      <c r="Z21" s="48" t="s">
        <v>2053</v>
      </c>
      <c r="AA21" s="48" t="s">
        <v>2054</v>
      </c>
      <c r="AB21" s="48" t="s">
        <v>2817</v>
      </c>
      <c r="AC21" s="48" t="s">
        <v>2055</v>
      </c>
      <c r="AD21" s="48" t="s">
        <v>2056</v>
      </c>
      <c r="AE21" s="48" t="s">
        <v>1710</v>
      </c>
      <c r="AF21" s="48" t="s">
        <v>1710</v>
      </c>
      <c r="AG21" s="48" t="s">
        <v>2057</v>
      </c>
      <c r="AH21" s="48" t="s">
        <v>1815</v>
      </c>
      <c r="AI21" s="48" t="s">
        <v>2058</v>
      </c>
      <c r="AJ21" s="48" t="s">
        <v>1710</v>
      </c>
      <c r="AK21" s="48" t="s">
        <v>2087</v>
      </c>
      <c r="AL21" s="48" t="s">
        <v>2088</v>
      </c>
      <c r="AM21" s="48" t="s">
        <v>1816</v>
      </c>
      <c r="AN21" s="48" t="s">
        <v>2054</v>
      </c>
      <c r="AO21" s="48" t="s">
        <v>1710</v>
      </c>
      <c r="AP21" s="48" t="s">
        <v>1853</v>
      </c>
      <c r="AQ21" s="48" t="s">
        <v>2086</v>
      </c>
      <c r="AR21" s="48" t="s">
        <v>1812</v>
      </c>
      <c r="AS21" s="48" t="s">
        <v>1813</v>
      </c>
      <c r="AT21" s="48" t="s">
        <v>1826</v>
      </c>
      <c r="AU21" s="48" t="s">
        <v>2061</v>
      </c>
      <c r="AV21" s="48" t="s">
        <v>2835</v>
      </c>
      <c r="AW21" s="48" t="s">
        <v>2062</v>
      </c>
      <c r="AX21" s="48" t="s">
        <v>2063</v>
      </c>
      <c r="AY21" s="48" t="s">
        <v>1710</v>
      </c>
      <c r="AZ21" s="48" t="s">
        <v>2970</v>
      </c>
      <c r="BA21" s="48" t="s">
        <v>1710</v>
      </c>
      <c r="BB21" s="48" t="s">
        <v>1709</v>
      </c>
      <c r="BC21" s="48" t="s">
        <v>1710</v>
      </c>
      <c r="BD21" s="48" t="s">
        <v>2097</v>
      </c>
      <c r="BE21" s="52" t="s">
        <v>2887</v>
      </c>
      <c r="BF21" s="48" t="s">
        <v>1710</v>
      </c>
      <c r="BG21" s="48" t="s">
        <v>1814</v>
      </c>
      <c r="BH21">
        <v>1</v>
      </c>
      <c r="BI21" s="48" t="s">
        <v>1888</v>
      </c>
      <c r="BJ21">
        <v>1</v>
      </c>
      <c r="BK21">
        <v>1473.06</v>
      </c>
      <c r="BL21">
        <v>1520557</v>
      </c>
      <c r="BM21">
        <v>1032</v>
      </c>
      <c r="BN21" s="48" t="s">
        <v>2064</v>
      </c>
      <c r="BO21" s="48" t="s">
        <v>2065</v>
      </c>
      <c r="BP21">
        <v>1473.06</v>
      </c>
      <c r="BQ21">
        <v>1046.5</v>
      </c>
      <c r="BR21" s="48" t="s">
        <v>1885</v>
      </c>
      <c r="BS21" s="48" t="s">
        <v>2066</v>
      </c>
      <c r="BT21">
        <v>1</v>
      </c>
      <c r="BU21">
        <v>21000</v>
      </c>
      <c r="BV21">
        <v>21000</v>
      </c>
      <c r="BW21" s="48" t="s">
        <v>2065</v>
      </c>
      <c r="BX21">
        <v>1473.06</v>
      </c>
      <c r="BY21">
        <v>0</v>
      </c>
      <c r="BZ21">
        <v>0</v>
      </c>
      <c r="CA21" s="48" t="s">
        <v>2065</v>
      </c>
      <c r="CB21">
        <v>1473.06</v>
      </c>
      <c r="CC21">
        <v>0</v>
      </c>
      <c r="CD21">
        <v>0</v>
      </c>
      <c r="CE21" s="48" t="s">
        <v>1710</v>
      </c>
      <c r="CF21" s="48" t="s">
        <v>1710</v>
      </c>
      <c r="CG21" s="48" t="s">
        <v>1710</v>
      </c>
      <c r="CH21" s="48" t="s">
        <v>1710</v>
      </c>
      <c r="CI21" s="48" t="s">
        <v>2067</v>
      </c>
      <c r="CJ21" s="48" t="s">
        <v>1710</v>
      </c>
      <c r="CL21" s="48" t="s">
        <v>2835</v>
      </c>
      <c r="CM21" s="48" t="s">
        <v>1710</v>
      </c>
      <c r="CN21" s="48" t="s">
        <v>2068</v>
      </c>
      <c r="CO21" s="48" t="s">
        <v>2069</v>
      </c>
      <c r="CP21" s="48" t="s">
        <v>1710</v>
      </c>
      <c r="CQ21" s="48" t="s">
        <v>1710</v>
      </c>
      <c r="CR21" s="48" t="s">
        <v>1710</v>
      </c>
      <c r="CS21" s="48" t="s">
        <v>1710</v>
      </c>
      <c r="CT21" s="48" t="s">
        <v>1710</v>
      </c>
      <c r="CU21" s="48" t="s">
        <v>1712</v>
      </c>
      <c r="CV21" s="48" t="s">
        <v>1710</v>
      </c>
      <c r="CW21" s="48" t="s">
        <v>1710</v>
      </c>
      <c r="CX21" s="48" t="s">
        <v>2839</v>
      </c>
      <c r="CY21" s="48" t="s">
        <v>1710</v>
      </c>
      <c r="CZ21" s="48" t="s">
        <v>1712</v>
      </c>
      <c r="DA21" s="48" t="s">
        <v>1710</v>
      </c>
      <c r="DB21" s="48" t="s">
        <v>1878</v>
      </c>
      <c r="DC21" s="48" t="s">
        <v>2070</v>
      </c>
      <c r="DD21" s="48" t="s">
        <v>1842</v>
      </c>
      <c r="DE21" s="48" t="s">
        <v>1886</v>
      </c>
      <c r="DF21" s="48" t="s">
        <v>2971</v>
      </c>
      <c r="DG21" s="48" t="s">
        <v>2071</v>
      </c>
      <c r="DH21" s="48" t="s">
        <v>1712</v>
      </c>
      <c r="DI21" s="48" t="s">
        <v>1710</v>
      </c>
      <c r="DJ21" s="48" t="s">
        <v>1710</v>
      </c>
      <c r="DK21" s="48" t="s">
        <v>1710</v>
      </c>
      <c r="DL21" s="48" t="s">
        <v>1710</v>
      </c>
      <c r="DM21" s="48" t="s">
        <v>1710</v>
      </c>
      <c r="DN21" s="48" t="s">
        <v>1710</v>
      </c>
      <c r="DO21" s="48" t="s">
        <v>1710</v>
      </c>
      <c r="DP21" s="48" t="s">
        <v>1710</v>
      </c>
      <c r="DQ21" s="48" t="s">
        <v>1710</v>
      </c>
      <c r="DR21" s="48" t="s">
        <v>2072</v>
      </c>
      <c r="DS21" s="48" t="s">
        <v>1710</v>
      </c>
      <c r="DT21" s="48" t="s">
        <v>1710</v>
      </c>
      <c r="DU21" s="48" t="s">
        <v>2841</v>
      </c>
      <c r="DV21" s="48" t="s">
        <v>2850</v>
      </c>
      <c r="DW21" s="48" t="s">
        <v>1710</v>
      </c>
      <c r="DX21" s="48" t="s">
        <v>2972</v>
      </c>
      <c r="DY21" s="48" t="s">
        <v>1709</v>
      </c>
      <c r="DZ21" s="48" t="s">
        <v>2562</v>
      </c>
      <c r="EA21" s="48" t="s">
        <v>2546</v>
      </c>
      <c r="EB21">
        <v>0</v>
      </c>
      <c r="EC21" s="48" t="s">
        <v>2841</v>
      </c>
      <c r="ED21" s="48" t="s">
        <v>2960</v>
      </c>
      <c r="EE21" s="48" t="s">
        <v>1814</v>
      </c>
      <c r="EF21" s="48" t="s">
        <v>2666</v>
      </c>
      <c r="EG21" s="48" t="s">
        <v>2970</v>
      </c>
      <c r="EH21">
        <v>0.2</v>
      </c>
      <c r="EI21" s="48" t="s">
        <v>1888</v>
      </c>
      <c r="EJ21">
        <v>2</v>
      </c>
      <c r="EK21" s="48" t="s">
        <v>1887</v>
      </c>
      <c r="EL21">
        <v>1</v>
      </c>
      <c r="EM21" s="48" t="s">
        <v>1886</v>
      </c>
      <c r="EN21">
        <v>0.2</v>
      </c>
      <c r="EO21" s="48" t="s">
        <v>2667</v>
      </c>
      <c r="EP21" s="48" t="s">
        <v>2973</v>
      </c>
      <c r="EQ21">
        <v>1046.5</v>
      </c>
      <c r="ER21">
        <v>1046.5</v>
      </c>
      <c r="ES21">
        <v>1520557</v>
      </c>
      <c r="ET21">
        <v>1032</v>
      </c>
      <c r="EU21" s="48" t="s">
        <v>1710</v>
      </c>
      <c r="EV21" s="48" t="s">
        <v>1710</v>
      </c>
      <c r="EW21" s="48" t="s">
        <v>1712</v>
      </c>
      <c r="EX21" s="48" t="s">
        <v>1710</v>
      </c>
      <c r="EY21" s="48" t="s">
        <v>1843</v>
      </c>
      <c r="EZ21" s="48" t="s">
        <v>1710</v>
      </c>
      <c r="FA21" s="48" t="s">
        <v>1710</v>
      </c>
      <c r="FB21" s="48" t="s">
        <v>1712</v>
      </c>
      <c r="FC21" s="48" t="s">
        <v>1710</v>
      </c>
      <c r="FD21" s="48" t="s">
        <v>1710</v>
      </c>
      <c r="FE21" s="48" t="s">
        <v>1814</v>
      </c>
      <c r="FF21" s="48" t="s">
        <v>1815</v>
      </c>
      <c r="FG21" s="48" t="s">
        <v>1710</v>
      </c>
      <c r="FH21">
        <v>2</v>
      </c>
      <c r="FI21" s="48" t="s">
        <v>1846</v>
      </c>
      <c r="FJ21">
        <v>1046.5</v>
      </c>
      <c r="FK21">
        <v>523.25</v>
      </c>
      <c r="FL21" s="48" t="s">
        <v>2974</v>
      </c>
      <c r="FM21" s="48" t="s">
        <v>2973</v>
      </c>
      <c r="FN21" s="48" t="s">
        <v>1710</v>
      </c>
      <c r="FO21" s="48" t="s">
        <v>1710</v>
      </c>
      <c r="FP21" s="48" t="s">
        <v>1710</v>
      </c>
      <c r="FQ21" s="48" t="s">
        <v>1710</v>
      </c>
      <c r="FR21" s="48" t="s">
        <v>1710</v>
      </c>
      <c r="FS21" s="48" t="s">
        <v>1710</v>
      </c>
      <c r="FT21" s="48" t="s">
        <v>1710</v>
      </c>
      <c r="FU21" s="48" t="s">
        <v>1710</v>
      </c>
      <c r="FV21" s="48"/>
      <c r="FW21" s="56"/>
      <c r="FX21" s="56"/>
      <c r="FY21" s="56"/>
      <c r="FZ21" s="56"/>
      <c r="GA21" s="55" t="str">
        <f t="shared" si="1"/>
        <v>4388426100305X</v>
      </c>
      <c r="GB21" t="str">
        <f>VLOOKUP(B21,수출코드!$C$2:$D$4,2,FALSE)</f>
        <v>Suwon</v>
      </c>
      <c r="GC21" t="str">
        <f>VLOOKUP(L21,수출코드!$A$2:$B$6,2,FALSE)</f>
        <v/>
      </c>
      <c r="GD21" t="str">
        <f>VLOOKUP(M21,수출코드!$E$2:$F$5,2,FALSE)</f>
        <v>일반</v>
      </c>
      <c r="GE21" s="61">
        <f t="shared" si="2"/>
        <v>45971.472916666666</v>
      </c>
      <c r="GF21" s="62">
        <f t="shared" si="0"/>
        <v>46048.711805555555</v>
      </c>
      <c r="GI21" s="48" t="s">
        <v>2735</v>
      </c>
    </row>
    <row r="22" spans="1:191">
      <c r="A22" s="48" t="s">
        <v>2975</v>
      </c>
      <c r="B22" s="48" t="s">
        <v>1821</v>
      </c>
      <c r="C22" s="48" t="s">
        <v>2048</v>
      </c>
      <c r="D22" s="48" t="s">
        <v>2813</v>
      </c>
      <c r="E22" s="48" t="s">
        <v>2975</v>
      </c>
      <c r="F22" s="48" t="s">
        <v>1710</v>
      </c>
      <c r="G22" s="48" t="s">
        <v>2814</v>
      </c>
      <c r="H22" s="48" t="s">
        <v>2976</v>
      </c>
      <c r="I22" s="48" t="s">
        <v>1884</v>
      </c>
      <c r="J22" s="48" t="s">
        <v>2835</v>
      </c>
      <c r="K22" s="48" t="s">
        <v>1877</v>
      </c>
      <c r="L22" s="48" t="s">
        <v>1842</v>
      </c>
      <c r="M22" s="48" t="s">
        <v>1810</v>
      </c>
      <c r="N22" s="48" t="s">
        <v>1842</v>
      </c>
      <c r="O22" s="48" t="s">
        <v>1811</v>
      </c>
      <c r="P22" s="48" t="s">
        <v>2549</v>
      </c>
      <c r="Q22" s="48" t="s">
        <v>2049</v>
      </c>
      <c r="R22" s="48" t="s">
        <v>1838</v>
      </c>
      <c r="S22" s="48" t="s">
        <v>2050</v>
      </c>
      <c r="T22" s="48" t="s">
        <v>1845</v>
      </c>
      <c r="U22" s="48" t="s">
        <v>2049</v>
      </c>
      <c r="V22" s="48" t="s">
        <v>1838</v>
      </c>
      <c r="W22" s="48" t="s">
        <v>2051</v>
      </c>
      <c r="X22" s="48" t="s">
        <v>2052</v>
      </c>
      <c r="Y22" s="48" t="s">
        <v>2050</v>
      </c>
      <c r="Z22" s="48" t="s">
        <v>2053</v>
      </c>
      <c r="AA22" s="48" t="s">
        <v>2054</v>
      </c>
      <c r="AB22" s="48" t="s">
        <v>2817</v>
      </c>
      <c r="AC22" s="48" t="s">
        <v>2055</v>
      </c>
      <c r="AD22" s="48" t="s">
        <v>2056</v>
      </c>
      <c r="AE22" s="48" t="s">
        <v>1710</v>
      </c>
      <c r="AF22" s="48" t="s">
        <v>1710</v>
      </c>
      <c r="AG22" s="48" t="s">
        <v>2057</v>
      </c>
      <c r="AH22" s="48" t="s">
        <v>1815</v>
      </c>
      <c r="AI22" s="48" t="s">
        <v>2058</v>
      </c>
      <c r="AJ22" s="48" t="s">
        <v>1710</v>
      </c>
      <c r="AK22" s="48" t="s">
        <v>2977</v>
      </c>
      <c r="AL22" s="48" t="s">
        <v>1856</v>
      </c>
      <c r="AM22" s="48" t="s">
        <v>1816</v>
      </c>
      <c r="AN22" s="48" t="s">
        <v>2054</v>
      </c>
      <c r="AO22" s="48" t="s">
        <v>1710</v>
      </c>
      <c r="AP22" s="48" t="s">
        <v>1853</v>
      </c>
      <c r="AQ22" s="48" t="s">
        <v>2086</v>
      </c>
      <c r="AR22" s="48" t="s">
        <v>1812</v>
      </c>
      <c r="AS22" s="48" t="s">
        <v>1813</v>
      </c>
      <c r="AT22" s="48" t="s">
        <v>1826</v>
      </c>
      <c r="AU22" s="48" t="s">
        <v>2061</v>
      </c>
      <c r="AV22" s="48" t="s">
        <v>2835</v>
      </c>
      <c r="AW22" s="48" t="s">
        <v>2062</v>
      </c>
      <c r="AX22" s="48" t="s">
        <v>2063</v>
      </c>
      <c r="AY22" s="48" t="s">
        <v>1710</v>
      </c>
      <c r="AZ22" s="48" t="s">
        <v>2978</v>
      </c>
      <c r="BA22" s="48" t="s">
        <v>1710</v>
      </c>
      <c r="BB22" s="48" t="s">
        <v>1709</v>
      </c>
      <c r="BC22" s="48" t="s">
        <v>1710</v>
      </c>
      <c r="BD22" s="48" t="s">
        <v>2097</v>
      </c>
      <c r="BE22" s="52" t="s">
        <v>2887</v>
      </c>
      <c r="BF22" s="48" t="s">
        <v>1710</v>
      </c>
      <c r="BG22" s="48" t="s">
        <v>1817</v>
      </c>
      <c r="BH22">
        <v>10</v>
      </c>
      <c r="BI22" s="48" t="s">
        <v>1888</v>
      </c>
      <c r="BJ22">
        <v>1</v>
      </c>
      <c r="BK22">
        <v>1473.06</v>
      </c>
      <c r="BL22">
        <v>5893424</v>
      </c>
      <c r="BM22">
        <v>4001</v>
      </c>
      <c r="BN22" s="48" t="s">
        <v>2064</v>
      </c>
      <c r="BO22" s="48" t="s">
        <v>2065</v>
      </c>
      <c r="BP22">
        <v>1473.06</v>
      </c>
      <c r="BQ22">
        <v>4048.46</v>
      </c>
      <c r="BR22" s="48" t="s">
        <v>1885</v>
      </c>
      <c r="BS22" s="48" t="s">
        <v>2066</v>
      </c>
      <c r="BT22">
        <v>1</v>
      </c>
      <c r="BU22">
        <v>70200</v>
      </c>
      <c r="BV22">
        <v>70200</v>
      </c>
      <c r="BW22" s="48" t="s">
        <v>2065</v>
      </c>
      <c r="BX22">
        <v>1473.06</v>
      </c>
      <c r="BY22">
        <v>0</v>
      </c>
      <c r="BZ22">
        <v>0</v>
      </c>
      <c r="CA22" s="48" t="s">
        <v>2065</v>
      </c>
      <c r="CB22">
        <v>1473.06</v>
      </c>
      <c r="CC22">
        <v>0</v>
      </c>
      <c r="CD22">
        <v>0</v>
      </c>
      <c r="CE22" s="48" t="s">
        <v>1710</v>
      </c>
      <c r="CF22" s="48" t="s">
        <v>1710</v>
      </c>
      <c r="CG22" s="48" t="s">
        <v>1710</v>
      </c>
      <c r="CH22" s="48" t="s">
        <v>1710</v>
      </c>
      <c r="CI22" s="48" t="s">
        <v>2067</v>
      </c>
      <c r="CJ22" s="48" t="s">
        <v>1710</v>
      </c>
      <c r="CL22" s="48" t="s">
        <v>2835</v>
      </c>
      <c r="CM22" s="48" t="s">
        <v>1710</v>
      </c>
      <c r="CN22" s="48" t="s">
        <v>2068</v>
      </c>
      <c r="CO22" s="48" t="s">
        <v>2069</v>
      </c>
      <c r="CP22" s="48" t="s">
        <v>1710</v>
      </c>
      <c r="CQ22" s="48" t="s">
        <v>1710</v>
      </c>
      <c r="CR22" s="48" t="s">
        <v>1710</v>
      </c>
      <c r="CS22" s="48" t="s">
        <v>1710</v>
      </c>
      <c r="CT22" s="48" t="s">
        <v>1710</v>
      </c>
      <c r="CU22" s="48" t="s">
        <v>1712</v>
      </c>
      <c r="CV22" s="48" t="s">
        <v>1710</v>
      </c>
      <c r="CW22" s="48" t="s">
        <v>1710</v>
      </c>
      <c r="CX22" s="48" t="s">
        <v>2839</v>
      </c>
      <c r="CY22" s="48" t="s">
        <v>1710</v>
      </c>
      <c r="CZ22" s="48" t="s">
        <v>1712</v>
      </c>
      <c r="DA22" s="48" t="s">
        <v>1710</v>
      </c>
      <c r="DB22" s="48" t="s">
        <v>1878</v>
      </c>
      <c r="DC22" s="48" t="s">
        <v>2070</v>
      </c>
      <c r="DD22" s="48" t="s">
        <v>1842</v>
      </c>
      <c r="DE22" s="48" t="s">
        <v>1886</v>
      </c>
      <c r="DF22" s="48" t="s">
        <v>2979</v>
      </c>
      <c r="DG22" s="48" t="s">
        <v>2071</v>
      </c>
      <c r="DH22" s="48" t="s">
        <v>1712</v>
      </c>
      <c r="DI22" s="48" t="s">
        <v>1710</v>
      </c>
      <c r="DJ22" s="48" t="s">
        <v>1710</v>
      </c>
      <c r="DK22" s="48" t="s">
        <v>1710</v>
      </c>
      <c r="DL22" s="48" t="s">
        <v>1710</v>
      </c>
      <c r="DM22" s="48" t="s">
        <v>1710</v>
      </c>
      <c r="DN22" s="48" t="s">
        <v>1710</v>
      </c>
      <c r="DO22" s="48" t="s">
        <v>1710</v>
      </c>
      <c r="DP22" s="48" t="s">
        <v>1710</v>
      </c>
      <c r="DQ22" s="48" t="s">
        <v>1710</v>
      </c>
      <c r="DR22" s="48" t="s">
        <v>2072</v>
      </c>
      <c r="DS22" s="48" t="s">
        <v>1710</v>
      </c>
      <c r="DT22" s="48" t="s">
        <v>1710</v>
      </c>
      <c r="DU22" s="48" t="s">
        <v>2841</v>
      </c>
      <c r="DV22" s="48" t="s">
        <v>2850</v>
      </c>
      <c r="DW22" s="48" t="s">
        <v>1710</v>
      </c>
      <c r="DX22" s="48" t="s">
        <v>2980</v>
      </c>
      <c r="DY22" s="48" t="s">
        <v>1709</v>
      </c>
      <c r="DZ22" s="48" t="s">
        <v>2562</v>
      </c>
      <c r="EA22" s="48" t="s">
        <v>2546</v>
      </c>
      <c r="EB22">
        <v>0</v>
      </c>
      <c r="EC22" s="48" t="s">
        <v>2841</v>
      </c>
      <c r="ED22" s="48" t="s">
        <v>2981</v>
      </c>
      <c r="EE22" s="48" t="s">
        <v>1814</v>
      </c>
      <c r="EF22" s="48" t="s">
        <v>2982</v>
      </c>
      <c r="EG22" s="48" t="s">
        <v>2978</v>
      </c>
      <c r="EH22">
        <v>4.3920000000000003</v>
      </c>
      <c r="EI22" s="48" t="s">
        <v>1888</v>
      </c>
      <c r="EJ22">
        <v>3</v>
      </c>
      <c r="EK22" s="48" t="s">
        <v>1887</v>
      </c>
      <c r="EL22">
        <v>1</v>
      </c>
      <c r="EM22" s="48" t="s">
        <v>1886</v>
      </c>
      <c r="EN22">
        <v>4.3920000000000003</v>
      </c>
      <c r="EO22" s="48" t="s">
        <v>2983</v>
      </c>
      <c r="EP22" s="48" t="s">
        <v>2984</v>
      </c>
      <c r="EQ22">
        <v>2862.13</v>
      </c>
      <c r="ER22">
        <v>2862.13</v>
      </c>
      <c r="ES22">
        <v>4166460</v>
      </c>
      <c r="ET22">
        <v>2828</v>
      </c>
      <c r="EU22" s="48" t="s">
        <v>1710</v>
      </c>
      <c r="EV22" s="48" t="s">
        <v>1710</v>
      </c>
      <c r="EW22" s="48" t="s">
        <v>1712</v>
      </c>
      <c r="EX22" s="48" t="s">
        <v>1710</v>
      </c>
      <c r="EY22" s="48" t="s">
        <v>1848</v>
      </c>
      <c r="EZ22" s="48" t="s">
        <v>1710</v>
      </c>
      <c r="FA22" s="48" t="s">
        <v>1710</v>
      </c>
      <c r="FB22" s="48" t="s">
        <v>1712</v>
      </c>
      <c r="FC22" s="48" t="s">
        <v>1710</v>
      </c>
      <c r="FD22" s="48" t="s">
        <v>1710</v>
      </c>
      <c r="FE22" s="48" t="s">
        <v>1814</v>
      </c>
      <c r="FF22" s="48" t="s">
        <v>1815</v>
      </c>
      <c r="FG22" s="48" t="s">
        <v>1710</v>
      </c>
      <c r="FH22">
        <v>3</v>
      </c>
      <c r="FI22" s="48" t="s">
        <v>1846</v>
      </c>
      <c r="FJ22">
        <v>2862.13</v>
      </c>
      <c r="FK22">
        <v>954.04300000000001</v>
      </c>
      <c r="FL22" s="48" t="s">
        <v>2985</v>
      </c>
      <c r="FM22" s="48" t="s">
        <v>2984</v>
      </c>
      <c r="FN22" s="48" t="s">
        <v>1710</v>
      </c>
      <c r="FO22" s="48" t="s">
        <v>1710</v>
      </c>
      <c r="FP22" s="48" t="s">
        <v>1710</v>
      </c>
      <c r="FQ22" s="48" t="s">
        <v>1710</v>
      </c>
      <c r="FR22" s="48" t="s">
        <v>1710</v>
      </c>
      <c r="FS22" s="48" t="s">
        <v>1710</v>
      </c>
      <c r="FT22" s="48" t="s">
        <v>1710</v>
      </c>
      <c r="FU22" s="48" t="s">
        <v>1710</v>
      </c>
      <c r="FV22" s="48"/>
      <c r="FW22" s="56"/>
      <c r="FX22" s="56"/>
      <c r="FY22" s="56"/>
      <c r="FZ22" s="56"/>
      <c r="GA22" s="55" t="str">
        <f t="shared" si="1"/>
        <v>4388426100306X</v>
      </c>
      <c r="GB22" t="str">
        <f>VLOOKUP(B22,수출코드!$C$2:$D$4,2,FALSE)</f>
        <v>Suwon</v>
      </c>
      <c r="GC22" t="str">
        <f>VLOOKUP(L22,수출코드!$A$2:$B$6,2,FALSE)</f>
        <v/>
      </c>
      <c r="GD22" t="str">
        <f>VLOOKUP(M22,수출코드!$E$2:$F$5,2,FALSE)</f>
        <v>일반</v>
      </c>
      <c r="GE22" s="61">
        <f t="shared" si="2"/>
        <v>45971.472916666666</v>
      </c>
      <c r="GF22" s="62">
        <f t="shared" si="0"/>
        <v>46048.717361111114</v>
      </c>
      <c r="GI22" s="48" t="s">
        <v>2735</v>
      </c>
    </row>
    <row r="23" spans="1:191">
      <c r="A23" s="48" t="s">
        <v>2986</v>
      </c>
      <c r="B23" s="48" t="s">
        <v>1821</v>
      </c>
      <c r="C23" s="48" t="s">
        <v>2048</v>
      </c>
      <c r="D23" s="48" t="s">
        <v>2813</v>
      </c>
      <c r="E23" s="48" t="s">
        <v>2986</v>
      </c>
      <c r="F23" s="48" t="s">
        <v>1710</v>
      </c>
      <c r="G23" s="48" t="s">
        <v>2814</v>
      </c>
      <c r="H23" s="48" t="s">
        <v>2987</v>
      </c>
      <c r="I23" s="48" t="s">
        <v>1884</v>
      </c>
      <c r="J23" s="48" t="s">
        <v>2835</v>
      </c>
      <c r="K23" s="48" t="s">
        <v>1877</v>
      </c>
      <c r="L23" s="48" t="s">
        <v>1842</v>
      </c>
      <c r="M23" s="48" t="s">
        <v>1810</v>
      </c>
      <c r="N23" s="48" t="s">
        <v>1842</v>
      </c>
      <c r="O23" s="48" t="s">
        <v>1811</v>
      </c>
      <c r="P23" s="48" t="s">
        <v>2549</v>
      </c>
      <c r="Q23" s="48" t="s">
        <v>2049</v>
      </c>
      <c r="R23" s="48" t="s">
        <v>1838</v>
      </c>
      <c r="S23" s="48" t="s">
        <v>2050</v>
      </c>
      <c r="T23" s="48" t="s">
        <v>1845</v>
      </c>
      <c r="U23" s="48" t="s">
        <v>2049</v>
      </c>
      <c r="V23" s="48" t="s">
        <v>1838</v>
      </c>
      <c r="W23" s="48" t="s">
        <v>2051</v>
      </c>
      <c r="X23" s="48" t="s">
        <v>2052</v>
      </c>
      <c r="Y23" s="48" t="s">
        <v>2050</v>
      </c>
      <c r="Z23" s="48" t="s">
        <v>2053</v>
      </c>
      <c r="AA23" s="48" t="s">
        <v>2054</v>
      </c>
      <c r="AB23" s="48" t="s">
        <v>2817</v>
      </c>
      <c r="AC23" s="48" t="s">
        <v>2055</v>
      </c>
      <c r="AD23" s="48" t="s">
        <v>2056</v>
      </c>
      <c r="AE23" s="48" t="s">
        <v>1710</v>
      </c>
      <c r="AF23" s="48" t="s">
        <v>1710</v>
      </c>
      <c r="AG23" s="48" t="s">
        <v>2057</v>
      </c>
      <c r="AH23" s="48" t="s">
        <v>1815</v>
      </c>
      <c r="AI23" s="48" t="s">
        <v>2058</v>
      </c>
      <c r="AJ23" s="48" t="s">
        <v>1710</v>
      </c>
      <c r="AK23" s="48" t="s">
        <v>2988</v>
      </c>
      <c r="AL23" s="48" t="s">
        <v>2989</v>
      </c>
      <c r="AM23" s="48" t="s">
        <v>1816</v>
      </c>
      <c r="AN23" s="48" t="s">
        <v>2054</v>
      </c>
      <c r="AO23" s="48" t="s">
        <v>1710</v>
      </c>
      <c r="AP23" s="48" t="s">
        <v>1853</v>
      </c>
      <c r="AQ23" s="48" t="s">
        <v>2086</v>
      </c>
      <c r="AR23" s="48" t="s">
        <v>1812</v>
      </c>
      <c r="AS23" s="48" t="s">
        <v>1813</v>
      </c>
      <c r="AT23" s="48" t="s">
        <v>1826</v>
      </c>
      <c r="AU23" s="48" t="s">
        <v>2061</v>
      </c>
      <c r="AV23" s="48" t="s">
        <v>2835</v>
      </c>
      <c r="AW23" s="48" t="s">
        <v>2062</v>
      </c>
      <c r="AX23" s="48" t="s">
        <v>2063</v>
      </c>
      <c r="AY23" s="48" t="s">
        <v>1710</v>
      </c>
      <c r="AZ23" s="48" t="s">
        <v>2990</v>
      </c>
      <c r="BA23" s="48" t="s">
        <v>1710</v>
      </c>
      <c r="BB23" s="48" t="s">
        <v>1709</v>
      </c>
      <c r="BC23" s="48" t="s">
        <v>1710</v>
      </c>
      <c r="BD23" s="48" t="s">
        <v>2097</v>
      </c>
      <c r="BE23" s="52" t="s">
        <v>2887</v>
      </c>
      <c r="BF23" s="48" t="s">
        <v>1710</v>
      </c>
      <c r="BG23" s="48" t="s">
        <v>1814</v>
      </c>
      <c r="BH23">
        <v>1</v>
      </c>
      <c r="BI23" s="48" t="s">
        <v>1888</v>
      </c>
      <c r="BJ23">
        <v>1</v>
      </c>
      <c r="BK23">
        <v>1473.06</v>
      </c>
      <c r="BL23">
        <v>392782</v>
      </c>
      <c r="BM23">
        <v>267</v>
      </c>
      <c r="BN23" s="48" t="s">
        <v>2064</v>
      </c>
      <c r="BO23" s="48" t="s">
        <v>2065</v>
      </c>
      <c r="BP23">
        <v>1473.06</v>
      </c>
      <c r="BQ23">
        <v>280.89999999999998</v>
      </c>
      <c r="BR23" s="48" t="s">
        <v>1885</v>
      </c>
      <c r="BS23" s="48" t="s">
        <v>2066</v>
      </c>
      <c r="BT23">
        <v>1</v>
      </c>
      <c r="BU23">
        <v>21000</v>
      </c>
      <c r="BV23">
        <v>21000</v>
      </c>
      <c r="BW23" s="48" t="s">
        <v>2065</v>
      </c>
      <c r="BX23">
        <v>1473.06</v>
      </c>
      <c r="BY23">
        <v>0</v>
      </c>
      <c r="BZ23">
        <v>0</v>
      </c>
      <c r="CA23" s="48" t="s">
        <v>2065</v>
      </c>
      <c r="CB23">
        <v>1473.06</v>
      </c>
      <c r="CC23">
        <v>0</v>
      </c>
      <c r="CD23">
        <v>0</v>
      </c>
      <c r="CE23" s="48" t="s">
        <v>1710</v>
      </c>
      <c r="CF23" s="48" t="s">
        <v>1710</v>
      </c>
      <c r="CG23" s="48" t="s">
        <v>1710</v>
      </c>
      <c r="CH23" s="48" t="s">
        <v>1710</v>
      </c>
      <c r="CI23" s="48" t="s">
        <v>2067</v>
      </c>
      <c r="CJ23" s="48" t="s">
        <v>1710</v>
      </c>
      <c r="CL23" s="48" t="s">
        <v>2835</v>
      </c>
      <c r="CM23" s="48" t="s">
        <v>1710</v>
      </c>
      <c r="CN23" s="48" t="s">
        <v>2068</v>
      </c>
      <c r="CO23" s="48" t="s">
        <v>2069</v>
      </c>
      <c r="CP23" s="48" t="s">
        <v>1710</v>
      </c>
      <c r="CQ23" s="48" t="s">
        <v>1710</v>
      </c>
      <c r="CR23" s="48" t="s">
        <v>1710</v>
      </c>
      <c r="CS23" s="48" t="s">
        <v>1710</v>
      </c>
      <c r="CT23" s="48" t="s">
        <v>1710</v>
      </c>
      <c r="CU23" s="48" t="s">
        <v>1712</v>
      </c>
      <c r="CV23" s="48" t="s">
        <v>1710</v>
      </c>
      <c r="CW23" s="48" t="s">
        <v>1710</v>
      </c>
      <c r="CX23" s="48" t="s">
        <v>2839</v>
      </c>
      <c r="CY23" s="48" t="s">
        <v>1710</v>
      </c>
      <c r="CZ23" s="48" t="s">
        <v>1712</v>
      </c>
      <c r="DA23" s="48" t="s">
        <v>1710</v>
      </c>
      <c r="DB23" s="48" t="s">
        <v>1878</v>
      </c>
      <c r="DC23" s="48" t="s">
        <v>2070</v>
      </c>
      <c r="DD23" s="48" t="s">
        <v>1842</v>
      </c>
      <c r="DE23" s="48" t="s">
        <v>1886</v>
      </c>
      <c r="DF23" s="48" t="s">
        <v>2991</v>
      </c>
      <c r="DG23" s="48" t="s">
        <v>2071</v>
      </c>
      <c r="DH23" s="48" t="s">
        <v>1712</v>
      </c>
      <c r="DI23" s="48" t="s">
        <v>1710</v>
      </c>
      <c r="DJ23" s="48" t="s">
        <v>1710</v>
      </c>
      <c r="DK23" s="48" t="s">
        <v>1710</v>
      </c>
      <c r="DL23" s="48" t="s">
        <v>1710</v>
      </c>
      <c r="DM23" s="48" t="s">
        <v>1710</v>
      </c>
      <c r="DN23" s="48" t="s">
        <v>1710</v>
      </c>
      <c r="DO23" s="48" t="s">
        <v>1710</v>
      </c>
      <c r="DP23" s="48" t="s">
        <v>1710</v>
      </c>
      <c r="DQ23" s="48" t="s">
        <v>1710</v>
      </c>
      <c r="DR23" s="48" t="s">
        <v>2072</v>
      </c>
      <c r="DS23" s="48" t="s">
        <v>1710</v>
      </c>
      <c r="DT23" s="48" t="s">
        <v>1710</v>
      </c>
      <c r="DU23" s="48" t="s">
        <v>2841</v>
      </c>
      <c r="DV23" s="48" t="s">
        <v>2850</v>
      </c>
      <c r="DW23" s="48" t="s">
        <v>1710</v>
      </c>
      <c r="DX23" s="48" t="s">
        <v>2992</v>
      </c>
      <c r="DY23" s="48" t="s">
        <v>1709</v>
      </c>
      <c r="DZ23" s="48" t="s">
        <v>2562</v>
      </c>
      <c r="EA23" s="48" t="s">
        <v>2546</v>
      </c>
      <c r="EB23">
        <v>0</v>
      </c>
      <c r="EC23" s="48" t="s">
        <v>2841</v>
      </c>
      <c r="ED23" s="48" t="s">
        <v>2981</v>
      </c>
      <c r="EE23" s="48" t="s">
        <v>1814</v>
      </c>
      <c r="EF23" s="48" t="s">
        <v>1859</v>
      </c>
      <c r="EG23" s="48" t="s">
        <v>2990</v>
      </c>
      <c r="EH23">
        <v>1.0999999999999999E-2</v>
      </c>
      <c r="EI23" s="48" t="s">
        <v>1888</v>
      </c>
      <c r="EJ23">
        <v>0</v>
      </c>
      <c r="EK23" s="48" t="s">
        <v>1710</v>
      </c>
      <c r="EL23">
        <v>1</v>
      </c>
      <c r="EM23" s="48" t="s">
        <v>1886</v>
      </c>
      <c r="EN23">
        <v>1.0999999999999999E-2</v>
      </c>
      <c r="EO23" s="48" t="s">
        <v>2524</v>
      </c>
      <c r="EP23" s="48" t="s">
        <v>2584</v>
      </c>
      <c r="EQ23">
        <v>280.89999999999998</v>
      </c>
      <c r="ER23">
        <v>280.89999999999998</v>
      </c>
      <c r="ES23">
        <v>392782</v>
      </c>
      <c r="ET23">
        <v>267</v>
      </c>
      <c r="EU23" s="48" t="s">
        <v>1710</v>
      </c>
      <c r="EV23" s="48" t="s">
        <v>1710</v>
      </c>
      <c r="EW23" s="48" t="s">
        <v>1712</v>
      </c>
      <c r="EX23" s="48" t="s">
        <v>1710</v>
      </c>
      <c r="EY23" s="48" t="s">
        <v>1848</v>
      </c>
      <c r="EZ23" s="48" t="s">
        <v>1710</v>
      </c>
      <c r="FA23" s="48" t="s">
        <v>1710</v>
      </c>
      <c r="FB23" s="48" t="s">
        <v>1712</v>
      </c>
      <c r="FC23" s="48" t="s">
        <v>1710</v>
      </c>
      <c r="FD23" s="48" t="s">
        <v>1710</v>
      </c>
      <c r="FE23" s="48" t="s">
        <v>1814</v>
      </c>
      <c r="FF23" s="48" t="s">
        <v>1815</v>
      </c>
      <c r="FG23" s="48" t="s">
        <v>1710</v>
      </c>
      <c r="FH23">
        <v>11</v>
      </c>
      <c r="FI23" s="48" t="s">
        <v>1846</v>
      </c>
      <c r="FJ23">
        <v>280.89999999999998</v>
      </c>
      <c r="FK23">
        <v>25.536000000000001</v>
      </c>
      <c r="FL23" s="48" t="s">
        <v>2993</v>
      </c>
      <c r="FM23" s="48" t="s">
        <v>2584</v>
      </c>
      <c r="FN23" s="48" t="s">
        <v>1710</v>
      </c>
      <c r="FO23" s="48" t="s">
        <v>1710</v>
      </c>
      <c r="FP23" s="48" t="s">
        <v>1710</v>
      </c>
      <c r="FQ23" s="48" t="s">
        <v>1710</v>
      </c>
      <c r="FR23" s="48" t="s">
        <v>1710</v>
      </c>
      <c r="FS23" s="48" t="s">
        <v>1710</v>
      </c>
      <c r="FT23" s="48" t="s">
        <v>1710</v>
      </c>
      <c r="FU23" s="48" t="s">
        <v>1710</v>
      </c>
      <c r="FV23" s="48"/>
      <c r="FW23" s="56"/>
      <c r="FX23" s="56"/>
      <c r="FY23" s="56"/>
      <c r="FZ23" s="56"/>
      <c r="GA23" s="55" t="str">
        <f t="shared" si="1"/>
        <v>4388426100307X</v>
      </c>
      <c r="GB23" t="str">
        <f>VLOOKUP(B23,수출코드!$C$2:$D$4,2,FALSE)</f>
        <v>Suwon</v>
      </c>
      <c r="GC23" t="str">
        <f>VLOOKUP(L23,수출코드!$A$2:$B$6,2,FALSE)</f>
        <v/>
      </c>
      <c r="GD23" t="str">
        <f>VLOOKUP(M23,수출코드!$E$2:$F$5,2,FALSE)</f>
        <v>일반</v>
      </c>
      <c r="GE23" s="61">
        <f t="shared" si="2"/>
        <v>45971.472916666666</v>
      </c>
      <c r="GF23" s="62">
        <f t="shared" si="0"/>
        <v>46048.717361111114</v>
      </c>
      <c r="GI23" s="48" t="s">
        <v>2735</v>
      </c>
    </row>
    <row r="24" spans="1:191">
      <c r="A24" s="48" t="s">
        <v>2994</v>
      </c>
      <c r="B24" s="48" t="s">
        <v>1821</v>
      </c>
      <c r="C24" s="48" t="s">
        <v>2048</v>
      </c>
      <c r="D24" s="48" t="s">
        <v>2813</v>
      </c>
      <c r="E24" s="48" t="s">
        <v>2994</v>
      </c>
      <c r="F24" s="48" t="s">
        <v>1710</v>
      </c>
      <c r="G24" s="48" t="s">
        <v>2814</v>
      </c>
      <c r="H24" s="48" t="s">
        <v>2995</v>
      </c>
      <c r="I24" s="48" t="s">
        <v>1884</v>
      </c>
      <c r="J24" s="48" t="s">
        <v>2835</v>
      </c>
      <c r="K24" s="48" t="s">
        <v>1877</v>
      </c>
      <c r="L24" s="48" t="s">
        <v>1842</v>
      </c>
      <c r="M24" s="48" t="s">
        <v>1810</v>
      </c>
      <c r="N24" s="48" t="s">
        <v>1842</v>
      </c>
      <c r="O24" s="48" t="s">
        <v>1811</v>
      </c>
      <c r="P24" s="48" t="s">
        <v>2549</v>
      </c>
      <c r="Q24" s="48" t="s">
        <v>2049</v>
      </c>
      <c r="R24" s="48" t="s">
        <v>1838</v>
      </c>
      <c r="S24" s="48" t="s">
        <v>2050</v>
      </c>
      <c r="T24" s="48" t="s">
        <v>1845</v>
      </c>
      <c r="U24" s="48" t="s">
        <v>2049</v>
      </c>
      <c r="V24" s="48" t="s">
        <v>1838</v>
      </c>
      <c r="W24" s="48" t="s">
        <v>2051</v>
      </c>
      <c r="X24" s="48" t="s">
        <v>2052</v>
      </c>
      <c r="Y24" s="48" t="s">
        <v>2050</v>
      </c>
      <c r="Z24" s="48" t="s">
        <v>2053</v>
      </c>
      <c r="AA24" s="48" t="s">
        <v>2054</v>
      </c>
      <c r="AB24" s="48" t="s">
        <v>2817</v>
      </c>
      <c r="AC24" s="48" t="s">
        <v>2055</v>
      </c>
      <c r="AD24" s="48" t="s">
        <v>2056</v>
      </c>
      <c r="AE24" s="48" t="s">
        <v>1710</v>
      </c>
      <c r="AF24" s="48" t="s">
        <v>1710</v>
      </c>
      <c r="AG24" s="48" t="s">
        <v>2057</v>
      </c>
      <c r="AH24" s="48" t="s">
        <v>1815</v>
      </c>
      <c r="AI24" s="48" t="s">
        <v>2058</v>
      </c>
      <c r="AJ24" s="48" t="s">
        <v>1710</v>
      </c>
      <c r="AK24" s="48" t="s">
        <v>2087</v>
      </c>
      <c r="AL24" s="48" t="s">
        <v>2088</v>
      </c>
      <c r="AM24" s="48" t="s">
        <v>1816</v>
      </c>
      <c r="AN24" s="48" t="s">
        <v>2054</v>
      </c>
      <c r="AO24" s="48" t="s">
        <v>1710</v>
      </c>
      <c r="AP24" s="48" t="s">
        <v>1853</v>
      </c>
      <c r="AQ24" s="48" t="s">
        <v>2086</v>
      </c>
      <c r="AR24" s="48" t="s">
        <v>1812</v>
      </c>
      <c r="AS24" s="48" t="s">
        <v>1813</v>
      </c>
      <c r="AT24" s="48" t="s">
        <v>1826</v>
      </c>
      <c r="AU24" s="48" t="s">
        <v>2061</v>
      </c>
      <c r="AV24" s="48" t="s">
        <v>2835</v>
      </c>
      <c r="AW24" s="48" t="s">
        <v>2062</v>
      </c>
      <c r="AX24" s="48" t="s">
        <v>2063</v>
      </c>
      <c r="AY24" s="48" t="s">
        <v>1710</v>
      </c>
      <c r="AZ24" s="48" t="s">
        <v>2996</v>
      </c>
      <c r="BA24" s="48" t="s">
        <v>1710</v>
      </c>
      <c r="BB24" s="48" t="s">
        <v>1709</v>
      </c>
      <c r="BC24" s="48" t="s">
        <v>1710</v>
      </c>
      <c r="BD24" s="48" t="s">
        <v>2097</v>
      </c>
      <c r="BE24" s="52" t="s">
        <v>2887</v>
      </c>
      <c r="BF24" s="48" t="s">
        <v>1710</v>
      </c>
      <c r="BG24" s="48" t="s">
        <v>1814</v>
      </c>
      <c r="BH24">
        <v>1</v>
      </c>
      <c r="BI24" s="48" t="s">
        <v>1888</v>
      </c>
      <c r="BJ24">
        <v>1</v>
      </c>
      <c r="BK24">
        <v>1473.06</v>
      </c>
      <c r="BL24">
        <v>145426</v>
      </c>
      <c r="BM24">
        <v>99</v>
      </c>
      <c r="BN24" s="48" t="s">
        <v>2064</v>
      </c>
      <c r="BO24" s="48" t="s">
        <v>2065</v>
      </c>
      <c r="BP24">
        <v>1473.06</v>
      </c>
      <c r="BQ24">
        <v>112.98</v>
      </c>
      <c r="BR24" s="48" t="s">
        <v>1885</v>
      </c>
      <c r="BS24" s="48" t="s">
        <v>2066</v>
      </c>
      <c r="BT24">
        <v>1</v>
      </c>
      <c r="BU24">
        <v>21000</v>
      </c>
      <c r="BV24">
        <v>21000</v>
      </c>
      <c r="BW24" s="48" t="s">
        <v>2065</v>
      </c>
      <c r="BX24">
        <v>1473.06</v>
      </c>
      <c r="BY24">
        <v>0</v>
      </c>
      <c r="BZ24">
        <v>0</v>
      </c>
      <c r="CA24" s="48" t="s">
        <v>2065</v>
      </c>
      <c r="CB24">
        <v>1473.06</v>
      </c>
      <c r="CC24">
        <v>0</v>
      </c>
      <c r="CD24">
        <v>0</v>
      </c>
      <c r="CE24" s="48" t="s">
        <v>1710</v>
      </c>
      <c r="CF24" s="48" t="s">
        <v>1710</v>
      </c>
      <c r="CG24" s="48" t="s">
        <v>1710</v>
      </c>
      <c r="CH24" s="48" t="s">
        <v>1710</v>
      </c>
      <c r="CI24" s="48" t="s">
        <v>2067</v>
      </c>
      <c r="CJ24" s="48" t="s">
        <v>1710</v>
      </c>
      <c r="CL24" s="48" t="s">
        <v>2835</v>
      </c>
      <c r="CM24" s="48" t="s">
        <v>1710</v>
      </c>
      <c r="CN24" s="48" t="s">
        <v>2068</v>
      </c>
      <c r="CO24" s="48" t="s">
        <v>2069</v>
      </c>
      <c r="CP24" s="48" t="s">
        <v>1710</v>
      </c>
      <c r="CQ24" s="48" t="s">
        <v>1710</v>
      </c>
      <c r="CR24" s="48" t="s">
        <v>1710</v>
      </c>
      <c r="CS24" s="48" t="s">
        <v>1710</v>
      </c>
      <c r="CT24" s="48" t="s">
        <v>1710</v>
      </c>
      <c r="CU24" s="48" t="s">
        <v>1712</v>
      </c>
      <c r="CV24" s="48" t="s">
        <v>1710</v>
      </c>
      <c r="CW24" s="48" t="s">
        <v>1710</v>
      </c>
      <c r="CX24" s="48" t="s">
        <v>2839</v>
      </c>
      <c r="CY24" s="48" t="s">
        <v>1710</v>
      </c>
      <c r="CZ24" s="48" t="s">
        <v>1712</v>
      </c>
      <c r="DA24" s="48" t="s">
        <v>1710</v>
      </c>
      <c r="DB24" s="48" t="s">
        <v>1878</v>
      </c>
      <c r="DC24" s="48" t="s">
        <v>2070</v>
      </c>
      <c r="DD24" s="48" t="s">
        <v>1842</v>
      </c>
      <c r="DE24" s="48" t="s">
        <v>1886</v>
      </c>
      <c r="DF24" s="48" t="s">
        <v>2997</v>
      </c>
      <c r="DG24" s="48" t="s">
        <v>2071</v>
      </c>
      <c r="DH24" s="48" t="s">
        <v>1712</v>
      </c>
      <c r="DI24" s="48" t="s">
        <v>1710</v>
      </c>
      <c r="DJ24" s="48" t="s">
        <v>1710</v>
      </c>
      <c r="DK24" s="48" t="s">
        <v>1710</v>
      </c>
      <c r="DL24" s="48" t="s">
        <v>1710</v>
      </c>
      <c r="DM24" s="48" t="s">
        <v>1710</v>
      </c>
      <c r="DN24" s="48" t="s">
        <v>1710</v>
      </c>
      <c r="DO24" s="48" t="s">
        <v>1710</v>
      </c>
      <c r="DP24" s="48" t="s">
        <v>1710</v>
      </c>
      <c r="DQ24" s="48" t="s">
        <v>1710</v>
      </c>
      <c r="DR24" s="48" t="s">
        <v>2072</v>
      </c>
      <c r="DS24" s="48" t="s">
        <v>1710</v>
      </c>
      <c r="DT24" s="48" t="s">
        <v>1710</v>
      </c>
      <c r="DU24" s="48" t="s">
        <v>2841</v>
      </c>
      <c r="DV24" s="48" t="s">
        <v>2850</v>
      </c>
      <c r="DW24" s="48" t="s">
        <v>1710</v>
      </c>
      <c r="DX24" s="48" t="s">
        <v>2998</v>
      </c>
      <c r="DY24" s="48" t="s">
        <v>1709</v>
      </c>
      <c r="DZ24" s="48" t="s">
        <v>2562</v>
      </c>
      <c r="EA24" s="48" t="s">
        <v>2546</v>
      </c>
      <c r="EB24">
        <v>0</v>
      </c>
      <c r="EC24" s="48" t="s">
        <v>2841</v>
      </c>
      <c r="ED24" s="48" t="s">
        <v>2981</v>
      </c>
      <c r="EE24" s="48" t="s">
        <v>1814</v>
      </c>
      <c r="EF24" s="48" t="s">
        <v>2999</v>
      </c>
      <c r="EG24" s="48" t="s">
        <v>2996</v>
      </c>
      <c r="EH24">
        <v>1E-3</v>
      </c>
      <c r="EI24" s="48" t="s">
        <v>1888</v>
      </c>
      <c r="EJ24">
        <v>0</v>
      </c>
      <c r="EK24" s="48" t="s">
        <v>1710</v>
      </c>
      <c r="EL24">
        <v>1</v>
      </c>
      <c r="EM24" s="48" t="s">
        <v>1886</v>
      </c>
      <c r="EN24">
        <v>1E-3</v>
      </c>
      <c r="EO24" s="48" t="s">
        <v>3000</v>
      </c>
      <c r="EP24" s="48" t="s">
        <v>3001</v>
      </c>
      <c r="EQ24">
        <v>112.98</v>
      </c>
      <c r="ER24">
        <v>112.98</v>
      </c>
      <c r="ES24">
        <v>145426</v>
      </c>
      <c r="ET24">
        <v>99</v>
      </c>
      <c r="EU24" s="48" t="s">
        <v>1710</v>
      </c>
      <c r="EV24" s="48" t="s">
        <v>1710</v>
      </c>
      <c r="EW24" s="48" t="s">
        <v>1712</v>
      </c>
      <c r="EX24" s="48" t="s">
        <v>1710</v>
      </c>
      <c r="EY24" s="48" t="s">
        <v>1850</v>
      </c>
      <c r="EZ24" s="48" t="s">
        <v>1710</v>
      </c>
      <c r="FA24" s="48" t="s">
        <v>1710</v>
      </c>
      <c r="FB24" s="48" t="s">
        <v>1712</v>
      </c>
      <c r="FC24" s="48" t="s">
        <v>1710</v>
      </c>
      <c r="FD24" s="48" t="s">
        <v>1710</v>
      </c>
      <c r="FE24" s="48" t="s">
        <v>1814</v>
      </c>
      <c r="FF24" s="48" t="s">
        <v>1815</v>
      </c>
      <c r="FG24" s="48" t="s">
        <v>1710</v>
      </c>
      <c r="FH24">
        <v>1</v>
      </c>
      <c r="FI24" s="48" t="s">
        <v>1846</v>
      </c>
      <c r="FJ24">
        <v>112.98</v>
      </c>
      <c r="FK24">
        <v>112.98</v>
      </c>
      <c r="FL24" s="48" t="s">
        <v>3002</v>
      </c>
      <c r="FM24" s="48" t="s">
        <v>3001</v>
      </c>
      <c r="FN24" s="48" t="s">
        <v>1710</v>
      </c>
      <c r="FO24" s="48" t="s">
        <v>1710</v>
      </c>
      <c r="FP24" s="48" t="s">
        <v>1710</v>
      </c>
      <c r="FQ24" s="48" t="s">
        <v>1710</v>
      </c>
      <c r="FR24" s="48" t="s">
        <v>1710</v>
      </c>
      <c r="FS24" s="48" t="s">
        <v>1710</v>
      </c>
      <c r="FT24" s="48" t="s">
        <v>1710</v>
      </c>
      <c r="FU24" s="48" t="s">
        <v>1710</v>
      </c>
      <c r="FV24" s="48"/>
      <c r="FW24" s="56"/>
      <c r="FX24" s="56"/>
      <c r="FY24" s="56"/>
      <c r="FZ24" s="56"/>
      <c r="GA24" s="55" t="str">
        <f t="shared" si="1"/>
        <v>4388426100308X</v>
      </c>
      <c r="GB24" t="str">
        <f>VLOOKUP(B24,수출코드!$C$2:$D$4,2,FALSE)</f>
        <v>Suwon</v>
      </c>
      <c r="GC24" t="str">
        <f>VLOOKUP(L24,수출코드!$A$2:$B$6,2,FALSE)</f>
        <v/>
      </c>
      <c r="GD24" t="str">
        <f>VLOOKUP(M24,수출코드!$E$2:$F$5,2,FALSE)</f>
        <v>일반</v>
      </c>
      <c r="GE24" s="61">
        <f t="shared" si="2"/>
        <v>45971.472916666666</v>
      </c>
      <c r="GF24" s="62">
        <f t="shared" si="0"/>
        <v>46048.717361111114</v>
      </c>
      <c r="GI24" s="48" t="s">
        <v>2735</v>
      </c>
    </row>
    <row r="25" spans="1:191">
      <c r="A25" s="48" t="s">
        <v>3003</v>
      </c>
      <c r="B25" s="48" t="s">
        <v>1821</v>
      </c>
      <c r="C25" s="48" t="s">
        <v>2048</v>
      </c>
      <c r="D25" s="48" t="s">
        <v>2813</v>
      </c>
      <c r="E25" s="48" t="s">
        <v>3003</v>
      </c>
      <c r="F25" s="48" t="s">
        <v>1710</v>
      </c>
      <c r="G25" s="48" t="s">
        <v>2814</v>
      </c>
      <c r="H25" s="48" t="s">
        <v>3004</v>
      </c>
      <c r="I25" s="48" t="s">
        <v>1884</v>
      </c>
      <c r="J25" s="48" t="s">
        <v>2835</v>
      </c>
      <c r="K25" s="48" t="s">
        <v>1877</v>
      </c>
      <c r="L25" s="48" t="s">
        <v>1842</v>
      </c>
      <c r="M25" s="48" t="s">
        <v>1810</v>
      </c>
      <c r="N25" s="48" t="s">
        <v>1842</v>
      </c>
      <c r="O25" s="48" t="s">
        <v>1811</v>
      </c>
      <c r="P25" s="48" t="s">
        <v>2549</v>
      </c>
      <c r="Q25" s="48" t="s">
        <v>2049</v>
      </c>
      <c r="R25" s="48" t="s">
        <v>1838</v>
      </c>
      <c r="S25" s="48" t="s">
        <v>2050</v>
      </c>
      <c r="T25" s="48" t="s">
        <v>1845</v>
      </c>
      <c r="U25" s="48" t="s">
        <v>2049</v>
      </c>
      <c r="V25" s="48" t="s">
        <v>1838</v>
      </c>
      <c r="W25" s="48" t="s">
        <v>2051</v>
      </c>
      <c r="X25" s="48" t="s">
        <v>2052</v>
      </c>
      <c r="Y25" s="48" t="s">
        <v>2050</v>
      </c>
      <c r="Z25" s="48" t="s">
        <v>2053</v>
      </c>
      <c r="AA25" s="48" t="s">
        <v>2054</v>
      </c>
      <c r="AB25" s="48" t="s">
        <v>2817</v>
      </c>
      <c r="AC25" s="48" t="s">
        <v>2055</v>
      </c>
      <c r="AD25" s="48" t="s">
        <v>2056</v>
      </c>
      <c r="AE25" s="48" t="s">
        <v>1710</v>
      </c>
      <c r="AF25" s="48" t="s">
        <v>1710</v>
      </c>
      <c r="AG25" s="48" t="s">
        <v>2057</v>
      </c>
      <c r="AH25" s="48" t="s">
        <v>1815</v>
      </c>
      <c r="AI25" s="48" t="s">
        <v>2058</v>
      </c>
      <c r="AJ25" s="48" t="s">
        <v>1710</v>
      </c>
      <c r="AK25" s="48" t="s">
        <v>2560</v>
      </c>
      <c r="AL25" s="48" t="s">
        <v>2561</v>
      </c>
      <c r="AM25" s="48" t="s">
        <v>1816</v>
      </c>
      <c r="AN25" s="48" t="s">
        <v>2054</v>
      </c>
      <c r="AO25" s="48" t="s">
        <v>1710</v>
      </c>
      <c r="AP25" s="48" t="s">
        <v>1855</v>
      </c>
      <c r="AQ25" s="48" t="s">
        <v>2076</v>
      </c>
      <c r="AR25" s="48" t="s">
        <v>1812</v>
      </c>
      <c r="AS25" s="48" t="s">
        <v>1813</v>
      </c>
      <c r="AT25" s="48" t="s">
        <v>1826</v>
      </c>
      <c r="AU25" s="48" t="s">
        <v>2061</v>
      </c>
      <c r="AV25" s="48" t="s">
        <v>2835</v>
      </c>
      <c r="AW25" s="48" t="s">
        <v>2062</v>
      </c>
      <c r="AX25" s="48" t="s">
        <v>2063</v>
      </c>
      <c r="AY25" s="48" t="s">
        <v>1710</v>
      </c>
      <c r="AZ25" s="48" t="s">
        <v>3005</v>
      </c>
      <c r="BA25" s="48" t="s">
        <v>1710</v>
      </c>
      <c r="BB25" s="48" t="s">
        <v>1709</v>
      </c>
      <c r="BC25" s="48" t="s">
        <v>1710</v>
      </c>
      <c r="BD25" s="48" t="s">
        <v>2097</v>
      </c>
      <c r="BE25" s="52" t="s">
        <v>2887</v>
      </c>
      <c r="BF25" s="48" t="s">
        <v>1710</v>
      </c>
      <c r="BG25" s="48" t="s">
        <v>1814</v>
      </c>
      <c r="BH25">
        <v>3</v>
      </c>
      <c r="BI25" s="48" t="s">
        <v>1888</v>
      </c>
      <c r="BJ25">
        <v>1</v>
      </c>
      <c r="BK25">
        <v>1473.06</v>
      </c>
      <c r="BL25">
        <v>1043806</v>
      </c>
      <c r="BM25">
        <v>709</v>
      </c>
      <c r="BN25" s="48" t="s">
        <v>2064</v>
      </c>
      <c r="BO25" s="48" t="s">
        <v>2065</v>
      </c>
      <c r="BP25">
        <v>1473.06</v>
      </c>
      <c r="BQ25">
        <v>748.65</v>
      </c>
      <c r="BR25" s="48" t="s">
        <v>1885</v>
      </c>
      <c r="BS25" s="48" t="s">
        <v>2066</v>
      </c>
      <c r="BT25">
        <v>1</v>
      </c>
      <c r="BU25">
        <v>59000</v>
      </c>
      <c r="BV25">
        <v>59000</v>
      </c>
      <c r="BW25" s="48" t="s">
        <v>2065</v>
      </c>
      <c r="BX25">
        <v>1473.06</v>
      </c>
      <c r="BY25">
        <v>0</v>
      </c>
      <c r="BZ25">
        <v>0</v>
      </c>
      <c r="CA25" s="48" t="s">
        <v>2065</v>
      </c>
      <c r="CB25">
        <v>1473.06</v>
      </c>
      <c r="CC25">
        <v>0</v>
      </c>
      <c r="CD25">
        <v>0</v>
      </c>
      <c r="CE25" s="48" t="s">
        <v>1710</v>
      </c>
      <c r="CF25" s="48" t="s">
        <v>1710</v>
      </c>
      <c r="CG25" s="48" t="s">
        <v>1710</v>
      </c>
      <c r="CH25" s="48" t="s">
        <v>1710</v>
      </c>
      <c r="CI25" s="48" t="s">
        <v>2067</v>
      </c>
      <c r="CJ25" s="48" t="s">
        <v>1710</v>
      </c>
      <c r="CL25" s="48" t="s">
        <v>2835</v>
      </c>
      <c r="CM25" s="48" t="s">
        <v>1710</v>
      </c>
      <c r="CN25" s="48" t="s">
        <v>2068</v>
      </c>
      <c r="CO25" s="48" t="s">
        <v>2069</v>
      </c>
      <c r="CP25" s="48" t="s">
        <v>1710</v>
      </c>
      <c r="CQ25" s="48" t="s">
        <v>1710</v>
      </c>
      <c r="CR25" s="48" t="s">
        <v>1710</v>
      </c>
      <c r="CS25" s="48" t="s">
        <v>1710</v>
      </c>
      <c r="CT25" s="48" t="s">
        <v>1710</v>
      </c>
      <c r="CU25" s="48" t="s">
        <v>1712</v>
      </c>
      <c r="CV25" s="48" t="s">
        <v>1710</v>
      </c>
      <c r="CW25" s="48" t="s">
        <v>1710</v>
      </c>
      <c r="CX25" s="48" t="s">
        <v>2839</v>
      </c>
      <c r="CY25" s="48" t="s">
        <v>1710</v>
      </c>
      <c r="CZ25" s="48" t="s">
        <v>1712</v>
      </c>
      <c r="DA25" s="48" t="s">
        <v>1710</v>
      </c>
      <c r="DB25" s="48" t="s">
        <v>1878</v>
      </c>
      <c r="DC25" s="48" t="s">
        <v>2070</v>
      </c>
      <c r="DD25" s="48" t="s">
        <v>1842</v>
      </c>
      <c r="DE25" s="48" t="s">
        <v>1886</v>
      </c>
      <c r="DF25" s="48" t="s">
        <v>3006</v>
      </c>
      <c r="DG25" s="48" t="s">
        <v>2071</v>
      </c>
      <c r="DH25" s="48" t="s">
        <v>1712</v>
      </c>
      <c r="DI25" s="48" t="s">
        <v>1710</v>
      </c>
      <c r="DJ25" s="48" t="s">
        <v>1710</v>
      </c>
      <c r="DK25" s="48" t="s">
        <v>1710</v>
      </c>
      <c r="DL25" s="48" t="s">
        <v>1710</v>
      </c>
      <c r="DM25" s="48" t="s">
        <v>1710</v>
      </c>
      <c r="DN25" s="48" t="s">
        <v>1710</v>
      </c>
      <c r="DO25" s="48" t="s">
        <v>1710</v>
      </c>
      <c r="DP25" s="48" t="s">
        <v>1710</v>
      </c>
      <c r="DQ25" s="48" t="s">
        <v>1710</v>
      </c>
      <c r="DR25" s="48" t="s">
        <v>2072</v>
      </c>
      <c r="DS25" s="48" t="s">
        <v>1710</v>
      </c>
      <c r="DT25" s="48" t="s">
        <v>1710</v>
      </c>
      <c r="DU25" s="48" t="s">
        <v>2841</v>
      </c>
      <c r="DV25" s="48" t="s">
        <v>2850</v>
      </c>
      <c r="DW25" s="48" t="s">
        <v>1710</v>
      </c>
      <c r="DX25" s="48" t="s">
        <v>3007</v>
      </c>
      <c r="DY25" s="48" t="s">
        <v>1709</v>
      </c>
      <c r="DZ25" s="48" t="s">
        <v>2562</v>
      </c>
      <c r="EA25" s="48" t="s">
        <v>2546</v>
      </c>
      <c r="EB25">
        <v>0</v>
      </c>
      <c r="EC25" s="48" t="s">
        <v>2841</v>
      </c>
      <c r="ED25" s="48" t="s">
        <v>2981</v>
      </c>
      <c r="EE25" s="48" t="s">
        <v>1814</v>
      </c>
      <c r="EF25" s="48" t="s">
        <v>1881</v>
      </c>
      <c r="EG25" s="48" t="s">
        <v>3005</v>
      </c>
      <c r="EH25">
        <v>2</v>
      </c>
      <c r="EI25" s="48" t="s">
        <v>1888</v>
      </c>
      <c r="EJ25">
        <v>0</v>
      </c>
      <c r="EK25" s="48" t="s">
        <v>1710</v>
      </c>
      <c r="EL25">
        <v>1</v>
      </c>
      <c r="EM25" s="48" t="s">
        <v>1886</v>
      </c>
      <c r="EN25">
        <v>2</v>
      </c>
      <c r="EO25" s="48" t="s">
        <v>2601</v>
      </c>
      <c r="EP25" s="48" t="s">
        <v>3008</v>
      </c>
      <c r="EQ25">
        <v>748.65</v>
      </c>
      <c r="ER25">
        <v>748.65</v>
      </c>
      <c r="ES25">
        <v>1043806</v>
      </c>
      <c r="ET25">
        <v>709</v>
      </c>
      <c r="EU25" s="48" t="s">
        <v>1710</v>
      </c>
      <c r="EV25" s="48" t="s">
        <v>1710</v>
      </c>
      <c r="EW25" s="48" t="s">
        <v>1712</v>
      </c>
      <c r="EX25" s="48" t="s">
        <v>1710</v>
      </c>
      <c r="EY25" s="48" t="s">
        <v>1873</v>
      </c>
      <c r="EZ25" s="48" t="s">
        <v>1710</v>
      </c>
      <c r="FA25" s="48" t="s">
        <v>1710</v>
      </c>
      <c r="FB25" s="48" t="s">
        <v>1712</v>
      </c>
      <c r="FC25" s="48" t="s">
        <v>1710</v>
      </c>
      <c r="FD25" s="48" t="s">
        <v>1710</v>
      </c>
      <c r="FE25" s="48" t="s">
        <v>1814</v>
      </c>
      <c r="FF25" s="48" t="s">
        <v>1815</v>
      </c>
      <c r="FG25" s="48" t="s">
        <v>1710</v>
      </c>
      <c r="FH25">
        <v>1</v>
      </c>
      <c r="FI25" s="48" t="s">
        <v>1846</v>
      </c>
      <c r="FJ25">
        <v>748.65</v>
      </c>
      <c r="FK25">
        <v>748.65</v>
      </c>
      <c r="FL25" s="48" t="s">
        <v>3009</v>
      </c>
      <c r="FM25" s="48" t="s">
        <v>3008</v>
      </c>
      <c r="FN25" s="48" t="s">
        <v>1710</v>
      </c>
      <c r="FO25" s="48" t="s">
        <v>1710</v>
      </c>
      <c r="FP25" s="48" t="s">
        <v>1710</v>
      </c>
      <c r="FQ25" s="48" t="s">
        <v>1710</v>
      </c>
      <c r="FR25" s="48" t="s">
        <v>1710</v>
      </c>
      <c r="FS25" s="48" t="s">
        <v>1710</v>
      </c>
      <c r="FT25" s="48" t="s">
        <v>1710</v>
      </c>
      <c r="FU25" s="48" t="s">
        <v>1710</v>
      </c>
      <c r="FV25" s="48"/>
      <c r="FW25" s="56"/>
      <c r="FX25" s="56"/>
      <c r="FY25" s="56"/>
      <c r="FZ25" s="56"/>
      <c r="GA25" s="55" t="str">
        <f t="shared" si="1"/>
        <v>4388426100309X</v>
      </c>
      <c r="GB25" t="str">
        <f>VLOOKUP(B25,수출코드!$C$2:$D$4,2,FALSE)</f>
        <v>Suwon</v>
      </c>
      <c r="GC25" t="str">
        <f>VLOOKUP(L25,수출코드!$A$2:$B$6,2,FALSE)</f>
        <v/>
      </c>
      <c r="GD25" t="str">
        <f>VLOOKUP(M25,수출코드!$E$2:$F$5,2,FALSE)</f>
        <v>일반</v>
      </c>
      <c r="GE25" s="61">
        <f t="shared" si="2"/>
        <v>45971.477083333331</v>
      </c>
      <c r="GF25" s="62">
        <f t="shared" si="0"/>
        <v>46048.717361111114</v>
      </c>
      <c r="GI25" s="48" t="s">
        <v>2736</v>
      </c>
    </row>
    <row r="26" spans="1:191">
      <c r="A26" s="48" t="s">
        <v>3010</v>
      </c>
      <c r="B26" s="48" t="s">
        <v>1821</v>
      </c>
      <c r="C26" s="48" t="s">
        <v>2048</v>
      </c>
      <c r="D26" s="48" t="s">
        <v>2813</v>
      </c>
      <c r="E26" s="48" t="s">
        <v>3010</v>
      </c>
      <c r="F26" s="48" t="s">
        <v>1710</v>
      </c>
      <c r="G26" s="48" t="s">
        <v>2814</v>
      </c>
      <c r="H26" s="48" t="s">
        <v>3011</v>
      </c>
      <c r="I26" s="48" t="s">
        <v>1884</v>
      </c>
      <c r="J26" s="48" t="s">
        <v>2850</v>
      </c>
      <c r="K26" s="48" t="s">
        <v>1885</v>
      </c>
      <c r="L26" s="48" t="s">
        <v>1883</v>
      </c>
      <c r="M26" s="48" t="s">
        <v>1810</v>
      </c>
      <c r="N26" s="48" t="s">
        <v>1842</v>
      </c>
      <c r="O26" s="48" t="s">
        <v>1811</v>
      </c>
      <c r="P26" s="48" t="s">
        <v>2549</v>
      </c>
      <c r="Q26" s="48" t="s">
        <v>2049</v>
      </c>
      <c r="R26" s="48" t="s">
        <v>1838</v>
      </c>
      <c r="S26" s="48" t="s">
        <v>2050</v>
      </c>
      <c r="T26" s="48" t="s">
        <v>1845</v>
      </c>
      <c r="U26" s="48" t="s">
        <v>2049</v>
      </c>
      <c r="V26" s="48" t="s">
        <v>1838</v>
      </c>
      <c r="W26" s="48" t="s">
        <v>2051</v>
      </c>
      <c r="X26" s="48" t="s">
        <v>2052</v>
      </c>
      <c r="Y26" s="48" t="s">
        <v>2050</v>
      </c>
      <c r="Z26" s="48" t="s">
        <v>2053</v>
      </c>
      <c r="AA26" s="48" t="s">
        <v>2054</v>
      </c>
      <c r="AB26" s="48" t="s">
        <v>2817</v>
      </c>
      <c r="AC26" s="48" t="s">
        <v>2055</v>
      </c>
      <c r="AD26" s="48" t="s">
        <v>2056</v>
      </c>
      <c r="AE26" s="48" t="s">
        <v>1710</v>
      </c>
      <c r="AF26" s="48" t="s">
        <v>1710</v>
      </c>
      <c r="AG26" s="48" t="s">
        <v>2057</v>
      </c>
      <c r="AH26" s="48" t="s">
        <v>1815</v>
      </c>
      <c r="AI26" s="48" t="s">
        <v>2058</v>
      </c>
      <c r="AJ26" s="48" t="s">
        <v>1710</v>
      </c>
      <c r="AK26" s="48" t="s">
        <v>2080</v>
      </c>
      <c r="AL26" s="48" t="s">
        <v>1866</v>
      </c>
      <c r="AM26" s="48" t="s">
        <v>1816</v>
      </c>
      <c r="AN26" s="48" t="s">
        <v>2054</v>
      </c>
      <c r="AO26" s="48" t="s">
        <v>1710</v>
      </c>
      <c r="AP26" s="48" t="s">
        <v>1854</v>
      </c>
      <c r="AQ26" s="48" t="s">
        <v>2081</v>
      </c>
      <c r="AR26" s="48" t="s">
        <v>1812</v>
      </c>
      <c r="AS26" s="48" t="s">
        <v>1813</v>
      </c>
      <c r="AT26" s="48" t="s">
        <v>1826</v>
      </c>
      <c r="AU26" s="48" t="s">
        <v>2061</v>
      </c>
      <c r="AV26" s="48" t="s">
        <v>2850</v>
      </c>
      <c r="AW26" s="48" t="s">
        <v>2062</v>
      </c>
      <c r="AX26" s="48" t="s">
        <v>2063</v>
      </c>
      <c r="AY26" s="48" t="s">
        <v>1710</v>
      </c>
      <c r="AZ26" s="48" t="s">
        <v>3012</v>
      </c>
      <c r="BA26" s="48" t="s">
        <v>1710</v>
      </c>
      <c r="BB26" s="48" t="s">
        <v>1709</v>
      </c>
      <c r="BC26" s="48" t="s">
        <v>1710</v>
      </c>
      <c r="BD26" s="48" t="s">
        <v>2082</v>
      </c>
      <c r="BE26" s="52" t="s">
        <v>3013</v>
      </c>
      <c r="BF26" s="48" t="s">
        <v>1710</v>
      </c>
      <c r="BG26" s="48" t="s">
        <v>1817</v>
      </c>
      <c r="BH26">
        <v>3</v>
      </c>
      <c r="BI26" s="48" t="s">
        <v>1888</v>
      </c>
      <c r="BJ26">
        <v>2</v>
      </c>
      <c r="BK26">
        <v>1473.06</v>
      </c>
      <c r="BL26">
        <v>9415353</v>
      </c>
      <c r="BM26">
        <v>6392</v>
      </c>
      <c r="BN26" s="48" t="s">
        <v>2064</v>
      </c>
      <c r="BO26" s="48" t="s">
        <v>2065</v>
      </c>
      <c r="BP26">
        <v>1473.06</v>
      </c>
      <c r="BQ26">
        <v>6431.75</v>
      </c>
      <c r="BR26" s="48" t="s">
        <v>1885</v>
      </c>
      <c r="BS26" s="48" t="s">
        <v>2066</v>
      </c>
      <c r="BT26">
        <v>1</v>
      </c>
      <c r="BU26">
        <v>59000</v>
      </c>
      <c r="BV26">
        <v>59000</v>
      </c>
      <c r="BW26" s="48" t="s">
        <v>2065</v>
      </c>
      <c r="BX26">
        <v>1473.06</v>
      </c>
      <c r="BY26">
        <v>0</v>
      </c>
      <c r="BZ26">
        <v>0</v>
      </c>
      <c r="CA26" s="48" t="s">
        <v>2065</v>
      </c>
      <c r="CB26">
        <v>1473.06</v>
      </c>
      <c r="CC26">
        <v>0</v>
      </c>
      <c r="CD26">
        <v>0</v>
      </c>
      <c r="CE26" s="48" t="s">
        <v>1710</v>
      </c>
      <c r="CF26" s="48" t="s">
        <v>1710</v>
      </c>
      <c r="CG26" s="48" t="s">
        <v>1710</v>
      </c>
      <c r="CH26" s="48" t="s">
        <v>1710</v>
      </c>
      <c r="CI26" s="48" t="s">
        <v>2067</v>
      </c>
      <c r="CJ26" s="48" t="s">
        <v>1710</v>
      </c>
      <c r="CL26" s="48" t="s">
        <v>2850</v>
      </c>
      <c r="CM26" s="48" t="s">
        <v>1710</v>
      </c>
      <c r="CN26" s="48" t="s">
        <v>2068</v>
      </c>
      <c r="CO26" s="48" t="s">
        <v>2069</v>
      </c>
      <c r="CP26" s="48" t="s">
        <v>1710</v>
      </c>
      <c r="CQ26" s="48" t="s">
        <v>1710</v>
      </c>
      <c r="CR26" s="48" t="s">
        <v>1710</v>
      </c>
      <c r="CS26" s="48" t="s">
        <v>1710</v>
      </c>
      <c r="CT26" s="48" t="s">
        <v>1710</v>
      </c>
      <c r="CU26" s="48" t="s">
        <v>1712</v>
      </c>
      <c r="CV26" s="48" t="s">
        <v>1710</v>
      </c>
      <c r="CW26" s="48" t="s">
        <v>1710</v>
      </c>
      <c r="CX26" s="48" t="s">
        <v>3014</v>
      </c>
      <c r="CY26" s="48" t="s">
        <v>1710</v>
      </c>
      <c r="CZ26" s="48" t="s">
        <v>1712</v>
      </c>
      <c r="DA26" s="48" t="s">
        <v>1710</v>
      </c>
      <c r="DB26" s="48" t="s">
        <v>1878</v>
      </c>
      <c r="DC26" s="48" t="s">
        <v>2070</v>
      </c>
      <c r="DD26" s="48" t="s">
        <v>1842</v>
      </c>
      <c r="DE26" s="48" t="s">
        <v>1886</v>
      </c>
      <c r="DF26" s="48" t="s">
        <v>3015</v>
      </c>
      <c r="DG26" s="48" t="s">
        <v>2071</v>
      </c>
      <c r="DH26" s="48" t="s">
        <v>1712</v>
      </c>
      <c r="DI26" s="48" t="s">
        <v>1710</v>
      </c>
      <c r="DJ26" s="48" t="s">
        <v>1710</v>
      </c>
      <c r="DK26" s="48" t="s">
        <v>1710</v>
      </c>
      <c r="DL26" s="48" t="s">
        <v>1710</v>
      </c>
      <c r="DM26" s="48" t="s">
        <v>1710</v>
      </c>
      <c r="DN26" s="48" t="s">
        <v>1710</v>
      </c>
      <c r="DO26" s="48" t="s">
        <v>1710</v>
      </c>
      <c r="DP26" s="48" t="s">
        <v>1710</v>
      </c>
      <c r="DQ26" s="48" t="s">
        <v>1710</v>
      </c>
      <c r="DR26" s="48" t="s">
        <v>2072</v>
      </c>
      <c r="DS26" s="48" t="s">
        <v>1710</v>
      </c>
      <c r="DT26" s="48" t="s">
        <v>1710</v>
      </c>
      <c r="DU26" s="48" t="s">
        <v>2841</v>
      </c>
      <c r="DV26" s="48" t="s">
        <v>2816</v>
      </c>
      <c r="DW26" s="48" t="s">
        <v>1710</v>
      </c>
      <c r="DX26" s="48" t="s">
        <v>3016</v>
      </c>
      <c r="DY26" s="48" t="s">
        <v>1709</v>
      </c>
      <c r="DZ26" s="48" t="s">
        <v>2073</v>
      </c>
      <c r="EA26" s="48" t="s">
        <v>2546</v>
      </c>
      <c r="EB26">
        <v>0</v>
      </c>
      <c r="EC26" s="48" t="s">
        <v>2841</v>
      </c>
      <c r="ED26" s="48" t="s">
        <v>3017</v>
      </c>
      <c r="EE26" s="48" t="s">
        <v>1814</v>
      </c>
      <c r="EF26" s="48" t="s">
        <v>2829</v>
      </c>
      <c r="EG26" s="48" t="s">
        <v>3012</v>
      </c>
      <c r="EH26">
        <v>1</v>
      </c>
      <c r="EI26" s="48" t="s">
        <v>1888</v>
      </c>
      <c r="EJ26">
        <v>1</v>
      </c>
      <c r="EK26" s="48" t="s">
        <v>1887</v>
      </c>
      <c r="EL26">
        <v>2</v>
      </c>
      <c r="EM26" s="48" t="s">
        <v>1886</v>
      </c>
      <c r="EN26">
        <v>1</v>
      </c>
      <c r="EO26" s="48" t="s">
        <v>2830</v>
      </c>
      <c r="EP26" s="48" t="s">
        <v>3018</v>
      </c>
      <c r="EQ26">
        <v>5445.66</v>
      </c>
      <c r="ER26">
        <v>5445.66</v>
      </c>
      <c r="ES26">
        <v>7971829</v>
      </c>
      <c r="ET26">
        <v>5412</v>
      </c>
      <c r="EU26" s="48" t="s">
        <v>1710</v>
      </c>
      <c r="EV26" s="48" t="s">
        <v>1710</v>
      </c>
      <c r="EW26" s="48" t="s">
        <v>1712</v>
      </c>
      <c r="EX26" s="48" t="s">
        <v>1710</v>
      </c>
      <c r="EY26" s="48" t="s">
        <v>1848</v>
      </c>
      <c r="EZ26" s="48" t="s">
        <v>1710</v>
      </c>
      <c r="FA26" s="48" t="s">
        <v>1710</v>
      </c>
      <c r="FB26" s="48" t="s">
        <v>1712</v>
      </c>
      <c r="FC26" s="48" t="s">
        <v>1710</v>
      </c>
      <c r="FD26" s="48" t="s">
        <v>1710</v>
      </c>
      <c r="FE26" s="48" t="s">
        <v>1814</v>
      </c>
      <c r="FF26" s="48" t="s">
        <v>1815</v>
      </c>
      <c r="FG26" s="48" t="s">
        <v>1710</v>
      </c>
      <c r="FH26">
        <v>1</v>
      </c>
      <c r="FI26" s="48" t="s">
        <v>1846</v>
      </c>
      <c r="FJ26">
        <v>5445.66</v>
      </c>
      <c r="FK26">
        <v>5445.66</v>
      </c>
      <c r="FL26" s="48" t="s">
        <v>3019</v>
      </c>
      <c r="FM26" s="48" t="s">
        <v>3018</v>
      </c>
      <c r="FN26" s="48" t="s">
        <v>1710</v>
      </c>
      <c r="FO26" s="48" t="s">
        <v>1710</v>
      </c>
      <c r="FP26" s="48" t="s">
        <v>1710</v>
      </c>
      <c r="FQ26" s="48" t="s">
        <v>1710</v>
      </c>
      <c r="FR26" s="48" t="s">
        <v>1710</v>
      </c>
      <c r="FS26" s="48" t="s">
        <v>1710</v>
      </c>
      <c r="FT26" s="48" t="s">
        <v>1710</v>
      </c>
      <c r="FU26" s="48" t="s">
        <v>1710</v>
      </c>
      <c r="FV26" s="48"/>
      <c r="FW26" s="56"/>
      <c r="FX26" s="56"/>
      <c r="FY26" s="56"/>
      <c r="FZ26" s="56"/>
      <c r="GA26" s="55" t="str">
        <f t="shared" si="1"/>
        <v>4388426100310X</v>
      </c>
      <c r="GB26" t="str">
        <f>VLOOKUP(B26,수출코드!$C$2:$D$4,2,FALSE)</f>
        <v>Suwon</v>
      </c>
      <c r="GC26" t="str">
        <f>VLOOKUP(L26,수출코드!$A$2:$B$6,2,FALSE)</f>
        <v>서류제출</v>
      </c>
      <c r="GD26" t="str">
        <f>VLOOKUP(M26,수출코드!$E$2:$F$5,2,FALSE)</f>
        <v>일반</v>
      </c>
      <c r="GE26" s="61">
        <f t="shared" si="2"/>
        <v>45971.612500000003</v>
      </c>
      <c r="GF26" s="62">
        <f t="shared" si="0"/>
        <v>46049.538888888892</v>
      </c>
      <c r="GI26" s="48" t="s">
        <v>2737</v>
      </c>
    </row>
    <row r="27" spans="1:191">
      <c r="A27" s="48" t="s">
        <v>3020</v>
      </c>
      <c r="B27" s="48" t="s">
        <v>1821</v>
      </c>
      <c r="C27" s="48" t="s">
        <v>2048</v>
      </c>
      <c r="D27" s="48" t="s">
        <v>2813</v>
      </c>
      <c r="E27" s="48" t="s">
        <v>3020</v>
      </c>
      <c r="F27" s="48" t="s">
        <v>1710</v>
      </c>
      <c r="G27" s="48" t="s">
        <v>2814</v>
      </c>
      <c r="H27" s="48" t="s">
        <v>3021</v>
      </c>
      <c r="I27" s="48" t="s">
        <v>1884</v>
      </c>
      <c r="J27" s="48" t="s">
        <v>2850</v>
      </c>
      <c r="K27" s="48" t="s">
        <v>1885</v>
      </c>
      <c r="L27" s="48" t="s">
        <v>1883</v>
      </c>
      <c r="M27" s="48" t="s">
        <v>1810</v>
      </c>
      <c r="N27" s="48" t="s">
        <v>1842</v>
      </c>
      <c r="O27" s="48" t="s">
        <v>1811</v>
      </c>
      <c r="P27" s="48" t="s">
        <v>2549</v>
      </c>
      <c r="Q27" s="48" t="s">
        <v>2049</v>
      </c>
      <c r="R27" s="48" t="s">
        <v>1838</v>
      </c>
      <c r="S27" s="48" t="s">
        <v>2050</v>
      </c>
      <c r="T27" s="48" t="s">
        <v>1845</v>
      </c>
      <c r="U27" s="48" t="s">
        <v>2049</v>
      </c>
      <c r="V27" s="48" t="s">
        <v>1838</v>
      </c>
      <c r="W27" s="48" t="s">
        <v>2051</v>
      </c>
      <c r="X27" s="48" t="s">
        <v>2052</v>
      </c>
      <c r="Y27" s="48" t="s">
        <v>2050</v>
      </c>
      <c r="Z27" s="48" t="s">
        <v>2053</v>
      </c>
      <c r="AA27" s="48" t="s">
        <v>2054</v>
      </c>
      <c r="AB27" s="48" t="s">
        <v>2817</v>
      </c>
      <c r="AC27" s="48" t="s">
        <v>2055</v>
      </c>
      <c r="AD27" s="48" t="s">
        <v>2056</v>
      </c>
      <c r="AE27" s="48" t="s">
        <v>1710</v>
      </c>
      <c r="AF27" s="48" t="s">
        <v>1710</v>
      </c>
      <c r="AG27" s="48" t="s">
        <v>2057</v>
      </c>
      <c r="AH27" s="48" t="s">
        <v>1815</v>
      </c>
      <c r="AI27" s="48" t="s">
        <v>2058</v>
      </c>
      <c r="AJ27" s="48" t="s">
        <v>1710</v>
      </c>
      <c r="AK27" s="48" t="s">
        <v>2077</v>
      </c>
      <c r="AL27" s="48" t="s">
        <v>1858</v>
      </c>
      <c r="AM27" s="48" t="s">
        <v>1816</v>
      </c>
      <c r="AN27" s="48" t="s">
        <v>2054</v>
      </c>
      <c r="AO27" s="48" t="s">
        <v>1710</v>
      </c>
      <c r="AP27" s="48" t="s">
        <v>1848</v>
      </c>
      <c r="AQ27" s="48" t="s">
        <v>2060</v>
      </c>
      <c r="AR27" s="48" t="s">
        <v>1812</v>
      </c>
      <c r="AS27" s="48" t="s">
        <v>1813</v>
      </c>
      <c r="AT27" s="48" t="s">
        <v>1826</v>
      </c>
      <c r="AU27" s="48" t="s">
        <v>2061</v>
      </c>
      <c r="AV27" s="48" t="s">
        <v>2850</v>
      </c>
      <c r="AW27" s="48" t="s">
        <v>2062</v>
      </c>
      <c r="AX27" s="48" t="s">
        <v>2063</v>
      </c>
      <c r="AY27" s="48" t="s">
        <v>1710</v>
      </c>
      <c r="AZ27" s="48" t="s">
        <v>3022</v>
      </c>
      <c r="BA27" s="48" t="s">
        <v>1710</v>
      </c>
      <c r="BB27" s="48" t="s">
        <v>1709</v>
      </c>
      <c r="BC27" s="48" t="s">
        <v>1710</v>
      </c>
      <c r="BD27" s="48" t="s">
        <v>2082</v>
      </c>
      <c r="BE27" s="52" t="s">
        <v>3013</v>
      </c>
      <c r="BF27" s="48" t="s">
        <v>1710</v>
      </c>
      <c r="BG27" s="48" t="s">
        <v>1818</v>
      </c>
      <c r="BH27">
        <v>20</v>
      </c>
      <c r="BI27" s="48" t="s">
        <v>1888</v>
      </c>
      <c r="BJ27">
        <v>9</v>
      </c>
      <c r="BK27">
        <v>1473.06</v>
      </c>
      <c r="BL27">
        <v>6938514</v>
      </c>
      <c r="BM27">
        <v>4710</v>
      </c>
      <c r="BN27" s="48" t="s">
        <v>2064</v>
      </c>
      <c r="BO27" s="48" t="s">
        <v>2065</v>
      </c>
      <c r="BP27">
        <v>1473.06</v>
      </c>
      <c r="BQ27">
        <v>4908.5</v>
      </c>
      <c r="BR27" s="48" t="s">
        <v>1885</v>
      </c>
      <c r="BS27" s="48" t="s">
        <v>2066</v>
      </c>
      <c r="BT27">
        <v>1</v>
      </c>
      <c r="BU27">
        <v>292000</v>
      </c>
      <c r="BV27">
        <v>292000</v>
      </c>
      <c r="BW27" s="48" t="s">
        <v>2065</v>
      </c>
      <c r="BX27">
        <v>1473.06</v>
      </c>
      <c r="BY27">
        <v>0</v>
      </c>
      <c r="BZ27">
        <v>0</v>
      </c>
      <c r="CA27" s="48" t="s">
        <v>2065</v>
      </c>
      <c r="CB27">
        <v>1473.06</v>
      </c>
      <c r="CC27">
        <v>0</v>
      </c>
      <c r="CD27">
        <v>0</v>
      </c>
      <c r="CE27" s="48" t="s">
        <v>1710</v>
      </c>
      <c r="CF27" s="48" t="s">
        <v>1710</v>
      </c>
      <c r="CG27" s="48" t="s">
        <v>1710</v>
      </c>
      <c r="CH27" s="48" t="s">
        <v>1710</v>
      </c>
      <c r="CI27" s="48" t="s">
        <v>2067</v>
      </c>
      <c r="CJ27" s="48" t="s">
        <v>1710</v>
      </c>
      <c r="CL27" s="48" t="s">
        <v>2850</v>
      </c>
      <c r="CM27" s="48" t="s">
        <v>1710</v>
      </c>
      <c r="CN27" s="48" t="s">
        <v>2068</v>
      </c>
      <c r="CO27" s="48" t="s">
        <v>2069</v>
      </c>
      <c r="CP27" s="48" t="s">
        <v>1710</v>
      </c>
      <c r="CQ27" s="48" t="s">
        <v>1710</v>
      </c>
      <c r="CR27" s="48" t="s">
        <v>1710</v>
      </c>
      <c r="CS27" s="48" t="s">
        <v>1710</v>
      </c>
      <c r="CT27" s="48" t="s">
        <v>1710</v>
      </c>
      <c r="CU27" s="48" t="s">
        <v>1712</v>
      </c>
      <c r="CV27" s="48" t="s">
        <v>1710</v>
      </c>
      <c r="CW27" s="48" t="s">
        <v>1710</v>
      </c>
      <c r="CX27" s="48" t="s">
        <v>3014</v>
      </c>
      <c r="CY27" s="48" t="s">
        <v>1710</v>
      </c>
      <c r="CZ27" s="48" t="s">
        <v>1712</v>
      </c>
      <c r="DA27" s="48" t="s">
        <v>1710</v>
      </c>
      <c r="DB27" s="48" t="s">
        <v>1878</v>
      </c>
      <c r="DC27" s="48" t="s">
        <v>2070</v>
      </c>
      <c r="DD27" s="48" t="s">
        <v>1842</v>
      </c>
      <c r="DE27" s="48" t="s">
        <v>1886</v>
      </c>
      <c r="DF27" s="48" t="s">
        <v>3023</v>
      </c>
      <c r="DG27" s="48" t="s">
        <v>2071</v>
      </c>
      <c r="DH27" s="48" t="s">
        <v>1712</v>
      </c>
      <c r="DI27" s="48" t="s">
        <v>1710</v>
      </c>
      <c r="DJ27" s="48" t="s">
        <v>1710</v>
      </c>
      <c r="DK27" s="48" t="s">
        <v>1710</v>
      </c>
      <c r="DL27" s="48" t="s">
        <v>1710</v>
      </c>
      <c r="DM27" s="48" t="s">
        <v>1710</v>
      </c>
      <c r="DN27" s="48" t="s">
        <v>1710</v>
      </c>
      <c r="DO27" s="48" t="s">
        <v>1710</v>
      </c>
      <c r="DP27" s="48" t="s">
        <v>1710</v>
      </c>
      <c r="DQ27" s="48" t="s">
        <v>1710</v>
      </c>
      <c r="DR27" s="48" t="s">
        <v>2072</v>
      </c>
      <c r="DS27" s="48" t="s">
        <v>1710</v>
      </c>
      <c r="DT27" s="48" t="s">
        <v>1710</v>
      </c>
      <c r="DU27" s="48" t="s">
        <v>2841</v>
      </c>
      <c r="DV27" s="48" t="s">
        <v>2850</v>
      </c>
      <c r="DW27" s="48" t="s">
        <v>1710</v>
      </c>
      <c r="DX27" s="48" t="s">
        <v>3024</v>
      </c>
      <c r="DY27" s="48" t="s">
        <v>1709</v>
      </c>
      <c r="DZ27" s="48" t="s">
        <v>2073</v>
      </c>
      <c r="EA27" s="48" t="s">
        <v>2546</v>
      </c>
      <c r="EB27">
        <v>0</v>
      </c>
      <c r="EC27" s="48" t="s">
        <v>2841</v>
      </c>
      <c r="ED27" s="48" t="s">
        <v>3017</v>
      </c>
      <c r="EE27" s="48" t="s">
        <v>1814</v>
      </c>
      <c r="EF27" s="48" t="s">
        <v>1867</v>
      </c>
      <c r="EG27" s="48" t="s">
        <v>3022</v>
      </c>
      <c r="EH27">
        <v>6.3360000000000003</v>
      </c>
      <c r="EI27" s="48" t="s">
        <v>1888</v>
      </c>
      <c r="EJ27">
        <v>6</v>
      </c>
      <c r="EK27" s="48" t="s">
        <v>1887</v>
      </c>
      <c r="EL27">
        <v>9</v>
      </c>
      <c r="EM27" s="48" t="s">
        <v>1886</v>
      </c>
      <c r="EN27">
        <v>6.3360000000000003</v>
      </c>
      <c r="EO27" s="48" t="s">
        <v>2520</v>
      </c>
      <c r="EP27" s="48" t="s">
        <v>2582</v>
      </c>
      <c r="EQ27">
        <v>3905.1</v>
      </c>
      <c r="ER27">
        <v>3905.1</v>
      </c>
      <c r="ES27">
        <v>5520137</v>
      </c>
      <c r="ET27">
        <v>3747</v>
      </c>
      <c r="EU27" s="48" t="s">
        <v>1710</v>
      </c>
      <c r="EV27" s="48" t="s">
        <v>1710</v>
      </c>
      <c r="EW27" s="48" t="s">
        <v>1712</v>
      </c>
      <c r="EX27" s="48" t="s">
        <v>1710</v>
      </c>
      <c r="EY27" s="48" t="s">
        <v>1848</v>
      </c>
      <c r="EZ27" s="48" t="s">
        <v>1710</v>
      </c>
      <c r="FA27" s="48" t="s">
        <v>1710</v>
      </c>
      <c r="FB27" s="48" t="s">
        <v>1712</v>
      </c>
      <c r="FC27" s="48" t="s">
        <v>1710</v>
      </c>
      <c r="FD27" s="48" t="s">
        <v>1710</v>
      </c>
      <c r="FE27" s="48" t="s">
        <v>1814</v>
      </c>
      <c r="FF27" s="48" t="s">
        <v>1815</v>
      </c>
      <c r="FG27" s="48" t="s">
        <v>1710</v>
      </c>
      <c r="FH27">
        <v>6</v>
      </c>
      <c r="FI27" s="48" t="s">
        <v>1846</v>
      </c>
      <c r="FJ27">
        <v>3905.1</v>
      </c>
      <c r="FK27">
        <v>650.85</v>
      </c>
      <c r="FL27" s="48" t="s">
        <v>2583</v>
      </c>
      <c r="FM27" s="48" t="s">
        <v>2582</v>
      </c>
      <c r="FN27" s="48" t="s">
        <v>1710</v>
      </c>
      <c r="FO27" s="48" t="s">
        <v>1710</v>
      </c>
      <c r="FP27" s="48" t="s">
        <v>1710</v>
      </c>
      <c r="FQ27" s="48" t="s">
        <v>1710</v>
      </c>
      <c r="FR27" s="48" t="s">
        <v>1710</v>
      </c>
      <c r="FS27" s="48" t="s">
        <v>1710</v>
      </c>
      <c r="FT27" s="48" t="s">
        <v>1710</v>
      </c>
      <c r="FU27" s="48" t="s">
        <v>1710</v>
      </c>
      <c r="FV27" s="48"/>
      <c r="FW27" s="56"/>
      <c r="FX27" s="56"/>
      <c r="FY27" s="56"/>
      <c r="FZ27" s="56"/>
      <c r="GA27" s="55" t="str">
        <f t="shared" si="1"/>
        <v>4388426100311X</v>
      </c>
      <c r="GB27" t="str">
        <f>VLOOKUP(B27,수출코드!$C$2:$D$4,2,FALSE)</f>
        <v>Suwon</v>
      </c>
      <c r="GC27" t="str">
        <f>VLOOKUP(L27,수출코드!$A$2:$B$6,2,FALSE)</f>
        <v>서류제출</v>
      </c>
      <c r="GD27" t="str">
        <f>VLOOKUP(M27,수출코드!$E$2:$F$5,2,FALSE)</f>
        <v>일반</v>
      </c>
      <c r="GE27" s="61">
        <f t="shared" si="2"/>
        <v>45971.612500000003</v>
      </c>
      <c r="GF27" s="62">
        <f t="shared" si="0"/>
        <v>46049.538888888892</v>
      </c>
      <c r="GI27" s="48" t="s">
        <v>2737</v>
      </c>
    </row>
    <row r="28" spans="1:191">
      <c r="A28" s="48" t="s">
        <v>3025</v>
      </c>
      <c r="B28" s="48" t="s">
        <v>1821</v>
      </c>
      <c r="C28" s="48" t="s">
        <v>2048</v>
      </c>
      <c r="D28" s="48" t="s">
        <v>2813</v>
      </c>
      <c r="E28" s="48" t="s">
        <v>3025</v>
      </c>
      <c r="F28" s="48" t="s">
        <v>1710</v>
      </c>
      <c r="G28" s="48" t="s">
        <v>2814</v>
      </c>
      <c r="H28" s="48" t="s">
        <v>3026</v>
      </c>
      <c r="I28" s="48" t="s">
        <v>1884</v>
      </c>
      <c r="J28" s="48" t="s">
        <v>2850</v>
      </c>
      <c r="K28" s="48" t="s">
        <v>1877</v>
      </c>
      <c r="L28" s="48" t="s">
        <v>1842</v>
      </c>
      <c r="M28" s="48" t="s">
        <v>1810</v>
      </c>
      <c r="N28" s="48" t="s">
        <v>1842</v>
      </c>
      <c r="O28" s="48" t="s">
        <v>1811</v>
      </c>
      <c r="P28" s="48" t="s">
        <v>2549</v>
      </c>
      <c r="Q28" s="48" t="s">
        <v>2049</v>
      </c>
      <c r="R28" s="48" t="s">
        <v>1838</v>
      </c>
      <c r="S28" s="48" t="s">
        <v>2050</v>
      </c>
      <c r="T28" s="48" t="s">
        <v>1845</v>
      </c>
      <c r="U28" s="48" t="s">
        <v>2049</v>
      </c>
      <c r="V28" s="48" t="s">
        <v>1838</v>
      </c>
      <c r="W28" s="48" t="s">
        <v>2051</v>
      </c>
      <c r="X28" s="48" t="s">
        <v>2052</v>
      </c>
      <c r="Y28" s="48" t="s">
        <v>2050</v>
      </c>
      <c r="Z28" s="48" t="s">
        <v>2053</v>
      </c>
      <c r="AA28" s="48" t="s">
        <v>2054</v>
      </c>
      <c r="AB28" s="48" t="s">
        <v>2817</v>
      </c>
      <c r="AC28" s="48" t="s">
        <v>2055</v>
      </c>
      <c r="AD28" s="48" t="s">
        <v>2056</v>
      </c>
      <c r="AE28" s="48" t="s">
        <v>1710</v>
      </c>
      <c r="AF28" s="48" t="s">
        <v>1710</v>
      </c>
      <c r="AG28" s="48" t="s">
        <v>2057</v>
      </c>
      <c r="AH28" s="48" t="s">
        <v>1815</v>
      </c>
      <c r="AI28" s="48" t="s">
        <v>2058</v>
      </c>
      <c r="AJ28" s="48" t="s">
        <v>1710</v>
      </c>
      <c r="AK28" s="48" t="s">
        <v>2077</v>
      </c>
      <c r="AL28" s="48" t="s">
        <v>1858</v>
      </c>
      <c r="AM28" s="48" t="s">
        <v>1816</v>
      </c>
      <c r="AN28" s="48" t="s">
        <v>2054</v>
      </c>
      <c r="AO28" s="48" t="s">
        <v>1710</v>
      </c>
      <c r="AP28" s="48" t="s">
        <v>1848</v>
      </c>
      <c r="AQ28" s="48" t="s">
        <v>2060</v>
      </c>
      <c r="AR28" s="48" t="s">
        <v>1812</v>
      </c>
      <c r="AS28" s="48" t="s">
        <v>1813</v>
      </c>
      <c r="AT28" s="48" t="s">
        <v>1826</v>
      </c>
      <c r="AU28" s="48" t="s">
        <v>2061</v>
      </c>
      <c r="AV28" s="48" t="s">
        <v>2850</v>
      </c>
      <c r="AW28" s="48" t="s">
        <v>2062</v>
      </c>
      <c r="AX28" s="48" t="s">
        <v>2063</v>
      </c>
      <c r="AY28" s="48" t="s">
        <v>1710</v>
      </c>
      <c r="AZ28" s="48" t="s">
        <v>3027</v>
      </c>
      <c r="BA28" s="48" t="s">
        <v>1710</v>
      </c>
      <c r="BB28" s="48" t="s">
        <v>1709</v>
      </c>
      <c r="BC28" s="48" t="s">
        <v>1710</v>
      </c>
      <c r="BD28" s="48" t="s">
        <v>2082</v>
      </c>
      <c r="BE28" s="52" t="s">
        <v>3013</v>
      </c>
      <c r="BF28" s="48" t="s">
        <v>1710</v>
      </c>
      <c r="BG28" s="48" t="s">
        <v>1814</v>
      </c>
      <c r="BH28">
        <v>1</v>
      </c>
      <c r="BI28" s="48" t="s">
        <v>1888</v>
      </c>
      <c r="BJ28">
        <v>1</v>
      </c>
      <c r="BK28">
        <v>1473.06</v>
      </c>
      <c r="BL28">
        <v>1461803</v>
      </c>
      <c r="BM28">
        <v>992</v>
      </c>
      <c r="BN28" s="48" t="s">
        <v>2064</v>
      </c>
      <c r="BO28" s="48" t="s">
        <v>2065</v>
      </c>
      <c r="BP28">
        <v>1473.06</v>
      </c>
      <c r="BQ28">
        <v>1015.1</v>
      </c>
      <c r="BR28" s="48" t="s">
        <v>1885</v>
      </c>
      <c r="BS28" s="48" t="s">
        <v>2066</v>
      </c>
      <c r="BT28">
        <v>1</v>
      </c>
      <c r="BU28">
        <v>33500</v>
      </c>
      <c r="BV28">
        <v>33500</v>
      </c>
      <c r="BW28" s="48" t="s">
        <v>2065</v>
      </c>
      <c r="BX28">
        <v>1473.06</v>
      </c>
      <c r="BY28">
        <v>0</v>
      </c>
      <c r="BZ28">
        <v>0</v>
      </c>
      <c r="CA28" s="48" t="s">
        <v>2065</v>
      </c>
      <c r="CB28">
        <v>1473.06</v>
      </c>
      <c r="CC28">
        <v>0</v>
      </c>
      <c r="CD28">
        <v>0</v>
      </c>
      <c r="CE28" s="48" t="s">
        <v>1710</v>
      </c>
      <c r="CF28" s="48" t="s">
        <v>1710</v>
      </c>
      <c r="CG28" s="48" t="s">
        <v>1710</v>
      </c>
      <c r="CH28" s="48" t="s">
        <v>1710</v>
      </c>
      <c r="CI28" s="48" t="s">
        <v>2067</v>
      </c>
      <c r="CJ28" s="48" t="s">
        <v>1710</v>
      </c>
      <c r="CL28" s="48" t="s">
        <v>2850</v>
      </c>
      <c r="CM28" s="48" t="s">
        <v>1710</v>
      </c>
      <c r="CN28" s="48" t="s">
        <v>2068</v>
      </c>
      <c r="CO28" s="48" t="s">
        <v>2069</v>
      </c>
      <c r="CP28" s="48" t="s">
        <v>1710</v>
      </c>
      <c r="CQ28" s="48" t="s">
        <v>1710</v>
      </c>
      <c r="CR28" s="48" t="s">
        <v>1710</v>
      </c>
      <c r="CS28" s="48" t="s">
        <v>1710</v>
      </c>
      <c r="CT28" s="48" t="s">
        <v>1710</v>
      </c>
      <c r="CU28" s="48" t="s">
        <v>1712</v>
      </c>
      <c r="CV28" s="48" t="s">
        <v>1710</v>
      </c>
      <c r="CW28" s="48" t="s">
        <v>1710</v>
      </c>
      <c r="CX28" s="48" t="s">
        <v>3014</v>
      </c>
      <c r="CY28" s="48" t="s">
        <v>1710</v>
      </c>
      <c r="CZ28" s="48" t="s">
        <v>1712</v>
      </c>
      <c r="DA28" s="48" t="s">
        <v>1710</v>
      </c>
      <c r="DB28" s="48" t="s">
        <v>1878</v>
      </c>
      <c r="DC28" s="48" t="s">
        <v>2070</v>
      </c>
      <c r="DD28" s="48" t="s">
        <v>1842</v>
      </c>
      <c r="DE28" s="48" t="s">
        <v>1886</v>
      </c>
      <c r="DF28" s="48" t="s">
        <v>3028</v>
      </c>
      <c r="DG28" s="48" t="s">
        <v>2071</v>
      </c>
      <c r="DH28" s="48" t="s">
        <v>1712</v>
      </c>
      <c r="DI28" s="48" t="s">
        <v>1710</v>
      </c>
      <c r="DJ28" s="48" t="s">
        <v>1710</v>
      </c>
      <c r="DK28" s="48" t="s">
        <v>1710</v>
      </c>
      <c r="DL28" s="48" t="s">
        <v>1710</v>
      </c>
      <c r="DM28" s="48" t="s">
        <v>1710</v>
      </c>
      <c r="DN28" s="48" t="s">
        <v>1710</v>
      </c>
      <c r="DO28" s="48" t="s">
        <v>1710</v>
      </c>
      <c r="DP28" s="48" t="s">
        <v>1710</v>
      </c>
      <c r="DQ28" s="48" t="s">
        <v>1710</v>
      </c>
      <c r="DR28" s="48" t="s">
        <v>2072</v>
      </c>
      <c r="DS28" s="48" t="s">
        <v>1710</v>
      </c>
      <c r="DT28" s="48" t="s">
        <v>1710</v>
      </c>
      <c r="DU28" s="48" t="s">
        <v>2841</v>
      </c>
      <c r="DV28" s="48" t="s">
        <v>2850</v>
      </c>
      <c r="DW28" s="48" t="s">
        <v>1710</v>
      </c>
      <c r="DX28" s="48" t="s">
        <v>3029</v>
      </c>
      <c r="DY28" s="48" t="s">
        <v>1709</v>
      </c>
      <c r="DZ28" s="48" t="s">
        <v>2562</v>
      </c>
      <c r="EA28" s="48" t="s">
        <v>2546</v>
      </c>
      <c r="EB28">
        <v>0</v>
      </c>
      <c r="EC28" s="48" t="s">
        <v>2841</v>
      </c>
      <c r="ED28" s="48" t="s">
        <v>3030</v>
      </c>
      <c r="EE28" s="48" t="s">
        <v>1814</v>
      </c>
      <c r="EF28" s="48" t="s">
        <v>1876</v>
      </c>
      <c r="EG28" s="48" t="s">
        <v>3027</v>
      </c>
      <c r="EH28">
        <v>0.24</v>
      </c>
      <c r="EI28" s="48" t="s">
        <v>1888</v>
      </c>
      <c r="EJ28">
        <v>0</v>
      </c>
      <c r="EK28" s="48" t="s">
        <v>1710</v>
      </c>
      <c r="EL28">
        <v>1</v>
      </c>
      <c r="EM28" s="48" t="s">
        <v>1886</v>
      </c>
      <c r="EN28">
        <v>0.24</v>
      </c>
      <c r="EO28" s="48" t="s">
        <v>2722</v>
      </c>
      <c r="EP28" s="48" t="s">
        <v>2677</v>
      </c>
      <c r="EQ28">
        <v>1015.1</v>
      </c>
      <c r="ER28">
        <v>1015.1</v>
      </c>
      <c r="ES28">
        <v>1461803</v>
      </c>
      <c r="ET28">
        <v>992</v>
      </c>
      <c r="EU28" s="48" t="s">
        <v>1710</v>
      </c>
      <c r="EV28" s="48" t="s">
        <v>1710</v>
      </c>
      <c r="EW28" s="48" t="s">
        <v>1712</v>
      </c>
      <c r="EX28" s="48" t="s">
        <v>1710</v>
      </c>
      <c r="EY28" s="48" t="s">
        <v>1848</v>
      </c>
      <c r="EZ28" s="48" t="s">
        <v>1710</v>
      </c>
      <c r="FA28" s="48" t="s">
        <v>1710</v>
      </c>
      <c r="FB28" s="48" t="s">
        <v>1712</v>
      </c>
      <c r="FC28" s="48" t="s">
        <v>1710</v>
      </c>
      <c r="FD28" s="48" t="s">
        <v>1710</v>
      </c>
      <c r="FE28" s="48" t="s">
        <v>1814</v>
      </c>
      <c r="FF28" s="48" t="s">
        <v>1815</v>
      </c>
      <c r="FG28" s="48" t="s">
        <v>1710</v>
      </c>
      <c r="FH28">
        <v>1</v>
      </c>
      <c r="FI28" s="48" t="s">
        <v>1846</v>
      </c>
      <c r="FJ28">
        <v>1015.1</v>
      </c>
      <c r="FK28">
        <v>1015.1</v>
      </c>
      <c r="FL28" s="48" t="s">
        <v>2678</v>
      </c>
      <c r="FM28" s="48" t="s">
        <v>2677</v>
      </c>
      <c r="FN28" s="48" t="s">
        <v>1710</v>
      </c>
      <c r="FO28" s="48" t="s">
        <v>1710</v>
      </c>
      <c r="FP28" s="48" t="s">
        <v>1710</v>
      </c>
      <c r="FQ28" s="48" t="s">
        <v>1710</v>
      </c>
      <c r="FR28" s="48" t="s">
        <v>1710</v>
      </c>
      <c r="FS28" s="48" t="s">
        <v>1710</v>
      </c>
      <c r="FT28" s="48" t="s">
        <v>1710</v>
      </c>
      <c r="FU28" s="48" t="s">
        <v>1710</v>
      </c>
      <c r="FV28" s="48"/>
      <c r="FW28" s="56"/>
      <c r="FX28" s="56"/>
      <c r="FY28" s="56"/>
      <c r="FZ28" s="56"/>
      <c r="GA28" s="55" t="str">
        <f t="shared" si="1"/>
        <v>4388426100312X</v>
      </c>
      <c r="GB28" t="str">
        <f>VLOOKUP(B28,수출코드!$C$2:$D$4,2,FALSE)</f>
        <v>Suwon</v>
      </c>
      <c r="GC28" t="str">
        <f>VLOOKUP(L28,수출코드!$A$2:$B$6,2,FALSE)</f>
        <v/>
      </c>
      <c r="GD28" t="str">
        <f>VLOOKUP(M28,수출코드!$E$2:$F$5,2,FALSE)</f>
        <v>일반</v>
      </c>
      <c r="GE28" s="61">
        <f t="shared" si="2"/>
        <v>45971.626388888886</v>
      </c>
      <c r="GF28" s="62">
        <f t="shared" si="0"/>
        <v>46049.393055555556</v>
      </c>
      <c r="GI28" s="48" t="s">
        <v>2738</v>
      </c>
    </row>
    <row r="29" spans="1:191">
      <c r="A29" s="48" t="s">
        <v>3031</v>
      </c>
      <c r="B29" s="48" t="s">
        <v>1821</v>
      </c>
      <c r="C29" s="48" t="s">
        <v>2048</v>
      </c>
      <c r="D29" s="48" t="s">
        <v>2813</v>
      </c>
      <c r="E29" s="48" t="s">
        <v>3031</v>
      </c>
      <c r="F29" s="48" t="s">
        <v>1710</v>
      </c>
      <c r="G29" s="48" t="s">
        <v>2814</v>
      </c>
      <c r="H29" s="48" t="s">
        <v>3032</v>
      </c>
      <c r="I29" s="48" t="s">
        <v>1884</v>
      </c>
      <c r="J29" s="48" t="s">
        <v>2850</v>
      </c>
      <c r="K29" s="48" t="s">
        <v>1877</v>
      </c>
      <c r="L29" s="48" t="s">
        <v>1842</v>
      </c>
      <c r="M29" s="48" t="s">
        <v>1810</v>
      </c>
      <c r="N29" s="48" t="s">
        <v>1842</v>
      </c>
      <c r="O29" s="48" t="s">
        <v>1811</v>
      </c>
      <c r="P29" s="48" t="s">
        <v>2549</v>
      </c>
      <c r="Q29" s="48" t="s">
        <v>2049</v>
      </c>
      <c r="R29" s="48" t="s">
        <v>1838</v>
      </c>
      <c r="S29" s="48" t="s">
        <v>2050</v>
      </c>
      <c r="T29" s="48" t="s">
        <v>1845</v>
      </c>
      <c r="U29" s="48" t="s">
        <v>2049</v>
      </c>
      <c r="V29" s="48" t="s">
        <v>1838</v>
      </c>
      <c r="W29" s="48" t="s">
        <v>2051</v>
      </c>
      <c r="X29" s="48" t="s">
        <v>2052</v>
      </c>
      <c r="Y29" s="48" t="s">
        <v>2050</v>
      </c>
      <c r="Z29" s="48" t="s">
        <v>2053</v>
      </c>
      <c r="AA29" s="48" t="s">
        <v>2054</v>
      </c>
      <c r="AB29" s="48" t="s">
        <v>2817</v>
      </c>
      <c r="AC29" s="48" t="s">
        <v>2055</v>
      </c>
      <c r="AD29" s="48" t="s">
        <v>2056</v>
      </c>
      <c r="AE29" s="48" t="s">
        <v>1710</v>
      </c>
      <c r="AF29" s="48" t="s">
        <v>1710</v>
      </c>
      <c r="AG29" s="48" t="s">
        <v>2057</v>
      </c>
      <c r="AH29" s="48" t="s">
        <v>1815</v>
      </c>
      <c r="AI29" s="48" t="s">
        <v>2058</v>
      </c>
      <c r="AJ29" s="48" t="s">
        <v>1710</v>
      </c>
      <c r="AK29" s="48" t="s">
        <v>2077</v>
      </c>
      <c r="AL29" s="48" t="s">
        <v>1858</v>
      </c>
      <c r="AM29" s="48" t="s">
        <v>1816</v>
      </c>
      <c r="AN29" s="48" t="s">
        <v>2054</v>
      </c>
      <c r="AO29" s="48" t="s">
        <v>1710</v>
      </c>
      <c r="AP29" s="48" t="s">
        <v>1848</v>
      </c>
      <c r="AQ29" s="48" t="s">
        <v>2060</v>
      </c>
      <c r="AR29" s="48" t="s">
        <v>1812</v>
      </c>
      <c r="AS29" s="48" t="s">
        <v>1813</v>
      </c>
      <c r="AT29" s="48" t="s">
        <v>1826</v>
      </c>
      <c r="AU29" s="48" t="s">
        <v>2061</v>
      </c>
      <c r="AV29" s="48" t="s">
        <v>2850</v>
      </c>
      <c r="AW29" s="48" t="s">
        <v>2062</v>
      </c>
      <c r="AX29" s="48" t="s">
        <v>2063</v>
      </c>
      <c r="AY29" s="48" t="s">
        <v>1710</v>
      </c>
      <c r="AZ29" s="48" t="s">
        <v>3033</v>
      </c>
      <c r="BA29" s="48" t="s">
        <v>1710</v>
      </c>
      <c r="BB29" s="48" t="s">
        <v>1709</v>
      </c>
      <c r="BC29" s="48" t="s">
        <v>1710</v>
      </c>
      <c r="BD29" s="48" t="s">
        <v>2082</v>
      </c>
      <c r="BE29" s="52" t="s">
        <v>3013</v>
      </c>
      <c r="BF29" s="48" t="s">
        <v>1710</v>
      </c>
      <c r="BG29" s="48" t="s">
        <v>1814</v>
      </c>
      <c r="BH29">
        <v>1</v>
      </c>
      <c r="BI29" s="48" t="s">
        <v>1888</v>
      </c>
      <c r="BJ29">
        <v>1</v>
      </c>
      <c r="BK29">
        <v>1473.06</v>
      </c>
      <c r="BL29">
        <v>1461803</v>
      </c>
      <c r="BM29">
        <v>992</v>
      </c>
      <c r="BN29" s="48" t="s">
        <v>2064</v>
      </c>
      <c r="BO29" s="48" t="s">
        <v>2065</v>
      </c>
      <c r="BP29">
        <v>1473.06</v>
      </c>
      <c r="BQ29">
        <v>1015.1</v>
      </c>
      <c r="BR29" s="48" t="s">
        <v>1885</v>
      </c>
      <c r="BS29" s="48" t="s">
        <v>2066</v>
      </c>
      <c r="BT29">
        <v>1</v>
      </c>
      <c r="BU29">
        <v>33500</v>
      </c>
      <c r="BV29">
        <v>33500</v>
      </c>
      <c r="BW29" s="48" t="s">
        <v>2065</v>
      </c>
      <c r="BX29">
        <v>1473.06</v>
      </c>
      <c r="BY29">
        <v>0</v>
      </c>
      <c r="BZ29">
        <v>0</v>
      </c>
      <c r="CA29" s="48" t="s">
        <v>2065</v>
      </c>
      <c r="CB29">
        <v>1473.06</v>
      </c>
      <c r="CC29">
        <v>0</v>
      </c>
      <c r="CD29">
        <v>0</v>
      </c>
      <c r="CE29" s="48" t="s">
        <v>1710</v>
      </c>
      <c r="CF29" s="48" t="s">
        <v>1710</v>
      </c>
      <c r="CG29" s="48" t="s">
        <v>1710</v>
      </c>
      <c r="CH29" s="48" t="s">
        <v>1710</v>
      </c>
      <c r="CI29" s="48" t="s">
        <v>2067</v>
      </c>
      <c r="CJ29" s="48" t="s">
        <v>1710</v>
      </c>
      <c r="CL29" s="48" t="s">
        <v>2850</v>
      </c>
      <c r="CM29" s="48" t="s">
        <v>1710</v>
      </c>
      <c r="CN29" s="48" t="s">
        <v>2068</v>
      </c>
      <c r="CO29" s="48" t="s">
        <v>2069</v>
      </c>
      <c r="CP29" s="48" t="s">
        <v>1710</v>
      </c>
      <c r="CQ29" s="48" t="s">
        <v>1710</v>
      </c>
      <c r="CR29" s="48" t="s">
        <v>1710</v>
      </c>
      <c r="CS29" s="48" t="s">
        <v>1710</v>
      </c>
      <c r="CT29" s="48" t="s">
        <v>1710</v>
      </c>
      <c r="CU29" s="48" t="s">
        <v>1712</v>
      </c>
      <c r="CV29" s="48" t="s">
        <v>1710</v>
      </c>
      <c r="CW29" s="48" t="s">
        <v>1710</v>
      </c>
      <c r="CX29" s="48" t="s">
        <v>3014</v>
      </c>
      <c r="CY29" s="48" t="s">
        <v>1710</v>
      </c>
      <c r="CZ29" s="48" t="s">
        <v>1712</v>
      </c>
      <c r="DA29" s="48" t="s">
        <v>1710</v>
      </c>
      <c r="DB29" s="48" t="s">
        <v>1878</v>
      </c>
      <c r="DC29" s="48" t="s">
        <v>2070</v>
      </c>
      <c r="DD29" s="48" t="s">
        <v>1842</v>
      </c>
      <c r="DE29" s="48" t="s">
        <v>1886</v>
      </c>
      <c r="DF29" s="48" t="s">
        <v>3034</v>
      </c>
      <c r="DG29" s="48" t="s">
        <v>2071</v>
      </c>
      <c r="DH29" s="48" t="s">
        <v>1712</v>
      </c>
      <c r="DI29" s="48" t="s">
        <v>1710</v>
      </c>
      <c r="DJ29" s="48" t="s">
        <v>1710</v>
      </c>
      <c r="DK29" s="48" t="s">
        <v>1710</v>
      </c>
      <c r="DL29" s="48" t="s">
        <v>1710</v>
      </c>
      <c r="DM29" s="48" t="s">
        <v>1710</v>
      </c>
      <c r="DN29" s="48" t="s">
        <v>1710</v>
      </c>
      <c r="DO29" s="48" t="s">
        <v>1710</v>
      </c>
      <c r="DP29" s="48" t="s">
        <v>1710</v>
      </c>
      <c r="DQ29" s="48" t="s">
        <v>1710</v>
      </c>
      <c r="DR29" s="48" t="s">
        <v>2072</v>
      </c>
      <c r="DS29" s="48" t="s">
        <v>1710</v>
      </c>
      <c r="DT29" s="48" t="s">
        <v>1710</v>
      </c>
      <c r="DU29" s="48" t="s">
        <v>2841</v>
      </c>
      <c r="DV29" s="48" t="s">
        <v>2850</v>
      </c>
      <c r="DW29" s="48" t="s">
        <v>1710</v>
      </c>
      <c r="DX29" s="48" t="s">
        <v>3035</v>
      </c>
      <c r="DY29" s="48" t="s">
        <v>1709</v>
      </c>
      <c r="DZ29" s="48" t="s">
        <v>2562</v>
      </c>
      <c r="EA29" s="48" t="s">
        <v>2546</v>
      </c>
      <c r="EB29">
        <v>0</v>
      </c>
      <c r="EC29" s="48" t="s">
        <v>2841</v>
      </c>
      <c r="ED29" s="48" t="s">
        <v>3030</v>
      </c>
      <c r="EE29" s="48" t="s">
        <v>1814</v>
      </c>
      <c r="EF29" s="48" t="s">
        <v>1876</v>
      </c>
      <c r="EG29" s="48" t="s">
        <v>3033</v>
      </c>
      <c r="EH29">
        <v>0.24</v>
      </c>
      <c r="EI29" s="48" t="s">
        <v>1888</v>
      </c>
      <c r="EJ29">
        <v>0</v>
      </c>
      <c r="EK29" s="48" t="s">
        <v>1710</v>
      </c>
      <c r="EL29">
        <v>1</v>
      </c>
      <c r="EM29" s="48" t="s">
        <v>1886</v>
      </c>
      <c r="EN29">
        <v>0.24</v>
      </c>
      <c r="EO29" s="48" t="s">
        <v>2722</v>
      </c>
      <c r="EP29" s="48" t="s">
        <v>2677</v>
      </c>
      <c r="EQ29">
        <v>1015.1</v>
      </c>
      <c r="ER29">
        <v>1015.1</v>
      </c>
      <c r="ES29">
        <v>1461803</v>
      </c>
      <c r="ET29">
        <v>992</v>
      </c>
      <c r="EU29" s="48" t="s">
        <v>1710</v>
      </c>
      <c r="EV29" s="48" t="s">
        <v>1710</v>
      </c>
      <c r="EW29" s="48" t="s">
        <v>1712</v>
      </c>
      <c r="EX29" s="48" t="s">
        <v>1710</v>
      </c>
      <c r="EY29" s="48" t="s">
        <v>1848</v>
      </c>
      <c r="EZ29" s="48" t="s">
        <v>1710</v>
      </c>
      <c r="FA29" s="48" t="s">
        <v>1710</v>
      </c>
      <c r="FB29" s="48" t="s">
        <v>1712</v>
      </c>
      <c r="FC29" s="48" t="s">
        <v>1710</v>
      </c>
      <c r="FD29" s="48" t="s">
        <v>1710</v>
      </c>
      <c r="FE29" s="48" t="s">
        <v>1814</v>
      </c>
      <c r="FF29" s="48" t="s">
        <v>1815</v>
      </c>
      <c r="FG29" s="48" t="s">
        <v>1710</v>
      </c>
      <c r="FH29">
        <v>1</v>
      </c>
      <c r="FI29" s="48" t="s">
        <v>1846</v>
      </c>
      <c r="FJ29">
        <v>1015.1</v>
      </c>
      <c r="FK29">
        <v>1015.1</v>
      </c>
      <c r="FL29" s="48" t="s">
        <v>2678</v>
      </c>
      <c r="FM29" s="48" t="s">
        <v>2677</v>
      </c>
      <c r="FN29" s="48" t="s">
        <v>1710</v>
      </c>
      <c r="FO29" s="48" t="s">
        <v>1710</v>
      </c>
      <c r="FP29" s="48" t="s">
        <v>1710</v>
      </c>
      <c r="FQ29" s="48" t="s">
        <v>1710</v>
      </c>
      <c r="FR29" s="48" t="s">
        <v>1710</v>
      </c>
      <c r="FS29" s="48" t="s">
        <v>1710</v>
      </c>
      <c r="FT29" s="48" t="s">
        <v>1710</v>
      </c>
      <c r="FU29" s="48" t="s">
        <v>1710</v>
      </c>
      <c r="FV29" s="48"/>
      <c r="FW29" s="56"/>
      <c r="FX29" s="56"/>
      <c r="FY29" s="56"/>
      <c r="FZ29" s="56"/>
      <c r="GA29" s="55" t="str">
        <f t="shared" si="1"/>
        <v>4388426100313X</v>
      </c>
      <c r="GB29" t="str">
        <f>VLOOKUP(B29,수출코드!$C$2:$D$4,2,FALSE)</f>
        <v>Suwon</v>
      </c>
      <c r="GC29" t="str">
        <f>VLOOKUP(L29,수출코드!$A$2:$B$6,2,FALSE)</f>
        <v/>
      </c>
      <c r="GD29" t="str">
        <f>VLOOKUP(M29,수출코드!$E$2:$F$5,2,FALSE)</f>
        <v>일반</v>
      </c>
      <c r="GE29" s="61">
        <f t="shared" si="2"/>
        <v>45971.626388888886</v>
      </c>
      <c r="GF29" s="62">
        <f t="shared" si="0"/>
        <v>46049.393055555556</v>
      </c>
      <c r="GI29" s="48" t="s">
        <v>2738</v>
      </c>
    </row>
    <row r="30" spans="1:191">
      <c r="A30" s="48" t="s">
        <v>3036</v>
      </c>
      <c r="B30" s="48" t="s">
        <v>1821</v>
      </c>
      <c r="C30" s="48" t="s">
        <v>2048</v>
      </c>
      <c r="D30" s="48" t="s">
        <v>2813</v>
      </c>
      <c r="E30" s="48" t="s">
        <v>3036</v>
      </c>
      <c r="F30" s="48" t="s">
        <v>1710</v>
      </c>
      <c r="G30" s="48" t="s">
        <v>2814</v>
      </c>
      <c r="H30" s="48" t="s">
        <v>3037</v>
      </c>
      <c r="I30" s="48" t="s">
        <v>1884</v>
      </c>
      <c r="J30" s="48" t="s">
        <v>2850</v>
      </c>
      <c r="K30" s="48" t="s">
        <v>1877</v>
      </c>
      <c r="L30" s="48" t="s">
        <v>1842</v>
      </c>
      <c r="M30" s="48" t="s">
        <v>1810</v>
      </c>
      <c r="N30" s="48" t="s">
        <v>1842</v>
      </c>
      <c r="O30" s="48" t="s">
        <v>1811</v>
      </c>
      <c r="P30" s="48" t="s">
        <v>2549</v>
      </c>
      <c r="Q30" s="48" t="s">
        <v>2049</v>
      </c>
      <c r="R30" s="48" t="s">
        <v>1838</v>
      </c>
      <c r="S30" s="48" t="s">
        <v>2050</v>
      </c>
      <c r="T30" s="48" t="s">
        <v>1845</v>
      </c>
      <c r="U30" s="48" t="s">
        <v>2049</v>
      </c>
      <c r="V30" s="48" t="s">
        <v>1838</v>
      </c>
      <c r="W30" s="48" t="s">
        <v>2051</v>
      </c>
      <c r="X30" s="48" t="s">
        <v>2052</v>
      </c>
      <c r="Y30" s="48" t="s">
        <v>2050</v>
      </c>
      <c r="Z30" s="48" t="s">
        <v>2053</v>
      </c>
      <c r="AA30" s="48" t="s">
        <v>2054</v>
      </c>
      <c r="AB30" s="48" t="s">
        <v>2817</v>
      </c>
      <c r="AC30" s="48" t="s">
        <v>2055</v>
      </c>
      <c r="AD30" s="48" t="s">
        <v>2056</v>
      </c>
      <c r="AE30" s="48" t="s">
        <v>1710</v>
      </c>
      <c r="AF30" s="48" t="s">
        <v>1710</v>
      </c>
      <c r="AG30" s="48" t="s">
        <v>2057</v>
      </c>
      <c r="AH30" s="48" t="s">
        <v>1815</v>
      </c>
      <c r="AI30" s="48" t="s">
        <v>2058</v>
      </c>
      <c r="AJ30" s="48" t="s">
        <v>1710</v>
      </c>
      <c r="AK30" s="48" t="s">
        <v>2077</v>
      </c>
      <c r="AL30" s="48" t="s">
        <v>1858</v>
      </c>
      <c r="AM30" s="48" t="s">
        <v>1816</v>
      </c>
      <c r="AN30" s="48" t="s">
        <v>2054</v>
      </c>
      <c r="AO30" s="48" t="s">
        <v>1710</v>
      </c>
      <c r="AP30" s="48" t="s">
        <v>1848</v>
      </c>
      <c r="AQ30" s="48" t="s">
        <v>2060</v>
      </c>
      <c r="AR30" s="48" t="s">
        <v>1812</v>
      </c>
      <c r="AS30" s="48" t="s">
        <v>1813</v>
      </c>
      <c r="AT30" s="48" t="s">
        <v>1826</v>
      </c>
      <c r="AU30" s="48" t="s">
        <v>2061</v>
      </c>
      <c r="AV30" s="48" t="s">
        <v>2850</v>
      </c>
      <c r="AW30" s="48" t="s">
        <v>2062</v>
      </c>
      <c r="AX30" s="48" t="s">
        <v>2063</v>
      </c>
      <c r="AY30" s="48" t="s">
        <v>1710</v>
      </c>
      <c r="AZ30" s="48" t="s">
        <v>3038</v>
      </c>
      <c r="BA30" s="48" t="s">
        <v>1710</v>
      </c>
      <c r="BB30" s="48" t="s">
        <v>1709</v>
      </c>
      <c r="BC30" s="48" t="s">
        <v>1710</v>
      </c>
      <c r="BD30" s="48" t="s">
        <v>2082</v>
      </c>
      <c r="BE30" s="52" t="s">
        <v>3013</v>
      </c>
      <c r="BF30" s="48" t="s">
        <v>1710</v>
      </c>
      <c r="BG30" s="48" t="s">
        <v>1814</v>
      </c>
      <c r="BH30">
        <v>1</v>
      </c>
      <c r="BI30" s="48" t="s">
        <v>1888</v>
      </c>
      <c r="BJ30">
        <v>1</v>
      </c>
      <c r="BK30">
        <v>1473.06</v>
      </c>
      <c r="BL30">
        <v>1461803</v>
      </c>
      <c r="BM30">
        <v>992</v>
      </c>
      <c r="BN30" s="48" t="s">
        <v>2064</v>
      </c>
      <c r="BO30" s="48" t="s">
        <v>2065</v>
      </c>
      <c r="BP30">
        <v>1473.06</v>
      </c>
      <c r="BQ30">
        <v>1015.1</v>
      </c>
      <c r="BR30" s="48" t="s">
        <v>1885</v>
      </c>
      <c r="BS30" s="48" t="s">
        <v>2066</v>
      </c>
      <c r="BT30">
        <v>1</v>
      </c>
      <c r="BU30">
        <v>33500</v>
      </c>
      <c r="BV30">
        <v>33500</v>
      </c>
      <c r="BW30" s="48" t="s">
        <v>2065</v>
      </c>
      <c r="BX30">
        <v>1473.06</v>
      </c>
      <c r="BY30">
        <v>0</v>
      </c>
      <c r="BZ30">
        <v>0</v>
      </c>
      <c r="CA30" s="48" t="s">
        <v>2065</v>
      </c>
      <c r="CB30">
        <v>1473.06</v>
      </c>
      <c r="CC30">
        <v>0</v>
      </c>
      <c r="CD30">
        <v>0</v>
      </c>
      <c r="CE30" s="48" t="s">
        <v>1710</v>
      </c>
      <c r="CF30" s="48" t="s">
        <v>1710</v>
      </c>
      <c r="CG30" s="48" t="s">
        <v>1710</v>
      </c>
      <c r="CH30" s="48" t="s">
        <v>1710</v>
      </c>
      <c r="CI30" s="48" t="s">
        <v>2067</v>
      </c>
      <c r="CJ30" s="48" t="s">
        <v>1710</v>
      </c>
      <c r="CL30" s="48" t="s">
        <v>2850</v>
      </c>
      <c r="CM30" s="48" t="s">
        <v>1710</v>
      </c>
      <c r="CN30" s="48" t="s">
        <v>2068</v>
      </c>
      <c r="CO30" s="48" t="s">
        <v>2069</v>
      </c>
      <c r="CP30" s="48" t="s">
        <v>1710</v>
      </c>
      <c r="CQ30" s="48" t="s">
        <v>1710</v>
      </c>
      <c r="CR30" s="48" t="s">
        <v>1710</v>
      </c>
      <c r="CS30" s="48" t="s">
        <v>1710</v>
      </c>
      <c r="CT30" s="48" t="s">
        <v>1710</v>
      </c>
      <c r="CU30" s="48" t="s">
        <v>1712</v>
      </c>
      <c r="CV30" s="48" t="s">
        <v>1710</v>
      </c>
      <c r="CW30" s="48" t="s">
        <v>1710</v>
      </c>
      <c r="CX30" s="48" t="s">
        <v>3014</v>
      </c>
      <c r="CY30" s="48" t="s">
        <v>1710</v>
      </c>
      <c r="CZ30" s="48" t="s">
        <v>1712</v>
      </c>
      <c r="DA30" s="48" t="s">
        <v>1710</v>
      </c>
      <c r="DB30" s="48" t="s">
        <v>1878</v>
      </c>
      <c r="DC30" s="48" t="s">
        <v>2070</v>
      </c>
      <c r="DD30" s="48" t="s">
        <v>1842</v>
      </c>
      <c r="DE30" s="48" t="s">
        <v>1886</v>
      </c>
      <c r="DF30" s="48" t="s">
        <v>3039</v>
      </c>
      <c r="DG30" s="48" t="s">
        <v>2071</v>
      </c>
      <c r="DH30" s="48" t="s">
        <v>1712</v>
      </c>
      <c r="DI30" s="48" t="s">
        <v>1710</v>
      </c>
      <c r="DJ30" s="48" t="s">
        <v>1710</v>
      </c>
      <c r="DK30" s="48" t="s">
        <v>1710</v>
      </c>
      <c r="DL30" s="48" t="s">
        <v>1710</v>
      </c>
      <c r="DM30" s="48" t="s">
        <v>1710</v>
      </c>
      <c r="DN30" s="48" t="s">
        <v>1710</v>
      </c>
      <c r="DO30" s="48" t="s">
        <v>1710</v>
      </c>
      <c r="DP30" s="48" t="s">
        <v>1710</v>
      </c>
      <c r="DQ30" s="48" t="s">
        <v>1710</v>
      </c>
      <c r="DR30" s="48" t="s">
        <v>2072</v>
      </c>
      <c r="DS30" s="48" t="s">
        <v>1710</v>
      </c>
      <c r="DT30" s="48" t="s">
        <v>1710</v>
      </c>
      <c r="DU30" s="48" t="s">
        <v>2841</v>
      </c>
      <c r="DV30" s="48" t="s">
        <v>2850</v>
      </c>
      <c r="DW30" s="48" t="s">
        <v>1710</v>
      </c>
      <c r="DX30" s="48" t="s">
        <v>3040</v>
      </c>
      <c r="DY30" s="48" t="s">
        <v>1709</v>
      </c>
      <c r="DZ30" s="48" t="s">
        <v>2562</v>
      </c>
      <c r="EA30" s="48" t="s">
        <v>2546</v>
      </c>
      <c r="EB30">
        <v>0</v>
      </c>
      <c r="EC30" s="48" t="s">
        <v>2841</v>
      </c>
      <c r="ED30" s="48" t="s">
        <v>3030</v>
      </c>
      <c r="EE30" s="48" t="s">
        <v>1814</v>
      </c>
      <c r="EF30" s="48" t="s">
        <v>1876</v>
      </c>
      <c r="EG30" s="48" t="s">
        <v>3038</v>
      </c>
      <c r="EH30">
        <v>0.24</v>
      </c>
      <c r="EI30" s="48" t="s">
        <v>1888</v>
      </c>
      <c r="EJ30">
        <v>0</v>
      </c>
      <c r="EK30" s="48" t="s">
        <v>1710</v>
      </c>
      <c r="EL30">
        <v>1</v>
      </c>
      <c r="EM30" s="48" t="s">
        <v>1886</v>
      </c>
      <c r="EN30">
        <v>0.24</v>
      </c>
      <c r="EO30" s="48" t="s">
        <v>2722</v>
      </c>
      <c r="EP30" s="48" t="s">
        <v>2677</v>
      </c>
      <c r="EQ30">
        <v>1015.1</v>
      </c>
      <c r="ER30">
        <v>1015.1</v>
      </c>
      <c r="ES30">
        <v>1461803</v>
      </c>
      <c r="ET30">
        <v>992</v>
      </c>
      <c r="EU30" s="48" t="s">
        <v>1710</v>
      </c>
      <c r="EV30" s="48" t="s">
        <v>1710</v>
      </c>
      <c r="EW30" s="48" t="s">
        <v>1712</v>
      </c>
      <c r="EX30" s="48" t="s">
        <v>1710</v>
      </c>
      <c r="EY30" s="48" t="s">
        <v>1848</v>
      </c>
      <c r="EZ30" s="48" t="s">
        <v>1710</v>
      </c>
      <c r="FA30" s="48" t="s">
        <v>1710</v>
      </c>
      <c r="FB30" s="48" t="s">
        <v>1712</v>
      </c>
      <c r="FC30" s="48" t="s">
        <v>1710</v>
      </c>
      <c r="FD30" s="48" t="s">
        <v>1710</v>
      </c>
      <c r="FE30" s="48" t="s">
        <v>1814</v>
      </c>
      <c r="FF30" s="48" t="s">
        <v>1815</v>
      </c>
      <c r="FG30" s="48" t="s">
        <v>1710</v>
      </c>
      <c r="FH30">
        <v>1</v>
      </c>
      <c r="FI30" s="48" t="s">
        <v>1846</v>
      </c>
      <c r="FJ30">
        <v>1015.1</v>
      </c>
      <c r="FK30">
        <v>1015.1</v>
      </c>
      <c r="FL30" s="48" t="s">
        <v>2678</v>
      </c>
      <c r="FM30" s="48" t="s">
        <v>2677</v>
      </c>
      <c r="FN30" s="48" t="s">
        <v>1710</v>
      </c>
      <c r="FO30" s="48" t="s">
        <v>1710</v>
      </c>
      <c r="FP30" s="48" t="s">
        <v>1710</v>
      </c>
      <c r="FQ30" s="48" t="s">
        <v>1710</v>
      </c>
      <c r="FR30" s="48" t="s">
        <v>1710</v>
      </c>
      <c r="FS30" s="48" t="s">
        <v>1710</v>
      </c>
      <c r="FT30" s="48" t="s">
        <v>1710</v>
      </c>
      <c r="FU30" s="48" t="s">
        <v>1710</v>
      </c>
      <c r="FV30" s="48"/>
      <c r="FW30" s="56"/>
      <c r="FX30" s="56"/>
      <c r="FY30" s="56"/>
      <c r="FZ30" s="56"/>
      <c r="GA30" s="55" t="str">
        <f t="shared" si="1"/>
        <v>4388426100314X</v>
      </c>
      <c r="GB30" t="str">
        <f>VLOOKUP(B30,수출코드!$C$2:$D$4,2,FALSE)</f>
        <v>Suwon</v>
      </c>
      <c r="GC30" t="str">
        <f>VLOOKUP(L30,수출코드!$A$2:$B$6,2,FALSE)</f>
        <v/>
      </c>
      <c r="GD30" t="str">
        <f>VLOOKUP(M30,수출코드!$E$2:$F$5,2,FALSE)</f>
        <v>일반</v>
      </c>
      <c r="GE30" s="61">
        <f t="shared" si="2"/>
        <v>45971.625694444447</v>
      </c>
      <c r="GF30" s="62">
        <f t="shared" si="0"/>
        <v>46049.393055555556</v>
      </c>
      <c r="GI30" s="48" t="s">
        <v>2739</v>
      </c>
    </row>
    <row r="31" spans="1:191">
      <c r="A31" s="48" t="s">
        <v>3041</v>
      </c>
      <c r="B31" s="48" t="s">
        <v>1821</v>
      </c>
      <c r="C31" s="48" t="s">
        <v>2048</v>
      </c>
      <c r="D31" s="48" t="s">
        <v>2813</v>
      </c>
      <c r="E31" s="48" t="s">
        <v>3041</v>
      </c>
      <c r="F31" s="48" t="s">
        <v>1710</v>
      </c>
      <c r="G31" s="48" t="s">
        <v>2814</v>
      </c>
      <c r="H31" s="48" t="s">
        <v>3042</v>
      </c>
      <c r="I31" s="48" t="s">
        <v>1884</v>
      </c>
      <c r="J31" s="48" t="s">
        <v>2850</v>
      </c>
      <c r="K31" s="48" t="s">
        <v>1877</v>
      </c>
      <c r="L31" s="48" t="s">
        <v>1842</v>
      </c>
      <c r="M31" s="48" t="s">
        <v>1810</v>
      </c>
      <c r="N31" s="48" t="s">
        <v>1842</v>
      </c>
      <c r="O31" s="48" t="s">
        <v>1811</v>
      </c>
      <c r="P31" s="48" t="s">
        <v>2549</v>
      </c>
      <c r="Q31" s="48" t="s">
        <v>2049</v>
      </c>
      <c r="R31" s="48" t="s">
        <v>1838</v>
      </c>
      <c r="S31" s="48" t="s">
        <v>2050</v>
      </c>
      <c r="T31" s="48" t="s">
        <v>1845</v>
      </c>
      <c r="U31" s="48" t="s">
        <v>2049</v>
      </c>
      <c r="V31" s="48" t="s">
        <v>1838</v>
      </c>
      <c r="W31" s="48" t="s">
        <v>2051</v>
      </c>
      <c r="X31" s="48" t="s">
        <v>2052</v>
      </c>
      <c r="Y31" s="48" t="s">
        <v>2050</v>
      </c>
      <c r="Z31" s="48" t="s">
        <v>2053</v>
      </c>
      <c r="AA31" s="48" t="s">
        <v>2054</v>
      </c>
      <c r="AB31" s="48" t="s">
        <v>2817</v>
      </c>
      <c r="AC31" s="48" t="s">
        <v>2055</v>
      </c>
      <c r="AD31" s="48" t="s">
        <v>2056</v>
      </c>
      <c r="AE31" s="48" t="s">
        <v>1710</v>
      </c>
      <c r="AF31" s="48" t="s">
        <v>1710</v>
      </c>
      <c r="AG31" s="48" t="s">
        <v>2057</v>
      </c>
      <c r="AH31" s="48" t="s">
        <v>1815</v>
      </c>
      <c r="AI31" s="48" t="s">
        <v>2058</v>
      </c>
      <c r="AJ31" s="48" t="s">
        <v>1710</v>
      </c>
      <c r="AK31" s="48" t="s">
        <v>2077</v>
      </c>
      <c r="AL31" s="48" t="s">
        <v>1858</v>
      </c>
      <c r="AM31" s="48" t="s">
        <v>1816</v>
      </c>
      <c r="AN31" s="48" t="s">
        <v>2054</v>
      </c>
      <c r="AO31" s="48" t="s">
        <v>1710</v>
      </c>
      <c r="AP31" s="48" t="s">
        <v>1848</v>
      </c>
      <c r="AQ31" s="48" t="s">
        <v>2060</v>
      </c>
      <c r="AR31" s="48" t="s">
        <v>1812</v>
      </c>
      <c r="AS31" s="48" t="s">
        <v>1813</v>
      </c>
      <c r="AT31" s="48" t="s">
        <v>1826</v>
      </c>
      <c r="AU31" s="48" t="s">
        <v>2061</v>
      </c>
      <c r="AV31" s="48" t="s">
        <v>2850</v>
      </c>
      <c r="AW31" s="48" t="s">
        <v>2062</v>
      </c>
      <c r="AX31" s="48" t="s">
        <v>2063</v>
      </c>
      <c r="AY31" s="48" t="s">
        <v>1710</v>
      </c>
      <c r="AZ31" s="48" t="s">
        <v>3043</v>
      </c>
      <c r="BA31" s="48" t="s">
        <v>1710</v>
      </c>
      <c r="BB31" s="48" t="s">
        <v>1709</v>
      </c>
      <c r="BC31" s="48" t="s">
        <v>1710</v>
      </c>
      <c r="BD31" s="48" t="s">
        <v>2082</v>
      </c>
      <c r="BE31" s="52" t="s">
        <v>3013</v>
      </c>
      <c r="BF31" s="48" t="s">
        <v>1710</v>
      </c>
      <c r="BG31" s="48" t="s">
        <v>1814</v>
      </c>
      <c r="BH31">
        <v>12</v>
      </c>
      <c r="BI31" s="48" t="s">
        <v>1888</v>
      </c>
      <c r="BJ31">
        <v>1</v>
      </c>
      <c r="BK31">
        <v>1473.06</v>
      </c>
      <c r="BL31">
        <v>2341810</v>
      </c>
      <c r="BM31">
        <v>1590</v>
      </c>
      <c r="BN31" s="48" t="s">
        <v>2064</v>
      </c>
      <c r="BO31" s="48" t="s">
        <v>2065</v>
      </c>
      <c r="BP31">
        <v>1473.06</v>
      </c>
      <c r="BQ31">
        <v>1714.33</v>
      </c>
      <c r="BR31" s="48" t="s">
        <v>1885</v>
      </c>
      <c r="BS31" s="48" t="s">
        <v>2066</v>
      </c>
      <c r="BT31">
        <v>1</v>
      </c>
      <c r="BU31">
        <v>183500</v>
      </c>
      <c r="BV31">
        <v>183500</v>
      </c>
      <c r="BW31" s="48" t="s">
        <v>2065</v>
      </c>
      <c r="BX31">
        <v>1473.06</v>
      </c>
      <c r="BY31">
        <v>0</v>
      </c>
      <c r="BZ31">
        <v>0</v>
      </c>
      <c r="CA31" s="48" t="s">
        <v>2065</v>
      </c>
      <c r="CB31">
        <v>1473.06</v>
      </c>
      <c r="CC31">
        <v>0</v>
      </c>
      <c r="CD31">
        <v>0</v>
      </c>
      <c r="CE31" s="48" t="s">
        <v>1710</v>
      </c>
      <c r="CF31" s="48" t="s">
        <v>1710</v>
      </c>
      <c r="CG31" s="48" t="s">
        <v>1710</v>
      </c>
      <c r="CH31" s="48" t="s">
        <v>1710</v>
      </c>
      <c r="CI31" s="48" t="s">
        <v>2067</v>
      </c>
      <c r="CJ31" s="48" t="s">
        <v>1710</v>
      </c>
      <c r="CL31" s="48" t="s">
        <v>2850</v>
      </c>
      <c r="CM31" s="48" t="s">
        <v>1710</v>
      </c>
      <c r="CN31" s="48" t="s">
        <v>2068</v>
      </c>
      <c r="CO31" s="48" t="s">
        <v>2069</v>
      </c>
      <c r="CP31" s="48" t="s">
        <v>1710</v>
      </c>
      <c r="CQ31" s="48" t="s">
        <v>1710</v>
      </c>
      <c r="CR31" s="48" t="s">
        <v>1710</v>
      </c>
      <c r="CS31" s="48" t="s">
        <v>1710</v>
      </c>
      <c r="CT31" s="48" t="s">
        <v>1710</v>
      </c>
      <c r="CU31" s="48" t="s">
        <v>1712</v>
      </c>
      <c r="CV31" s="48" t="s">
        <v>1710</v>
      </c>
      <c r="CW31" s="48" t="s">
        <v>1710</v>
      </c>
      <c r="CX31" s="48" t="s">
        <v>3014</v>
      </c>
      <c r="CY31" s="48" t="s">
        <v>1710</v>
      </c>
      <c r="CZ31" s="48" t="s">
        <v>1712</v>
      </c>
      <c r="DA31" s="48" t="s">
        <v>1710</v>
      </c>
      <c r="DB31" s="48" t="s">
        <v>1878</v>
      </c>
      <c r="DC31" s="48" t="s">
        <v>2070</v>
      </c>
      <c r="DD31" s="48" t="s">
        <v>1842</v>
      </c>
      <c r="DE31" s="48" t="s">
        <v>1886</v>
      </c>
      <c r="DF31" s="48" t="s">
        <v>3044</v>
      </c>
      <c r="DG31" s="48" t="s">
        <v>2071</v>
      </c>
      <c r="DH31" s="48" t="s">
        <v>1712</v>
      </c>
      <c r="DI31" s="48" t="s">
        <v>1710</v>
      </c>
      <c r="DJ31" s="48" t="s">
        <v>1710</v>
      </c>
      <c r="DK31" s="48" t="s">
        <v>1710</v>
      </c>
      <c r="DL31" s="48" t="s">
        <v>1710</v>
      </c>
      <c r="DM31" s="48" t="s">
        <v>1710</v>
      </c>
      <c r="DN31" s="48" t="s">
        <v>1710</v>
      </c>
      <c r="DO31" s="48" t="s">
        <v>1710</v>
      </c>
      <c r="DP31" s="48" t="s">
        <v>1710</v>
      </c>
      <c r="DQ31" s="48" t="s">
        <v>1710</v>
      </c>
      <c r="DR31" s="48" t="s">
        <v>2072</v>
      </c>
      <c r="DS31" s="48" t="s">
        <v>1710</v>
      </c>
      <c r="DT31" s="48" t="s">
        <v>1710</v>
      </c>
      <c r="DU31" s="48" t="s">
        <v>2841</v>
      </c>
      <c r="DV31" s="48" t="s">
        <v>2850</v>
      </c>
      <c r="DW31" s="48" t="s">
        <v>1710</v>
      </c>
      <c r="DX31" s="48" t="s">
        <v>3045</v>
      </c>
      <c r="DY31" s="48" t="s">
        <v>1709</v>
      </c>
      <c r="DZ31" s="48" t="s">
        <v>2562</v>
      </c>
      <c r="EA31" s="48" t="s">
        <v>2546</v>
      </c>
      <c r="EB31">
        <v>0</v>
      </c>
      <c r="EC31" s="48" t="s">
        <v>2841</v>
      </c>
      <c r="ED31" s="48" t="s">
        <v>3046</v>
      </c>
      <c r="EE31" s="48" t="s">
        <v>1814</v>
      </c>
      <c r="EF31" s="48" t="s">
        <v>2666</v>
      </c>
      <c r="EG31" s="48" t="s">
        <v>3043</v>
      </c>
      <c r="EH31">
        <v>12</v>
      </c>
      <c r="EI31" s="48" t="s">
        <v>1888</v>
      </c>
      <c r="EJ31">
        <v>1</v>
      </c>
      <c r="EK31" s="48" t="s">
        <v>1887</v>
      </c>
      <c r="EL31">
        <v>1</v>
      </c>
      <c r="EM31" s="48" t="s">
        <v>1886</v>
      </c>
      <c r="EN31">
        <v>12</v>
      </c>
      <c r="EO31" s="48" t="s">
        <v>2667</v>
      </c>
      <c r="EP31" s="48" t="s">
        <v>3047</v>
      </c>
      <c r="EQ31">
        <v>1714.33</v>
      </c>
      <c r="ER31">
        <v>1714.33</v>
      </c>
      <c r="ES31">
        <v>2341810</v>
      </c>
      <c r="ET31">
        <v>1590</v>
      </c>
      <c r="EU31" s="48" t="s">
        <v>1710</v>
      </c>
      <c r="EV31" s="48" t="s">
        <v>1710</v>
      </c>
      <c r="EW31" s="48" t="s">
        <v>1712</v>
      </c>
      <c r="EX31" s="48" t="s">
        <v>1710</v>
      </c>
      <c r="EY31" s="48" t="s">
        <v>1843</v>
      </c>
      <c r="EZ31" s="48" t="s">
        <v>1710</v>
      </c>
      <c r="FA31" s="48" t="s">
        <v>1710</v>
      </c>
      <c r="FB31" s="48" t="s">
        <v>1712</v>
      </c>
      <c r="FC31" s="48" t="s">
        <v>1710</v>
      </c>
      <c r="FD31" s="48" t="s">
        <v>1710</v>
      </c>
      <c r="FE31" s="48" t="s">
        <v>1814</v>
      </c>
      <c r="FF31" s="48" t="s">
        <v>1815</v>
      </c>
      <c r="FG31" s="48" t="s">
        <v>1710</v>
      </c>
      <c r="FH31">
        <v>1</v>
      </c>
      <c r="FI31" s="48" t="s">
        <v>1846</v>
      </c>
      <c r="FJ31">
        <v>1714.33</v>
      </c>
      <c r="FK31">
        <v>1714.33</v>
      </c>
      <c r="FL31" s="48" t="s">
        <v>3048</v>
      </c>
      <c r="FM31" s="48" t="s">
        <v>3049</v>
      </c>
      <c r="FN31" s="48" t="s">
        <v>1710</v>
      </c>
      <c r="FO31" s="48" t="s">
        <v>1710</v>
      </c>
      <c r="FP31" s="48" t="s">
        <v>1710</v>
      </c>
      <c r="FQ31" s="48" t="s">
        <v>1710</v>
      </c>
      <c r="FR31" s="48" t="s">
        <v>1710</v>
      </c>
      <c r="FS31" s="48" t="s">
        <v>1710</v>
      </c>
      <c r="FT31" s="48" t="s">
        <v>1710</v>
      </c>
      <c r="FU31" s="48" t="s">
        <v>1710</v>
      </c>
      <c r="FV31" s="48"/>
      <c r="FW31" s="56"/>
      <c r="FX31" s="56"/>
      <c r="FY31" s="56"/>
      <c r="FZ31" s="56"/>
      <c r="GA31" s="55" t="str">
        <f t="shared" si="1"/>
        <v>4388426100315X</v>
      </c>
      <c r="GB31" t="str">
        <f>VLOOKUP(B31,수출코드!$C$2:$D$4,2,FALSE)</f>
        <v>Suwon</v>
      </c>
      <c r="GC31" t="str">
        <f>VLOOKUP(L31,수출코드!$A$2:$B$6,2,FALSE)</f>
        <v/>
      </c>
      <c r="GD31" t="str">
        <f>VLOOKUP(M31,수출코드!$E$2:$F$5,2,FALSE)</f>
        <v>일반</v>
      </c>
      <c r="GE31" s="61">
        <f t="shared" si="2"/>
        <v>45971.625694444447</v>
      </c>
      <c r="GF31" s="62">
        <f t="shared" si="0"/>
        <v>46049.397916666669</v>
      </c>
      <c r="GI31" s="48" t="s">
        <v>2739</v>
      </c>
    </row>
    <row r="32" spans="1:191">
      <c r="A32" s="48" t="s">
        <v>3050</v>
      </c>
      <c r="B32" s="48" t="s">
        <v>1821</v>
      </c>
      <c r="C32" s="48" t="s">
        <v>2048</v>
      </c>
      <c r="D32" s="48" t="s">
        <v>2813</v>
      </c>
      <c r="E32" s="48" t="s">
        <v>3050</v>
      </c>
      <c r="F32" s="48" t="s">
        <v>1710</v>
      </c>
      <c r="G32" s="48" t="s">
        <v>2814</v>
      </c>
      <c r="H32" s="48" t="s">
        <v>3051</v>
      </c>
      <c r="I32" s="48" t="s">
        <v>1884</v>
      </c>
      <c r="J32" s="48" t="s">
        <v>2850</v>
      </c>
      <c r="K32" s="48" t="s">
        <v>1877</v>
      </c>
      <c r="L32" s="48" t="s">
        <v>1842</v>
      </c>
      <c r="M32" s="48" t="s">
        <v>1810</v>
      </c>
      <c r="N32" s="48" t="s">
        <v>1842</v>
      </c>
      <c r="O32" s="48" t="s">
        <v>1811</v>
      </c>
      <c r="P32" s="48" t="s">
        <v>2549</v>
      </c>
      <c r="Q32" s="48" t="s">
        <v>2049</v>
      </c>
      <c r="R32" s="48" t="s">
        <v>1838</v>
      </c>
      <c r="S32" s="48" t="s">
        <v>2050</v>
      </c>
      <c r="T32" s="48" t="s">
        <v>1845</v>
      </c>
      <c r="U32" s="48" t="s">
        <v>2049</v>
      </c>
      <c r="V32" s="48" t="s">
        <v>1838</v>
      </c>
      <c r="W32" s="48" t="s">
        <v>2051</v>
      </c>
      <c r="X32" s="48" t="s">
        <v>2052</v>
      </c>
      <c r="Y32" s="48" t="s">
        <v>2050</v>
      </c>
      <c r="Z32" s="48" t="s">
        <v>2053</v>
      </c>
      <c r="AA32" s="48" t="s">
        <v>2054</v>
      </c>
      <c r="AB32" s="48" t="s">
        <v>2817</v>
      </c>
      <c r="AC32" s="48" t="s">
        <v>2055</v>
      </c>
      <c r="AD32" s="48" t="s">
        <v>2056</v>
      </c>
      <c r="AE32" s="48" t="s">
        <v>1710</v>
      </c>
      <c r="AF32" s="48" t="s">
        <v>1710</v>
      </c>
      <c r="AG32" s="48" t="s">
        <v>2057</v>
      </c>
      <c r="AH32" s="48" t="s">
        <v>1815</v>
      </c>
      <c r="AI32" s="48" t="s">
        <v>2058</v>
      </c>
      <c r="AJ32" s="48" t="s">
        <v>1710</v>
      </c>
      <c r="AK32" s="48" t="s">
        <v>2077</v>
      </c>
      <c r="AL32" s="48" t="s">
        <v>1858</v>
      </c>
      <c r="AM32" s="48" t="s">
        <v>1816</v>
      </c>
      <c r="AN32" s="48" t="s">
        <v>2054</v>
      </c>
      <c r="AO32" s="48" t="s">
        <v>1710</v>
      </c>
      <c r="AP32" s="48" t="s">
        <v>1848</v>
      </c>
      <c r="AQ32" s="48" t="s">
        <v>2060</v>
      </c>
      <c r="AR32" s="48" t="s">
        <v>1812</v>
      </c>
      <c r="AS32" s="48" t="s">
        <v>1813</v>
      </c>
      <c r="AT32" s="48" t="s">
        <v>1826</v>
      </c>
      <c r="AU32" s="48" t="s">
        <v>2061</v>
      </c>
      <c r="AV32" s="48" t="s">
        <v>2850</v>
      </c>
      <c r="AW32" s="48" t="s">
        <v>2062</v>
      </c>
      <c r="AX32" s="48" t="s">
        <v>2063</v>
      </c>
      <c r="AY32" s="48" t="s">
        <v>1710</v>
      </c>
      <c r="AZ32" s="48" t="s">
        <v>3052</v>
      </c>
      <c r="BA32" s="48" t="s">
        <v>1710</v>
      </c>
      <c r="BB32" s="48" t="s">
        <v>1709</v>
      </c>
      <c r="BC32" s="48" t="s">
        <v>1710</v>
      </c>
      <c r="BD32" s="48" t="s">
        <v>2082</v>
      </c>
      <c r="BE32" s="52" t="s">
        <v>3013</v>
      </c>
      <c r="BF32" s="48" t="s">
        <v>1710</v>
      </c>
      <c r="BG32" s="48" t="s">
        <v>1814</v>
      </c>
      <c r="BH32">
        <v>19</v>
      </c>
      <c r="BI32" s="48" t="s">
        <v>1888</v>
      </c>
      <c r="BJ32">
        <v>1</v>
      </c>
      <c r="BK32">
        <v>1473.06</v>
      </c>
      <c r="BL32">
        <v>15740644</v>
      </c>
      <c r="BM32">
        <v>10686</v>
      </c>
      <c r="BN32" s="48" t="s">
        <v>2064</v>
      </c>
      <c r="BO32" s="48" t="s">
        <v>2065</v>
      </c>
      <c r="BP32">
        <v>1473.06</v>
      </c>
      <c r="BQ32">
        <v>10874.74</v>
      </c>
      <c r="BR32" s="48" t="s">
        <v>1885</v>
      </c>
      <c r="BS32" s="48" t="s">
        <v>2066</v>
      </c>
      <c r="BT32">
        <v>1</v>
      </c>
      <c r="BU32">
        <v>278500</v>
      </c>
      <c r="BV32">
        <v>278500</v>
      </c>
      <c r="BW32" s="48" t="s">
        <v>2065</v>
      </c>
      <c r="BX32">
        <v>1473.06</v>
      </c>
      <c r="BY32">
        <v>0</v>
      </c>
      <c r="BZ32">
        <v>0</v>
      </c>
      <c r="CA32" s="48" t="s">
        <v>2065</v>
      </c>
      <c r="CB32">
        <v>1473.06</v>
      </c>
      <c r="CC32">
        <v>0</v>
      </c>
      <c r="CD32">
        <v>0</v>
      </c>
      <c r="CE32" s="48" t="s">
        <v>1710</v>
      </c>
      <c r="CF32" s="48" t="s">
        <v>1710</v>
      </c>
      <c r="CG32" s="48" t="s">
        <v>1710</v>
      </c>
      <c r="CH32" s="48" t="s">
        <v>1710</v>
      </c>
      <c r="CI32" s="48" t="s">
        <v>2067</v>
      </c>
      <c r="CJ32" s="48" t="s">
        <v>1710</v>
      </c>
      <c r="CL32" s="48" t="s">
        <v>2850</v>
      </c>
      <c r="CM32" s="48" t="s">
        <v>1710</v>
      </c>
      <c r="CN32" s="48" t="s">
        <v>2068</v>
      </c>
      <c r="CO32" s="48" t="s">
        <v>2069</v>
      </c>
      <c r="CP32" s="48" t="s">
        <v>1710</v>
      </c>
      <c r="CQ32" s="48" t="s">
        <v>1710</v>
      </c>
      <c r="CR32" s="48" t="s">
        <v>1710</v>
      </c>
      <c r="CS32" s="48" t="s">
        <v>1710</v>
      </c>
      <c r="CT32" s="48" t="s">
        <v>1710</v>
      </c>
      <c r="CU32" s="48" t="s">
        <v>1712</v>
      </c>
      <c r="CV32" s="48" t="s">
        <v>1710</v>
      </c>
      <c r="CW32" s="48" t="s">
        <v>1710</v>
      </c>
      <c r="CX32" s="48" t="s">
        <v>3014</v>
      </c>
      <c r="CY32" s="48" t="s">
        <v>1710</v>
      </c>
      <c r="CZ32" s="48" t="s">
        <v>1712</v>
      </c>
      <c r="DA32" s="48" t="s">
        <v>1710</v>
      </c>
      <c r="DB32" s="48" t="s">
        <v>1878</v>
      </c>
      <c r="DC32" s="48" t="s">
        <v>2070</v>
      </c>
      <c r="DD32" s="48" t="s">
        <v>1842</v>
      </c>
      <c r="DE32" s="48" t="s">
        <v>1886</v>
      </c>
      <c r="DF32" s="48" t="s">
        <v>3053</v>
      </c>
      <c r="DG32" s="48" t="s">
        <v>2071</v>
      </c>
      <c r="DH32" s="48" t="s">
        <v>1712</v>
      </c>
      <c r="DI32" s="48" t="s">
        <v>1710</v>
      </c>
      <c r="DJ32" s="48" t="s">
        <v>1710</v>
      </c>
      <c r="DK32" s="48" t="s">
        <v>1710</v>
      </c>
      <c r="DL32" s="48" t="s">
        <v>1710</v>
      </c>
      <c r="DM32" s="48" t="s">
        <v>1710</v>
      </c>
      <c r="DN32" s="48" t="s">
        <v>1710</v>
      </c>
      <c r="DO32" s="48" t="s">
        <v>1710</v>
      </c>
      <c r="DP32" s="48" t="s">
        <v>1710</v>
      </c>
      <c r="DQ32" s="48" t="s">
        <v>1710</v>
      </c>
      <c r="DR32" s="48" t="s">
        <v>2072</v>
      </c>
      <c r="DS32" s="48" t="s">
        <v>1710</v>
      </c>
      <c r="DT32" s="48" t="s">
        <v>1710</v>
      </c>
      <c r="DU32" s="48" t="s">
        <v>2841</v>
      </c>
      <c r="DV32" s="48" t="s">
        <v>2850</v>
      </c>
      <c r="DW32" s="48" t="s">
        <v>1710</v>
      </c>
      <c r="DX32" s="48" t="s">
        <v>3054</v>
      </c>
      <c r="DY32" s="48" t="s">
        <v>1709</v>
      </c>
      <c r="DZ32" s="48" t="s">
        <v>2562</v>
      </c>
      <c r="EA32" s="48" t="s">
        <v>2546</v>
      </c>
      <c r="EB32">
        <v>0</v>
      </c>
      <c r="EC32" s="48" t="s">
        <v>2841</v>
      </c>
      <c r="ED32" s="48" t="s">
        <v>3046</v>
      </c>
      <c r="EE32" s="48" t="s">
        <v>1814</v>
      </c>
      <c r="EF32" s="48" t="s">
        <v>1868</v>
      </c>
      <c r="EG32" s="48" t="s">
        <v>3052</v>
      </c>
      <c r="EH32">
        <v>18</v>
      </c>
      <c r="EI32" s="48" t="s">
        <v>1888</v>
      </c>
      <c r="EJ32">
        <v>1</v>
      </c>
      <c r="EK32" s="48" t="s">
        <v>1887</v>
      </c>
      <c r="EL32">
        <v>1</v>
      </c>
      <c r="EM32" s="48" t="s">
        <v>1886</v>
      </c>
      <c r="EN32">
        <v>18</v>
      </c>
      <c r="EO32" s="48" t="s">
        <v>2528</v>
      </c>
      <c r="EP32" s="48" t="s">
        <v>3055</v>
      </c>
      <c r="EQ32">
        <v>10874.74</v>
      </c>
      <c r="ER32">
        <v>10874.74</v>
      </c>
      <c r="ES32">
        <v>15740644</v>
      </c>
      <c r="ET32">
        <v>10686</v>
      </c>
      <c r="EU32" s="48" t="s">
        <v>1710</v>
      </c>
      <c r="EV32" s="48" t="s">
        <v>1710</v>
      </c>
      <c r="EW32" s="48" t="s">
        <v>1712</v>
      </c>
      <c r="EX32" s="48" t="s">
        <v>1710</v>
      </c>
      <c r="EY32" s="48" t="s">
        <v>1848</v>
      </c>
      <c r="EZ32" s="48" t="s">
        <v>1710</v>
      </c>
      <c r="FA32" s="48" t="s">
        <v>1710</v>
      </c>
      <c r="FB32" s="48" t="s">
        <v>1712</v>
      </c>
      <c r="FC32" s="48" t="s">
        <v>1710</v>
      </c>
      <c r="FD32" s="48" t="s">
        <v>1710</v>
      </c>
      <c r="FE32" s="48" t="s">
        <v>1814</v>
      </c>
      <c r="FF32" s="48" t="s">
        <v>1815</v>
      </c>
      <c r="FG32" s="48" t="s">
        <v>1710</v>
      </c>
      <c r="FH32">
        <v>1</v>
      </c>
      <c r="FI32" s="48" t="s">
        <v>1846</v>
      </c>
      <c r="FJ32">
        <v>10874.74</v>
      </c>
      <c r="FK32">
        <v>10874.74</v>
      </c>
      <c r="FL32" s="48" t="s">
        <v>3056</v>
      </c>
      <c r="FM32" s="48" t="s">
        <v>3055</v>
      </c>
      <c r="FN32" s="48" t="s">
        <v>1710</v>
      </c>
      <c r="FO32" s="48" t="s">
        <v>1710</v>
      </c>
      <c r="FP32" s="48" t="s">
        <v>1710</v>
      </c>
      <c r="FQ32" s="48" t="s">
        <v>1710</v>
      </c>
      <c r="FR32" s="48" t="s">
        <v>1710</v>
      </c>
      <c r="FS32" s="48" t="s">
        <v>1710</v>
      </c>
      <c r="FT32" s="48" t="s">
        <v>1710</v>
      </c>
      <c r="FU32" s="48" t="s">
        <v>1710</v>
      </c>
      <c r="FV32" s="48"/>
      <c r="FW32" s="56"/>
      <c r="FX32" s="56"/>
      <c r="FY32" s="56"/>
      <c r="FZ32" s="56"/>
      <c r="GA32" s="55" t="str">
        <f t="shared" si="1"/>
        <v>4388426100316X</v>
      </c>
      <c r="GB32" t="str">
        <f>VLOOKUP(B32,수출코드!$C$2:$D$4,2,FALSE)</f>
        <v>Suwon</v>
      </c>
      <c r="GC32" t="str">
        <f>VLOOKUP(L32,수출코드!$A$2:$B$6,2,FALSE)</f>
        <v/>
      </c>
      <c r="GD32" t="str">
        <f>VLOOKUP(M32,수출코드!$E$2:$F$5,2,FALSE)</f>
        <v>일반</v>
      </c>
      <c r="GE32" s="61">
        <f t="shared" si="2"/>
        <v>45971.625694444447</v>
      </c>
      <c r="GF32" s="62">
        <f t="shared" si="0"/>
        <v>46049.397916666669</v>
      </c>
      <c r="GI32" s="48" t="s">
        <v>2739</v>
      </c>
    </row>
    <row r="33" spans="1:191">
      <c r="A33" s="48" t="s">
        <v>3057</v>
      </c>
      <c r="B33" s="48" t="s">
        <v>1821</v>
      </c>
      <c r="C33" s="48" t="s">
        <v>2048</v>
      </c>
      <c r="D33" s="48" t="s">
        <v>2813</v>
      </c>
      <c r="E33" s="48" t="s">
        <v>3057</v>
      </c>
      <c r="F33" s="48" t="s">
        <v>1710</v>
      </c>
      <c r="G33" s="48" t="s">
        <v>2814</v>
      </c>
      <c r="H33" s="48" t="s">
        <v>3058</v>
      </c>
      <c r="I33" s="48" t="s">
        <v>1884</v>
      </c>
      <c r="J33" s="48" t="s">
        <v>2850</v>
      </c>
      <c r="K33" s="48" t="s">
        <v>1877</v>
      </c>
      <c r="L33" s="48" t="s">
        <v>1842</v>
      </c>
      <c r="M33" s="48" t="s">
        <v>1810</v>
      </c>
      <c r="N33" s="48" t="s">
        <v>1842</v>
      </c>
      <c r="O33" s="48" t="s">
        <v>1811</v>
      </c>
      <c r="P33" s="48" t="s">
        <v>2549</v>
      </c>
      <c r="Q33" s="48" t="s">
        <v>2049</v>
      </c>
      <c r="R33" s="48" t="s">
        <v>1838</v>
      </c>
      <c r="S33" s="48" t="s">
        <v>2050</v>
      </c>
      <c r="T33" s="48" t="s">
        <v>1845</v>
      </c>
      <c r="U33" s="48" t="s">
        <v>2049</v>
      </c>
      <c r="V33" s="48" t="s">
        <v>1838</v>
      </c>
      <c r="W33" s="48" t="s">
        <v>2051</v>
      </c>
      <c r="X33" s="48" t="s">
        <v>2052</v>
      </c>
      <c r="Y33" s="48" t="s">
        <v>2050</v>
      </c>
      <c r="Z33" s="48" t="s">
        <v>2053</v>
      </c>
      <c r="AA33" s="48" t="s">
        <v>2054</v>
      </c>
      <c r="AB33" s="48" t="s">
        <v>2817</v>
      </c>
      <c r="AC33" s="48" t="s">
        <v>2055</v>
      </c>
      <c r="AD33" s="48" t="s">
        <v>2056</v>
      </c>
      <c r="AE33" s="48" t="s">
        <v>1710</v>
      </c>
      <c r="AF33" s="48" t="s">
        <v>1710</v>
      </c>
      <c r="AG33" s="48" t="s">
        <v>2057</v>
      </c>
      <c r="AH33" s="48" t="s">
        <v>1815</v>
      </c>
      <c r="AI33" s="48" t="s">
        <v>2058</v>
      </c>
      <c r="AJ33" s="48" t="s">
        <v>1710</v>
      </c>
      <c r="AK33" s="48" t="s">
        <v>2077</v>
      </c>
      <c r="AL33" s="48" t="s">
        <v>1858</v>
      </c>
      <c r="AM33" s="48" t="s">
        <v>1816</v>
      </c>
      <c r="AN33" s="48" t="s">
        <v>2054</v>
      </c>
      <c r="AO33" s="48" t="s">
        <v>1710</v>
      </c>
      <c r="AP33" s="48" t="s">
        <v>1848</v>
      </c>
      <c r="AQ33" s="48" t="s">
        <v>2060</v>
      </c>
      <c r="AR33" s="48" t="s">
        <v>1812</v>
      </c>
      <c r="AS33" s="48" t="s">
        <v>1813</v>
      </c>
      <c r="AT33" s="48" t="s">
        <v>1826</v>
      </c>
      <c r="AU33" s="48" t="s">
        <v>2061</v>
      </c>
      <c r="AV33" s="48" t="s">
        <v>2850</v>
      </c>
      <c r="AW33" s="48" t="s">
        <v>2062</v>
      </c>
      <c r="AX33" s="48" t="s">
        <v>2063</v>
      </c>
      <c r="AY33" s="48" t="s">
        <v>1710</v>
      </c>
      <c r="AZ33" s="48" t="s">
        <v>3059</v>
      </c>
      <c r="BA33" s="48" t="s">
        <v>1710</v>
      </c>
      <c r="BB33" s="48" t="s">
        <v>1709</v>
      </c>
      <c r="BC33" s="48" t="s">
        <v>1710</v>
      </c>
      <c r="BD33" s="48" t="s">
        <v>2082</v>
      </c>
      <c r="BE33" s="52" t="s">
        <v>3013</v>
      </c>
      <c r="BF33" s="48" t="s">
        <v>1710</v>
      </c>
      <c r="BG33" s="48" t="s">
        <v>1814</v>
      </c>
      <c r="BH33">
        <v>19</v>
      </c>
      <c r="BI33" s="48" t="s">
        <v>1888</v>
      </c>
      <c r="BJ33">
        <v>1</v>
      </c>
      <c r="BK33">
        <v>1473.06</v>
      </c>
      <c r="BL33">
        <v>15740644</v>
      </c>
      <c r="BM33">
        <v>10686</v>
      </c>
      <c r="BN33" s="48" t="s">
        <v>2064</v>
      </c>
      <c r="BO33" s="48" t="s">
        <v>2065</v>
      </c>
      <c r="BP33">
        <v>1473.06</v>
      </c>
      <c r="BQ33">
        <v>10874.74</v>
      </c>
      <c r="BR33" s="48" t="s">
        <v>1885</v>
      </c>
      <c r="BS33" s="48" t="s">
        <v>2066</v>
      </c>
      <c r="BT33">
        <v>1</v>
      </c>
      <c r="BU33">
        <v>278500</v>
      </c>
      <c r="BV33">
        <v>278500</v>
      </c>
      <c r="BW33" s="48" t="s">
        <v>2065</v>
      </c>
      <c r="BX33">
        <v>1473.06</v>
      </c>
      <c r="BY33">
        <v>0</v>
      </c>
      <c r="BZ33">
        <v>0</v>
      </c>
      <c r="CA33" s="48" t="s">
        <v>2065</v>
      </c>
      <c r="CB33">
        <v>1473.06</v>
      </c>
      <c r="CC33">
        <v>0</v>
      </c>
      <c r="CD33">
        <v>0</v>
      </c>
      <c r="CE33" s="48" t="s">
        <v>1710</v>
      </c>
      <c r="CF33" s="48" t="s">
        <v>1710</v>
      </c>
      <c r="CG33" s="48" t="s">
        <v>1710</v>
      </c>
      <c r="CH33" s="48" t="s">
        <v>1710</v>
      </c>
      <c r="CI33" s="48" t="s">
        <v>2067</v>
      </c>
      <c r="CJ33" s="48" t="s">
        <v>1710</v>
      </c>
      <c r="CL33" s="48" t="s">
        <v>2850</v>
      </c>
      <c r="CM33" s="48" t="s">
        <v>1710</v>
      </c>
      <c r="CN33" s="48" t="s">
        <v>2068</v>
      </c>
      <c r="CO33" s="48" t="s">
        <v>2069</v>
      </c>
      <c r="CP33" s="48" t="s">
        <v>1710</v>
      </c>
      <c r="CQ33" s="48" t="s">
        <v>1710</v>
      </c>
      <c r="CR33" s="48" t="s">
        <v>1710</v>
      </c>
      <c r="CS33" s="48" t="s">
        <v>1710</v>
      </c>
      <c r="CT33" s="48" t="s">
        <v>1710</v>
      </c>
      <c r="CU33" s="48" t="s">
        <v>1712</v>
      </c>
      <c r="CV33" s="48" t="s">
        <v>1710</v>
      </c>
      <c r="CW33" s="48" t="s">
        <v>1710</v>
      </c>
      <c r="CX33" s="48" t="s">
        <v>3014</v>
      </c>
      <c r="CY33" s="48" t="s">
        <v>1710</v>
      </c>
      <c r="CZ33" s="48" t="s">
        <v>1712</v>
      </c>
      <c r="DA33" s="48" t="s">
        <v>1710</v>
      </c>
      <c r="DB33" s="48" t="s">
        <v>1878</v>
      </c>
      <c r="DC33" s="48" t="s">
        <v>2070</v>
      </c>
      <c r="DD33" s="48" t="s">
        <v>1842</v>
      </c>
      <c r="DE33" s="48" t="s">
        <v>1886</v>
      </c>
      <c r="DF33" s="48" t="s">
        <v>3060</v>
      </c>
      <c r="DG33" s="48" t="s">
        <v>2071</v>
      </c>
      <c r="DH33" s="48" t="s">
        <v>1712</v>
      </c>
      <c r="DI33" s="48" t="s">
        <v>1710</v>
      </c>
      <c r="DJ33" s="48" t="s">
        <v>1710</v>
      </c>
      <c r="DK33" s="48" t="s">
        <v>1710</v>
      </c>
      <c r="DL33" s="48" t="s">
        <v>1710</v>
      </c>
      <c r="DM33" s="48" t="s">
        <v>1710</v>
      </c>
      <c r="DN33" s="48" t="s">
        <v>1710</v>
      </c>
      <c r="DO33" s="48" t="s">
        <v>1710</v>
      </c>
      <c r="DP33" s="48" t="s">
        <v>1710</v>
      </c>
      <c r="DQ33" s="48" t="s">
        <v>1710</v>
      </c>
      <c r="DR33" s="48" t="s">
        <v>2072</v>
      </c>
      <c r="DS33" s="48" t="s">
        <v>1710</v>
      </c>
      <c r="DT33" s="48" t="s">
        <v>1710</v>
      </c>
      <c r="DU33" s="48" t="s">
        <v>2841</v>
      </c>
      <c r="DV33" s="48" t="s">
        <v>2850</v>
      </c>
      <c r="DW33" s="48" t="s">
        <v>1710</v>
      </c>
      <c r="DX33" s="48" t="s">
        <v>3061</v>
      </c>
      <c r="DY33" s="48" t="s">
        <v>1709</v>
      </c>
      <c r="DZ33" s="48" t="s">
        <v>2562</v>
      </c>
      <c r="EA33" s="48" t="s">
        <v>2546</v>
      </c>
      <c r="EB33">
        <v>0</v>
      </c>
      <c r="EC33" s="48" t="s">
        <v>2841</v>
      </c>
      <c r="ED33" s="48" t="s">
        <v>3062</v>
      </c>
      <c r="EE33" s="48" t="s">
        <v>1814</v>
      </c>
      <c r="EF33" s="48" t="s">
        <v>1868</v>
      </c>
      <c r="EG33" s="48" t="s">
        <v>3059</v>
      </c>
      <c r="EH33">
        <v>18</v>
      </c>
      <c r="EI33" s="48" t="s">
        <v>1888</v>
      </c>
      <c r="EJ33">
        <v>1</v>
      </c>
      <c r="EK33" s="48" t="s">
        <v>1887</v>
      </c>
      <c r="EL33">
        <v>1</v>
      </c>
      <c r="EM33" s="48" t="s">
        <v>1886</v>
      </c>
      <c r="EN33">
        <v>18</v>
      </c>
      <c r="EO33" s="48" t="s">
        <v>2528</v>
      </c>
      <c r="EP33" s="48" t="s">
        <v>3055</v>
      </c>
      <c r="EQ33">
        <v>10874.74</v>
      </c>
      <c r="ER33">
        <v>10874.74</v>
      </c>
      <c r="ES33">
        <v>15740644</v>
      </c>
      <c r="ET33">
        <v>10686</v>
      </c>
      <c r="EU33" s="48" t="s">
        <v>1710</v>
      </c>
      <c r="EV33" s="48" t="s">
        <v>1710</v>
      </c>
      <c r="EW33" s="48" t="s">
        <v>1712</v>
      </c>
      <c r="EX33" s="48" t="s">
        <v>1710</v>
      </c>
      <c r="EY33" s="48" t="s">
        <v>1848</v>
      </c>
      <c r="EZ33" s="48" t="s">
        <v>1710</v>
      </c>
      <c r="FA33" s="48" t="s">
        <v>1710</v>
      </c>
      <c r="FB33" s="48" t="s">
        <v>1712</v>
      </c>
      <c r="FC33" s="48" t="s">
        <v>1710</v>
      </c>
      <c r="FD33" s="48" t="s">
        <v>1710</v>
      </c>
      <c r="FE33" s="48" t="s">
        <v>1814</v>
      </c>
      <c r="FF33" s="48" t="s">
        <v>1815</v>
      </c>
      <c r="FG33" s="48" t="s">
        <v>1710</v>
      </c>
      <c r="FH33">
        <v>1</v>
      </c>
      <c r="FI33" s="48" t="s">
        <v>1846</v>
      </c>
      <c r="FJ33">
        <v>10874.74</v>
      </c>
      <c r="FK33">
        <v>10874.74</v>
      </c>
      <c r="FL33" s="48" t="s">
        <v>3056</v>
      </c>
      <c r="FM33" s="48" t="s">
        <v>3055</v>
      </c>
      <c r="FN33" s="48" t="s">
        <v>1710</v>
      </c>
      <c r="FO33" s="48" t="s">
        <v>1710</v>
      </c>
      <c r="FP33" s="48" t="s">
        <v>1710</v>
      </c>
      <c r="FQ33" s="48" t="s">
        <v>1710</v>
      </c>
      <c r="FR33" s="48" t="s">
        <v>1710</v>
      </c>
      <c r="FS33" s="48" t="s">
        <v>1710</v>
      </c>
      <c r="FT33" s="48" t="s">
        <v>1710</v>
      </c>
      <c r="FU33" s="48" t="s">
        <v>1710</v>
      </c>
      <c r="FV33" s="48"/>
      <c r="FW33" s="56"/>
      <c r="FX33" s="56"/>
      <c r="FY33" s="56"/>
      <c r="FZ33" s="56"/>
      <c r="GA33" s="55" t="str">
        <f t="shared" si="1"/>
        <v>4388426100317X</v>
      </c>
      <c r="GB33" t="str">
        <f>VLOOKUP(B33,수출코드!$C$2:$D$4,2,FALSE)</f>
        <v>Suwon</v>
      </c>
      <c r="GC33" t="str">
        <f>VLOOKUP(L33,수출코드!$A$2:$B$6,2,FALSE)</f>
        <v/>
      </c>
      <c r="GD33" t="str">
        <f>VLOOKUP(M33,수출코드!$E$2:$F$5,2,FALSE)</f>
        <v>일반</v>
      </c>
      <c r="GE33" s="61">
        <f t="shared" si="2"/>
        <v>45971.625694444447</v>
      </c>
      <c r="GF33" s="62">
        <f t="shared" si="0"/>
        <v>46049.415277777778</v>
      </c>
      <c r="GI33" s="48" t="s">
        <v>2739</v>
      </c>
    </row>
    <row r="34" spans="1:191">
      <c r="A34" s="48" t="s">
        <v>3063</v>
      </c>
      <c r="B34" s="48" t="s">
        <v>1821</v>
      </c>
      <c r="C34" s="48" t="s">
        <v>2048</v>
      </c>
      <c r="D34" s="48" t="s">
        <v>2813</v>
      </c>
      <c r="E34" s="48" t="s">
        <v>3063</v>
      </c>
      <c r="F34" s="48" t="s">
        <v>1710</v>
      </c>
      <c r="G34" s="48" t="s">
        <v>2814</v>
      </c>
      <c r="H34" s="48" t="s">
        <v>3064</v>
      </c>
      <c r="I34" s="48" t="s">
        <v>1884</v>
      </c>
      <c r="J34" s="48" t="s">
        <v>2850</v>
      </c>
      <c r="K34" s="48" t="s">
        <v>1877</v>
      </c>
      <c r="L34" s="48" t="s">
        <v>1844</v>
      </c>
      <c r="M34" s="48" t="s">
        <v>1810</v>
      </c>
      <c r="N34" s="48" t="s">
        <v>1842</v>
      </c>
      <c r="O34" s="48" t="s">
        <v>1811</v>
      </c>
      <c r="P34" s="48" t="s">
        <v>2549</v>
      </c>
      <c r="Q34" s="48" t="s">
        <v>2049</v>
      </c>
      <c r="R34" s="48" t="s">
        <v>1838</v>
      </c>
      <c r="S34" s="48" t="s">
        <v>2050</v>
      </c>
      <c r="T34" s="48" t="s">
        <v>1845</v>
      </c>
      <c r="U34" s="48" t="s">
        <v>2049</v>
      </c>
      <c r="V34" s="48" t="s">
        <v>1838</v>
      </c>
      <c r="W34" s="48" t="s">
        <v>2051</v>
      </c>
      <c r="X34" s="48" t="s">
        <v>2052</v>
      </c>
      <c r="Y34" s="48" t="s">
        <v>2050</v>
      </c>
      <c r="Z34" s="48" t="s">
        <v>2053</v>
      </c>
      <c r="AA34" s="48" t="s">
        <v>2054</v>
      </c>
      <c r="AB34" s="48" t="s">
        <v>2817</v>
      </c>
      <c r="AC34" s="48" t="s">
        <v>2055</v>
      </c>
      <c r="AD34" s="48" t="s">
        <v>2056</v>
      </c>
      <c r="AE34" s="48" t="s">
        <v>1710</v>
      </c>
      <c r="AF34" s="48" t="s">
        <v>1710</v>
      </c>
      <c r="AG34" s="48" t="s">
        <v>2057</v>
      </c>
      <c r="AH34" s="48" t="s">
        <v>1815</v>
      </c>
      <c r="AI34" s="48" t="s">
        <v>2058</v>
      </c>
      <c r="AJ34" s="48" t="s">
        <v>1710</v>
      </c>
      <c r="AK34" s="48" t="s">
        <v>2080</v>
      </c>
      <c r="AL34" s="48" t="s">
        <v>1866</v>
      </c>
      <c r="AM34" s="48" t="s">
        <v>1816</v>
      </c>
      <c r="AN34" s="48" t="s">
        <v>2054</v>
      </c>
      <c r="AO34" s="48" t="s">
        <v>1710</v>
      </c>
      <c r="AP34" s="48" t="s">
        <v>1854</v>
      </c>
      <c r="AQ34" s="48" t="s">
        <v>2081</v>
      </c>
      <c r="AR34" s="48" t="s">
        <v>1812</v>
      </c>
      <c r="AS34" s="48" t="s">
        <v>1813</v>
      </c>
      <c r="AT34" s="48" t="s">
        <v>1826</v>
      </c>
      <c r="AU34" s="48" t="s">
        <v>2061</v>
      </c>
      <c r="AV34" s="48" t="s">
        <v>2850</v>
      </c>
      <c r="AW34" s="48" t="s">
        <v>2062</v>
      </c>
      <c r="AX34" s="48" t="s">
        <v>2063</v>
      </c>
      <c r="AY34" s="48" t="s">
        <v>1710</v>
      </c>
      <c r="AZ34" s="48" t="s">
        <v>3065</v>
      </c>
      <c r="BA34" s="48" t="s">
        <v>1710</v>
      </c>
      <c r="BB34" s="48" t="s">
        <v>1709</v>
      </c>
      <c r="BC34" s="48" t="s">
        <v>1710</v>
      </c>
      <c r="BD34" s="48" t="s">
        <v>2082</v>
      </c>
      <c r="BE34" s="52" t="s">
        <v>3013</v>
      </c>
      <c r="BF34" s="48" t="s">
        <v>1710</v>
      </c>
      <c r="BG34" s="48" t="s">
        <v>1817</v>
      </c>
      <c r="BH34">
        <v>6</v>
      </c>
      <c r="BI34" s="48" t="s">
        <v>1888</v>
      </c>
      <c r="BJ34">
        <v>2</v>
      </c>
      <c r="BK34">
        <v>1473.06</v>
      </c>
      <c r="BL34">
        <v>18705636</v>
      </c>
      <c r="BM34">
        <v>12698</v>
      </c>
      <c r="BN34" s="48" t="s">
        <v>2064</v>
      </c>
      <c r="BO34" s="48" t="s">
        <v>2065</v>
      </c>
      <c r="BP34">
        <v>1473.06</v>
      </c>
      <c r="BQ34">
        <v>12757.55</v>
      </c>
      <c r="BR34" s="48" t="s">
        <v>1885</v>
      </c>
      <c r="BS34" s="48" t="s">
        <v>2066</v>
      </c>
      <c r="BT34">
        <v>1</v>
      </c>
      <c r="BU34">
        <v>87000</v>
      </c>
      <c r="BV34">
        <v>87000</v>
      </c>
      <c r="BW34" s="48" t="s">
        <v>2065</v>
      </c>
      <c r="BX34">
        <v>1473.06</v>
      </c>
      <c r="BY34">
        <v>0</v>
      </c>
      <c r="BZ34">
        <v>0</v>
      </c>
      <c r="CA34" s="48" t="s">
        <v>2065</v>
      </c>
      <c r="CB34">
        <v>1473.06</v>
      </c>
      <c r="CC34">
        <v>0</v>
      </c>
      <c r="CD34">
        <v>0</v>
      </c>
      <c r="CE34" s="48" t="s">
        <v>1710</v>
      </c>
      <c r="CF34" s="48" t="s">
        <v>1710</v>
      </c>
      <c r="CG34" s="48" t="s">
        <v>1710</v>
      </c>
      <c r="CH34" s="48" t="s">
        <v>1710</v>
      </c>
      <c r="CI34" s="48" t="s">
        <v>2067</v>
      </c>
      <c r="CJ34" s="48" t="s">
        <v>1710</v>
      </c>
      <c r="CL34" s="48" t="s">
        <v>2850</v>
      </c>
      <c r="CM34" s="48" t="s">
        <v>1710</v>
      </c>
      <c r="CN34" s="48" t="s">
        <v>2068</v>
      </c>
      <c r="CO34" s="48" t="s">
        <v>2069</v>
      </c>
      <c r="CP34" s="48" t="s">
        <v>1710</v>
      </c>
      <c r="CQ34" s="48" t="s">
        <v>1710</v>
      </c>
      <c r="CR34" s="48" t="s">
        <v>1710</v>
      </c>
      <c r="CS34" s="48" t="s">
        <v>1710</v>
      </c>
      <c r="CT34" s="48" t="s">
        <v>1710</v>
      </c>
      <c r="CU34" s="48" t="s">
        <v>1712</v>
      </c>
      <c r="CV34" s="48" t="s">
        <v>1710</v>
      </c>
      <c r="CW34" s="48" t="s">
        <v>1710</v>
      </c>
      <c r="CX34" s="48" t="s">
        <v>3014</v>
      </c>
      <c r="CY34" s="48" t="s">
        <v>1710</v>
      </c>
      <c r="CZ34" s="48" t="s">
        <v>1712</v>
      </c>
      <c r="DA34" s="48" t="s">
        <v>1710</v>
      </c>
      <c r="DB34" s="48" t="s">
        <v>1878</v>
      </c>
      <c r="DC34" s="48" t="s">
        <v>2070</v>
      </c>
      <c r="DD34" s="48" t="s">
        <v>1842</v>
      </c>
      <c r="DE34" s="48" t="s">
        <v>1886</v>
      </c>
      <c r="DF34" s="48" t="s">
        <v>3066</v>
      </c>
      <c r="DG34" s="48" t="s">
        <v>2071</v>
      </c>
      <c r="DH34" s="48" t="s">
        <v>1712</v>
      </c>
      <c r="DI34" s="48" t="s">
        <v>1710</v>
      </c>
      <c r="DJ34" s="48" t="s">
        <v>1710</v>
      </c>
      <c r="DK34" s="48" t="s">
        <v>1710</v>
      </c>
      <c r="DL34" s="48" t="s">
        <v>1710</v>
      </c>
      <c r="DM34" s="48" t="s">
        <v>1710</v>
      </c>
      <c r="DN34" s="48" t="s">
        <v>1710</v>
      </c>
      <c r="DO34" s="48" t="s">
        <v>1710</v>
      </c>
      <c r="DP34" s="48" t="s">
        <v>1710</v>
      </c>
      <c r="DQ34" s="48" t="s">
        <v>1710</v>
      </c>
      <c r="DR34" s="48" t="s">
        <v>2072</v>
      </c>
      <c r="DS34" s="48" t="s">
        <v>1710</v>
      </c>
      <c r="DT34" s="48" t="s">
        <v>1710</v>
      </c>
      <c r="DU34" s="48" t="s">
        <v>2841</v>
      </c>
      <c r="DV34" s="48" t="s">
        <v>2816</v>
      </c>
      <c r="DW34" s="48" t="s">
        <v>1710</v>
      </c>
      <c r="DX34" s="48" t="s">
        <v>3067</v>
      </c>
      <c r="DY34" s="48" t="s">
        <v>1709</v>
      </c>
      <c r="DZ34" s="48" t="s">
        <v>2084</v>
      </c>
      <c r="EA34" s="48" t="s">
        <v>2546</v>
      </c>
      <c r="EB34">
        <v>0</v>
      </c>
      <c r="EC34" s="48" t="s">
        <v>2841</v>
      </c>
      <c r="ED34" s="48" t="s">
        <v>3068</v>
      </c>
      <c r="EE34" s="48" t="s">
        <v>1814</v>
      </c>
      <c r="EF34" s="48" t="s">
        <v>1849</v>
      </c>
      <c r="EG34" s="48" t="s">
        <v>3065</v>
      </c>
      <c r="EH34">
        <v>4</v>
      </c>
      <c r="EI34" s="48" t="s">
        <v>1888</v>
      </c>
      <c r="EJ34">
        <v>1</v>
      </c>
      <c r="EK34" s="48" t="s">
        <v>1887</v>
      </c>
      <c r="EL34">
        <v>2</v>
      </c>
      <c r="EM34" s="48" t="s">
        <v>1886</v>
      </c>
      <c r="EN34">
        <v>4</v>
      </c>
      <c r="EO34" s="48" t="s">
        <v>2526</v>
      </c>
      <c r="EP34" s="48" t="s">
        <v>2713</v>
      </c>
      <c r="EQ34">
        <v>12315.63</v>
      </c>
      <c r="ER34">
        <v>12315.63</v>
      </c>
      <c r="ES34">
        <v>18057675</v>
      </c>
      <c r="ET34">
        <v>12259</v>
      </c>
      <c r="EU34" s="48" t="s">
        <v>1710</v>
      </c>
      <c r="EV34" s="48" t="s">
        <v>1710</v>
      </c>
      <c r="EW34" s="48" t="s">
        <v>1712</v>
      </c>
      <c r="EX34" s="48" t="s">
        <v>1710</v>
      </c>
      <c r="EY34" s="48" t="s">
        <v>2714</v>
      </c>
      <c r="EZ34" s="48" t="s">
        <v>1710</v>
      </c>
      <c r="FA34" s="48" t="s">
        <v>1710</v>
      </c>
      <c r="FB34" s="48" t="s">
        <v>1712</v>
      </c>
      <c r="FC34" s="48" t="s">
        <v>1710</v>
      </c>
      <c r="FD34" s="48" t="s">
        <v>1710</v>
      </c>
      <c r="FE34" s="48" t="s">
        <v>1814</v>
      </c>
      <c r="FF34" s="48" t="s">
        <v>1815</v>
      </c>
      <c r="FG34" s="48" t="s">
        <v>1710</v>
      </c>
      <c r="FH34">
        <v>1</v>
      </c>
      <c r="FI34" s="48" t="s">
        <v>1846</v>
      </c>
      <c r="FJ34">
        <v>12315.63</v>
      </c>
      <c r="FK34">
        <v>12315.63</v>
      </c>
      <c r="FL34" s="48" t="s">
        <v>2715</v>
      </c>
      <c r="FM34" s="48" t="s">
        <v>2713</v>
      </c>
      <c r="FN34" s="48" t="s">
        <v>1710</v>
      </c>
      <c r="FO34" s="48" t="s">
        <v>1710</v>
      </c>
      <c r="FP34" s="48" t="s">
        <v>1710</v>
      </c>
      <c r="FQ34" s="48" t="s">
        <v>1710</v>
      </c>
      <c r="FR34" s="48" t="s">
        <v>1710</v>
      </c>
      <c r="FS34" s="48" t="s">
        <v>1710</v>
      </c>
      <c r="FT34" s="48" t="s">
        <v>1710</v>
      </c>
      <c r="FU34" s="48" t="s">
        <v>1710</v>
      </c>
      <c r="FV34" s="48"/>
      <c r="FW34" s="56"/>
      <c r="FX34" s="56"/>
      <c r="FY34" s="56"/>
      <c r="FZ34" s="56"/>
      <c r="GA34" s="55" t="str">
        <f t="shared" si="1"/>
        <v>4388426100318X</v>
      </c>
      <c r="GB34" t="str">
        <f>VLOOKUP(B34,수출코드!$C$2:$D$4,2,FALSE)</f>
        <v>Suwon</v>
      </c>
      <c r="GC34" t="str">
        <f>VLOOKUP(L34,수출코드!$A$2:$B$6,2,FALSE)</f>
        <v>화면심사</v>
      </c>
      <c r="GD34" t="str">
        <f>VLOOKUP(M34,수출코드!$E$2:$F$5,2,FALSE)</f>
        <v>일반</v>
      </c>
      <c r="GE34" s="61">
        <f t="shared" si="2"/>
        <v>45971.625694444447</v>
      </c>
      <c r="GF34" s="62">
        <f t="shared" si="0"/>
        <v>46049.400694444441</v>
      </c>
      <c r="GI34" s="48" t="s">
        <v>2739</v>
      </c>
    </row>
    <row r="35" spans="1:191">
      <c r="A35" s="48" t="s">
        <v>3069</v>
      </c>
      <c r="B35" s="48" t="s">
        <v>1821</v>
      </c>
      <c r="C35" s="48" t="s">
        <v>2048</v>
      </c>
      <c r="D35" s="48" t="s">
        <v>2813</v>
      </c>
      <c r="E35" s="48" t="s">
        <v>3069</v>
      </c>
      <c r="F35" s="48" t="s">
        <v>1710</v>
      </c>
      <c r="G35" s="48" t="s">
        <v>2814</v>
      </c>
      <c r="H35" s="48" t="s">
        <v>3070</v>
      </c>
      <c r="I35" s="48" t="s">
        <v>1884</v>
      </c>
      <c r="J35" s="48" t="s">
        <v>2850</v>
      </c>
      <c r="K35" s="48" t="s">
        <v>1877</v>
      </c>
      <c r="L35" s="48" t="s">
        <v>1842</v>
      </c>
      <c r="M35" s="48" t="s">
        <v>1810</v>
      </c>
      <c r="N35" s="48" t="s">
        <v>1842</v>
      </c>
      <c r="O35" s="48" t="s">
        <v>1811</v>
      </c>
      <c r="P35" s="48" t="s">
        <v>2549</v>
      </c>
      <c r="Q35" s="48" t="s">
        <v>2049</v>
      </c>
      <c r="R35" s="48" t="s">
        <v>1838</v>
      </c>
      <c r="S35" s="48" t="s">
        <v>2050</v>
      </c>
      <c r="T35" s="48" t="s">
        <v>1845</v>
      </c>
      <c r="U35" s="48" t="s">
        <v>2049</v>
      </c>
      <c r="V35" s="48" t="s">
        <v>1838</v>
      </c>
      <c r="W35" s="48" t="s">
        <v>2051</v>
      </c>
      <c r="X35" s="48" t="s">
        <v>2052</v>
      </c>
      <c r="Y35" s="48" t="s">
        <v>2050</v>
      </c>
      <c r="Z35" s="48" t="s">
        <v>2053</v>
      </c>
      <c r="AA35" s="48" t="s">
        <v>2054</v>
      </c>
      <c r="AB35" s="48" t="s">
        <v>2817</v>
      </c>
      <c r="AC35" s="48" t="s">
        <v>2055</v>
      </c>
      <c r="AD35" s="48" t="s">
        <v>2056</v>
      </c>
      <c r="AE35" s="48" t="s">
        <v>1710</v>
      </c>
      <c r="AF35" s="48" t="s">
        <v>1710</v>
      </c>
      <c r="AG35" s="48" t="s">
        <v>2057</v>
      </c>
      <c r="AH35" s="48" t="s">
        <v>1815</v>
      </c>
      <c r="AI35" s="48" t="s">
        <v>2058</v>
      </c>
      <c r="AJ35" s="48" t="s">
        <v>1710</v>
      </c>
      <c r="AK35" s="48" t="s">
        <v>2102</v>
      </c>
      <c r="AL35" s="48" t="s">
        <v>1858</v>
      </c>
      <c r="AM35" s="48" t="s">
        <v>1816</v>
      </c>
      <c r="AN35" s="48" t="s">
        <v>2054</v>
      </c>
      <c r="AO35" s="48" t="s">
        <v>1710</v>
      </c>
      <c r="AP35" s="48" t="s">
        <v>1848</v>
      </c>
      <c r="AQ35" s="48" t="s">
        <v>2060</v>
      </c>
      <c r="AR35" s="48" t="s">
        <v>1812</v>
      </c>
      <c r="AS35" s="48" t="s">
        <v>1813</v>
      </c>
      <c r="AT35" s="48" t="s">
        <v>1826</v>
      </c>
      <c r="AU35" s="48" t="s">
        <v>2061</v>
      </c>
      <c r="AV35" s="48" t="s">
        <v>2850</v>
      </c>
      <c r="AW35" s="48" t="s">
        <v>2062</v>
      </c>
      <c r="AX35" s="48" t="s">
        <v>2063</v>
      </c>
      <c r="AY35" s="48" t="s">
        <v>1710</v>
      </c>
      <c r="AZ35" s="48" t="s">
        <v>3071</v>
      </c>
      <c r="BA35" s="48" t="s">
        <v>1710</v>
      </c>
      <c r="BB35" s="48" t="s">
        <v>1709</v>
      </c>
      <c r="BC35" s="48" t="s">
        <v>1710</v>
      </c>
      <c r="BD35" s="48" t="s">
        <v>2082</v>
      </c>
      <c r="BE35" s="52" t="s">
        <v>3013</v>
      </c>
      <c r="BF35" s="48" t="s">
        <v>1710</v>
      </c>
      <c r="BG35" s="48" t="s">
        <v>1817</v>
      </c>
      <c r="BH35">
        <v>49</v>
      </c>
      <c r="BI35" s="48" t="s">
        <v>1888</v>
      </c>
      <c r="BJ35">
        <v>1</v>
      </c>
      <c r="BK35">
        <v>1473.06</v>
      </c>
      <c r="BL35">
        <v>204551320</v>
      </c>
      <c r="BM35">
        <v>138861</v>
      </c>
      <c r="BN35" s="48" t="s">
        <v>2064</v>
      </c>
      <c r="BO35" s="48" t="s">
        <v>2065</v>
      </c>
      <c r="BP35">
        <v>1473.06</v>
      </c>
      <c r="BQ35">
        <v>139325.84</v>
      </c>
      <c r="BR35" s="48" t="s">
        <v>1885</v>
      </c>
      <c r="BS35" s="48" t="s">
        <v>2066</v>
      </c>
      <c r="BT35">
        <v>1</v>
      </c>
      <c r="BU35">
        <v>684000</v>
      </c>
      <c r="BV35">
        <v>684000</v>
      </c>
      <c r="BW35" s="48" t="s">
        <v>2065</v>
      </c>
      <c r="BX35">
        <v>1473.06</v>
      </c>
      <c r="BY35">
        <v>0</v>
      </c>
      <c r="BZ35">
        <v>0</v>
      </c>
      <c r="CA35" s="48" t="s">
        <v>2065</v>
      </c>
      <c r="CB35">
        <v>1473.06</v>
      </c>
      <c r="CC35">
        <v>0</v>
      </c>
      <c r="CD35">
        <v>0</v>
      </c>
      <c r="CE35" s="48" t="s">
        <v>1710</v>
      </c>
      <c r="CF35" s="48" t="s">
        <v>1710</v>
      </c>
      <c r="CG35" s="48" t="s">
        <v>1710</v>
      </c>
      <c r="CH35" s="48" t="s">
        <v>1710</v>
      </c>
      <c r="CI35" s="48" t="s">
        <v>2067</v>
      </c>
      <c r="CJ35" s="48" t="s">
        <v>1710</v>
      </c>
      <c r="CL35" s="48" t="s">
        <v>2850</v>
      </c>
      <c r="CM35" s="48" t="s">
        <v>1710</v>
      </c>
      <c r="CN35" s="48" t="s">
        <v>2068</v>
      </c>
      <c r="CO35" s="48" t="s">
        <v>2069</v>
      </c>
      <c r="CP35" s="48" t="s">
        <v>1710</v>
      </c>
      <c r="CQ35" s="48" t="s">
        <v>1710</v>
      </c>
      <c r="CR35" s="48" t="s">
        <v>1710</v>
      </c>
      <c r="CS35" s="48" t="s">
        <v>1710</v>
      </c>
      <c r="CT35" s="48" t="s">
        <v>1710</v>
      </c>
      <c r="CU35" s="48" t="s">
        <v>1712</v>
      </c>
      <c r="CV35" s="48" t="s">
        <v>1710</v>
      </c>
      <c r="CW35" s="48" t="s">
        <v>1710</v>
      </c>
      <c r="CX35" s="48" t="s">
        <v>3014</v>
      </c>
      <c r="CY35" s="48" t="s">
        <v>1710</v>
      </c>
      <c r="CZ35" s="48" t="s">
        <v>1712</v>
      </c>
      <c r="DA35" s="48" t="s">
        <v>1710</v>
      </c>
      <c r="DB35" s="48" t="s">
        <v>1878</v>
      </c>
      <c r="DC35" s="48" t="s">
        <v>2070</v>
      </c>
      <c r="DD35" s="48" t="s">
        <v>1842</v>
      </c>
      <c r="DE35" s="48" t="s">
        <v>1886</v>
      </c>
      <c r="DF35" s="48" t="s">
        <v>3072</v>
      </c>
      <c r="DG35" s="48" t="s">
        <v>2071</v>
      </c>
      <c r="DH35" s="48" t="s">
        <v>1712</v>
      </c>
      <c r="DI35" s="48" t="s">
        <v>1710</v>
      </c>
      <c r="DJ35" s="48" t="s">
        <v>1710</v>
      </c>
      <c r="DK35" s="48" t="s">
        <v>1710</v>
      </c>
      <c r="DL35" s="48" t="s">
        <v>1710</v>
      </c>
      <c r="DM35" s="48" t="s">
        <v>1710</v>
      </c>
      <c r="DN35" s="48" t="s">
        <v>1710</v>
      </c>
      <c r="DO35" s="48" t="s">
        <v>1710</v>
      </c>
      <c r="DP35" s="48" t="s">
        <v>1710</v>
      </c>
      <c r="DQ35" s="48" t="s">
        <v>1710</v>
      </c>
      <c r="DR35" s="48" t="s">
        <v>2072</v>
      </c>
      <c r="DS35" s="48" t="s">
        <v>1710</v>
      </c>
      <c r="DT35" s="48" t="s">
        <v>1710</v>
      </c>
      <c r="DU35" s="48" t="s">
        <v>2841</v>
      </c>
      <c r="DV35" s="48" t="s">
        <v>2850</v>
      </c>
      <c r="DW35" s="48" t="s">
        <v>1710</v>
      </c>
      <c r="DX35" s="48" t="s">
        <v>3073</v>
      </c>
      <c r="DY35" s="48" t="s">
        <v>1709</v>
      </c>
      <c r="DZ35" s="48" t="s">
        <v>2562</v>
      </c>
      <c r="EA35" s="48" t="s">
        <v>2546</v>
      </c>
      <c r="EB35">
        <v>0</v>
      </c>
      <c r="EC35" s="48" t="s">
        <v>2841</v>
      </c>
      <c r="ED35" s="48" t="s">
        <v>3062</v>
      </c>
      <c r="EE35" s="48" t="s">
        <v>1814</v>
      </c>
      <c r="EF35" s="48" t="s">
        <v>1852</v>
      </c>
      <c r="EG35" s="48" t="s">
        <v>3071</v>
      </c>
      <c r="EH35">
        <v>21</v>
      </c>
      <c r="EI35" s="48" t="s">
        <v>1888</v>
      </c>
      <c r="EJ35">
        <v>0</v>
      </c>
      <c r="EK35" s="48" t="s">
        <v>1710</v>
      </c>
      <c r="EL35">
        <v>1</v>
      </c>
      <c r="EM35" s="48" t="s">
        <v>1886</v>
      </c>
      <c r="EN35">
        <v>21</v>
      </c>
      <c r="EO35" s="48" t="s">
        <v>2521</v>
      </c>
      <c r="EP35" s="48" t="s">
        <v>3074</v>
      </c>
      <c r="EQ35">
        <v>69662.92</v>
      </c>
      <c r="ER35">
        <v>69662.92</v>
      </c>
      <c r="ES35">
        <v>102275660</v>
      </c>
      <c r="ET35">
        <v>69431</v>
      </c>
      <c r="EU35" s="48" t="s">
        <v>1710</v>
      </c>
      <c r="EV35" s="48" t="s">
        <v>1710</v>
      </c>
      <c r="EW35" s="48" t="s">
        <v>1712</v>
      </c>
      <c r="EX35" s="48" t="s">
        <v>1710</v>
      </c>
      <c r="EY35" s="48" t="s">
        <v>1848</v>
      </c>
      <c r="EZ35" s="48" t="s">
        <v>1710</v>
      </c>
      <c r="FA35" s="48" t="s">
        <v>1710</v>
      </c>
      <c r="FB35" s="48" t="s">
        <v>1712</v>
      </c>
      <c r="FC35" s="48" t="s">
        <v>1710</v>
      </c>
      <c r="FD35" s="48" t="s">
        <v>1710</v>
      </c>
      <c r="FE35" s="48" t="s">
        <v>1814</v>
      </c>
      <c r="FF35" s="48" t="s">
        <v>1815</v>
      </c>
      <c r="FG35" s="48" t="s">
        <v>1710</v>
      </c>
      <c r="FH35">
        <v>1</v>
      </c>
      <c r="FI35" s="48" t="s">
        <v>1846</v>
      </c>
      <c r="FJ35">
        <v>69662.92</v>
      </c>
      <c r="FK35">
        <v>69662.92</v>
      </c>
      <c r="FL35" s="48" t="s">
        <v>3075</v>
      </c>
      <c r="FM35" s="48" t="s">
        <v>3074</v>
      </c>
      <c r="FN35" s="48" t="s">
        <v>1710</v>
      </c>
      <c r="FO35" s="48" t="s">
        <v>1710</v>
      </c>
      <c r="FP35" s="48" t="s">
        <v>1710</v>
      </c>
      <c r="FQ35" s="48" t="s">
        <v>1710</v>
      </c>
      <c r="FR35" s="48" t="s">
        <v>1710</v>
      </c>
      <c r="FS35" s="48" t="s">
        <v>1710</v>
      </c>
      <c r="FT35" s="48" t="s">
        <v>1710</v>
      </c>
      <c r="FU35" s="48" t="s">
        <v>1710</v>
      </c>
      <c r="FV35" s="48"/>
      <c r="FW35" s="56"/>
      <c r="FX35" s="56"/>
      <c r="FY35" s="56"/>
      <c r="FZ35" s="56"/>
      <c r="GA35" s="55" t="str">
        <f t="shared" si="1"/>
        <v>4388426100319X</v>
      </c>
      <c r="GB35" t="str">
        <f>VLOOKUP(B35,수출코드!$C$2:$D$4,2,FALSE)</f>
        <v>Suwon</v>
      </c>
      <c r="GC35" t="str">
        <f>VLOOKUP(L35,수출코드!$A$2:$B$6,2,FALSE)</f>
        <v/>
      </c>
      <c r="GD35" t="str">
        <f>VLOOKUP(M35,수출코드!$E$2:$F$5,2,FALSE)</f>
        <v>일반</v>
      </c>
      <c r="GE35" s="61">
        <f t="shared" si="2"/>
        <v>45971.625694444447</v>
      </c>
      <c r="GF35" s="62">
        <f t="shared" si="0"/>
        <v>46049.415277777778</v>
      </c>
      <c r="GI35" s="48" t="s">
        <v>2739</v>
      </c>
    </row>
    <row r="36" spans="1:191">
      <c r="A36" s="48" t="s">
        <v>3076</v>
      </c>
      <c r="B36" s="48" t="s">
        <v>1821</v>
      </c>
      <c r="C36" s="48" t="s">
        <v>2048</v>
      </c>
      <c r="D36" s="48" t="s">
        <v>2813</v>
      </c>
      <c r="E36" s="48" t="s">
        <v>3076</v>
      </c>
      <c r="F36" s="48" t="s">
        <v>1710</v>
      </c>
      <c r="G36" s="48" t="s">
        <v>2814</v>
      </c>
      <c r="H36" s="48" t="s">
        <v>3077</v>
      </c>
      <c r="I36" s="48" t="s">
        <v>1884</v>
      </c>
      <c r="J36" s="48" t="s">
        <v>2850</v>
      </c>
      <c r="K36" s="48" t="s">
        <v>1877</v>
      </c>
      <c r="L36" s="48" t="s">
        <v>1842</v>
      </c>
      <c r="M36" s="48" t="s">
        <v>1810</v>
      </c>
      <c r="N36" s="48" t="s">
        <v>1842</v>
      </c>
      <c r="O36" s="48" t="s">
        <v>1811</v>
      </c>
      <c r="P36" s="48" t="s">
        <v>2549</v>
      </c>
      <c r="Q36" s="48" t="s">
        <v>2049</v>
      </c>
      <c r="R36" s="48" t="s">
        <v>1838</v>
      </c>
      <c r="S36" s="48" t="s">
        <v>2050</v>
      </c>
      <c r="T36" s="48" t="s">
        <v>1845</v>
      </c>
      <c r="U36" s="48" t="s">
        <v>2049</v>
      </c>
      <c r="V36" s="48" t="s">
        <v>1838</v>
      </c>
      <c r="W36" s="48" t="s">
        <v>2051</v>
      </c>
      <c r="X36" s="48" t="s">
        <v>2052</v>
      </c>
      <c r="Y36" s="48" t="s">
        <v>2050</v>
      </c>
      <c r="Z36" s="48" t="s">
        <v>2053</v>
      </c>
      <c r="AA36" s="48" t="s">
        <v>2054</v>
      </c>
      <c r="AB36" s="48" t="s">
        <v>2817</v>
      </c>
      <c r="AC36" s="48" t="s">
        <v>2055</v>
      </c>
      <c r="AD36" s="48" t="s">
        <v>2056</v>
      </c>
      <c r="AE36" s="48" t="s">
        <v>1710</v>
      </c>
      <c r="AF36" s="48" t="s">
        <v>1710</v>
      </c>
      <c r="AG36" s="48" t="s">
        <v>2057</v>
      </c>
      <c r="AH36" s="48" t="s">
        <v>1815</v>
      </c>
      <c r="AI36" s="48" t="s">
        <v>2058</v>
      </c>
      <c r="AJ36" s="48" t="s">
        <v>1710</v>
      </c>
      <c r="AK36" s="48" t="s">
        <v>2077</v>
      </c>
      <c r="AL36" s="48" t="s">
        <v>1858</v>
      </c>
      <c r="AM36" s="48" t="s">
        <v>1816</v>
      </c>
      <c r="AN36" s="48" t="s">
        <v>2054</v>
      </c>
      <c r="AO36" s="48" t="s">
        <v>1710</v>
      </c>
      <c r="AP36" s="48" t="s">
        <v>1848</v>
      </c>
      <c r="AQ36" s="48" t="s">
        <v>2060</v>
      </c>
      <c r="AR36" s="48" t="s">
        <v>1812</v>
      </c>
      <c r="AS36" s="48" t="s">
        <v>1813</v>
      </c>
      <c r="AT36" s="48" t="s">
        <v>1826</v>
      </c>
      <c r="AU36" s="48" t="s">
        <v>2061</v>
      </c>
      <c r="AV36" s="48" t="s">
        <v>2850</v>
      </c>
      <c r="AW36" s="48" t="s">
        <v>2062</v>
      </c>
      <c r="AX36" s="48" t="s">
        <v>2063</v>
      </c>
      <c r="AY36" s="48" t="s">
        <v>1710</v>
      </c>
      <c r="AZ36" s="48" t="s">
        <v>3078</v>
      </c>
      <c r="BA36" s="48" t="s">
        <v>1710</v>
      </c>
      <c r="BB36" s="48" t="s">
        <v>1709</v>
      </c>
      <c r="BC36" s="48" t="s">
        <v>1710</v>
      </c>
      <c r="BD36" s="48" t="s">
        <v>2082</v>
      </c>
      <c r="BE36" s="52" t="s">
        <v>3013</v>
      </c>
      <c r="BF36" s="48" t="s">
        <v>1710</v>
      </c>
      <c r="BG36" s="48" t="s">
        <v>3079</v>
      </c>
      <c r="BH36">
        <v>28</v>
      </c>
      <c r="BI36" s="48" t="s">
        <v>1888</v>
      </c>
      <c r="BJ36">
        <v>1</v>
      </c>
      <c r="BK36">
        <v>1473.06</v>
      </c>
      <c r="BL36">
        <v>21557619</v>
      </c>
      <c r="BM36">
        <v>14635</v>
      </c>
      <c r="BN36" s="48" t="s">
        <v>2064</v>
      </c>
      <c r="BO36" s="48" t="s">
        <v>2065</v>
      </c>
      <c r="BP36">
        <v>1473.06</v>
      </c>
      <c r="BQ36">
        <v>14906.47</v>
      </c>
      <c r="BR36" s="48" t="s">
        <v>1885</v>
      </c>
      <c r="BS36" s="48" t="s">
        <v>2066</v>
      </c>
      <c r="BT36">
        <v>1</v>
      </c>
      <c r="BU36">
        <v>400500</v>
      </c>
      <c r="BV36">
        <v>400500</v>
      </c>
      <c r="BW36" s="48" t="s">
        <v>2065</v>
      </c>
      <c r="BX36">
        <v>1473.06</v>
      </c>
      <c r="BY36">
        <v>0</v>
      </c>
      <c r="BZ36">
        <v>0</v>
      </c>
      <c r="CA36" s="48" t="s">
        <v>2065</v>
      </c>
      <c r="CB36">
        <v>1473.06</v>
      </c>
      <c r="CC36">
        <v>0</v>
      </c>
      <c r="CD36">
        <v>0</v>
      </c>
      <c r="CE36" s="48" t="s">
        <v>1710</v>
      </c>
      <c r="CF36" s="48" t="s">
        <v>1710</v>
      </c>
      <c r="CG36" s="48" t="s">
        <v>1710</v>
      </c>
      <c r="CH36" s="48" t="s">
        <v>1710</v>
      </c>
      <c r="CI36" s="48" t="s">
        <v>2067</v>
      </c>
      <c r="CJ36" s="48" t="s">
        <v>1710</v>
      </c>
      <c r="CL36" s="48" t="s">
        <v>2850</v>
      </c>
      <c r="CM36" s="48" t="s">
        <v>1710</v>
      </c>
      <c r="CN36" s="48" t="s">
        <v>2068</v>
      </c>
      <c r="CO36" s="48" t="s">
        <v>2069</v>
      </c>
      <c r="CP36" s="48" t="s">
        <v>1710</v>
      </c>
      <c r="CQ36" s="48" t="s">
        <v>1710</v>
      </c>
      <c r="CR36" s="48" t="s">
        <v>1710</v>
      </c>
      <c r="CS36" s="48" t="s">
        <v>1710</v>
      </c>
      <c r="CT36" s="48" t="s">
        <v>1710</v>
      </c>
      <c r="CU36" s="48" t="s">
        <v>1712</v>
      </c>
      <c r="CV36" s="48" t="s">
        <v>1710</v>
      </c>
      <c r="CW36" s="48" t="s">
        <v>1710</v>
      </c>
      <c r="CX36" s="48" t="s">
        <v>3014</v>
      </c>
      <c r="CY36" s="48" t="s">
        <v>1710</v>
      </c>
      <c r="CZ36" s="48" t="s">
        <v>1712</v>
      </c>
      <c r="DA36" s="48" t="s">
        <v>1710</v>
      </c>
      <c r="DB36" s="48" t="s">
        <v>1878</v>
      </c>
      <c r="DC36" s="48" t="s">
        <v>2070</v>
      </c>
      <c r="DD36" s="48" t="s">
        <v>1842</v>
      </c>
      <c r="DE36" s="48" t="s">
        <v>1886</v>
      </c>
      <c r="DF36" s="48" t="s">
        <v>3080</v>
      </c>
      <c r="DG36" s="48" t="s">
        <v>2071</v>
      </c>
      <c r="DH36" s="48" t="s">
        <v>1712</v>
      </c>
      <c r="DI36" s="48" t="s">
        <v>1710</v>
      </c>
      <c r="DJ36" s="48" t="s">
        <v>1710</v>
      </c>
      <c r="DK36" s="48" t="s">
        <v>1710</v>
      </c>
      <c r="DL36" s="48" t="s">
        <v>1710</v>
      </c>
      <c r="DM36" s="48" t="s">
        <v>1710</v>
      </c>
      <c r="DN36" s="48" t="s">
        <v>1710</v>
      </c>
      <c r="DO36" s="48" t="s">
        <v>1710</v>
      </c>
      <c r="DP36" s="48" t="s">
        <v>1710</v>
      </c>
      <c r="DQ36" s="48" t="s">
        <v>1710</v>
      </c>
      <c r="DR36" s="48" t="s">
        <v>2072</v>
      </c>
      <c r="DS36" s="48" t="s">
        <v>1710</v>
      </c>
      <c r="DT36" s="48" t="s">
        <v>1710</v>
      </c>
      <c r="DU36" s="48" t="s">
        <v>2841</v>
      </c>
      <c r="DV36" s="48" t="s">
        <v>2850</v>
      </c>
      <c r="DW36" s="48" t="s">
        <v>1710</v>
      </c>
      <c r="DX36" s="48" t="s">
        <v>3081</v>
      </c>
      <c r="DY36" s="48" t="s">
        <v>1709</v>
      </c>
      <c r="DZ36" s="48" t="s">
        <v>2562</v>
      </c>
      <c r="EA36" s="48" t="s">
        <v>2546</v>
      </c>
      <c r="EB36">
        <v>0</v>
      </c>
      <c r="EC36" s="48" t="s">
        <v>2841</v>
      </c>
      <c r="ED36" s="48" t="s">
        <v>3062</v>
      </c>
      <c r="EE36" s="48" t="s">
        <v>1814</v>
      </c>
      <c r="EF36" s="48" t="s">
        <v>2585</v>
      </c>
      <c r="EG36" s="48" t="s">
        <v>3078</v>
      </c>
      <c r="EH36">
        <v>3</v>
      </c>
      <c r="EI36" s="48" t="s">
        <v>1888</v>
      </c>
      <c r="EJ36">
        <v>1</v>
      </c>
      <c r="EK36" s="48" t="s">
        <v>1887</v>
      </c>
      <c r="EL36">
        <v>1</v>
      </c>
      <c r="EM36" s="48" t="s">
        <v>1886</v>
      </c>
      <c r="EN36">
        <v>3</v>
      </c>
      <c r="EO36" s="48" t="s">
        <v>2586</v>
      </c>
      <c r="EP36" s="48" t="s">
        <v>3082</v>
      </c>
      <c r="EQ36">
        <v>1547.21</v>
      </c>
      <c r="ER36">
        <v>1547.21</v>
      </c>
      <c r="ES36">
        <v>2237563</v>
      </c>
      <c r="ET36">
        <v>1519</v>
      </c>
      <c r="EU36" s="48" t="s">
        <v>1710</v>
      </c>
      <c r="EV36" s="48" t="s">
        <v>1710</v>
      </c>
      <c r="EW36" s="48" t="s">
        <v>1712</v>
      </c>
      <c r="EX36" s="48" t="s">
        <v>1710</v>
      </c>
      <c r="EY36" s="48" t="s">
        <v>1848</v>
      </c>
      <c r="EZ36" s="48" t="s">
        <v>1710</v>
      </c>
      <c r="FA36" s="48" t="s">
        <v>1710</v>
      </c>
      <c r="FB36" s="48" t="s">
        <v>1712</v>
      </c>
      <c r="FC36" s="48" t="s">
        <v>1710</v>
      </c>
      <c r="FD36" s="48" t="s">
        <v>1710</v>
      </c>
      <c r="FE36" s="48" t="s">
        <v>1814</v>
      </c>
      <c r="FF36" s="48" t="s">
        <v>1815</v>
      </c>
      <c r="FG36" s="48" t="s">
        <v>1710</v>
      </c>
      <c r="FH36">
        <v>1</v>
      </c>
      <c r="FI36" s="48" t="s">
        <v>1846</v>
      </c>
      <c r="FJ36">
        <v>1547.21</v>
      </c>
      <c r="FK36">
        <v>1547.21</v>
      </c>
      <c r="FL36" s="48" t="s">
        <v>3083</v>
      </c>
      <c r="FM36" s="48" t="s">
        <v>3082</v>
      </c>
      <c r="FN36" s="48" t="s">
        <v>1710</v>
      </c>
      <c r="FO36" s="48" t="s">
        <v>1710</v>
      </c>
      <c r="FP36" s="48" t="s">
        <v>1710</v>
      </c>
      <c r="FQ36" s="48" t="s">
        <v>1710</v>
      </c>
      <c r="FR36" s="48" t="s">
        <v>1710</v>
      </c>
      <c r="FS36" s="48" t="s">
        <v>1710</v>
      </c>
      <c r="FT36" s="48" t="s">
        <v>1710</v>
      </c>
      <c r="FU36" s="48" t="s">
        <v>1710</v>
      </c>
      <c r="FV36" s="48"/>
      <c r="FW36" s="56"/>
      <c r="FX36" s="56"/>
      <c r="FY36" s="56"/>
      <c r="FZ36" s="56"/>
      <c r="GA36" s="55" t="str">
        <f t="shared" si="1"/>
        <v>4388426100320X</v>
      </c>
      <c r="GB36" t="str">
        <f>VLOOKUP(B36,수출코드!$C$2:$D$4,2,FALSE)</f>
        <v>Suwon</v>
      </c>
      <c r="GC36" t="str">
        <f>VLOOKUP(L36,수출코드!$A$2:$B$6,2,FALSE)</f>
        <v/>
      </c>
      <c r="GD36" t="str">
        <f>VLOOKUP(M36,수출코드!$E$2:$F$5,2,FALSE)</f>
        <v>일반</v>
      </c>
      <c r="GE36" s="61">
        <f t="shared" si="2"/>
        <v>45971.638888888891</v>
      </c>
      <c r="GF36" s="62">
        <f t="shared" si="0"/>
        <v>46049.415277777778</v>
      </c>
      <c r="GI36" s="48" t="s">
        <v>2740</v>
      </c>
    </row>
    <row r="37" spans="1:191">
      <c r="A37" s="48" t="s">
        <v>3084</v>
      </c>
      <c r="B37" s="48" t="s">
        <v>1821</v>
      </c>
      <c r="C37" s="48" t="s">
        <v>2048</v>
      </c>
      <c r="D37" s="48" t="s">
        <v>2813</v>
      </c>
      <c r="E37" s="48" t="s">
        <v>3084</v>
      </c>
      <c r="F37" s="48" t="s">
        <v>1710</v>
      </c>
      <c r="G37" s="48" t="s">
        <v>2814</v>
      </c>
      <c r="H37" s="48" t="s">
        <v>3085</v>
      </c>
      <c r="I37" s="48" t="s">
        <v>1884</v>
      </c>
      <c r="J37" s="48" t="s">
        <v>2850</v>
      </c>
      <c r="K37" s="48" t="s">
        <v>1877</v>
      </c>
      <c r="L37" s="48" t="s">
        <v>1842</v>
      </c>
      <c r="M37" s="48" t="s">
        <v>1810</v>
      </c>
      <c r="N37" s="48" t="s">
        <v>1842</v>
      </c>
      <c r="O37" s="48" t="s">
        <v>1811</v>
      </c>
      <c r="P37" s="48" t="s">
        <v>2549</v>
      </c>
      <c r="Q37" s="48" t="s">
        <v>2049</v>
      </c>
      <c r="R37" s="48" t="s">
        <v>1838</v>
      </c>
      <c r="S37" s="48" t="s">
        <v>2050</v>
      </c>
      <c r="T37" s="48" t="s">
        <v>1845</v>
      </c>
      <c r="U37" s="48" t="s">
        <v>2049</v>
      </c>
      <c r="V37" s="48" t="s">
        <v>1838</v>
      </c>
      <c r="W37" s="48" t="s">
        <v>2051</v>
      </c>
      <c r="X37" s="48" t="s">
        <v>2052</v>
      </c>
      <c r="Y37" s="48" t="s">
        <v>2050</v>
      </c>
      <c r="Z37" s="48" t="s">
        <v>2053</v>
      </c>
      <c r="AA37" s="48" t="s">
        <v>2054</v>
      </c>
      <c r="AB37" s="48" t="s">
        <v>2817</v>
      </c>
      <c r="AC37" s="48" t="s">
        <v>2055</v>
      </c>
      <c r="AD37" s="48" t="s">
        <v>2056</v>
      </c>
      <c r="AE37" s="48" t="s">
        <v>1710</v>
      </c>
      <c r="AF37" s="48" t="s">
        <v>1710</v>
      </c>
      <c r="AG37" s="48" t="s">
        <v>2057</v>
      </c>
      <c r="AH37" s="48" t="s">
        <v>1815</v>
      </c>
      <c r="AI37" s="48" t="s">
        <v>2058</v>
      </c>
      <c r="AJ37" s="48" t="s">
        <v>1710</v>
      </c>
      <c r="AK37" s="48" t="s">
        <v>2100</v>
      </c>
      <c r="AL37" s="48" t="s">
        <v>2101</v>
      </c>
      <c r="AM37" s="48" t="s">
        <v>1816</v>
      </c>
      <c r="AN37" s="48" t="s">
        <v>2054</v>
      </c>
      <c r="AO37" s="48" t="s">
        <v>1710</v>
      </c>
      <c r="AP37" s="48" t="s">
        <v>1874</v>
      </c>
      <c r="AQ37" s="48" t="s">
        <v>2078</v>
      </c>
      <c r="AR37" s="48" t="s">
        <v>1812</v>
      </c>
      <c r="AS37" s="48" t="s">
        <v>1813</v>
      </c>
      <c r="AT37" s="48" t="s">
        <v>1826</v>
      </c>
      <c r="AU37" s="48" t="s">
        <v>2061</v>
      </c>
      <c r="AV37" s="48" t="s">
        <v>2850</v>
      </c>
      <c r="AW37" s="48" t="s">
        <v>2062</v>
      </c>
      <c r="AX37" s="48" t="s">
        <v>2063</v>
      </c>
      <c r="AY37" s="48" t="s">
        <v>1710</v>
      </c>
      <c r="AZ37" s="48" t="s">
        <v>3086</v>
      </c>
      <c r="BA37" s="48" t="s">
        <v>1710</v>
      </c>
      <c r="BB37" s="48" t="s">
        <v>1709</v>
      </c>
      <c r="BC37" s="48" t="s">
        <v>1710</v>
      </c>
      <c r="BD37" s="48" t="s">
        <v>2082</v>
      </c>
      <c r="BE37" s="52" t="s">
        <v>3013</v>
      </c>
      <c r="BF37" s="48" t="s">
        <v>1710</v>
      </c>
      <c r="BG37" s="48" t="s">
        <v>1817</v>
      </c>
      <c r="BH37">
        <v>14</v>
      </c>
      <c r="BI37" s="48" t="s">
        <v>1888</v>
      </c>
      <c r="BJ37">
        <v>2</v>
      </c>
      <c r="BK37">
        <v>1473.06</v>
      </c>
      <c r="BL37">
        <v>13217482</v>
      </c>
      <c r="BM37">
        <v>8973</v>
      </c>
      <c r="BN37" s="48" t="s">
        <v>2064</v>
      </c>
      <c r="BO37" s="48" t="s">
        <v>2065</v>
      </c>
      <c r="BP37">
        <v>1473.06</v>
      </c>
      <c r="BQ37">
        <v>9037.57</v>
      </c>
      <c r="BR37" s="48" t="s">
        <v>1885</v>
      </c>
      <c r="BS37" s="48" t="s">
        <v>2066</v>
      </c>
      <c r="BT37">
        <v>1</v>
      </c>
      <c r="BU37">
        <v>95400</v>
      </c>
      <c r="BV37">
        <v>95400</v>
      </c>
      <c r="BW37" s="48" t="s">
        <v>2065</v>
      </c>
      <c r="BX37">
        <v>1473.06</v>
      </c>
      <c r="BY37">
        <v>0</v>
      </c>
      <c r="BZ37">
        <v>0</v>
      </c>
      <c r="CA37" s="48" t="s">
        <v>2065</v>
      </c>
      <c r="CB37">
        <v>1473.06</v>
      </c>
      <c r="CC37">
        <v>0</v>
      </c>
      <c r="CD37">
        <v>0</v>
      </c>
      <c r="CE37" s="48" t="s">
        <v>1710</v>
      </c>
      <c r="CF37" s="48" t="s">
        <v>1710</v>
      </c>
      <c r="CG37" s="48" t="s">
        <v>1710</v>
      </c>
      <c r="CH37" s="48" t="s">
        <v>1710</v>
      </c>
      <c r="CI37" s="48" t="s">
        <v>2067</v>
      </c>
      <c r="CJ37" s="48" t="s">
        <v>1710</v>
      </c>
      <c r="CL37" s="48" t="s">
        <v>2850</v>
      </c>
      <c r="CM37" s="48" t="s">
        <v>1710</v>
      </c>
      <c r="CN37" s="48" t="s">
        <v>2068</v>
      </c>
      <c r="CO37" s="48" t="s">
        <v>2069</v>
      </c>
      <c r="CP37" s="48" t="s">
        <v>1710</v>
      </c>
      <c r="CQ37" s="48" t="s">
        <v>1710</v>
      </c>
      <c r="CR37" s="48" t="s">
        <v>1710</v>
      </c>
      <c r="CS37" s="48" t="s">
        <v>1710</v>
      </c>
      <c r="CT37" s="48" t="s">
        <v>1710</v>
      </c>
      <c r="CU37" s="48" t="s">
        <v>1712</v>
      </c>
      <c r="CV37" s="48" t="s">
        <v>1710</v>
      </c>
      <c r="CW37" s="48" t="s">
        <v>1710</v>
      </c>
      <c r="CX37" s="48" t="s">
        <v>3014</v>
      </c>
      <c r="CY37" s="48" t="s">
        <v>1710</v>
      </c>
      <c r="CZ37" s="48" t="s">
        <v>1712</v>
      </c>
      <c r="DA37" s="48" t="s">
        <v>1710</v>
      </c>
      <c r="DB37" s="48" t="s">
        <v>1878</v>
      </c>
      <c r="DC37" s="48" t="s">
        <v>2070</v>
      </c>
      <c r="DD37" s="48" t="s">
        <v>1842</v>
      </c>
      <c r="DE37" s="48" t="s">
        <v>1886</v>
      </c>
      <c r="DF37" s="48" t="s">
        <v>3087</v>
      </c>
      <c r="DG37" s="48" t="s">
        <v>2071</v>
      </c>
      <c r="DH37" s="48" t="s">
        <v>1712</v>
      </c>
      <c r="DI37" s="48" t="s">
        <v>1710</v>
      </c>
      <c r="DJ37" s="48" t="s">
        <v>1710</v>
      </c>
      <c r="DK37" s="48" t="s">
        <v>1710</v>
      </c>
      <c r="DL37" s="48" t="s">
        <v>1710</v>
      </c>
      <c r="DM37" s="48" t="s">
        <v>1710</v>
      </c>
      <c r="DN37" s="48" t="s">
        <v>1710</v>
      </c>
      <c r="DO37" s="48" t="s">
        <v>1710</v>
      </c>
      <c r="DP37" s="48" t="s">
        <v>1710</v>
      </c>
      <c r="DQ37" s="48" t="s">
        <v>1710</v>
      </c>
      <c r="DR37" s="48" t="s">
        <v>2072</v>
      </c>
      <c r="DS37" s="48" t="s">
        <v>1710</v>
      </c>
      <c r="DT37" s="48" t="s">
        <v>1710</v>
      </c>
      <c r="DU37" s="48" t="s">
        <v>2841</v>
      </c>
      <c r="DV37" s="48" t="s">
        <v>2850</v>
      </c>
      <c r="DW37" s="48" t="s">
        <v>1710</v>
      </c>
      <c r="DX37" s="48" t="s">
        <v>3088</v>
      </c>
      <c r="DY37" s="48" t="s">
        <v>1709</v>
      </c>
      <c r="DZ37" s="48" t="s">
        <v>2562</v>
      </c>
      <c r="EA37" s="48" t="s">
        <v>2546</v>
      </c>
      <c r="EB37">
        <v>0</v>
      </c>
      <c r="EC37" s="48" t="s">
        <v>2841</v>
      </c>
      <c r="ED37" s="48" t="s">
        <v>3089</v>
      </c>
      <c r="EE37" s="48" t="s">
        <v>1814</v>
      </c>
      <c r="EF37" s="48" t="s">
        <v>3090</v>
      </c>
      <c r="EG37" s="48" t="s">
        <v>3086</v>
      </c>
      <c r="EH37">
        <v>9</v>
      </c>
      <c r="EI37" s="48" t="s">
        <v>1888</v>
      </c>
      <c r="EJ37">
        <v>1</v>
      </c>
      <c r="EK37" s="48" t="s">
        <v>1887</v>
      </c>
      <c r="EL37">
        <v>2</v>
      </c>
      <c r="EM37" s="48" t="s">
        <v>1886</v>
      </c>
      <c r="EN37">
        <v>9</v>
      </c>
      <c r="EO37" s="48" t="s">
        <v>3091</v>
      </c>
      <c r="EP37" s="48" t="s">
        <v>3092</v>
      </c>
      <c r="EQ37">
        <v>7985.6</v>
      </c>
      <c r="ER37">
        <v>7985.6</v>
      </c>
      <c r="ES37">
        <v>11678972</v>
      </c>
      <c r="ET37">
        <v>7928</v>
      </c>
      <c r="EU37" s="48" t="s">
        <v>1710</v>
      </c>
      <c r="EV37" s="48" t="s">
        <v>1710</v>
      </c>
      <c r="EW37" s="48" t="s">
        <v>1712</v>
      </c>
      <c r="EX37" s="48" t="s">
        <v>1710</v>
      </c>
      <c r="EY37" s="48" t="s">
        <v>1874</v>
      </c>
      <c r="EZ37" s="48" t="s">
        <v>1710</v>
      </c>
      <c r="FA37" s="48" t="s">
        <v>1710</v>
      </c>
      <c r="FB37" s="48" t="s">
        <v>1712</v>
      </c>
      <c r="FC37" s="48" t="s">
        <v>1710</v>
      </c>
      <c r="FD37" s="48" t="s">
        <v>1710</v>
      </c>
      <c r="FE37" s="48" t="s">
        <v>1814</v>
      </c>
      <c r="FF37" s="48" t="s">
        <v>1815</v>
      </c>
      <c r="FG37" s="48" t="s">
        <v>1710</v>
      </c>
      <c r="FH37">
        <v>1</v>
      </c>
      <c r="FI37" s="48" t="s">
        <v>1846</v>
      </c>
      <c r="FJ37">
        <v>7985.6</v>
      </c>
      <c r="FK37">
        <v>7985.6</v>
      </c>
      <c r="FL37" s="48" t="s">
        <v>3093</v>
      </c>
      <c r="FM37" s="48" t="s">
        <v>3092</v>
      </c>
      <c r="FN37" s="48" t="s">
        <v>1710</v>
      </c>
      <c r="FO37" s="48" t="s">
        <v>1710</v>
      </c>
      <c r="FP37" s="48" t="s">
        <v>1710</v>
      </c>
      <c r="FQ37" s="48" t="s">
        <v>1710</v>
      </c>
      <c r="FR37" s="48" t="s">
        <v>1710</v>
      </c>
      <c r="FS37" s="48" t="s">
        <v>1710</v>
      </c>
      <c r="FT37" s="48" t="s">
        <v>1710</v>
      </c>
      <c r="FU37" s="48" t="s">
        <v>1710</v>
      </c>
      <c r="FV37" s="48"/>
      <c r="FW37" s="56"/>
      <c r="FX37" s="56"/>
      <c r="FY37" s="56"/>
      <c r="FZ37" s="56"/>
      <c r="GA37" s="55" t="str">
        <f t="shared" si="1"/>
        <v>4388426100321X</v>
      </c>
      <c r="GB37" t="str">
        <f>VLOOKUP(B37,수출코드!$C$2:$D$4,2,FALSE)</f>
        <v>Suwon</v>
      </c>
      <c r="GC37" t="str">
        <f>VLOOKUP(L37,수출코드!$A$2:$B$6,2,FALSE)</f>
        <v/>
      </c>
      <c r="GD37" t="str">
        <f>VLOOKUP(M37,수출코드!$E$2:$F$5,2,FALSE)</f>
        <v>일반</v>
      </c>
      <c r="GE37" s="61">
        <f t="shared" si="2"/>
        <v>45971.638888888891</v>
      </c>
      <c r="GF37" s="62">
        <f t="shared" si="0"/>
        <v>46049.415972222225</v>
      </c>
      <c r="GI37" s="48" t="s">
        <v>2740</v>
      </c>
    </row>
    <row r="38" spans="1:191">
      <c r="A38" s="48" t="s">
        <v>3094</v>
      </c>
      <c r="B38" s="48" t="s">
        <v>1821</v>
      </c>
      <c r="C38" s="48" t="s">
        <v>2048</v>
      </c>
      <c r="D38" s="48" t="s">
        <v>2813</v>
      </c>
      <c r="E38" s="48" t="s">
        <v>3094</v>
      </c>
      <c r="F38" s="48" t="s">
        <v>1710</v>
      </c>
      <c r="G38" s="48" t="s">
        <v>2814</v>
      </c>
      <c r="H38" s="48" t="s">
        <v>3095</v>
      </c>
      <c r="I38" s="48" t="s">
        <v>1884</v>
      </c>
      <c r="J38" s="48" t="s">
        <v>2850</v>
      </c>
      <c r="K38" s="48" t="s">
        <v>1877</v>
      </c>
      <c r="L38" s="48" t="s">
        <v>1842</v>
      </c>
      <c r="M38" s="48" t="s">
        <v>1810</v>
      </c>
      <c r="N38" s="48" t="s">
        <v>1842</v>
      </c>
      <c r="O38" s="48" t="s">
        <v>1811</v>
      </c>
      <c r="P38" s="48" t="s">
        <v>2549</v>
      </c>
      <c r="Q38" s="48" t="s">
        <v>2049</v>
      </c>
      <c r="R38" s="48" t="s">
        <v>1838</v>
      </c>
      <c r="S38" s="48" t="s">
        <v>2050</v>
      </c>
      <c r="T38" s="48" t="s">
        <v>1845</v>
      </c>
      <c r="U38" s="48" t="s">
        <v>2049</v>
      </c>
      <c r="V38" s="48" t="s">
        <v>1838</v>
      </c>
      <c r="W38" s="48" t="s">
        <v>2051</v>
      </c>
      <c r="X38" s="48" t="s">
        <v>2052</v>
      </c>
      <c r="Y38" s="48" t="s">
        <v>2050</v>
      </c>
      <c r="Z38" s="48" t="s">
        <v>2053</v>
      </c>
      <c r="AA38" s="48" t="s">
        <v>2054</v>
      </c>
      <c r="AB38" s="48" t="s">
        <v>2817</v>
      </c>
      <c r="AC38" s="48" t="s">
        <v>2055</v>
      </c>
      <c r="AD38" s="48" t="s">
        <v>2056</v>
      </c>
      <c r="AE38" s="48" t="s">
        <v>1710</v>
      </c>
      <c r="AF38" s="48" t="s">
        <v>1710</v>
      </c>
      <c r="AG38" s="48" t="s">
        <v>2057</v>
      </c>
      <c r="AH38" s="48" t="s">
        <v>1815</v>
      </c>
      <c r="AI38" s="48" t="s">
        <v>2058</v>
      </c>
      <c r="AJ38" s="48" t="s">
        <v>1710</v>
      </c>
      <c r="AK38" s="48" t="s">
        <v>2558</v>
      </c>
      <c r="AL38" s="48" t="s">
        <v>1882</v>
      </c>
      <c r="AM38" s="48" t="s">
        <v>1816</v>
      </c>
      <c r="AN38" s="48" t="s">
        <v>2054</v>
      </c>
      <c r="AO38" s="48" t="s">
        <v>1710</v>
      </c>
      <c r="AP38" s="48" t="s">
        <v>1851</v>
      </c>
      <c r="AQ38" s="48" t="s">
        <v>2083</v>
      </c>
      <c r="AR38" s="48" t="s">
        <v>1812</v>
      </c>
      <c r="AS38" s="48" t="s">
        <v>1813</v>
      </c>
      <c r="AT38" s="48" t="s">
        <v>1826</v>
      </c>
      <c r="AU38" s="48" t="s">
        <v>2061</v>
      </c>
      <c r="AV38" s="48" t="s">
        <v>2850</v>
      </c>
      <c r="AW38" s="48" t="s">
        <v>2062</v>
      </c>
      <c r="AX38" s="48" t="s">
        <v>2063</v>
      </c>
      <c r="AY38" s="48" t="s">
        <v>1710</v>
      </c>
      <c r="AZ38" s="48" t="s">
        <v>3096</v>
      </c>
      <c r="BA38" s="48" t="s">
        <v>1710</v>
      </c>
      <c r="BB38" s="48" t="s">
        <v>1709</v>
      </c>
      <c r="BC38" s="48" t="s">
        <v>1710</v>
      </c>
      <c r="BD38" s="48" t="s">
        <v>2082</v>
      </c>
      <c r="BE38" s="52" t="s">
        <v>3013</v>
      </c>
      <c r="BF38" s="48" t="s">
        <v>1710</v>
      </c>
      <c r="BG38" s="48" t="s">
        <v>2544</v>
      </c>
      <c r="BH38">
        <v>39</v>
      </c>
      <c r="BI38" s="48" t="s">
        <v>1888</v>
      </c>
      <c r="BJ38">
        <v>8</v>
      </c>
      <c r="BK38">
        <v>1473.06</v>
      </c>
      <c r="BL38">
        <v>39821850</v>
      </c>
      <c r="BM38">
        <v>27033</v>
      </c>
      <c r="BN38" s="48" t="s">
        <v>2064</v>
      </c>
      <c r="BO38" s="48" t="s">
        <v>2065</v>
      </c>
      <c r="BP38">
        <v>1473.06</v>
      </c>
      <c r="BQ38">
        <v>27360.09</v>
      </c>
      <c r="BR38" s="48" t="s">
        <v>1885</v>
      </c>
      <c r="BS38" s="48" t="s">
        <v>2066</v>
      </c>
      <c r="BT38">
        <v>1</v>
      </c>
      <c r="BU38">
        <v>481200</v>
      </c>
      <c r="BV38">
        <v>481200</v>
      </c>
      <c r="BW38" s="48" t="s">
        <v>2065</v>
      </c>
      <c r="BX38">
        <v>1473.06</v>
      </c>
      <c r="BY38">
        <v>0</v>
      </c>
      <c r="BZ38">
        <v>0</v>
      </c>
      <c r="CA38" s="48" t="s">
        <v>2065</v>
      </c>
      <c r="CB38">
        <v>1473.06</v>
      </c>
      <c r="CC38">
        <v>0</v>
      </c>
      <c r="CD38">
        <v>0</v>
      </c>
      <c r="CE38" s="48" t="s">
        <v>1710</v>
      </c>
      <c r="CF38" s="48" t="s">
        <v>1710</v>
      </c>
      <c r="CG38" s="48" t="s">
        <v>1710</v>
      </c>
      <c r="CH38" s="48" t="s">
        <v>1710</v>
      </c>
      <c r="CI38" s="48" t="s">
        <v>2067</v>
      </c>
      <c r="CJ38" s="48" t="s">
        <v>1710</v>
      </c>
      <c r="CL38" s="48" t="s">
        <v>2850</v>
      </c>
      <c r="CM38" s="48" t="s">
        <v>1710</v>
      </c>
      <c r="CN38" s="48" t="s">
        <v>2068</v>
      </c>
      <c r="CO38" s="48" t="s">
        <v>2069</v>
      </c>
      <c r="CP38" s="48" t="s">
        <v>1710</v>
      </c>
      <c r="CQ38" s="48" t="s">
        <v>1710</v>
      </c>
      <c r="CR38" s="48" t="s">
        <v>1710</v>
      </c>
      <c r="CS38" s="48" t="s">
        <v>1710</v>
      </c>
      <c r="CT38" s="48" t="s">
        <v>1710</v>
      </c>
      <c r="CU38" s="48" t="s">
        <v>1712</v>
      </c>
      <c r="CV38" s="48" t="s">
        <v>1710</v>
      </c>
      <c r="CW38" s="48" t="s">
        <v>1710</v>
      </c>
      <c r="CX38" s="48" t="s">
        <v>3014</v>
      </c>
      <c r="CY38" s="48" t="s">
        <v>1710</v>
      </c>
      <c r="CZ38" s="48" t="s">
        <v>1712</v>
      </c>
      <c r="DA38" s="48" t="s">
        <v>1710</v>
      </c>
      <c r="DB38" s="48" t="s">
        <v>1878</v>
      </c>
      <c r="DC38" s="48" t="s">
        <v>2070</v>
      </c>
      <c r="DD38" s="48" t="s">
        <v>1842</v>
      </c>
      <c r="DE38" s="48" t="s">
        <v>1886</v>
      </c>
      <c r="DF38" s="48" t="s">
        <v>3097</v>
      </c>
      <c r="DG38" s="48" t="s">
        <v>2071</v>
      </c>
      <c r="DH38" s="48" t="s">
        <v>1712</v>
      </c>
      <c r="DI38" s="48" t="s">
        <v>1710</v>
      </c>
      <c r="DJ38" s="48" t="s">
        <v>1710</v>
      </c>
      <c r="DK38" s="48" t="s">
        <v>1710</v>
      </c>
      <c r="DL38" s="48" t="s">
        <v>1710</v>
      </c>
      <c r="DM38" s="48" t="s">
        <v>1710</v>
      </c>
      <c r="DN38" s="48" t="s">
        <v>1710</v>
      </c>
      <c r="DO38" s="48" t="s">
        <v>1710</v>
      </c>
      <c r="DP38" s="48" t="s">
        <v>1710</v>
      </c>
      <c r="DQ38" s="48" t="s">
        <v>1710</v>
      </c>
      <c r="DR38" s="48" t="s">
        <v>2072</v>
      </c>
      <c r="DS38" s="48" t="s">
        <v>1710</v>
      </c>
      <c r="DT38" s="48" t="s">
        <v>1710</v>
      </c>
      <c r="DU38" s="48" t="s">
        <v>2841</v>
      </c>
      <c r="DV38" s="48" t="s">
        <v>2816</v>
      </c>
      <c r="DW38" s="48" t="s">
        <v>1710</v>
      </c>
      <c r="DX38" s="48" t="s">
        <v>3098</v>
      </c>
      <c r="DY38" s="48" t="s">
        <v>1709</v>
      </c>
      <c r="DZ38" s="48" t="s">
        <v>2562</v>
      </c>
      <c r="EA38" s="48" t="s">
        <v>2546</v>
      </c>
      <c r="EB38">
        <v>0</v>
      </c>
      <c r="EC38" s="48" t="s">
        <v>2841</v>
      </c>
      <c r="ED38" s="48" t="s">
        <v>3089</v>
      </c>
      <c r="EE38" s="48" t="s">
        <v>1814</v>
      </c>
      <c r="EF38" s="48" t="s">
        <v>3099</v>
      </c>
      <c r="EG38" s="48" t="s">
        <v>3096</v>
      </c>
      <c r="EH38">
        <v>2</v>
      </c>
      <c r="EI38" s="48" t="s">
        <v>1888</v>
      </c>
      <c r="EJ38">
        <v>1</v>
      </c>
      <c r="EK38" s="48" t="s">
        <v>1887</v>
      </c>
      <c r="EL38">
        <v>8</v>
      </c>
      <c r="EM38" s="48" t="s">
        <v>1886</v>
      </c>
      <c r="EN38">
        <v>2</v>
      </c>
      <c r="EO38" s="48" t="s">
        <v>3100</v>
      </c>
      <c r="EP38" s="48" t="s">
        <v>3101</v>
      </c>
      <c r="EQ38">
        <v>2020.35</v>
      </c>
      <c r="ER38">
        <v>2020.35</v>
      </c>
      <c r="ES38">
        <v>2940563</v>
      </c>
      <c r="ET38">
        <v>1996</v>
      </c>
      <c r="EU38" s="48" t="s">
        <v>1710</v>
      </c>
      <c r="EV38" s="48" t="s">
        <v>1710</v>
      </c>
      <c r="EW38" s="48" t="s">
        <v>1712</v>
      </c>
      <c r="EX38" s="48" t="s">
        <v>1710</v>
      </c>
      <c r="EY38" s="48" t="s">
        <v>1851</v>
      </c>
      <c r="EZ38" s="48" t="s">
        <v>1710</v>
      </c>
      <c r="FA38" s="48" t="s">
        <v>1710</v>
      </c>
      <c r="FB38" s="48" t="s">
        <v>1712</v>
      </c>
      <c r="FC38" s="48" t="s">
        <v>1710</v>
      </c>
      <c r="FD38" s="48" t="s">
        <v>1710</v>
      </c>
      <c r="FE38" s="48" t="s">
        <v>1814</v>
      </c>
      <c r="FF38" s="48" t="s">
        <v>1815</v>
      </c>
      <c r="FG38" s="48" t="s">
        <v>1710</v>
      </c>
      <c r="FH38">
        <v>1</v>
      </c>
      <c r="FI38" s="48" t="s">
        <v>1846</v>
      </c>
      <c r="FJ38">
        <v>2020.35</v>
      </c>
      <c r="FK38">
        <v>2020.35</v>
      </c>
      <c r="FL38" s="48" t="s">
        <v>3102</v>
      </c>
      <c r="FM38" s="48" t="s">
        <v>3101</v>
      </c>
      <c r="FN38" s="48" t="s">
        <v>1710</v>
      </c>
      <c r="FO38" s="48" t="s">
        <v>1710</v>
      </c>
      <c r="FP38" s="48" t="s">
        <v>1710</v>
      </c>
      <c r="FQ38" s="48" t="s">
        <v>1710</v>
      </c>
      <c r="FR38" s="48" t="s">
        <v>1710</v>
      </c>
      <c r="FS38" s="48" t="s">
        <v>1710</v>
      </c>
      <c r="FT38" s="48" t="s">
        <v>1710</v>
      </c>
      <c r="FU38" s="48" t="s">
        <v>1710</v>
      </c>
      <c r="FV38" s="48"/>
      <c r="FW38" s="56"/>
      <c r="FX38" s="56"/>
      <c r="FY38" s="56"/>
      <c r="FZ38" s="56"/>
      <c r="GA38" s="55" t="str">
        <f t="shared" si="1"/>
        <v>4388426100322X</v>
      </c>
      <c r="GB38" t="str">
        <f>VLOOKUP(B38,수출코드!$C$2:$D$4,2,FALSE)</f>
        <v>Suwon</v>
      </c>
      <c r="GC38" t="str">
        <f>VLOOKUP(L38,수출코드!$A$2:$B$6,2,FALSE)</f>
        <v/>
      </c>
      <c r="GD38" t="str">
        <f>VLOOKUP(M38,수출코드!$E$2:$F$5,2,FALSE)</f>
        <v>일반</v>
      </c>
      <c r="GE38" s="61">
        <f t="shared" si="2"/>
        <v>45971.638888888891</v>
      </c>
      <c r="GF38" s="62">
        <f t="shared" si="0"/>
        <v>46049.415972222225</v>
      </c>
      <c r="GI38" s="48" t="s">
        <v>2740</v>
      </c>
    </row>
    <row r="39" spans="1:191">
      <c r="A39" s="48" t="s">
        <v>3103</v>
      </c>
      <c r="B39" s="48" t="s">
        <v>1821</v>
      </c>
      <c r="C39" s="48" t="s">
        <v>2048</v>
      </c>
      <c r="D39" s="48" t="s">
        <v>2813</v>
      </c>
      <c r="E39" s="48" t="s">
        <v>3103</v>
      </c>
      <c r="F39" s="48" t="s">
        <v>1710</v>
      </c>
      <c r="G39" s="48" t="s">
        <v>2814</v>
      </c>
      <c r="H39" s="48" t="s">
        <v>3104</v>
      </c>
      <c r="I39" s="48" t="s">
        <v>1884</v>
      </c>
      <c r="J39" s="48" t="s">
        <v>2850</v>
      </c>
      <c r="K39" s="48" t="s">
        <v>1877</v>
      </c>
      <c r="L39" s="48" t="s">
        <v>1842</v>
      </c>
      <c r="M39" s="48" t="s">
        <v>1822</v>
      </c>
      <c r="N39" s="48" t="s">
        <v>1842</v>
      </c>
      <c r="O39" s="48" t="s">
        <v>1823</v>
      </c>
      <c r="P39" s="48" t="s">
        <v>2549</v>
      </c>
      <c r="Q39" s="48" t="s">
        <v>2049</v>
      </c>
      <c r="R39" s="48" t="s">
        <v>1838</v>
      </c>
      <c r="S39" s="48" t="s">
        <v>2050</v>
      </c>
      <c r="T39" s="48" t="s">
        <v>1845</v>
      </c>
      <c r="U39" s="48" t="s">
        <v>2049</v>
      </c>
      <c r="V39" s="48" t="s">
        <v>1838</v>
      </c>
      <c r="W39" s="48" t="s">
        <v>2051</v>
      </c>
      <c r="X39" s="48" t="s">
        <v>2052</v>
      </c>
      <c r="Y39" s="48" t="s">
        <v>2050</v>
      </c>
      <c r="Z39" s="48" t="s">
        <v>2053</v>
      </c>
      <c r="AA39" s="48" t="s">
        <v>2054</v>
      </c>
      <c r="AB39" s="48" t="s">
        <v>2817</v>
      </c>
      <c r="AC39" s="48" t="s">
        <v>2055</v>
      </c>
      <c r="AD39" s="48" t="s">
        <v>2056</v>
      </c>
      <c r="AE39" s="48" t="s">
        <v>1710</v>
      </c>
      <c r="AF39" s="48" t="s">
        <v>1710</v>
      </c>
      <c r="AG39" s="48" t="s">
        <v>2057</v>
      </c>
      <c r="AH39" s="48" t="s">
        <v>1815</v>
      </c>
      <c r="AI39" s="48" t="s">
        <v>2058</v>
      </c>
      <c r="AJ39" s="48" t="s">
        <v>1710</v>
      </c>
      <c r="AK39" s="48" t="s">
        <v>3105</v>
      </c>
      <c r="AL39" s="48" t="s">
        <v>3106</v>
      </c>
      <c r="AM39" s="48" t="s">
        <v>1816</v>
      </c>
      <c r="AN39" s="48" t="s">
        <v>2054</v>
      </c>
      <c r="AO39" s="48" t="s">
        <v>1710</v>
      </c>
      <c r="AP39" s="48" t="s">
        <v>1855</v>
      </c>
      <c r="AQ39" s="48" t="s">
        <v>2076</v>
      </c>
      <c r="AR39" s="48" t="s">
        <v>1812</v>
      </c>
      <c r="AS39" s="48" t="s">
        <v>1813</v>
      </c>
      <c r="AT39" s="48" t="s">
        <v>1826</v>
      </c>
      <c r="AU39" s="48" t="s">
        <v>2061</v>
      </c>
      <c r="AV39" s="48" t="s">
        <v>2850</v>
      </c>
      <c r="AW39" s="48" t="s">
        <v>2062</v>
      </c>
      <c r="AX39" s="48" t="s">
        <v>2063</v>
      </c>
      <c r="AY39" s="48" t="s">
        <v>1710</v>
      </c>
      <c r="AZ39" s="48" t="s">
        <v>3107</v>
      </c>
      <c r="BA39" s="48" t="s">
        <v>1710</v>
      </c>
      <c r="BB39" s="48" t="s">
        <v>1709</v>
      </c>
      <c r="BC39" s="48" t="s">
        <v>1710</v>
      </c>
      <c r="BD39" s="48" t="s">
        <v>3108</v>
      </c>
      <c r="BE39" s="52" t="s">
        <v>3109</v>
      </c>
      <c r="BF39" s="48" t="s">
        <v>1710</v>
      </c>
      <c r="BG39" s="48" t="s">
        <v>1817</v>
      </c>
      <c r="BH39">
        <v>400</v>
      </c>
      <c r="BI39" s="48" t="s">
        <v>1888</v>
      </c>
      <c r="BJ39">
        <v>4</v>
      </c>
      <c r="BK39">
        <v>1473.06</v>
      </c>
      <c r="BL39">
        <v>44014925</v>
      </c>
      <c r="BM39">
        <v>29880</v>
      </c>
      <c r="BN39" s="48" t="s">
        <v>2064</v>
      </c>
      <c r="BO39" s="48" t="s">
        <v>2065</v>
      </c>
      <c r="BP39">
        <v>1473.06</v>
      </c>
      <c r="BQ39">
        <v>31187.41</v>
      </c>
      <c r="BR39" s="48" t="s">
        <v>1885</v>
      </c>
      <c r="BS39" s="48" t="s">
        <v>2066</v>
      </c>
      <c r="BT39">
        <v>1</v>
      </c>
      <c r="BU39">
        <v>1926000</v>
      </c>
      <c r="BV39">
        <v>1926000</v>
      </c>
      <c r="BW39" s="48" t="s">
        <v>2065</v>
      </c>
      <c r="BX39">
        <v>1473.06</v>
      </c>
      <c r="BY39">
        <v>0</v>
      </c>
      <c r="BZ39">
        <v>0</v>
      </c>
      <c r="CA39" s="48" t="s">
        <v>2065</v>
      </c>
      <c r="CB39">
        <v>1473.06</v>
      </c>
      <c r="CC39">
        <v>0</v>
      </c>
      <c r="CD39">
        <v>0</v>
      </c>
      <c r="CE39" s="48" t="s">
        <v>1710</v>
      </c>
      <c r="CF39" s="48" t="s">
        <v>1710</v>
      </c>
      <c r="CG39" s="48" t="s">
        <v>1710</v>
      </c>
      <c r="CH39" s="48" t="s">
        <v>1710</v>
      </c>
      <c r="CI39" s="48" t="s">
        <v>2067</v>
      </c>
      <c r="CJ39" s="48" t="s">
        <v>1710</v>
      </c>
      <c r="CL39" s="48" t="s">
        <v>2850</v>
      </c>
      <c r="CM39" s="48" t="s">
        <v>1710</v>
      </c>
      <c r="CN39" s="48" t="s">
        <v>2068</v>
      </c>
      <c r="CO39" s="48" t="s">
        <v>2069</v>
      </c>
      <c r="CP39" s="48" t="s">
        <v>1710</v>
      </c>
      <c r="CQ39" s="48" t="s">
        <v>1710</v>
      </c>
      <c r="CR39" s="48" t="s">
        <v>1710</v>
      </c>
      <c r="CS39" s="48" t="s">
        <v>1710</v>
      </c>
      <c r="CT39" s="48" t="s">
        <v>1710</v>
      </c>
      <c r="CU39" s="48" t="s">
        <v>1712</v>
      </c>
      <c r="CV39" s="48" t="s">
        <v>1710</v>
      </c>
      <c r="CW39" s="48" t="s">
        <v>1710</v>
      </c>
      <c r="CX39" s="48" t="s">
        <v>3014</v>
      </c>
      <c r="CY39" s="48" t="s">
        <v>1710</v>
      </c>
      <c r="CZ39" s="48" t="s">
        <v>1885</v>
      </c>
      <c r="DA39" s="48" t="s">
        <v>1710</v>
      </c>
      <c r="DB39" s="48" t="s">
        <v>1878</v>
      </c>
      <c r="DC39" s="48" t="s">
        <v>2070</v>
      </c>
      <c r="DD39" s="48" t="s">
        <v>1842</v>
      </c>
      <c r="DE39" s="48" t="s">
        <v>1886</v>
      </c>
      <c r="DF39" s="48" t="s">
        <v>3110</v>
      </c>
      <c r="DG39" s="48" t="s">
        <v>2071</v>
      </c>
      <c r="DH39" s="48" t="s">
        <v>1712</v>
      </c>
      <c r="DI39" s="48" t="s">
        <v>1710</v>
      </c>
      <c r="DJ39" s="48" t="s">
        <v>1710</v>
      </c>
      <c r="DK39" s="48" t="s">
        <v>1710</v>
      </c>
      <c r="DL39" s="48" t="s">
        <v>1710</v>
      </c>
      <c r="DM39" s="48" t="s">
        <v>1710</v>
      </c>
      <c r="DN39" s="48" t="s">
        <v>1710</v>
      </c>
      <c r="DO39" s="48" t="s">
        <v>1710</v>
      </c>
      <c r="DP39" s="48" t="s">
        <v>1710</v>
      </c>
      <c r="DQ39" s="48" t="s">
        <v>1710</v>
      </c>
      <c r="DR39" s="48" t="s">
        <v>2072</v>
      </c>
      <c r="DS39" s="48" t="s">
        <v>1710</v>
      </c>
      <c r="DT39" s="48" t="s">
        <v>1710</v>
      </c>
      <c r="DU39" s="48" t="s">
        <v>2841</v>
      </c>
      <c r="DV39" s="48" t="s">
        <v>3111</v>
      </c>
      <c r="DW39" s="48" t="s">
        <v>1710</v>
      </c>
      <c r="DX39" s="48" t="s">
        <v>3112</v>
      </c>
      <c r="DY39" s="48" t="s">
        <v>1709</v>
      </c>
      <c r="DZ39" s="48" t="s">
        <v>2562</v>
      </c>
      <c r="EA39" s="48" t="s">
        <v>2546</v>
      </c>
      <c r="EB39">
        <v>0</v>
      </c>
      <c r="EC39" s="48" t="s">
        <v>2841</v>
      </c>
      <c r="ED39" s="48" t="s">
        <v>3113</v>
      </c>
      <c r="EE39" s="48" t="s">
        <v>1814</v>
      </c>
      <c r="EF39" s="48" t="s">
        <v>1875</v>
      </c>
      <c r="EG39" s="48" t="s">
        <v>3107</v>
      </c>
      <c r="EH39">
        <v>240</v>
      </c>
      <c r="EI39" s="48" t="s">
        <v>1888</v>
      </c>
      <c r="EJ39">
        <v>0</v>
      </c>
      <c r="EK39" s="48" t="s">
        <v>1710</v>
      </c>
      <c r="EL39">
        <v>4</v>
      </c>
      <c r="EM39" s="48" t="s">
        <v>1886</v>
      </c>
      <c r="EN39">
        <v>240</v>
      </c>
      <c r="EO39" s="48" t="s">
        <v>3114</v>
      </c>
      <c r="EP39" s="48" t="s">
        <v>3115</v>
      </c>
      <c r="EQ39">
        <v>31148.25</v>
      </c>
      <c r="ER39">
        <v>31148.25</v>
      </c>
      <c r="ES39">
        <v>43959659</v>
      </c>
      <c r="ET39">
        <v>29842</v>
      </c>
      <c r="EU39" s="48" t="s">
        <v>1710</v>
      </c>
      <c r="EV39" s="48" t="s">
        <v>1710</v>
      </c>
      <c r="EW39" s="48" t="s">
        <v>1712</v>
      </c>
      <c r="EX39" s="48" t="s">
        <v>1710</v>
      </c>
      <c r="EY39" s="48" t="s">
        <v>1848</v>
      </c>
      <c r="EZ39" s="48" t="s">
        <v>1710</v>
      </c>
      <c r="FA39" s="48" t="s">
        <v>1710</v>
      </c>
      <c r="FB39" s="48" t="s">
        <v>1712</v>
      </c>
      <c r="FC39" s="48" t="s">
        <v>1710</v>
      </c>
      <c r="FD39" s="48" t="s">
        <v>1710</v>
      </c>
      <c r="FE39" s="48" t="s">
        <v>1814</v>
      </c>
      <c r="FF39" s="48" t="s">
        <v>1815</v>
      </c>
      <c r="FG39" s="48" t="s">
        <v>1710</v>
      </c>
      <c r="FH39">
        <v>1</v>
      </c>
      <c r="FI39" s="48" t="s">
        <v>1846</v>
      </c>
      <c r="FJ39">
        <v>10382.75</v>
      </c>
      <c r="FK39">
        <v>10382.75</v>
      </c>
      <c r="FL39" s="48" t="s">
        <v>3116</v>
      </c>
      <c r="FM39" s="48" t="s">
        <v>3115</v>
      </c>
      <c r="FN39" s="48" t="s">
        <v>1710</v>
      </c>
      <c r="FO39" s="48" t="s">
        <v>1710</v>
      </c>
      <c r="FP39" s="48" t="s">
        <v>1710</v>
      </c>
      <c r="FQ39" s="48" t="s">
        <v>1710</v>
      </c>
      <c r="FR39" s="48" t="s">
        <v>1710</v>
      </c>
      <c r="FS39" s="48" t="s">
        <v>1710</v>
      </c>
      <c r="FT39" s="48" t="s">
        <v>3117</v>
      </c>
      <c r="FU39" s="48" t="s">
        <v>1710</v>
      </c>
      <c r="FV39" s="48"/>
      <c r="FW39" s="56"/>
      <c r="FX39" s="56"/>
      <c r="FY39" s="56"/>
      <c r="FZ39" s="56"/>
      <c r="GA39" s="55" t="str">
        <f t="shared" si="1"/>
        <v>4388426100323X</v>
      </c>
      <c r="GB39" t="str">
        <f>VLOOKUP(B39,수출코드!$C$2:$D$4,2,FALSE)</f>
        <v>Suwon</v>
      </c>
      <c r="GC39" t="str">
        <f>VLOOKUP(L39,수출코드!$A$2:$B$6,2,FALSE)</f>
        <v/>
      </c>
      <c r="GD39" t="str">
        <f>VLOOKUP(M39,수출코드!$E$2:$F$5,2,FALSE)</f>
        <v>재수입</v>
      </c>
      <c r="GE39" s="61">
        <f t="shared" si="2"/>
        <v>45971.638888888891</v>
      </c>
      <c r="GF39" s="62">
        <f t="shared" si="0"/>
        <v>46049.444444444445</v>
      </c>
      <c r="GI39" s="48" t="s">
        <v>2740</v>
      </c>
    </row>
    <row r="40" spans="1:191">
      <c r="A40" s="48" t="s">
        <v>3118</v>
      </c>
      <c r="B40" s="48" t="s">
        <v>1821</v>
      </c>
      <c r="C40" s="48" t="s">
        <v>2048</v>
      </c>
      <c r="D40" s="48" t="s">
        <v>2813</v>
      </c>
      <c r="E40" s="48" t="s">
        <v>3118</v>
      </c>
      <c r="F40" s="48" t="s">
        <v>1710</v>
      </c>
      <c r="G40" s="48" t="s">
        <v>2814</v>
      </c>
      <c r="H40" s="48" t="s">
        <v>3119</v>
      </c>
      <c r="I40" s="48" t="s">
        <v>1884</v>
      </c>
      <c r="J40" s="48" t="s">
        <v>2850</v>
      </c>
      <c r="K40" s="48" t="s">
        <v>1877</v>
      </c>
      <c r="L40" s="48" t="s">
        <v>1842</v>
      </c>
      <c r="M40" s="48" t="s">
        <v>1822</v>
      </c>
      <c r="N40" s="48" t="s">
        <v>1842</v>
      </c>
      <c r="O40" s="48" t="s">
        <v>1823</v>
      </c>
      <c r="P40" s="48" t="s">
        <v>2549</v>
      </c>
      <c r="Q40" s="48" t="s">
        <v>2049</v>
      </c>
      <c r="R40" s="48" t="s">
        <v>1838</v>
      </c>
      <c r="S40" s="48" t="s">
        <v>2050</v>
      </c>
      <c r="T40" s="48" t="s">
        <v>1845</v>
      </c>
      <c r="U40" s="48" t="s">
        <v>2049</v>
      </c>
      <c r="V40" s="48" t="s">
        <v>1838</v>
      </c>
      <c r="W40" s="48" t="s">
        <v>2051</v>
      </c>
      <c r="X40" s="48" t="s">
        <v>2052</v>
      </c>
      <c r="Y40" s="48" t="s">
        <v>2050</v>
      </c>
      <c r="Z40" s="48" t="s">
        <v>2053</v>
      </c>
      <c r="AA40" s="48" t="s">
        <v>2054</v>
      </c>
      <c r="AB40" s="48" t="s">
        <v>2817</v>
      </c>
      <c r="AC40" s="48" t="s">
        <v>2055</v>
      </c>
      <c r="AD40" s="48" t="s">
        <v>2056</v>
      </c>
      <c r="AE40" s="48" t="s">
        <v>1710</v>
      </c>
      <c r="AF40" s="48" t="s">
        <v>1710</v>
      </c>
      <c r="AG40" s="48" t="s">
        <v>2057</v>
      </c>
      <c r="AH40" s="48" t="s">
        <v>1815</v>
      </c>
      <c r="AI40" s="48" t="s">
        <v>2058</v>
      </c>
      <c r="AJ40" s="48" t="s">
        <v>1710</v>
      </c>
      <c r="AK40" s="48" t="s">
        <v>2074</v>
      </c>
      <c r="AL40" s="48" t="s">
        <v>2075</v>
      </c>
      <c r="AM40" s="48" t="s">
        <v>1816</v>
      </c>
      <c r="AN40" s="48" t="s">
        <v>2054</v>
      </c>
      <c r="AO40" s="48" t="s">
        <v>1710</v>
      </c>
      <c r="AP40" s="48" t="s">
        <v>1855</v>
      </c>
      <c r="AQ40" s="48" t="s">
        <v>2076</v>
      </c>
      <c r="AR40" s="48" t="s">
        <v>1812</v>
      </c>
      <c r="AS40" s="48" t="s">
        <v>1813</v>
      </c>
      <c r="AT40" s="48" t="s">
        <v>1826</v>
      </c>
      <c r="AU40" s="48" t="s">
        <v>2061</v>
      </c>
      <c r="AV40" s="48" t="s">
        <v>2850</v>
      </c>
      <c r="AW40" s="48" t="s">
        <v>2062</v>
      </c>
      <c r="AX40" s="48" t="s">
        <v>2063</v>
      </c>
      <c r="AY40" s="48" t="s">
        <v>1710</v>
      </c>
      <c r="AZ40" s="48" t="s">
        <v>3120</v>
      </c>
      <c r="BA40" s="48" t="s">
        <v>1710</v>
      </c>
      <c r="BB40" s="48" t="s">
        <v>1709</v>
      </c>
      <c r="BC40" s="48" t="s">
        <v>1710</v>
      </c>
      <c r="BD40" s="48" t="s">
        <v>3108</v>
      </c>
      <c r="BE40" s="52" t="s">
        <v>3109</v>
      </c>
      <c r="BF40" s="48" t="s">
        <v>1710</v>
      </c>
      <c r="BG40" s="48" t="s">
        <v>1814</v>
      </c>
      <c r="BH40">
        <v>95</v>
      </c>
      <c r="BI40" s="48" t="s">
        <v>1888</v>
      </c>
      <c r="BJ40">
        <v>1</v>
      </c>
      <c r="BK40">
        <v>1473.06</v>
      </c>
      <c r="BL40">
        <v>10382432</v>
      </c>
      <c r="BM40">
        <v>7048</v>
      </c>
      <c r="BN40" s="48" t="s">
        <v>2064</v>
      </c>
      <c r="BO40" s="48" t="s">
        <v>2065</v>
      </c>
      <c r="BP40">
        <v>1473.06</v>
      </c>
      <c r="BQ40">
        <v>7361.84</v>
      </c>
      <c r="BR40" s="48" t="s">
        <v>1885</v>
      </c>
      <c r="BS40" s="48" t="s">
        <v>2066</v>
      </c>
      <c r="BT40">
        <v>1</v>
      </c>
      <c r="BU40">
        <v>462000</v>
      </c>
      <c r="BV40">
        <v>462000</v>
      </c>
      <c r="BW40" s="48" t="s">
        <v>2065</v>
      </c>
      <c r="BX40">
        <v>1473.06</v>
      </c>
      <c r="BY40">
        <v>0</v>
      </c>
      <c r="BZ40">
        <v>0</v>
      </c>
      <c r="CA40" s="48" t="s">
        <v>2065</v>
      </c>
      <c r="CB40">
        <v>1473.06</v>
      </c>
      <c r="CC40">
        <v>0</v>
      </c>
      <c r="CD40">
        <v>0</v>
      </c>
      <c r="CE40" s="48" t="s">
        <v>1710</v>
      </c>
      <c r="CF40" s="48" t="s">
        <v>1710</v>
      </c>
      <c r="CG40" s="48" t="s">
        <v>1710</v>
      </c>
      <c r="CH40" s="48" t="s">
        <v>1710</v>
      </c>
      <c r="CI40" s="48" t="s">
        <v>2067</v>
      </c>
      <c r="CJ40" s="48" t="s">
        <v>1710</v>
      </c>
      <c r="CL40" s="48" t="s">
        <v>2850</v>
      </c>
      <c r="CM40" s="48" t="s">
        <v>1710</v>
      </c>
      <c r="CN40" s="48" t="s">
        <v>2068</v>
      </c>
      <c r="CO40" s="48" t="s">
        <v>2069</v>
      </c>
      <c r="CP40" s="48" t="s">
        <v>1710</v>
      </c>
      <c r="CQ40" s="48" t="s">
        <v>1710</v>
      </c>
      <c r="CR40" s="48" t="s">
        <v>1710</v>
      </c>
      <c r="CS40" s="48" t="s">
        <v>1710</v>
      </c>
      <c r="CT40" s="48" t="s">
        <v>1710</v>
      </c>
      <c r="CU40" s="48" t="s">
        <v>1712</v>
      </c>
      <c r="CV40" s="48" t="s">
        <v>1710</v>
      </c>
      <c r="CW40" s="48" t="s">
        <v>1710</v>
      </c>
      <c r="CX40" s="48" t="s">
        <v>3014</v>
      </c>
      <c r="CY40" s="48" t="s">
        <v>1710</v>
      </c>
      <c r="CZ40" s="48" t="s">
        <v>1885</v>
      </c>
      <c r="DA40" s="48" t="s">
        <v>1710</v>
      </c>
      <c r="DB40" s="48" t="s">
        <v>1878</v>
      </c>
      <c r="DC40" s="48" t="s">
        <v>2070</v>
      </c>
      <c r="DD40" s="48" t="s">
        <v>1842</v>
      </c>
      <c r="DE40" s="48" t="s">
        <v>1886</v>
      </c>
      <c r="DF40" s="48" t="s">
        <v>3121</v>
      </c>
      <c r="DG40" s="48" t="s">
        <v>2071</v>
      </c>
      <c r="DH40" s="48" t="s">
        <v>1712</v>
      </c>
      <c r="DI40" s="48" t="s">
        <v>1710</v>
      </c>
      <c r="DJ40" s="48" t="s">
        <v>1710</v>
      </c>
      <c r="DK40" s="48" t="s">
        <v>1710</v>
      </c>
      <c r="DL40" s="48" t="s">
        <v>1710</v>
      </c>
      <c r="DM40" s="48" t="s">
        <v>1710</v>
      </c>
      <c r="DN40" s="48" t="s">
        <v>1710</v>
      </c>
      <c r="DO40" s="48" t="s">
        <v>1710</v>
      </c>
      <c r="DP40" s="48" t="s">
        <v>1710</v>
      </c>
      <c r="DQ40" s="48" t="s">
        <v>1710</v>
      </c>
      <c r="DR40" s="48" t="s">
        <v>2072</v>
      </c>
      <c r="DS40" s="48" t="s">
        <v>1710</v>
      </c>
      <c r="DT40" s="48" t="s">
        <v>1710</v>
      </c>
      <c r="DU40" s="48" t="s">
        <v>2841</v>
      </c>
      <c r="DV40" s="48" t="s">
        <v>3111</v>
      </c>
      <c r="DW40" s="48" t="s">
        <v>1710</v>
      </c>
      <c r="DX40" s="48" t="s">
        <v>3122</v>
      </c>
      <c r="DY40" s="48" t="s">
        <v>1709</v>
      </c>
      <c r="DZ40" s="48" t="s">
        <v>2562</v>
      </c>
      <c r="EA40" s="48" t="s">
        <v>2546</v>
      </c>
      <c r="EB40">
        <v>0</v>
      </c>
      <c r="EC40" s="48" t="s">
        <v>2841</v>
      </c>
      <c r="ED40" s="48" t="s">
        <v>3113</v>
      </c>
      <c r="EE40" s="48" t="s">
        <v>1814</v>
      </c>
      <c r="EF40" s="48" t="s">
        <v>1841</v>
      </c>
      <c r="EG40" s="48" t="s">
        <v>3120</v>
      </c>
      <c r="EH40">
        <v>50</v>
      </c>
      <c r="EI40" s="48" t="s">
        <v>1888</v>
      </c>
      <c r="EJ40">
        <v>0</v>
      </c>
      <c r="EK40" s="48" t="s">
        <v>1710</v>
      </c>
      <c r="EL40">
        <v>1</v>
      </c>
      <c r="EM40" s="48" t="s">
        <v>1886</v>
      </c>
      <c r="EN40">
        <v>50</v>
      </c>
      <c r="EO40" s="48" t="s">
        <v>2702</v>
      </c>
      <c r="EP40" s="48" t="s">
        <v>2703</v>
      </c>
      <c r="EQ40">
        <v>7361.84</v>
      </c>
      <c r="ER40">
        <v>7361.84</v>
      </c>
      <c r="ES40">
        <v>10382432</v>
      </c>
      <c r="ET40">
        <v>7048</v>
      </c>
      <c r="EU40" s="48" t="s">
        <v>1710</v>
      </c>
      <c r="EV40" s="48" t="s">
        <v>1710</v>
      </c>
      <c r="EW40" s="48" t="s">
        <v>1712</v>
      </c>
      <c r="EX40" s="48" t="s">
        <v>1710</v>
      </c>
      <c r="EY40" s="48" t="s">
        <v>1843</v>
      </c>
      <c r="EZ40" s="48" t="s">
        <v>1710</v>
      </c>
      <c r="FA40" s="48" t="s">
        <v>1710</v>
      </c>
      <c r="FB40" s="48" t="s">
        <v>1712</v>
      </c>
      <c r="FC40" s="48" t="s">
        <v>1710</v>
      </c>
      <c r="FD40" s="48" t="s">
        <v>1710</v>
      </c>
      <c r="FE40" s="48" t="s">
        <v>1814</v>
      </c>
      <c r="FF40" s="48" t="s">
        <v>1815</v>
      </c>
      <c r="FG40" s="48" t="s">
        <v>1710</v>
      </c>
      <c r="FH40">
        <v>1</v>
      </c>
      <c r="FI40" s="48" t="s">
        <v>1846</v>
      </c>
      <c r="FJ40">
        <v>3680.92</v>
      </c>
      <c r="FK40">
        <v>3680.92</v>
      </c>
      <c r="FL40" s="48" t="s">
        <v>2704</v>
      </c>
      <c r="FM40" s="48" t="s">
        <v>2705</v>
      </c>
      <c r="FN40" s="48" t="s">
        <v>1710</v>
      </c>
      <c r="FO40" s="48" t="s">
        <v>1710</v>
      </c>
      <c r="FP40" s="48" t="s">
        <v>1710</v>
      </c>
      <c r="FQ40" s="48" t="s">
        <v>1710</v>
      </c>
      <c r="FR40" s="48" t="s">
        <v>1710</v>
      </c>
      <c r="FS40" s="48" t="s">
        <v>1710</v>
      </c>
      <c r="FT40" s="48" t="s">
        <v>3123</v>
      </c>
      <c r="FU40" s="48" t="s">
        <v>1710</v>
      </c>
      <c r="FV40" s="48"/>
      <c r="FW40" s="56"/>
      <c r="FX40" s="56"/>
      <c r="FY40" s="56"/>
      <c r="FZ40" s="56"/>
      <c r="GA40" s="55" t="str">
        <f t="shared" si="1"/>
        <v>4388426100324X</v>
      </c>
      <c r="GB40" t="str">
        <f>VLOOKUP(B40,수출코드!$C$2:$D$4,2,FALSE)</f>
        <v>Suwon</v>
      </c>
      <c r="GC40" t="str">
        <f>VLOOKUP(L40,수출코드!$A$2:$B$6,2,FALSE)</f>
        <v/>
      </c>
      <c r="GD40" t="str">
        <f>VLOOKUP(M40,수출코드!$E$2:$F$5,2,FALSE)</f>
        <v>재수입</v>
      </c>
      <c r="GE40" s="61">
        <f t="shared" si="2"/>
        <v>45971.638888888891</v>
      </c>
      <c r="GF40" s="62">
        <f t="shared" si="0"/>
        <v>46049.444444444445</v>
      </c>
      <c r="GI40" s="48" t="s">
        <v>2740</v>
      </c>
    </row>
    <row r="41" spans="1:191">
      <c r="A41" s="48" t="s">
        <v>3124</v>
      </c>
      <c r="B41" s="48" t="s">
        <v>1821</v>
      </c>
      <c r="C41" s="48" t="s">
        <v>2048</v>
      </c>
      <c r="D41" s="48" t="s">
        <v>2813</v>
      </c>
      <c r="E41" s="48" t="s">
        <v>3124</v>
      </c>
      <c r="F41" s="48" t="s">
        <v>1710</v>
      </c>
      <c r="G41" s="48" t="s">
        <v>2814</v>
      </c>
      <c r="H41" s="48" t="s">
        <v>3125</v>
      </c>
      <c r="I41" s="48" t="s">
        <v>1884</v>
      </c>
      <c r="J41" s="48" t="s">
        <v>2850</v>
      </c>
      <c r="K41" s="48" t="s">
        <v>1877</v>
      </c>
      <c r="L41" s="48" t="s">
        <v>1842</v>
      </c>
      <c r="M41" s="48" t="s">
        <v>1822</v>
      </c>
      <c r="N41" s="48" t="s">
        <v>1842</v>
      </c>
      <c r="O41" s="48" t="s">
        <v>1823</v>
      </c>
      <c r="P41" s="48" t="s">
        <v>2549</v>
      </c>
      <c r="Q41" s="48" t="s">
        <v>2049</v>
      </c>
      <c r="R41" s="48" t="s">
        <v>1838</v>
      </c>
      <c r="S41" s="48" t="s">
        <v>2050</v>
      </c>
      <c r="T41" s="48" t="s">
        <v>1845</v>
      </c>
      <c r="U41" s="48" t="s">
        <v>2049</v>
      </c>
      <c r="V41" s="48" t="s">
        <v>1838</v>
      </c>
      <c r="W41" s="48" t="s">
        <v>2051</v>
      </c>
      <c r="X41" s="48" t="s">
        <v>2052</v>
      </c>
      <c r="Y41" s="48" t="s">
        <v>2050</v>
      </c>
      <c r="Z41" s="48" t="s">
        <v>2053</v>
      </c>
      <c r="AA41" s="48" t="s">
        <v>2054</v>
      </c>
      <c r="AB41" s="48" t="s">
        <v>2817</v>
      </c>
      <c r="AC41" s="48" t="s">
        <v>2055</v>
      </c>
      <c r="AD41" s="48" t="s">
        <v>2056</v>
      </c>
      <c r="AE41" s="48" t="s">
        <v>1710</v>
      </c>
      <c r="AF41" s="48" t="s">
        <v>1710</v>
      </c>
      <c r="AG41" s="48" t="s">
        <v>2057</v>
      </c>
      <c r="AH41" s="48" t="s">
        <v>1815</v>
      </c>
      <c r="AI41" s="48" t="s">
        <v>2058</v>
      </c>
      <c r="AJ41" s="48" t="s">
        <v>1710</v>
      </c>
      <c r="AK41" s="48" t="s">
        <v>2077</v>
      </c>
      <c r="AL41" s="48" t="s">
        <v>1858</v>
      </c>
      <c r="AM41" s="48" t="s">
        <v>1816</v>
      </c>
      <c r="AN41" s="48" t="s">
        <v>2054</v>
      </c>
      <c r="AO41" s="48" t="s">
        <v>1710</v>
      </c>
      <c r="AP41" s="48" t="s">
        <v>1848</v>
      </c>
      <c r="AQ41" s="48" t="s">
        <v>2060</v>
      </c>
      <c r="AR41" s="48" t="s">
        <v>1812</v>
      </c>
      <c r="AS41" s="48" t="s">
        <v>1813</v>
      </c>
      <c r="AT41" s="48" t="s">
        <v>1826</v>
      </c>
      <c r="AU41" s="48" t="s">
        <v>2061</v>
      </c>
      <c r="AV41" s="48" t="s">
        <v>2850</v>
      </c>
      <c r="AW41" s="48" t="s">
        <v>2062</v>
      </c>
      <c r="AX41" s="48" t="s">
        <v>2063</v>
      </c>
      <c r="AY41" s="48" t="s">
        <v>1710</v>
      </c>
      <c r="AZ41" s="48" t="s">
        <v>3126</v>
      </c>
      <c r="BA41" s="48" t="s">
        <v>1710</v>
      </c>
      <c r="BB41" s="48" t="s">
        <v>1709</v>
      </c>
      <c r="BC41" s="48" t="s">
        <v>1710</v>
      </c>
      <c r="BD41" s="48" t="s">
        <v>2094</v>
      </c>
      <c r="BE41" s="52" t="s">
        <v>3127</v>
      </c>
      <c r="BF41" s="48" t="s">
        <v>1710</v>
      </c>
      <c r="BG41" s="48" t="s">
        <v>1814</v>
      </c>
      <c r="BH41">
        <v>24</v>
      </c>
      <c r="BI41" s="48" t="s">
        <v>1888</v>
      </c>
      <c r="BJ41">
        <v>1</v>
      </c>
      <c r="BK41">
        <v>1473.06</v>
      </c>
      <c r="BL41">
        <v>6579694</v>
      </c>
      <c r="BM41">
        <v>4467</v>
      </c>
      <c r="BN41" s="48" t="s">
        <v>2064</v>
      </c>
      <c r="BO41" s="48" t="s">
        <v>2065</v>
      </c>
      <c r="BP41">
        <v>1473.06</v>
      </c>
      <c r="BQ41">
        <v>4701.57</v>
      </c>
      <c r="BR41" s="48" t="s">
        <v>1885</v>
      </c>
      <c r="BS41" s="48" t="s">
        <v>2066</v>
      </c>
      <c r="BT41">
        <v>1</v>
      </c>
      <c r="BU41">
        <v>346000</v>
      </c>
      <c r="BV41">
        <v>346000</v>
      </c>
      <c r="BW41" s="48" t="s">
        <v>2065</v>
      </c>
      <c r="BX41">
        <v>1473.06</v>
      </c>
      <c r="BY41">
        <v>0</v>
      </c>
      <c r="BZ41">
        <v>0</v>
      </c>
      <c r="CA41" s="48" t="s">
        <v>2065</v>
      </c>
      <c r="CB41">
        <v>1473.06</v>
      </c>
      <c r="CC41">
        <v>0</v>
      </c>
      <c r="CD41">
        <v>0</v>
      </c>
      <c r="CE41" s="48" t="s">
        <v>1710</v>
      </c>
      <c r="CF41" s="48" t="s">
        <v>1710</v>
      </c>
      <c r="CG41" s="48" t="s">
        <v>1710</v>
      </c>
      <c r="CH41" s="48" t="s">
        <v>1710</v>
      </c>
      <c r="CI41" s="48" t="s">
        <v>2067</v>
      </c>
      <c r="CJ41" s="48" t="s">
        <v>1710</v>
      </c>
      <c r="CL41" s="48" t="s">
        <v>2850</v>
      </c>
      <c r="CM41" s="48" t="s">
        <v>1710</v>
      </c>
      <c r="CN41" s="48" t="s">
        <v>2068</v>
      </c>
      <c r="CO41" s="48" t="s">
        <v>2069</v>
      </c>
      <c r="CP41" s="48" t="s">
        <v>1710</v>
      </c>
      <c r="CQ41" s="48" t="s">
        <v>1710</v>
      </c>
      <c r="CR41" s="48" t="s">
        <v>1710</v>
      </c>
      <c r="CS41" s="48" t="s">
        <v>1710</v>
      </c>
      <c r="CT41" s="48" t="s">
        <v>1710</v>
      </c>
      <c r="CU41" s="48" t="s">
        <v>1712</v>
      </c>
      <c r="CV41" s="48" t="s">
        <v>1710</v>
      </c>
      <c r="CW41" s="48" t="s">
        <v>1710</v>
      </c>
      <c r="CX41" s="48" t="s">
        <v>3014</v>
      </c>
      <c r="CY41" s="48" t="s">
        <v>1710</v>
      </c>
      <c r="CZ41" s="48" t="s">
        <v>1885</v>
      </c>
      <c r="DA41" s="48" t="s">
        <v>1710</v>
      </c>
      <c r="DB41" s="48" t="s">
        <v>1878</v>
      </c>
      <c r="DC41" s="48" t="s">
        <v>2070</v>
      </c>
      <c r="DD41" s="48" t="s">
        <v>1842</v>
      </c>
      <c r="DE41" s="48" t="s">
        <v>1886</v>
      </c>
      <c r="DF41" s="48" t="s">
        <v>3128</v>
      </c>
      <c r="DG41" s="48" t="s">
        <v>2071</v>
      </c>
      <c r="DH41" s="48" t="s">
        <v>1712</v>
      </c>
      <c r="DI41" s="48" t="s">
        <v>1710</v>
      </c>
      <c r="DJ41" s="48" t="s">
        <v>1710</v>
      </c>
      <c r="DK41" s="48" t="s">
        <v>1710</v>
      </c>
      <c r="DL41" s="48" t="s">
        <v>1710</v>
      </c>
      <c r="DM41" s="48" t="s">
        <v>1710</v>
      </c>
      <c r="DN41" s="48" t="s">
        <v>1710</v>
      </c>
      <c r="DO41" s="48" t="s">
        <v>1710</v>
      </c>
      <c r="DP41" s="48" t="s">
        <v>1710</v>
      </c>
      <c r="DQ41" s="48" t="s">
        <v>1710</v>
      </c>
      <c r="DR41" s="48" t="s">
        <v>2072</v>
      </c>
      <c r="DS41" s="48" t="s">
        <v>1710</v>
      </c>
      <c r="DT41" s="48" t="s">
        <v>1710</v>
      </c>
      <c r="DU41" s="48" t="s">
        <v>2841</v>
      </c>
      <c r="DV41" s="48" t="s">
        <v>3111</v>
      </c>
      <c r="DW41" s="48" t="s">
        <v>1710</v>
      </c>
      <c r="DX41" s="48" t="s">
        <v>3129</v>
      </c>
      <c r="DY41" s="48" t="s">
        <v>1709</v>
      </c>
      <c r="DZ41" s="48" t="s">
        <v>2562</v>
      </c>
      <c r="EA41" s="48" t="s">
        <v>2546</v>
      </c>
      <c r="EB41">
        <v>0</v>
      </c>
      <c r="EC41" s="48" t="s">
        <v>2841</v>
      </c>
      <c r="ED41" s="48" t="s">
        <v>3130</v>
      </c>
      <c r="EE41" s="48" t="s">
        <v>1814</v>
      </c>
      <c r="EF41" s="48" t="s">
        <v>1852</v>
      </c>
      <c r="EG41" s="48" t="s">
        <v>3126</v>
      </c>
      <c r="EH41">
        <v>19</v>
      </c>
      <c r="EI41" s="48" t="s">
        <v>1888</v>
      </c>
      <c r="EJ41">
        <v>0</v>
      </c>
      <c r="EK41" s="48" t="s">
        <v>1710</v>
      </c>
      <c r="EL41">
        <v>1</v>
      </c>
      <c r="EM41" s="48" t="s">
        <v>1886</v>
      </c>
      <c r="EN41">
        <v>19</v>
      </c>
      <c r="EO41" s="48" t="s">
        <v>2525</v>
      </c>
      <c r="EP41" s="48" t="s">
        <v>3131</v>
      </c>
      <c r="EQ41">
        <v>4701.57</v>
      </c>
      <c r="ER41">
        <v>4701.57</v>
      </c>
      <c r="ES41">
        <v>6579694</v>
      </c>
      <c r="ET41">
        <v>4467</v>
      </c>
      <c r="EU41" s="48" t="s">
        <v>1710</v>
      </c>
      <c r="EV41" s="48" t="s">
        <v>1710</v>
      </c>
      <c r="EW41" s="48" t="s">
        <v>1712</v>
      </c>
      <c r="EX41" s="48" t="s">
        <v>1710</v>
      </c>
      <c r="EY41" s="48" t="s">
        <v>1848</v>
      </c>
      <c r="EZ41" s="48" t="s">
        <v>1710</v>
      </c>
      <c r="FA41" s="48" t="s">
        <v>1710</v>
      </c>
      <c r="FB41" s="48" t="s">
        <v>1712</v>
      </c>
      <c r="FC41" s="48" t="s">
        <v>1710</v>
      </c>
      <c r="FD41" s="48" t="s">
        <v>1710</v>
      </c>
      <c r="FE41" s="48" t="s">
        <v>1814</v>
      </c>
      <c r="FF41" s="48" t="s">
        <v>1815</v>
      </c>
      <c r="FG41" s="48" t="s">
        <v>1710</v>
      </c>
      <c r="FH41">
        <v>1</v>
      </c>
      <c r="FI41" s="48" t="s">
        <v>1846</v>
      </c>
      <c r="FJ41">
        <v>4701.57</v>
      </c>
      <c r="FK41">
        <v>4701.57</v>
      </c>
      <c r="FL41" s="48" t="s">
        <v>3132</v>
      </c>
      <c r="FM41" s="48" t="s">
        <v>3131</v>
      </c>
      <c r="FN41" s="48" t="s">
        <v>1710</v>
      </c>
      <c r="FO41" s="48" t="s">
        <v>1710</v>
      </c>
      <c r="FP41" s="48" t="s">
        <v>1710</v>
      </c>
      <c r="FQ41" s="48" t="s">
        <v>1710</v>
      </c>
      <c r="FR41" s="48" t="s">
        <v>1710</v>
      </c>
      <c r="FS41" s="48" t="s">
        <v>1710</v>
      </c>
      <c r="FT41" s="48" t="s">
        <v>3133</v>
      </c>
      <c r="FU41" s="48" t="s">
        <v>1710</v>
      </c>
      <c r="FV41" s="48"/>
      <c r="FW41" s="56"/>
      <c r="FX41" s="56"/>
      <c r="FY41" s="56"/>
      <c r="FZ41" s="56"/>
      <c r="GA41" s="55" t="str">
        <f t="shared" si="1"/>
        <v>4388426100325X</v>
      </c>
      <c r="GB41" t="str">
        <f>VLOOKUP(B41,수출코드!$C$2:$D$4,2,FALSE)</f>
        <v>Suwon</v>
      </c>
      <c r="GC41" t="str">
        <f>VLOOKUP(L41,수출코드!$A$2:$B$6,2,FALSE)</f>
        <v/>
      </c>
      <c r="GD41" t="str">
        <f>VLOOKUP(M41,수출코드!$E$2:$F$5,2,FALSE)</f>
        <v>재수입</v>
      </c>
      <c r="GE41" s="61">
        <f t="shared" si="2"/>
        <v>45971.638888888891</v>
      </c>
      <c r="GF41" s="62">
        <f t="shared" si="0"/>
        <v>46049.727083333331</v>
      </c>
      <c r="GI41" s="48" t="s">
        <v>2740</v>
      </c>
    </row>
    <row r="42" spans="1:191">
      <c r="A42" s="48" t="s">
        <v>3134</v>
      </c>
      <c r="B42" s="48" t="s">
        <v>1821</v>
      </c>
      <c r="C42" s="48" t="s">
        <v>2048</v>
      </c>
      <c r="D42" s="48" t="s">
        <v>2813</v>
      </c>
      <c r="E42" s="48" t="s">
        <v>3134</v>
      </c>
      <c r="F42" s="48" t="s">
        <v>1710</v>
      </c>
      <c r="G42" s="48" t="s">
        <v>2814</v>
      </c>
      <c r="H42" s="48" t="s">
        <v>3135</v>
      </c>
      <c r="I42" s="48" t="s">
        <v>1884</v>
      </c>
      <c r="J42" s="48" t="s">
        <v>2816</v>
      </c>
      <c r="K42" s="48" t="s">
        <v>1877</v>
      </c>
      <c r="L42" s="48" t="s">
        <v>1842</v>
      </c>
      <c r="M42" s="48" t="s">
        <v>1810</v>
      </c>
      <c r="N42" s="48" t="s">
        <v>1842</v>
      </c>
      <c r="O42" s="48" t="s">
        <v>1811</v>
      </c>
      <c r="P42" s="48" t="s">
        <v>2549</v>
      </c>
      <c r="Q42" s="48" t="s">
        <v>2049</v>
      </c>
      <c r="R42" s="48" t="s">
        <v>1838</v>
      </c>
      <c r="S42" s="48" t="s">
        <v>2050</v>
      </c>
      <c r="T42" s="48" t="s">
        <v>1845</v>
      </c>
      <c r="U42" s="48" t="s">
        <v>2049</v>
      </c>
      <c r="V42" s="48" t="s">
        <v>1838</v>
      </c>
      <c r="W42" s="48" t="s">
        <v>2051</v>
      </c>
      <c r="X42" s="48" t="s">
        <v>2052</v>
      </c>
      <c r="Y42" s="48" t="s">
        <v>2050</v>
      </c>
      <c r="Z42" s="48" t="s">
        <v>2053</v>
      </c>
      <c r="AA42" s="48" t="s">
        <v>2054</v>
      </c>
      <c r="AB42" s="48" t="s">
        <v>2817</v>
      </c>
      <c r="AC42" s="48" t="s">
        <v>2055</v>
      </c>
      <c r="AD42" s="48" t="s">
        <v>2056</v>
      </c>
      <c r="AE42" s="48" t="s">
        <v>1710</v>
      </c>
      <c r="AF42" s="48" t="s">
        <v>1710</v>
      </c>
      <c r="AG42" s="48" t="s">
        <v>2057</v>
      </c>
      <c r="AH42" s="48" t="s">
        <v>1815</v>
      </c>
      <c r="AI42" s="48" t="s">
        <v>2058</v>
      </c>
      <c r="AJ42" s="48" t="s">
        <v>1710</v>
      </c>
      <c r="AK42" s="48" t="s">
        <v>2563</v>
      </c>
      <c r="AL42" s="48" t="s">
        <v>2564</v>
      </c>
      <c r="AM42" s="48" t="s">
        <v>1816</v>
      </c>
      <c r="AN42" s="48" t="s">
        <v>2054</v>
      </c>
      <c r="AO42" s="48" t="s">
        <v>1710</v>
      </c>
      <c r="AP42" s="48" t="s">
        <v>1855</v>
      </c>
      <c r="AQ42" s="48" t="s">
        <v>2076</v>
      </c>
      <c r="AR42" s="48" t="s">
        <v>1812</v>
      </c>
      <c r="AS42" s="48" t="s">
        <v>1813</v>
      </c>
      <c r="AT42" s="48" t="s">
        <v>1826</v>
      </c>
      <c r="AU42" s="48" t="s">
        <v>2061</v>
      </c>
      <c r="AV42" s="48" t="s">
        <v>2816</v>
      </c>
      <c r="AW42" s="48" t="s">
        <v>2062</v>
      </c>
      <c r="AX42" s="48" t="s">
        <v>2063</v>
      </c>
      <c r="AY42" s="48" t="s">
        <v>1710</v>
      </c>
      <c r="AZ42" s="48" t="s">
        <v>3136</v>
      </c>
      <c r="BA42" s="48" t="s">
        <v>1710</v>
      </c>
      <c r="BB42" s="48" t="s">
        <v>1709</v>
      </c>
      <c r="BC42" s="48" t="s">
        <v>1710</v>
      </c>
      <c r="BD42" s="48" t="s">
        <v>3137</v>
      </c>
      <c r="BE42" s="52" t="s">
        <v>3138</v>
      </c>
      <c r="BF42" s="48" t="s">
        <v>1710</v>
      </c>
      <c r="BG42" s="48" t="s">
        <v>3139</v>
      </c>
      <c r="BH42">
        <v>182</v>
      </c>
      <c r="BI42" s="48" t="s">
        <v>1888</v>
      </c>
      <c r="BJ42">
        <v>3</v>
      </c>
      <c r="BK42">
        <v>1473.06</v>
      </c>
      <c r="BL42">
        <v>96352225</v>
      </c>
      <c r="BM42">
        <v>65410</v>
      </c>
      <c r="BN42" s="48" t="s">
        <v>2064</v>
      </c>
      <c r="BO42" s="48" t="s">
        <v>2065</v>
      </c>
      <c r="BP42">
        <v>1473.06</v>
      </c>
      <c r="BQ42">
        <v>66006.7</v>
      </c>
      <c r="BR42" s="48" t="s">
        <v>1885</v>
      </c>
      <c r="BS42" s="48" t="s">
        <v>2066</v>
      </c>
      <c r="BT42">
        <v>1</v>
      </c>
      <c r="BU42">
        <v>879600</v>
      </c>
      <c r="BV42">
        <v>879600</v>
      </c>
      <c r="BW42" s="48" t="s">
        <v>2065</v>
      </c>
      <c r="BX42">
        <v>1473.06</v>
      </c>
      <c r="BY42">
        <v>0</v>
      </c>
      <c r="BZ42">
        <v>0</v>
      </c>
      <c r="CA42" s="48" t="s">
        <v>2065</v>
      </c>
      <c r="CB42">
        <v>1473.06</v>
      </c>
      <c r="CC42">
        <v>0</v>
      </c>
      <c r="CD42">
        <v>0</v>
      </c>
      <c r="CE42" s="48" t="s">
        <v>1710</v>
      </c>
      <c r="CF42" s="48" t="s">
        <v>1710</v>
      </c>
      <c r="CG42" s="48" t="s">
        <v>1710</v>
      </c>
      <c r="CH42" s="48" t="s">
        <v>1710</v>
      </c>
      <c r="CI42" s="48" t="s">
        <v>2067</v>
      </c>
      <c r="CJ42" s="48" t="s">
        <v>1710</v>
      </c>
      <c r="CL42" s="48" t="s">
        <v>2816</v>
      </c>
      <c r="CM42" s="48" t="s">
        <v>1710</v>
      </c>
      <c r="CN42" s="48" t="s">
        <v>2068</v>
      </c>
      <c r="CO42" s="48" t="s">
        <v>2069</v>
      </c>
      <c r="CP42" s="48" t="s">
        <v>1710</v>
      </c>
      <c r="CQ42" s="48" t="s">
        <v>1710</v>
      </c>
      <c r="CR42" s="48" t="s">
        <v>1710</v>
      </c>
      <c r="CS42" s="48" t="s">
        <v>1710</v>
      </c>
      <c r="CT42" s="48" t="s">
        <v>1710</v>
      </c>
      <c r="CU42" s="48" t="s">
        <v>1712</v>
      </c>
      <c r="CV42" s="48" t="s">
        <v>1710</v>
      </c>
      <c r="CW42" s="48" t="s">
        <v>1710</v>
      </c>
      <c r="CX42" s="48" t="s">
        <v>2823</v>
      </c>
      <c r="CY42" s="48" t="s">
        <v>1710</v>
      </c>
      <c r="CZ42" s="48" t="s">
        <v>1712</v>
      </c>
      <c r="DA42" s="48" t="s">
        <v>1710</v>
      </c>
      <c r="DB42" s="48" t="s">
        <v>1878</v>
      </c>
      <c r="DC42" s="48" t="s">
        <v>2070</v>
      </c>
      <c r="DD42" s="48" t="s">
        <v>1842</v>
      </c>
      <c r="DE42" s="48" t="s">
        <v>1886</v>
      </c>
      <c r="DF42" s="48" t="s">
        <v>3140</v>
      </c>
      <c r="DG42" s="48" t="s">
        <v>2071</v>
      </c>
      <c r="DH42" s="48" t="s">
        <v>1712</v>
      </c>
      <c r="DI42" s="48" t="s">
        <v>1710</v>
      </c>
      <c r="DJ42" s="48" t="s">
        <v>1710</v>
      </c>
      <c r="DK42" s="48" t="s">
        <v>1710</v>
      </c>
      <c r="DL42" s="48" t="s">
        <v>1710</v>
      </c>
      <c r="DM42" s="48" t="s">
        <v>1710</v>
      </c>
      <c r="DN42" s="48" t="s">
        <v>1710</v>
      </c>
      <c r="DO42" s="48" t="s">
        <v>1710</v>
      </c>
      <c r="DP42" s="48" t="s">
        <v>1710</v>
      </c>
      <c r="DQ42" s="48" t="s">
        <v>1710</v>
      </c>
      <c r="DR42" s="48" t="s">
        <v>2072</v>
      </c>
      <c r="DS42" s="48" t="s">
        <v>1710</v>
      </c>
      <c r="DT42" s="48" t="s">
        <v>1710</v>
      </c>
      <c r="DU42" s="48" t="s">
        <v>2841</v>
      </c>
      <c r="DV42" s="48" t="s">
        <v>3141</v>
      </c>
      <c r="DW42" s="48" t="s">
        <v>1710</v>
      </c>
      <c r="DX42" s="48" t="s">
        <v>3142</v>
      </c>
      <c r="DY42" s="48" t="s">
        <v>1709</v>
      </c>
      <c r="DZ42" s="48" t="s">
        <v>2562</v>
      </c>
      <c r="EA42" s="48" t="s">
        <v>2546</v>
      </c>
      <c r="EB42">
        <v>0</v>
      </c>
      <c r="EC42" s="48" t="s">
        <v>2841</v>
      </c>
      <c r="ED42" s="48" t="s">
        <v>3143</v>
      </c>
      <c r="EE42" s="48" t="s">
        <v>1814</v>
      </c>
      <c r="EF42" s="48" t="s">
        <v>2653</v>
      </c>
      <c r="EG42" s="48" t="s">
        <v>3136</v>
      </c>
      <c r="EH42">
        <v>18</v>
      </c>
      <c r="EI42" s="48" t="s">
        <v>1888</v>
      </c>
      <c r="EJ42">
        <v>0</v>
      </c>
      <c r="EK42" s="48" t="s">
        <v>1710</v>
      </c>
      <c r="EL42">
        <v>3</v>
      </c>
      <c r="EM42" s="48" t="s">
        <v>1886</v>
      </c>
      <c r="EN42">
        <v>18</v>
      </c>
      <c r="EO42" s="48" t="s">
        <v>2655</v>
      </c>
      <c r="EP42" s="48" t="s">
        <v>3144</v>
      </c>
      <c r="EQ42">
        <v>19615.75</v>
      </c>
      <c r="ER42">
        <v>19615.75</v>
      </c>
      <c r="ES42">
        <v>28633778</v>
      </c>
      <c r="ET42">
        <v>19438</v>
      </c>
      <c r="EU42" s="48" t="s">
        <v>1710</v>
      </c>
      <c r="EV42" s="48" t="s">
        <v>1710</v>
      </c>
      <c r="EW42" s="48" t="s">
        <v>1712</v>
      </c>
      <c r="EX42" s="48" t="s">
        <v>1710</v>
      </c>
      <c r="EY42" s="48" t="s">
        <v>1873</v>
      </c>
      <c r="EZ42" s="48" t="s">
        <v>1710</v>
      </c>
      <c r="FA42" s="48" t="s">
        <v>1710</v>
      </c>
      <c r="FB42" s="48" t="s">
        <v>1712</v>
      </c>
      <c r="FC42" s="48" t="s">
        <v>1710</v>
      </c>
      <c r="FD42" s="48" t="s">
        <v>1710</v>
      </c>
      <c r="FE42" s="48" t="s">
        <v>1814</v>
      </c>
      <c r="FF42" s="48" t="s">
        <v>1815</v>
      </c>
      <c r="FG42" s="48" t="s">
        <v>1710</v>
      </c>
      <c r="FH42">
        <v>25</v>
      </c>
      <c r="FI42" s="48" t="s">
        <v>1846</v>
      </c>
      <c r="FJ42">
        <v>19615.75</v>
      </c>
      <c r="FK42">
        <v>784.63</v>
      </c>
      <c r="FL42" s="48" t="s">
        <v>3145</v>
      </c>
      <c r="FM42" s="48" t="s">
        <v>3146</v>
      </c>
      <c r="FN42" s="48" t="s">
        <v>1710</v>
      </c>
      <c r="FO42" s="48" t="s">
        <v>1710</v>
      </c>
      <c r="FP42" s="48" t="s">
        <v>1710</v>
      </c>
      <c r="FQ42" s="48" t="s">
        <v>1710</v>
      </c>
      <c r="FR42" s="48" t="s">
        <v>1710</v>
      </c>
      <c r="FS42" s="48" t="s">
        <v>1710</v>
      </c>
      <c r="FT42" s="48" t="s">
        <v>1710</v>
      </c>
      <c r="FU42" s="48" t="s">
        <v>1710</v>
      </c>
      <c r="FV42" s="48"/>
      <c r="FW42" s="56"/>
      <c r="FX42" s="56"/>
      <c r="FY42" s="56"/>
      <c r="FZ42" s="56"/>
      <c r="GA42" s="55" t="str">
        <f t="shared" si="1"/>
        <v>4388426100326X</v>
      </c>
      <c r="GB42" t="str">
        <f>VLOOKUP(B42,수출코드!$C$2:$D$4,2,FALSE)</f>
        <v>Suwon</v>
      </c>
      <c r="GC42" t="str">
        <f>VLOOKUP(L42,수출코드!$A$2:$B$6,2,FALSE)</f>
        <v/>
      </c>
      <c r="GD42" t="str">
        <f>VLOOKUP(M42,수출코드!$E$2:$F$5,2,FALSE)</f>
        <v>일반</v>
      </c>
      <c r="GE42" s="61">
        <f t="shared" si="2"/>
        <v>45971.638888888891</v>
      </c>
      <c r="GF42" s="62">
        <f t="shared" si="0"/>
        <v>46050.640277777777</v>
      </c>
      <c r="GI42" s="48" t="s">
        <v>2740</v>
      </c>
    </row>
    <row r="43" spans="1:191">
      <c r="A43" s="48" t="s">
        <v>3147</v>
      </c>
      <c r="B43" s="48" t="s">
        <v>1821</v>
      </c>
      <c r="C43" s="48" t="s">
        <v>2048</v>
      </c>
      <c r="D43" s="48" t="s">
        <v>2813</v>
      </c>
      <c r="E43" s="48" t="s">
        <v>3147</v>
      </c>
      <c r="F43" s="48" t="s">
        <v>1710</v>
      </c>
      <c r="G43" s="48" t="s">
        <v>2814</v>
      </c>
      <c r="H43" s="48" t="s">
        <v>3148</v>
      </c>
      <c r="I43" s="48" t="s">
        <v>1884</v>
      </c>
      <c r="J43" s="48" t="s">
        <v>2816</v>
      </c>
      <c r="K43" s="48" t="s">
        <v>1877</v>
      </c>
      <c r="L43" s="48" t="s">
        <v>1842</v>
      </c>
      <c r="M43" s="48" t="s">
        <v>1810</v>
      </c>
      <c r="N43" s="48" t="s">
        <v>1842</v>
      </c>
      <c r="O43" s="48" t="s">
        <v>1811</v>
      </c>
      <c r="P43" s="48" t="s">
        <v>2549</v>
      </c>
      <c r="Q43" s="48" t="s">
        <v>2049</v>
      </c>
      <c r="R43" s="48" t="s">
        <v>1838</v>
      </c>
      <c r="S43" s="48" t="s">
        <v>2050</v>
      </c>
      <c r="T43" s="48" t="s">
        <v>1845</v>
      </c>
      <c r="U43" s="48" t="s">
        <v>2049</v>
      </c>
      <c r="V43" s="48" t="s">
        <v>1838</v>
      </c>
      <c r="W43" s="48" t="s">
        <v>2051</v>
      </c>
      <c r="X43" s="48" t="s">
        <v>2052</v>
      </c>
      <c r="Y43" s="48" t="s">
        <v>2050</v>
      </c>
      <c r="Z43" s="48" t="s">
        <v>2053</v>
      </c>
      <c r="AA43" s="48" t="s">
        <v>2054</v>
      </c>
      <c r="AB43" s="48" t="s">
        <v>2817</v>
      </c>
      <c r="AC43" s="48" t="s">
        <v>2055</v>
      </c>
      <c r="AD43" s="48" t="s">
        <v>2056</v>
      </c>
      <c r="AE43" s="48" t="s">
        <v>1710</v>
      </c>
      <c r="AF43" s="48" t="s">
        <v>1710</v>
      </c>
      <c r="AG43" s="48" t="s">
        <v>2057</v>
      </c>
      <c r="AH43" s="48" t="s">
        <v>1815</v>
      </c>
      <c r="AI43" s="48" t="s">
        <v>2058</v>
      </c>
      <c r="AJ43" s="48" t="s">
        <v>1710</v>
      </c>
      <c r="AK43" s="48" t="s">
        <v>2558</v>
      </c>
      <c r="AL43" s="48" t="s">
        <v>1882</v>
      </c>
      <c r="AM43" s="48" t="s">
        <v>1816</v>
      </c>
      <c r="AN43" s="48" t="s">
        <v>2054</v>
      </c>
      <c r="AO43" s="48" t="s">
        <v>1710</v>
      </c>
      <c r="AP43" s="48" t="s">
        <v>1851</v>
      </c>
      <c r="AQ43" s="48" t="s">
        <v>2083</v>
      </c>
      <c r="AR43" s="48" t="s">
        <v>1812</v>
      </c>
      <c r="AS43" s="48" t="s">
        <v>1813</v>
      </c>
      <c r="AT43" s="48" t="s">
        <v>1826</v>
      </c>
      <c r="AU43" s="48" t="s">
        <v>2061</v>
      </c>
      <c r="AV43" s="48" t="s">
        <v>2816</v>
      </c>
      <c r="AW43" s="48" t="s">
        <v>2062</v>
      </c>
      <c r="AX43" s="48" t="s">
        <v>2063</v>
      </c>
      <c r="AY43" s="48" t="s">
        <v>1710</v>
      </c>
      <c r="AZ43" s="48" t="s">
        <v>3149</v>
      </c>
      <c r="BA43" s="48" t="s">
        <v>1710</v>
      </c>
      <c r="BB43" s="48" t="s">
        <v>1709</v>
      </c>
      <c r="BC43" s="48" t="s">
        <v>1710</v>
      </c>
      <c r="BD43" s="48" t="s">
        <v>2082</v>
      </c>
      <c r="BE43" s="52" t="s">
        <v>3150</v>
      </c>
      <c r="BF43" s="48" t="s">
        <v>1710</v>
      </c>
      <c r="BG43" s="48" t="s">
        <v>1814</v>
      </c>
      <c r="BH43">
        <v>3</v>
      </c>
      <c r="BI43" s="48" t="s">
        <v>1888</v>
      </c>
      <c r="BJ43">
        <v>1</v>
      </c>
      <c r="BK43">
        <v>1473.06</v>
      </c>
      <c r="BL43">
        <v>569893</v>
      </c>
      <c r="BM43">
        <v>387</v>
      </c>
      <c r="BN43" s="48" t="s">
        <v>2064</v>
      </c>
      <c r="BO43" s="48" t="s">
        <v>2065</v>
      </c>
      <c r="BP43">
        <v>1473.06</v>
      </c>
      <c r="BQ43">
        <v>426.93</v>
      </c>
      <c r="BR43" s="48" t="s">
        <v>1885</v>
      </c>
      <c r="BS43" s="48" t="s">
        <v>2066</v>
      </c>
      <c r="BT43">
        <v>1</v>
      </c>
      <c r="BU43">
        <v>59000</v>
      </c>
      <c r="BV43">
        <v>59000</v>
      </c>
      <c r="BW43" s="48" t="s">
        <v>2065</v>
      </c>
      <c r="BX43">
        <v>1473.06</v>
      </c>
      <c r="BY43">
        <v>0</v>
      </c>
      <c r="BZ43">
        <v>0</v>
      </c>
      <c r="CA43" s="48" t="s">
        <v>2065</v>
      </c>
      <c r="CB43">
        <v>1473.06</v>
      </c>
      <c r="CC43">
        <v>0</v>
      </c>
      <c r="CD43">
        <v>0</v>
      </c>
      <c r="CE43" s="48" t="s">
        <v>1710</v>
      </c>
      <c r="CF43" s="48" t="s">
        <v>1710</v>
      </c>
      <c r="CG43" s="48" t="s">
        <v>1710</v>
      </c>
      <c r="CH43" s="48" t="s">
        <v>1710</v>
      </c>
      <c r="CI43" s="48" t="s">
        <v>2067</v>
      </c>
      <c r="CJ43" s="48" t="s">
        <v>1710</v>
      </c>
      <c r="CL43" s="48" t="s">
        <v>2816</v>
      </c>
      <c r="CM43" s="48" t="s">
        <v>1710</v>
      </c>
      <c r="CN43" s="48" t="s">
        <v>2068</v>
      </c>
      <c r="CO43" s="48" t="s">
        <v>2069</v>
      </c>
      <c r="CP43" s="48" t="s">
        <v>1710</v>
      </c>
      <c r="CQ43" s="48" t="s">
        <v>1710</v>
      </c>
      <c r="CR43" s="48" t="s">
        <v>1710</v>
      </c>
      <c r="CS43" s="48" t="s">
        <v>1710</v>
      </c>
      <c r="CT43" s="48" t="s">
        <v>1710</v>
      </c>
      <c r="CU43" s="48" t="s">
        <v>1712</v>
      </c>
      <c r="CV43" s="48" t="s">
        <v>1710</v>
      </c>
      <c r="CW43" s="48" t="s">
        <v>1710</v>
      </c>
      <c r="CX43" s="48" t="s">
        <v>2823</v>
      </c>
      <c r="CY43" s="48" t="s">
        <v>1710</v>
      </c>
      <c r="CZ43" s="48" t="s">
        <v>1712</v>
      </c>
      <c r="DA43" s="48" t="s">
        <v>1710</v>
      </c>
      <c r="DB43" s="48" t="s">
        <v>1878</v>
      </c>
      <c r="DC43" s="48" t="s">
        <v>2070</v>
      </c>
      <c r="DD43" s="48" t="s">
        <v>1842</v>
      </c>
      <c r="DE43" s="48" t="s">
        <v>1886</v>
      </c>
      <c r="DF43" s="48" t="s">
        <v>3151</v>
      </c>
      <c r="DG43" s="48" t="s">
        <v>2071</v>
      </c>
      <c r="DH43" s="48" t="s">
        <v>1712</v>
      </c>
      <c r="DI43" s="48" t="s">
        <v>1710</v>
      </c>
      <c r="DJ43" s="48" t="s">
        <v>1710</v>
      </c>
      <c r="DK43" s="48" t="s">
        <v>1710</v>
      </c>
      <c r="DL43" s="48" t="s">
        <v>1710</v>
      </c>
      <c r="DM43" s="48" t="s">
        <v>1710</v>
      </c>
      <c r="DN43" s="48" t="s">
        <v>1710</v>
      </c>
      <c r="DO43" s="48" t="s">
        <v>1710</v>
      </c>
      <c r="DP43" s="48" t="s">
        <v>1710</v>
      </c>
      <c r="DQ43" s="48" t="s">
        <v>1710</v>
      </c>
      <c r="DR43" s="48" t="s">
        <v>2072</v>
      </c>
      <c r="DS43" s="48" t="s">
        <v>1710</v>
      </c>
      <c r="DT43" s="48" t="s">
        <v>1710</v>
      </c>
      <c r="DU43" s="48" t="s">
        <v>2841</v>
      </c>
      <c r="DV43" s="48" t="s">
        <v>2825</v>
      </c>
      <c r="DW43" s="48" t="s">
        <v>1710</v>
      </c>
      <c r="DX43" s="48" t="s">
        <v>3152</v>
      </c>
      <c r="DY43" s="48" t="s">
        <v>1709</v>
      </c>
      <c r="DZ43" s="48" t="s">
        <v>2562</v>
      </c>
      <c r="EA43" s="48" t="s">
        <v>2546</v>
      </c>
      <c r="EB43">
        <v>0</v>
      </c>
      <c r="EC43" s="48" t="s">
        <v>2841</v>
      </c>
      <c r="ED43" s="48" t="s">
        <v>3153</v>
      </c>
      <c r="EE43" s="48" t="s">
        <v>1814</v>
      </c>
      <c r="EF43" s="48" t="s">
        <v>3154</v>
      </c>
      <c r="EG43" s="48" t="s">
        <v>3149</v>
      </c>
      <c r="EH43">
        <v>1</v>
      </c>
      <c r="EI43" s="48" t="s">
        <v>1888</v>
      </c>
      <c r="EJ43">
        <v>1</v>
      </c>
      <c r="EK43" s="48" t="s">
        <v>1887</v>
      </c>
      <c r="EL43">
        <v>1</v>
      </c>
      <c r="EM43" s="48" t="s">
        <v>1886</v>
      </c>
      <c r="EN43">
        <v>1</v>
      </c>
      <c r="EO43" s="48" t="s">
        <v>3155</v>
      </c>
      <c r="EP43" s="48" t="s">
        <v>3156</v>
      </c>
      <c r="EQ43">
        <v>426.93</v>
      </c>
      <c r="ER43">
        <v>426.93</v>
      </c>
      <c r="ES43">
        <v>569893</v>
      </c>
      <c r="ET43">
        <v>387</v>
      </c>
      <c r="EU43" s="48" t="s">
        <v>1710</v>
      </c>
      <c r="EV43" s="48" t="s">
        <v>1710</v>
      </c>
      <c r="EW43" s="48" t="s">
        <v>1712</v>
      </c>
      <c r="EX43" s="48" t="s">
        <v>1710</v>
      </c>
      <c r="EY43" s="48" t="s">
        <v>1851</v>
      </c>
      <c r="EZ43" s="48" t="s">
        <v>1710</v>
      </c>
      <c r="FA43" s="48" t="s">
        <v>1710</v>
      </c>
      <c r="FB43" s="48" t="s">
        <v>1712</v>
      </c>
      <c r="FC43" s="48" t="s">
        <v>1710</v>
      </c>
      <c r="FD43" s="48" t="s">
        <v>1710</v>
      </c>
      <c r="FE43" s="48" t="s">
        <v>1814</v>
      </c>
      <c r="FF43" s="48" t="s">
        <v>1815</v>
      </c>
      <c r="FG43" s="48" t="s">
        <v>1710</v>
      </c>
      <c r="FH43">
        <v>1</v>
      </c>
      <c r="FI43" s="48" t="s">
        <v>1846</v>
      </c>
      <c r="FJ43">
        <v>426.93</v>
      </c>
      <c r="FK43">
        <v>426.93</v>
      </c>
      <c r="FL43" s="48" t="s">
        <v>3157</v>
      </c>
      <c r="FM43" s="48" t="s">
        <v>3156</v>
      </c>
      <c r="FN43" s="48" t="s">
        <v>1710</v>
      </c>
      <c r="FO43" s="48" t="s">
        <v>1710</v>
      </c>
      <c r="FP43" s="48" t="s">
        <v>1710</v>
      </c>
      <c r="FQ43" s="48" t="s">
        <v>1710</v>
      </c>
      <c r="FR43" s="48" t="s">
        <v>1710</v>
      </c>
      <c r="FS43" s="48" t="s">
        <v>1710</v>
      </c>
      <c r="FT43" s="48" t="s">
        <v>1710</v>
      </c>
      <c r="FU43" s="48" t="s">
        <v>1710</v>
      </c>
      <c r="FV43" s="48"/>
      <c r="FW43" s="56"/>
      <c r="FX43" s="56"/>
      <c r="FY43" s="56"/>
      <c r="FZ43" s="56"/>
      <c r="GA43" s="55" t="str">
        <f t="shared" si="1"/>
        <v>4388426100327X</v>
      </c>
      <c r="GB43" t="str">
        <f>VLOOKUP(B43,수출코드!$C$2:$D$4,2,FALSE)</f>
        <v>Suwon</v>
      </c>
      <c r="GC43" t="str">
        <f>VLOOKUP(L43,수출코드!$A$2:$B$6,2,FALSE)</f>
        <v/>
      </c>
      <c r="GD43" t="str">
        <f>VLOOKUP(M43,수출코드!$E$2:$F$5,2,FALSE)</f>
        <v>일반</v>
      </c>
      <c r="GE43" s="61">
        <f t="shared" si="2"/>
        <v>45971.638888888891</v>
      </c>
      <c r="GF43" s="62">
        <f t="shared" si="0"/>
        <v>46050.730555555558</v>
      </c>
      <c r="GI43" s="48" t="s">
        <v>2740</v>
      </c>
    </row>
    <row r="44" spans="1:191">
      <c r="A44" s="48" t="s">
        <v>3158</v>
      </c>
      <c r="B44" s="48" t="s">
        <v>1821</v>
      </c>
      <c r="C44" s="48" t="s">
        <v>2048</v>
      </c>
      <c r="D44" s="48" t="s">
        <v>2813</v>
      </c>
      <c r="E44" s="48" t="s">
        <v>3158</v>
      </c>
      <c r="F44" s="48" t="s">
        <v>1710</v>
      </c>
      <c r="G44" s="48" t="s">
        <v>2814</v>
      </c>
      <c r="H44" s="48" t="s">
        <v>3159</v>
      </c>
      <c r="I44" s="48" t="s">
        <v>1884</v>
      </c>
      <c r="J44" s="48" t="s">
        <v>2816</v>
      </c>
      <c r="K44" s="48" t="s">
        <v>1877</v>
      </c>
      <c r="L44" s="48" t="s">
        <v>1842</v>
      </c>
      <c r="M44" s="48" t="s">
        <v>1810</v>
      </c>
      <c r="N44" s="48" t="s">
        <v>1842</v>
      </c>
      <c r="O44" s="48" t="s">
        <v>1811</v>
      </c>
      <c r="P44" s="48" t="s">
        <v>2549</v>
      </c>
      <c r="Q44" s="48" t="s">
        <v>2049</v>
      </c>
      <c r="R44" s="48" t="s">
        <v>1838</v>
      </c>
      <c r="S44" s="48" t="s">
        <v>2050</v>
      </c>
      <c r="T44" s="48" t="s">
        <v>1845</v>
      </c>
      <c r="U44" s="48" t="s">
        <v>2049</v>
      </c>
      <c r="V44" s="48" t="s">
        <v>1838</v>
      </c>
      <c r="W44" s="48" t="s">
        <v>2051</v>
      </c>
      <c r="X44" s="48" t="s">
        <v>2052</v>
      </c>
      <c r="Y44" s="48" t="s">
        <v>2050</v>
      </c>
      <c r="Z44" s="48" t="s">
        <v>2053</v>
      </c>
      <c r="AA44" s="48" t="s">
        <v>2054</v>
      </c>
      <c r="AB44" s="48" t="s">
        <v>2817</v>
      </c>
      <c r="AC44" s="48" t="s">
        <v>2055</v>
      </c>
      <c r="AD44" s="48" t="s">
        <v>2056</v>
      </c>
      <c r="AE44" s="48" t="s">
        <v>1710</v>
      </c>
      <c r="AF44" s="48" t="s">
        <v>1710</v>
      </c>
      <c r="AG44" s="48" t="s">
        <v>2057</v>
      </c>
      <c r="AH44" s="48" t="s">
        <v>1815</v>
      </c>
      <c r="AI44" s="48" t="s">
        <v>2058</v>
      </c>
      <c r="AJ44" s="48" t="s">
        <v>1710</v>
      </c>
      <c r="AK44" s="48" t="s">
        <v>2100</v>
      </c>
      <c r="AL44" s="48" t="s">
        <v>2101</v>
      </c>
      <c r="AM44" s="48" t="s">
        <v>1816</v>
      </c>
      <c r="AN44" s="48" t="s">
        <v>2054</v>
      </c>
      <c r="AO44" s="48" t="s">
        <v>1710</v>
      </c>
      <c r="AP44" s="48" t="s">
        <v>1874</v>
      </c>
      <c r="AQ44" s="48" t="s">
        <v>2078</v>
      </c>
      <c r="AR44" s="48" t="s">
        <v>1812</v>
      </c>
      <c r="AS44" s="48" t="s">
        <v>1813</v>
      </c>
      <c r="AT44" s="48" t="s">
        <v>1826</v>
      </c>
      <c r="AU44" s="48" t="s">
        <v>2061</v>
      </c>
      <c r="AV44" s="48" t="s">
        <v>2816</v>
      </c>
      <c r="AW44" s="48" t="s">
        <v>2062</v>
      </c>
      <c r="AX44" s="48" t="s">
        <v>2063</v>
      </c>
      <c r="AY44" s="48" t="s">
        <v>1710</v>
      </c>
      <c r="AZ44" s="48" t="s">
        <v>3160</v>
      </c>
      <c r="BA44" s="48" t="s">
        <v>1710</v>
      </c>
      <c r="BB44" s="48" t="s">
        <v>1709</v>
      </c>
      <c r="BC44" s="48" t="s">
        <v>1710</v>
      </c>
      <c r="BD44" s="48" t="s">
        <v>2082</v>
      </c>
      <c r="BE44" s="52" t="s">
        <v>3150</v>
      </c>
      <c r="BF44" s="48" t="s">
        <v>1710</v>
      </c>
      <c r="BG44" s="48" t="s">
        <v>1814</v>
      </c>
      <c r="BH44">
        <v>12</v>
      </c>
      <c r="BI44" s="48" t="s">
        <v>1888</v>
      </c>
      <c r="BJ44">
        <v>1</v>
      </c>
      <c r="BK44">
        <v>1473.06</v>
      </c>
      <c r="BL44">
        <v>11678667</v>
      </c>
      <c r="BM44">
        <v>7928</v>
      </c>
      <c r="BN44" s="48" t="s">
        <v>2064</v>
      </c>
      <c r="BO44" s="48" t="s">
        <v>2065</v>
      </c>
      <c r="BP44">
        <v>1473.06</v>
      </c>
      <c r="BQ44">
        <v>7985.6</v>
      </c>
      <c r="BR44" s="48" t="s">
        <v>1885</v>
      </c>
      <c r="BS44" s="48" t="s">
        <v>2066</v>
      </c>
      <c r="BT44">
        <v>1</v>
      </c>
      <c r="BU44">
        <v>84600</v>
      </c>
      <c r="BV44">
        <v>84600</v>
      </c>
      <c r="BW44" s="48" t="s">
        <v>2065</v>
      </c>
      <c r="BX44">
        <v>1473.06</v>
      </c>
      <c r="BY44">
        <v>0</v>
      </c>
      <c r="BZ44">
        <v>0</v>
      </c>
      <c r="CA44" s="48" t="s">
        <v>2065</v>
      </c>
      <c r="CB44">
        <v>1473.06</v>
      </c>
      <c r="CC44">
        <v>0</v>
      </c>
      <c r="CD44">
        <v>0</v>
      </c>
      <c r="CE44" s="48" t="s">
        <v>1710</v>
      </c>
      <c r="CF44" s="48" t="s">
        <v>1710</v>
      </c>
      <c r="CG44" s="48" t="s">
        <v>1710</v>
      </c>
      <c r="CH44" s="48" t="s">
        <v>1710</v>
      </c>
      <c r="CI44" s="48" t="s">
        <v>2067</v>
      </c>
      <c r="CJ44" s="48" t="s">
        <v>1710</v>
      </c>
      <c r="CL44" s="48" t="s">
        <v>2816</v>
      </c>
      <c r="CM44" s="48" t="s">
        <v>1710</v>
      </c>
      <c r="CN44" s="48" t="s">
        <v>2068</v>
      </c>
      <c r="CO44" s="48" t="s">
        <v>2069</v>
      </c>
      <c r="CP44" s="48" t="s">
        <v>1710</v>
      </c>
      <c r="CQ44" s="48" t="s">
        <v>1710</v>
      </c>
      <c r="CR44" s="48" t="s">
        <v>1710</v>
      </c>
      <c r="CS44" s="48" t="s">
        <v>1710</v>
      </c>
      <c r="CT44" s="48" t="s">
        <v>1710</v>
      </c>
      <c r="CU44" s="48" t="s">
        <v>1712</v>
      </c>
      <c r="CV44" s="48" t="s">
        <v>1710</v>
      </c>
      <c r="CW44" s="48" t="s">
        <v>1710</v>
      </c>
      <c r="CX44" s="48" t="s">
        <v>2823</v>
      </c>
      <c r="CY44" s="48" t="s">
        <v>1710</v>
      </c>
      <c r="CZ44" s="48" t="s">
        <v>1712</v>
      </c>
      <c r="DA44" s="48" t="s">
        <v>1710</v>
      </c>
      <c r="DB44" s="48" t="s">
        <v>1878</v>
      </c>
      <c r="DC44" s="48" t="s">
        <v>2070</v>
      </c>
      <c r="DD44" s="48" t="s">
        <v>1842</v>
      </c>
      <c r="DE44" s="48" t="s">
        <v>1886</v>
      </c>
      <c r="DF44" s="48" t="s">
        <v>3161</v>
      </c>
      <c r="DG44" s="48" t="s">
        <v>2071</v>
      </c>
      <c r="DH44" s="48" t="s">
        <v>1712</v>
      </c>
      <c r="DI44" s="48" t="s">
        <v>1710</v>
      </c>
      <c r="DJ44" s="48" t="s">
        <v>1710</v>
      </c>
      <c r="DK44" s="48" t="s">
        <v>1710</v>
      </c>
      <c r="DL44" s="48" t="s">
        <v>1710</v>
      </c>
      <c r="DM44" s="48" t="s">
        <v>1710</v>
      </c>
      <c r="DN44" s="48" t="s">
        <v>1710</v>
      </c>
      <c r="DO44" s="48" t="s">
        <v>1710</v>
      </c>
      <c r="DP44" s="48" t="s">
        <v>1710</v>
      </c>
      <c r="DQ44" s="48" t="s">
        <v>1710</v>
      </c>
      <c r="DR44" s="48" t="s">
        <v>2072</v>
      </c>
      <c r="DS44" s="48" t="s">
        <v>1710</v>
      </c>
      <c r="DT44" s="48" t="s">
        <v>1710</v>
      </c>
      <c r="DU44" s="48" t="s">
        <v>2841</v>
      </c>
      <c r="DV44" s="48" t="s">
        <v>3111</v>
      </c>
      <c r="DW44" s="48" t="s">
        <v>1710</v>
      </c>
      <c r="DX44" s="48" t="s">
        <v>3162</v>
      </c>
      <c r="DY44" s="48" t="s">
        <v>1709</v>
      </c>
      <c r="DZ44" s="48" t="s">
        <v>2562</v>
      </c>
      <c r="EA44" s="48" t="s">
        <v>2546</v>
      </c>
      <c r="EB44">
        <v>0</v>
      </c>
      <c r="EC44" s="48" t="s">
        <v>2841</v>
      </c>
      <c r="ED44" s="48" t="s">
        <v>3153</v>
      </c>
      <c r="EE44" s="48" t="s">
        <v>1814</v>
      </c>
      <c r="EF44" s="48" t="s">
        <v>3090</v>
      </c>
      <c r="EG44" s="48" t="s">
        <v>3160</v>
      </c>
      <c r="EH44">
        <v>9</v>
      </c>
      <c r="EI44" s="48" t="s">
        <v>1888</v>
      </c>
      <c r="EJ44">
        <v>1</v>
      </c>
      <c r="EK44" s="48" t="s">
        <v>1887</v>
      </c>
      <c r="EL44">
        <v>1</v>
      </c>
      <c r="EM44" s="48" t="s">
        <v>1886</v>
      </c>
      <c r="EN44">
        <v>9</v>
      </c>
      <c r="EO44" s="48" t="s">
        <v>3091</v>
      </c>
      <c r="EP44" s="48" t="s">
        <v>3092</v>
      </c>
      <c r="EQ44">
        <v>7985.6</v>
      </c>
      <c r="ER44">
        <v>7985.6</v>
      </c>
      <c r="ES44">
        <v>11678667</v>
      </c>
      <c r="ET44">
        <v>7928</v>
      </c>
      <c r="EU44" s="48" t="s">
        <v>1710</v>
      </c>
      <c r="EV44" s="48" t="s">
        <v>1710</v>
      </c>
      <c r="EW44" s="48" t="s">
        <v>1712</v>
      </c>
      <c r="EX44" s="48" t="s">
        <v>1710</v>
      </c>
      <c r="EY44" s="48" t="s">
        <v>1874</v>
      </c>
      <c r="EZ44" s="48" t="s">
        <v>1710</v>
      </c>
      <c r="FA44" s="48" t="s">
        <v>1710</v>
      </c>
      <c r="FB44" s="48" t="s">
        <v>1712</v>
      </c>
      <c r="FC44" s="48" t="s">
        <v>1710</v>
      </c>
      <c r="FD44" s="48" t="s">
        <v>1710</v>
      </c>
      <c r="FE44" s="48" t="s">
        <v>1814</v>
      </c>
      <c r="FF44" s="48" t="s">
        <v>1815</v>
      </c>
      <c r="FG44" s="48" t="s">
        <v>1710</v>
      </c>
      <c r="FH44">
        <v>1</v>
      </c>
      <c r="FI44" s="48" t="s">
        <v>1846</v>
      </c>
      <c r="FJ44">
        <v>7985.6</v>
      </c>
      <c r="FK44">
        <v>7985.6</v>
      </c>
      <c r="FL44" s="48" t="s">
        <v>3093</v>
      </c>
      <c r="FM44" s="48" t="s">
        <v>3092</v>
      </c>
      <c r="FN44" s="48" t="s">
        <v>1710</v>
      </c>
      <c r="FO44" s="48" t="s">
        <v>1710</v>
      </c>
      <c r="FP44" s="48" t="s">
        <v>1710</v>
      </c>
      <c r="FQ44" s="48" t="s">
        <v>1710</v>
      </c>
      <c r="FR44" s="48" t="s">
        <v>1710</v>
      </c>
      <c r="FS44" s="48" t="s">
        <v>1710</v>
      </c>
      <c r="FT44" s="48" t="s">
        <v>1710</v>
      </c>
      <c r="FU44" s="48" t="s">
        <v>1710</v>
      </c>
      <c r="FV44" s="48"/>
      <c r="FW44" s="56"/>
      <c r="FX44" s="56"/>
      <c r="FY44" s="56"/>
      <c r="FZ44" s="56"/>
      <c r="GA44" s="55" t="str">
        <f t="shared" si="1"/>
        <v>4388426100328X</v>
      </c>
      <c r="GB44" t="str">
        <f>VLOOKUP(B44,수출코드!$C$2:$D$4,2,FALSE)</f>
        <v>Suwon</v>
      </c>
      <c r="GC44" t="str">
        <f>VLOOKUP(L44,수출코드!$A$2:$B$6,2,FALSE)</f>
        <v/>
      </c>
      <c r="GD44" t="str">
        <f>VLOOKUP(M44,수출코드!$E$2:$F$5,2,FALSE)</f>
        <v>일반</v>
      </c>
      <c r="GE44" s="61">
        <f t="shared" si="2"/>
        <v>45971.638888888891</v>
      </c>
      <c r="GF44" s="62">
        <f t="shared" si="0"/>
        <v>46050.730555555558</v>
      </c>
      <c r="GI44" s="48" t="s">
        <v>2740</v>
      </c>
    </row>
    <row r="45" spans="1:191">
      <c r="A45" s="48" t="s">
        <v>3163</v>
      </c>
      <c r="B45" s="48" t="s">
        <v>1821</v>
      </c>
      <c r="C45" s="48" t="s">
        <v>2048</v>
      </c>
      <c r="D45" s="48" t="s">
        <v>2813</v>
      </c>
      <c r="E45" s="48" t="s">
        <v>3163</v>
      </c>
      <c r="F45" s="48" t="s">
        <v>1710</v>
      </c>
      <c r="G45" s="48" t="s">
        <v>2814</v>
      </c>
      <c r="H45" s="48" t="s">
        <v>3164</v>
      </c>
      <c r="I45" s="48" t="s">
        <v>1884</v>
      </c>
      <c r="J45" s="48" t="s">
        <v>3111</v>
      </c>
      <c r="K45" s="48" t="s">
        <v>1877</v>
      </c>
      <c r="L45" s="48" t="s">
        <v>1842</v>
      </c>
      <c r="M45" s="48" t="s">
        <v>1810</v>
      </c>
      <c r="N45" s="48" t="s">
        <v>1842</v>
      </c>
      <c r="O45" s="48" t="s">
        <v>1811</v>
      </c>
      <c r="P45" s="48" t="s">
        <v>2549</v>
      </c>
      <c r="Q45" s="48" t="s">
        <v>2049</v>
      </c>
      <c r="R45" s="48" t="s">
        <v>1838</v>
      </c>
      <c r="S45" s="48" t="s">
        <v>2050</v>
      </c>
      <c r="T45" s="48" t="s">
        <v>1845</v>
      </c>
      <c r="U45" s="48" t="s">
        <v>2049</v>
      </c>
      <c r="V45" s="48" t="s">
        <v>1838</v>
      </c>
      <c r="W45" s="48" t="s">
        <v>2051</v>
      </c>
      <c r="X45" s="48" t="s">
        <v>2052</v>
      </c>
      <c r="Y45" s="48" t="s">
        <v>2050</v>
      </c>
      <c r="Z45" s="48" t="s">
        <v>2053</v>
      </c>
      <c r="AA45" s="48" t="s">
        <v>2054</v>
      </c>
      <c r="AB45" s="48" t="s">
        <v>2817</v>
      </c>
      <c r="AC45" s="48" t="s">
        <v>2055</v>
      </c>
      <c r="AD45" s="48" t="s">
        <v>2056</v>
      </c>
      <c r="AE45" s="48" t="s">
        <v>1710</v>
      </c>
      <c r="AF45" s="48" t="s">
        <v>1710</v>
      </c>
      <c r="AG45" s="48" t="s">
        <v>2057</v>
      </c>
      <c r="AH45" s="48" t="s">
        <v>1815</v>
      </c>
      <c r="AI45" s="48" t="s">
        <v>2058</v>
      </c>
      <c r="AJ45" s="48" t="s">
        <v>1710</v>
      </c>
      <c r="AK45" s="48" t="s">
        <v>2560</v>
      </c>
      <c r="AL45" s="48" t="s">
        <v>2561</v>
      </c>
      <c r="AM45" s="48" t="s">
        <v>1816</v>
      </c>
      <c r="AN45" s="48" t="s">
        <v>2054</v>
      </c>
      <c r="AO45" s="48" t="s">
        <v>1710</v>
      </c>
      <c r="AP45" s="48" t="s">
        <v>1855</v>
      </c>
      <c r="AQ45" s="48" t="s">
        <v>2076</v>
      </c>
      <c r="AR45" s="48" t="s">
        <v>1812</v>
      </c>
      <c r="AS45" s="48" t="s">
        <v>1813</v>
      </c>
      <c r="AT45" s="48" t="s">
        <v>1826</v>
      </c>
      <c r="AU45" s="48" t="s">
        <v>2061</v>
      </c>
      <c r="AV45" s="48" t="s">
        <v>3111</v>
      </c>
      <c r="AW45" s="48" t="s">
        <v>2062</v>
      </c>
      <c r="AX45" s="48" t="s">
        <v>2063</v>
      </c>
      <c r="AY45" s="48" t="s">
        <v>1710</v>
      </c>
      <c r="AZ45" s="48" t="s">
        <v>3165</v>
      </c>
      <c r="BA45" s="48" t="s">
        <v>1710</v>
      </c>
      <c r="BB45" s="48" t="s">
        <v>1709</v>
      </c>
      <c r="BC45" s="48" t="s">
        <v>1710</v>
      </c>
      <c r="BD45" s="48" t="s">
        <v>2864</v>
      </c>
      <c r="BE45" s="52" t="s">
        <v>3166</v>
      </c>
      <c r="BF45" s="48" t="s">
        <v>1710</v>
      </c>
      <c r="BG45" s="48" t="s">
        <v>1817</v>
      </c>
      <c r="BH45">
        <v>119</v>
      </c>
      <c r="BI45" s="48" t="s">
        <v>1888</v>
      </c>
      <c r="BJ45">
        <v>2</v>
      </c>
      <c r="BK45">
        <v>1473.06</v>
      </c>
      <c r="BL45">
        <v>43245096</v>
      </c>
      <c r="BM45">
        <v>29357</v>
      </c>
      <c r="BN45" s="48" t="s">
        <v>2064</v>
      </c>
      <c r="BO45" s="48" t="s">
        <v>2065</v>
      </c>
      <c r="BP45">
        <v>1473.06</v>
      </c>
      <c r="BQ45">
        <v>29749.16</v>
      </c>
      <c r="BR45" s="48" t="s">
        <v>1885</v>
      </c>
      <c r="BS45" s="48" t="s">
        <v>2066</v>
      </c>
      <c r="BT45">
        <v>1</v>
      </c>
      <c r="BU45">
        <v>577200</v>
      </c>
      <c r="BV45">
        <v>577200</v>
      </c>
      <c r="BW45" s="48" t="s">
        <v>2065</v>
      </c>
      <c r="BX45">
        <v>1473.06</v>
      </c>
      <c r="BY45">
        <v>0</v>
      </c>
      <c r="BZ45">
        <v>0</v>
      </c>
      <c r="CA45" s="48" t="s">
        <v>2065</v>
      </c>
      <c r="CB45">
        <v>1473.06</v>
      </c>
      <c r="CC45">
        <v>0</v>
      </c>
      <c r="CD45">
        <v>0</v>
      </c>
      <c r="CE45" s="48" t="s">
        <v>1710</v>
      </c>
      <c r="CF45" s="48" t="s">
        <v>1710</v>
      </c>
      <c r="CG45" s="48" t="s">
        <v>1710</v>
      </c>
      <c r="CH45" s="48" t="s">
        <v>1710</v>
      </c>
      <c r="CI45" s="48" t="s">
        <v>2067</v>
      </c>
      <c r="CJ45" s="48" t="s">
        <v>1710</v>
      </c>
      <c r="CL45" s="48" t="s">
        <v>3111</v>
      </c>
      <c r="CM45" s="48" t="s">
        <v>1710</v>
      </c>
      <c r="CN45" s="48" t="s">
        <v>2068</v>
      </c>
      <c r="CO45" s="48" t="s">
        <v>2069</v>
      </c>
      <c r="CP45" s="48" t="s">
        <v>1710</v>
      </c>
      <c r="CQ45" s="48" t="s">
        <v>1710</v>
      </c>
      <c r="CR45" s="48" t="s">
        <v>1710</v>
      </c>
      <c r="CS45" s="48" t="s">
        <v>1710</v>
      </c>
      <c r="CT45" s="48" t="s">
        <v>1710</v>
      </c>
      <c r="CU45" s="48" t="s">
        <v>1712</v>
      </c>
      <c r="CV45" s="48" t="s">
        <v>1710</v>
      </c>
      <c r="CW45" s="48" t="s">
        <v>1710</v>
      </c>
      <c r="CX45" s="48" t="s">
        <v>3167</v>
      </c>
      <c r="CY45" s="48" t="s">
        <v>1710</v>
      </c>
      <c r="CZ45" s="48" t="s">
        <v>1712</v>
      </c>
      <c r="DA45" s="48" t="s">
        <v>1710</v>
      </c>
      <c r="DB45" s="48" t="s">
        <v>1878</v>
      </c>
      <c r="DC45" s="48" t="s">
        <v>2070</v>
      </c>
      <c r="DD45" s="48" t="s">
        <v>1842</v>
      </c>
      <c r="DE45" s="48" t="s">
        <v>1886</v>
      </c>
      <c r="DF45" s="48" t="s">
        <v>3168</v>
      </c>
      <c r="DG45" s="48" t="s">
        <v>2071</v>
      </c>
      <c r="DH45" s="48" t="s">
        <v>1712</v>
      </c>
      <c r="DI45" s="48" t="s">
        <v>1710</v>
      </c>
      <c r="DJ45" s="48" t="s">
        <v>1710</v>
      </c>
      <c r="DK45" s="48" t="s">
        <v>1710</v>
      </c>
      <c r="DL45" s="48" t="s">
        <v>1710</v>
      </c>
      <c r="DM45" s="48" t="s">
        <v>1710</v>
      </c>
      <c r="DN45" s="48" t="s">
        <v>1710</v>
      </c>
      <c r="DO45" s="48" t="s">
        <v>1710</v>
      </c>
      <c r="DP45" s="48" t="s">
        <v>1710</v>
      </c>
      <c r="DQ45" s="48" t="s">
        <v>1710</v>
      </c>
      <c r="DR45" s="48" t="s">
        <v>2072</v>
      </c>
      <c r="DS45" s="48" t="s">
        <v>1710</v>
      </c>
      <c r="DT45" s="48" t="s">
        <v>1710</v>
      </c>
      <c r="DU45" s="48" t="s">
        <v>2841</v>
      </c>
      <c r="DV45" s="48" t="s">
        <v>2825</v>
      </c>
      <c r="DW45" s="48" t="s">
        <v>1710</v>
      </c>
      <c r="DX45" s="48" t="s">
        <v>3169</v>
      </c>
      <c r="DY45" s="48" t="s">
        <v>1709</v>
      </c>
      <c r="DZ45" s="48" t="s">
        <v>2562</v>
      </c>
      <c r="EA45" s="48" t="s">
        <v>2546</v>
      </c>
      <c r="EB45">
        <v>0</v>
      </c>
      <c r="EC45" s="48" t="s">
        <v>2841</v>
      </c>
      <c r="ED45" s="48" t="s">
        <v>3170</v>
      </c>
      <c r="EE45" s="48" t="s">
        <v>1814</v>
      </c>
      <c r="EF45" s="48" t="s">
        <v>2712</v>
      </c>
      <c r="EG45" s="48" t="s">
        <v>3165</v>
      </c>
      <c r="EH45">
        <v>61</v>
      </c>
      <c r="EI45" s="48" t="s">
        <v>1888</v>
      </c>
      <c r="EJ45">
        <v>299</v>
      </c>
      <c r="EK45" s="48" t="s">
        <v>1887</v>
      </c>
      <c r="EL45">
        <v>2</v>
      </c>
      <c r="EM45" s="48" t="s">
        <v>1886</v>
      </c>
      <c r="EN45">
        <v>61</v>
      </c>
      <c r="EO45" s="48" t="s">
        <v>2519</v>
      </c>
      <c r="EP45" s="48" t="s">
        <v>3171</v>
      </c>
      <c r="EQ45">
        <v>28075.5</v>
      </c>
      <c r="ER45">
        <v>28075.5</v>
      </c>
      <c r="ES45">
        <v>40812168</v>
      </c>
      <c r="ET45">
        <v>27706</v>
      </c>
      <c r="EU45" s="48" t="s">
        <v>1710</v>
      </c>
      <c r="EV45" s="48" t="s">
        <v>1710</v>
      </c>
      <c r="EW45" s="48" t="s">
        <v>1712</v>
      </c>
      <c r="EX45" s="48" t="s">
        <v>1710</v>
      </c>
      <c r="EY45" s="48" t="s">
        <v>1843</v>
      </c>
      <c r="EZ45" s="48" t="s">
        <v>1710</v>
      </c>
      <c r="FA45" s="48" t="s">
        <v>1710</v>
      </c>
      <c r="FB45" s="48" t="s">
        <v>1712</v>
      </c>
      <c r="FC45" s="48" t="s">
        <v>1710</v>
      </c>
      <c r="FD45" s="48" t="s">
        <v>1710</v>
      </c>
      <c r="FE45" s="48" t="s">
        <v>1814</v>
      </c>
      <c r="FF45" s="48" t="s">
        <v>1815</v>
      </c>
      <c r="FG45" s="48" t="s">
        <v>1710</v>
      </c>
      <c r="FH45">
        <v>299</v>
      </c>
      <c r="FI45" s="48" t="s">
        <v>1846</v>
      </c>
      <c r="FJ45">
        <v>28075.5</v>
      </c>
      <c r="FK45">
        <v>93.897999999999996</v>
      </c>
      <c r="FL45" s="48" t="s">
        <v>3172</v>
      </c>
      <c r="FM45" s="48" t="s">
        <v>3171</v>
      </c>
      <c r="FN45" s="48" t="s">
        <v>1710</v>
      </c>
      <c r="FO45" s="48" t="s">
        <v>1710</v>
      </c>
      <c r="FP45" s="48" t="s">
        <v>1710</v>
      </c>
      <c r="FQ45" s="48" t="s">
        <v>1710</v>
      </c>
      <c r="FR45" s="48" t="s">
        <v>1710</v>
      </c>
      <c r="FS45" s="48" t="s">
        <v>1710</v>
      </c>
      <c r="FT45" s="48" t="s">
        <v>1710</v>
      </c>
      <c r="FU45" s="48" t="s">
        <v>1710</v>
      </c>
      <c r="FV45" s="48"/>
      <c r="FW45" s="56"/>
      <c r="FX45" s="56"/>
      <c r="FY45" s="56"/>
      <c r="FZ45" s="56"/>
      <c r="GA45" s="55" t="str">
        <f t="shared" si="1"/>
        <v>4388426100329X</v>
      </c>
      <c r="GB45" t="str">
        <f>VLOOKUP(B45,수출코드!$C$2:$D$4,2,FALSE)</f>
        <v>Suwon</v>
      </c>
      <c r="GC45" t="str">
        <f>VLOOKUP(L45,수출코드!$A$2:$B$6,2,FALSE)</f>
        <v/>
      </c>
      <c r="GD45" t="str">
        <f>VLOOKUP(M45,수출코드!$E$2:$F$5,2,FALSE)</f>
        <v>일반</v>
      </c>
      <c r="GE45" s="61">
        <f t="shared" si="2"/>
        <v>45971.638888888891</v>
      </c>
      <c r="GF45" s="62">
        <f t="shared" si="0"/>
        <v>46051.481944444444</v>
      </c>
      <c r="GI45" s="48" t="s">
        <v>2740</v>
      </c>
    </row>
    <row r="46" spans="1:191">
      <c r="A46" s="48" t="s">
        <v>3173</v>
      </c>
      <c r="B46" s="48" t="s">
        <v>1821</v>
      </c>
      <c r="C46" s="48" t="s">
        <v>2048</v>
      </c>
      <c r="D46" s="48" t="s">
        <v>2813</v>
      </c>
      <c r="E46" s="48" t="s">
        <v>3173</v>
      </c>
      <c r="F46" s="48" t="s">
        <v>1710</v>
      </c>
      <c r="G46" s="48" t="s">
        <v>2814</v>
      </c>
      <c r="H46" s="48" t="s">
        <v>3174</v>
      </c>
      <c r="I46" s="48" t="s">
        <v>1884</v>
      </c>
      <c r="J46" s="48" t="s">
        <v>3111</v>
      </c>
      <c r="K46" s="48" t="s">
        <v>1885</v>
      </c>
      <c r="L46" s="48" t="s">
        <v>1883</v>
      </c>
      <c r="M46" s="48" t="s">
        <v>2085</v>
      </c>
      <c r="N46" s="48" t="s">
        <v>1842</v>
      </c>
      <c r="O46" s="48" t="s">
        <v>1811</v>
      </c>
      <c r="P46" s="48" t="s">
        <v>2549</v>
      </c>
      <c r="Q46" s="48" t="s">
        <v>2049</v>
      </c>
      <c r="R46" s="48" t="s">
        <v>1838</v>
      </c>
      <c r="S46" s="48" t="s">
        <v>2050</v>
      </c>
      <c r="T46" s="48" t="s">
        <v>1845</v>
      </c>
      <c r="U46" s="48" t="s">
        <v>2049</v>
      </c>
      <c r="V46" s="48" t="s">
        <v>1838</v>
      </c>
      <c r="W46" s="48" t="s">
        <v>2051</v>
      </c>
      <c r="X46" s="48" t="s">
        <v>2052</v>
      </c>
      <c r="Y46" s="48" t="s">
        <v>2050</v>
      </c>
      <c r="Z46" s="48" t="s">
        <v>2053</v>
      </c>
      <c r="AA46" s="48" t="s">
        <v>2054</v>
      </c>
      <c r="AB46" s="48" t="s">
        <v>2817</v>
      </c>
      <c r="AC46" s="48" t="s">
        <v>2055</v>
      </c>
      <c r="AD46" s="48" t="s">
        <v>2056</v>
      </c>
      <c r="AE46" s="48" t="s">
        <v>1710</v>
      </c>
      <c r="AF46" s="48" t="s">
        <v>1710</v>
      </c>
      <c r="AG46" s="48" t="s">
        <v>2057</v>
      </c>
      <c r="AH46" s="48" t="s">
        <v>1815</v>
      </c>
      <c r="AI46" s="48" t="s">
        <v>2058</v>
      </c>
      <c r="AJ46" s="48" t="s">
        <v>1710</v>
      </c>
      <c r="AK46" s="48" t="s">
        <v>2563</v>
      </c>
      <c r="AL46" s="48" t="s">
        <v>2564</v>
      </c>
      <c r="AM46" s="48" t="s">
        <v>1816</v>
      </c>
      <c r="AN46" s="48" t="s">
        <v>2054</v>
      </c>
      <c r="AO46" s="48" t="s">
        <v>1710</v>
      </c>
      <c r="AP46" s="48" t="s">
        <v>1855</v>
      </c>
      <c r="AQ46" s="48" t="s">
        <v>2076</v>
      </c>
      <c r="AR46" s="48" t="s">
        <v>1812</v>
      </c>
      <c r="AS46" s="48" t="s">
        <v>1813</v>
      </c>
      <c r="AT46" s="48" t="s">
        <v>1826</v>
      </c>
      <c r="AU46" s="48" t="s">
        <v>2061</v>
      </c>
      <c r="AV46" s="48" t="s">
        <v>3111</v>
      </c>
      <c r="AW46" s="48" t="s">
        <v>2062</v>
      </c>
      <c r="AX46" s="48" t="s">
        <v>2063</v>
      </c>
      <c r="AY46" s="48" t="s">
        <v>1710</v>
      </c>
      <c r="AZ46" s="48" t="s">
        <v>3175</v>
      </c>
      <c r="BA46" s="48" t="s">
        <v>1710</v>
      </c>
      <c r="BB46" s="48" t="s">
        <v>1709</v>
      </c>
      <c r="BC46" s="48" t="s">
        <v>1710</v>
      </c>
      <c r="BD46" s="48" t="s">
        <v>2089</v>
      </c>
      <c r="BE46" s="52" t="s">
        <v>3176</v>
      </c>
      <c r="BF46" s="48" t="s">
        <v>1710</v>
      </c>
      <c r="BG46" s="48" t="s">
        <v>1814</v>
      </c>
      <c r="BH46">
        <v>11</v>
      </c>
      <c r="BI46" s="48" t="s">
        <v>1888</v>
      </c>
      <c r="BJ46">
        <v>1</v>
      </c>
      <c r="BK46">
        <v>1473.06</v>
      </c>
      <c r="BL46">
        <v>17315561</v>
      </c>
      <c r="BM46">
        <v>11755</v>
      </c>
      <c r="BN46" s="48" t="s">
        <v>2064</v>
      </c>
      <c r="BO46" s="48" t="s">
        <v>2065</v>
      </c>
      <c r="BP46">
        <v>1473.06</v>
      </c>
      <c r="BQ46">
        <v>11798</v>
      </c>
      <c r="BR46" s="48" t="s">
        <v>1885</v>
      </c>
      <c r="BS46" s="48" t="s">
        <v>2066</v>
      </c>
      <c r="BT46">
        <v>1</v>
      </c>
      <c r="BU46">
        <v>63600</v>
      </c>
      <c r="BV46">
        <v>63600</v>
      </c>
      <c r="BW46" s="48" t="s">
        <v>2065</v>
      </c>
      <c r="BX46">
        <v>1473.06</v>
      </c>
      <c r="BY46">
        <v>0</v>
      </c>
      <c r="BZ46">
        <v>0</v>
      </c>
      <c r="CA46" s="48" t="s">
        <v>2065</v>
      </c>
      <c r="CB46">
        <v>1473.06</v>
      </c>
      <c r="CC46">
        <v>0</v>
      </c>
      <c r="CD46">
        <v>0</v>
      </c>
      <c r="CE46" s="48" t="s">
        <v>1710</v>
      </c>
      <c r="CF46" s="48" t="s">
        <v>1710</v>
      </c>
      <c r="CG46" s="48" t="s">
        <v>1710</v>
      </c>
      <c r="CH46" s="48" t="s">
        <v>1710</v>
      </c>
      <c r="CI46" s="48" t="s">
        <v>2067</v>
      </c>
      <c r="CJ46" s="48" t="s">
        <v>1710</v>
      </c>
      <c r="CL46" s="48" t="s">
        <v>3111</v>
      </c>
      <c r="CM46" s="48" t="s">
        <v>1710</v>
      </c>
      <c r="CN46" s="48" t="s">
        <v>2068</v>
      </c>
      <c r="CO46" s="48" t="s">
        <v>2069</v>
      </c>
      <c r="CP46" s="48" t="s">
        <v>1710</v>
      </c>
      <c r="CQ46" s="48" t="s">
        <v>1710</v>
      </c>
      <c r="CR46" s="48" t="s">
        <v>1710</v>
      </c>
      <c r="CS46" s="48" t="s">
        <v>1710</v>
      </c>
      <c r="CT46" s="48" t="s">
        <v>1710</v>
      </c>
      <c r="CU46" s="48" t="s">
        <v>1712</v>
      </c>
      <c r="CV46" s="48" t="s">
        <v>1710</v>
      </c>
      <c r="CW46" s="48" t="s">
        <v>1710</v>
      </c>
      <c r="CX46" s="48" t="s">
        <v>3167</v>
      </c>
      <c r="CY46" s="48" t="s">
        <v>1710</v>
      </c>
      <c r="CZ46" s="48" t="s">
        <v>1712</v>
      </c>
      <c r="DA46" s="48" t="s">
        <v>1710</v>
      </c>
      <c r="DB46" s="48" t="s">
        <v>1878</v>
      </c>
      <c r="DC46" s="48" t="s">
        <v>2070</v>
      </c>
      <c r="DD46" s="48" t="s">
        <v>1842</v>
      </c>
      <c r="DE46" s="48" t="s">
        <v>1886</v>
      </c>
      <c r="DF46" s="48" t="s">
        <v>3177</v>
      </c>
      <c r="DG46" s="48" t="s">
        <v>2071</v>
      </c>
      <c r="DH46" s="48" t="s">
        <v>1712</v>
      </c>
      <c r="DI46" s="48" t="s">
        <v>1710</v>
      </c>
      <c r="DJ46" s="48" t="s">
        <v>1710</v>
      </c>
      <c r="DK46" s="48" t="s">
        <v>1710</v>
      </c>
      <c r="DL46" s="48" t="s">
        <v>1710</v>
      </c>
      <c r="DM46" s="48" t="s">
        <v>1710</v>
      </c>
      <c r="DN46" s="48" t="s">
        <v>1710</v>
      </c>
      <c r="DO46" s="48" t="s">
        <v>1710</v>
      </c>
      <c r="DP46" s="48" t="s">
        <v>1710</v>
      </c>
      <c r="DQ46" s="48" t="s">
        <v>1710</v>
      </c>
      <c r="DR46" s="48" t="s">
        <v>2072</v>
      </c>
      <c r="DS46" s="48" t="s">
        <v>1710</v>
      </c>
      <c r="DT46" s="48" t="s">
        <v>1710</v>
      </c>
      <c r="DU46" s="48" t="s">
        <v>2841</v>
      </c>
      <c r="DV46" s="48" t="s">
        <v>2825</v>
      </c>
      <c r="DW46" s="48" t="s">
        <v>1710</v>
      </c>
      <c r="DX46" s="48" t="s">
        <v>3178</v>
      </c>
      <c r="DY46" s="48" t="s">
        <v>1709</v>
      </c>
      <c r="DZ46" s="48" t="s">
        <v>2073</v>
      </c>
      <c r="EA46" s="48" t="s">
        <v>2546</v>
      </c>
      <c r="EB46">
        <v>0</v>
      </c>
      <c r="EC46" s="48" t="s">
        <v>2841</v>
      </c>
      <c r="ED46" s="48" t="s">
        <v>3179</v>
      </c>
      <c r="EE46" s="48" t="s">
        <v>1814</v>
      </c>
      <c r="EF46" s="48" t="s">
        <v>1876</v>
      </c>
      <c r="EG46" s="48" t="s">
        <v>3175</v>
      </c>
      <c r="EH46">
        <v>8</v>
      </c>
      <c r="EI46" s="48" t="s">
        <v>1888</v>
      </c>
      <c r="EJ46">
        <v>0</v>
      </c>
      <c r="EK46" s="48" t="s">
        <v>1710</v>
      </c>
      <c r="EL46">
        <v>1</v>
      </c>
      <c r="EM46" s="48" t="s">
        <v>1886</v>
      </c>
      <c r="EN46">
        <v>8</v>
      </c>
      <c r="EO46" s="48" t="s">
        <v>2722</v>
      </c>
      <c r="EP46" s="48" t="s">
        <v>3180</v>
      </c>
      <c r="EQ46">
        <v>11798</v>
      </c>
      <c r="ER46">
        <v>11798</v>
      </c>
      <c r="ES46">
        <v>17315561</v>
      </c>
      <c r="ET46">
        <v>11755</v>
      </c>
      <c r="EU46" s="48" t="s">
        <v>3181</v>
      </c>
      <c r="EV46" s="48" t="s">
        <v>3182</v>
      </c>
      <c r="EW46" s="48" t="s">
        <v>1712</v>
      </c>
      <c r="EX46" s="48" t="s">
        <v>1710</v>
      </c>
      <c r="EY46" s="48" t="s">
        <v>1851</v>
      </c>
      <c r="EZ46" s="48" t="s">
        <v>1710</v>
      </c>
      <c r="FA46" s="48" t="s">
        <v>1710</v>
      </c>
      <c r="FB46" s="48" t="s">
        <v>1712</v>
      </c>
      <c r="FC46" s="48" t="s">
        <v>1710</v>
      </c>
      <c r="FD46" s="48" t="s">
        <v>1710</v>
      </c>
      <c r="FE46" s="48" t="s">
        <v>1814</v>
      </c>
      <c r="FF46" s="48" t="s">
        <v>1815</v>
      </c>
      <c r="FG46" s="48" t="s">
        <v>1710</v>
      </c>
      <c r="FH46">
        <v>1</v>
      </c>
      <c r="FI46" s="48" t="s">
        <v>1846</v>
      </c>
      <c r="FJ46">
        <v>11798</v>
      </c>
      <c r="FK46">
        <v>11798</v>
      </c>
      <c r="FL46" s="48" t="s">
        <v>3183</v>
      </c>
      <c r="FM46" s="48" t="s">
        <v>3180</v>
      </c>
      <c r="FN46" s="48" t="s">
        <v>1710</v>
      </c>
      <c r="FO46" s="48" t="s">
        <v>1710</v>
      </c>
      <c r="FP46" s="48" t="s">
        <v>1710</v>
      </c>
      <c r="FQ46" s="48" t="s">
        <v>1710</v>
      </c>
      <c r="FR46" s="48" t="s">
        <v>1710</v>
      </c>
      <c r="FS46" s="48" t="s">
        <v>1710</v>
      </c>
      <c r="FT46" s="48" t="s">
        <v>1710</v>
      </c>
      <c r="FU46" s="48" t="s">
        <v>1710</v>
      </c>
      <c r="FV46" s="48"/>
      <c r="FW46" s="56"/>
      <c r="FX46" s="56"/>
      <c r="FY46" s="56"/>
      <c r="FZ46" s="56"/>
      <c r="GA46" s="55" t="str">
        <f t="shared" si="1"/>
        <v>4388426100330X</v>
      </c>
      <c r="GB46" t="str">
        <f>VLOOKUP(B46,수출코드!$C$2:$D$4,2,FALSE)</f>
        <v>Suwon</v>
      </c>
      <c r="GC46" t="str">
        <f>VLOOKUP(L46,수출코드!$A$2:$B$6,2,FALSE)</f>
        <v>서류제출</v>
      </c>
      <c r="GD46" t="str">
        <f>VLOOKUP(M46,수출코드!$E$2:$F$5,2,FALSE)</f>
        <v>원상태</v>
      </c>
      <c r="GE46" s="61">
        <f t="shared" si="2"/>
        <v>45971.638888888891</v>
      </c>
      <c r="GF46" s="62">
        <f t="shared" si="0"/>
        <v>46051.682638888888</v>
      </c>
      <c r="GI46" s="48" t="s">
        <v>2740</v>
      </c>
    </row>
    <row r="47" spans="1:191">
      <c r="A47" s="48" t="s">
        <v>3184</v>
      </c>
      <c r="B47" s="48" t="s">
        <v>1821</v>
      </c>
      <c r="C47" s="48" t="s">
        <v>2048</v>
      </c>
      <c r="D47" s="48" t="s">
        <v>2813</v>
      </c>
      <c r="E47" s="48" t="s">
        <v>3184</v>
      </c>
      <c r="F47" s="48" t="s">
        <v>1710</v>
      </c>
      <c r="G47" s="48" t="s">
        <v>2814</v>
      </c>
      <c r="H47" s="48" t="s">
        <v>3185</v>
      </c>
      <c r="I47" s="48" t="s">
        <v>1884</v>
      </c>
      <c r="J47" s="48" t="s">
        <v>3111</v>
      </c>
      <c r="K47" s="48" t="s">
        <v>1877</v>
      </c>
      <c r="L47" s="48" t="s">
        <v>1842</v>
      </c>
      <c r="M47" s="48" t="s">
        <v>1810</v>
      </c>
      <c r="N47" s="48" t="s">
        <v>1842</v>
      </c>
      <c r="O47" s="48" t="s">
        <v>1811</v>
      </c>
      <c r="P47" s="48" t="s">
        <v>2549</v>
      </c>
      <c r="Q47" s="48" t="s">
        <v>2049</v>
      </c>
      <c r="R47" s="48" t="s">
        <v>1838</v>
      </c>
      <c r="S47" s="48" t="s">
        <v>2050</v>
      </c>
      <c r="T47" s="48" t="s">
        <v>1845</v>
      </c>
      <c r="U47" s="48" t="s">
        <v>2049</v>
      </c>
      <c r="V47" s="48" t="s">
        <v>1838</v>
      </c>
      <c r="W47" s="48" t="s">
        <v>2051</v>
      </c>
      <c r="X47" s="48" t="s">
        <v>2052</v>
      </c>
      <c r="Y47" s="48" t="s">
        <v>2050</v>
      </c>
      <c r="Z47" s="48" t="s">
        <v>2053</v>
      </c>
      <c r="AA47" s="48" t="s">
        <v>2054</v>
      </c>
      <c r="AB47" s="48" t="s">
        <v>2817</v>
      </c>
      <c r="AC47" s="48" t="s">
        <v>2055</v>
      </c>
      <c r="AD47" s="48" t="s">
        <v>2056</v>
      </c>
      <c r="AE47" s="48" t="s">
        <v>1710</v>
      </c>
      <c r="AF47" s="48" t="s">
        <v>1710</v>
      </c>
      <c r="AG47" s="48" t="s">
        <v>2057</v>
      </c>
      <c r="AH47" s="48" t="s">
        <v>1815</v>
      </c>
      <c r="AI47" s="48" t="s">
        <v>2058</v>
      </c>
      <c r="AJ47" s="48" t="s">
        <v>1710</v>
      </c>
      <c r="AK47" s="48" t="s">
        <v>1839</v>
      </c>
      <c r="AL47" s="48" t="s">
        <v>1840</v>
      </c>
      <c r="AM47" s="48" t="s">
        <v>1816</v>
      </c>
      <c r="AN47" s="48" t="s">
        <v>2054</v>
      </c>
      <c r="AO47" s="48" t="s">
        <v>1710</v>
      </c>
      <c r="AP47" s="48" t="s">
        <v>1874</v>
      </c>
      <c r="AQ47" s="48" t="s">
        <v>2078</v>
      </c>
      <c r="AR47" s="48" t="s">
        <v>1812</v>
      </c>
      <c r="AS47" s="48" t="s">
        <v>1813</v>
      </c>
      <c r="AT47" s="48" t="s">
        <v>1826</v>
      </c>
      <c r="AU47" s="48" t="s">
        <v>2061</v>
      </c>
      <c r="AV47" s="48" t="s">
        <v>3111</v>
      </c>
      <c r="AW47" s="48" t="s">
        <v>2062</v>
      </c>
      <c r="AX47" s="48" t="s">
        <v>2063</v>
      </c>
      <c r="AY47" s="48" t="s">
        <v>1710</v>
      </c>
      <c r="AZ47" s="48" t="s">
        <v>3186</v>
      </c>
      <c r="BA47" s="48" t="s">
        <v>1710</v>
      </c>
      <c r="BB47" s="48" t="s">
        <v>1709</v>
      </c>
      <c r="BC47" s="48" t="s">
        <v>1710</v>
      </c>
      <c r="BD47" s="48" t="s">
        <v>2089</v>
      </c>
      <c r="BE47" s="52" t="s">
        <v>3176</v>
      </c>
      <c r="BF47" s="48" t="s">
        <v>1710</v>
      </c>
      <c r="BG47" s="48" t="s">
        <v>1814</v>
      </c>
      <c r="BH47">
        <v>1</v>
      </c>
      <c r="BI47" s="48" t="s">
        <v>1888</v>
      </c>
      <c r="BJ47">
        <v>1</v>
      </c>
      <c r="BK47">
        <v>1473.06</v>
      </c>
      <c r="BL47">
        <v>71364</v>
      </c>
      <c r="BM47">
        <v>48</v>
      </c>
      <c r="BN47" s="48" t="s">
        <v>2064</v>
      </c>
      <c r="BO47" s="48" t="s">
        <v>2065</v>
      </c>
      <c r="BP47">
        <v>1473.06</v>
      </c>
      <c r="BQ47">
        <v>63.11</v>
      </c>
      <c r="BR47" s="48" t="s">
        <v>1885</v>
      </c>
      <c r="BS47" s="48" t="s">
        <v>2066</v>
      </c>
      <c r="BT47">
        <v>1</v>
      </c>
      <c r="BU47">
        <v>21600</v>
      </c>
      <c r="BV47">
        <v>21600</v>
      </c>
      <c r="BW47" s="48" t="s">
        <v>2065</v>
      </c>
      <c r="BX47">
        <v>1473.06</v>
      </c>
      <c r="BY47">
        <v>0</v>
      </c>
      <c r="BZ47">
        <v>0</v>
      </c>
      <c r="CA47" s="48" t="s">
        <v>2065</v>
      </c>
      <c r="CB47">
        <v>1473.06</v>
      </c>
      <c r="CC47">
        <v>0</v>
      </c>
      <c r="CD47">
        <v>0</v>
      </c>
      <c r="CE47" s="48" t="s">
        <v>1710</v>
      </c>
      <c r="CF47" s="48" t="s">
        <v>1710</v>
      </c>
      <c r="CG47" s="48" t="s">
        <v>1710</v>
      </c>
      <c r="CH47" s="48" t="s">
        <v>1710</v>
      </c>
      <c r="CI47" s="48" t="s">
        <v>2067</v>
      </c>
      <c r="CJ47" s="48" t="s">
        <v>1710</v>
      </c>
      <c r="CL47" s="48" t="s">
        <v>3111</v>
      </c>
      <c r="CM47" s="48" t="s">
        <v>1710</v>
      </c>
      <c r="CN47" s="48" t="s">
        <v>2068</v>
      </c>
      <c r="CO47" s="48" t="s">
        <v>2069</v>
      </c>
      <c r="CP47" s="48" t="s">
        <v>1710</v>
      </c>
      <c r="CQ47" s="48" t="s">
        <v>1710</v>
      </c>
      <c r="CR47" s="48" t="s">
        <v>1710</v>
      </c>
      <c r="CS47" s="48" t="s">
        <v>1710</v>
      </c>
      <c r="CT47" s="48" t="s">
        <v>1710</v>
      </c>
      <c r="CU47" s="48" t="s">
        <v>1712</v>
      </c>
      <c r="CV47" s="48" t="s">
        <v>1710</v>
      </c>
      <c r="CW47" s="48" t="s">
        <v>1710</v>
      </c>
      <c r="CX47" s="48" t="s">
        <v>3167</v>
      </c>
      <c r="CY47" s="48" t="s">
        <v>1710</v>
      </c>
      <c r="CZ47" s="48" t="s">
        <v>1712</v>
      </c>
      <c r="DA47" s="48" t="s">
        <v>1710</v>
      </c>
      <c r="DB47" s="48" t="s">
        <v>1878</v>
      </c>
      <c r="DC47" s="48" t="s">
        <v>2070</v>
      </c>
      <c r="DD47" s="48" t="s">
        <v>1842</v>
      </c>
      <c r="DE47" s="48" t="s">
        <v>1886</v>
      </c>
      <c r="DF47" s="48" t="s">
        <v>3187</v>
      </c>
      <c r="DG47" s="48" t="s">
        <v>2071</v>
      </c>
      <c r="DH47" s="48" t="s">
        <v>1712</v>
      </c>
      <c r="DI47" s="48" t="s">
        <v>1710</v>
      </c>
      <c r="DJ47" s="48" t="s">
        <v>1710</v>
      </c>
      <c r="DK47" s="48" t="s">
        <v>1710</v>
      </c>
      <c r="DL47" s="48" t="s">
        <v>1710</v>
      </c>
      <c r="DM47" s="48" t="s">
        <v>1710</v>
      </c>
      <c r="DN47" s="48" t="s">
        <v>1710</v>
      </c>
      <c r="DO47" s="48" t="s">
        <v>1710</v>
      </c>
      <c r="DP47" s="48" t="s">
        <v>1710</v>
      </c>
      <c r="DQ47" s="48" t="s">
        <v>1710</v>
      </c>
      <c r="DR47" s="48" t="s">
        <v>2072</v>
      </c>
      <c r="DS47" s="48" t="s">
        <v>1710</v>
      </c>
      <c r="DT47" s="48" t="s">
        <v>1710</v>
      </c>
      <c r="DU47" s="48" t="s">
        <v>2841</v>
      </c>
      <c r="DV47" s="48" t="s">
        <v>3141</v>
      </c>
      <c r="DW47" s="48" t="s">
        <v>1710</v>
      </c>
      <c r="DX47" s="48" t="s">
        <v>3188</v>
      </c>
      <c r="DY47" s="48" t="s">
        <v>1709</v>
      </c>
      <c r="DZ47" s="48" t="s">
        <v>2562</v>
      </c>
      <c r="EA47" s="48" t="s">
        <v>2546</v>
      </c>
      <c r="EB47">
        <v>0</v>
      </c>
      <c r="EC47" s="48" t="s">
        <v>2841</v>
      </c>
      <c r="ED47" s="48" t="s">
        <v>3189</v>
      </c>
      <c r="EE47" s="48" t="s">
        <v>1814</v>
      </c>
      <c r="EF47" s="48" t="s">
        <v>1852</v>
      </c>
      <c r="EG47" s="48" t="s">
        <v>3186</v>
      </c>
      <c r="EH47">
        <v>1</v>
      </c>
      <c r="EI47" s="48" t="s">
        <v>1888</v>
      </c>
      <c r="EJ47">
        <v>0</v>
      </c>
      <c r="EK47" s="48" t="s">
        <v>1710</v>
      </c>
      <c r="EL47">
        <v>1</v>
      </c>
      <c r="EM47" s="48" t="s">
        <v>1886</v>
      </c>
      <c r="EN47">
        <v>1</v>
      </c>
      <c r="EO47" s="48" t="s">
        <v>2521</v>
      </c>
      <c r="EP47" s="48" t="s">
        <v>3190</v>
      </c>
      <c r="EQ47">
        <v>63.11</v>
      </c>
      <c r="ER47">
        <v>63.11</v>
      </c>
      <c r="ES47">
        <v>71364</v>
      </c>
      <c r="ET47">
        <v>48</v>
      </c>
      <c r="EU47" s="48" t="s">
        <v>1710</v>
      </c>
      <c r="EV47" s="48" t="s">
        <v>1710</v>
      </c>
      <c r="EW47" s="48" t="s">
        <v>1712</v>
      </c>
      <c r="EX47" s="48" t="s">
        <v>1710</v>
      </c>
      <c r="EY47" s="48" t="s">
        <v>1850</v>
      </c>
      <c r="EZ47" s="48" t="s">
        <v>1710</v>
      </c>
      <c r="FA47" s="48" t="s">
        <v>1710</v>
      </c>
      <c r="FB47" s="48" t="s">
        <v>1712</v>
      </c>
      <c r="FC47" s="48" t="s">
        <v>1710</v>
      </c>
      <c r="FD47" s="48" t="s">
        <v>1710</v>
      </c>
      <c r="FE47" s="48" t="s">
        <v>1814</v>
      </c>
      <c r="FF47" s="48" t="s">
        <v>1815</v>
      </c>
      <c r="FG47" s="48" t="s">
        <v>1710</v>
      </c>
      <c r="FH47">
        <v>2</v>
      </c>
      <c r="FI47" s="48" t="s">
        <v>1846</v>
      </c>
      <c r="FJ47">
        <v>63.11</v>
      </c>
      <c r="FK47">
        <v>31.555</v>
      </c>
      <c r="FL47" s="48" t="s">
        <v>3191</v>
      </c>
      <c r="FM47" s="48" t="s">
        <v>3190</v>
      </c>
      <c r="FN47" s="48" t="s">
        <v>1710</v>
      </c>
      <c r="FO47" s="48" t="s">
        <v>1710</v>
      </c>
      <c r="FP47" s="48" t="s">
        <v>1710</v>
      </c>
      <c r="FQ47" s="48" t="s">
        <v>1710</v>
      </c>
      <c r="FR47" s="48" t="s">
        <v>1710</v>
      </c>
      <c r="FS47" s="48" t="s">
        <v>1710</v>
      </c>
      <c r="FT47" s="48" t="s">
        <v>1710</v>
      </c>
      <c r="FU47" s="48" t="s">
        <v>1710</v>
      </c>
      <c r="FV47" s="48"/>
      <c r="FW47" s="56"/>
      <c r="FX47" s="56"/>
      <c r="FY47" s="56"/>
      <c r="FZ47" s="56"/>
      <c r="GA47" s="55" t="str">
        <f t="shared" si="1"/>
        <v>4388426100331X</v>
      </c>
      <c r="GB47" t="str">
        <f>VLOOKUP(B47,수출코드!$C$2:$D$4,2,FALSE)</f>
        <v>Suwon</v>
      </c>
      <c r="GC47" t="str">
        <f>VLOOKUP(L47,수출코드!$A$2:$B$6,2,FALSE)</f>
        <v/>
      </c>
      <c r="GD47" t="str">
        <f>VLOOKUP(M47,수출코드!$E$2:$F$5,2,FALSE)</f>
        <v>일반</v>
      </c>
      <c r="GE47" s="61">
        <f t="shared" si="2"/>
        <v>45971.638888888891</v>
      </c>
      <c r="GF47" s="62">
        <f t="shared" si="0"/>
        <v>46051.663888888892</v>
      </c>
      <c r="GI47" s="48" t="s">
        <v>2740</v>
      </c>
    </row>
    <row r="48" spans="1:191">
      <c r="A48" s="48" t="s">
        <v>3192</v>
      </c>
      <c r="B48" s="48" t="s">
        <v>1821</v>
      </c>
      <c r="C48" s="48" t="s">
        <v>2048</v>
      </c>
      <c r="D48" s="48" t="s">
        <v>2813</v>
      </c>
      <c r="E48" s="48" t="s">
        <v>3192</v>
      </c>
      <c r="F48" s="48" t="s">
        <v>1710</v>
      </c>
      <c r="G48" s="48" t="s">
        <v>2814</v>
      </c>
      <c r="H48" s="48" t="s">
        <v>3193</v>
      </c>
      <c r="I48" s="48" t="s">
        <v>1884</v>
      </c>
      <c r="J48" s="48" t="s">
        <v>3111</v>
      </c>
      <c r="K48" s="48" t="s">
        <v>1877</v>
      </c>
      <c r="L48" s="48" t="s">
        <v>1842</v>
      </c>
      <c r="M48" s="48" t="s">
        <v>1810</v>
      </c>
      <c r="N48" s="48" t="s">
        <v>1842</v>
      </c>
      <c r="O48" s="48" t="s">
        <v>1811</v>
      </c>
      <c r="P48" s="48" t="s">
        <v>2549</v>
      </c>
      <c r="Q48" s="48" t="s">
        <v>2049</v>
      </c>
      <c r="R48" s="48" t="s">
        <v>1838</v>
      </c>
      <c r="S48" s="48" t="s">
        <v>2050</v>
      </c>
      <c r="T48" s="48" t="s">
        <v>1845</v>
      </c>
      <c r="U48" s="48" t="s">
        <v>2049</v>
      </c>
      <c r="V48" s="48" t="s">
        <v>1838</v>
      </c>
      <c r="W48" s="48" t="s">
        <v>2051</v>
      </c>
      <c r="X48" s="48" t="s">
        <v>2052</v>
      </c>
      <c r="Y48" s="48" t="s">
        <v>2050</v>
      </c>
      <c r="Z48" s="48" t="s">
        <v>2053</v>
      </c>
      <c r="AA48" s="48" t="s">
        <v>2054</v>
      </c>
      <c r="AB48" s="48" t="s">
        <v>2817</v>
      </c>
      <c r="AC48" s="48" t="s">
        <v>2055</v>
      </c>
      <c r="AD48" s="48" t="s">
        <v>2056</v>
      </c>
      <c r="AE48" s="48" t="s">
        <v>1710</v>
      </c>
      <c r="AF48" s="48" t="s">
        <v>1710</v>
      </c>
      <c r="AG48" s="48" t="s">
        <v>2057</v>
      </c>
      <c r="AH48" s="48" t="s">
        <v>1815</v>
      </c>
      <c r="AI48" s="48" t="s">
        <v>2058</v>
      </c>
      <c r="AJ48" s="48" t="s">
        <v>1710</v>
      </c>
      <c r="AK48" s="48" t="s">
        <v>1839</v>
      </c>
      <c r="AL48" s="48" t="s">
        <v>1840</v>
      </c>
      <c r="AM48" s="48" t="s">
        <v>1816</v>
      </c>
      <c r="AN48" s="48" t="s">
        <v>2054</v>
      </c>
      <c r="AO48" s="48" t="s">
        <v>1710</v>
      </c>
      <c r="AP48" s="48" t="s">
        <v>1874</v>
      </c>
      <c r="AQ48" s="48" t="s">
        <v>2078</v>
      </c>
      <c r="AR48" s="48" t="s">
        <v>1812</v>
      </c>
      <c r="AS48" s="48" t="s">
        <v>1813</v>
      </c>
      <c r="AT48" s="48" t="s">
        <v>1826</v>
      </c>
      <c r="AU48" s="48" t="s">
        <v>2061</v>
      </c>
      <c r="AV48" s="48" t="s">
        <v>3111</v>
      </c>
      <c r="AW48" s="48" t="s">
        <v>2062</v>
      </c>
      <c r="AX48" s="48" t="s">
        <v>2063</v>
      </c>
      <c r="AY48" s="48" t="s">
        <v>1710</v>
      </c>
      <c r="AZ48" s="48" t="s">
        <v>3194</v>
      </c>
      <c r="BA48" s="48" t="s">
        <v>1710</v>
      </c>
      <c r="BB48" s="48" t="s">
        <v>1709</v>
      </c>
      <c r="BC48" s="48" t="s">
        <v>1710</v>
      </c>
      <c r="BD48" s="48" t="s">
        <v>2089</v>
      </c>
      <c r="BE48" s="52" t="s">
        <v>3176</v>
      </c>
      <c r="BF48" s="48" t="s">
        <v>1710</v>
      </c>
      <c r="BG48" s="48" t="s">
        <v>1814</v>
      </c>
      <c r="BH48">
        <v>1</v>
      </c>
      <c r="BI48" s="48" t="s">
        <v>1888</v>
      </c>
      <c r="BJ48">
        <v>1</v>
      </c>
      <c r="BK48">
        <v>1473.06</v>
      </c>
      <c r="BL48">
        <v>463979</v>
      </c>
      <c r="BM48">
        <v>315</v>
      </c>
      <c r="BN48" s="48" t="s">
        <v>2064</v>
      </c>
      <c r="BO48" s="48" t="s">
        <v>2065</v>
      </c>
      <c r="BP48">
        <v>1473.06</v>
      </c>
      <c r="BQ48">
        <v>329.64</v>
      </c>
      <c r="BR48" s="48" t="s">
        <v>1885</v>
      </c>
      <c r="BS48" s="48" t="s">
        <v>2066</v>
      </c>
      <c r="BT48">
        <v>1</v>
      </c>
      <c r="BU48">
        <v>21600</v>
      </c>
      <c r="BV48">
        <v>21600</v>
      </c>
      <c r="BW48" s="48" t="s">
        <v>2065</v>
      </c>
      <c r="BX48">
        <v>1473.06</v>
      </c>
      <c r="BY48">
        <v>0</v>
      </c>
      <c r="BZ48">
        <v>0</v>
      </c>
      <c r="CA48" s="48" t="s">
        <v>2065</v>
      </c>
      <c r="CB48">
        <v>1473.06</v>
      </c>
      <c r="CC48">
        <v>0</v>
      </c>
      <c r="CD48">
        <v>0</v>
      </c>
      <c r="CE48" s="48" t="s">
        <v>1710</v>
      </c>
      <c r="CF48" s="48" t="s">
        <v>1710</v>
      </c>
      <c r="CG48" s="48" t="s">
        <v>1710</v>
      </c>
      <c r="CH48" s="48" t="s">
        <v>1710</v>
      </c>
      <c r="CI48" s="48" t="s">
        <v>2067</v>
      </c>
      <c r="CJ48" s="48" t="s">
        <v>1710</v>
      </c>
      <c r="CL48" s="48" t="s">
        <v>3111</v>
      </c>
      <c r="CM48" s="48" t="s">
        <v>1710</v>
      </c>
      <c r="CN48" s="48" t="s">
        <v>2068</v>
      </c>
      <c r="CO48" s="48" t="s">
        <v>2069</v>
      </c>
      <c r="CP48" s="48" t="s">
        <v>1710</v>
      </c>
      <c r="CQ48" s="48" t="s">
        <v>1710</v>
      </c>
      <c r="CR48" s="48" t="s">
        <v>1710</v>
      </c>
      <c r="CS48" s="48" t="s">
        <v>1710</v>
      </c>
      <c r="CT48" s="48" t="s">
        <v>1710</v>
      </c>
      <c r="CU48" s="48" t="s">
        <v>1712</v>
      </c>
      <c r="CV48" s="48" t="s">
        <v>1710</v>
      </c>
      <c r="CW48" s="48" t="s">
        <v>1710</v>
      </c>
      <c r="CX48" s="48" t="s">
        <v>3167</v>
      </c>
      <c r="CY48" s="48" t="s">
        <v>1710</v>
      </c>
      <c r="CZ48" s="48" t="s">
        <v>1712</v>
      </c>
      <c r="DA48" s="48" t="s">
        <v>1710</v>
      </c>
      <c r="DB48" s="48" t="s">
        <v>1878</v>
      </c>
      <c r="DC48" s="48" t="s">
        <v>2070</v>
      </c>
      <c r="DD48" s="48" t="s">
        <v>1842</v>
      </c>
      <c r="DE48" s="48" t="s">
        <v>1886</v>
      </c>
      <c r="DF48" s="48" t="s">
        <v>3195</v>
      </c>
      <c r="DG48" s="48" t="s">
        <v>2071</v>
      </c>
      <c r="DH48" s="48" t="s">
        <v>1712</v>
      </c>
      <c r="DI48" s="48" t="s">
        <v>1710</v>
      </c>
      <c r="DJ48" s="48" t="s">
        <v>1710</v>
      </c>
      <c r="DK48" s="48" t="s">
        <v>1710</v>
      </c>
      <c r="DL48" s="48" t="s">
        <v>1710</v>
      </c>
      <c r="DM48" s="48" t="s">
        <v>1710</v>
      </c>
      <c r="DN48" s="48" t="s">
        <v>1710</v>
      </c>
      <c r="DO48" s="48" t="s">
        <v>1710</v>
      </c>
      <c r="DP48" s="48" t="s">
        <v>1710</v>
      </c>
      <c r="DQ48" s="48" t="s">
        <v>1710</v>
      </c>
      <c r="DR48" s="48" t="s">
        <v>2072</v>
      </c>
      <c r="DS48" s="48" t="s">
        <v>1710</v>
      </c>
      <c r="DT48" s="48" t="s">
        <v>1710</v>
      </c>
      <c r="DU48" s="48" t="s">
        <v>2841</v>
      </c>
      <c r="DV48" s="48" t="s">
        <v>3141</v>
      </c>
      <c r="DW48" s="48" t="s">
        <v>1710</v>
      </c>
      <c r="DX48" s="48" t="s">
        <v>3196</v>
      </c>
      <c r="DY48" s="48" t="s">
        <v>1709</v>
      </c>
      <c r="DZ48" s="48" t="s">
        <v>2562</v>
      </c>
      <c r="EA48" s="48" t="s">
        <v>2546</v>
      </c>
      <c r="EB48">
        <v>0</v>
      </c>
      <c r="EC48" s="48" t="s">
        <v>2841</v>
      </c>
      <c r="ED48" s="48" t="s">
        <v>3189</v>
      </c>
      <c r="EE48" s="48" t="s">
        <v>1814</v>
      </c>
      <c r="EF48" s="48" t="s">
        <v>2634</v>
      </c>
      <c r="EG48" s="48" t="s">
        <v>3194</v>
      </c>
      <c r="EH48">
        <v>0.41399999999999998</v>
      </c>
      <c r="EI48" s="48" t="s">
        <v>1888</v>
      </c>
      <c r="EJ48">
        <v>0</v>
      </c>
      <c r="EK48" s="48" t="s">
        <v>1710</v>
      </c>
      <c r="EL48">
        <v>1</v>
      </c>
      <c r="EM48" s="48" t="s">
        <v>1886</v>
      </c>
      <c r="EN48">
        <v>0.41399999999999998</v>
      </c>
      <c r="EO48" s="48" t="s">
        <v>2635</v>
      </c>
      <c r="EP48" s="48" t="s">
        <v>3197</v>
      </c>
      <c r="EQ48">
        <v>329.64</v>
      </c>
      <c r="ER48">
        <v>329.64</v>
      </c>
      <c r="ES48">
        <v>463979</v>
      </c>
      <c r="ET48">
        <v>315</v>
      </c>
      <c r="EU48" s="48" t="s">
        <v>1710</v>
      </c>
      <c r="EV48" s="48" t="s">
        <v>1710</v>
      </c>
      <c r="EW48" s="48" t="s">
        <v>1712</v>
      </c>
      <c r="EX48" s="48" t="s">
        <v>1710</v>
      </c>
      <c r="EY48" s="48" t="s">
        <v>1848</v>
      </c>
      <c r="EZ48" s="48" t="s">
        <v>1710</v>
      </c>
      <c r="FA48" s="48" t="s">
        <v>1710</v>
      </c>
      <c r="FB48" s="48" t="s">
        <v>1712</v>
      </c>
      <c r="FC48" s="48" t="s">
        <v>1710</v>
      </c>
      <c r="FD48" s="48" t="s">
        <v>1710</v>
      </c>
      <c r="FE48" s="48" t="s">
        <v>1814</v>
      </c>
      <c r="FF48" s="48" t="s">
        <v>1815</v>
      </c>
      <c r="FG48" s="48" t="s">
        <v>1710</v>
      </c>
      <c r="FH48">
        <v>1</v>
      </c>
      <c r="FI48" s="48" t="s">
        <v>1846</v>
      </c>
      <c r="FJ48">
        <v>329.64</v>
      </c>
      <c r="FK48">
        <v>329.64</v>
      </c>
      <c r="FL48" s="48" t="s">
        <v>3198</v>
      </c>
      <c r="FM48" s="48" t="s">
        <v>3197</v>
      </c>
      <c r="FN48" s="48" t="s">
        <v>1710</v>
      </c>
      <c r="FO48" s="48" t="s">
        <v>1710</v>
      </c>
      <c r="FP48" s="48" t="s">
        <v>1710</v>
      </c>
      <c r="FQ48" s="48" t="s">
        <v>1710</v>
      </c>
      <c r="FR48" s="48" t="s">
        <v>1710</v>
      </c>
      <c r="FS48" s="48" t="s">
        <v>1710</v>
      </c>
      <c r="FT48" s="48" t="s">
        <v>1710</v>
      </c>
      <c r="FU48" s="48" t="s">
        <v>1710</v>
      </c>
      <c r="FV48" s="48"/>
      <c r="FW48" s="56"/>
      <c r="FX48" s="56"/>
      <c r="FY48" s="56"/>
      <c r="FZ48" s="56"/>
      <c r="GA48" s="55" t="str">
        <f t="shared" si="1"/>
        <v>4388426100332X</v>
      </c>
      <c r="GB48" t="str">
        <f>VLOOKUP(B48,수출코드!$C$2:$D$4,2,FALSE)</f>
        <v>Suwon</v>
      </c>
      <c r="GC48" t="str">
        <f>VLOOKUP(L48,수출코드!$A$2:$B$6,2,FALSE)</f>
        <v/>
      </c>
      <c r="GD48" t="str">
        <f>VLOOKUP(M48,수출코드!$E$2:$F$5,2,FALSE)</f>
        <v>일반</v>
      </c>
      <c r="GE48" s="61">
        <f t="shared" si="2"/>
        <v>45971.638888888891</v>
      </c>
      <c r="GF48" s="62">
        <f t="shared" si="0"/>
        <v>46051.663888888892</v>
      </c>
      <c r="GI48" s="48" t="s">
        <v>2740</v>
      </c>
    </row>
    <row r="49" spans="1:191">
      <c r="A49" s="48" t="s">
        <v>3199</v>
      </c>
      <c r="B49" s="48" t="s">
        <v>1821</v>
      </c>
      <c r="C49" s="48" t="s">
        <v>2048</v>
      </c>
      <c r="D49" s="48" t="s">
        <v>2813</v>
      </c>
      <c r="E49" s="48" t="s">
        <v>3199</v>
      </c>
      <c r="F49" s="48" t="s">
        <v>1710</v>
      </c>
      <c r="G49" s="48" t="s">
        <v>2814</v>
      </c>
      <c r="H49" s="48" t="s">
        <v>3200</v>
      </c>
      <c r="I49" s="48" t="s">
        <v>1884</v>
      </c>
      <c r="J49" s="48" t="s">
        <v>2825</v>
      </c>
      <c r="K49" s="48" t="s">
        <v>1877</v>
      </c>
      <c r="L49" s="48" t="s">
        <v>1842</v>
      </c>
      <c r="M49" s="48" t="s">
        <v>1822</v>
      </c>
      <c r="N49" s="48" t="s">
        <v>1842</v>
      </c>
      <c r="O49" s="48" t="s">
        <v>1823</v>
      </c>
      <c r="P49" s="48" t="s">
        <v>2549</v>
      </c>
      <c r="Q49" s="48" t="s">
        <v>2049</v>
      </c>
      <c r="R49" s="48" t="s">
        <v>1838</v>
      </c>
      <c r="S49" s="48" t="s">
        <v>2050</v>
      </c>
      <c r="T49" s="48" t="s">
        <v>1845</v>
      </c>
      <c r="U49" s="48" t="s">
        <v>2049</v>
      </c>
      <c r="V49" s="48" t="s">
        <v>1838</v>
      </c>
      <c r="W49" s="48" t="s">
        <v>2051</v>
      </c>
      <c r="X49" s="48" t="s">
        <v>2052</v>
      </c>
      <c r="Y49" s="48" t="s">
        <v>2050</v>
      </c>
      <c r="Z49" s="48" t="s">
        <v>2053</v>
      </c>
      <c r="AA49" s="48" t="s">
        <v>2054</v>
      </c>
      <c r="AB49" s="48" t="s">
        <v>2817</v>
      </c>
      <c r="AC49" s="48" t="s">
        <v>2055</v>
      </c>
      <c r="AD49" s="48" t="s">
        <v>2056</v>
      </c>
      <c r="AE49" s="48" t="s">
        <v>1710</v>
      </c>
      <c r="AF49" s="48" t="s">
        <v>1710</v>
      </c>
      <c r="AG49" s="48" t="s">
        <v>2057</v>
      </c>
      <c r="AH49" s="48" t="s">
        <v>1815</v>
      </c>
      <c r="AI49" s="48" t="s">
        <v>2058</v>
      </c>
      <c r="AJ49" s="48" t="s">
        <v>1710</v>
      </c>
      <c r="AK49" s="48" t="s">
        <v>3201</v>
      </c>
      <c r="AL49" s="48" t="s">
        <v>3202</v>
      </c>
      <c r="AM49" s="48" t="s">
        <v>1816</v>
      </c>
      <c r="AN49" s="48" t="s">
        <v>2054</v>
      </c>
      <c r="AO49" s="48" t="s">
        <v>1710</v>
      </c>
      <c r="AP49" s="48" t="s">
        <v>1855</v>
      </c>
      <c r="AQ49" s="48" t="s">
        <v>2076</v>
      </c>
      <c r="AR49" s="48" t="s">
        <v>1812</v>
      </c>
      <c r="AS49" s="48" t="s">
        <v>1813</v>
      </c>
      <c r="AT49" s="48" t="s">
        <v>1826</v>
      </c>
      <c r="AU49" s="48" t="s">
        <v>2061</v>
      </c>
      <c r="AV49" s="48" t="s">
        <v>2825</v>
      </c>
      <c r="AW49" s="48" t="s">
        <v>2062</v>
      </c>
      <c r="AX49" s="48" t="s">
        <v>2063</v>
      </c>
      <c r="AY49" s="48" t="s">
        <v>1710</v>
      </c>
      <c r="AZ49" s="48" t="s">
        <v>3203</v>
      </c>
      <c r="BA49" s="48" t="s">
        <v>1710</v>
      </c>
      <c r="BB49" s="48" t="s">
        <v>1709</v>
      </c>
      <c r="BC49" s="48" t="s">
        <v>1710</v>
      </c>
      <c r="BD49" s="48" t="s">
        <v>3108</v>
      </c>
      <c r="BE49" s="52" t="s">
        <v>3204</v>
      </c>
      <c r="BF49" s="48" t="s">
        <v>1710</v>
      </c>
      <c r="BG49" s="48" t="s">
        <v>1814</v>
      </c>
      <c r="BH49">
        <v>53</v>
      </c>
      <c r="BI49" s="48" t="s">
        <v>1888</v>
      </c>
      <c r="BJ49">
        <v>1</v>
      </c>
      <c r="BK49">
        <v>1473.06</v>
      </c>
      <c r="BL49">
        <v>5161816</v>
      </c>
      <c r="BM49">
        <v>3504</v>
      </c>
      <c r="BN49" s="48" t="s">
        <v>2064</v>
      </c>
      <c r="BO49" s="48" t="s">
        <v>2065</v>
      </c>
      <c r="BP49">
        <v>1473.06</v>
      </c>
      <c r="BQ49">
        <v>3680.92</v>
      </c>
      <c r="BR49" s="48" t="s">
        <v>1885</v>
      </c>
      <c r="BS49" s="48" t="s">
        <v>2066</v>
      </c>
      <c r="BT49">
        <v>1</v>
      </c>
      <c r="BU49">
        <v>260400</v>
      </c>
      <c r="BV49">
        <v>260400</v>
      </c>
      <c r="BW49" s="48" t="s">
        <v>2065</v>
      </c>
      <c r="BX49">
        <v>1473.06</v>
      </c>
      <c r="BY49">
        <v>0</v>
      </c>
      <c r="BZ49">
        <v>0</v>
      </c>
      <c r="CA49" s="48" t="s">
        <v>2065</v>
      </c>
      <c r="CB49">
        <v>1473.06</v>
      </c>
      <c r="CC49">
        <v>0</v>
      </c>
      <c r="CD49">
        <v>0</v>
      </c>
      <c r="CE49" s="48" t="s">
        <v>1710</v>
      </c>
      <c r="CF49" s="48" t="s">
        <v>1710</v>
      </c>
      <c r="CG49" s="48" t="s">
        <v>1710</v>
      </c>
      <c r="CH49" s="48" t="s">
        <v>1710</v>
      </c>
      <c r="CI49" s="48" t="s">
        <v>2067</v>
      </c>
      <c r="CJ49" s="48" t="s">
        <v>1710</v>
      </c>
      <c r="CL49" s="48" t="s">
        <v>2825</v>
      </c>
      <c r="CM49" s="48" t="s">
        <v>1710</v>
      </c>
      <c r="CN49" s="48" t="s">
        <v>2068</v>
      </c>
      <c r="CO49" s="48" t="s">
        <v>2069</v>
      </c>
      <c r="CP49" s="48" t="s">
        <v>1710</v>
      </c>
      <c r="CQ49" s="48" t="s">
        <v>1710</v>
      </c>
      <c r="CR49" s="48" t="s">
        <v>1710</v>
      </c>
      <c r="CS49" s="48" t="s">
        <v>1710</v>
      </c>
      <c r="CT49" s="48" t="s">
        <v>1710</v>
      </c>
      <c r="CU49" s="48" t="s">
        <v>1712</v>
      </c>
      <c r="CV49" s="48" t="s">
        <v>1710</v>
      </c>
      <c r="CW49" s="48" t="s">
        <v>1710</v>
      </c>
      <c r="CX49" s="48" t="s">
        <v>3167</v>
      </c>
      <c r="CY49" s="48" t="s">
        <v>1710</v>
      </c>
      <c r="CZ49" s="48" t="s">
        <v>1885</v>
      </c>
      <c r="DA49" s="48" t="s">
        <v>1710</v>
      </c>
      <c r="DB49" s="48" t="s">
        <v>1878</v>
      </c>
      <c r="DC49" s="48" t="s">
        <v>2070</v>
      </c>
      <c r="DD49" s="48" t="s">
        <v>1842</v>
      </c>
      <c r="DE49" s="48" t="s">
        <v>1886</v>
      </c>
      <c r="DF49" s="48" t="s">
        <v>3205</v>
      </c>
      <c r="DG49" s="48" t="s">
        <v>2071</v>
      </c>
      <c r="DH49" s="48" t="s">
        <v>1712</v>
      </c>
      <c r="DI49" s="48" t="s">
        <v>1710</v>
      </c>
      <c r="DJ49" s="48" t="s">
        <v>1710</v>
      </c>
      <c r="DK49" s="48" t="s">
        <v>1710</v>
      </c>
      <c r="DL49" s="48" t="s">
        <v>1710</v>
      </c>
      <c r="DM49" s="48" t="s">
        <v>1710</v>
      </c>
      <c r="DN49" s="48" t="s">
        <v>1710</v>
      </c>
      <c r="DO49" s="48" t="s">
        <v>1710</v>
      </c>
      <c r="DP49" s="48" t="s">
        <v>1710</v>
      </c>
      <c r="DQ49" s="48" t="s">
        <v>1710</v>
      </c>
      <c r="DR49" s="48" t="s">
        <v>2072</v>
      </c>
      <c r="DS49" s="48" t="s">
        <v>1710</v>
      </c>
      <c r="DT49" s="48" t="s">
        <v>1710</v>
      </c>
      <c r="DU49" s="48" t="s">
        <v>2841</v>
      </c>
      <c r="DV49" s="48" t="s">
        <v>3206</v>
      </c>
      <c r="DW49" s="48" t="s">
        <v>1710</v>
      </c>
      <c r="DX49" s="48" t="s">
        <v>3207</v>
      </c>
      <c r="DY49" s="48" t="s">
        <v>1709</v>
      </c>
      <c r="DZ49" s="48" t="s">
        <v>2562</v>
      </c>
      <c r="EA49" s="48" t="s">
        <v>2546</v>
      </c>
      <c r="EB49">
        <v>0</v>
      </c>
      <c r="EC49" s="48" t="s">
        <v>2841</v>
      </c>
      <c r="ED49" s="48" t="s">
        <v>3208</v>
      </c>
      <c r="EE49" s="48" t="s">
        <v>1814</v>
      </c>
      <c r="EF49" s="48" t="s">
        <v>1841</v>
      </c>
      <c r="EG49" s="48" t="s">
        <v>3203</v>
      </c>
      <c r="EH49">
        <v>25</v>
      </c>
      <c r="EI49" s="48" t="s">
        <v>1888</v>
      </c>
      <c r="EJ49">
        <v>0</v>
      </c>
      <c r="EK49" s="48" t="s">
        <v>1710</v>
      </c>
      <c r="EL49">
        <v>1</v>
      </c>
      <c r="EM49" s="48" t="s">
        <v>1886</v>
      </c>
      <c r="EN49">
        <v>25</v>
      </c>
      <c r="EO49" s="48" t="s">
        <v>2702</v>
      </c>
      <c r="EP49" s="48" t="s">
        <v>2703</v>
      </c>
      <c r="EQ49">
        <v>3680.92</v>
      </c>
      <c r="ER49">
        <v>3680.92</v>
      </c>
      <c r="ES49">
        <v>5161816</v>
      </c>
      <c r="ET49">
        <v>3504</v>
      </c>
      <c r="EU49" s="48" t="s">
        <v>1710</v>
      </c>
      <c r="EV49" s="48" t="s">
        <v>1710</v>
      </c>
      <c r="EW49" s="48" t="s">
        <v>1712</v>
      </c>
      <c r="EX49" s="48" t="s">
        <v>1710</v>
      </c>
      <c r="EY49" s="48" t="s">
        <v>1843</v>
      </c>
      <c r="EZ49" s="48" t="s">
        <v>1710</v>
      </c>
      <c r="FA49" s="48" t="s">
        <v>1710</v>
      </c>
      <c r="FB49" s="48" t="s">
        <v>1712</v>
      </c>
      <c r="FC49" s="48" t="s">
        <v>1710</v>
      </c>
      <c r="FD49" s="48" t="s">
        <v>1710</v>
      </c>
      <c r="FE49" s="48" t="s">
        <v>1814</v>
      </c>
      <c r="FF49" s="48" t="s">
        <v>1815</v>
      </c>
      <c r="FG49" s="48" t="s">
        <v>1710</v>
      </c>
      <c r="FH49">
        <v>1</v>
      </c>
      <c r="FI49" s="48" t="s">
        <v>1846</v>
      </c>
      <c r="FJ49">
        <v>3680.92</v>
      </c>
      <c r="FK49">
        <v>3680.92</v>
      </c>
      <c r="FL49" s="48" t="s">
        <v>2704</v>
      </c>
      <c r="FM49" s="48" t="s">
        <v>2705</v>
      </c>
      <c r="FN49" s="48" t="s">
        <v>1710</v>
      </c>
      <c r="FO49" s="48" t="s">
        <v>1710</v>
      </c>
      <c r="FP49" s="48" t="s">
        <v>1710</v>
      </c>
      <c r="FQ49" s="48" t="s">
        <v>1710</v>
      </c>
      <c r="FR49" s="48" t="s">
        <v>1710</v>
      </c>
      <c r="FS49" s="48" t="s">
        <v>1710</v>
      </c>
      <c r="FT49" s="48" t="s">
        <v>3209</v>
      </c>
      <c r="FU49" s="48" t="s">
        <v>1710</v>
      </c>
      <c r="FV49" s="48"/>
      <c r="FW49" s="56"/>
      <c r="FX49" s="56"/>
      <c r="FY49" s="56"/>
      <c r="FZ49" s="56"/>
      <c r="GA49" s="55" t="str">
        <f t="shared" si="1"/>
        <v>4388426100333X</v>
      </c>
      <c r="GB49" t="str">
        <f>VLOOKUP(B49,수출코드!$C$2:$D$4,2,FALSE)</f>
        <v>Suwon</v>
      </c>
      <c r="GC49" t="str">
        <f>VLOOKUP(L49,수출코드!$A$2:$B$6,2,FALSE)</f>
        <v/>
      </c>
      <c r="GD49" t="str">
        <f>VLOOKUP(M49,수출코드!$E$2:$F$5,2,FALSE)</f>
        <v>재수입</v>
      </c>
      <c r="GE49" s="61">
        <f t="shared" si="2"/>
        <v>45971.638888888891</v>
      </c>
      <c r="GF49" s="62">
        <f t="shared" si="0"/>
        <v>46052.393055555556</v>
      </c>
      <c r="GI49" s="48" t="s">
        <v>2740</v>
      </c>
    </row>
    <row r="50" spans="1:191">
      <c r="A50" s="48" t="s">
        <v>3210</v>
      </c>
      <c r="B50" s="48" t="s">
        <v>1821</v>
      </c>
      <c r="C50" s="48" t="s">
        <v>2048</v>
      </c>
      <c r="D50" s="48" t="s">
        <v>2813</v>
      </c>
      <c r="E50" s="48" t="s">
        <v>3210</v>
      </c>
      <c r="F50" s="48" t="s">
        <v>1710</v>
      </c>
      <c r="G50" s="48" t="s">
        <v>2814</v>
      </c>
      <c r="H50" s="48" t="s">
        <v>3211</v>
      </c>
      <c r="I50" s="48" t="s">
        <v>1884</v>
      </c>
      <c r="J50" s="48" t="s">
        <v>2825</v>
      </c>
      <c r="K50" s="48" t="s">
        <v>1877</v>
      </c>
      <c r="L50" s="48" t="s">
        <v>1842</v>
      </c>
      <c r="M50" s="48" t="s">
        <v>1810</v>
      </c>
      <c r="N50" s="48" t="s">
        <v>1842</v>
      </c>
      <c r="O50" s="48" t="s">
        <v>1811</v>
      </c>
      <c r="P50" s="48" t="s">
        <v>2549</v>
      </c>
      <c r="Q50" s="48" t="s">
        <v>2049</v>
      </c>
      <c r="R50" s="48" t="s">
        <v>1838</v>
      </c>
      <c r="S50" s="48" t="s">
        <v>2050</v>
      </c>
      <c r="T50" s="48" t="s">
        <v>1845</v>
      </c>
      <c r="U50" s="48" t="s">
        <v>2049</v>
      </c>
      <c r="V50" s="48" t="s">
        <v>1838</v>
      </c>
      <c r="W50" s="48" t="s">
        <v>2051</v>
      </c>
      <c r="X50" s="48" t="s">
        <v>2052</v>
      </c>
      <c r="Y50" s="48" t="s">
        <v>2050</v>
      </c>
      <c r="Z50" s="48" t="s">
        <v>2053</v>
      </c>
      <c r="AA50" s="48" t="s">
        <v>2054</v>
      </c>
      <c r="AB50" s="48" t="s">
        <v>2817</v>
      </c>
      <c r="AC50" s="48" t="s">
        <v>2055</v>
      </c>
      <c r="AD50" s="48" t="s">
        <v>2056</v>
      </c>
      <c r="AE50" s="48" t="s">
        <v>1710</v>
      </c>
      <c r="AF50" s="48" t="s">
        <v>1710</v>
      </c>
      <c r="AG50" s="48" t="s">
        <v>2057</v>
      </c>
      <c r="AH50" s="48" t="s">
        <v>1815</v>
      </c>
      <c r="AI50" s="48" t="s">
        <v>2058</v>
      </c>
      <c r="AJ50" s="48" t="s">
        <v>1710</v>
      </c>
      <c r="AK50" s="48" t="s">
        <v>2563</v>
      </c>
      <c r="AL50" s="48" t="s">
        <v>2564</v>
      </c>
      <c r="AM50" s="48" t="s">
        <v>1816</v>
      </c>
      <c r="AN50" s="48" t="s">
        <v>2054</v>
      </c>
      <c r="AO50" s="48" t="s">
        <v>1710</v>
      </c>
      <c r="AP50" s="48" t="s">
        <v>1855</v>
      </c>
      <c r="AQ50" s="48" t="s">
        <v>2076</v>
      </c>
      <c r="AR50" s="48" t="s">
        <v>1812</v>
      </c>
      <c r="AS50" s="48" t="s">
        <v>1813</v>
      </c>
      <c r="AT50" s="48" t="s">
        <v>1826</v>
      </c>
      <c r="AU50" s="48" t="s">
        <v>2061</v>
      </c>
      <c r="AV50" s="48" t="s">
        <v>2825</v>
      </c>
      <c r="AW50" s="48" t="s">
        <v>2062</v>
      </c>
      <c r="AX50" s="48" t="s">
        <v>2063</v>
      </c>
      <c r="AY50" s="48" t="s">
        <v>1710</v>
      </c>
      <c r="AZ50" s="48" t="s">
        <v>3212</v>
      </c>
      <c r="BA50" s="48" t="s">
        <v>1710</v>
      </c>
      <c r="BB50" s="48" t="s">
        <v>1709</v>
      </c>
      <c r="BC50" s="48" t="s">
        <v>1710</v>
      </c>
      <c r="BD50" s="48" t="s">
        <v>2613</v>
      </c>
      <c r="BE50" s="52" t="s">
        <v>3213</v>
      </c>
      <c r="BF50" s="48" t="s">
        <v>1710</v>
      </c>
      <c r="BG50" s="48" t="s">
        <v>1814</v>
      </c>
      <c r="BH50">
        <v>9</v>
      </c>
      <c r="BI50" s="48" t="s">
        <v>1888</v>
      </c>
      <c r="BJ50">
        <v>1</v>
      </c>
      <c r="BK50">
        <v>1473.06</v>
      </c>
      <c r="BL50">
        <v>33494061</v>
      </c>
      <c r="BM50">
        <v>22738</v>
      </c>
      <c r="BN50" s="48" t="s">
        <v>2064</v>
      </c>
      <c r="BO50" s="48" t="s">
        <v>2065</v>
      </c>
      <c r="BP50">
        <v>1473.06</v>
      </c>
      <c r="BQ50">
        <v>22774.81</v>
      </c>
      <c r="BR50" s="48" t="s">
        <v>1885</v>
      </c>
      <c r="BS50" s="48" t="s">
        <v>2066</v>
      </c>
      <c r="BT50">
        <v>1</v>
      </c>
      <c r="BU50">
        <v>54600</v>
      </c>
      <c r="BV50">
        <v>54600</v>
      </c>
      <c r="BW50" s="48" t="s">
        <v>2065</v>
      </c>
      <c r="BX50">
        <v>1473.06</v>
      </c>
      <c r="BY50">
        <v>0</v>
      </c>
      <c r="BZ50">
        <v>0</v>
      </c>
      <c r="CA50" s="48" t="s">
        <v>2065</v>
      </c>
      <c r="CB50">
        <v>1473.06</v>
      </c>
      <c r="CC50">
        <v>0</v>
      </c>
      <c r="CD50">
        <v>0</v>
      </c>
      <c r="CE50" s="48" t="s">
        <v>1710</v>
      </c>
      <c r="CF50" s="48" t="s">
        <v>1710</v>
      </c>
      <c r="CG50" s="48" t="s">
        <v>1710</v>
      </c>
      <c r="CH50" s="48" t="s">
        <v>1710</v>
      </c>
      <c r="CI50" s="48" t="s">
        <v>2067</v>
      </c>
      <c r="CJ50" s="48" t="s">
        <v>1710</v>
      </c>
      <c r="CL50" s="48" t="s">
        <v>2825</v>
      </c>
      <c r="CM50" s="48" t="s">
        <v>1710</v>
      </c>
      <c r="CN50" s="48" t="s">
        <v>2068</v>
      </c>
      <c r="CO50" s="48" t="s">
        <v>2069</v>
      </c>
      <c r="CP50" s="48" t="s">
        <v>1710</v>
      </c>
      <c r="CQ50" s="48" t="s">
        <v>1710</v>
      </c>
      <c r="CR50" s="48" t="s">
        <v>1710</v>
      </c>
      <c r="CS50" s="48" t="s">
        <v>1710</v>
      </c>
      <c r="CT50" s="48" t="s">
        <v>1710</v>
      </c>
      <c r="CU50" s="48" t="s">
        <v>1712</v>
      </c>
      <c r="CV50" s="48" t="s">
        <v>1710</v>
      </c>
      <c r="CW50" s="48" t="s">
        <v>1710</v>
      </c>
      <c r="CX50" s="48" t="s">
        <v>3167</v>
      </c>
      <c r="CY50" s="48" t="s">
        <v>1710</v>
      </c>
      <c r="CZ50" s="48" t="s">
        <v>1712</v>
      </c>
      <c r="DA50" s="48" t="s">
        <v>1710</v>
      </c>
      <c r="DB50" s="48" t="s">
        <v>1878</v>
      </c>
      <c r="DC50" s="48" t="s">
        <v>2070</v>
      </c>
      <c r="DD50" s="48" t="s">
        <v>1842</v>
      </c>
      <c r="DE50" s="48" t="s">
        <v>1886</v>
      </c>
      <c r="DF50" s="48" t="s">
        <v>3214</v>
      </c>
      <c r="DG50" s="48" t="s">
        <v>2071</v>
      </c>
      <c r="DH50" s="48" t="s">
        <v>1712</v>
      </c>
      <c r="DI50" s="48" t="s">
        <v>1710</v>
      </c>
      <c r="DJ50" s="48" t="s">
        <v>1710</v>
      </c>
      <c r="DK50" s="48" t="s">
        <v>1710</v>
      </c>
      <c r="DL50" s="48" t="s">
        <v>1710</v>
      </c>
      <c r="DM50" s="48" t="s">
        <v>1710</v>
      </c>
      <c r="DN50" s="48" t="s">
        <v>1710</v>
      </c>
      <c r="DO50" s="48" t="s">
        <v>1710</v>
      </c>
      <c r="DP50" s="48" t="s">
        <v>1710</v>
      </c>
      <c r="DQ50" s="48" t="s">
        <v>1710</v>
      </c>
      <c r="DR50" s="48" t="s">
        <v>2072</v>
      </c>
      <c r="DS50" s="48" t="s">
        <v>1710</v>
      </c>
      <c r="DT50" s="48" t="s">
        <v>1710</v>
      </c>
      <c r="DU50" s="48" t="s">
        <v>2841</v>
      </c>
      <c r="DV50" s="48" t="s">
        <v>2825</v>
      </c>
      <c r="DW50" s="48" t="s">
        <v>1710</v>
      </c>
      <c r="DX50" s="48" t="s">
        <v>3215</v>
      </c>
      <c r="DY50" s="48" t="s">
        <v>1709</v>
      </c>
      <c r="DZ50" s="48" t="s">
        <v>2562</v>
      </c>
      <c r="EA50" s="48" t="s">
        <v>2546</v>
      </c>
      <c r="EB50">
        <v>0</v>
      </c>
      <c r="EC50" s="48" t="s">
        <v>2841</v>
      </c>
      <c r="ED50" s="48" t="s">
        <v>3216</v>
      </c>
      <c r="EE50" s="48" t="s">
        <v>1814</v>
      </c>
      <c r="EF50" s="48" t="s">
        <v>1852</v>
      </c>
      <c r="EG50" s="48" t="s">
        <v>3212</v>
      </c>
      <c r="EH50">
        <v>6</v>
      </c>
      <c r="EI50" s="48" t="s">
        <v>1888</v>
      </c>
      <c r="EJ50">
        <v>0</v>
      </c>
      <c r="EK50" s="48" t="s">
        <v>1710</v>
      </c>
      <c r="EL50">
        <v>1</v>
      </c>
      <c r="EM50" s="48" t="s">
        <v>1886</v>
      </c>
      <c r="EN50">
        <v>6</v>
      </c>
      <c r="EO50" s="48" t="s">
        <v>2521</v>
      </c>
      <c r="EP50" s="48" t="s">
        <v>3217</v>
      </c>
      <c r="EQ50">
        <v>22774.81</v>
      </c>
      <c r="ER50">
        <v>22774.81</v>
      </c>
      <c r="ES50">
        <v>33494061</v>
      </c>
      <c r="ET50">
        <v>22738</v>
      </c>
      <c r="EU50" s="48" t="s">
        <v>1710</v>
      </c>
      <c r="EV50" s="48" t="s">
        <v>1710</v>
      </c>
      <c r="EW50" s="48" t="s">
        <v>1712</v>
      </c>
      <c r="EX50" s="48" t="s">
        <v>1710</v>
      </c>
      <c r="EY50" s="48" t="s">
        <v>1873</v>
      </c>
      <c r="EZ50" s="48" t="s">
        <v>1710</v>
      </c>
      <c r="FA50" s="48" t="s">
        <v>1710</v>
      </c>
      <c r="FB50" s="48" t="s">
        <v>1712</v>
      </c>
      <c r="FC50" s="48" t="s">
        <v>1710</v>
      </c>
      <c r="FD50" s="48" t="s">
        <v>1710</v>
      </c>
      <c r="FE50" s="48" t="s">
        <v>1814</v>
      </c>
      <c r="FF50" s="48" t="s">
        <v>1815</v>
      </c>
      <c r="FG50" s="48" t="s">
        <v>1710</v>
      </c>
      <c r="FH50">
        <v>14</v>
      </c>
      <c r="FI50" s="48" t="s">
        <v>1846</v>
      </c>
      <c r="FJ50">
        <v>22774.81</v>
      </c>
      <c r="FK50">
        <v>1626.7719999999999</v>
      </c>
      <c r="FL50" s="48" t="s">
        <v>3218</v>
      </c>
      <c r="FM50" s="48" t="s">
        <v>3217</v>
      </c>
      <c r="FN50" s="48" t="s">
        <v>1710</v>
      </c>
      <c r="FO50" s="48" t="s">
        <v>1710</v>
      </c>
      <c r="FP50" s="48" t="s">
        <v>1710</v>
      </c>
      <c r="FQ50" s="48" t="s">
        <v>1710</v>
      </c>
      <c r="FR50" s="48" t="s">
        <v>1710</v>
      </c>
      <c r="FS50" s="48" t="s">
        <v>1710</v>
      </c>
      <c r="FT50" s="48" t="s">
        <v>1710</v>
      </c>
      <c r="FU50" s="48" t="s">
        <v>1710</v>
      </c>
      <c r="FV50" s="48"/>
      <c r="FW50" s="56"/>
      <c r="FX50" s="56"/>
      <c r="FY50" s="56"/>
      <c r="FZ50" s="56"/>
      <c r="GA50" s="55" t="str">
        <f t="shared" si="1"/>
        <v>4388426100334X</v>
      </c>
      <c r="GB50" t="str">
        <f>VLOOKUP(B50,수출코드!$C$2:$D$4,2,FALSE)</f>
        <v>Suwon</v>
      </c>
      <c r="GC50" t="str">
        <f>VLOOKUP(L50,수출코드!$A$2:$B$6,2,FALSE)</f>
        <v/>
      </c>
      <c r="GD50" t="str">
        <f>VLOOKUP(M50,수출코드!$E$2:$F$5,2,FALSE)</f>
        <v>일반</v>
      </c>
      <c r="GE50" s="61">
        <f t="shared" si="2"/>
        <v>45971.638888888891</v>
      </c>
      <c r="GF50" s="62">
        <f t="shared" si="0"/>
        <v>46052.381249999999</v>
      </c>
      <c r="GI50" s="48" t="s">
        <v>2740</v>
      </c>
    </row>
    <row r="51" spans="1:191">
      <c r="A51" s="48" t="s">
        <v>3219</v>
      </c>
      <c r="B51" s="48" t="s">
        <v>1821</v>
      </c>
      <c r="C51" s="48" t="s">
        <v>2048</v>
      </c>
      <c r="D51" s="48" t="s">
        <v>2813</v>
      </c>
      <c r="E51" s="48" t="s">
        <v>3219</v>
      </c>
      <c r="F51" s="48" t="s">
        <v>1710</v>
      </c>
      <c r="G51" s="48" t="s">
        <v>2814</v>
      </c>
      <c r="H51" s="48" t="s">
        <v>3220</v>
      </c>
      <c r="I51" s="48" t="s">
        <v>1884</v>
      </c>
      <c r="J51" s="48" t="s">
        <v>2825</v>
      </c>
      <c r="K51" s="48" t="s">
        <v>1877</v>
      </c>
      <c r="L51" s="48" t="s">
        <v>1842</v>
      </c>
      <c r="M51" s="48" t="s">
        <v>1822</v>
      </c>
      <c r="N51" s="48" t="s">
        <v>1842</v>
      </c>
      <c r="O51" s="48" t="s">
        <v>1823</v>
      </c>
      <c r="P51" s="48" t="s">
        <v>2549</v>
      </c>
      <c r="Q51" s="48" t="s">
        <v>2049</v>
      </c>
      <c r="R51" s="48" t="s">
        <v>1838</v>
      </c>
      <c r="S51" s="48" t="s">
        <v>2050</v>
      </c>
      <c r="T51" s="48" t="s">
        <v>1845</v>
      </c>
      <c r="U51" s="48" t="s">
        <v>2049</v>
      </c>
      <c r="V51" s="48" t="s">
        <v>1838</v>
      </c>
      <c r="W51" s="48" t="s">
        <v>2051</v>
      </c>
      <c r="X51" s="48" t="s">
        <v>2052</v>
      </c>
      <c r="Y51" s="48" t="s">
        <v>2050</v>
      </c>
      <c r="Z51" s="48" t="s">
        <v>2053</v>
      </c>
      <c r="AA51" s="48" t="s">
        <v>2054</v>
      </c>
      <c r="AB51" s="48" t="s">
        <v>2817</v>
      </c>
      <c r="AC51" s="48" t="s">
        <v>2055</v>
      </c>
      <c r="AD51" s="48" t="s">
        <v>2056</v>
      </c>
      <c r="AE51" s="48" t="s">
        <v>1710</v>
      </c>
      <c r="AF51" s="48" t="s">
        <v>1710</v>
      </c>
      <c r="AG51" s="48" t="s">
        <v>2057</v>
      </c>
      <c r="AH51" s="48" t="s">
        <v>1815</v>
      </c>
      <c r="AI51" s="48" t="s">
        <v>2058</v>
      </c>
      <c r="AJ51" s="48" t="s">
        <v>1710</v>
      </c>
      <c r="AK51" s="48" t="s">
        <v>2077</v>
      </c>
      <c r="AL51" s="48" t="s">
        <v>1858</v>
      </c>
      <c r="AM51" s="48" t="s">
        <v>1816</v>
      </c>
      <c r="AN51" s="48" t="s">
        <v>2054</v>
      </c>
      <c r="AO51" s="48" t="s">
        <v>1710</v>
      </c>
      <c r="AP51" s="48" t="s">
        <v>1848</v>
      </c>
      <c r="AQ51" s="48" t="s">
        <v>2060</v>
      </c>
      <c r="AR51" s="48" t="s">
        <v>1812</v>
      </c>
      <c r="AS51" s="48" t="s">
        <v>1813</v>
      </c>
      <c r="AT51" s="48" t="s">
        <v>1826</v>
      </c>
      <c r="AU51" s="48" t="s">
        <v>2061</v>
      </c>
      <c r="AV51" s="48" t="s">
        <v>2825</v>
      </c>
      <c r="AW51" s="48" t="s">
        <v>2062</v>
      </c>
      <c r="AX51" s="48" t="s">
        <v>2063</v>
      </c>
      <c r="AY51" s="48" t="s">
        <v>1710</v>
      </c>
      <c r="AZ51" s="48" t="s">
        <v>3221</v>
      </c>
      <c r="BA51" s="48" t="s">
        <v>1710</v>
      </c>
      <c r="BB51" s="48" t="s">
        <v>1709</v>
      </c>
      <c r="BC51" s="48" t="s">
        <v>1710</v>
      </c>
      <c r="BD51" s="48" t="s">
        <v>2094</v>
      </c>
      <c r="BE51" s="52" t="s">
        <v>3222</v>
      </c>
      <c r="BF51" s="48" t="s">
        <v>1710</v>
      </c>
      <c r="BG51" s="48" t="s">
        <v>1814</v>
      </c>
      <c r="BH51">
        <v>8</v>
      </c>
      <c r="BI51" s="48" t="s">
        <v>1888</v>
      </c>
      <c r="BJ51">
        <v>1</v>
      </c>
      <c r="BK51">
        <v>1473.06</v>
      </c>
      <c r="BL51">
        <v>4635936</v>
      </c>
      <c r="BM51">
        <v>3147</v>
      </c>
      <c r="BN51" s="48" t="s">
        <v>2064</v>
      </c>
      <c r="BO51" s="48" t="s">
        <v>2065</v>
      </c>
      <c r="BP51">
        <v>1473.06</v>
      </c>
      <c r="BQ51">
        <v>3234.72</v>
      </c>
      <c r="BR51" s="48" t="s">
        <v>1885</v>
      </c>
      <c r="BS51" s="48" t="s">
        <v>2066</v>
      </c>
      <c r="BT51">
        <v>1</v>
      </c>
      <c r="BU51">
        <v>129000</v>
      </c>
      <c r="BV51">
        <v>129000</v>
      </c>
      <c r="BW51" s="48" t="s">
        <v>2065</v>
      </c>
      <c r="BX51">
        <v>1473.06</v>
      </c>
      <c r="BY51">
        <v>0</v>
      </c>
      <c r="BZ51">
        <v>0</v>
      </c>
      <c r="CA51" s="48" t="s">
        <v>2065</v>
      </c>
      <c r="CB51">
        <v>1473.06</v>
      </c>
      <c r="CC51">
        <v>0</v>
      </c>
      <c r="CD51">
        <v>0</v>
      </c>
      <c r="CE51" s="48" t="s">
        <v>1710</v>
      </c>
      <c r="CF51" s="48" t="s">
        <v>1710</v>
      </c>
      <c r="CG51" s="48" t="s">
        <v>1710</v>
      </c>
      <c r="CH51" s="48" t="s">
        <v>1710</v>
      </c>
      <c r="CI51" s="48" t="s">
        <v>2067</v>
      </c>
      <c r="CJ51" s="48" t="s">
        <v>1710</v>
      </c>
      <c r="CL51" s="48" t="s">
        <v>2825</v>
      </c>
      <c r="CM51" s="48" t="s">
        <v>1710</v>
      </c>
      <c r="CN51" s="48" t="s">
        <v>2068</v>
      </c>
      <c r="CO51" s="48" t="s">
        <v>2069</v>
      </c>
      <c r="CP51" s="48" t="s">
        <v>1710</v>
      </c>
      <c r="CQ51" s="48" t="s">
        <v>1710</v>
      </c>
      <c r="CR51" s="48" t="s">
        <v>1710</v>
      </c>
      <c r="CS51" s="48" t="s">
        <v>1710</v>
      </c>
      <c r="CT51" s="48" t="s">
        <v>1710</v>
      </c>
      <c r="CU51" s="48" t="s">
        <v>1712</v>
      </c>
      <c r="CV51" s="48" t="s">
        <v>1710</v>
      </c>
      <c r="CW51" s="48" t="s">
        <v>1710</v>
      </c>
      <c r="CX51" s="48" t="s">
        <v>3167</v>
      </c>
      <c r="CY51" s="48" t="s">
        <v>1710</v>
      </c>
      <c r="CZ51" s="48" t="s">
        <v>1885</v>
      </c>
      <c r="DA51" s="48" t="s">
        <v>1710</v>
      </c>
      <c r="DB51" s="48" t="s">
        <v>1878</v>
      </c>
      <c r="DC51" s="48" t="s">
        <v>2070</v>
      </c>
      <c r="DD51" s="48" t="s">
        <v>1842</v>
      </c>
      <c r="DE51" s="48" t="s">
        <v>1886</v>
      </c>
      <c r="DF51" s="48" t="s">
        <v>3223</v>
      </c>
      <c r="DG51" s="48" t="s">
        <v>2071</v>
      </c>
      <c r="DH51" s="48" t="s">
        <v>1712</v>
      </c>
      <c r="DI51" s="48" t="s">
        <v>1710</v>
      </c>
      <c r="DJ51" s="48" t="s">
        <v>1710</v>
      </c>
      <c r="DK51" s="48" t="s">
        <v>1710</v>
      </c>
      <c r="DL51" s="48" t="s">
        <v>1710</v>
      </c>
      <c r="DM51" s="48" t="s">
        <v>1710</v>
      </c>
      <c r="DN51" s="48" t="s">
        <v>1710</v>
      </c>
      <c r="DO51" s="48" t="s">
        <v>1710</v>
      </c>
      <c r="DP51" s="48" t="s">
        <v>1710</v>
      </c>
      <c r="DQ51" s="48" t="s">
        <v>1710</v>
      </c>
      <c r="DR51" s="48" t="s">
        <v>2072</v>
      </c>
      <c r="DS51" s="48" t="s">
        <v>1710</v>
      </c>
      <c r="DT51" s="48" t="s">
        <v>1710</v>
      </c>
      <c r="DU51" s="48" t="s">
        <v>2841</v>
      </c>
      <c r="DV51" s="48" t="s">
        <v>2825</v>
      </c>
      <c r="DW51" s="48" t="s">
        <v>1710</v>
      </c>
      <c r="DX51" s="48" t="s">
        <v>3224</v>
      </c>
      <c r="DY51" s="48" t="s">
        <v>1709</v>
      </c>
      <c r="DZ51" s="48" t="s">
        <v>2562</v>
      </c>
      <c r="EA51" s="48" t="s">
        <v>2546</v>
      </c>
      <c r="EB51">
        <v>0</v>
      </c>
      <c r="EC51" s="48" t="s">
        <v>2841</v>
      </c>
      <c r="ED51" s="48" t="s">
        <v>3208</v>
      </c>
      <c r="EE51" s="48" t="s">
        <v>1814</v>
      </c>
      <c r="EF51" s="48" t="s">
        <v>2641</v>
      </c>
      <c r="EG51" s="48" t="s">
        <v>3221</v>
      </c>
      <c r="EH51">
        <v>6.35</v>
      </c>
      <c r="EI51" s="48" t="s">
        <v>1888</v>
      </c>
      <c r="EJ51">
        <v>1</v>
      </c>
      <c r="EK51" s="48" t="s">
        <v>1887</v>
      </c>
      <c r="EL51">
        <v>1</v>
      </c>
      <c r="EM51" s="48" t="s">
        <v>1886</v>
      </c>
      <c r="EN51">
        <v>6.35</v>
      </c>
      <c r="EO51" s="48" t="s">
        <v>2642</v>
      </c>
      <c r="EP51" s="48" t="s">
        <v>3225</v>
      </c>
      <c r="EQ51">
        <v>3234.72</v>
      </c>
      <c r="ER51">
        <v>3234.72</v>
      </c>
      <c r="ES51">
        <v>4635936</v>
      </c>
      <c r="ET51">
        <v>3147</v>
      </c>
      <c r="EU51" s="48" t="s">
        <v>1710</v>
      </c>
      <c r="EV51" s="48" t="s">
        <v>1710</v>
      </c>
      <c r="EW51" s="48" t="s">
        <v>1712</v>
      </c>
      <c r="EX51" s="48" t="s">
        <v>1710</v>
      </c>
      <c r="EY51" s="48" t="s">
        <v>1848</v>
      </c>
      <c r="EZ51" s="48" t="s">
        <v>1710</v>
      </c>
      <c r="FA51" s="48" t="s">
        <v>1710</v>
      </c>
      <c r="FB51" s="48" t="s">
        <v>1712</v>
      </c>
      <c r="FC51" s="48" t="s">
        <v>1710</v>
      </c>
      <c r="FD51" s="48" t="s">
        <v>1710</v>
      </c>
      <c r="FE51" s="48" t="s">
        <v>1814</v>
      </c>
      <c r="FF51" s="48" t="s">
        <v>1815</v>
      </c>
      <c r="FG51" s="48" t="s">
        <v>1710</v>
      </c>
      <c r="FH51">
        <v>1</v>
      </c>
      <c r="FI51" s="48" t="s">
        <v>1846</v>
      </c>
      <c r="FJ51">
        <v>3234.72</v>
      </c>
      <c r="FK51">
        <v>3234.72</v>
      </c>
      <c r="FL51" s="48" t="s">
        <v>3226</v>
      </c>
      <c r="FM51" s="48" t="s">
        <v>3225</v>
      </c>
      <c r="FN51" s="48" t="s">
        <v>1710</v>
      </c>
      <c r="FO51" s="48" t="s">
        <v>1710</v>
      </c>
      <c r="FP51" s="48" t="s">
        <v>1710</v>
      </c>
      <c r="FQ51" s="48" t="s">
        <v>1710</v>
      </c>
      <c r="FR51" s="48" t="s">
        <v>1710</v>
      </c>
      <c r="FS51" s="48" t="s">
        <v>1710</v>
      </c>
      <c r="FT51" s="48" t="s">
        <v>3227</v>
      </c>
      <c r="FU51" s="48" t="s">
        <v>1710</v>
      </c>
      <c r="FV51" s="48"/>
      <c r="FW51" s="56"/>
      <c r="FX51" s="56"/>
      <c r="FY51" s="56"/>
      <c r="FZ51" s="56"/>
      <c r="GA51" s="55" t="str">
        <f t="shared" si="1"/>
        <v>4388426100335X</v>
      </c>
      <c r="GB51" t="str">
        <f>VLOOKUP(B51,수출코드!$C$2:$D$4,2,FALSE)</f>
        <v>Suwon</v>
      </c>
      <c r="GC51" t="str">
        <f>VLOOKUP(L51,수출코드!$A$2:$B$6,2,FALSE)</f>
        <v/>
      </c>
      <c r="GD51" t="str">
        <f>VLOOKUP(M51,수출코드!$E$2:$F$5,2,FALSE)</f>
        <v>재수입</v>
      </c>
      <c r="GE51" s="61">
        <f t="shared" si="2"/>
        <v>45971.638888888891</v>
      </c>
      <c r="GF51" s="62">
        <f t="shared" si="0"/>
        <v>46052.393055555556</v>
      </c>
      <c r="GI51" s="48" t="s">
        <v>2740</v>
      </c>
    </row>
    <row r="52" spans="1:191">
      <c r="A52" s="48" t="s">
        <v>3228</v>
      </c>
      <c r="B52" s="48" t="s">
        <v>1821</v>
      </c>
      <c r="C52" s="48" t="s">
        <v>2048</v>
      </c>
      <c r="D52" s="48" t="s">
        <v>2813</v>
      </c>
      <c r="E52" s="48" t="s">
        <v>3228</v>
      </c>
      <c r="F52" s="48" t="s">
        <v>1710</v>
      </c>
      <c r="G52" s="48" t="s">
        <v>2814</v>
      </c>
      <c r="H52" s="48" t="s">
        <v>3229</v>
      </c>
      <c r="I52" s="48" t="s">
        <v>1884</v>
      </c>
      <c r="J52" s="48" t="s">
        <v>2835</v>
      </c>
      <c r="K52" s="48" t="s">
        <v>1885</v>
      </c>
      <c r="L52" s="48" t="s">
        <v>1883</v>
      </c>
      <c r="M52" s="48" t="s">
        <v>1810</v>
      </c>
      <c r="N52" s="48" t="s">
        <v>1842</v>
      </c>
      <c r="O52" s="48" t="s">
        <v>1811</v>
      </c>
      <c r="P52" s="48" t="s">
        <v>2549</v>
      </c>
      <c r="Q52" s="48" t="s">
        <v>2049</v>
      </c>
      <c r="R52" s="48" t="s">
        <v>1838</v>
      </c>
      <c r="S52" s="48" t="s">
        <v>2050</v>
      </c>
      <c r="T52" s="48" t="s">
        <v>1845</v>
      </c>
      <c r="U52" s="48" t="s">
        <v>2049</v>
      </c>
      <c r="V52" s="48" t="s">
        <v>1838</v>
      </c>
      <c r="W52" s="48" t="s">
        <v>2051</v>
      </c>
      <c r="X52" s="48" t="s">
        <v>2052</v>
      </c>
      <c r="Y52" s="48" t="s">
        <v>2050</v>
      </c>
      <c r="Z52" s="48" t="s">
        <v>2053</v>
      </c>
      <c r="AA52" s="48" t="s">
        <v>2054</v>
      </c>
      <c r="AB52" s="48" t="s">
        <v>2817</v>
      </c>
      <c r="AC52" s="48" t="s">
        <v>2055</v>
      </c>
      <c r="AD52" s="48" t="s">
        <v>2056</v>
      </c>
      <c r="AE52" s="48" t="s">
        <v>1710</v>
      </c>
      <c r="AF52" s="48" t="s">
        <v>1710</v>
      </c>
      <c r="AG52" s="48" t="s">
        <v>2057</v>
      </c>
      <c r="AH52" s="48" t="s">
        <v>1815</v>
      </c>
      <c r="AI52" s="48" t="s">
        <v>2058</v>
      </c>
      <c r="AJ52" s="48" t="s">
        <v>1710</v>
      </c>
      <c r="AK52" s="48" t="s">
        <v>2077</v>
      </c>
      <c r="AL52" s="48" t="s">
        <v>1858</v>
      </c>
      <c r="AM52" s="48" t="s">
        <v>1816</v>
      </c>
      <c r="AN52" s="48" t="s">
        <v>2054</v>
      </c>
      <c r="AO52" s="48" t="s">
        <v>1710</v>
      </c>
      <c r="AP52" s="48" t="s">
        <v>1848</v>
      </c>
      <c r="AQ52" s="48" t="s">
        <v>2060</v>
      </c>
      <c r="AR52" s="48" t="s">
        <v>1812</v>
      </c>
      <c r="AS52" s="48" t="s">
        <v>1813</v>
      </c>
      <c r="AT52" s="48" t="s">
        <v>1826</v>
      </c>
      <c r="AU52" s="48" t="s">
        <v>2061</v>
      </c>
      <c r="AV52" s="48" t="s">
        <v>2835</v>
      </c>
      <c r="AW52" s="48" t="s">
        <v>2062</v>
      </c>
      <c r="AX52" s="48" t="s">
        <v>2063</v>
      </c>
      <c r="AY52" s="48" t="s">
        <v>1710</v>
      </c>
      <c r="AZ52" s="48" t="s">
        <v>3230</v>
      </c>
      <c r="BA52" s="48" t="s">
        <v>1710</v>
      </c>
      <c r="BB52" s="48" t="s">
        <v>1709</v>
      </c>
      <c r="BC52" s="48" t="s">
        <v>1710</v>
      </c>
      <c r="BD52" s="48" t="s">
        <v>2082</v>
      </c>
      <c r="BE52" s="52" t="s">
        <v>3231</v>
      </c>
      <c r="BF52" s="48" t="s">
        <v>1710</v>
      </c>
      <c r="BG52" s="48" t="s">
        <v>1817</v>
      </c>
      <c r="BH52">
        <v>4</v>
      </c>
      <c r="BI52" s="48" t="s">
        <v>1888</v>
      </c>
      <c r="BJ52">
        <v>2</v>
      </c>
      <c r="BK52">
        <v>1473.06</v>
      </c>
      <c r="BL52">
        <v>2236627</v>
      </c>
      <c r="BM52">
        <v>1518</v>
      </c>
      <c r="BN52" s="48" t="s">
        <v>2064</v>
      </c>
      <c r="BO52" s="48" t="s">
        <v>2065</v>
      </c>
      <c r="BP52">
        <v>1473.06</v>
      </c>
      <c r="BQ52">
        <v>1568.93</v>
      </c>
      <c r="BR52" s="48" t="s">
        <v>1885</v>
      </c>
      <c r="BS52" s="48" t="s">
        <v>2066</v>
      </c>
      <c r="BT52">
        <v>1</v>
      </c>
      <c r="BU52">
        <v>74500</v>
      </c>
      <c r="BV52">
        <v>74500</v>
      </c>
      <c r="BW52" s="48" t="s">
        <v>2065</v>
      </c>
      <c r="BX52">
        <v>1473.06</v>
      </c>
      <c r="BY52">
        <v>0</v>
      </c>
      <c r="BZ52">
        <v>0</v>
      </c>
      <c r="CA52" s="48" t="s">
        <v>2065</v>
      </c>
      <c r="CB52">
        <v>1473.06</v>
      </c>
      <c r="CC52">
        <v>0</v>
      </c>
      <c r="CD52">
        <v>0</v>
      </c>
      <c r="CE52" s="48" t="s">
        <v>1710</v>
      </c>
      <c r="CF52" s="48" t="s">
        <v>1710</v>
      </c>
      <c r="CG52" s="48" t="s">
        <v>1710</v>
      </c>
      <c r="CH52" s="48" t="s">
        <v>1710</v>
      </c>
      <c r="CI52" s="48" t="s">
        <v>2067</v>
      </c>
      <c r="CJ52" s="48" t="s">
        <v>1710</v>
      </c>
      <c r="CL52" s="48" t="s">
        <v>2835</v>
      </c>
      <c r="CM52" s="48" t="s">
        <v>1710</v>
      </c>
      <c r="CN52" s="48" t="s">
        <v>2068</v>
      </c>
      <c r="CO52" s="48" t="s">
        <v>2069</v>
      </c>
      <c r="CP52" s="48" t="s">
        <v>1710</v>
      </c>
      <c r="CQ52" s="48" t="s">
        <v>1710</v>
      </c>
      <c r="CR52" s="48" t="s">
        <v>1710</v>
      </c>
      <c r="CS52" s="48" t="s">
        <v>1710</v>
      </c>
      <c r="CT52" s="48" t="s">
        <v>1710</v>
      </c>
      <c r="CU52" s="48" t="s">
        <v>1712</v>
      </c>
      <c r="CV52" s="48" t="s">
        <v>1710</v>
      </c>
      <c r="CW52" s="48" t="s">
        <v>1710</v>
      </c>
      <c r="CX52" s="48" t="s">
        <v>2839</v>
      </c>
      <c r="CY52" s="48" t="s">
        <v>1710</v>
      </c>
      <c r="CZ52" s="48" t="s">
        <v>1712</v>
      </c>
      <c r="DA52" s="48" t="s">
        <v>1710</v>
      </c>
      <c r="DB52" s="48" t="s">
        <v>1878</v>
      </c>
      <c r="DC52" s="48" t="s">
        <v>2070</v>
      </c>
      <c r="DD52" s="48" t="s">
        <v>1842</v>
      </c>
      <c r="DE52" s="48" t="s">
        <v>1886</v>
      </c>
      <c r="DF52" s="48" t="s">
        <v>3232</v>
      </c>
      <c r="DG52" s="48" t="s">
        <v>2071</v>
      </c>
      <c r="DH52" s="48" t="s">
        <v>1712</v>
      </c>
      <c r="DI52" s="48" t="s">
        <v>1710</v>
      </c>
      <c r="DJ52" s="48" t="s">
        <v>1710</v>
      </c>
      <c r="DK52" s="48" t="s">
        <v>1710</v>
      </c>
      <c r="DL52" s="48" t="s">
        <v>1710</v>
      </c>
      <c r="DM52" s="48" t="s">
        <v>1710</v>
      </c>
      <c r="DN52" s="48" t="s">
        <v>1710</v>
      </c>
      <c r="DO52" s="48" t="s">
        <v>1710</v>
      </c>
      <c r="DP52" s="48" t="s">
        <v>1710</v>
      </c>
      <c r="DQ52" s="48" t="s">
        <v>1710</v>
      </c>
      <c r="DR52" s="48" t="s">
        <v>2072</v>
      </c>
      <c r="DS52" s="48" t="s">
        <v>1710</v>
      </c>
      <c r="DT52" s="48" t="s">
        <v>1710</v>
      </c>
      <c r="DU52" s="48" t="s">
        <v>2547</v>
      </c>
      <c r="DV52" s="48" t="s">
        <v>2835</v>
      </c>
      <c r="DW52" s="48" t="s">
        <v>1710</v>
      </c>
      <c r="DX52" s="48" t="s">
        <v>3233</v>
      </c>
      <c r="DY52" s="48" t="s">
        <v>1709</v>
      </c>
      <c r="DZ52" s="48" t="s">
        <v>2073</v>
      </c>
      <c r="EA52" s="48" t="s">
        <v>2546</v>
      </c>
      <c r="EB52">
        <v>0</v>
      </c>
      <c r="EC52" s="48" t="s">
        <v>2547</v>
      </c>
      <c r="ED52" s="48" t="s">
        <v>3234</v>
      </c>
      <c r="EE52" s="48" t="s">
        <v>1814</v>
      </c>
      <c r="EF52" s="48" t="s">
        <v>1867</v>
      </c>
      <c r="EG52" s="48" t="s">
        <v>3230</v>
      </c>
      <c r="EH52">
        <v>1.08</v>
      </c>
      <c r="EI52" s="48" t="s">
        <v>1888</v>
      </c>
      <c r="EJ52">
        <v>1</v>
      </c>
      <c r="EK52" s="48" t="s">
        <v>1887</v>
      </c>
      <c r="EL52">
        <v>2</v>
      </c>
      <c r="EM52" s="48" t="s">
        <v>1886</v>
      </c>
      <c r="EN52">
        <v>1.08</v>
      </c>
      <c r="EO52" s="48" t="s">
        <v>2520</v>
      </c>
      <c r="EP52" s="48" t="s">
        <v>3235</v>
      </c>
      <c r="EQ52">
        <v>918.08</v>
      </c>
      <c r="ER52">
        <v>918.08</v>
      </c>
      <c r="ES52">
        <v>1308792</v>
      </c>
      <c r="ET52">
        <v>888</v>
      </c>
      <c r="EU52" s="48" t="s">
        <v>1710</v>
      </c>
      <c r="EV52" s="48" t="s">
        <v>1710</v>
      </c>
      <c r="EW52" s="48" t="s">
        <v>1712</v>
      </c>
      <c r="EX52" s="48" t="s">
        <v>1710</v>
      </c>
      <c r="EY52" s="48" t="s">
        <v>1860</v>
      </c>
      <c r="EZ52" s="48" t="s">
        <v>1710</v>
      </c>
      <c r="FA52" s="48" t="s">
        <v>1710</v>
      </c>
      <c r="FB52" s="48" t="s">
        <v>1712</v>
      </c>
      <c r="FC52" s="48" t="s">
        <v>1710</v>
      </c>
      <c r="FD52" s="48" t="s">
        <v>1710</v>
      </c>
      <c r="FE52" s="48" t="s">
        <v>1814</v>
      </c>
      <c r="FF52" s="48" t="s">
        <v>1815</v>
      </c>
      <c r="FG52" s="48" t="s">
        <v>1710</v>
      </c>
      <c r="FH52">
        <v>1</v>
      </c>
      <c r="FI52" s="48" t="s">
        <v>1846</v>
      </c>
      <c r="FJ52">
        <v>918.08</v>
      </c>
      <c r="FK52">
        <v>918.08</v>
      </c>
      <c r="FL52" s="48" t="s">
        <v>3236</v>
      </c>
      <c r="FM52" s="48" t="s">
        <v>3235</v>
      </c>
      <c r="FN52" s="48" t="s">
        <v>1710</v>
      </c>
      <c r="FO52" s="48" t="s">
        <v>1710</v>
      </c>
      <c r="FP52" s="48" t="s">
        <v>1710</v>
      </c>
      <c r="FQ52" s="48" t="s">
        <v>1710</v>
      </c>
      <c r="FR52" s="48" t="s">
        <v>1710</v>
      </c>
      <c r="FS52" s="48" t="s">
        <v>1710</v>
      </c>
      <c r="FT52" s="48" t="s">
        <v>1710</v>
      </c>
      <c r="FU52" s="48" t="s">
        <v>1710</v>
      </c>
      <c r="FV52" s="48"/>
      <c r="FW52" s="56"/>
      <c r="FX52" s="56"/>
      <c r="FY52" s="56"/>
      <c r="FZ52" s="56"/>
      <c r="GA52" s="55" t="str">
        <f t="shared" si="1"/>
        <v>4388426300348X</v>
      </c>
      <c r="GB52" t="str">
        <f>VLOOKUP(B52,수출코드!$C$2:$D$4,2,FALSE)</f>
        <v>Suwon</v>
      </c>
      <c r="GC52" t="str">
        <f>VLOOKUP(L52,수출코드!$A$2:$B$6,2,FALSE)</f>
        <v>서류제출</v>
      </c>
      <c r="GD52" t="str">
        <f>VLOOKUP(M52,수출코드!$E$2:$F$5,2,FALSE)</f>
        <v>일반</v>
      </c>
      <c r="GE52" s="61">
        <f t="shared" si="2"/>
        <v>45971.638888888891</v>
      </c>
      <c r="GF52" s="62">
        <f t="shared" si="0"/>
        <v>46048.413888888892</v>
      </c>
      <c r="GI52" s="48" t="s">
        <v>2740</v>
      </c>
    </row>
    <row r="53" spans="1:191">
      <c r="A53" s="48" t="s">
        <v>3237</v>
      </c>
      <c r="B53" s="48" t="s">
        <v>1821</v>
      </c>
      <c r="C53" s="48" t="s">
        <v>2048</v>
      </c>
      <c r="D53" s="48" t="s">
        <v>2813</v>
      </c>
      <c r="E53" s="48" t="s">
        <v>3237</v>
      </c>
      <c r="F53" s="48" t="s">
        <v>1710</v>
      </c>
      <c r="G53" s="48" t="s">
        <v>2814</v>
      </c>
      <c r="H53" s="48" t="s">
        <v>3238</v>
      </c>
      <c r="I53" s="48" t="s">
        <v>1884</v>
      </c>
      <c r="J53" s="48" t="s">
        <v>2835</v>
      </c>
      <c r="K53" s="48" t="s">
        <v>1877</v>
      </c>
      <c r="L53" s="48" t="s">
        <v>1842</v>
      </c>
      <c r="M53" s="48" t="s">
        <v>1810</v>
      </c>
      <c r="N53" s="48" t="s">
        <v>1842</v>
      </c>
      <c r="O53" s="48" t="s">
        <v>1811</v>
      </c>
      <c r="P53" s="48" t="s">
        <v>2549</v>
      </c>
      <c r="Q53" s="48" t="s">
        <v>2049</v>
      </c>
      <c r="R53" s="48" t="s">
        <v>1838</v>
      </c>
      <c r="S53" s="48" t="s">
        <v>2050</v>
      </c>
      <c r="T53" s="48" t="s">
        <v>1845</v>
      </c>
      <c r="U53" s="48" t="s">
        <v>2049</v>
      </c>
      <c r="V53" s="48" t="s">
        <v>1838</v>
      </c>
      <c r="W53" s="48" t="s">
        <v>2051</v>
      </c>
      <c r="X53" s="48" t="s">
        <v>2052</v>
      </c>
      <c r="Y53" s="48" t="s">
        <v>2050</v>
      </c>
      <c r="Z53" s="48" t="s">
        <v>2053</v>
      </c>
      <c r="AA53" s="48" t="s">
        <v>2054</v>
      </c>
      <c r="AB53" s="48" t="s">
        <v>2817</v>
      </c>
      <c r="AC53" s="48" t="s">
        <v>2055</v>
      </c>
      <c r="AD53" s="48" t="s">
        <v>2056</v>
      </c>
      <c r="AE53" s="48" t="s">
        <v>1710</v>
      </c>
      <c r="AF53" s="48" t="s">
        <v>1710</v>
      </c>
      <c r="AG53" s="48" t="s">
        <v>2057</v>
      </c>
      <c r="AH53" s="48" t="s">
        <v>1815</v>
      </c>
      <c r="AI53" s="48" t="s">
        <v>2058</v>
      </c>
      <c r="AJ53" s="48" t="s">
        <v>1710</v>
      </c>
      <c r="AK53" s="48" t="s">
        <v>2565</v>
      </c>
      <c r="AL53" s="48" t="s">
        <v>2557</v>
      </c>
      <c r="AM53" s="48" t="s">
        <v>1816</v>
      </c>
      <c r="AN53" s="48" t="s">
        <v>2054</v>
      </c>
      <c r="AO53" s="48" t="s">
        <v>1710</v>
      </c>
      <c r="AP53" s="48" t="s">
        <v>1855</v>
      </c>
      <c r="AQ53" s="48" t="s">
        <v>2076</v>
      </c>
      <c r="AR53" s="48" t="s">
        <v>1812</v>
      </c>
      <c r="AS53" s="48" t="s">
        <v>1813</v>
      </c>
      <c r="AT53" s="48" t="s">
        <v>1826</v>
      </c>
      <c r="AU53" s="48" t="s">
        <v>2061</v>
      </c>
      <c r="AV53" s="48" t="s">
        <v>2835</v>
      </c>
      <c r="AW53" s="48" t="s">
        <v>2062</v>
      </c>
      <c r="AX53" s="48" t="s">
        <v>2063</v>
      </c>
      <c r="AY53" s="48" t="s">
        <v>1710</v>
      </c>
      <c r="AZ53" s="48" t="s">
        <v>3239</v>
      </c>
      <c r="BA53" s="48" t="s">
        <v>1710</v>
      </c>
      <c r="BB53" s="48" t="s">
        <v>1709</v>
      </c>
      <c r="BC53" s="48" t="s">
        <v>1710</v>
      </c>
      <c r="BD53" s="48" t="s">
        <v>2082</v>
      </c>
      <c r="BE53" s="52" t="s">
        <v>3231</v>
      </c>
      <c r="BF53" s="48" t="s">
        <v>1710</v>
      </c>
      <c r="BG53" s="48" t="s">
        <v>1817</v>
      </c>
      <c r="BH53">
        <v>49</v>
      </c>
      <c r="BI53" s="48" t="s">
        <v>1888</v>
      </c>
      <c r="BJ53">
        <v>3</v>
      </c>
      <c r="BK53">
        <v>1473.06</v>
      </c>
      <c r="BL53">
        <v>68235422</v>
      </c>
      <c r="BM53">
        <v>46322</v>
      </c>
      <c r="BN53" s="48" t="s">
        <v>2064</v>
      </c>
      <c r="BO53" s="48" t="s">
        <v>2065</v>
      </c>
      <c r="BP53">
        <v>1473.06</v>
      </c>
      <c r="BQ53">
        <v>46485.97</v>
      </c>
      <c r="BR53" s="48" t="s">
        <v>1885</v>
      </c>
      <c r="BS53" s="48" t="s">
        <v>2066</v>
      </c>
      <c r="BT53">
        <v>1</v>
      </c>
      <c r="BU53">
        <v>241200</v>
      </c>
      <c r="BV53">
        <v>241200</v>
      </c>
      <c r="BW53" s="48" t="s">
        <v>2065</v>
      </c>
      <c r="BX53">
        <v>1473.06</v>
      </c>
      <c r="BY53">
        <v>0</v>
      </c>
      <c r="BZ53">
        <v>0</v>
      </c>
      <c r="CA53" s="48" t="s">
        <v>2065</v>
      </c>
      <c r="CB53">
        <v>1473.06</v>
      </c>
      <c r="CC53">
        <v>0</v>
      </c>
      <c r="CD53">
        <v>0</v>
      </c>
      <c r="CE53" s="48" t="s">
        <v>1710</v>
      </c>
      <c r="CF53" s="48" t="s">
        <v>1710</v>
      </c>
      <c r="CG53" s="48" t="s">
        <v>1710</v>
      </c>
      <c r="CH53" s="48" t="s">
        <v>1710</v>
      </c>
      <c r="CI53" s="48" t="s">
        <v>2067</v>
      </c>
      <c r="CJ53" s="48" t="s">
        <v>1710</v>
      </c>
      <c r="CL53" s="48" t="s">
        <v>2835</v>
      </c>
      <c r="CM53" s="48" t="s">
        <v>1710</v>
      </c>
      <c r="CN53" s="48" t="s">
        <v>2068</v>
      </c>
      <c r="CO53" s="48" t="s">
        <v>2069</v>
      </c>
      <c r="CP53" s="48" t="s">
        <v>1710</v>
      </c>
      <c r="CQ53" s="48" t="s">
        <v>1710</v>
      </c>
      <c r="CR53" s="48" t="s">
        <v>1710</v>
      </c>
      <c r="CS53" s="48" t="s">
        <v>1710</v>
      </c>
      <c r="CT53" s="48" t="s">
        <v>1710</v>
      </c>
      <c r="CU53" s="48" t="s">
        <v>1712</v>
      </c>
      <c r="CV53" s="48" t="s">
        <v>1710</v>
      </c>
      <c r="CW53" s="48" t="s">
        <v>1710</v>
      </c>
      <c r="CX53" s="48" t="s">
        <v>2839</v>
      </c>
      <c r="CY53" s="48" t="s">
        <v>1710</v>
      </c>
      <c r="CZ53" s="48" t="s">
        <v>1712</v>
      </c>
      <c r="DA53" s="48" t="s">
        <v>1710</v>
      </c>
      <c r="DB53" s="48" t="s">
        <v>1878</v>
      </c>
      <c r="DC53" s="48" t="s">
        <v>2070</v>
      </c>
      <c r="DD53" s="48" t="s">
        <v>1842</v>
      </c>
      <c r="DE53" s="48" t="s">
        <v>1886</v>
      </c>
      <c r="DF53" s="48" t="s">
        <v>3240</v>
      </c>
      <c r="DG53" s="48" t="s">
        <v>2071</v>
      </c>
      <c r="DH53" s="48" t="s">
        <v>1712</v>
      </c>
      <c r="DI53" s="48" t="s">
        <v>1710</v>
      </c>
      <c r="DJ53" s="48" t="s">
        <v>1710</v>
      </c>
      <c r="DK53" s="48" t="s">
        <v>1710</v>
      </c>
      <c r="DL53" s="48" t="s">
        <v>1710</v>
      </c>
      <c r="DM53" s="48" t="s">
        <v>1710</v>
      </c>
      <c r="DN53" s="48" t="s">
        <v>1710</v>
      </c>
      <c r="DO53" s="48" t="s">
        <v>1710</v>
      </c>
      <c r="DP53" s="48" t="s">
        <v>1710</v>
      </c>
      <c r="DQ53" s="48" t="s">
        <v>1710</v>
      </c>
      <c r="DR53" s="48" t="s">
        <v>2072</v>
      </c>
      <c r="DS53" s="48" t="s">
        <v>1710</v>
      </c>
      <c r="DT53" s="48" t="s">
        <v>1710</v>
      </c>
      <c r="DU53" s="48" t="s">
        <v>2547</v>
      </c>
      <c r="DV53" s="48" t="s">
        <v>2835</v>
      </c>
      <c r="DW53" s="48" t="s">
        <v>1710</v>
      </c>
      <c r="DX53" s="48" t="s">
        <v>3241</v>
      </c>
      <c r="DY53" s="48" t="s">
        <v>1709</v>
      </c>
      <c r="DZ53" s="48" t="s">
        <v>2562</v>
      </c>
      <c r="EA53" s="48" t="s">
        <v>2546</v>
      </c>
      <c r="EB53">
        <v>0</v>
      </c>
      <c r="EC53" s="48" t="s">
        <v>2547</v>
      </c>
      <c r="ED53" s="48" t="s">
        <v>3242</v>
      </c>
      <c r="EE53" s="48" t="s">
        <v>1814</v>
      </c>
      <c r="EF53" s="48" t="s">
        <v>1849</v>
      </c>
      <c r="EG53" s="48" t="s">
        <v>3239</v>
      </c>
      <c r="EH53">
        <v>22</v>
      </c>
      <c r="EI53" s="48" t="s">
        <v>1888</v>
      </c>
      <c r="EJ53">
        <v>1</v>
      </c>
      <c r="EK53" s="48" t="s">
        <v>1887</v>
      </c>
      <c r="EL53">
        <v>3</v>
      </c>
      <c r="EM53" s="48" t="s">
        <v>1886</v>
      </c>
      <c r="EN53">
        <v>22</v>
      </c>
      <c r="EO53" s="48" t="s">
        <v>2526</v>
      </c>
      <c r="EP53" s="48" t="s">
        <v>3243</v>
      </c>
      <c r="EQ53">
        <v>13754.27</v>
      </c>
      <c r="ER53">
        <v>13754.27</v>
      </c>
      <c r="ES53">
        <v>20189498</v>
      </c>
      <c r="ET53">
        <v>13706</v>
      </c>
      <c r="EU53" s="48" t="s">
        <v>1710</v>
      </c>
      <c r="EV53" s="48" t="s">
        <v>1710</v>
      </c>
      <c r="EW53" s="48" t="s">
        <v>1712</v>
      </c>
      <c r="EX53" s="48" t="s">
        <v>1710</v>
      </c>
      <c r="EY53" s="48" t="s">
        <v>1860</v>
      </c>
      <c r="EZ53" s="48" t="s">
        <v>1710</v>
      </c>
      <c r="FA53" s="48" t="s">
        <v>1710</v>
      </c>
      <c r="FB53" s="48" t="s">
        <v>1712</v>
      </c>
      <c r="FC53" s="48" t="s">
        <v>1710</v>
      </c>
      <c r="FD53" s="48" t="s">
        <v>1710</v>
      </c>
      <c r="FE53" s="48" t="s">
        <v>1814</v>
      </c>
      <c r="FF53" s="48" t="s">
        <v>1815</v>
      </c>
      <c r="FG53" s="48" t="s">
        <v>1710</v>
      </c>
      <c r="FH53">
        <v>1</v>
      </c>
      <c r="FI53" s="48" t="s">
        <v>1846</v>
      </c>
      <c r="FJ53">
        <v>13754.27</v>
      </c>
      <c r="FK53">
        <v>13754.27</v>
      </c>
      <c r="FL53" s="48" t="s">
        <v>3244</v>
      </c>
      <c r="FM53" s="48" t="s">
        <v>3243</v>
      </c>
      <c r="FN53" s="48" t="s">
        <v>1710</v>
      </c>
      <c r="FO53" s="48" t="s">
        <v>1710</v>
      </c>
      <c r="FP53" s="48" t="s">
        <v>1710</v>
      </c>
      <c r="FQ53" s="48" t="s">
        <v>1710</v>
      </c>
      <c r="FR53" s="48" t="s">
        <v>1710</v>
      </c>
      <c r="FS53" s="48" t="s">
        <v>1710</v>
      </c>
      <c r="FT53" s="48" t="s">
        <v>1710</v>
      </c>
      <c r="FU53" s="48" t="s">
        <v>1710</v>
      </c>
      <c r="FV53" s="48"/>
      <c r="FW53" s="56"/>
      <c r="FX53" s="56"/>
      <c r="FY53" s="56"/>
      <c r="FZ53" s="56"/>
      <c r="GA53" s="55" t="str">
        <f t="shared" si="1"/>
        <v>4388426300349X</v>
      </c>
      <c r="GB53" t="str">
        <f>VLOOKUP(B53,수출코드!$C$2:$D$4,2,FALSE)</f>
        <v>Suwon</v>
      </c>
      <c r="GC53" t="str">
        <f>VLOOKUP(L53,수출코드!$A$2:$B$6,2,FALSE)</f>
        <v/>
      </c>
      <c r="GD53" t="str">
        <f>VLOOKUP(M53,수출코드!$E$2:$F$5,2,FALSE)</f>
        <v>일반</v>
      </c>
      <c r="GE53" s="61">
        <f t="shared" si="2"/>
        <v>45971.638888888891</v>
      </c>
      <c r="GF53" s="62">
        <f t="shared" si="0"/>
        <v>46048.392361111109</v>
      </c>
      <c r="GI53" s="48" t="s">
        <v>2740</v>
      </c>
    </row>
    <row r="54" spans="1:191">
      <c r="A54" s="48" t="s">
        <v>3245</v>
      </c>
      <c r="B54" s="48" t="s">
        <v>1821</v>
      </c>
      <c r="C54" s="48" t="s">
        <v>2048</v>
      </c>
      <c r="D54" s="48" t="s">
        <v>2813</v>
      </c>
      <c r="E54" s="48" t="s">
        <v>3245</v>
      </c>
      <c r="F54" s="48" t="s">
        <v>1710</v>
      </c>
      <c r="G54" s="48" t="s">
        <v>2814</v>
      </c>
      <c r="H54" s="48" t="s">
        <v>3246</v>
      </c>
      <c r="I54" s="48" t="s">
        <v>1884</v>
      </c>
      <c r="J54" s="48" t="s">
        <v>2835</v>
      </c>
      <c r="K54" s="48" t="s">
        <v>1877</v>
      </c>
      <c r="L54" s="48" t="s">
        <v>1842</v>
      </c>
      <c r="M54" s="48" t="s">
        <v>1810</v>
      </c>
      <c r="N54" s="48" t="s">
        <v>1842</v>
      </c>
      <c r="O54" s="48" t="s">
        <v>1811</v>
      </c>
      <c r="P54" s="48" t="s">
        <v>2549</v>
      </c>
      <c r="Q54" s="48" t="s">
        <v>2049</v>
      </c>
      <c r="R54" s="48" t="s">
        <v>1838</v>
      </c>
      <c r="S54" s="48" t="s">
        <v>2050</v>
      </c>
      <c r="T54" s="48" t="s">
        <v>1845</v>
      </c>
      <c r="U54" s="48" t="s">
        <v>2049</v>
      </c>
      <c r="V54" s="48" t="s">
        <v>1838</v>
      </c>
      <c r="W54" s="48" t="s">
        <v>2051</v>
      </c>
      <c r="X54" s="48" t="s">
        <v>2052</v>
      </c>
      <c r="Y54" s="48" t="s">
        <v>2050</v>
      </c>
      <c r="Z54" s="48" t="s">
        <v>2053</v>
      </c>
      <c r="AA54" s="48" t="s">
        <v>2054</v>
      </c>
      <c r="AB54" s="48" t="s">
        <v>2817</v>
      </c>
      <c r="AC54" s="48" t="s">
        <v>2055</v>
      </c>
      <c r="AD54" s="48" t="s">
        <v>2056</v>
      </c>
      <c r="AE54" s="48" t="s">
        <v>1710</v>
      </c>
      <c r="AF54" s="48" t="s">
        <v>1710</v>
      </c>
      <c r="AG54" s="48" t="s">
        <v>2057</v>
      </c>
      <c r="AH54" s="48" t="s">
        <v>1815</v>
      </c>
      <c r="AI54" s="48" t="s">
        <v>2058</v>
      </c>
      <c r="AJ54" s="48" t="s">
        <v>1710</v>
      </c>
      <c r="AK54" s="48" t="s">
        <v>2589</v>
      </c>
      <c r="AL54" s="48" t="s">
        <v>2590</v>
      </c>
      <c r="AM54" s="48" t="s">
        <v>1816</v>
      </c>
      <c r="AN54" s="48" t="s">
        <v>2054</v>
      </c>
      <c r="AO54" s="48" t="s">
        <v>1710</v>
      </c>
      <c r="AP54" s="48" t="s">
        <v>1843</v>
      </c>
      <c r="AQ54" s="48" t="s">
        <v>2079</v>
      </c>
      <c r="AR54" s="48" t="s">
        <v>1812</v>
      </c>
      <c r="AS54" s="48" t="s">
        <v>1813</v>
      </c>
      <c r="AT54" s="48" t="s">
        <v>1826</v>
      </c>
      <c r="AU54" s="48" t="s">
        <v>2061</v>
      </c>
      <c r="AV54" s="48" t="s">
        <v>2835</v>
      </c>
      <c r="AW54" s="48" t="s">
        <v>2062</v>
      </c>
      <c r="AX54" s="48" t="s">
        <v>2063</v>
      </c>
      <c r="AY54" s="48" t="s">
        <v>1710</v>
      </c>
      <c r="AZ54" s="48" t="s">
        <v>3247</v>
      </c>
      <c r="BA54" s="48" t="s">
        <v>1710</v>
      </c>
      <c r="BB54" s="48" t="s">
        <v>1709</v>
      </c>
      <c r="BC54" s="48" t="s">
        <v>1710</v>
      </c>
      <c r="BD54" s="48" t="s">
        <v>2082</v>
      </c>
      <c r="BE54" s="52" t="s">
        <v>3231</v>
      </c>
      <c r="BF54" s="48" t="s">
        <v>1710</v>
      </c>
      <c r="BG54" s="48" t="s">
        <v>1817</v>
      </c>
      <c r="BH54">
        <v>23</v>
      </c>
      <c r="BI54" s="48" t="s">
        <v>1888</v>
      </c>
      <c r="BJ54">
        <v>3</v>
      </c>
      <c r="BK54">
        <v>1473.06</v>
      </c>
      <c r="BL54">
        <v>54141140</v>
      </c>
      <c r="BM54">
        <v>36754</v>
      </c>
      <c r="BN54" s="48" t="s">
        <v>2064</v>
      </c>
      <c r="BO54" s="48" t="s">
        <v>2065</v>
      </c>
      <c r="BP54">
        <v>1473.06</v>
      </c>
      <c r="BQ54">
        <v>36836.07</v>
      </c>
      <c r="BR54" s="48" t="s">
        <v>1885</v>
      </c>
      <c r="BS54" s="48" t="s">
        <v>2066</v>
      </c>
      <c r="BT54">
        <v>1</v>
      </c>
      <c r="BU54">
        <v>120600</v>
      </c>
      <c r="BV54">
        <v>120600</v>
      </c>
      <c r="BW54" s="48" t="s">
        <v>2065</v>
      </c>
      <c r="BX54">
        <v>1473.06</v>
      </c>
      <c r="BY54">
        <v>0</v>
      </c>
      <c r="BZ54">
        <v>0</v>
      </c>
      <c r="CA54" s="48" t="s">
        <v>2065</v>
      </c>
      <c r="CB54">
        <v>1473.06</v>
      </c>
      <c r="CC54">
        <v>0</v>
      </c>
      <c r="CD54">
        <v>0</v>
      </c>
      <c r="CE54" s="48" t="s">
        <v>1710</v>
      </c>
      <c r="CF54" s="48" t="s">
        <v>1710</v>
      </c>
      <c r="CG54" s="48" t="s">
        <v>1710</v>
      </c>
      <c r="CH54" s="48" t="s">
        <v>1710</v>
      </c>
      <c r="CI54" s="48" t="s">
        <v>2067</v>
      </c>
      <c r="CJ54" s="48" t="s">
        <v>1710</v>
      </c>
      <c r="CL54" s="48" t="s">
        <v>2835</v>
      </c>
      <c r="CM54" s="48" t="s">
        <v>1710</v>
      </c>
      <c r="CN54" s="48" t="s">
        <v>2068</v>
      </c>
      <c r="CO54" s="48" t="s">
        <v>2069</v>
      </c>
      <c r="CP54" s="48" t="s">
        <v>1710</v>
      </c>
      <c r="CQ54" s="48" t="s">
        <v>1710</v>
      </c>
      <c r="CR54" s="48" t="s">
        <v>1710</v>
      </c>
      <c r="CS54" s="48" t="s">
        <v>1710</v>
      </c>
      <c r="CT54" s="48" t="s">
        <v>1710</v>
      </c>
      <c r="CU54" s="48" t="s">
        <v>1712</v>
      </c>
      <c r="CV54" s="48" t="s">
        <v>1710</v>
      </c>
      <c r="CW54" s="48" t="s">
        <v>1710</v>
      </c>
      <c r="CX54" s="48" t="s">
        <v>2839</v>
      </c>
      <c r="CY54" s="48" t="s">
        <v>1710</v>
      </c>
      <c r="CZ54" s="48" t="s">
        <v>1712</v>
      </c>
      <c r="DA54" s="48" t="s">
        <v>1710</v>
      </c>
      <c r="DB54" s="48" t="s">
        <v>1878</v>
      </c>
      <c r="DC54" s="48" t="s">
        <v>2070</v>
      </c>
      <c r="DD54" s="48" t="s">
        <v>1842</v>
      </c>
      <c r="DE54" s="48" t="s">
        <v>1886</v>
      </c>
      <c r="DF54" s="48" t="s">
        <v>3248</v>
      </c>
      <c r="DG54" s="48" t="s">
        <v>2071</v>
      </c>
      <c r="DH54" s="48" t="s">
        <v>1712</v>
      </c>
      <c r="DI54" s="48" t="s">
        <v>1710</v>
      </c>
      <c r="DJ54" s="48" t="s">
        <v>1710</v>
      </c>
      <c r="DK54" s="48" t="s">
        <v>1710</v>
      </c>
      <c r="DL54" s="48" t="s">
        <v>1710</v>
      </c>
      <c r="DM54" s="48" t="s">
        <v>1710</v>
      </c>
      <c r="DN54" s="48" t="s">
        <v>1710</v>
      </c>
      <c r="DO54" s="48" t="s">
        <v>1710</v>
      </c>
      <c r="DP54" s="48" t="s">
        <v>1710</v>
      </c>
      <c r="DQ54" s="48" t="s">
        <v>1710</v>
      </c>
      <c r="DR54" s="48" t="s">
        <v>2072</v>
      </c>
      <c r="DS54" s="48" t="s">
        <v>1710</v>
      </c>
      <c r="DT54" s="48" t="s">
        <v>1710</v>
      </c>
      <c r="DU54" s="48" t="s">
        <v>2547</v>
      </c>
      <c r="DV54" s="48" t="s">
        <v>2835</v>
      </c>
      <c r="DW54" s="48" t="s">
        <v>1710</v>
      </c>
      <c r="DX54" s="48" t="s">
        <v>3249</v>
      </c>
      <c r="DY54" s="48" t="s">
        <v>1709</v>
      </c>
      <c r="DZ54" s="48" t="s">
        <v>2562</v>
      </c>
      <c r="EA54" s="48" t="s">
        <v>2546</v>
      </c>
      <c r="EB54">
        <v>0</v>
      </c>
      <c r="EC54" s="48" t="s">
        <v>2547</v>
      </c>
      <c r="ED54" s="48" t="s">
        <v>3242</v>
      </c>
      <c r="EE54" s="48" t="s">
        <v>1814</v>
      </c>
      <c r="EF54" s="48" t="s">
        <v>2982</v>
      </c>
      <c r="EG54" s="48" t="s">
        <v>3247</v>
      </c>
      <c r="EH54">
        <v>2</v>
      </c>
      <c r="EI54" s="48" t="s">
        <v>1888</v>
      </c>
      <c r="EJ54">
        <v>1</v>
      </c>
      <c r="EK54" s="48" t="s">
        <v>1887</v>
      </c>
      <c r="EL54">
        <v>3</v>
      </c>
      <c r="EM54" s="48" t="s">
        <v>1886</v>
      </c>
      <c r="EN54">
        <v>2</v>
      </c>
      <c r="EO54" s="48" t="s">
        <v>2983</v>
      </c>
      <c r="EP54" s="48" t="s">
        <v>3250</v>
      </c>
      <c r="EQ54">
        <v>4104.37</v>
      </c>
      <c r="ER54">
        <v>4104.37</v>
      </c>
      <c r="ES54">
        <v>6032545</v>
      </c>
      <c r="ET54">
        <v>4095</v>
      </c>
      <c r="EU54" s="48" t="s">
        <v>1710</v>
      </c>
      <c r="EV54" s="48" t="s">
        <v>1710</v>
      </c>
      <c r="EW54" s="48" t="s">
        <v>1712</v>
      </c>
      <c r="EX54" s="48" t="s">
        <v>1710</v>
      </c>
      <c r="EY54" s="48" t="s">
        <v>1843</v>
      </c>
      <c r="EZ54" s="48" t="s">
        <v>1710</v>
      </c>
      <c r="FA54" s="48" t="s">
        <v>1710</v>
      </c>
      <c r="FB54" s="48" t="s">
        <v>1712</v>
      </c>
      <c r="FC54" s="48" t="s">
        <v>1710</v>
      </c>
      <c r="FD54" s="48" t="s">
        <v>1710</v>
      </c>
      <c r="FE54" s="48" t="s">
        <v>1814</v>
      </c>
      <c r="FF54" s="48" t="s">
        <v>1815</v>
      </c>
      <c r="FG54" s="48" t="s">
        <v>1710</v>
      </c>
      <c r="FH54">
        <v>1</v>
      </c>
      <c r="FI54" s="48" t="s">
        <v>1846</v>
      </c>
      <c r="FJ54">
        <v>4104.37</v>
      </c>
      <c r="FK54">
        <v>4104.37</v>
      </c>
      <c r="FL54" s="48" t="s">
        <v>3251</v>
      </c>
      <c r="FM54" s="48" t="s">
        <v>3252</v>
      </c>
      <c r="FN54" s="48" t="s">
        <v>1710</v>
      </c>
      <c r="FO54" s="48" t="s">
        <v>1710</v>
      </c>
      <c r="FP54" s="48" t="s">
        <v>1710</v>
      </c>
      <c r="FQ54" s="48" t="s">
        <v>1710</v>
      </c>
      <c r="FR54" s="48" t="s">
        <v>1710</v>
      </c>
      <c r="FS54" s="48" t="s">
        <v>1710</v>
      </c>
      <c r="FT54" s="48" t="s">
        <v>1710</v>
      </c>
      <c r="FU54" s="48" t="s">
        <v>1710</v>
      </c>
      <c r="FV54" s="48"/>
      <c r="FW54" s="56"/>
      <c r="FX54" s="56"/>
      <c r="FY54" s="56"/>
      <c r="FZ54" s="56"/>
      <c r="GA54" s="55" t="str">
        <f t="shared" si="1"/>
        <v>4388426300350X</v>
      </c>
      <c r="GB54" t="str">
        <f>VLOOKUP(B54,수출코드!$C$2:$D$4,2,FALSE)</f>
        <v>Suwon</v>
      </c>
      <c r="GC54" t="str">
        <f>VLOOKUP(L54,수출코드!$A$2:$B$6,2,FALSE)</f>
        <v/>
      </c>
      <c r="GD54" t="str">
        <f>VLOOKUP(M54,수출코드!$E$2:$F$5,2,FALSE)</f>
        <v>일반</v>
      </c>
      <c r="GE54" s="61">
        <f t="shared" si="2"/>
        <v>45971.638888888891</v>
      </c>
      <c r="GF54" s="62">
        <f t="shared" si="0"/>
        <v>46048.392361111109</v>
      </c>
      <c r="GI54" s="48" t="s">
        <v>2740</v>
      </c>
    </row>
    <row r="55" spans="1:191">
      <c r="A55" s="48" t="s">
        <v>3253</v>
      </c>
      <c r="B55" s="48" t="s">
        <v>1821</v>
      </c>
      <c r="C55" s="48" t="s">
        <v>2048</v>
      </c>
      <c r="D55" s="48" t="s">
        <v>2813</v>
      </c>
      <c r="E55" s="48" t="s">
        <v>3253</v>
      </c>
      <c r="F55" s="48" t="s">
        <v>1710</v>
      </c>
      <c r="G55" s="48" t="s">
        <v>2814</v>
      </c>
      <c r="H55" s="48" t="s">
        <v>3254</v>
      </c>
      <c r="I55" s="48" t="s">
        <v>1884</v>
      </c>
      <c r="J55" s="48" t="s">
        <v>2835</v>
      </c>
      <c r="K55" s="48" t="s">
        <v>1877</v>
      </c>
      <c r="L55" s="48" t="s">
        <v>1842</v>
      </c>
      <c r="M55" s="48" t="s">
        <v>1810</v>
      </c>
      <c r="N55" s="48" t="s">
        <v>1842</v>
      </c>
      <c r="O55" s="48" t="s">
        <v>1811</v>
      </c>
      <c r="P55" s="48" t="s">
        <v>2549</v>
      </c>
      <c r="Q55" s="48" t="s">
        <v>2049</v>
      </c>
      <c r="R55" s="48" t="s">
        <v>1838</v>
      </c>
      <c r="S55" s="48" t="s">
        <v>2050</v>
      </c>
      <c r="T55" s="48" t="s">
        <v>1845</v>
      </c>
      <c r="U55" s="48" t="s">
        <v>2049</v>
      </c>
      <c r="V55" s="48" t="s">
        <v>1838</v>
      </c>
      <c r="W55" s="48" t="s">
        <v>2051</v>
      </c>
      <c r="X55" s="48" t="s">
        <v>2052</v>
      </c>
      <c r="Y55" s="48" t="s">
        <v>2050</v>
      </c>
      <c r="Z55" s="48" t="s">
        <v>2053</v>
      </c>
      <c r="AA55" s="48" t="s">
        <v>2054</v>
      </c>
      <c r="AB55" s="48" t="s">
        <v>2817</v>
      </c>
      <c r="AC55" s="48" t="s">
        <v>2055</v>
      </c>
      <c r="AD55" s="48" t="s">
        <v>2056</v>
      </c>
      <c r="AE55" s="48" t="s">
        <v>1710</v>
      </c>
      <c r="AF55" s="48" t="s">
        <v>1710</v>
      </c>
      <c r="AG55" s="48" t="s">
        <v>2057</v>
      </c>
      <c r="AH55" s="48" t="s">
        <v>1815</v>
      </c>
      <c r="AI55" s="48" t="s">
        <v>2058</v>
      </c>
      <c r="AJ55" s="48" t="s">
        <v>1710</v>
      </c>
      <c r="AK55" s="48" t="s">
        <v>2100</v>
      </c>
      <c r="AL55" s="48" t="s">
        <v>2101</v>
      </c>
      <c r="AM55" s="48" t="s">
        <v>1816</v>
      </c>
      <c r="AN55" s="48" t="s">
        <v>2054</v>
      </c>
      <c r="AO55" s="48" t="s">
        <v>1710</v>
      </c>
      <c r="AP55" s="48" t="s">
        <v>1874</v>
      </c>
      <c r="AQ55" s="48" t="s">
        <v>2078</v>
      </c>
      <c r="AR55" s="48" t="s">
        <v>1812</v>
      </c>
      <c r="AS55" s="48" t="s">
        <v>1813</v>
      </c>
      <c r="AT55" s="48" t="s">
        <v>1826</v>
      </c>
      <c r="AU55" s="48" t="s">
        <v>2061</v>
      </c>
      <c r="AV55" s="48" t="s">
        <v>2835</v>
      </c>
      <c r="AW55" s="48" t="s">
        <v>2062</v>
      </c>
      <c r="AX55" s="48" t="s">
        <v>2063</v>
      </c>
      <c r="AY55" s="48" t="s">
        <v>1710</v>
      </c>
      <c r="AZ55" s="48" t="s">
        <v>3255</v>
      </c>
      <c r="BA55" s="48" t="s">
        <v>1710</v>
      </c>
      <c r="BB55" s="48" t="s">
        <v>1709</v>
      </c>
      <c r="BC55" s="48" t="s">
        <v>1710</v>
      </c>
      <c r="BD55" s="48" t="s">
        <v>2082</v>
      </c>
      <c r="BE55" s="52" t="s">
        <v>3231</v>
      </c>
      <c r="BF55" s="48" t="s">
        <v>1710</v>
      </c>
      <c r="BG55" s="48" t="s">
        <v>1814</v>
      </c>
      <c r="BH55">
        <v>24</v>
      </c>
      <c r="BI55" s="48" t="s">
        <v>1888</v>
      </c>
      <c r="BJ55">
        <v>2</v>
      </c>
      <c r="BK55">
        <v>1473.06</v>
      </c>
      <c r="BL55">
        <v>2591402</v>
      </c>
      <c r="BM55">
        <v>1759</v>
      </c>
      <c r="BN55" s="48" t="s">
        <v>2064</v>
      </c>
      <c r="BO55" s="48" t="s">
        <v>2065</v>
      </c>
      <c r="BP55">
        <v>1473.06</v>
      </c>
      <c r="BQ55">
        <v>1861.84</v>
      </c>
      <c r="BR55" s="48" t="s">
        <v>1885</v>
      </c>
      <c r="BS55" s="48" t="s">
        <v>2066</v>
      </c>
      <c r="BT55">
        <v>1</v>
      </c>
      <c r="BU55">
        <v>151200</v>
      </c>
      <c r="BV55">
        <v>151200</v>
      </c>
      <c r="BW55" s="48" t="s">
        <v>2065</v>
      </c>
      <c r="BX55">
        <v>1473.06</v>
      </c>
      <c r="BY55">
        <v>0</v>
      </c>
      <c r="BZ55">
        <v>0</v>
      </c>
      <c r="CA55" s="48" t="s">
        <v>2065</v>
      </c>
      <c r="CB55">
        <v>1473.06</v>
      </c>
      <c r="CC55">
        <v>0</v>
      </c>
      <c r="CD55">
        <v>0</v>
      </c>
      <c r="CE55" s="48" t="s">
        <v>1710</v>
      </c>
      <c r="CF55" s="48" t="s">
        <v>1710</v>
      </c>
      <c r="CG55" s="48" t="s">
        <v>1710</v>
      </c>
      <c r="CH55" s="48" t="s">
        <v>1710</v>
      </c>
      <c r="CI55" s="48" t="s">
        <v>2067</v>
      </c>
      <c r="CJ55" s="48" t="s">
        <v>1710</v>
      </c>
      <c r="CL55" s="48" t="s">
        <v>2835</v>
      </c>
      <c r="CM55" s="48" t="s">
        <v>1710</v>
      </c>
      <c r="CN55" s="48" t="s">
        <v>2068</v>
      </c>
      <c r="CO55" s="48" t="s">
        <v>2069</v>
      </c>
      <c r="CP55" s="48" t="s">
        <v>1710</v>
      </c>
      <c r="CQ55" s="48" t="s">
        <v>1710</v>
      </c>
      <c r="CR55" s="48" t="s">
        <v>1710</v>
      </c>
      <c r="CS55" s="48" t="s">
        <v>1710</v>
      </c>
      <c r="CT55" s="48" t="s">
        <v>1710</v>
      </c>
      <c r="CU55" s="48" t="s">
        <v>1712</v>
      </c>
      <c r="CV55" s="48" t="s">
        <v>1710</v>
      </c>
      <c r="CW55" s="48" t="s">
        <v>1710</v>
      </c>
      <c r="CX55" s="48" t="s">
        <v>2839</v>
      </c>
      <c r="CY55" s="48" t="s">
        <v>1710</v>
      </c>
      <c r="CZ55" s="48" t="s">
        <v>1712</v>
      </c>
      <c r="DA55" s="48" t="s">
        <v>1710</v>
      </c>
      <c r="DB55" s="48" t="s">
        <v>1878</v>
      </c>
      <c r="DC55" s="48" t="s">
        <v>2070</v>
      </c>
      <c r="DD55" s="48" t="s">
        <v>1842</v>
      </c>
      <c r="DE55" s="48" t="s">
        <v>1886</v>
      </c>
      <c r="DF55" s="48" t="s">
        <v>3256</v>
      </c>
      <c r="DG55" s="48" t="s">
        <v>2071</v>
      </c>
      <c r="DH55" s="48" t="s">
        <v>1712</v>
      </c>
      <c r="DI55" s="48" t="s">
        <v>1710</v>
      </c>
      <c r="DJ55" s="48" t="s">
        <v>1710</v>
      </c>
      <c r="DK55" s="48" t="s">
        <v>1710</v>
      </c>
      <c r="DL55" s="48" t="s">
        <v>1710</v>
      </c>
      <c r="DM55" s="48" t="s">
        <v>1710</v>
      </c>
      <c r="DN55" s="48" t="s">
        <v>1710</v>
      </c>
      <c r="DO55" s="48" t="s">
        <v>1710</v>
      </c>
      <c r="DP55" s="48" t="s">
        <v>1710</v>
      </c>
      <c r="DQ55" s="48" t="s">
        <v>1710</v>
      </c>
      <c r="DR55" s="48" t="s">
        <v>2072</v>
      </c>
      <c r="DS55" s="48" t="s">
        <v>1710</v>
      </c>
      <c r="DT55" s="48" t="s">
        <v>1710</v>
      </c>
      <c r="DU55" s="48" t="s">
        <v>2547</v>
      </c>
      <c r="DV55" s="48" t="s">
        <v>2835</v>
      </c>
      <c r="DW55" s="48" t="s">
        <v>1710</v>
      </c>
      <c r="DX55" s="48" t="s">
        <v>3257</v>
      </c>
      <c r="DY55" s="48" t="s">
        <v>1709</v>
      </c>
      <c r="DZ55" s="48" t="s">
        <v>2562</v>
      </c>
      <c r="EA55" s="48" t="s">
        <v>2546</v>
      </c>
      <c r="EB55">
        <v>0</v>
      </c>
      <c r="EC55" s="48" t="s">
        <v>2547</v>
      </c>
      <c r="ED55" s="48" t="s">
        <v>3242</v>
      </c>
      <c r="EE55" s="48" t="s">
        <v>1814</v>
      </c>
      <c r="EF55" s="48" t="s">
        <v>2982</v>
      </c>
      <c r="EG55" s="48" t="s">
        <v>3255</v>
      </c>
      <c r="EH55">
        <v>20</v>
      </c>
      <c r="EI55" s="48" t="s">
        <v>1888</v>
      </c>
      <c r="EJ55">
        <v>2</v>
      </c>
      <c r="EK55" s="48" t="s">
        <v>1887</v>
      </c>
      <c r="EL55">
        <v>2</v>
      </c>
      <c r="EM55" s="48" t="s">
        <v>1886</v>
      </c>
      <c r="EN55">
        <v>20</v>
      </c>
      <c r="EO55" s="48" t="s">
        <v>2983</v>
      </c>
      <c r="EP55" s="48" t="s">
        <v>3258</v>
      </c>
      <c r="EQ55">
        <v>1861.84</v>
      </c>
      <c r="ER55">
        <v>1861.84</v>
      </c>
      <c r="ES55">
        <v>2591402</v>
      </c>
      <c r="ET55">
        <v>1759</v>
      </c>
      <c r="EU55" s="48" t="s">
        <v>1710</v>
      </c>
      <c r="EV55" s="48" t="s">
        <v>1710</v>
      </c>
      <c r="EW55" s="48" t="s">
        <v>1712</v>
      </c>
      <c r="EX55" s="48" t="s">
        <v>1710</v>
      </c>
      <c r="EY55" s="48" t="s">
        <v>1850</v>
      </c>
      <c r="EZ55" s="48" t="s">
        <v>1710</v>
      </c>
      <c r="FA55" s="48" t="s">
        <v>1710</v>
      </c>
      <c r="FB55" s="48" t="s">
        <v>1712</v>
      </c>
      <c r="FC55" s="48" t="s">
        <v>1710</v>
      </c>
      <c r="FD55" s="48" t="s">
        <v>1710</v>
      </c>
      <c r="FE55" s="48" t="s">
        <v>1814</v>
      </c>
      <c r="FF55" s="48" t="s">
        <v>1815</v>
      </c>
      <c r="FG55" s="48" t="s">
        <v>1710</v>
      </c>
      <c r="FH55">
        <v>1</v>
      </c>
      <c r="FI55" s="48" t="s">
        <v>1846</v>
      </c>
      <c r="FJ55">
        <v>930.92</v>
      </c>
      <c r="FK55">
        <v>930.92</v>
      </c>
      <c r="FL55" s="48" t="s">
        <v>3259</v>
      </c>
      <c r="FM55" s="48" t="s">
        <v>3258</v>
      </c>
      <c r="FN55" s="48" t="s">
        <v>1710</v>
      </c>
      <c r="FO55" s="48" t="s">
        <v>1710</v>
      </c>
      <c r="FP55" s="48" t="s">
        <v>1710</v>
      </c>
      <c r="FQ55" s="48" t="s">
        <v>1710</v>
      </c>
      <c r="FR55" s="48" t="s">
        <v>1710</v>
      </c>
      <c r="FS55" s="48" t="s">
        <v>1710</v>
      </c>
      <c r="FT55" s="48" t="s">
        <v>1710</v>
      </c>
      <c r="FU55" s="48" t="s">
        <v>1710</v>
      </c>
      <c r="FV55" s="48"/>
      <c r="FW55" s="56"/>
      <c r="FX55" s="56"/>
      <c r="FY55" s="56"/>
      <c r="FZ55" s="56"/>
      <c r="GA55" s="55" t="str">
        <f t="shared" si="1"/>
        <v>4388426300351X</v>
      </c>
      <c r="GB55" t="str">
        <f>VLOOKUP(B55,수출코드!$C$2:$D$4,2,FALSE)</f>
        <v>Suwon</v>
      </c>
      <c r="GC55" t="str">
        <f>VLOOKUP(L55,수출코드!$A$2:$B$6,2,FALSE)</f>
        <v/>
      </c>
      <c r="GD55" t="str">
        <f>VLOOKUP(M55,수출코드!$E$2:$F$5,2,FALSE)</f>
        <v>일반</v>
      </c>
      <c r="GE55" s="61">
        <f t="shared" si="2"/>
        <v>45971.638888888891</v>
      </c>
      <c r="GF55" s="62">
        <f t="shared" si="0"/>
        <v>46048.392361111109</v>
      </c>
      <c r="GI55" s="48" t="s">
        <v>2740</v>
      </c>
    </row>
    <row r="56" spans="1:191">
      <c r="A56" s="48" t="s">
        <v>3260</v>
      </c>
      <c r="B56" s="48" t="s">
        <v>1821</v>
      </c>
      <c r="C56" s="48" t="s">
        <v>2048</v>
      </c>
      <c r="D56" s="48" t="s">
        <v>2813</v>
      </c>
      <c r="E56" s="48" t="s">
        <v>3260</v>
      </c>
      <c r="F56" s="48" t="s">
        <v>1710</v>
      </c>
      <c r="G56" s="48" t="s">
        <v>2814</v>
      </c>
      <c r="H56" s="48" t="s">
        <v>3261</v>
      </c>
      <c r="I56" s="48" t="s">
        <v>1884</v>
      </c>
      <c r="J56" s="48" t="s">
        <v>2835</v>
      </c>
      <c r="K56" s="48" t="s">
        <v>1877</v>
      </c>
      <c r="L56" s="48" t="s">
        <v>1842</v>
      </c>
      <c r="M56" s="48" t="s">
        <v>1810</v>
      </c>
      <c r="N56" s="48" t="s">
        <v>1842</v>
      </c>
      <c r="O56" s="48" t="s">
        <v>1811</v>
      </c>
      <c r="P56" s="48" t="s">
        <v>2549</v>
      </c>
      <c r="Q56" s="48" t="s">
        <v>2049</v>
      </c>
      <c r="R56" s="48" t="s">
        <v>1838</v>
      </c>
      <c r="S56" s="48" t="s">
        <v>2050</v>
      </c>
      <c r="T56" s="48" t="s">
        <v>1845</v>
      </c>
      <c r="U56" s="48" t="s">
        <v>2049</v>
      </c>
      <c r="V56" s="48" t="s">
        <v>1838</v>
      </c>
      <c r="W56" s="48" t="s">
        <v>2051</v>
      </c>
      <c r="X56" s="48" t="s">
        <v>2052</v>
      </c>
      <c r="Y56" s="48" t="s">
        <v>2050</v>
      </c>
      <c r="Z56" s="48" t="s">
        <v>2053</v>
      </c>
      <c r="AA56" s="48" t="s">
        <v>2054</v>
      </c>
      <c r="AB56" s="48" t="s">
        <v>2817</v>
      </c>
      <c r="AC56" s="48" t="s">
        <v>2055</v>
      </c>
      <c r="AD56" s="48" t="s">
        <v>2056</v>
      </c>
      <c r="AE56" s="48" t="s">
        <v>1710</v>
      </c>
      <c r="AF56" s="48" t="s">
        <v>1710</v>
      </c>
      <c r="AG56" s="48" t="s">
        <v>2057</v>
      </c>
      <c r="AH56" s="48" t="s">
        <v>1815</v>
      </c>
      <c r="AI56" s="48" t="s">
        <v>2058</v>
      </c>
      <c r="AJ56" s="48" t="s">
        <v>1710</v>
      </c>
      <c r="AK56" s="48" t="s">
        <v>2080</v>
      </c>
      <c r="AL56" s="48" t="s">
        <v>1866</v>
      </c>
      <c r="AM56" s="48" t="s">
        <v>1816</v>
      </c>
      <c r="AN56" s="48" t="s">
        <v>2054</v>
      </c>
      <c r="AO56" s="48" t="s">
        <v>1710</v>
      </c>
      <c r="AP56" s="48" t="s">
        <v>1854</v>
      </c>
      <c r="AQ56" s="48" t="s">
        <v>2081</v>
      </c>
      <c r="AR56" s="48" t="s">
        <v>1812</v>
      </c>
      <c r="AS56" s="48" t="s">
        <v>1813</v>
      </c>
      <c r="AT56" s="48" t="s">
        <v>1826</v>
      </c>
      <c r="AU56" s="48" t="s">
        <v>2061</v>
      </c>
      <c r="AV56" s="48" t="s">
        <v>2835</v>
      </c>
      <c r="AW56" s="48" t="s">
        <v>2062</v>
      </c>
      <c r="AX56" s="48" t="s">
        <v>2063</v>
      </c>
      <c r="AY56" s="48" t="s">
        <v>1710</v>
      </c>
      <c r="AZ56" s="48" t="s">
        <v>3262</v>
      </c>
      <c r="BA56" s="48" t="s">
        <v>1710</v>
      </c>
      <c r="BB56" s="48" t="s">
        <v>1709</v>
      </c>
      <c r="BC56" s="48" t="s">
        <v>1710</v>
      </c>
      <c r="BD56" s="48" t="s">
        <v>2082</v>
      </c>
      <c r="BE56" s="52" t="s">
        <v>3231</v>
      </c>
      <c r="BF56" s="48" t="s">
        <v>1710</v>
      </c>
      <c r="BG56" s="48" t="s">
        <v>1817</v>
      </c>
      <c r="BH56">
        <v>16</v>
      </c>
      <c r="BI56" s="48" t="s">
        <v>1888</v>
      </c>
      <c r="BJ56">
        <v>2</v>
      </c>
      <c r="BK56">
        <v>1473.06</v>
      </c>
      <c r="BL56">
        <v>27150421</v>
      </c>
      <c r="BM56">
        <v>18431</v>
      </c>
      <c r="BN56" s="48" t="s">
        <v>2064</v>
      </c>
      <c r="BO56" s="48" t="s">
        <v>2065</v>
      </c>
      <c r="BP56">
        <v>1473.06</v>
      </c>
      <c r="BQ56">
        <v>18558.39</v>
      </c>
      <c r="BR56" s="48" t="s">
        <v>1885</v>
      </c>
      <c r="BS56" s="48" t="s">
        <v>2066</v>
      </c>
      <c r="BT56">
        <v>1</v>
      </c>
      <c r="BU56">
        <v>187200</v>
      </c>
      <c r="BV56">
        <v>187200</v>
      </c>
      <c r="BW56" s="48" t="s">
        <v>2065</v>
      </c>
      <c r="BX56">
        <v>1473.06</v>
      </c>
      <c r="BY56">
        <v>0</v>
      </c>
      <c r="BZ56">
        <v>0</v>
      </c>
      <c r="CA56" s="48" t="s">
        <v>2065</v>
      </c>
      <c r="CB56">
        <v>1473.06</v>
      </c>
      <c r="CC56">
        <v>0</v>
      </c>
      <c r="CD56">
        <v>0</v>
      </c>
      <c r="CE56" s="48" t="s">
        <v>1710</v>
      </c>
      <c r="CF56" s="48" t="s">
        <v>1710</v>
      </c>
      <c r="CG56" s="48" t="s">
        <v>1710</v>
      </c>
      <c r="CH56" s="48" t="s">
        <v>1710</v>
      </c>
      <c r="CI56" s="48" t="s">
        <v>2067</v>
      </c>
      <c r="CJ56" s="48" t="s">
        <v>1710</v>
      </c>
      <c r="CL56" s="48" t="s">
        <v>2835</v>
      </c>
      <c r="CM56" s="48" t="s">
        <v>1710</v>
      </c>
      <c r="CN56" s="48" t="s">
        <v>2068</v>
      </c>
      <c r="CO56" s="48" t="s">
        <v>2069</v>
      </c>
      <c r="CP56" s="48" t="s">
        <v>1710</v>
      </c>
      <c r="CQ56" s="48" t="s">
        <v>1710</v>
      </c>
      <c r="CR56" s="48" t="s">
        <v>1710</v>
      </c>
      <c r="CS56" s="48" t="s">
        <v>1710</v>
      </c>
      <c r="CT56" s="48" t="s">
        <v>1710</v>
      </c>
      <c r="CU56" s="48" t="s">
        <v>1712</v>
      </c>
      <c r="CV56" s="48" t="s">
        <v>1710</v>
      </c>
      <c r="CW56" s="48" t="s">
        <v>1710</v>
      </c>
      <c r="CX56" s="48" t="s">
        <v>2839</v>
      </c>
      <c r="CY56" s="48" t="s">
        <v>1710</v>
      </c>
      <c r="CZ56" s="48" t="s">
        <v>1712</v>
      </c>
      <c r="DA56" s="48" t="s">
        <v>1710</v>
      </c>
      <c r="DB56" s="48" t="s">
        <v>1878</v>
      </c>
      <c r="DC56" s="48" t="s">
        <v>2070</v>
      </c>
      <c r="DD56" s="48" t="s">
        <v>1842</v>
      </c>
      <c r="DE56" s="48" t="s">
        <v>1886</v>
      </c>
      <c r="DF56" s="48" t="s">
        <v>3263</v>
      </c>
      <c r="DG56" s="48" t="s">
        <v>2071</v>
      </c>
      <c r="DH56" s="48" t="s">
        <v>1712</v>
      </c>
      <c r="DI56" s="48" t="s">
        <v>1710</v>
      </c>
      <c r="DJ56" s="48" t="s">
        <v>1710</v>
      </c>
      <c r="DK56" s="48" t="s">
        <v>1710</v>
      </c>
      <c r="DL56" s="48" t="s">
        <v>1710</v>
      </c>
      <c r="DM56" s="48" t="s">
        <v>1710</v>
      </c>
      <c r="DN56" s="48" t="s">
        <v>1710</v>
      </c>
      <c r="DO56" s="48" t="s">
        <v>1710</v>
      </c>
      <c r="DP56" s="48" t="s">
        <v>1710</v>
      </c>
      <c r="DQ56" s="48" t="s">
        <v>1710</v>
      </c>
      <c r="DR56" s="48" t="s">
        <v>2072</v>
      </c>
      <c r="DS56" s="48" t="s">
        <v>1710</v>
      </c>
      <c r="DT56" s="48" t="s">
        <v>1710</v>
      </c>
      <c r="DU56" s="48" t="s">
        <v>2547</v>
      </c>
      <c r="DV56" s="48" t="s">
        <v>2850</v>
      </c>
      <c r="DW56" s="48" t="s">
        <v>1710</v>
      </c>
      <c r="DX56" s="48" t="s">
        <v>3264</v>
      </c>
      <c r="DY56" s="48" t="s">
        <v>1709</v>
      </c>
      <c r="DZ56" s="48" t="s">
        <v>2562</v>
      </c>
      <c r="EA56" s="48" t="s">
        <v>2546</v>
      </c>
      <c r="EB56">
        <v>0</v>
      </c>
      <c r="EC56" s="48" t="s">
        <v>2547</v>
      </c>
      <c r="ED56" s="48" t="s">
        <v>3242</v>
      </c>
      <c r="EE56" s="48" t="s">
        <v>1814</v>
      </c>
      <c r="EF56" s="48" t="s">
        <v>3265</v>
      </c>
      <c r="EG56" s="48" t="s">
        <v>3262</v>
      </c>
      <c r="EH56">
        <v>5.3</v>
      </c>
      <c r="EI56" s="48" t="s">
        <v>1888</v>
      </c>
      <c r="EJ56">
        <v>1</v>
      </c>
      <c r="EK56" s="48" t="s">
        <v>1887</v>
      </c>
      <c r="EL56">
        <v>2</v>
      </c>
      <c r="EM56" s="48" t="s">
        <v>1886</v>
      </c>
      <c r="EN56">
        <v>5.3</v>
      </c>
      <c r="EO56" s="48" t="s">
        <v>3266</v>
      </c>
      <c r="EP56" s="48" t="s">
        <v>3267</v>
      </c>
      <c r="EQ56">
        <v>16218.29</v>
      </c>
      <c r="ER56">
        <v>16218.29</v>
      </c>
      <c r="ES56">
        <v>23726919</v>
      </c>
      <c r="ET56">
        <v>16107</v>
      </c>
      <c r="EU56" s="48" t="s">
        <v>1710</v>
      </c>
      <c r="EV56" s="48" t="s">
        <v>1710</v>
      </c>
      <c r="EW56" s="48" t="s">
        <v>1712</v>
      </c>
      <c r="EX56" s="48" t="s">
        <v>1710</v>
      </c>
      <c r="EY56" s="48" t="s">
        <v>2622</v>
      </c>
      <c r="EZ56" s="48" t="s">
        <v>1710</v>
      </c>
      <c r="FA56" s="48" t="s">
        <v>1710</v>
      </c>
      <c r="FB56" s="48" t="s">
        <v>1712</v>
      </c>
      <c r="FC56" s="48" t="s">
        <v>1710</v>
      </c>
      <c r="FD56" s="48" t="s">
        <v>1710</v>
      </c>
      <c r="FE56" s="48" t="s">
        <v>1814</v>
      </c>
      <c r="FF56" s="48" t="s">
        <v>1815</v>
      </c>
      <c r="FG56" s="48" t="s">
        <v>1710</v>
      </c>
      <c r="FH56">
        <v>1</v>
      </c>
      <c r="FI56" s="48" t="s">
        <v>1846</v>
      </c>
      <c r="FJ56">
        <v>16218.29</v>
      </c>
      <c r="FK56">
        <v>16218.29</v>
      </c>
      <c r="FL56" s="48" t="s">
        <v>3268</v>
      </c>
      <c r="FM56" s="48" t="s">
        <v>3269</v>
      </c>
      <c r="FN56" s="48" t="s">
        <v>1710</v>
      </c>
      <c r="FO56" s="48" t="s">
        <v>1710</v>
      </c>
      <c r="FP56" s="48" t="s">
        <v>1710</v>
      </c>
      <c r="FQ56" s="48" t="s">
        <v>1710</v>
      </c>
      <c r="FR56" s="48" t="s">
        <v>1710</v>
      </c>
      <c r="FS56" s="48" t="s">
        <v>1710</v>
      </c>
      <c r="FT56" s="48" t="s">
        <v>1710</v>
      </c>
      <c r="FU56" s="48" t="s">
        <v>1710</v>
      </c>
      <c r="FV56" s="48"/>
      <c r="FW56" s="56"/>
      <c r="FX56" s="56"/>
      <c r="FY56" s="56"/>
      <c r="FZ56" s="56"/>
      <c r="GA56" s="55" t="str">
        <f t="shared" si="1"/>
        <v>4388426300352X</v>
      </c>
      <c r="GB56" t="str">
        <f>VLOOKUP(B56,수출코드!$C$2:$D$4,2,FALSE)</f>
        <v>Suwon</v>
      </c>
      <c r="GC56" t="str">
        <f>VLOOKUP(L56,수출코드!$A$2:$B$6,2,FALSE)</f>
        <v/>
      </c>
      <c r="GD56" t="str">
        <f>VLOOKUP(M56,수출코드!$E$2:$F$5,2,FALSE)</f>
        <v>일반</v>
      </c>
      <c r="GE56" s="61">
        <f t="shared" si="2"/>
        <v>45971.638888888891</v>
      </c>
      <c r="GF56" s="62">
        <f t="shared" si="0"/>
        <v>46048.392361111109</v>
      </c>
      <c r="GI56" s="48" t="s">
        <v>2740</v>
      </c>
    </row>
    <row r="57" spans="1:191">
      <c r="A57" s="48" t="s">
        <v>3270</v>
      </c>
      <c r="B57" s="48" t="s">
        <v>1821</v>
      </c>
      <c r="C57" s="48" t="s">
        <v>2048</v>
      </c>
      <c r="D57" s="48" t="s">
        <v>2813</v>
      </c>
      <c r="E57" s="48" t="s">
        <v>3270</v>
      </c>
      <c r="F57" s="48" t="s">
        <v>1710</v>
      </c>
      <c r="G57" s="48" t="s">
        <v>2814</v>
      </c>
      <c r="H57" s="48" t="s">
        <v>3271</v>
      </c>
      <c r="I57" s="48" t="s">
        <v>1884</v>
      </c>
      <c r="J57" s="48" t="s">
        <v>2835</v>
      </c>
      <c r="K57" s="48" t="s">
        <v>1877</v>
      </c>
      <c r="L57" s="48" t="s">
        <v>1842</v>
      </c>
      <c r="M57" s="48" t="s">
        <v>1810</v>
      </c>
      <c r="N57" s="48" t="s">
        <v>1842</v>
      </c>
      <c r="O57" s="48" t="s">
        <v>1811</v>
      </c>
      <c r="P57" s="48" t="s">
        <v>2549</v>
      </c>
      <c r="Q57" s="48" t="s">
        <v>2049</v>
      </c>
      <c r="R57" s="48" t="s">
        <v>1838</v>
      </c>
      <c r="S57" s="48" t="s">
        <v>2050</v>
      </c>
      <c r="T57" s="48" t="s">
        <v>1845</v>
      </c>
      <c r="U57" s="48" t="s">
        <v>2049</v>
      </c>
      <c r="V57" s="48" t="s">
        <v>1838</v>
      </c>
      <c r="W57" s="48" t="s">
        <v>2051</v>
      </c>
      <c r="X57" s="48" t="s">
        <v>2052</v>
      </c>
      <c r="Y57" s="48" t="s">
        <v>2050</v>
      </c>
      <c r="Z57" s="48" t="s">
        <v>2053</v>
      </c>
      <c r="AA57" s="48" t="s">
        <v>2054</v>
      </c>
      <c r="AB57" s="48" t="s">
        <v>2817</v>
      </c>
      <c r="AC57" s="48" t="s">
        <v>2055</v>
      </c>
      <c r="AD57" s="48" t="s">
        <v>2056</v>
      </c>
      <c r="AE57" s="48" t="s">
        <v>1710</v>
      </c>
      <c r="AF57" s="48" t="s">
        <v>1710</v>
      </c>
      <c r="AG57" s="48" t="s">
        <v>2057</v>
      </c>
      <c r="AH57" s="48" t="s">
        <v>1815</v>
      </c>
      <c r="AI57" s="48" t="s">
        <v>2058</v>
      </c>
      <c r="AJ57" s="48" t="s">
        <v>1710</v>
      </c>
      <c r="AK57" s="48" t="s">
        <v>2558</v>
      </c>
      <c r="AL57" s="48" t="s">
        <v>1882</v>
      </c>
      <c r="AM57" s="48" t="s">
        <v>1816</v>
      </c>
      <c r="AN57" s="48" t="s">
        <v>2054</v>
      </c>
      <c r="AO57" s="48" t="s">
        <v>1710</v>
      </c>
      <c r="AP57" s="48" t="s">
        <v>1851</v>
      </c>
      <c r="AQ57" s="48" t="s">
        <v>2083</v>
      </c>
      <c r="AR57" s="48" t="s">
        <v>1812</v>
      </c>
      <c r="AS57" s="48" t="s">
        <v>1813</v>
      </c>
      <c r="AT57" s="48" t="s">
        <v>1826</v>
      </c>
      <c r="AU57" s="48" t="s">
        <v>2061</v>
      </c>
      <c r="AV57" s="48" t="s">
        <v>2835</v>
      </c>
      <c r="AW57" s="48" t="s">
        <v>2062</v>
      </c>
      <c r="AX57" s="48" t="s">
        <v>2063</v>
      </c>
      <c r="AY57" s="48" t="s">
        <v>1710</v>
      </c>
      <c r="AZ57" s="48" t="s">
        <v>3272</v>
      </c>
      <c r="BA57" s="48" t="s">
        <v>1710</v>
      </c>
      <c r="BB57" s="48" t="s">
        <v>1709</v>
      </c>
      <c r="BC57" s="48" t="s">
        <v>1710</v>
      </c>
      <c r="BD57" s="48" t="s">
        <v>2573</v>
      </c>
      <c r="BE57" s="52" t="s">
        <v>3231</v>
      </c>
      <c r="BF57" s="48" t="s">
        <v>1710</v>
      </c>
      <c r="BG57" s="48" t="s">
        <v>1814</v>
      </c>
      <c r="BH57">
        <v>2</v>
      </c>
      <c r="BI57" s="48" t="s">
        <v>1888</v>
      </c>
      <c r="BJ57">
        <v>1</v>
      </c>
      <c r="BK57">
        <v>1473.06</v>
      </c>
      <c r="BL57">
        <v>7920147</v>
      </c>
      <c r="BM57">
        <v>5377</v>
      </c>
      <c r="BN57" s="48" t="s">
        <v>2064</v>
      </c>
      <c r="BO57" s="48" t="s">
        <v>2065</v>
      </c>
      <c r="BP57">
        <v>1473.06</v>
      </c>
      <c r="BQ57">
        <v>5409.52</v>
      </c>
      <c r="BR57" s="48" t="s">
        <v>1885</v>
      </c>
      <c r="BS57" s="48" t="s">
        <v>2066</v>
      </c>
      <c r="BT57">
        <v>1</v>
      </c>
      <c r="BU57">
        <v>48400</v>
      </c>
      <c r="BV57">
        <v>48400</v>
      </c>
      <c r="BW57" s="48" t="s">
        <v>2065</v>
      </c>
      <c r="BX57">
        <v>1473.06</v>
      </c>
      <c r="BY57">
        <v>0</v>
      </c>
      <c r="BZ57">
        <v>0</v>
      </c>
      <c r="CA57" s="48" t="s">
        <v>2065</v>
      </c>
      <c r="CB57">
        <v>1473.06</v>
      </c>
      <c r="CC57">
        <v>0</v>
      </c>
      <c r="CD57">
        <v>0</v>
      </c>
      <c r="CE57" s="48" t="s">
        <v>1710</v>
      </c>
      <c r="CF57" s="48" t="s">
        <v>1710</v>
      </c>
      <c r="CG57" s="48" t="s">
        <v>1710</v>
      </c>
      <c r="CH57" s="48" t="s">
        <v>1710</v>
      </c>
      <c r="CI57" s="48" t="s">
        <v>2067</v>
      </c>
      <c r="CJ57" s="48" t="s">
        <v>1710</v>
      </c>
      <c r="CL57" s="48" t="s">
        <v>2835</v>
      </c>
      <c r="CM57" s="48" t="s">
        <v>1710</v>
      </c>
      <c r="CN57" s="48" t="s">
        <v>2068</v>
      </c>
      <c r="CO57" s="48" t="s">
        <v>2069</v>
      </c>
      <c r="CP57" s="48" t="s">
        <v>1710</v>
      </c>
      <c r="CQ57" s="48" t="s">
        <v>1710</v>
      </c>
      <c r="CR57" s="48" t="s">
        <v>1710</v>
      </c>
      <c r="CS57" s="48" t="s">
        <v>1710</v>
      </c>
      <c r="CT57" s="48" t="s">
        <v>1710</v>
      </c>
      <c r="CU57" s="48" t="s">
        <v>1712</v>
      </c>
      <c r="CV57" s="48" t="s">
        <v>1710</v>
      </c>
      <c r="CW57" s="48" t="s">
        <v>1710</v>
      </c>
      <c r="CX57" s="48" t="s">
        <v>2839</v>
      </c>
      <c r="CY57" s="48" t="s">
        <v>1710</v>
      </c>
      <c r="CZ57" s="48" t="s">
        <v>1712</v>
      </c>
      <c r="DA57" s="48" t="s">
        <v>1710</v>
      </c>
      <c r="DB57" s="48" t="s">
        <v>1878</v>
      </c>
      <c r="DC57" s="48" t="s">
        <v>2070</v>
      </c>
      <c r="DD57" s="48" t="s">
        <v>1842</v>
      </c>
      <c r="DE57" s="48" t="s">
        <v>1886</v>
      </c>
      <c r="DF57" s="48" t="s">
        <v>3273</v>
      </c>
      <c r="DG57" s="48" t="s">
        <v>2071</v>
      </c>
      <c r="DH57" s="48" t="s">
        <v>1712</v>
      </c>
      <c r="DI57" s="48" t="s">
        <v>1710</v>
      </c>
      <c r="DJ57" s="48" t="s">
        <v>1710</v>
      </c>
      <c r="DK57" s="48" t="s">
        <v>1710</v>
      </c>
      <c r="DL57" s="48" t="s">
        <v>1710</v>
      </c>
      <c r="DM57" s="48" t="s">
        <v>1710</v>
      </c>
      <c r="DN57" s="48" t="s">
        <v>1710</v>
      </c>
      <c r="DO57" s="48" t="s">
        <v>1710</v>
      </c>
      <c r="DP57" s="48" t="s">
        <v>1710</v>
      </c>
      <c r="DQ57" s="48" t="s">
        <v>1710</v>
      </c>
      <c r="DR57" s="48" t="s">
        <v>2072</v>
      </c>
      <c r="DS57" s="48" t="s">
        <v>1710</v>
      </c>
      <c r="DT57" s="48" t="s">
        <v>1710</v>
      </c>
      <c r="DU57" s="48" t="s">
        <v>2547</v>
      </c>
      <c r="DV57" s="48" t="s">
        <v>2835</v>
      </c>
      <c r="DW57" s="48" t="s">
        <v>1710</v>
      </c>
      <c r="DX57" s="48" t="s">
        <v>3274</v>
      </c>
      <c r="DY57" s="48" t="s">
        <v>1709</v>
      </c>
      <c r="DZ57" s="48" t="s">
        <v>2562</v>
      </c>
      <c r="EA57" s="48" t="s">
        <v>2546</v>
      </c>
      <c r="EB57">
        <v>0</v>
      </c>
      <c r="EC57" s="48" t="s">
        <v>2547</v>
      </c>
      <c r="ED57" s="48" t="s">
        <v>3242</v>
      </c>
      <c r="EE57" s="48" t="s">
        <v>1814</v>
      </c>
      <c r="EF57" s="48" t="s">
        <v>2658</v>
      </c>
      <c r="EG57" s="48" t="s">
        <v>3272</v>
      </c>
      <c r="EH57">
        <v>1.155</v>
      </c>
      <c r="EI57" s="48" t="s">
        <v>1888</v>
      </c>
      <c r="EJ57">
        <v>0</v>
      </c>
      <c r="EK57" s="48" t="s">
        <v>1710</v>
      </c>
      <c r="EL57">
        <v>1</v>
      </c>
      <c r="EM57" s="48" t="s">
        <v>1886</v>
      </c>
      <c r="EN57">
        <v>1.155</v>
      </c>
      <c r="EO57" s="48" t="s">
        <v>2659</v>
      </c>
      <c r="EP57" s="48" t="s">
        <v>3275</v>
      </c>
      <c r="EQ57">
        <v>5409.52</v>
      </c>
      <c r="ER57">
        <v>5409.52</v>
      </c>
      <c r="ES57">
        <v>7920147</v>
      </c>
      <c r="ET57">
        <v>5377</v>
      </c>
      <c r="EU57" s="48" t="s">
        <v>1710</v>
      </c>
      <c r="EV57" s="48" t="s">
        <v>1710</v>
      </c>
      <c r="EW57" s="48" t="s">
        <v>1712</v>
      </c>
      <c r="EX57" s="48" t="s">
        <v>1710</v>
      </c>
      <c r="EY57" s="48" t="s">
        <v>1851</v>
      </c>
      <c r="EZ57" s="48" t="s">
        <v>1710</v>
      </c>
      <c r="FA57" s="48" t="s">
        <v>1710</v>
      </c>
      <c r="FB57" s="48" t="s">
        <v>1712</v>
      </c>
      <c r="FC57" s="48" t="s">
        <v>1710</v>
      </c>
      <c r="FD57" s="48" t="s">
        <v>1710</v>
      </c>
      <c r="FE57" s="48" t="s">
        <v>1814</v>
      </c>
      <c r="FF57" s="48" t="s">
        <v>1815</v>
      </c>
      <c r="FG57" s="48" t="s">
        <v>1710</v>
      </c>
      <c r="FH57">
        <v>1</v>
      </c>
      <c r="FI57" s="48" t="s">
        <v>1846</v>
      </c>
      <c r="FJ57">
        <v>5409.52</v>
      </c>
      <c r="FK57">
        <v>5409.52</v>
      </c>
      <c r="FL57" s="48" t="s">
        <v>3276</v>
      </c>
      <c r="FM57" s="48" t="s">
        <v>3275</v>
      </c>
      <c r="FN57" s="48" t="s">
        <v>1710</v>
      </c>
      <c r="FO57" s="48" t="s">
        <v>1710</v>
      </c>
      <c r="FP57" s="48" t="s">
        <v>1710</v>
      </c>
      <c r="FQ57" s="48" t="s">
        <v>1710</v>
      </c>
      <c r="FR57" s="48" t="s">
        <v>1710</v>
      </c>
      <c r="FS57" s="48" t="s">
        <v>1710</v>
      </c>
      <c r="FT57" s="48" t="s">
        <v>1710</v>
      </c>
      <c r="FU57" s="48" t="s">
        <v>1710</v>
      </c>
      <c r="FV57" s="48"/>
      <c r="FW57" s="56"/>
      <c r="FX57" s="56"/>
      <c r="FY57" s="56"/>
      <c r="FZ57" s="56"/>
      <c r="GA57" s="55" t="str">
        <f t="shared" si="1"/>
        <v>4388426300353X</v>
      </c>
      <c r="GB57" t="str">
        <f>VLOOKUP(B57,수출코드!$C$2:$D$4,2,FALSE)</f>
        <v>Suwon</v>
      </c>
      <c r="GC57" t="str">
        <f>VLOOKUP(L57,수출코드!$A$2:$B$6,2,FALSE)</f>
        <v/>
      </c>
      <c r="GD57" t="str">
        <f>VLOOKUP(M57,수출코드!$E$2:$F$5,2,FALSE)</f>
        <v>일반</v>
      </c>
      <c r="GE57" s="61">
        <f t="shared" si="2"/>
        <v>45971.638888888891</v>
      </c>
      <c r="GF57" s="62">
        <f t="shared" si="0"/>
        <v>46048.392361111109</v>
      </c>
      <c r="GI57" s="48" t="s">
        <v>2740</v>
      </c>
    </row>
    <row r="58" spans="1:191">
      <c r="A58" s="48" t="s">
        <v>3277</v>
      </c>
      <c r="B58" s="48" t="s">
        <v>1821</v>
      </c>
      <c r="C58" s="48" t="s">
        <v>2048</v>
      </c>
      <c r="D58" s="48" t="s">
        <v>2813</v>
      </c>
      <c r="E58" s="48" t="s">
        <v>3277</v>
      </c>
      <c r="F58" s="48" t="s">
        <v>1710</v>
      </c>
      <c r="G58" s="48" t="s">
        <v>2814</v>
      </c>
      <c r="H58" s="48" t="s">
        <v>3278</v>
      </c>
      <c r="I58" s="48" t="s">
        <v>1884</v>
      </c>
      <c r="J58" s="48" t="s">
        <v>2835</v>
      </c>
      <c r="K58" s="48" t="s">
        <v>1877</v>
      </c>
      <c r="L58" s="48" t="s">
        <v>1842</v>
      </c>
      <c r="M58" s="48" t="s">
        <v>1810</v>
      </c>
      <c r="N58" s="48" t="s">
        <v>1842</v>
      </c>
      <c r="O58" s="48" t="s">
        <v>1811</v>
      </c>
      <c r="P58" s="48" t="s">
        <v>2549</v>
      </c>
      <c r="Q58" s="48" t="s">
        <v>2049</v>
      </c>
      <c r="R58" s="48" t="s">
        <v>1838</v>
      </c>
      <c r="S58" s="48" t="s">
        <v>2050</v>
      </c>
      <c r="T58" s="48" t="s">
        <v>1845</v>
      </c>
      <c r="U58" s="48" t="s">
        <v>2049</v>
      </c>
      <c r="V58" s="48" t="s">
        <v>1838</v>
      </c>
      <c r="W58" s="48" t="s">
        <v>2051</v>
      </c>
      <c r="X58" s="48" t="s">
        <v>2052</v>
      </c>
      <c r="Y58" s="48" t="s">
        <v>2050</v>
      </c>
      <c r="Z58" s="48" t="s">
        <v>2053</v>
      </c>
      <c r="AA58" s="48" t="s">
        <v>2054</v>
      </c>
      <c r="AB58" s="48" t="s">
        <v>2817</v>
      </c>
      <c r="AC58" s="48" t="s">
        <v>2055</v>
      </c>
      <c r="AD58" s="48" t="s">
        <v>2056</v>
      </c>
      <c r="AE58" s="48" t="s">
        <v>1710</v>
      </c>
      <c r="AF58" s="48" t="s">
        <v>1710</v>
      </c>
      <c r="AG58" s="48" t="s">
        <v>2057</v>
      </c>
      <c r="AH58" s="48" t="s">
        <v>1815</v>
      </c>
      <c r="AI58" s="48" t="s">
        <v>2058</v>
      </c>
      <c r="AJ58" s="48" t="s">
        <v>1710</v>
      </c>
      <c r="AK58" s="48" t="s">
        <v>2077</v>
      </c>
      <c r="AL58" s="48" t="s">
        <v>1858</v>
      </c>
      <c r="AM58" s="48" t="s">
        <v>1816</v>
      </c>
      <c r="AN58" s="48" t="s">
        <v>2054</v>
      </c>
      <c r="AO58" s="48" t="s">
        <v>1710</v>
      </c>
      <c r="AP58" s="48" t="s">
        <v>1848</v>
      </c>
      <c r="AQ58" s="48" t="s">
        <v>2060</v>
      </c>
      <c r="AR58" s="48" t="s">
        <v>1812</v>
      </c>
      <c r="AS58" s="48" t="s">
        <v>1813</v>
      </c>
      <c r="AT58" s="48" t="s">
        <v>1826</v>
      </c>
      <c r="AU58" s="48" t="s">
        <v>2061</v>
      </c>
      <c r="AV58" s="48" t="s">
        <v>2835</v>
      </c>
      <c r="AW58" s="48" t="s">
        <v>2062</v>
      </c>
      <c r="AX58" s="48" t="s">
        <v>2063</v>
      </c>
      <c r="AY58" s="48" t="s">
        <v>1710</v>
      </c>
      <c r="AZ58" s="48" t="s">
        <v>3279</v>
      </c>
      <c r="BA58" s="48" t="s">
        <v>1710</v>
      </c>
      <c r="BB58" s="48" t="s">
        <v>1709</v>
      </c>
      <c r="BC58" s="48" t="s">
        <v>1710</v>
      </c>
      <c r="BD58" s="48" t="s">
        <v>2551</v>
      </c>
      <c r="BE58" s="52" t="s">
        <v>3280</v>
      </c>
      <c r="BF58" s="48" t="s">
        <v>1710</v>
      </c>
      <c r="BG58" s="48" t="s">
        <v>1814</v>
      </c>
      <c r="BH58">
        <v>4</v>
      </c>
      <c r="BI58" s="48" t="s">
        <v>1888</v>
      </c>
      <c r="BJ58">
        <v>1</v>
      </c>
      <c r="BK58">
        <v>1473.06</v>
      </c>
      <c r="BL58">
        <v>5075082</v>
      </c>
      <c r="BM58">
        <v>3445</v>
      </c>
      <c r="BN58" s="48" t="s">
        <v>2064</v>
      </c>
      <c r="BO58" s="48" t="s">
        <v>2065</v>
      </c>
      <c r="BP58">
        <v>1473.06</v>
      </c>
      <c r="BQ58">
        <v>3495.84</v>
      </c>
      <c r="BR58" s="48" t="s">
        <v>1885</v>
      </c>
      <c r="BS58" s="48" t="s">
        <v>2066</v>
      </c>
      <c r="BT58">
        <v>1</v>
      </c>
      <c r="BU58">
        <v>74500</v>
      </c>
      <c r="BV58">
        <v>74500</v>
      </c>
      <c r="BW58" s="48" t="s">
        <v>2065</v>
      </c>
      <c r="BX58">
        <v>1473.06</v>
      </c>
      <c r="BY58">
        <v>0</v>
      </c>
      <c r="BZ58">
        <v>0</v>
      </c>
      <c r="CA58" s="48" t="s">
        <v>2065</v>
      </c>
      <c r="CB58">
        <v>1473.06</v>
      </c>
      <c r="CC58">
        <v>0</v>
      </c>
      <c r="CD58">
        <v>0</v>
      </c>
      <c r="CE58" s="48" t="s">
        <v>1710</v>
      </c>
      <c r="CF58" s="48" t="s">
        <v>1710</v>
      </c>
      <c r="CG58" s="48" t="s">
        <v>1710</v>
      </c>
      <c r="CH58" s="48" t="s">
        <v>1710</v>
      </c>
      <c r="CI58" s="48" t="s">
        <v>2067</v>
      </c>
      <c r="CJ58" s="48" t="s">
        <v>1710</v>
      </c>
      <c r="CL58" s="48" t="s">
        <v>2835</v>
      </c>
      <c r="CM58" s="48" t="s">
        <v>1710</v>
      </c>
      <c r="CN58" s="48" t="s">
        <v>2068</v>
      </c>
      <c r="CO58" s="48" t="s">
        <v>2069</v>
      </c>
      <c r="CP58" s="48" t="s">
        <v>1710</v>
      </c>
      <c r="CQ58" s="48" t="s">
        <v>1710</v>
      </c>
      <c r="CR58" s="48" t="s">
        <v>1710</v>
      </c>
      <c r="CS58" s="48" t="s">
        <v>1710</v>
      </c>
      <c r="CT58" s="48" t="s">
        <v>1710</v>
      </c>
      <c r="CU58" s="48" t="s">
        <v>1712</v>
      </c>
      <c r="CV58" s="48" t="s">
        <v>1710</v>
      </c>
      <c r="CW58" s="48" t="s">
        <v>1710</v>
      </c>
      <c r="CX58" s="48" t="s">
        <v>2839</v>
      </c>
      <c r="CY58" s="48" t="s">
        <v>1710</v>
      </c>
      <c r="CZ58" s="48" t="s">
        <v>1712</v>
      </c>
      <c r="DA58" s="48" t="s">
        <v>1710</v>
      </c>
      <c r="DB58" s="48" t="s">
        <v>1878</v>
      </c>
      <c r="DC58" s="48" t="s">
        <v>2070</v>
      </c>
      <c r="DD58" s="48" t="s">
        <v>1842</v>
      </c>
      <c r="DE58" s="48" t="s">
        <v>1886</v>
      </c>
      <c r="DF58" s="48" t="s">
        <v>3281</v>
      </c>
      <c r="DG58" s="48" t="s">
        <v>2071</v>
      </c>
      <c r="DH58" s="48" t="s">
        <v>1712</v>
      </c>
      <c r="DI58" s="48" t="s">
        <v>1710</v>
      </c>
      <c r="DJ58" s="48" t="s">
        <v>1710</v>
      </c>
      <c r="DK58" s="48" t="s">
        <v>1710</v>
      </c>
      <c r="DL58" s="48" t="s">
        <v>1710</v>
      </c>
      <c r="DM58" s="48" t="s">
        <v>1710</v>
      </c>
      <c r="DN58" s="48" t="s">
        <v>1710</v>
      </c>
      <c r="DO58" s="48" t="s">
        <v>1710</v>
      </c>
      <c r="DP58" s="48" t="s">
        <v>1710</v>
      </c>
      <c r="DQ58" s="48" t="s">
        <v>1710</v>
      </c>
      <c r="DR58" s="48" t="s">
        <v>2072</v>
      </c>
      <c r="DS58" s="48" t="s">
        <v>1710</v>
      </c>
      <c r="DT58" s="48" t="s">
        <v>1710</v>
      </c>
      <c r="DU58" s="48" t="s">
        <v>2547</v>
      </c>
      <c r="DV58" s="48" t="s">
        <v>2835</v>
      </c>
      <c r="DW58" s="48" t="s">
        <v>1710</v>
      </c>
      <c r="DX58" s="48" t="s">
        <v>3282</v>
      </c>
      <c r="DY58" s="48" t="s">
        <v>1709</v>
      </c>
      <c r="DZ58" s="48" t="s">
        <v>2562</v>
      </c>
      <c r="EA58" s="48" t="s">
        <v>2546</v>
      </c>
      <c r="EB58">
        <v>0</v>
      </c>
      <c r="EC58" s="48" t="s">
        <v>2547</v>
      </c>
      <c r="ED58" s="48" t="s">
        <v>3283</v>
      </c>
      <c r="EE58" s="48" t="s">
        <v>1814</v>
      </c>
      <c r="EF58" s="48" t="s">
        <v>1872</v>
      </c>
      <c r="EG58" s="48" t="s">
        <v>3279</v>
      </c>
      <c r="EH58">
        <v>2</v>
      </c>
      <c r="EI58" s="48" t="s">
        <v>1888</v>
      </c>
      <c r="EJ58">
        <v>1</v>
      </c>
      <c r="EK58" s="48" t="s">
        <v>1887</v>
      </c>
      <c r="EL58">
        <v>1</v>
      </c>
      <c r="EM58" s="48" t="s">
        <v>1886</v>
      </c>
      <c r="EN58">
        <v>2</v>
      </c>
      <c r="EO58" s="48" t="s">
        <v>2527</v>
      </c>
      <c r="EP58" s="48" t="s">
        <v>3284</v>
      </c>
      <c r="EQ58">
        <v>3495.84</v>
      </c>
      <c r="ER58">
        <v>3495.84</v>
      </c>
      <c r="ES58">
        <v>5075082</v>
      </c>
      <c r="ET58">
        <v>3445</v>
      </c>
      <c r="EU58" s="48" t="s">
        <v>1710</v>
      </c>
      <c r="EV58" s="48" t="s">
        <v>1710</v>
      </c>
      <c r="EW58" s="48" t="s">
        <v>1712</v>
      </c>
      <c r="EX58" s="48" t="s">
        <v>1710</v>
      </c>
      <c r="EY58" s="48" t="s">
        <v>1860</v>
      </c>
      <c r="EZ58" s="48" t="s">
        <v>1710</v>
      </c>
      <c r="FA58" s="48" t="s">
        <v>1710</v>
      </c>
      <c r="FB58" s="48" t="s">
        <v>1712</v>
      </c>
      <c r="FC58" s="48" t="s">
        <v>1710</v>
      </c>
      <c r="FD58" s="48" t="s">
        <v>1710</v>
      </c>
      <c r="FE58" s="48" t="s">
        <v>1814</v>
      </c>
      <c r="FF58" s="48" t="s">
        <v>1815</v>
      </c>
      <c r="FG58" s="48" t="s">
        <v>1710</v>
      </c>
      <c r="FH58">
        <v>1</v>
      </c>
      <c r="FI58" s="48" t="s">
        <v>1846</v>
      </c>
      <c r="FJ58">
        <v>3495.84</v>
      </c>
      <c r="FK58">
        <v>3495.84</v>
      </c>
      <c r="FL58" s="48" t="s">
        <v>3285</v>
      </c>
      <c r="FM58" s="48" t="s">
        <v>3284</v>
      </c>
      <c r="FN58" s="48" t="s">
        <v>1710</v>
      </c>
      <c r="FO58" s="48" t="s">
        <v>1710</v>
      </c>
      <c r="FP58" s="48" t="s">
        <v>1710</v>
      </c>
      <c r="FQ58" s="48" t="s">
        <v>1710</v>
      </c>
      <c r="FR58" s="48" t="s">
        <v>1710</v>
      </c>
      <c r="FS58" s="48" t="s">
        <v>1710</v>
      </c>
      <c r="FT58" s="48" t="s">
        <v>1710</v>
      </c>
      <c r="FU58" s="48" t="s">
        <v>1710</v>
      </c>
      <c r="FV58" s="48"/>
      <c r="FW58" s="56"/>
      <c r="FX58" s="56"/>
      <c r="FY58" s="56"/>
      <c r="FZ58" s="56"/>
      <c r="GA58" s="55" t="str">
        <f t="shared" si="1"/>
        <v>4388426300354X</v>
      </c>
      <c r="GB58" t="str">
        <f>VLOOKUP(B58,수출코드!$C$2:$D$4,2,FALSE)</f>
        <v>Suwon</v>
      </c>
      <c r="GC58" t="str">
        <f>VLOOKUP(L58,수출코드!$A$2:$B$6,2,FALSE)</f>
        <v/>
      </c>
      <c r="GD58" t="str">
        <f>VLOOKUP(M58,수출코드!$E$2:$F$5,2,FALSE)</f>
        <v>일반</v>
      </c>
      <c r="GE58" s="61">
        <f t="shared" si="2"/>
        <v>45971.638888888891</v>
      </c>
      <c r="GF58" s="62">
        <f t="shared" si="0"/>
        <v>46048.436111111114</v>
      </c>
      <c r="GI58" s="48" t="s">
        <v>2740</v>
      </c>
    </row>
    <row r="59" spans="1:191">
      <c r="A59" s="48" t="s">
        <v>3286</v>
      </c>
      <c r="B59" s="48" t="s">
        <v>1821</v>
      </c>
      <c r="C59" s="48" t="s">
        <v>2048</v>
      </c>
      <c r="D59" s="48" t="s">
        <v>2813</v>
      </c>
      <c r="E59" s="48" t="s">
        <v>3286</v>
      </c>
      <c r="F59" s="48" t="s">
        <v>1710</v>
      </c>
      <c r="G59" s="48" t="s">
        <v>2814</v>
      </c>
      <c r="H59" s="48" t="s">
        <v>3287</v>
      </c>
      <c r="I59" s="48" t="s">
        <v>1884</v>
      </c>
      <c r="J59" s="48" t="s">
        <v>2835</v>
      </c>
      <c r="K59" s="48" t="s">
        <v>1877</v>
      </c>
      <c r="L59" s="48" t="s">
        <v>1842</v>
      </c>
      <c r="M59" s="48" t="s">
        <v>1810</v>
      </c>
      <c r="N59" s="48" t="s">
        <v>1842</v>
      </c>
      <c r="O59" s="48" t="s">
        <v>1811</v>
      </c>
      <c r="P59" s="48" t="s">
        <v>2549</v>
      </c>
      <c r="Q59" s="48" t="s">
        <v>2049</v>
      </c>
      <c r="R59" s="48" t="s">
        <v>1838</v>
      </c>
      <c r="S59" s="48" t="s">
        <v>2050</v>
      </c>
      <c r="T59" s="48" t="s">
        <v>1845</v>
      </c>
      <c r="U59" s="48" t="s">
        <v>2049</v>
      </c>
      <c r="V59" s="48" t="s">
        <v>1838</v>
      </c>
      <c r="W59" s="48" t="s">
        <v>2051</v>
      </c>
      <c r="X59" s="48" t="s">
        <v>2052</v>
      </c>
      <c r="Y59" s="48" t="s">
        <v>2050</v>
      </c>
      <c r="Z59" s="48" t="s">
        <v>2053</v>
      </c>
      <c r="AA59" s="48" t="s">
        <v>2054</v>
      </c>
      <c r="AB59" s="48" t="s">
        <v>2817</v>
      </c>
      <c r="AC59" s="48" t="s">
        <v>2055</v>
      </c>
      <c r="AD59" s="48" t="s">
        <v>2056</v>
      </c>
      <c r="AE59" s="48" t="s">
        <v>1710</v>
      </c>
      <c r="AF59" s="48" t="s">
        <v>1710</v>
      </c>
      <c r="AG59" s="48" t="s">
        <v>2057</v>
      </c>
      <c r="AH59" s="48" t="s">
        <v>1815</v>
      </c>
      <c r="AI59" s="48" t="s">
        <v>2058</v>
      </c>
      <c r="AJ59" s="48" t="s">
        <v>1710</v>
      </c>
      <c r="AK59" s="48" t="s">
        <v>2099</v>
      </c>
      <c r="AL59" s="48" t="s">
        <v>1866</v>
      </c>
      <c r="AM59" s="48" t="s">
        <v>1816</v>
      </c>
      <c r="AN59" s="48" t="s">
        <v>2054</v>
      </c>
      <c r="AO59" s="48" t="s">
        <v>1710</v>
      </c>
      <c r="AP59" s="48" t="s">
        <v>1854</v>
      </c>
      <c r="AQ59" s="48" t="s">
        <v>2081</v>
      </c>
      <c r="AR59" s="48" t="s">
        <v>1812</v>
      </c>
      <c r="AS59" s="48" t="s">
        <v>1813</v>
      </c>
      <c r="AT59" s="48" t="s">
        <v>1826</v>
      </c>
      <c r="AU59" s="48" t="s">
        <v>2061</v>
      </c>
      <c r="AV59" s="48" t="s">
        <v>2835</v>
      </c>
      <c r="AW59" s="48" t="s">
        <v>2062</v>
      </c>
      <c r="AX59" s="48" t="s">
        <v>2063</v>
      </c>
      <c r="AY59" s="48" t="s">
        <v>1710</v>
      </c>
      <c r="AZ59" s="48" t="s">
        <v>3288</v>
      </c>
      <c r="BA59" s="48" t="s">
        <v>1710</v>
      </c>
      <c r="BB59" s="48" t="s">
        <v>1709</v>
      </c>
      <c r="BC59" s="48" t="s">
        <v>1710</v>
      </c>
      <c r="BD59" s="48" t="s">
        <v>2089</v>
      </c>
      <c r="BE59" s="52" t="s">
        <v>3289</v>
      </c>
      <c r="BF59" s="48" t="s">
        <v>1710</v>
      </c>
      <c r="BG59" s="48" t="s">
        <v>1814</v>
      </c>
      <c r="BH59">
        <v>1</v>
      </c>
      <c r="BI59" s="48" t="s">
        <v>1888</v>
      </c>
      <c r="BJ59">
        <v>1</v>
      </c>
      <c r="BK59">
        <v>1473.06</v>
      </c>
      <c r="BL59">
        <v>45693</v>
      </c>
      <c r="BM59">
        <v>31</v>
      </c>
      <c r="BN59" s="48" t="s">
        <v>2064</v>
      </c>
      <c r="BO59" s="48" t="s">
        <v>2065</v>
      </c>
      <c r="BP59">
        <v>1473.06</v>
      </c>
      <c r="BQ59">
        <v>56.68</v>
      </c>
      <c r="BR59" s="48" t="s">
        <v>1885</v>
      </c>
      <c r="BS59" s="48" t="s">
        <v>2066</v>
      </c>
      <c r="BT59">
        <v>1</v>
      </c>
      <c r="BU59">
        <v>37800</v>
      </c>
      <c r="BV59">
        <v>37800</v>
      </c>
      <c r="BW59" s="48" t="s">
        <v>2065</v>
      </c>
      <c r="BX59">
        <v>1473.06</v>
      </c>
      <c r="BY59">
        <v>0</v>
      </c>
      <c r="BZ59">
        <v>0</v>
      </c>
      <c r="CA59" s="48" t="s">
        <v>2065</v>
      </c>
      <c r="CB59">
        <v>1473.06</v>
      </c>
      <c r="CC59">
        <v>0</v>
      </c>
      <c r="CD59">
        <v>0</v>
      </c>
      <c r="CE59" s="48" t="s">
        <v>1710</v>
      </c>
      <c r="CF59" s="48" t="s">
        <v>1710</v>
      </c>
      <c r="CG59" s="48" t="s">
        <v>1710</v>
      </c>
      <c r="CH59" s="48" t="s">
        <v>1710</v>
      </c>
      <c r="CI59" s="48" t="s">
        <v>2067</v>
      </c>
      <c r="CJ59" s="48" t="s">
        <v>1710</v>
      </c>
      <c r="CL59" s="48" t="s">
        <v>2835</v>
      </c>
      <c r="CM59" s="48" t="s">
        <v>1710</v>
      </c>
      <c r="CN59" s="48" t="s">
        <v>2068</v>
      </c>
      <c r="CO59" s="48" t="s">
        <v>2069</v>
      </c>
      <c r="CP59" s="48" t="s">
        <v>1710</v>
      </c>
      <c r="CQ59" s="48" t="s">
        <v>1710</v>
      </c>
      <c r="CR59" s="48" t="s">
        <v>1710</v>
      </c>
      <c r="CS59" s="48" t="s">
        <v>1710</v>
      </c>
      <c r="CT59" s="48" t="s">
        <v>1710</v>
      </c>
      <c r="CU59" s="48" t="s">
        <v>1712</v>
      </c>
      <c r="CV59" s="48" t="s">
        <v>1710</v>
      </c>
      <c r="CW59" s="48" t="s">
        <v>1710</v>
      </c>
      <c r="CX59" s="48" t="s">
        <v>2839</v>
      </c>
      <c r="CY59" s="48" t="s">
        <v>1710</v>
      </c>
      <c r="CZ59" s="48" t="s">
        <v>1712</v>
      </c>
      <c r="DA59" s="48" t="s">
        <v>1710</v>
      </c>
      <c r="DB59" s="48" t="s">
        <v>1878</v>
      </c>
      <c r="DC59" s="48" t="s">
        <v>2070</v>
      </c>
      <c r="DD59" s="48" t="s">
        <v>1842</v>
      </c>
      <c r="DE59" s="48" t="s">
        <v>1886</v>
      </c>
      <c r="DF59" s="48" t="s">
        <v>3290</v>
      </c>
      <c r="DG59" s="48" t="s">
        <v>2071</v>
      </c>
      <c r="DH59" s="48" t="s">
        <v>1712</v>
      </c>
      <c r="DI59" s="48" t="s">
        <v>1710</v>
      </c>
      <c r="DJ59" s="48" t="s">
        <v>1710</v>
      </c>
      <c r="DK59" s="48" t="s">
        <v>1710</v>
      </c>
      <c r="DL59" s="48" t="s">
        <v>1710</v>
      </c>
      <c r="DM59" s="48" t="s">
        <v>1710</v>
      </c>
      <c r="DN59" s="48" t="s">
        <v>1710</v>
      </c>
      <c r="DO59" s="48" t="s">
        <v>1710</v>
      </c>
      <c r="DP59" s="48" t="s">
        <v>1710</v>
      </c>
      <c r="DQ59" s="48" t="s">
        <v>1710</v>
      </c>
      <c r="DR59" s="48" t="s">
        <v>2072</v>
      </c>
      <c r="DS59" s="48" t="s">
        <v>1710</v>
      </c>
      <c r="DT59" s="48" t="s">
        <v>1710</v>
      </c>
      <c r="DU59" s="48" t="s">
        <v>2547</v>
      </c>
      <c r="DV59" s="48" t="s">
        <v>2850</v>
      </c>
      <c r="DW59" s="48" t="s">
        <v>1710</v>
      </c>
      <c r="DX59" s="48" t="s">
        <v>3291</v>
      </c>
      <c r="DY59" s="48" t="s">
        <v>1709</v>
      </c>
      <c r="DZ59" s="48" t="s">
        <v>2562</v>
      </c>
      <c r="EA59" s="48" t="s">
        <v>2546</v>
      </c>
      <c r="EB59">
        <v>0</v>
      </c>
      <c r="EC59" s="48" t="s">
        <v>2547</v>
      </c>
      <c r="ED59" s="48" t="s">
        <v>3242</v>
      </c>
      <c r="EE59" s="48" t="s">
        <v>1814</v>
      </c>
      <c r="EF59" s="48" t="s">
        <v>2927</v>
      </c>
      <c r="EG59" s="48" t="s">
        <v>3288</v>
      </c>
      <c r="EH59">
        <v>2E-3</v>
      </c>
      <c r="EI59" s="48" t="s">
        <v>1888</v>
      </c>
      <c r="EJ59">
        <v>0</v>
      </c>
      <c r="EK59" s="48" t="s">
        <v>1710</v>
      </c>
      <c r="EL59">
        <v>1</v>
      </c>
      <c r="EM59" s="48" t="s">
        <v>1886</v>
      </c>
      <c r="EN59">
        <v>2E-3</v>
      </c>
      <c r="EO59" s="48" t="s">
        <v>2928</v>
      </c>
      <c r="EP59" s="48" t="s">
        <v>2929</v>
      </c>
      <c r="EQ59">
        <v>56.68</v>
      </c>
      <c r="ER59">
        <v>56.68</v>
      </c>
      <c r="ES59">
        <v>45693</v>
      </c>
      <c r="ET59">
        <v>31</v>
      </c>
      <c r="EU59" s="48" t="s">
        <v>1710</v>
      </c>
      <c r="EV59" s="48" t="s">
        <v>1710</v>
      </c>
      <c r="EW59" s="48" t="s">
        <v>1712</v>
      </c>
      <c r="EX59" s="48" t="s">
        <v>1710</v>
      </c>
      <c r="EY59" s="48" t="s">
        <v>1848</v>
      </c>
      <c r="EZ59" s="48" t="s">
        <v>1710</v>
      </c>
      <c r="FA59" s="48" t="s">
        <v>1710</v>
      </c>
      <c r="FB59" s="48" t="s">
        <v>1712</v>
      </c>
      <c r="FC59" s="48" t="s">
        <v>1710</v>
      </c>
      <c r="FD59" s="48" t="s">
        <v>1710</v>
      </c>
      <c r="FE59" s="48" t="s">
        <v>1814</v>
      </c>
      <c r="FF59" s="48" t="s">
        <v>1815</v>
      </c>
      <c r="FG59" s="48" t="s">
        <v>1710</v>
      </c>
      <c r="FH59">
        <v>1</v>
      </c>
      <c r="FI59" s="48" t="s">
        <v>2652</v>
      </c>
      <c r="FJ59">
        <v>28.34</v>
      </c>
      <c r="FK59">
        <v>28.34</v>
      </c>
      <c r="FL59" s="48" t="s">
        <v>2930</v>
      </c>
      <c r="FM59" s="48" t="s">
        <v>2929</v>
      </c>
      <c r="FN59" s="48" t="s">
        <v>1710</v>
      </c>
      <c r="FO59" s="48" t="s">
        <v>1710</v>
      </c>
      <c r="FP59" s="48" t="s">
        <v>1710</v>
      </c>
      <c r="FQ59" s="48" t="s">
        <v>1710</v>
      </c>
      <c r="FR59" s="48" t="s">
        <v>1710</v>
      </c>
      <c r="FS59" s="48" t="s">
        <v>1710</v>
      </c>
      <c r="FT59" s="48" t="s">
        <v>1710</v>
      </c>
      <c r="FU59" s="48" t="s">
        <v>1710</v>
      </c>
      <c r="FV59" s="48"/>
      <c r="FW59" s="56"/>
      <c r="FX59" s="56"/>
      <c r="FY59" s="56"/>
      <c r="FZ59" s="56"/>
      <c r="GA59" s="55" t="str">
        <f t="shared" si="1"/>
        <v>4388426300355X</v>
      </c>
      <c r="GB59" t="str">
        <f>VLOOKUP(B59,수출코드!$C$2:$D$4,2,FALSE)</f>
        <v>Suwon</v>
      </c>
      <c r="GC59" t="str">
        <f>VLOOKUP(L59,수출코드!$A$2:$B$6,2,FALSE)</f>
        <v/>
      </c>
      <c r="GD59" t="str">
        <f>VLOOKUP(M59,수출코드!$E$2:$F$5,2,FALSE)</f>
        <v>일반</v>
      </c>
      <c r="GE59" s="61">
        <f t="shared" si="2"/>
        <v>45971.683333333334</v>
      </c>
      <c r="GF59" s="62">
        <f t="shared" si="0"/>
        <v>46048.392361111109</v>
      </c>
      <c r="GI59" s="48" t="s">
        <v>2741</v>
      </c>
    </row>
    <row r="60" spans="1:191">
      <c r="A60" s="48" t="s">
        <v>3292</v>
      </c>
      <c r="B60" s="48" t="s">
        <v>1821</v>
      </c>
      <c r="C60" s="48" t="s">
        <v>2048</v>
      </c>
      <c r="D60" s="48" t="s">
        <v>2813</v>
      </c>
      <c r="E60" s="48" t="s">
        <v>3292</v>
      </c>
      <c r="F60" s="48" t="s">
        <v>1710</v>
      </c>
      <c r="G60" s="48" t="s">
        <v>2814</v>
      </c>
      <c r="H60" s="48" t="s">
        <v>3293</v>
      </c>
      <c r="I60" s="48" t="s">
        <v>1884</v>
      </c>
      <c r="J60" s="48" t="s">
        <v>2835</v>
      </c>
      <c r="K60" s="48" t="s">
        <v>1877</v>
      </c>
      <c r="L60" s="48" t="s">
        <v>1842</v>
      </c>
      <c r="M60" s="48" t="s">
        <v>1810</v>
      </c>
      <c r="N60" s="48" t="s">
        <v>1842</v>
      </c>
      <c r="O60" s="48" t="s">
        <v>1811</v>
      </c>
      <c r="P60" s="48" t="s">
        <v>2549</v>
      </c>
      <c r="Q60" s="48" t="s">
        <v>2049</v>
      </c>
      <c r="R60" s="48" t="s">
        <v>1838</v>
      </c>
      <c r="S60" s="48" t="s">
        <v>2050</v>
      </c>
      <c r="T60" s="48" t="s">
        <v>1845</v>
      </c>
      <c r="U60" s="48" t="s">
        <v>2049</v>
      </c>
      <c r="V60" s="48" t="s">
        <v>1838</v>
      </c>
      <c r="W60" s="48" t="s">
        <v>2051</v>
      </c>
      <c r="X60" s="48" t="s">
        <v>2052</v>
      </c>
      <c r="Y60" s="48" t="s">
        <v>2050</v>
      </c>
      <c r="Z60" s="48" t="s">
        <v>2053</v>
      </c>
      <c r="AA60" s="48" t="s">
        <v>2054</v>
      </c>
      <c r="AB60" s="48" t="s">
        <v>2817</v>
      </c>
      <c r="AC60" s="48" t="s">
        <v>2055</v>
      </c>
      <c r="AD60" s="48" t="s">
        <v>2056</v>
      </c>
      <c r="AE60" s="48" t="s">
        <v>1710</v>
      </c>
      <c r="AF60" s="48" t="s">
        <v>1710</v>
      </c>
      <c r="AG60" s="48" t="s">
        <v>2057</v>
      </c>
      <c r="AH60" s="48" t="s">
        <v>1815</v>
      </c>
      <c r="AI60" s="48" t="s">
        <v>2058</v>
      </c>
      <c r="AJ60" s="48" t="s">
        <v>1710</v>
      </c>
      <c r="AK60" s="48" t="s">
        <v>2102</v>
      </c>
      <c r="AL60" s="48" t="s">
        <v>1858</v>
      </c>
      <c r="AM60" s="48" t="s">
        <v>1816</v>
      </c>
      <c r="AN60" s="48" t="s">
        <v>2054</v>
      </c>
      <c r="AO60" s="48" t="s">
        <v>1710</v>
      </c>
      <c r="AP60" s="48" t="s">
        <v>1848</v>
      </c>
      <c r="AQ60" s="48" t="s">
        <v>2060</v>
      </c>
      <c r="AR60" s="48" t="s">
        <v>1812</v>
      </c>
      <c r="AS60" s="48" t="s">
        <v>1813</v>
      </c>
      <c r="AT60" s="48" t="s">
        <v>1826</v>
      </c>
      <c r="AU60" s="48" t="s">
        <v>2061</v>
      </c>
      <c r="AV60" s="48" t="s">
        <v>2835</v>
      </c>
      <c r="AW60" s="48" t="s">
        <v>2062</v>
      </c>
      <c r="AX60" s="48" t="s">
        <v>2063</v>
      </c>
      <c r="AY60" s="48" t="s">
        <v>1710</v>
      </c>
      <c r="AZ60" s="48" t="s">
        <v>3294</v>
      </c>
      <c r="BA60" s="48" t="s">
        <v>1710</v>
      </c>
      <c r="BB60" s="48" t="s">
        <v>1709</v>
      </c>
      <c r="BC60" s="48" t="s">
        <v>1710</v>
      </c>
      <c r="BD60" s="48" t="s">
        <v>2089</v>
      </c>
      <c r="BE60" s="52" t="s">
        <v>3289</v>
      </c>
      <c r="BF60" s="48" t="s">
        <v>1710</v>
      </c>
      <c r="BG60" s="48" t="s">
        <v>1814</v>
      </c>
      <c r="BH60">
        <v>1</v>
      </c>
      <c r="BI60" s="48" t="s">
        <v>1888</v>
      </c>
      <c r="BJ60">
        <v>1</v>
      </c>
      <c r="BK60">
        <v>1473.06</v>
      </c>
      <c r="BL60">
        <v>474484</v>
      </c>
      <c r="BM60">
        <v>322</v>
      </c>
      <c r="BN60" s="48" t="s">
        <v>2064</v>
      </c>
      <c r="BO60" s="48" t="s">
        <v>2065</v>
      </c>
      <c r="BP60">
        <v>1473.06</v>
      </c>
      <c r="BQ60">
        <v>344.85</v>
      </c>
      <c r="BR60" s="48" t="s">
        <v>1885</v>
      </c>
      <c r="BS60" s="48" t="s">
        <v>2066</v>
      </c>
      <c r="BT60">
        <v>1</v>
      </c>
      <c r="BU60">
        <v>33500</v>
      </c>
      <c r="BV60">
        <v>33500</v>
      </c>
      <c r="BW60" s="48" t="s">
        <v>2065</v>
      </c>
      <c r="BX60">
        <v>1473.06</v>
      </c>
      <c r="BY60">
        <v>0</v>
      </c>
      <c r="BZ60">
        <v>0</v>
      </c>
      <c r="CA60" s="48" t="s">
        <v>2065</v>
      </c>
      <c r="CB60">
        <v>1473.06</v>
      </c>
      <c r="CC60">
        <v>0</v>
      </c>
      <c r="CD60">
        <v>0</v>
      </c>
      <c r="CE60" s="48" t="s">
        <v>1710</v>
      </c>
      <c r="CF60" s="48" t="s">
        <v>1710</v>
      </c>
      <c r="CG60" s="48" t="s">
        <v>1710</v>
      </c>
      <c r="CH60" s="48" t="s">
        <v>1710</v>
      </c>
      <c r="CI60" s="48" t="s">
        <v>2067</v>
      </c>
      <c r="CJ60" s="48" t="s">
        <v>1710</v>
      </c>
      <c r="CL60" s="48" t="s">
        <v>2835</v>
      </c>
      <c r="CM60" s="48" t="s">
        <v>1710</v>
      </c>
      <c r="CN60" s="48" t="s">
        <v>2068</v>
      </c>
      <c r="CO60" s="48" t="s">
        <v>2069</v>
      </c>
      <c r="CP60" s="48" t="s">
        <v>1710</v>
      </c>
      <c r="CQ60" s="48" t="s">
        <v>1710</v>
      </c>
      <c r="CR60" s="48" t="s">
        <v>1710</v>
      </c>
      <c r="CS60" s="48" t="s">
        <v>1710</v>
      </c>
      <c r="CT60" s="48" t="s">
        <v>1710</v>
      </c>
      <c r="CU60" s="48" t="s">
        <v>1712</v>
      </c>
      <c r="CV60" s="48" t="s">
        <v>1710</v>
      </c>
      <c r="CW60" s="48" t="s">
        <v>1710</v>
      </c>
      <c r="CX60" s="48" t="s">
        <v>2839</v>
      </c>
      <c r="CY60" s="48" t="s">
        <v>1710</v>
      </c>
      <c r="CZ60" s="48" t="s">
        <v>1712</v>
      </c>
      <c r="DA60" s="48" t="s">
        <v>1710</v>
      </c>
      <c r="DB60" s="48" t="s">
        <v>1878</v>
      </c>
      <c r="DC60" s="48" t="s">
        <v>2070</v>
      </c>
      <c r="DD60" s="48" t="s">
        <v>1842</v>
      </c>
      <c r="DE60" s="48" t="s">
        <v>1886</v>
      </c>
      <c r="DF60" s="48" t="s">
        <v>3295</v>
      </c>
      <c r="DG60" s="48" t="s">
        <v>2071</v>
      </c>
      <c r="DH60" s="48" t="s">
        <v>1712</v>
      </c>
      <c r="DI60" s="48" t="s">
        <v>1710</v>
      </c>
      <c r="DJ60" s="48" t="s">
        <v>1710</v>
      </c>
      <c r="DK60" s="48" t="s">
        <v>1710</v>
      </c>
      <c r="DL60" s="48" t="s">
        <v>1710</v>
      </c>
      <c r="DM60" s="48" t="s">
        <v>1710</v>
      </c>
      <c r="DN60" s="48" t="s">
        <v>1710</v>
      </c>
      <c r="DO60" s="48" t="s">
        <v>1710</v>
      </c>
      <c r="DP60" s="48" t="s">
        <v>1710</v>
      </c>
      <c r="DQ60" s="48" t="s">
        <v>1710</v>
      </c>
      <c r="DR60" s="48" t="s">
        <v>2072</v>
      </c>
      <c r="DS60" s="48" t="s">
        <v>1710</v>
      </c>
      <c r="DT60" s="48" t="s">
        <v>1710</v>
      </c>
      <c r="DU60" s="48" t="s">
        <v>2547</v>
      </c>
      <c r="DV60" s="48" t="s">
        <v>2850</v>
      </c>
      <c r="DW60" s="48" t="s">
        <v>1710</v>
      </c>
      <c r="DX60" s="48" t="s">
        <v>3296</v>
      </c>
      <c r="DY60" s="48" t="s">
        <v>1709</v>
      </c>
      <c r="DZ60" s="48" t="s">
        <v>2562</v>
      </c>
      <c r="EA60" s="48" t="s">
        <v>2546</v>
      </c>
      <c r="EB60">
        <v>0</v>
      </c>
      <c r="EC60" s="48" t="s">
        <v>2547</v>
      </c>
      <c r="ED60" s="48" t="s">
        <v>3242</v>
      </c>
      <c r="EE60" s="48" t="s">
        <v>1814</v>
      </c>
      <c r="EF60" s="48" t="s">
        <v>1859</v>
      </c>
      <c r="EG60" s="48" t="s">
        <v>3294</v>
      </c>
      <c r="EH60">
        <v>3.7999999999999999E-2</v>
      </c>
      <c r="EI60" s="48" t="s">
        <v>1888</v>
      </c>
      <c r="EJ60">
        <v>0</v>
      </c>
      <c r="EK60" s="48" t="s">
        <v>1710</v>
      </c>
      <c r="EL60">
        <v>1</v>
      </c>
      <c r="EM60" s="48" t="s">
        <v>1886</v>
      </c>
      <c r="EN60">
        <v>3.7999999999999999E-2</v>
      </c>
      <c r="EO60" s="48" t="s">
        <v>2602</v>
      </c>
      <c r="EP60" s="48" t="s">
        <v>2584</v>
      </c>
      <c r="EQ60">
        <v>344.85</v>
      </c>
      <c r="ER60">
        <v>344.85</v>
      </c>
      <c r="ES60">
        <v>474484</v>
      </c>
      <c r="ET60">
        <v>322</v>
      </c>
      <c r="EU60" s="48" t="s">
        <v>1710</v>
      </c>
      <c r="EV60" s="48" t="s">
        <v>1710</v>
      </c>
      <c r="EW60" s="48" t="s">
        <v>1712</v>
      </c>
      <c r="EX60" s="48" t="s">
        <v>1710</v>
      </c>
      <c r="EY60" s="48" t="s">
        <v>1848</v>
      </c>
      <c r="EZ60" s="48" t="s">
        <v>1710</v>
      </c>
      <c r="FA60" s="48" t="s">
        <v>1710</v>
      </c>
      <c r="FB60" s="48" t="s">
        <v>1712</v>
      </c>
      <c r="FC60" s="48" t="s">
        <v>1710</v>
      </c>
      <c r="FD60" s="48" t="s">
        <v>1710</v>
      </c>
      <c r="FE60" s="48" t="s">
        <v>1814</v>
      </c>
      <c r="FF60" s="48" t="s">
        <v>1815</v>
      </c>
      <c r="FG60" s="48" t="s">
        <v>1710</v>
      </c>
      <c r="FH60">
        <v>1</v>
      </c>
      <c r="FI60" s="48" t="s">
        <v>1846</v>
      </c>
      <c r="FJ60">
        <v>344.85</v>
      </c>
      <c r="FK60">
        <v>344.85</v>
      </c>
      <c r="FL60" s="48" t="s">
        <v>3297</v>
      </c>
      <c r="FM60" s="48" t="s">
        <v>2584</v>
      </c>
      <c r="FN60" s="48" t="s">
        <v>1710</v>
      </c>
      <c r="FO60" s="48" t="s">
        <v>1710</v>
      </c>
      <c r="FP60" s="48" t="s">
        <v>1710</v>
      </c>
      <c r="FQ60" s="48" t="s">
        <v>1710</v>
      </c>
      <c r="FR60" s="48" t="s">
        <v>1710</v>
      </c>
      <c r="FS60" s="48" t="s">
        <v>1710</v>
      </c>
      <c r="FT60" s="48" t="s">
        <v>1710</v>
      </c>
      <c r="FU60" s="48" t="s">
        <v>1710</v>
      </c>
      <c r="FV60" s="48"/>
      <c r="FW60" s="56"/>
      <c r="FX60" s="56"/>
      <c r="FY60" s="56"/>
      <c r="FZ60" s="56"/>
      <c r="GA60" s="55" t="str">
        <f t="shared" si="1"/>
        <v>4388426300356X</v>
      </c>
      <c r="GB60" t="str">
        <f>VLOOKUP(B60,수출코드!$C$2:$D$4,2,FALSE)</f>
        <v>Suwon</v>
      </c>
      <c r="GC60" t="str">
        <f>VLOOKUP(L60,수출코드!$A$2:$B$6,2,FALSE)</f>
        <v/>
      </c>
      <c r="GD60" t="str">
        <f>VLOOKUP(M60,수출코드!$E$2:$F$5,2,FALSE)</f>
        <v>일반</v>
      </c>
      <c r="GE60" s="61">
        <f t="shared" si="2"/>
        <v>45971.684027777781</v>
      </c>
      <c r="GF60" s="62">
        <f t="shared" si="0"/>
        <v>46048.392361111109</v>
      </c>
      <c r="GI60" s="48" t="s">
        <v>2742</v>
      </c>
    </row>
    <row r="61" spans="1:191">
      <c r="A61" s="48" t="s">
        <v>3298</v>
      </c>
      <c r="B61" s="48" t="s">
        <v>1821</v>
      </c>
      <c r="C61" s="48" t="s">
        <v>2048</v>
      </c>
      <c r="D61" s="48" t="s">
        <v>2813</v>
      </c>
      <c r="E61" s="48" t="s">
        <v>3298</v>
      </c>
      <c r="F61" s="48" t="s">
        <v>1710</v>
      </c>
      <c r="G61" s="48" t="s">
        <v>2814</v>
      </c>
      <c r="H61" s="48" t="s">
        <v>3299</v>
      </c>
      <c r="I61" s="48" t="s">
        <v>1884</v>
      </c>
      <c r="J61" s="48" t="s">
        <v>2835</v>
      </c>
      <c r="K61" s="48" t="s">
        <v>1877</v>
      </c>
      <c r="L61" s="48" t="s">
        <v>1842</v>
      </c>
      <c r="M61" s="48" t="s">
        <v>1822</v>
      </c>
      <c r="N61" s="48" t="s">
        <v>1842</v>
      </c>
      <c r="O61" s="48" t="s">
        <v>1823</v>
      </c>
      <c r="P61" s="48" t="s">
        <v>2549</v>
      </c>
      <c r="Q61" s="48" t="s">
        <v>2049</v>
      </c>
      <c r="R61" s="48" t="s">
        <v>1838</v>
      </c>
      <c r="S61" s="48" t="s">
        <v>2050</v>
      </c>
      <c r="T61" s="48" t="s">
        <v>1845</v>
      </c>
      <c r="U61" s="48" t="s">
        <v>2049</v>
      </c>
      <c r="V61" s="48" t="s">
        <v>1838</v>
      </c>
      <c r="W61" s="48" t="s">
        <v>2051</v>
      </c>
      <c r="X61" s="48" t="s">
        <v>2052</v>
      </c>
      <c r="Y61" s="48" t="s">
        <v>2050</v>
      </c>
      <c r="Z61" s="48" t="s">
        <v>2053</v>
      </c>
      <c r="AA61" s="48" t="s">
        <v>2054</v>
      </c>
      <c r="AB61" s="48" t="s">
        <v>2817</v>
      </c>
      <c r="AC61" s="48" t="s">
        <v>2055</v>
      </c>
      <c r="AD61" s="48" t="s">
        <v>2056</v>
      </c>
      <c r="AE61" s="48" t="s">
        <v>1710</v>
      </c>
      <c r="AF61" s="48" t="s">
        <v>1710</v>
      </c>
      <c r="AG61" s="48" t="s">
        <v>2057</v>
      </c>
      <c r="AH61" s="48" t="s">
        <v>1815</v>
      </c>
      <c r="AI61" s="48" t="s">
        <v>2058</v>
      </c>
      <c r="AJ61" s="48" t="s">
        <v>1710</v>
      </c>
      <c r="AK61" s="48" t="s">
        <v>2077</v>
      </c>
      <c r="AL61" s="48" t="s">
        <v>1858</v>
      </c>
      <c r="AM61" s="48" t="s">
        <v>1816</v>
      </c>
      <c r="AN61" s="48" t="s">
        <v>2054</v>
      </c>
      <c r="AO61" s="48" t="s">
        <v>1710</v>
      </c>
      <c r="AP61" s="48" t="s">
        <v>1848</v>
      </c>
      <c r="AQ61" s="48" t="s">
        <v>2060</v>
      </c>
      <c r="AR61" s="48" t="s">
        <v>1812</v>
      </c>
      <c r="AS61" s="48" t="s">
        <v>1813</v>
      </c>
      <c r="AT61" s="48" t="s">
        <v>1826</v>
      </c>
      <c r="AU61" s="48" t="s">
        <v>2061</v>
      </c>
      <c r="AV61" s="48" t="s">
        <v>2835</v>
      </c>
      <c r="AW61" s="48" t="s">
        <v>2062</v>
      </c>
      <c r="AX61" s="48" t="s">
        <v>2063</v>
      </c>
      <c r="AY61" s="48" t="s">
        <v>1710</v>
      </c>
      <c r="AZ61" s="48" t="s">
        <v>3300</v>
      </c>
      <c r="BA61" s="48" t="s">
        <v>1710</v>
      </c>
      <c r="BB61" s="48" t="s">
        <v>1709</v>
      </c>
      <c r="BC61" s="48" t="s">
        <v>1710</v>
      </c>
      <c r="BD61" s="48" t="s">
        <v>2094</v>
      </c>
      <c r="BE61" s="52" t="s">
        <v>3301</v>
      </c>
      <c r="BF61" s="48" t="s">
        <v>1710</v>
      </c>
      <c r="BG61" s="48" t="s">
        <v>1814</v>
      </c>
      <c r="BH61">
        <v>2</v>
      </c>
      <c r="BI61" s="48" t="s">
        <v>1888</v>
      </c>
      <c r="BJ61">
        <v>1</v>
      </c>
      <c r="BK61">
        <v>1473.06</v>
      </c>
      <c r="BL61">
        <v>3194174</v>
      </c>
      <c r="BM61">
        <v>2168</v>
      </c>
      <c r="BN61" s="48" t="s">
        <v>2064</v>
      </c>
      <c r="BO61" s="48" t="s">
        <v>2065</v>
      </c>
      <c r="BP61">
        <v>1473.06</v>
      </c>
      <c r="BQ61">
        <v>2200.64</v>
      </c>
      <c r="BR61" s="48" t="s">
        <v>1885</v>
      </c>
      <c r="BS61" s="48" t="s">
        <v>2066</v>
      </c>
      <c r="BT61">
        <v>1</v>
      </c>
      <c r="BU61">
        <v>47500</v>
      </c>
      <c r="BV61">
        <v>47500</v>
      </c>
      <c r="BW61" s="48" t="s">
        <v>2065</v>
      </c>
      <c r="BX61">
        <v>1473.06</v>
      </c>
      <c r="BY61">
        <v>0</v>
      </c>
      <c r="BZ61">
        <v>0</v>
      </c>
      <c r="CA61" s="48" t="s">
        <v>2065</v>
      </c>
      <c r="CB61">
        <v>1473.06</v>
      </c>
      <c r="CC61">
        <v>0</v>
      </c>
      <c r="CD61">
        <v>0</v>
      </c>
      <c r="CE61" s="48" t="s">
        <v>1710</v>
      </c>
      <c r="CF61" s="48" t="s">
        <v>1710</v>
      </c>
      <c r="CG61" s="48" t="s">
        <v>1710</v>
      </c>
      <c r="CH61" s="48" t="s">
        <v>1710</v>
      </c>
      <c r="CI61" s="48" t="s">
        <v>2067</v>
      </c>
      <c r="CJ61" s="48" t="s">
        <v>1710</v>
      </c>
      <c r="CL61" s="48" t="s">
        <v>2835</v>
      </c>
      <c r="CM61" s="48" t="s">
        <v>1710</v>
      </c>
      <c r="CN61" s="48" t="s">
        <v>2068</v>
      </c>
      <c r="CO61" s="48" t="s">
        <v>2069</v>
      </c>
      <c r="CP61" s="48" t="s">
        <v>1710</v>
      </c>
      <c r="CQ61" s="48" t="s">
        <v>1710</v>
      </c>
      <c r="CR61" s="48" t="s">
        <v>1710</v>
      </c>
      <c r="CS61" s="48" t="s">
        <v>1710</v>
      </c>
      <c r="CT61" s="48" t="s">
        <v>1710</v>
      </c>
      <c r="CU61" s="48" t="s">
        <v>1712</v>
      </c>
      <c r="CV61" s="48" t="s">
        <v>1710</v>
      </c>
      <c r="CW61" s="48" t="s">
        <v>1710</v>
      </c>
      <c r="CX61" s="48" t="s">
        <v>2839</v>
      </c>
      <c r="CY61" s="48" t="s">
        <v>1710</v>
      </c>
      <c r="CZ61" s="48" t="s">
        <v>1885</v>
      </c>
      <c r="DA61" s="48" t="s">
        <v>1710</v>
      </c>
      <c r="DB61" s="48" t="s">
        <v>1878</v>
      </c>
      <c r="DC61" s="48" t="s">
        <v>2070</v>
      </c>
      <c r="DD61" s="48" t="s">
        <v>1842</v>
      </c>
      <c r="DE61" s="48" t="s">
        <v>1886</v>
      </c>
      <c r="DF61" s="48" t="s">
        <v>3302</v>
      </c>
      <c r="DG61" s="48" t="s">
        <v>2071</v>
      </c>
      <c r="DH61" s="48" t="s">
        <v>1712</v>
      </c>
      <c r="DI61" s="48" t="s">
        <v>1710</v>
      </c>
      <c r="DJ61" s="48" t="s">
        <v>1710</v>
      </c>
      <c r="DK61" s="48" t="s">
        <v>1710</v>
      </c>
      <c r="DL61" s="48" t="s">
        <v>1710</v>
      </c>
      <c r="DM61" s="48" t="s">
        <v>1710</v>
      </c>
      <c r="DN61" s="48" t="s">
        <v>1710</v>
      </c>
      <c r="DO61" s="48" t="s">
        <v>1710</v>
      </c>
      <c r="DP61" s="48" t="s">
        <v>1710</v>
      </c>
      <c r="DQ61" s="48" t="s">
        <v>1710</v>
      </c>
      <c r="DR61" s="48" t="s">
        <v>2072</v>
      </c>
      <c r="DS61" s="48" t="s">
        <v>1710</v>
      </c>
      <c r="DT61" s="48" t="s">
        <v>1710</v>
      </c>
      <c r="DU61" s="48" t="s">
        <v>2547</v>
      </c>
      <c r="DV61" s="48" t="s">
        <v>2835</v>
      </c>
      <c r="DW61" s="48" t="s">
        <v>1710</v>
      </c>
      <c r="DX61" s="48" t="s">
        <v>3303</v>
      </c>
      <c r="DY61" s="48" t="s">
        <v>1709</v>
      </c>
      <c r="DZ61" s="48" t="s">
        <v>2562</v>
      </c>
      <c r="EA61" s="48" t="s">
        <v>2546</v>
      </c>
      <c r="EB61">
        <v>0</v>
      </c>
      <c r="EC61" s="48" t="s">
        <v>2547</v>
      </c>
      <c r="ED61" s="48" t="s">
        <v>3304</v>
      </c>
      <c r="EE61" s="48" t="s">
        <v>1814</v>
      </c>
      <c r="EF61" s="48" t="s">
        <v>2648</v>
      </c>
      <c r="EG61" s="48" t="s">
        <v>3300</v>
      </c>
      <c r="EH61">
        <v>1</v>
      </c>
      <c r="EI61" s="48" t="s">
        <v>1888</v>
      </c>
      <c r="EJ61">
        <v>1</v>
      </c>
      <c r="EK61" s="48" t="s">
        <v>1887</v>
      </c>
      <c r="EL61">
        <v>1</v>
      </c>
      <c r="EM61" s="48" t="s">
        <v>1886</v>
      </c>
      <c r="EN61">
        <v>1</v>
      </c>
      <c r="EO61" s="48" t="s">
        <v>3305</v>
      </c>
      <c r="EP61" s="48" t="s">
        <v>3306</v>
      </c>
      <c r="EQ61">
        <v>2200.64</v>
      </c>
      <c r="ER61">
        <v>2200.64</v>
      </c>
      <c r="ES61">
        <v>3194174</v>
      </c>
      <c r="ET61">
        <v>2168</v>
      </c>
      <c r="EU61" s="48" t="s">
        <v>1710</v>
      </c>
      <c r="EV61" s="48" t="s">
        <v>1710</v>
      </c>
      <c r="EW61" s="48" t="s">
        <v>1712</v>
      </c>
      <c r="EX61" s="48" t="s">
        <v>1710</v>
      </c>
      <c r="EY61" s="48" t="s">
        <v>1848</v>
      </c>
      <c r="EZ61" s="48" t="s">
        <v>1710</v>
      </c>
      <c r="FA61" s="48" t="s">
        <v>1710</v>
      </c>
      <c r="FB61" s="48" t="s">
        <v>1712</v>
      </c>
      <c r="FC61" s="48" t="s">
        <v>1710</v>
      </c>
      <c r="FD61" s="48" t="s">
        <v>1710</v>
      </c>
      <c r="FE61" s="48" t="s">
        <v>1814</v>
      </c>
      <c r="FF61" s="48" t="s">
        <v>1815</v>
      </c>
      <c r="FG61" s="48" t="s">
        <v>1710</v>
      </c>
      <c r="FH61">
        <v>1</v>
      </c>
      <c r="FI61" s="48" t="s">
        <v>1846</v>
      </c>
      <c r="FJ61">
        <v>2200.64</v>
      </c>
      <c r="FK61">
        <v>2200.64</v>
      </c>
      <c r="FL61" s="48" t="s">
        <v>3307</v>
      </c>
      <c r="FM61" s="48" t="s">
        <v>3306</v>
      </c>
      <c r="FN61" s="48" t="s">
        <v>1710</v>
      </c>
      <c r="FO61" s="48" t="s">
        <v>1710</v>
      </c>
      <c r="FP61" s="48" t="s">
        <v>1710</v>
      </c>
      <c r="FQ61" s="48" t="s">
        <v>1710</v>
      </c>
      <c r="FR61" s="48" t="s">
        <v>1710</v>
      </c>
      <c r="FS61" s="48" t="s">
        <v>1710</v>
      </c>
      <c r="FT61" s="48" t="s">
        <v>3308</v>
      </c>
      <c r="FU61" s="48" t="s">
        <v>1710</v>
      </c>
      <c r="FV61" s="48"/>
      <c r="FW61" s="56"/>
      <c r="FX61" s="56"/>
      <c r="FY61" s="56"/>
      <c r="FZ61" s="56"/>
      <c r="GA61" s="55" t="str">
        <f t="shared" si="1"/>
        <v>4388426300357X</v>
      </c>
      <c r="GB61" t="str">
        <f>VLOOKUP(B61,수출코드!$C$2:$D$4,2,FALSE)</f>
        <v>Suwon</v>
      </c>
      <c r="GC61" t="str">
        <f>VLOOKUP(L61,수출코드!$A$2:$B$6,2,FALSE)</f>
        <v/>
      </c>
      <c r="GD61" t="str">
        <f>VLOOKUP(M61,수출코드!$E$2:$F$5,2,FALSE)</f>
        <v>재수입</v>
      </c>
      <c r="GE61" s="61">
        <f t="shared" si="2"/>
        <v>45971.684027777781</v>
      </c>
      <c r="GF61" s="62">
        <f t="shared" si="0"/>
        <v>46048.445833333331</v>
      </c>
      <c r="GI61" s="48" t="s">
        <v>2742</v>
      </c>
    </row>
    <row r="62" spans="1:191">
      <c r="A62" s="48" t="s">
        <v>3309</v>
      </c>
      <c r="B62" s="48" t="s">
        <v>1821</v>
      </c>
      <c r="C62" s="48" t="s">
        <v>2048</v>
      </c>
      <c r="D62" s="48" t="s">
        <v>2813</v>
      </c>
      <c r="E62" s="48" t="s">
        <v>3309</v>
      </c>
      <c r="F62" s="48" t="s">
        <v>1710</v>
      </c>
      <c r="G62" s="48" t="s">
        <v>2814</v>
      </c>
      <c r="H62" s="48" t="s">
        <v>3310</v>
      </c>
      <c r="I62" s="48" t="s">
        <v>1884</v>
      </c>
      <c r="J62" s="48" t="s">
        <v>2835</v>
      </c>
      <c r="K62" s="48" t="s">
        <v>1877</v>
      </c>
      <c r="L62" s="48" t="s">
        <v>1842</v>
      </c>
      <c r="M62" s="48" t="s">
        <v>1810</v>
      </c>
      <c r="N62" s="48" t="s">
        <v>1842</v>
      </c>
      <c r="O62" s="48" t="s">
        <v>1811</v>
      </c>
      <c r="P62" s="48" t="s">
        <v>2549</v>
      </c>
      <c r="Q62" s="48" t="s">
        <v>2049</v>
      </c>
      <c r="R62" s="48" t="s">
        <v>1838</v>
      </c>
      <c r="S62" s="48" t="s">
        <v>2050</v>
      </c>
      <c r="T62" s="48" t="s">
        <v>1845</v>
      </c>
      <c r="U62" s="48" t="s">
        <v>2049</v>
      </c>
      <c r="V62" s="48" t="s">
        <v>1838</v>
      </c>
      <c r="W62" s="48" t="s">
        <v>2051</v>
      </c>
      <c r="X62" s="48" t="s">
        <v>2052</v>
      </c>
      <c r="Y62" s="48" t="s">
        <v>2050</v>
      </c>
      <c r="Z62" s="48" t="s">
        <v>2053</v>
      </c>
      <c r="AA62" s="48" t="s">
        <v>2054</v>
      </c>
      <c r="AB62" s="48" t="s">
        <v>2817</v>
      </c>
      <c r="AC62" s="48" t="s">
        <v>2055</v>
      </c>
      <c r="AD62" s="48" t="s">
        <v>2056</v>
      </c>
      <c r="AE62" s="48" t="s">
        <v>1710</v>
      </c>
      <c r="AF62" s="48" t="s">
        <v>1710</v>
      </c>
      <c r="AG62" s="48" t="s">
        <v>2057</v>
      </c>
      <c r="AH62" s="48" t="s">
        <v>1815</v>
      </c>
      <c r="AI62" s="48" t="s">
        <v>2058</v>
      </c>
      <c r="AJ62" s="48" t="s">
        <v>1710</v>
      </c>
      <c r="AK62" s="48" t="s">
        <v>2077</v>
      </c>
      <c r="AL62" s="48" t="s">
        <v>1858</v>
      </c>
      <c r="AM62" s="48" t="s">
        <v>1816</v>
      </c>
      <c r="AN62" s="48" t="s">
        <v>2054</v>
      </c>
      <c r="AO62" s="48" t="s">
        <v>1710</v>
      </c>
      <c r="AP62" s="48" t="s">
        <v>1848</v>
      </c>
      <c r="AQ62" s="48" t="s">
        <v>2060</v>
      </c>
      <c r="AR62" s="48" t="s">
        <v>1812</v>
      </c>
      <c r="AS62" s="48" t="s">
        <v>1813</v>
      </c>
      <c r="AT62" s="48" t="s">
        <v>1826</v>
      </c>
      <c r="AU62" s="48" t="s">
        <v>2061</v>
      </c>
      <c r="AV62" s="48" t="s">
        <v>2835</v>
      </c>
      <c r="AW62" s="48" t="s">
        <v>2062</v>
      </c>
      <c r="AX62" s="48" t="s">
        <v>2063</v>
      </c>
      <c r="AY62" s="48" t="s">
        <v>1710</v>
      </c>
      <c r="AZ62" s="48" t="s">
        <v>3311</v>
      </c>
      <c r="BA62" s="48" t="s">
        <v>1710</v>
      </c>
      <c r="BB62" s="48" t="s">
        <v>1709</v>
      </c>
      <c r="BC62" s="48" t="s">
        <v>1710</v>
      </c>
      <c r="BD62" s="48" t="s">
        <v>3137</v>
      </c>
      <c r="BE62" s="52" t="s">
        <v>3312</v>
      </c>
      <c r="BF62" s="48" t="s">
        <v>1710</v>
      </c>
      <c r="BG62" s="48" t="s">
        <v>1817</v>
      </c>
      <c r="BH62">
        <v>65</v>
      </c>
      <c r="BI62" s="48" t="s">
        <v>1888</v>
      </c>
      <c r="BJ62">
        <v>1</v>
      </c>
      <c r="BK62">
        <v>1473.06</v>
      </c>
      <c r="BL62">
        <v>157536514</v>
      </c>
      <c r="BM62">
        <v>106945</v>
      </c>
      <c r="BN62" s="48" t="s">
        <v>2064</v>
      </c>
      <c r="BO62" s="48" t="s">
        <v>2065</v>
      </c>
      <c r="BP62">
        <v>1473.06</v>
      </c>
      <c r="BQ62">
        <v>107556.05</v>
      </c>
      <c r="BR62" s="48" t="s">
        <v>1885</v>
      </c>
      <c r="BS62" s="48" t="s">
        <v>2066</v>
      </c>
      <c r="BT62">
        <v>1</v>
      </c>
      <c r="BU62">
        <v>900000</v>
      </c>
      <c r="BV62">
        <v>900000</v>
      </c>
      <c r="BW62" s="48" t="s">
        <v>2065</v>
      </c>
      <c r="BX62">
        <v>1473.06</v>
      </c>
      <c r="BY62">
        <v>0</v>
      </c>
      <c r="BZ62">
        <v>0</v>
      </c>
      <c r="CA62" s="48" t="s">
        <v>2065</v>
      </c>
      <c r="CB62">
        <v>1473.06</v>
      </c>
      <c r="CC62">
        <v>0</v>
      </c>
      <c r="CD62">
        <v>0</v>
      </c>
      <c r="CE62" s="48" t="s">
        <v>1710</v>
      </c>
      <c r="CF62" s="48" t="s">
        <v>1710</v>
      </c>
      <c r="CG62" s="48" t="s">
        <v>1710</v>
      </c>
      <c r="CH62" s="48" t="s">
        <v>1710</v>
      </c>
      <c r="CI62" s="48" t="s">
        <v>2067</v>
      </c>
      <c r="CJ62" s="48" t="s">
        <v>1710</v>
      </c>
      <c r="CL62" s="48" t="s">
        <v>2835</v>
      </c>
      <c r="CM62" s="48" t="s">
        <v>1710</v>
      </c>
      <c r="CN62" s="48" t="s">
        <v>2068</v>
      </c>
      <c r="CO62" s="48" t="s">
        <v>2069</v>
      </c>
      <c r="CP62" s="48" t="s">
        <v>1710</v>
      </c>
      <c r="CQ62" s="48" t="s">
        <v>1710</v>
      </c>
      <c r="CR62" s="48" t="s">
        <v>1710</v>
      </c>
      <c r="CS62" s="48" t="s">
        <v>1710</v>
      </c>
      <c r="CT62" s="48" t="s">
        <v>1710</v>
      </c>
      <c r="CU62" s="48" t="s">
        <v>1712</v>
      </c>
      <c r="CV62" s="48" t="s">
        <v>1710</v>
      </c>
      <c r="CW62" s="48" t="s">
        <v>1710</v>
      </c>
      <c r="CX62" s="48" t="s">
        <v>2839</v>
      </c>
      <c r="CY62" s="48" t="s">
        <v>1710</v>
      </c>
      <c r="CZ62" s="48" t="s">
        <v>1712</v>
      </c>
      <c r="DA62" s="48" t="s">
        <v>1710</v>
      </c>
      <c r="DB62" s="48" t="s">
        <v>1878</v>
      </c>
      <c r="DC62" s="48" t="s">
        <v>2070</v>
      </c>
      <c r="DD62" s="48" t="s">
        <v>1842</v>
      </c>
      <c r="DE62" s="48" t="s">
        <v>1886</v>
      </c>
      <c r="DF62" s="48" t="s">
        <v>3313</v>
      </c>
      <c r="DG62" s="48" t="s">
        <v>2071</v>
      </c>
      <c r="DH62" s="48" t="s">
        <v>1712</v>
      </c>
      <c r="DI62" s="48" t="s">
        <v>1710</v>
      </c>
      <c r="DJ62" s="48" t="s">
        <v>1710</v>
      </c>
      <c r="DK62" s="48" t="s">
        <v>1710</v>
      </c>
      <c r="DL62" s="48" t="s">
        <v>1710</v>
      </c>
      <c r="DM62" s="48" t="s">
        <v>1710</v>
      </c>
      <c r="DN62" s="48" t="s">
        <v>1710</v>
      </c>
      <c r="DO62" s="48" t="s">
        <v>1710</v>
      </c>
      <c r="DP62" s="48" t="s">
        <v>1710</v>
      </c>
      <c r="DQ62" s="48" t="s">
        <v>1710</v>
      </c>
      <c r="DR62" s="48" t="s">
        <v>2072</v>
      </c>
      <c r="DS62" s="48" t="s">
        <v>1710</v>
      </c>
      <c r="DT62" s="48" t="s">
        <v>1710</v>
      </c>
      <c r="DU62" s="48" t="s">
        <v>2547</v>
      </c>
      <c r="DV62" s="48" t="s">
        <v>2816</v>
      </c>
      <c r="DW62" s="48" t="s">
        <v>1710</v>
      </c>
      <c r="DX62" s="48" t="s">
        <v>3314</v>
      </c>
      <c r="DY62" s="48" t="s">
        <v>1709</v>
      </c>
      <c r="DZ62" s="48" t="s">
        <v>2562</v>
      </c>
      <c r="EA62" s="48" t="s">
        <v>2546</v>
      </c>
      <c r="EB62">
        <v>0</v>
      </c>
      <c r="EC62" s="48" t="s">
        <v>2547</v>
      </c>
      <c r="ED62" s="48" t="s">
        <v>3315</v>
      </c>
      <c r="EE62" s="48" t="s">
        <v>1814</v>
      </c>
      <c r="EF62" s="48" t="s">
        <v>1872</v>
      </c>
      <c r="EG62" s="48" t="s">
        <v>3311</v>
      </c>
      <c r="EH62">
        <v>1.4</v>
      </c>
      <c r="EI62" s="48" t="s">
        <v>1888</v>
      </c>
      <c r="EJ62">
        <v>1</v>
      </c>
      <c r="EK62" s="48" t="s">
        <v>1887</v>
      </c>
      <c r="EL62">
        <v>1</v>
      </c>
      <c r="EM62" s="48" t="s">
        <v>1886</v>
      </c>
      <c r="EN62">
        <v>1.4</v>
      </c>
      <c r="EO62" s="48" t="s">
        <v>2527</v>
      </c>
      <c r="EP62" s="48" t="s">
        <v>3316</v>
      </c>
      <c r="EQ62">
        <v>2576</v>
      </c>
      <c r="ER62">
        <v>2576</v>
      </c>
      <c r="ES62">
        <v>3773047</v>
      </c>
      <c r="ET62">
        <v>2561</v>
      </c>
      <c r="EU62" s="48" t="s">
        <v>1710</v>
      </c>
      <c r="EV62" s="48" t="s">
        <v>1710</v>
      </c>
      <c r="EW62" s="48" t="s">
        <v>1712</v>
      </c>
      <c r="EX62" s="48" t="s">
        <v>1710</v>
      </c>
      <c r="EY62" s="48" t="s">
        <v>1860</v>
      </c>
      <c r="EZ62" s="48" t="s">
        <v>1710</v>
      </c>
      <c r="FA62" s="48" t="s">
        <v>1710</v>
      </c>
      <c r="FB62" s="48" t="s">
        <v>1712</v>
      </c>
      <c r="FC62" s="48" t="s">
        <v>1710</v>
      </c>
      <c r="FD62" s="48" t="s">
        <v>1710</v>
      </c>
      <c r="FE62" s="48" t="s">
        <v>1814</v>
      </c>
      <c r="FF62" s="48" t="s">
        <v>1815</v>
      </c>
      <c r="FG62" s="48" t="s">
        <v>1710</v>
      </c>
      <c r="FH62">
        <v>1</v>
      </c>
      <c r="FI62" s="48" t="s">
        <v>1846</v>
      </c>
      <c r="FJ62">
        <v>2576</v>
      </c>
      <c r="FK62">
        <v>2576</v>
      </c>
      <c r="FL62" s="48" t="s">
        <v>3317</v>
      </c>
      <c r="FM62" s="48" t="s">
        <v>3316</v>
      </c>
      <c r="FN62" s="48" t="s">
        <v>1710</v>
      </c>
      <c r="FO62" s="48" t="s">
        <v>1710</v>
      </c>
      <c r="FP62" s="48" t="s">
        <v>1710</v>
      </c>
      <c r="FQ62" s="48" t="s">
        <v>1710</v>
      </c>
      <c r="FR62" s="48" t="s">
        <v>1710</v>
      </c>
      <c r="FS62" s="48" t="s">
        <v>1710</v>
      </c>
      <c r="FT62" s="48" t="s">
        <v>1710</v>
      </c>
      <c r="FU62" s="48" t="s">
        <v>1710</v>
      </c>
      <c r="FV62" s="48"/>
      <c r="FW62" s="56"/>
      <c r="FX62" s="56"/>
      <c r="FY62" s="56"/>
      <c r="FZ62" s="56"/>
      <c r="GA62" s="55" t="str">
        <f t="shared" si="1"/>
        <v>4388426300358X</v>
      </c>
      <c r="GB62" t="str">
        <f>VLOOKUP(B62,수출코드!$C$2:$D$4,2,FALSE)</f>
        <v>Suwon</v>
      </c>
      <c r="GC62" t="str">
        <f>VLOOKUP(L62,수출코드!$A$2:$B$6,2,FALSE)</f>
        <v/>
      </c>
      <c r="GD62" t="str">
        <f>VLOOKUP(M62,수출코드!$E$2:$F$5,2,FALSE)</f>
        <v>일반</v>
      </c>
      <c r="GE62" s="61">
        <f t="shared" si="2"/>
        <v>45971.684027777781</v>
      </c>
      <c r="GF62" s="62">
        <f t="shared" si="0"/>
        <v>46048.567361111112</v>
      </c>
      <c r="GI62" s="48" t="s">
        <v>2743</v>
      </c>
    </row>
    <row r="63" spans="1:191">
      <c r="A63" s="48" t="s">
        <v>3318</v>
      </c>
      <c r="B63" s="48" t="s">
        <v>1821</v>
      </c>
      <c r="C63" s="48" t="s">
        <v>2048</v>
      </c>
      <c r="D63" s="48" t="s">
        <v>2813</v>
      </c>
      <c r="E63" s="48" t="s">
        <v>3318</v>
      </c>
      <c r="F63" s="48" t="s">
        <v>1710</v>
      </c>
      <c r="G63" s="48" t="s">
        <v>2814</v>
      </c>
      <c r="H63" s="48" t="s">
        <v>3319</v>
      </c>
      <c r="I63" s="48" t="s">
        <v>1884</v>
      </c>
      <c r="J63" s="48" t="s">
        <v>2835</v>
      </c>
      <c r="K63" s="48" t="s">
        <v>1877</v>
      </c>
      <c r="L63" s="48" t="s">
        <v>1842</v>
      </c>
      <c r="M63" s="48" t="s">
        <v>1810</v>
      </c>
      <c r="N63" s="48" t="s">
        <v>1842</v>
      </c>
      <c r="O63" s="48" t="s">
        <v>1811</v>
      </c>
      <c r="P63" s="48" t="s">
        <v>2549</v>
      </c>
      <c r="Q63" s="48" t="s">
        <v>2049</v>
      </c>
      <c r="R63" s="48" t="s">
        <v>1838</v>
      </c>
      <c r="S63" s="48" t="s">
        <v>2050</v>
      </c>
      <c r="T63" s="48" t="s">
        <v>1845</v>
      </c>
      <c r="U63" s="48" t="s">
        <v>2049</v>
      </c>
      <c r="V63" s="48" t="s">
        <v>1838</v>
      </c>
      <c r="W63" s="48" t="s">
        <v>2051</v>
      </c>
      <c r="X63" s="48" t="s">
        <v>2052</v>
      </c>
      <c r="Y63" s="48" t="s">
        <v>2050</v>
      </c>
      <c r="Z63" s="48" t="s">
        <v>2053</v>
      </c>
      <c r="AA63" s="48" t="s">
        <v>2054</v>
      </c>
      <c r="AB63" s="48" t="s">
        <v>2817</v>
      </c>
      <c r="AC63" s="48" t="s">
        <v>2055</v>
      </c>
      <c r="AD63" s="48" t="s">
        <v>2056</v>
      </c>
      <c r="AE63" s="48" t="s">
        <v>1710</v>
      </c>
      <c r="AF63" s="48" t="s">
        <v>1710</v>
      </c>
      <c r="AG63" s="48" t="s">
        <v>2057</v>
      </c>
      <c r="AH63" s="48" t="s">
        <v>1815</v>
      </c>
      <c r="AI63" s="48" t="s">
        <v>2058</v>
      </c>
      <c r="AJ63" s="48" t="s">
        <v>1710</v>
      </c>
      <c r="AK63" s="48" t="s">
        <v>2553</v>
      </c>
      <c r="AL63" s="48" t="s">
        <v>2554</v>
      </c>
      <c r="AM63" s="48" t="s">
        <v>1816</v>
      </c>
      <c r="AN63" s="48" t="s">
        <v>2054</v>
      </c>
      <c r="AO63" s="48" t="s">
        <v>1710</v>
      </c>
      <c r="AP63" s="48" t="s">
        <v>1853</v>
      </c>
      <c r="AQ63" s="48" t="s">
        <v>2086</v>
      </c>
      <c r="AR63" s="48" t="s">
        <v>1812</v>
      </c>
      <c r="AS63" s="48" t="s">
        <v>1813</v>
      </c>
      <c r="AT63" s="48" t="s">
        <v>1826</v>
      </c>
      <c r="AU63" s="48" t="s">
        <v>2061</v>
      </c>
      <c r="AV63" s="48" t="s">
        <v>2835</v>
      </c>
      <c r="AW63" s="48" t="s">
        <v>2062</v>
      </c>
      <c r="AX63" s="48" t="s">
        <v>2063</v>
      </c>
      <c r="AY63" s="48" t="s">
        <v>1710</v>
      </c>
      <c r="AZ63" s="48" t="s">
        <v>3320</v>
      </c>
      <c r="BA63" s="48" t="s">
        <v>1710</v>
      </c>
      <c r="BB63" s="48" t="s">
        <v>1709</v>
      </c>
      <c r="BC63" s="48" t="s">
        <v>1710</v>
      </c>
      <c r="BD63" s="48" t="s">
        <v>2097</v>
      </c>
      <c r="BE63" s="52" t="s">
        <v>3321</v>
      </c>
      <c r="BF63" s="48" t="s">
        <v>1710</v>
      </c>
      <c r="BG63" s="48" t="s">
        <v>1817</v>
      </c>
      <c r="BH63">
        <v>10</v>
      </c>
      <c r="BI63" s="48" t="s">
        <v>1888</v>
      </c>
      <c r="BJ63">
        <v>1</v>
      </c>
      <c r="BK63">
        <v>1473.06</v>
      </c>
      <c r="BL63">
        <v>5770187</v>
      </c>
      <c r="BM63">
        <v>3917</v>
      </c>
      <c r="BN63" s="48" t="s">
        <v>2064</v>
      </c>
      <c r="BO63" s="48" t="s">
        <v>2065</v>
      </c>
      <c r="BP63">
        <v>1473.06</v>
      </c>
      <c r="BQ63">
        <v>3964.8</v>
      </c>
      <c r="BR63" s="48" t="s">
        <v>1885</v>
      </c>
      <c r="BS63" s="48" t="s">
        <v>2066</v>
      </c>
      <c r="BT63">
        <v>1</v>
      </c>
      <c r="BU63">
        <v>70200</v>
      </c>
      <c r="BV63">
        <v>70200</v>
      </c>
      <c r="BW63" s="48" t="s">
        <v>2065</v>
      </c>
      <c r="BX63">
        <v>1473.06</v>
      </c>
      <c r="BY63">
        <v>0</v>
      </c>
      <c r="BZ63">
        <v>0</v>
      </c>
      <c r="CA63" s="48" t="s">
        <v>2065</v>
      </c>
      <c r="CB63">
        <v>1473.06</v>
      </c>
      <c r="CC63">
        <v>0</v>
      </c>
      <c r="CD63">
        <v>0</v>
      </c>
      <c r="CE63" s="48" t="s">
        <v>1710</v>
      </c>
      <c r="CF63" s="48" t="s">
        <v>1710</v>
      </c>
      <c r="CG63" s="48" t="s">
        <v>1710</v>
      </c>
      <c r="CH63" s="48" t="s">
        <v>1710</v>
      </c>
      <c r="CI63" s="48" t="s">
        <v>2067</v>
      </c>
      <c r="CJ63" s="48" t="s">
        <v>1710</v>
      </c>
      <c r="CL63" s="48" t="s">
        <v>2835</v>
      </c>
      <c r="CM63" s="48" t="s">
        <v>1710</v>
      </c>
      <c r="CN63" s="48" t="s">
        <v>2068</v>
      </c>
      <c r="CO63" s="48" t="s">
        <v>2069</v>
      </c>
      <c r="CP63" s="48" t="s">
        <v>1710</v>
      </c>
      <c r="CQ63" s="48" t="s">
        <v>1710</v>
      </c>
      <c r="CR63" s="48" t="s">
        <v>1710</v>
      </c>
      <c r="CS63" s="48" t="s">
        <v>1710</v>
      </c>
      <c r="CT63" s="48" t="s">
        <v>1710</v>
      </c>
      <c r="CU63" s="48" t="s">
        <v>1712</v>
      </c>
      <c r="CV63" s="48" t="s">
        <v>1710</v>
      </c>
      <c r="CW63" s="48" t="s">
        <v>1710</v>
      </c>
      <c r="CX63" s="48" t="s">
        <v>2839</v>
      </c>
      <c r="CY63" s="48" t="s">
        <v>1710</v>
      </c>
      <c r="CZ63" s="48" t="s">
        <v>1712</v>
      </c>
      <c r="DA63" s="48" t="s">
        <v>1710</v>
      </c>
      <c r="DB63" s="48" t="s">
        <v>1878</v>
      </c>
      <c r="DC63" s="48" t="s">
        <v>2070</v>
      </c>
      <c r="DD63" s="48" t="s">
        <v>1842</v>
      </c>
      <c r="DE63" s="48" t="s">
        <v>1886</v>
      </c>
      <c r="DF63" s="48" t="s">
        <v>3322</v>
      </c>
      <c r="DG63" s="48" t="s">
        <v>2071</v>
      </c>
      <c r="DH63" s="48" t="s">
        <v>1712</v>
      </c>
      <c r="DI63" s="48" t="s">
        <v>1710</v>
      </c>
      <c r="DJ63" s="48" t="s">
        <v>1710</v>
      </c>
      <c r="DK63" s="48" t="s">
        <v>1710</v>
      </c>
      <c r="DL63" s="48" t="s">
        <v>1710</v>
      </c>
      <c r="DM63" s="48" t="s">
        <v>1710</v>
      </c>
      <c r="DN63" s="48" t="s">
        <v>1710</v>
      </c>
      <c r="DO63" s="48" t="s">
        <v>1710</v>
      </c>
      <c r="DP63" s="48" t="s">
        <v>1710</v>
      </c>
      <c r="DQ63" s="48" t="s">
        <v>1710</v>
      </c>
      <c r="DR63" s="48" t="s">
        <v>2072</v>
      </c>
      <c r="DS63" s="48" t="s">
        <v>1710</v>
      </c>
      <c r="DT63" s="48" t="s">
        <v>1710</v>
      </c>
      <c r="DU63" s="48" t="s">
        <v>2547</v>
      </c>
      <c r="DV63" s="48" t="s">
        <v>2850</v>
      </c>
      <c r="DW63" s="48" t="s">
        <v>1710</v>
      </c>
      <c r="DX63" s="48" t="s">
        <v>3323</v>
      </c>
      <c r="DY63" s="48" t="s">
        <v>1709</v>
      </c>
      <c r="DZ63" s="48" t="s">
        <v>2562</v>
      </c>
      <c r="EA63" s="48" t="s">
        <v>2546</v>
      </c>
      <c r="EB63">
        <v>0</v>
      </c>
      <c r="EC63" s="48" t="s">
        <v>2547</v>
      </c>
      <c r="ED63" s="48" t="s">
        <v>3324</v>
      </c>
      <c r="EE63" s="48" t="s">
        <v>1814</v>
      </c>
      <c r="EF63" s="48" t="s">
        <v>3325</v>
      </c>
      <c r="EG63" s="48" t="s">
        <v>3320</v>
      </c>
      <c r="EH63">
        <v>6</v>
      </c>
      <c r="EI63" s="48" t="s">
        <v>1888</v>
      </c>
      <c r="EJ63">
        <v>1</v>
      </c>
      <c r="EK63" s="48" t="s">
        <v>1887</v>
      </c>
      <c r="EL63">
        <v>1</v>
      </c>
      <c r="EM63" s="48" t="s">
        <v>1886</v>
      </c>
      <c r="EN63">
        <v>6</v>
      </c>
      <c r="EO63" s="48" t="s">
        <v>3326</v>
      </c>
      <c r="EP63" s="48" t="s">
        <v>3327</v>
      </c>
      <c r="EQ63">
        <v>3446.38</v>
      </c>
      <c r="ER63">
        <v>3446.38</v>
      </c>
      <c r="ES63">
        <v>5015703</v>
      </c>
      <c r="ET63">
        <v>3405</v>
      </c>
      <c r="EU63" s="48" t="s">
        <v>1710</v>
      </c>
      <c r="EV63" s="48" t="s">
        <v>1710</v>
      </c>
      <c r="EW63" s="48" t="s">
        <v>1712</v>
      </c>
      <c r="EX63" s="48" t="s">
        <v>1710</v>
      </c>
      <c r="EY63" s="48" t="s">
        <v>1860</v>
      </c>
      <c r="EZ63" s="48" t="s">
        <v>1710</v>
      </c>
      <c r="FA63" s="48" t="s">
        <v>1710</v>
      </c>
      <c r="FB63" s="48" t="s">
        <v>1712</v>
      </c>
      <c r="FC63" s="48" t="s">
        <v>1710</v>
      </c>
      <c r="FD63" s="48" t="s">
        <v>1710</v>
      </c>
      <c r="FE63" s="48" t="s">
        <v>1814</v>
      </c>
      <c r="FF63" s="48" t="s">
        <v>1815</v>
      </c>
      <c r="FG63" s="48" t="s">
        <v>1710</v>
      </c>
      <c r="FH63">
        <v>1</v>
      </c>
      <c r="FI63" s="48" t="s">
        <v>1846</v>
      </c>
      <c r="FJ63">
        <v>3446.38</v>
      </c>
      <c r="FK63">
        <v>3446.38</v>
      </c>
      <c r="FL63" s="48" t="s">
        <v>3328</v>
      </c>
      <c r="FM63" s="48" t="s">
        <v>3327</v>
      </c>
      <c r="FN63" s="48" t="s">
        <v>1710</v>
      </c>
      <c r="FO63" s="48" t="s">
        <v>1710</v>
      </c>
      <c r="FP63" s="48" t="s">
        <v>1710</v>
      </c>
      <c r="FQ63" s="48" t="s">
        <v>1710</v>
      </c>
      <c r="FR63" s="48" t="s">
        <v>1710</v>
      </c>
      <c r="FS63" s="48" t="s">
        <v>1710</v>
      </c>
      <c r="FT63" s="48" t="s">
        <v>1710</v>
      </c>
      <c r="FU63" s="48" t="s">
        <v>1710</v>
      </c>
      <c r="FV63" s="48"/>
      <c r="FW63" s="56"/>
      <c r="FX63" s="56"/>
      <c r="FY63" s="56"/>
      <c r="FZ63" s="56"/>
      <c r="GA63" s="55" t="str">
        <f t="shared" si="1"/>
        <v>4388426300359X</v>
      </c>
      <c r="GB63" t="str">
        <f>VLOOKUP(B63,수출코드!$C$2:$D$4,2,FALSE)</f>
        <v>Suwon</v>
      </c>
      <c r="GC63" t="str">
        <f>VLOOKUP(L63,수출코드!$A$2:$B$6,2,FALSE)</f>
        <v/>
      </c>
      <c r="GD63" t="str">
        <f>VLOOKUP(M63,수출코드!$E$2:$F$5,2,FALSE)</f>
        <v>일반</v>
      </c>
      <c r="GE63" s="61">
        <f t="shared" si="2"/>
        <v>45971.684027777781</v>
      </c>
      <c r="GF63" s="62">
        <f t="shared" si="0"/>
        <v>46048.693749999999</v>
      </c>
      <c r="GI63" s="48" t="s">
        <v>2743</v>
      </c>
    </row>
    <row r="64" spans="1:191">
      <c r="A64" s="48" t="s">
        <v>3329</v>
      </c>
      <c r="B64" s="48" t="s">
        <v>1821</v>
      </c>
      <c r="C64" s="48" t="s">
        <v>2048</v>
      </c>
      <c r="D64" s="48" t="s">
        <v>2813</v>
      </c>
      <c r="E64" s="48" t="s">
        <v>3329</v>
      </c>
      <c r="F64" s="48" t="s">
        <v>1710</v>
      </c>
      <c r="G64" s="48" t="s">
        <v>2814</v>
      </c>
      <c r="H64" s="48" t="s">
        <v>3330</v>
      </c>
      <c r="I64" s="48" t="s">
        <v>1884</v>
      </c>
      <c r="J64" s="48" t="s">
        <v>2850</v>
      </c>
      <c r="K64" s="48" t="s">
        <v>1877</v>
      </c>
      <c r="L64" s="48" t="s">
        <v>1842</v>
      </c>
      <c r="M64" s="48" t="s">
        <v>1810</v>
      </c>
      <c r="N64" s="48" t="s">
        <v>1842</v>
      </c>
      <c r="O64" s="48" t="s">
        <v>1811</v>
      </c>
      <c r="P64" s="48" t="s">
        <v>2549</v>
      </c>
      <c r="Q64" s="48" t="s">
        <v>2049</v>
      </c>
      <c r="R64" s="48" t="s">
        <v>1838</v>
      </c>
      <c r="S64" s="48" t="s">
        <v>2050</v>
      </c>
      <c r="T64" s="48" t="s">
        <v>1845</v>
      </c>
      <c r="U64" s="48" t="s">
        <v>2049</v>
      </c>
      <c r="V64" s="48" t="s">
        <v>1838</v>
      </c>
      <c r="W64" s="48" t="s">
        <v>2051</v>
      </c>
      <c r="X64" s="48" t="s">
        <v>2052</v>
      </c>
      <c r="Y64" s="48" t="s">
        <v>2050</v>
      </c>
      <c r="Z64" s="48" t="s">
        <v>2053</v>
      </c>
      <c r="AA64" s="48" t="s">
        <v>2054</v>
      </c>
      <c r="AB64" s="48" t="s">
        <v>2817</v>
      </c>
      <c r="AC64" s="48" t="s">
        <v>2055</v>
      </c>
      <c r="AD64" s="48" t="s">
        <v>2056</v>
      </c>
      <c r="AE64" s="48" t="s">
        <v>1710</v>
      </c>
      <c r="AF64" s="48" t="s">
        <v>1710</v>
      </c>
      <c r="AG64" s="48" t="s">
        <v>2057</v>
      </c>
      <c r="AH64" s="48" t="s">
        <v>1815</v>
      </c>
      <c r="AI64" s="48" t="s">
        <v>2058</v>
      </c>
      <c r="AJ64" s="48" t="s">
        <v>1710</v>
      </c>
      <c r="AK64" s="48" t="s">
        <v>2560</v>
      </c>
      <c r="AL64" s="48" t="s">
        <v>2561</v>
      </c>
      <c r="AM64" s="48" t="s">
        <v>1816</v>
      </c>
      <c r="AN64" s="48" t="s">
        <v>2054</v>
      </c>
      <c r="AO64" s="48" t="s">
        <v>1710</v>
      </c>
      <c r="AP64" s="48" t="s">
        <v>1855</v>
      </c>
      <c r="AQ64" s="48" t="s">
        <v>2076</v>
      </c>
      <c r="AR64" s="48" t="s">
        <v>1812</v>
      </c>
      <c r="AS64" s="48" t="s">
        <v>1813</v>
      </c>
      <c r="AT64" s="48" t="s">
        <v>1826</v>
      </c>
      <c r="AU64" s="48" t="s">
        <v>2061</v>
      </c>
      <c r="AV64" s="48" t="s">
        <v>2850</v>
      </c>
      <c r="AW64" s="48" t="s">
        <v>2062</v>
      </c>
      <c r="AX64" s="48" t="s">
        <v>2063</v>
      </c>
      <c r="AY64" s="48" t="s">
        <v>1710</v>
      </c>
      <c r="AZ64" s="48" t="s">
        <v>3331</v>
      </c>
      <c r="BA64" s="48" t="s">
        <v>1710</v>
      </c>
      <c r="BB64" s="48" t="s">
        <v>1709</v>
      </c>
      <c r="BC64" s="48" t="s">
        <v>1710</v>
      </c>
      <c r="BD64" s="48" t="s">
        <v>2864</v>
      </c>
      <c r="BE64" s="52" t="s">
        <v>3332</v>
      </c>
      <c r="BF64" s="48" t="s">
        <v>1710</v>
      </c>
      <c r="BG64" s="48" t="s">
        <v>1814</v>
      </c>
      <c r="BH64">
        <v>2</v>
      </c>
      <c r="BI64" s="48" t="s">
        <v>1888</v>
      </c>
      <c r="BJ64">
        <v>1</v>
      </c>
      <c r="BK64">
        <v>1473.06</v>
      </c>
      <c r="BL64">
        <v>5414698</v>
      </c>
      <c r="BM64">
        <v>3676</v>
      </c>
      <c r="BN64" s="48" t="s">
        <v>2064</v>
      </c>
      <c r="BO64" s="48" t="s">
        <v>2065</v>
      </c>
      <c r="BP64">
        <v>1473.06</v>
      </c>
      <c r="BQ64">
        <v>3693.06</v>
      </c>
      <c r="BR64" s="48" t="s">
        <v>1885</v>
      </c>
      <c r="BS64" s="48" t="s">
        <v>2066</v>
      </c>
      <c r="BT64">
        <v>1</v>
      </c>
      <c r="BU64">
        <v>25400</v>
      </c>
      <c r="BV64">
        <v>25400</v>
      </c>
      <c r="BW64" s="48" t="s">
        <v>2065</v>
      </c>
      <c r="BX64">
        <v>1473.06</v>
      </c>
      <c r="BY64">
        <v>0</v>
      </c>
      <c r="BZ64">
        <v>0</v>
      </c>
      <c r="CA64" s="48" t="s">
        <v>2065</v>
      </c>
      <c r="CB64">
        <v>1473.06</v>
      </c>
      <c r="CC64">
        <v>0</v>
      </c>
      <c r="CD64">
        <v>0</v>
      </c>
      <c r="CE64" s="48" t="s">
        <v>1710</v>
      </c>
      <c r="CF64" s="48" t="s">
        <v>1710</v>
      </c>
      <c r="CG64" s="48" t="s">
        <v>1710</v>
      </c>
      <c r="CH64" s="48" t="s">
        <v>1710</v>
      </c>
      <c r="CI64" s="48" t="s">
        <v>2067</v>
      </c>
      <c r="CJ64" s="48" t="s">
        <v>1710</v>
      </c>
      <c r="CL64" s="48" t="s">
        <v>2850</v>
      </c>
      <c r="CM64" s="48" t="s">
        <v>1710</v>
      </c>
      <c r="CN64" s="48" t="s">
        <v>2068</v>
      </c>
      <c r="CO64" s="48" t="s">
        <v>2069</v>
      </c>
      <c r="CP64" s="48" t="s">
        <v>1710</v>
      </c>
      <c r="CQ64" s="48" t="s">
        <v>1710</v>
      </c>
      <c r="CR64" s="48" t="s">
        <v>1710</v>
      </c>
      <c r="CS64" s="48" t="s">
        <v>1710</v>
      </c>
      <c r="CT64" s="48" t="s">
        <v>1710</v>
      </c>
      <c r="CU64" s="48" t="s">
        <v>1712</v>
      </c>
      <c r="CV64" s="48" t="s">
        <v>1710</v>
      </c>
      <c r="CW64" s="48" t="s">
        <v>1710</v>
      </c>
      <c r="CX64" s="48" t="s">
        <v>3014</v>
      </c>
      <c r="CY64" s="48" t="s">
        <v>1710</v>
      </c>
      <c r="CZ64" s="48" t="s">
        <v>1712</v>
      </c>
      <c r="DA64" s="48" t="s">
        <v>1710</v>
      </c>
      <c r="DB64" s="48" t="s">
        <v>1878</v>
      </c>
      <c r="DC64" s="48" t="s">
        <v>2070</v>
      </c>
      <c r="DD64" s="48" t="s">
        <v>1842</v>
      </c>
      <c r="DE64" s="48" t="s">
        <v>1886</v>
      </c>
      <c r="DF64" s="48" t="s">
        <v>3333</v>
      </c>
      <c r="DG64" s="48" t="s">
        <v>2071</v>
      </c>
      <c r="DH64" s="48" t="s">
        <v>1712</v>
      </c>
      <c r="DI64" s="48" t="s">
        <v>1710</v>
      </c>
      <c r="DJ64" s="48" t="s">
        <v>1710</v>
      </c>
      <c r="DK64" s="48" t="s">
        <v>1710</v>
      </c>
      <c r="DL64" s="48" t="s">
        <v>1710</v>
      </c>
      <c r="DM64" s="48" t="s">
        <v>1710</v>
      </c>
      <c r="DN64" s="48" t="s">
        <v>1710</v>
      </c>
      <c r="DO64" s="48" t="s">
        <v>1710</v>
      </c>
      <c r="DP64" s="48" t="s">
        <v>1710</v>
      </c>
      <c r="DQ64" s="48" t="s">
        <v>1710</v>
      </c>
      <c r="DR64" s="48" t="s">
        <v>2072</v>
      </c>
      <c r="DS64" s="48" t="s">
        <v>1710</v>
      </c>
      <c r="DT64" s="48" t="s">
        <v>1710</v>
      </c>
      <c r="DU64" s="48" t="s">
        <v>2547</v>
      </c>
      <c r="DV64" s="48" t="s">
        <v>2816</v>
      </c>
      <c r="DW64" s="48" t="s">
        <v>1710</v>
      </c>
      <c r="DX64" s="48" t="s">
        <v>3334</v>
      </c>
      <c r="DY64" s="48" t="s">
        <v>1709</v>
      </c>
      <c r="DZ64" s="48" t="s">
        <v>2562</v>
      </c>
      <c r="EA64" s="48" t="s">
        <v>2546</v>
      </c>
      <c r="EB64">
        <v>0</v>
      </c>
      <c r="EC64" s="48" t="s">
        <v>2547</v>
      </c>
      <c r="ED64" s="48" t="s">
        <v>3335</v>
      </c>
      <c r="EE64" s="48" t="s">
        <v>1814</v>
      </c>
      <c r="EF64" s="48" t="s">
        <v>1841</v>
      </c>
      <c r="EG64" s="48" t="s">
        <v>3331</v>
      </c>
      <c r="EH64">
        <v>1</v>
      </c>
      <c r="EI64" s="48" t="s">
        <v>1888</v>
      </c>
      <c r="EJ64">
        <v>0</v>
      </c>
      <c r="EK64" s="48" t="s">
        <v>1710</v>
      </c>
      <c r="EL64">
        <v>1</v>
      </c>
      <c r="EM64" s="48" t="s">
        <v>1886</v>
      </c>
      <c r="EN64">
        <v>1</v>
      </c>
      <c r="EO64" s="48" t="s">
        <v>2603</v>
      </c>
      <c r="EP64" s="48" t="s">
        <v>3336</v>
      </c>
      <c r="EQ64">
        <v>3693.06</v>
      </c>
      <c r="ER64">
        <v>3693.06</v>
      </c>
      <c r="ES64">
        <v>5414698</v>
      </c>
      <c r="ET64">
        <v>3676</v>
      </c>
      <c r="EU64" s="48" t="s">
        <v>1710</v>
      </c>
      <c r="EV64" s="48" t="s">
        <v>1710</v>
      </c>
      <c r="EW64" s="48" t="s">
        <v>1712</v>
      </c>
      <c r="EX64" s="48" t="s">
        <v>1710</v>
      </c>
      <c r="EY64" s="48" t="s">
        <v>1848</v>
      </c>
      <c r="EZ64" s="48" t="s">
        <v>1710</v>
      </c>
      <c r="FA64" s="48" t="s">
        <v>1710</v>
      </c>
      <c r="FB64" s="48" t="s">
        <v>1712</v>
      </c>
      <c r="FC64" s="48" t="s">
        <v>1710</v>
      </c>
      <c r="FD64" s="48" t="s">
        <v>1710</v>
      </c>
      <c r="FE64" s="48" t="s">
        <v>1814</v>
      </c>
      <c r="FF64" s="48" t="s">
        <v>1815</v>
      </c>
      <c r="FG64" s="48" t="s">
        <v>1710</v>
      </c>
      <c r="FH64">
        <v>1</v>
      </c>
      <c r="FI64" s="48" t="s">
        <v>1846</v>
      </c>
      <c r="FJ64">
        <v>3693.06</v>
      </c>
      <c r="FK64">
        <v>3693.06</v>
      </c>
      <c r="FL64" s="48" t="s">
        <v>3337</v>
      </c>
      <c r="FM64" s="48" t="s">
        <v>3338</v>
      </c>
      <c r="FN64" s="48" t="s">
        <v>1710</v>
      </c>
      <c r="FO64" s="48" t="s">
        <v>1710</v>
      </c>
      <c r="FP64" s="48" t="s">
        <v>1710</v>
      </c>
      <c r="FQ64" s="48" t="s">
        <v>1710</v>
      </c>
      <c r="FR64" s="48" t="s">
        <v>1710</v>
      </c>
      <c r="FS64" s="48" t="s">
        <v>1710</v>
      </c>
      <c r="FT64" s="48" t="s">
        <v>1710</v>
      </c>
      <c r="FU64" s="48" t="s">
        <v>1710</v>
      </c>
      <c r="FV64" s="48"/>
      <c r="FW64" s="56"/>
      <c r="FX64" s="56"/>
      <c r="FY64" s="56"/>
      <c r="FZ64" s="56"/>
      <c r="GA64" s="55" t="str">
        <f t="shared" si="1"/>
        <v>4388426300360X</v>
      </c>
      <c r="GB64" t="str">
        <f>VLOOKUP(B64,수출코드!$C$2:$D$4,2,FALSE)</f>
        <v>Suwon</v>
      </c>
      <c r="GC64" t="str">
        <f>VLOOKUP(L64,수출코드!$A$2:$B$6,2,FALSE)</f>
        <v/>
      </c>
      <c r="GD64" t="str">
        <f>VLOOKUP(M64,수출코드!$E$2:$F$5,2,FALSE)</f>
        <v>일반</v>
      </c>
      <c r="GE64" s="61">
        <f t="shared" si="2"/>
        <v>45971.684027777781</v>
      </c>
      <c r="GF64" s="62">
        <f t="shared" si="0"/>
        <v>46049.381249999999</v>
      </c>
      <c r="GI64" s="48" t="s">
        <v>2743</v>
      </c>
    </row>
    <row r="65" spans="1:191">
      <c r="A65" s="48" t="s">
        <v>3339</v>
      </c>
      <c r="B65" s="48" t="s">
        <v>1821</v>
      </c>
      <c r="C65" s="48" t="s">
        <v>2048</v>
      </c>
      <c r="D65" s="48" t="s">
        <v>2813</v>
      </c>
      <c r="E65" s="48" t="s">
        <v>3339</v>
      </c>
      <c r="F65" s="48" t="s">
        <v>1710</v>
      </c>
      <c r="G65" s="48" t="s">
        <v>2814</v>
      </c>
      <c r="H65" s="48" t="s">
        <v>3340</v>
      </c>
      <c r="I65" s="48" t="s">
        <v>1884</v>
      </c>
      <c r="J65" s="48" t="s">
        <v>2850</v>
      </c>
      <c r="K65" s="48" t="s">
        <v>1877</v>
      </c>
      <c r="L65" s="48" t="s">
        <v>1842</v>
      </c>
      <c r="M65" s="48" t="s">
        <v>1810</v>
      </c>
      <c r="N65" s="48" t="s">
        <v>1842</v>
      </c>
      <c r="O65" s="48" t="s">
        <v>1811</v>
      </c>
      <c r="P65" s="48" t="s">
        <v>2549</v>
      </c>
      <c r="Q65" s="48" t="s">
        <v>2049</v>
      </c>
      <c r="R65" s="48" t="s">
        <v>1838</v>
      </c>
      <c r="S65" s="48" t="s">
        <v>2050</v>
      </c>
      <c r="T65" s="48" t="s">
        <v>1845</v>
      </c>
      <c r="U65" s="48" t="s">
        <v>2049</v>
      </c>
      <c r="V65" s="48" t="s">
        <v>1838</v>
      </c>
      <c r="W65" s="48" t="s">
        <v>2051</v>
      </c>
      <c r="X65" s="48" t="s">
        <v>2052</v>
      </c>
      <c r="Y65" s="48" t="s">
        <v>2050</v>
      </c>
      <c r="Z65" s="48" t="s">
        <v>2053</v>
      </c>
      <c r="AA65" s="48" t="s">
        <v>2054</v>
      </c>
      <c r="AB65" s="48" t="s">
        <v>2817</v>
      </c>
      <c r="AC65" s="48" t="s">
        <v>2055</v>
      </c>
      <c r="AD65" s="48" t="s">
        <v>2056</v>
      </c>
      <c r="AE65" s="48" t="s">
        <v>1710</v>
      </c>
      <c r="AF65" s="48" t="s">
        <v>1710</v>
      </c>
      <c r="AG65" s="48" t="s">
        <v>2057</v>
      </c>
      <c r="AH65" s="48" t="s">
        <v>1815</v>
      </c>
      <c r="AI65" s="48" t="s">
        <v>2058</v>
      </c>
      <c r="AJ65" s="48" t="s">
        <v>1710</v>
      </c>
      <c r="AK65" s="48" t="s">
        <v>2560</v>
      </c>
      <c r="AL65" s="48" t="s">
        <v>2561</v>
      </c>
      <c r="AM65" s="48" t="s">
        <v>1816</v>
      </c>
      <c r="AN65" s="48" t="s">
        <v>2054</v>
      </c>
      <c r="AO65" s="48" t="s">
        <v>1710</v>
      </c>
      <c r="AP65" s="48" t="s">
        <v>1855</v>
      </c>
      <c r="AQ65" s="48" t="s">
        <v>2076</v>
      </c>
      <c r="AR65" s="48" t="s">
        <v>1812</v>
      </c>
      <c r="AS65" s="48" t="s">
        <v>1813</v>
      </c>
      <c r="AT65" s="48" t="s">
        <v>1826</v>
      </c>
      <c r="AU65" s="48" t="s">
        <v>2061</v>
      </c>
      <c r="AV65" s="48" t="s">
        <v>2850</v>
      </c>
      <c r="AW65" s="48" t="s">
        <v>2062</v>
      </c>
      <c r="AX65" s="48" t="s">
        <v>2063</v>
      </c>
      <c r="AY65" s="48" t="s">
        <v>1710</v>
      </c>
      <c r="AZ65" s="48" t="s">
        <v>3341</v>
      </c>
      <c r="BA65" s="48" t="s">
        <v>1710</v>
      </c>
      <c r="BB65" s="48" t="s">
        <v>1709</v>
      </c>
      <c r="BC65" s="48" t="s">
        <v>1710</v>
      </c>
      <c r="BD65" s="48" t="s">
        <v>2864</v>
      </c>
      <c r="BE65" s="52" t="s">
        <v>3332</v>
      </c>
      <c r="BF65" s="48" t="s">
        <v>1710</v>
      </c>
      <c r="BG65" s="48" t="s">
        <v>1814</v>
      </c>
      <c r="BH65">
        <v>1</v>
      </c>
      <c r="BI65" s="48" t="s">
        <v>1888</v>
      </c>
      <c r="BJ65">
        <v>1</v>
      </c>
      <c r="BK65">
        <v>1473.06</v>
      </c>
      <c r="BL65">
        <v>198618</v>
      </c>
      <c r="BM65">
        <v>135</v>
      </c>
      <c r="BN65" s="48" t="s">
        <v>2064</v>
      </c>
      <c r="BO65" s="48" t="s">
        <v>2065</v>
      </c>
      <c r="BP65">
        <v>1473.06</v>
      </c>
      <c r="BQ65">
        <v>149.09</v>
      </c>
      <c r="BR65" s="48" t="s">
        <v>1885</v>
      </c>
      <c r="BS65" s="48" t="s">
        <v>2066</v>
      </c>
      <c r="BT65">
        <v>1</v>
      </c>
      <c r="BU65">
        <v>21000</v>
      </c>
      <c r="BV65">
        <v>21000</v>
      </c>
      <c r="BW65" s="48" t="s">
        <v>2065</v>
      </c>
      <c r="BX65">
        <v>1473.06</v>
      </c>
      <c r="BY65">
        <v>0</v>
      </c>
      <c r="BZ65">
        <v>0</v>
      </c>
      <c r="CA65" s="48" t="s">
        <v>2065</v>
      </c>
      <c r="CB65">
        <v>1473.06</v>
      </c>
      <c r="CC65">
        <v>0</v>
      </c>
      <c r="CD65">
        <v>0</v>
      </c>
      <c r="CE65" s="48" t="s">
        <v>1710</v>
      </c>
      <c r="CF65" s="48" t="s">
        <v>1710</v>
      </c>
      <c r="CG65" s="48" t="s">
        <v>1710</v>
      </c>
      <c r="CH65" s="48" t="s">
        <v>1710</v>
      </c>
      <c r="CI65" s="48" t="s">
        <v>2067</v>
      </c>
      <c r="CJ65" s="48" t="s">
        <v>1710</v>
      </c>
      <c r="CL65" s="48" t="s">
        <v>2850</v>
      </c>
      <c r="CM65" s="48" t="s">
        <v>1710</v>
      </c>
      <c r="CN65" s="48" t="s">
        <v>2068</v>
      </c>
      <c r="CO65" s="48" t="s">
        <v>2069</v>
      </c>
      <c r="CP65" s="48" t="s">
        <v>1710</v>
      </c>
      <c r="CQ65" s="48" t="s">
        <v>1710</v>
      </c>
      <c r="CR65" s="48" t="s">
        <v>1710</v>
      </c>
      <c r="CS65" s="48" t="s">
        <v>1710</v>
      </c>
      <c r="CT65" s="48" t="s">
        <v>1710</v>
      </c>
      <c r="CU65" s="48" t="s">
        <v>1712</v>
      </c>
      <c r="CV65" s="48" t="s">
        <v>1710</v>
      </c>
      <c r="CW65" s="48" t="s">
        <v>1710</v>
      </c>
      <c r="CX65" s="48" t="s">
        <v>3014</v>
      </c>
      <c r="CY65" s="48" t="s">
        <v>1710</v>
      </c>
      <c r="CZ65" s="48" t="s">
        <v>1712</v>
      </c>
      <c r="DA65" s="48" t="s">
        <v>1710</v>
      </c>
      <c r="DB65" s="48" t="s">
        <v>1878</v>
      </c>
      <c r="DC65" s="48" t="s">
        <v>2070</v>
      </c>
      <c r="DD65" s="48" t="s">
        <v>1842</v>
      </c>
      <c r="DE65" s="48" t="s">
        <v>1886</v>
      </c>
      <c r="DF65" s="48" t="s">
        <v>3342</v>
      </c>
      <c r="DG65" s="48" t="s">
        <v>2071</v>
      </c>
      <c r="DH65" s="48" t="s">
        <v>1712</v>
      </c>
      <c r="DI65" s="48" t="s">
        <v>1710</v>
      </c>
      <c r="DJ65" s="48" t="s">
        <v>1710</v>
      </c>
      <c r="DK65" s="48" t="s">
        <v>1710</v>
      </c>
      <c r="DL65" s="48" t="s">
        <v>1710</v>
      </c>
      <c r="DM65" s="48" t="s">
        <v>1710</v>
      </c>
      <c r="DN65" s="48" t="s">
        <v>1710</v>
      </c>
      <c r="DO65" s="48" t="s">
        <v>1710</v>
      </c>
      <c r="DP65" s="48" t="s">
        <v>1710</v>
      </c>
      <c r="DQ65" s="48" t="s">
        <v>1710</v>
      </c>
      <c r="DR65" s="48" t="s">
        <v>2072</v>
      </c>
      <c r="DS65" s="48" t="s">
        <v>1710</v>
      </c>
      <c r="DT65" s="48" t="s">
        <v>1710</v>
      </c>
      <c r="DU65" s="48" t="s">
        <v>2547</v>
      </c>
      <c r="DV65" s="48" t="s">
        <v>2816</v>
      </c>
      <c r="DW65" s="48" t="s">
        <v>1710</v>
      </c>
      <c r="DX65" s="48" t="s">
        <v>3343</v>
      </c>
      <c r="DY65" s="48" t="s">
        <v>1709</v>
      </c>
      <c r="DZ65" s="48" t="s">
        <v>2562</v>
      </c>
      <c r="EA65" s="48" t="s">
        <v>2546</v>
      </c>
      <c r="EB65">
        <v>0</v>
      </c>
      <c r="EC65" s="48" t="s">
        <v>2547</v>
      </c>
      <c r="ED65" s="48" t="s">
        <v>3335</v>
      </c>
      <c r="EE65" s="48" t="s">
        <v>1814</v>
      </c>
      <c r="EF65" s="48" t="s">
        <v>1849</v>
      </c>
      <c r="EG65" s="48" t="s">
        <v>3341</v>
      </c>
      <c r="EH65">
        <v>2.1000000000000001E-2</v>
      </c>
      <c r="EI65" s="48" t="s">
        <v>1888</v>
      </c>
      <c r="EJ65">
        <v>1</v>
      </c>
      <c r="EK65" s="48" t="s">
        <v>1887</v>
      </c>
      <c r="EL65">
        <v>1</v>
      </c>
      <c r="EM65" s="48" t="s">
        <v>1886</v>
      </c>
      <c r="EN65">
        <v>2.1000000000000001E-2</v>
      </c>
      <c r="EO65" s="48" t="s">
        <v>2526</v>
      </c>
      <c r="EP65" s="48" t="s">
        <v>3344</v>
      </c>
      <c r="EQ65">
        <v>149.09</v>
      </c>
      <c r="ER65">
        <v>149.09</v>
      </c>
      <c r="ES65">
        <v>198618</v>
      </c>
      <c r="ET65">
        <v>135</v>
      </c>
      <c r="EU65" s="48" t="s">
        <v>1710</v>
      </c>
      <c r="EV65" s="48" t="s">
        <v>1710</v>
      </c>
      <c r="EW65" s="48" t="s">
        <v>1712</v>
      </c>
      <c r="EX65" s="48" t="s">
        <v>1710</v>
      </c>
      <c r="EY65" s="48" t="s">
        <v>1848</v>
      </c>
      <c r="EZ65" s="48" t="s">
        <v>1710</v>
      </c>
      <c r="FA65" s="48" t="s">
        <v>1710</v>
      </c>
      <c r="FB65" s="48" t="s">
        <v>1712</v>
      </c>
      <c r="FC65" s="48" t="s">
        <v>1710</v>
      </c>
      <c r="FD65" s="48" t="s">
        <v>1710</v>
      </c>
      <c r="FE65" s="48" t="s">
        <v>1814</v>
      </c>
      <c r="FF65" s="48" t="s">
        <v>1815</v>
      </c>
      <c r="FG65" s="48" t="s">
        <v>1710</v>
      </c>
      <c r="FH65">
        <v>1</v>
      </c>
      <c r="FI65" s="48" t="s">
        <v>1846</v>
      </c>
      <c r="FJ65">
        <v>149.09</v>
      </c>
      <c r="FK65">
        <v>149.09</v>
      </c>
      <c r="FL65" s="48" t="s">
        <v>3345</v>
      </c>
      <c r="FM65" s="48" t="s">
        <v>3344</v>
      </c>
      <c r="FN65" s="48" t="s">
        <v>1710</v>
      </c>
      <c r="FO65" s="48" t="s">
        <v>1710</v>
      </c>
      <c r="FP65" s="48" t="s">
        <v>1710</v>
      </c>
      <c r="FQ65" s="48" t="s">
        <v>1710</v>
      </c>
      <c r="FR65" s="48" t="s">
        <v>1710</v>
      </c>
      <c r="FS65" s="48" t="s">
        <v>1710</v>
      </c>
      <c r="FT65" s="48" t="s">
        <v>1710</v>
      </c>
      <c r="FU65" s="48" t="s">
        <v>1710</v>
      </c>
      <c r="FV65" s="48"/>
      <c r="FW65" s="56"/>
      <c r="FX65" s="56"/>
      <c r="FY65" s="56"/>
      <c r="FZ65" s="56"/>
      <c r="GA65" s="55" t="str">
        <f t="shared" si="1"/>
        <v>4388426300361X</v>
      </c>
      <c r="GB65" t="str">
        <f>VLOOKUP(B65,수출코드!$C$2:$D$4,2,FALSE)</f>
        <v>Suwon</v>
      </c>
      <c r="GC65" t="str">
        <f>VLOOKUP(L65,수출코드!$A$2:$B$6,2,FALSE)</f>
        <v/>
      </c>
      <c r="GD65" t="str">
        <f>VLOOKUP(M65,수출코드!$E$2:$F$5,2,FALSE)</f>
        <v>일반</v>
      </c>
      <c r="GE65" s="61">
        <f t="shared" si="2"/>
        <v>45971.684027777781</v>
      </c>
      <c r="GF65" s="62">
        <f t="shared" si="0"/>
        <v>46049.381249999999</v>
      </c>
      <c r="GI65" s="48" t="s">
        <v>2743</v>
      </c>
    </row>
    <row r="66" spans="1:191">
      <c r="A66" s="48" t="s">
        <v>3346</v>
      </c>
      <c r="B66" s="48" t="s">
        <v>1821</v>
      </c>
      <c r="C66" s="48" t="s">
        <v>2048</v>
      </c>
      <c r="D66" s="48" t="s">
        <v>2813</v>
      </c>
      <c r="E66" s="48" t="s">
        <v>3346</v>
      </c>
      <c r="F66" s="48" t="s">
        <v>1710</v>
      </c>
      <c r="G66" s="48" t="s">
        <v>2814</v>
      </c>
      <c r="H66" s="48" t="s">
        <v>3347</v>
      </c>
      <c r="I66" s="48" t="s">
        <v>1884</v>
      </c>
      <c r="J66" s="48" t="s">
        <v>2850</v>
      </c>
      <c r="K66" s="48" t="s">
        <v>1877</v>
      </c>
      <c r="L66" s="48" t="s">
        <v>1842</v>
      </c>
      <c r="M66" s="48" t="s">
        <v>1810</v>
      </c>
      <c r="N66" s="48" t="s">
        <v>1842</v>
      </c>
      <c r="O66" s="48" t="s">
        <v>1811</v>
      </c>
      <c r="P66" s="48" t="s">
        <v>2549</v>
      </c>
      <c r="Q66" s="48" t="s">
        <v>2049</v>
      </c>
      <c r="R66" s="48" t="s">
        <v>1838</v>
      </c>
      <c r="S66" s="48" t="s">
        <v>2050</v>
      </c>
      <c r="T66" s="48" t="s">
        <v>1845</v>
      </c>
      <c r="U66" s="48" t="s">
        <v>2049</v>
      </c>
      <c r="V66" s="48" t="s">
        <v>1838</v>
      </c>
      <c r="W66" s="48" t="s">
        <v>2051</v>
      </c>
      <c r="X66" s="48" t="s">
        <v>2052</v>
      </c>
      <c r="Y66" s="48" t="s">
        <v>2050</v>
      </c>
      <c r="Z66" s="48" t="s">
        <v>2053</v>
      </c>
      <c r="AA66" s="48" t="s">
        <v>2054</v>
      </c>
      <c r="AB66" s="48" t="s">
        <v>2817</v>
      </c>
      <c r="AC66" s="48" t="s">
        <v>2055</v>
      </c>
      <c r="AD66" s="48" t="s">
        <v>2056</v>
      </c>
      <c r="AE66" s="48" t="s">
        <v>1710</v>
      </c>
      <c r="AF66" s="48" t="s">
        <v>1710</v>
      </c>
      <c r="AG66" s="48" t="s">
        <v>2057</v>
      </c>
      <c r="AH66" s="48" t="s">
        <v>1815</v>
      </c>
      <c r="AI66" s="48" t="s">
        <v>2058</v>
      </c>
      <c r="AJ66" s="48" t="s">
        <v>1710</v>
      </c>
      <c r="AK66" s="48" t="s">
        <v>2099</v>
      </c>
      <c r="AL66" s="48" t="s">
        <v>1866</v>
      </c>
      <c r="AM66" s="48" t="s">
        <v>1816</v>
      </c>
      <c r="AN66" s="48" t="s">
        <v>2054</v>
      </c>
      <c r="AO66" s="48" t="s">
        <v>1710</v>
      </c>
      <c r="AP66" s="48" t="s">
        <v>1854</v>
      </c>
      <c r="AQ66" s="48" t="s">
        <v>2081</v>
      </c>
      <c r="AR66" s="48" t="s">
        <v>1812</v>
      </c>
      <c r="AS66" s="48" t="s">
        <v>1813</v>
      </c>
      <c r="AT66" s="48" t="s">
        <v>1826</v>
      </c>
      <c r="AU66" s="48" t="s">
        <v>2061</v>
      </c>
      <c r="AV66" s="48" t="s">
        <v>2850</v>
      </c>
      <c r="AW66" s="48" t="s">
        <v>2062</v>
      </c>
      <c r="AX66" s="48" t="s">
        <v>2063</v>
      </c>
      <c r="AY66" s="48" t="s">
        <v>1710</v>
      </c>
      <c r="AZ66" s="48" t="s">
        <v>3348</v>
      </c>
      <c r="BA66" s="48" t="s">
        <v>1710</v>
      </c>
      <c r="BB66" s="48" t="s">
        <v>1709</v>
      </c>
      <c r="BC66" s="48" t="s">
        <v>1710</v>
      </c>
      <c r="BD66" s="48" t="s">
        <v>2089</v>
      </c>
      <c r="BE66" s="52" t="s">
        <v>3349</v>
      </c>
      <c r="BF66" s="48" t="s">
        <v>1710</v>
      </c>
      <c r="BG66" s="48" t="s">
        <v>1814</v>
      </c>
      <c r="BH66">
        <v>0.2</v>
      </c>
      <c r="BI66" s="48" t="s">
        <v>1888</v>
      </c>
      <c r="BJ66">
        <v>1</v>
      </c>
      <c r="BK66">
        <v>1473.06</v>
      </c>
      <c r="BL66">
        <v>193161</v>
      </c>
      <c r="BM66">
        <v>131</v>
      </c>
      <c r="BN66" s="48" t="s">
        <v>2064</v>
      </c>
      <c r="BO66" s="48" t="s">
        <v>2065</v>
      </c>
      <c r="BP66">
        <v>1473.06</v>
      </c>
      <c r="BQ66">
        <v>156.79</v>
      </c>
      <c r="BR66" s="48" t="s">
        <v>1885</v>
      </c>
      <c r="BS66" s="48" t="s">
        <v>2066</v>
      </c>
      <c r="BT66">
        <v>1</v>
      </c>
      <c r="BU66">
        <v>37800</v>
      </c>
      <c r="BV66">
        <v>37800</v>
      </c>
      <c r="BW66" s="48" t="s">
        <v>2065</v>
      </c>
      <c r="BX66">
        <v>1473.06</v>
      </c>
      <c r="BY66">
        <v>0</v>
      </c>
      <c r="BZ66">
        <v>0</v>
      </c>
      <c r="CA66" s="48" t="s">
        <v>2065</v>
      </c>
      <c r="CB66">
        <v>1473.06</v>
      </c>
      <c r="CC66">
        <v>0</v>
      </c>
      <c r="CD66">
        <v>0</v>
      </c>
      <c r="CE66" s="48" t="s">
        <v>1710</v>
      </c>
      <c r="CF66" s="48" t="s">
        <v>1710</v>
      </c>
      <c r="CG66" s="48" t="s">
        <v>1710</v>
      </c>
      <c r="CH66" s="48" t="s">
        <v>1710</v>
      </c>
      <c r="CI66" s="48" t="s">
        <v>2067</v>
      </c>
      <c r="CJ66" s="48" t="s">
        <v>1710</v>
      </c>
      <c r="CL66" s="48" t="s">
        <v>2850</v>
      </c>
      <c r="CM66" s="48" t="s">
        <v>1710</v>
      </c>
      <c r="CN66" s="48" t="s">
        <v>2068</v>
      </c>
      <c r="CO66" s="48" t="s">
        <v>2069</v>
      </c>
      <c r="CP66" s="48" t="s">
        <v>1710</v>
      </c>
      <c r="CQ66" s="48" t="s">
        <v>1710</v>
      </c>
      <c r="CR66" s="48" t="s">
        <v>1710</v>
      </c>
      <c r="CS66" s="48" t="s">
        <v>1710</v>
      </c>
      <c r="CT66" s="48" t="s">
        <v>1710</v>
      </c>
      <c r="CU66" s="48" t="s">
        <v>1712</v>
      </c>
      <c r="CV66" s="48" t="s">
        <v>1710</v>
      </c>
      <c r="CW66" s="48" t="s">
        <v>1710</v>
      </c>
      <c r="CX66" s="48" t="s">
        <v>3014</v>
      </c>
      <c r="CY66" s="48" t="s">
        <v>1710</v>
      </c>
      <c r="CZ66" s="48" t="s">
        <v>1712</v>
      </c>
      <c r="DA66" s="48" t="s">
        <v>1710</v>
      </c>
      <c r="DB66" s="48" t="s">
        <v>1878</v>
      </c>
      <c r="DC66" s="48" t="s">
        <v>2070</v>
      </c>
      <c r="DD66" s="48" t="s">
        <v>1842</v>
      </c>
      <c r="DE66" s="48" t="s">
        <v>1886</v>
      </c>
      <c r="DF66" s="48" t="s">
        <v>3350</v>
      </c>
      <c r="DG66" s="48" t="s">
        <v>2071</v>
      </c>
      <c r="DH66" s="48" t="s">
        <v>1712</v>
      </c>
      <c r="DI66" s="48" t="s">
        <v>1710</v>
      </c>
      <c r="DJ66" s="48" t="s">
        <v>1710</v>
      </c>
      <c r="DK66" s="48" t="s">
        <v>1710</v>
      </c>
      <c r="DL66" s="48" t="s">
        <v>1710</v>
      </c>
      <c r="DM66" s="48" t="s">
        <v>1710</v>
      </c>
      <c r="DN66" s="48" t="s">
        <v>1710</v>
      </c>
      <c r="DO66" s="48" t="s">
        <v>1710</v>
      </c>
      <c r="DP66" s="48" t="s">
        <v>1710</v>
      </c>
      <c r="DQ66" s="48" t="s">
        <v>1710</v>
      </c>
      <c r="DR66" s="48" t="s">
        <v>2072</v>
      </c>
      <c r="DS66" s="48" t="s">
        <v>1710</v>
      </c>
      <c r="DT66" s="48" t="s">
        <v>1710</v>
      </c>
      <c r="DU66" s="48" t="s">
        <v>2547</v>
      </c>
      <c r="DV66" s="48" t="s">
        <v>2816</v>
      </c>
      <c r="DW66" s="48" t="s">
        <v>1710</v>
      </c>
      <c r="DX66" s="48" t="s">
        <v>3351</v>
      </c>
      <c r="DY66" s="48" t="s">
        <v>1709</v>
      </c>
      <c r="DZ66" s="48" t="s">
        <v>2562</v>
      </c>
      <c r="EA66" s="48" t="s">
        <v>2546</v>
      </c>
      <c r="EB66">
        <v>0</v>
      </c>
      <c r="EC66" s="48" t="s">
        <v>2547</v>
      </c>
      <c r="ED66" s="48" t="s">
        <v>3352</v>
      </c>
      <c r="EE66" s="48" t="s">
        <v>1814</v>
      </c>
      <c r="EF66" s="48" t="s">
        <v>1862</v>
      </c>
      <c r="EG66" s="48" t="s">
        <v>3348</v>
      </c>
      <c r="EH66">
        <v>0.01</v>
      </c>
      <c r="EI66" s="48" t="s">
        <v>1888</v>
      </c>
      <c r="EJ66">
        <v>0</v>
      </c>
      <c r="EK66" s="48" t="s">
        <v>1710</v>
      </c>
      <c r="EL66">
        <v>1</v>
      </c>
      <c r="EM66" s="48" t="s">
        <v>1886</v>
      </c>
      <c r="EN66">
        <v>0.01</v>
      </c>
      <c r="EO66" s="48" t="s">
        <v>2522</v>
      </c>
      <c r="EP66" s="48" t="s">
        <v>3353</v>
      </c>
      <c r="EQ66">
        <v>156.79</v>
      </c>
      <c r="ER66">
        <v>156.79</v>
      </c>
      <c r="ES66">
        <v>193161</v>
      </c>
      <c r="ET66">
        <v>131</v>
      </c>
      <c r="EU66" s="48" t="s">
        <v>1710</v>
      </c>
      <c r="EV66" s="48" t="s">
        <v>1710</v>
      </c>
      <c r="EW66" s="48" t="s">
        <v>1712</v>
      </c>
      <c r="EX66" s="48" t="s">
        <v>1710</v>
      </c>
      <c r="EY66" s="48" t="s">
        <v>1848</v>
      </c>
      <c r="EZ66" s="48" t="s">
        <v>1710</v>
      </c>
      <c r="FA66" s="48" t="s">
        <v>1710</v>
      </c>
      <c r="FB66" s="48" t="s">
        <v>1712</v>
      </c>
      <c r="FC66" s="48" t="s">
        <v>1710</v>
      </c>
      <c r="FD66" s="48" t="s">
        <v>1710</v>
      </c>
      <c r="FE66" s="48" t="s">
        <v>1814</v>
      </c>
      <c r="FF66" s="48" t="s">
        <v>1815</v>
      </c>
      <c r="FG66" s="48" t="s">
        <v>1710</v>
      </c>
      <c r="FH66">
        <v>1</v>
      </c>
      <c r="FI66" s="48" t="s">
        <v>1846</v>
      </c>
      <c r="FJ66">
        <v>156.79</v>
      </c>
      <c r="FK66">
        <v>156.79</v>
      </c>
      <c r="FL66" s="48" t="s">
        <v>3354</v>
      </c>
      <c r="FM66" s="48" t="s">
        <v>3353</v>
      </c>
      <c r="FN66" s="48" t="s">
        <v>1710</v>
      </c>
      <c r="FO66" s="48" t="s">
        <v>1710</v>
      </c>
      <c r="FP66" s="48" t="s">
        <v>1710</v>
      </c>
      <c r="FQ66" s="48" t="s">
        <v>1710</v>
      </c>
      <c r="FR66" s="48" t="s">
        <v>1710</v>
      </c>
      <c r="FS66" s="48" t="s">
        <v>1710</v>
      </c>
      <c r="FT66" s="48" t="s">
        <v>1710</v>
      </c>
      <c r="FU66" s="48" t="s">
        <v>1710</v>
      </c>
      <c r="FV66" s="48"/>
      <c r="FW66" s="56"/>
      <c r="FX66" s="56"/>
      <c r="FY66" s="56"/>
      <c r="FZ66" s="56"/>
      <c r="GA66" s="55" t="str">
        <f t="shared" si="1"/>
        <v>4388426300362X</v>
      </c>
      <c r="GB66" t="str">
        <f>VLOOKUP(B66,수출코드!$C$2:$D$4,2,FALSE)</f>
        <v>Suwon</v>
      </c>
      <c r="GC66" t="str">
        <f>VLOOKUP(L66,수출코드!$A$2:$B$6,2,FALSE)</f>
        <v/>
      </c>
      <c r="GD66" t="str">
        <f>VLOOKUP(M66,수출코드!$E$2:$F$5,2,FALSE)</f>
        <v>일반</v>
      </c>
      <c r="GE66" s="61">
        <f t="shared" si="2"/>
        <v>45971.716666666667</v>
      </c>
      <c r="GF66" s="62">
        <f t="shared" si="0"/>
        <v>46049.425000000003</v>
      </c>
      <c r="GI66" s="48" t="s">
        <v>2744</v>
      </c>
    </row>
    <row r="67" spans="1:191">
      <c r="A67" s="48" t="s">
        <v>3355</v>
      </c>
      <c r="B67" s="48" t="s">
        <v>1821</v>
      </c>
      <c r="C67" s="48" t="s">
        <v>2048</v>
      </c>
      <c r="D67" s="48" t="s">
        <v>2813</v>
      </c>
      <c r="E67" s="48" t="s">
        <v>3355</v>
      </c>
      <c r="F67" s="48" t="s">
        <v>1710</v>
      </c>
      <c r="G67" s="48" t="s">
        <v>2814</v>
      </c>
      <c r="H67" s="48" t="s">
        <v>3356</v>
      </c>
      <c r="I67" s="48" t="s">
        <v>1884</v>
      </c>
      <c r="J67" s="48" t="s">
        <v>2850</v>
      </c>
      <c r="K67" s="48" t="s">
        <v>1885</v>
      </c>
      <c r="L67" s="48" t="s">
        <v>1883</v>
      </c>
      <c r="M67" s="48" t="s">
        <v>2085</v>
      </c>
      <c r="N67" s="48" t="s">
        <v>1842</v>
      </c>
      <c r="O67" s="48" t="s">
        <v>1811</v>
      </c>
      <c r="P67" s="48" t="s">
        <v>2549</v>
      </c>
      <c r="Q67" s="48" t="s">
        <v>2049</v>
      </c>
      <c r="R67" s="48" t="s">
        <v>1838</v>
      </c>
      <c r="S67" s="48" t="s">
        <v>2050</v>
      </c>
      <c r="T67" s="48" t="s">
        <v>1845</v>
      </c>
      <c r="U67" s="48" t="s">
        <v>2049</v>
      </c>
      <c r="V67" s="48" t="s">
        <v>1838</v>
      </c>
      <c r="W67" s="48" t="s">
        <v>2051</v>
      </c>
      <c r="X67" s="48" t="s">
        <v>2052</v>
      </c>
      <c r="Y67" s="48" t="s">
        <v>2050</v>
      </c>
      <c r="Z67" s="48" t="s">
        <v>2053</v>
      </c>
      <c r="AA67" s="48" t="s">
        <v>2054</v>
      </c>
      <c r="AB67" s="48" t="s">
        <v>2817</v>
      </c>
      <c r="AC67" s="48" t="s">
        <v>2055</v>
      </c>
      <c r="AD67" s="48" t="s">
        <v>2056</v>
      </c>
      <c r="AE67" s="48" t="s">
        <v>1710</v>
      </c>
      <c r="AF67" s="48" t="s">
        <v>1710</v>
      </c>
      <c r="AG67" s="48" t="s">
        <v>2057</v>
      </c>
      <c r="AH67" s="48" t="s">
        <v>1815</v>
      </c>
      <c r="AI67" s="48" t="s">
        <v>2058</v>
      </c>
      <c r="AJ67" s="48" t="s">
        <v>1710</v>
      </c>
      <c r="AK67" s="48" t="s">
        <v>2099</v>
      </c>
      <c r="AL67" s="48" t="s">
        <v>1866</v>
      </c>
      <c r="AM67" s="48" t="s">
        <v>1816</v>
      </c>
      <c r="AN67" s="48" t="s">
        <v>2054</v>
      </c>
      <c r="AO67" s="48" t="s">
        <v>1710</v>
      </c>
      <c r="AP67" s="48" t="s">
        <v>1854</v>
      </c>
      <c r="AQ67" s="48" t="s">
        <v>2081</v>
      </c>
      <c r="AR67" s="48" t="s">
        <v>1812</v>
      </c>
      <c r="AS67" s="48" t="s">
        <v>1813</v>
      </c>
      <c r="AT67" s="48" t="s">
        <v>1826</v>
      </c>
      <c r="AU67" s="48" t="s">
        <v>2061</v>
      </c>
      <c r="AV67" s="48" t="s">
        <v>2850</v>
      </c>
      <c r="AW67" s="48" t="s">
        <v>2062</v>
      </c>
      <c r="AX67" s="48" t="s">
        <v>2063</v>
      </c>
      <c r="AY67" s="48" t="s">
        <v>1710</v>
      </c>
      <c r="AZ67" s="48" t="s">
        <v>3348</v>
      </c>
      <c r="BA67" s="48" t="s">
        <v>1710</v>
      </c>
      <c r="BB67" s="48" t="s">
        <v>1709</v>
      </c>
      <c r="BC67" s="48" t="s">
        <v>1710</v>
      </c>
      <c r="BD67" s="48" t="s">
        <v>2089</v>
      </c>
      <c r="BE67" s="52" t="s">
        <v>3349</v>
      </c>
      <c r="BF67" s="48" t="s">
        <v>1710</v>
      </c>
      <c r="BG67" s="48" t="s">
        <v>1814</v>
      </c>
      <c r="BH67">
        <v>0.8</v>
      </c>
      <c r="BI67" s="48" t="s">
        <v>1888</v>
      </c>
      <c r="BJ67">
        <v>1</v>
      </c>
      <c r="BK67">
        <v>1473.06</v>
      </c>
      <c r="BL67">
        <v>3993965</v>
      </c>
      <c r="BM67">
        <v>2711</v>
      </c>
      <c r="BN67" s="48" t="s">
        <v>2064</v>
      </c>
      <c r="BO67" s="48" t="s">
        <v>2065</v>
      </c>
      <c r="BP67">
        <v>1473.06</v>
      </c>
      <c r="BQ67">
        <v>2737</v>
      </c>
      <c r="BR67" s="48" t="s">
        <v>1885</v>
      </c>
      <c r="BS67" s="48" t="s">
        <v>2066</v>
      </c>
      <c r="BT67">
        <v>1</v>
      </c>
      <c r="BU67">
        <v>37800</v>
      </c>
      <c r="BV67">
        <v>37800</v>
      </c>
      <c r="BW67" s="48" t="s">
        <v>2065</v>
      </c>
      <c r="BX67">
        <v>1473.06</v>
      </c>
      <c r="BY67">
        <v>0</v>
      </c>
      <c r="BZ67">
        <v>0</v>
      </c>
      <c r="CA67" s="48" t="s">
        <v>2065</v>
      </c>
      <c r="CB67">
        <v>1473.06</v>
      </c>
      <c r="CC67">
        <v>0</v>
      </c>
      <c r="CD67">
        <v>0</v>
      </c>
      <c r="CE67" s="48" t="s">
        <v>1710</v>
      </c>
      <c r="CF67" s="48" t="s">
        <v>1710</v>
      </c>
      <c r="CG67" s="48" t="s">
        <v>1710</v>
      </c>
      <c r="CH67" s="48" t="s">
        <v>1710</v>
      </c>
      <c r="CI67" s="48" t="s">
        <v>2067</v>
      </c>
      <c r="CJ67" s="48" t="s">
        <v>1710</v>
      </c>
      <c r="CL67" s="48" t="s">
        <v>2850</v>
      </c>
      <c r="CM67" s="48" t="s">
        <v>1710</v>
      </c>
      <c r="CN67" s="48" t="s">
        <v>2068</v>
      </c>
      <c r="CO67" s="48" t="s">
        <v>2069</v>
      </c>
      <c r="CP67" s="48" t="s">
        <v>1710</v>
      </c>
      <c r="CQ67" s="48" t="s">
        <v>1710</v>
      </c>
      <c r="CR67" s="48" t="s">
        <v>1710</v>
      </c>
      <c r="CS67" s="48" t="s">
        <v>1710</v>
      </c>
      <c r="CT67" s="48" t="s">
        <v>1710</v>
      </c>
      <c r="CU67" s="48" t="s">
        <v>1712</v>
      </c>
      <c r="CV67" s="48" t="s">
        <v>1710</v>
      </c>
      <c r="CW67" s="48" t="s">
        <v>1710</v>
      </c>
      <c r="CX67" s="48" t="s">
        <v>3014</v>
      </c>
      <c r="CY67" s="48" t="s">
        <v>1710</v>
      </c>
      <c r="CZ67" s="48" t="s">
        <v>1712</v>
      </c>
      <c r="DA67" s="48" t="s">
        <v>1710</v>
      </c>
      <c r="DB67" s="48" t="s">
        <v>1878</v>
      </c>
      <c r="DC67" s="48" t="s">
        <v>2070</v>
      </c>
      <c r="DD67" s="48" t="s">
        <v>1842</v>
      </c>
      <c r="DE67" s="48" t="s">
        <v>1886</v>
      </c>
      <c r="DF67" s="48" t="s">
        <v>3357</v>
      </c>
      <c r="DG67" s="48" t="s">
        <v>2071</v>
      </c>
      <c r="DH67" s="48" t="s">
        <v>1712</v>
      </c>
      <c r="DI67" s="48" t="s">
        <v>1710</v>
      </c>
      <c r="DJ67" s="48" t="s">
        <v>1710</v>
      </c>
      <c r="DK67" s="48" t="s">
        <v>1710</v>
      </c>
      <c r="DL67" s="48" t="s">
        <v>1710</v>
      </c>
      <c r="DM67" s="48" t="s">
        <v>1710</v>
      </c>
      <c r="DN67" s="48" t="s">
        <v>1710</v>
      </c>
      <c r="DO67" s="48" t="s">
        <v>1710</v>
      </c>
      <c r="DP67" s="48" t="s">
        <v>1710</v>
      </c>
      <c r="DQ67" s="48" t="s">
        <v>1710</v>
      </c>
      <c r="DR67" s="48" t="s">
        <v>2072</v>
      </c>
      <c r="DS67" s="48" t="s">
        <v>1710</v>
      </c>
      <c r="DT67" s="48" t="s">
        <v>1710</v>
      </c>
      <c r="DU67" s="48" t="s">
        <v>2547</v>
      </c>
      <c r="DV67" s="48" t="s">
        <v>2816</v>
      </c>
      <c r="DW67" s="48" t="s">
        <v>1710</v>
      </c>
      <c r="DX67" s="48" t="s">
        <v>3351</v>
      </c>
      <c r="DY67" s="48" t="s">
        <v>1709</v>
      </c>
      <c r="DZ67" s="48" t="s">
        <v>2073</v>
      </c>
      <c r="EA67" s="48" t="s">
        <v>2546</v>
      </c>
      <c r="EB67">
        <v>0</v>
      </c>
      <c r="EC67" s="48" t="s">
        <v>2547</v>
      </c>
      <c r="ED67" s="48" t="s">
        <v>3358</v>
      </c>
      <c r="EE67" s="48" t="s">
        <v>1814</v>
      </c>
      <c r="EF67" s="48" t="s">
        <v>1847</v>
      </c>
      <c r="EG67" s="48" t="s">
        <v>3348</v>
      </c>
      <c r="EH67">
        <v>0.55000000000000004</v>
      </c>
      <c r="EI67" s="48" t="s">
        <v>1888</v>
      </c>
      <c r="EJ67">
        <v>0</v>
      </c>
      <c r="EK67" s="48" t="s">
        <v>1710</v>
      </c>
      <c r="EL67">
        <v>1</v>
      </c>
      <c r="EM67" s="48" t="s">
        <v>1886</v>
      </c>
      <c r="EN67">
        <v>0.55000000000000004</v>
      </c>
      <c r="EO67" s="48" t="s">
        <v>2529</v>
      </c>
      <c r="EP67" s="48" t="s">
        <v>3359</v>
      </c>
      <c r="EQ67">
        <v>2737</v>
      </c>
      <c r="ER67">
        <v>2737</v>
      </c>
      <c r="ES67">
        <v>3993965</v>
      </c>
      <c r="ET67">
        <v>2711</v>
      </c>
      <c r="EU67" s="48" t="s">
        <v>3360</v>
      </c>
      <c r="EV67" s="48" t="s">
        <v>3079</v>
      </c>
      <c r="EW67" s="48" t="s">
        <v>1712</v>
      </c>
      <c r="EX67" s="48" t="s">
        <v>1710</v>
      </c>
      <c r="EY67" s="48" t="s">
        <v>1851</v>
      </c>
      <c r="EZ67" s="48" t="s">
        <v>1710</v>
      </c>
      <c r="FA67" s="48" t="s">
        <v>1710</v>
      </c>
      <c r="FB67" s="48" t="s">
        <v>1712</v>
      </c>
      <c r="FC67" s="48" t="s">
        <v>1710</v>
      </c>
      <c r="FD67" s="48" t="s">
        <v>1710</v>
      </c>
      <c r="FE67" s="48" t="s">
        <v>1814</v>
      </c>
      <c r="FF67" s="48" t="s">
        <v>1815</v>
      </c>
      <c r="FG67" s="48" t="s">
        <v>1710</v>
      </c>
      <c r="FH67">
        <v>1</v>
      </c>
      <c r="FI67" s="48" t="s">
        <v>1846</v>
      </c>
      <c r="FJ67">
        <v>2737</v>
      </c>
      <c r="FK67">
        <v>2737</v>
      </c>
      <c r="FL67" s="48" t="s">
        <v>3361</v>
      </c>
      <c r="FM67" s="48" t="s">
        <v>3359</v>
      </c>
      <c r="FN67" s="48" t="s">
        <v>1710</v>
      </c>
      <c r="FO67" s="48" t="s">
        <v>1710</v>
      </c>
      <c r="FP67" s="48" t="s">
        <v>1710</v>
      </c>
      <c r="FQ67" s="48" t="s">
        <v>1710</v>
      </c>
      <c r="FR67" s="48" t="s">
        <v>1710</v>
      </c>
      <c r="FS67" s="48" t="s">
        <v>1710</v>
      </c>
      <c r="FT67" s="48" t="s">
        <v>1710</v>
      </c>
      <c r="FU67" s="48" t="s">
        <v>1710</v>
      </c>
      <c r="FV67" s="48"/>
      <c r="FW67" s="56"/>
      <c r="FX67" s="56"/>
      <c r="FY67" s="56"/>
      <c r="FZ67" s="56"/>
      <c r="GA67" s="55" t="str">
        <f t="shared" si="1"/>
        <v>4388426300363X</v>
      </c>
      <c r="GB67" t="str">
        <f>VLOOKUP(B67,수출코드!$C$2:$D$4,2,FALSE)</f>
        <v>Suwon</v>
      </c>
      <c r="GC67" t="str">
        <f>VLOOKUP(L67,수출코드!$A$2:$B$6,2,FALSE)</f>
        <v>서류제출</v>
      </c>
      <c r="GD67" t="str">
        <f>VLOOKUP(M67,수출코드!$E$2:$F$5,2,FALSE)</f>
        <v>원상태</v>
      </c>
      <c r="GE67" s="61">
        <f t="shared" ref="GE67:GE130" si="3">DATE(LEFT(GI67,4),MID(GI67,5,2),MID(GI67,7,2))+TIME(MID(GI67,10,2),MID(GI67,12,2),"00")</f>
        <v>45972.375</v>
      </c>
      <c r="GF67" s="62">
        <f t="shared" ref="GF67:GF130" si="4">DATE(LEFT(ED67,4),MID(ED67,5,2),MID(ED67,7,2))+TIME(MID(ED67,9,2),MID(ED67,11,2),"00")</f>
        <v>46049.481249999997</v>
      </c>
      <c r="GI67" s="48" t="s">
        <v>2745</v>
      </c>
    </row>
    <row r="68" spans="1:191">
      <c r="A68" s="48" t="s">
        <v>3362</v>
      </c>
      <c r="B68" s="48" t="s">
        <v>1821</v>
      </c>
      <c r="C68" s="48" t="s">
        <v>2048</v>
      </c>
      <c r="D68" s="48" t="s">
        <v>2813</v>
      </c>
      <c r="E68" s="48" t="s">
        <v>3362</v>
      </c>
      <c r="F68" s="48" t="s">
        <v>1710</v>
      </c>
      <c r="G68" s="48" t="s">
        <v>2814</v>
      </c>
      <c r="H68" s="48" t="s">
        <v>3363</v>
      </c>
      <c r="I68" s="48" t="s">
        <v>1884</v>
      </c>
      <c r="J68" s="48" t="s">
        <v>2850</v>
      </c>
      <c r="K68" s="48" t="s">
        <v>1877</v>
      </c>
      <c r="L68" s="48" t="s">
        <v>1842</v>
      </c>
      <c r="M68" s="48" t="s">
        <v>1810</v>
      </c>
      <c r="N68" s="48" t="s">
        <v>1842</v>
      </c>
      <c r="O68" s="48" t="s">
        <v>1811</v>
      </c>
      <c r="P68" s="48" t="s">
        <v>2549</v>
      </c>
      <c r="Q68" s="48" t="s">
        <v>2049</v>
      </c>
      <c r="R68" s="48" t="s">
        <v>1838</v>
      </c>
      <c r="S68" s="48" t="s">
        <v>2050</v>
      </c>
      <c r="T68" s="48" t="s">
        <v>1845</v>
      </c>
      <c r="U68" s="48" t="s">
        <v>2049</v>
      </c>
      <c r="V68" s="48" t="s">
        <v>1838</v>
      </c>
      <c r="W68" s="48" t="s">
        <v>2051</v>
      </c>
      <c r="X68" s="48" t="s">
        <v>2052</v>
      </c>
      <c r="Y68" s="48" t="s">
        <v>2050</v>
      </c>
      <c r="Z68" s="48" t="s">
        <v>2053</v>
      </c>
      <c r="AA68" s="48" t="s">
        <v>2054</v>
      </c>
      <c r="AB68" s="48" t="s">
        <v>2817</v>
      </c>
      <c r="AC68" s="48" t="s">
        <v>2055</v>
      </c>
      <c r="AD68" s="48" t="s">
        <v>2056</v>
      </c>
      <c r="AE68" s="48" t="s">
        <v>1710</v>
      </c>
      <c r="AF68" s="48" t="s">
        <v>1710</v>
      </c>
      <c r="AG68" s="48" t="s">
        <v>2057</v>
      </c>
      <c r="AH68" s="48" t="s">
        <v>1815</v>
      </c>
      <c r="AI68" s="48" t="s">
        <v>2058</v>
      </c>
      <c r="AJ68" s="48" t="s">
        <v>1710</v>
      </c>
      <c r="AK68" s="48" t="s">
        <v>2102</v>
      </c>
      <c r="AL68" s="48" t="s">
        <v>1858</v>
      </c>
      <c r="AM68" s="48" t="s">
        <v>1816</v>
      </c>
      <c r="AN68" s="48" t="s">
        <v>2054</v>
      </c>
      <c r="AO68" s="48" t="s">
        <v>1710</v>
      </c>
      <c r="AP68" s="48" t="s">
        <v>1848</v>
      </c>
      <c r="AQ68" s="48" t="s">
        <v>2060</v>
      </c>
      <c r="AR68" s="48" t="s">
        <v>1812</v>
      </c>
      <c r="AS68" s="48" t="s">
        <v>1813</v>
      </c>
      <c r="AT68" s="48" t="s">
        <v>1826</v>
      </c>
      <c r="AU68" s="48" t="s">
        <v>2061</v>
      </c>
      <c r="AV68" s="48" t="s">
        <v>2850</v>
      </c>
      <c r="AW68" s="48" t="s">
        <v>2062</v>
      </c>
      <c r="AX68" s="48" t="s">
        <v>2063</v>
      </c>
      <c r="AY68" s="48" t="s">
        <v>1710</v>
      </c>
      <c r="AZ68" s="48" t="s">
        <v>3364</v>
      </c>
      <c r="BA68" s="48" t="s">
        <v>1710</v>
      </c>
      <c r="BB68" s="48" t="s">
        <v>1709</v>
      </c>
      <c r="BC68" s="48" t="s">
        <v>1710</v>
      </c>
      <c r="BD68" s="48" t="s">
        <v>2089</v>
      </c>
      <c r="BE68" s="52" t="s">
        <v>3349</v>
      </c>
      <c r="BF68" s="48" t="s">
        <v>1710</v>
      </c>
      <c r="BG68" s="48" t="s">
        <v>1814</v>
      </c>
      <c r="BH68">
        <v>10</v>
      </c>
      <c r="BI68" s="48" t="s">
        <v>1888</v>
      </c>
      <c r="BJ68">
        <v>1</v>
      </c>
      <c r="BK68">
        <v>1473.06</v>
      </c>
      <c r="BL68">
        <v>6906704</v>
      </c>
      <c r="BM68">
        <v>4689</v>
      </c>
      <c r="BN68" s="48" t="s">
        <v>2064</v>
      </c>
      <c r="BO68" s="48" t="s">
        <v>2065</v>
      </c>
      <c r="BP68">
        <v>1473.06</v>
      </c>
      <c r="BQ68">
        <v>4794.58</v>
      </c>
      <c r="BR68" s="48" t="s">
        <v>1885</v>
      </c>
      <c r="BS68" s="48" t="s">
        <v>2066</v>
      </c>
      <c r="BT68">
        <v>1</v>
      </c>
      <c r="BU68">
        <v>156000</v>
      </c>
      <c r="BV68">
        <v>156000</v>
      </c>
      <c r="BW68" s="48" t="s">
        <v>2065</v>
      </c>
      <c r="BX68">
        <v>1473.06</v>
      </c>
      <c r="BY68">
        <v>0</v>
      </c>
      <c r="BZ68">
        <v>0</v>
      </c>
      <c r="CA68" s="48" t="s">
        <v>2065</v>
      </c>
      <c r="CB68">
        <v>1473.06</v>
      </c>
      <c r="CC68">
        <v>0</v>
      </c>
      <c r="CD68">
        <v>0</v>
      </c>
      <c r="CE68" s="48" t="s">
        <v>1710</v>
      </c>
      <c r="CF68" s="48" t="s">
        <v>1710</v>
      </c>
      <c r="CG68" s="48" t="s">
        <v>1710</v>
      </c>
      <c r="CH68" s="48" t="s">
        <v>1710</v>
      </c>
      <c r="CI68" s="48" t="s">
        <v>2067</v>
      </c>
      <c r="CJ68" s="48" t="s">
        <v>1710</v>
      </c>
      <c r="CL68" s="48" t="s">
        <v>2850</v>
      </c>
      <c r="CM68" s="48" t="s">
        <v>1710</v>
      </c>
      <c r="CN68" s="48" t="s">
        <v>2068</v>
      </c>
      <c r="CO68" s="48" t="s">
        <v>2069</v>
      </c>
      <c r="CP68" s="48" t="s">
        <v>1710</v>
      </c>
      <c r="CQ68" s="48" t="s">
        <v>1710</v>
      </c>
      <c r="CR68" s="48" t="s">
        <v>1710</v>
      </c>
      <c r="CS68" s="48" t="s">
        <v>1710</v>
      </c>
      <c r="CT68" s="48" t="s">
        <v>1710</v>
      </c>
      <c r="CU68" s="48" t="s">
        <v>1712</v>
      </c>
      <c r="CV68" s="48" t="s">
        <v>1710</v>
      </c>
      <c r="CW68" s="48" t="s">
        <v>1710</v>
      </c>
      <c r="CX68" s="48" t="s">
        <v>3014</v>
      </c>
      <c r="CY68" s="48" t="s">
        <v>1710</v>
      </c>
      <c r="CZ68" s="48" t="s">
        <v>1712</v>
      </c>
      <c r="DA68" s="48" t="s">
        <v>1710</v>
      </c>
      <c r="DB68" s="48" t="s">
        <v>1878</v>
      </c>
      <c r="DC68" s="48" t="s">
        <v>2070</v>
      </c>
      <c r="DD68" s="48" t="s">
        <v>1842</v>
      </c>
      <c r="DE68" s="48" t="s">
        <v>1886</v>
      </c>
      <c r="DF68" s="48" t="s">
        <v>3365</v>
      </c>
      <c r="DG68" s="48" t="s">
        <v>2071</v>
      </c>
      <c r="DH68" s="48" t="s">
        <v>1712</v>
      </c>
      <c r="DI68" s="48" t="s">
        <v>1710</v>
      </c>
      <c r="DJ68" s="48" t="s">
        <v>1710</v>
      </c>
      <c r="DK68" s="48" t="s">
        <v>1710</v>
      </c>
      <c r="DL68" s="48" t="s">
        <v>1710</v>
      </c>
      <c r="DM68" s="48" t="s">
        <v>1710</v>
      </c>
      <c r="DN68" s="48" t="s">
        <v>1710</v>
      </c>
      <c r="DO68" s="48" t="s">
        <v>1710</v>
      </c>
      <c r="DP68" s="48" t="s">
        <v>1710</v>
      </c>
      <c r="DQ68" s="48" t="s">
        <v>1710</v>
      </c>
      <c r="DR68" s="48" t="s">
        <v>2072</v>
      </c>
      <c r="DS68" s="48" t="s">
        <v>1710</v>
      </c>
      <c r="DT68" s="48" t="s">
        <v>1710</v>
      </c>
      <c r="DU68" s="48" t="s">
        <v>2547</v>
      </c>
      <c r="DV68" s="48" t="s">
        <v>2850</v>
      </c>
      <c r="DW68" s="48" t="s">
        <v>1710</v>
      </c>
      <c r="DX68" s="48" t="s">
        <v>3366</v>
      </c>
      <c r="DY68" s="48" t="s">
        <v>1709</v>
      </c>
      <c r="DZ68" s="48" t="s">
        <v>2562</v>
      </c>
      <c r="EA68" s="48" t="s">
        <v>2546</v>
      </c>
      <c r="EB68">
        <v>0</v>
      </c>
      <c r="EC68" s="48" t="s">
        <v>2547</v>
      </c>
      <c r="ED68" s="48" t="s">
        <v>3367</v>
      </c>
      <c r="EE68" s="48" t="s">
        <v>1814</v>
      </c>
      <c r="EF68" s="48" t="s">
        <v>1852</v>
      </c>
      <c r="EG68" s="48" t="s">
        <v>3364</v>
      </c>
      <c r="EH68">
        <v>7</v>
      </c>
      <c r="EI68" s="48" t="s">
        <v>1888</v>
      </c>
      <c r="EJ68">
        <v>0</v>
      </c>
      <c r="EK68" s="48" t="s">
        <v>1710</v>
      </c>
      <c r="EL68">
        <v>1</v>
      </c>
      <c r="EM68" s="48" t="s">
        <v>1886</v>
      </c>
      <c r="EN68">
        <v>7</v>
      </c>
      <c r="EO68" s="48" t="s">
        <v>2521</v>
      </c>
      <c r="EP68" s="48" t="s">
        <v>3368</v>
      </c>
      <c r="EQ68">
        <v>4794.58</v>
      </c>
      <c r="ER68">
        <v>4794.58</v>
      </c>
      <c r="ES68">
        <v>6906704</v>
      </c>
      <c r="ET68">
        <v>4689</v>
      </c>
      <c r="EU68" s="48" t="s">
        <v>1710</v>
      </c>
      <c r="EV68" s="48" t="s">
        <v>1710</v>
      </c>
      <c r="EW68" s="48" t="s">
        <v>1712</v>
      </c>
      <c r="EX68" s="48" t="s">
        <v>1710</v>
      </c>
      <c r="EY68" s="48" t="s">
        <v>1860</v>
      </c>
      <c r="EZ68" s="48" t="s">
        <v>1710</v>
      </c>
      <c r="FA68" s="48" t="s">
        <v>1710</v>
      </c>
      <c r="FB68" s="48" t="s">
        <v>1712</v>
      </c>
      <c r="FC68" s="48" t="s">
        <v>1710</v>
      </c>
      <c r="FD68" s="48" t="s">
        <v>1710</v>
      </c>
      <c r="FE68" s="48" t="s">
        <v>1814</v>
      </c>
      <c r="FF68" s="48" t="s">
        <v>1815</v>
      </c>
      <c r="FG68" s="48" t="s">
        <v>1710</v>
      </c>
      <c r="FH68">
        <v>1</v>
      </c>
      <c r="FI68" s="48" t="s">
        <v>1846</v>
      </c>
      <c r="FJ68">
        <v>4794.58</v>
      </c>
      <c r="FK68">
        <v>4794.58</v>
      </c>
      <c r="FL68" s="48" t="s">
        <v>3369</v>
      </c>
      <c r="FM68" s="48" t="s">
        <v>3368</v>
      </c>
      <c r="FN68" s="48" t="s">
        <v>1710</v>
      </c>
      <c r="FO68" s="48" t="s">
        <v>1710</v>
      </c>
      <c r="FP68" s="48" t="s">
        <v>1710</v>
      </c>
      <c r="FQ68" s="48" t="s">
        <v>1710</v>
      </c>
      <c r="FR68" s="48" t="s">
        <v>1710</v>
      </c>
      <c r="FS68" s="48" t="s">
        <v>1710</v>
      </c>
      <c r="FT68" s="48" t="s">
        <v>1710</v>
      </c>
      <c r="FU68" s="48" t="s">
        <v>1710</v>
      </c>
      <c r="FV68" s="48"/>
      <c r="FW68" s="56"/>
      <c r="FX68" s="56"/>
      <c r="FY68" s="56"/>
      <c r="FZ68" s="56"/>
      <c r="GA68" s="55" t="str">
        <f t="shared" ref="GA68:GA131" si="5">A68</f>
        <v>4388426300364X</v>
      </c>
      <c r="GB68" t="str">
        <f>VLOOKUP(B68,수출코드!$C$2:$D$4,2,FALSE)</f>
        <v>Suwon</v>
      </c>
      <c r="GC68" t="str">
        <f>VLOOKUP(L68,수출코드!$A$2:$B$6,2,FALSE)</f>
        <v/>
      </c>
      <c r="GD68" t="str">
        <f>VLOOKUP(M68,수출코드!$E$2:$F$5,2,FALSE)</f>
        <v>일반</v>
      </c>
      <c r="GE68" s="61">
        <f t="shared" si="3"/>
        <v>45972.375</v>
      </c>
      <c r="GF68" s="62">
        <f t="shared" si="4"/>
        <v>46049.427777777775</v>
      </c>
      <c r="GI68" s="48" t="s">
        <v>2745</v>
      </c>
    </row>
    <row r="69" spans="1:191">
      <c r="A69" s="48" t="s">
        <v>3370</v>
      </c>
      <c r="B69" s="48" t="s">
        <v>1821</v>
      </c>
      <c r="C69" s="48" t="s">
        <v>2048</v>
      </c>
      <c r="D69" s="48" t="s">
        <v>2813</v>
      </c>
      <c r="E69" s="48" t="s">
        <v>3370</v>
      </c>
      <c r="F69" s="48" t="s">
        <v>1710</v>
      </c>
      <c r="G69" s="48" t="s">
        <v>2814</v>
      </c>
      <c r="H69" s="48" t="s">
        <v>3371</v>
      </c>
      <c r="I69" s="48" t="s">
        <v>1884</v>
      </c>
      <c r="J69" s="48" t="s">
        <v>2850</v>
      </c>
      <c r="K69" s="48" t="s">
        <v>1877</v>
      </c>
      <c r="L69" s="48" t="s">
        <v>1842</v>
      </c>
      <c r="M69" s="48" t="s">
        <v>1810</v>
      </c>
      <c r="N69" s="48" t="s">
        <v>1842</v>
      </c>
      <c r="O69" s="48" t="s">
        <v>1811</v>
      </c>
      <c r="P69" s="48" t="s">
        <v>2549</v>
      </c>
      <c r="Q69" s="48" t="s">
        <v>2049</v>
      </c>
      <c r="R69" s="48" t="s">
        <v>1838</v>
      </c>
      <c r="S69" s="48" t="s">
        <v>2050</v>
      </c>
      <c r="T69" s="48" t="s">
        <v>1845</v>
      </c>
      <c r="U69" s="48" t="s">
        <v>2049</v>
      </c>
      <c r="V69" s="48" t="s">
        <v>1838</v>
      </c>
      <c r="W69" s="48" t="s">
        <v>2051</v>
      </c>
      <c r="X69" s="48" t="s">
        <v>2052</v>
      </c>
      <c r="Y69" s="48" t="s">
        <v>2050</v>
      </c>
      <c r="Z69" s="48" t="s">
        <v>2053</v>
      </c>
      <c r="AA69" s="48" t="s">
        <v>2054</v>
      </c>
      <c r="AB69" s="48" t="s">
        <v>2817</v>
      </c>
      <c r="AC69" s="48" t="s">
        <v>2055</v>
      </c>
      <c r="AD69" s="48" t="s">
        <v>2056</v>
      </c>
      <c r="AE69" s="48" t="s">
        <v>1710</v>
      </c>
      <c r="AF69" s="48" t="s">
        <v>1710</v>
      </c>
      <c r="AG69" s="48" t="s">
        <v>2057</v>
      </c>
      <c r="AH69" s="48" t="s">
        <v>1815</v>
      </c>
      <c r="AI69" s="48" t="s">
        <v>2058</v>
      </c>
      <c r="AJ69" s="48" t="s">
        <v>1710</v>
      </c>
      <c r="AK69" s="48" t="s">
        <v>2087</v>
      </c>
      <c r="AL69" s="48" t="s">
        <v>2088</v>
      </c>
      <c r="AM69" s="48" t="s">
        <v>1816</v>
      </c>
      <c r="AN69" s="48" t="s">
        <v>2054</v>
      </c>
      <c r="AO69" s="48" t="s">
        <v>1710</v>
      </c>
      <c r="AP69" s="48" t="s">
        <v>1853</v>
      </c>
      <c r="AQ69" s="48" t="s">
        <v>2086</v>
      </c>
      <c r="AR69" s="48" t="s">
        <v>1812</v>
      </c>
      <c r="AS69" s="48" t="s">
        <v>1813</v>
      </c>
      <c r="AT69" s="48" t="s">
        <v>1826</v>
      </c>
      <c r="AU69" s="48" t="s">
        <v>2061</v>
      </c>
      <c r="AV69" s="48" t="s">
        <v>2850</v>
      </c>
      <c r="AW69" s="48" t="s">
        <v>2062</v>
      </c>
      <c r="AX69" s="48" t="s">
        <v>2063</v>
      </c>
      <c r="AY69" s="48" t="s">
        <v>1710</v>
      </c>
      <c r="AZ69" s="48" t="s">
        <v>3372</v>
      </c>
      <c r="BA69" s="48" t="s">
        <v>1710</v>
      </c>
      <c r="BB69" s="48" t="s">
        <v>1709</v>
      </c>
      <c r="BC69" s="48" t="s">
        <v>1710</v>
      </c>
      <c r="BD69" s="48" t="s">
        <v>2089</v>
      </c>
      <c r="BE69" s="52" t="s">
        <v>3349</v>
      </c>
      <c r="BF69" s="48" t="s">
        <v>1710</v>
      </c>
      <c r="BG69" s="48" t="s">
        <v>1814</v>
      </c>
      <c r="BH69">
        <v>1</v>
      </c>
      <c r="BI69" s="48" t="s">
        <v>1888</v>
      </c>
      <c r="BJ69">
        <v>1</v>
      </c>
      <c r="BK69">
        <v>1473.06</v>
      </c>
      <c r="BL69">
        <v>714204</v>
      </c>
      <c r="BM69">
        <v>485</v>
      </c>
      <c r="BN69" s="48" t="s">
        <v>2064</v>
      </c>
      <c r="BO69" s="48" t="s">
        <v>2065</v>
      </c>
      <c r="BP69">
        <v>1473.06</v>
      </c>
      <c r="BQ69">
        <v>499.1</v>
      </c>
      <c r="BR69" s="48" t="s">
        <v>1885</v>
      </c>
      <c r="BS69" s="48" t="s">
        <v>2066</v>
      </c>
      <c r="BT69">
        <v>1</v>
      </c>
      <c r="BU69">
        <v>21000</v>
      </c>
      <c r="BV69">
        <v>21000</v>
      </c>
      <c r="BW69" s="48" t="s">
        <v>2065</v>
      </c>
      <c r="BX69">
        <v>1473.06</v>
      </c>
      <c r="BY69">
        <v>0</v>
      </c>
      <c r="BZ69">
        <v>0</v>
      </c>
      <c r="CA69" s="48" t="s">
        <v>2065</v>
      </c>
      <c r="CB69">
        <v>1473.06</v>
      </c>
      <c r="CC69">
        <v>0</v>
      </c>
      <c r="CD69">
        <v>0</v>
      </c>
      <c r="CE69" s="48" t="s">
        <v>1710</v>
      </c>
      <c r="CF69" s="48" t="s">
        <v>1710</v>
      </c>
      <c r="CG69" s="48" t="s">
        <v>1710</v>
      </c>
      <c r="CH69" s="48" t="s">
        <v>1710</v>
      </c>
      <c r="CI69" s="48" t="s">
        <v>2067</v>
      </c>
      <c r="CJ69" s="48" t="s">
        <v>1710</v>
      </c>
      <c r="CL69" s="48" t="s">
        <v>2850</v>
      </c>
      <c r="CM69" s="48" t="s">
        <v>1710</v>
      </c>
      <c r="CN69" s="48" t="s">
        <v>2068</v>
      </c>
      <c r="CO69" s="48" t="s">
        <v>2069</v>
      </c>
      <c r="CP69" s="48" t="s">
        <v>1710</v>
      </c>
      <c r="CQ69" s="48" t="s">
        <v>1710</v>
      </c>
      <c r="CR69" s="48" t="s">
        <v>1710</v>
      </c>
      <c r="CS69" s="48" t="s">
        <v>1710</v>
      </c>
      <c r="CT69" s="48" t="s">
        <v>1710</v>
      </c>
      <c r="CU69" s="48" t="s">
        <v>1712</v>
      </c>
      <c r="CV69" s="48" t="s">
        <v>1710</v>
      </c>
      <c r="CW69" s="48" t="s">
        <v>1710</v>
      </c>
      <c r="CX69" s="48" t="s">
        <v>3014</v>
      </c>
      <c r="CY69" s="48" t="s">
        <v>1710</v>
      </c>
      <c r="CZ69" s="48" t="s">
        <v>1712</v>
      </c>
      <c r="DA69" s="48" t="s">
        <v>1710</v>
      </c>
      <c r="DB69" s="48" t="s">
        <v>1878</v>
      </c>
      <c r="DC69" s="48" t="s">
        <v>2070</v>
      </c>
      <c r="DD69" s="48" t="s">
        <v>1842</v>
      </c>
      <c r="DE69" s="48" t="s">
        <v>1886</v>
      </c>
      <c r="DF69" s="48" t="s">
        <v>3373</v>
      </c>
      <c r="DG69" s="48" t="s">
        <v>2071</v>
      </c>
      <c r="DH69" s="48" t="s">
        <v>1712</v>
      </c>
      <c r="DI69" s="48" t="s">
        <v>1710</v>
      </c>
      <c r="DJ69" s="48" t="s">
        <v>1710</v>
      </c>
      <c r="DK69" s="48" t="s">
        <v>1710</v>
      </c>
      <c r="DL69" s="48" t="s">
        <v>1710</v>
      </c>
      <c r="DM69" s="48" t="s">
        <v>1710</v>
      </c>
      <c r="DN69" s="48" t="s">
        <v>1710</v>
      </c>
      <c r="DO69" s="48" t="s">
        <v>1710</v>
      </c>
      <c r="DP69" s="48" t="s">
        <v>1710</v>
      </c>
      <c r="DQ69" s="48" t="s">
        <v>1710</v>
      </c>
      <c r="DR69" s="48" t="s">
        <v>2072</v>
      </c>
      <c r="DS69" s="48" t="s">
        <v>1710</v>
      </c>
      <c r="DT69" s="48" t="s">
        <v>1710</v>
      </c>
      <c r="DU69" s="48" t="s">
        <v>2547</v>
      </c>
      <c r="DV69" s="48" t="s">
        <v>2850</v>
      </c>
      <c r="DW69" s="48" t="s">
        <v>1710</v>
      </c>
      <c r="DX69" s="48" t="s">
        <v>3374</v>
      </c>
      <c r="DY69" s="48" t="s">
        <v>1709</v>
      </c>
      <c r="DZ69" s="48" t="s">
        <v>2562</v>
      </c>
      <c r="EA69" s="48" t="s">
        <v>2546</v>
      </c>
      <c r="EB69">
        <v>0</v>
      </c>
      <c r="EC69" s="48" t="s">
        <v>2547</v>
      </c>
      <c r="ED69" s="48" t="s">
        <v>3367</v>
      </c>
      <c r="EE69" s="48" t="s">
        <v>1814</v>
      </c>
      <c r="EF69" s="48" t="s">
        <v>2684</v>
      </c>
      <c r="EG69" s="48" t="s">
        <v>3372</v>
      </c>
      <c r="EH69">
        <v>0.04</v>
      </c>
      <c r="EI69" s="48" t="s">
        <v>1888</v>
      </c>
      <c r="EJ69">
        <v>0</v>
      </c>
      <c r="EK69" s="48" t="s">
        <v>1710</v>
      </c>
      <c r="EL69">
        <v>1</v>
      </c>
      <c r="EM69" s="48" t="s">
        <v>1886</v>
      </c>
      <c r="EN69">
        <v>0.04</v>
      </c>
      <c r="EO69" s="48" t="s">
        <v>2685</v>
      </c>
      <c r="EP69" s="48" t="s">
        <v>3375</v>
      </c>
      <c r="EQ69">
        <v>499.1</v>
      </c>
      <c r="ER69">
        <v>499.1</v>
      </c>
      <c r="ES69">
        <v>714204</v>
      </c>
      <c r="ET69">
        <v>485</v>
      </c>
      <c r="EU69" s="48" t="s">
        <v>1710</v>
      </c>
      <c r="EV69" s="48" t="s">
        <v>1710</v>
      </c>
      <c r="EW69" s="48" t="s">
        <v>1712</v>
      </c>
      <c r="EX69" s="48" t="s">
        <v>1710</v>
      </c>
      <c r="EY69" s="48" t="s">
        <v>1843</v>
      </c>
      <c r="EZ69" s="48" t="s">
        <v>1710</v>
      </c>
      <c r="FA69" s="48" t="s">
        <v>1710</v>
      </c>
      <c r="FB69" s="48" t="s">
        <v>1712</v>
      </c>
      <c r="FC69" s="48" t="s">
        <v>1710</v>
      </c>
      <c r="FD69" s="48" t="s">
        <v>1710</v>
      </c>
      <c r="FE69" s="48" t="s">
        <v>1814</v>
      </c>
      <c r="FF69" s="48" t="s">
        <v>1815</v>
      </c>
      <c r="FG69" s="48" t="s">
        <v>1710</v>
      </c>
      <c r="FH69">
        <v>1</v>
      </c>
      <c r="FI69" s="48" t="s">
        <v>1846</v>
      </c>
      <c r="FJ69">
        <v>249.55</v>
      </c>
      <c r="FK69">
        <v>249.55</v>
      </c>
      <c r="FL69" s="48" t="s">
        <v>3376</v>
      </c>
      <c r="FM69" s="48" t="s">
        <v>3375</v>
      </c>
      <c r="FN69" s="48" t="s">
        <v>1710</v>
      </c>
      <c r="FO69" s="48" t="s">
        <v>1710</v>
      </c>
      <c r="FP69" s="48" t="s">
        <v>1710</v>
      </c>
      <c r="FQ69" s="48" t="s">
        <v>1710</v>
      </c>
      <c r="FR69" s="48" t="s">
        <v>1710</v>
      </c>
      <c r="FS69" s="48" t="s">
        <v>1710</v>
      </c>
      <c r="FT69" s="48" t="s">
        <v>1710</v>
      </c>
      <c r="FU69" s="48" t="s">
        <v>1710</v>
      </c>
      <c r="FV69" s="48"/>
      <c r="FW69" s="56"/>
      <c r="FX69" s="56"/>
      <c r="FY69" s="56"/>
      <c r="FZ69" s="56"/>
      <c r="GA69" s="55" t="str">
        <f t="shared" si="5"/>
        <v>4388426300365X</v>
      </c>
      <c r="GB69" t="str">
        <f>VLOOKUP(B69,수출코드!$C$2:$D$4,2,FALSE)</f>
        <v>Suwon</v>
      </c>
      <c r="GC69" t="str">
        <f>VLOOKUP(L69,수출코드!$A$2:$B$6,2,FALSE)</f>
        <v/>
      </c>
      <c r="GD69" t="str">
        <f>VLOOKUP(M69,수출코드!$E$2:$F$5,2,FALSE)</f>
        <v>일반</v>
      </c>
      <c r="GE69" s="61">
        <f t="shared" si="3"/>
        <v>45972.375</v>
      </c>
      <c r="GF69" s="62">
        <f t="shared" si="4"/>
        <v>46049.427777777775</v>
      </c>
      <c r="GI69" s="48" t="s">
        <v>2745</v>
      </c>
    </row>
    <row r="70" spans="1:191">
      <c r="A70" s="48" t="s">
        <v>3377</v>
      </c>
      <c r="B70" s="48" t="s">
        <v>1821</v>
      </c>
      <c r="C70" s="48" t="s">
        <v>2048</v>
      </c>
      <c r="D70" s="48" t="s">
        <v>2813</v>
      </c>
      <c r="E70" s="48" t="s">
        <v>3377</v>
      </c>
      <c r="F70" s="48" t="s">
        <v>1710</v>
      </c>
      <c r="G70" s="48" t="s">
        <v>2814</v>
      </c>
      <c r="H70" s="48" t="s">
        <v>3378</v>
      </c>
      <c r="I70" s="48" t="s">
        <v>1884</v>
      </c>
      <c r="J70" s="48" t="s">
        <v>2850</v>
      </c>
      <c r="K70" s="48" t="s">
        <v>1877</v>
      </c>
      <c r="L70" s="48" t="s">
        <v>1842</v>
      </c>
      <c r="M70" s="48" t="s">
        <v>1810</v>
      </c>
      <c r="N70" s="48" t="s">
        <v>1842</v>
      </c>
      <c r="O70" s="48" t="s">
        <v>1811</v>
      </c>
      <c r="P70" s="48" t="s">
        <v>2549</v>
      </c>
      <c r="Q70" s="48" t="s">
        <v>2049</v>
      </c>
      <c r="R70" s="48" t="s">
        <v>1838</v>
      </c>
      <c r="S70" s="48" t="s">
        <v>2050</v>
      </c>
      <c r="T70" s="48" t="s">
        <v>1845</v>
      </c>
      <c r="U70" s="48" t="s">
        <v>2049</v>
      </c>
      <c r="V70" s="48" t="s">
        <v>1838</v>
      </c>
      <c r="W70" s="48" t="s">
        <v>2051</v>
      </c>
      <c r="X70" s="48" t="s">
        <v>2052</v>
      </c>
      <c r="Y70" s="48" t="s">
        <v>2050</v>
      </c>
      <c r="Z70" s="48" t="s">
        <v>2053</v>
      </c>
      <c r="AA70" s="48" t="s">
        <v>2054</v>
      </c>
      <c r="AB70" s="48" t="s">
        <v>2817</v>
      </c>
      <c r="AC70" s="48" t="s">
        <v>2055</v>
      </c>
      <c r="AD70" s="48" t="s">
        <v>2056</v>
      </c>
      <c r="AE70" s="48" t="s">
        <v>1710</v>
      </c>
      <c r="AF70" s="48" t="s">
        <v>1710</v>
      </c>
      <c r="AG70" s="48" t="s">
        <v>2057</v>
      </c>
      <c r="AH70" s="48" t="s">
        <v>1815</v>
      </c>
      <c r="AI70" s="48" t="s">
        <v>2058</v>
      </c>
      <c r="AJ70" s="48" t="s">
        <v>1710</v>
      </c>
      <c r="AK70" s="48" t="s">
        <v>2988</v>
      </c>
      <c r="AL70" s="48" t="s">
        <v>2989</v>
      </c>
      <c r="AM70" s="48" t="s">
        <v>1816</v>
      </c>
      <c r="AN70" s="48" t="s">
        <v>2054</v>
      </c>
      <c r="AO70" s="48" t="s">
        <v>1710</v>
      </c>
      <c r="AP70" s="48" t="s">
        <v>1853</v>
      </c>
      <c r="AQ70" s="48" t="s">
        <v>2086</v>
      </c>
      <c r="AR70" s="48" t="s">
        <v>1812</v>
      </c>
      <c r="AS70" s="48" t="s">
        <v>1813</v>
      </c>
      <c r="AT70" s="48" t="s">
        <v>1826</v>
      </c>
      <c r="AU70" s="48" t="s">
        <v>2061</v>
      </c>
      <c r="AV70" s="48" t="s">
        <v>2850</v>
      </c>
      <c r="AW70" s="48" t="s">
        <v>2062</v>
      </c>
      <c r="AX70" s="48" t="s">
        <v>2063</v>
      </c>
      <c r="AY70" s="48" t="s">
        <v>1710</v>
      </c>
      <c r="AZ70" s="48" t="s">
        <v>3379</v>
      </c>
      <c r="BA70" s="48" t="s">
        <v>1710</v>
      </c>
      <c r="BB70" s="48" t="s">
        <v>1709</v>
      </c>
      <c r="BC70" s="48" t="s">
        <v>1710</v>
      </c>
      <c r="BD70" s="48" t="s">
        <v>2089</v>
      </c>
      <c r="BE70" s="52" t="s">
        <v>3349</v>
      </c>
      <c r="BF70" s="48" t="s">
        <v>1710</v>
      </c>
      <c r="BG70" s="48" t="s">
        <v>1814</v>
      </c>
      <c r="BH70">
        <v>1</v>
      </c>
      <c r="BI70" s="48" t="s">
        <v>1888</v>
      </c>
      <c r="BJ70">
        <v>1</v>
      </c>
      <c r="BK70">
        <v>1473.06</v>
      </c>
      <c r="BL70">
        <v>4129346</v>
      </c>
      <c r="BM70">
        <v>2803</v>
      </c>
      <c r="BN70" s="48" t="s">
        <v>2064</v>
      </c>
      <c r="BO70" s="48" t="s">
        <v>2065</v>
      </c>
      <c r="BP70">
        <v>1473.06</v>
      </c>
      <c r="BQ70">
        <v>2817.5</v>
      </c>
      <c r="BR70" s="48" t="s">
        <v>1885</v>
      </c>
      <c r="BS70" s="48" t="s">
        <v>2066</v>
      </c>
      <c r="BT70">
        <v>1</v>
      </c>
      <c r="BU70">
        <v>21000</v>
      </c>
      <c r="BV70">
        <v>21000</v>
      </c>
      <c r="BW70" s="48" t="s">
        <v>2065</v>
      </c>
      <c r="BX70">
        <v>1473.06</v>
      </c>
      <c r="BY70">
        <v>0</v>
      </c>
      <c r="BZ70">
        <v>0</v>
      </c>
      <c r="CA70" s="48" t="s">
        <v>2065</v>
      </c>
      <c r="CB70">
        <v>1473.06</v>
      </c>
      <c r="CC70">
        <v>0</v>
      </c>
      <c r="CD70">
        <v>0</v>
      </c>
      <c r="CE70" s="48" t="s">
        <v>1710</v>
      </c>
      <c r="CF70" s="48" t="s">
        <v>1710</v>
      </c>
      <c r="CG70" s="48" t="s">
        <v>1710</v>
      </c>
      <c r="CH70" s="48" t="s">
        <v>1710</v>
      </c>
      <c r="CI70" s="48" t="s">
        <v>2067</v>
      </c>
      <c r="CJ70" s="48" t="s">
        <v>1710</v>
      </c>
      <c r="CL70" s="48" t="s">
        <v>2850</v>
      </c>
      <c r="CM70" s="48" t="s">
        <v>1710</v>
      </c>
      <c r="CN70" s="48" t="s">
        <v>2068</v>
      </c>
      <c r="CO70" s="48" t="s">
        <v>2069</v>
      </c>
      <c r="CP70" s="48" t="s">
        <v>1710</v>
      </c>
      <c r="CQ70" s="48" t="s">
        <v>1710</v>
      </c>
      <c r="CR70" s="48" t="s">
        <v>1710</v>
      </c>
      <c r="CS70" s="48" t="s">
        <v>1710</v>
      </c>
      <c r="CT70" s="48" t="s">
        <v>1710</v>
      </c>
      <c r="CU70" s="48" t="s">
        <v>1712</v>
      </c>
      <c r="CV70" s="48" t="s">
        <v>1710</v>
      </c>
      <c r="CW70" s="48" t="s">
        <v>1710</v>
      </c>
      <c r="CX70" s="48" t="s">
        <v>3014</v>
      </c>
      <c r="CY70" s="48" t="s">
        <v>1710</v>
      </c>
      <c r="CZ70" s="48" t="s">
        <v>1712</v>
      </c>
      <c r="DA70" s="48" t="s">
        <v>1710</v>
      </c>
      <c r="DB70" s="48" t="s">
        <v>1878</v>
      </c>
      <c r="DC70" s="48" t="s">
        <v>2070</v>
      </c>
      <c r="DD70" s="48" t="s">
        <v>1842</v>
      </c>
      <c r="DE70" s="48" t="s">
        <v>1886</v>
      </c>
      <c r="DF70" s="48" t="s">
        <v>3380</v>
      </c>
      <c r="DG70" s="48" t="s">
        <v>2071</v>
      </c>
      <c r="DH70" s="48" t="s">
        <v>1712</v>
      </c>
      <c r="DI70" s="48" t="s">
        <v>1710</v>
      </c>
      <c r="DJ70" s="48" t="s">
        <v>1710</v>
      </c>
      <c r="DK70" s="48" t="s">
        <v>1710</v>
      </c>
      <c r="DL70" s="48" t="s">
        <v>1710</v>
      </c>
      <c r="DM70" s="48" t="s">
        <v>1710</v>
      </c>
      <c r="DN70" s="48" t="s">
        <v>1710</v>
      </c>
      <c r="DO70" s="48" t="s">
        <v>1710</v>
      </c>
      <c r="DP70" s="48" t="s">
        <v>1710</v>
      </c>
      <c r="DQ70" s="48" t="s">
        <v>1710</v>
      </c>
      <c r="DR70" s="48" t="s">
        <v>2072</v>
      </c>
      <c r="DS70" s="48" t="s">
        <v>1710</v>
      </c>
      <c r="DT70" s="48" t="s">
        <v>1710</v>
      </c>
      <c r="DU70" s="48" t="s">
        <v>2547</v>
      </c>
      <c r="DV70" s="48" t="s">
        <v>2850</v>
      </c>
      <c r="DW70" s="48" t="s">
        <v>1710</v>
      </c>
      <c r="DX70" s="48" t="s">
        <v>3381</v>
      </c>
      <c r="DY70" s="48" t="s">
        <v>1709</v>
      </c>
      <c r="DZ70" s="48" t="s">
        <v>2562</v>
      </c>
      <c r="EA70" s="48" t="s">
        <v>2546</v>
      </c>
      <c r="EB70">
        <v>0</v>
      </c>
      <c r="EC70" s="48" t="s">
        <v>2547</v>
      </c>
      <c r="ED70" s="48" t="s">
        <v>3382</v>
      </c>
      <c r="EE70" s="48" t="s">
        <v>1814</v>
      </c>
      <c r="EF70" s="48" t="s">
        <v>1852</v>
      </c>
      <c r="EG70" s="48" t="s">
        <v>3379</v>
      </c>
      <c r="EH70">
        <v>0.4</v>
      </c>
      <c r="EI70" s="48" t="s">
        <v>1888</v>
      </c>
      <c r="EJ70">
        <v>0</v>
      </c>
      <c r="EK70" s="48" t="s">
        <v>1710</v>
      </c>
      <c r="EL70">
        <v>1</v>
      </c>
      <c r="EM70" s="48" t="s">
        <v>1886</v>
      </c>
      <c r="EN70">
        <v>0.4</v>
      </c>
      <c r="EO70" s="48" t="s">
        <v>2521</v>
      </c>
      <c r="EP70" s="48" t="s">
        <v>3383</v>
      </c>
      <c r="EQ70">
        <v>2817.5</v>
      </c>
      <c r="ER70">
        <v>2817.5</v>
      </c>
      <c r="ES70">
        <v>4129346</v>
      </c>
      <c r="ET70">
        <v>2803</v>
      </c>
      <c r="EU70" s="48" t="s">
        <v>1710</v>
      </c>
      <c r="EV70" s="48" t="s">
        <v>1710</v>
      </c>
      <c r="EW70" s="48" t="s">
        <v>1712</v>
      </c>
      <c r="EX70" s="48" t="s">
        <v>1710</v>
      </c>
      <c r="EY70" s="48" t="s">
        <v>1848</v>
      </c>
      <c r="EZ70" s="48" t="s">
        <v>1710</v>
      </c>
      <c r="FA70" s="48" t="s">
        <v>1710</v>
      </c>
      <c r="FB70" s="48" t="s">
        <v>1712</v>
      </c>
      <c r="FC70" s="48" t="s">
        <v>1710</v>
      </c>
      <c r="FD70" s="48" t="s">
        <v>1710</v>
      </c>
      <c r="FE70" s="48" t="s">
        <v>1814</v>
      </c>
      <c r="FF70" s="48" t="s">
        <v>1815</v>
      </c>
      <c r="FG70" s="48" t="s">
        <v>1710</v>
      </c>
      <c r="FH70">
        <v>1</v>
      </c>
      <c r="FI70" s="48" t="s">
        <v>1846</v>
      </c>
      <c r="FJ70">
        <v>2817.5</v>
      </c>
      <c r="FK70">
        <v>2817.5</v>
      </c>
      <c r="FL70" s="48" t="s">
        <v>3384</v>
      </c>
      <c r="FM70" s="48" t="s">
        <v>3383</v>
      </c>
      <c r="FN70" s="48" t="s">
        <v>1710</v>
      </c>
      <c r="FO70" s="48" t="s">
        <v>1710</v>
      </c>
      <c r="FP70" s="48" t="s">
        <v>1710</v>
      </c>
      <c r="FQ70" s="48" t="s">
        <v>1710</v>
      </c>
      <c r="FR70" s="48" t="s">
        <v>1710</v>
      </c>
      <c r="FS70" s="48" t="s">
        <v>1710</v>
      </c>
      <c r="FT70" s="48" t="s">
        <v>1710</v>
      </c>
      <c r="FU70" s="48" t="s">
        <v>1710</v>
      </c>
      <c r="FV70" s="48"/>
      <c r="FW70" s="56"/>
      <c r="FX70" s="56"/>
      <c r="FY70" s="56"/>
      <c r="FZ70" s="56"/>
      <c r="GA70" s="55" t="str">
        <f t="shared" si="5"/>
        <v>4388426300366X</v>
      </c>
      <c r="GB70" t="str">
        <f>VLOOKUP(B70,수출코드!$C$2:$D$4,2,FALSE)</f>
        <v>Suwon</v>
      </c>
      <c r="GC70" t="str">
        <f>VLOOKUP(L70,수출코드!$A$2:$B$6,2,FALSE)</f>
        <v/>
      </c>
      <c r="GD70" t="str">
        <f>VLOOKUP(M70,수출코드!$E$2:$F$5,2,FALSE)</f>
        <v>일반</v>
      </c>
      <c r="GE70" s="61">
        <f t="shared" si="3"/>
        <v>45972.397916666669</v>
      </c>
      <c r="GF70" s="62">
        <f t="shared" si="4"/>
        <v>46049.431250000001</v>
      </c>
      <c r="GI70" s="48" t="s">
        <v>2746</v>
      </c>
    </row>
    <row r="71" spans="1:191">
      <c r="A71" s="48" t="s">
        <v>3385</v>
      </c>
      <c r="B71" s="48" t="s">
        <v>1821</v>
      </c>
      <c r="C71" s="48" t="s">
        <v>2048</v>
      </c>
      <c r="D71" s="48" t="s">
        <v>2813</v>
      </c>
      <c r="E71" s="48" t="s">
        <v>3385</v>
      </c>
      <c r="F71" s="48" t="s">
        <v>1710</v>
      </c>
      <c r="G71" s="48" t="s">
        <v>2814</v>
      </c>
      <c r="H71" s="48" t="s">
        <v>3386</v>
      </c>
      <c r="I71" s="48" t="s">
        <v>1884</v>
      </c>
      <c r="J71" s="48" t="s">
        <v>2850</v>
      </c>
      <c r="K71" s="48" t="s">
        <v>1877</v>
      </c>
      <c r="L71" s="48" t="s">
        <v>1842</v>
      </c>
      <c r="M71" s="48" t="s">
        <v>1810</v>
      </c>
      <c r="N71" s="48" t="s">
        <v>1842</v>
      </c>
      <c r="O71" s="48" t="s">
        <v>1811</v>
      </c>
      <c r="P71" s="48" t="s">
        <v>2549</v>
      </c>
      <c r="Q71" s="48" t="s">
        <v>2049</v>
      </c>
      <c r="R71" s="48" t="s">
        <v>1838</v>
      </c>
      <c r="S71" s="48" t="s">
        <v>2050</v>
      </c>
      <c r="T71" s="48" t="s">
        <v>1845</v>
      </c>
      <c r="U71" s="48" t="s">
        <v>2049</v>
      </c>
      <c r="V71" s="48" t="s">
        <v>1838</v>
      </c>
      <c r="W71" s="48" t="s">
        <v>2051</v>
      </c>
      <c r="X71" s="48" t="s">
        <v>2052</v>
      </c>
      <c r="Y71" s="48" t="s">
        <v>2050</v>
      </c>
      <c r="Z71" s="48" t="s">
        <v>2053</v>
      </c>
      <c r="AA71" s="48" t="s">
        <v>2054</v>
      </c>
      <c r="AB71" s="48" t="s">
        <v>2817</v>
      </c>
      <c r="AC71" s="48" t="s">
        <v>2055</v>
      </c>
      <c r="AD71" s="48" t="s">
        <v>2056</v>
      </c>
      <c r="AE71" s="48" t="s">
        <v>1710</v>
      </c>
      <c r="AF71" s="48" t="s">
        <v>1710</v>
      </c>
      <c r="AG71" s="48" t="s">
        <v>2057</v>
      </c>
      <c r="AH71" s="48" t="s">
        <v>1815</v>
      </c>
      <c r="AI71" s="48" t="s">
        <v>2058</v>
      </c>
      <c r="AJ71" s="48" t="s">
        <v>1710</v>
      </c>
      <c r="AK71" s="48" t="s">
        <v>2090</v>
      </c>
      <c r="AL71" s="48" t="s">
        <v>2091</v>
      </c>
      <c r="AM71" s="48" t="s">
        <v>1816</v>
      </c>
      <c r="AN71" s="48" t="s">
        <v>2054</v>
      </c>
      <c r="AO71" s="48" t="s">
        <v>1710</v>
      </c>
      <c r="AP71" s="48" t="s">
        <v>1853</v>
      </c>
      <c r="AQ71" s="48" t="s">
        <v>2086</v>
      </c>
      <c r="AR71" s="48" t="s">
        <v>1812</v>
      </c>
      <c r="AS71" s="48" t="s">
        <v>1813</v>
      </c>
      <c r="AT71" s="48" t="s">
        <v>1826</v>
      </c>
      <c r="AU71" s="48" t="s">
        <v>2061</v>
      </c>
      <c r="AV71" s="48" t="s">
        <v>2850</v>
      </c>
      <c r="AW71" s="48" t="s">
        <v>2062</v>
      </c>
      <c r="AX71" s="48" t="s">
        <v>2063</v>
      </c>
      <c r="AY71" s="48" t="s">
        <v>1710</v>
      </c>
      <c r="AZ71" s="48" t="s">
        <v>3387</v>
      </c>
      <c r="BA71" s="48" t="s">
        <v>1710</v>
      </c>
      <c r="BB71" s="48" t="s">
        <v>1709</v>
      </c>
      <c r="BC71" s="48" t="s">
        <v>1710</v>
      </c>
      <c r="BD71" s="48" t="s">
        <v>2089</v>
      </c>
      <c r="BE71" s="52" t="s">
        <v>3349</v>
      </c>
      <c r="BF71" s="48" t="s">
        <v>1710</v>
      </c>
      <c r="BG71" s="48" t="s">
        <v>1817</v>
      </c>
      <c r="BH71">
        <v>9</v>
      </c>
      <c r="BI71" s="48" t="s">
        <v>1888</v>
      </c>
      <c r="BJ71">
        <v>1</v>
      </c>
      <c r="BK71">
        <v>1473.06</v>
      </c>
      <c r="BL71">
        <v>8574251</v>
      </c>
      <c r="BM71">
        <v>5821</v>
      </c>
      <c r="BN71" s="48" t="s">
        <v>2064</v>
      </c>
      <c r="BO71" s="48" t="s">
        <v>2065</v>
      </c>
      <c r="BP71">
        <v>1473.06</v>
      </c>
      <c r="BQ71">
        <v>5865.92</v>
      </c>
      <c r="BR71" s="48" t="s">
        <v>1885</v>
      </c>
      <c r="BS71" s="48" t="s">
        <v>2066</v>
      </c>
      <c r="BT71">
        <v>1</v>
      </c>
      <c r="BU71">
        <v>66600</v>
      </c>
      <c r="BV71">
        <v>66600</v>
      </c>
      <c r="BW71" s="48" t="s">
        <v>2065</v>
      </c>
      <c r="BX71">
        <v>1473.06</v>
      </c>
      <c r="BY71">
        <v>0</v>
      </c>
      <c r="BZ71">
        <v>0</v>
      </c>
      <c r="CA71" s="48" t="s">
        <v>2065</v>
      </c>
      <c r="CB71">
        <v>1473.06</v>
      </c>
      <c r="CC71">
        <v>0</v>
      </c>
      <c r="CD71">
        <v>0</v>
      </c>
      <c r="CE71" s="48" t="s">
        <v>1710</v>
      </c>
      <c r="CF71" s="48" t="s">
        <v>1710</v>
      </c>
      <c r="CG71" s="48" t="s">
        <v>1710</v>
      </c>
      <c r="CH71" s="48" t="s">
        <v>1710</v>
      </c>
      <c r="CI71" s="48" t="s">
        <v>2067</v>
      </c>
      <c r="CJ71" s="48" t="s">
        <v>1710</v>
      </c>
      <c r="CL71" s="48" t="s">
        <v>2850</v>
      </c>
      <c r="CM71" s="48" t="s">
        <v>1710</v>
      </c>
      <c r="CN71" s="48" t="s">
        <v>2068</v>
      </c>
      <c r="CO71" s="48" t="s">
        <v>2069</v>
      </c>
      <c r="CP71" s="48" t="s">
        <v>1710</v>
      </c>
      <c r="CQ71" s="48" t="s">
        <v>1710</v>
      </c>
      <c r="CR71" s="48" t="s">
        <v>1710</v>
      </c>
      <c r="CS71" s="48" t="s">
        <v>1710</v>
      </c>
      <c r="CT71" s="48" t="s">
        <v>1710</v>
      </c>
      <c r="CU71" s="48" t="s">
        <v>1712</v>
      </c>
      <c r="CV71" s="48" t="s">
        <v>1710</v>
      </c>
      <c r="CW71" s="48" t="s">
        <v>1710</v>
      </c>
      <c r="CX71" s="48" t="s">
        <v>3014</v>
      </c>
      <c r="CY71" s="48" t="s">
        <v>1710</v>
      </c>
      <c r="CZ71" s="48" t="s">
        <v>1712</v>
      </c>
      <c r="DA71" s="48" t="s">
        <v>1710</v>
      </c>
      <c r="DB71" s="48" t="s">
        <v>1878</v>
      </c>
      <c r="DC71" s="48" t="s">
        <v>2070</v>
      </c>
      <c r="DD71" s="48" t="s">
        <v>1842</v>
      </c>
      <c r="DE71" s="48" t="s">
        <v>1886</v>
      </c>
      <c r="DF71" s="48" t="s">
        <v>3388</v>
      </c>
      <c r="DG71" s="48" t="s">
        <v>2071</v>
      </c>
      <c r="DH71" s="48" t="s">
        <v>1712</v>
      </c>
      <c r="DI71" s="48" t="s">
        <v>1710</v>
      </c>
      <c r="DJ71" s="48" t="s">
        <v>1710</v>
      </c>
      <c r="DK71" s="48" t="s">
        <v>1710</v>
      </c>
      <c r="DL71" s="48" t="s">
        <v>1710</v>
      </c>
      <c r="DM71" s="48" t="s">
        <v>1710</v>
      </c>
      <c r="DN71" s="48" t="s">
        <v>1710</v>
      </c>
      <c r="DO71" s="48" t="s">
        <v>1710</v>
      </c>
      <c r="DP71" s="48" t="s">
        <v>1710</v>
      </c>
      <c r="DQ71" s="48" t="s">
        <v>1710</v>
      </c>
      <c r="DR71" s="48" t="s">
        <v>2072</v>
      </c>
      <c r="DS71" s="48" t="s">
        <v>1710</v>
      </c>
      <c r="DT71" s="48" t="s">
        <v>1710</v>
      </c>
      <c r="DU71" s="48" t="s">
        <v>2547</v>
      </c>
      <c r="DV71" s="48" t="s">
        <v>2850</v>
      </c>
      <c r="DW71" s="48" t="s">
        <v>1710</v>
      </c>
      <c r="DX71" s="48" t="s">
        <v>3389</v>
      </c>
      <c r="DY71" s="48" t="s">
        <v>1709</v>
      </c>
      <c r="DZ71" s="48" t="s">
        <v>2562</v>
      </c>
      <c r="EA71" s="48" t="s">
        <v>2546</v>
      </c>
      <c r="EB71">
        <v>0</v>
      </c>
      <c r="EC71" s="48" t="s">
        <v>2547</v>
      </c>
      <c r="ED71" s="48" t="s">
        <v>3390</v>
      </c>
      <c r="EE71" s="48" t="s">
        <v>1814</v>
      </c>
      <c r="EF71" s="48" t="s">
        <v>2585</v>
      </c>
      <c r="EG71" s="48" t="s">
        <v>3387</v>
      </c>
      <c r="EH71">
        <v>5.0999999999999996</v>
      </c>
      <c r="EI71" s="48" t="s">
        <v>1888</v>
      </c>
      <c r="EJ71">
        <v>1</v>
      </c>
      <c r="EK71" s="48" t="s">
        <v>1887</v>
      </c>
      <c r="EL71">
        <v>1</v>
      </c>
      <c r="EM71" s="48" t="s">
        <v>1886</v>
      </c>
      <c r="EN71">
        <v>5.0999999999999996</v>
      </c>
      <c r="EO71" s="48" t="s">
        <v>2586</v>
      </c>
      <c r="EP71" s="48" t="s">
        <v>3391</v>
      </c>
      <c r="EQ71">
        <v>3297.97</v>
      </c>
      <c r="ER71">
        <v>3297.97</v>
      </c>
      <c r="ES71">
        <v>4820663</v>
      </c>
      <c r="ET71">
        <v>3273</v>
      </c>
      <c r="EU71" s="48" t="s">
        <v>1710</v>
      </c>
      <c r="EV71" s="48" t="s">
        <v>1710</v>
      </c>
      <c r="EW71" s="48" t="s">
        <v>1712</v>
      </c>
      <c r="EX71" s="48" t="s">
        <v>1710</v>
      </c>
      <c r="EY71" s="48" t="s">
        <v>1848</v>
      </c>
      <c r="EZ71" s="48" t="s">
        <v>1710</v>
      </c>
      <c r="FA71" s="48" t="s">
        <v>1710</v>
      </c>
      <c r="FB71" s="48" t="s">
        <v>1712</v>
      </c>
      <c r="FC71" s="48" t="s">
        <v>1710</v>
      </c>
      <c r="FD71" s="48" t="s">
        <v>1710</v>
      </c>
      <c r="FE71" s="48" t="s">
        <v>1814</v>
      </c>
      <c r="FF71" s="48" t="s">
        <v>1815</v>
      </c>
      <c r="FG71" s="48" t="s">
        <v>1710</v>
      </c>
      <c r="FH71">
        <v>1</v>
      </c>
      <c r="FI71" s="48" t="s">
        <v>1846</v>
      </c>
      <c r="FJ71">
        <v>3297.97</v>
      </c>
      <c r="FK71">
        <v>3297.97</v>
      </c>
      <c r="FL71" s="48" t="s">
        <v>3392</v>
      </c>
      <c r="FM71" s="48" t="s">
        <v>3391</v>
      </c>
      <c r="FN71" s="48" t="s">
        <v>1710</v>
      </c>
      <c r="FO71" s="48" t="s">
        <v>1710</v>
      </c>
      <c r="FP71" s="48" t="s">
        <v>1710</v>
      </c>
      <c r="FQ71" s="48" t="s">
        <v>1710</v>
      </c>
      <c r="FR71" s="48" t="s">
        <v>1710</v>
      </c>
      <c r="FS71" s="48" t="s">
        <v>1710</v>
      </c>
      <c r="FT71" s="48" t="s">
        <v>1710</v>
      </c>
      <c r="FU71" s="48" t="s">
        <v>1710</v>
      </c>
      <c r="FV71" s="48"/>
      <c r="FW71" s="56"/>
      <c r="FX71" s="56"/>
      <c r="FY71" s="56"/>
      <c r="FZ71" s="56"/>
      <c r="GA71" s="55" t="str">
        <f t="shared" si="5"/>
        <v>4388426300367X</v>
      </c>
      <c r="GB71" t="str">
        <f>VLOOKUP(B71,수출코드!$C$2:$D$4,2,FALSE)</f>
        <v>Suwon</v>
      </c>
      <c r="GC71" t="str">
        <f>VLOOKUP(L71,수출코드!$A$2:$B$6,2,FALSE)</f>
        <v/>
      </c>
      <c r="GD71" t="str">
        <f>VLOOKUP(M71,수출코드!$E$2:$F$5,2,FALSE)</f>
        <v>일반</v>
      </c>
      <c r="GE71" s="61">
        <f t="shared" si="3"/>
        <v>45972.397916666669</v>
      </c>
      <c r="GF71" s="62">
        <f t="shared" si="4"/>
        <v>46049.431944444441</v>
      </c>
      <c r="GI71" s="48" t="s">
        <v>2746</v>
      </c>
    </row>
    <row r="72" spans="1:191">
      <c r="A72" s="48" t="s">
        <v>3393</v>
      </c>
      <c r="B72" s="48" t="s">
        <v>1821</v>
      </c>
      <c r="C72" s="48" t="s">
        <v>2048</v>
      </c>
      <c r="D72" s="48" t="s">
        <v>2813</v>
      </c>
      <c r="E72" s="48" t="s">
        <v>3393</v>
      </c>
      <c r="F72" s="48" t="s">
        <v>1710</v>
      </c>
      <c r="G72" s="48" t="s">
        <v>2814</v>
      </c>
      <c r="H72" s="48" t="s">
        <v>3394</v>
      </c>
      <c r="I72" s="48" t="s">
        <v>1884</v>
      </c>
      <c r="J72" s="48" t="s">
        <v>2850</v>
      </c>
      <c r="K72" s="48" t="s">
        <v>1877</v>
      </c>
      <c r="L72" s="48" t="s">
        <v>1842</v>
      </c>
      <c r="M72" s="48" t="s">
        <v>1810</v>
      </c>
      <c r="N72" s="48" t="s">
        <v>1842</v>
      </c>
      <c r="O72" s="48" t="s">
        <v>1811</v>
      </c>
      <c r="P72" s="48" t="s">
        <v>2549</v>
      </c>
      <c r="Q72" s="48" t="s">
        <v>2049</v>
      </c>
      <c r="R72" s="48" t="s">
        <v>1838</v>
      </c>
      <c r="S72" s="48" t="s">
        <v>2050</v>
      </c>
      <c r="T72" s="48" t="s">
        <v>1845</v>
      </c>
      <c r="U72" s="48" t="s">
        <v>2049</v>
      </c>
      <c r="V72" s="48" t="s">
        <v>1838</v>
      </c>
      <c r="W72" s="48" t="s">
        <v>2051</v>
      </c>
      <c r="X72" s="48" t="s">
        <v>2052</v>
      </c>
      <c r="Y72" s="48" t="s">
        <v>2050</v>
      </c>
      <c r="Z72" s="48" t="s">
        <v>2053</v>
      </c>
      <c r="AA72" s="48" t="s">
        <v>2054</v>
      </c>
      <c r="AB72" s="48" t="s">
        <v>2817</v>
      </c>
      <c r="AC72" s="48" t="s">
        <v>2055</v>
      </c>
      <c r="AD72" s="48" t="s">
        <v>2056</v>
      </c>
      <c r="AE72" s="48" t="s">
        <v>1710</v>
      </c>
      <c r="AF72" s="48" t="s">
        <v>1710</v>
      </c>
      <c r="AG72" s="48" t="s">
        <v>2057</v>
      </c>
      <c r="AH72" s="48" t="s">
        <v>1815</v>
      </c>
      <c r="AI72" s="48" t="s">
        <v>2058</v>
      </c>
      <c r="AJ72" s="48" t="s">
        <v>1710</v>
      </c>
      <c r="AK72" s="48" t="s">
        <v>2100</v>
      </c>
      <c r="AL72" s="48" t="s">
        <v>2101</v>
      </c>
      <c r="AM72" s="48" t="s">
        <v>1816</v>
      </c>
      <c r="AN72" s="48" t="s">
        <v>2054</v>
      </c>
      <c r="AO72" s="48" t="s">
        <v>1710</v>
      </c>
      <c r="AP72" s="48" t="s">
        <v>1874</v>
      </c>
      <c r="AQ72" s="48" t="s">
        <v>2078</v>
      </c>
      <c r="AR72" s="48" t="s">
        <v>1812</v>
      </c>
      <c r="AS72" s="48" t="s">
        <v>1813</v>
      </c>
      <c r="AT72" s="48" t="s">
        <v>1826</v>
      </c>
      <c r="AU72" s="48" t="s">
        <v>2061</v>
      </c>
      <c r="AV72" s="48" t="s">
        <v>2850</v>
      </c>
      <c r="AW72" s="48" t="s">
        <v>2062</v>
      </c>
      <c r="AX72" s="48" t="s">
        <v>2063</v>
      </c>
      <c r="AY72" s="48" t="s">
        <v>1710</v>
      </c>
      <c r="AZ72" s="48" t="s">
        <v>3395</v>
      </c>
      <c r="BA72" s="48" t="s">
        <v>1710</v>
      </c>
      <c r="BB72" s="48" t="s">
        <v>1709</v>
      </c>
      <c r="BC72" s="48" t="s">
        <v>1710</v>
      </c>
      <c r="BD72" s="48" t="s">
        <v>2089</v>
      </c>
      <c r="BE72" s="52" t="s">
        <v>3349</v>
      </c>
      <c r="BF72" s="48" t="s">
        <v>1710</v>
      </c>
      <c r="BG72" s="48" t="s">
        <v>1817</v>
      </c>
      <c r="BH72">
        <v>20</v>
      </c>
      <c r="BI72" s="48" t="s">
        <v>1888</v>
      </c>
      <c r="BJ72">
        <v>1</v>
      </c>
      <c r="BK72">
        <v>1473.06</v>
      </c>
      <c r="BL72">
        <v>20028382</v>
      </c>
      <c r="BM72">
        <v>13596</v>
      </c>
      <c r="BN72" s="48" t="s">
        <v>2064</v>
      </c>
      <c r="BO72" s="48" t="s">
        <v>2065</v>
      </c>
      <c r="BP72">
        <v>1473.06</v>
      </c>
      <c r="BQ72">
        <v>13684.02</v>
      </c>
      <c r="BR72" s="48" t="s">
        <v>1885</v>
      </c>
      <c r="BS72" s="48" t="s">
        <v>2066</v>
      </c>
      <c r="BT72">
        <v>1</v>
      </c>
      <c r="BU72">
        <v>129000</v>
      </c>
      <c r="BV72">
        <v>129000</v>
      </c>
      <c r="BW72" s="48" t="s">
        <v>2065</v>
      </c>
      <c r="BX72">
        <v>1473.06</v>
      </c>
      <c r="BY72">
        <v>0</v>
      </c>
      <c r="BZ72">
        <v>0</v>
      </c>
      <c r="CA72" s="48" t="s">
        <v>2065</v>
      </c>
      <c r="CB72">
        <v>1473.06</v>
      </c>
      <c r="CC72">
        <v>0</v>
      </c>
      <c r="CD72">
        <v>0</v>
      </c>
      <c r="CE72" s="48" t="s">
        <v>1710</v>
      </c>
      <c r="CF72" s="48" t="s">
        <v>1710</v>
      </c>
      <c r="CG72" s="48" t="s">
        <v>1710</v>
      </c>
      <c r="CH72" s="48" t="s">
        <v>1710</v>
      </c>
      <c r="CI72" s="48" t="s">
        <v>2067</v>
      </c>
      <c r="CJ72" s="48" t="s">
        <v>1710</v>
      </c>
      <c r="CL72" s="48" t="s">
        <v>2850</v>
      </c>
      <c r="CM72" s="48" t="s">
        <v>1710</v>
      </c>
      <c r="CN72" s="48" t="s">
        <v>2068</v>
      </c>
      <c r="CO72" s="48" t="s">
        <v>2069</v>
      </c>
      <c r="CP72" s="48" t="s">
        <v>1710</v>
      </c>
      <c r="CQ72" s="48" t="s">
        <v>1710</v>
      </c>
      <c r="CR72" s="48" t="s">
        <v>1710</v>
      </c>
      <c r="CS72" s="48" t="s">
        <v>1710</v>
      </c>
      <c r="CT72" s="48" t="s">
        <v>1710</v>
      </c>
      <c r="CU72" s="48" t="s">
        <v>1712</v>
      </c>
      <c r="CV72" s="48" t="s">
        <v>1710</v>
      </c>
      <c r="CW72" s="48" t="s">
        <v>1710</v>
      </c>
      <c r="CX72" s="48" t="s">
        <v>3014</v>
      </c>
      <c r="CY72" s="48" t="s">
        <v>1710</v>
      </c>
      <c r="CZ72" s="48" t="s">
        <v>1712</v>
      </c>
      <c r="DA72" s="48" t="s">
        <v>1710</v>
      </c>
      <c r="DB72" s="48" t="s">
        <v>1878</v>
      </c>
      <c r="DC72" s="48" t="s">
        <v>2070</v>
      </c>
      <c r="DD72" s="48" t="s">
        <v>1842</v>
      </c>
      <c r="DE72" s="48" t="s">
        <v>1886</v>
      </c>
      <c r="DF72" s="48" t="s">
        <v>3396</v>
      </c>
      <c r="DG72" s="48" t="s">
        <v>2071</v>
      </c>
      <c r="DH72" s="48" t="s">
        <v>1712</v>
      </c>
      <c r="DI72" s="48" t="s">
        <v>1710</v>
      </c>
      <c r="DJ72" s="48" t="s">
        <v>1710</v>
      </c>
      <c r="DK72" s="48" t="s">
        <v>1710</v>
      </c>
      <c r="DL72" s="48" t="s">
        <v>1710</v>
      </c>
      <c r="DM72" s="48" t="s">
        <v>1710</v>
      </c>
      <c r="DN72" s="48" t="s">
        <v>1710</v>
      </c>
      <c r="DO72" s="48" t="s">
        <v>1710</v>
      </c>
      <c r="DP72" s="48" t="s">
        <v>1710</v>
      </c>
      <c r="DQ72" s="48" t="s">
        <v>1710</v>
      </c>
      <c r="DR72" s="48" t="s">
        <v>2072</v>
      </c>
      <c r="DS72" s="48" t="s">
        <v>1710</v>
      </c>
      <c r="DT72" s="48" t="s">
        <v>1710</v>
      </c>
      <c r="DU72" s="48" t="s">
        <v>2547</v>
      </c>
      <c r="DV72" s="48" t="s">
        <v>2850</v>
      </c>
      <c r="DW72" s="48" t="s">
        <v>1710</v>
      </c>
      <c r="DX72" s="48" t="s">
        <v>3397</v>
      </c>
      <c r="DY72" s="48" t="s">
        <v>1709</v>
      </c>
      <c r="DZ72" s="48" t="s">
        <v>2562</v>
      </c>
      <c r="EA72" s="48" t="s">
        <v>2546</v>
      </c>
      <c r="EB72">
        <v>0</v>
      </c>
      <c r="EC72" s="48" t="s">
        <v>2547</v>
      </c>
      <c r="ED72" s="48" t="s">
        <v>3398</v>
      </c>
      <c r="EE72" s="48" t="s">
        <v>1814</v>
      </c>
      <c r="EF72" s="48" t="s">
        <v>1849</v>
      </c>
      <c r="EG72" s="48" t="s">
        <v>3395</v>
      </c>
      <c r="EH72">
        <v>2.1000000000000001E-2</v>
      </c>
      <c r="EI72" s="48" t="s">
        <v>1888</v>
      </c>
      <c r="EJ72">
        <v>1</v>
      </c>
      <c r="EK72" s="48" t="s">
        <v>1887</v>
      </c>
      <c r="EL72">
        <v>1</v>
      </c>
      <c r="EM72" s="48" t="s">
        <v>1886</v>
      </c>
      <c r="EN72">
        <v>2.1000000000000001E-2</v>
      </c>
      <c r="EO72" s="48" t="s">
        <v>2526</v>
      </c>
      <c r="EP72" s="48" t="s">
        <v>3344</v>
      </c>
      <c r="EQ72">
        <v>149.09</v>
      </c>
      <c r="ER72">
        <v>149.09</v>
      </c>
      <c r="ES72">
        <v>218213</v>
      </c>
      <c r="ET72">
        <v>148</v>
      </c>
      <c r="EU72" s="48" t="s">
        <v>1710</v>
      </c>
      <c r="EV72" s="48" t="s">
        <v>1710</v>
      </c>
      <c r="EW72" s="48" t="s">
        <v>1712</v>
      </c>
      <c r="EX72" s="48" t="s">
        <v>1710</v>
      </c>
      <c r="EY72" s="48" t="s">
        <v>1848</v>
      </c>
      <c r="EZ72" s="48" t="s">
        <v>1710</v>
      </c>
      <c r="FA72" s="48" t="s">
        <v>1710</v>
      </c>
      <c r="FB72" s="48" t="s">
        <v>1712</v>
      </c>
      <c r="FC72" s="48" t="s">
        <v>1710</v>
      </c>
      <c r="FD72" s="48" t="s">
        <v>1710</v>
      </c>
      <c r="FE72" s="48" t="s">
        <v>1814</v>
      </c>
      <c r="FF72" s="48" t="s">
        <v>1815</v>
      </c>
      <c r="FG72" s="48" t="s">
        <v>1710</v>
      </c>
      <c r="FH72">
        <v>1</v>
      </c>
      <c r="FI72" s="48" t="s">
        <v>1846</v>
      </c>
      <c r="FJ72">
        <v>149.09</v>
      </c>
      <c r="FK72">
        <v>149.09</v>
      </c>
      <c r="FL72" s="48" t="s">
        <v>3345</v>
      </c>
      <c r="FM72" s="48" t="s">
        <v>3344</v>
      </c>
      <c r="FN72" s="48" t="s">
        <v>1710</v>
      </c>
      <c r="FO72" s="48" t="s">
        <v>1710</v>
      </c>
      <c r="FP72" s="48" t="s">
        <v>1710</v>
      </c>
      <c r="FQ72" s="48" t="s">
        <v>1710</v>
      </c>
      <c r="FR72" s="48" t="s">
        <v>1710</v>
      </c>
      <c r="FS72" s="48" t="s">
        <v>1710</v>
      </c>
      <c r="FT72" s="48" t="s">
        <v>1710</v>
      </c>
      <c r="FU72" s="48" t="s">
        <v>1710</v>
      </c>
      <c r="FV72" s="48"/>
      <c r="FW72" s="56"/>
      <c r="FX72" s="56"/>
      <c r="FY72" s="56"/>
      <c r="FZ72" s="56"/>
      <c r="GA72" s="55" t="str">
        <f t="shared" si="5"/>
        <v>4388426300368X</v>
      </c>
      <c r="GB72" t="str">
        <f>VLOOKUP(B72,수출코드!$C$2:$D$4,2,FALSE)</f>
        <v>Suwon</v>
      </c>
      <c r="GC72" t="str">
        <f>VLOOKUP(L72,수출코드!$A$2:$B$6,2,FALSE)</f>
        <v/>
      </c>
      <c r="GD72" t="str">
        <f>VLOOKUP(M72,수출코드!$E$2:$F$5,2,FALSE)</f>
        <v>일반</v>
      </c>
      <c r="GE72" s="61">
        <f t="shared" si="3"/>
        <v>45972.4</v>
      </c>
      <c r="GF72" s="62">
        <f t="shared" si="4"/>
        <v>46049.436111111114</v>
      </c>
      <c r="GI72" s="48" t="s">
        <v>2747</v>
      </c>
    </row>
    <row r="73" spans="1:191">
      <c r="A73" s="48" t="s">
        <v>3399</v>
      </c>
      <c r="B73" s="48" t="s">
        <v>1821</v>
      </c>
      <c r="C73" s="48" t="s">
        <v>2048</v>
      </c>
      <c r="D73" s="48" t="s">
        <v>2813</v>
      </c>
      <c r="E73" s="48" t="s">
        <v>3399</v>
      </c>
      <c r="F73" s="48" t="s">
        <v>1710</v>
      </c>
      <c r="G73" s="48" t="s">
        <v>2814</v>
      </c>
      <c r="H73" s="48" t="s">
        <v>3400</v>
      </c>
      <c r="I73" s="48" t="s">
        <v>1884</v>
      </c>
      <c r="J73" s="48" t="s">
        <v>2850</v>
      </c>
      <c r="K73" s="48" t="s">
        <v>1877</v>
      </c>
      <c r="L73" s="48" t="s">
        <v>1842</v>
      </c>
      <c r="M73" s="48" t="s">
        <v>1810</v>
      </c>
      <c r="N73" s="48" t="s">
        <v>1842</v>
      </c>
      <c r="O73" s="48" t="s">
        <v>1811</v>
      </c>
      <c r="P73" s="48" t="s">
        <v>2549</v>
      </c>
      <c r="Q73" s="48" t="s">
        <v>2049</v>
      </c>
      <c r="R73" s="48" t="s">
        <v>1838</v>
      </c>
      <c r="S73" s="48" t="s">
        <v>2050</v>
      </c>
      <c r="T73" s="48" t="s">
        <v>1845</v>
      </c>
      <c r="U73" s="48" t="s">
        <v>2049</v>
      </c>
      <c r="V73" s="48" t="s">
        <v>1838</v>
      </c>
      <c r="W73" s="48" t="s">
        <v>2051</v>
      </c>
      <c r="X73" s="48" t="s">
        <v>2052</v>
      </c>
      <c r="Y73" s="48" t="s">
        <v>2050</v>
      </c>
      <c r="Z73" s="48" t="s">
        <v>2053</v>
      </c>
      <c r="AA73" s="48" t="s">
        <v>2054</v>
      </c>
      <c r="AB73" s="48" t="s">
        <v>2817</v>
      </c>
      <c r="AC73" s="48" t="s">
        <v>2055</v>
      </c>
      <c r="AD73" s="48" t="s">
        <v>2056</v>
      </c>
      <c r="AE73" s="48" t="s">
        <v>1710</v>
      </c>
      <c r="AF73" s="48" t="s">
        <v>1710</v>
      </c>
      <c r="AG73" s="48" t="s">
        <v>2057</v>
      </c>
      <c r="AH73" s="48" t="s">
        <v>1815</v>
      </c>
      <c r="AI73" s="48" t="s">
        <v>2058</v>
      </c>
      <c r="AJ73" s="48" t="s">
        <v>1710</v>
      </c>
      <c r="AK73" s="48" t="s">
        <v>2560</v>
      </c>
      <c r="AL73" s="48" t="s">
        <v>2561</v>
      </c>
      <c r="AM73" s="48" t="s">
        <v>1816</v>
      </c>
      <c r="AN73" s="48" t="s">
        <v>2054</v>
      </c>
      <c r="AO73" s="48" t="s">
        <v>1710</v>
      </c>
      <c r="AP73" s="48" t="s">
        <v>1855</v>
      </c>
      <c r="AQ73" s="48" t="s">
        <v>2076</v>
      </c>
      <c r="AR73" s="48" t="s">
        <v>1812</v>
      </c>
      <c r="AS73" s="48" t="s">
        <v>1813</v>
      </c>
      <c r="AT73" s="48" t="s">
        <v>1826</v>
      </c>
      <c r="AU73" s="48" t="s">
        <v>2061</v>
      </c>
      <c r="AV73" s="48" t="s">
        <v>2850</v>
      </c>
      <c r="AW73" s="48" t="s">
        <v>2062</v>
      </c>
      <c r="AX73" s="48" t="s">
        <v>2063</v>
      </c>
      <c r="AY73" s="48" t="s">
        <v>1710</v>
      </c>
      <c r="AZ73" s="48" t="s">
        <v>3401</v>
      </c>
      <c r="BA73" s="48" t="s">
        <v>1710</v>
      </c>
      <c r="BB73" s="48" t="s">
        <v>1709</v>
      </c>
      <c r="BC73" s="48" t="s">
        <v>1710</v>
      </c>
      <c r="BD73" s="48" t="s">
        <v>2089</v>
      </c>
      <c r="BE73" s="52" t="s">
        <v>3349</v>
      </c>
      <c r="BF73" s="48" t="s">
        <v>1710</v>
      </c>
      <c r="BG73" s="48" t="s">
        <v>1814</v>
      </c>
      <c r="BH73">
        <v>6</v>
      </c>
      <c r="BI73" s="48" t="s">
        <v>1888</v>
      </c>
      <c r="BJ73">
        <v>1</v>
      </c>
      <c r="BK73">
        <v>1473.06</v>
      </c>
      <c r="BL73">
        <v>27553075</v>
      </c>
      <c r="BM73">
        <v>18705</v>
      </c>
      <c r="BN73" s="48" t="s">
        <v>2064</v>
      </c>
      <c r="BO73" s="48" t="s">
        <v>2065</v>
      </c>
      <c r="BP73">
        <v>1473.06</v>
      </c>
      <c r="BQ73">
        <v>18732.349999999999</v>
      </c>
      <c r="BR73" s="48" t="s">
        <v>1885</v>
      </c>
      <c r="BS73" s="48" t="s">
        <v>2066</v>
      </c>
      <c r="BT73">
        <v>1</v>
      </c>
      <c r="BU73">
        <v>40800</v>
      </c>
      <c r="BV73">
        <v>40800</v>
      </c>
      <c r="BW73" s="48" t="s">
        <v>2065</v>
      </c>
      <c r="BX73">
        <v>1473.06</v>
      </c>
      <c r="BY73">
        <v>0</v>
      </c>
      <c r="BZ73">
        <v>0</v>
      </c>
      <c r="CA73" s="48" t="s">
        <v>2065</v>
      </c>
      <c r="CB73">
        <v>1473.06</v>
      </c>
      <c r="CC73">
        <v>0</v>
      </c>
      <c r="CD73">
        <v>0</v>
      </c>
      <c r="CE73" s="48" t="s">
        <v>1710</v>
      </c>
      <c r="CF73" s="48" t="s">
        <v>1710</v>
      </c>
      <c r="CG73" s="48" t="s">
        <v>1710</v>
      </c>
      <c r="CH73" s="48" t="s">
        <v>1710</v>
      </c>
      <c r="CI73" s="48" t="s">
        <v>2067</v>
      </c>
      <c r="CJ73" s="48" t="s">
        <v>1710</v>
      </c>
      <c r="CL73" s="48" t="s">
        <v>2850</v>
      </c>
      <c r="CM73" s="48" t="s">
        <v>1710</v>
      </c>
      <c r="CN73" s="48" t="s">
        <v>2068</v>
      </c>
      <c r="CO73" s="48" t="s">
        <v>2069</v>
      </c>
      <c r="CP73" s="48" t="s">
        <v>1710</v>
      </c>
      <c r="CQ73" s="48" t="s">
        <v>1710</v>
      </c>
      <c r="CR73" s="48" t="s">
        <v>1710</v>
      </c>
      <c r="CS73" s="48" t="s">
        <v>1710</v>
      </c>
      <c r="CT73" s="48" t="s">
        <v>1710</v>
      </c>
      <c r="CU73" s="48" t="s">
        <v>1712</v>
      </c>
      <c r="CV73" s="48" t="s">
        <v>1710</v>
      </c>
      <c r="CW73" s="48" t="s">
        <v>1710</v>
      </c>
      <c r="CX73" s="48" t="s">
        <v>3014</v>
      </c>
      <c r="CY73" s="48" t="s">
        <v>1710</v>
      </c>
      <c r="CZ73" s="48" t="s">
        <v>1712</v>
      </c>
      <c r="DA73" s="48" t="s">
        <v>1710</v>
      </c>
      <c r="DB73" s="48" t="s">
        <v>1878</v>
      </c>
      <c r="DC73" s="48" t="s">
        <v>2070</v>
      </c>
      <c r="DD73" s="48" t="s">
        <v>1842</v>
      </c>
      <c r="DE73" s="48" t="s">
        <v>1886</v>
      </c>
      <c r="DF73" s="48" t="s">
        <v>3402</v>
      </c>
      <c r="DG73" s="48" t="s">
        <v>2071</v>
      </c>
      <c r="DH73" s="48" t="s">
        <v>1712</v>
      </c>
      <c r="DI73" s="48" t="s">
        <v>1710</v>
      </c>
      <c r="DJ73" s="48" t="s">
        <v>1710</v>
      </c>
      <c r="DK73" s="48" t="s">
        <v>1710</v>
      </c>
      <c r="DL73" s="48" t="s">
        <v>1710</v>
      </c>
      <c r="DM73" s="48" t="s">
        <v>1710</v>
      </c>
      <c r="DN73" s="48" t="s">
        <v>1710</v>
      </c>
      <c r="DO73" s="48" t="s">
        <v>1710</v>
      </c>
      <c r="DP73" s="48" t="s">
        <v>1710</v>
      </c>
      <c r="DQ73" s="48" t="s">
        <v>1710</v>
      </c>
      <c r="DR73" s="48" t="s">
        <v>2072</v>
      </c>
      <c r="DS73" s="48" t="s">
        <v>1710</v>
      </c>
      <c r="DT73" s="48" t="s">
        <v>1710</v>
      </c>
      <c r="DU73" s="48" t="s">
        <v>2547</v>
      </c>
      <c r="DV73" s="48" t="s">
        <v>2850</v>
      </c>
      <c r="DW73" s="48" t="s">
        <v>1710</v>
      </c>
      <c r="DX73" s="48" t="s">
        <v>3403</v>
      </c>
      <c r="DY73" s="48" t="s">
        <v>1709</v>
      </c>
      <c r="DZ73" s="48" t="s">
        <v>2562</v>
      </c>
      <c r="EA73" s="48" t="s">
        <v>2546</v>
      </c>
      <c r="EB73">
        <v>0</v>
      </c>
      <c r="EC73" s="48" t="s">
        <v>2547</v>
      </c>
      <c r="ED73" s="48" t="s">
        <v>3398</v>
      </c>
      <c r="EE73" s="48" t="s">
        <v>1814</v>
      </c>
      <c r="EF73" s="48" t="s">
        <v>2555</v>
      </c>
      <c r="EG73" s="48" t="s">
        <v>3401</v>
      </c>
      <c r="EH73">
        <v>5</v>
      </c>
      <c r="EI73" s="48" t="s">
        <v>1888</v>
      </c>
      <c r="EJ73">
        <v>1</v>
      </c>
      <c r="EK73" s="48" t="s">
        <v>1887</v>
      </c>
      <c r="EL73">
        <v>1</v>
      </c>
      <c r="EM73" s="48" t="s">
        <v>1886</v>
      </c>
      <c r="EN73">
        <v>5</v>
      </c>
      <c r="EO73" s="48" t="s">
        <v>2556</v>
      </c>
      <c r="EP73" s="48" t="s">
        <v>3404</v>
      </c>
      <c r="EQ73">
        <v>18732.349999999999</v>
      </c>
      <c r="ER73">
        <v>18732.349999999999</v>
      </c>
      <c r="ES73">
        <v>27553075</v>
      </c>
      <c r="ET73">
        <v>18705</v>
      </c>
      <c r="EU73" s="48" t="s">
        <v>1710</v>
      </c>
      <c r="EV73" s="48" t="s">
        <v>1710</v>
      </c>
      <c r="EW73" s="48" t="s">
        <v>1712</v>
      </c>
      <c r="EX73" s="48" t="s">
        <v>1710</v>
      </c>
      <c r="EY73" s="48" t="s">
        <v>1851</v>
      </c>
      <c r="EZ73" s="48" t="s">
        <v>1710</v>
      </c>
      <c r="FA73" s="48" t="s">
        <v>1710</v>
      </c>
      <c r="FB73" s="48" t="s">
        <v>1712</v>
      </c>
      <c r="FC73" s="48" t="s">
        <v>1710</v>
      </c>
      <c r="FD73" s="48" t="s">
        <v>1710</v>
      </c>
      <c r="FE73" s="48" t="s">
        <v>1814</v>
      </c>
      <c r="FF73" s="48" t="s">
        <v>1815</v>
      </c>
      <c r="FG73" s="48" t="s">
        <v>1710</v>
      </c>
      <c r="FH73">
        <v>1</v>
      </c>
      <c r="FI73" s="48" t="s">
        <v>1846</v>
      </c>
      <c r="FJ73">
        <v>18732.349999999999</v>
      </c>
      <c r="FK73">
        <v>18732.349999999999</v>
      </c>
      <c r="FL73" s="48" t="s">
        <v>3405</v>
      </c>
      <c r="FM73" s="48" t="s">
        <v>3404</v>
      </c>
      <c r="FN73" s="48" t="s">
        <v>1710</v>
      </c>
      <c r="FO73" s="48" t="s">
        <v>1710</v>
      </c>
      <c r="FP73" s="48" t="s">
        <v>1710</v>
      </c>
      <c r="FQ73" s="48" t="s">
        <v>1710</v>
      </c>
      <c r="FR73" s="48" t="s">
        <v>1710</v>
      </c>
      <c r="FS73" s="48" t="s">
        <v>1710</v>
      </c>
      <c r="FT73" s="48" t="s">
        <v>1710</v>
      </c>
      <c r="FU73" s="48" t="s">
        <v>1710</v>
      </c>
      <c r="FV73" s="48"/>
      <c r="FW73" s="56"/>
      <c r="FX73" s="56"/>
      <c r="FY73" s="56"/>
      <c r="FZ73" s="56"/>
      <c r="GA73" s="55" t="str">
        <f t="shared" si="5"/>
        <v>4388426300369X</v>
      </c>
      <c r="GB73" t="str">
        <f>VLOOKUP(B73,수출코드!$C$2:$D$4,2,FALSE)</f>
        <v>Suwon</v>
      </c>
      <c r="GC73" t="str">
        <f>VLOOKUP(L73,수출코드!$A$2:$B$6,2,FALSE)</f>
        <v/>
      </c>
      <c r="GD73" t="str">
        <f>VLOOKUP(M73,수출코드!$E$2:$F$5,2,FALSE)</f>
        <v>일반</v>
      </c>
      <c r="GE73" s="61">
        <f t="shared" si="3"/>
        <v>45972.418055555558</v>
      </c>
      <c r="GF73" s="62">
        <f t="shared" si="4"/>
        <v>46049.436111111114</v>
      </c>
      <c r="GI73" s="48" t="s">
        <v>2748</v>
      </c>
    </row>
    <row r="74" spans="1:191">
      <c r="A74" s="48" t="s">
        <v>3406</v>
      </c>
      <c r="B74" s="48" t="s">
        <v>1821</v>
      </c>
      <c r="C74" s="48" t="s">
        <v>2048</v>
      </c>
      <c r="D74" s="48" t="s">
        <v>2813</v>
      </c>
      <c r="E74" s="48" t="s">
        <v>3406</v>
      </c>
      <c r="F74" s="48" t="s">
        <v>1710</v>
      </c>
      <c r="G74" s="48" t="s">
        <v>2814</v>
      </c>
      <c r="H74" s="48" t="s">
        <v>3407</v>
      </c>
      <c r="I74" s="48" t="s">
        <v>1884</v>
      </c>
      <c r="J74" s="48" t="s">
        <v>2850</v>
      </c>
      <c r="K74" s="48" t="s">
        <v>1877</v>
      </c>
      <c r="L74" s="48" t="s">
        <v>1842</v>
      </c>
      <c r="M74" s="48" t="s">
        <v>1810</v>
      </c>
      <c r="N74" s="48" t="s">
        <v>1842</v>
      </c>
      <c r="O74" s="48" t="s">
        <v>1811</v>
      </c>
      <c r="P74" s="48" t="s">
        <v>2549</v>
      </c>
      <c r="Q74" s="48" t="s">
        <v>2049</v>
      </c>
      <c r="R74" s="48" t="s">
        <v>1838</v>
      </c>
      <c r="S74" s="48" t="s">
        <v>2050</v>
      </c>
      <c r="T74" s="48" t="s">
        <v>1845</v>
      </c>
      <c r="U74" s="48" t="s">
        <v>2049</v>
      </c>
      <c r="V74" s="48" t="s">
        <v>1838</v>
      </c>
      <c r="W74" s="48" t="s">
        <v>2051</v>
      </c>
      <c r="X74" s="48" t="s">
        <v>2052</v>
      </c>
      <c r="Y74" s="48" t="s">
        <v>2050</v>
      </c>
      <c r="Z74" s="48" t="s">
        <v>2053</v>
      </c>
      <c r="AA74" s="48" t="s">
        <v>2054</v>
      </c>
      <c r="AB74" s="48" t="s">
        <v>2817</v>
      </c>
      <c r="AC74" s="48" t="s">
        <v>2055</v>
      </c>
      <c r="AD74" s="48" t="s">
        <v>2056</v>
      </c>
      <c r="AE74" s="48" t="s">
        <v>1710</v>
      </c>
      <c r="AF74" s="48" t="s">
        <v>1710</v>
      </c>
      <c r="AG74" s="48" t="s">
        <v>2057</v>
      </c>
      <c r="AH74" s="48" t="s">
        <v>1815</v>
      </c>
      <c r="AI74" s="48" t="s">
        <v>2058</v>
      </c>
      <c r="AJ74" s="48" t="s">
        <v>1710</v>
      </c>
      <c r="AK74" s="48" t="s">
        <v>2098</v>
      </c>
      <c r="AL74" s="48" t="s">
        <v>1856</v>
      </c>
      <c r="AM74" s="48" t="s">
        <v>1816</v>
      </c>
      <c r="AN74" s="48" t="s">
        <v>2054</v>
      </c>
      <c r="AO74" s="48" t="s">
        <v>1710</v>
      </c>
      <c r="AP74" s="48" t="s">
        <v>1855</v>
      </c>
      <c r="AQ74" s="48" t="s">
        <v>2076</v>
      </c>
      <c r="AR74" s="48" t="s">
        <v>1812</v>
      </c>
      <c r="AS74" s="48" t="s">
        <v>1813</v>
      </c>
      <c r="AT74" s="48" t="s">
        <v>1826</v>
      </c>
      <c r="AU74" s="48" t="s">
        <v>2061</v>
      </c>
      <c r="AV74" s="48" t="s">
        <v>2850</v>
      </c>
      <c r="AW74" s="48" t="s">
        <v>2062</v>
      </c>
      <c r="AX74" s="48" t="s">
        <v>2063</v>
      </c>
      <c r="AY74" s="48" t="s">
        <v>1710</v>
      </c>
      <c r="AZ74" s="48" t="s">
        <v>3408</v>
      </c>
      <c r="BA74" s="48" t="s">
        <v>1710</v>
      </c>
      <c r="BB74" s="48" t="s">
        <v>1709</v>
      </c>
      <c r="BC74" s="48" t="s">
        <v>1710</v>
      </c>
      <c r="BD74" s="48" t="s">
        <v>2089</v>
      </c>
      <c r="BE74" s="52" t="s">
        <v>3349</v>
      </c>
      <c r="BF74" s="48" t="s">
        <v>1710</v>
      </c>
      <c r="BG74" s="48" t="s">
        <v>1814</v>
      </c>
      <c r="BH74">
        <v>1</v>
      </c>
      <c r="BI74" s="48" t="s">
        <v>1888</v>
      </c>
      <c r="BJ74">
        <v>1</v>
      </c>
      <c r="BK74">
        <v>1473.06</v>
      </c>
      <c r="BL74">
        <v>433380</v>
      </c>
      <c r="BM74">
        <v>294</v>
      </c>
      <c r="BN74" s="48" t="s">
        <v>2064</v>
      </c>
      <c r="BO74" s="48" t="s">
        <v>2065</v>
      </c>
      <c r="BP74">
        <v>1473.06</v>
      </c>
      <c r="BQ74">
        <v>308.45999999999998</v>
      </c>
      <c r="BR74" s="48" t="s">
        <v>1885</v>
      </c>
      <c r="BS74" s="48" t="s">
        <v>2066</v>
      </c>
      <c r="BT74">
        <v>1</v>
      </c>
      <c r="BU74">
        <v>21000</v>
      </c>
      <c r="BV74">
        <v>21000</v>
      </c>
      <c r="BW74" s="48" t="s">
        <v>2065</v>
      </c>
      <c r="BX74">
        <v>1473.06</v>
      </c>
      <c r="BY74">
        <v>0</v>
      </c>
      <c r="BZ74">
        <v>0</v>
      </c>
      <c r="CA74" s="48" t="s">
        <v>2065</v>
      </c>
      <c r="CB74">
        <v>1473.06</v>
      </c>
      <c r="CC74">
        <v>0</v>
      </c>
      <c r="CD74">
        <v>0</v>
      </c>
      <c r="CE74" s="48" t="s">
        <v>1710</v>
      </c>
      <c r="CF74" s="48" t="s">
        <v>1710</v>
      </c>
      <c r="CG74" s="48" t="s">
        <v>1710</v>
      </c>
      <c r="CH74" s="48" t="s">
        <v>1710</v>
      </c>
      <c r="CI74" s="48" t="s">
        <v>2067</v>
      </c>
      <c r="CJ74" s="48" t="s">
        <v>1710</v>
      </c>
      <c r="CL74" s="48" t="s">
        <v>2850</v>
      </c>
      <c r="CM74" s="48" t="s">
        <v>1710</v>
      </c>
      <c r="CN74" s="48" t="s">
        <v>2068</v>
      </c>
      <c r="CO74" s="48" t="s">
        <v>2069</v>
      </c>
      <c r="CP74" s="48" t="s">
        <v>1710</v>
      </c>
      <c r="CQ74" s="48" t="s">
        <v>1710</v>
      </c>
      <c r="CR74" s="48" t="s">
        <v>1710</v>
      </c>
      <c r="CS74" s="48" t="s">
        <v>1710</v>
      </c>
      <c r="CT74" s="48" t="s">
        <v>1710</v>
      </c>
      <c r="CU74" s="48" t="s">
        <v>1712</v>
      </c>
      <c r="CV74" s="48" t="s">
        <v>1710</v>
      </c>
      <c r="CW74" s="48" t="s">
        <v>1710</v>
      </c>
      <c r="CX74" s="48" t="s">
        <v>3014</v>
      </c>
      <c r="CY74" s="48" t="s">
        <v>1710</v>
      </c>
      <c r="CZ74" s="48" t="s">
        <v>1712</v>
      </c>
      <c r="DA74" s="48" t="s">
        <v>1710</v>
      </c>
      <c r="DB74" s="48" t="s">
        <v>1878</v>
      </c>
      <c r="DC74" s="48" t="s">
        <v>2070</v>
      </c>
      <c r="DD74" s="48" t="s">
        <v>1842</v>
      </c>
      <c r="DE74" s="48" t="s">
        <v>1886</v>
      </c>
      <c r="DF74" s="48" t="s">
        <v>3409</v>
      </c>
      <c r="DG74" s="48" t="s">
        <v>2071</v>
      </c>
      <c r="DH74" s="48" t="s">
        <v>1712</v>
      </c>
      <c r="DI74" s="48" t="s">
        <v>1710</v>
      </c>
      <c r="DJ74" s="48" t="s">
        <v>1710</v>
      </c>
      <c r="DK74" s="48" t="s">
        <v>1710</v>
      </c>
      <c r="DL74" s="48" t="s">
        <v>1710</v>
      </c>
      <c r="DM74" s="48" t="s">
        <v>1710</v>
      </c>
      <c r="DN74" s="48" t="s">
        <v>1710</v>
      </c>
      <c r="DO74" s="48" t="s">
        <v>1710</v>
      </c>
      <c r="DP74" s="48" t="s">
        <v>1710</v>
      </c>
      <c r="DQ74" s="48" t="s">
        <v>1710</v>
      </c>
      <c r="DR74" s="48" t="s">
        <v>2072</v>
      </c>
      <c r="DS74" s="48" t="s">
        <v>1710</v>
      </c>
      <c r="DT74" s="48" t="s">
        <v>1710</v>
      </c>
      <c r="DU74" s="48" t="s">
        <v>2547</v>
      </c>
      <c r="DV74" s="48" t="s">
        <v>2850</v>
      </c>
      <c r="DW74" s="48" t="s">
        <v>1710</v>
      </c>
      <c r="DX74" s="48" t="s">
        <v>3410</v>
      </c>
      <c r="DY74" s="48" t="s">
        <v>1709</v>
      </c>
      <c r="DZ74" s="48" t="s">
        <v>2562</v>
      </c>
      <c r="EA74" s="48" t="s">
        <v>2546</v>
      </c>
      <c r="EB74">
        <v>0</v>
      </c>
      <c r="EC74" s="48" t="s">
        <v>2547</v>
      </c>
      <c r="ED74" s="48" t="s">
        <v>3398</v>
      </c>
      <c r="EE74" s="48" t="s">
        <v>1814</v>
      </c>
      <c r="EF74" s="48" t="s">
        <v>1861</v>
      </c>
      <c r="EG74" s="48" t="s">
        <v>3408</v>
      </c>
      <c r="EH74">
        <v>0.2</v>
      </c>
      <c r="EI74" s="48" t="s">
        <v>1888</v>
      </c>
      <c r="EJ74">
        <v>0</v>
      </c>
      <c r="EK74" s="48" t="s">
        <v>1710</v>
      </c>
      <c r="EL74">
        <v>1</v>
      </c>
      <c r="EM74" s="48" t="s">
        <v>1886</v>
      </c>
      <c r="EN74">
        <v>0.2</v>
      </c>
      <c r="EO74" s="48" t="s">
        <v>2518</v>
      </c>
      <c r="EP74" s="48" t="s">
        <v>3411</v>
      </c>
      <c r="EQ74">
        <v>308.45999999999998</v>
      </c>
      <c r="ER74">
        <v>308.45999999999998</v>
      </c>
      <c r="ES74">
        <v>433380</v>
      </c>
      <c r="ET74">
        <v>294</v>
      </c>
      <c r="EU74" s="48" t="s">
        <v>1710</v>
      </c>
      <c r="EV74" s="48" t="s">
        <v>1710</v>
      </c>
      <c r="EW74" s="48" t="s">
        <v>1712</v>
      </c>
      <c r="EX74" s="48" t="s">
        <v>1710</v>
      </c>
      <c r="EY74" s="48" t="s">
        <v>2714</v>
      </c>
      <c r="EZ74" s="48" t="s">
        <v>1710</v>
      </c>
      <c r="FA74" s="48" t="s">
        <v>1710</v>
      </c>
      <c r="FB74" s="48" t="s">
        <v>1712</v>
      </c>
      <c r="FC74" s="48" t="s">
        <v>1710</v>
      </c>
      <c r="FD74" s="48" t="s">
        <v>1710</v>
      </c>
      <c r="FE74" s="48" t="s">
        <v>1814</v>
      </c>
      <c r="FF74" s="48" t="s">
        <v>1815</v>
      </c>
      <c r="FG74" s="48" t="s">
        <v>1710</v>
      </c>
      <c r="FH74">
        <v>1</v>
      </c>
      <c r="FI74" s="48" t="s">
        <v>1846</v>
      </c>
      <c r="FJ74">
        <v>308.45999999999998</v>
      </c>
      <c r="FK74">
        <v>308.45999999999998</v>
      </c>
      <c r="FL74" s="48" t="s">
        <v>3412</v>
      </c>
      <c r="FM74" s="48" t="s">
        <v>3411</v>
      </c>
      <c r="FN74" s="48" t="s">
        <v>1710</v>
      </c>
      <c r="FO74" s="48" t="s">
        <v>1710</v>
      </c>
      <c r="FP74" s="48" t="s">
        <v>1710</v>
      </c>
      <c r="FQ74" s="48" t="s">
        <v>1710</v>
      </c>
      <c r="FR74" s="48" t="s">
        <v>1710</v>
      </c>
      <c r="FS74" s="48" t="s">
        <v>1710</v>
      </c>
      <c r="FT74" s="48" t="s">
        <v>1710</v>
      </c>
      <c r="FU74" s="48" t="s">
        <v>1710</v>
      </c>
      <c r="FV74" s="48"/>
      <c r="FW74" s="56"/>
      <c r="FX74" s="56"/>
      <c r="FY74" s="56"/>
      <c r="FZ74" s="56"/>
      <c r="GA74" s="55" t="str">
        <f t="shared" si="5"/>
        <v>4388426300370X</v>
      </c>
      <c r="GB74" t="str">
        <f>VLOOKUP(B74,수출코드!$C$2:$D$4,2,FALSE)</f>
        <v>Suwon</v>
      </c>
      <c r="GC74" t="str">
        <f>VLOOKUP(L74,수출코드!$A$2:$B$6,2,FALSE)</f>
        <v/>
      </c>
      <c r="GD74" t="str">
        <f>VLOOKUP(M74,수출코드!$E$2:$F$5,2,FALSE)</f>
        <v>일반</v>
      </c>
      <c r="GE74" s="61">
        <f t="shared" si="3"/>
        <v>45972.477083333331</v>
      </c>
      <c r="GF74" s="62">
        <f t="shared" si="4"/>
        <v>46049.436111111114</v>
      </c>
      <c r="GI74" s="48" t="s">
        <v>2749</v>
      </c>
    </row>
    <row r="75" spans="1:191">
      <c r="A75" s="48" t="s">
        <v>3413</v>
      </c>
      <c r="B75" s="48" t="s">
        <v>1821</v>
      </c>
      <c r="C75" s="48" t="s">
        <v>2048</v>
      </c>
      <c r="D75" s="48" t="s">
        <v>2813</v>
      </c>
      <c r="E75" s="48" t="s">
        <v>3413</v>
      </c>
      <c r="F75" s="48" t="s">
        <v>1710</v>
      </c>
      <c r="G75" s="48" t="s">
        <v>2814</v>
      </c>
      <c r="H75" s="48" t="s">
        <v>3414</v>
      </c>
      <c r="I75" s="48" t="s">
        <v>1884</v>
      </c>
      <c r="J75" s="48" t="s">
        <v>2850</v>
      </c>
      <c r="K75" s="48" t="s">
        <v>1877</v>
      </c>
      <c r="L75" s="48" t="s">
        <v>1842</v>
      </c>
      <c r="M75" s="48" t="s">
        <v>1810</v>
      </c>
      <c r="N75" s="48" t="s">
        <v>1842</v>
      </c>
      <c r="O75" s="48" t="s">
        <v>1811</v>
      </c>
      <c r="P75" s="48" t="s">
        <v>2549</v>
      </c>
      <c r="Q75" s="48" t="s">
        <v>2049</v>
      </c>
      <c r="R75" s="48" t="s">
        <v>1838</v>
      </c>
      <c r="S75" s="48" t="s">
        <v>2050</v>
      </c>
      <c r="T75" s="48" t="s">
        <v>1845</v>
      </c>
      <c r="U75" s="48" t="s">
        <v>2049</v>
      </c>
      <c r="V75" s="48" t="s">
        <v>1838</v>
      </c>
      <c r="W75" s="48" t="s">
        <v>2051</v>
      </c>
      <c r="X75" s="48" t="s">
        <v>2052</v>
      </c>
      <c r="Y75" s="48" t="s">
        <v>2050</v>
      </c>
      <c r="Z75" s="48" t="s">
        <v>2053</v>
      </c>
      <c r="AA75" s="48" t="s">
        <v>2054</v>
      </c>
      <c r="AB75" s="48" t="s">
        <v>2817</v>
      </c>
      <c r="AC75" s="48" t="s">
        <v>2055</v>
      </c>
      <c r="AD75" s="48" t="s">
        <v>2056</v>
      </c>
      <c r="AE75" s="48" t="s">
        <v>1710</v>
      </c>
      <c r="AF75" s="48" t="s">
        <v>1710</v>
      </c>
      <c r="AG75" s="48" t="s">
        <v>2057</v>
      </c>
      <c r="AH75" s="48" t="s">
        <v>1815</v>
      </c>
      <c r="AI75" s="48" t="s">
        <v>2058</v>
      </c>
      <c r="AJ75" s="48" t="s">
        <v>1710</v>
      </c>
      <c r="AK75" s="48" t="s">
        <v>2560</v>
      </c>
      <c r="AL75" s="48" t="s">
        <v>2561</v>
      </c>
      <c r="AM75" s="48" t="s">
        <v>1816</v>
      </c>
      <c r="AN75" s="48" t="s">
        <v>2054</v>
      </c>
      <c r="AO75" s="48" t="s">
        <v>1710</v>
      </c>
      <c r="AP75" s="48" t="s">
        <v>1855</v>
      </c>
      <c r="AQ75" s="48" t="s">
        <v>2076</v>
      </c>
      <c r="AR75" s="48" t="s">
        <v>1812</v>
      </c>
      <c r="AS75" s="48" t="s">
        <v>1813</v>
      </c>
      <c r="AT75" s="48" t="s">
        <v>1826</v>
      </c>
      <c r="AU75" s="48" t="s">
        <v>2061</v>
      </c>
      <c r="AV75" s="48" t="s">
        <v>2850</v>
      </c>
      <c r="AW75" s="48" t="s">
        <v>2062</v>
      </c>
      <c r="AX75" s="48" t="s">
        <v>2063</v>
      </c>
      <c r="AY75" s="48" t="s">
        <v>1710</v>
      </c>
      <c r="AZ75" s="48" t="s">
        <v>3415</v>
      </c>
      <c r="BA75" s="48" t="s">
        <v>1710</v>
      </c>
      <c r="BB75" s="48" t="s">
        <v>1709</v>
      </c>
      <c r="BC75" s="48" t="s">
        <v>1710</v>
      </c>
      <c r="BD75" s="48" t="s">
        <v>2089</v>
      </c>
      <c r="BE75" s="52" t="s">
        <v>3349</v>
      </c>
      <c r="BF75" s="48" t="s">
        <v>1710</v>
      </c>
      <c r="BG75" s="48" t="s">
        <v>1814</v>
      </c>
      <c r="BH75">
        <v>2</v>
      </c>
      <c r="BI75" s="48" t="s">
        <v>1888</v>
      </c>
      <c r="BJ75">
        <v>1</v>
      </c>
      <c r="BK75">
        <v>1473.06</v>
      </c>
      <c r="BL75">
        <v>346238</v>
      </c>
      <c r="BM75">
        <v>235</v>
      </c>
      <c r="BN75" s="48" t="s">
        <v>2064</v>
      </c>
      <c r="BO75" s="48" t="s">
        <v>2065</v>
      </c>
      <c r="BP75">
        <v>1473.06</v>
      </c>
      <c r="BQ75">
        <v>252.29</v>
      </c>
      <c r="BR75" s="48" t="s">
        <v>1885</v>
      </c>
      <c r="BS75" s="48" t="s">
        <v>2066</v>
      </c>
      <c r="BT75">
        <v>1</v>
      </c>
      <c r="BU75">
        <v>25400</v>
      </c>
      <c r="BV75">
        <v>25400</v>
      </c>
      <c r="BW75" s="48" t="s">
        <v>2065</v>
      </c>
      <c r="BX75">
        <v>1473.06</v>
      </c>
      <c r="BY75">
        <v>0</v>
      </c>
      <c r="BZ75">
        <v>0</v>
      </c>
      <c r="CA75" s="48" t="s">
        <v>2065</v>
      </c>
      <c r="CB75">
        <v>1473.06</v>
      </c>
      <c r="CC75">
        <v>0</v>
      </c>
      <c r="CD75">
        <v>0</v>
      </c>
      <c r="CE75" s="48" t="s">
        <v>1710</v>
      </c>
      <c r="CF75" s="48" t="s">
        <v>1710</v>
      </c>
      <c r="CG75" s="48" t="s">
        <v>1710</v>
      </c>
      <c r="CH75" s="48" t="s">
        <v>1710</v>
      </c>
      <c r="CI75" s="48" t="s">
        <v>2067</v>
      </c>
      <c r="CJ75" s="48" t="s">
        <v>1710</v>
      </c>
      <c r="CL75" s="48" t="s">
        <v>2850</v>
      </c>
      <c r="CM75" s="48" t="s">
        <v>1710</v>
      </c>
      <c r="CN75" s="48" t="s">
        <v>2068</v>
      </c>
      <c r="CO75" s="48" t="s">
        <v>2069</v>
      </c>
      <c r="CP75" s="48" t="s">
        <v>1710</v>
      </c>
      <c r="CQ75" s="48" t="s">
        <v>1710</v>
      </c>
      <c r="CR75" s="48" t="s">
        <v>1710</v>
      </c>
      <c r="CS75" s="48" t="s">
        <v>1710</v>
      </c>
      <c r="CT75" s="48" t="s">
        <v>1710</v>
      </c>
      <c r="CU75" s="48" t="s">
        <v>1712</v>
      </c>
      <c r="CV75" s="48" t="s">
        <v>1710</v>
      </c>
      <c r="CW75" s="48" t="s">
        <v>1710</v>
      </c>
      <c r="CX75" s="48" t="s">
        <v>3014</v>
      </c>
      <c r="CY75" s="48" t="s">
        <v>1710</v>
      </c>
      <c r="CZ75" s="48" t="s">
        <v>1712</v>
      </c>
      <c r="DA75" s="48" t="s">
        <v>1710</v>
      </c>
      <c r="DB75" s="48" t="s">
        <v>1878</v>
      </c>
      <c r="DC75" s="48" t="s">
        <v>2070</v>
      </c>
      <c r="DD75" s="48" t="s">
        <v>1842</v>
      </c>
      <c r="DE75" s="48" t="s">
        <v>1886</v>
      </c>
      <c r="DF75" s="48" t="s">
        <v>3416</v>
      </c>
      <c r="DG75" s="48" t="s">
        <v>2071</v>
      </c>
      <c r="DH75" s="48" t="s">
        <v>1712</v>
      </c>
      <c r="DI75" s="48" t="s">
        <v>1710</v>
      </c>
      <c r="DJ75" s="48" t="s">
        <v>1710</v>
      </c>
      <c r="DK75" s="48" t="s">
        <v>1710</v>
      </c>
      <c r="DL75" s="48" t="s">
        <v>1710</v>
      </c>
      <c r="DM75" s="48" t="s">
        <v>1710</v>
      </c>
      <c r="DN75" s="48" t="s">
        <v>1710</v>
      </c>
      <c r="DO75" s="48" t="s">
        <v>1710</v>
      </c>
      <c r="DP75" s="48" t="s">
        <v>1710</v>
      </c>
      <c r="DQ75" s="48" t="s">
        <v>1710</v>
      </c>
      <c r="DR75" s="48" t="s">
        <v>2072</v>
      </c>
      <c r="DS75" s="48" t="s">
        <v>1710</v>
      </c>
      <c r="DT75" s="48" t="s">
        <v>1710</v>
      </c>
      <c r="DU75" s="48" t="s">
        <v>2547</v>
      </c>
      <c r="DV75" s="48" t="s">
        <v>2850</v>
      </c>
      <c r="DW75" s="48" t="s">
        <v>1710</v>
      </c>
      <c r="DX75" s="48" t="s">
        <v>3417</v>
      </c>
      <c r="DY75" s="48" t="s">
        <v>1709</v>
      </c>
      <c r="DZ75" s="48" t="s">
        <v>2562</v>
      </c>
      <c r="EA75" s="48" t="s">
        <v>2546</v>
      </c>
      <c r="EB75">
        <v>0</v>
      </c>
      <c r="EC75" s="48" t="s">
        <v>2547</v>
      </c>
      <c r="ED75" s="48" t="s">
        <v>3418</v>
      </c>
      <c r="EE75" s="48" t="s">
        <v>1814</v>
      </c>
      <c r="EF75" s="48" t="s">
        <v>1875</v>
      </c>
      <c r="EG75" s="48" t="s">
        <v>3415</v>
      </c>
      <c r="EH75">
        <v>0.28699999999999998</v>
      </c>
      <c r="EI75" s="48" t="s">
        <v>1888</v>
      </c>
      <c r="EJ75">
        <v>0</v>
      </c>
      <c r="EK75" s="48" t="s">
        <v>1710</v>
      </c>
      <c r="EL75">
        <v>1</v>
      </c>
      <c r="EM75" s="48" t="s">
        <v>1886</v>
      </c>
      <c r="EN75">
        <v>0.28699999999999998</v>
      </c>
      <c r="EO75" s="48" t="s">
        <v>2577</v>
      </c>
      <c r="EP75" s="48" t="s">
        <v>3419</v>
      </c>
      <c r="EQ75">
        <v>252.29</v>
      </c>
      <c r="ER75">
        <v>252.29</v>
      </c>
      <c r="ES75">
        <v>346238</v>
      </c>
      <c r="ET75">
        <v>235</v>
      </c>
      <c r="EU75" s="48" t="s">
        <v>1710</v>
      </c>
      <c r="EV75" s="48" t="s">
        <v>1710</v>
      </c>
      <c r="EW75" s="48" t="s">
        <v>1712</v>
      </c>
      <c r="EX75" s="48" t="s">
        <v>1710</v>
      </c>
      <c r="EY75" s="48" t="s">
        <v>1848</v>
      </c>
      <c r="EZ75" s="48" t="s">
        <v>1710</v>
      </c>
      <c r="FA75" s="48" t="s">
        <v>1710</v>
      </c>
      <c r="FB75" s="48" t="s">
        <v>1712</v>
      </c>
      <c r="FC75" s="48" t="s">
        <v>1710</v>
      </c>
      <c r="FD75" s="48" t="s">
        <v>1710</v>
      </c>
      <c r="FE75" s="48" t="s">
        <v>1814</v>
      </c>
      <c r="FF75" s="48" t="s">
        <v>1815</v>
      </c>
      <c r="FG75" s="48" t="s">
        <v>1710</v>
      </c>
      <c r="FH75">
        <v>1</v>
      </c>
      <c r="FI75" s="48" t="s">
        <v>1846</v>
      </c>
      <c r="FJ75">
        <v>252.29</v>
      </c>
      <c r="FK75">
        <v>252.29</v>
      </c>
      <c r="FL75" s="48" t="s">
        <v>3420</v>
      </c>
      <c r="FM75" s="48" t="s">
        <v>3419</v>
      </c>
      <c r="FN75" s="48" t="s">
        <v>1710</v>
      </c>
      <c r="FO75" s="48" t="s">
        <v>1710</v>
      </c>
      <c r="FP75" s="48" t="s">
        <v>1710</v>
      </c>
      <c r="FQ75" s="48" t="s">
        <v>1710</v>
      </c>
      <c r="FR75" s="48" t="s">
        <v>1710</v>
      </c>
      <c r="FS75" s="48" t="s">
        <v>1710</v>
      </c>
      <c r="FT75" s="48" t="s">
        <v>1710</v>
      </c>
      <c r="FU75" s="48" t="s">
        <v>1710</v>
      </c>
      <c r="FV75" s="48"/>
      <c r="FW75" s="56"/>
      <c r="FX75" s="56"/>
      <c r="FY75" s="56"/>
      <c r="FZ75" s="56"/>
      <c r="GA75" s="55" t="str">
        <f t="shared" si="5"/>
        <v>4388426300371X</v>
      </c>
      <c r="GB75" t="str">
        <f>VLOOKUP(B75,수출코드!$C$2:$D$4,2,FALSE)</f>
        <v>Suwon</v>
      </c>
      <c r="GC75" t="str">
        <f>VLOOKUP(L75,수출코드!$A$2:$B$6,2,FALSE)</f>
        <v/>
      </c>
      <c r="GD75" t="str">
        <f>VLOOKUP(M75,수출코드!$E$2:$F$5,2,FALSE)</f>
        <v>일반</v>
      </c>
      <c r="GE75" s="61">
        <f t="shared" si="3"/>
        <v>45972.477083333331</v>
      </c>
      <c r="GF75" s="62">
        <f t="shared" si="4"/>
        <v>46049.436805555553</v>
      </c>
      <c r="GI75" s="48" t="s">
        <v>2749</v>
      </c>
    </row>
    <row r="76" spans="1:191">
      <c r="A76" s="48" t="s">
        <v>3421</v>
      </c>
      <c r="B76" s="48" t="s">
        <v>1821</v>
      </c>
      <c r="C76" s="48" t="s">
        <v>2048</v>
      </c>
      <c r="D76" s="48" t="s">
        <v>2813</v>
      </c>
      <c r="E76" s="48" t="s">
        <v>3421</v>
      </c>
      <c r="F76" s="48" t="s">
        <v>1710</v>
      </c>
      <c r="G76" s="48" t="s">
        <v>2814</v>
      </c>
      <c r="H76" s="48" t="s">
        <v>3422</v>
      </c>
      <c r="I76" s="48" t="s">
        <v>1884</v>
      </c>
      <c r="J76" s="48" t="s">
        <v>2850</v>
      </c>
      <c r="K76" s="48" t="s">
        <v>1877</v>
      </c>
      <c r="L76" s="48" t="s">
        <v>1842</v>
      </c>
      <c r="M76" s="48" t="s">
        <v>1810</v>
      </c>
      <c r="N76" s="48" t="s">
        <v>1842</v>
      </c>
      <c r="O76" s="48" t="s">
        <v>1811</v>
      </c>
      <c r="P76" s="48" t="s">
        <v>2549</v>
      </c>
      <c r="Q76" s="48" t="s">
        <v>2049</v>
      </c>
      <c r="R76" s="48" t="s">
        <v>1838</v>
      </c>
      <c r="S76" s="48" t="s">
        <v>2050</v>
      </c>
      <c r="T76" s="48" t="s">
        <v>1845</v>
      </c>
      <c r="U76" s="48" t="s">
        <v>2049</v>
      </c>
      <c r="V76" s="48" t="s">
        <v>1838</v>
      </c>
      <c r="W76" s="48" t="s">
        <v>2051</v>
      </c>
      <c r="X76" s="48" t="s">
        <v>2052</v>
      </c>
      <c r="Y76" s="48" t="s">
        <v>2050</v>
      </c>
      <c r="Z76" s="48" t="s">
        <v>2053</v>
      </c>
      <c r="AA76" s="48" t="s">
        <v>2054</v>
      </c>
      <c r="AB76" s="48" t="s">
        <v>2817</v>
      </c>
      <c r="AC76" s="48" t="s">
        <v>2055</v>
      </c>
      <c r="AD76" s="48" t="s">
        <v>2056</v>
      </c>
      <c r="AE76" s="48" t="s">
        <v>1710</v>
      </c>
      <c r="AF76" s="48" t="s">
        <v>1710</v>
      </c>
      <c r="AG76" s="48" t="s">
        <v>2057</v>
      </c>
      <c r="AH76" s="48" t="s">
        <v>1815</v>
      </c>
      <c r="AI76" s="48" t="s">
        <v>2058</v>
      </c>
      <c r="AJ76" s="48" t="s">
        <v>1710</v>
      </c>
      <c r="AK76" s="48" t="s">
        <v>2100</v>
      </c>
      <c r="AL76" s="48" t="s">
        <v>2101</v>
      </c>
      <c r="AM76" s="48" t="s">
        <v>1816</v>
      </c>
      <c r="AN76" s="48" t="s">
        <v>2054</v>
      </c>
      <c r="AO76" s="48" t="s">
        <v>1710</v>
      </c>
      <c r="AP76" s="48" t="s">
        <v>1874</v>
      </c>
      <c r="AQ76" s="48" t="s">
        <v>2078</v>
      </c>
      <c r="AR76" s="48" t="s">
        <v>1812</v>
      </c>
      <c r="AS76" s="48" t="s">
        <v>1813</v>
      </c>
      <c r="AT76" s="48" t="s">
        <v>1826</v>
      </c>
      <c r="AU76" s="48" t="s">
        <v>2061</v>
      </c>
      <c r="AV76" s="48" t="s">
        <v>2850</v>
      </c>
      <c r="AW76" s="48" t="s">
        <v>2062</v>
      </c>
      <c r="AX76" s="48" t="s">
        <v>2063</v>
      </c>
      <c r="AY76" s="48" t="s">
        <v>1710</v>
      </c>
      <c r="AZ76" s="48" t="s">
        <v>3423</v>
      </c>
      <c r="BA76" s="48" t="s">
        <v>1710</v>
      </c>
      <c r="BB76" s="48" t="s">
        <v>1709</v>
      </c>
      <c r="BC76" s="48" t="s">
        <v>1710</v>
      </c>
      <c r="BD76" s="48" t="s">
        <v>2089</v>
      </c>
      <c r="BE76" s="52" t="s">
        <v>3349</v>
      </c>
      <c r="BF76" s="48" t="s">
        <v>1710</v>
      </c>
      <c r="BG76" s="48" t="s">
        <v>1814</v>
      </c>
      <c r="BH76">
        <v>1</v>
      </c>
      <c r="BI76" s="48" t="s">
        <v>1888</v>
      </c>
      <c r="BJ76">
        <v>1</v>
      </c>
      <c r="BK76">
        <v>1473.06</v>
      </c>
      <c r="BL76">
        <v>4087397</v>
      </c>
      <c r="BM76">
        <v>2775</v>
      </c>
      <c r="BN76" s="48" t="s">
        <v>2064</v>
      </c>
      <c r="BO76" s="48" t="s">
        <v>2065</v>
      </c>
      <c r="BP76">
        <v>1473.06</v>
      </c>
      <c r="BQ76">
        <v>2789.43</v>
      </c>
      <c r="BR76" s="48" t="s">
        <v>1885</v>
      </c>
      <c r="BS76" s="48" t="s">
        <v>2066</v>
      </c>
      <c r="BT76">
        <v>1</v>
      </c>
      <c r="BU76">
        <v>21600</v>
      </c>
      <c r="BV76">
        <v>21600</v>
      </c>
      <c r="BW76" s="48" t="s">
        <v>2065</v>
      </c>
      <c r="BX76">
        <v>1473.06</v>
      </c>
      <c r="BY76">
        <v>0</v>
      </c>
      <c r="BZ76">
        <v>0</v>
      </c>
      <c r="CA76" s="48" t="s">
        <v>2065</v>
      </c>
      <c r="CB76">
        <v>1473.06</v>
      </c>
      <c r="CC76">
        <v>0</v>
      </c>
      <c r="CD76">
        <v>0</v>
      </c>
      <c r="CE76" s="48" t="s">
        <v>1710</v>
      </c>
      <c r="CF76" s="48" t="s">
        <v>1710</v>
      </c>
      <c r="CG76" s="48" t="s">
        <v>1710</v>
      </c>
      <c r="CH76" s="48" t="s">
        <v>1710</v>
      </c>
      <c r="CI76" s="48" t="s">
        <v>2067</v>
      </c>
      <c r="CJ76" s="48" t="s">
        <v>1710</v>
      </c>
      <c r="CL76" s="48" t="s">
        <v>2850</v>
      </c>
      <c r="CM76" s="48" t="s">
        <v>1710</v>
      </c>
      <c r="CN76" s="48" t="s">
        <v>2068</v>
      </c>
      <c r="CO76" s="48" t="s">
        <v>2069</v>
      </c>
      <c r="CP76" s="48" t="s">
        <v>1710</v>
      </c>
      <c r="CQ76" s="48" t="s">
        <v>1710</v>
      </c>
      <c r="CR76" s="48" t="s">
        <v>1710</v>
      </c>
      <c r="CS76" s="48" t="s">
        <v>1710</v>
      </c>
      <c r="CT76" s="48" t="s">
        <v>1710</v>
      </c>
      <c r="CU76" s="48" t="s">
        <v>1712</v>
      </c>
      <c r="CV76" s="48" t="s">
        <v>1710</v>
      </c>
      <c r="CW76" s="48" t="s">
        <v>1710</v>
      </c>
      <c r="CX76" s="48" t="s">
        <v>3014</v>
      </c>
      <c r="CY76" s="48" t="s">
        <v>1710</v>
      </c>
      <c r="CZ76" s="48" t="s">
        <v>1712</v>
      </c>
      <c r="DA76" s="48" t="s">
        <v>1710</v>
      </c>
      <c r="DB76" s="48" t="s">
        <v>1878</v>
      </c>
      <c r="DC76" s="48" t="s">
        <v>2070</v>
      </c>
      <c r="DD76" s="48" t="s">
        <v>1842</v>
      </c>
      <c r="DE76" s="48" t="s">
        <v>1886</v>
      </c>
      <c r="DF76" s="48" t="s">
        <v>3424</v>
      </c>
      <c r="DG76" s="48" t="s">
        <v>2071</v>
      </c>
      <c r="DH76" s="48" t="s">
        <v>1712</v>
      </c>
      <c r="DI76" s="48" t="s">
        <v>1710</v>
      </c>
      <c r="DJ76" s="48" t="s">
        <v>1710</v>
      </c>
      <c r="DK76" s="48" t="s">
        <v>1710</v>
      </c>
      <c r="DL76" s="48" t="s">
        <v>1710</v>
      </c>
      <c r="DM76" s="48" t="s">
        <v>1710</v>
      </c>
      <c r="DN76" s="48" t="s">
        <v>1710</v>
      </c>
      <c r="DO76" s="48" t="s">
        <v>1710</v>
      </c>
      <c r="DP76" s="48" t="s">
        <v>1710</v>
      </c>
      <c r="DQ76" s="48" t="s">
        <v>1710</v>
      </c>
      <c r="DR76" s="48" t="s">
        <v>2072</v>
      </c>
      <c r="DS76" s="48" t="s">
        <v>1710</v>
      </c>
      <c r="DT76" s="48" t="s">
        <v>1710</v>
      </c>
      <c r="DU76" s="48" t="s">
        <v>2547</v>
      </c>
      <c r="DV76" s="48" t="s">
        <v>2850</v>
      </c>
      <c r="DW76" s="48" t="s">
        <v>1710</v>
      </c>
      <c r="DX76" s="48" t="s">
        <v>3425</v>
      </c>
      <c r="DY76" s="48" t="s">
        <v>1709</v>
      </c>
      <c r="DZ76" s="48" t="s">
        <v>2562</v>
      </c>
      <c r="EA76" s="48" t="s">
        <v>2546</v>
      </c>
      <c r="EB76">
        <v>0</v>
      </c>
      <c r="EC76" s="48" t="s">
        <v>2547</v>
      </c>
      <c r="ED76" s="48" t="s">
        <v>3418</v>
      </c>
      <c r="EE76" s="48" t="s">
        <v>1814</v>
      </c>
      <c r="EF76" s="48" t="s">
        <v>1841</v>
      </c>
      <c r="EG76" s="48" t="s">
        <v>3423</v>
      </c>
      <c r="EH76">
        <v>0.12</v>
      </c>
      <c r="EI76" s="48" t="s">
        <v>1888</v>
      </c>
      <c r="EJ76">
        <v>0</v>
      </c>
      <c r="EK76" s="48" t="s">
        <v>1710</v>
      </c>
      <c r="EL76">
        <v>1</v>
      </c>
      <c r="EM76" s="48" t="s">
        <v>1886</v>
      </c>
      <c r="EN76">
        <v>0.12</v>
      </c>
      <c r="EO76" s="48" t="s">
        <v>2603</v>
      </c>
      <c r="EP76" s="48" t="s">
        <v>2720</v>
      </c>
      <c r="EQ76">
        <v>2789.43</v>
      </c>
      <c r="ER76">
        <v>2789.43</v>
      </c>
      <c r="ES76">
        <v>4087397</v>
      </c>
      <c r="ET76">
        <v>2775</v>
      </c>
      <c r="EU76" s="48" t="s">
        <v>1710</v>
      </c>
      <c r="EV76" s="48" t="s">
        <v>1710</v>
      </c>
      <c r="EW76" s="48" t="s">
        <v>1712</v>
      </c>
      <c r="EX76" s="48" t="s">
        <v>1710</v>
      </c>
      <c r="EY76" s="48" t="s">
        <v>1848</v>
      </c>
      <c r="EZ76" s="48" t="s">
        <v>1710</v>
      </c>
      <c r="FA76" s="48" t="s">
        <v>1710</v>
      </c>
      <c r="FB76" s="48" t="s">
        <v>1712</v>
      </c>
      <c r="FC76" s="48" t="s">
        <v>1710</v>
      </c>
      <c r="FD76" s="48" t="s">
        <v>1710</v>
      </c>
      <c r="FE76" s="48" t="s">
        <v>1814</v>
      </c>
      <c r="FF76" s="48" t="s">
        <v>1815</v>
      </c>
      <c r="FG76" s="48" t="s">
        <v>1710</v>
      </c>
      <c r="FH76">
        <v>15</v>
      </c>
      <c r="FI76" s="48" t="s">
        <v>1846</v>
      </c>
      <c r="FJ76">
        <v>2789.43</v>
      </c>
      <c r="FK76">
        <v>185.96199999999999</v>
      </c>
      <c r="FL76" s="48" t="s">
        <v>2721</v>
      </c>
      <c r="FM76" s="48" t="s">
        <v>2720</v>
      </c>
      <c r="FN76" s="48" t="s">
        <v>1710</v>
      </c>
      <c r="FO76" s="48" t="s">
        <v>1710</v>
      </c>
      <c r="FP76" s="48" t="s">
        <v>1710</v>
      </c>
      <c r="FQ76" s="48" t="s">
        <v>1710</v>
      </c>
      <c r="FR76" s="48" t="s">
        <v>1710</v>
      </c>
      <c r="FS76" s="48" t="s">
        <v>1710</v>
      </c>
      <c r="FT76" s="48" t="s">
        <v>1710</v>
      </c>
      <c r="FU76" s="48" t="s">
        <v>1710</v>
      </c>
      <c r="FV76" s="48"/>
      <c r="FW76" s="56"/>
      <c r="FX76" s="56"/>
      <c r="FY76" s="56"/>
      <c r="FZ76" s="56"/>
      <c r="GA76" s="55" t="str">
        <f t="shared" si="5"/>
        <v>4388426300372X</v>
      </c>
      <c r="GB76" t="str">
        <f>VLOOKUP(B76,수출코드!$C$2:$D$4,2,FALSE)</f>
        <v>Suwon</v>
      </c>
      <c r="GC76" t="str">
        <f>VLOOKUP(L76,수출코드!$A$2:$B$6,2,FALSE)</f>
        <v/>
      </c>
      <c r="GD76" t="str">
        <f>VLOOKUP(M76,수출코드!$E$2:$F$5,2,FALSE)</f>
        <v>일반</v>
      </c>
      <c r="GE76" s="61">
        <f t="shared" si="3"/>
        <v>45972.477083333331</v>
      </c>
      <c r="GF76" s="62">
        <f t="shared" si="4"/>
        <v>46049.436805555553</v>
      </c>
      <c r="GI76" s="48" t="s">
        <v>2749</v>
      </c>
    </row>
    <row r="77" spans="1:191">
      <c r="A77" s="48" t="s">
        <v>3426</v>
      </c>
      <c r="B77" s="48" t="s">
        <v>1821</v>
      </c>
      <c r="C77" s="48" t="s">
        <v>2048</v>
      </c>
      <c r="D77" s="48" t="s">
        <v>2813</v>
      </c>
      <c r="E77" s="48" t="s">
        <v>3426</v>
      </c>
      <c r="F77" s="48" t="s">
        <v>1710</v>
      </c>
      <c r="G77" s="48" t="s">
        <v>2814</v>
      </c>
      <c r="H77" s="48" t="s">
        <v>3427</v>
      </c>
      <c r="I77" s="48" t="s">
        <v>1884</v>
      </c>
      <c r="J77" s="48" t="s">
        <v>2850</v>
      </c>
      <c r="K77" s="48" t="s">
        <v>1877</v>
      </c>
      <c r="L77" s="48" t="s">
        <v>1842</v>
      </c>
      <c r="M77" s="48" t="s">
        <v>1810</v>
      </c>
      <c r="N77" s="48" t="s">
        <v>1842</v>
      </c>
      <c r="O77" s="48" t="s">
        <v>1811</v>
      </c>
      <c r="P77" s="48" t="s">
        <v>2549</v>
      </c>
      <c r="Q77" s="48" t="s">
        <v>2049</v>
      </c>
      <c r="R77" s="48" t="s">
        <v>1838</v>
      </c>
      <c r="S77" s="48" t="s">
        <v>2050</v>
      </c>
      <c r="T77" s="48" t="s">
        <v>1845</v>
      </c>
      <c r="U77" s="48" t="s">
        <v>2049</v>
      </c>
      <c r="V77" s="48" t="s">
        <v>1838</v>
      </c>
      <c r="W77" s="48" t="s">
        <v>2051</v>
      </c>
      <c r="X77" s="48" t="s">
        <v>2052</v>
      </c>
      <c r="Y77" s="48" t="s">
        <v>2050</v>
      </c>
      <c r="Z77" s="48" t="s">
        <v>2053</v>
      </c>
      <c r="AA77" s="48" t="s">
        <v>2054</v>
      </c>
      <c r="AB77" s="48" t="s">
        <v>2817</v>
      </c>
      <c r="AC77" s="48" t="s">
        <v>2055</v>
      </c>
      <c r="AD77" s="48" t="s">
        <v>2056</v>
      </c>
      <c r="AE77" s="48" t="s">
        <v>1710</v>
      </c>
      <c r="AF77" s="48" t="s">
        <v>1710</v>
      </c>
      <c r="AG77" s="48" t="s">
        <v>2057</v>
      </c>
      <c r="AH77" s="48" t="s">
        <v>1815</v>
      </c>
      <c r="AI77" s="48" t="s">
        <v>2058</v>
      </c>
      <c r="AJ77" s="48" t="s">
        <v>1710</v>
      </c>
      <c r="AK77" s="48" t="s">
        <v>2560</v>
      </c>
      <c r="AL77" s="48" t="s">
        <v>2561</v>
      </c>
      <c r="AM77" s="48" t="s">
        <v>1816</v>
      </c>
      <c r="AN77" s="48" t="s">
        <v>2054</v>
      </c>
      <c r="AO77" s="48" t="s">
        <v>1710</v>
      </c>
      <c r="AP77" s="48" t="s">
        <v>1855</v>
      </c>
      <c r="AQ77" s="48" t="s">
        <v>2076</v>
      </c>
      <c r="AR77" s="48" t="s">
        <v>1812</v>
      </c>
      <c r="AS77" s="48" t="s">
        <v>1813</v>
      </c>
      <c r="AT77" s="48" t="s">
        <v>1826</v>
      </c>
      <c r="AU77" s="48" t="s">
        <v>2061</v>
      </c>
      <c r="AV77" s="48" t="s">
        <v>2850</v>
      </c>
      <c r="AW77" s="48" t="s">
        <v>2062</v>
      </c>
      <c r="AX77" s="48" t="s">
        <v>2063</v>
      </c>
      <c r="AY77" s="48" t="s">
        <v>1710</v>
      </c>
      <c r="AZ77" s="48" t="s">
        <v>3428</v>
      </c>
      <c r="BA77" s="48" t="s">
        <v>1710</v>
      </c>
      <c r="BB77" s="48" t="s">
        <v>1709</v>
      </c>
      <c r="BC77" s="48" t="s">
        <v>1710</v>
      </c>
      <c r="BD77" s="48" t="s">
        <v>2089</v>
      </c>
      <c r="BE77" s="52" t="s">
        <v>3349</v>
      </c>
      <c r="BF77" s="48" t="s">
        <v>1710</v>
      </c>
      <c r="BG77" s="48" t="s">
        <v>1814</v>
      </c>
      <c r="BH77">
        <v>3</v>
      </c>
      <c r="BI77" s="48" t="s">
        <v>1888</v>
      </c>
      <c r="BJ77">
        <v>1</v>
      </c>
      <c r="BK77">
        <v>1473.06</v>
      </c>
      <c r="BL77">
        <v>15540444</v>
      </c>
      <c r="BM77">
        <v>10550</v>
      </c>
      <c r="BN77" s="48" t="s">
        <v>2064</v>
      </c>
      <c r="BO77" s="48" t="s">
        <v>2065</v>
      </c>
      <c r="BP77">
        <v>1473.06</v>
      </c>
      <c r="BQ77">
        <v>10570</v>
      </c>
      <c r="BR77" s="48" t="s">
        <v>1885</v>
      </c>
      <c r="BS77" s="48" t="s">
        <v>2066</v>
      </c>
      <c r="BT77">
        <v>1</v>
      </c>
      <c r="BU77">
        <v>29800</v>
      </c>
      <c r="BV77">
        <v>29800</v>
      </c>
      <c r="BW77" s="48" t="s">
        <v>2065</v>
      </c>
      <c r="BX77">
        <v>1473.06</v>
      </c>
      <c r="BY77">
        <v>0</v>
      </c>
      <c r="BZ77">
        <v>0</v>
      </c>
      <c r="CA77" s="48" t="s">
        <v>2065</v>
      </c>
      <c r="CB77">
        <v>1473.06</v>
      </c>
      <c r="CC77">
        <v>0</v>
      </c>
      <c r="CD77">
        <v>0</v>
      </c>
      <c r="CE77" s="48" t="s">
        <v>1710</v>
      </c>
      <c r="CF77" s="48" t="s">
        <v>1710</v>
      </c>
      <c r="CG77" s="48" t="s">
        <v>1710</v>
      </c>
      <c r="CH77" s="48" t="s">
        <v>1710</v>
      </c>
      <c r="CI77" s="48" t="s">
        <v>2067</v>
      </c>
      <c r="CJ77" s="48" t="s">
        <v>1710</v>
      </c>
      <c r="CL77" s="48" t="s">
        <v>2850</v>
      </c>
      <c r="CM77" s="48" t="s">
        <v>1710</v>
      </c>
      <c r="CN77" s="48" t="s">
        <v>2068</v>
      </c>
      <c r="CO77" s="48" t="s">
        <v>2069</v>
      </c>
      <c r="CP77" s="48" t="s">
        <v>1710</v>
      </c>
      <c r="CQ77" s="48" t="s">
        <v>1710</v>
      </c>
      <c r="CR77" s="48" t="s">
        <v>1710</v>
      </c>
      <c r="CS77" s="48" t="s">
        <v>1710</v>
      </c>
      <c r="CT77" s="48" t="s">
        <v>1710</v>
      </c>
      <c r="CU77" s="48" t="s">
        <v>1712</v>
      </c>
      <c r="CV77" s="48" t="s">
        <v>1710</v>
      </c>
      <c r="CW77" s="48" t="s">
        <v>1710</v>
      </c>
      <c r="CX77" s="48" t="s">
        <v>3014</v>
      </c>
      <c r="CY77" s="48" t="s">
        <v>1710</v>
      </c>
      <c r="CZ77" s="48" t="s">
        <v>1712</v>
      </c>
      <c r="DA77" s="48" t="s">
        <v>1710</v>
      </c>
      <c r="DB77" s="48" t="s">
        <v>1878</v>
      </c>
      <c r="DC77" s="48" t="s">
        <v>2070</v>
      </c>
      <c r="DD77" s="48" t="s">
        <v>1842</v>
      </c>
      <c r="DE77" s="48" t="s">
        <v>1886</v>
      </c>
      <c r="DF77" s="48" t="s">
        <v>3429</v>
      </c>
      <c r="DG77" s="48" t="s">
        <v>2071</v>
      </c>
      <c r="DH77" s="48" t="s">
        <v>1712</v>
      </c>
      <c r="DI77" s="48" t="s">
        <v>1710</v>
      </c>
      <c r="DJ77" s="48" t="s">
        <v>1710</v>
      </c>
      <c r="DK77" s="48" t="s">
        <v>1710</v>
      </c>
      <c r="DL77" s="48" t="s">
        <v>1710</v>
      </c>
      <c r="DM77" s="48" t="s">
        <v>1710</v>
      </c>
      <c r="DN77" s="48" t="s">
        <v>1710</v>
      </c>
      <c r="DO77" s="48" t="s">
        <v>1710</v>
      </c>
      <c r="DP77" s="48" t="s">
        <v>1710</v>
      </c>
      <c r="DQ77" s="48" t="s">
        <v>1710</v>
      </c>
      <c r="DR77" s="48" t="s">
        <v>2072</v>
      </c>
      <c r="DS77" s="48" t="s">
        <v>1710</v>
      </c>
      <c r="DT77" s="48" t="s">
        <v>1710</v>
      </c>
      <c r="DU77" s="48" t="s">
        <v>2547</v>
      </c>
      <c r="DV77" s="48" t="s">
        <v>2850</v>
      </c>
      <c r="DW77" s="48" t="s">
        <v>1710</v>
      </c>
      <c r="DX77" s="48" t="s">
        <v>3430</v>
      </c>
      <c r="DY77" s="48" t="s">
        <v>1709</v>
      </c>
      <c r="DZ77" s="48" t="s">
        <v>2562</v>
      </c>
      <c r="EA77" s="48" t="s">
        <v>2546</v>
      </c>
      <c r="EB77">
        <v>0</v>
      </c>
      <c r="EC77" s="48" t="s">
        <v>2547</v>
      </c>
      <c r="ED77" s="48" t="s">
        <v>3418</v>
      </c>
      <c r="EE77" s="48" t="s">
        <v>1814</v>
      </c>
      <c r="EF77" s="48" t="s">
        <v>2598</v>
      </c>
      <c r="EG77" s="48" t="s">
        <v>3428</v>
      </c>
      <c r="EH77">
        <v>2</v>
      </c>
      <c r="EI77" s="48" t="s">
        <v>1888</v>
      </c>
      <c r="EJ77">
        <v>0</v>
      </c>
      <c r="EK77" s="48" t="s">
        <v>1710</v>
      </c>
      <c r="EL77">
        <v>1</v>
      </c>
      <c r="EM77" s="48" t="s">
        <v>1886</v>
      </c>
      <c r="EN77">
        <v>2</v>
      </c>
      <c r="EO77" s="48" t="s">
        <v>2599</v>
      </c>
      <c r="EP77" s="48" t="s">
        <v>3431</v>
      </c>
      <c r="EQ77">
        <v>10570</v>
      </c>
      <c r="ER77">
        <v>10570</v>
      </c>
      <c r="ES77">
        <v>15540444</v>
      </c>
      <c r="ET77">
        <v>10550</v>
      </c>
      <c r="EU77" s="48" t="s">
        <v>1710</v>
      </c>
      <c r="EV77" s="48" t="s">
        <v>1710</v>
      </c>
      <c r="EW77" s="48" t="s">
        <v>1712</v>
      </c>
      <c r="EX77" s="48" t="s">
        <v>1710</v>
      </c>
      <c r="EY77" s="48" t="s">
        <v>1848</v>
      </c>
      <c r="EZ77" s="48" t="s">
        <v>1710</v>
      </c>
      <c r="FA77" s="48" t="s">
        <v>1710</v>
      </c>
      <c r="FB77" s="48" t="s">
        <v>1712</v>
      </c>
      <c r="FC77" s="48" t="s">
        <v>1710</v>
      </c>
      <c r="FD77" s="48" t="s">
        <v>1710</v>
      </c>
      <c r="FE77" s="48" t="s">
        <v>1814</v>
      </c>
      <c r="FF77" s="48" t="s">
        <v>1815</v>
      </c>
      <c r="FG77" s="48" t="s">
        <v>1710</v>
      </c>
      <c r="FH77">
        <v>20</v>
      </c>
      <c r="FI77" s="48" t="s">
        <v>1846</v>
      </c>
      <c r="FJ77">
        <v>10570</v>
      </c>
      <c r="FK77">
        <v>528.5</v>
      </c>
      <c r="FL77" s="48" t="s">
        <v>3432</v>
      </c>
      <c r="FM77" s="48" t="s">
        <v>3431</v>
      </c>
      <c r="FN77" s="48" t="s">
        <v>1710</v>
      </c>
      <c r="FO77" s="48" t="s">
        <v>1710</v>
      </c>
      <c r="FP77" s="48" t="s">
        <v>1710</v>
      </c>
      <c r="FQ77" s="48" t="s">
        <v>1710</v>
      </c>
      <c r="FR77" s="48" t="s">
        <v>1710</v>
      </c>
      <c r="FS77" s="48" t="s">
        <v>1710</v>
      </c>
      <c r="FT77" s="48" t="s">
        <v>1710</v>
      </c>
      <c r="FU77" s="48" t="s">
        <v>1710</v>
      </c>
      <c r="FV77" s="48"/>
      <c r="FW77" s="56"/>
      <c r="FX77" s="56"/>
      <c r="FY77" s="56"/>
      <c r="FZ77" s="56"/>
      <c r="GA77" s="55" t="str">
        <f t="shared" si="5"/>
        <v>4388426300373X</v>
      </c>
      <c r="GB77" t="str">
        <f>VLOOKUP(B77,수출코드!$C$2:$D$4,2,FALSE)</f>
        <v>Suwon</v>
      </c>
      <c r="GC77" t="str">
        <f>VLOOKUP(L77,수출코드!$A$2:$B$6,2,FALSE)</f>
        <v/>
      </c>
      <c r="GD77" t="str">
        <f>VLOOKUP(M77,수출코드!$E$2:$F$5,2,FALSE)</f>
        <v>일반</v>
      </c>
      <c r="GE77" s="61">
        <f t="shared" si="3"/>
        <v>45972.477777777778</v>
      </c>
      <c r="GF77" s="62">
        <f t="shared" si="4"/>
        <v>46049.436805555553</v>
      </c>
      <c r="GI77" s="48" t="s">
        <v>2750</v>
      </c>
    </row>
    <row r="78" spans="1:191">
      <c r="A78" s="48" t="s">
        <v>3433</v>
      </c>
      <c r="B78" s="48" t="s">
        <v>1821</v>
      </c>
      <c r="C78" s="48" t="s">
        <v>2048</v>
      </c>
      <c r="D78" s="48" t="s">
        <v>2813</v>
      </c>
      <c r="E78" s="48" t="s">
        <v>3433</v>
      </c>
      <c r="F78" s="48" t="s">
        <v>1710</v>
      </c>
      <c r="G78" s="48" t="s">
        <v>2814</v>
      </c>
      <c r="H78" s="48" t="s">
        <v>3434</v>
      </c>
      <c r="I78" s="48" t="s">
        <v>1884</v>
      </c>
      <c r="J78" s="48" t="s">
        <v>2850</v>
      </c>
      <c r="K78" s="48" t="s">
        <v>1877</v>
      </c>
      <c r="L78" s="48" t="s">
        <v>1842</v>
      </c>
      <c r="M78" s="48" t="s">
        <v>1824</v>
      </c>
      <c r="N78" s="48" t="s">
        <v>1842</v>
      </c>
      <c r="O78" s="48" t="s">
        <v>1823</v>
      </c>
      <c r="P78" s="48" t="s">
        <v>2549</v>
      </c>
      <c r="Q78" s="48" t="s">
        <v>2049</v>
      </c>
      <c r="R78" s="48" t="s">
        <v>1838</v>
      </c>
      <c r="S78" s="48" t="s">
        <v>2050</v>
      </c>
      <c r="T78" s="48" t="s">
        <v>1845</v>
      </c>
      <c r="U78" s="48" t="s">
        <v>2049</v>
      </c>
      <c r="V78" s="48" t="s">
        <v>1838</v>
      </c>
      <c r="W78" s="48" t="s">
        <v>2051</v>
      </c>
      <c r="X78" s="48" t="s">
        <v>2052</v>
      </c>
      <c r="Y78" s="48" t="s">
        <v>2050</v>
      </c>
      <c r="Z78" s="48" t="s">
        <v>2053</v>
      </c>
      <c r="AA78" s="48" t="s">
        <v>2054</v>
      </c>
      <c r="AB78" s="48" t="s">
        <v>2817</v>
      </c>
      <c r="AC78" s="48" t="s">
        <v>2055</v>
      </c>
      <c r="AD78" s="48" t="s">
        <v>2056</v>
      </c>
      <c r="AE78" s="48" t="s">
        <v>1710</v>
      </c>
      <c r="AF78" s="48" t="s">
        <v>1710</v>
      </c>
      <c r="AG78" s="48" t="s">
        <v>2057</v>
      </c>
      <c r="AH78" s="48" t="s">
        <v>1815</v>
      </c>
      <c r="AI78" s="48" t="s">
        <v>2058</v>
      </c>
      <c r="AJ78" s="48" t="s">
        <v>1710</v>
      </c>
      <c r="AK78" s="48" t="s">
        <v>3435</v>
      </c>
      <c r="AL78" s="48" t="s">
        <v>1858</v>
      </c>
      <c r="AM78" s="48" t="s">
        <v>1816</v>
      </c>
      <c r="AN78" s="48" t="s">
        <v>2054</v>
      </c>
      <c r="AO78" s="48" t="s">
        <v>1710</v>
      </c>
      <c r="AP78" s="48" t="s">
        <v>1848</v>
      </c>
      <c r="AQ78" s="48" t="s">
        <v>2060</v>
      </c>
      <c r="AR78" s="48" t="s">
        <v>1812</v>
      </c>
      <c r="AS78" s="48" t="s">
        <v>1813</v>
      </c>
      <c r="AT78" s="48" t="s">
        <v>1826</v>
      </c>
      <c r="AU78" s="48" t="s">
        <v>2061</v>
      </c>
      <c r="AV78" s="48" t="s">
        <v>2850</v>
      </c>
      <c r="AW78" s="48" t="s">
        <v>2062</v>
      </c>
      <c r="AX78" s="48" t="s">
        <v>2063</v>
      </c>
      <c r="AY78" s="48" t="s">
        <v>1710</v>
      </c>
      <c r="AZ78" s="48" t="s">
        <v>3436</v>
      </c>
      <c r="BA78" s="48" t="s">
        <v>1710</v>
      </c>
      <c r="BB78" s="48" t="s">
        <v>1709</v>
      </c>
      <c r="BC78" s="48" t="s">
        <v>1710</v>
      </c>
      <c r="BD78" s="48" t="s">
        <v>3437</v>
      </c>
      <c r="BE78" s="52" t="s">
        <v>3438</v>
      </c>
      <c r="BF78" s="48" t="s">
        <v>1710</v>
      </c>
      <c r="BG78" s="48" t="s">
        <v>1817</v>
      </c>
      <c r="BH78">
        <v>1673</v>
      </c>
      <c r="BI78" s="48" t="s">
        <v>1888</v>
      </c>
      <c r="BJ78">
        <v>2</v>
      </c>
      <c r="BK78">
        <v>1473.06</v>
      </c>
      <c r="BL78">
        <v>59513076</v>
      </c>
      <c r="BM78">
        <v>40401</v>
      </c>
      <c r="BN78" s="48" t="s">
        <v>2064</v>
      </c>
      <c r="BO78" s="48" t="s">
        <v>2065</v>
      </c>
      <c r="BP78">
        <v>1473.06</v>
      </c>
      <c r="BQ78">
        <v>55748.63</v>
      </c>
      <c r="BR78" s="48" t="s">
        <v>1885</v>
      </c>
      <c r="BS78" s="48" t="s">
        <v>2066</v>
      </c>
      <c r="BT78">
        <v>1</v>
      </c>
      <c r="BU78">
        <v>22608000</v>
      </c>
      <c r="BV78">
        <v>22608000</v>
      </c>
      <c r="BW78" s="48" t="s">
        <v>2065</v>
      </c>
      <c r="BX78">
        <v>1473.06</v>
      </c>
      <c r="BY78">
        <v>0</v>
      </c>
      <c r="BZ78">
        <v>0</v>
      </c>
      <c r="CA78" s="48" t="s">
        <v>2065</v>
      </c>
      <c r="CB78">
        <v>1473.06</v>
      </c>
      <c r="CC78">
        <v>0</v>
      </c>
      <c r="CD78">
        <v>0</v>
      </c>
      <c r="CE78" s="48" t="s">
        <v>1710</v>
      </c>
      <c r="CF78" s="48" t="s">
        <v>1710</v>
      </c>
      <c r="CG78" s="48" t="s">
        <v>1710</v>
      </c>
      <c r="CH78" s="48" t="s">
        <v>1710</v>
      </c>
      <c r="CI78" s="48" t="s">
        <v>2067</v>
      </c>
      <c r="CJ78" s="48" t="s">
        <v>1710</v>
      </c>
      <c r="CL78" s="48" t="s">
        <v>2850</v>
      </c>
      <c r="CM78" s="48" t="s">
        <v>1710</v>
      </c>
      <c r="CN78" s="48" t="s">
        <v>2068</v>
      </c>
      <c r="CO78" s="48" t="s">
        <v>2069</v>
      </c>
      <c r="CP78" s="48" t="s">
        <v>1710</v>
      </c>
      <c r="CQ78" s="48" t="s">
        <v>1710</v>
      </c>
      <c r="CR78" s="48" t="s">
        <v>1710</v>
      </c>
      <c r="CS78" s="48" t="s">
        <v>1710</v>
      </c>
      <c r="CT78" s="48" t="s">
        <v>1710</v>
      </c>
      <c r="CU78" s="48" t="s">
        <v>1712</v>
      </c>
      <c r="CV78" s="48" t="s">
        <v>1710</v>
      </c>
      <c r="CW78" s="48" t="s">
        <v>1710</v>
      </c>
      <c r="CX78" s="48" t="s">
        <v>3014</v>
      </c>
      <c r="CY78" s="48" t="s">
        <v>1710</v>
      </c>
      <c r="CZ78" s="48" t="s">
        <v>1712</v>
      </c>
      <c r="DA78" s="48" t="s">
        <v>1710</v>
      </c>
      <c r="DB78" s="48" t="s">
        <v>1878</v>
      </c>
      <c r="DC78" s="48" t="s">
        <v>2070</v>
      </c>
      <c r="DD78" s="48" t="s">
        <v>1842</v>
      </c>
      <c r="DE78" s="48" t="s">
        <v>1886</v>
      </c>
      <c r="DF78" s="48" t="s">
        <v>3439</v>
      </c>
      <c r="DG78" s="48" t="s">
        <v>2071</v>
      </c>
      <c r="DH78" s="48" t="s">
        <v>1712</v>
      </c>
      <c r="DI78" s="48" t="s">
        <v>1710</v>
      </c>
      <c r="DJ78" s="48" t="s">
        <v>1710</v>
      </c>
      <c r="DK78" s="48" t="s">
        <v>1710</v>
      </c>
      <c r="DL78" s="48" t="s">
        <v>1710</v>
      </c>
      <c r="DM78" s="48" t="s">
        <v>1710</v>
      </c>
      <c r="DN78" s="48" t="s">
        <v>1710</v>
      </c>
      <c r="DO78" s="48" t="s">
        <v>1710</v>
      </c>
      <c r="DP78" s="48" t="s">
        <v>1710</v>
      </c>
      <c r="DQ78" s="48" t="s">
        <v>1710</v>
      </c>
      <c r="DR78" s="48" t="s">
        <v>2072</v>
      </c>
      <c r="DS78" s="48" t="s">
        <v>1710</v>
      </c>
      <c r="DT78" s="48" t="s">
        <v>1710</v>
      </c>
      <c r="DU78" s="48" t="s">
        <v>2547</v>
      </c>
      <c r="DV78" s="48" t="s">
        <v>2825</v>
      </c>
      <c r="DW78" s="48" t="s">
        <v>1710</v>
      </c>
      <c r="DX78" s="48" t="s">
        <v>3440</v>
      </c>
      <c r="DY78" s="48" t="s">
        <v>1709</v>
      </c>
      <c r="DZ78" s="48" t="s">
        <v>2562</v>
      </c>
      <c r="EA78" s="48" t="s">
        <v>2546</v>
      </c>
      <c r="EB78">
        <v>0</v>
      </c>
      <c r="EC78" s="48" t="s">
        <v>2547</v>
      </c>
      <c r="ED78" s="48" t="s">
        <v>3441</v>
      </c>
      <c r="EE78" s="48" t="s">
        <v>1814</v>
      </c>
      <c r="EF78" s="48" t="s">
        <v>3442</v>
      </c>
      <c r="EG78" s="48" t="s">
        <v>3436</v>
      </c>
      <c r="EH78">
        <v>1288</v>
      </c>
      <c r="EI78" s="48" t="s">
        <v>1888</v>
      </c>
      <c r="EJ78">
        <v>1</v>
      </c>
      <c r="EK78" s="48" t="s">
        <v>1887</v>
      </c>
      <c r="EL78">
        <v>2</v>
      </c>
      <c r="EM78" s="48" t="s">
        <v>1886</v>
      </c>
      <c r="EN78">
        <v>1288</v>
      </c>
      <c r="EO78" s="48" t="s">
        <v>3443</v>
      </c>
      <c r="EP78" s="48" t="s">
        <v>3444</v>
      </c>
      <c r="EQ78">
        <v>38054.51</v>
      </c>
      <c r="ER78">
        <v>38054.51</v>
      </c>
      <c r="ES78">
        <v>40624154</v>
      </c>
      <c r="ET78">
        <v>27578</v>
      </c>
      <c r="EU78" s="48" t="s">
        <v>1710</v>
      </c>
      <c r="EV78" s="48" t="s">
        <v>1710</v>
      </c>
      <c r="EW78" s="48" t="s">
        <v>1712</v>
      </c>
      <c r="EX78" s="48" t="s">
        <v>1710</v>
      </c>
      <c r="EY78" s="48" t="s">
        <v>1848</v>
      </c>
      <c r="EZ78" s="48" t="s">
        <v>1710</v>
      </c>
      <c r="FA78" s="48" t="s">
        <v>1710</v>
      </c>
      <c r="FB78" s="48" t="s">
        <v>1712</v>
      </c>
      <c r="FC78" s="48" t="s">
        <v>1710</v>
      </c>
      <c r="FD78" s="48" t="s">
        <v>1710</v>
      </c>
      <c r="FE78" s="48" t="s">
        <v>1814</v>
      </c>
      <c r="FF78" s="48" t="s">
        <v>1815</v>
      </c>
      <c r="FG78" s="48" t="s">
        <v>1710</v>
      </c>
      <c r="FH78">
        <v>1</v>
      </c>
      <c r="FI78" s="48" t="s">
        <v>1846</v>
      </c>
      <c r="FJ78">
        <v>38054.51</v>
      </c>
      <c r="FK78">
        <v>38054.51</v>
      </c>
      <c r="FL78" s="48" t="s">
        <v>3445</v>
      </c>
      <c r="FM78" s="48" t="s">
        <v>3444</v>
      </c>
      <c r="FN78" s="48" t="s">
        <v>1710</v>
      </c>
      <c r="FO78" s="48" t="s">
        <v>1710</v>
      </c>
      <c r="FP78" s="48" t="s">
        <v>1710</v>
      </c>
      <c r="FQ78" s="48" t="s">
        <v>1710</v>
      </c>
      <c r="FR78" s="48" t="s">
        <v>1710</v>
      </c>
      <c r="FS78" s="48" t="s">
        <v>1710</v>
      </c>
      <c r="FT78" s="48" t="s">
        <v>1710</v>
      </c>
      <c r="FU78" s="48" t="s">
        <v>1710</v>
      </c>
      <c r="FV78" s="48"/>
      <c r="FW78" s="56"/>
      <c r="FX78" s="56"/>
      <c r="FY78" s="56"/>
      <c r="FZ78" s="56"/>
      <c r="GA78" s="55" t="str">
        <f t="shared" si="5"/>
        <v>4388426300374X</v>
      </c>
      <c r="GB78" t="str">
        <f>VLOOKUP(B78,수출코드!$C$2:$D$4,2,FALSE)</f>
        <v>Suwon</v>
      </c>
      <c r="GC78" t="str">
        <f>VLOOKUP(L78,수출코드!$A$2:$B$6,2,FALSE)</f>
        <v/>
      </c>
      <c r="GD78" t="str">
        <f>VLOOKUP(M78,수출코드!$E$2:$F$5,2,FALSE)</f>
        <v>재수출</v>
      </c>
      <c r="GE78" s="61">
        <f t="shared" si="3"/>
        <v>45972.477777777778</v>
      </c>
      <c r="GF78" s="62">
        <f t="shared" si="4"/>
        <v>46049.634722222225</v>
      </c>
      <c r="GI78" s="48" t="s">
        <v>2750</v>
      </c>
    </row>
    <row r="79" spans="1:191">
      <c r="A79" s="48" t="s">
        <v>3446</v>
      </c>
      <c r="B79" s="48" t="s">
        <v>1821</v>
      </c>
      <c r="C79" s="48" t="s">
        <v>2048</v>
      </c>
      <c r="D79" s="48" t="s">
        <v>2813</v>
      </c>
      <c r="E79" s="48" t="s">
        <v>3446</v>
      </c>
      <c r="F79" s="48" t="s">
        <v>1710</v>
      </c>
      <c r="G79" s="48" t="s">
        <v>2814</v>
      </c>
      <c r="H79" s="48" t="s">
        <v>3447</v>
      </c>
      <c r="I79" s="48" t="s">
        <v>1884</v>
      </c>
      <c r="J79" s="48" t="s">
        <v>2850</v>
      </c>
      <c r="K79" s="48" t="s">
        <v>1877</v>
      </c>
      <c r="L79" s="48" t="s">
        <v>1842</v>
      </c>
      <c r="M79" s="48" t="s">
        <v>1824</v>
      </c>
      <c r="N79" s="48" t="s">
        <v>1842</v>
      </c>
      <c r="O79" s="48" t="s">
        <v>1823</v>
      </c>
      <c r="P79" s="48" t="s">
        <v>2549</v>
      </c>
      <c r="Q79" s="48" t="s">
        <v>2049</v>
      </c>
      <c r="R79" s="48" t="s">
        <v>1838</v>
      </c>
      <c r="S79" s="48" t="s">
        <v>2050</v>
      </c>
      <c r="T79" s="48" t="s">
        <v>1845</v>
      </c>
      <c r="U79" s="48" t="s">
        <v>2049</v>
      </c>
      <c r="V79" s="48" t="s">
        <v>1838</v>
      </c>
      <c r="W79" s="48" t="s">
        <v>2051</v>
      </c>
      <c r="X79" s="48" t="s">
        <v>2052</v>
      </c>
      <c r="Y79" s="48" t="s">
        <v>2050</v>
      </c>
      <c r="Z79" s="48" t="s">
        <v>2053</v>
      </c>
      <c r="AA79" s="48" t="s">
        <v>2054</v>
      </c>
      <c r="AB79" s="48" t="s">
        <v>2817</v>
      </c>
      <c r="AC79" s="48" t="s">
        <v>2055</v>
      </c>
      <c r="AD79" s="48" t="s">
        <v>2056</v>
      </c>
      <c r="AE79" s="48" t="s">
        <v>1710</v>
      </c>
      <c r="AF79" s="48" t="s">
        <v>1710</v>
      </c>
      <c r="AG79" s="48" t="s">
        <v>2057</v>
      </c>
      <c r="AH79" s="48" t="s">
        <v>1815</v>
      </c>
      <c r="AI79" s="48" t="s">
        <v>2058</v>
      </c>
      <c r="AJ79" s="48" t="s">
        <v>1710</v>
      </c>
      <c r="AK79" s="48" t="s">
        <v>2548</v>
      </c>
      <c r="AL79" s="48" t="s">
        <v>1858</v>
      </c>
      <c r="AM79" s="48" t="s">
        <v>1816</v>
      </c>
      <c r="AN79" s="48" t="s">
        <v>2054</v>
      </c>
      <c r="AO79" s="48" t="s">
        <v>1710</v>
      </c>
      <c r="AP79" s="48" t="s">
        <v>1848</v>
      </c>
      <c r="AQ79" s="48" t="s">
        <v>2060</v>
      </c>
      <c r="AR79" s="48" t="s">
        <v>1812</v>
      </c>
      <c r="AS79" s="48" t="s">
        <v>1813</v>
      </c>
      <c r="AT79" s="48" t="s">
        <v>1826</v>
      </c>
      <c r="AU79" s="48" t="s">
        <v>2061</v>
      </c>
      <c r="AV79" s="48" t="s">
        <v>2850</v>
      </c>
      <c r="AW79" s="48" t="s">
        <v>2062</v>
      </c>
      <c r="AX79" s="48" t="s">
        <v>2063</v>
      </c>
      <c r="AY79" s="48" t="s">
        <v>1710</v>
      </c>
      <c r="AZ79" s="48" t="s">
        <v>3448</v>
      </c>
      <c r="BA79" s="48" t="s">
        <v>1710</v>
      </c>
      <c r="BB79" s="48" t="s">
        <v>1709</v>
      </c>
      <c r="BC79" s="48" t="s">
        <v>1710</v>
      </c>
      <c r="BD79" s="48" t="s">
        <v>3449</v>
      </c>
      <c r="BE79" s="52" t="s">
        <v>3438</v>
      </c>
      <c r="BF79" s="48" t="s">
        <v>1710</v>
      </c>
      <c r="BG79" s="48" t="s">
        <v>1814</v>
      </c>
      <c r="BH79">
        <v>156</v>
      </c>
      <c r="BI79" s="48" t="s">
        <v>1888</v>
      </c>
      <c r="BJ79">
        <v>1</v>
      </c>
      <c r="BK79">
        <v>1473.06</v>
      </c>
      <c r="BL79">
        <v>244433374</v>
      </c>
      <c r="BM79">
        <v>165936</v>
      </c>
      <c r="BN79" s="48" t="s">
        <v>2530</v>
      </c>
      <c r="BO79" s="48" t="s">
        <v>2065</v>
      </c>
      <c r="BP79">
        <v>1473.06</v>
      </c>
      <c r="BQ79">
        <v>165935.79</v>
      </c>
      <c r="BR79" s="48" t="s">
        <v>1885</v>
      </c>
      <c r="BS79" s="48" t="s">
        <v>2066</v>
      </c>
      <c r="BT79">
        <v>1</v>
      </c>
      <c r="BU79">
        <v>0</v>
      </c>
      <c r="BV79">
        <v>0</v>
      </c>
      <c r="BW79" s="48" t="s">
        <v>2065</v>
      </c>
      <c r="BX79">
        <v>1473.06</v>
      </c>
      <c r="BY79">
        <v>0</v>
      </c>
      <c r="BZ79">
        <v>0</v>
      </c>
      <c r="CA79" s="48" t="s">
        <v>2065</v>
      </c>
      <c r="CB79">
        <v>1473.06</v>
      </c>
      <c r="CC79">
        <v>0</v>
      </c>
      <c r="CD79">
        <v>0</v>
      </c>
      <c r="CE79" s="48" t="s">
        <v>1710</v>
      </c>
      <c r="CF79" s="48" t="s">
        <v>1710</v>
      </c>
      <c r="CG79" s="48" t="s">
        <v>1710</v>
      </c>
      <c r="CH79" s="48" t="s">
        <v>1710</v>
      </c>
      <c r="CI79" s="48" t="s">
        <v>2067</v>
      </c>
      <c r="CJ79" s="48" t="s">
        <v>1710</v>
      </c>
      <c r="CL79" s="48" t="s">
        <v>2850</v>
      </c>
      <c r="CM79" s="48" t="s">
        <v>1710</v>
      </c>
      <c r="CN79" s="48" t="s">
        <v>2068</v>
      </c>
      <c r="CO79" s="48" t="s">
        <v>2069</v>
      </c>
      <c r="CP79" s="48" t="s">
        <v>1710</v>
      </c>
      <c r="CQ79" s="48" t="s">
        <v>1710</v>
      </c>
      <c r="CR79" s="48" t="s">
        <v>1710</v>
      </c>
      <c r="CS79" s="48" t="s">
        <v>1710</v>
      </c>
      <c r="CT79" s="48" t="s">
        <v>1710</v>
      </c>
      <c r="CU79" s="48" t="s">
        <v>1712</v>
      </c>
      <c r="CV79" s="48" t="s">
        <v>1710</v>
      </c>
      <c r="CW79" s="48" t="s">
        <v>1710</v>
      </c>
      <c r="CX79" s="48" t="s">
        <v>3014</v>
      </c>
      <c r="CY79" s="48" t="s">
        <v>1710</v>
      </c>
      <c r="CZ79" s="48" t="s">
        <v>1712</v>
      </c>
      <c r="DA79" s="48" t="s">
        <v>1710</v>
      </c>
      <c r="DB79" s="48" t="s">
        <v>1878</v>
      </c>
      <c r="DC79" s="48" t="s">
        <v>2070</v>
      </c>
      <c r="DD79" s="48" t="s">
        <v>1842</v>
      </c>
      <c r="DE79" s="48" t="s">
        <v>1886</v>
      </c>
      <c r="DF79" s="48" t="s">
        <v>3450</v>
      </c>
      <c r="DG79" s="48" t="s">
        <v>2071</v>
      </c>
      <c r="DH79" s="48" t="s">
        <v>1712</v>
      </c>
      <c r="DI79" s="48" t="s">
        <v>1710</v>
      </c>
      <c r="DJ79" s="48" t="s">
        <v>1710</v>
      </c>
      <c r="DK79" s="48" t="s">
        <v>1710</v>
      </c>
      <c r="DL79" s="48" t="s">
        <v>1710</v>
      </c>
      <c r="DM79" s="48" t="s">
        <v>1710</v>
      </c>
      <c r="DN79" s="48" t="s">
        <v>1710</v>
      </c>
      <c r="DO79" s="48" t="s">
        <v>1710</v>
      </c>
      <c r="DP79" s="48" t="s">
        <v>1710</v>
      </c>
      <c r="DQ79" s="48" t="s">
        <v>1710</v>
      </c>
      <c r="DR79" s="48" t="s">
        <v>2072</v>
      </c>
      <c r="DS79" s="48" t="s">
        <v>1710</v>
      </c>
      <c r="DT79" s="48" t="s">
        <v>1710</v>
      </c>
      <c r="DU79" s="48" t="s">
        <v>2547</v>
      </c>
      <c r="DV79" s="48" t="s">
        <v>2825</v>
      </c>
      <c r="DW79" s="48" t="s">
        <v>1710</v>
      </c>
      <c r="DX79" s="48" t="s">
        <v>3451</v>
      </c>
      <c r="DY79" s="48" t="s">
        <v>1709</v>
      </c>
      <c r="DZ79" s="48" t="s">
        <v>2562</v>
      </c>
      <c r="EA79" s="48" t="s">
        <v>2546</v>
      </c>
      <c r="EB79">
        <v>0</v>
      </c>
      <c r="EC79" s="48" t="s">
        <v>2547</v>
      </c>
      <c r="ED79" s="48" t="s">
        <v>3452</v>
      </c>
      <c r="EE79" s="48" t="s">
        <v>1814</v>
      </c>
      <c r="EF79" s="48" t="s">
        <v>2982</v>
      </c>
      <c r="EG79" s="48" t="s">
        <v>3448</v>
      </c>
      <c r="EH79">
        <v>88</v>
      </c>
      <c r="EI79" s="48" t="s">
        <v>1888</v>
      </c>
      <c r="EJ79">
        <v>1</v>
      </c>
      <c r="EK79" s="48" t="s">
        <v>1887</v>
      </c>
      <c r="EL79">
        <v>1</v>
      </c>
      <c r="EM79" s="48" t="s">
        <v>1886</v>
      </c>
      <c r="EN79">
        <v>88</v>
      </c>
      <c r="EO79" s="48" t="s">
        <v>2983</v>
      </c>
      <c r="EP79" s="48" t="s">
        <v>3453</v>
      </c>
      <c r="EQ79">
        <v>165935.79</v>
      </c>
      <c r="ER79">
        <v>165935.79</v>
      </c>
      <c r="ES79">
        <v>244433374</v>
      </c>
      <c r="ET79">
        <v>165936</v>
      </c>
      <c r="EU79" s="48" t="s">
        <v>1710</v>
      </c>
      <c r="EV79" s="48" t="s">
        <v>1710</v>
      </c>
      <c r="EW79" s="48" t="s">
        <v>1712</v>
      </c>
      <c r="EX79" s="48" t="s">
        <v>1710</v>
      </c>
      <c r="EY79" s="48" t="s">
        <v>1848</v>
      </c>
      <c r="EZ79" s="48" t="s">
        <v>1710</v>
      </c>
      <c r="FA79" s="48" t="s">
        <v>1710</v>
      </c>
      <c r="FB79" s="48" t="s">
        <v>1712</v>
      </c>
      <c r="FC79" s="48" t="s">
        <v>1710</v>
      </c>
      <c r="FD79" s="48" t="s">
        <v>1710</v>
      </c>
      <c r="FE79" s="48" t="s">
        <v>1814</v>
      </c>
      <c r="FF79" s="48" t="s">
        <v>1815</v>
      </c>
      <c r="FG79" s="48" t="s">
        <v>1710</v>
      </c>
      <c r="FH79">
        <v>1</v>
      </c>
      <c r="FI79" s="48" t="s">
        <v>1846</v>
      </c>
      <c r="FJ79">
        <v>165935.79</v>
      </c>
      <c r="FK79">
        <v>165935.79</v>
      </c>
      <c r="FL79" s="48" t="s">
        <v>3454</v>
      </c>
      <c r="FM79" s="48" t="s">
        <v>3455</v>
      </c>
      <c r="FN79" s="48" t="s">
        <v>1710</v>
      </c>
      <c r="FO79" s="48" t="s">
        <v>1710</v>
      </c>
      <c r="FP79" s="48" t="s">
        <v>1710</v>
      </c>
      <c r="FQ79" s="48" t="s">
        <v>1710</v>
      </c>
      <c r="FR79" s="48" t="s">
        <v>1710</v>
      </c>
      <c r="FS79" s="48" t="s">
        <v>1710</v>
      </c>
      <c r="FT79" s="48" t="s">
        <v>1710</v>
      </c>
      <c r="FU79" s="48" t="s">
        <v>1710</v>
      </c>
      <c r="FV79" s="48"/>
      <c r="FW79" s="56"/>
      <c r="FX79" s="56"/>
      <c r="FY79" s="56"/>
      <c r="FZ79" s="56"/>
      <c r="GA79" s="55" t="str">
        <f t="shared" si="5"/>
        <v>4388426300375X</v>
      </c>
      <c r="GB79" t="str">
        <f>VLOOKUP(B79,수출코드!$C$2:$D$4,2,FALSE)</f>
        <v>Suwon</v>
      </c>
      <c r="GC79" t="str">
        <f>VLOOKUP(L79,수출코드!$A$2:$B$6,2,FALSE)</f>
        <v/>
      </c>
      <c r="GD79" t="str">
        <f>VLOOKUP(M79,수출코드!$E$2:$F$5,2,FALSE)</f>
        <v>재수출</v>
      </c>
      <c r="GE79" s="61">
        <f t="shared" si="3"/>
        <v>45972.477777777778</v>
      </c>
      <c r="GF79" s="62">
        <f t="shared" si="4"/>
        <v>46049.631944444445</v>
      </c>
      <c r="GI79" s="48" t="s">
        <v>2750</v>
      </c>
    </row>
    <row r="80" spans="1:191">
      <c r="A80" s="48" t="s">
        <v>3456</v>
      </c>
      <c r="B80" s="48" t="s">
        <v>1821</v>
      </c>
      <c r="C80" s="48" t="s">
        <v>2048</v>
      </c>
      <c r="D80" s="48" t="s">
        <v>2813</v>
      </c>
      <c r="E80" s="48" t="s">
        <v>3456</v>
      </c>
      <c r="F80" s="48" t="s">
        <v>1710</v>
      </c>
      <c r="G80" s="48" t="s">
        <v>2814</v>
      </c>
      <c r="H80" s="48" t="s">
        <v>3457</v>
      </c>
      <c r="I80" s="48" t="s">
        <v>1884</v>
      </c>
      <c r="J80" s="48" t="s">
        <v>2850</v>
      </c>
      <c r="K80" s="48" t="s">
        <v>1877</v>
      </c>
      <c r="L80" s="48" t="s">
        <v>1842</v>
      </c>
      <c r="M80" s="48" t="s">
        <v>1810</v>
      </c>
      <c r="N80" s="48" t="s">
        <v>1842</v>
      </c>
      <c r="O80" s="48" t="s">
        <v>1811</v>
      </c>
      <c r="P80" s="48" t="s">
        <v>2549</v>
      </c>
      <c r="Q80" s="48" t="s">
        <v>2049</v>
      </c>
      <c r="R80" s="48" t="s">
        <v>1838</v>
      </c>
      <c r="S80" s="48" t="s">
        <v>2050</v>
      </c>
      <c r="T80" s="48" t="s">
        <v>1845</v>
      </c>
      <c r="U80" s="48" t="s">
        <v>2049</v>
      </c>
      <c r="V80" s="48" t="s">
        <v>1838</v>
      </c>
      <c r="W80" s="48" t="s">
        <v>2051</v>
      </c>
      <c r="X80" s="48" t="s">
        <v>2052</v>
      </c>
      <c r="Y80" s="48" t="s">
        <v>2050</v>
      </c>
      <c r="Z80" s="48" t="s">
        <v>2053</v>
      </c>
      <c r="AA80" s="48" t="s">
        <v>2054</v>
      </c>
      <c r="AB80" s="48" t="s">
        <v>2817</v>
      </c>
      <c r="AC80" s="48" t="s">
        <v>2055</v>
      </c>
      <c r="AD80" s="48" t="s">
        <v>2056</v>
      </c>
      <c r="AE80" s="48" t="s">
        <v>1710</v>
      </c>
      <c r="AF80" s="48" t="s">
        <v>1710</v>
      </c>
      <c r="AG80" s="48" t="s">
        <v>2057</v>
      </c>
      <c r="AH80" s="48" t="s">
        <v>1815</v>
      </c>
      <c r="AI80" s="48" t="s">
        <v>2058</v>
      </c>
      <c r="AJ80" s="48" t="s">
        <v>1710</v>
      </c>
      <c r="AK80" s="48" t="s">
        <v>2681</v>
      </c>
      <c r="AL80" s="48" t="s">
        <v>2682</v>
      </c>
      <c r="AM80" s="48" t="s">
        <v>1816</v>
      </c>
      <c r="AN80" s="48" t="s">
        <v>2054</v>
      </c>
      <c r="AO80" s="48" t="s">
        <v>1710</v>
      </c>
      <c r="AP80" s="48" t="s">
        <v>1855</v>
      </c>
      <c r="AQ80" s="48" t="s">
        <v>2076</v>
      </c>
      <c r="AR80" s="48" t="s">
        <v>1812</v>
      </c>
      <c r="AS80" s="48" t="s">
        <v>1813</v>
      </c>
      <c r="AT80" s="48" t="s">
        <v>1826</v>
      </c>
      <c r="AU80" s="48" t="s">
        <v>2061</v>
      </c>
      <c r="AV80" s="48" t="s">
        <v>2850</v>
      </c>
      <c r="AW80" s="48" t="s">
        <v>2062</v>
      </c>
      <c r="AX80" s="48" t="s">
        <v>2063</v>
      </c>
      <c r="AY80" s="48" t="s">
        <v>1710</v>
      </c>
      <c r="AZ80" s="48" t="s">
        <v>3458</v>
      </c>
      <c r="BA80" s="48" t="s">
        <v>1710</v>
      </c>
      <c r="BB80" s="48" t="s">
        <v>1709</v>
      </c>
      <c r="BC80" s="48" t="s">
        <v>1710</v>
      </c>
      <c r="BD80" s="48" t="s">
        <v>2089</v>
      </c>
      <c r="BE80" s="52" t="s">
        <v>3459</v>
      </c>
      <c r="BF80" s="48" t="s">
        <v>1710</v>
      </c>
      <c r="BG80" s="48" t="s">
        <v>1814</v>
      </c>
      <c r="BH80">
        <v>2</v>
      </c>
      <c r="BI80" s="48" t="s">
        <v>1888</v>
      </c>
      <c r="BJ80">
        <v>1</v>
      </c>
      <c r="BK80">
        <v>1473.06</v>
      </c>
      <c r="BL80">
        <v>794240</v>
      </c>
      <c r="BM80">
        <v>539</v>
      </c>
      <c r="BN80" s="48" t="s">
        <v>2064</v>
      </c>
      <c r="BO80" s="48" t="s">
        <v>2065</v>
      </c>
      <c r="BP80">
        <v>1473.06</v>
      </c>
      <c r="BQ80">
        <v>556.41999999999996</v>
      </c>
      <c r="BR80" s="48" t="s">
        <v>1885</v>
      </c>
      <c r="BS80" s="48" t="s">
        <v>2066</v>
      </c>
      <c r="BT80">
        <v>1</v>
      </c>
      <c r="BU80">
        <v>25400</v>
      </c>
      <c r="BV80">
        <v>25400</v>
      </c>
      <c r="BW80" s="48" t="s">
        <v>2065</v>
      </c>
      <c r="BX80">
        <v>1473.06</v>
      </c>
      <c r="BY80">
        <v>0</v>
      </c>
      <c r="BZ80">
        <v>0</v>
      </c>
      <c r="CA80" s="48" t="s">
        <v>2065</v>
      </c>
      <c r="CB80">
        <v>1473.06</v>
      </c>
      <c r="CC80">
        <v>0</v>
      </c>
      <c r="CD80">
        <v>0</v>
      </c>
      <c r="CE80" s="48" t="s">
        <v>1710</v>
      </c>
      <c r="CF80" s="48" t="s">
        <v>1710</v>
      </c>
      <c r="CG80" s="48" t="s">
        <v>1710</v>
      </c>
      <c r="CH80" s="48" t="s">
        <v>1710</v>
      </c>
      <c r="CI80" s="48" t="s">
        <v>2067</v>
      </c>
      <c r="CJ80" s="48" t="s">
        <v>1710</v>
      </c>
      <c r="CL80" s="48" t="s">
        <v>2850</v>
      </c>
      <c r="CM80" s="48" t="s">
        <v>1710</v>
      </c>
      <c r="CN80" s="48" t="s">
        <v>2068</v>
      </c>
      <c r="CO80" s="48" t="s">
        <v>2069</v>
      </c>
      <c r="CP80" s="48" t="s">
        <v>1710</v>
      </c>
      <c r="CQ80" s="48" t="s">
        <v>1710</v>
      </c>
      <c r="CR80" s="48" t="s">
        <v>1710</v>
      </c>
      <c r="CS80" s="48" t="s">
        <v>1710</v>
      </c>
      <c r="CT80" s="48" t="s">
        <v>1710</v>
      </c>
      <c r="CU80" s="48" t="s">
        <v>1712</v>
      </c>
      <c r="CV80" s="48" t="s">
        <v>1710</v>
      </c>
      <c r="CW80" s="48" t="s">
        <v>1710</v>
      </c>
      <c r="CX80" s="48" t="s">
        <v>3014</v>
      </c>
      <c r="CY80" s="48" t="s">
        <v>1710</v>
      </c>
      <c r="CZ80" s="48" t="s">
        <v>1712</v>
      </c>
      <c r="DA80" s="48" t="s">
        <v>1710</v>
      </c>
      <c r="DB80" s="48" t="s">
        <v>1878</v>
      </c>
      <c r="DC80" s="48" t="s">
        <v>2070</v>
      </c>
      <c r="DD80" s="48" t="s">
        <v>1842</v>
      </c>
      <c r="DE80" s="48" t="s">
        <v>1886</v>
      </c>
      <c r="DF80" s="48" t="s">
        <v>3460</v>
      </c>
      <c r="DG80" s="48" t="s">
        <v>2071</v>
      </c>
      <c r="DH80" s="48" t="s">
        <v>1712</v>
      </c>
      <c r="DI80" s="48" t="s">
        <v>1710</v>
      </c>
      <c r="DJ80" s="48" t="s">
        <v>1710</v>
      </c>
      <c r="DK80" s="48" t="s">
        <v>1710</v>
      </c>
      <c r="DL80" s="48" t="s">
        <v>1710</v>
      </c>
      <c r="DM80" s="48" t="s">
        <v>1710</v>
      </c>
      <c r="DN80" s="48" t="s">
        <v>1710</v>
      </c>
      <c r="DO80" s="48" t="s">
        <v>1710</v>
      </c>
      <c r="DP80" s="48" t="s">
        <v>1710</v>
      </c>
      <c r="DQ80" s="48" t="s">
        <v>1710</v>
      </c>
      <c r="DR80" s="48" t="s">
        <v>2072</v>
      </c>
      <c r="DS80" s="48" t="s">
        <v>1710</v>
      </c>
      <c r="DT80" s="48" t="s">
        <v>1710</v>
      </c>
      <c r="DU80" s="48" t="s">
        <v>2547</v>
      </c>
      <c r="DV80" s="48" t="s">
        <v>2816</v>
      </c>
      <c r="DW80" s="48" t="s">
        <v>1710</v>
      </c>
      <c r="DX80" s="48" t="s">
        <v>3461</v>
      </c>
      <c r="DY80" s="48" t="s">
        <v>1709</v>
      </c>
      <c r="DZ80" s="48" t="s">
        <v>2562</v>
      </c>
      <c r="EA80" s="48" t="s">
        <v>2546</v>
      </c>
      <c r="EB80">
        <v>0</v>
      </c>
      <c r="EC80" s="48" t="s">
        <v>2547</v>
      </c>
      <c r="ED80" s="48" t="s">
        <v>3462</v>
      </c>
      <c r="EE80" s="48" t="s">
        <v>1814</v>
      </c>
      <c r="EF80" s="48" t="s">
        <v>1861</v>
      </c>
      <c r="EG80" s="48" t="s">
        <v>3458</v>
      </c>
      <c r="EH80">
        <v>0.754</v>
      </c>
      <c r="EI80" s="48" t="s">
        <v>1888</v>
      </c>
      <c r="EJ80">
        <v>0</v>
      </c>
      <c r="EK80" s="48" t="s">
        <v>1710</v>
      </c>
      <c r="EL80">
        <v>1</v>
      </c>
      <c r="EM80" s="48" t="s">
        <v>1886</v>
      </c>
      <c r="EN80">
        <v>0.754</v>
      </c>
      <c r="EO80" s="48" t="s">
        <v>2518</v>
      </c>
      <c r="EP80" s="48" t="s">
        <v>3463</v>
      </c>
      <c r="EQ80">
        <v>556.41999999999996</v>
      </c>
      <c r="ER80">
        <v>556.41999999999996</v>
      </c>
      <c r="ES80">
        <v>794240</v>
      </c>
      <c r="ET80">
        <v>539</v>
      </c>
      <c r="EU80" s="48" t="s">
        <v>1710</v>
      </c>
      <c r="EV80" s="48" t="s">
        <v>1710</v>
      </c>
      <c r="EW80" s="48" t="s">
        <v>1712</v>
      </c>
      <c r="EX80" s="48" t="s">
        <v>1710</v>
      </c>
      <c r="EY80" s="48" t="s">
        <v>1869</v>
      </c>
      <c r="EZ80" s="48" t="s">
        <v>1710</v>
      </c>
      <c r="FA80" s="48" t="s">
        <v>1710</v>
      </c>
      <c r="FB80" s="48" t="s">
        <v>1712</v>
      </c>
      <c r="FC80" s="48" t="s">
        <v>1710</v>
      </c>
      <c r="FD80" s="48" t="s">
        <v>1710</v>
      </c>
      <c r="FE80" s="48" t="s">
        <v>1814</v>
      </c>
      <c r="FF80" s="48" t="s">
        <v>1815</v>
      </c>
      <c r="FG80" s="48" t="s">
        <v>1710</v>
      </c>
      <c r="FH80">
        <v>1</v>
      </c>
      <c r="FI80" s="48" t="s">
        <v>1846</v>
      </c>
      <c r="FJ80">
        <v>556.41999999999996</v>
      </c>
      <c r="FK80">
        <v>556.41999999999996</v>
      </c>
      <c r="FL80" s="48" t="s">
        <v>3464</v>
      </c>
      <c r="FM80" s="48" t="s">
        <v>3463</v>
      </c>
      <c r="FN80" s="48" t="s">
        <v>1710</v>
      </c>
      <c r="FO80" s="48" t="s">
        <v>1710</v>
      </c>
      <c r="FP80" s="48" t="s">
        <v>1710</v>
      </c>
      <c r="FQ80" s="48" t="s">
        <v>1710</v>
      </c>
      <c r="FR80" s="48" t="s">
        <v>1710</v>
      </c>
      <c r="FS80" s="48" t="s">
        <v>1710</v>
      </c>
      <c r="FT80" s="48" t="s">
        <v>1710</v>
      </c>
      <c r="FU80" s="48" t="s">
        <v>1710</v>
      </c>
      <c r="FV80" s="48"/>
      <c r="FW80" s="56"/>
      <c r="FX80" s="56"/>
      <c r="FY80" s="56"/>
      <c r="FZ80" s="56"/>
      <c r="GA80" s="55" t="str">
        <f t="shared" si="5"/>
        <v>4388426300376X</v>
      </c>
      <c r="GB80" t="str">
        <f>VLOOKUP(B80,수출코드!$C$2:$D$4,2,FALSE)</f>
        <v>Suwon</v>
      </c>
      <c r="GC80" t="str">
        <f>VLOOKUP(L80,수출코드!$A$2:$B$6,2,FALSE)</f>
        <v/>
      </c>
      <c r="GD80" t="str">
        <f>VLOOKUP(M80,수출코드!$E$2:$F$5,2,FALSE)</f>
        <v>일반</v>
      </c>
      <c r="GE80" s="61">
        <f t="shared" si="3"/>
        <v>45972.477777777778</v>
      </c>
      <c r="GF80" s="62">
        <f t="shared" si="4"/>
        <v>46049.663194444445</v>
      </c>
      <c r="GI80" s="48" t="s">
        <v>2750</v>
      </c>
    </row>
    <row r="81" spans="1:191">
      <c r="A81" s="48" t="s">
        <v>3465</v>
      </c>
      <c r="B81" s="48" t="s">
        <v>1821</v>
      </c>
      <c r="C81" s="48" t="s">
        <v>2048</v>
      </c>
      <c r="D81" s="48" t="s">
        <v>2813</v>
      </c>
      <c r="E81" s="48" t="s">
        <v>3465</v>
      </c>
      <c r="F81" s="48" t="s">
        <v>1710</v>
      </c>
      <c r="G81" s="48" t="s">
        <v>2814</v>
      </c>
      <c r="H81" s="48" t="s">
        <v>3466</v>
      </c>
      <c r="I81" s="48" t="s">
        <v>1884</v>
      </c>
      <c r="J81" s="48" t="s">
        <v>2850</v>
      </c>
      <c r="K81" s="48" t="s">
        <v>1877</v>
      </c>
      <c r="L81" s="48" t="s">
        <v>1842</v>
      </c>
      <c r="M81" s="48" t="s">
        <v>1810</v>
      </c>
      <c r="N81" s="48" t="s">
        <v>1842</v>
      </c>
      <c r="O81" s="48" t="s">
        <v>1811</v>
      </c>
      <c r="P81" s="48" t="s">
        <v>2549</v>
      </c>
      <c r="Q81" s="48" t="s">
        <v>2049</v>
      </c>
      <c r="R81" s="48" t="s">
        <v>1838</v>
      </c>
      <c r="S81" s="48" t="s">
        <v>2050</v>
      </c>
      <c r="T81" s="48" t="s">
        <v>1845</v>
      </c>
      <c r="U81" s="48" t="s">
        <v>2049</v>
      </c>
      <c r="V81" s="48" t="s">
        <v>1838</v>
      </c>
      <c r="W81" s="48" t="s">
        <v>2051</v>
      </c>
      <c r="X81" s="48" t="s">
        <v>2052</v>
      </c>
      <c r="Y81" s="48" t="s">
        <v>2050</v>
      </c>
      <c r="Z81" s="48" t="s">
        <v>2053</v>
      </c>
      <c r="AA81" s="48" t="s">
        <v>2054</v>
      </c>
      <c r="AB81" s="48" t="s">
        <v>2817</v>
      </c>
      <c r="AC81" s="48" t="s">
        <v>2055</v>
      </c>
      <c r="AD81" s="48" t="s">
        <v>2056</v>
      </c>
      <c r="AE81" s="48" t="s">
        <v>1710</v>
      </c>
      <c r="AF81" s="48" t="s">
        <v>1710</v>
      </c>
      <c r="AG81" s="48" t="s">
        <v>2057</v>
      </c>
      <c r="AH81" s="48" t="s">
        <v>1815</v>
      </c>
      <c r="AI81" s="48" t="s">
        <v>2058</v>
      </c>
      <c r="AJ81" s="48" t="s">
        <v>1710</v>
      </c>
      <c r="AK81" s="48" t="s">
        <v>2090</v>
      </c>
      <c r="AL81" s="48" t="s">
        <v>2091</v>
      </c>
      <c r="AM81" s="48" t="s">
        <v>1816</v>
      </c>
      <c r="AN81" s="48" t="s">
        <v>2054</v>
      </c>
      <c r="AO81" s="48" t="s">
        <v>1710</v>
      </c>
      <c r="AP81" s="48" t="s">
        <v>1853</v>
      </c>
      <c r="AQ81" s="48" t="s">
        <v>2086</v>
      </c>
      <c r="AR81" s="48" t="s">
        <v>1812</v>
      </c>
      <c r="AS81" s="48" t="s">
        <v>1813</v>
      </c>
      <c r="AT81" s="48" t="s">
        <v>1826</v>
      </c>
      <c r="AU81" s="48" t="s">
        <v>2061</v>
      </c>
      <c r="AV81" s="48" t="s">
        <v>2850</v>
      </c>
      <c r="AW81" s="48" t="s">
        <v>2062</v>
      </c>
      <c r="AX81" s="48" t="s">
        <v>2063</v>
      </c>
      <c r="AY81" s="48" t="s">
        <v>1710</v>
      </c>
      <c r="AZ81" s="48" t="s">
        <v>3467</v>
      </c>
      <c r="BA81" s="48" t="s">
        <v>1710</v>
      </c>
      <c r="BB81" s="48" t="s">
        <v>1709</v>
      </c>
      <c r="BC81" s="48" t="s">
        <v>1710</v>
      </c>
      <c r="BD81" s="48" t="s">
        <v>2089</v>
      </c>
      <c r="BE81" s="52" t="s">
        <v>3459</v>
      </c>
      <c r="BF81" s="48" t="s">
        <v>1710</v>
      </c>
      <c r="BG81" s="48" t="s">
        <v>1814</v>
      </c>
      <c r="BH81">
        <v>1</v>
      </c>
      <c r="BI81" s="48" t="s">
        <v>1888</v>
      </c>
      <c r="BJ81">
        <v>1</v>
      </c>
      <c r="BK81">
        <v>1473.06</v>
      </c>
      <c r="BL81">
        <v>3354590</v>
      </c>
      <c r="BM81">
        <v>2277</v>
      </c>
      <c r="BN81" s="48" t="s">
        <v>2064</v>
      </c>
      <c r="BO81" s="48" t="s">
        <v>2065</v>
      </c>
      <c r="BP81">
        <v>1473.06</v>
      </c>
      <c r="BQ81">
        <v>2291.5500000000002</v>
      </c>
      <c r="BR81" s="48" t="s">
        <v>1885</v>
      </c>
      <c r="BS81" s="48" t="s">
        <v>2066</v>
      </c>
      <c r="BT81">
        <v>1</v>
      </c>
      <c r="BU81">
        <v>21000</v>
      </c>
      <c r="BV81">
        <v>21000</v>
      </c>
      <c r="BW81" s="48" t="s">
        <v>2065</v>
      </c>
      <c r="BX81">
        <v>1473.06</v>
      </c>
      <c r="BY81">
        <v>0</v>
      </c>
      <c r="BZ81">
        <v>0</v>
      </c>
      <c r="CA81" s="48" t="s">
        <v>2065</v>
      </c>
      <c r="CB81">
        <v>1473.06</v>
      </c>
      <c r="CC81">
        <v>0</v>
      </c>
      <c r="CD81">
        <v>0</v>
      </c>
      <c r="CE81" s="48" t="s">
        <v>1710</v>
      </c>
      <c r="CF81" s="48" t="s">
        <v>1710</v>
      </c>
      <c r="CG81" s="48" t="s">
        <v>1710</v>
      </c>
      <c r="CH81" s="48" t="s">
        <v>1710</v>
      </c>
      <c r="CI81" s="48" t="s">
        <v>2067</v>
      </c>
      <c r="CJ81" s="48" t="s">
        <v>1710</v>
      </c>
      <c r="CL81" s="48" t="s">
        <v>2850</v>
      </c>
      <c r="CM81" s="48" t="s">
        <v>1710</v>
      </c>
      <c r="CN81" s="48" t="s">
        <v>2068</v>
      </c>
      <c r="CO81" s="48" t="s">
        <v>2069</v>
      </c>
      <c r="CP81" s="48" t="s">
        <v>1710</v>
      </c>
      <c r="CQ81" s="48" t="s">
        <v>1710</v>
      </c>
      <c r="CR81" s="48" t="s">
        <v>1710</v>
      </c>
      <c r="CS81" s="48" t="s">
        <v>1710</v>
      </c>
      <c r="CT81" s="48" t="s">
        <v>1710</v>
      </c>
      <c r="CU81" s="48" t="s">
        <v>1712</v>
      </c>
      <c r="CV81" s="48" t="s">
        <v>1710</v>
      </c>
      <c r="CW81" s="48" t="s">
        <v>1710</v>
      </c>
      <c r="CX81" s="48" t="s">
        <v>3014</v>
      </c>
      <c r="CY81" s="48" t="s">
        <v>1710</v>
      </c>
      <c r="CZ81" s="48" t="s">
        <v>1712</v>
      </c>
      <c r="DA81" s="48" t="s">
        <v>1710</v>
      </c>
      <c r="DB81" s="48" t="s">
        <v>1878</v>
      </c>
      <c r="DC81" s="48" t="s">
        <v>2070</v>
      </c>
      <c r="DD81" s="48" t="s">
        <v>1842</v>
      </c>
      <c r="DE81" s="48" t="s">
        <v>1886</v>
      </c>
      <c r="DF81" s="48" t="s">
        <v>3468</v>
      </c>
      <c r="DG81" s="48" t="s">
        <v>2071</v>
      </c>
      <c r="DH81" s="48" t="s">
        <v>1712</v>
      </c>
      <c r="DI81" s="48" t="s">
        <v>1710</v>
      </c>
      <c r="DJ81" s="48" t="s">
        <v>1710</v>
      </c>
      <c r="DK81" s="48" t="s">
        <v>1710</v>
      </c>
      <c r="DL81" s="48" t="s">
        <v>1710</v>
      </c>
      <c r="DM81" s="48" t="s">
        <v>1710</v>
      </c>
      <c r="DN81" s="48" t="s">
        <v>1710</v>
      </c>
      <c r="DO81" s="48" t="s">
        <v>1710</v>
      </c>
      <c r="DP81" s="48" t="s">
        <v>1710</v>
      </c>
      <c r="DQ81" s="48" t="s">
        <v>1710</v>
      </c>
      <c r="DR81" s="48" t="s">
        <v>2072</v>
      </c>
      <c r="DS81" s="48" t="s">
        <v>1710</v>
      </c>
      <c r="DT81" s="48" t="s">
        <v>1710</v>
      </c>
      <c r="DU81" s="48" t="s">
        <v>2547</v>
      </c>
      <c r="DV81" s="48" t="s">
        <v>2816</v>
      </c>
      <c r="DW81" s="48" t="s">
        <v>1710</v>
      </c>
      <c r="DX81" s="48" t="s">
        <v>3469</v>
      </c>
      <c r="DY81" s="48" t="s">
        <v>1709</v>
      </c>
      <c r="DZ81" s="48" t="s">
        <v>2562</v>
      </c>
      <c r="EA81" s="48" t="s">
        <v>2546</v>
      </c>
      <c r="EB81">
        <v>0</v>
      </c>
      <c r="EC81" s="48" t="s">
        <v>2547</v>
      </c>
      <c r="ED81" s="48" t="s">
        <v>3462</v>
      </c>
      <c r="EE81" s="48" t="s">
        <v>1814</v>
      </c>
      <c r="EF81" s="48" t="s">
        <v>1847</v>
      </c>
      <c r="EG81" s="48" t="s">
        <v>3467</v>
      </c>
      <c r="EH81">
        <v>0.19900000000000001</v>
      </c>
      <c r="EI81" s="48" t="s">
        <v>1888</v>
      </c>
      <c r="EJ81">
        <v>0</v>
      </c>
      <c r="EK81" s="48" t="s">
        <v>1710</v>
      </c>
      <c r="EL81">
        <v>1</v>
      </c>
      <c r="EM81" s="48" t="s">
        <v>1886</v>
      </c>
      <c r="EN81">
        <v>0.19900000000000001</v>
      </c>
      <c r="EO81" s="48" t="s">
        <v>2529</v>
      </c>
      <c r="EP81" s="48" t="s">
        <v>2626</v>
      </c>
      <c r="EQ81">
        <v>2291.5500000000002</v>
      </c>
      <c r="ER81">
        <v>2291.5500000000002</v>
      </c>
      <c r="ES81">
        <v>3354590</v>
      </c>
      <c r="ET81">
        <v>2277</v>
      </c>
      <c r="EU81" s="48" t="s">
        <v>1710</v>
      </c>
      <c r="EV81" s="48" t="s">
        <v>1710</v>
      </c>
      <c r="EW81" s="48" t="s">
        <v>1712</v>
      </c>
      <c r="EX81" s="48" t="s">
        <v>1710</v>
      </c>
      <c r="EY81" s="48" t="s">
        <v>1848</v>
      </c>
      <c r="EZ81" s="48" t="s">
        <v>1710</v>
      </c>
      <c r="FA81" s="48" t="s">
        <v>1710</v>
      </c>
      <c r="FB81" s="48" t="s">
        <v>1712</v>
      </c>
      <c r="FC81" s="48" t="s">
        <v>1710</v>
      </c>
      <c r="FD81" s="48" t="s">
        <v>1710</v>
      </c>
      <c r="FE81" s="48" t="s">
        <v>1814</v>
      </c>
      <c r="FF81" s="48" t="s">
        <v>1815</v>
      </c>
      <c r="FG81" s="48" t="s">
        <v>1710</v>
      </c>
      <c r="FH81">
        <v>1</v>
      </c>
      <c r="FI81" s="48" t="s">
        <v>1846</v>
      </c>
      <c r="FJ81">
        <v>2291.5500000000002</v>
      </c>
      <c r="FK81">
        <v>2291.5500000000002</v>
      </c>
      <c r="FL81" s="48" t="s">
        <v>2627</v>
      </c>
      <c r="FM81" s="48" t="s">
        <v>2626</v>
      </c>
      <c r="FN81" s="48" t="s">
        <v>1710</v>
      </c>
      <c r="FO81" s="48" t="s">
        <v>1710</v>
      </c>
      <c r="FP81" s="48" t="s">
        <v>1710</v>
      </c>
      <c r="FQ81" s="48" t="s">
        <v>1710</v>
      </c>
      <c r="FR81" s="48" t="s">
        <v>1710</v>
      </c>
      <c r="FS81" s="48" t="s">
        <v>1710</v>
      </c>
      <c r="FT81" s="48" t="s">
        <v>1710</v>
      </c>
      <c r="FU81" s="48" t="s">
        <v>1710</v>
      </c>
      <c r="FV81" s="48"/>
      <c r="FW81" s="56"/>
      <c r="FX81" s="56"/>
      <c r="FY81" s="56"/>
      <c r="FZ81" s="56"/>
      <c r="GA81" s="55" t="str">
        <f t="shared" si="5"/>
        <v>4388426300377X</v>
      </c>
      <c r="GB81" t="str">
        <f>VLOOKUP(B81,수출코드!$C$2:$D$4,2,FALSE)</f>
        <v>Suwon</v>
      </c>
      <c r="GC81" t="str">
        <f>VLOOKUP(L81,수출코드!$A$2:$B$6,2,FALSE)</f>
        <v/>
      </c>
      <c r="GD81" t="str">
        <f>VLOOKUP(M81,수출코드!$E$2:$F$5,2,FALSE)</f>
        <v>일반</v>
      </c>
      <c r="GE81" s="61">
        <f t="shared" si="3"/>
        <v>45972.477777777778</v>
      </c>
      <c r="GF81" s="62">
        <f t="shared" si="4"/>
        <v>46049.663194444445</v>
      </c>
      <c r="GI81" s="48" t="s">
        <v>2750</v>
      </c>
    </row>
    <row r="82" spans="1:191">
      <c r="A82" s="48" t="s">
        <v>3470</v>
      </c>
      <c r="B82" s="48" t="s">
        <v>1821</v>
      </c>
      <c r="C82" s="48" t="s">
        <v>2048</v>
      </c>
      <c r="D82" s="48" t="s">
        <v>2813</v>
      </c>
      <c r="E82" s="48" t="s">
        <v>3470</v>
      </c>
      <c r="F82" s="48" t="s">
        <v>1710</v>
      </c>
      <c r="G82" s="48" t="s">
        <v>2814</v>
      </c>
      <c r="H82" s="48" t="s">
        <v>3471</v>
      </c>
      <c r="I82" s="48" t="s">
        <v>1884</v>
      </c>
      <c r="J82" s="48" t="s">
        <v>2850</v>
      </c>
      <c r="K82" s="48" t="s">
        <v>1877</v>
      </c>
      <c r="L82" s="48" t="s">
        <v>1842</v>
      </c>
      <c r="M82" s="48" t="s">
        <v>1810</v>
      </c>
      <c r="N82" s="48" t="s">
        <v>1842</v>
      </c>
      <c r="O82" s="48" t="s">
        <v>1811</v>
      </c>
      <c r="P82" s="48" t="s">
        <v>2549</v>
      </c>
      <c r="Q82" s="48" t="s">
        <v>2049</v>
      </c>
      <c r="R82" s="48" t="s">
        <v>1838</v>
      </c>
      <c r="S82" s="48" t="s">
        <v>2050</v>
      </c>
      <c r="T82" s="48" t="s">
        <v>1845</v>
      </c>
      <c r="U82" s="48" t="s">
        <v>2049</v>
      </c>
      <c r="V82" s="48" t="s">
        <v>1838</v>
      </c>
      <c r="W82" s="48" t="s">
        <v>2051</v>
      </c>
      <c r="X82" s="48" t="s">
        <v>2052</v>
      </c>
      <c r="Y82" s="48" t="s">
        <v>2050</v>
      </c>
      <c r="Z82" s="48" t="s">
        <v>2053</v>
      </c>
      <c r="AA82" s="48" t="s">
        <v>2054</v>
      </c>
      <c r="AB82" s="48" t="s">
        <v>2817</v>
      </c>
      <c r="AC82" s="48" t="s">
        <v>2055</v>
      </c>
      <c r="AD82" s="48" t="s">
        <v>2056</v>
      </c>
      <c r="AE82" s="48" t="s">
        <v>1710</v>
      </c>
      <c r="AF82" s="48" t="s">
        <v>1710</v>
      </c>
      <c r="AG82" s="48" t="s">
        <v>2057</v>
      </c>
      <c r="AH82" s="48" t="s">
        <v>1815</v>
      </c>
      <c r="AI82" s="48" t="s">
        <v>2058</v>
      </c>
      <c r="AJ82" s="48" t="s">
        <v>1710</v>
      </c>
      <c r="AK82" s="48" t="s">
        <v>2560</v>
      </c>
      <c r="AL82" s="48" t="s">
        <v>2561</v>
      </c>
      <c r="AM82" s="48" t="s">
        <v>1816</v>
      </c>
      <c r="AN82" s="48" t="s">
        <v>2054</v>
      </c>
      <c r="AO82" s="48" t="s">
        <v>1710</v>
      </c>
      <c r="AP82" s="48" t="s">
        <v>1855</v>
      </c>
      <c r="AQ82" s="48" t="s">
        <v>2076</v>
      </c>
      <c r="AR82" s="48" t="s">
        <v>1812</v>
      </c>
      <c r="AS82" s="48" t="s">
        <v>1813</v>
      </c>
      <c r="AT82" s="48" t="s">
        <v>1826</v>
      </c>
      <c r="AU82" s="48" t="s">
        <v>2061</v>
      </c>
      <c r="AV82" s="48" t="s">
        <v>2850</v>
      </c>
      <c r="AW82" s="48" t="s">
        <v>2062</v>
      </c>
      <c r="AX82" s="48" t="s">
        <v>2063</v>
      </c>
      <c r="AY82" s="48" t="s">
        <v>1710</v>
      </c>
      <c r="AZ82" s="48" t="s">
        <v>3472</v>
      </c>
      <c r="BA82" s="48" t="s">
        <v>1710</v>
      </c>
      <c r="BB82" s="48" t="s">
        <v>1709</v>
      </c>
      <c r="BC82" s="48" t="s">
        <v>1710</v>
      </c>
      <c r="BD82" s="48" t="s">
        <v>2089</v>
      </c>
      <c r="BE82" s="52" t="s">
        <v>3459</v>
      </c>
      <c r="BF82" s="48" t="s">
        <v>1710</v>
      </c>
      <c r="BG82" s="48" t="s">
        <v>1818</v>
      </c>
      <c r="BH82">
        <v>9</v>
      </c>
      <c r="BI82" s="48" t="s">
        <v>1888</v>
      </c>
      <c r="BJ82">
        <v>1</v>
      </c>
      <c r="BK82">
        <v>1473.06</v>
      </c>
      <c r="BL82">
        <v>16356083</v>
      </c>
      <c r="BM82">
        <v>11103</v>
      </c>
      <c r="BN82" s="48" t="s">
        <v>2064</v>
      </c>
      <c r="BO82" s="48" t="s">
        <v>2065</v>
      </c>
      <c r="BP82">
        <v>1473.06</v>
      </c>
      <c r="BQ82">
        <v>11140.54</v>
      </c>
      <c r="BR82" s="48" t="s">
        <v>1885</v>
      </c>
      <c r="BS82" s="48" t="s">
        <v>2066</v>
      </c>
      <c r="BT82">
        <v>1</v>
      </c>
      <c r="BU82">
        <v>54600</v>
      </c>
      <c r="BV82">
        <v>54600</v>
      </c>
      <c r="BW82" s="48" t="s">
        <v>2065</v>
      </c>
      <c r="BX82">
        <v>1473.06</v>
      </c>
      <c r="BY82">
        <v>0</v>
      </c>
      <c r="BZ82">
        <v>0</v>
      </c>
      <c r="CA82" s="48" t="s">
        <v>2065</v>
      </c>
      <c r="CB82">
        <v>1473.06</v>
      </c>
      <c r="CC82">
        <v>0</v>
      </c>
      <c r="CD82">
        <v>0</v>
      </c>
      <c r="CE82" s="48" t="s">
        <v>1710</v>
      </c>
      <c r="CF82" s="48" t="s">
        <v>1710</v>
      </c>
      <c r="CG82" s="48" t="s">
        <v>1710</v>
      </c>
      <c r="CH82" s="48" t="s">
        <v>1710</v>
      </c>
      <c r="CI82" s="48" t="s">
        <v>2067</v>
      </c>
      <c r="CJ82" s="48" t="s">
        <v>1710</v>
      </c>
      <c r="CL82" s="48" t="s">
        <v>2850</v>
      </c>
      <c r="CM82" s="48" t="s">
        <v>1710</v>
      </c>
      <c r="CN82" s="48" t="s">
        <v>2068</v>
      </c>
      <c r="CO82" s="48" t="s">
        <v>2069</v>
      </c>
      <c r="CP82" s="48" t="s">
        <v>1710</v>
      </c>
      <c r="CQ82" s="48" t="s">
        <v>1710</v>
      </c>
      <c r="CR82" s="48" t="s">
        <v>1710</v>
      </c>
      <c r="CS82" s="48" t="s">
        <v>1710</v>
      </c>
      <c r="CT82" s="48" t="s">
        <v>1710</v>
      </c>
      <c r="CU82" s="48" t="s">
        <v>1712</v>
      </c>
      <c r="CV82" s="48" t="s">
        <v>1710</v>
      </c>
      <c r="CW82" s="48" t="s">
        <v>1710</v>
      </c>
      <c r="CX82" s="48" t="s">
        <v>3014</v>
      </c>
      <c r="CY82" s="48" t="s">
        <v>1710</v>
      </c>
      <c r="CZ82" s="48" t="s">
        <v>1712</v>
      </c>
      <c r="DA82" s="48" t="s">
        <v>1710</v>
      </c>
      <c r="DB82" s="48" t="s">
        <v>1878</v>
      </c>
      <c r="DC82" s="48" t="s">
        <v>2070</v>
      </c>
      <c r="DD82" s="48" t="s">
        <v>1842</v>
      </c>
      <c r="DE82" s="48" t="s">
        <v>1886</v>
      </c>
      <c r="DF82" s="48" t="s">
        <v>3473</v>
      </c>
      <c r="DG82" s="48" t="s">
        <v>2071</v>
      </c>
      <c r="DH82" s="48" t="s">
        <v>1712</v>
      </c>
      <c r="DI82" s="48" t="s">
        <v>1710</v>
      </c>
      <c r="DJ82" s="48" t="s">
        <v>1710</v>
      </c>
      <c r="DK82" s="48" t="s">
        <v>1710</v>
      </c>
      <c r="DL82" s="48" t="s">
        <v>1710</v>
      </c>
      <c r="DM82" s="48" t="s">
        <v>1710</v>
      </c>
      <c r="DN82" s="48" t="s">
        <v>1710</v>
      </c>
      <c r="DO82" s="48" t="s">
        <v>1710</v>
      </c>
      <c r="DP82" s="48" t="s">
        <v>1710</v>
      </c>
      <c r="DQ82" s="48" t="s">
        <v>1710</v>
      </c>
      <c r="DR82" s="48" t="s">
        <v>2072</v>
      </c>
      <c r="DS82" s="48" t="s">
        <v>1710</v>
      </c>
      <c r="DT82" s="48" t="s">
        <v>1710</v>
      </c>
      <c r="DU82" s="48" t="s">
        <v>2547</v>
      </c>
      <c r="DV82" s="48" t="s">
        <v>2816</v>
      </c>
      <c r="DW82" s="48" t="s">
        <v>1710</v>
      </c>
      <c r="DX82" s="48" t="s">
        <v>3474</v>
      </c>
      <c r="DY82" s="48" t="s">
        <v>1709</v>
      </c>
      <c r="DZ82" s="48" t="s">
        <v>2562</v>
      </c>
      <c r="EA82" s="48" t="s">
        <v>2546</v>
      </c>
      <c r="EB82">
        <v>0</v>
      </c>
      <c r="EC82" s="48" t="s">
        <v>2547</v>
      </c>
      <c r="ED82" s="48" t="s">
        <v>3475</v>
      </c>
      <c r="EE82" s="48" t="s">
        <v>1814</v>
      </c>
      <c r="EF82" s="48" t="s">
        <v>2666</v>
      </c>
      <c r="EG82" s="48" t="s">
        <v>3472</v>
      </c>
      <c r="EH82">
        <v>1.252</v>
      </c>
      <c r="EI82" s="48" t="s">
        <v>1888</v>
      </c>
      <c r="EJ82">
        <v>1</v>
      </c>
      <c r="EK82" s="48" t="s">
        <v>1887</v>
      </c>
      <c r="EL82">
        <v>1</v>
      </c>
      <c r="EM82" s="48" t="s">
        <v>1886</v>
      </c>
      <c r="EN82">
        <v>1.252</v>
      </c>
      <c r="EO82" s="48" t="s">
        <v>2667</v>
      </c>
      <c r="EP82" s="48" t="s">
        <v>3476</v>
      </c>
      <c r="EQ82">
        <v>5060.2299999999996</v>
      </c>
      <c r="ER82">
        <v>5060.2299999999996</v>
      </c>
      <c r="ES82">
        <v>7429222</v>
      </c>
      <c r="ET82">
        <v>5043</v>
      </c>
      <c r="EU82" s="48" t="s">
        <v>1710</v>
      </c>
      <c r="EV82" s="48" t="s">
        <v>1710</v>
      </c>
      <c r="EW82" s="48" t="s">
        <v>1712</v>
      </c>
      <c r="EX82" s="48" t="s">
        <v>1710</v>
      </c>
      <c r="EY82" s="48" t="s">
        <v>1848</v>
      </c>
      <c r="EZ82" s="48" t="s">
        <v>1710</v>
      </c>
      <c r="FA82" s="48" t="s">
        <v>1710</v>
      </c>
      <c r="FB82" s="48" t="s">
        <v>1712</v>
      </c>
      <c r="FC82" s="48" t="s">
        <v>1710</v>
      </c>
      <c r="FD82" s="48" t="s">
        <v>1710</v>
      </c>
      <c r="FE82" s="48" t="s">
        <v>1814</v>
      </c>
      <c r="FF82" s="48" t="s">
        <v>1815</v>
      </c>
      <c r="FG82" s="48" t="s">
        <v>1710</v>
      </c>
      <c r="FH82">
        <v>1</v>
      </c>
      <c r="FI82" s="48" t="s">
        <v>1846</v>
      </c>
      <c r="FJ82">
        <v>5060.2299999999996</v>
      </c>
      <c r="FK82">
        <v>5060.2299999999996</v>
      </c>
      <c r="FL82" s="48" t="s">
        <v>3477</v>
      </c>
      <c r="FM82" s="48" t="s">
        <v>3476</v>
      </c>
      <c r="FN82" s="48" t="s">
        <v>1710</v>
      </c>
      <c r="FO82" s="48" t="s">
        <v>1710</v>
      </c>
      <c r="FP82" s="48" t="s">
        <v>1710</v>
      </c>
      <c r="FQ82" s="48" t="s">
        <v>1710</v>
      </c>
      <c r="FR82" s="48" t="s">
        <v>1710</v>
      </c>
      <c r="FS82" s="48" t="s">
        <v>1710</v>
      </c>
      <c r="FT82" s="48" t="s">
        <v>1710</v>
      </c>
      <c r="FU82" s="48" t="s">
        <v>1710</v>
      </c>
      <c r="FV82" s="48"/>
      <c r="FW82" s="56"/>
      <c r="FX82" s="56"/>
      <c r="FY82" s="56"/>
      <c r="FZ82" s="56"/>
      <c r="GA82" s="55" t="str">
        <f t="shared" si="5"/>
        <v>4388426300378X</v>
      </c>
      <c r="GB82" t="str">
        <f>VLOOKUP(B82,수출코드!$C$2:$D$4,2,FALSE)</f>
        <v>Suwon</v>
      </c>
      <c r="GC82" t="str">
        <f>VLOOKUP(L82,수출코드!$A$2:$B$6,2,FALSE)</f>
        <v/>
      </c>
      <c r="GD82" t="str">
        <f>VLOOKUP(M82,수출코드!$E$2:$F$5,2,FALSE)</f>
        <v>일반</v>
      </c>
      <c r="GE82" s="61">
        <f t="shared" si="3"/>
        <v>45972.477777777778</v>
      </c>
      <c r="GF82" s="62">
        <f t="shared" si="4"/>
        <v>46049.663888888892</v>
      </c>
      <c r="GI82" s="48" t="s">
        <v>2750</v>
      </c>
    </row>
    <row r="83" spans="1:191">
      <c r="A83" s="48" t="s">
        <v>3478</v>
      </c>
      <c r="B83" s="48" t="s">
        <v>1821</v>
      </c>
      <c r="C83" s="48" t="s">
        <v>2048</v>
      </c>
      <c r="D83" s="48" t="s">
        <v>2813</v>
      </c>
      <c r="E83" s="48" t="s">
        <v>3478</v>
      </c>
      <c r="F83" s="48" t="s">
        <v>1710</v>
      </c>
      <c r="G83" s="48" t="s">
        <v>2814</v>
      </c>
      <c r="H83" s="48" t="s">
        <v>3479</v>
      </c>
      <c r="I83" s="48" t="s">
        <v>1884</v>
      </c>
      <c r="J83" s="48" t="s">
        <v>2850</v>
      </c>
      <c r="K83" s="48" t="s">
        <v>1877</v>
      </c>
      <c r="L83" s="48" t="s">
        <v>1842</v>
      </c>
      <c r="M83" s="48" t="s">
        <v>1810</v>
      </c>
      <c r="N83" s="48" t="s">
        <v>1842</v>
      </c>
      <c r="O83" s="48" t="s">
        <v>1811</v>
      </c>
      <c r="P83" s="48" t="s">
        <v>2549</v>
      </c>
      <c r="Q83" s="48" t="s">
        <v>2049</v>
      </c>
      <c r="R83" s="48" t="s">
        <v>1838</v>
      </c>
      <c r="S83" s="48" t="s">
        <v>2050</v>
      </c>
      <c r="T83" s="48" t="s">
        <v>1845</v>
      </c>
      <c r="U83" s="48" t="s">
        <v>2049</v>
      </c>
      <c r="V83" s="48" t="s">
        <v>1838</v>
      </c>
      <c r="W83" s="48" t="s">
        <v>2051</v>
      </c>
      <c r="X83" s="48" t="s">
        <v>2052</v>
      </c>
      <c r="Y83" s="48" t="s">
        <v>2050</v>
      </c>
      <c r="Z83" s="48" t="s">
        <v>2053</v>
      </c>
      <c r="AA83" s="48" t="s">
        <v>2054</v>
      </c>
      <c r="AB83" s="48" t="s">
        <v>2817</v>
      </c>
      <c r="AC83" s="48" t="s">
        <v>2055</v>
      </c>
      <c r="AD83" s="48" t="s">
        <v>2056</v>
      </c>
      <c r="AE83" s="48" t="s">
        <v>1710</v>
      </c>
      <c r="AF83" s="48" t="s">
        <v>1710</v>
      </c>
      <c r="AG83" s="48" t="s">
        <v>2057</v>
      </c>
      <c r="AH83" s="48" t="s">
        <v>1815</v>
      </c>
      <c r="AI83" s="48" t="s">
        <v>2058</v>
      </c>
      <c r="AJ83" s="48" t="s">
        <v>1710</v>
      </c>
      <c r="AK83" s="48" t="s">
        <v>2588</v>
      </c>
      <c r="AL83" s="48" t="s">
        <v>1858</v>
      </c>
      <c r="AM83" s="48" t="s">
        <v>1816</v>
      </c>
      <c r="AN83" s="48" t="s">
        <v>2054</v>
      </c>
      <c r="AO83" s="48" t="s">
        <v>1710</v>
      </c>
      <c r="AP83" s="48" t="s">
        <v>1848</v>
      </c>
      <c r="AQ83" s="48" t="s">
        <v>2060</v>
      </c>
      <c r="AR83" s="48" t="s">
        <v>1812</v>
      </c>
      <c r="AS83" s="48" t="s">
        <v>1813</v>
      </c>
      <c r="AT83" s="48" t="s">
        <v>1826</v>
      </c>
      <c r="AU83" s="48" t="s">
        <v>2061</v>
      </c>
      <c r="AV83" s="48" t="s">
        <v>2850</v>
      </c>
      <c r="AW83" s="48" t="s">
        <v>2062</v>
      </c>
      <c r="AX83" s="48" t="s">
        <v>2063</v>
      </c>
      <c r="AY83" s="48" t="s">
        <v>1710</v>
      </c>
      <c r="AZ83" s="48" t="s">
        <v>3480</v>
      </c>
      <c r="BA83" s="48" t="s">
        <v>1710</v>
      </c>
      <c r="BB83" s="48" t="s">
        <v>1709</v>
      </c>
      <c r="BC83" s="48" t="s">
        <v>1710</v>
      </c>
      <c r="BD83" s="48" t="s">
        <v>2089</v>
      </c>
      <c r="BE83" s="52" t="s">
        <v>3459</v>
      </c>
      <c r="BF83" s="48" t="s">
        <v>1710</v>
      </c>
      <c r="BG83" s="48" t="s">
        <v>1814</v>
      </c>
      <c r="BH83">
        <v>1</v>
      </c>
      <c r="BI83" s="48" t="s">
        <v>1888</v>
      </c>
      <c r="BJ83">
        <v>1</v>
      </c>
      <c r="BK83">
        <v>1473.06</v>
      </c>
      <c r="BL83">
        <v>3073330</v>
      </c>
      <c r="BM83">
        <v>2086</v>
      </c>
      <c r="BN83" s="48" t="s">
        <v>2064</v>
      </c>
      <c r="BO83" s="48" t="s">
        <v>2065</v>
      </c>
      <c r="BP83">
        <v>1473.06</v>
      </c>
      <c r="BQ83">
        <v>2109.1</v>
      </c>
      <c r="BR83" s="48" t="s">
        <v>1885</v>
      </c>
      <c r="BS83" s="48" t="s">
        <v>2066</v>
      </c>
      <c r="BT83">
        <v>1</v>
      </c>
      <c r="BU83">
        <v>33500</v>
      </c>
      <c r="BV83">
        <v>33500</v>
      </c>
      <c r="BW83" s="48" t="s">
        <v>2065</v>
      </c>
      <c r="BX83">
        <v>1473.06</v>
      </c>
      <c r="BY83">
        <v>0</v>
      </c>
      <c r="BZ83">
        <v>0</v>
      </c>
      <c r="CA83" s="48" t="s">
        <v>2065</v>
      </c>
      <c r="CB83">
        <v>1473.06</v>
      </c>
      <c r="CC83">
        <v>0</v>
      </c>
      <c r="CD83">
        <v>0</v>
      </c>
      <c r="CE83" s="48" t="s">
        <v>1710</v>
      </c>
      <c r="CF83" s="48" t="s">
        <v>1710</v>
      </c>
      <c r="CG83" s="48" t="s">
        <v>1710</v>
      </c>
      <c r="CH83" s="48" t="s">
        <v>1710</v>
      </c>
      <c r="CI83" s="48" t="s">
        <v>2067</v>
      </c>
      <c r="CJ83" s="48" t="s">
        <v>1710</v>
      </c>
      <c r="CL83" s="48" t="s">
        <v>2850</v>
      </c>
      <c r="CM83" s="48" t="s">
        <v>1710</v>
      </c>
      <c r="CN83" s="48" t="s">
        <v>2068</v>
      </c>
      <c r="CO83" s="48" t="s">
        <v>2069</v>
      </c>
      <c r="CP83" s="48" t="s">
        <v>1710</v>
      </c>
      <c r="CQ83" s="48" t="s">
        <v>1710</v>
      </c>
      <c r="CR83" s="48" t="s">
        <v>1710</v>
      </c>
      <c r="CS83" s="48" t="s">
        <v>1710</v>
      </c>
      <c r="CT83" s="48" t="s">
        <v>1710</v>
      </c>
      <c r="CU83" s="48" t="s">
        <v>1712</v>
      </c>
      <c r="CV83" s="48" t="s">
        <v>1710</v>
      </c>
      <c r="CW83" s="48" t="s">
        <v>1710</v>
      </c>
      <c r="CX83" s="48" t="s">
        <v>3014</v>
      </c>
      <c r="CY83" s="48" t="s">
        <v>1710</v>
      </c>
      <c r="CZ83" s="48" t="s">
        <v>1712</v>
      </c>
      <c r="DA83" s="48" t="s">
        <v>1710</v>
      </c>
      <c r="DB83" s="48" t="s">
        <v>1878</v>
      </c>
      <c r="DC83" s="48" t="s">
        <v>2070</v>
      </c>
      <c r="DD83" s="48" t="s">
        <v>1842</v>
      </c>
      <c r="DE83" s="48" t="s">
        <v>1886</v>
      </c>
      <c r="DF83" s="48" t="s">
        <v>3481</v>
      </c>
      <c r="DG83" s="48" t="s">
        <v>2071</v>
      </c>
      <c r="DH83" s="48" t="s">
        <v>1712</v>
      </c>
      <c r="DI83" s="48" t="s">
        <v>1710</v>
      </c>
      <c r="DJ83" s="48" t="s">
        <v>1710</v>
      </c>
      <c r="DK83" s="48" t="s">
        <v>1710</v>
      </c>
      <c r="DL83" s="48" t="s">
        <v>1710</v>
      </c>
      <c r="DM83" s="48" t="s">
        <v>1710</v>
      </c>
      <c r="DN83" s="48" t="s">
        <v>1710</v>
      </c>
      <c r="DO83" s="48" t="s">
        <v>1710</v>
      </c>
      <c r="DP83" s="48" t="s">
        <v>1710</v>
      </c>
      <c r="DQ83" s="48" t="s">
        <v>1710</v>
      </c>
      <c r="DR83" s="48" t="s">
        <v>2072</v>
      </c>
      <c r="DS83" s="48" t="s">
        <v>1710</v>
      </c>
      <c r="DT83" s="48" t="s">
        <v>1710</v>
      </c>
      <c r="DU83" s="48" t="s">
        <v>2547</v>
      </c>
      <c r="DV83" s="48" t="s">
        <v>2816</v>
      </c>
      <c r="DW83" s="48" t="s">
        <v>1710</v>
      </c>
      <c r="DX83" s="48" t="s">
        <v>3482</v>
      </c>
      <c r="DY83" s="48" t="s">
        <v>1709</v>
      </c>
      <c r="DZ83" s="48" t="s">
        <v>2562</v>
      </c>
      <c r="EA83" s="48" t="s">
        <v>2546</v>
      </c>
      <c r="EB83">
        <v>0</v>
      </c>
      <c r="EC83" s="48" t="s">
        <v>2547</v>
      </c>
      <c r="ED83" s="48" t="s">
        <v>3475</v>
      </c>
      <c r="EE83" s="48" t="s">
        <v>1814</v>
      </c>
      <c r="EF83" s="48" t="s">
        <v>2666</v>
      </c>
      <c r="EG83" s="48" t="s">
        <v>3480</v>
      </c>
      <c r="EH83">
        <v>0.2</v>
      </c>
      <c r="EI83" s="48" t="s">
        <v>1888</v>
      </c>
      <c r="EJ83">
        <v>1</v>
      </c>
      <c r="EK83" s="48" t="s">
        <v>1887</v>
      </c>
      <c r="EL83">
        <v>1</v>
      </c>
      <c r="EM83" s="48" t="s">
        <v>1886</v>
      </c>
      <c r="EN83">
        <v>0.2</v>
      </c>
      <c r="EO83" s="48" t="s">
        <v>2667</v>
      </c>
      <c r="EP83" s="48" t="s">
        <v>3483</v>
      </c>
      <c r="EQ83">
        <v>2109.1</v>
      </c>
      <c r="ER83">
        <v>2109.1</v>
      </c>
      <c r="ES83">
        <v>3073330</v>
      </c>
      <c r="ET83">
        <v>2086</v>
      </c>
      <c r="EU83" s="48" t="s">
        <v>1710</v>
      </c>
      <c r="EV83" s="48" t="s">
        <v>1710</v>
      </c>
      <c r="EW83" s="48" t="s">
        <v>1712</v>
      </c>
      <c r="EX83" s="48" t="s">
        <v>1710</v>
      </c>
      <c r="EY83" s="48" t="s">
        <v>1848</v>
      </c>
      <c r="EZ83" s="48" t="s">
        <v>1710</v>
      </c>
      <c r="FA83" s="48" t="s">
        <v>1710</v>
      </c>
      <c r="FB83" s="48" t="s">
        <v>1712</v>
      </c>
      <c r="FC83" s="48" t="s">
        <v>1710</v>
      </c>
      <c r="FD83" s="48" t="s">
        <v>1710</v>
      </c>
      <c r="FE83" s="48" t="s">
        <v>1814</v>
      </c>
      <c r="FF83" s="48" t="s">
        <v>1815</v>
      </c>
      <c r="FG83" s="48" t="s">
        <v>1710</v>
      </c>
      <c r="FH83">
        <v>1</v>
      </c>
      <c r="FI83" s="48" t="s">
        <v>1846</v>
      </c>
      <c r="FJ83">
        <v>2109.1</v>
      </c>
      <c r="FK83">
        <v>2109.1</v>
      </c>
      <c r="FL83" s="48" t="s">
        <v>3484</v>
      </c>
      <c r="FM83" s="48" t="s">
        <v>3483</v>
      </c>
      <c r="FN83" s="48" t="s">
        <v>1710</v>
      </c>
      <c r="FO83" s="48" t="s">
        <v>1710</v>
      </c>
      <c r="FP83" s="48" t="s">
        <v>1710</v>
      </c>
      <c r="FQ83" s="48" t="s">
        <v>1710</v>
      </c>
      <c r="FR83" s="48" t="s">
        <v>1710</v>
      </c>
      <c r="FS83" s="48" t="s">
        <v>1710</v>
      </c>
      <c r="FT83" s="48" t="s">
        <v>1710</v>
      </c>
      <c r="FU83" s="48" t="s">
        <v>1710</v>
      </c>
      <c r="FV83" s="48"/>
      <c r="FW83" s="56"/>
      <c r="FX83" s="56"/>
      <c r="FY83" s="56"/>
      <c r="FZ83" s="56"/>
      <c r="GA83" s="55" t="str">
        <f t="shared" si="5"/>
        <v>4388426300379X</v>
      </c>
      <c r="GB83" t="str">
        <f>VLOOKUP(B83,수출코드!$C$2:$D$4,2,FALSE)</f>
        <v>Suwon</v>
      </c>
      <c r="GC83" t="str">
        <f>VLOOKUP(L83,수출코드!$A$2:$B$6,2,FALSE)</f>
        <v/>
      </c>
      <c r="GD83" t="str">
        <f>VLOOKUP(M83,수출코드!$E$2:$F$5,2,FALSE)</f>
        <v>일반</v>
      </c>
      <c r="GE83" s="61">
        <f t="shared" si="3"/>
        <v>45972.477777777778</v>
      </c>
      <c r="GF83" s="62">
        <f t="shared" si="4"/>
        <v>46049.663888888892</v>
      </c>
      <c r="GI83" s="48" t="s">
        <v>2750</v>
      </c>
    </row>
    <row r="84" spans="1:191">
      <c r="A84" s="48" t="s">
        <v>3485</v>
      </c>
      <c r="B84" s="48" t="s">
        <v>1821</v>
      </c>
      <c r="C84" s="48" t="s">
        <v>2048</v>
      </c>
      <c r="D84" s="48" t="s">
        <v>2813</v>
      </c>
      <c r="E84" s="48" t="s">
        <v>3485</v>
      </c>
      <c r="F84" s="48" t="s">
        <v>1710</v>
      </c>
      <c r="G84" s="48" t="s">
        <v>2814</v>
      </c>
      <c r="H84" s="48" t="s">
        <v>3486</v>
      </c>
      <c r="I84" s="48" t="s">
        <v>1884</v>
      </c>
      <c r="J84" s="48" t="s">
        <v>2850</v>
      </c>
      <c r="K84" s="48" t="s">
        <v>1877</v>
      </c>
      <c r="L84" s="48" t="s">
        <v>1842</v>
      </c>
      <c r="M84" s="48" t="s">
        <v>1810</v>
      </c>
      <c r="N84" s="48" t="s">
        <v>1842</v>
      </c>
      <c r="O84" s="48" t="s">
        <v>1811</v>
      </c>
      <c r="P84" s="48" t="s">
        <v>2549</v>
      </c>
      <c r="Q84" s="48" t="s">
        <v>2049</v>
      </c>
      <c r="R84" s="48" t="s">
        <v>1838</v>
      </c>
      <c r="S84" s="48" t="s">
        <v>2050</v>
      </c>
      <c r="T84" s="48" t="s">
        <v>1845</v>
      </c>
      <c r="U84" s="48" t="s">
        <v>2049</v>
      </c>
      <c r="V84" s="48" t="s">
        <v>1838</v>
      </c>
      <c r="W84" s="48" t="s">
        <v>2051</v>
      </c>
      <c r="X84" s="48" t="s">
        <v>2052</v>
      </c>
      <c r="Y84" s="48" t="s">
        <v>2050</v>
      </c>
      <c r="Z84" s="48" t="s">
        <v>2053</v>
      </c>
      <c r="AA84" s="48" t="s">
        <v>2054</v>
      </c>
      <c r="AB84" s="48" t="s">
        <v>2817</v>
      </c>
      <c r="AC84" s="48" t="s">
        <v>2055</v>
      </c>
      <c r="AD84" s="48" t="s">
        <v>2056</v>
      </c>
      <c r="AE84" s="48" t="s">
        <v>1710</v>
      </c>
      <c r="AF84" s="48" t="s">
        <v>1710</v>
      </c>
      <c r="AG84" s="48" t="s">
        <v>2057</v>
      </c>
      <c r="AH84" s="48" t="s">
        <v>1815</v>
      </c>
      <c r="AI84" s="48" t="s">
        <v>2058</v>
      </c>
      <c r="AJ84" s="48" t="s">
        <v>1710</v>
      </c>
      <c r="AK84" s="48" t="s">
        <v>2059</v>
      </c>
      <c r="AL84" s="48" t="s">
        <v>1858</v>
      </c>
      <c r="AM84" s="48" t="s">
        <v>1816</v>
      </c>
      <c r="AN84" s="48" t="s">
        <v>2054</v>
      </c>
      <c r="AO84" s="48" t="s">
        <v>1710</v>
      </c>
      <c r="AP84" s="48" t="s">
        <v>1848</v>
      </c>
      <c r="AQ84" s="48" t="s">
        <v>2060</v>
      </c>
      <c r="AR84" s="48" t="s">
        <v>1812</v>
      </c>
      <c r="AS84" s="48" t="s">
        <v>1813</v>
      </c>
      <c r="AT84" s="48" t="s">
        <v>1826</v>
      </c>
      <c r="AU84" s="48" t="s">
        <v>2061</v>
      </c>
      <c r="AV84" s="48" t="s">
        <v>2850</v>
      </c>
      <c r="AW84" s="48" t="s">
        <v>2062</v>
      </c>
      <c r="AX84" s="48" t="s">
        <v>2063</v>
      </c>
      <c r="AY84" s="48" t="s">
        <v>1710</v>
      </c>
      <c r="AZ84" s="48" t="s">
        <v>3487</v>
      </c>
      <c r="BA84" s="48" t="s">
        <v>1710</v>
      </c>
      <c r="BB84" s="48" t="s">
        <v>1709</v>
      </c>
      <c r="BC84" s="48" t="s">
        <v>1710</v>
      </c>
      <c r="BD84" s="48" t="s">
        <v>2097</v>
      </c>
      <c r="BE84" s="52" t="s">
        <v>3488</v>
      </c>
      <c r="BF84" s="48" t="s">
        <v>1710</v>
      </c>
      <c r="BG84" s="48" t="s">
        <v>1814</v>
      </c>
      <c r="BH84">
        <v>1</v>
      </c>
      <c r="BI84" s="48" t="s">
        <v>1888</v>
      </c>
      <c r="BJ84">
        <v>1</v>
      </c>
      <c r="BK84">
        <v>1473.06</v>
      </c>
      <c r="BL84">
        <v>1282384</v>
      </c>
      <c r="BM84">
        <v>871</v>
      </c>
      <c r="BN84" s="48" t="s">
        <v>2064</v>
      </c>
      <c r="BO84" s="48" t="s">
        <v>2065</v>
      </c>
      <c r="BP84">
        <v>1473.06</v>
      </c>
      <c r="BQ84">
        <v>893.3</v>
      </c>
      <c r="BR84" s="48" t="s">
        <v>1885</v>
      </c>
      <c r="BS84" s="48" t="s">
        <v>2066</v>
      </c>
      <c r="BT84">
        <v>1</v>
      </c>
      <c r="BU84">
        <v>33500</v>
      </c>
      <c r="BV84">
        <v>33500</v>
      </c>
      <c r="BW84" s="48" t="s">
        <v>2065</v>
      </c>
      <c r="BX84">
        <v>1473.06</v>
      </c>
      <c r="BY84">
        <v>0</v>
      </c>
      <c r="BZ84">
        <v>0</v>
      </c>
      <c r="CA84" s="48" t="s">
        <v>2065</v>
      </c>
      <c r="CB84">
        <v>1473.06</v>
      </c>
      <c r="CC84">
        <v>0</v>
      </c>
      <c r="CD84">
        <v>0</v>
      </c>
      <c r="CE84" s="48" t="s">
        <v>1710</v>
      </c>
      <c r="CF84" s="48" t="s">
        <v>1710</v>
      </c>
      <c r="CG84" s="48" t="s">
        <v>1710</v>
      </c>
      <c r="CH84" s="48" t="s">
        <v>1710</v>
      </c>
      <c r="CI84" s="48" t="s">
        <v>2067</v>
      </c>
      <c r="CJ84" s="48" t="s">
        <v>1710</v>
      </c>
      <c r="CL84" s="48" t="s">
        <v>2850</v>
      </c>
      <c r="CM84" s="48" t="s">
        <v>1710</v>
      </c>
      <c r="CN84" s="48" t="s">
        <v>2068</v>
      </c>
      <c r="CO84" s="48" t="s">
        <v>2069</v>
      </c>
      <c r="CP84" s="48" t="s">
        <v>1710</v>
      </c>
      <c r="CQ84" s="48" t="s">
        <v>1710</v>
      </c>
      <c r="CR84" s="48" t="s">
        <v>1710</v>
      </c>
      <c r="CS84" s="48" t="s">
        <v>1710</v>
      </c>
      <c r="CT84" s="48" t="s">
        <v>1710</v>
      </c>
      <c r="CU84" s="48" t="s">
        <v>1712</v>
      </c>
      <c r="CV84" s="48" t="s">
        <v>1710</v>
      </c>
      <c r="CW84" s="48" t="s">
        <v>1710</v>
      </c>
      <c r="CX84" s="48" t="s">
        <v>3014</v>
      </c>
      <c r="CY84" s="48" t="s">
        <v>1710</v>
      </c>
      <c r="CZ84" s="48" t="s">
        <v>1712</v>
      </c>
      <c r="DA84" s="48" t="s">
        <v>1710</v>
      </c>
      <c r="DB84" s="48" t="s">
        <v>1878</v>
      </c>
      <c r="DC84" s="48" t="s">
        <v>2070</v>
      </c>
      <c r="DD84" s="48" t="s">
        <v>1842</v>
      </c>
      <c r="DE84" s="48" t="s">
        <v>1886</v>
      </c>
      <c r="DF84" s="48" t="s">
        <v>3489</v>
      </c>
      <c r="DG84" s="48" t="s">
        <v>2071</v>
      </c>
      <c r="DH84" s="48" t="s">
        <v>1712</v>
      </c>
      <c r="DI84" s="48" t="s">
        <v>1710</v>
      </c>
      <c r="DJ84" s="48" t="s">
        <v>1710</v>
      </c>
      <c r="DK84" s="48" t="s">
        <v>1710</v>
      </c>
      <c r="DL84" s="48" t="s">
        <v>1710</v>
      </c>
      <c r="DM84" s="48" t="s">
        <v>1710</v>
      </c>
      <c r="DN84" s="48" t="s">
        <v>1710</v>
      </c>
      <c r="DO84" s="48" t="s">
        <v>1710</v>
      </c>
      <c r="DP84" s="48" t="s">
        <v>1710</v>
      </c>
      <c r="DQ84" s="48" t="s">
        <v>1710</v>
      </c>
      <c r="DR84" s="48" t="s">
        <v>2072</v>
      </c>
      <c r="DS84" s="48" t="s">
        <v>1710</v>
      </c>
      <c r="DT84" s="48" t="s">
        <v>1710</v>
      </c>
      <c r="DU84" s="48" t="s">
        <v>2547</v>
      </c>
      <c r="DV84" s="48" t="s">
        <v>2816</v>
      </c>
      <c r="DW84" s="48" t="s">
        <v>1710</v>
      </c>
      <c r="DX84" s="48" t="s">
        <v>3490</v>
      </c>
      <c r="DY84" s="48" t="s">
        <v>1709</v>
      </c>
      <c r="DZ84" s="48" t="s">
        <v>2562</v>
      </c>
      <c r="EA84" s="48" t="s">
        <v>2546</v>
      </c>
      <c r="EB84">
        <v>0</v>
      </c>
      <c r="EC84" s="48" t="s">
        <v>2547</v>
      </c>
      <c r="ED84" s="48" t="s">
        <v>3491</v>
      </c>
      <c r="EE84" s="48" t="s">
        <v>1814</v>
      </c>
      <c r="EF84" s="48" t="s">
        <v>1868</v>
      </c>
      <c r="EG84" s="48" t="s">
        <v>3487</v>
      </c>
      <c r="EH84">
        <v>1</v>
      </c>
      <c r="EI84" s="48" t="s">
        <v>1888</v>
      </c>
      <c r="EJ84">
        <v>1</v>
      </c>
      <c r="EK84" s="48" t="s">
        <v>1887</v>
      </c>
      <c r="EL84">
        <v>1</v>
      </c>
      <c r="EM84" s="48" t="s">
        <v>1886</v>
      </c>
      <c r="EN84">
        <v>1</v>
      </c>
      <c r="EO84" s="48" t="s">
        <v>2528</v>
      </c>
      <c r="EP84" s="48" t="s">
        <v>3492</v>
      </c>
      <c r="EQ84">
        <v>893.3</v>
      </c>
      <c r="ER84">
        <v>893.3</v>
      </c>
      <c r="ES84">
        <v>1282384</v>
      </c>
      <c r="ET84">
        <v>871</v>
      </c>
      <c r="EU84" s="48" t="s">
        <v>1710</v>
      </c>
      <c r="EV84" s="48" t="s">
        <v>1710</v>
      </c>
      <c r="EW84" s="48" t="s">
        <v>1712</v>
      </c>
      <c r="EX84" s="48" t="s">
        <v>1710</v>
      </c>
      <c r="EY84" s="48" t="s">
        <v>1848</v>
      </c>
      <c r="EZ84" s="48" t="s">
        <v>1710</v>
      </c>
      <c r="FA84" s="48" t="s">
        <v>1710</v>
      </c>
      <c r="FB84" s="48" t="s">
        <v>1712</v>
      </c>
      <c r="FC84" s="48" t="s">
        <v>1710</v>
      </c>
      <c r="FD84" s="48" t="s">
        <v>1710</v>
      </c>
      <c r="FE84" s="48" t="s">
        <v>1814</v>
      </c>
      <c r="FF84" s="48" t="s">
        <v>1815</v>
      </c>
      <c r="FG84" s="48" t="s">
        <v>1710</v>
      </c>
      <c r="FH84">
        <v>1</v>
      </c>
      <c r="FI84" s="48" t="s">
        <v>1846</v>
      </c>
      <c r="FJ84">
        <v>893.3</v>
      </c>
      <c r="FK84">
        <v>893.3</v>
      </c>
      <c r="FL84" s="48" t="s">
        <v>3493</v>
      </c>
      <c r="FM84" s="48" t="s">
        <v>3492</v>
      </c>
      <c r="FN84" s="48" t="s">
        <v>1710</v>
      </c>
      <c r="FO84" s="48" t="s">
        <v>1710</v>
      </c>
      <c r="FP84" s="48" t="s">
        <v>1710</v>
      </c>
      <c r="FQ84" s="48" t="s">
        <v>1710</v>
      </c>
      <c r="FR84" s="48" t="s">
        <v>1710</v>
      </c>
      <c r="FS84" s="48" t="s">
        <v>1710</v>
      </c>
      <c r="FT84" s="48" t="s">
        <v>1710</v>
      </c>
      <c r="FU84" s="48" t="s">
        <v>1710</v>
      </c>
      <c r="FV84" s="48"/>
      <c r="FW84" s="56"/>
      <c r="FX84" s="56"/>
      <c r="FY84" s="56"/>
      <c r="FZ84" s="56"/>
      <c r="GA84" s="55" t="str">
        <f t="shared" si="5"/>
        <v>4388426300380X</v>
      </c>
      <c r="GB84" t="str">
        <f>VLOOKUP(B84,수출코드!$C$2:$D$4,2,FALSE)</f>
        <v>Suwon</v>
      </c>
      <c r="GC84" t="str">
        <f>VLOOKUP(L84,수출코드!$A$2:$B$6,2,FALSE)</f>
        <v/>
      </c>
      <c r="GD84" t="str">
        <f>VLOOKUP(M84,수출코드!$E$2:$F$5,2,FALSE)</f>
        <v>일반</v>
      </c>
      <c r="GE84" s="61">
        <f t="shared" si="3"/>
        <v>45972.477777777778</v>
      </c>
      <c r="GF84" s="62">
        <f t="shared" si="4"/>
        <v>46049.702777777777</v>
      </c>
      <c r="GI84" s="48" t="s">
        <v>2750</v>
      </c>
    </row>
    <row r="85" spans="1:191">
      <c r="A85" s="48" t="s">
        <v>3494</v>
      </c>
      <c r="B85" s="48" t="s">
        <v>1821</v>
      </c>
      <c r="C85" s="48" t="s">
        <v>2048</v>
      </c>
      <c r="D85" s="48" t="s">
        <v>2813</v>
      </c>
      <c r="E85" s="48" t="s">
        <v>3494</v>
      </c>
      <c r="F85" s="48" t="s">
        <v>1710</v>
      </c>
      <c r="G85" s="48" t="s">
        <v>2814</v>
      </c>
      <c r="H85" s="48" t="s">
        <v>3495</v>
      </c>
      <c r="I85" s="48" t="s">
        <v>1884</v>
      </c>
      <c r="J85" s="48" t="s">
        <v>2850</v>
      </c>
      <c r="K85" s="48" t="s">
        <v>1885</v>
      </c>
      <c r="L85" s="48" t="s">
        <v>1883</v>
      </c>
      <c r="M85" s="48" t="s">
        <v>2085</v>
      </c>
      <c r="N85" s="48" t="s">
        <v>1842</v>
      </c>
      <c r="O85" s="48" t="s">
        <v>1811</v>
      </c>
      <c r="P85" s="48" t="s">
        <v>2549</v>
      </c>
      <c r="Q85" s="48" t="s">
        <v>2049</v>
      </c>
      <c r="R85" s="48" t="s">
        <v>1838</v>
      </c>
      <c r="S85" s="48" t="s">
        <v>2050</v>
      </c>
      <c r="T85" s="48" t="s">
        <v>1845</v>
      </c>
      <c r="U85" s="48" t="s">
        <v>2049</v>
      </c>
      <c r="V85" s="48" t="s">
        <v>1838</v>
      </c>
      <c r="W85" s="48" t="s">
        <v>2051</v>
      </c>
      <c r="X85" s="48" t="s">
        <v>2052</v>
      </c>
      <c r="Y85" s="48" t="s">
        <v>2050</v>
      </c>
      <c r="Z85" s="48" t="s">
        <v>2053</v>
      </c>
      <c r="AA85" s="48" t="s">
        <v>2054</v>
      </c>
      <c r="AB85" s="48" t="s">
        <v>2817</v>
      </c>
      <c r="AC85" s="48" t="s">
        <v>2055</v>
      </c>
      <c r="AD85" s="48" t="s">
        <v>2056</v>
      </c>
      <c r="AE85" s="48" t="s">
        <v>1710</v>
      </c>
      <c r="AF85" s="48" t="s">
        <v>1710</v>
      </c>
      <c r="AG85" s="48" t="s">
        <v>2057</v>
      </c>
      <c r="AH85" s="48" t="s">
        <v>1815</v>
      </c>
      <c r="AI85" s="48" t="s">
        <v>2058</v>
      </c>
      <c r="AJ85" s="48" t="s">
        <v>1710</v>
      </c>
      <c r="AK85" s="48" t="s">
        <v>2059</v>
      </c>
      <c r="AL85" s="48" t="s">
        <v>1858</v>
      </c>
      <c r="AM85" s="48" t="s">
        <v>1816</v>
      </c>
      <c r="AN85" s="48" t="s">
        <v>2054</v>
      </c>
      <c r="AO85" s="48" t="s">
        <v>1710</v>
      </c>
      <c r="AP85" s="48" t="s">
        <v>1848</v>
      </c>
      <c r="AQ85" s="48" t="s">
        <v>2060</v>
      </c>
      <c r="AR85" s="48" t="s">
        <v>1812</v>
      </c>
      <c r="AS85" s="48" t="s">
        <v>1813</v>
      </c>
      <c r="AT85" s="48" t="s">
        <v>1826</v>
      </c>
      <c r="AU85" s="48" t="s">
        <v>2061</v>
      </c>
      <c r="AV85" s="48" t="s">
        <v>2850</v>
      </c>
      <c r="AW85" s="48" t="s">
        <v>2062</v>
      </c>
      <c r="AX85" s="48" t="s">
        <v>2063</v>
      </c>
      <c r="AY85" s="48" t="s">
        <v>1710</v>
      </c>
      <c r="AZ85" s="48" t="s">
        <v>3487</v>
      </c>
      <c r="BA85" s="48" t="s">
        <v>1710</v>
      </c>
      <c r="BB85" s="48" t="s">
        <v>1709</v>
      </c>
      <c r="BC85" s="48" t="s">
        <v>1710</v>
      </c>
      <c r="BD85" s="48" t="s">
        <v>2097</v>
      </c>
      <c r="BE85" s="52" t="s">
        <v>3488</v>
      </c>
      <c r="BF85" s="48" t="s">
        <v>1710</v>
      </c>
      <c r="BG85" s="48" t="s">
        <v>1814</v>
      </c>
      <c r="BH85">
        <v>3</v>
      </c>
      <c r="BI85" s="48" t="s">
        <v>1888</v>
      </c>
      <c r="BJ85">
        <v>1</v>
      </c>
      <c r="BK85">
        <v>1473.06</v>
      </c>
      <c r="BL85">
        <v>3244266</v>
      </c>
      <c r="BM85">
        <v>2202</v>
      </c>
      <c r="BN85" s="48" t="s">
        <v>2064</v>
      </c>
      <c r="BO85" s="48" t="s">
        <v>2065</v>
      </c>
      <c r="BP85">
        <v>1473.06</v>
      </c>
      <c r="BQ85">
        <v>2243.81</v>
      </c>
      <c r="BR85" s="48" t="s">
        <v>1885</v>
      </c>
      <c r="BS85" s="48" t="s">
        <v>2066</v>
      </c>
      <c r="BT85">
        <v>1</v>
      </c>
      <c r="BU85">
        <v>61000</v>
      </c>
      <c r="BV85">
        <v>61000</v>
      </c>
      <c r="BW85" s="48" t="s">
        <v>2065</v>
      </c>
      <c r="BX85">
        <v>1473.06</v>
      </c>
      <c r="BY85">
        <v>0</v>
      </c>
      <c r="BZ85">
        <v>0</v>
      </c>
      <c r="CA85" s="48" t="s">
        <v>2065</v>
      </c>
      <c r="CB85">
        <v>1473.06</v>
      </c>
      <c r="CC85">
        <v>0</v>
      </c>
      <c r="CD85">
        <v>0</v>
      </c>
      <c r="CE85" s="48" t="s">
        <v>1710</v>
      </c>
      <c r="CF85" s="48" t="s">
        <v>1710</v>
      </c>
      <c r="CG85" s="48" t="s">
        <v>1710</v>
      </c>
      <c r="CH85" s="48" t="s">
        <v>1710</v>
      </c>
      <c r="CI85" s="48" t="s">
        <v>2067</v>
      </c>
      <c r="CJ85" s="48" t="s">
        <v>1710</v>
      </c>
      <c r="CL85" s="48" t="s">
        <v>2816</v>
      </c>
      <c r="CM85" s="48" t="s">
        <v>1710</v>
      </c>
      <c r="CN85" s="48" t="s">
        <v>2068</v>
      </c>
      <c r="CO85" s="48" t="s">
        <v>2069</v>
      </c>
      <c r="CP85" s="48" t="s">
        <v>1710</v>
      </c>
      <c r="CQ85" s="48" t="s">
        <v>1710</v>
      </c>
      <c r="CR85" s="48" t="s">
        <v>1710</v>
      </c>
      <c r="CS85" s="48" t="s">
        <v>1710</v>
      </c>
      <c r="CT85" s="48" t="s">
        <v>1710</v>
      </c>
      <c r="CU85" s="48" t="s">
        <v>1712</v>
      </c>
      <c r="CV85" s="48" t="s">
        <v>1710</v>
      </c>
      <c r="CW85" s="48" t="s">
        <v>1710</v>
      </c>
      <c r="CX85" s="48" t="s">
        <v>2823</v>
      </c>
      <c r="CY85" s="48" t="s">
        <v>1710</v>
      </c>
      <c r="CZ85" s="48" t="s">
        <v>1712</v>
      </c>
      <c r="DA85" s="48" t="s">
        <v>1710</v>
      </c>
      <c r="DB85" s="48" t="s">
        <v>1878</v>
      </c>
      <c r="DC85" s="48" t="s">
        <v>2070</v>
      </c>
      <c r="DD85" s="48" t="s">
        <v>1842</v>
      </c>
      <c r="DE85" s="48" t="s">
        <v>1886</v>
      </c>
      <c r="DF85" s="48" t="s">
        <v>3496</v>
      </c>
      <c r="DG85" s="48" t="s">
        <v>2071</v>
      </c>
      <c r="DH85" s="48" t="s">
        <v>1712</v>
      </c>
      <c r="DI85" s="48" t="s">
        <v>1710</v>
      </c>
      <c r="DJ85" s="48" t="s">
        <v>1710</v>
      </c>
      <c r="DK85" s="48" t="s">
        <v>1710</v>
      </c>
      <c r="DL85" s="48" t="s">
        <v>1710</v>
      </c>
      <c r="DM85" s="48" t="s">
        <v>1710</v>
      </c>
      <c r="DN85" s="48" t="s">
        <v>1710</v>
      </c>
      <c r="DO85" s="48" t="s">
        <v>1710</v>
      </c>
      <c r="DP85" s="48" t="s">
        <v>1710</v>
      </c>
      <c r="DQ85" s="48" t="s">
        <v>1710</v>
      </c>
      <c r="DR85" s="48" t="s">
        <v>2072</v>
      </c>
      <c r="DS85" s="48" t="s">
        <v>1710</v>
      </c>
      <c r="DT85" s="48" t="s">
        <v>1710</v>
      </c>
      <c r="DU85" s="48" t="s">
        <v>2547</v>
      </c>
      <c r="DV85" s="48" t="s">
        <v>2816</v>
      </c>
      <c r="DW85" s="48" t="s">
        <v>1710</v>
      </c>
      <c r="DX85" s="48" t="s">
        <v>3490</v>
      </c>
      <c r="DY85" s="48" t="s">
        <v>1709</v>
      </c>
      <c r="DZ85" s="48" t="s">
        <v>2073</v>
      </c>
      <c r="EA85" s="48" t="s">
        <v>2546</v>
      </c>
      <c r="EB85">
        <v>0</v>
      </c>
      <c r="EC85" s="48" t="s">
        <v>2547</v>
      </c>
      <c r="ED85" s="48" t="s">
        <v>3497</v>
      </c>
      <c r="EE85" s="48" t="s">
        <v>1814</v>
      </c>
      <c r="EF85" s="48" t="s">
        <v>2594</v>
      </c>
      <c r="EG85" s="48" t="s">
        <v>3487</v>
      </c>
      <c r="EH85">
        <v>2</v>
      </c>
      <c r="EI85" s="48" t="s">
        <v>1888</v>
      </c>
      <c r="EJ85">
        <v>0</v>
      </c>
      <c r="EK85" s="48" t="s">
        <v>1710</v>
      </c>
      <c r="EL85">
        <v>1</v>
      </c>
      <c r="EM85" s="48" t="s">
        <v>1886</v>
      </c>
      <c r="EN85">
        <v>2</v>
      </c>
      <c r="EO85" s="48" t="s">
        <v>2595</v>
      </c>
      <c r="EP85" s="48" t="s">
        <v>3498</v>
      </c>
      <c r="EQ85">
        <v>2243.81</v>
      </c>
      <c r="ER85">
        <v>2243.81</v>
      </c>
      <c r="ES85">
        <v>3244266</v>
      </c>
      <c r="ET85">
        <v>2202</v>
      </c>
      <c r="EU85" s="48" t="s">
        <v>3499</v>
      </c>
      <c r="EV85" s="48" t="s">
        <v>1814</v>
      </c>
      <c r="EW85" s="48" t="s">
        <v>1712</v>
      </c>
      <c r="EX85" s="48" t="s">
        <v>1710</v>
      </c>
      <c r="EY85" s="48" t="s">
        <v>1843</v>
      </c>
      <c r="EZ85" s="48" t="s">
        <v>1710</v>
      </c>
      <c r="FA85" s="48" t="s">
        <v>1710</v>
      </c>
      <c r="FB85" s="48" t="s">
        <v>1712</v>
      </c>
      <c r="FC85" s="48" t="s">
        <v>1710</v>
      </c>
      <c r="FD85" s="48" t="s">
        <v>1710</v>
      </c>
      <c r="FE85" s="48" t="s">
        <v>1814</v>
      </c>
      <c r="FF85" s="48" t="s">
        <v>1815</v>
      </c>
      <c r="FG85" s="48" t="s">
        <v>1710</v>
      </c>
      <c r="FH85">
        <v>1</v>
      </c>
      <c r="FI85" s="48" t="s">
        <v>1846</v>
      </c>
      <c r="FJ85">
        <v>2243.81</v>
      </c>
      <c r="FK85">
        <v>2243.81</v>
      </c>
      <c r="FL85" s="48" t="s">
        <v>3500</v>
      </c>
      <c r="FM85" s="48" t="s">
        <v>3498</v>
      </c>
      <c r="FN85" s="48" t="s">
        <v>1710</v>
      </c>
      <c r="FO85" s="48" t="s">
        <v>1710</v>
      </c>
      <c r="FP85" s="48" t="s">
        <v>1710</v>
      </c>
      <c r="FQ85" s="48" t="s">
        <v>1710</v>
      </c>
      <c r="FR85" s="48" t="s">
        <v>1710</v>
      </c>
      <c r="FS85" s="48" t="s">
        <v>1710</v>
      </c>
      <c r="FT85" s="48" t="s">
        <v>1710</v>
      </c>
      <c r="FU85" s="48" t="s">
        <v>1710</v>
      </c>
      <c r="FV85" s="48"/>
      <c r="FW85" s="56"/>
      <c r="FX85" s="56"/>
      <c r="FY85" s="56"/>
      <c r="FZ85" s="56"/>
      <c r="GA85" s="55" t="str">
        <f t="shared" si="5"/>
        <v>4388426300381X</v>
      </c>
      <c r="GB85" t="str">
        <f>VLOOKUP(B85,수출코드!$C$2:$D$4,2,FALSE)</f>
        <v>Suwon</v>
      </c>
      <c r="GC85" t="str">
        <f>VLOOKUP(L85,수출코드!$A$2:$B$6,2,FALSE)</f>
        <v>서류제출</v>
      </c>
      <c r="GD85" t="str">
        <f>VLOOKUP(M85,수출코드!$E$2:$F$5,2,FALSE)</f>
        <v>원상태</v>
      </c>
      <c r="GE85" s="61">
        <f t="shared" si="3"/>
        <v>45972.477777777778</v>
      </c>
      <c r="GF85" s="62">
        <f t="shared" si="4"/>
        <v>46050.429861111108</v>
      </c>
      <c r="GI85" s="48" t="s">
        <v>2750</v>
      </c>
    </row>
    <row r="86" spans="1:191">
      <c r="A86" s="48" t="s">
        <v>3501</v>
      </c>
      <c r="B86" s="48" t="s">
        <v>1821</v>
      </c>
      <c r="C86" s="48" t="s">
        <v>2048</v>
      </c>
      <c r="D86" s="48" t="s">
        <v>2813</v>
      </c>
      <c r="E86" s="48" t="s">
        <v>3501</v>
      </c>
      <c r="F86" s="48" t="s">
        <v>1710</v>
      </c>
      <c r="G86" s="48" t="s">
        <v>2814</v>
      </c>
      <c r="H86" s="48" t="s">
        <v>3502</v>
      </c>
      <c r="I86" s="48" t="s">
        <v>1884</v>
      </c>
      <c r="J86" s="48" t="s">
        <v>2850</v>
      </c>
      <c r="K86" s="48" t="s">
        <v>1885</v>
      </c>
      <c r="L86" s="48" t="s">
        <v>1883</v>
      </c>
      <c r="M86" s="48" t="s">
        <v>2085</v>
      </c>
      <c r="N86" s="48" t="s">
        <v>1842</v>
      </c>
      <c r="O86" s="48" t="s">
        <v>1811</v>
      </c>
      <c r="P86" s="48" t="s">
        <v>2549</v>
      </c>
      <c r="Q86" s="48" t="s">
        <v>2049</v>
      </c>
      <c r="R86" s="48" t="s">
        <v>1838</v>
      </c>
      <c r="S86" s="48" t="s">
        <v>2050</v>
      </c>
      <c r="T86" s="48" t="s">
        <v>1845</v>
      </c>
      <c r="U86" s="48" t="s">
        <v>2049</v>
      </c>
      <c r="V86" s="48" t="s">
        <v>1838</v>
      </c>
      <c r="W86" s="48" t="s">
        <v>2051</v>
      </c>
      <c r="X86" s="48" t="s">
        <v>2052</v>
      </c>
      <c r="Y86" s="48" t="s">
        <v>2050</v>
      </c>
      <c r="Z86" s="48" t="s">
        <v>2053</v>
      </c>
      <c r="AA86" s="48" t="s">
        <v>2054</v>
      </c>
      <c r="AB86" s="48" t="s">
        <v>2817</v>
      </c>
      <c r="AC86" s="48" t="s">
        <v>2055</v>
      </c>
      <c r="AD86" s="48" t="s">
        <v>2056</v>
      </c>
      <c r="AE86" s="48" t="s">
        <v>1710</v>
      </c>
      <c r="AF86" s="48" t="s">
        <v>1710</v>
      </c>
      <c r="AG86" s="48" t="s">
        <v>2057</v>
      </c>
      <c r="AH86" s="48" t="s">
        <v>1815</v>
      </c>
      <c r="AI86" s="48" t="s">
        <v>2058</v>
      </c>
      <c r="AJ86" s="48" t="s">
        <v>1710</v>
      </c>
      <c r="AK86" s="48" t="s">
        <v>2059</v>
      </c>
      <c r="AL86" s="48" t="s">
        <v>1858</v>
      </c>
      <c r="AM86" s="48" t="s">
        <v>1816</v>
      </c>
      <c r="AN86" s="48" t="s">
        <v>2054</v>
      </c>
      <c r="AO86" s="48" t="s">
        <v>1710</v>
      </c>
      <c r="AP86" s="48" t="s">
        <v>1848</v>
      </c>
      <c r="AQ86" s="48" t="s">
        <v>2060</v>
      </c>
      <c r="AR86" s="48" t="s">
        <v>1812</v>
      </c>
      <c r="AS86" s="48" t="s">
        <v>1813</v>
      </c>
      <c r="AT86" s="48" t="s">
        <v>1826</v>
      </c>
      <c r="AU86" s="48" t="s">
        <v>2061</v>
      </c>
      <c r="AV86" s="48" t="s">
        <v>2850</v>
      </c>
      <c r="AW86" s="48" t="s">
        <v>2062</v>
      </c>
      <c r="AX86" s="48" t="s">
        <v>2063</v>
      </c>
      <c r="AY86" s="48" t="s">
        <v>1710</v>
      </c>
      <c r="AZ86" s="48" t="s">
        <v>3503</v>
      </c>
      <c r="BA86" s="48" t="s">
        <v>1710</v>
      </c>
      <c r="BB86" s="48" t="s">
        <v>1709</v>
      </c>
      <c r="BC86" s="48" t="s">
        <v>1710</v>
      </c>
      <c r="BD86" s="48" t="s">
        <v>2097</v>
      </c>
      <c r="BE86" s="52" t="s">
        <v>3488</v>
      </c>
      <c r="BF86" s="48" t="s">
        <v>1710</v>
      </c>
      <c r="BG86" s="48" t="s">
        <v>1814</v>
      </c>
      <c r="BH86">
        <v>34</v>
      </c>
      <c r="BI86" s="48" t="s">
        <v>1888</v>
      </c>
      <c r="BJ86">
        <v>1</v>
      </c>
      <c r="BK86">
        <v>1473.06</v>
      </c>
      <c r="BL86">
        <v>38052688</v>
      </c>
      <c r="BM86">
        <v>25832</v>
      </c>
      <c r="BN86" s="48" t="s">
        <v>2064</v>
      </c>
      <c r="BO86" s="48" t="s">
        <v>2065</v>
      </c>
      <c r="BP86">
        <v>1473.06</v>
      </c>
      <c r="BQ86">
        <v>26159.279999999999</v>
      </c>
      <c r="BR86" s="48" t="s">
        <v>1885</v>
      </c>
      <c r="BS86" s="48" t="s">
        <v>2066</v>
      </c>
      <c r="BT86">
        <v>1</v>
      </c>
      <c r="BU86">
        <v>481500</v>
      </c>
      <c r="BV86">
        <v>481500</v>
      </c>
      <c r="BW86" s="48" t="s">
        <v>2065</v>
      </c>
      <c r="BX86">
        <v>1473.06</v>
      </c>
      <c r="BY86">
        <v>0</v>
      </c>
      <c r="BZ86">
        <v>0</v>
      </c>
      <c r="CA86" s="48" t="s">
        <v>2065</v>
      </c>
      <c r="CB86">
        <v>1473.06</v>
      </c>
      <c r="CC86">
        <v>0</v>
      </c>
      <c r="CD86">
        <v>0</v>
      </c>
      <c r="CE86" s="48" t="s">
        <v>1710</v>
      </c>
      <c r="CF86" s="48" t="s">
        <v>1710</v>
      </c>
      <c r="CG86" s="48" t="s">
        <v>1710</v>
      </c>
      <c r="CH86" s="48" t="s">
        <v>1710</v>
      </c>
      <c r="CI86" s="48" t="s">
        <v>2067</v>
      </c>
      <c r="CJ86" s="48" t="s">
        <v>1710</v>
      </c>
      <c r="CL86" s="48" t="s">
        <v>2850</v>
      </c>
      <c r="CM86" s="48" t="s">
        <v>1710</v>
      </c>
      <c r="CN86" s="48" t="s">
        <v>2068</v>
      </c>
      <c r="CO86" s="48" t="s">
        <v>2069</v>
      </c>
      <c r="CP86" s="48" t="s">
        <v>1710</v>
      </c>
      <c r="CQ86" s="48" t="s">
        <v>1710</v>
      </c>
      <c r="CR86" s="48" t="s">
        <v>1710</v>
      </c>
      <c r="CS86" s="48" t="s">
        <v>1710</v>
      </c>
      <c r="CT86" s="48" t="s">
        <v>1710</v>
      </c>
      <c r="CU86" s="48" t="s">
        <v>1712</v>
      </c>
      <c r="CV86" s="48" t="s">
        <v>1710</v>
      </c>
      <c r="CW86" s="48" t="s">
        <v>1710</v>
      </c>
      <c r="CX86" s="48" t="s">
        <v>3014</v>
      </c>
      <c r="CY86" s="48" t="s">
        <v>1710</v>
      </c>
      <c r="CZ86" s="48" t="s">
        <v>1712</v>
      </c>
      <c r="DA86" s="48" t="s">
        <v>1710</v>
      </c>
      <c r="DB86" s="48" t="s">
        <v>1878</v>
      </c>
      <c r="DC86" s="48" t="s">
        <v>2070</v>
      </c>
      <c r="DD86" s="48" t="s">
        <v>1842</v>
      </c>
      <c r="DE86" s="48" t="s">
        <v>1886</v>
      </c>
      <c r="DF86" s="48" t="s">
        <v>3504</v>
      </c>
      <c r="DG86" s="48" t="s">
        <v>2071</v>
      </c>
      <c r="DH86" s="48" t="s">
        <v>1712</v>
      </c>
      <c r="DI86" s="48" t="s">
        <v>1710</v>
      </c>
      <c r="DJ86" s="48" t="s">
        <v>1710</v>
      </c>
      <c r="DK86" s="48" t="s">
        <v>1710</v>
      </c>
      <c r="DL86" s="48" t="s">
        <v>1710</v>
      </c>
      <c r="DM86" s="48" t="s">
        <v>1710</v>
      </c>
      <c r="DN86" s="48" t="s">
        <v>1710</v>
      </c>
      <c r="DO86" s="48" t="s">
        <v>1710</v>
      </c>
      <c r="DP86" s="48" t="s">
        <v>1710</v>
      </c>
      <c r="DQ86" s="48" t="s">
        <v>1710</v>
      </c>
      <c r="DR86" s="48" t="s">
        <v>2072</v>
      </c>
      <c r="DS86" s="48" t="s">
        <v>1710</v>
      </c>
      <c r="DT86" s="48" t="s">
        <v>1710</v>
      </c>
      <c r="DU86" s="48" t="s">
        <v>2547</v>
      </c>
      <c r="DV86" s="48" t="s">
        <v>3111</v>
      </c>
      <c r="DW86" s="48" t="s">
        <v>1710</v>
      </c>
      <c r="DX86" s="48" t="s">
        <v>3505</v>
      </c>
      <c r="DY86" s="48" t="s">
        <v>1709</v>
      </c>
      <c r="DZ86" s="48" t="s">
        <v>2073</v>
      </c>
      <c r="EA86" s="48" t="s">
        <v>2546</v>
      </c>
      <c r="EB86">
        <v>1</v>
      </c>
      <c r="EC86" s="48" t="s">
        <v>2547</v>
      </c>
      <c r="ED86" s="48" t="s">
        <v>3506</v>
      </c>
      <c r="EE86" s="48" t="s">
        <v>1814</v>
      </c>
      <c r="EF86" s="48" t="s">
        <v>1849</v>
      </c>
      <c r="EG86" s="48" t="s">
        <v>3503</v>
      </c>
      <c r="EH86">
        <v>27.2</v>
      </c>
      <c r="EI86" s="48" t="s">
        <v>1888</v>
      </c>
      <c r="EJ86">
        <v>1</v>
      </c>
      <c r="EK86" s="48" t="s">
        <v>1887</v>
      </c>
      <c r="EL86">
        <v>1</v>
      </c>
      <c r="EM86" s="48" t="s">
        <v>1886</v>
      </c>
      <c r="EN86">
        <v>27.2</v>
      </c>
      <c r="EO86" s="48" t="s">
        <v>2526</v>
      </c>
      <c r="EP86" s="48" t="s">
        <v>3507</v>
      </c>
      <c r="EQ86">
        <v>26159.279999999999</v>
      </c>
      <c r="ER86">
        <v>26159.279999999999</v>
      </c>
      <c r="ES86">
        <v>38052688</v>
      </c>
      <c r="ET86">
        <v>25832</v>
      </c>
      <c r="EU86" s="48" t="s">
        <v>3508</v>
      </c>
      <c r="EV86" s="48" t="s">
        <v>1814</v>
      </c>
      <c r="EW86" s="48" t="s">
        <v>1712</v>
      </c>
      <c r="EX86" s="48" t="s">
        <v>1710</v>
      </c>
      <c r="EY86" s="48" t="s">
        <v>1850</v>
      </c>
      <c r="EZ86" s="48" t="s">
        <v>1710</v>
      </c>
      <c r="FA86" s="48" t="s">
        <v>1710</v>
      </c>
      <c r="FB86" s="48" t="s">
        <v>1712</v>
      </c>
      <c r="FC86" s="48" t="s">
        <v>1710</v>
      </c>
      <c r="FD86" s="48" t="s">
        <v>1710</v>
      </c>
      <c r="FE86" s="48" t="s">
        <v>1814</v>
      </c>
      <c r="FF86" s="48" t="s">
        <v>1815</v>
      </c>
      <c r="FG86" s="48" t="s">
        <v>1710</v>
      </c>
      <c r="FH86">
        <v>1</v>
      </c>
      <c r="FI86" s="48" t="s">
        <v>1846</v>
      </c>
      <c r="FJ86">
        <v>26159.279999999999</v>
      </c>
      <c r="FK86">
        <v>26159.279999999999</v>
      </c>
      <c r="FL86" s="48" t="s">
        <v>3509</v>
      </c>
      <c r="FM86" s="48" t="s">
        <v>3507</v>
      </c>
      <c r="FN86" s="48" t="s">
        <v>1710</v>
      </c>
      <c r="FO86" s="48" t="s">
        <v>1710</v>
      </c>
      <c r="FP86" s="48" t="s">
        <v>1710</v>
      </c>
      <c r="FQ86" s="48" t="s">
        <v>1710</v>
      </c>
      <c r="FR86" s="48" t="s">
        <v>1710</v>
      </c>
      <c r="FS86" s="48" t="s">
        <v>1710</v>
      </c>
      <c r="FT86" s="48" t="s">
        <v>1710</v>
      </c>
      <c r="FU86" s="48" t="s">
        <v>1710</v>
      </c>
      <c r="FV86" s="48"/>
      <c r="FW86" s="56"/>
      <c r="FX86" s="56"/>
      <c r="FY86" s="56"/>
      <c r="FZ86" s="56"/>
      <c r="GA86" s="55" t="str">
        <f t="shared" si="5"/>
        <v>4388426300382X</v>
      </c>
      <c r="GB86" t="str">
        <f>VLOOKUP(B86,수출코드!$C$2:$D$4,2,FALSE)</f>
        <v>Suwon</v>
      </c>
      <c r="GC86" t="str">
        <f>VLOOKUP(L86,수출코드!$A$2:$B$6,2,FALSE)</f>
        <v>서류제출</v>
      </c>
      <c r="GD86" t="str">
        <f>VLOOKUP(M86,수출코드!$E$2:$F$5,2,FALSE)</f>
        <v>원상태</v>
      </c>
      <c r="GE86" s="61">
        <f t="shared" si="3"/>
        <v>45972.477777777778</v>
      </c>
      <c r="GF86" s="62">
        <f t="shared" si="4"/>
        <v>46049.724305555559</v>
      </c>
      <c r="GI86" s="48" t="s">
        <v>2750</v>
      </c>
    </row>
    <row r="87" spans="1:191">
      <c r="A87" s="48" t="s">
        <v>3510</v>
      </c>
      <c r="B87" s="48" t="s">
        <v>1821</v>
      </c>
      <c r="C87" s="48" t="s">
        <v>2048</v>
      </c>
      <c r="D87" s="48" t="s">
        <v>2813</v>
      </c>
      <c r="E87" s="48" t="s">
        <v>3510</v>
      </c>
      <c r="F87" s="48" t="s">
        <v>1710</v>
      </c>
      <c r="G87" s="48" t="s">
        <v>2814</v>
      </c>
      <c r="H87" s="48" t="s">
        <v>3511</v>
      </c>
      <c r="I87" s="48" t="s">
        <v>1884</v>
      </c>
      <c r="J87" s="48" t="s">
        <v>2850</v>
      </c>
      <c r="K87" s="48" t="s">
        <v>1877</v>
      </c>
      <c r="L87" s="48" t="s">
        <v>1842</v>
      </c>
      <c r="M87" s="48" t="s">
        <v>1810</v>
      </c>
      <c r="N87" s="48" t="s">
        <v>1842</v>
      </c>
      <c r="O87" s="48" t="s">
        <v>1811</v>
      </c>
      <c r="P87" s="48" t="s">
        <v>2549</v>
      </c>
      <c r="Q87" s="48" t="s">
        <v>2049</v>
      </c>
      <c r="R87" s="48" t="s">
        <v>1838</v>
      </c>
      <c r="S87" s="48" t="s">
        <v>2050</v>
      </c>
      <c r="T87" s="48" t="s">
        <v>1845</v>
      </c>
      <c r="U87" s="48" t="s">
        <v>2049</v>
      </c>
      <c r="V87" s="48" t="s">
        <v>1838</v>
      </c>
      <c r="W87" s="48" t="s">
        <v>2051</v>
      </c>
      <c r="X87" s="48" t="s">
        <v>2052</v>
      </c>
      <c r="Y87" s="48" t="s">
        <v>2050</v>
      </c>
      <c r="Z87" s="48" t="s">
        <v>2053</v>
      </c>
      <c r="AA87" s="48" t="s">
        <v>2054</v>
      </c>
      <c r="AB87" s="48" t="s">
        <v>2817</v>
      </c>
      <c r="AC87" s="48" t="s">
        <v>2055</v>
      </c>
      <c r="AD87" s="48" t="s">
        <v>2056</v>
      </c>
      <c r="AE87" s="48" t="s">
        <v>1710</v>
      </c>
      <c r="AF87" s="48" t="s">
        <v>1710</v>
      </c>
      <c r="AG87" s="48" t="s">
        <v>2057</v>
      </c>
      <c r="AH87" s="48" t="s">
        <v>1815</v>
      </c>
      <c r="AI87" s="48" t="s">
        <v>2058</v>
      </c>
      <c r="AJ87" s="48" t="s">
        <v>1710</v>
      </c>
      <c r="AK87" s="48" t="s">
        <v>2563</v>
      </c>
      <c r="AL87" s="48" t="s">
        <v>2564</v>
      </c>
      <c r="AM87" s="48" t="s">
        <v>1816</v>
      </c>
      <c r="AN87" s="48" t="s">
        <v>2054</v>
      </c>
      <c r="AO87" s="48" t="s">
        <v>1710</v>
      </c>
      <c r="AP87" s="48" t="s">
        <v>1855</v>
      </c>
      <c r="AQ87" s="48" t="s">
        <v>2076</v>
      </c>
      <c r="AR87" s="48" t="s">
        <v>1812</v>
      </c>
      <c r="AS87" s="48" t="s">
        <v>1813</v>
      </c>
      <c r="AT87" s="48" t="s">
        <v>1826</v>
      </c>
      <c r="AU87" s="48" t="s">
        <v>2061</v>
      </c>
      <c r="AV87" s="48" t="s">
        <v>2850</v>
      </c>
      <c r="AW87" s="48" t="s">
        <v>2062</v>
      </c>
      <c r="AX87" s="48" t="s">
        <v>2063</v>
      </c>
      <c r="AY87" s="48" t="s">
        <v>1710</v>
      </c>
      <c r="AZ87" s="48" t="s">
        <v>3512</v>
      </c>
      <c r="BA87" s="48" t="s">
        <v>1710</v>
      </c>
      <c r="BB87" s="48" t="s">
        <v>1709</v>
      </c>
      <c r="BC87" s="48" t="s">
        <v>1710</v>
      </c>
      <c r="BD87" s="48" t="s">
        <v>2097</v>
      </c>
      <c r="BE87" s="52" t="s">
        <v>3488</v>
      </c>
      <c r="BF87" s="48" t="s">
        <v>1710</v>
      </c>
      <c r="BG87" s="48" t="s">
        <v>1817</v>
      </c>
      <c r="BH87">
        <v>9</v>
      </c>
      <c r="BI87" s="48" t="s">
        <v>1888</v>
      </c>
      <c r="BJ87">
        <v>1</v>
      </c>
      <c r="BK87">
        <v>1473.06</v>
      </c>
      <c r="BL87">
        <v>8993788</v>
      </c>
      <c r="BM87">
        <v>6106</v>
      </c>
      <c r="BN87" s="48" t="s">
        <v>2064</v>
      </c>
      <c r="BO87" s="48" t="s">
        <v>2065</v>
      </c>
      <c r="BP87">
        <v>1473.06</v>
      </c>
      <c r="BQ87">
        <v>6142.58</v>
      </c>
      <c r="BR87" s="48" t="s">
        <v>1885</v>
      </c>
      <c r="BS87" s="48" t="s">
        <v>2066</v>
      </c>
      <c r="BT87">
        <v>1</v>
      </c>
      <c r="BU87">
        <v>54600</v>
      </c>
      <c r="BV87">
        <v>54600</v>
      </c>
      <c r="BW87" s="48" t="s">
        <v>2065</v>
      </c>
      <c r="BX87">
        <v>1473.06</v>
      </c>
      <c r="BY87">
        <v>0</v>
      </c>
      <c r="BZ87">
        <v>0</v>
      </c>
      <c r="CA87" s="48" t="s">
        <v>2065</v>
      </c>
      <c r="CB87">
        <v>1473.06</v>
      </c>
      <c r="CC87">
        <v>0</v>
      </c>
      <c r="CD87">
        <v>0</v>
      </c>
      <c r="CE87" s="48" t="s">
        <v>1710</v>
      </c>
      <c r="CF87" s="48" t="s">
        <v>1710</v>
      </c>
      <c r="CG87" s="48" t="s">
        <v>1710</v>
      </c>
      <c r="CH87" s="48" t="s">
        <v>1710</v>
      </c>
      <c r="CI87" s="48" t="s">
        <v>2067</v>
      </c>
      <c r="CJ87" s="48" t="s">
        <v>1710</v>
      </c>
      <c r="CL87" s="48" t="s">
        <v>2850</v>
      </c>
      <c r="CM87" s="48" t="s">
        <v>1710</v>
      </c>
      <c r="CN87" s="48" t="s">
        <v>2068</v>
      </c>
      <c r="CO87" s="48" t="s">
        <v>2069</v>
      </c>
      <c r="CP87" s="48" t="s">
        <v>1710</v>
      </c>
      <c r="CQ87" s="48" t="s">
        <v>1710</v>
      </c>
      <c r="CR87" s="48" t="s">
        <v>1710</v>
      </c>
      <c r="CS87" s="48" t="s">
        <v>1710</v>
      </c>
      <c r="CT87" s="48" t="s">
        <v>1710</v>
      </c>
      <c r="CU87" s="48" t="s">
        <v>1712</v>
      </c>
      <c r="CV87" s="48" t="s">
        <v>1710</v>
      </c>
      <c r="CW87" s="48" t="s">
        <v>1710</v>
      </c>
      <c r="CX87" s="48" t="s">
        <v>3014</v>
      </c>
      <c r="CY87" s="48" t="s">
        <v>1710</v>
      </c>
      <c r="CZ87" s="48" t="s">
        <v>1712</v>
      </c>
      <c r="DA87" s="48" t="s">
        <v>1710</v>
      </c>
      <c r="DB87" s="48" t="s">
        <v>1878</v>
      </c>
      <c r="DC87" s="48" t="s">
        <v>2070</v>
      </c>
      <c r="DD87" s="48" t="s">
        <v>1842</v>
      </c>
      <c r="DE87" s="48" t="s">
        <v>1886</v>
      </c>
      <c r="DF87" s="48" t="s">
        <v>3513</v>
      </c>
      <c r="DG87" s="48" t="s">
        <v>2071</v>
      </c>
      <c r="DH87" s="48" t="s">
        <v>1712</v>
      </c>
      <c r="DI87" s="48" t="s">
        <v>1710</v>
      </c>
      <c r="DJ87" s="48" t="s">
        <v>1710</v>
      </c>
      <c r="DK87" s="48" t="s">
        <v>1710</v>
      </c>
      <c r="DL87" s="48" t="s">
        <v>1710</v>
      </c>
      <c r="DM87" s="48" t="s">
        <v>1710</v>
      </c>
      <c r="DN87" s="48" t="s">
        <v>1710</v>
      </c>
      <c r="DO87" s="48" t="s">
        <v>1710</v>
      </c>
      <c r="DP87" s="48" t="s">
        <v>1710</v>
      </c>
      <c r="DQ87" s="48" t="s">
        <v>1710</v>
      </c>
      <c r="DR87" s="48" t="s">
        <v>2072</v>
      </c>
      <c r="DS87" s="48" t="s">
        <v>1710</v>
      </c>
      <c r="DT87" s="48" t="s">
        <v>1710</v>
      </c>
      <c r="DU87" s="48" t="s">
        <v>2547</v>
      </c>
      <c r="DV87" s="48" t="s">
        <v>2816</v>
      </c>
      <c r="DW87" s="48" t="s">
        <v>1710</v>
      </c>
      <c r="DX87" s="48" t="s">
        <v>3514</v>
      </c>
      <c r="DY87" s="48" t="s">
        <v>1709</v>
      </c>
      <c r="DZ87" s="48" t="s">
        <v>2562</v>
      </c>
      <c r="EA87" s="48" t="s">
        <v>2546</v>
      </c>
      <c r="EB87">
        <v>0</v>
      </c>
      <c r="EC87" s="48" t="s">
        <v>2547</v>
      </c>
      <c r="ED87" s="48" t="s">
        <v>3515</v>
      </c>
      <c r="EE87" s="48" t="s">
        <v>1814</v>
      </c>
      <c r="EF87" s="48" t="s">
        <v>1862</v>
      </c>
      <c r="EG87" s="48" t="s">
        <v>3512</v>
      </c>
      <c r="EH87">
        <v>1.2</v>
      </c>
      <c r="EI87" s="48" t="s">
        <v>1888</v>
      </c>
      <c r="EJ87">
        <v>0</v>
      </c>
      <c r="EK87" s="48" t="s">
        <v>1710</v>
      </c>
      <c r="EL87">
        <v>1</v>
      </c>
      <c r="EM87" s="48" t="s">
        <v>1886</v>
      </c>
      <c r="EN87">
        <v>1.2</v>
      </c>
      <c r="EO87" s="48" t="s">
        <v>2522</v>
      </c>
      <c r="EP87" s="48" t="s">
        <v>3516</v>
      </c>
      <c r="EQ87">
        <v>753.48</v>
      </c>
      <c r="ER87">
        <v>753.48</v>
      </c>
      <c r="ES87">
        <v>1103223</v>
      </c>
      <c r="ET87">
        <v>749</v>
      </c>
      <c r="EU87" s="48" t="s">
        <v>1710</v>
      </c>
      <c r="EV87" s="48" t="s">
        <v>1710</v>
      </c>
      <c r="EW87" s="48" t="s">
        <v>1712</v>
      </c>
      <c r="EX87" s="48" t="s">
        <v>1710</v>
      </c>
      <c r="EY87" s="48" t="s">
        <v>1853</v>
      </c>
      <c r="EZ87" s="48" t="s">
        <v>1710</v>
      </c>
      <c r="FA87" s="48" t="s">
        <v>1710</v>
      </c>
      <c r="FB87" s="48" t="s">
        <v>1712</v>
      </c>
      <c r="FC87" s="48" t="s">
        <v>1710</v>
      </c>
      <c r="FD87" s="48" t="s">
        <v>1710</v>
      </c>
      <c r="FE87" s="48" t="s">
        <v>1814</v>
      </c>
      <c r="FF87" s="48" t="s">
        <v>1815</v>
      </c>
      <c r="FG87" s="48" t="s">
        <v>1710</v>
      </c>
      <c r="FH87">
        <v>3</v>
      </c>
      <c r="FI87" s="48" t="s">
        <v>1846</v>
      </c>
      <c r="FJ87">
        <v>753.48</v>
      </c>
      <c r="FK87">
        <v>251.16</v>
      </c>
      <c r="FL87" s="48" t="s">
        <v>3517</v>
      </c>
      <c r="FM87" s="48" t="s">
        <v>3516</v>
      </c>
      <c r="FN87" s="48" t="s">
        <v>1710</v>
      </c>
      <c r="FO87" s="48" t="s">
        <v>1710</v>
      </c>
      <c r="FP87" s="48" t="s">
        <v>1710</v>
      </c>
      <c r="FQ87" s="48" t="s">
        <v>1710</v>
      </c>
      <c r="FR87" s="48" t="s">
        <v>1710</v>
      </c>
      <c r="FS87" s="48" t="s">
        <v>1710</v>
      </c>
      <c r="FT87" s="48" t="s">
        <v>1710</v>
      </c>
      <c r="FU87" s="48" t="s">
        <v>1710</v>
      </c>
      <c r="FV87" s="48"/>
      <c r="FW87" s="56"/>
      <c r="FX87" s="56"/>
      <c r="FY87" s="56"/>
      <c r="FZ87" s="56"/>
      <c r="GA87" s="55" t="str">
        <f t="shared" si="5"/>
        <v>4388426300383X</v>
      </c>
      <c r="GB87" t="str">
        <f>VLOOKUP(B87,수출코드!$C$2:$D$4,2,FALSE)</f>
        <v>Suwon</v>
      </c>
      <c r="GC87" t="str">
        <f>VLOOKUP(L87,수출코드!$A$2:$B$6,2,FALSE)</f>
        <v/>
      </c>
      <c r="GD87" t="str">
        <f>VLOOKUP(M87,수출코드!$E$2:$F$5,2,FALSE)</f>
        <v>일반</v>
      </c>
      <c r="GE87" s="61">
        <f t="shared" si="3"/>
        <v>45972.487500000003</v>
      </c>
      <c r="GF87" s="62">
        <f t="shared" si="4"/>
        <v>46049.711111111108</v>
      </c>
      <c r="GI87" s="48" t="s">
        <v>2751</v>
      </c>
    </row>
    <row r="88" spans="1:191">
      <c r="A88" s="48" t="s">
        <v>3518</v>
      </c>
      <c r="B88" s="48" t="s">
        <v>1821</v>
      </c>
      <c r="C88" s="48" t="s">
        <v>2048</v>
      </c>
      <c r="D88" s="48" t="s">
        <v>2813</v>
      </c>
      <c r="E88" s="48" t="s">
        <v>3518</v>
      </c>
      <c r="F88" s="48" t="s">
        <v>1710</v>
      </c>
      <c r="G88" s="48" t="s">
        <v>2814</v>
      </c>
      <c r="H88" s="48" t="s">
        <v>3519</v>
      </c>
      <c r="I88" s="48" t="s">
        <v>1884</v>
      </c>
      <c r="J88" s="48" t="s">
        <v>2850</v>
      </c>
      <c r="K88" s="48" t="s">
        <v>1885</v>
      </c>
      <c r="L88" s="48" t="s">
        <v>1883</v>
      </c>
      <c r="M88" s="48" t="s">
        <v>2085</v>
      </c>
      <c r="N88" s="48" t="s">
        <v>1842</v>
      </c>
      <c r="O88" s="48" t="s">
        <v>1811</v>
      </c>
      <c r="P88" s="48" t="s">
        <v>2549</v>
      </c>
      <c r="Q88" s="48" t="s">
        <v>2049</v>
      </c>
      <c r="R88" s="48" t="s">
        <v>1838</v>
      </c>
      <c r="S88" s="48" t="s">
        <v>2050</v>
      </c>
      <c r="T88" s="48" t="s">
        <v>1845</v>
      </c>
      <c r="U88" s="48" t="s">
        <v>2049</v>
      </c>
      <c r="V88" s="48" t="s">
        <v>1838</v>
      </c>
      <c r="W88" s="48" t="s">
        <v>2051</v>
      </c>
      <c r="X88" s="48" t="s">
        <v>2052</v>
      </c>
      <c r="Y88" s="48" t="s">
        <v>2050</v>
      </c>
      <c r="Z88" s="48" t="s">
        <v>2053</v>
      </c>
      <c r="AA88" s="48" t="s">
        <v>2054</v>
      </c>
      <c r="AB88" s="48" t="s">
        <v>2817</v>
      </c>
      <c r="AC88" s="48" t="s">
        <v>2055</v>
      </c>
      <c r="AD88" s="48" t="s">
        <v>2056</v>
      </c>
      <c r="AE88" s="48" t="s">
        <v>1710</v>
      </c>
      <c r="AF88" s="48" t="s">
        <v>1710</v>
      </c>
      <c r="AG88" s="48" t="s">
        <v>2057</v>
      </c>
      <c r="AH88" s="48" t="s">
        <v>1815</v>
      </c>
      <c r="AI88" s="48" t="s">
        <v>2058</v>
      </c>
      <c r="AJ88" s="48" t="s">
        <v>1710</v>
      </c>
      <c r="AK88" s="48" t="s">
        <v>2563</v>
      </c>
      <c r="AL88" s="48" t="s">
        <v>2564</v>
      </c>
      <c r="AM88" s="48" t="s">
        <v>1816</v>
      </c>
      <c r="AN88" s="48" t="s">
        <v>2054</v>
      </c>
      <c r="AO88" s="48" t="s">
        <v>1710</v>
      </c>
      <c r="AP88" s="48" t="s">
        <v>1855</v>
      </c>
      <c r="AQ88" s="48" t="s">
        <v>2076</v>
      </c>
      <c r="AR88" s="48" t="s">
        <v>1812</v>
      </c>
      <c r="AS88" s="48" t="s">
        <v>1813</v>
      </c>
      <c r="AT88" s="48" t="s">
        <v>1826</v>
      </c>
      <c r="AU88" s="48" t="s">
        <v>2061</v>
      </c>
      <c r="AV88" s="48" t="s">
        <v>2850</v>
      </c>
      <c r="AW88" s="48" t="s">
        <v>2062</v>
      </c>
      <c r="AX88" s="48" t="s">
        <v>2063</v>
      </c>
      <c r="AY88" s="48" t="s">
        <v>1710</v>
      </c>
      <c r="AZ88" s="48" t="s">
        <v>3512</v>
      </c>
      <c r="BA88" s="48" t="s">
        <v>1710</v>
      </c>
      <c r="BB88" s="48" t="s">
        <v>1709</v>
      </c>
      <c r="BC88" s="48" t="s">
        <v>1710</v>
      </c>
      <c r="BD88" s="48" t="s">
        <v>2097</v>
      </c>
      <c r="BE88" s="52" t="s">
        <v>3488</v>
      </c>
      <c r="BF88" s="48" t="s">
        <v>1710</v>
      </c>
      <c r="BG88" s="48" t="s">
        <v>1817</v>
      </c>
      <c r="BH88">
        <v>9</v>
      </c>
      <c r="BI88" s="48" t="s">
        <v>1888</v>
      </c>
      <c r="BJ88">
        <v>1</v>
      </c>
      <c r="BK88">
        <v>1473.06</v>
      </c>
      <c r="BL88">
        <v>15693000</v>
      </c>
      <c r="BM88">
        <v>10653</v>
      </c>
      <c r="BN88" s="48" t="s">
        <v>2064</v>
      </c>
      <c r="BO88" s="48" t="s">
        <v>2065</v>
      </c>
      <c r="BP88">
        <v>1473.06</v>
      </c>
      <c r="BQ88">
        <v>10690.4</v>
      </c>
      <c r="BR88" s="48" t="s">
        <v>1885</v>
      </c>
      <c r="BS88" s="48" t="s">
        <v>2066</v>
      </c>
      <c r="BT88">
        <v>1</v>
      </c>
      <c r="BU88">
        <v>54600</v>
      </c>
      <c r="BV88">
        <v>54600</v>
      </c>
      <c r="BW88" s="48" t="s">
        <v>2065</v>
      </c>
      <c r="BX88">
        <v>1473.06</v>
      </c>
      <c r="BY88">
        <v>0</v>
      </c>
      <c r="BZ88">
        <v>0</v>
      </c>
      <c r="CA88" s="48" t="s">
        <v>2065</v>
      </c>
      <c r="CB88">
        <v>1473.06</v>
      </c>
      <c r="CC88">
        <v>0</v>
      </c>
      <c r="CD88">
        <v>0</v>
      </c>
      <c r="CE88" s="48" t="s">
        <v>1710</v>
      </c>
      <c r="CF88" s="48" t="s">
        <v>1710</v>
      </c>
      <c r="CG88" s="48" t="s">
        <v>1710</v>
      </c>
      <c r="CH88" s="48" t="s">
        <v>1710</v>
      </c>
      <c r="CI88" s="48" t="s">
        <v>2067</v>
      </c>
      <c r="CJ88" s="48" t="s">
        <v>1710</v>
      </c>
      <c r="CL88" s="48" t="s">
        <v>2850</v>
      </c>
      <c r="CM88" s="48" t="s">
        <v>1710</v>
      </c>
      <c r="CN88" s="48" t="s">
        <v>2068</v>
      </c>
      <c r="CO88" s="48" t="s">
        <v>2069</v>
      </c>
      <c r="CP88" s="48" t="s">
        <v>1710</v>
      </c>
      <c r="CQ88" s="48" t="s">
        <v>1710</v>
      </c>
      <c r="CR88" s="48" t="s">
        <v>1710</v>
      </c>
      <c r="CS88" s="48" t="s">
        <v>1710</v>
      </c>
      <c r="CT88" s="48" t="s">
        <v>1710</v>
      </c>
      <c r="CU88" s="48" t="s">
        <v>1712</v>
      </c>
      <c r="CV88" s="48" t="s">
        <v>1710</v>
      </c>
      <c r="CW88" s="48" t="s">
        <v>1710</v>
      </c>
      <c r="CX88" s="48" t="s">
        <v>3014</v>
      </c>
      <c r="CY88" s="48" t="s">
        <v>1710</v>
      </c>
      <c r="CZ88" s="48" t="s">
        <v>1712</v>
      </c>
      <c r="DA88" s="48" t="s">
        <v>1710</v>
      </c>
      <c r="DB88" s="48" t="s">
        <v>1878</v>
      </c>
      <c r="DC88" s="48" t="s">
        <v>2070</v>
      </c>
      <c r="DD88" s="48" t="s">
        <v>1842</v>
      </c>
      <c r="DE88" s="48" t="s">
        <v>1886</v>
      </c>
      <c r="DF88" s="48" t="s">
        <v>3520</v>
      </c>
      <c r="DG88" s="48" t="s">
        <v>2071</v>
      </c>
      <c r="DH88" s="48" t="s">
        <v>1712</v>
      </c>
      <c r="DI88" s="48" t="s">
        <v>1710</v>
      </c>
      <c r="DJ88" s="48" t="s">
        <v>1710</v>
      </c>
      <c r="DK88" s="48" t="s">
        <v>1710</v>
      </c>
      <c r="DL88" s="48" t="s">
        <v>1710</v>
      </c>
      <c r="DM88" s="48" t="s">
        <v>1710</v>
      </c>
      <c r="DN88" s="48" t="s">
        <v>1710</v>
      </c>
      <c r="DO88" s="48" t="s">
        <v>1710</v>
      </c>
      <c r="DP88" s="48" t="s">
        <v>1710</v>
      </c>
      <c r="DQ88" s="48" t="s">
        <v>1710</v>
      </c>
      <c r="DR88" s="48" t="s">
        <v>2072</v>
      </c>
      <c r="DS88" s="48" t="s">
        <v>1710</v>
      </c>
      <c r="DT88" s="48" t="s">
        <v>1710</v>
      </c>
      <c r="DU88" s="48" t="s">
        <v>2547</v>
      </c>
      <c r="DV88" s="48" t="s">
        <v>2816</v>
      </c>
      <c r="DW88" s="48" t="s">
        <v>1710</v>
      </c>
      <c r="DX88" s="48" t="s">
        <v>3514</v>
      </c>
      <c r="DY88" s="48" t="s">
        <v>1709</v>
      </c>
      <c r="DZ88" s="48" t="s">
        <v>2073</v>
      </c>
      <c r="EA88" s="48" t="s">
        <v>2546</v>
      </c>
      <c r="EB88">
        <v>0</v>
      </c>
      <c r="EC88" s="48" t="s">
        <v>2547</v>
      </c>
      <c r="ED88" s="48" t="s">
        <v>3506</v>
      </c>
      <c r="EE88" s="48" t="s">
        <v>1814</v>
      </c>
      <c r="EF88" s="48" t="s">
        <v>3521</v>
      </c>
      <c r="EG88" s="48" t="s">
        <v>3512</v>
      </c>
      <c r="EH88">
        <v>2</v>
      </c>
      <c r="EI88" s="48" t="s">
        <v>1888</v>
      </c>
      <c r="EJ88">
        <v>0</v>
      </c>
      <c r="EK88" s="48" t="s">
        <v>1710</v>
      </c>
      <c r="EL88">
        <v>1</v>
      </c>
      <c r="EM88" s="48" t="s">
        <v>1886</v>
      </c>
      <c r="EN88">
        <v>2</v>
      </c>
      <c r="EO88" s="48" t="s">
        <v>3522</v>
      </c>
      <c r="EP88" s="48" t="s">
        <v>3523</v>
      </c>
      <c r="EQ88">
        <v>2672.6</v>
      </c>
      <c r="ER88">
        <v>2672.6</v>
      </c>
      <c r="ES88">
        <v>3923250</v>
      </c>
      <c r="ET88">
        <v>2663</v>
      </c>
      <c r="EU88" s="48" t="s">
        <v>3524</v>
      </c>
      <c r="EV88" s="48" t="s">
        <v>3525</v>
      </c>
      <c r="EW88" s="48" t="s">
        <v>1712</v>
      </c>
      <c r="EX88" s="48" t="s">
        <v>1710</v>
      </c>
      <c r="EY88" s="48" t="s">
        <v>1873</v>
      </c>
      <c r="EZ88" s="48" t="s">
        <v>1710</v>
      </c>
      <c r="FA88" s="48" t="s">
        <v>1710</v>
      </c>
      <c r="FB88" s="48" t="s">
        <v>1712</v>
      </c>
      <c r="FC88" s="48" t="s">
        <v>1710</v>
      </c>
      <c r="FD88" s="48" t="s">
        <v>1710</v>
      </c>
      <c r="FE88" s="48" t="s">
        <v>1814</v>
      </c>
      <c r="FF88" s="48" t="s">
        <v>1815</v>
      </c>
      <c r="FG88" s="48" t="s">
        <v>1710</v>
      </c>
      <c r="FH88">
        <v>2</v>
      </c>
      <c r="FI88" s="48" t="s">
        <v>1846</v>
      </c>
      <c r="FJ88">
        <v>2672.6</v>
      </c>
      <c r="FK88">
        <v>1336.3</v>
      </c>
      <c r="FL88" s="48" t="s">
        <v>3526</v>
      </c>
      <c r="FM88" s="48" t="s">
        <v>3523</v>
      </c>
      <c r="FN88" s="48" t="s">
        <v>1710</v>
      </c>
      <c r="FO88" s="48" t="s">
        <v>1710</v>
      </c>
      <c r="FP88" s="48" t="s">
        <v>1710</v>
      </c>
      <c r="FQ88" s="48" t="s">
        <v>1710</v>
      </c>
      <c r="FR88" s="48" t="s">
        <v>1710</v>
      </c>
      <c r="FS88" s="48" t="s">
        <v>1710</v>
      </c>
      <c r="FT88" s="48" t="s">
        <v>1710</v>
      </c>
      <c r="FU88" s="48" t="s">
        <v>1710</v>
      </c>
      <c r="FV88" s="48"/>
      <c r="FW88" s="56"/>
      <c r="FX88" s="56"/>
      <c r="FY88" s="56"/>
      <c r="FZ88" s="56"/>
      <c r="GA88" s="55" t="str">
        <f t="shared" si="5"/>
        <v>4388426300384X</v>
      </c>
      <c r="GB88" t="str">
        <f>VLOOKUP(B88,수출코드!$C$2:$D$4,2,FALSE)</f>
        <v>Suwon</v>
      </c>
      <c r="GC88" t="str">
        <f>VLOOKUP(L88,수출코드!$A$2:$B$6,2,FALSE)</f>
        <v>서류제출</v>
      </c>
      <c r="GD88" t="str">
        <f>VLOOKUP(M88,수출코드!$E$2:$F$5,2,FALSE)</f>
        <v>원상태</v>
      </c>
      <c r="GE88" s="61">
        <f t="shared" si="3"/>
        <v>45972.487500000003</v>
      </c>
      <c r="GF88" s="62">
        <f t="shared" si="4"/>
        <v>46049.724305555559</v>
      </c>
      <c r="GI88" s="48" t="s">
        <v>2751</v>
      </c>
    </row>
    <row r="89" spans="1:191">
      <c r="A89" s="48" t="s">
        <v>3527</v>
      </c>
      <c r="B89" s="48" t="s">
        <v>1821</v>
      </c>
      <c r="C89" s="48" t="s">
        <v>2048</v>
      </c>
      <c r="D89" s="48" t="s">
        <v>2813</v>
      </c>
      <c r="E89" s="48" t="s">
        <v>3527</v>
      </c>
      <c r="F89" s="48" t="s">
        <v>1710</v>
      </c>
      <c r="G89" s="48" t="s">
        <v>2814</v>
      </c>
      <c r="H89" s="48" t="s">
        <v>3528</v>
      </c>
      <c r="I89" s="48" t="s">
        <v>1884</v>
      </c>
      <c r="J89" s="48" t="s">
        <v>2850</v>
      </c>
      <c r="K89" s="48" t="s">
        <v>1877</v>
      </c>
      <c r="L89" s="48" t="s">
        <v>1842</v>
      </c>
      <c r="M89" s="48" t="s">
        <v>1810</v>
      </c>
      <c r="N89" s="48" t="s">
        <v>1842</v>
      </c>
      <c r="O89" s="48" t="s">
        <v>1811</v>
      </c>
      <c r="P89" s="48" t="s">
        <v>2549</v>
      </c>
      <c r="Q89" s="48" t="s">
        <v>2049</v>
      </c>
      <c r="R89" s="48" t="s">
        <v>1838</v>
      </c>
      <c r="S89" s="48" t="s">
        <v>2050</v>
      </c>
      <c r="T89" s="48" t="s">
        <v>1845</v>
      </c>
      <c r="U89" s="48" t="s">
        <v>2049</v>
      </c>
      <c r="V89" s="48" t="s">
        <v>1838</v>
      </c>
      <c r="W89" s="48" t="s">
        <v>2051</v>
      </c>
      <c r="X89" s="48" t="s">
        <v>2052</v>
      </c>
      <c r="Y89" s="48" t="s">
        <v>2050</v>
      </c>
      <c r="Z89" s="48" t="s">
        <v>2053</v>
      </c>
      <c r="AA89" s="48" t="s">
        <v>2054</v>
      </c>
      <c r="AB89" s="48" t="s">
        <v>2817</v>
      </c>
      <c r="AC89" s="48" t="s">
        <v>2055</v>
      </c>
      <c r="AD89" s="48" t="s">
        <v>2056</v>
      </c>
      <c r="AE89" s="48" t="s">
        <v>1710</v>
      </c>
      <c r="AF89" s="48" t="s">
        <v>1710</v>
      </c>
      <c r="AG89" s="48" t="s">
        <v>2057</v>
      </c>
      <c r="AH89" s="48" t="s">
        <v>1815</v>
      </c>
      <c r="AI89" s="48" t="s">
        <v>2058</v>
      </c>
      <c r="AJ89" s="48" t="s">
        <v>1710</v>
      </c>
      <c r="AK89" s="48" t="s">
        <v>2099</v>
      </c>
      <c r="AL89" s="48" t="s">
        <v>1866</v>
      </c>
      <c r="AM89" s="48" t="s">
        <v>1816</v>
      </c>
      <c r="AN89" s="48" t="s">
        <v>2054</v>
      </c>
      <c r="AO89" s="48" t="s">
        <v>1710</v>
      </c>
      <c r="AP89" s="48" t="s">
        <v>1854</v>
      </c>
      <c r="AQ89" s="48" t="s">
        <v>2081</v>
      </c>
      <c r="AR89" s="48" t="s">
        <v>1812</v>
      </c>
      <c r="AS89" s="48" t="s">
        <v>1813</v>
      </c>
      <c r="AT89" s="48" t="s">
        <v>1826</v>
      </c>
      <c r="AU89" s="48" t="s">
        <v>2061</v>
      </c>
      <c r="AV89" s="48" t="s">
        <v>2850</v>
      </c>
      <c r="AW89" s="48" t="s">
        <v>2062</v>
      </c>
      <c r="AX89" s="48" t="s">
        <v>2063</v>
      </c>
      <c r="AY89" s="48" t="s">
        <v>1710</v>
      </c>
      <c r="AZ89" s="48" t="s">
        <v>3529</v>
      </c>
      <c r="BA89" s="48" t="s">
        <v>1710</v>
      </c>
      <c r="BB89" s="48" t="s">
        <v>1709</v>
      </c>
      <c r="BC89" s="48" t="s">
        <v>1710</v>
      </c>
      <c r="BD89" s="48" t="s">
        <v>2097</v>
      </c>
      <c r="BE89" s="52" t="s">
        <v>3488</v>
      </c>
      <c r="BF89" s="48" t="s">
        <v>1710</v>
      </c>
      <c r="BG89" s="48" t="s">
        <v>1814</v>
      </c>
      <c r="BH89">
        <v>1</v>
      </c>
      <c r="BI89" s="48" t="s">
        <v>1888</v>
      </c>
      <c r="BJ89">
        <v>1</v>
      </c>
      <c r="BK89">
        <v>1473.06</v>
      </c>
      <c r="BL89">
        <v>876984</v>
      </c>
      <c r="BM89">
        <v>595</v>
      </c>
      <c r="BN89" s="48" t="s">
        <v>2064</v>
      </c>
      <c r="BO89" s="48" t="s">
        <v>2065</v>
      </c>
      <c r="BP89">
        <v>1473.06</v>
      </c>
      <c r="BQ89">
        <v>621.01</v>
      </c>
      <c r="BR89" s="48" t="s">
        <v>1885</v>
      </c>
      <c r="BS89" s="48" t="s">
        <v>2066</v>
      </c>
      <c r="BT89">
        <v>1</v>
      </c>
      <c r="BU89">
        <v>37800</v>
      </c>
      <c r="BV89">
        <v>37800</v>
      </c>
      <c r="BW89" s="48" t="s">
        <v>2065</v>
      </c>
      <c r="BX89">
        <v>1473.06</v>
      </c>
      <c r="BY89">
        <v>0</v>
      </c>
      <c r="BZ89">
        <v>0</v>
      </c>
      <c r="CA89" s="48" t="s">
        <v>2065</v>
      </c>
      <c r="CB89">
        <v>1473.06</v>
      </c>
      <c r="CC89">
        <v>0</v>
      </c>
      <c r="CD89">
        <v>0</v>
      </c>
      <c r="CE89" s="48" t="s">
        <v>1710</v>
      </c>
      <c r="CF89" s="48" t="s">
        <v>1710</v>
      </c>
      <c r="CG89" s="48" t="s">
        <v>1710</v>
      </c>
      <c r="CH89" s="48" t="s">
        <v>1710</v>
      </c>
      <c r="CI89" s="48" t="s">
        <v>2067</v>
      </c>
      <c r="CJ89" s="48" t="s">
        <v>1710</v>
      </c>
      <c r="CL89" s="48" t="s">
        <v>2850</v>
      </c>
      <c r="CM89" s="48" t="s">
        <v>1710</v>
      </c>
      <c r="CN89" s="48" t="s">
        <v>2068</v>
      </c>
      <c r="CO89" s="48" t="s">
        <v>2069</v>
      </c>
      <c r="CP89" s="48" t="s">
        <v>1710</v>
      </c>
      <c r="CQ89" s="48" t="s">
        <v>1710</v>
      </c>
      <c r="CR89" s="48" t="s">
        <v>1710</v>
      </c>
      <c r="CS89" s="48" t="s">
        <v>1710</v>
      </c>
      <c r="CT89" s="48" t="s">
        <v>1710</v>
      </c>
      <c r="CU89" s="48" t="s">
        <v>1712</v>
      </c>
      <c r="CV89" s="48" t="s">
        <v>1710</v>
      </c>
      <c r="CW89" s="48" t="s">
        <v>1710</v>
      </c>
      <c r="CX89" s="48" t="s">
        <v>3014</v>
      </c>
      <c r="CY89" s="48" t="s">
        <v>1710</v>
      </c>
      <c r="CZ89" s="48" t="s">
        <v>1712</v>
      </c>
      <c r="DA89" s="48" t="s">
        <v>1710</v>
      </c>
      <c r="DB89" s="48" t="s">
        <v>1878</v>
      </c>
      <c r="DC89" s="48" t="s">
        <v>2070</v>
      </c>
      <c r="DD89" s="48" t="s">
        <v>1842</v>
      </c>
      <c r="DE89" s="48" t="s">
        <v>1886</v>
      </c>
      <c r="DF89" s="48" t="s">
        <v>3530</v>
      </c>
      <c r="DG89" s="48" t="s">
        <v>2071</v>
      </c>
      <c r="DH89" s="48" t="s">
        <v>1712</v>
      </c>
      <c r="DI89" s="48" t="s">
        <v>1710</v>
      </c>
      <c r="DJ89" s="48" t="s">
        <v>1710</v>
      </c>
      <c r="DK89" s="48" t="s">
        <v>1710</v>
      </c>
      <c r="DL89" s="48" t="s">
        <v>1710</v>
      </c>
      <c r="DM89" s="48" t="s">
        <v>1710</v>
      </c>
      <c r="DN89" s="48" t="s">
        <v>1710</v>
      </c>
      <c r="DO89" s="48" t="s">
        <v>1710</v>
      </c>
      <c r="DP89" s="48" t="s">
        <v>1710</v>
      </c>
      <c r="DQ89" s="48" t="s">
        <v>1710</v>
      </c>
      <c r="DR89" s="48" t="s">
        <v>2072</v>
      </c>
      <c r="DS89" s="48" t="s">
        <v>1710</v>
      </c>
      <c r="DT89" s="48" t="s">
        <v>1710</v>
      </c>
      <c r="DU89" s="48" t="s">
        <v>2547</v>
      </c>
      <c r="DV89" s="48" t="s">
        <v>3111</v>
      </c>
      <c r="DW89" s="48" t="s">
        <v>1710</v>
      </c>
      <c r="DX89" s="48" t="s">
        <v>3531</v>
      </c>
      <c r="DY89" s="48" t="s">
        <v>1709</v>
      </c>
      <c r="DZ89" s="48" t="s">
        <v>2562</v>
      </c>
      <c r="EA89" s="48" t="s">
        <v>2546</v>
      </c>
      <c r="EB89">
        <v>0</v>
      </c>
      <c r="EC89" s="48" t="s">
        <v>2547</v>
      </c>
      <c r="ED89" s="48" t="s">
        <v>3532</v>
      </c>
      <c r="EE89" s="48" t="s">
        <v>1814</v>
      </c>
      <c r="EF89" s="48" t="s">
        <v>1862</v>
      </c>
      <c r="EG89" s="48" t="s">
        <v>3529</v>
      </c>
      <c r="EH89">
        <v>0.26</v>
      </c>
      <c r="EI89" s="48" t="s">
        <v>1888</v>
      </c>
      <c r="EJ89">
        <v>0</v>
      </c>
      <c r="EK89" s="48" t="s">
        <v>1710</v>
      </c>
      <c r="EL89">
        <v>1</v>
      </c>
      <c r="EM89" s="48" t="s">
        <v>1886</v>
      </c>
      <c r="EN89">
        <v>0.26</v>
      </c>
      <c r="EO89" s="48" t="s">
        <v>2522</v>
      </c>
      <c r="EP89" s="48" t="s">
        <v>3533</v>
      </c>
      <c r="EQ89">
        <v>621.01</v>
      </c>
      <c r="ER89">
        <v>621.01</v>
      </c>
      <c r="ES89">
        <v>876984</v>
      </c>
      <c r="ET89">
        <v>595</v>
      </c>
      <c r="EU89" s="48" t="s">
        <v>1710</v>
      </c>
      <c r="EV89" s="48" t="s">
        <v>1710</v>
      </c>
      <c r="EW89" s="48" t="s">
        <v>1712</v>
      </c>
      <c r="EX89" s="48" t="s">
        <v>1710</v>
      </c>
      <c r="EY89" s="48" t="s">
        <v>1848</v>
      </c>
      <c r="EZ89" s="48" t="s">
        <v>1710</v>
      </c>
      <c r="FA89" s="48" t="s">
        <v>1710</v>
      </c>
      <c r="FB89" s="48" t="s">
        <v>1712</v>
      </c>
      <c r="FC89" s="48" t="s">
        <v>1710</v>
      </c>
      <c r="FD89" s="48" t="s">
        <v>1710</v>
      </c>
      <c r="FE89" s="48" t="s">
        <v>1814</v>
      </c>
      <c r="FF89" s="48" t="s">
        <v>1815</v>
      </c>
      <c r="FG89" s="48" t="s">
        <v>1710</v>
      </c>
      <c r="FH89">
        <v>1</v>
      </c>
      <c r="FI89" s="48" t="s">
        <v>1846</v>
      </c>
      <c r="FJ89">
        <v>331.21</v>
      </c>
      <c r="FK89">
        <v>331.21</v>
      </c>
      <c r="FL89" s="48" t="s">
        <v>3534</v>
      </c>
      <c r="FM89" s="48" t="s">
        <v>3533</v>
      </c>
      <c r="FN89" s="48" t="s">
        <v>1710</v>
      </c>
      <c r="FO89" s="48" t="s">
        <v>1710</v>
      </c>
      <c r="FP89" s="48" t="s">
        <v>1710</v>
      </c>
      <c r="FQ89" s="48" t="s">
        <v>1710</v>
      </c>
      <c r="FR89" s="48" t="s">
        <v>1710</v>
      </c>
      <c r="FS89" s="48" t="s">
        <v>1710</v>
      </c>
      <c r="FT89" s="48" t="s">
        <v>1710</v>
      </c>
      <c r="FU89" s="48" t="s">
        <v>1710</v>
      </c>
      <c r="FV89" s="48"/>
      <c r="FW89" s="56"/>
      <c r="FX89" s="56"/>
      <c r="FY89" s="56"/>
      <c r="FZ89" s="56"/>
      <c r="GA89" s="55" t="str">
        <f t="shared" si="5"/>
        <v>4388426300385X</v>
      </c>
      <c r="GB89" t="str">
        <f>VLOOKUP(B89,수출코드!$C$2:$D$4,2,FALSE)</f>
        <v>Suwon</v>
      </c>
      <c r="GC89" t="str">
        <f>VLOOKUP(L89,수출코드!$A$2:$B$6,2,FALSE)</f>
        <v/>
      </c>
      <c r="GD89" t="str">
        <f>VLOOKUP(M89,수출코드!$E$2:$F$5,2,FALSE)</f>
        <v>일반</v>
      </c>
      <c r="GE89" s="61">
        <f t="shared" si="3"/>
        <v>45972.544444444444</v>
      </c>
      <c r="GF89" s="62">
        <f t="shared" si="4"/>
        <v>46049.738194444442</v>
      </c>
      <c r="GI89" s="48" t="s">
        <v>2752</v>
      </c>
    </row>
    <row r="90" spans="1:191">
      <c r="A90" s="48" t="s">
        <v>3535</v>
      </c>
      <c r="B90" s="48" t="s">
        <v>1821</v>
      </c>
      <c r="C90" s="48" t="s">
        <v>2048</v>
      </c>
      <c r="D90" s="48" t="s">
        <v>2813</v>
      </c>
      <c r="E90" s="48" t="s">
        <v>3535</v>
      </c>
      <c r="F90" s="48" t="s">
        <v>1710</v>
      </c>
      <c r="G90" s="48" t="s">
        <v>2814</v>
      </c>
      <c r="H90" s="48" t="s">
        <v>3536</v>
      </c>
      <c r="I90" s="48" t="s">
        <v>1884</v>
      </c>
      <c r="J90" s="48" t="s">
        <v>2850</v>
      </c>
      <c r="K90" s="48" t="s">
        <v>1877</v>
      </c>
      <c r="L90" s="48" t="s">
        <v>1842</v>
      </c>
      <c r="M90" s="48" t="s">
        <v>1810</v>
      </c>
      <c r="N90" s="48" t="s">
        <v>1842</v>
      </c>
      <c r="O90" s="48" t="s">
        <v>1811</v>
      </c>
      <c r="P90" s="48" t="s">
        <v>2549</v>
      </c>
      <c r="Q90" s="48" t="s">
        <v>2049</v>
      </c>
      <c r="R90" s="48" t="s">
        <v>1838</v>
      </c>
      <c r="S90" s="48" t="s">
        <v>2050</v>
      </c>
      <c r="T90" s="48" t="s">
        <v>1845</v>
      </c>
      <c r="U90" s="48" t="s">
        <v>2049</v>
      </c>
      <c r="V90" s="48" t="s">
        <v>1838</v>
      </c>
      <c r="W90" s="48" t="s">
        <v>2051</v>
      </c>
      <c r="X90" s="48" t="s">
        <v>2052</v>
      </c>
      <c r="Y90" s="48" t="s">
        <v>2050</v>
      </c>
      <c r="Z90" s="48" t="s">
        <v>2053</v>
      </c>
      <c r="AA90" s="48" t="s">
        <v>2054</v>
      </c>
      <c r="AB90" s="48" t="s">
        <v>2817</v>
      </c>
      <c r="AC90" s="48" t="s">
        <v>2055</v>
      </c>
      <c r="AD90" s="48" t="s">
        <v>2056</v>
      </c>
      <c r="AE90" s="48" t="s">
        <v>1710</v>
      </c>
      <c r="AF90" s="48" t="s">
        <v>1710</v>
      </c>
      <c r="AG90" s="48" t="s">
        <v>2057</v>
      </c>
      <c r="AH90" s="48" t="s">
        <v>1815</v>
      </c>
      <c r="AI90" s="48" t="s">
        <v>2058</v>
      </c>
      <c r="AJ90" s="48" t="s">
        <v>1710</v>
      </c>
      <c r="AK90" s="48" t="s">
        <v>2102</v>
      </c>
      <c r="AL90" s="48" t="s">
        <v>1858</v>
      </c>
      <c r="AM90" s="48" t="s">
        <v>1816</v>
      </c>
      <c r="AN90" s="48" t="s">
        <v>2054</v>
      </c>
      <c r="AO90" s="48" t="s">
        <v>1710</v>
      </c>
      <c r="AP90" s="48" t="s">
        <v>1848</v>
      </c>
      <c r="AQ90" s="48" t="s">
        <v>2060</v>
      </c>
      <c r="AR90" s="48" t="s">
        <v>1812</v>
      </c>
      <c r="AS90" s="48" t="s">
        <v>1813</v>
      </c>
      <c r="AT90" s="48" t="s">
        <v>1826</v>
      </c>
      <c r="AU90" s="48" t="s">
        <v>2061</v>
      </c>
      <c r="AV90" s="48" t="s">
        <v>2850</v>
      </c>
      <c r="AW90" s="48" t="s">
        <v>2062</v>
      </c>
      <c r="AX90" s="48" t="s">
        <v>2063</v>
      </c>
      <c r="AY90" s="48" t="s">
        <v>1710</v>
      </c>
      <c r="AZ90" s="48" t="s">
        <v>3537</v>
      </c>
      <c r="BA90" s="48" t="s">
        <v>1710</v>
      </c>
      <c r="BB90" s="48" t="s">
        <v>1709</v>
      </c>
      <c r="BC90" s="48" t="s">
        <v>1710</v>
      </c>
      <c r="BD90" s="48" t="s">
        <v>2097</v>
      </c>
      <c r="BE90" s="52" t="s">
        <v>3488</v>
      </c>
      <c r="BF90" s="48" t="s">
        <v>1710</v>
      </c>
      <c r="BG90" s="48" t="s">
        <v>1814</v>
      </c>
      <c r="BH90">
        <v>1</v>
      </c>
      <c r="BI90" s="48" t="s">
        <v>1888</v>
      </c>
      <c r="BJ90">
        <v>1</v>
      </c>
      <c r="BK90">
        <v>1473.06</v>
      </c>
      <c r="BL90">
        <v>369676</v>
      </c>
      <c r="BM90">
        <v>251</v>
      </c>
      <c r="BN90" s="48" t="s">
        <v>2064</v>
      </c>
      <c r="BO90" s="48" t="s">
        <v>2065</v>
      </c>
      <c r="BP90">
        <v>1473.06</v>
      </c>
      <c r="BQ90">
        <v>273.7</v>
      </c>
      <c r="BR90" s="48" t="s">
        <v>1885</v>
      </c>
      <c r="BS90" s="48" t="s">
        <v>2066</v>
      </c>
      <c r="BT90">
        <v>1</v>
      </c>
      <c r="BU90">
        <v>33500</v>
      </c>
      <c r="BV90">
        <v>33500</v>
      </c>
      <c r="BW90" s="48" t="s">
        <v>2065</v>
      </c>
      <c r="BX90">
        <v>1473.06</v>
      </c>
      <c r="BY90">
        <v>0</v>
      </c>
      <c r="BZ90">
        <v>0</v>
      </c>
      <c r="CA90" s="48" t="s">
        <v>2065</v>
      </c>
      <c r="CB90">
        <v>1473.06</v>
      </c>
      <c r="CC90">
        <v>0</v>
      </c>
      <c r="CD90">
        <v>0</v>
      </c>
      <c r="CE90" s="48" t="s">
        <v>1710</v>
      </c>
      <c r="CF90" s="48" t="s">
        <v>1710</v>
      </c>
      <c r="CG90" s="48" t="s">
        <v>1710</v>
      </c>
      <c r="CH90" s="48" t="s">
        <v>1710</v>
      </c>
      <c r="CI90" s="48" t="s">
        <v>2067</v>
      </c>
      <c r="CJ90" s="48" t="s">
        <v>1710</v>
      </c>
      <c r="CL90" s="48" t="s">
        <v>2850</v>
      </c>
      <c r="CM90" s="48" t="s">
        <v>1710</v>
      </c>
      <c r="CN90" s="48" t="s">
        <v>2068</v>
      </c>
      <c r="CO90" s="48" t="s">
        <v>2069</v>
      </c>
      <c r="CP90" s="48" t="s">
        <v>1710</v>
      </c>
      <c r="CQ90" s="48" t="s">
        <v>1710</v>
      </c>
      <c r="CR90" s="48" t="s">
        <v>1710</v>
      </c>
      <c r="CS90" s="48" t="s">
        <v>1710</v>
      </c>
      <c r="CT90" s="48" t="s">
        <v>1710</v>
      </c>
      <c r="CU90" s="48" t="s">
        <v>1712</v>
      </c>
      <c r="CV90" s="48" t="s">
        <v>1710</v>
      </c>
      <c r="CW90" s="48" t="s">
        <v>1710</v>
      </c>
      <c r="CX90" s="48" t="s">
        <v>3014</v>
      </c>
      <c r="CY90" s="48" t="s">
        <v>1710</v>
      </c>
      <c r="CZ90" s="48" t="s">
        <v>1712</v>
      </c>
      <c r="DA90" s="48" t="s">
        <v>1710</v>
      </c>
      <c r="DB90" s="48" t="s">
        <v>1878</v>
      </c>
      <c r="DC90" s="48" t="s">
        <v>2070</v>
      </c>
      <c r="DD90" s="48" t="s">
        <v>1842</v>
      </c>
      <c r="DE90" s="48" t="s">
        <v>1886</v>
      </c>
      <c r="DF90" s="48" t="s">
        <v>3538</v>
      </c>
      <c r="DG90" s="48" t="s">
        <v>2071</v>
      </c>
      <c r="DH90" s="48" t="s">
        <v>1712</v>
      </c>
      <c r="DI90" s="48" t="s">
        <v>1710</v>
      </c>
      <c r="DJ90" s="48" t="s">
        <v>1710</v>
      </c>
      <c r="DK90" s="48" t="s">
        <v>1710</v>
      </c>
      <c r="DL90" s="48" t="s">
        <v>1710</v>
      </c>
      <c r="DM90" s="48" t="s">
        <v>1710</v>
      </c>
      <c r="DN90" s="48" t="s">
        <v>1710</v>
      </c>
      <c r="DO90" s="48" t="s">
        <v>1710</v>
      </c>
      <c r="DP90" s="48" t="s">
        <v>1710</v>
      </c>
      <c r="DQ90" s="48" t="s">
        <v>1710</v>
      </c>
      <c r="DR90" s="48" t="s">
        <v>2072</v>
      </c>
      <c r="DS90" s="48" t="s">
        <v>1710</v>
      </c>
      <c r="DT90" s="48" t="s">
        <v>1710</v>
      </c>
      <c r="DU90" s="48" t="s">
        <v>2547</v>
      </c>
      <c r="DV90" s="48" t="s">
        <v>2816</v>
      </c>
      <c r="DW90" s="48" t="s">
        <v>1710</v>
      </c>
      <c r="DX90" s="48" t="s">
        <v>3539</v>
      </c>
      <c r="DY90" s="48" t="s">
        <v>1709</v>
      </c>
      <c r="DZ90" s="48" t="s">
        <v>2562</v>
      </c>
      <c r="EA90" s="48" t="s">
        <v>2546</v>
      </c>
      <c r="EB90">
        <v>0</v>
      </c>
      <c r="EC90" s="48" t="s">
        <v>2547</v>
      </c>
      <c r="ED90" s="48" t="s">
        <v>3540</v>
      </c>
      <c r="EE90" s="48" t="s">
        <v>1814</v>
      </c>
      <c r="EF90" s="48" t="s">
        <v>3541</v>
      </c>
      <c r="EG90" s="48" t="s">
        <v>3537</v>
      </c>
      <c r="EH90">
        <v>0.01</v>
      </c>
      <c r="EI90" s="48" t="s">
        <v>1888</v>
      </c>
      <c r="EJ90">
        <v>0</v>
      </c>
      <c r="EK90" s="48" t="s">
        <v>1710</v>
      </c>
      <c r="EL90">
        <v>1</v>
      </c>
      <c r="EM90" s="48" t="s">
        <v>1886</v>
      </c>
      <c r="EN90">
        <v>0.01</v>
      </c>
      <c r="EO90" s="48" t="s">
        <v>3542</v>
      </c>
      <c r="EP90" s="48" t="s">
        <v>3543</v>
      </c>
      <c r="EQ90">
        <v>273.7</v>
      </c>
      <c r="ER90">
        <v>273.7</v>
      </c>
      <c r="ES90">
        <v>369676</v>
      </c>
      <c r="ET90">
        <v>251</v>
      </c>
      <c r="EU90" s="48" t="s">
        <v>1710</v>
      </c>
      <c r="EV90" s="48" t="s">
        <v>1710</v>
      </c>
      <c r="EW90" s="48" t="s">
        <v>1712</v>
      </c>
      <c r="EX90" s="48" t="s">
        <v>1710</v>
      </c>
      <c r="EY90" s="48" t="s">
        <v>1848</v>
      </c>
      <c r="EZ90" s="48" t="s">
        <v>1710</v>
      </c>
      <c r="FA90" s="48" t="s">
        <v>1710</v>
      </c>
      <c r="FB90" s="48" t="s">
        <v>1712</v>
      </c>
      <c r="FC90" s="48" t="s">
        <v>1710</v>
      </c>
      <c r="FD90" s="48" t="s">
        <v>1710</v>
      </c>
      <c r="FE90" s="48" t="s">
        <v>1814</v>
      </c>
      <c r="FF90" s="48" t="s">
        <v>1815</v>
      </c>
      <c r="FG90" s="48" t="s">
        <v>1710</v>
      </c>
      <c r="FH90">
        <v>1</v>
      </c>
      <c r="FI90" s="48" t="s">
        <v>1846</v>
      </c>
      <c r="FJ90">
        <v>273.7</v>
      </c>
      <c r="FK90">
        <v>273.7</v>
      </c>
      <c r="FL90" s="48" t="s">
        <v>3544</v>
      </c>
      <c r="FM90" s="48" t="s">
        <v>3543</v>
      </c>
      <c r="FN90" s="48" t="s">
        <v>1710</v>
      </c>
      <c r="FO90" s="48" t="s">
        <v>1710</v>
      </c>
      <c r="FP90" s="48" t="s">
        <v>1710</v>
      </c>
      <c r="FQ90" s="48" t="s">
        <v>1710</v>
      </c>
      <c r="FR90" s="48" t="s">
        <v>1710</v>
      </c>
      <c r="FS90" s="48" t="s">
        <v>1710</v>
      </c>
      <c r="FT90" s="48" t="s">
        <v>1710</v>
      </c>
      <c r="FU90" s="48" t="s">
        <v>1710</v>
      </c>
      <c r="FV90" s="48"/>
      <c r="FW90" s="56"/>
      <c r="FX90" s="56"/>
      <c r="FY90" s="56"/>
      <c r="FZ90" s="56"/>
      <c r="GA90" s="55" t="str">
        <f t="shared" si="5"/>
        <v>4388426300386X</v>
      </c>
      <c r="GB90" t="str">
        <f>VLOOKUP(B90,수출코드!$C$2:$D$4,2,FALSE)</f>
        <v>Suwon</v>
      </c>
      <c r="GC90" t="str">
        <f>VLOOKUP(L90,수출코드!$A$2:$B$6,2,FALSE)</f>
        <v/>
      </c>
      <c r="GD90" t="str">
        <f>VLOOKUP(M90,수출코드!$E$2:$F$5,2,FALSE)</f>
        <v>일반</v>
      </c>
      <c r="GE90" s="61">
        <f t="shared" si="3"/>
        <v>45972.581250000003</v>
      </c>
      <c r="GF90" s="62">
        <f t="shared" si="4"/>
        <v>46049.716666666667</v>
      </c>
      <c r="GI90" s="48" t="s">
        <v>2753</v>
      </c>
    </row>
    <row r="91" spans="1:191">
      <c r="A91" s="48" t="s">
        <v>3545</v>
      </c>
      <c r="B91" s="48" t="s">
        <v>1821</v>
      </c>
      <c r="C91" s="48" t="s">
        <v>2048</v>
      </c>
      <c r="D91" s="48" t="s">
        <v>2813</v>
      </c>
      <c r="E91" s="48" t="s">
        <v>3545</v>
      </c>
      <c r="F91" s="48" t="s">
        <v>1710</v>
      </c>
      <c r="G91" s="48" t="s">
        <v>2814</v>
      </c>
      <c r="H91" s="48" t="s">
        <v>3546</v>
      </c>
      <c r="I91" s="48" t="s">
        <v>1884</v>
      </c>
      <c r="J91" s="48" t="s">
        <v>2850</v>
      </c>
      <c r="K91" s="48" t="s">
        <v>1877</v>
      </c>
      <c r="L91" s="48" t="s">
        <v>1842</v>
      </c>
      <c r="M91" s="48" t="s">
        <v>1810</v>
      </c>
      <c r="N91" s="48" t="s">
        <v>1842</v>
      </c>
      <c r="O91" s="48" t="s">
        <v>1811</v>
      </c>
      <c r="P91" s="48" t="s">
        <v>2549</v>
      </c>
      <c r="Q91" s="48" t="s">
        <v>2049</v>
      </c>
      <c r="R91" s="48" t="s">
        <v>1838</v>
      </c>
      <c r="S91" s="48" t="s">
        <v>2050</v>
      </c>
      <c r="T91" s="48" t="s">
        <v>1845</v>
      </c>
      <c r="U91" s="48" t="s">
        <v>2049</v>
      </c>
      <c r="V91" s="48" t="s">
        <v>1838</v>
      </c>
      <c r="W91" s="48" t="s">
        <v>2051</v>
      </c>
      <c r="X91" s="48" t="s">
        <v>2052</v>
      </c>
      <c r="Y91" s="48" t="s">
        <v>2050</v>
      </c>
      <c r="Z91" s="48" t="s">
        <v>2053</v>
      </c>
      <c r="AA91" s="48" t="s">
        <v>2054</v>
      </c>
      <c r="AB91" s="48" t="s">
        <v>2817</v>
      </c>
      <c r="AC91" s="48" t="s">
        <v>2055</v>
      </c>
      <c r="AD91" s="48" t="s">
        <v>2056</v>
      </c>
      <c r="AE91" s="48" t="s">
        <v>1710</v>
      </c>
      <c r="AF91" s="48" t="s">
        <v>1710</v>
      </c>
      <c r="AG91" s="48" t="s">
        <v>2057</v>
      </c>
      <c r="AH91" s="48" t="s">
        <v>1815</v>
      </c>
      <c r="AI91" s="48" t="s">
        <v>2058</v>
      </c>
      <c r="AJ91" s="48" t="s">
        <v>1710</v>
      </c>
      <c r="AK91" s="48" t="s">
        <v>2592</v>
      </c>
      <c r="AL91" s="48" t="s">
        <v>1858</v>
      </c>
      <c r="AM91" s="48" t="s">
        <v>1816</v>
      </c>
      <c r="AN91" s="48" t="s">
        <v>2054</v>
      </c>
      <c r="AO91" s="48" t="s">
        <v>1710</v>
      </c>
      <c r="AP91" s="48" t="s">
        <v>1848</v>
      </c>
      <c r="AQ91" s="48" t="s">
        <v>2060</v>
      </c>
      <c r="AR91" s="48" t="s">
        <v>1812</v>
      </c>
      <c r="AS91" s="48" t="s">
        <v>1813</v>
      </c>
      <c r="AT91" s="48" t="s">
        <v>1826</v>
      </c>
      <c r="AU91" s="48" t="s">
        <v>2061</v>
      </c>
      <c r="AV91" s="48" t="s">
        <v>2850</v>
      </c>
      <c r="AW91" s="48" t="s">
        <v>2062</v>
      </c>
      <c r="AX91" s="48" t="s">
        <v>2063</v>
      </c>
      <c r="AY91" s="48" t="s">
        <v>1710</v>
      </c>
      <c r="AZ91" s="48" t="s">
        <v>3547</v>
      </c>
      <c r="BA91" s="48" t="s">
        <v>1710</v>
      </c>
      <c r="BB91" s="48" t="s">
        <v>1709</v>
      </c>
      <c r="BC91" s="48" t="s">
        <v>1710</v>
      </c>
      <c r="BD91" s="48" t="s">
        <v>2097</v>
      </c>
      <c r="BE91" s="52" t="s">
        <v>3488</v>
      </c>
      <c r="BF91" s="48" t="s">
        <v>1710</v>
      </c>
      <c r="BG91" s="48" t="s">
        <v>1814</v>
      </c>
      <c r="BH91">
        <v>22</v>
      </c>
      <c r="BI91" s="48" t="s">
        <v>1888</v>
      </c>
      <c r="BJ91">
        <v>1</v>
      </c>
      <c r="BK91">
        <v>1473.06</v>
      </c>
      <c r="BL91">
        <v>5104792</v>
      </c>
      <c r="BM91">
        <v>3465</v>
      </c>
      <c r="BN91" s="48" t="s">
        <v>2064</v>
      </c>
      <c r="BO91" s="48" t="s">
        <v>2065</v>
      </c>
      <c r="BP91">
        <v>1473.06</v>
      </c>
      <c r="BQ91">
        <v>3681.99</v>
      </c>
      <c r="BR91" s="48" t="s">
        <v>1885</v>
      </c>
      <c r="BS91" s="48" t="s">
        <v>2066</v>
      </c>
      <c r="BT91">
        <v>1</v>
      </c>
      <c r="BU91">
        <v>319000</v>
      </c>
      <c r="BV91">
        <v>319000</v>
      </c>
      <c r="BW91" s="48" t="s">
        <v>2065</v>
      </c>
      <c r="BX91">
        <v>1473.06</v>
      </c>
      <c r="BY91">
        <v>0</v>
      </c>
      <c r="BZ91">
        <v>0</v>
      </c>
      <c r="CA91" s="48" t="s">
        <v>2065</v>
      </c>
      <c r="CB91">
        <v>1473.06</v>
      </c>
      <c r="CC91">
        <v>0</v>
      </c>
      <c r="CD91">
        <v>0</v>
      </c>
      <c r="CE91" s="48" t="s">
        <v>1710</v>
      </c>
      <c r="CF91" s="48" t="s">
        <v>1710</v>
      </c>
      <c r="CG91" s="48" t="s">
        <v>1710</v>
      </c>
      <c r="CH91" s="48" t="s">
        <v>1710</v>
      </c>
      <c r="CI91" s="48" t="s">
        <v>2067</v>
      </c>
      <c r="CJ91" s="48" t="s">
        <v>1710</v>
      </c>
      <c r="CL91" s="48" t="s">
        <v>2850</v>
      </c>
      <c r="CM91" s="48" t="s">
        <v>1710</v>
      </c>
      <c r="CN91" s="48" t="s">
        <v>2068</v>
      </c>
      <c r="CO91" s="48" t="s">
        <v>2069</v>
      </c>
      <c r="CP91" s="48" t="s">
        <v>1710</v>
      </c>
      <c r="CQ91" s="48" t="s">
        <v>1710</v>
      </c>
      <c r="CR91" s="48" t="s">
        <v>1710</v>
      </c>
      <c r="CS91" s="48" t="s">
        <v>1710</v>
      </c>
      <c r="CT91" s="48" t="s">
        <v>1710</v>
      </c>
      <c r="CU91" s="48" t="s">
        <v>1712</v>
      </c>
      <c r="CV91" s="48" t="s">
        <v>1710</v>
      </c>
      <c r="CW91" s="48" t="s">
        <v>1710</v>
      </c>
      <c r="CX91" s="48" t="s">
        <v>3014</v>
      </c>
      <c r="CY91" s="48" t="s">
        <v>1710</v>
      </c>
      <c r="CZ91" s="48" t="s">
        <v>1712</v>
      </c>
      <c r="DA91" s="48" t="s">
        <v>1710</v>
      </c>
      <c r="DB91" s="48" t="s">
        <v>1878</v>
      </c>
      <c r="DC91" s="48" t="s">
        <v>2070</v>
      </c>
      <c r="DD91" s="48" t="s">
        <v>1842</v>
      </c>
      <c r="DE91" s="48" t="s">
        <v>1886</v>
      </c>
      <c r="DF91" s="48" t="s">
        <v>3548</v>
      </c>
      <c r="DG91" s="48" t="s">
        <v>2071</v>
      </c>
      <c r="DH91" s="48" t="s">
        <v>1712</v>
      </c>
      <c r="DI91" s="48" t="s">
        <v>1710</v>
      </c>
      <c r="DJ91" s="48" t="s">
        <v>1710</v>
      </c>
      <c r="DK91" s="48" t="s">
        <v>1710</v>
      </c>
      <c r="DL91" s="48" t="s">
        <v>1710</v>
      </c>
      <c r="DM91" s="48" t="s">
        <v>1710</v>
      </c>
      <c r="DN91" s="48" t="s">
        <v>1710</v>
      </c>
      <c r="DO91" s="48" t="s">
        <v>1710</v>
      </c>
      <c r="DP91" s="48" t="s">
        <v>1710</v>
      </c>
      <c r="DQ91" s="48" t="s">
        <v>1710</v>
      </c>
      <c r="DR91" s="48" t="s">
        <v>2072</v>
      </c>
      <c r="DS91" s="48" t="s">
        <v>1710</v>
      </c>
      <c r="DT91" s="48" t="s">
        <v>1710</v>
      </c>
      <c r="DU91" s="48" t="s">
        <v>2547</v>
      </c>
      <c r="DV91" s="48" t="s">
        <v>3111</v>
      </c>
      <c r="DW91" s="48" t="s">
        <v>1710</v>
      </c>
      <c r="DX91" s="48" t="s">
        <v>3549</v>
      </c>
      <c r="DY91" s="48" t="s">
        <v>1709</v>
      </c>
      <c r="DZ91" s="48" t="s">
        <v>2562</v>
      </c>
      <c r="EA91" s="48" t="s">
        <v>2546</v>
      </c>
      <c r="EB91">
        <v>0</v>
      </c>
      <c r="EC91" s="48" t="s">
        <v>2547</v>
      </c>
      <c r="ED91" s="48" t="s">
        <v>3540</v>
      </c>
      <c r="EE91" s="48" t="s">
        <v>1814</v>
      </c>
      <c r="EF91" s="48" t="s">
        <v>1852</v>
      </c>
      <c r="EG91" s="48" t="s">
        <v>3547</v>
      </c>
      <c r="EH91">
        <v>17</v>
      </c>
      <c r="EI91" s="48" t="s">
        <v>1888</v>
      </c>
      <c r="EJ91">
        <v>0</v>
      </c>
      <c r="EK91" s="48" t="s">
        <v>1710</v>
      </c>
      <c r="EL91">
        <v>1</v>
      </c>
      <c r="EM91" s="48" t="s">
        <v>1886</v>
      </c>
      <c r="EN91">
        <v>17</v>
      </c>
      <c r="EO91" s="48" t="s">
        <v>2521</v>
      </c>
      <c r="EP91" s="48" t="s">
        <v>3550</v>
      </c>
      <c r="EQ91">
        <v>3681.99</v>
      </c>
      <c r="ER91">
        <v>3681.99</v>
      </c>
      <c r="ES91">
        <v>5104792</v>
      </c>
      <c r="ET91">
        <v>3465</v>
      </c>
      <c r="EU91" s="48" t="s">
        <v>1710</v>
      </c>
      <c r="EV91" s="48" t="s">
        <v>1710</v>
      </c>
      <c r="EW91" s="48" t="s">
        <v>1712</v>
      </c>
      <c r="EX91" s="48" t="s">
        <v>1710</v>
      </c>
      <c r="EY91" s="48" t="s">
        <v>1873</v>
      </c>
      <c r="EZ91" s="48" t="s">
        <v>1710</v>
      </c>
      <c r="FA91" s="48" t="s">
        <v>1710</v>
      </c>
      <c r="FB91" s="48" t="s">
        <v>1712</v>
      </c>
      <c r="FC91" s="48" t="s">
        <v>1710</v>
      </c>
      <c r="FD91" s="48" t="s">
        <v>1710</v>
      </c>
      <c r="FE91" s="48" t="s">
        <v>1814</v>
      </c>
      <c r="FF91" s="48" t="s">
        <v>1815</v>
      </c>
      <c r="FG91" s="48" t="s">
        <v>1710</v>
      </c>
      <c r="FH91">
        <v>1</v>
      </c>
      <c r="FI91" s="48" t="s">
        <v>1846</v>
      </c>
      <c r="FJ91">
        <v>3681.99</v>
      </c>
      <c r="FK91">
        <v>3681.99</v>
      </c>
      <c r="FL91" s="48" t="s">
        <v>3551</v>
      </c>
      <c r="FM91" s="48" t="s">
        <v>3550</v>
      </c>
      <c r="FN91" s="48" t="s">
        <v>1710</v>
      </c>
      <c r="FO91" s="48" t="s">
        <v>1710</v>
      </c>
      <c r="FP91" s="48" t="s">
        <v>1710</v>
      </c>
      <c r="FQ91" s="48" t="s">
        <v>1710</v>
      </c>
      <c r="FR91" s="48" t="s">
        <v>1710</v>
      </c>
      <c r="FS91" s="48" t="s">
        <v>1710</v>
      </c>
      <c r="FT91" s="48" t="s">
        <v>1710</v>
      </c>
      <c r="FU91" s="48" t="s">
        <v>1710</v>
      </c>
      <c r="FV91" s="48"/>
      <c r="FW91" s="56"/>
      <c r="FX91" s="56"/>
      <c r="FY91" s="56"/>
      <c r="FZ91" s="56"/>
      <c r="GA91" s="55" t="str">
        <f t="shared" si="5"/>
        <v>4388426300387X</v>
      </c>
      <c r="GB91" t="str">
        <f>VLOOKUP(B91,수출코드!$C$2:$D$4,2,FALSE)</f>
        <v>Suwon</v>
      </c>
      <c r="GC91" t="str">
        <f>VLOOKUP(L91,수출코드!$A$2:$B$6,2,FALSE)</f>
        <v/>
      </c>
      <c r="GD91" t="str">
        <f>VLOOKUP(M91,수출코드!$E$2:$F$5,2,FALSE)</f>
        <v>일반</v>
      </c>
      <c r="GE91" s="61">
        <f t="shared" si="3"/>
        <v>45972.613194444442</v>
      </c>
      <c r="GF91" s="62">
        <f t="shared" si="4"/>
        <v>46049.716666666667</v>
      </c>
      <c r="GI91" s="48" t="s">
        <v>2754</v>
      </c>
    </row>
    <row r="92" spans="1:191">
      <c r="A92" s="48" t="s">
        <v>3552</v>
      </c>
      <c r="B92" s="48" t="s">
        <v>1821</v>
      </c>
      <c r="C92" s="48" t="s">
        <v>2048</v>
      </c>
      <c r="D92" s="48" t="s">
        <v>2813</v>
      </c>
      <c r="E92" s="48" t="s">
        <v>3552</v>
      </c>
      <c r="F92" s="48" t="s">
        <v>1710</v>
      </c>
      <c r="G92" s="48" t="s">
        <v>2814</v>
      </c>
      <c r="H92" s="48" t="s">
        <v>3553</v>
      </c>
      <c r="I92" s="48" t="s">
        <v>1884</v>
      </c>
      <c r="J92" s="48" t="s">
        <v>2850</v>
      </c>
      <c r="K92" s="48" t="s">
        <v>1877</v>
      </c>
      <c r="L92" s="48" t="s">
        <v>1842</v>
      </c>
      <c r="M92" s="48" t="s">
        <v>1810</v>
      </c>
      <c r="N92" s="48" t="s">
        <v>1842</v>
      </c>
      <c r="O92" s="48" t="s">
        <v>1811</v>
      </c>
      <c r="P92" s="48" t="s">
        <v>2549</v>
      </c>
      <c r="Q92" s="48" t="s">
        <v>2049</v>
      </c>
      <c r="R92" s="48" t="s">
        <v>1838</v>
      </c>
      <c r="S92" s="48" t="s">
        <v>2050</v>
      </c>
      <c r="T92" s="48" t="s">
        <v>1845</v>
      </c>
      <c r="U92" s="48" t="s">
        <v>2049</v>
      </c>
      <c r="V92" s="48" t="s">
        <v>1838</v>
      </c>
      <c r="W92" s="48" t="s">
        <v>2051</v>
      </c>
      <c r="X92" s="48" t="s">
        <v>2052</v>
      </c>
      <c r="Y92" s="48" t="s">
        <v>2050</v>
      </c>
      <c r="Z92" s="48" t="s">
        <v>2053</v>
      </c>
      <c r="AA92" s="48" t="s">
        <v>2054</v>
      </c>
      <c r="AB92" s="48" t="s">
        <v>2817</v>
      </c>
      <c r="AC92" s="48" t="s">
        <v>2055</v>
      </c>
      <c r="AD92" s="48" t="s">
        <v>2056</v>
      </c>
      <c r="AE92" s="48" t="s">
        <v>1710</v>
      </c>
      <c r="AF92" s="48" t="s">
        <v>1710</v>
      </c>
      <c r="AG92" s="48" t="s">
        <v>2057</v>
      </c>
      <c r="AH92" s="48" t="s">
        <v>1815</v>
      </c>
      <c r="AI92" s="48" t="s">
        <v>2058</v>
      </c>
      <c r="AJ92" s="48" t="s">
        <v>1710</v>
      </c>
      <c r="AK92" s="48" t="s">
        <v>2574</v>
      </c>
      <c r="AL92" s="48" t="s">
        <v>2534</v>
      </c>
      <c r="AM92" s="48" t="s">
        <v>1816</v>
      </c>
      <c r="AN92" s="48" t="s">
        <v>2054</v>
      </c>
      <c r="AO92" s="48" t="s">
        <v>1710</v>
      </c>
      <c r="AP92" s="48" t="s">
        <v>1848</v>
      </c>
      <c r="AQ92" s="48" t="s">
        <v>2060</v>
      </c>
      <c r="AR92" s="48" t="s">
        <v>1812</v>
      </c>
      <c r="AS92" s="48" t="s">
        <v>1813</v>
      </c>
      <c r="AT92" s="48" t="s">
        <v>1826</v>
      </c>
      <c r="AU92" s="48" t="s">
        <v>2061</v>
      </c>
      <c r="AV92" s="48" t="s">
        <v>2850</v>
      </c>
      <c r="AW92" s="48" t="s">
        <v>2062</v>
      </c>
      <c r="AX92" s="48" t="s">
        <v>2063</v>
      </c>
      <c r="AY92" s="48" t="s">
        <v>1710</v>
      </c>
      <c r="AZ92" s="48" t="s">
        <v>3554</v>
      </c>
      <c r="BA92" s="48" t="s">
        <v>1710</v>
      </c>
      <c r="BB92" s="48" t="s">
        <v>1709</v>
      </c>
      <c r="BC92" s="48" t="s">
        <v>1710</v>
      </c>
      <c r="BD92" s="48" t="s">
        <v>2097</v>
      </c>
      <c r="BE92" s="52" t="s">
        <v>3488</v>
      </c>
      <c r="BF92" s="48" t="s">
        <v>1710</v>
      </c>
      <c r="BG92" s="48" t="s">
        <v>1814</v>
      </c>
      <c r="BH92">
        <v>1</v>
      </c>
      <c r="BI92" s="48" t="s">
        <v>1888</v>
      </c>
      <c r="BJ92">
        <v>1</v>
      </c>
      <c r="BK92">
        <v>1473.06</v>
      </c>
      <c r="BL92">
        <v>8940735</v>
      </c>
      <c r="BM92">
        <v>6069</v>
      </c>
      <c r="BN92" s="48" t="s">
        <v>2064</v>
      </c>
      <c r="BO92" s="48" t="s">
        <v>2065</v>
      </c>
      <c r="BP92">
        <v>1473.06</v>
      </c>
      <c r="BQ92">
        <v>6092.24</v>
      </c>
      <c r="BR92" s="48" t="s">
        <v>1885</v>
      </c>
      <c r="BS92" s="48" t="s">
        <v>2066</v>
      </c>
      <c r="BT92">
        <v>1</v>
      </c>
      <c r="BU92">
        <v>33500</v>
      </c>
      <c r="BV92">
        <v>33500</v>
      </c>
      <c r="BW92" s="48" t="s">
        <v>2065</v>
      </c>
      <c r="BX92">
        <v>1473.06</v>
      </c>
      <c r="BY92">
        <v>0</v>
      </c>
      <c r="BZ92">
        <v>0</v>
      </c>
      <c r="CA92" s="48" t="s">
        <v>2065</v>
      </c>
      <c r="CB92">
        <v>1473.06</v>
      </c>
      <c r="CC92">
        <v>0</v>
      </c>
      <c r="CD92">
        <v>0</v>
      </c>
      <c r="CE92" s="48" t="s">
        <v>1710</v>
      </c>
      <c r="CF92" s="48" t="s">
        <v>1710</v>
      </c>
      <c r="CG92" s="48" t="s">
        <v>1710</v>
      </c>
      <c r="CH92" s="48" t="s">
        <v>1710</v>
      </c>
      <c r="CI92" s="48" t="s">
        <v>2067</v>
      </c>
      <c r="CJ92" s="48" t="s">
        <v>1710</v>
      </c>
      <c r="CL92" s="48" t="s">
        <v>2850</v>
      </c>
      <c r="CM92" s="48" t="s">
        <v>1710</v>
      </c>
      <c r="CN92" s="48" t="s">
        <v>2068</v>
      </c>
      <c r="CO92" s="48" t="s">
        <v>2069</v>
      </c>
      <c r="CP92" s="48" t="s">
        <v>1710</v>
      </c>
      <c r="CQ92" s="48" t="s">
        <v>1710</v>
      </c>
      <c r="CR92" s="48" t="s">
        <v>1710</v>
      </c>
      <c r="CS92" s="48" t="s">
        <v>1710</v>
      </c>
      <c r="CT92" s="48" t="s">
        <v>1710</v>
      </c>
      <c r="CU92" s="48" t="s">
        <v>1712</v>
      </c>
      <c r="CV92" s="48" t="s">
        <v>1710</v>
      </c>
      <c r="CW92" s="48" t="s">
        <v>1710</v>
      </c>
      <c r="CX92" s="48" t="s">
        <v>3014</v>
      </c>
      <c r="CY92" s="48" t="s">
        <v>1710</v>
      </c>
      <c r="CZ92" s="48" t="s">
        <v>1712</v>
      </c>
      <c r="DA92" s="48" t="s">
        <v>1710</v>
      </c>
      <c r="DB92" s="48" t="s">
        <v>1878</v>
      </c>
      <c r="DC92" s="48" t="s">
        <v>2070</v>
      </c>
      <c r="DD92" s="48" t="s">
        <v>1842</v>
      </c>
      <c r="DE92" s="48" t="s">
        <v>1886</v>
      </c>
      <c r="DF92" s="48" t="s">
        <v>3555</v>
      </c>
      <c r="DG92" s="48" t="s">
        <v>2071</v>
      </c>
      <c r="DH92" s="48" t="s">
        <v>1712</v>
      </c>
      <c r="DI92" s="48" t="s">
        <v>1710</v>
      </c>
      <c r="DJ92" s="48" t="s">
        <v>1710</v>
      </c>
      <c r="DK92" s="48" t="s">
        <v>1710</v>
      </c>
      <c r="DL92" s="48" t="s">
        <v>1710</v>
      </c>
      <c r="DM92" s="48" t="s">
        <v>1710</v>
      </c>
      <c r="DN92" s="48" t="s">
        <v>1710</v>
      </c>
      <c r="DO92" s="48" t="s">
        <v>1710</v>
      </c>
      <c r="DP92" s="48" t="s">
        <v>1710</v>
      </c>
      <c r="DQ92" s="48" t="s">
        <v>1710</v>
      </c>
      <c r="DR92" s="48" t="s">
        <v>2072</v>
      </c>
      <c r="DS92" s="48" t="s">
        <v>1710</v>
      </c>
      <c r="DT92" s="48" t="s">
        <v>1710</v>
      </c>
      <c r="DU92" s="48" t="s">
        <v>2547</v>
      </c>
      <c r="DV92" s="48" t="s">
        <v>2816</v>
      </c>
      <c r="DW92" s="48" t="s">
        <v>1710</v>
      </c>
      <c r="DX92" s="48" t="s">
        <v>3556</v>
      </c>
      <c r="DY92" s="48" t="s">
        <v>1709</v>
      </c>
      <c r="DZ92" s="48" t="s">
        <v>2562</v>
      </c>
      <c r="EA92" s="48" t="s">
        <v>2546</v>
      </c>
      <c r="EB92">
        <v>0</v>
      </c>
      <c r="EC92" s="48" t="s">
        <v>2547</v>
      </c>
      <c r="ED92" s="48" t="s">
        <v>3557</v>
      </c>
      <c r="EE92" s="48" t="s">
        <v>1814</v>
      </c>
      <c r="EF92" s="48" t="s">
        <v>2630</v>
      </c>
      <c r="EG92" s="48" t="s">
        <v>3554</v>
      </c>
      <c r="EH92">
        <v>1</v>
      </c>
      <c r="EI92" s="48" t="s">
        <v>1888</v>
      </c>
      <c r="EJ92">
        <v>0</v>
      </c>
      <c r="EK92" s="48" t="s">
        <v>1710</v>
      </c>
      <c r="EL92">
        <v>1</v>
      </c>
      <c r="EM92" s="48" t="s">
        <v>1886</v>
      </c>
      <c r="EN92">
        <v>1</v>
      </c>
      <c r="EO92" s="48" t="s">
        <v>2631</v>
      </c>
      <c r="EP92" s="48" t="s">
        <v>3558</v>
      </c>
      <c r="EQ92">
        <v>6092.24</v>
      </c>
      <c r="ER92">
        <v>6092.24</v>
      </c>
      <c r="ES92">
        <v>8940735</v>
      </c>
      <c r="ET92">
        <v>6069</v>
      </c>
      <c r="EU92" s="48" t="s">
        <v>1710</v>
      </c>
      <c r="EV92" s="48" t="s">
        <v>1710</v>
      </c>
      <c r="EW92" s="48" t="s">
        <v>1712</v>
      </c>
      <c r="EX92" s="48" t="s">
        <v>1710</v>
      </c>
      <c r="EY92" s="48" t="s">
        <v>2654</v>
      </c>
      <c r="EZ92" s="48" t="s">
        <v>1710</v>
      </c>
      <c r="FA92" s="48" t="s">
        <v>1710</v>
      </c>
      <c r="FB92" s="48" t="s">
        <v>1712</v>
      </c>
      <c r="FC92" s="48" t="s">
        <v>1710</v>
      </c>
      <c r="FD92" s="48" t="s">
        <v>1710</v>
      </c>
      <c r="FE92" s="48" t="s">
        <v>1814</v>
      </c>
      <c r="FF92" s="48" t="s">
        <v>1815</v>
      </c>
      <c r="FG92" s="48" t="s">
        <v>1710</v>
      </c>
      <c r="FH92">
        <v>1</v>
      </c>
      <c r="FI92" s="48" t="s">
        <v>1846</v>
      </c>
      <c r="FJ92">
        <v>6092.24</v>
      </c>
      <c r="FK92">
        <v>6092.24</v>
      </c>
      <c r="FL92" s="48" t="s">
        <v>3559</v>
      </c>
      <c r="FM92" s="48" t="s">
        <v>3560</v>
      </c>
      <c r="FN92" s="48" t="s">
        <v>1710</v>
      </c>
      <c r="FO92" s="48" t="s">
        <v>1710</v>
      </c>
      <c r="FP92" s="48" t="s">
        <v>1710</v>
      </c>
      <c r="FQ92" s="48" t="s">
        <v>1710</v>
      </c>
      <c r="FR92" s="48" t="s">
        <v>1710</v>
      </c>
      <c r="FS92" s="48" t="s">
        <v>1710</v>
      </c>
      <c r="FT92" s="48" t="s">
        <v>1710</v>
      </c>
      <c r="FU92" s="48" t="s">
        <v>1710</v>
      </c>
      <c r="FV92" s="48"/>
      <c r="FW92" s="56"/>
      <c r="FX92" s="56"/>
      <c r="FY92" s="56"/>
      <c r="FZ92" s="56"/>
      <c r="GA92" s="55" t="str">
        <f t="shared" si="5"/>
        <v>4388426300388X</v>
      </c>
      <c r="GB92" t="str">
        <f>VLOOKUP(B92,수출코드!$C$2:$D$4,2,FALSE)</f>
        <v>Suwon</v>
      </c>
      <c r="GC92" t="str">
        <f>VLOOKUP(L92,수출코드!$A$2:$B$6,2,FALSE)</f>
        <v/>
      </c>
      <c r="GD92" t="str">
        <f>VLOOKUP(M92,수출코드!$E$2:$F$5,2,FALSE)</f>
        <v>일반</v>
      </c>
      <c r="GE92" s="61">
        <f t="shared" si="3"/>
        <v>45972.613194444442</v>
      </c>
      <c r="GF92" s="62">
        <f t="shared" si="4"/>
        <v>46049.720833333333</v>
      </c>
      <c r="GI92" s="48" t="s">
        <v>2754</v>
      </c>
    </row>
    <row r="93" spans="1:191">
      <c r="A93" s="48" t="s">
        <v>3561</v>
      </c>
      <c r="B93" s="48" t="s">
        <v>1821</v>
      </c>
      <c r="C93" s="48" t="s">
        <v>2048</v>
      </c>
      <c r="D93" s="48" t="s">
        <v>2813</v>
      </c>
      <c r="E93" s="48" t="s">
        <v>3561</v>
      </c>
      <c r="F93" s="48" t="s">
        <v>1710</v>
      </c>
      <c r="G93" s="48" t="s">
        <v>2814</v>
      </c>
      <c r="H93" s="48" t="s">
        <v>3562</v>
      </c>
      <c r="I93" s="48" t="s">
        <v>1884</v>
      </c>
      <c r="J93" s="48" t="s">
        <v>2850</v>
      </c>
      <c r="K93" s="48" t="s">
        <v>1877</v>
      </c>
      <c r="L93" s="48" t="s">
        <v>1842</v>
      </c>
      <c r="M93" s="48" t="s">
        <v>1810</v>
      </c>
      <c r="N93" s="48" t="s">
        <v>1842</v>
      </c>
      <c r="O93" s="48" t="s">
        <v>1811</v>
      </c>
      <c r="P93" s="48" t="s">
        <v>2549</v>
      </c>
      <c r="Q93" s="48" t="s">
        <v>2049</v>
      </c>
      <c r="R93" s="48" t="s">
        <v>1838</v>
      </c>
      <c r="S93" s="48" t="s">
        <v>2050</v>
      </c>
      <c r="T93" s="48" t="s">
        <v>1845</v>
      </c>
      <c r="U93" s="48" t="s">
        <v>2049</v>
      </c>
      <c r="V93" s="48" t="s">
        <v>1838</v>
      </c>
      <c r="W93" s="48" t="s">
        <v>2051</v>
      </c>
      <c r="X93" s="48" t="s">
        <v>2052</v>
      </c>
      <c r="Y93" s="48" t="s">
        <v>2050</v>
      </c>
      <c r="Z93" s="48" t="s">
        <v>2053</v>
      </c>
      <c r="AA93" s="48" t="s">
        <v>2054</v>
      </c>
      <c r="AB93" s="48" t="s">
        <v>2817</v>
      </c>
      <c r="AC93" s="48" t="s">
        <v>2055</v>
      </c>
      <c r="AD93" s="48" t="s">
        <v>2056</v>
      </c>
      <c r="AE93" s="48" t="s">
        <v>1710</v>
      </c>
      <c r="AF93" s="48" t="s">
        <v>1710</v>
      </c>
      <c r="AG93" s="48" t="s">
        <v>2057</v>
      </c>
      <c r="AH93" s="48" t="s">
        <v>1815</v>
      </c>
      <c r="AI93" s="48" t="s">
        <v>2058</v>
      </c>
      <c r="AJ93" s="48" t="s">
        <v>1710</v>
      </c>
      <c r="AK93" s="48" t="s">
        <v>2568</v>
      </c>
      <c r="AL93" s="48" t="s">
        <v>1880</v>
      </c>
      <c r="AM93" s="48" t="s">
        <v>1816</v>
      </c>
      <c r="AN93" s="48" t="s">
        <v>2054</v>
      </c>
      <c r="AO93" s="48" t="s">
        <v>1710</v>
      </c>
      <c r="AP93" s="48" t="s">
        <v>1843</v>
      </c>
      <c r="AQ93" s="48" t="s">
        <v>2079</v>
      </c>
      <c r="AR93" s="48" t="s">
        <v>1812</v>
      </c>
      <c r="AS93" s="48" t="s">
        <v>1813</v>
      </c>
      <c r="AT93" s="48" t="s">
        <v>1826</v>
      </c>
      <c r="AU93" s="48" t="s">
        <v>2061</v>
      </c>
      <c r="AV93" s="48" t="s">
        <v>2850</v>
      </c>
      <c r="AW93" s="48" t="s">
        <v>2062</v>
      </c>
      <c r="AX93" s="48" t="s">
        <v>2063</v>
      </c>
      <c r="AY93" s="48" t="s">
        <v>1710</v>
      </c>
      <c r="AZ93" s="48" t="s">
        <v>3563</v>
      </c>
      <c r="BA93" s="48" t="s">
        <v>1710</v>
      </c>
      <c r="BB93" s="48" t="s">
        <v>1709</v>
      </c>
      <c r="BC93" s="48" t="s">
        <v>1710</v>
      </c>
      <c r="BD93" s="48" t="s">
        <v>2097</v>
      </c>
      <c r="BE93" s="52" t="s">
        <v>3488</v>
      </c>
      <c r="BF93" s="48" t="s">
        <v>1710</v>
      </c>
      <c r="BG93" s="48" t="s">
        <v>1817</v>
      </c>
      <c r="BH93">
        <v>11</v>
      </c>
      <c r="BI93" s="48" t="s">
        <v>1888</v>
      </c>
      <c r="BJ93">
        <v>1</v>
      </c>
      <c r="BK93">
        <v>1473.06</v>
      </c>
      <c r="BL93">
        <v>44135662</v>
      </c>
      <c r="BM93">
        <v>29962</v>
      </c>
      <c r="BN93" s="48" t="s">
        <v>2064</v>
      </c>
      <c r="BO93" s="48" t="s">
        <v>2065</v>
      </c>
      <c r="BP93">
        <v>1473.06</v>
      </c>
      <c r="BQ93">
        <v>30013.62</v>
      </c>
      <c r="BR93" s="48" t="s">
        <v>1885</v>
      </c>
      <c r="BS93" s="48" t="s">
        <v>2066</v>
      </c>
      <c r="BT93">
        <v>1</v>
      </c>
      <c r="BU93">
        <v>76200</v>
      </c>
      <c r="BV93">
        <v>76200</v>
      </c>
      <c r="BW93" s="48" t="s">
        <v>2065</v>
      </c>
      <c r="BX93">
        <v>1473.06</v>
      </c>
      <c r="BY93">
        <v>0</v>
      </c>
      <c r="BZ93">
        <v>0</v>
      </c>
      <c r="CA93" s="48" t="s">
        <v>2065</v>
      </c>
      <c r="CB93">
        <v>1473.06</v>
      </c>
      <c r="CC93">
        <v>0</v>
      </c>
      <c r="CD93">
        <v>0</v>
      </c>
      <c r="CE93" s="48" t="s">
        <v>1710</v>
      </c>
      <c r="CF93" s="48" t="s">
        <v>1710</v>
      </c>
      <c r="CG93" s="48" t="s">
        <v>1710</v>
      </c>
      <c r="CH93" s="48" t="s">
        <v>1710</v>
      </c>
      <c r="CI93" s="48" t="s">
        <v>2067</v>
      </c>
      <c r="CJ93" s="48" t="s">
        <v>1710</v>
      </c>
      <c r="CL93" s="48" t="s">
        <v>2850</v>
      </c>
      <c r="CM93" s="48" t="s">
        <v>1710</v>
      </c>
      <c r="CN93" s="48" t="s">
        <v>2068</v>
      </c>
      <c r="CO93" s="48" t="s">
        <v>2069</v>
      </c>
      <c r="CP93" s="48" t="s">
        <v>1710</v>
      </c>
      <c r="CQ93" s="48" t="s">
        <v>1710</v>
      </c>
      <c r="CR93" s="48" t="s">
        <v>1710</v>
      </c>
      <c r="CS93" s="48" t="s">
        <v>1710</v>
      </c>
      <c r="CT93" s="48" t="s">
        <v>1710</v>
      </c>
      <c r="CU93" s="48" t="s">
        <v>1712</v>
      </c>
      <c r="CV93" s="48" t="s">
        <v>1710</v>
      </c>
      <c r="CW93" s="48" t="s">
        <v>1710</v>
      </c>
      <c r="CX93" s="48" t="s">
        <v>3014</v>
      </c>
      <c r="CY93" s="48" t="s">
        <v>1710</v>
      </c>
      <c r="CZ93" s="48" t="s">
        <v>1712</v>
      </c>
      <c r="DA93" s="48" t="s">
        <v>1710</v>
      </c>
      <c r="DB93" s="48" t="s">
        <v>1878</v>
      </c>
      <c r="DC93" s="48" t="s">
        <v>2070</v>
      </c>
      <c r="DD93" s="48" t="s">
        <v>1842</v>
      </c>
      <c r="DE93" s="48" t="s">
        <v>1886</v>
      </c>
      <c r="DF93" s="48" t="s">
        <v>3564</v>
      </c>
      <c r="DG93" s="48" t="s">
        <v>2071</v>
      </c>
      <c r="DH93" s="48" t="s">
        <v>1712</v>
      </c>
      <c r="DI93" s="48" t="s">
        <v>1710</v>
      </c>
      <c r="DJ93" s="48" t="s">
        <v>1710</v>
      </c>
      <c r="DK93" s="48" t="s">
        <v>1710</v>
      </c>
      <c r="DL93" s="48" t="s">
        <v>1710</v>
      </c>
      <c r="DM93" s="48" t="s">
        <v>1710</v>
      </c>
      <c r="DN93" s="48" t="s">
        <v>1710</v>
      </c>
      <c r="DO93" s="48" t="s">
        <v>1710</v>
      </c>
      <c r="DP93" s="48" t="s">
        <v>1710</v>
      </c>
      <c r="DQ93" s="48" t="s">
        <v>1710</v>
      </c>
      <c r="DR93" s="48" t="s">
        <v>2072</v>
      </c>
      <c r="DS93" s="48" t="s">
        <v>1710</v>
      </c>
      <c r="DT93" s="48" t="s">
        <v>1710</v>
      </c>
      <c r="DU93" s="48" t="s">
        <v>2547</v>
      </c>
      <c r="DV93" s="48" t="s">
        <v>2816</v>
      </c>
      <c r="DW93" s="48" t="s">
        <v>1710</v>
      </c>
      <c r="DX93" s="48" t="s">
        <v>3565</v>
      </c>
      <c r="DY93" s="48" t="s">
        <v>1709</v>
      </c>
      <c r="DZ93" s="48" t="s">
        <v>2562</v>
      </c>
      <c r="EA93" s="48" t="s">
        <v>2546</v>
      </c>
      <c r="EB93">
        <v>0</v>
      </c>
      <c r="EC93" s="48" t="s">
        <v>2547</v>
      </c>
      <c r="ED93" s="48" t="s">
        <v>3557</v>
      </c>
      <c r="EE93" s="48" t="s">
        <v>1814</v>
      </c>
      <c r="EF93" s="48" t="s">
        <v>1852</v>
      </c>
      <c r="EG93" s="48" t="s">
        <v>3563</v>
      </c>
      <c r="EH93">
        <v>9</v>
      </c>
      <c r="EI93" s="48" t="s">
        <v>1888</v>
      </c>
      <c r="EJ93">
        <v>0</v>
      </c>
      <c r="EK93" s="48" t="s">
        <v>1710</v>
      </c>
      <c r="EL93">
        <v>1</v>
      </c>
      <c r="EM93" s="48" t="s">
        <v>1886</v>
      </c>
      <c r="EN93">
        <v>9</v>
      </c>
      <c r="EO93" s="48" t="s">
        <v>2521</v>
      </c>
      <c r="EP93" s="48" t="s">
        <v>3566</v>
      </c>
      <c r="EQ93">
        <v>29192.52</v>
      </c>
      <c r="ER93">
        <v>29192.52</v>
      </c>
      <c r="ES93">
        <v>42928218</v>
      </c>
      <c r="ET93">
        <v>29142</v>
      </c>
      <c r="EU93" s="48" t="s">
        <v>1710</v>
      </c>
      <c r="EV93" s="48" t="s">
        <v>1710</v>
      </c>
      <c r="EW93" s="48" t="s">
        <v>1712</v>
      </c>
      <c r="EX93" s="48" t="s">
        <v>1710</v>
      </c>
      <c r="EY93" s="48" t="s">
        <v>1848</v>
      </c>
      <c r="EZ93" s="48" t="s">
        <v>1710</v>
      </c>
      <c r="FA93" s="48" t="s">
        <v>1710</v>
      </c>
      <c r="FB93" s="48" t="s">
        <v>1712</v>
      </c>
      <c r="FC93" s="48" t="s">
        <v>1710</v>
      </c>
      <c r="FD93" s="48" t="s">
        <v>1710</v>
      </c>
      <c r="FE93" s="48" t="s">
        <v>1814</v>
      </c>
      <c r="FF93" s="48" t="s">
        <v>1815</v>
      </c>
      <c r="FG93" s="48" t="s">
        <v>1710</v>
      </c>
      <c r="FH93">
        <v>1</v>
      </c>
      <c r="FI93" s="48" t="s">
        <v>1846</v>
      </c>
      <c r="FJ93">
        <v>29192.52</v>
      </c>
      <c r="FK93">
        <v>29192.52</v>
      </c>
      <c r="FL93" s="48" t="s">
        <v>3567</v>
      </c>
      <c r="FM93" s="48" t="s">
        <v>3566</v>
      </c>
      <c r="FN93" s="48" t="s">
        <v>1710</v>
      </c>
      <c r="FO93" s="48" t="s">
        <v>1710</v>
      </c>
      <c r="FP93" s="48" t="s">
        <v>1710</v>
      </c>
      <c r="FQ93" s="48" t="s">
        <v>1710</v>
      </c>
      <c r="FR93" s="48" t="s">
        <v>1710</v>
      </c>
      <c r="FS93" s="48" t="s">
        <v>1710</v>
      </c>
      <c r="FT93" s="48" t="s">
        <v>1710</v>
      </c>
      <c r="FU93" s="48" t="s">
        <v>1710</v>
      </c>
      <c r="FV93" s="48"/>
      <c r="FW93" s="56"/>
      <c r="FX93" s="56"/>
      <c r="FY93" s="56"/>
      <c r="FZ93" s="56"/>
      <c r="GA93" s="55" t="str">
        <f t="shared" si="5"/>
        <v>4388426300389X</v>
      </c>
      <c r="GB93" t="str">
        <f>VLOOKUP(B93,수출코드!$C$2:$D$4,2,FALSE)</f>
        <v>Suwon</v>
      </c>
      <c r="GC93" t="str">
        <f>VLOOKUP(L93,수출코드!$A$2:$B$6,2,FALSE)</f>
        <v/>
      </c>
      <c r="GD93" t="str">
        <f>VLOOKUP(M93,수출코드!$E$2:$F$5,2,FALSE)</f>
        <v>일반</v>
      </c>
      <c r="GE93" s="61">
        <f t="shared" si="3"/>
        <v>45972.613194444442</v>
      </c>
      <c r="GF93" s="62">
        <f t="shared" si="4"/>
        <v>46049.720833333333</v>
      </c>
      <c r="GI93" s="48" t="s">
        <v>2754</v>
      </c>
    </row>
    <row r="94" spans="1:191">
      <c r="A94" s="48" t="s">
        <v>3568</v>
      </c>
      <c r="B94" s="48" t="s">
        <v>1821</v>
      </c>
      <c r="C94" s="48" t="s">
        <v>2048</v>
      </c>
      <c r="D94" s="48" t="s">
        <v>2813</v>
      </c>
      <c r="E94" s="48" t="s">
        <v>3568</v>
      </c>
      <c r="F94" s="48" t="s">
        <v>1710</v>
      </c>
      <c r="G94" s="48" t="s">
        <v>2814</v>
      </c>
      <c r="H94" s="48" t="s">
        <v>3569</v>
      </c>
      <c r="I94" s="48" t="s">
        <v>1884</v>
      </c>
      <c r="J94" s="48" t="s">
        <v>2850</v>
      </c>
      <c r="K94" s="48" t="s">
        <v>1877</v>
      </c>
      <c r="L94" s="48" t="s">
        <v>1842</v>
      </c>
      <c r="M94" s="48" t="s">
        <v>1810</v>
      </c>
      <c r="N94" s="48" t="s">
        <v>1842</v>
      </c>
      <c r="O94" s="48" t="s">
        <v>1811</v>
      </c>
      <c r="P94" s="48" t="s">
        <v>2549</v>
      </c>
      <c r="Q94" s="48" t="s">
        <v>2049</v>
      </c>
      <c r="R94" s="48" t="s">
        <v>1838</v>
      </c>
      <c r="S94" s="48" t="s">
        <v>2050</v>
      </c>
      <c r="T94" s="48" t="s">
        <v>1845</v>
      </c>
      <c r="U94" s="48" t="s">
        <v>2049</v>
      </c>
      <c r="V94" s="48" t="s">
        <v>1838</v>
      </c>
      <c r="W94" s="48" t="s">
        <v>2051</v>
      </c>
      <c r="X94" s="48" t="s">
        <v>2052</v>
      </c>
      <c r="Y94" s="48" t="s">
        <v>2050</v>
      </c>
      <c r="Z94" s="48" t="s">
        <v>2053</v>
      </c>
      <c r="AA94" s="48" t="s">
        <v>2054</v>
      </c>
      <c r="AB94" s="48" t="s">
        <v>2817</v>
      </c>
      <c r="AC94" s="48" t="s">
        <v>2055</v>
      </c>
      <c r="AD94" s="48" t="s">
        <v>2056</v>
      </c>
      <c r="AE94" s="48" t="s">
        <v>1710</v>
      </c>
      <c r="AF94" s="48" t="s">
        <v>1710</v>
      </c>
      <c r="AG94" s="48" t="s">
        <v>2057</v>
      </c>
      <c r="AH94" s="48" t="s">
        <v>1815</v>
      </c>
      <c r="AI94" s="48" t="s">
        <v>2058</v>
      </c>
      <c r="AJ94" s="48" t="s">
        <v>1710</v>
      </c>
      <c r="AK94" s="48" t="s">
        <v>2095</v>
      </c>
      <c r="AL94" s="48" t="s">
        <v>1880</v>
      </c>
      <c r="AM94" s="48" t="s">
        <v>1816</v>
      </c>
      <c r="AN94" s="48" t="s">
        <v>2054</v>
      </c>
      <c r="AO94" s="48" t="s">
        <v>1710</v>
      </c>
      <c r="AP94" s="48" t="s">
        <v>1843</v>
      </c>
      <c r="AQ94" s="48" t="s">
        <v>2079</v>
      </c>
      <c r="AR94" s="48" t="s">
        <v>1812</v>
      </c>
      <c r="AS94" s="48" t="s">
        <v>1813</v>
      </c>
      <c r="AT94" s="48" t="s">
        <v>1826</v>
      </c>
      <c r="AU94" s="48" t="s">
        <v>2061</v>
      </c>
      <c r="AV94" s="48" t="s">
        <v>2850</v>
      </c>
      <c r="AW94" s="48" t="s">
        <v>2062</v>
      </c>
      <c r="AX94" s="48" t="s">
        <v>2063</v>
      </c>
      <c r="AY94" s="48" t="s">
        <v>1710</v>
      </c>
      <c r="AZ94" s="48" t="s">
        <v>3570</v>
      </c>
      <c r="BA94" s="48" t="s">
        <v>1710</v>
      </c>
      <c r="BB94" s="48" t="s">
        <v>1709</v>
      </c>
      <c r="BC94" s="48" t="s">
        <v>1710</v>
      </c>
      <c r="BD94" s="48" t="s">
        <v>2097</v>
      </c>
      <c r="BE94" s="52" t="s">
        <v>3488</v>
      </c>
      <c r="BF94" s="48" t="s">
        <v>1710</v>
      </c>
      <c r="BG94" s="48" t="s">
        <v>1814</v>
      </c>
      <c r="BH94">
        <v>2</v>
      </c>
      <c r="BI94" s="48" t="s">
        <v>1888</v>
      </c>
      <c r="BJ94">
        <v>1</v>
      </c>
      <c r="BK94">
        <v>1473.06</v>
      </c>
      <c r="BL94">
        <v>2049769</v>
      </c>
      <c r="BM94">
        <v>1392</v>
      </c>
      <c r="BN94" s="48" t="s">
        <v>2064</v>
      </c>
      <c r="BO94" s="48" t="s">
        <v>2065</v>
      </c>
      <c r="BP94">
        <v>1473.06</v>
      </c>
      <c r="BQ94">
        <v>1411.87</v>
      </c>
      <c r="BR94" s="48" t="s">
        <v>1885</v>
      </c>
      <c r="BS94" s="48" t="s">
        <v>2066</v>
      </c>
      <c r="BT94">
        <v>1</v>
      </c>
      <c r="BU94">
        <v>30000</v>
      </c>
      <c r="BV94">
        <v>30000</v>
      </c>
      <c r="BW94" s="48" t="s">
        <v>2065</v>
      </c>
      <c r="BX94">
        <v>1473.06</v>
      </c>
      <c r="BY94">
        <v>0</v>
      </c>
      <c r="BZ94">
        <v>0</v>
      </c>
      <c r="CA94" s="48" t="s">
        <v>2065</v>
      </c>
      <c r="CB94">
        <v>1473.06</v>
      </c>
      <c r="CC94">
        <v>0</v>
      </c>
      <c r="CD94">
        <v>0</v>
      </c>
      <c r="CE94" s="48" t="s">
        <v>1710</v>
      </c>
      <c r="CF94" s="48" t="s">
        <v>1710</v>
      </c>
      <c r="CG94" s="48" t="s">
        <v>1710</v>
      </c>
      <c r="CH94" s="48" t="s">
        <v>1710</v>
      </c>
      <c r="CI94" s="48" t="s">
        <v>2067</v>
      </c>
      <c r="CJ94" s="48" t="s">
        <v>1710</v>
      </c>
      <c r="CL94" s="48" t="s">
        <v>2850</v>
      </c>
      <c r="CM94" s="48" t="s">
        <v>1710</v>
      </c>
      <c r="CN94" s="48" t="s">
        <v>2068</v>
      </c>
      <c r="CO94" s="48" t="s">
        <v>2069</v>
      </c>
      <c r="CP94" s="48" t="s">
        <v>1710</v>
      </c>
      <c r="CQ94" s="48" t="s">
        <v>1710</v>
      </c>
      <c r="CR94" s="48" t="s">
        <v>1710</v>
      </c>
      <c r="CS94" s="48" t="s">
        <v>1710</v>
      </c>
      <c r="CT94" s="48" t="s">
        <v>1710</v>
      </c>
      <c r="CU94" s="48" t="s">
        <v>1712</v>
      </c>
      <c r="CV94" s="48" t="s">
        <v>1710</v>
      </c>
      <c r="CW94" s="48" t="s">
        <v>1710</v>
      </c>
      <c r="CX94" s="48" t="s">
        <v>3014</v>
      </c>
      <c r="CY94" s="48" t="s">
        <v>1710</v>
      </c>
      <c r="CZ94" s="48" t="s">
        <v>1712</v>
      </c>
      <c r="DA94" s="48" t="s">
        <v>1710</v>
      </c>
      <c r="DB94" s="48" t="s">
        <v>1878</v>
      </c>
      <c r="DC94" s="48" t="s">
        <v>2070</v>
      </c>
      <c r="DD94" s="48" t="s">
        <v>1842</v>
      </c>
      <c r="DE94" s="48" t="s">
        <v>1886</v>
      </c>
      <c r="DF94" s="48" t="s">
        <v>3571</v>
      </c>
      <c r="DG94" s="48" t="s">
        <v>2071</v>
      </c>
      <c r="DH94" s="48" t="s">
        <v>1712</v>
      </c>
      <c r="DI94" s="48" t="s">
        <v>1710</v>
      </c>
      <c r="DJ94" s="48" t="s">
        <v>1710</v>
      </c>
      <c r="DK94" s="48" t="s">
        <v>1710</v>
      </c>
      <c r="DL94" s="48" t="s">
        <v>1710</v>
      </c>
      <c r="DM94" s="48" t="s">
        <v>1710</v>
      </c>
      <c r="DN94" s="48" t="s">
        <v>1710</v>
      </c>
      <c r="DO94" s="48" t="s">
        <v>1710</v>
      </c>
      <c r="DP94" s="48" t="s">
        <v>1710</v>
      </c>
      <c r="DQ94" s="48" t="s">
        <v>1710</v>
      </c>
      <c r="DR94" s="48" t="s">
        <v>2072</v>
      </c>
      <c r="DS94" s="48" t="s">
        <v>1710</v>
      </c>
      <c r="DT94" s="48" t="s">
        <v>1710</v>
      </c>
      <c r="DU94" s="48" t="s">
        <v>2547</v>
      </c>
      <c r="DV94" s="48" t="s">
        <v>2816</v>
      </c>
      <c r="DW94" s="48" t="s">
        <v>1710</v>
      </c>
      <c r="DX94" s="48" t="s">
        <v>3572</v>
      </c>
      <c r="DY94" s="48" t="s">
        <v>1709</v>
      </c>
      <c r="DZ94" s="48" t="s">
        <v>2562</v>
      </c>
      <c r="EA94" s="48" t="s">
        <v>2546</v>
      </c>
      <c r="EB94">
        <v>0</v>
      </c>
      <c r="EC94" s="48" t="s">
        <v>2547</v>
      </c>
      <c r="ED94" s="48" t="s">
        <v>3557</v>
      </c>
      <c r="EE94" s="48" t="s">
        <v>1814</v>
      </c>
      <c r="EF94" s="48" t="s">
        <v>1861</v>
      </c>
      <c r="EG94" s="48" t="s">
        <v>3570</v>
      </c>
      <c r="EH94">
        <v>1</v>
      </c>
      <c r="EI94" s="48" t="s">
        <v>1888</v>
      </c>
      <c r="EJ94">
        <v>0</v>
      </c>
      <c r="EK94" s="48" t="s">
        <v>1710</v>
      </c>
      <c r="EL94">
        <v>1</v>
      </c>
      <c r="EM94" s="48" t="s">
        <v>1886</v>
      </c>
      <c r="EN94">
        <v>1</v>
      </c>
      <c r="EO94" s="48" t="s">
        <v>2518</v>
      </c>
      <c r="EP94" s="48" t="s">
        <v>2725</v>
      </c>
      <c r="EQ94">
        <v>1411.87</v>
      </c>
      <c r="ER94">
        <v>1411.87</v>
      </c>
      <c r="ES94">
        <v>2049769</v>
      </c>
      <c r="ET94">
        <v>1392</v>
      </c>
      <c r="EU94" s="48" t="s">
        <v>1710</v>
      </c>
      <c r="EV94" s="48" t="s">
        <v>1710</v>
      </c>
      <c r="EW94" s="48" t="s">
        <v>1712</v>
      </c>
      <c r="EX94" s="48" t="s">
        <v>1710</v>
      </c>
      <c r="EY94" s="48" t="s">
        <v>1848</v>
      </c>
      <c r="EZ94" s="48" t="s">
        <v>1710</v>
      </c>
      <c r="FA94" s="48" t="s">
        <v>1710</v>
      </c>
      <c r="FB94" s="48" t="s">
        <v>1712</v>
      </c>
      <c r="FC94" s="48" t="s">
        <v>1710</v>
      </c>
      <c r="FD94" s="48" t="s">
        <v>1710</v>
      </c>
      <c r="FE94" s="48" t="s">
        <v>1814</v>
      </c>
      <c r="FF94" s="48" t="s">
        <v>1815</v>
      </c>
      <c r="FG94" s="48" t="s">
        <v>2726</v>
      </c>
      <c r="FH94">
        <v>1</v>
      </c>
      <c r="FI94" s="48" t="s">
        <v>1846</v>
      </c>
      <c r="FJ94">
        <v>1411.87</v>
      </c>
      <c r="FK94">
        <v>1411.87</v>
      </c>
      <c r="FL94" s="48" t="s">
        <v>2726</v>
      </c>
      <c r="FM94" s="48" t="s">
        <v>2725</v>
      </c>
      <c r="FN94" s="48" t="s">
        <v>1710</v>
      </c>
      <c r="FO94" s="48" t="s">
        <v>1710</v>
      </c>
      <c r="FP94" s="48" t="s">
        <v>1710</v>
      </c>
      <c r="FQ94" s="48" t="s">
        <v>1710</v>
      </c>
      <c r="FR94" s="48" t="s">
        <v>1710</v>
      </c>
      <c r="FS94" s="48" t="s">
        <v>1710</v>
      </c>
      <c r="FT94" s="48" t="s">
        <v>1710</v>
      </c>
      <c r="FU94" s="48" t="s">
        <v>1710</v>
      </c>
      <c r="FV94" s="48"/>
      <c r="FW94" s="56"/>
      <c r="FX94" s="56"/>
      <c r="FY94" s="56"/>
      <c r="FZ94" s="56"/>
      <c r="GA94" s="55" t="str">
        <f t="shared" si="5"/>
        <v>4388426300390X</v>
      </c>
      <c r="GB94" t="str">
        <f>VLOOKUP(B94,수출코드!$C$2:$D$4,2,FALSE)</f>
        <v>Suwon</v>
      </c>
      <c r="GC94" t="str">
        <f>VLOOKUP(L94,수출코드!$A$2:$B$6,2,FALSE)</f>
        <v/>
      </c>
      <c r="GD94" t="str">
        <f>VLOOKUP(M94,수출코드!$E$2:$F$5,2,FALSE)</f>
        <v>일반</v>
      </c>
      <c r="GE94" s="61">
        <f t="shared" si="3"/>
        <v>45972.613194444442</v>
      </c>
      <c r="GF94" s="62">
        <f t="shared" si="4"/>
        <v>46049.720833333333</v>
      </c>
      <c r="GI94" s="48" t="s">
        <v>2754</v>
      </c>
    </row>
    <row r="95" spans="1:191">
      <c r="A95" s="48" t="s">
        <v>3573</v>
      </c>
      <c r="B95" s="48" t="s">
        <v>1821</v>
      </c>
      <c r="C95" s="48" t="s">
        <v>2048</v>
      </c>
      <c r="D95" s="48" t="s">
        <v>2813</v>
      </c>
      <c r="E95" s="48" t="s">
        <v>3573</v>
      </c>
      <c r="F95" s="48" t="s">
        <v>1710</v>
      </c>
      <c r="G95" s="48" t="s">
        <v>2814</v>
      </c>
      <c r="H95" s="48" t="s">
        <v>3574</v>
      </c>
      <c r="I95" s="48" t="s">
        <v>1884</v>
      </c>
      <c r="J95" s="48" t="s">
        <v>2850</v>
      </c>
      <c r="K95" s="48" t="s">
        <v>1877</v>
      </c>
      <c r="L95" s="48" t="s">
        <v>1883</v>
      </c>
      <c r="M95" s="48" t="s">
        <v>1810</v>
      </c>
      <c r="N95" s="48" t="s">
        <v>1842</v>
      </c>
      <c r="O95" s="48" t="s">
        <v>1811</v>
      </c>
      <c r="P95" s="48" t="s">
        <v>2549</v>
      </c>
      <c r="Q95" s="48" t="s">
        <v>2049</v>
      </c>
      <c r="R95" s="48" t="s">
        <v>1838</v>
      </c>
      <c r="S95" s="48" t="s">
        <v>2050</v>
      </c>
      <c r="T95" s="48" t="s">
        <v>1845</v>
      </c>
      <c r="U95" s="48" t="s">
        <v>2049</v>
      </c>
      <c r="V95" s="48" t="s">
        <v>1838</v>
      </c>
      <c r="W95" s="48" t="s">
        <v>2051</v>
      </c>
      <c r="X95" s="48" t="s">
        <v>2052</v>
      </c>
      <c r="Y95" s="48" t="s">
        <v>2050</v>
      </c>
      <c r="Z95" s="48" t="s">
        <v>2053</v>
      </c>
      <c r="AA95" s="48" t="s">
        <v>2054</v>
      </c>
      <c r="AB95" s="48" t="s">
        <v>2817</v>
      </c>
      <c r="AC95" s="48" t="s">
        <v>2055</v>
      </c>
      <c r="AD95" s="48" t="s">
        <v>2056</v>
      </c>
      <c r="AE95" s="48" t="s">
        <v>1710</v>
      </c>
      <c r="AF95" s="48" t="s">
        <v>1710</v>
      </c>
      <c r="AG95" s="48" t="s">
        <v>2057</v>
      </c>
      <c r="AH95" s="48" t="s">
        <v>1815</v>
      </c>
      <c r="AI95" s="48" t="s">
        <v>2058</v>
      </c>
      <c r="AJ95" s="48" t="s">
        <v>1710</v>
      </c>
      <c r="AK95" s="48" t="s">
        <v>2535</v>
      </c>
      <c r="AL95" s="48" t="s">
        <v>2536</v>
      </c>
      <c r="AM95" s="48" t="s">
        <v>1816</v>
      </c>
      <c r="AN95" s="48" t="s">
        <v>2054</v>
      </c>
      <c r="AO95" s="48" t="s">
        <v>1710</v>
      </c>
      <c r="AP95" s="48" t="s">
        <v>1853</v>
      </c>
      <c r="AQ95" s="48" t="s">
        <v>2086</v>
      </c>
      <c r="AR95" s="48" t="s">
        <v>1812</v>
      </c>
      <c r="AS95" s="48" t="s">
        <v>1813</v>
      </c>
      <c r="AT95" s="48" t="s">
        <v>1826</v>
      </c>
      <c r="AU95" s="48" t="s">
        <v>2061</v>
      </c>
      <c r="AV95" s="48" t="s">
        <v>2850</v>
      </c>
      <c r="AW95" s="48" t="s">
        <v>2062</v>
      </c>
      <c r="AX95" s="48" t="s">
        <v>2063</v>
      </c>
      <c r="AY95" s="48" t="s">
        <v>1710</v>
      </c>
      <c r="AZ95" s="48" t="s">
        <v>3575</v>
      </c>
      <c r="BA95" s="48" t="s">
        <v>1710</v>
      </c>
      <c r="BB95" s="48" t="s">
        <v>1709</v>
      </c>
      <c r="BC95" s="48" t="s">
        <v>1710</v>
      </c>
      <c r="BD95" s="48" t="s">
        <v>2097</v>
      </c>
      <c r="BE95" s="52" t="s">
        <v>3488</v>
      </c>
      <c r="BF95" s="48" t="s">
        <v>1710</v>
      </c>
      <c r="BG95" s="48" t="s">
        <v>1818</v>
      </c>
      <c r="BH95">
        <v>30</v>
      </c>
      <c r="BI95" s="48" t="s">
        <v>1888</v>
      </c>
      <c r="BJ95">
        <v>2</v>
      </c>
      <c r="BK95">
        <v>1473.06</v>
      </c>
      <c r="BL95">
        <v>51786529</v>
      </c>
      <c r="BM95">
        <v>35156</v>
      </c>
      <c r="BN95" s="48" t="s">
        <v>2064</v>
      </c>
      <c r="BO95" s="48" t="s">
        <v>2065</v>
      </c>
      <c r="BP95">
        <v>1473.06</v>
      </c>
      <c r="BQ95">
        <v>35263.69</v>
      </c>
      <c r="BR95" s="48" t="s">
        <v>1885</v>
      </c>
      <c r="BS95" s="48" t="s">
        <v>2066</v>
      </c>
      <c r="BT95">
        <v>1</v>
      </c>
      <c r="BU95">
        <v>159000</v>
      </c>
      <c r="BV95">
        <v>159000</v>
      </c>
      <c r="BW95" s="48" t="s">
        <v>2065</v>
      </c>
      <c r="BX95">
        <v>1473.06</v>
      </c>
      <c r="BY95">
        <v>0</v>
      </c>
      <c r="BZ95">
        <v>0</v>
      </c>
      <c r="CA95" s="48" t="s">
        <v>2065</v>
      </c>
      <c r="CB95">
        <v>1473.06</v>
      </c>
      <c r="CC95">
        <v>0</v>
      </c>
      <c r="CD95">
        <v>0</v>
      </c>
      <c r="CE95" s="48" t="s">
        <v>1710</v>
      </c>
      <c r="CF95" s="48" t="s">
        <v>1710</v>
      </c>
      <c r="CG95" s="48" t="s">
        <v>1710</v>
      </c>
      <c r="CH95" s="48" t="s">
        <v>1710</v>
      </c>
      <c r="CI95" s="48" t="s">
        <v>2067</v>
      </c>
      <c r="CJ95" s="48" t="s">
        <v>1710</v>
      </c>
      <c r="CL95" s="48" t="s">
        <v>2850</v>
      </c>
      <c r="CM95" s="48" t="s">
        <v>1710</v>
      </c>
      <c r="CN95" s="48" t="s">
        <v>2068</v>
      </c>
      <c r="CO95" s="48" t="s">
        <v>2069</v>
      </c>
      <c r="CP95" s="48" t="s">
        <v>1710</v>
      </c>
      <c r="CQ95" s="48" t="s">
        <v>1710</v>
      </c>
      <c r="CR95" s="48" t="s">
        <v>1710</v>
      </c>
      <c r="CS95" s="48" t="s">
        <v>1710</v>
      </c>
      <c r="CT95" s="48" t="s">
        <v>1710</v>
      </c>
      <c r="CU95" s="48" t="s">
        <v>1712</v>
      </c>
      <c r="CV95" s="48" t="s">
        <v>1710</v>
      </c>
      <c r="CW95" s="48" t="s">
        <v>1710</v>
      </c>
      <c r="CX95" s="48" t="s">
        <v>3014</v>
      </c>
      <c r="CY95" s="48" t="s">
        <v>1710</v>
      </c>
      <c r="CZ95" s="48" t="s">
        <v>1712</v>
      </c>
      <c r="DA95" s="48" t="s">
        <v>1710</v>
      </c>
      <c r="DB95" s="48" t="s">
        <v>1878</v>
      </c>
      <c r="DC95" s="48" t="s">
        <v>2070</v>
      </c>
      <c r="DD95" s="48" t="s">
        <v>1842</v>
      </c>
      <c r="DE95" s="48" t="s">
        <v>1886</v>
      </c>
      <c r="DF95" s="48" t="s">
        <v>3576</v>
      </c>
      <c r="DG95" s="48" t="s">
        <v>2071</v>
      </c>
      <c r="DH95" s="48" t="s">
        <v>1712</v>
      </c>
      <c r="DI95" s="48" t="s">
        <v>1710</v>
      </c>
      <c r="DJ95" s="48" t="s">
        <v>1710</v>
      </c>
      <c r="DK95" s="48" t="s">
        <v>1710</v>
      </c>
      <c r="DL95" s="48" t="s">
        <v>1710</v>
      </c>
      <c r="DM95" s="48" t="s">
        <v>1710</v>
      </c>
      <c r="DN95" s="48" t="s">
        <v>1710</v>
      </c>
      <c r="DO95" s="48" t="s">
        <v>1710</v>
      </c>
      <c r="DP95" s="48" t="s">
        <v>1710</v>
      </c>
      <c r="DQ95" s="48" t="s">
        <v>1710</v>
      </c>
      <c r="DR95" s="48" t="s">
        <v>2072</v>
      </c>
      <c r="DS95" s="48" t="s">
        <v>1710</v>
      </c>
      <c r="DT95" s="48" t="s">
        <v>1710</v>
      </c>
      <c r="DU95" s="48" t="s">
        <v>2547</v>
      </c>
      <c r="DV95" s="48" t="s">
        <v>2816</v>
      </c>
      <c r="DW95" s="48" t="s">
        <v>1710</v>
      </c>
      <c r="DX95" s="48" t="s">
        <v>3577</v>
      </c>
      <c r="DY95" s="48" t="s">
        <v>1709</v>
      </c>
      <c r="DZ95" s="48" t="s">
        <v>2073</v>
      </c>
      <c r="EA95" s="48" t="s">
        <v>2546</v>
      </c>
      <c r="EB95">
        <v>0</v>
      </c>
      <c r="EC95" s="48" t="s">
        <v>2547</v>
      </c>
      <c r="ED95" s="48" t="s">
        <v>3578</v>
      </c>
      <c r="EE95" s="48" t="s">
        <v>1814</v>
      </c>
      <c r="EF95" s="48" t="s">
        <v>1870</v>
      </c>
      <c r="EG95" s="48" t="s">
        <v>3575</v>
      </c>
      <c r="EH95">
        <v>23</v>
      </c>
      <c r="EI95" s="48" t="s">
        <v>1888</v>
      </c>
      <c r="EJ95">
        <v>0</v>
      </c>
      <c r="EK95" s="48" t="s">
        <v>1710</v>
      </c>
      <c r="EL95">
        <v>2</v>
      </c>
      <c r="EM95" s="48" t="s">
        <v>1886</v>
      </c>
      <c r="EN95">
        <v>23</v>
      </c>
      <c r="EO95" s="48" t="s">
        <v>1871</v>
      </c>
      <c r="EP95" s="48" t="s">
        <v>3579</v>
      </c>
      <c r="EQ95">
        <v>33815.64</v>
      </c>
      <c r="ER95">
        <v>33815.64</v>
      </c>
      <c r="ES95">
        <v>49659995</v>
      </c>
      <c r="ET95">
        <v>33712</v>
      </c>
      <c r="EU95" s="48" t="s">
        <v>1710</v>
      </c>
      <c r="EV95" s="48" t="s">
        <v>1710</v>
      </c>
      <c r="EW95" s="48" t="s">
        <v>1712</v>
      </c>
      <c r="EX95" s="48" t="s">
        <v>1710</v>
      </c>
      <c r="EY95" s="48" t="s">
        <v>1854</v>
      </c>
      <c r="EZ95" s="48" t="s">
        <v>1710</v>
      </c>
      <c r="FA95" s="48" t="s">
        <v>1710</v>
      </c>
      <c r="FB95" s="48" t="s">
        <v>1712</v>
      </c>
      <c r="FC95" s="48" t="s">
        <v>1710</v>
      </c>
      <c r="FD95" s="48" t="s">
        <v>1710</v>
      </c>
      <c r="FE95" s="48" t="s">
        <v>1814</v>
      </c>
      <c r="FF95" s="48" t="s">
        <v>1815</v>
      </c>
      <c r="FG95" s="48" t="s">
        <v>1710</v>
      </c>
      <c r="FH95">
        <v>1</v>
      </c>
      <c r="FI95" s="48" t="s">
        <v>1846</v>
      </c>
      <c r="FJ95">
        <v>33815.64</v>
      </c>
      <c r="FK95">
        <v>33815.64</v>
      </c>
      <c r="FL95" s="48" t="s">
        <v>3580</v>
      </c>
      <c r="FM95" s="48" t="s">
        <v>3581</v>
      </c>
      <c r="FN95" s="48" t="s">
        <v>1710</v>
      </c>
      <c r="FO95" s="48" t="s">
        <v>1710</v>
      </c>
      <c r="FP95" s="48" t="s">
        <v>1710</v>
      </c>
      <c r="FQ95" s="48" t="s">
        <v>1710</v>
      </c>
      <c r="FR95" s="48" t="s">
        <v>1710</v>
      </c>
      <c r="FS95" s="48" t="s">
        <v>1710</v>
      </c>
      <c r="FT95" s="48" t="s">
        <v>1710</v>
      </c>
      <c r="FU95" s="48" t="s">
        <v>1710</v>
      </c>
      <c r="FV95" s="48"/>
      <c r="FW95" s="56"/>
      <c r="FX95" s="56"/>
      <c r="FY95" s="56"/>
      <c r="FZ95" s="56"/>
      <c r="GA95" s="55" t="str">
        <f t="shared" si="5"/>
        <v>4388426300391X</v>
      </c>
      <c r="GB95" t="str">
        <f>VLOOKUP(B95,수출코드!$C$2:$D$4,2,FALSE)</f>
        <v>Suwon</v>
      </c>
      <c r="GC95" t="str">
        <f>VLOOKUP(L95,수출코드!$A$2:$B$6,2,FALSE)</f>
        <v>서류제출</v>
      </c>
      <c r="GD95" t="str">
        <f>VLOOKUP(M95,수출코드!$E$2:$F$5,2,FALSE)</f>
        <v>일반</v>
      </c>
      <c r="GE95" s="61">
        <f t="shared" si="3"/>
        <v>45972.613194444442</v>
      </c>
      <c r="GF95" s="62">
        <f t="shared" si="4"/>
        <v>46049.736111111109</v>
      </c>
      <c r="GI95" s="48" t="s">
        <v>2754</v>
      </c>
    </row>
    <row r="96" spans="1:191">
      <c r="A96" s="48" t="s">
        <v>3582</v>
      </c>
      <c r="B96" s="48" t="s">
        <v>1821</v>
      </c>
      <c r="C96" s="48" t="s">
        <v>2048</v>
      </c>
      <c r="D96" s="48" t="s">
        <v>2813</v>
      </c>
      <c r="E96" s="48" t="s">
        <v>3582</v>
      </c>
      <c r="F96" s="48" t="s">
        <v>1710</v>
      </c>
      <c r="G96" s="48" t="s">
        <v>2814</v>
      </c>
      <c r="H96" s="48" t="s">
        <v>3583</v>
      </c>
      <c r="I96" s="48" t="s">
        <v>1884</v>
      </c>
      <c r="J96" s="48" t="s">
        <v>2850</v>
      </c>
      <c r="K96" s="48" t="s">
        <v>1877</v>
      </c>
      <c r="L96" s="48" t="s">
        <v>1842</v>
      </c>
      <c r="M96" s="48" t="s">
        <v>1810</v>
      </c>
      <c r="N96" s="48" t="s">
        <v>1842</v>
      </c>
      <c r="O96" s="48" t="s">
        <v>1811</v>
      </c>
      <c r="P96" s="48" t="s">
        <v>2549</v>
      </c>
      <c r="Q96" s="48" t="s">
        <v>2049</v>
      </c>
      <c r="R96" s="48" t="s">
        <v>1838</v>
      </c>
      <c r="S96" s="48" t="s">
        <v>2050</v>
      </c>
      <c r="T96" s="48" t="s">
        <v>1845</v>
      </c>
      <c r="U96" s="48" t="s">
        <v>2049</v>
      </c>
      <c r="V96" s="48" t="s">
        <v>1838</v>
      </c>
      <c r="W96" s="48" t="s">
        <v>2051</v>
      </c>
      <c r="X96" s="48" t="s">
        <v>2052</v>
      </c>
      <c r="Y96" s="48" t="s">
        <v>2050</v>
      </c>
      <c r="Z96" s="48" t="s">
        <v>2053</v>
      </c>
      <c r="AA96" s="48" t="s">
        <v>2054</v>
      </c>
      <c r="AB96" s="48" t="s">
        <v>2817</v>
      </c>
      <c r="AC96" s="48" t="s">
        <v>2055</v>
      </c>
      <c r="AD96" s="48" t="s">
        <v>2056</v>
      </c>
      <c r="AE96" s="48" t="s">
        <v>1710</v>
      </c>
      <c r="AF96" s="48" t="s">
        <v>1710</v>
      </c>
      <c r="AG96" s="48" t="s">
        <v>2057</v>
      </c>
      <c r="AH96" s="48" t="s">
        <v>1815</v>
      </c>
      <c r="AI96" s="48" t="s">
        <v>2058</v>
      </c>
      <c r="AJ96" s="48" t="s">
        <v>1710</v>
      </c>
      <c r="AK96" s="48" t="s">
        <v>2087</v>
      </c>
      <c r="AL96" s="48" t="s">
        <v>2088</v>
      </c>
      <c r="AM96" s="48" t="s">
        <v>1816</v>
      </c>
      <c r="AN96" s="48" t="s">
        <v>2054</v>
      </c>
      <c r="AO96" s="48" t="s">
        <v>1710</v>
      </c>
      <c r="AP96" s="48" t="s">
        <v>1853</v>
      </c>
      <c r="AQ96" s="48" t="s">
        <v>2086</v>
      </c>
      <c r="AR96" s="48" t="s">
        <v>1812</v>
      </c>
      <c r="AS96" s="48" t="s">
        <v>1813</v>
      </c>
      <c r="AT96" s="48" t="s">
        <v>1826</v>
      </c>
      <c r="AU96" s="48" t="s">
        <v>2061</v>
      </c>
      <c r="AV96" s="48" t="s">
        <v>2850</v>
      </c>
      <c r="AW96" s="48" t="s">
        <v>2062</v>
      </c>
      <c r="AX96" s="48" t="s">
        <v>2063</v>
      </c>
      <c r="AY96" s="48" t="s">
        <v>1710</v>
      </c>
      <c r="AZ96" s="48" t="s">
        <v>3584</v>
      </c>
      <c r="BA96" s="48" t="s">
        <v>1710</v>
      </c>
      <c r="BB96" s="48" t="s">
        <v>1709</v>
      </c>
      <c r="BC96" s="48" t="s">
        <v>1710</v>
      </c>
      <c r="BD96" s="48" t="s">
        <v>2097</v>
      </c>
      <c r="BE96" s="52" t="s">
        <v>3488</v>
      </c>
      <c r="BF96" s="48" t="s">
        <v>1710</v>
      </c>
      <c r="BG96" s="48" t="s">
        <v>1814</v>
      </c>
      <c r="BH96">
        <v>1</v>
      </c>
      <c r="BI96" s="48" t="s">
        <v>1888</v>
      </c>
      <c r="BJ96">
        <v>1</v>
      </c>
      <c r="BK96">
        <v>1473.06</v>
      </c>
      <c r="BL96">
        <v>1058090</v>
      </c>
      <c r="BM96">
        <v>718</v>
      </c>
      <c r="BN96" s="48" t="s">
        <v>2064</v>
      </c>
      <c r="BO96" s="48" t="s">
        <v>2065</v>
      </c>
      <c r="BP96">
        <v>1473.06</v>
      </c>
      <c r="BQ96">
        <v>732.55</v>
      </c>
      <c r="BR96" s="48" t="s">
        <v>1885</v>
      </c>
      <c r="BS96" s="48" t="s">
        <v>2066</v>
      </c>
      <c r="BT96">
        <v>1</v>
      </c>
      <c r="BU96">
        <v>21000</v>
      </c>
      <c r="BV96">
        <v>21000</v>
      </c>
      <c r="BW96" s="48" t="s">
        <v>2065</v>
      </c>
      <c r="BX96">
        <v>1473.06</v>
      </c>
      <c r="BY96">
        <v>0</v>
      </c>
      <c r="BZ96">
        <v>0</v>
      </c>
      <c r="CA96" s="48" t="s">
        <v>2065</v>
      </c>
      <c r="CB96">
        <v>1473.06</v>
      </c>
      <c r="CC96">
        <v>0</v>
      </c>
      <c r="CD96">
        <v>0</v>
      </c>
      <c r="CE96" s="48" t="s">
        <v>1710</v>
      </c>
      <c r="CF96" s="48" t="s">
        <v>1710</v>
      </c>
      <c r="CG96" s="48" t="s">
        <v>1710</v>
      </c>
      <c r="CH96" s="48" t="s">
        <v>1710</v>
      </c>
      <c r="CI96" s="48" t="s">
        <v>2067</v>
      </c>
      <c r="CJ96" s="48" t="s">
        <v>1710</v>
      </c>
      <c r="CL96" s="48" t="s">
        <v>2850</v>
      </c>
      <c r="CM96" s="48" t="s">
        <v>1710</v>
      </c>
      <c r="CN96" s="48" t="s">
        <v>2068</v>
      </c>
      <c r="CO96" s="48" t="s">
        <v>2069</v>
      </c>
      <c r="CP96" s="48" t="s">
        <v>1710</v>
      </c>
      <c r="CQ96" s="48" t="s">
        <v>1710</v>
      </c>
      <c r="CR96" s="48" t="s">
        <v>1710</v>
      </c>
      <c r="CS96" s="48" t="s">
        <v>1710</v>
      </c>
      <c r="CT96" s="48" t="s">
        <v>1710</v>
      </c>
      <c r="CU96" s="48" t="s">
        <v>1712</v>
      </c>
      <c r="CV96" s="48" t="s">
        <v>1710</v>
      </c>
      <c r="CW96" s="48" t="s">
        <v>1710</v>
      </c>
      <c r="CX96" s="48" t="s">
        <v>3014</v>
      </c>
      <c r="CY96" s="48" t="s">
        <v>1710</v>
      </c>
      <c r="CZ96" s="48" t="s">
        <v>1712</v>
      </c>
      <c r="DA96" s="48" t="s">
        <v>1710</v>
      </c>
      <c r="DB96" s="48" t="s">
        <v>1878</v>
      </c>
      <c r="DC96" s="48" t="s">
        <v>2070</v>
      </c>
      <c r="DD96" s="48" t="s">
        <v>1842</v>
      </c>
      <c r="DE96" s="48" t="s">
        <v>1886</v>
      </c>
      <c r="DF96" s="48" t="s">
        <v>3585</v>
      </c>
      <c r="DG96" s="48" t="s">
        <v>2071</v>
      </c>
      <c r="DH96" s="48" t="s">
        <v>1712</v>
      </c>
      <c r="DI96" s="48" t="s">
        <v>1710</v>
      </c>
      <c r="DJ96" s="48" t="s">
        <v>1710</v>
      </c>
      <c r="DK96" s="48" t="s">
        <v>1710</v>
      </c>
      <c r="DL96" s="48" t="s">
        <v>1710</v>
      </c>
      <c r="DM96" s="48" t="s">
        <v>1710</v>
      </c>
      <c r="DN96" s="48" t="s">
        <v>1710</v>
      </c>
      <c r="DO96" s="48" t="s">
        <v>1710</v>
      </c>
      <c r="DP96" s="48" t="s">
        <v>1710</v>
      </c>
      <c r="DQ96" s="48" t="s">
        <v>1710</v>
      </c>
      <c r="DR96" s="48" t="s">
        <v>2072</v>
      </c>
      <c r="DS96" s="48" t="s">
        <v>1710</v>
      </c>
      <c r="DT96" s="48" t="s">
        <v>1710</v>
      </c>
      <c r="DU96" s="48" t="s">
        <v>2547</v>
      </c>
      <c r="DV96" s="48" t="s">
        <v>2816</v>
      </c>
      <c r="DW96" s="48" t="s">
        <v>1710</v>
      </c>
      <c r="DX96" s="48" t="s">
        <v>3586</v>
      </c>
      <c r="DY96" s="48" t="s">
        <v>1709</v>
      </c>
      <c r="DZ96" s="48" t="s">
        <v>2562</v>
      </c>
      <c r="EA96" s="48" t="s">
        <v>2546</v>
      </c>
      <c r="EB96">
        <v>0</v>
      </c>
      <c r="EC96" s="48" t="s">
        <v>2547</v>
      </c>
      <c r="ED96" s="48" t="s">
        <v>3587</v>
      </c>
      <c r="EE96" s="48" t="s">
        <v>1814</v>
      </c>
      <c r="EF96" s="48" t="s">
        <v>2611</v>
      </c>
      <c r="EG96" s="48" t="s">
        <v>3584</v>
      </c>
      <c r="EH96">
        <v>0.05</v>
      </c>
      <c r="EI96" s="48" t="s">
        <v>1888</v>
      </c>
      <c r="EJ96">
        <v>0</v>
      </c>
      <c r="EK96" s="48" t="s">
        <v>1710</v>
      </c>
      <c r="EL96">
        <v>1</v>
      </c>
      <c r="EM96" s="48" t="s">
        <v>1886</v>
      </c>
      <c r="EN96">
        <v>0.05</v>
      </c>
      <c r="EO96" s="48" t="s">
        <v>2612</v>
      </c>
      <c r="EP96" s="48" t="s">
        <v>3588</v>
      </c>
      <c r="EQ96">
        <v>732.55</v>
      </c>
      <c r="ER96">
        <v>732.55</v>
      </c>
      <c r="ES96">
        <v>1058090</v>
      </c>
      <c r="ET96">
        <v>718</v>
      </c>
      <c r="EU96" s="48" t="s">
        <v>1710</v>
      </c>
      <c r="EV96" s="48" t="s">
        <v>1710</v>
      </c>
      <c r="EW96" s="48" t="s">
        <v>1712</v>
      </c>
      <c r="EX96" s="48" t="s">
        <v>1710</v>
      </c>
      <c r="EY96" s="48" t="s">
        <v>1843</v>
      </c>
      <c r="EZ96" s="48" t="s">
        <v>1710</v>
      </c>
      <c r="FA96" s="48" t="s">
        <v>1710</v>
      </c>
      <c r="FB96" s="48" t="s">
        <v>1712</v>
      </c>
      <c r="FC96" s="48" t="s">
        <v>1710</v>
      </c>
      <c r="FD96" s="48" t="s">
        <v>1710</v>
      </c>
      <c r="FE96" s="48" t="s">
        <v>1814</v>
      </c>
      <c r="FF96" s="48" t="s">
        <v>1815</v>
      </c>
      <c r="FG96" s="48" t="s">
        <v>1710</v>
      </c>
      <c r="FH96">
        <v>5</v>
      </c>
      <c r="FI96" s="48" t="s">
        <v>1846</v>
      </c>
      <c r="FJ96">
        <v>732.55</v>
      </c>
      <c r="FK96">
        <v>146.51</v>
      </c>
      <c r="FL96" s="48" t="s">
        <v>3589</v>
      </c>
      <c r="FM96" s="48" t="s">
        <v>3588</v>
      </c>
      <c r="FN96" s="48" t="s">
        <v>1710</v>
      </c>
      <c r="FO96" s="48" t="s">
        <v>1710</v>
      </c>
      <c r="FP96" s="48" t="s">
        <v>1710</v>
      </c>
      <c r="FQ96" s="48" t="s">
        <v>1710</v>
      </c>
      <c r="FR96" s="48" t="s">
        <v>1710</v>
      </c>
      <c r="FS96" s="48" t="s">
        <v>1710</v>
      </c>
      <c r="FT96" s="48" t="s">
        <v>1710</v>
      </c>
      <c r="FU96" s="48" t="s">
        <v>1710</v>
      </c>
      <c r="FV96" s="48"/>
      <c r="FW96" s="56"/>
      <c r="FX96" s="56"/>
      <c r="FY96" s="56"/>
      <c r="FZ96" s="56"/>
      <c r="GA96" s="55" t="str">
        <f t="shared" si="5"/>
        <v>4388426300392X</v>
      </c>
      <c r="GB96" t="str">
        <f>VLOOKUP(B96,수출코드!$C$2:$D$4,2,FALSE)</f>
        <v>Suwon</v>
      </c>
      <c r="GC96" t="str">
        <f>VLOOKUP(L96,수출코드!$A$2:$B$6,2,FALSE)</f>
        <v/>
      </c>
      <c r="GD96" t="str">
        <f>VLOOKUP(M96,수출코드!$E$2:$F$5,2,FALSE)</f>
        <v>일반</v>
      </c>
      <c r="GE96" s="61">
        <f t="shared" si="3"/>
        <v>45972.613194444442</v>
      </c>
      <c r="GF96" s="62">
        <f t="shared" si="4"/>
        <v>46049.722222222219</v>
      </c>
      <c r="GI96" s="48" t="s">
        <v>2754</v>
      </c>
    </row>
    <row r="97" spans="1:191">
      <c r="A97" s="48" t="s">
        <v>3590</v>
      </c>
      <c r="B97" s="48" t="s">
        <v>1821</v>
      </c>
      <c r="C97" s="48" t="s">
        <v>2048</v>
      </c>
      <c r="D97" s="48" t="s">
        <v>2813</v>
      </c>
      <c r="E97" s="48" t="s">
        <v>3590</v>
      </c>
      <c r="F97" s="48" t="s">
        <v>1710</v>
      </c>
      <c r="G97" s="48" t="s">
        <v>2814</v>
      </c>
      <c r="H97" s="48" t="s">
        <v>3591</v>
      </c>
      <c r="I97" s="48" t="s">
        <v>1884</v>
      </c>
      <c r="J97" s="48" t="s">
        <v>2850</v>
      </c>
      <c r="K97" s="48" t="s">
        <v>1877</v>
      </c>
      <c r="L97" s="48" t="s">
        <v>1842</v>
      </c>
      <c r="M97" s="48" t="s">
        <v>1810</v>
      </c>
      <c r="N97" s="48" t="s">
        <v>1842</v>
      </c>
      <c r="O97" s="48" t="s">
        <v>1811</v>
      </c>
      <c r="P97" s="48" t="s">
        <v>2549</v>
      </c>
      <c r="Q97" s="48" t="s">
        <v>2049</v>
      </c>
      <c r="R97" s="48" t="s">
        <v>1838</v>
      </c>
      <c r="S97" s="48" t="s">
        <v>2050</v>
      </c>
      <c r="T97" s="48" t="s">
        <v>1845</v>
      </c>
      <c r="U97" s="48" t="s">
        <v>2049</v>
      </c>
      <c r="V97" s="48" t="s">
        <v>1838</v>
      </c>
      <c r="W97" s="48" t="s">
        <v>2051</v>
      </c>
      <c r="X97" s="48" t="s">
        <v>2052</v>
      </c>
      <c r="Y97" s="48" t="s">
        <v>2050</v>
      </c>
      <c r="Z97" s="48" t="s">
        <v>2053</v>
      </c>
      <c r="AA97" s="48" t="s">
        <v>2054</v>
      </c>
      <c r="AB97" s="48" t="s">
        <v>2817</v>
      </c>
      <c r="AC97" s="48" t="s">
        <v>2055</v>
      </c>
      <c r="AD97" s="48" t="s">
        <v>2056</v>
      </c>
      <c r="AE97" s="48" t="s">
        <v>1710</v>
      </c>
      <c r="AF97" s="48" t="s">
        <v>1710</v>
      </c>
      <c r="AG97" s="48" t="s">
        <v>2057</v>
      </c>
      <c r="AH97" s="48" t="s">
        <v>1815</v>
      </c>
      <c r="AI97" s="48" t="s">
        <v>2058</v>
      </c>
      <c r="AJ97" s="48" t="s">
        <v>1710</v>
      </c>
      <c r="AK97" s="48" t="s">
        <v>2090</v>
      </c>
      <c r="AL97" s="48" t="s">
        <v>2091</v>
      </c>
      <c r="AM97" s="48" t="s">
        <v>1816</v>
      </c>
      <c r="AN97" s="48" t="s">
        <v>2054</v>
      </c>
      <c r="AO97" s="48" t="s">
        <v>1710</v>
      </c>
      <c r="AP97" s="48" t="s">
        <v>1853</v>
      </c>
      <c r="AQ97" s="48" t="s">
        <v>2086</v>
      </c>
      <c r="AR97" s="48" t="s">
        <v>1812</v>
      </c>
      <c r="AS97" s="48" t="s">
        <v>1813</v>
      </c>
      <c r="AT97" s="48" t="s">
        <v>1826</v>
      </c>
      <c r="AU97" s="48" t="s">
        <v>2061</v>
      </c>
      <c r="AV97" s="48" t="s">
        <v>2850</v>
      </c>
      <c r="AW97" s="48" t="s">
        <v>2062</v>
      </c>
      <c r="AX97" s="48" t="s">
        <v>2063</v>
      </c>
      <c r="AY97" s="48" t="s">
        <v>1710</v>
      </c>
      <c r="AZ97" s="48" t="s">
        <v>3592</v>
      </c>
      <c r="BA97" s="48" t="s">
        <v>1710</v>
      </c>
      <c r="BB97" s="48" t="s">
        <v>1709</v>
      </c>
      <c r="BC97" s="48" t="s">
        <v>1710</v>
      </c>
      <c r="BD97" s="48" t="s">
        <v>2097</v>
      </c>
      <c r="BE97" s="52" t="s">
        <v>3488</v>
      </c>
      <c r="BF97" s="48" t="s">
        <v>1710</v>
      </c>
      <c r="BG97" s="48" t="s">
        <v>1817</v>
      </c>
      <c r="BH97">
        <v>14</v>
      </c>
      <c r="BI97" s="48" t="s">
        <v>1888</v>
      </c>
      <c r="BJ97">
        <v>1</v>
      </c>
      <c r="BK97">
        <v>1473.06</v>
      </c>
      <c r="BL97">
        <v>17036110</v>
      </c>
      <c r="BM97">
        <v>11565</v>
      </c>
      <c r="BN97" s="48" t="s">
        <v>2064</v>
      </c>
      <c r="BO97" s="48" t="s">
        <v>2065</v>
      </c>
      <c r="BP97">
        <v>1473.06</v>
      </c>
      <c r="BQ97">
        <v>11623.77</v>
      </c>
      <c r="BR97" s="48" t="s">
        <v>1885</v>
      </c>
      <c r="BS97" s="48" t="s">
        <v>2066</v>
      </c>
      <c r="BT97">
        <v>1</v>
      </c>
      <c r="BU97">
        <v>86400</v>
      </c>
      <c r="BV97">
        <v>86400</v>
      </c>
      <c r="BW97" s="48" t="s">
        <v>2065</v>
      </c>
      <c r="BX97">
        <v>1473.06</v>
      </c>
      <c r="BY97">
        <v>0</v>
      </c>
      <c r="BZ97">
        <v>0</v>
      </c>
      <c r="CA97" s="48" t="s">
        <v>2065</v>
      </c>
      <c r="CB97">
        <v>1473.06</v>
      </c>
      <c r="CC97">
        <v>0</v>
      </c>
      <c r="CD97">
        <v>0</v>
      </c>
      <c r="CE97" s="48" t="s">
        <v>1710</v>
      </c>
      <c r="CF97" s="48" t="s">
        <v>1710</v>
      </c>
      <c r="CG97" s="48" t="s">
        <v>1710</v>
      </c>
      <c r="CH97" s="48" t="s">
        <v>1710</v>
      </c>
      <c r="CI97" s="48" t="s">
        <v>2067</v>
      </c>
      <c r="CJ97" s="48" t="s">
        <v>1710</v>
      </c>
      <c r="CL97" s="48" t="s">
        <v>2850</v>
      </c>
      <c r="CM97" s="48" t="s">
        <v>1710</v>
      </c>
      <c r="CN97" s="48" t="s">
        <v>2068</v>
      </c>
      <c r="CO97" s="48" t="s">
        <v>2069</v>
      </c>
      <c r="CP97" s="48" t="s">
        <v>1710</v>
      </c>
      <c r="CQ97" s="48" t="s">
        <v>1710</v>
      </c>
      <c r="CR97" s="48" t="s">
        <v>1710</v>
      </c>
      <c r="CS97" s="48" t="s">
        <v>1710</v>
      </c>
      <c r="CT97" s="48" t="s">
        <v>1710</v>
      </c>
      <c r="CU97" s="48" t="s">
        <v>1712</v>
      </c>
      <c r="CV97" s="48" t="s">
        <v>1710</v>
      </c>
      <c r="CW97" s="48" t="s">
        <v>1710</v>
      </c>
      <c r="CX97" s="48" t="s">
        <v>3014</v>
      </c>
      <c r="CY97" s="48" t="s">
        <v>1710</v>
      </c>
      <c r="CZ97" s="48" t="s">
        <v>1712</v>
      </c>
      <c r="DA97" s="48" t="s">
        <v>1710</v>
      </c>
      <c r="DB97" s="48" t="s">
        <v>1878</v>
      </c>
      <c r="DC97" s="48" t="s">
        <v>2070</v>
      </c>
      <c r="DD97" s="48" t="s">
        <v>1842</v>
      </c>
      <c r="DE97" s="48" t="s">
        <v>1886</v>
      </c>
      <c r="DF97" s="48" t="s">
        <v>3593</v>
      </c>
      <c r="DG97" s="48" t="s">
        <v>2071</v>
      </c>
      <c r="DH97" s="48" t="s">
        <v>1712</v>
      </c>
      <c r="DI97" s="48" t="s">
        <v>1710</v>
      </c>
      <c r="DJ97" s="48" t="s">
        <v>1710</v>
      </c>
      <c r="DK97" s="48" t="s">
        <v>1710</v>
      </c>
      <c r="DL97" s="48" t="s">
        <v>1710</v>
      </c>
      <c r="DM97" s="48" t="s">
        <v>1710</v>
      </c>
      <c r="DN97" s="48" t="s">
        <v>1710</v>
      </c>
      <c r="DO97" s="48" t="s">
        <v>1710</v>
      </c>
      <c r="DP97" s="48" t="s">
        <v>1710</v>
      </c>
      <c r="DQ97" s="48" t="s">
        <v>1710</v>
      </c>
      <c r="DR97" s="48" t="s">
        <v>2072</v>
      </c>
      <c r="DS97" s="48" t="s">
        <v>1710</v>
      </c>
      <c r="DT97" s="48" t="s">
        <v>1710</v>
      </c>
      <c r="DU97" s="48" t="s">
        <v>2547</v>
      </c>
      <c r="DV97" s="48" t="s">
        <v>2816</v>
      </c>
      <c r="DW97" s="48" t="s">
        <v>1710</v>
      </c>
      <c r="DX97" s="48" t="s">
        <v>3594</v>
      </c>
      <c r="DY97" s="48" t="s">
        <v>1709</v>
      </c>
      <c r="DZ97" s="48" t="s">
        <v>2562</v>
      </c>
      <c r="EA97" s="48" t="s">
        <v>2546</v>
      </c>
      <c r="EB97">
        <v>0</v>
      </c>
      <c r="EC97" s="48" t="s">
        <v>2547</v>
      </c>
      <c r="ED97" s="48" t="s">
        <v>3587</v>
      </c>
      <c r="EE97" s="48" t="s">
        <v>1814</v>
      </c>
      <c r="EF97" s="48" t="s">
        <v>2550</v>
      </c>
      <c r="EG97" s="48" t="s">
        <v>3592</v>
      </c>
      <c r="EH97">
        <v>2</v>
      </c>
      <c r="EI97" s="48" t="s">
        <v>1888</v>
      </c>
      <c r="EJ97">
        <v>0</v>
      </c>
      <c r="EK97" s="48" t="s">
        <v>1710</v>
      </c>
      <c r="EL97">
        <v>1</v>
      </c>
      <c r="EM97" s="48" t="s">
        <v>1886</v>
      </c>
      <c r="EN97">
        <v>2</v>
      </c>
      <c r="EO97" s="48" t="s">
        <v>2707</v>
      </c>
      <c r="EP97" s="48" t="s">
        <v>3595</v>
      </c>
      <c r="EQ97">
        <v>824.32</v>
      </c>
      <c r="ER97">
        <v>824.32</v>
      </c>
      <c r="ES97">
        <v>1208145</v>
      </c>
      <c r="ET97">
        <v>820</v>
      </c>
      <c r="EU97" s="48" t="s">
        <v>1710</v>
      </c>
      <c r="EV97" s="48" t="s">
        <v>1710</v>
      </c>
      <c r="EW97" s="48" t="s">
        <v>1712</v>
      </c>
      <c r="EX97" s="48" t="s">
        <v>1710</v>
      </c>
      <c r="EY97" s="48" t="s">
        <v>1853</v>
      </c>
      <c r="EZ97" s="48" t="s">
        <v>1710</v>
      </c>
      <c r="FA97" s="48" t="s">
        <v>1710</v>
      </c>
      <c r="FB97" s="48" t="s">
        <v>1712</v>
      </c>
      <c r="FC97" s="48" t="s">
        <v>1710</v>
      </c>
      <c r="FD97" s="48" t="s">
        <v>1710</v>
      </c>
      <c r="FE97" s="48" t="s">
        <v>1814</v>
      </c>
      <c r="FF97" s="48" t="s">
        <v>1815</v>
      </c>
      <c r="FG97" s="48" t="s">
        <v>1710</v>
      </c>
      <c r="FH97">
        <v>1</v>
      </c>
      <c r="FI97" s="48" t="s">
        <v>1846</v>
      </c>
      <c r="FJ97">
        <v>824.32</v>
      </c>
      <c r="FK97">
        <v>824.32</v>
      </c>
      <c r="FL97" s="48" t="s">
        <v>3596</v>
      </c>
      <c r="FM97" s="48" t="s">
        <v>3595</v>
      </c>
      <c r="FN97" s="48" t="s">
        <v>1710</v>
      </c>
      <c r="FO97" s="48" t="s">
        <v>1710</v>
      </c>
      <c r="FP97" s="48" t="s">
        <v>1710</v>
      </c>
      <c r="FQ97" s="48" t="s">
        <v>1710</v>
      </c>
      <c r="FR97" s="48" t="s">
        <v>1710</v>
      </c>
      <c r="FS97" s="48" t="s">
        <v>1710</v>
      </c>
      <c r="FT97" s="48" t="s">
        <v>1710</v>
      </c>
      <c r="FU97" s="48" t="s">
        <v>1710</v>
      </c>
      <c r="FV97" s="48"/>
      <c r="FW97" s="56"/>
      <c r="FX97" s="56"/>
      <c r="FY97" s="56"/>
      <c r="FZ97" s="56"/>
      <c r="GA97" s="55" t="str">
        <f t="shared" si="5"/>
        <v>4388426300393X</v>
      </c>
      <c r="GB97" t="str">
        <f>VLOOKUP(B97,수출코드!$C$2:$D$4,2,FALSE)</f>
        <v>Suwon</v>
      </c>
      <c r="GC97" t="str">
        <f>VLOOKUP(L97,수출코드!$A$2:$B$6,2,FALSE)</f>
        <v/>
      </c>
      <c r="GD97" t="str">
        <f>VLOOKUP(M97,수출코드!$E$2:$F$5,2,FALSE)</f>
        <v>일반</v>
      </c>
      <c r="GE97" s="61">
        <f t="shared" si="3"/>
        <v>45972.613194444442</v>
      </c>
      <c r="GF97" s="62">
        <f t="shared" si="4"/>
        <v>46049.722222222219</v>
      </c>
      <c r="GI97" s="48" t="s">
        <v>2754</v>
      </c>
    </row>
    <row r="98" spans="1:191">
      <c r="A98" s="48" t="s">
        <v>3597</v>
      </c>
      <c r="B98" s="48" t="s">
        <v>1821</v>
      </c>
      <c r="C98" s="48" t="s">
        <v>2048</v>
      </c>
      <c r="D98" s="48" t="s">
        <v>2813</v>
      </c>
      <c r="E98" s="48" t="s">
        <v>3597</v>
      </c>
      <c r="F98" s="48" t="s">
        <v>1710</v>
      </c>
      <c r="G98" s="48" t="s">
        <v>2814</v>
      </c>
      <c r="H98" s="48" t="s">
        <v>3598</v>
      </c>
      <c r="I98" s="48" t="s">
        <v>1884</v>
      </c>
      <c r="J98" s="48" t="s">
        <v>2850</v>
      </c>
      <c r="K98" s="48" t="s">
        <v>1877</v>
      </c>
      <c r="L98" s="48" t="s">
        <v>1844</v>
      </c>
      <c r="M98" s="48" t="s">
        <v>1810</v>
      </c>
      <c r="N98" s="48" t="s">
        <v>1842</v>
      </c>
      <c r="O98" s="48" t="s">
        <v>1811</v>
      </c>
      <c r="P98" s="48" t="s">
        <v>2549</v>
      </c>
      <c r="Q98" s="48" t="s">
        <v>2049</v>
      </c>
      <c r="R98" s="48" t="s">
        <v>1838</v>
      </c>
      <c r="S98" s="48" t="s">
        <v>2050</v>
      </c>
      <c r="T98" s="48" t="s">
        <v>1845</v>
      </c>
      <c r="U98" s="48" t="s">
        <v>2049</v>
      </c>
      <c r="V98" s="48" t="s">
        <v>1838</v>
      </c>
      <c r="W98" s="48" t="s">
        <v>2051</v>
      </c>
      <c r="X98" s="48" t="s">
        <v>2052</v>
      </c>
      <c r="Y98" s="48" t="s">
        <v>2050</v>
      </c>
      <c r="Z98" s="48" t="s">
        <v>2053</v>
      </c>
      <c r="AA98" s="48" t="s">
        <v>2054</v>
      </c>
      <c r="AB98" s="48" t="s">
        <v>2817</v>
      </c>
      <c r="AC98" s="48" t="s">
        <v>2055</v>
      </c>
      <c r="AD98" s="48" t="s">
        <v>2056</v>
      </c>
      <c r="AE98" s="48" t="s">
        <v>1710</v>
      </c>
      <c r="AF98" s="48" t="s">
        <v>1710</v>
      </c>
      <c r="AG98" s="48" t="s">
        <v>2057</v>
      </c>
      <c r="AH98" s="48" t="s">
        <v>1815</v>
      </c>
      <c r="AI98" s="48" t="s">
        <v>2058</v>
      </c>
      <c r="AJ98" s="48" t="s">
        <v>1710</v>
      </c>
      <c r="AK98" s="48" t="s">
        <v>2100</v>
      </c>
      <c r="AL98" s="48" t="s">
        <v>2101</v>
      </c>
      <c r="AM98" s="48" t="s">
        <v>1816</v>
      </c>
      <c r="AN98" s="48" t="s">
        <v>2054</v>
      </c>
      <c r="AO98" s="48" t="s">
        <v>1710</v>
      </c>
      <c r="AP98" s="48" t="s">
        <v>1874</v>
      </c>
      <c r="AQ98" s="48" t="s">
        <v>2078</v>
      </c>
      <c r="AR98" s="48" t="s">
        <v>1812</v>
      </c>
      <c r="AS98" s="48" t="s">
        <v>1813</v>
      </c>
      <c r="AT98" s="48" t="s">
        <v>1826</v>
      </c>
      <c r="AU98" s="48" t="s">
        <v>2061</v>
      </c>
      <c r="AV98" s="48" t="s">
        <v>2850</v>
      </c>
      <c r="AW98" s="48" t="s">
        <v>2062</v>
      </c>
      <c r="AX98" s="48" t="s">
        <v>2063</v>
      </c>
      <c r="AY98" s="48" t="s">
        <v>1710</v>
      </c>
      <c r="AZ98" s="48" t="s">
        <v>3599</v>
      </c>
      <c r="BA98" s="48" t="s">
        <v>1710</v>
      </c>
      <c r="BB98" s="48" t="s">
        <v>1709</v>
      </c>
      <c r="BC98" s="48" t="s">
        <v>1710</v>
      </c>
      <c r="BD98" s="48" t="s">
        <v>2097</v>
      </c>
      <c r="BE98" s="52" t="s">
        <v>3488</v>
      </c>
      <c r="BF98" s="48" t="s">
        <v>1710</v>
      </c>
      <c r="BG98" s="48" t="s">
        <v>1814</v>
      </c>
      <c r="BH98">
        <v>1</v>
      </c>
      <c r="BI98" s="48" t="s">
        <v>1888</v>
      </c>
      <c r="BJ98">
        <v>1</v>
      </c>
      <c r="BK98">
        <v>1473.06</v>
      </c>
      <c r="BL98">
        <v>1000585</v>
      </c>
      <c r="BM98">
        <v>679</v>
      </c>
      <c r="BN98" s="48" t="s">
        <v>2064</v>
      </c>
      <c r="BO98" s="48" t="s">
        <v>2065</v>
      </c>
      <c r="BP98">
        <v>1473.06</v>
      </c>
      <c r="BQ98">
        <v>693.92</v>
      </c>
      <c r="BR98" s="48" t="s">
        <v>1885</v>
      </c>
      <c r="BS98" s="48" t="s">
        <v>2066</v>
      </c>
      <c r="BT98">
        <v>1</v>
      </c>
      <c r="BU98">
        <v>21600</v>
      </c>
      <c r="BV98">
        <v>21600</v>
      </c>
      <c r="BW98" s="48" t="s">
        <v>2065</v>
      </c>
      <c r="BX98">
        <v>1473.06</v>
      </c>
      <c r="BY98">
        <v>0</v>
      </c>
      <c r="BZ98">
        <v>0</v>
      </c>
      <c r="CA98" s="48" t="s">
        <v>2065</v>
      </c>
      <c r="CB98">
        <v>1473.06</v>
      </c>
      <c r="CC98">
        <v>0</v>
      </c>
      <c r="CD98">
        <v>0</v>
      </c>
      <c r="CE98" s="48" t="s">
        <v>1710</v>
      </c>
      <c r="CF98" s="48" t="s">
        <v>1710</v>
      </c>
      <c r="CG98" s="48" t="s">
        <v>1710</v>
      </c>
      <c r="CH98" s="48" t="s">
        <v>1710</v>
      </c>
      <c r="CI98" s="48" t="s">
        <v>2067</v>
      </c>
      <c r="CJ98" s="48" t="s">
        <v>1710</v>
      </c>
      <c r="CL98" s="48" t="s">
        <v>2850</v>
      </c>
      <c r="CM98" s="48" t="s">
        <v>1710</v>
      </c>
      <c r="CN98" s="48" t="s">
        <v>2068</v>
      </c>
      <c r="CO98" s="48" t="s">
        <v>2069</v>
      </c>
      <c r="CP98" s="48" t="s">
        <v>1710</v>
      </c>
      <c r="CQ98" s="48" t="s">
        <v>1710</v>
      </c>
      <c r="CR98" s="48" t="s">
        <v>1710</v>
      </c>
      <c r="CS98" s="48" t="s">
        <v>1710</v>
      </c>
      <c r="CT98" s="48" t="s">
        <v>1710</v>
      </c>
      <c r="CU98" s="48" t="s">
        <v>1712</v>
      </c>
      <c r="CV98" s="48" t="s">
        <v>1710</v>
      </c>
      <c r="CW98" s="48" t="s">
        <v>1710</v>
      </c>
      <c r="CX98" s="48" t="s">
        <v>3014</v>
      </c>
      <c r="CY98" s="48" t="s">
        <v>1710</v>
      </c>
      <c r="CZ98" s="48" t="s">
        <v>1712</v>
      </c>
      <c r="DA98" s="48" t="s">
        <v>1710</v>
      </c>
      <c r="DB98" s="48" t="s">
        <v>1878</v>
      </c>
      <c r="DC98" s="48" t="s">
        <v>2070</v>
      </c>
      <c r="DD98" s="48" t="s">
        <v>1842</v>
      </c>
      <c r="DE98" s="48" t="s">
        <v>1886</v>
      </c>
      <c r="DF98" s="48" t="s">
        <v>3600</v>
      </c>
      <c r="DG98" s="48" t="s">
        <v>2071</v>
      </c>
      <c r="DH98" s="48" t="s">
        <v>1712</v>
      </c>
      <c r="DI98" s="48" t="s">
        <v>1710</v>
      </c>
      <c r="DJ98" s="48" t="s">
        <v>1710</v>
      </c>
      <c r="DK98" s="48" t="s">
        <v>1710</v>
      </c>
      <c r="DL98" s="48" t="s">
        <v>1710</v>
      </c>
      <c r="DM98" s="48" t="s">
        <v>1710</v>
      </c>
      <c r="DN98" s="48" t="s">
        <v>1710</v>
      </c>
      <c r="DO98" s="48" t="s">
        <v>1710</v>
      </c>
      <c r="DP98" s="48" t="s">
        <v>1710</v>
      </c>
      <c r="DQ98" s="48" t="s">
        <v>1710</v>
      </c>
      <c r="DR98" s="48" t="s">
        <v>2072</v>
      </c>
      <c r="DS98" s="48" t="s">
        <v>1710</v>
      </c>
      <c r="DT98" s="48" t="s">
        <v>1710</v>
      </c>
      <c r="DU98" s="48" t="s">
        <v>2547</v>
      </c>
      <c r="DV98" s="48" t="s">
        <v>2816</v>
      </c>
      <c r="DW98" s="48" t="s">
        <v>1710</v>
      </c>
      <c r="DX98" s="48" t="s">
        <v>3601</v>
      </c>
      <c r="DY98" s="48" t="s">
        <v>1709</v>
      </c>
      <c r="DZ98" s="48" t="s">
        <v>2084</v>
      </c>
      <c r="EA98" s="48" t="s">
        <v>2546</v>
      </c>
      <c r="EB98">
        <v>0</v>
      </c>
      <c r="EC98" s="48" t="s">
        <v>2547</v>
      </c>
      <c r="ED98" s="48" t="s">
        <v>3602</v>
      </c>
      <c r="EE98" s="48" t="s">
        <v>1814</v>
      </c>
      <c r="EF98" s="48" t="s">
        <v>1867</v>
      </c>
      <c r="EG98" s="48" t="s">
        <v>3599</v>
      </c>
      <c r="EH98">
        <v>0.26</v>
      </c>
      <c r="EI98" s="48" t="s">
        <v>1888</v>
      </c>
      <c r="EJ98">
        <v>2</v>
      </c>
      <c r="EK98" s="48" t="s">
        <v>1887</v>
      </c>
      <c r="EL98">
        <v>1</v>
      </c>
      <c r="EM98" s="48" t="s">
        <v>1886</v>
      </c>
      <c r="EN98">
        <v>0.26</v>
      </c>
      <c r="EO98" s="48" t="s">
        <v>2520</v>
      </c>
      <c r="EP98" s="48" t="s">
        <v>3603</v>
      </c>
      <c r="EQ98">
        <v>693.92</v>
      </c>
      <c r="ER98">
        <v>693.92</v>
      </c>
      <c r="ES98">
        <v>1000585</v>
      </c>
      <c r="ET98">
        <v>679</v>
      </c>
      <c r="EU98" s="48" t="s">
        <v>1710</v>
      </c>
      <c r="EV98" s="48" t="s">
        <v>1710</v>
      </c>
      <c r="EW98" s="48" t="s">
        <v>1712</v>
      </c>
      <c r="EX98" s="48" t="s">
        <v>1710</v>
      </c>
      <c r="EY98" s="48" t="s">
        <v>2622</v>
      </c>
      <c r="EZ98" s="48" t="s">
        <v>1710</v>
      </c>
      <c r="FA98" s="48" t="s">
        <v>1710</v>
      </c>
      <c r="FB98" s="48" t="s">
        <v>1712</v>
      </c>
      <c r="FC98" s="48" t="s">
        <v>1710</v>
      </c>
      <c r="FD98" s="48" t="s">
        <v>1710</v>
      </c>
      <c r="FE98" s="48" t="s">
        <v>1814</v>
      </c>
      <c r="FF98" s="48" t="s">
        <v>1815</v>
      </c>
      <c r="FG98" s="48" t="s">
        <v>1710</v>
      </c>
      <c r="FH98">
        <v>2</v>
      </c>
      <c r="FI98" s="48" t="s">
        <v>1846</v>
      </c>
      <c r="FJ98">
        <v>693.92</v>
      </c>
      <c r="FK98">
        <v>346.96</v>
      </c>
      <c r="FL98" s="48" t="s">
        <v>3604</v>
      </c>
      <c r="FM98" s="48" t="s">
        <v>3603</v>
      </c>
      <c r="FN98" s="48" t="s">
        <v>1710</v>
      </c>
      <c r="FO98" s="48" t="s">
        <v>1710</v>
      </c>
      <c r="FP98" s="48" t="s">
        <v>1710</v>
      </c>
      <c r="FQ98" s="48" t="s">
        <v>1710</v>
      </c>
      <c r="FR98" s="48" t="s">
        <v>1710</v>
      </c>
      <c r="FS98" s="48" t="s">
        <v>1710</v>
      </c>
      <c r="FT98" s="48" t="s">
        <v>1710</v>
      </c>
      <c r="FU98" s="48" t="s">
        <v>1710</v>
      </c>
      <c r="FV98" s="48"/>
      <c r="FW98" s="56"/>
      <c r="FX98" s="56"/>
      <c r="FY98" s="56"/>
      <c r="FZ98" s="56"/>
      <c r="GA98" s="55" t="str">
        <f t="shared" si="5"/>
        <v>4388426300394X</v>
      </c>
      <c r="GB98" t="str">
        <f>VLOOKUP(B98,수출코드!$C$2:$D$4,2,FALSE)</f>
        <v>Suwon</v>
      </c>
      <c r="GC98" t="str">
        <f>VLOOKUP(L98,수출코드!$A$2:$B$6,2,FALSE)</f>
        <v>화면심사</v>
      </c>
      <c r="GD98" t="str">
        <f>VLOOKUP(M98,수출코드!$E$2:$F$5,2,FALSE)</f>
        <v>일반</v>
      </c>
      <c r="GE98" s="61">
        <f t="shared" si="3"/>
        <v>45972.613194444442</v>
      </c>
      <c r="GF98" s="62">
        <f t="shared" si="4"/>
        <v>46049.724999999999</v>
      </c>
      <c r="GI98" s="48" t="s">
        <v>2754</v>
      </c>
    </row>
    <row r="99" spans="1:191">
      <c r="A99" s="48" t="s">
        <v>3605</v>
      </c>
      <c r="B99" s="48" t="s">
        <v>1821</v>
      </c>
      <c r="C99" s="48" t="s">
        <v>2048</v>
      </c>
      <c r="D99" s="48" t="s">
        <v>2813</v>
      </c>
      <c r="E99" s="48" t="s">
        <v>3605</v>
      </c>
      <c r="F99" s="48" t="s">
        <v>1710</v>
      </c>
      <c r="G99" s="48" t="s">
        <v>2814</v>
      </c>
      <c r="H99" s="48" t="s">
        <v>3606</v>
      </c>
      <c r="I99" s="48" t="s">
        <v>1884</v>
      </c>
      <c r="J99" s="48" t="s">
        <v>2850</v>
      </c>
      <c r="K99" s="48" t="s">
        <v>1877</v>
      </c>
      <c r="L99" s="48" t="s">
        <v>1842</v>
      </c>
      <c r="M99" s="48" t="s">
        <v>1810</v>
      </c>
      <c r="N99" s="48" t="s">
        <v>1842</v>
      </c>
      <c r="O99" s="48" t="s">
        <v>1811</v>
      </c>
      <c r="P99" s="48" t="s">
        <v>2549</v>
      </c>
      <c r="Q99" s="48" t="s">
        <v>2049</v>
      </c>
      <c r="R99" s="48" t="s">
        <v>1838</v>
      </c>
      <c r="S99" s="48" t="s">
        <v>2050</v>
      </c>
      <c r="T99" s="48" t="s">
        <v>1845</v>
      </c>
      <c r="U99" s="48" t="s">
        <v>2049</v>
      </c>
      <c r="V99" s="48" t="s">
        <v>1838</v>
      </c>
      <c r="W99" s="48" t="s">
        <v>2051</v>
      </c>
      <c r="X99" s="48" t="s">
        <v>2052</v>
      </c>
      <c r="Y99" s="48" t="s">
        <v>2050</v>
      </c>
      <c r="Z99" s="48" t="s">
        <v>2053</v>
      </c>
      <c r="AA99" s="48" t="s">
        <v>2054</v>
      </c>
      <c r="AB99" s="48" t="s">
        <v>2817</v>
      </c>
      <c r="AC99" s="48" t="s">
        <v>2055</v>
      </c>
      <c r="AD99" s="48" t="s">
        <v>2056</v>
      </c>
      <c r="AE99" s="48" t="s">
        <v>1710</v>
      </c>
      <c r="AF99" s="48" t="s">
        <v>1710</v>
      </c>
      <c r="AG99" s="48" t="s">
        <v>2057</v>
      </c>
      <c r="AH99" s="48" t="s">
        <v>1815</v>
      </c>
      <c r="AI99" s="48" t="s">
        <v>2058</v>
      </c>
      <c r="AJ99" s="48" t="s">
        <v>1710</v>
      </c>
      <c r="AK99" s="48" t="s">
        <v>2098</v>
      </c>
      <c r="AL99" s="48" t="s">
        <v>1856</v>
      </c>
      <c r="AM99" s="48" t="s">
        <v>1816</v>
      </c>
      <c r="AN99" s="48" t="s">
        <v>2054</v>
      </c>
      <c r="AO99" s="48" t="s">
        <v>1710</v>
      </c>
      <c r="AP99" s="48" t="s">
        <v>1855</v>
      </c>
      <c r="AQ99" s="48" t="s">
        <v>2076</v>
      </c>
      <c r="AR99" s="48" t="s">
        <v>1812</v>
      </c>
      <c r="AS99" s="48" t="s">
        <v>1813</v>
      </c>
      <c r="AT99" s="48" t="s">
        <v>1826</v>
      </c>
      <c r="AU99" s="48" t="s">
        <v>2061</v>
      </c>
      <c r="AV99" s="48" t="s">
        <v>2850</v>
      </c>
      <c r="AW99" s="48" t="s">
        <v>2062</v>
      </c>
      <c r="AX99" s="48" t="s">
        <v>2063</v>
      </c>
      <c r="AY99" s="48" t="s">
        <v>1710</v>
      </c>
      <c r="AZ99" s="48" t="s">
        <v>3607</v>
      </c>
      <c r="BA99" s="48" t="s">
        <v>1710</v>
      </c>
      <c r="BB99" s="48" t="s">
        <v>1709</v>
      </c>
      <c r="BC99" s="48" t="s">
        <v>1710</v>
      </c>
      <c r="BD99" s="48" t="s">
        <v>2097</v>
      </c>
      <c r="BE99" s="52" t="s">
        <v>3488</v>
      </c>
      <c r="BF99" s="48" t="s">
        <v>1710</v>
      </c>
      <c r="BG99" s="48" t="s">
        <v>1817</v>
      </c>
      <c r="BH99">
        <v>1</v>
      </c>
      <c r="BI99" s="48" t="s">
        <v>1888</v>
      </c>
      <c r="BJ99">
        <v>1</v>
      </c>
      <c r="BK99">
        <v>1473.06</v>
      </c>
      <c r="BL99">
        <v>1816096</v>
      </c>
      <c r="BM99">
        <v>1233</v>
      </c>
      <c r="BN99" s="48" t="s">
        <v>2064</v>
      </c>
      <c r="BO99" s="48" t="s">
        <v>2065</v>
      </c>
      <c r="BP99">
        <v>1473.06</v>
      </c>
      <c r="BQ99">
        <v>1247.1300000000001</v>
      </c>
      <c r="BR99" s="48" t="s">
        <v>1885</v>
      </c>
      <c r="BS99" s="48" t="s">
        <v>2066</v>
      </c>
      <c r="BT99">
        <v>1</v>
      </c>
      <c r="BU99">
        <v>21000</v>
      </c>
      <c r="BV99">
        <v>21000</v>
      </c>
      <c r="BW99" s="48" t="s">
        <v>2065</v>
      </c>
      <c r="BX99">
        <v>1473.06</v>
      </c>
      <c r="BY99">
        <v>0</v>
      </c>
      <c r="BZ99">
        <v>0</v>
      </c>
      <c r="CA99" s="48" t="s">
        <v>2065</v>
      </c>
      <c r="CB99">
        <v>1473.06</v>
      </c>
      <c r="CC99">
        <v>0</v>
      </c>
      <c r="CD99">
        <v>0</v>
      </c>
      <c r="CE99" s="48" t="s">
        <v>1710</v>
      </c>
      <c r="CF99" s="48" t="s">
        <v>1710</v>
      </c>
      <c r="CG99" s="48" t="s">
        <v>1710</v>
      </c>
      <c r="CH99" s="48" t="s">
        <v>1710</v>
      </c>
      <c r="CI99" s="48" t="s">
        <v>2067</v>
      </c>
      <c r="CJ99" s="48" t="s">
        <v>1710</v>
      </c>
      <c r="CL99" s="48" t="s">
        <v>2850</v>
      </c>
      <c r="CM99" s="48" t="s">
        <v>1710</v>
      </c>
      <c r="CN99" s="48" t="s">
        <v>2068</v>
      </c>
      <c r="CO99" s="48" t="s">
        <v>2069</v>
      </c>
      <c r="CP99" s="48" t="s">
        <v>1710</v>
      </c>
      <c r="CQ99" s="48" t="s">
        <v>1710</v>
      </c>
      <c r="CR99" s="48" t="s">
        <v>1710</v>
      </c>
      <c r="CS99" s="48" t="s">
        <v>1710</v>
      </c>
      <c r="CT99" s="48" t="s">
        <v>1710</v>
      </c>
      <c r="CU99" s="48" t="s">
        <v>1712</v>
      </c>
      <c r="CV99" s="48" t="s">
        <v>1710</v>
      </c>
      <c r="CW99" s="48" t="s">
        <v>1710</v>
      </c>
      <c r="CX99" s="48" t="s">
        <v>3014</v>
      </c>
      <c r="CY99" s="48" t="s">
        <v>1710</v>
      </c>
      <c r="CZ99" s="48" t="s">
        <v>1712</v>
      </c>
      <c r="DA99" s="48" t="s">
        <v>1710</v>
      </c>
      <c r="DB99" s="48" t="s">
        <v>1878</v>
      </c>
      <c r="DC99" s="48" t="s">
        <v>2070</v>
      </c>
      <c r="DD99" s="48" t="s">
        <v>1842</v>
      </c>
      <c r="DE99" s="48" t="s">
        <v>1886</v>
      </c>
      <c r="DF99" s="48" t="s">
        <v>3608</v>
      </c>
      <c r="DG99" s="48" t="s">
        <v>2071</v>
      </c>
      <c r="DH99" s="48" t="s">
        <v>1712</v>
      </c>
      <c r="DI99" s="48" t="s">
        <v>1710</v>
      </c>
      <c r="DJ99" s="48" t="s">
        <v>1710</v>
      </c>
      <c r="DK99" s="48" t="s">
        <v>1710</v>
      </c>
      <c r="DL99" s="48" t="s">
        <v>1710</v>
      </c>
      <c r="DM99" s="48" t="s">
        <v>1710</v>
      </c>
      <c r="DN99" s="48" t="s">
        <v>1710</v>
      </c>
      <c r="DO99" s="48" t="s">
        <v>1710</v>
      </c>
      <c r="DP99" s="48" t="s">
        <v>1710</v>
      </c>
      <c r="DQ99" s="48" t="s">
        <v>1710</v>
      </c>
      <c r="DR99" s="48" t="s">
        <v>2072</v>
      </c>
      <c r="DS99" s="48" t="s">
        <v>1710</v>
      </c>
      <c r="DT99" s="48" t="s">
        <v>1710</v>
      </c>
      <c r="DU99" s="48" t="s">
        <v>2547</v>
      </c>
      <c r="DV99" s="48" t="s">
        <v>2816</v>
      </c>
      <c r="DW99" s="48" t="s">
        <v>1710</v>
      </c>
      <c r="DX99" s="48" t="s">
        <v>3609</v>
      </c>
      <c r="DY99" s="48" t="s">
        <v>1709</v>
      </c>
      <c r="DZ99" s="48" t="s">
        <v>2562</v>
      </c>
      <c r="EA99" s="48" t="s">
        <v>2546</v>
      </c>
      <c r="EB99">
        <v>0</v>
      </c>
      <c r="EC99" s="48" t="s">
        <v>2547</v>
      </c>
      <c r="ED99" s="48" t="s">
        <v>3602</v>
      </c>
      <c r="EE99" s="48" t="s">
        <v>1814</v>
      </c>
      <c r="EF99" s="48" t="s">
        <v>2660</v>
      </c>
      <c r="EG99" s="48" t="s">
        <v>3607</v>
      </c>
      <c r="EH99">
        <v>0.35</v>
      </c>
      <c r="EI99" s="48" t="s">
        <v>1888</v>
      </c>
      <c r="EJ99">
        <v>0</v>
      </c>
      <c r="EK99" s="48" t="s">
        <v>1710</v>
      </c>
      <c r="EL99">
        <v>1</v>
      </c>
      <c r="EM99" s="48" t="s">
        <v>1886</v>
      </c>
      <c r="EN99">
        <v>0.35</v>
      </c>
      <c r="EO99" s="48" t="s">
        <v>2661</v>
      </c>
      <c r="EP99" s="48" t="s">
        <v>3610</v>
      </c>
      <c r="EQ99">
        <v>1145.7</v>
      </c>
      <c r="ER99">
        <v>1145.7</v>
      </c>
      <c r="ES99">
        <v>1668392</v>
      </c>
      <c r="ET99">
        <v>1133</v>
      </c>
      <c r="EU99" s="48" t="s">
        <v>1710</v>
      </c>
      <c r="EV99" s="48" t="s">
        <v>1710</v>
      </c>
      <c r="EW99" s="48" t="s">
        <v>1712</v>
      </c>
      <c r="EX99" s="48" t="s">
        <v>1710</v>
      </c>
      <c r="EY99" s="48" t="s">
        <v>1851</v>
      </c>
      <c r="EZ99" s="48" t="s">
        <v>1710</v>
      </c>
      <c r="FA99" s="48" t="s">
        <v>1710</v>
      </c>
      <c r="FB99" s="48" t="s">
        <v>1712</v>
      </c>
      <c r="FC99" s="48" t="s">
        <v>1710</v>
      </c>
      <c r="FD99" s="48" t="s">
        <v>1710</v>
      </c>
      <c r="FE99" s="48" t="s">
        <v>1814</v>
      </c>
      <c r="FF99" s="48" t="s">
        <v>1815</v>
      </c>
      <c r="FG99" s="48" t="s">
        <v>1710</v>
      </c>
      <c r="FH99">
        <v>1</v>
      </c>
      <c r="FI99" s="48" t="s">
        <v>1846</v>
      </c>
      <c r="FJ99">
        <v>1145.7</v>
      </c>
      <c r="FK99">
        <v>1145.7</v>
      </c>
      <c r="FL99" s="48" t="s">
        <v>3611</v>
      </c>
      <c r="FM99" s="48" t="s">
        <v>3610</v>
      </c>
      <c r="FN99" s="48" t="s">
        <v>1710</v>
      </c>
      <c r="FO99" s="48" t="s">
        <v>1710</v>
      </c>
      <c r="FP99" s="48" t="s">
        <v>1710</v>
      </c>
      <c r="FQ99" s="48" t="s">
        <v>1710</v>
      </c>
      <c r="FR99" s="48" t="s">
        <v>1710</v>
      </c>
      <c r="FS99" s="48" t="s">
        <v>1710</v>
      </c>
      <c r="FT99" s="48" t="s">
        <v>1710</v>
      </c>
      <c r="FU99" s="48" t="s">
        <v>1710</v>
      </c>
      <c r="FV99" s="48"/>
      <c r="FW99" s="56"/>
      <c r="FX99" s="56"/>
      <c r="FY99" s="56"/>
      <c r="FZ99" s="56"/>
      <c r="GA99" s="55" t="str">
        <f t="shared" si="5"/>
        <v>4388426300395X</v>
      </c>
      <c r="GB99" t="str">
        <f>VLOOKUP(B99,수출코드!$C$2:$D$4,2,FALSE)</f>
        <v>Suwon</v>
      </c>
      <c r="GC99" t="str">
        <f>VLOOKUP(L99,수출코드!$A$2:$B$6,2,FALSE)</f>
        <v/>
      </c>
      <c r="GD99" t="str">
        <f>VLOOKUP(M99,수출코드!$E$2:$F$5,2,FALSE)</f>
        <v>일반</v>
      </c>
      <c r="GE99" s="61">
        <f t="shared" si="3"/>
        <v>45972.613194444442</v>
      </c>
      <c r="GF99" s="62">
        <f t="shared" si="4"/>
        <v>46049.724999999999</v>
      </c>
      <c r="GI99" s="48" t="s">
        <v>2754</v>
      </c>
    </row>
    <row r="100" spans="1:191">
      <c r="A100" s="48" t="s">
        <v>3612</v>
      </c>
      <c r="B100" s="48" t="s">
        <v>1821</v>
      </c>
      <c r="C100" s="48" t="s">
        <v>2048</v>
      </c>
      <c r="D100" s="48" t="s">
        <v>2813</v>
      </c>
      <c r="E100" s="48" t="s">
        <v>3612</v>
      </c>
      <c r="F100" s="48" t="s">
        <v>1710</v>
      </c>
      <c r="G100" s="48" t="s">
        <v>2814</v>
      </c>
      <c r="H100" s="48" t="s">
        <v>3613</v>
      </c>
      <c r="I100" s="48" t="s">
        <v>1884</v>
      </c>
      <c r="J100" s="48" t="s">
        <v>2850</v>
      </c>
      <c r="K100" s="48" t="s">
        <v>1877</v>
      </c>
      <c r="L100" s="48" t="s">
        <v>1842</v>
      </c>
      <c r="M100" s="48" t="s">
        <v>1810</v>
      </c>
      <c r="N100" s="48" t="s">
        <v>1842</v>
      </c>
      <c r="O100" s="48" t="s">
        <v>1811</v>
      </c>
      <c r="P100" s="48" t="s">
        <v>2549</v>
      </c>
      <c r="Q100" s="48" t="s">
        <v>2049</v>
      </c>
      <c r="R100" s="48" t="s">
        <v>1838</v>
      </c>
      <c r="S100" s="48" t="s">
        <v>2050</v>
      </c>
      <c r="T100" s="48" t="s">
        <v>1845</v>
      </c>
      <c r="U100" s="48" t="s">
        <v>2049</v>
      </c>
      <c r="V100" s="48" t="s">
        <v>1838</v>
      </c>
      <c r="W100" s="48" t="s">
        <v>2051</v>
      </c>
      <c r="X100" s="48" t="s">
        <v>2052</v>
      </c>
      <c r="Y100" s="48" t="s">
        <v>2050</v>
      </c>
      <c r="Z100" s="48" t="s">
        <v>2053</v>
      </c>
      <c r="AA100" s="48" t="s">
        <v>2054</v>
      </c>
      <c r="AB100" s="48" t="s">
        <v>2817</v>
      </c>
      <c r="AC100" s="48" t="s">
        <v>2055</v>
      </c>
      <c r="AD100" s="48" t="s">
        <v>2056</v>
      </c>
      <c r="AE100" s="48" t="s">
        <v>1710</v>
      </c>
      <c r="AF100" s="48" t="s">
        <v>1710</v>
      </c>
      <c r="AG100" s="48" t="s">
        <v>2057</v>
      </c>
      <c r="AH100" s="48" t="s">
        <v>1815</v>
      </c>
      <c r="AI100" s="48" t="s">
        <v>2058</v>
      </c>
      <c r="AJ100" s="48" t="s">
        <v>1710</v>
      </c>
      <c r="AK100" s="48" t="s">
        <v>2096</v>
      </c>
      <c r="AL100" s="48" t="s">
        <v>1856</v>
      </c>
      <c r="AM100" s="48" t="s">
        <v>1816</v>
      </c>
      <c r="AN100" s="48" t="s">
        <v>2054</v>
      </c>
      <c r="AO100" s="48" t="s">
        <v>1710</v>
      </c>
      <c r="AP100" s="48" t="s">
        <v>1855</v>
      </c>
      <c r="AQ100" s="48" t="s">
        <v>2076</v>
      </c>
      <c r="AR100" s="48" t="s">
        <v>1812</v>
      </c>
      <c r="AS100" s="48" t="s">
        <v>1813</v>
      </c>
      <c r="AT100" s="48" t="s">
        <v>1826</v>
      </c>
      <c r="AU100" s="48" t="s">
        <v>2061</v>
      </c>
      <c r="AV100" s="48" t="s">
        <v>2850</v>
      </c>
      <c r="AW100" s="48" t="s">
        <v>2062</v>
      </c>
      <c r="AX100" s="48" t="s">
        <v>2063</v>
      </c>
      <c r="AY100" s="48" t="s">
        <v>1710</v>
      </c>
      <c r="AZ100" s="48" t="s">
        <v>3614</v>
      </c>
      <c r="BA100" s="48" t="s">
        <v>1710</v>
      </c>
      <c r="BB100" s="48" t="s">
        <v>1709</v>
      </c>
      <c r="BC100" s="48" t="s">
        <v>1710</v>
      </c>
      <c r="BD100" s="48" t="s">
        <v>2097</v>
      </c>
      <c r="BE100" s="52" t="s">
        <v>3488</v>
      </c>
      <c r="BF100" s="48" t="s">
        <v>1710</v>
      </c>
      <c r="BG100" s="48" t="s">
        <v>1814</v>
      </c>
      <c r="BH100">
        <v>1</v>
      </c>
      <c r="BI100" s="48" t="s">
        <v>1888</v>
      </c>
      <c r="BJ100">
        <v>1</v>
      </c>
      <c r="BK100">
        <v>1473.06</v>
      </c>
      <c r="BL100">
        <v>2608323</v>
      </c>
      <c r="BM100">
        <v>1771</v>
      </c>
      <c r="BN100" s="48" t="s">
        <v>2064</v>
      </c>
      <c r="BO100" s="48" t="s">
        <v>2065</v>
      </c>
      <c r="BP100">
        <v>1473.06</v>
      </c>
      <c r="BQ100">
        <v>1784.94</v>
      </c>
      <c r="BR100" s="48" t="s">
        <v>1885</v>
      </c>
      <c r="BS100" s="48" t="s">
        <v>2066</v>
      </c>
      <c r="BT100">
        <v>1</v>
      </c>
      <c r="BU100">
        <v>21000</v>
      </c>
      <c r="BV100">
        <v>21000</v>
      </c>
      <c r="BW100" s="48" t="s">
        <v>2065</v>
      </c>
      <c r="BX100">
        <v>1473.06</v>
      </c>
      <c r="BY100">
        <v>0</v>
      </c>
      <c r="BZ100">
        <v>0</v>
      </c>
      <c r="CA100" s="48" t="s">
        <v>2065</v>
      </c>
      <c r="CB100">
        <v>1473.06</v>
      </c>
      <c r="CC100">
        <v>0</v>
      </c>
      <c r="CD100">
        <v>0</v>
      </c>
      <c r="CE100" s="48" t="s">
        <v>1710</v>
      </c>
      <c r="CF100" s="48" t="s">
        <v>1710</v>
      </c>
      <c r="CG100" s="48" t="s">
        <v>1710</v>
      </c>
      <c r="CH100" s="48" t="s">
        <v>1710</v>
      </c>
      <c r="CI100" s="48" t="s">
        <v>2067</v>
      </c>
      <c r="CJ100" s="48" t="s">
        <v>1710</v>
      </c>
      <c r="CL100" s="48" t="s">
        <v>2850</v>
      </c>
      <c r="CM100" s="48" t="s">
        <v>1710</v>
      </c>
      <c r="CN100" s="48" t="s">
        <v>2068</v>
      </c>
      <c r="CO100" s="48" t="s">
        <v>2069</v>
      </c>
      <c r="CP100" s="48" t="s">
        <v>1710</v>
      </c>
      <c r="CQ100" s="48" t="s">
        <v>1710</v>
      </c>
      <c r="CR100" s="48" t="s">
        <v>1710</v>
      </c>
      <c r="CS100" s="48" t="s">
        <v>1710</v>
      </c>
      <c r="CT100" s="48" t="s">
        <v>1710</v>
      </c>
      <c r="CU100" s="48" t="s">
        <v>1712</v>
      </c>
      <c r="CV100" s="48" t="s">
        <v>1710</v>
      </c>
      <c r="CW100" s="48" t="s">
        <v>1710</v>
      </c>
      <c r="CX100" s="48" t="s">
        <v>3014</v>
      </c>
      <c r="CY100" s="48" t="s">
        <v>1710</v>
      </c>
      <c r="CZ100" s="48" t="s">
        <v>1712</v>
      </c>
      <c r="DA100" s="48" t="s">
        <v>1710</v>
      </c>
      <c r="DB100" s="48" t="s">
        <v>1878</v>
      </c>
      <c r="DC100" s="48" t="s">
        <v>2070</v>
      </c>
      <c r="DD100" s="48" t="s">
        <v>1842</v>
      </c>
      <c r="DE100" s="48" t="s">
        <v>1886</v>
      </c>
      <c r="DF100" s="48" t="s">
        <v>3615</v>
      </c>
      <c r="DG100" s="48" t="s">
        <v>2071</v>
      </c>
      <c r="DH100" s="48" t="s">
        <v>1712</v>
      </c>
      <c r="DI100" s="48" t="s">
        <v>1710</v>
      </c>
      <c r="DJ100" s="48" t="s">
        <v>1710</v>
      </c>
      <c r="DK100" s="48" t="s">
        <v>1710</v>
      </c>
      <c r="DL100" s="48" t="s">
        <v>1710</v>
      </c>
      <c r="DM100" s="48" t="s">
        <v>1710</v>
      </c>
      <c r="DN100" s="48" t="s">
        <v>1710</v>
      </c>
      <c r="DO100" s="48" t="s">
        <v>1710</v>
      </c>
      <c r="DP100" s="48" t="s">
        <v>1710</v>
      </c>
      <c r="DQ100" s="48" t="s">
        <v>1710</v>
      </c>
      <c r="DR100" s="48" t="s">
        <v>2072</v>
      </c>
      <c r="DS100" s="48" t="s">
        <v>1710</v>
      </c>
      <c r="DT100" s="48" t="s">
        <v>1710</v>
      </c>
      <c r="DU100" s="48" t="s">
        <v>2547</v>
      </c>
      <c r="DV100" s="48" t="s">
        <v>2816</v>
      </c>
      <c r="DW100" s="48" t="s">
        <v>1710</v>
      </c>
      <c r="DX100" s="48" t="s">
        <v>3616</v>
      </c>
      <c r="DY100" s="48" t="s">
        <v>1709</v>
      </c>
      <c r="DZ100" s="48" t="s">
        <v>2562</v>
      </c>
      <c r="EA100" s="48" t="s">
        <v>2546</v>
      </c>
      <c r="EB100">
        <v>0</v>
      </c>
      <c r="EC100" s="48" t="s">
        <v>2547</v>
      </c>
      <c r="ED100" s="48" t="s">
        <v>3602</v>
      </c>
      <c r="EE100" s="48" t="s">
        <v>1814</v>
      </c>
      <c r="EF100" s="48" t="s">
        <v>3154</v>
      </c>
      <c r="EG100" s="48" t="s">
        <v>3614</v>
      </c>
      <c r="EH100">
        <v>0.4</v>
      </c>
      <c r="EI100" s="48" t="s">
        <v>1888</v>
      </c>
      <c r="EJ100">
        <v>1</v>
      </c>
      <c r="EK100" s="48" t="s">
        <v>1887</v>
      </c>
      <c r="EL100">
        <v>1</v>
      </c>
      <c r="EM100" s="48" t="s">
        <v>1886</v>
      </c>
      <c r="EN100">
        <v>0.4</v>
      </c>
      <c r="EO100" s="48" t="s">
        <v>3155</v>
      </c>
      <c r="EP100" s="48" t="s">
        <v>3617</v>
      </c>
      <c r="EQ100">
        <v>1784.94</v>
      </c>
      <c r="ER100">
        <v>1784.94</v>
      </c>
      <c r="ES100">
        <v>2608323</v>
      </c>
      <c r="ET100">
        <v>1771</v>
      </c>
      <c r="EU100" s="48" t="s">
        <v>1710</v>
      </c>
      <c r="EV100" s="48" t="s">
        <v>1710</v>
      </c>
      <c r="EW100" s="48" t="s">
        <v>1712</v>
      </c>
      <c r="EX100" s="48" t="s">
        <v>1710</v>
      </c>
      <c r="EY100" s="48" t="s">
        <v>1851</v>
      </c>
      <c r="EZ100" s="48" t="s">
        <v>1710</v>
      </c>
      <c r="FA100" s="48" t="s">
        <v>1710</v>
      </c>
      <c r="FB100" s="48" t="s">
        <v>1712</v>
      </c>
      <c r="FC100" s="48" t="s">
        <v>1710</v>
      </c>
      <c r="FD100" s="48" t="s">
        <v>1710</v>
      </c>
      <c r="FE100" s="48" t="s">
        <v>1814</v>
      </c>
      <c r="FF100" s="48" t="s">
        <v>1815</v>
      </c>
      <c r="FG100" s="48" t="s">
        <v>1710</v>
      </c>
      <c r="FH100">
        <v>1</v>
      </c>
      <c r="FI100" s="48" t="s">
        <v>1846</v>
      </c>
      <c r="FJ100">
        <v>1784.94</v>
      </c>
      <c r="FK100">
        <v>1784.94</v>
      </c>
      <c r="FL100" s="48" t="s">
        <v>3618</v>
      </c>
      <c r="FM100" s="48" t="s">
        <v>3617</v>
      </c>
      <c r="FN100" s="48" t="s">
        <v>1710</v>
      </c>
      <c r="FO100" s="48" t="s">
        <v>1710</v>
      </c>
      <c r="FP100" s="48" t="s">
        <v>1710</v>
      </c>
      <c r="FQ100" s="48" t="s">
        <v>1710</v>
      </c>
      <c r="FR100" s="48" t="s">
        <v>1710</v>
      </c>
      <c r="FS100" s="48" t="s">
        <v>1710</v>
      </c>
      <c r="FT100" s="48" t="s">
        <v>1710</v>
      </c>
      <c r="FU100" s="48" t="s">
        <v>1710</v>
      </c>
      <c r="FV100" s="48"/>
      <c r="FW100" s="56"/>
      <c r="FX100" s="56"/>
      <c r="FY100" s="56"/>
      <c r="FZ100" s="56"/>
      <c r="GA100" s="55" t="str">
        <f t="shared" si="5"/>
        <v>4388426300396X</v>
      </c>
      <c r="GB100" t="str">
        <f>VLOOKUP(B100,수출코드!$C$2:$D$4,2,FALSE)</f>
        <v>Suwon</v>
      </c>
      <c r="GC100" t="str">
        <f>VLOOKUP(L100,수출코드!$A$2:$B$6,2,FALSE)</f>
        <v/>
      </c>
      <c r="GD100" t="str">
        <f>VLOOKUP(M100,수출코드!$E$2:$F$5,2,FALSE)</f>
        <v>일반</v>
      </c>
      <c r="GE100" s="61">
        <f t="shared" si="3"/>
        <v>45972.613194444442</v>
      </c>
      <c r="GF100" s="62">
        <f t="shared" si="4"/>
        <v>46049.724999999999</v>
      </c>
      <c r="GI100" s="48" t="s">
        <v>2754</v>
      </c>
    </row>
    <row r="101" spans="1:191">
      <c r="A101" s="48" t="s">
        <v>3619</v>
      </c>
      <c r="B101" s="48" t="s">
        <v>1821</v>
      </c>
      <c r="C101" s="48" t="s">
        <v>2048</v>
      </c>
      <c r="D101" s="48" t="s">
        <v>2813</v>
      </c>
      <c r="E101" s="48" t="s">
        <v>3619</v>
      </c>
      <c r="F101" s="48" t="s">
        <v>1710</v>
      </c>
      <c r="G101" s="48" t="s">
        <v>2814</v>
      </c>
      <c r="H101" s="48" t="s">
        <v>3620</v>
      </c>
      <c r="I101" s="48" t="s">
        <v>1884</v>
      </c>
      <c r="J101" s="48" t="s">
        <v>2850</v>
      </c>
      <c r="K101" s="48" t="s">
        <v>1877</v>
      </c>
      <c r="L101" s="48" t="s">
        <v>1842</v>
      </c>
      <c r="M101" s="48" t="s">
        <v>1810</v>
      </c>
      <c r="N101" s="48" t="s">
        <v>1842</v>
      </c>
      <c r="O101" s="48" t="s">
        <v>1811</v>
      </c>
      <c r="P101" s="48" t="s">
        <v>2549</v>
      </c>
      <c r="Q101" s="48" t="s">
        <v>2049</v>
      </c>
      <c r="R101" s="48" t="s">
        <v>1838</v>
      </c>
      <c r="S101" s="48" t="s">
        <v>2050</v>
      </c>
      <c r="T101" s="48" t="s">
        <v>1845</v>
      </c>
      <c r="U101" s="48" t="s">
        <v>2049</v>
      </c>
      <c r="V101" s="48" t="s">
        <v>1838</v>
      </c>
      <c r="W101" s="48" t="s">
        <v>2051</v>
      </c>
      <c r="X101" s="48" t="s">
        <v>2052</v>
      </c>
      <c r="Y101" s="48" t="s">
        <v>2050</v>
      </c>
      <c r="Z101" s="48" t="s">
        <v>2053</v>
      </c>
      <c r="AA101" s="48" t="s">
        <v>2054</v>
      </c>
      <c r="AB101" s="48" t="s">
        <v>2817</v>
      </c>
      <c r="AC101" s="48" t="s">
        <v>2055</v>
      </c>
      <c r="AD101" s="48" t="s">
        <v>2056</v>
      </c>
      <c r="AE101" s="48" t="s">
        <v>1710</v>
      </c>
      <c r="AF101" s="48" t="s">
        <v>1710</v>
      </c>
      <c r="AG101" s="48" t="s">
        <v>2057</v>
      </c>
      <c r="AH101" s="48" t="s">
        <v>1815</v>
      </c>
      <c r="AI101" s="48" t="s">
        <v>2058</v>
      </c>
      <c r="AJ101" s="48" t="s">
        <v>1710</v>
      </c>
      <c r="AK101" s="48" t="s">
        <v>2059</v>
      </c>
      <c r="AL101" s="48" t="s">
        <v>1858</v>
      </c>
      <c r="AM101" s="48" t="s">
        <v>1816</v>
      </c>
      <c r="AN101" s="48" t="s">
        <v>2054</v>
      </c>
      <c r="AO101" s="48" t="s">
        <v>1710</v>
      </c>
      <c r="AP101" s="48" t="s">
        <v>1848</v>
      </c>
      <c r="AQ101" s="48" t="s">
        <v>2060</v>
      </c>
      <c r="AR101" s="48" t="s">
        <v>1812</v>
      </c>
      <c r="AS101" s="48" t="s">
        <v>1813</v>
      </c>
      <c r="AT101" s="48" t="s">
        <v>1826</v>
      </c>
      <c r="AU101" s="48" t="s">
        <v>2061</v>
      </c>
      <c r="AV101" s="48" t="s">
        <v>2850</v>
      </c>
      <c r="AW101" s="48" t="s">
        <v>2062</v>
      </c>
      <c r="AX101" s="48" t="s">
        <v>2063</v>
      </c>
      <c r="AY101" s="48" t="s">
        <v>1710</v>
      </c>
      <c r="AZ101" s="48" t="s">
        <v>3621</v>
      </c>
      <c r="BA101" s="48" t="s">
        <v>1710</v>
      </c>
      <c r="BB101" s="48" t="s">
        <v>1709</v>
      </c>
      <c r="BC101" s="48" t="s">
        <v>1710</v>
      </c>
      <c r="BD101" s="48" t="s">
        <v>2097</v>
      </c>
      <c r="BE101" s="52" t="s">
        <v>3488</v>
      </c>
      <c r="BF101" s="48" t="s">
        <v>1710</v>
      </c>
      <c r="BG101" s="48" t="s">
        <v>1814</v>
      </c>
      <c r="BH101">
        <v>2</v>
      </c>
      <c r="BI101" s="48" t="s">
        <v>1888</v>
      </c>
      <c r="BJ101">
        <v>1</v>
      </c>
      <c r="BK101">
        <v>1473.06</v>
      </c>
      <c r="BL101">
        <v>646252</v>
      </c>
      <c r="BM101">
        <v>439</v>
      </c>
      <c r="BN101" s="48" t="s">
        <v>2064</v>
      </c>
      <c r="BO101" s="48" t="s">
        <v>2065</v>
      </c>
      <c r="BP101">
        <v>1473.06</v>
      </c>
      <c r="BQ101">
        <v>470.96</v>
      </c>
      <c r="BR101" s="48" t="s">
        <v>1885</v>
      </c>
      <c r="BS101" s="48" t="s">
        <v>2066</v>
      </c>
      <c r="BT101">
        <v>1</v>
      </c>
      <c r="BU101">
        <v>47500</v>
      </c>
      <c r="BV101">
        <v>47500</v>
      </c>
      <c r="BW101" s="48" t="s">
        <v>2065</v>
      </c>
      <c r="BX101">
        <v>1473.06</v>
      </c>
      <c r="BY101">
        <v>0</v>
      </c>
      <c r="BZ101">
        <v>0</v>
      </c>
      <c r="CA101" s="48" t="s">
        <v>2065</v>
      </c>
      <c r="CB101">
        <v>1473.06</v>
      </c>
      <c r="CC101">
        <v>0</v>
      </c>
      <c r="CD101">
        <v>0</v>
      </c>
      <c r="CE101" s="48" t="s">
        <v>1710</v>
      </c>
      <c r="CF101" s="48" t="s">
        <v>1710</v>
      </c>
      <c r="CG101" s="48" t="s">
        <v>1710</v>
      </c>
      <c r="CH101" s="48" t="s">
        <v>1710</v>
      </c>
      <c r="CI101" s="48" t="s">
        <v>2067</v>
      </c>
      <c r="CJ101" s="48" t="s">
        <v>1710</v>
      </c>
      <c r="CL101" s="48" t="s">
        <v>2850</v>
      </c>
      <c r="CM101" s="48" t="s">
        <v>1710</v>
      </c>
      <c r="CN101" s="48" t="s">
        <v>2068</v>
      </c>
      <c r="CO101" s="48" t="s">
        <v>2069</v>
      </c>
      <c r="CP101" s="48" t="s">
        <v>1710</v>
      </c>
      <c r="CQ101" s="48" t="s">
        <v>1710</v>
      </c>
      <c r="CR101" s="48" t="s">
        <v>1710</v>
      </c>
      <c r="CS101" s="48" t="s">
        <v>1710</v>
      </c>
      <c r="CT101" s="48" t="s">
        <v>1710</v>
      </c>
      <c r="CU101" s="48" t="s">
        <v>1712</v>
      </c>
      <c r="CV101" s="48" t="s">
        <v>1710</v>
      </c>
      <c r="CW101" s="48" t="s">
        <v>1710</v>
      </c>
      <c r="CX101" s="48" t="s">
        <v>3014</v>
      </c>
      <c r="CY101" s="48" t="s">
        <v>1710</v>
      </c>
      <c r="CZ101" s="48" t="s">
        <v>1712</v>
      </c>
      <c r="DA101" s="48" t="s">
        <v>1710</v>
      </c>
      <c r="DB101" s="48" t="s">
        <v>1878</v>
      </c>
      <c r="DC101" s="48" t="s">
        <v>2070</v>
      </c>
      <c r="DD101" s="48" t="s">
        <v>1842</v>
      </c>
      <c r="DE101" s="48" t="s">
        <v>1886</v>
      </c>
      <c r="DF101" s="48" t="s">
        <v>3622</v>
      </c>
      <c r="DG101" s="48" t="s">
        <v>2071</v>
      </c>
      <c r="DH101" s="48" t="s">
        <v>1712</v>
      </c>
      <c r="DI101" s="48" t="s">
        <v>1710</v>
      </c>
      <c r="DJ101" s="48" t="s">
        <v>1710</v>
      </c>
      <c r="DK101" s="48" t="s">
        <v>1710</v>
      </c>
      <c r="DL101" s="48" t="s">
        <v>1710</v>
      </c>
      <c r="DM101" s="48" t="s">
        <v>1710</v>
      </c>
      <c r="DN101" s="48" t="s">
        <v>1710</v>
      </c>
      <c r="DO101" s="48" t="s">
        <v>1710</v>
      </c>
      <c r="DP101" s="48" t="s">
        <v>1710</v>
      </c>
      <c r="DQ101" s="48" t="s">
        <v>1710</v>
      </c>
      <c r="DR101" s="48" t="s">
        <v>2072</v>
      </c>
      <c r="DS101" s="48" t="s">
        <v>1710</v>
      </c>
      <c r="DT101" s="48" t="s">
        <v>1710</v>
      </c>
      <c r="DU101" s="48" t="s">
        <v>2547</v>
      </c>
      <c r="DV101" s="48" t="s">
        <v>2816</v>
      </c>
      <c r="DW101" s="48" t="s">
        <v>1710</v>
      </c>
      <c r="DX101" s="48" t="s">
        <v>3623</v>
      </c>
      <c r="DY101" s="48" t="s">
        <v>1709</v>
      </c>
      <c r="DZ101" s="48" t="s">
        <v>2562</v>
      </c>
      <c r="EA101" s="48" t="s">
        <v>2546</v>
      </c>
      <c r="EB101">
        <v>0</v>
      </c>
      <c r="EC101" s="48" t="s">
        <v>2547</v>
      </c>
      <c r="ED101" s="48" t="s">
        <v>3624</v>
      </c>
      <c r="EE101" s="48" t="s">
        <v>1814</v>
      </c>
      <c r="EF101" s="48" t="s">
        <v>2616</v>
      </c>
      <c r="EG101" s="48" t="s">
        <v>3621</v>
      </c>
      <c r="EH101">
        <v>1.105</v>
      </c>
      <c r="EI101" s="48" t="s">
        <v>1888</v>
      </c>
      <c r="EJ101">
        <v>5</v>
      </c>
      <c r="EK101" s="48" t="s">
        <v>1887</v>
      </c>
      <c r="EL101">
        <v>1</v>
      </c>
      <c r="EM101" s="48" t="s">
        <v>1886</v>
      </c>
      <c r="EN101">
        <v>1.105</v>
      </c>
      <c r="EO101" s="48" t="s">
        <v>2617</v>
      </c>
      <c r="EP101" s="48" t="s">
        <v>3625</v>
      </c>
      <c r="EQ101">
        <v>470.96</v>
      </c>
      <c r="ER101">
        <v>470.96</v>
      </c>
      <c r="ES101">
        <v>646252</v>
      </c>
      <c r="ET101">
        <v>439</v>
      </c>
      <c r="EU101" s="48" t="s">
        <v>1710</v>
      </c>
      <c r="EV101" s="48" t="s">
        <v>1710</v>
      </c>
      <c r="EW101" s="48" t="s">
        <v>1712</v>
      </c>
      <c r="EX101" s="48" t="s">
        <v>1710</v>
      </c>
      <c r="EY101" s="48" t="s">
        <v>1843</v>
      </c>
      <c r="EZ101" s="48" t="s">
        <v>1710</v>
      </c>
      <c r="FA101" s="48" t="s">
        <v>1710</v>
      </c>
      <c r="FB101" s="48" t="s">
        <v>1712</v>
      </c>
      <c r="FC101" s="48" t="s">
        <v>1710</v>
      </c>
      <c r="FD101" s="48" t="s">
        <v>1710</v>
      </c>
      <c r="FE101" s="48" t="s">
        <v>1814</v>
      </c>
      <c r="FF101" s="48" t="s">
        <v>1815</v>
      </c>
      <c r="FG101" s="48" t="s">
        <v>1710</v>
      </c>
      <c r="FH101">
        <v>5</v>
      </c>
      <c r="FI101" s="48" t="s">
        <v>1846</v>
      </c>
      <c r="FJ101">
        <v>470.96</v>
      </c>
      <c r="FK101">
        <v>94.191999999999993</v>
      </c>
      <c r="FL101" s="48" t="s">
        <v>3626</v>
      </c>
      <c r="FM101" s="48" t="s">
        <v>3625</v>
      </c>
      <c r="FN101" s="48" t="s">
        <v>1710</v>
      </c>
      <c r="FO101" s="48" t="s">
        <v>1710</v>
      </c>
      <c r="FP101" s="48" t="s">
        <v>1710</v>
      </c>
      <c r="FQ101" s="48" t="s">
        <v>1710</v>
      </c>
      <c r="FR101" s="48" t="s">
        <v>1710</v>
      </c>
      <c r="FS101" s="48" t="s">
        <v>1710</v>
      </c>
      <c r="FT101" s="48" t="s">
        <v>1710</v>
      </c>
      <c r="FU101" s="48" t="s">
        <v>1710</v>
      </c>
      <c r="FV101" s="48"/>
      <c r="FW101" s="56"/>
      <c r="FX101" s="56"/>
      <c r="FY101" s="56"/>
      <c r="FZ101" s="56"/>
      <c r="GA101" s="55" t="str">
        <f t="shared" si="5"/>
        <v>4388426300397X</v>
      </c>
      <c r="GB101" t="str">
        <f>VLOOKUP(B101,수출코드!$C$2:$D$4,2,FALSE)</f>
        <v>Suwon</v>
      </c>
      <c r="GC101" t="str">
        <f>VLOOKUP(L101,수출코드!$A$2:$B$6,2,FALSE)</f>
        <v/>
      </c>
      <c r="GD101" t="str">
        <f>VLOOKUP(M101,수출코드!$E$2:$F$5,2,FALSE)</f>
        <v>일반</v>
      </c>
      <c r="GE101" s="61">
        <f t="shared" si="3"/>
        <v>45972.613194444442</v>
      </c>
      <c r="GF101" s="62">
        <f t="shared" si="4"/>
        <v>46049.727777777778</v>
      </c>
      <c r="GI101" s="48" t="s">
        <v>2754</v>
      </c>
    </row>
    <row r="102" spans="1:191">
      <c r="A102" s="48" t="s">
        <v>3627</v>
      </c>
      <c r="B102" s="48" t="s">
        <v>1821</v>
      </c>
      <c r="C102" s="48" t="s">
        <v>2048</v>
      </c>
      <c r="D102" s="48" t="s">
        <v>2813</v>
      </c>
      <c r="E102" s="48" t="s">
        <v>3627</v>
      </c>
      <c r="F102" s="48" t="s">
        <v>1710</v>
      </c>
      <c r="G102" s="48" t="s">
        <v>2814</v>
      </c>
      <c r="H102" s="48" t="s">
        <v>3628</v>
      </c>
      <c r="I102" s="48" t="s">
        <v>1884</v>
      </c>
      <c r="J102" s="48" t="s">
        <v>2850</v>
      </c>
      <c r="K102" s="48" t="s">
        <v>1877</v>
      </c>
      <c r="L102" s="48" t="s">
        <v>1844</v>
      </c>
      <c r="M102" s="48" t="s">
        <v>1810</v>
      </c>
      <c r="N102" s="48" t="s">
        <v>1842</v>
      </c>
      <c r="O102" s="48" t="s">
        <v>1811</v>
      </c>
      <c r="P102" s="48" t="s">
        <v>2549</v>
      </c>
      <c r="Q102" s="48" t="s">
        <v>2049</v>
      </c>
      <c r="R102" s="48" t="s">
        <v>1838</v>
      </c>
      <c r="S102" s="48" t="s">
        <v>2050</v>
      </c>
      <c r="T102" s="48" t="s">
        <v>1845</v>
      </c>
      <c r="U102" s="48" t="s">
        <v>2049</v>
      </c>
      <c r="V102" s="48" t="s">
        <v>1838</v>
      </c>
      <c r="W102" s="48" t="s">
        <v>2051</v>
      </c>
      <c r="X102" s="48" t="s">
        <v>2052</v>
      </c>
      <c r="Y102" s="48" t="s">
        <v>2050</v>
      </c>
      <c r="Z102" s="48" t="s">
        <v>2053</v>
      </c>
      <c r="AA102" s="48" t="s">
        <v>2054</v>
      </c>
      <c r="AB102" s="48" t="s">
        <v>2817</v>
      </c>
      <c r="AC102" s="48" t="s">
        <v>2055</v>
      </c>
      <c r="AD102" s="48" t="s">
        <v>2056</v>
      </c>
      <c r="AE102" s="48" t="s">
        <v>1710</v>
      </c>
      <c r="AF102" s="48" t="s">
        <v>1710</v>
      </c>
      <c r="AG102" s="48" t="s">
        <v>2057</v>
      </c>
      <c r="AH102" s="48" t="s">
        <v>1815</v>
      </c>
      <c r="AI102" s="48" t="s">
        <v>2058</v>
      </c>
      <c r="AJ102" s="48" t="s">
        <v>1710</v>
      </c>
      <c r="AK102" s="48" t="s">
        <v>2099</v>
      </c>
      <c r="AL102" s="48" t="s">
        <v>1866</v>
      </c>
      <c r="AM102" s="48" t="s">
        <v>1816</v>
      </c>
      <c r="AN102" s="48" t="s">
        <v>2054</v>
      </c>
      <c r="AO102" s="48" t="s">
        <v>1710</v>
      </c>
      <c r="AP102" s="48" t="s">
        <v>1854</v>
      </c>
      <c r="AQ102" s="48" t="s">
        <v>2081</v>
      </c>
      <c r="AR102" s="48" t="s">
        <v>1812</v>
      </c>
      <c r="AS102" s="48" t="s">
        <v>1813</v>
      </c>
      <c r="AT102" s="48" t="s">
        <v>1826</v>
      </c>
      <c r="AU102" s="48" t="s">
        <v>2061</v>
      </c>
      <c r="AV102" s="48" t="s">
        <v>2850</v>
      </c>
      <c r="AW102" s="48" t="s">
        <v>2062</v>
      </c>
      <c r="AX102" s="48" t="s">
        <v>2063</v>
      </c>
      <c r="AY102" s="48" t="s">
        <v>1710</v>
      </c>
      <c r="AZ102" s="48" t="s">
        <v>3629</v>
      </c>
      <c r="BA102" s="48" t="s">
        <v>1710</v>
      </c>
      <c r="BB102" s="48" t="s">
        <v>1709</v>
      </c>
      <c r="BC102" s="48" t="s">
        <v>1710</v>
      </c>
      <c r="BD102" s="48" t="s">
        <v>2097</v>
      </c>
      <c r="BE102" s="52" t="s">
        <v>3488</v>
      </c>
      <c r="BF102" s="48" t="s">
        <v>1710</v>
      </c>
      <c r="BG102" s="48" t="s">
        <v>1814</v>
      </c>
      <c r="BH102">
        <v>4</v>
      </c>
      <c r="BI102" s="48" t="s">
        <v>1888</v>
      </c>
      <c r="BJ102">
        <v>1</v>
      </c>
      <c r="BK102">
        <v>1473.06</v>
      </c>
      <c r="BL102">
        <v>1289224</v>
      </c>
      <c r="BM102">
        <v>875</v>
      </c>
      <c r="BN102" s="48" t="s">
        <v>2064</v>
      </c>
      <c r="BO102" s="48" t="s">
        <v>2065</v>
      </c>
      <c r="BP102">
        <v>1473.06</v>
      </c>
      <c r="BQ102">
        <v>922.45</v>
      </c>
      <c r="BR102" s="48" t="s">
        <v>1885</v>
      </c>
      <c r="BS102" s="48" t="s">
        <v>2066</v>
      </c>
      <c r="BT102">
        <v>1</v>
      </c>
      <c r="BU102">
        <v>69600</v>
      </c>
      <c r="BV102">
        <v>69600</v>
      </c>
      <c r="BW102" s="48" t="s">
        <v>2065</v>
      </c>
      <c r="BX102">
        <v>1473.06</v>
      </c>
      <c r="BY102">
        <v>0</v>
      </c>
      <c r="BZ102">
        <v>0</v>
      </c>
      <c r="CA102" s="48" t="s">
        <v>2065</v>
      </c>
      <c r="CB102">
        <v>1473.06</v>
      </c>
      <c r="CC102">
        <v>0</v>
      </c>
      <c r="CD102">
        <v>0</v>
      </c>
      <c r="CE102" s="48" t="s">
        <v>1710</v>
      </c>
      <c r="CF102" s="48" t="s">
        <v>1710</v>
      </c>
      <c r="CG102" s="48" t="s">
        <v>1710</v>
      </c>
      <c r="CH102" s="48" t="s">
        <v>1710</v>
      </c>
      <c r="CI102" s="48" t="s">
        <v>2067</v>
      </c>
      <c r="CJ102" s="48" t="s">
        <v>1710</v>
      </c>
      <c r="CL102" s="48" t="s">
        <v>2850</v>
      </c>
      <c r="CM102" s="48" t="s">
        <v>1710</v>
      </c>
      <c r="CN102" s="48" t="s">
        <v>2068</v>
      </c>
      <c r="CO102" s="48" t="s">
        <v>2069</v>
      </c>
      <c r="CP102" s="48" t="s">
        <v>1710</v>
      </c>
      <c r="CQ102" s="48" t="s">
        <v>1710</v>
      </c>
      <c r="CR102" s="48" t="s">
        <v>1710</v>
      </c>
      <c r="CS102" s="48" t="s">
        <v>1710</v>
      </c>
      <c r="CT102" s="48" t="s">
        <v>1710</v>
      </c>
      <c r="CU102" s="48" t="s">
        <v>1712</v>
      </c>
      <c r="CV102" s="48" t="s">
        <v>1710</v>
      </c>
      <c r="CW102" s="48" t="s">
        <v>1710</v>
      </c>
      <c r="CX102" s="48" t="s">
        <v>3014</v>
      </c>
      <c r="CY102" s="48" t="s">
        <v>1710</v>
      </c>
      <c r="CZ102" s="48" t="s">
        <v>1712</v>
      </c>
      <c r="DA102" s="48" t="s">
        <v>1710</v>
      </c>
      <c r="DB102" s="48" t="s">
        <v>1878</v>
      </c>
      <c r="DC102" s="48" t="s">
        <v>2070</v>
      </c>
      <c r="DD102" s="48" t="s">
        <v>1842</v>
      </c>
      <c r="DE102" s="48" t="s">
        <v>1886</v>
      </c>
      <c r="DF102" s="48" t="s">
        <v>3630</v>
      </c>
      <c r="DG102" s="48" t="s">
        <v>2071</v>
      </c>
      <c r="DH102" s="48" t="s">
        <v>1712</v>
      </c>
      <c r="DI102" s="48" t="s">
        <v>1710</v>
      </c>
      <c r="DJ102" s="48" t="s">
        <v>1710</v>
      </c>
      <c r="DK102" s="48" t="s">
        <v>1710</v>
      </c>
      <c r="DL102" s="48" t="s">
        <v>1710</v>
      </c>
      <c r="DM102" s="48" t="s">
        <v>1710</v>
      </c>
      <c r="DN102" s="48" t="s">
        <v>1710</v>
      </c>
      <c r="DO102" s="48" t="s">
        <v>1710</v>
      </c>
      <c r="DP102" s="48" t="s">
        <v>1710</v>
      </c>
      <c r="DQ102" s="48" t="s">
        <v>1710</v>
      </c>
      <c r="DR102" s="48" t="s">
        <v>2072</v>
      </c>
      <c r="DS102" s="48" t="s">
        <v>1710</v>
      </c>
      <c r="DT102" s="48" t="s">
        <v>1710</v>
      </c>
      <c r="DU102" s="48" t="s">
        <v>2547</v>
      </c>
      <c r="DV102" s="48" t="s">
        <v>3111</v>
      </c>
      <c r="DW102" s="48" t="s">
        <v>1710</v>
      </c>
      <c r="DX102" s="48" t="s">
        <v>3631</v>
      </c>
      <c r="DY102" s="48" t="s">
        <v>1709</v>
      </c>
      <c r="DZ102" s="48" t="s">
        <v>2084</v>
      </c>
      <c r="EA102" s="48" t="s">
        <v>2546</v>
      </c>
      <c r="EB102">
        <v>0</v>
      </c>
      <c r="EC102" s="48" t="s">
        <v>2547</v>
      </c>
      <c r="ED102" s="48" t="s">
        <v>3632</v>
      </c>
      <c r="EE102" s="48" t="s">
        <v>1814</v>
      </c>
      <c r="EF102" s="48" t="s">
        <v>3633</v>
      </c>
      <c r="EG102" s="48" t="s">
        <v>3629</v>
      </c>
      <c r="EH102">
        <v>2</v>
      </c>
      <c r="EI102" s="48" t="s">
        <v>1888</v>
      </c>
      <c r="EJ102">
        <v>1</v>
      </c>
      <c r="EK102" s="48" t="s">
        <v>1887</v>
      </c>
      <c r="EL102">
        <v>1</v>
      </c>
      <c r="EM102" s="48" t="s">
        <v>1886</v>
      </c>
      <c r="EN102">
        <v>2</v>
      </c>
      <c r="EO102" s="48" t="s">
        <v>3634</v>
      </c>
      <c r="EP102" s="48" t="s">
        <v>3635</v>
      </c>
      <c r="EQ102">
        <v>922.45</v>
      </c>
      <c r="ER102">
        <v>922.45</v>
      </c>
      <c r="ES102">
        <v>1289224</v>
      </c>
      <c r="ET102">
        <v>875</v>
      </c>
      <c r="EU102" s="48" t="s">
        <v>1710</v>
      </c>
      <c r="EV102" s="48" t="s">
        <v>1710</v>
      </c>
      <c r="EW102" s="48" t="s">
        <v>1712</v>
      </c>
      <c r="EX102" s="48" t="s">
        <v>1710</v>
      </c>
      <c r="EY102" s="48" t="s">
        <v>1848</v>
      </c>
      <c r="EZ102" s="48" t="s">
        <v>1710</v>
      </c>
      <c r="FA102" s="48" t="s">
        <v>1710</v>
      </c>
      <c r="FB102" s="48" t="s">
        <v>1712</v>
      </c>
      <c r="FC102" s="48" t="s">
        <v>1710</v>
      </c>
      <c r="FD102" s="48" t="s">
        <v>1710</v>
      </c>
      <c r="FE102" s="48" t="s">
        <v>1814</v>
      </c>
      <c r="FF102" s="48" t="s">
        <v>1815</v>
      </c>
      <c r="FG102" s="48" t="s">
        <v>1710</v>
      </c>
      <c r="FH102">
        <v>1</v>
      </c>
      <c r="FI102" s="48" t="s">
        <v>1846</v>
      </c>
      <c r="FJ102">
        <v>922.45</v>
      </c>
      <c r="FK102">
        <v>922.45</v>
      </c>
      <c r="FL102" s="48" t="s">
        <v>3636</v>
      </c>
      <c r="FM102" s="48" t="s">
        <v>3635</v>
      </c>
      <c r="FN102" s="48" t="s">
        <v>1710</v>
      </c>
      <c r="FO102" s="48" t="s">
        <v>1710</v>
      </c>
      <c r="FP102" s="48" t="s">
        <v>1710</v>
      </c>
      <c r="FQ102" s="48" t="s">
        <v>1710</v>
      </c>
      <c r="FR102" s="48" t="s">
        <v>1710</v>
      </c>
      <c r="FS102" s="48" t="s">
        <v>1710</v>
      </c>
      <c r="FT102" s="48" t="s">
        <v>1710</v>
      </c>
      <c r="FU102" s="48" t="s">
        <v>1710</v>
      </c>
      <c r="FV102" s="48"/>
      <c r="FW102" s="56"/>
      <c r="FX102" s="56"/>
      <c r="FY102" s="56"/>
      <c r="FZ102" s="56"/>
      <c r="GA102" s="55" t="str">
        <f t="shared" si="5"/>
        <v>4388426300398X</v>
      </c>
      <c r="GB102" t="str">
        <f>VLOOKUP(B102,수출코드!$C$2:$D$4,2,FALSE)</f>
        <v>Suwon</v>
      </c>
      <c r="GC102" t="str">
        <f>VLOOKUP(L102,수출코드!$A$2:$B$6,2,FALSE)</f>
        <v>화면심사</v>
      </c>
      <c r="GD102" t="str">
        <f>VLOOKUP(M102,수출코드!$E$2:$F$5,2,FALSE)</f>
        <v>일반</v>
      </c>
      <c r="GE102" s="61">
        <f t="shared" si="3"/>
        <v>45972.613194444442</v>
      </c>
      <c r="GF102" s="62">
        <f t="shared" si="4"/>
        <v>46049.740972222222</v>
      </c>
      <c r="GI102" s="48" t="s">
        <v>2754</v>
      </c>
    </row>
    <row r="103" spans="1:191">
      <c r="A103" s="48" t="s">
        <v>3637</v>
      </c>
      <c r="B103" s="48" t="s">
        <v>1821</v>
      </c>
      <c r="C103" s="48" t="s">
        <v>2048</v>
      </c>
      <c r="D103" s="48" t="s">
        <v>2813</v>
      </c>
      <c r="E103" s="48" t="s">
        <v>3637</v>
      </c>
      <c r="F103" s="48" t="s">
        <v>1710</v>
      </c>
      <c r="G103" s="48" t="s">
        <v>2814</v>
      </c>
      <c r="H103" s="48" t="s">
        <v>3638</v>
      </c>
      <c r="I103" s="48" t="s">
        <v>1884</v>
      </c>
      <c r="J103" s="48" t="s">
        <v>2850</v>
      </c>
      <c r="K103" s="48" t="s">
        <v>1877</v>
      </c>
      <c r="L103" s="48" t="s">
        <v>1842</v>
      </c>
      <c r="M103" s="48" t="s">
        <v>1810</v>
      </c>
      <c r="N103" s="48" t="s">
        <v>1842</v>
      </c>
      <c r="O103" s="48" t="s">
        <v>1811</v>
      </c>
      <c r="P103" s="48" t="s">
        <v>2549</v>
      </c>
      <c r="Q103" s="48" t="s">
        <v>2049</v>
      </c>
      <c r="R103" s="48" t="s">
        <v>1838</v>
      </c>
      <c r="S103" s="48" t="s">
        <v>2050</v>
      </c>
      <c r="T103" s="48" t="s">
        <v>1845</v>
      </c>
      <c r="U103" s="48" t="s">
        <v>2049</v>
      </c>
      <c r="V103" s="48" t="s">
        <v>1838</v>
      </c>
      <c r="W103" s="48" t="s">
        <v>2051</v>
      </c>
      <c r="X103" s="48" t="s">
        <v>2052</v>
      </c>
      <c r="Y103" s="48" t="s">
        <v>2050</v>
      </c>
      <c r="Z103" s="48" t="s">
        <v>2053</v>
      </c>
      <c r="AA103" s="48" t="s">
        <v>2054</v>
      </c>
      <c r="AB103" s="48" t="s">
        <v>2817</v>
      </c>
      <c r="AC103" s="48" t="s">
        <v>2055</v>
      </c>
      <c r="AD103" s="48" t="s">
        <v>2056</v>
      </c>
      <c r="AE103" s="48" t="s">
        <v>1710</v>
      </c>
      <c r="AF103" s="48" t="s">
        <v>1710</v>
      </c>
      <c r="AG103" s="48" t="s">
        <v>2057</v>
      </c>
      <c r="AH103" s="48" t="s">
        <v>1815</v>
      </c>
      <c r="AI103" s="48" t="s">
        <v>2058</v>
      </c>
      <c r="AJ103" s="48" t="s">
        <v>1710</v>
      </c>
      <c r="AK103" s="48" t="s">
        <v>2059</v>
      </c>
      <c r="AL103" s="48" t="s">
        <v>1858</v>
      </c>
      <c r="AM103" s="48" t="s">
        <v>1816</v>
      </c>
      <c r="AN103" s="48" t="s">
        <v>2054</v>
      </c>
      <c r="AO103" s="48" t="s">
        <v>1710</v>
      </c>
      <c r="AP103" s="48" t="s">
        <v>1848</v>
      </c>
      <c r="AQ103" s="48" t="s">
        <v>2060</v>
      </c>
      <c r="AR103" s="48" t="s">
        <v>1812</v>
      </c>
      <c r="AS103" s="48" t="s">
        <v>1813</v>
      </c>
      <c r="AT103" s="48" t="s">
        <v>1826</v>
      </c>
      <c r="AU103" s="48" t="s">
        <v>2061</v>
      </c>
      <c r="AV103" s="48" t="s">
        <v>2850</v>
      </c>
      <c r="AW103" s="48" t="s">
        <v>2062</v>
      </c>
      <c r="AX103" s="48" t="s">
        <v>2063</v>
      </c>
      <c r="AY103" s="48" t="s">
        <v>1710</v>
      </c>
      <c r="AZ103" s="48" t="s">
        <v>3639</v>
      </c>
      <c r="BA103" s="48" t="s">
        <v>1710</v>
      </c>
      <c r="BB103" s="48" t="s">
        <v>1709</v>
      </c>
      <c r="BC103" s="48" t="s">
        <v>1710</v>
      </c>
      <c r="BD103" s="48" t="s">
        <v>2097</v>
      </c>
      <c r="BE103" s="52" t="s">
        <v>3488</v>
      </c>
      <c r="BF103" s="48" t="s">
        <v>1710</v>
      </c>
      <c r="BG103" s="48" t="s">
        <v>1814</v>
      </c>
      <c r="BH103">
        <v>1</v>
      </c>
      <c r="BI103" s="48" t="s">
        <v>1888</v>
      </c>
      <c r="BJ103">
        <v>1</v>
      </c>
      <c r="BK103">
        <v>1473.06</v>
      </c>
      <c r="BL103">
        <v>596527</v>
      </c>
      <c r="BM103">
        <v>405</v>
      </c>
      <c r="BN103" s="48" t="s">
        <v>2064</v>
      </c>
      <c r="BO103" s="48" t="s">
        <v>2065</v>
      </c>
      <c r="BP103">
        <v>1473.06</v>
      </c>
      <c r="BQ103">
        <v>427.7</v>
      </c>
      <c r="BR103" s="48" t="s">
        <v>1885</v>
      </c>
      <c r="BS103" s="48" t="s">
        <v>2066</v>
      </c>
      <c r="BT103">
        <v>1</v>
      </c>
      <c r="BU103">
        <v>33500</v>
      </c>
      <c r="BV103">
        <v>33500</v>
      </c>
      <c r="BW103" s="48" t="s">
        <v>2065</v>
      </c>
      <c r="BX103">
        <v>1473.06</v>
      </c>
      <c r="BY103">
        <v>0</v>
      </c>
      <c r="BZ103">
        <v>0</v>
      </c>
      <c r="CA103" s="48" t="s">
        <v>2065</v>
      </c>
      <c r="CB103">
        <v>1473.06</v>
      </c>
      <c r="CC103">
        <v>0</v>
      </c>
      <c r="CD103">
        <v>0</v>
      </c>
      <c r="CE103" s="48" t="s">
        <v>1710</v>
      </c>
      <c r="CF103" s="48" t="s">
        <v>1710</v>
      </c>
      <c r="CG103" s="48" t="s">
        <v>1710</v>
      </c>
      <c r="CH103" s="48" t="s">
        <v>1710</v>
      </c>
      <c r="CI103" s="48" t="s">
        <v>2067</v>
      </c>
      <c r="CJ103" s="48" t="s">
        <v>1710</v>
      </c>
      <c r="CL103" s="48" t="s">
        <v>2850</v>
      </c>
      <c r="CM103" s="48" t="s">
        <v>1710</v>
      </c>
      <c r="CN103" s="48" t="s">
        <v>2068</v>
      </c>
      <c r="CO103" s="48" t="s">
        <v>2069</v>
      </c>
      <c r="CP103" s="48" t="s">
        <v>1710</v>
      </c>
      <c r="CQ103" s="48" t="s">
        <v>1710</v>
      </c>
      <c r="CR103" s="48" t="s">
        <v>1710</v>
      </c>
      <c r="CS103" s="48" t="s">
        <v>1710</v>
      </c>
      <c r="CT103" s="48" t="s">
        <v>1710</v>
      </c>
      <c r="CU103" s="48" t="s">
        <v>1712</v>
      </c>
      <c r="CV103" s="48" t="s">
        <v>1710</v>
      </c>
      <c r="CW103" s="48" t="s">
        <v>1710</v>
      </c>
      <c r="CX103" s="48" t="s">
        <v>3014</v>
      </c>
      <c r="CY103" s="48" t="s">
        <v>1710</v>
      </c>
      <c r="CZ103" s="48" t="s">
        <v>1712</v>
      </c>
      <c r="DA103" s="48" t="s">
        <v>1710</v>
      </c>
      <c r="DB103" s="48" t="s">
        <v>1878</v>
      </c>
      <c r="DC103" s="48" t="s">
        <v>2070</v>
      </c>
      <c r="DD103" s="48" t="s">
        <v>1842</v>
      </c>
      <c r="DE103" s="48" t="s">
        <v>1886</v>
      </c>
      <c r="DF103" s="48" t="s">
        <v>3640</v>
      </c>
      <c r="DG103" s="48" t="s">
        <v>2071</v>
      </c>
      <c r="DH103" s="48" t="s">
        <v>1712</v>
      </c>
      <c r="DI103" s="48" t="s">
        <v>1710</v>
      </c>
      <c r="DJ103" s="48" t="s">
        <v>1710</v>
      </c>
      <c r="DK103" s="48" t="s">
        <v>1710</v>
      </c>
      <c r="DL103" s="48" t="s">
        <v>1710</v>
      </c>
      <c r="DM103" s="48" t="s">
        <v>1710</v>
      </c>
      <c r="DN103" s="48" t="s">
        <v>1710</v>
      </c>
      <c r="DO103" s="48" t="s">
        <v>1710</v>
      </c>
      <c r="DP103" s="48" t="s">
        <v>1710</v>
      </c>
      <c r="DQ103" s="48" t="s">
        <v>1710</v>
      </c>
      <c r="DR103" s="48" t="s">
        <v>2072</v>
      </c>
      <c r="DS103" s="48" t="s">
        <v>1710</v>
      </c>
      <c r="DT103" s="48" t="s">
        <v>1710</v>
      </c>
      <c r="DU103" s="48" t="s">
        <v>2547</v>
      </c>
      <c r="DV103" s="48" t="s">
        <v>2816</v>
      </c>
      <c r="DW103" s="48" t="s">
        <v>1710</v>
      </c>
      <c r="DX103" s="48" t="s">
        <v>3641</v>
      </c>
      <c r="DY103" s="48" t="s">
        <v>1709</v>
      </c>
      <c r="DZ103" s="48" t="s">
        <v>2562</v>
      </c>
      <c r="EA103" s="48" t="s">
        <v>2546</v>
      </c>
      <c r="EB103">
        <v>0</v>
      </c>
      <c r="EC103" s="48" t="s">
        <v>2547</v>
      </c>
      <c r="ED103" s="48" t="s">
        <v>3624</v>
      </c>
      <c r="EE103" s="48" t="s">
        <v>1814</v>
      </c>
      <c r="EF103" s="48" t="s">
        <v>2611</v>
      </c>
      <c r="EG103" s="48" t="s">
        <v>3639</v>
      </c>
      <c r="EH103">
        <v>0.15</v>
      </c>
      <c r="EI103" s="48" t="s">
        <v>1888</v>
      </c>
      <c r="EJ103">
        <v>0</v>
      </c>
      <c r="EK103" s="48" t="s">
        <v>1710</v>
      </c>
      <c r="EL103">
        <v>1</v>
      </c>
      <c r="EM103" s="48" t="s">
        <v>1886</v>
      </c>
      <c r="EN103">
        <v>0.15</v>
      </c>
      <c r="EO103" s="48" t="s">
        <v>2612</v>
      </c>
      <c r="EP103" s="48" t="s">
        <v>3642</v>
      </c>
      <c r="EQ103">
        <v>427.7</v>
      </c>
      <c r="ER103">
        <v>427.7</v>
      </c>
      <c r="ES103">
        <v>596527</v>
      </c>
      <c r="ET103">
        <v>405</v>
      </c>
      <c r="EU103" s="48" t="s">
        <v>1710</v>
      </c>
      <c r="EV103" s="48" t="s">
        <v>1710</v>
      </c>
      <c r="EW103" s="48" t="s">
        <v>1712</v>
      </c>
      <c r="EX103" s="48" t="s">
        <v>1710</v>
      </c>
      <c r="EY103" s="48" t="s">
        <v>1873</v>
      </c>
      <c r="EZ103" s="48" t="s">
        <v>1710</v>
      </c>
      <c r="FA103" s="48" t="s">
        <v>1710</v>
      </c>
      <c r="FB103" s="48" t="s">
        <v>1712</v>
      </c>
      <c r="FC103" s="48" t="s">
        <v>1710</v>
      </c>
      <c r="FD103" s="48" t="s">
        <v>1710</v>
      </c>
      <c r="FE103" s="48" t="s">
        <v>1814</v>
      </c>
      <c r="FF103" s="48" t="s">
        <v>1815</v>
      </c>
      <c r="FG103" s="48" t="s">
        <v>1710</v>
      </c>
      <c r="FH103">
        <v>50</v>
      </c>
      <c r="FI103" s="48" t="s">
        <v>1846</v>
      </c>
      <c r="FJ103">
        <v>427.7</v>
      </c>
      <c r="FK103">
        <v>8.5540000000000003</v>
      </c>
      <c r="FL103" s="48" t="s">
        <v>3643</v>
      </c>
      <c r="FM103" s="48" t="s">
        <v>3642</v>
      </c>
      <c r="FN103" s="48" t="s">
        <v>1710</v>
      </c>
      <c r="FO103" s="48" t="s">
        <v>1710</v>
      </c>
      <c r="FP103" s="48" t="s">
        <v>1710</v>
      </c>
      <c r="FQ103" s="48" t="s">
        <v>1710</v>
      </c>
      <c r="FR103" s="48" t="s">
        <v>1710</v>
      </c>
      <c r="FS103" s="48" t="s">
        <v>1710</v>
      </c>
      <c r="FT103" s="48" t="s">
        <v>1710</v>
      </c>
      <c r="FU103" s="48" t="s">
        <v>1710</v>
      </c>
      <c r="FV103" s="48"/>
      <c r="FW103" s="56"/>
      <c r="FX103" s="56"/>
      <c r="FY103" s="56"/>
      <c r="FZ103" s="56"/>
      <c r="GA103" s="55" t="str">
        <f t="shared" si="5"/>
        <v>4388426300399X</v>
      </c>
      <c r="GB103" t="str">
        <f>VLOOKUP(B103,수출코드!$C$2:$D$4,2,FALSE)</f>
        <v>Suwon</v>
      </c>
      <c r="GC103" t="str">
        <f>VLOOKUP(L103,수출코드!$A$2:$B$6,2,FALSE)</f>
        <v/>
      </c>
      <c r="GD103" t="str">
        <f>VLOOKUP(M103,수출코드!$E$2:$F$5,2,FALSE)</f>
        <v>일반</v>
      </c>
      <c r="GE103" s="61">
        <f t="shared" si="3"/>
        <v>45972.613194444442</v>
      </c>
      <c r="GF103" s="62">
        <f t="shared" si="4"/>
        <v>46049.727777777778</v>
      </c>
      <c r="GI103" s="48" t="s">
        <v>2754</v>
      </c>
    </row>
    <row r="104" spans="1:191">
      <c r="A104" s="48" t="s">
        <v>3644</v>
      </c>
      <c r="B104" s="48" t="s">
        <v>1821</v>
      </c>
      <c r="C104" s="48" t="s">
        <v>2048</v>
      </c>
      <c r="D104" s="48" t="s">
        <v>2813</v>
      </c>
      <c r="E104" s="48" t="s">
        <v>3644</v>
      </c>
      <c r="F104" s="48" t="s">
        <v>1710</v>
      </c>
      <c r="G104" s="48" t="s">
        <v>2814</v>
      </c>
      <c r="H104" s="48" t="s">
        <v>3645</v>
      </c>
      <c r="I104" s="48" t="s">
        <v>1884</v>
      </c>
      <c r="J104" s="48" t="s">
        <v>2850</v>
      </c>
      <c r="K104" s="48" t="s">
        <v>1877</v>
      </c>
      <c r="L104" s="48" t="s">
        <v>1842</v>
      </c>
      <c r="M104" s="48" t="s">
        <v>1810</v>
      </c>
      <c r="N104" s="48" t="s">
        <v>1842</v>
      </c>
      <c r="O104" s="48" t="s">
        <v>1811</v>
      </c>
      <c r="P104" s="48" t="s">
        <v>2549</v>
      </c>
      <c r="Q104" s="48" t="s">
        <v>2049</v>
      </c>
      <c r="R104" s="48" t="s">
        <v>1838</v>
      </c>
      <c r="S104" s="48" t="s">
        <v>2050</v>
      </c>
      <c r="T104" s="48" t="s">
        <v>1845</v>
      </c>
      <c r="U104" s="48" t="s">
        <v>2049</v>
      </c>
      <c r="V104" s="48" t="s">
        <v>1838</v>
      </c>
      <c r="W104" s="48" t="s">
        <v>2051</v>
      </c>
      <c r="X104" s="48" t="s">
        <v>2052</v>
      </c>
      <c r="Y104" s="48" t="s">
        <v>2050</v>
      </c>
      <c r="Z104" s="48" t="s">
        <v>2053</v>
      </c>
      <c r="AA104" s="48" t="s">
        <v>2054</v>
      </c>
      <c r="AB104" s="48" t="s">
        <v>2817</v>
      </c>
      <c r="AC104" s="48" t="s">
        <v>2055</v>
      </c>
      <c r="AD104" s="48" t="s">
        <v>2056</v>
      </c>
      <c r="AE104" s="48" t="s">
        <v>1710</v>
      </c>
      <c r="AF104" s="48" t="s">
        <v>1710</v>
      </c>
      <c r="AG104" s="48" t="s">
        <v>2057</v>
      </c>
      <c r="AH104" s="48" t="s">
        <v>1815</v>
      </c>
      <c r="AI104" s="48" t="s">
        <v>2058</v>
      </c>
      <c r="AJ104" s="48" t="s">
        <v>1710</v>
      </c>
      <c r="AK104" s="48" t="s">
        <v>2552</v>
      </c>
      <c r="AL104" s="48" t="s">
        <v>1858</v>
      </c>
      <c r="AM104" s="48" t="s">
        <v>1816</v>
      </c>
      <c r="AN104" s="48" t="s">
        <v>2054</v>
      </c>
      <c r="AO104" s="48" t="s">
        <v>1710</v>
      </c>
      <c r="AP104" s="48" t="s">
        <v>1848</v>
      </c>
      <c r="AQ104" s="48" t="s">
        <v>2060</v>
      </c>
      <c r="AR104" s="48" t="s">
        <v>1812</v>
      </c>
      <c r="AS104" s="48" t="s">
        <v>1813</v>
      </c>
      <c r="AT104" s="48" t="s">
        <v>1826</v>
      </c>
      <c r="AU104" s="48" t="s">
        <v>2061</v>
      </c>
      <c r="AV104" s="48" t="s">
        <v>2850</v>
      </c>
      <c r="AW104" s="48" t="s">
        <v>2062</v>
      </c>
      <c r="AX104" s="48" t="s">
        <v>2063</v>
      </c>
      <c r="AY104" s="48" t="s">
        <v>1710</v>
      </c>
      <c r="AZ104" s="48" t="s">
        <v>3646</v>
      </c>
      <c r="BA104" s="48" t="s">
        <v>1710</v>
      </c>
      <c r="BB104" s="48" t="s">
        <v>1709</v>
      </c>
      <c r="BC104" s="48" t="s">
        <v>1710</v>
      </c>
      <c r="BD104" s="48" t="s">
        <v>2097</v>
      </c>
      <c r="BE104" s="52" t="s">
        <v>3488</v>
      </c>
      <c r="BF104" s="48" t="s">
        <v>1710</v>
      </c>
      <c r="BG104" s="48" t="s">
        <v>1814</v>
      </c>
      <c r="BH104">
        <v>7</v>
      </c>
      <c r="BI104" s="48" t="s">
        <v>1888</v>
      </c>
      <c r="BJ104">
        <v>1</v>
      </c>
      <c r="BK104">
        <v>1473.06</v>
      </c>
      <c r="BL104">
        <v>5135708</v>
      </c>
      <c r="BM104">
        <v>3486</v>
      </c>
      <c r="BN104" s="48" t="s">
        <v>2064</v>
      </c>
      <c r="BO104" s="48" t="s">
        <v>2065</v>
      </c>
      <c r="BP104">
        <v>1473.06</v>
      </c>
      <c r="BQ104">
        <v>3564.83</v>
      </c>
      <c r="BR104" s="48" t="s">
        <v>1885</v>
      </c>
      <c r="BS104" s="48" t="s">
        <v>2066</v>
      </c>
      <c r="BT104">
        <v>1</v>
      </c>
      <c r="BU104">
        <v>115500</v>
      </c>
      <c r="BV104">
        <v>115500</v>
      </c>
      <c r="BW104" s="48" t="s">
        <v>2065</v>
      </c>
      <c r="BX104">
        <v>1473.06</v>
      </c>
      <c r="BY104">
        <v>0</v>
      </c>
      <c r="BZ104">
        <v>0</v>
      </c>
      <c r="CA104" s="48" t="s">
        <v>2065</v>
      </c>
      <c r="CB104">
        <v>1473.06</v>
      </c>
      <c r="CC104">
        <v>0</v>
      </c>
      <c r="CD104">
        <v>0</v>
      </c>
      <c r="CE104" s="48" t="s">
        <v>1710</v>
      </c>
      <c r="CF104" s="48" t="s">
        <v>1710</v>
      </c>
      <c r="CG104" s="48" t="s">
        <v>1710</v>
      </c>
      <c r="CH104" s="48" t="s">
        <v>1710</v>
      </c>
      <c r="CI104" s="48" t="s">
        <v>2067</v>
      </c>
      <c r="CJ104" s="48" t="s">
        <v>1710</v>
      </c>
      <c r="CL104" s="48" t="s">
        <v>2850</v>
      </c>
      <c r="CM104" s="48" t="s">
        <v>1710</v>
      </c>
      <c r="CN104" s="48" t="s">
        <v>2068</v>
      </c>
      <c r="CO104" s="48" t="s">
        <v>2069</v>
      </c>
      <c r="CP104" s="48" t="s">
        <v>1710</v>
      </c>
      <c r="CQ104" s="48" t="s">
        <v>1710</v>
      </c>
      <c r="CR104" s="48" t="s">
        <v>1710</v>
      </c>
      <c r="CS104" s="48" t="s">
        <v>1710</v>
      </c>
      <c r="CT104" s="48" t="s">
        <v>1710</v>
      </c>
      <c r="CU104" s="48" t="s">
        <v>1712</v>
      </c>
      <c r="CV104" s="48" t="s">
        <v>1710</v>
      </c>
      <c r="CW104" s="48" t="s">
        <v>1710</v>
      </c>
      <c r="CX104" s="48" t="s">
        <v>3014</v>
      </c>
      <c r="CY104" s="48" t="s">
        <v>1710</v>
      </c>
      <c r="CZ104" s="48" t="s">
        <v>1712</v>
      </c>
      <c r="DA104" s="48" t="s">
        <v>1710</v>
      </c>
      <c r="DB104" s="48" t="s">
        <v>1878</v>
      </c>
      <c r="DC104" s="48" t="s">
        <v>2070</v>
      </c>
      <c r="DD104" s="48" t="s">
        <v>1842</v>
      </c>
      <c r="DE104" s="48" t="s">
        <v>1886</v>
      </c>
      <c r="DF104" s="48" t="s">
        <v>3647</v>
      </c>
      <c r="DG104" s="48" t="s">
        <v>2071</v>
      </c>
      <c r="DH104" s="48" t="s">
        <v>1712</v>
      </c>
      <c r="DI104" s="48" t="s">
        <v>1710</v>
      </c>
      <c r="DJ104" s="48" t="s">
        <v>1710</v>
      </c>
      <c r="DK104" s="48" t="s">
        <v>1710</v>
      </c>
      <c r="DL104" s="48" t="s">
        <v>1710</v>
      </c>
      <c r="DM104" s="48" t="s">
        <v>1710</v>
      </c>
      <c r="DN104" s="48" t="s">
        <v>1710</v>
      </c>
      <c r="DO104" s="48" t="s">
        <v>1710</v>
      </c>
      <c r="DP104" s="48" t="s">
        <v>1710</v>
      </c>
      <c r="DQ104" s="48" t="s">
        <v>1710</v>
      </c>
      <c r="DR104" s="48" t="s">
        <v>2072</v>
      </c>
      <c r="DS104" s="48" t="s">
        <v>1710</v>
      </c>
      <c r="DT104" s="48" t="s">
        <v>1710</v>
      </c>
      <c r="DU104" s="48" t="s">
        <v>2547</v>
      </c>
      <c r="DV104" s="48" t="s">
        <v>2816</v>
      </c>
      <c r="DW104" s="48" t="s">
        <v>1710</v>
      </c>
      <c r="DX104" s="48" t="s">
        <v>3648</v>
      </c>
      <c r="DY104" s="48" t="s">
        <v>1709</v>
      </c>
      <c r="DZ104" s="48" t="s">
        <v>2562</v>
      </c>
      <c r="EA104" s="48" t="s">
        <v>2546</v>
      </c>
      <c r="EB104">
        <v>0</v>
      </c>
      <c r="EC104" s="48" t="s">
        <v>2547</v>
      </c>
      <c r="ED104" s="48" t="s">
        <v>3649</v>
      </c>
      <c r="EE104" s="48" t="s">
        <v>1814</v>
      </c>
      <c r="EF104" s="48" t="s">
        <v>1862</v>
      </c>
      <c r="EG104" s="48" t="s">
        <v>3646</v>
      </c>
      <c r="EH104">
        <v>6</v>
      </c>
      <c r="EI104" s="48" t="s">
        <v>1888</v>
      </c>
      <c r="EJ104">
        <v>0</v>
      </c>
      <c r="EK104" s="48" t="s">
        <v>1710</v>
      </c>
      <c r="EL104">
        <v>1</v>
      </c>
      <c r="EM104" s="48" t="s">
        <v>1886</v>
      </c>
      <c r="EN104">
        <v>6</v>
      </c>
      <c r="EO104" s="48" t="s">
        <v>2522</v>
      </c>
      <c r="EP104" s="48" t="s">
        <v>3650</v>
      </c>
      <c r="EQ104">
        <v>3564.83</v>
      </c>
      <c r="ER104">
        <v>3564.83</v>
      </c>
      <c r="ES104">
        <v>5135708</v>
      </c>
      <c r="ET104">
        <v>3486</v>
      </c>
      <c r="EU104" s="48" t="s">
        <v>1710</v>
      </c>
      <c r="EV104" s="48" t="s">
        <v>1710</v>
      </c>
      <c r="EW104" s="48" t="s">
        <v>1712</v>
      </c>
      <c r="EX104" s="48" t="s">
        <v>1710</v>
      </c>
      <c r="EY104" s="48" t="s">
        <v>1848</v>
      </c>
      <c r="EZ104" s="48" t="s">
        <v>1710</v>
      </c>
      <c r="FA104" s="48" t="s">
        <v>1710</v>
      </c>
      <c r="FB104" s="48" t="s">
        <v>1712</v>
      </c>
      <c r="FC104" s="48" t="s">
        <v>1710</v>
      </c>
      <c r="FD104" s="48" t="s">
        <v>1710</v>
      </c>
      <c r="FE104" s="48" t="s">
        <v>1814</v>
      </c>
      <c r="FF104" s="48" t="s">
        <v>1815</v>
      </c>
      <c r="FG104" s="48" t="s">
        <v>1710</v>
      </c>
      <c r="FH104">
        <v>1</v>
      </c>
      <c r="FI104" s="48" t="s">
        <v>1846</v>
      </c>
      <c r="FJ104">
        <v>3564.83</v>
      </c>
      <c r="FK104">
        <v>3564.83</v>
      </c>
      <c r="FL104" s="48" t="s">
        <v>3651</v>
      </c>
      <c r="FM104" s="48" t="s">
        <v>3650</v>
      </c>
      <c r="FN104" s="48" t="s">
        <v>1710</v>
      </c>
      <c r="FO104" s="48" t="s">
        <v>1710</v>
      </c>
      <c r="FP104" s="48" t="s">
        <v>1710</v>
      </c>
      <c r="FQ104" s="48" t="s">
        <v>1710</v>
      </c>
      <c r="FR104" s="48" t="s">
        <v>1710</v>
      </c>
      <c r="FS104" s="48" t="s">
        <v>1710</v>
      </c>
      <c r="FT104" s="48" t="s">
        <v>1710</v>
      </c>
      <c r="FU104" s="48" t="s">
        <v>1710</v>
      </c>
      <c r="FV104" s="48"/>
      <c r="FW104" s="56"/>
      <c r="FX104" s="56"/>
      <c r="FY104" s="56"/>
      <c r="FZ104" s="56"/>
      <c r="GA104" s="55" t="str">
        <f t="shared" si="5"/>
        <v>4388426300400X</v>
      </c>
      <c r="GB104" t="str">
        <f>VLOOKUP(B104,수출코드!$C$2:$D$4,2,FALSE)</f>
        <v>Suwon</v>
      </c>
      <c r="GC104" t="str">
        <f>VLOOKUP(L104,수출코드!$A$2:$B$6,2,FALSE)</f>
        <v/>
      </c>
      <c r="GD104" t="str">
        <f>VLOOKUP(M104,수출코드!$E$2:$F$5,2,FALSE)</f>
        <v>일반</v>
      </c>
      <c r="GE104" s="61">
        <f t="shared" si="3"/>
        <v>45972.613194444442</v>
      </c>
      <c r="GF104" s="62">
        <f t="shared" si="4"/>
        <v>46049.729861111111</v>
      </c>
      <c r="GI104" s="48" t="s">
        <v>2754</v>
      </c>
    </row>
    <row r="105" spans="1:191">
      <c r="A105" s="48" t="s">
        <v>3652</v>
      </c>
      <c r="B105" s="48" t="s">
        <v>1821</v>
      </c>
      <c r="C105" s="48" t="s">
        <v>2048</v>
      </c>
      <c r="D105" s="48" t="s">
        <v>2813</v>
      </c>
      <c r="E105" s="48" t="s">
        <v>3652</v>
      </c>
      <c r="F105" s="48" t="s">
        <v>1710</v>
      </c>
      <c r="G105" s="48" t="s">
        <v>2814</v>
      </c>
      <c r="H105" s="48" t="s">
        <v>3653</v>
      </c>
      <c r="I105" s="48" t="s">
        <v>1884</v>
      </c>
      <c r="J105" s="48" t="s">
        <v>2850</v>
      </c>
      <c r="K105" s="48" t="s">
        <v>1877</v>
      </c>
      <c r="L105" s="48" t="s">
        <v>1842</v>
      </c>
      <c r="M105" s="48" t="s">
        <v>1810</v>
      </c>
      <c r="N105" s="48" t="s">
        <v>1842</v>
      </c>
      <c r="O105" s="48" t="s">
        <v>1811</v>
      </c>
      <c r="P105" s="48" t="s">
        <v>2549</v>
      </c>
      <c r="Q105" s="48" t="s">
        <v>2049</v>
      </c>
      <c r="R105" s="48" t="s">
        <v>1838</v>
      </c>
      <c r="S105" s="48" t="s">
        <v>2050</v>
      </c>
      <c r="T105" s="48" t="s">
        <v>1845</v>
      </c>
      <c r="U105" s="48" t="s">
        <v>2049</v>
      </c>
      <c r="V105" s="48" t="s">
        <v>1838</v>
      </c>
      <c r="W105" s="48" t="s">
        <v>2051</v>
      </c>
      <c r="X105" s="48" t="s">
        <v>2052</v>
      </c>
      <c r="Y105" s="48" t="s">
        <v>2050</v>
      </c>
      <c r="Z105" s="48" t="s">
        <v>2053</v>
      </c>
      <c r="AA105" s="48" t="s">
        <v>2054</v>
      </c>
      <c r="AB105" s="48" t="s">
        <v>2817</v>
      </c>
      <c r="AC105" s="48" t="s">
        <v>2055</v>
      </c>
      <c r="AD105" s="48" t="s">
        <v>2056</v>
      </c>
      <c r="AE105" s="48" t="s">
        <v>1710</v>
      </c>
      <c r="AF105" s="48" t="s">
        <v>1710</v>
      </c>
      <c r="AG105" s="48" t="s">
        <v>2057</v>
      </c>
      <c r="AH105" s="48" t="s">
        <v>1815</v>
      </c>
      <c r="AI105" s="48" t="s">
        <v>2058</v>
      </c>
      <c r="AJ105" s="48" t="s">
        <v>1710</v>
      </c>
      <c r="AK105" s="48" t="s">
        <v>2574</v>
      </c>
      <c r="AL105" s="48" t="s">
        <v>2534</v>
      </c>
      <c r="AM105" s="48" t="s">
        <v>1816</v>
      </c>
      <c r="AN105" s="48" t="s">
        <v>2054</v>
      </c>
      <c r="AO105" s="48" t="s">
        <v>1710</v>
      </c>
      <c r="AP105" s="48" t="s">
        <v>1848</v>
      </c>
      <c r="AQ105" s="48" t="s">
        <v>2060</v>
      </c>
      <c r="AR105" s="48" t="s">
        <v>1812</v>
      </c>
      <c r="AS105" s="48" t="s">
        <v>1813</v>
      </c>
      <c r="AT105" s="48" t="s">
        <v>1826</v>
      </c>
      <c r="AU105" s="48" t="s">
        <v>2061</v>
      </c>
      <c r="AV105" s="48" t="s">
        <v>2850</v>
      </c>
      <c r="AW105" s="48" t="s">
        <v>2062</v>
      </c>
      <c r="AX105" s="48" t="s">
        <v>2063</v>
      </c>
      <c r="AY105" s="48" t="s">
        <v>1710</v>
      </c>
      <c r="AZ105" s="48" t="s">
        <v>3654</v>
      </c>
      <c r="BA105" s="48" t="s">
        <v>1710</v>
      </c>
      <c r="BB105" s="48" t="s">
        <v>1709</v>
      </c>
      <c r="BC105" s="48" t="s">
        <v>1710</v>
      </c>
      <c r="BD105" s="48" t="s">
        <v>2097</v>
      </c>
      <c r="BE105" s="52" t="s">
        <v>3488</v>
      </c>
      <c r="BF105" s="48" t="s">
        <v>1710</v>
      </c>
      <c r="BG105" s="48" t="s">
        <v>1814</v>
      </c>
      <c r="BH105">
        <v>3</v>
      </c>
      <c r="BI105" s="48" t="s">
        <v>1888</v>
      </c>
      <c r="BJ105">
        <v>1</v>
      </c>
      <c r="BK105">
        <v>1473.06</v>
      </c>
      <c r="BL105">
        <v>1551706</v>
      </c>
      <c r="BM105">
        <v>1053</v>
      </c>
      <c r="BN105" s="48" t="s">
        <v>2064</v>
      </c>
      <c r="BO105" s="48" t="s">
        <v>2065</v>
      </c>
      <c r="BP105">
        <v>1473.06</v>
      </c>
      <c r="BQ105">
        <v>1094.8</v>
      </c>
      <c r="BR105" s="48" t="s">
        <v>1885</v>
      </c>
      <c r="BS105" s="48" t="s">
        <v>2066</v>
      </c>
      <c r="BT105">
        <v>1</v>
      </c>
      <c r="BU105">
        <v>61000</v>
      </c>
      <c r="BV105">
        <v>61000</v>
      </c>
      <c r="BW105" s="48" t="s">
        <v>2065</v>
      </c>
      <c r="BX105">
        <v>1473.06</v>
      </c>
      <c r="BY105">
        <v>0</v>
      </c>
      <c r="BZ105">
        <v>0</v>
      </c>
      <c r="CA105" s="48" t="s">
        <v>2065</v>
      </c>
      <c r="CB105">
        <v>1473.06</v>
      </c>
      <c r="CC105">
        <v>0</v>
      </c>
      <c r="CD105">
        <v>0</v>
      </c>
      <c r="CE105" s="48" t="s">
        <v>1710</v>
      </c>
      <c r="CF105" s="48" t="s">
        <v>1710</v>
      </c>
      <c r="CG105" s="48" t="s">
        <v>1710</v>
      </c>
      <c r="CH105" s="48" t="s">
        <v>1710</v>
      </c>
      <c r="CI105" s="48" t="s">
        <v>2067</v>
      </c>
      <c r="CJ105" s="48" t="s">
        <v>1710</v>
      </c>
      <c r="CL105" s="48" t="s">
        <v>2850</v>
      </c>
      <c r="CM105" s="48" t="s">
        <v>1710</v>
      </c>
      <c r="CN105" s="48" t="s">
        <v>2068</v>
      </c>
      <c r="CO105" s="48" t="s">
        <v>2069</v>
      </c>
      <c r="CP105" s="48" t="s">
        <v>1710</v>
      </c>
      <c r="CQ105" s="48" t="s">
        <v>1710</v>
      </c>
      <c r="CR105" s="48" t="s">
        <v>1710</v>
      </c>
      <c r="CS105" s="48" t="s">
        <v>1710</v>
      </c>
      <c r="CT105" s="48" t="s">
        <v>1710</v>
      </c>
      <c r="CU105" s="48" t="s">
        <v>1712</v>
      </c>
      <c r="CV105" s="48" t="s">
        <v>1710</v>
      </c>
      <c r="CW105" s="48" t="s">
        <v>1710</v>
      </c>
      <c r="CX105" s="48" t="s">
        <v>3014</v>
      </c>
      <c r="CY105" s="48" t="s">
        <v>1710</v>
      </c>
      <c r="CZ105" s="48" t="s">
        <v>1712</v>
      </c>
      <c r="DA105" s="48" t="s">
        <v>1710</v>
      </c>
      <c r="DB105" s="48" t="s">
        <v>1878</v>
      </c>
      <c r="DC105" s="48" t="s">
        <v>2070</v>
      </c>
      <c r="DD105" s="48" t="s">
        <v>1842</v>
      </c>
      <c r="DE105" s="48" t="s">
        <v>1886</v>
      </c>
      <c r="DF105" s="48" t="s">
        <v>3655</v>
      </c>
      <c r="DG105" s="48" t="s">
        <v>2071</v>
      </c>
      <c r="DH105" s="48" t="s">
        <v>1712</v>
      </c>
      <c r="DI105" s="48" t="s">
        <v>1710</v>
      </c>
      <c r="DJ105" s="48" t="s">
        <v>1710</v>
      </c>
      <c r="DK105" s="48" t="s">
        <v>1710</v>
      </c>
      <c r="DL105" s="48" t="s">
        <v>1710</v>
      </c>
      <c r="DM105" s="48" t="s">
        <v>1710</v>
      </c>
      <c r="DN105" s="48" t="s">
        <v>1710</v>
      </c>
      <c r="DO105" s="48" t="s">
        <v>1710</v>
      </c>
      <c r="DP105" s="48" t="s">
        <v>1710</v>
      </c>
      <c r="DQ105" s="48" t="s">
        <v>1710</v>
      </c>
      <c r="DR105" s="48" t="s">
        <v>2072</v>
      </c>
      <c r="DS105" s="48" t="s">
        <v>1710</v>
      </c>
      <c r="DT105" s="48" t="s">
        <v>1710</v>
      </c>
      <c r="DU105" s="48" t="s">
        <v>2547</v>
      </c>
      <c r="DV105" s="48" t="s">
        <v>2816</v>
      </c>
      <c r="DW105" s="48" t="s">
        <v>1710</v>
      </c>
      <c r="DX105" s="48" t="s">
        <v>3656</v>
      </c>
      <c r="DY105" s="48" t="s">
        <v>1709</v>
      </c>
      <c r="DZ105" s="48" t="s">
        <v>2562</v>
      </c>
      <c r="EA105" s="48" t="s">
        <v>2546</v>
      </c>
      <c r="EB105">
        <v>0</v>
      </c>
      <c r="EC105" s="48" t="s">
        <v>2547</v>
      </c>
      <c r="ED105" s="48" t="s">
        <v>3649</v>
      </c>
      <c r="EE105" s="48" t="s">
        <v>1814</v>
      </c>
      <c r="EF105" s="48" t="s">
        <v>2550</v>
      </c>
      <c r="EG105" s="48" t="s">
        <v>3654</v>
      </c>
      <c r="EH105">
        <v>1</v>
      </c>
      <c r="EI105" s="48" t="s">
        <v>1888</v>
      </c>
      <c r="EJ105">
        <v>0</v>
      </c>
      <c r="EK105" s="48" t="s">
        <v>1710</v>
      </c>
      <c r="EL105">
        <v>1</v>
      </c>
      <c r="EM105" s="48" t="s">
        <v>1886</v>
      </c>
      <c r="EN105">
        <v>1</v>
      </c>
      <c r="EO105" s="48" t="s">
        <v>2707</v>
      </c>
      <c r="EP105" s="48" t="s">
        <v>3657</v>
      </c>
      <c r="EQ105">
        <v>1094.8</v>
      </c>
      <c r="ER105">
        <v>1094.8</v>
      </c>
      <c r="ES105">
        <v>1551706</v>
      </c>
      <c r="ET105">
        <v>1053</v>
      </c>
      <c r="EU105" s="48" t="s">
        <v>1710</v>
      </c>
      <c r="EV105" s="48" t="s">
        <v>1710</v>
      </c>
      <c r="EW105" s="48" t="s">
        <v>1712</v>
      </c>
      <c r="EX105" s="48" t="s">
        <v>1710</v>
      </c>
      <c r="EY105" s="48" t="s">
        <v>1853</v>
      </c>
      <c r="EZ105" s="48" t="s">
        <v>1710</v>
      </c>
      <c r="FA105" s="48" t="s">
        <v>1710</v>
      </c>
      <c r="FB105" s="48" t="s">
        <v>1712</v>
      </c>
      <c r="FC105" s="48" t="s">
        <v>1710</v>
      </c>
      <c r="FD105" s="48" t="s">
        <v>1710</v>
      </c>
      <c r="FE105" s="48" t="s">
        <v>1814</v>
      </c>
      <c r="FF105" s="48" t="s">
        <v>1815</v>
      </c>
      <c r="FG105" s="48" t="s">
        <v>1710</v>
      </c>
      <c r="FH105">
        <v>1</v>
      </c>
      <c r="FI105" s="48" t="s">
        <v>1846</v>
      </c>
      <c r="FJ105">
        <v>1094.8</v>
      </c>
      <c r="FK105">
        <v>1094.8</v>
      </c>
      <c r="FL105" s="48" t="s">
        <v>3658</v>
      </c>
      <c r="FM105" s="48" t="s">
        <v>3657</v>
      </c>
      <c r="FN105" s="48" t="s">
        <v>1710</v>
      </c>
      <c r="FO105" s="48" t="s">
        <v>1710</v>
      </c>
      <c r="FP105" s="48" t="s">
        <v>1710</v>
      </c>
      <c r="FQ105" s="48" t="s">
        <v>1710</v>
      </c>
      <c r="FR105" s="48" t="s">
        <v>1710</v>
      </c>
      <c r="FS105" s="48" t="s">
        <v>1710</v>
      </c>
      <c r="FT105" s="48" t="s">
        <v>1710</v>
      </c>
      <c r="FU105" s="48" t="s">
        <v>1710</v>
      </c>
      <c r="FV105" s="48"/>
      <c r="FW105" s="56"/>
      <c r="FX105" s="56"/>
      <c r="FY105" s="56"/>
      <c r="FZ105" s="56"/>
      <c r="GA105" s="55" t="str">
        <f t="shared" si="5"/>
        <v>4388426300401X</v>
      </c>
      <c r="GB105" t="str">
        <f>VLOOKUP(B105,수출코드!$C$2:$D$4,2,FALSE)</f>
        <v>Suwon</v>
      </c>
      <c r="GC105" t="str">
        <f>VLOOKUP(L105,수출코드!$A$2:$B$6,2,FALSE)</f>
        <v/>
      </c>
      <c r="GD105" t="str">
        <f>VLOOKUP(M105,수출코드!$E$2:$F$5,2,FALSE)</f>
        <v>일반</v>
      </c>
      <c r="GE105" s="61">
        <f t="shared" si="3"/>
        <v>45972.613194444442</v>
      </c>
      <c r="GF105" s="62">
        <f t="shared" si="4"/>
        <v>46049.729861111111</v>
      </c>
      <c r="GI105" s="48" t="s">
        <v>2754</v>
      </c>
    </row>
    <row r="106" spans="1:191">
      <c r="A106" s="48" t="s">
        <v>3659</v>
      </c>
      <c r="B106" s="48" t="s">
        <v>1821</v>
      </c>
      <c r="C106" s="48" t="s">
        <v>2048</v>
      </c>
      <c r="D106" s="48" t="s">
        <v>2813</v>
      </c>
      <c r="E106" s="48" t="s">
        <v>3659</v>
      </c>
      <c r="F106" s="48" t="s">
        <v>1710</v>
      </c>
      <c r="G106" s="48" t="s">
        <v>2814</v>
      </c>
      <c r="H106" s="48" t="s">
        <v>3660</v>
      </c>
      <c r="I106" s="48" t="s">
        <v>1884</v>
      </c>
      <c r="J106" s="48" t="s">
        <v>2850</v>
      </c>
      <c r="K106" s="48" t="s">
        <v>1877</v>
      </c>
      <c r="L106" s="48" t="s">
        <v>1842</v>
      </c>
      <c r="M106" s="48" t="s">
        <v>1810</v>
      </c>
      <c r="N106" s="48" t="s">
        <v>1842</v>
      </c>
      <c r="O106" s="48" t="s">
        <v>1811</v>
      </c>
      <c r="P106" s="48" t="s">
        <v>2549</v>
      </c>
      <c r="Q106" s="48" t="s">
        <v>2049</v>
      </c>
      <c r="R106" s="48" t="s">
        <v>1838</v>
      </c>
      <c r="S106" s="48" t="s">
        <v>2050</v>
      </c>
      <c r="T106" s="48" t="s">
        <v>1845</v>
      </c>
      <c r="U106" s="48" t="s">
        <v>2049</v>
      </c>
      <c r="V106" s="48" t="s">
        <v>1838</v>
      </c>
      <c r="W106" s="48" t="s">
        <v>2051</v>
      </c>
      <c r="X106" s="48" t="s">
        <v>2052</v>
      </c>
      <c r="Y106" s="48" t="s">
        <v>2050</v>
      </c>
      <c r="Z106" s="48" t="s">
        <v>2053</v>
      </c>
      <c r="AA106" s="48" t="s">
        <v>2054</v>
      </c>
      <c r="AB106" s="48" t="s">
        <v>2817</v>
      </c>
      <c r="AC106" s="48" t="s">
        <v>2055</v>
      </c>
      <c r="AD106" s="48" t="s">
        <v>2056</v>
      </c>
      <c r="AE106" s="48" t="s">
        <v>1710</v>
      </c>
      <c r="AF106" s="48" t="s">
        <v>1710</v>
      </c>
      <c r="AG106" s="48" t="s">
        <v>2057</v>
      </c>
      <c r="AH106" s="48" t="s">
        <v>1815</v>
      </c>
      <c r="AI106" s="48" t="s">
        <v>2058</v>
      </c>
      <c r="AJ106" s="48" t="s">
        <v>1710</v>
      </c>
      <c r="AK106" s="48" t="s">
        <v>2092</v>
      </c>
      <c r="AL106" s="48" t="s">
        <v>2093</v>
      </c>
      <c r="AM106" s="48" t="s">
        <v>1816</v>
      </c>
      <c r="AN106" s="48" t="s">
        <v>2054</v>
      </c>
      <c r="AO106" s="48" t="s">
        <v>1710</v>
      </c>
      <c r="AP106" s="48" t="s">
        <v>1853</v>
      </c>
      <c r="AQ106" s="48" t="s">
        <v>2086</v>
      </c>
      <c r="AR106" s="48" t="s">
        <v>1812</v>
      </c>
      <c r="AS106" s="48" t="s">
        <v>1813</v>
      </c>
      <c r="AT106" s="48" t="s">
        <v>1826</v>
      </c>
      <c r="AU106" s="48" t="s">
        <v>2061</v>
      </c>
      <c r="AV106" s="48" t="s">
        <v>2850</v>
      </c>
      <c r="AW106" s="48" t="s">
        <v>2062</v>
      </c>
      <c r="AX106" s="48" t="s">
        <v>2063</v>
      </c>
      <c r="AY106" s="48" t="s">
        <v>1710</v>
      </c>
      <c r="AZ106" s="48" t="s">
        <v>3661</v>
      </c>
      <c r="BA106" s="48" t="s">
        <v>1710</v>
      </c>
      <c r="BB106" s="48" t="s">
        <v>1709</v>
      </c>
      <c r="BC106" s="48" t="s">
        <v>1710</v>
      </c>
      <c r="BD106" s="48" t="s">
        <v>2097</v>
      </c>
      <c r="BE106" s="52" t="s">
        <v>3488</v>
      </c>
      <c r="BF106" s="48" t="s">
        <v>1710</v>
      </c>
      <c r="BG106" s="48" t="s">
        <v>1814</v>
      </c>
      <c r="BH106">
        <v>38</v>
      </c>
      <c r="BI106" s="48" t="s">
        <v>1888</v>
      </c>
      <c r="BJ106">
        <v>1</v>
      </c>
      <c r="BK106">
        <v>1473.06</v>
      </c>
      <c r="BL106">
        <v>9455589</v>
      </c>
      <c r="BM106">
        <v>6419</v>
      </c>
      <c r="BN106" s="48" t="s">
        <v>2064</v>
      </c>
      <c r="BO106" s="48" t="s">
        <v>2065</v>
      </c>
      <c r="BP106">
        <v>1473.06</v>
      </c>
      <c r="BQ106">
        <v>6549.76</v>
      </c>
      <c r="BR106" s="48" t="s">
        <v>1885</v>
      </c>
      <c r="BS106" s="48" t="s">
        <v>2066</v>
      </c>
      <c r="BT106">
        <v>1</v>
      </c>
      <c r="BU106">
        <v>192600</v>
      </c>
      <c r="BV106">
        <v>192600</v>
      </c>
      <c r="BW106" s="48" t="s">
        <v>2065</v>
      </c>
      <c r="BX106">
        <v>1473.06</v>
      </c>
      <c r="BY106">
        <v>0</v>
      </c>
      <c r="BZ106">
        <v>0</v>
      </c>
      <c r="CA106" s="48" t="s">
        <v>2065</v>
      </c>
      <c r="CB106">
        <v>1473.06</v>
      </c>
      <c r="CC106">
        <v>0</v>
      </c>
      <c r="CD106">
        <v>0</v>
      </c>
      <c r="CE106" s="48" t="s">
        <v>1710</v>
      </c>
      <c r="CF106" s="48" t="s">
        <v>1710</v>
      </c>
      <c r="CG106" s="48" t="s">
        <v>1710</v>
      </c>
      <c r="CH106" s="48" t="s">
        <v>1710</v>
      </c>
      <c r="CI106" s="48" t="s">
        <v>2067</v>
      </c>
      <c r="CJ106" s="48" t="s">
        <v>1710</v>
      </c>
      <c r="CL106" s="48" t="s">
        <v>2850</v>
      </c>
      <c r="CM106" s="48" t="s">
        <v>1710</v>
      </c>
      <c r="CN106" s="48" t="s">
        <v>2068</v>
      </c>
      <c r="CO106" s="48" t="s">
        <v>2069</v>
      </c>
      <c r="CP106" s="48" t="s">
        <v>1710</v>
      </c>
      <c r="CQ106" s="48" t="s">
        <v>1710</v>
      </c>
      <c r="CR106" s="48" t="s">
        <v>1710</v>
      </c>
      <c r="CS106" s="48" t="s">
        <v>1710</v>
      </c>
      <c r="CT106" s="48" t="s">
        <v>1710</v>
      </c>
      <c r="CU106" s="48" t="s">
        <v>1712</v>
      </c>
      <c r="CV106" s="48" t="s">
        <v>1710</v>
      </c>
      <c r="CW106" s="48" t="s">
        <v>1710</v>
      </c>
      <c r="CX106" s="48" t="s">
        <v>3014</v>
      </c>
      <c r="CY106" s="48" t="s">
        <v>1710</v>
      </c>
      <c r="CZ106" s="48" t="s">
        <v>1712</v>
      </c>
      <c r="DA106" s="48" t="s">
        <v>1710</v>
      </c>
      <c r="DB106" s="48" t="s">
        <v>1878</v>
      </c>
      <c r="DC106" s="48" t="s">
        <v>2070</v>
      </c>
      <c r="DD106" s="48" t="s">
        <v>1842</v>
      </c>
      <c r="DE106" s="48" t="s">
        <v>1886</v>
      </c>
      <c r="DF106" s="48" t="s">
        <v>3662</v>
      </c>
      <c r="DG106" s="48" t="s">
        <v>2071</v>
      </c>
      <c r="DH106" s="48" t="s">
        <v>1712</v>
      </c>
      <c r="DI106" s="48" t="s">
        <v>1710</v>
      </c>
      <c r="DJ106" s="48" t="s">
        <v>1710</v>
      </c>
      <c r="DK106" s="48" t="s">
        <v>1710</v>
      </c>
      <c r="DL106" s="48" t="s">
        <v>1710</v>
      </c>
      <c r="DM106" s="48" t="s">
        <v>1710</v>
      </c>
      <c r="DN106" s="48" t="s">
        <v>1710</v>
      </c>
      <c r="DO106" s="48" t="s">
        <v>1710</v>
      </c>
      <c r="DP106" s="48" t="s">
        <v>1710</v>
      </c>
      <c r="DQ106" s="48" t="s">
        <v>1710</v>
      </c>
      <c r="DR106" s="48" t="s">
        <v>2072</v>
      </c>
      <c r="DS106" s="48" t="s">
        <v>1710</v>
      </c>
      <c r="DT106" s="48" t="s">
        <v>1710</v>
      </c>
      <c r="DU106" s="48" t="s">
        <v>2547</v>
      </c>
      <c r="DV106" s="48" t="s">
        <v>2816</v>
      </c>
      <c r="DW106" s="48" t="s">
        <v>1710</v>
      </c>
      <c r="DX106" s="48" t="s">
        <v>3663</v>
      </c>
      <c r="DY106" s="48" t="s">
        <v>1709</v>
      </c>
      <c r="DZ106" s="48" t="s">
        <v>2562</v>
      </c>
      <c r="EA106" s="48" t="s">
        <v>2546</v>
      </c>
      <c r="EB106">
        <v>0</v>
      </c>
      <c r="EC106" s="48" t="s">
        <v>2547</v>
      </c>
      <c r="ED106" s="48" t="s">
        <v>3649</v>
      </c>
      <c r="EE106" s="48" t="s">
        <v>1814</v>
      </c>
      <c r="EF106" s="48" t="s">
        <v>3664</v>
      </c>
      <c r="EG106" s="48" t="s">
        <v>3661</v>
      </c>
      <c r="EH106">
        <v>38</v>
      </c>
      <c r="EI106" s="48" t="s">
        <v>1888</v>
      </c>
      <c r="EJ106">
        <v>1</v>
      </c>
      <c r="EK106" s="48" t="s">
        <v>1887</v>
      </c>
      <c r="EL106">
        <v>1</v>
      </c>
      <c r="EM106" s="48" t="s">
        <v>1886</v>
      </c>
      <c r="EN106">
        <v>38</v>
      </c>
      <c r="EO106" s="48" t="s">
        <v>3665</v>
      </c>
      <c r="EP106" s="48" t="s">
        <v>3666</v>
      </c>
      <c r="EQ106">
        <v>6549.76</v>
      </c>
      <c r="ER106">
        <v>6549.76</v>
      </c>
      <c r="ES106">
        <v>9455589</v>
      </c>
      <c r="ET106">
        <v>6419</v>
      </c>
      <c r="EU106" s="48" t="s">
        <v>1710</v>
      </c>
      <c r="EV106" s="48" t="s">
        <v>1710</v>
      </c>
      <c r="EW106" s="48" t="s">
        <v>1712</v>
      </c>
      <c r="EX106" s="48" t="s">
        <v>1710</v>
      </c>
      <c r="EY106" s="48" t="s">
        <v>1848</v>
      </c>
      <c r="EZ106" s="48" t="s">
        <v>1710</v>
      </c>
      <c r="FA106" s="48" t="s">
        <v>1710</v>
      </c>
      <c r="FB106" s="48" t="s">
        <v>1712</v>
      </c>
      <c r="FC106" s="48" t="s">
        <v>1710</v>
      </c>
      <c r="FD106" s="48" t="s">
        <v>1710</v>
      </c>
      <c r="FE106" s="48" t="s">
        <v>1814</v>
      </c>
      <c r="FF106" s="48" t="s">
        <v>1815</v>
      </c>
      <c r="FG106" s="48" t="s">
        <v>1710</v>
      </c>
      <c r="FH106">
        <v>1</v>
      </c>
      <c r="FI106" s="48" t="s">
        <v>1846</v>
      </c>
      <c r="FJ106">
        <v>6549.76</v>
      </c>
      <c r="FK106">
        <v>6549.76</v>
      </c>
      <c r="FL106" s="48" t="s">
        <v>3667</v>
      </c>
      <c r="FM106" s="48" t="s">
        <v>3666</v>
      </c>
      <c r="FN106" s="48" t="s">
        <v>1710</v>
      </c>
      <c r="FO106" s="48" t="s">
        <v>1710</v>
      </c>
      <c r="FP106" s="48" t="s">
        <v>1710</v>
      </c>
      <c r="FQ106" s="48" t="s">
        <v>1710</v>
      </c>
      <c r="FR106" s="48" t="s">
        <v>1710</v>
      </c>
      <c r="FS106" s="48" t="s">
        <v>1710</v>
      </c>
      <c r="FT106" s="48" t="s">
        <v>1710</v>
      </c>
      <c r="FU106" s="48" t="s">
        <v>1710</v>
      </c>
      <c r="FV106" s="48"/>
      <c r="FW106" s="56"/>
      <c r="FX106" s="56"/>
      <c r="FY106" s="56"/>
      <c r="FZ106" s="56"/>
      <c r="GA106" s="55" t="str">
        <f t="shared" si="5"/>
        <v>4388426300402X</v>
      </c>
      <c r="GB106" t="str">
        <f>VLOOKUP(B106,수출코드!$C$2:$D$4,2,FALSE)</f>
        <v>Suwon</v>
      </c>
      <c r="GC106" t="str">
        <f>VLOOKUP(L106,수출코드!$A$2:$B$6,2,FALSE)</f>
        <v/>
      </c>
      <c r="GD106" t="str">
        <f>VLOOKUP(M106,수출코드!$E$2:$F$5,2,FALSE)</f>
        <v>일반</v>
      </c>
      <c r="GE106" s="61">
        <f t="shared" si="3"/>
        <v>45972.613194444442</v>
      </c>
      <c r="GF106" s="62">
        <f t="shared" si="4"/>
        <v>46049.729861111111</v>
      </c>
      <c r="GI106" s="48" t="s">
        <v>2754</v>
      </c>
    </row>
    <row r="107" spans="1:191">
      <c r="A107" s="48" t="s">
        <v>3668</v>
      </c>
      <c r="B107" s="48" t="s">
        <v>1821</v>
      </c>
      <c r="C107" s="48" t="s">
        <v>2048</v>
      </c>
      <c r="D107" s="48" t="s">
        <v>2813</v>
      </c>
      <c r="E107" s="48" t="s">
        <v>3668</v>
      </c>
      <c r="F107" s="48" t="s">
        <v>1710</v>
      </c>
      <c r="G107" s="48" t="s">
        <v>2814</v>
      </c>
      <c r="H107" s="48" t="s">
        <v>3669</v>
      </c>
      <c r="I107" s="48" t="s">
        <v>1884</v>
      </c>
      <c r="J107" s="48" t="s">
        <v>2850</v>
      </c>
      <c r="K107" s="48" t="s">
        <v>1877</v>
      </c>
      <c r="L107" s="48" t="s">
        <v>1842</v>
      </c>
      <c r="M107" s="48" t="s">
        <v>1810</v>
      </c>
      <c r="N107" s="48" t="s">
        <v>1842</v>
      </c>
      <c r="O107" s="48" t="s">
        <v>1811</v>
      </c>
      <c r="P107" s="48" t="s">
        <v>2549</v>
      </c>
      <c r="Q107" s="48" t="s">
        <v>2049</v>
      </c>
      <c r="R107" s="48" t="s">
        <v>1838</v>
      </c>
      <c r="S107" s="48" t="s">
        <v>2050</v>
      </c>
      <c r="T107" s="48" t="s">
        <v>1845</v>
      </c>
      <c r="U107" s="48" t="s">
        <v>2049</v>
      </c>
      <c r="V107" s="48" t="s">
        <v>1838</v>
      </c>
      <c r="W107" s="48" t="s">
        <v>2051</v>
      </c>
      <c r="X107" s="48" t="s">
        <v>2052</v>
      </c>
      <c r="Y107" s="48" t="s">
        <v>2050</v>
      </c>
      <c r="Z107" s="48" t="s">
        <v>2053</v>
      </c>
      <c r="AA107" s="48" t="s">
        <v>2054</v>
      </c>
      <c r="AB107" s="48" t="s">
        <v>2817</v>
      </c>
      <c r="AC107" s="48" t="s">
        <v>2055</v>
      </c>
      <c r="AD107" s="48" t="s">
        <v>2056</v>
      </c>
      <c r="AE107" s="48" t="s">
        <v>1710</v>
      </c>
      <c r="AF107" s="48" t="s">
        <v>1710</v>
      </c>
      <c r="AG107" s="48" t="s">
        <v>2057</v>
      </c>
      <c r="AH107" s="48" t="s">
        <v>1815</v>
      </c>
      <c r="AI107" s="48" t="s">
        <v>2058</v>
      </c>
      <c r="AJ107" s="48" t="s">
        <v>1710</v>
      </c>
      <c r="AK107" s="48" t="s">
        <v>2535</v>
      </c>
      <c r="AL107" s="48" t="s">
        <v>2536</v>
      </c>
      <c r="AM107" s="48" t="s">
        <v>1816</v>
      </c>
      <c r="AN107" s="48" t="s">
        <v>2054</v>
      </c>
      <c r="AO107" s="48" t="s">
        <v>1710</v>
      </c>
      <c r="AP107" s="48" t="s">
        <v>1853</v>
      </c>
      <c r="AQ107" s="48" t="s">
        <v>2086</v>
      </c>
      <c r="AR107" s="48" t="s">
        <v>1812</v>
      </c>
      <c r="AS107" s="48" t="s">
        <v>1813</v>
      </c>
      <c r="AT107" s="48" t="s">
        <v>1826</v>
      </c>
      <c r="AU107" s="48" t="s">
        <v>2061</v>
      </c>
      <c r="AV107" s="48" t="s">
        <v>2850</v>
      </c>
      <c r="AW107" s="48" t="s">
        <v>2062</v>
      </c>
      <c r="AX107" s="48" t="s">
        <v>2063</v>
      </c>
      <c r="AY107" s="48" t="s">
        <v>1710</v>
      </c>
      <c r="AZ107" s="48" t="s">
        <v>3670</v>
      </c>
      <c r="BA107" s="48" t="s">
        <v>1710</v>
      </c>
      <c r="BB107" s="48" t="s">
        <v>1709</v>
      </c>
      <c r="BC107" s="48" t="s">
        <v>1710</v>
      </c>
      <c r="BD107" s="48" t="s">
        <v>2097</v>
      </c>
      <c r="BE107" s="52" t="s">
        <v>3488</v>
      </c>
      <c r="BF107" s="48" t="s">
        <v>1710</v>
      </c>
      <c r="BG107" s="48" t="s">
        <v>1814</v>
      </c>
      <c r="BH107">
        <v>1</v>
      </c>
      <c r="BI107" s="48" t="s">
        <v>1888</v>
      </c>
      <c r="BJ107">
        <v>1</v>
      </c>
      <c r="BK107">
        <v>1473.06</v>
      </c>
      <c r="BL107">
        <v>171293</v>
      </c>
      <c r="BM107">
        <v>116</v>
      </c>
      <c r="BN107" s="48" t="s">
        <v>2064</v>
      </c>
      <c r="BO107" s="48" t="s">
        <v>2065</v>
      </c>
      <c r="BP107">
        <v>1473.06</v>
      </c>
      <c r="BQ107">
        <v>130.54</v>
      </c>
      <c r="BR107" s="48" t="s">
        <v>1885</v>
      </c>
      <c r="BS107" s="48" t="s">
        <v>2066</v>
      </c>
      <c r="BT107">
        <v>1</v>
      </c>
      <c r="BU107">
        <v>21000</v>
      </c>
      <c r="BV107">
        <v>21000</v>
      </c>
      <c r="BW107" s="48" t="s">
        <v>2065</v>
      </c>
      <c r="BX107">
        <v>1473.06</v>
      </c>
      <c r="BY107">
        <v>0</v>
      </c>
      <c r="BZ107">
        <v>0</v>
      </c>
      <c r="CA107" s="48" t="s">
        <v>2065</v>
      </c>
      <c r="CB107">
        <v>1473.06</v>
      </c>
      <c r="CC107">
        <v>0</v>
      </c>
      <c r="CD107">
        <v>0</v>
      </c>
      <c r="CE107" s="48" t="s">
        <v>1710</v>
      </c>
      <c r="CF107" s="48" t="s">
        <v>1710</v>
      </c>
      <c r="CG107" s="48" t="s">
        <v>1710</v>
      </c>
      <c r="CH107" s="48" t="s">
        <v>1710</v>
      </c>
      <c r="CI107" s="48" t="s">
        <v>2067</v>
      </c>
      <c r="CJ107" s="48" t="s">
        <v>1710</v>
      </c>
      <c r="CL107" s="48" t="s">
        <v>2850</v>
      </c>
      <c r="CM107" s="48" t="s">
        <v>1710</v>
      </c>
      <c r="CN107" s="48" t="s">
        <v>2068</v>
      </c>
      <c r="CO107" s="48" t="s">
        <v>2069</v>
      </c>
      <c r="CP107" s="48" t="s">
        <v>1710</v>
      </c>
      <c r="CQ107" s="48" t="s">
        <v>1710</v>
      </c>
      <c r="CR107" s="48" t="s">
        <v>1710</v>
      </c>
      <c r="CS107" s="48" t="s">
        <v>1710</v>
      </c>
      <c r="CT107" s="48" t="s">
        <v>1710</v>
      </c>
      <c r="CU107" s="48" t="s">
        <v>1712</v>
      </c>
      <c r="CV107" s="48" t="s">
        <v>1710</v>
      </c>
      <c r="CW107" s="48" t="s">
        <v>1710</v>
      </c>
      <c r="CX107" s="48" t="s">
        <v>3014</v>
      </c>
      <c r="CY107" s="48" t="s">
        <v>1710</v>
      </c>
      <c r="CZ107" s="48" t="s">
        <v>1712</v>
      </c>
      <c r="DA107" s="48" t="s">
        <v>1710</v>
      </c>
      <c r="DB107" s="48" t="s">
        <v>1878</v>
      </c>
      <c r="DC107" s="48" t="s">
        <v>2070</v>
      </c>
      <c r="DD107" s="48" t="s">
        <v>1842</v>
      </c>
      <c r="DE107" s="48" t="s">
        <v>1886</v>
      </c>
      <c r="DF107" s="48" t="s">
        <v>3671</v>
      </c>
      <c r="DG107" s="48" t="s">
        <v>2071</v>
      </c>
      <c r="DH107" s="48" t="s">
        <v>1712</v>
      </c>
      <c r="DI107" s="48" t="s">
        <v>1710</v>
      </c>
      <c r="DJ107" s="48" t="s">
        <v>1710</v>
      </c>
      <c r="DK107" s="48" t="s">
        <v>1710</v>
      </c>
      <c r="DL107" s="48" t="s">
        <v>1710</v>
      </c>
      <c r="DM107" s="48" t="s">
        <v>1710</v>
      </c>
      <c r="DN107" s="48" t="s">
        <v>1710</v>
      </c>
      <c r="DO107" s="48" t="s">
        <v>1710</v>
      </c>
      <c r="DP107" s="48" t="s">
        <v>1710</v>
      </c>
      <c r="DQ107" s="48" t="s">
        <v>1710</v>
      </c>
      <c r="DR107" s="48" t="s">
        <v>2072</v>
      </c>
      <c r="DS107" s="48" t="s">
        <v>1710</v>
      </c>
      <c r="DT107" s="48" t="s">
        <v>1710</v>
      </c>
      <c r="DU107" s="48" t="s">
        <v>2547</v>
      </c>
      <c r="DV107" s="48" t="s">
        <v>2816</v>
      </c>
      <c r="DW107" s="48" t="s">
        <v>1710</v>
      </c>
      <c r="DX107" s="48" t="s">
        <v>3672</v>
      </c>
      <c r="DY107" s="48" t="s">
        <v>1709</v>
      </c>
      <c r="DZ107" s="48" t="s">
        <v>2562</v>
      </c>
      <c r="EA107" s="48" t="s">
        <v>2546</v>
      </c>
      <c r="EB107">
        <v>0</v>
      </c>
      <c r="EC107" s="48" t="s">
        <v>2547</v>
      </c>
      <c r="ED107" s="48" t="s">
        <v>3673</v>
      </c>
      <c r="EE107" s="48" t="s">
        <v>1814</v>
      </c>
      <c r="EF107" s="48" t="s">
        <v>1881</v>
      </c>
      <c r="EG107" s="48" t="s">
        <v>3670</v>
      </c>
      <c r="EH107">
        <v>0.20799999999999999</v>
      </c>
      <c r="EI107" s="48" t="s">
        <v>1888</v>
      </c>
      <c r="EJ107">
        <v>0</v>
      </c>
      <c r="EK107" s="48" t="s">
        <v>1710</v>
      </c>
      <c r="EL107">
        <v>1</v>
      </c>
      <c r="EM107" s="48" t="s">
        <v>1886</v>
      </c>
      <c r="EN107">
        <v>0.20799999999999999</v>
      </c>
      <c r="EO107" s="48" t="s">
        <v>2601</v>
      </c>
      <c r="EP107" s="48" t="s">
        <v>3674</v>
      </c>
      <c r="EQ107">
        <v>130.54</v>
      </c>
      <c r="ER107">
        <v>130.54</v>
      </c>
      <c r="ES107">
        <v>171293</v>
      </c>
      <c r="ET107">
        <v>116</v>
      </c>
      <c r="EU107" s="48" t="s">
        <v>1710</v>
      </c>
      <c r="EV107" s="48" t="s">
        <v>1710</v>
      </c>
      <c r="EW107" s="48" t="s">
        <v>1712</v>
      </c>
      <c r="EX107" s="48" t="s">
        <v>1710</v>
      </c>
      <c r="EY107" s="48" t="s">
        <v>1850</v>
      </c>
      <c r="EZ107" s="48" t="s">
        <v>1710</v>
      </c>
      <c r="FA107" s="48" t="s">
        <v>1710</v>
      </c>
      <c r="FB107" s="48" t="s">
        <v>1712</v>
      </c>
      <c r="FC107" s="48" t="s">
        <v>1710</v>
      </c>
      <c r="FD107" s="48" t="s">
        <v>1710</v>
      </c>
      <c r="FE107" s="48" t="s">
        <v>1814</v>
      </c>
      <c r="FF107" s="48" t="s">
        <v>1815</v>
      </c>
      <c r="FG107" s="48" t="s">
        <v>1710</v>
      </c>
      <c r="FH107">
        <v>2</v>
      </c>
      <c r="FI107" s="48" t="s">
        <v>1846</v>
      </c>
      <c r="FJ107">
        <v>130.54</v>
      </c>
      <c r="FK107">
        <v>65.27</v>
      </c>
      <c r="FL107" s="48" t="s">
        <v>3675</v>
      </c>
      <c r="FM107" s="48" t="s">
        <v>3674</v>
      </c>
      <c r="FN107" s="48" t="s">
        <v>1710</v>
      </c>
      <c r="FO107" s="48" t="s">
        <v>1710</v>
      </c>
      <c r="FP107" s="48" t="s">
        <v>1710</v>
      </c>
      <c r="FQ107" s="48" t="s">
        <v>1710</v>
      </c>
      <c r="FR107" s="48" t="s">
        <v>1710</v>
      </c>
      <c r="FS107" s="48" t="s">
        <v>1710</v>
      </c>
      <c r="FT107" s="48" t="s">
        <v>1710</v>
      </c>
      <c r="FU107" s="48" t="s">
        <v>1710</v>
      </c>
      <c r="FV107" s="48"/>
      <c r="FW107" s="56"/>
      <c r="FX107" s="56"/>
      <c r="FY107" s="56"/>
      <c r="FZ107" s="56"/>
      <c r="GA107" s="55" t="str">
        <f t="shared" si="5"/>
        <v>4388426300403X</v>
      </c>
      <c r="GB107" t="str">
        <f>VLOOKUP(B107,수출코드!$C$2:$D$4,2,FALSE)</f>
        <v>Suwon</v>
      </c>
      <c r="GC107" t="str">
        <f>VLOOKUP(L107,수출코드!$A$2:$B$6,2,FALSE)</f>
        <v/>
      </c>
      <c r="GD107" t="str">
        <f>VLOOKUP(M107,수출코드!$E$2:$F$5,2,FALSE)</f>
        <v>일반</v>
      </c>
      <c r="GE107" s="61">
        <f t="shared" si="3"/>
        <v>45972.613194444442</v>
      </c>
      <c r="GF107" s="62">
        <f t="shared" si="4"/>
        <v>46049.73541666667</v>
      </c>
      <c r="GI107" s="48" t="s">
        <v>2754</v>
      </c>
    </row>
    <row r="108" spans="1:191">
      <c r="A108" s="48" t="s">
        <v>3676</v>
      </c>
      <c r="B108" s="48" t="s">
        <v>1821</v>
      </c>
      <c r="C108" s="48" t="s">
        <v>2048</v>
      </c>
      <c r="D108" s="48" t="s">
        <v>2813</v>
      </c>
      <c r="E108" s="48" t="s">
        <v>3676</v>
      </c>
      <c r="F108" s="48" t="s">
        <v>1710</v>
      </c>
      <c r="G108" s="48" t="s">
        <v>2814</v>
      </c>
      <c r="H108" s="48" t="s">
        <v>3677</v>
      </c>
      <c r="I108" s="48" t="s">
        <v>1884</v>
      </c>
      <c r="J108" s="48" t="s">
        <v>2850</v>
      </c>
      <c r="K108" s="48" t="s">
        <v>1877</v>
      </c>
      <c r="L108" s="48" t="s">
        <v>1844</v>
      </c>
      <c r="M108" s="48" t="s">
        <v>1810</v>
      </c>
      <c r="N108" s="48" t="s">
        <v>1842</v>
      </c>
      <c r="O108" s="48" t="s">
        <v>1811</v>
      </c>
      <c r="P108" s="48" t="s">
        <v>2549</v>
      </c>
      <c r="Q108" s="48" t="s">
        <v>2049</v>
      </c>
      <c r="R108" s="48" t="s">
        <v>1838</v>
      </c>
      <c r="S108" s="48" t="s">
        <v>2050</v>
      </c>
      <c r="T108" s="48" t="s">
        <v>1845</v>
      </c>
      <c r="U108" s="48" t="s">
        <v>2049</v>
      </c>
      <c r="V108" s="48" t="s">
        <v>1838</v>
      </c>
      <c r="W108" s="48" t="s">
        <v>2051</v>
      </c>
      <c r="X108" s="48" t="s">
        <v>2052</v>
      </c>
      <c r="Y108" s="48" t="s">
        <v>2050</v>
      </c>
      <c r="Z108" s="48" t="s">
        <v>2053</v>
      </c>
      <c r="AA108" s="48" t="s">
        <v>2054</v>
      </c>
      <c r="AB108" s="48" t="s">
        <v>2817</v>
      </c>
      <c r="AC108" s="48" t="s">
        <v>2055</v>
      </c>
      <c r="AD108" s="48" t="s">
        <v>2056</v>
      </c>
      <c r="AE108" s="48" t="s">
        <v>1710</v>
      </c>
      <c r="AF108" s="48" t="s">
        <v>1710</v>
      </c>
      <c r="AG108" s="48" t="s">
        <v>2057</v>
      </c>
      <c r="AH108" s="48" t="s">
        <v>1815</v>
      </c>
      <c r="AI108" s="48" t="s">
        <v>2058</v>
      </c>
      <c r="AJ108" s="48" t="s">
        <v>1710</v>
      </c>
      <c r="AK108" s="48" t="s">
        <v>2087</v>
      </c>
      <c r="AL108" s="48" t="s">
        <v>2088</v>
      </c>
      <c r="AM108" s="48" t="s">
        <v>1816</v>
      </c>
      <c r="AN108" s="48" t="s">
        <v>2054</v>
      </c>
      <c r="AO108" s="48" t="s">
        <v>1710</v>
      </c>
      <c r="AP108" s="48" t="s">
        <v>1853</v>
      </c>
      <c r="AQ108" s="48" t="s">
        <v>2086</v>
      </c>
      <c r="AR108" s="48" t="s">
        <v>1812</v>
      </c>
      <c r="AS108" s="48" t="s">
        <v>1813</v>
      </c>
      <c r="AT108" s="48" t="s">
        <v>1826</v>
      </c>
      <c r="AU108" s="48" t="s">
        <v>2061</v>
      </c>
      <c r="AV108" s="48" t="s">
        <v>2850</v>
      </c>
      <c r="AW108" s="48" t="s">
        <v>2062</v>
      </c>
      <c r="AX108" s="48" t="s">
        <v>2063</v>
      </c>
      <c r="AY108" s="48" t="s">
        <v>1710</v>
      </c>
      <c r="AZ108" s="48" t="s">
        <v>3678</v>
      </c>
      <c r="BA108" s="48" t="s">
        <v>1710</v>
      </c>
      <c r="BB108" s="48" t="s">
        <v>1709</v>
      </c>
      <c r="BC108" s="48" t="s">
        <v>1710</v>
      </c>
      <c r="BD108" s="48" t="s">
        <v>2097</v>
      </c>
      <c r="BE108" s="52" t="s">
        <v>3488</v>
      </c>
      <c r="BF108" s="48" t="s">
        <v>1710</v>
      </c>
      <c r="BG108" s="48" t="s">
        <v>1818</v>
      </c>
      <c r="BH108">
        <v>2</v>
      </c>
      <c r="BI108" s="48" t="s">
        <v>1888</v>
      </c>
      <c r="BJ108">
        <v>1</v>
      </c>
      <c r="BK108">
        <v>1473.06</v>
      </c>
      <c r="BL108">
        <v>2725050</v>
      </c>
      <c r="BM108">
        <v>1850</v>
      </c>
      <c r="BN108" s="48" t="s">
        <v>2064</v>
      </c>
      <c r="BO108" s="48" t="s">
        <v>2065</v>
      </c>
      <c r="BP108">
        <v>1473.06</v>
      </c>
      <c r="BQ108">
        <v>1870.02</v>
      </c>
      <c r="BR108" s="48" t="s">
        <v>1885</v>
      </c>
      <c r="BS108" s="48" t="s">
        <v>2066</v>
      </c>
      <c r="BT108">
        <v>1</v>
      </c>
      <c r="BU108">
        <v>29600</v>
      </c>
      <c r="BV108">
        <v>29600</v>
      </c>
      <c r="BW108" s="48" t="s">
        <v>2065</v>
      </c>
      <c r="BX108">
        <v>1473.06</v>
      </c>
      <c r="BY108">
        <v>0</v>
      </c>
      <c r="BZ108">
        <v>0</v>
      </c>
      <c r="CA108" s="48" t="s">
        <v>2065</v>
      </c>
      <c r="CB108">
        <v>1473.06</v>
      </c>
      <c r="CC108">
        <v>0</v>
      </c>
      <c r="CD108">
        <v>0</v>
      </c>
      <c r="CE108" s="48" t="s">
        <v>1710</v>
      </c>
      <c r="CF108" s="48" t="s">
        <v>1710</v>
      </c>
      <c r="CG108" s="48" t="s">
        <v>1710</v>
      </c>
      <c r="CH108" s="48" t="s">
        <v>1710</v>
      </c>
      <c r="CI108" s="48" t="s">
        <v>2067</v>
      </c>
      <c r="CJ108" s="48" t="s">
        <v>1710</v>
      </c>
      <c r="CL108" s="48" t="s">
        <v>2850</v>
      </c>
      <c r="CM108" s="48" t="s">
        <v>1710</v>
      </c>
      <c r="CN108" s="48" t="s">
        <v>2068</v>
      </c>
      <c r="CO108" s="48" t="s">
        <v>2069</v>
      </c>
      <c r="CP108" s="48" t="s">
        <v>1710</v>
      </c>
      <c r="CQ108" s="48" t="s">
        <v>1710</v>
      </c>
      <c r="CR108" s="48" t="s">
        <v>1710</v>
      </c>
      <c r="CS108" s="48" t="s">
        <v>1710</v>
      </c>
      <c r="CT108" s="48" t="s">
        <v>1710</v>
      </c>
      <c r="CU108" s="48" t="s">
        <v>1712</v>
      </c>
      <c r="CV108" s="48" t="s">
        <v>1710</v>
      </c>
      <c r="CW108" s="48" t="s">
        <v>1710</v>
      </c>
      <c r="CX108" s="48" t="s">
        <v>3014</v>
      </c>
      <c r="CY108" s="48" t="s">
        <v>1710</v>
      </c>
      <c r="CZ108" s="48" t="s">
        <v>1712</v>
      </c>
      <c r="DA108" s="48" t="s">
        <v>1710</v>
      </c>
      <c r="DB108" s="48" t="s">
        <v>1878</v>
      </c>
      <c r="DC108" s="48" t="s">
        <v>2070</v>
      </c>
      <c r="DD108" s="48" t="s">
        <v>1842</v>
      </c>
      <c r="DE108" s="48" t="s">
        <v>1886</v>
      </c>
      <c r="DF108" s="48" t="s">
        <v>3679</v>
      </c>
      <c r="DG108" s="48" t="s">
        <v>2071</v>
      </c>
      <c r="DH108" s="48" t="s">
        <v>1712</v>
      </c>
      <c r="DI108" s="48" t="s">
        <v>1710</v>
      </c>
      <c r="DJ108" s="48" t="s">
        <v>1710</v>
      </c>
      <c r="DK108" s="48" t="s">
        <v>1710</v>
      </c>
      <c r="DL108" s="48" t="s">
        <v>1710</v>
      </c>
      <c r="DM108" s="48" t="s">
        <v>1710</v>
      </c>
      <c r="DN108" s="48" t="s">
        <v>1710</v>
      </c>
      <c r="DO108" s="48" t="s">
        <v>1710</v>
      </c>
      <c r="DP108" s="48" t="s">
        <v>1710</v>
      </c>
      <c r="DQ108" s="48" t="s">
        <v>1710</v>
      </c>
      <c r="DR108" s="48" t="s">
        <v>2072</v>
      </c>
      <c r="DS108" s="48" t="s">
        <v>1710</v>
      </c>
      <c r="DT108" s="48" t="s">
        <v>1710</v>
      </c>
      <c r="DU108" s="48" t="s">
        <v>2547</v>
      </c>
      <c r="DV108" s="48" t="s">
        <v>2816</v>
      </c>
      <c r="DW108" s="48" t="s">
        <v>1710</v>
      </c>
      <c r="DX108" s="48" t="s">
        <v>3680</v>
      </c>
      <c r="DY108" s="48" t="s">
        <v>1709</v>
      </c>
      <c r="DZ108" s="48" t="s">
        <v>2084</v>
      </c>
      <c r="EA108" s="48" t="s">
        <v>2546</v>
      </c>
      <c r="EB108">
        <v>0</v>
      </c>
      <c r="EC108" s="48" t="s">
        <v>2547</v>
      </c>
      <c r="ED108" s="48" t="s">
        <v>3632</v>
      </c>
      <c r="EE108" s="48" t="s">
        <v>1814</v>
      </c>
      <c r="EF108" s="48" t="s">
        <v>1859</v>
      </c>
      <c r="EG108" s="48" t="s">
        <v>3678</v>
      </c>
      <c r="EH108">
        <v>0.25</v>
      </c>
      <c r="EI108" s="48" t="s">
        <v>1888</v>
      </c>
      <c r="EJ108">
        <v>0</v>
      </c>
      <c r="EK108" s="48" t="s">
        <v>1710</v>
      </c>
      <c r="EL108">
        <v>1</v>
      </c>
      <c r="EM108" s="48" t="s">
        <v>1886</v>
      </c>
      <c r="EN108">
        <v>0.25</v>
      </c>
      <c r="EO108" s="48" t="s">
        <v>2602</v>
      </c>
      <c r="EP108" s="48" t="s">
        <v>2584</v>
      </c>
      <c r="EQ108">
        <v>1252.0899999999999</v>
      </c>
      <c r="ER108">
        <v>1252.0899999999999</v>
      </c>
      <c r="ES108">
        <v>1824584</v>
      </c>
      <c r="ET108">
        <v>1239</v>
      </c>
      <c r="EU108" s="48" t="s">
        <v>1710</v>
      </c>
      <c r="EV108" s="48" t="s">
        <v>1710</v>
      </c>
      <c r="EW108" s="48" t="s">
        <v>1712</v>
      </c>
      <c r="EX108" s="48" t="s">
        <v>1710</v>
      </c>
      <c r="EY108" s="48" t="s">
        <v>1848</v>
      </c>
      <c r="EZ108" s="48" t="s">
        <v>1710</v>
      </c>
      <c r="FA108" s="48" t="s">
        <v>1710</v>
      </c>
      <c r="FB108" s="48" t="s">
        <v>1712</v>
      </c>
      <c r="FC108" s="48" t="s">
        <v>1710</v>
      </c>
      <c r="FD108" s="48" t="s">
        <v>1710</v>
      </c>
      <c r="FE108" s="48" t="s">
        <v>1814</v>
      </c>
      <c r="FF108" s="48" t="s">
        <v>1815</v>
      </c>
      <c r="FG108" s="48" t="s">
        <v>1710</v>
      </c>
      <c r="FH108">
        <v>5</v>
      </c>
      <c r="FI108" s="48" t="s">
        <v>1846</v>
      </c>
      <c r="FJ108">
        <v>1252.0899999999999</v>
      </c>
      <c r="FK108">
        <v>250.41800000000001</v>
      </c>
      <c r="FL108" s="48" t="s">
        <v>3681</v>
      </c>
      <c r="FM108" s="48" t="s">
        <v>2584</v>
      </c>
      <c r="FN108" s="48" t="s">
        <v>1710</v>
      </c>
      <c r="FO108" s="48" t="s">
        <v>1710</v>
      </c>
      <c r="FP108" s="48" t="s">
        <v>1710</v>
      </c>
      <c r="FQ108" s="48" t="s">
        <v>1710</v>
      </c>
      <c r="FR108" s="48" t="s">
        <v>1710</v>
      </c>
      <c r="FS108" s="48" t="s">
        <v>1710</v>
      </c>
      <c r="FT108" s="48" t="s">
        <v>1710</v>
      </c>
      <c r="FU108" s="48" t="s">
        <v>1710</v>
      </c>
      <c r="FV108" s="48"/>
      <c r="FW108" s="56"/>
      <c r="FX108" s="56"/>
      <c r="FY108" s="56"/>
      <c r="FZ108" s="56"/>
      <c r="GA108" s="55" t="str">
        <f t="shared" si="5"/>
        <v>4388426300404X</v>
      </c>
      <c r="GB108" t="str">
        <f>VLOOKUP(B108,수출코드!$C$2:$D$4,2,FALSE)</f>
        <v>Suwon</v>
      </c>
      <c r="GC108" t="str">
        <f>VLOOKUP(L108,수출코드!$A$2:$B$6,2,FALSE)</f>
        <v>화면심사</v>
      </c>
      <c r="GD108" t="str">
        <f>VLOOKUP(M108,수출코드!$E$2:$F$5,2,FALSE)</f>
        <v>일반</v>
      </c>
      <c r="GE108" s="61">
        <f t="shared" si="3"/>
        <v>45972.613194444442</v>
      </c>
      <c r="GF108" s="62">
        <f t="shared" si="4"/>
        <v>46049.740972222222</v>
      </c>
      <c r="GI108" s="48" t="s">
        <v>2754</v>
      </c>
    </row>
    <row r="109" spans="1:191">
      <c r="A109" s="48" t="s">
        <v>3682</v>
      </c>
      <c r="B109" s="48" t="s">
        <v>1821</v>
      </c>
      <c r="C109" s="48" t="s">
        <v>2048</v>
      </c>
      <c r="D109" s="48" t="s">
        <v>2813</v>
      </c>
      <c r="E109" s="48" t="s">
        <v>3682</v>
      </c>
      <c r="F109" s="48" t="s">
        <v>1710</v>
      </c>
      <c r="G109" s="48" t="s">
        <v>2814</v>
      </c>
      <c r="H109" s="48" t="s">
        <v>3683</v>
      </c>
      <c r="I109" s="48" t="s">
        <v>1884</v>
      </c>
      <c r="J109" s="48" t="s">
        <v>2850</v>
      </c>
      <c r="K109" s="48" t="s">
        <v>1877</v>
      </c>
      <c r="L109" s="48" t="s">
        <v>1842</v>
      </c>
      <c r="M109" s="48" t="s">
        <v>1810</v>
      </c>
      <c r="N109" s="48" t="s">
        <v>1842</v>
      </c>
      <c r="O109" s="48" t="s">
        <v>1811</v>
      </c>
      <c r="P109" s="48" t="s">
        <v>2549</v>
      </c>
      <c r="Q109" s="48" t="s">
        <v>2049</v>
      </c>
      <c r="R109" s="48" t="s">
        <v>1838</v>
      </c>
      <c r="S109" s="48" t="s">
        <v>2050</v>
      </c>
      <c r="T109" s="48" t="s">
        <v>1845</v>
      </c>
      <c r="U109" s="48" t="s">
        <v>2049</v>
      </c>
      <c r="V109" s="48" t="s">
        <v>1838</v>
      </c>
      <c r="W109" s="48" t="s">
        <v>2051</v>
      </c>
      <c r="X109" s="48" t="s">
        <v>2052</v>
      </c>
      <c r="Y109" s="48" t="s">
        <v>2050</v>
      </c>
      <c r="Z109" s="48" t="s">
        <v>2053</v>
      </c>
      <c r="AA109" s="48" t="s">
        <v>2054</v>
      </c>
      <c r="AB109" s="48" t="s">
        <v>2817</v>
      </c>
      <c r="AC109" s="48" t="s">
        <v>2055</v>
      </c>
      <c r="AD109" s="48" t="s">
        <v>2056</v>
      </c>
      <c r="AE109" s="48" t="s">
        <v>1710</v>
      </c>
      <c r="AF109" s="48" t="s">
        <v>1710</v>
      </c>
      <c r="AG109" s="48" t="s">
        <v>2057</v>
      </c>
      <c r="AH109" s="48" t="s">
        <v>1815</v>
      </c>
      <c r="AI109" s="48" t="s">
        <v>2058</v>
      </c>
      <c r="AJ109" s="48" t="s">
        <v>1710</v>
      </c>
      <c r="AK109" s="48" t="s">
        <v>2099</v>
      </c>
      <c r="AL109" s="48" t="s">
        <v>1866</v>
      </c>
      <c r="AM109" s="48" t="s">
        <v>1816</v>
      </c>
      <c r="AN109" s="48" t="s">
        <v>2054</v>
      </c>
      <c r="AO109" s="48" t="s">
        <v>1710</v>
      </c>
      <c r="AP109" s="48" t="s">
        <v>1854</v>
      </c>
      <c r="AQ109" s="48" t="s">
        <v>2081</v>
      </c>
      <c r="AR109" s="48" t="s">
        <v>1812</v>
      </c>
      <c r="AS109" s="48" t="s">
        <v>1813</v>
      </c>
      <c r="AT109" s="48" t="s">
        <v>1826</v>
      </c>
      <c r="AU109" s="48" t="s">
        <v>2061</v>
      </c>
      <c r="AV109" s="48" t="s">
        <v>2850</v>
      </c>
      <c r="AW109" s="48" t="s">
        <v>2062</v>
      </c>
      <c r="AX109" s="48" t="s">
        <v>2063</v>
      </c>
      <c r="AY109" s="48" t="s">
        <v>1710</v>
      </c>
      <c r="AZ109" s="48" t="s">
        <v>3684</v>
      </c>
      <c r="BA109" s="48" t="s">
        <v>1710</v>
      </c>
      <c r="BB109" s="48" t="s">
        <v>1709</v>
      </c>
      <c r="BC109" s="48" t="s">
        <v>1710</v>
      </c>
      <c r="BD109" s="48" t="s">
        <v>2097</v>
      </c>
      <c r="BE109" s="52" t="s">
        <v>3488</v>
      </c>
      <c r="BF109" s="48" t="s">
        <v>1710</v>
      </c>
      <c r="BG109" s="48" t="s">
        <v>1814</v>
      </c>
      <c r="BH109">
        <v>1</v>
      </c>
      <c r="BI109" s="48" t="s">
        <v>1888</v>
      </c>
      <c r="BJ109">
        <v>1</v>
      </c>
      <c r="BK109">
        <v>1473.06</v>
      </c>
      <c r="BL109">
        <v>627404</v>
      </c>
      <c r="BM109">
        <v>426</v>
      </c>
      <c r="BN109" s="48" t="s">
        <v>2064</v>
      </c>
      <c r="BO109" s="48" t="s">
        <v>2065</v>
      </c>
      <c r="BP109">
        <v>1473.06</v>
      </c>
      <c r="BQ109">
        <v>451.58</v>
      </c>
      <c r="BR109" s="48" t="s">
        <v>1885</v>
      </c>
      <c r="BS109" s="48" t="s">
        <v>2066</v>
      </c>
      <c r="BT109">
        <v>1</v>
      </c>
      <c r="BU109">
        <v>37800</v>
      </c>
      <c r="BV109">
        <v>37800</v>
      </c>
      <c r="BW109" s="48" t="s">
        <v>2065</v>
      </c>
      <c r="BX109">
        <v>1473.06</v>
      </c>
      <c r="BY109">
        <v>0</v>
      </c>
      <c r="BZ109">
        <v>0</v>
      </c>
      <c r="CA109" s="48" t="s">
        <v>2065</v>
      </c>
      <c r="CB109">
        <v>1473.06</v>
      </c>
      <c r="CC109">
        <v>0</v>
      </c>
      <c r="CD109">
        <v>0</v>
      </c>
      <c r="CE109" s="48" t="s">
        <v>1710</v>
      </c>
      <c r="CF109" s="48" t="s">
        <v>1710</v>
      </c>
      <c r="CG109" s="48" t="s">
        <v>1710</v>
      </c>
      <c r="CH109" s="48" t="s">
        <v>1710</v>
      </c>
      <c r="CI109" s="48" t="s">
        <v>2067</v>
      </c>
      <c r="CJ109" s="48" t="s">
        <v>1710</v>
      </c>
      <c r="CL109" s="48" t="s">
        <v>2850</v>
      </c>
      <c r="CM109" s="48" t="s">
        <v>1710</v>
      </c>
      <c r="CN109" s="48" t="s">
        <v>2068</v>
      </c>
      <c r="CO109" s="48" t="s">
        <v>2069</v>
      </c>
      <c r="CP109" s="48" t="s">
        <v>1710</v>
      </c>
      <c r="CQ109" s="48" t="s">
        <v>1710</v>
      </c>
      <c r="CR109" s="48" t="s">
        <v>1710</v>
      </c>
      <c r="CS109" s="48" t="s">
        <v>1710</v>
      </c>
      <c r="CT109" s="48" t="s">
        <v>1710</v>
      </c>
      <c r="CU109" s="48" t="s">
        <v>1712</v>
      </c>
      <c r="CV109" s="48" t="s">
        <v>1710</v>
      </c>
      <c r="CW109" s="48" t="s">
        <v>1710</v>
      </c>
      <c r="CX109" s="48" t="s">
        <v>3014</v>
      </c>
      <c r="CY109" s="48" t="s">
        <v>1710</v>
      </c>
      <c r="CZ109" s="48" t="s">
        <v>1712</v>
      </c>
      <c r="DA109" s="48" t="s">
        <v>1710</v>
      </c>
      <c r="DB109" s="48" t="s">
        <v>1878</v>
      </c>
      <c r="DC109" s="48" t="s">
        <v>2070</v>
      </c>
      <c r="DD109" s="48" t="s">
        <v>1842</v>
      </c>
      <c r="DE109" s="48" t="s">
        <v>1886</v>
      </c>
      <c r="DF109" s="48" t="s">
        <v>3685</v>
      </c>
      <c r="DG109" s="48" t="s">
        <v>2071</v>
      </c>
      <c r="DH109" s="48" t="s">
        <v>1712</v>
      </c>
      <c r="DI109" s="48" t="s">
        <v>1710</v>
      </c>
      <c r="DJ109" s="48" t="s">
        <v>1710</v>
      </c>
      <c r="DK109" s="48" t="s">
        <v>1710</v>
      </c>
      <c r="DL109" s="48" t="s">
        <v>1710</v>
      </c>
      <c r="DM109" s="48" t="s">
        <v>1710</v>
      </c>
      <c r="DN109" s="48" t="s">
        <v>1710</v>
      </c>
      <c r="DO109" s="48" t="s">
        <v>1710</v>
      </c>
      <c r="DP109" s="48" t="s">
        <v>1710</v>
      </c>
      <c r="DQ109" s="48" t="s">
        <v>1710</v>
      </c>
      <c r="DR109" s="48" t="s">
        <v>2072</v>
      </c>
      <c r="DS109" s="48" t="s">
        <v>1710</v>
      </c>
      <c r="DT109" s="48" t="s">
        <v>1710</v>
      </c>
      <c r="DU109" s="48" t="s">
        <v>2547</v>
      </c>
      <c r="DV109" s="48" t="s">
        <v>3111</v>
      </c>
      <c r="DW109" s="48" t="s">
        <v>1710</v>
      </c>
      <c r="DX109" s="48" t="s">
        <v>3686</v>
      </c>
      <c r="DY109" s="48" t="s">
        <v>1709</v>
      </c>
      <c r="DZ109" s="48" t="s">
        <v>2562</v>
      </c>
      <c r="EA109" s="48" t="s">
        <v>2546</v>
      </c>
      <c r="EB109">
        <v>0</v>
      </c>
      <c r="EC109" s="48" t="s">
        <v>2547</v>
      </c>
      <c r="ED109" s="48" t="s">
        <v>3673</v>
      </c>
      <c r="EE109" s="48" t="s">
        <v>1814</v>
      </c>
      <c r="EF109" s="48" t="s">
        <v>3687</v>
      </c>
      <c r="EG109" s="48" t="s">
        <v>3684</v>
      </c>
      <c r="EH109">
        <v>1</v>
      </c>
      <c r="EI109" s="48" t="s">
        <v>1888</v>
      </c>
      <c r="EJ109">
        <v>8</v>
      </c>
      <c r="EK109" s="48" t="s">
        <v>1887</v>
      </c>
      <c r="EL109">
        <v>1</v>
      </c>
      <c r="EM109" s="48" t="s">
        <v>1886</v>
      </c>
      <c r="EN109">
        <v>1</v>
      </c>
      <c r="EO109" s="48" t="s">
        <v>3688</v>
      </c>
      <c r="EP109" s="48" t="s">
        <v>3689</v>
      </c>
      <c r="EQ109">
        <v>451.58</v>
      </c>
      <c r="ER109">
        <v>451.58</v>
      </c>
      <c r="ES109">
        <v>627404</v>
      </c>
      <c r="ET109">
        <v>426</v>
      </c>
      <c r="EU109" s="48" t="s">
        <v>1710</v>
      </c>
      <c r="EV109" s="48" t="s">
        <v>1710</v>
      </c>
      <c r="EW109" s="48" t="s">
        <v>1712</v>
      </c>
      <c r="EX109" s="48" t="s">
        <v>1710</v>
      </c>
      <c r="EY109" s="48" t="s">
        <v>1843</v>
      </c>
      <c r="EZ109" s="48" t="s">
        <v>1710</v>
      </c>
      <c r="FA109" s="48" t="s">
        <v>1710</v>
      </c>
      <c r="FB109" s="48" t="s">
        <v>1712</v>
      </c>
      <c r="FC109" s="48" t="s">
        <v>1710</v>
      </c>
      <c r="FD109" s="48" t="s">
        <v>1710</v>
      </c>
      <c r="FE109" s="48" t="s">
        <v>1814</v>
      </c>
      <c r="FF109" s="48" t="s">
        <v>1815</v>
      </c>
      <c r="FG109" s="48" t="s">
        <v>1710</v>
      </c>
      <c r="FH109">
        <v>8</v>
      </c>
      <c r="FI109" s="48" t="s">
        <v>1846</v>
      </c>
      <c r="FJ109">
        <v>451.58</v>
      </c>
      <c r="FK109">
        <v>56.448</v>
      </c>
      <c r="FL109" s="48" t="s">
        <v>3690</v>
      </c>
      <c r="FM109" s="48" t="s">
        <v>3689</v>
      </c>
      <c r="FN109" s="48" t="s">
        <v>1710</v>
      </c>
      <c r="FO109" s="48" t="s">
        <v>1710</v>
      </c>
      <c r="FP109" s="48" t="s">
        <v>1710</v>
      </c>
      <c r="FQ109" s="48" t="s">
        <v>1710</v>
      </c>
      <c r="FR109" s="48" t="s">
        <v>1710</v>
      </c>
      <c r="FS109" s="48" t="s">
        <v>1710</v>
      </c>
      <c r="FT109" s="48" t="s">
        <v>1710</v>
      </c>
      <c r="FU109" s="48" t="s">
        <v>1710</v>
      </c>
      <c r="FV109" s="48"/>
      <c r="FW109" s="56"/>
      <c r="FX109" s="56"/>
      <c r="FY109" s="56"/>
      <c r="FZ109" s="56"/>
      <c r="GA109" s="55" t="str">
        <f t="shared" si="5"/>
        <v>4388426300405X</v>
      </c>
      <c r="GB109" t="str">
        <f>VLOOKUP(B109,수출코드!$C$2:$D$4,2,FALSE)</f>
        <v>Suwon</v>
      </c>
      <c r="GC109" t="str">
        <f>VLOOKUP(L109,수출코드!$A$2:$B$6,2,FALSE)</f>
        <v/>
      </c>
      <c r="GD109" t="str">
        <f>VLOOKUP(M109,수출코드!$E$2:$F$5,2,FALSE)</f>
        <v>일반</v>
      </c>
      <c r="GE109" s="61">
        <f t="shared" si="3"/>
        <v>45972.625</v>
      </c>
      <c r="GF109" s="62">
        <f t="shared" si="4"/>
        <v>46049.73541666667</v>
      </c>
      <c r="GI109" s="48" t="s">
        <v>2755</v>
      </c>
    </row>
    <row r="110" spans="1:191">
      <c r="A110" s="48" t="s">
        <v>3691</v>
      </c>
      <c r="B110" s="48" t="s">
        <v>1821</v>
      </c>
      <c r="C110" s="48" t="s">
        <v>2048</v>
      </c>
      <c r="D110" s="48" t="s">
        <v>2813</v>
      </c>
      <c r="E110" s="48" t="s">
        <v>3691</v>
      </c>
      <c r="F110" s="48" t="s">
        <v>1710</v>
      </c>
      <c r="G110" s="48" t="s">
        <v>2814</v>
      </c>
      <c r="H110" s="48" t="s">
        <v>3692</v>
      </c>
      <c r="I110" s="48" t="s">
        <v>1884</v>
      </c>
      <c r="J110" s="48" t="s">
        <v>2850</v>
      </c>
      <c r="K110" s="48" t="s">
        <v>1877</v>
      </c>
      <c r="L110" s="48" t="s">
        <v>1844</v>
      </c>
      <c r="M110" s="48" t="s">
        <v>1810</v>
      </c>
      <c r="N110" s="48" t="s">
        <v>1842</v>
      </c>
      <c r="O110" s="48" t="s">
        <v>1811</v>
      </c>
      <c r="P110" s="48" t="s">
        <v>2549</v>
      </c>
      <c r="Q110" s="48" t="s">
        <v>2049</v>
      </c>
      <c r="R110" s="48" t="s">
        <v>1838</v>
      </c>
      <c r="S110" s="48" t="s">
        <v>2050</v>
      </c>
      <c r="T110" s="48" t="s">
        <v>1845</v>
      </c>
      <c r="U110" s="48" t="s">
        <v>2049</v>
      </c>
      <c r="V110" s="48" t="s">
        <v>1838</v>
      </c>
      <c r="W110" s="48" t="s">
        <v>2051</v>
      </c>
      <c r="X110" s="48" t="s">
        <v>2052</v>
      </c>
      <c r="Y110" s="48" t="s">
        <v>2050</v>
      </c>
      <c r="Z110" s="48" t="s">
        <v>2053</v>
      </c>
      <c r="AA110" s="48" t="s">
        <v>2054</v>
      </c>
      <c r="AB110" s="48" t="s">
        <v>2817</v>
      </c>
      <c r="AC110" s="48" t="s">
        <v>2055</v>
      </c>
      <c r="AD110" s="48" t="s">
        <v>2056</v>
      </c>
      <c r="AE110" s="48" t="s">
        <v>1710</v>
      </c>
      <c r="AF110" s="48" t="s">
        <v>1710</v>
      </c>
      <c r="AG110" s="48" t="s">
        <v>2057</v>
      </c>
      <c r="AH110" s="48" t="s">
        <v>1815</v>
      </c>
      <c r="AI110" s="48" t="s">
        <v>2058</v>
      </c>
      <c r="AJ110" s="48" t="s">
        <v>1710</v>
      </c>
      <c r="AK110" s="48" t="s">
        <v>3693</v>
      </c>
      <c r="AL110" s="48" t="s">
        <v>2534</v>
      </c>
      <c r="AM110" s="48" t="s">
        <v>1816</v>
      </c>
      <c r="AN110" s="48" t="s">
        <v>2054</v>
      </c>
      <c r="AO110" s="48" t="s">
        <v>1710</v>
      </c>
      <c r="AP110" s="48" t="s">
        <v>1848</v>
      </c>
      <c r="AQ110" s="48" t="s">
        <v>2060</v>
      </c>
      <c r="AR110" s="48" t="s">
        <v>1812</v>
      </c>
      <c r="AS110" s="48" t="s">
        <v>1813</v>
      </c>
      <c r="AT110" s="48" t="s">
        <v>1826</v>
      </c>
      <c r="AU110" s="48" t="s">
        <v>2061</v>
      </c>
      <c r="AV110" s="48" t="s">
        <v>2850</v>
      </c>
      <c r="AW110" s="48" t="s">
        <v>2062</v>
      </c>
      <c r="AX110" s="48" t="s">
        <v>2063</v>
      </c>
      <c r="AY110" s="48" t="s">
        <v>1710</v>
      </c>
      <c r="AZ110" s="48" t="s">
        <v>3694</v>
      </c>
      <c r="BA110" s="48" t="s">
        <v>1710</v>
      </c>
      <c r="BB110" s="48" t="s">
        <v>1709</v>
      </c>
      <c r="BC110" s="48" t="s">
        <v>1710</v>
      </c>
      <c r="BD110" s="48" t="s">
        <v>2097</v>
      </c>
      <c r="BE110" s="52" t="s">
        <v>3488</v>
      </c>
      <c r="BF110" s="48" t="s">
        <v>1710</v>
      </c>
      <c r="BG110" s="48" t="s">
        <v>1814</v>
      </c>
      <c r="BH110">
        <v>2</v>
      </c>
      <c r="BI110" s="48" t="s">
        <v>1888</v>
      </c>
      <c r="BJ110">
        <v>1</v>
      </c>
      <c r="BK110">
        <v>1473.06</v>
      </c>
      <c r="BL110">
        <v>750662</v>
      </c>
      <c r="BM110">
        <v>510</v>
      </c>
      <c r="BN110" s="48" t="s">
        <v>2064</v>
      </c>
      <c r="BO110" s="48" t="s">
        <v>2065</v>
      </c>
      <c r="BP110">
        <v>1473.06</v>
      </c>
      <c r="BQ110">
        <v>541.84</v>
      </c>
      <c r="BR110" s="48" t="s">
        <v>1885</v>
      </c>
      <c r="BS110" s="48" t="s">
        <v>2066</v>
      </c>
      <c r="BT110">
        <v>1</v>
      </c>
      <c r="BU110">
        <v>47500</v>
      </c>
      <c r="BV110">
        <v>47500</v>
      </c>
      <c r="BW110" s="48" t="s">
        <v>2065</v>
      </c>
      <c r="BX110">
        <v>1473.06</v>
      </c>
      <c r="BY110">
        <v>0</v>
      </c>
      <c r="BZ110">
        <v>0</v>
      </c>
      <c r="CA110" s="48" t="s">
        <v>2065</v>
      </c>
      <c r="CB110">
        <v>1473.06</v>
      </c>
      <c r="CC110">
        <v>0</v>
      </c>
      <c r="CD110">
        <v>0</v>
      </c>
      <c r="CE110" s="48" t="s">
        <v>1710</v>
      </c>
      <c r="CF110" s="48" t="s">
        <v>1710</v>
      </c>
      <c r="CG110" s="48" t="s">
        <v>1710</v>
      </c>
      <c r="CH110" s="48" t="s">
        <v>1710</v>
      </c>
      <c r="CI110" s="48" t="s">
        <v>2067</v>
      </c>
      <c r="CJ110" s="48" t="s">
        <v>1710</v>
      </c>
      <c r="CL110" s="48" t="s">
        <v>2850</v>
      </c>
      <c r="CM110" s="48" t="s">
        <v>1710</v>
      </c>
      <c r="CN110" s="48" t="s">
        <v>2068</v>
      </c>
      <c r="CO110" s="48" t="s">
        <v>2069</v>
      </c>
      <c r="CP110" s="48" t="s">
        <v>1710</v>
      </c>
      <c r="CQ110" s="48" t="s">
        <v>1710</v>
      </c>
      <c r="CR110" s="48" t="s">
        <v>1710</v>
      </c>
      <c r="CS110" s="48" t="s">
        <v>1710</v>
      </c>
      <c r="CT110" s="48" t="s">
        <v>1710</v>
      </c>
      <c r="CU110" s="48" t="s">
        <v>1712</v>
      </c>
      <c r="CV110" s="48" t="s">
        <v>1710</v>
      </c>
      <c r="CW110" s="48" t="s">
        <v>1710</v>
      </c>
      <c r="CX110" s="48" t="s">
        <v>3014</v>
      </c>
      <c r="CY110" s="48" t="s">
        <v>1710</v>
      </c>
      <c r="CZ110" s="48" t="s">
        <v>1712</v>
      </c>
      <c r="DA110" s="48" t="s">
        <v>1710</v>
      </c>
      <c r="DB110" s="48" t="s">
        <v>1878</v>
      </c>
      <c r="DC110" s="48" t="s">
        <v>2070</v>
      </c>
      <c r="DD110" s="48" t="s">
        <v>1842</v>
      </c>
      <c r="DE110" s="48" t="s">
        <v>1886</v>
      </c>
      <c r="DF110" s="48" t="s">
        <v>3695</v>
      </c>
      <c r="DG110" s="48" t="s">
        <v>2071</v>
      </c>
      <c r="DH110" s="48" t="s">
        <v>1712</v>
      </c>
      <c r="DI110" s="48" t="s">
        <v>1710</v>
      </c>
      <c r="DJ110" s="48" t="s">
        <v>1710</v>
      </c>
      <c r="DK110" s="48" t="s">
        <v>1710</v>
      </c>
      <c r="DL110" s="48" t="s">
        <v>1710</v>
      </c>
      <c r="DM110" s="48" t="s">
        <v>1710</v>
      </c>
      <c r="DN110" s="48" t="s">
        <v>1710</v>
      </c>
      <c r="DO110" s="48" t="s">
        <v>1710</v>
      </c>
      <c r="DP110" s="48" t="s">
        <v>1710</v>
      </c>
      <c r="DQ110" s="48" t="s">
        <v>1710</v>
      </c>
      <c r="DR110" s="48" t="s">
        <v>2072</v>
      </c>
      <c r="DS110" s="48" t="s">
        <v>1710</v>
      </c>
      <c r="DT110" s="48" t="s">
        <v>1710</v>
      </c>
      <c r="DU110" s="48" t="s">
        <v>2547</v>
      </c>
      <c r="DV110" s="48" t="s">
        <v>2816</v>
      </c>
      <c r="DW110" s="48" t="s">
        <v>1710</v>
      </c>
      <c r="DX110" s="48" t="s">
        <v>3696</v>
      </c>
      <c r="DY110" s="48" t="s">
        <v>1709</v>
      </c>
      <c r="DZ110" s="48" t="s">
        <v>2084</v>
      </c>
      <c r="EA110" s="48" t="s">
        <v>2546</v>
      </c>
      <c r="EB110">
        <v>0</v>
      </c>
      <c r="EC110" s="48" t="s">
        <v>2547</v>
      </c>
      <c r="ED110" s="48" t="s">
        <v>3632</v>
      </c>
      <c r="EE110" s="48" t="s">
        <v>1814</v>
      </c>
      <c r="EF110" s="48" t="s">
        <v>3697</v>
      </c>
      <c r="EG110" s="48" t="s">
        <v>3694</v>
      </c>
      <c r="EH110">
        <v>0.39</v>
      </c>
      <c r="EI110" s="48" t="s">
        <v>1888</v>
      </c>
      <c r="EJ110">
        <v>0</v>
      </c>
      <c r="EK110" s="48" t="s">
        <v>1710</v>
      </c>
      <c r="EL110">
        <v>1</v>
      </c>
      <c r="EM110" s="48" t="s">
        <v>1886</v>
      </c>
      <c r="EN110">
        <v>0.39</v>
      </c>
      <c r="EO110" s="48" t="s">
        <v>2593</v>
      </c>
      <c r="EP110" s="48" t="s">
        <v>3698</v>
      </c>
      <c r="EQ110">
        <v>541.84</v>
      </c>
      <c r="ER110">
        <v>541.84</v>
      </c>
      <c r="ES110">
        <v>750662</v>
      </c>
      <c r="ET110">
        <v>510</v>
      </c>
      <c r="EU110" s="48" t="s">
        <v>1710</v>
      </c>
      <c r="EV110" s="48" t="s">
        <v>1710</v>
      </c>
      <c r="EW110" s="48" t="s">
        <v>1712</v>
      </c>
      <c r="EX110" s="48" t="s">
        <v>1710</v>
      </c>
      <c r="EY110" s="48" t="s">
        <v>1848</v>
      </c>
      <c r="EZ110" s="48" t="s">
        <v>1710</v>
      </c>
      <c r="FA110" s="48" t="s">
        <v>1710</v>
      </c>
      <c r="FB110" s="48" t="s">
        <v>1712</v>
      </c>
      <c r="FC110" s="48" t="s">
        <v>1710</v>
      </c>
      <c r="FD110" s="48" t="s">
        <v>1710</v>
      </c>
      <c r="FE110" s="48" t="s">
        <v>1814</v>
      </c>
      <c r="FF110" s="48" t="s">
        <v>1815</v>
      </c>
      <c r="FG110" s="48" t="s">
        <v>1710</v>
      </c>
      <c r="FH110">
        <v>3</v>
      </c>
      <c r="FI110" s="48" t="s">
        <v>1846</v>
      </c>
      <c r="FJ110">
        <v>541.84</v>
      </c>
      <c r="FK110">
        <v>180.613</v>
      </c>
      <c r="FL110" s="48" t="s">
        <v>3699</v>
      </c>
      <c r="FM110" s="48" t="s">
        <v>3698</v>
      </c>
      <c r="FN110" s="48" t="s">
        <v>1710</v>
      </c>
      <c r="FO110" s="48" t="s">
        <v>1710</v>
      </c>
      <c r="FP110" s="48" t="s">
        <v>1710</v>
      </c>
      <c r="FQ110" s="48" t="s">
        <v>1710</v>
      </c>
      <c r="FR110" s="48" t="s">
        <v>1710</v>
      </c>
      <c r="FS110" s="48" t="s">
        <v>1710</v>
      </c>
      <c r="FT110" s="48" t="s">
        <v>1710</v>
      </c>
      <c r="FU110" s="48" t="s">
        <v>1710</v>
      </c>
      <c r="FV110" s="48"/>
      <c r="FW110" s="56"/>
      <c r="FX110" s="56"/>
      <c r="FY110" s="56"/>
      <c r="FZ110" s="56"/>
      <c r="GA110" s="55" t="str">
        <f t="shared" si="5"/>
        <v>4388426300406X</v>
      </c>
      <c r="GB110" t="str">
        <f>VLOOKUP(B110,수출코드!$C$2:$D$4,2,FALSE)</f>
        <v>Suwon</v>
      </c>
      <c r="GC110" t="str">
        <f>VLOOKUP(L110,수출코드!$A$2:$B$6,2,FALSE)</f>
        <v>화면심사</v>
      </c>
      <c r="GD110" t="str">
        <f>VLOOKUP(M110,수출코드!$E$2:$F$5,2,FALSE)</f>
        <v>일반</v>
      </c>
      <c r="GE110" s="61">
        <f t="shared" si="3"/>
        <v>45972.625</v>
      </c>
      <c r="GF110" s="62">
        <f t="shared" si="4"/>
        <v>46049.740972222222</v>
      </c>
      <c r="GI110" s="48" t="s">
        <v>2755</v>
      </c>
    </row>
    <row r="111" spans="1:191">
      <c r="A111" s="48" t="s">
        <v>3700</v>
      </c>
      <c r="B111" s="48" t="s">
        <v>1821</v>
      </c>
      <c r="C111" s="48" t="s">
        <v>2048</v>
      </c>
      <c r="D111" s="48" t="s">
        <v>2813</v>
      </c>
      <c r="E111" s="48" t="s">
        <v>3700</v>
      </c>
      <c r="F111" s="48" t="s">
        <v>1710</v>
      </c>
      <c r="G111" s="48" t="s">
        <v>2814</v>
      </c>
      <c r="H111" s="48" t="s">
        <v>3701</v>
      </c>
      <c r="I111" s="48" t="s">
        <v>1884</v>
      </c>
      <c r="J111" s="48" t="s">
        <v>2850</v>
      </c>
      <c r="K111" s="48" t="s">
        <v>1877</v>
      </c>
      <c r="L111" s="48" t="s">
        <v>1842</v>
      </c>
      <c r="M111" s="48" t="s">
        <v>1810</v>
      </c>
      <c r="N111" s="48" t="s">
        <v>1842</v>
      </c>
      <c r="O111" s="48" t="s">
        <v>1811</v>
      </c>
      <c r="P111" s="48" t="s">
        <v>2549</v>
      </c>
      <c r="Q111" s="48" t="s">
        <v>2049</v>
      </c>
      <c r="R111" s="48" t="s">
        <v>1838</v>
      </c>
      <c r="S111" s="48" t="s">
        <v>2050</v>
      </c>
      <c r="T111" s="48" t="s">
        <v>1845</v>
      </c>
      <c r="U111" s="48" t="s">
        <v>2049</v>
      </c>
      <c r="V111" s="48" t="s">
        <v>1838</v>
      </c>
      <c r="W111" s="48" t="s">
        <v>2051</v>
      </c>
      <c r="X111" s="48" t="s">
        <v>2052</v>
      </c>
      <c r="Y111" s="48" t="s">
        <v>2050</v>
      </c>
      <c r="Z111" s="48" t="s">
        <v>2053</v>
      </c>
      <c r="AA111" s="48" t="s">
        <v>2054</v>
      </c>
      <c r="AB111" s="48" t="s">
        <v>2817</v>
      </c>
      <c r="AC111" s="48" t="s">
        <v>2055</v>
      </c>
      <c r="AD111" s="48" t="s">
        <v>2056</v>
      </c>
      <c r="AE111" s="48" t="s">
        <v>1710</v>
      </c>
      <c r="AF111" s="48" t="s">
        <v>1710</v>
      </c>
      <c r="AG111" s="48" t="s">
        <v>2057</v>
      </c>
      <c r="AH111" s="48" t="s">
        <v>1815</v>
      </c>
      <c r="AI111" s="48" t="s">
        <v>2058</v>
      </c>
      <c r="AJ111" s="48" t="s">
        <v>1710</v>
      </c>
      <c r="AK111" s="48" t="s">
        <v>3702</v>
      </c>
      <c r="AL111" s="48" t="s">
        <v>3703</v>
      </c>
      <c r="AM111" s="48" t="s">
        <v>1816</v>
      </c>
      <c r="AN111" s="48" t="s">
        <v>2054</v>
      </c>
      <c r="AO111" s="48" t="s">
        <v>1710</v>
      </c>
      <c r="AP111" s="48" t="s">
        <v>1853</v>
      </c>
      <c r="AQ111" s="48" t="s">
        <v>2086</v>
      </c>
      <c r="AR111" s="48" t="s">
        <v>1812</v>
      </c>
      <c r="AS111" s="48" t="s">
        <v>1813</v>
      </c>
      <c r="AT111" s="48" t="s">
        <v>1826</v>
      </c>
      <c r="AU111" s="48" t="s">
        <v>2061</v>
      </c>
      <c r="AV111" s="48" t="s">
        <v>2850</v>
      </c>
      <c r="AW111" s="48" t="s">
        <v>2062</v>
      </c>
      <c r="AX111" s="48" t="s">
        <v>2063</v>
      </c>
      <c r="AY111" s="48" t="s">
        <v>1710</v>
      </c>
      <c r="AZ111" s="48" t="s">
        <v>3704</v>
      </c>
      <c r="BA111" s="48" t="s">
        <v>1710</v>
      </c>
      <c r="BB111" s="48" t="s">
        <v>1709</v>
      </c>
      <c r="BC111" s="48" t="s">
        <v>1710</v>
      </c>
      <c r="BD111" s="48" t="s">
        <v>2097</v>
      </c>
      <c r="BE111" s="52" t="s">
        <v>3488</v>
      </c>
      <c r="BF111" s="48" t="s">
        <v>1710</v>
      </c>
      <c r="BG111" s="48" t="s">
        <v>1814</v>
      </c>
      <c r="BH111">
        <v>5</v>
      </c>
      <c r="BI111" s="48" t="s">
        <v>1888</v>
      </c>
      <c r="BJ111">
        <v>1</v>
      </c>
      <c r="BK111">
        <v>1473.06</v>
      </c>
      <c r="BL111">
        <v>1347607</v>
      </c>
      <c r="BM111">
        <v>915</v>
      </c>
      <c r="BN111" s="48" t="s">
        <v>2064</v>
      </c>
      <c r="BO111" s="48" t="s">
        <v>2065</v>
      </c>
      <c r="BP111">
        <v>1473.06</v>
      </c>
      <c r="BQ111">
        <v>949.05</v>
      </c>
      <c r="BR111" s="48" t="s">
        <v>1885</v>
      </c>
      <c r="BS111" s="48" t="s">
        <v>2066</v>
      </c>
      <c r="BT111">
        <v>1</v>
      </c>
      <c r="BU111">
        <v>50400</v>
      </c>
      <c r="BV111">
        <v>50400</v>
      </c>
      <c r="BW111" s="48" t="s">
        <v>2065</v>
      </c>
      <c r="BX111">
        <v>1473.06</v>
      </c>
      <c r="BY111">
        <v>0</v>
      </c>
      <c r="BZ111">
        <v>0</v>
      </c>
      <c r="CA111" s="48" t="s">
        <v>2065</v>
      </c>
      <c r="CB111">
        <v>1473.06</v>
      </c>
      <c r="CC111">
        <v>0</v>
      </c>
      <c r="CD111">
        <v>0</v>
      </c>
      <c r="CE111" s="48" t="s">
        <v>1710</v>
      </c>
      <c r="CF111" s="48" t="s">
        <v>1710</v>
      </c>
      <c r="CG111" s="48" t="s">
        <v>1710</v>
      </c>
      <c r="CH111" s="48" t="s">
        <v>1710</v>
      </c>
      <c r="CI111" s="48" t="s">
        <v>2067</v>
      </c>
      <c r="CJ111" s="48" t="s">
        <v>1710</v>
      </c>
      <c r="CL111" s="48" t="s">
        <v>2850</v>
      </c>
      <c r="CM111" s="48" t="s">
        <v>1710</v>
      </c>
      <c r="CN111" s="48" t="s">
        <v>2068</v>
      </c>
      <c r="CO111" s="48" t="s">
        <v>2069</v>
      </c>
      <c r="CP111" s="48" t="s">
        <v>1710</v>
      </c>
      <c r="CQ111" s="48" t="s">
        <v>1710</v>
      </c>
      <c r="CR111" s="48" t="s">
        <v>1710</v>
      </c>
      <c r="CS111" s="48" t="s">
        <v>1710</v>
      </c>
      <c r="CT111" s="48" t="s">
        <v>1710</v>
      </c>
      <c r="CU111" s="48" t="s">
        <v>1712</v>
      </c>
      <c r="CV111" s="48" t="s">
        <v>1710</v>
      </c>
      <c r="CW111" s="48" t="s">
        <v>1710</v>
      </c>
      <c r="CX111" s="48" t="s">
        <v>3014</v>
      </c>
      <c r="CY111" s="48" t="s">
        <v>1710</v>
      </c>
      <c r="CZ111" s="48" t="s">
        <v>1712</v>
      </c>
      <c r="DA111" s="48" t="s">
        <v>1710</v>
      </c>
      <c r="DB111" s="48" t="s">
        <v>1878</v>
      </c>
      <c r="DC111" s="48" t="s">
        <v>2070</v>
      </c>
      <c r="DD111" s="48" t="s">
        <v>1842</v>
      </c>
      <c r="DE111" s="48" t="s">
        <v>1886</v>
      </c>
      <c r="DF111" s="48" t="s">
        <v>3705</v>
      </c>
      <c r="DG111" s="48" t="s">
        <v>2071</v>
      </c>
      <c r="DH111" s="48" t="s">
        <v>1712</v>
      </c>
      <c r="DI111" s="48" t="s">
        <v>1710</v>
      </c>
      <c r="DJ111" s="48" t="s">
        <v>1710</v>
      </c>
      <c r="DK111" s="48" t="s">
        <v>1710</v>
      </c>
      <c r="DL111" s="48" t="s">
        <v>1710</v>
      </c>
      <c r="DM111" s="48" t="s">
        <v>1710</v>
      </c>
      <c r="DN111" s="48" t="s">
        <v>1710</v>
      </c>
      <c r="DO111" s="48" t="s">
        <v>1710</v>
      </c>
      <c r="DP111" s="48" t="s">
        <v>1710</v>
      </c>
      <c r="DQ111" s="48" t="s">
        <v>1710</v>
      </c>
      <c r="DR111" s="48" t="s">
        <v>2072</v>
      </c>
      <c r="DS111" s="48" t="s">
        <v>1710</v>
      </c>
      <c r="DT111" s="48" t="s">
        <v>1710</v>
      </c>
      <c r="DU111" s="48" t="s">
        <v>2547</v>
      </c>
      <c r="DV111" s="48" t="s">
        <v>2816</v>
      </c>
      <c r="DW111" s="48" t="s">
        <v>1710</v>
      </c>
      <c r="DX111" s="48" t="s">
        <v>3706</v>
      </c>
      <c r="DY111" s="48" t="s">
        <v>1709</v>
      </c>
      <c r="DZ111" s="48" t="s">
        <v>2562</v>
      </c>
      <c r="EA111" s="48" t="s">
        <v>2546</v>
      </c>
      <c r="EB111">
        <v>0</v>
      </c>
      <c r="EC111" s="48" t="s">
        <v>2547</v>
      </c>
      <c r="ED111" s="48" t="s">
        <v>3707</v>
      </c>
      <c r="EE111" s="48" t="s">
        <v>1814</v>
      </c>
      <c r="EF111" s="48" t="s">
        <v>1862</v>
      </c>
      <c r="EG111" s="48" t="s">
        <v>3704</v>
      </c>
      <c r="EH111">
        <v>3.14</v>
      </c>
      <c r="EI111" s="48" t="s">
        <v>1888</v>
      </c>
      <c r="EJ111">
        <v>0</v>
      </c>
      <c r="EK111" s="48" t="s">
        <v>1710</v>
      </c>
      <c r="EL111">
        <v>1</v>
      </c>
      <c r="EM111" s="48" t="s">
        <v>1886</v>
      </c>
      <c r="EN111">
        <v>3.14</v>
      </c>
      <c r="EO111" s="48" t="s">
        <v>2522</v>
      </c>
      <c r="EP111" s="48" t="s">
        <v>3708</v>
      </c>
      <c r="EQ111">
        <v>949.05</v>
      </c>
      <c r="ER111">
        <v>949.05</v>
      </c>
      <c r="ES111">
        <v>1347607</v>
      </c>
      <c r="ET111">
        <v>915</v>
      </c>
      <c r="EU111" s="48" t="s">
        <v>1710</v>
      </c>
      <c r="EV111" s="48" t="s">
        <v>1710</v>
      </c>
      <c r="EW111" s="48" t="s">
        <v>1712</v>
      </c>
      <c r="EX111" s="48" t="s">
        <v>1710</v>
      </c>
      <c r="EY111" s="48" t="s">
        <v>1848</v>
      </c>
      <c r="EZ111" s="48" t="s">
        <v>1710</v>
      </c>
      <c r="FA111" s="48" t="s">
        <v>1710</v>
      </c>
      <c r="FB111" s="48" t="s">
        <v>1712</v>
      </c>
      <c r="FC111" s="48" t="s">
        <v>1710</v>
      </c>
      <c r="FD111" s="48" t="s">
        <v>1710</v>
      </c>
      <c r="FE111" s="48" t="s">
        <v>1814</v>
      </c>
      <c r="FF111" s="48" t="s">
        <v>1815</v>
      </c>
      <c r="FG111" s="48" t="s">
        <v>1710</v>
      </c>
      <c r="FH111">
        <v>1</v>
      </c>
      <c r="FI111" s="48" t="s">
        <v>1846</v>
      </c>
      <c r="FJ111">
        <v>949.05</v>
      </c>
      <c r="FK111">
        <v>949.05</v>
      </c>
      <c r="FL111" s="48" t="s">
        <v>3709</v>
      </c>
      <c r="FM111" s="48" t="s">
        <v>3708</v>
      </c>
      <c r="FN111" s="48" t="s">
        <v>1710</v>
      </c>
      <c r="FO111" s="48" t="s">
        <v>1710</v>
      </c>
      <c r="FP111" s="48" t="s">
        <v>1710</v>
      </c>
      <c r="FQ111" s="48" t="s">
        <v>1710</v>
      </c>
      <c r="FR111" s="48" t="s">
        <v>1710</v>
      </c>
      <c r="FS111" s="48" t="s">
        <v>1710</v>
      </c>
      <c r="FT111" s="48" t="s">
        <v>1710</v>
      </c>
      <c r="FU111" s="48" t="s">
        <v>1710</v>
      </c>
      <c r="FV111" s="48"/>
      <c r="FW111" s="56"/>
      <c r="FX111" s="56"/>
      <c r="FY111" s="56"/>
      <c r="FZ111" s="56"/>
      <c r="GA111" s="55" t="str">
        <f t="shared" si="5"/>
        <v>4388426300407X</v>
      </c>
      <c r="GB111" t="str">
        <f>VLOOKUP(B111,수출코드!$C$2:$D$4,2,FALSE)</f>
        <v>Suwon</v>
      </c>
      <c r="GC111" t="str">
        <f>VLOOKUP(L111,수출코드!$A$2:$B$6,2,FALSE)</f>
        <v/>
      </c>
      <c r="GD111" t="str">
        <f>VLOOKUP(M111,수출코드!$E$2:$F$5,2,FALSE)</f>
        <v>일반</v>
      </c>
      <c r="GE111" s="61">
        <f t="shared" si="3"/>
        <v>45972.675694444442</v>
      </c>
      <c r="GF111" s="62">
        <f t="shared" si="4"/>
        <v>46049.736805555556</v>
      </c>
      <c r="GI111" s="48" t="s">
        <v>2756</v>
      </c>
    </row>
    <row r="112" spans="1:191">
      <c r="A112" s="48" t="s">
        <v>3710</v>
      </c>
      <c r="B112" s="48" t="s">
        <v>1821</v>
      </c>
      <c r="C112" s="48" t="s">
        <v>2048</v>
      </c>
      <c r="D112" s="48" t="s">
        <v>2813</v>
      </c>
      <c r="E112" s="48" t="s">
        <v>3710</v>
      </c>
      <c r="F112" s="48" t="s">
        <v>1710</v>
      </c>
      <c r="G112" s="48" t="s">
        <v>2814</v>
      </c>
      <c r="H112" s="48" t="s">
        <v>3711</v>
      </c>
      <c r="I112" s="48" t="s">
        <v>1884</v>
      </c>
      <c r="J112" s="48" t="s">
        <v>2850</v>
      </c>
      <c r="K112" s="48" t="s">
        <v>1877</v>
      </c>
      <c r="L112" s="48" t="s">
        <v>1842</v>
      </c>
      <c r="M112" s="48" t="s">
        <v>1810</v>
      </c>
      <c r="N112" s="48" t="s">
        <v>1842</v>
      </c>
      <c r="O112" s="48" t="s">
        <v>1811</v>
      </c>
      <c r="P112" s="48" t="s">
        <v>2549</v>
      </c>
      <c r="Q112" s="48" t="s">
        <v>2049</v>
      </c>
      <c r="R112" s="48" t="s">
        <v>1838</v>
      </c>
      <c r="S112" s="48" t="s">
        <v>2050</v>
      </c>
      <c r="T112" s="48" t="s">
        <v>1845</v>
      </c>
      <c r="U112" s="48" t="s">
        <v>2049</v>
      </c>
      <c r="V112" s="48" t="s">
        <v>1838</v>
      </c>
      <c r="W112" s="48" t="s">
        <v>2051</v>
      </c>
      <c r="X112" s="48" t="s">
        <v>2052</v>
      </c>
      <c r="Y112" s="48" t="s">
        <v>2050</v>
      </c>
      <c r="Z112" s="48" t="s">
        <v>2053</v>
      </c>
      <c r="AA112" s="48" t="s">
        <v>2054</v>
      </c>
      <c r="AB112" s="48" t="s">
        <v>2817</v>
      </c>
      <c r="AC112" s="48" t="s">
        <v>2055</v>
      </c>
      <c r="AD112" s="48" t="s">
        <v>2056</v>
      </c>
      <c r="AE112" s="48" t="s">
        <v>1710</v>
      </c>
      <c r="AF112" s="48" t="s">
        <v>1710</v>
      </c>
      <c r="AG112" s="48" t="s">
        <v>2057</v>
      </c>
      <c r="AH112" s="48" t="s">
        <v>1815</v>
      </c>
      <c r="AI112" s="48" t="s">
        <v>2058</v>
      </c>
      <c r="AJ112" s="48" t="s">
        <v>1710</v>
      </c>
      <c r="AK112" s="48" t="s">
        <v>2563</v>
      </c>
      <c r="AL112" s="48" t="s">
        <v>2564</v>
      </c>
      <c r="AM112" s="48" t="s">
        <v>1816</v>
      </c>
      <c r="AN112" s="48" t="s">
        <v>2054</v>
      </c>
      <c r="AO112" s="48" t="s">
        <v>1710</v>
      </c>
      <c r="AP112" s="48" t="s">
        <v>1855</v>
      </c>
      <c r="AQ112" s="48" t="s">
        <v>2076</v>
      </c>
      <c r="AR112" s="48" t="s">
        <v>1812</v>
      </c>
      <c r="AS112" s="48" t="s">
        <v>1813</v>
      </c>
      <c r="AT112" s="48" t="s">
        <v>1826</v>
      </c>
      <c r="AU112" s="48" t="s">
        <v>2061</v>
      </c>
      <c r="AV112" s="48" t="s">
        <v>2850</v>
      </c>
      <c r="AW112" s="48" t="s">
        <v>2062</v>
      </c>
      <c r="AX112" s="48" t="s">
        <v>2063</v>
      </c>
      <c r="AY112" s="48" t="s">
        <v>1710</v>
      </c>
      <c r="AZ112" s="48" t="s">
        <v>3712</v>
      </c>
      <c r="BA112" s="48" t="s">
        <v>1710</v>
      </c>
      <c r="BB112" s="48" t="s">
        <v>1709</v>
      </c>
      <c r="BC112" s="48" t="s">
        <v>1710</v>
      </c>
      <c r="BD112" s="48" t="s">
        <v>2097</v>
      </c>
      <c r="BE112" s="52" t="s">
        <v>3488</v>
      </c>
      <c r="BF112" s="48" t="s">
        <v>1710</v>
      </c>
      <c r="BG112" s="48" t="s">
        <v>1814</v>
      </c>
      <c r="BH112">
        <v>1</v>
      </c>
      <c r="BI112" s="48" t="s">
        <v>1888</v>
      </c>
      <c r="BJ112">
        <v>1</v>
      </c>
      <c r="BK112">
        <v>1473.06</v>
      </c>
      <c r="BL112">
        <v>1036745</v>
      </c>
      <c r="BM112">
        <v>704</v>
      </c>
      <c r="BN112" s="48" t="s">
        <v>2064</v>
      </c>
      <c r="BO112" s="48" t="s">
        <v>2065</v>
      </c>
      <c r="BP112">
        <v>1473.06</v>
      </c>
      <c r="BQ112">
        <v>718.06</v>
      </c>
      <c r="BR112" s="48" t="s">
        <v>1885</v>
      </c>
      <c r="BS112" s="48" t="s">
        <v>2066</v>
      </c>
      <c r="BT112">
        <v>1</v>
      </c>
      <c r="BU112">
        <v>21000</v>
      </c>
      <c r="BV112">
        <v>21000</v>
      </c>
      <c r="BW112" s="48" t="s">
        <v>2065</v>
      </c>
      <c r="BX112">
        <v>1473.06</v>
      </c>
      <c r="BY112">
        <v>0</v>
      </c>
      <c r="BZ112">
        <v>0</v>
      </c>
      <c r="CA112" s="48" t="s">
        <v>2065</v>
      </c>
      <c r="CB112">
        <v>1473.06</v>
      </c>
      <c r="CC112">
        <v>0</v>
      </c>
      <c r="CD112">
        <v>0</v>
      </c>
      <c r="CE112" s="48" t="s">
        <v>1710</v>
      </c>
      <c r="CF112" s="48" t="s">
        <v>1710</v>
      </c>
      <c r="CG112" s="48" t="s">
        <v>1710</v>
      </c>
      <c r="CH112" s="48" t="s">
        <v>1710</v>
      </c>
      <c r="CI112" s="48" t="s">
        <v>2067</v>
      </c>
      <c r="CJ112" s="48" t="s">
        <v>1710</v>
      </c>
      <c r="CL112" s="48" t="s">
        <v>2850</v>
      </c>
      <c r="CM112" s="48" t="s">
        <v>1710</v>
      </c>
      <c r="CN112" s="48" t="s">
        <v>2068</v>
      </c>
      <c r="CO112" s="48" t="s">
        <v>2069</v>
      </c>
      <c r="CP112" s="48" t="s">
        <v>1710</v>
      </c>
      <c r="CQ112" s="48" t="s">
        <v>1710</v>
      </c>
      <c r="CR112" s="48" t="s">
        <v>1710</v>
      </c>
      <c r="CS112" s="48" t="s">
        <v>1710</v>
      </c>
      <c r="CT112" s="48" t="s">
        <v>1710</v>
      </c>
      <c r="CU112" s="48" t="s">
        <v>1712</v>
      </c>
      <c r="CV112" s="48" t="s">
        <v>1710</v>
      </c>
      <c r="CW112" s="48" t="s">
        <v>1710</v>
      </c>
      <c r="CX112" s="48" t="s">
        <v>3014</v>
      </c>
      <c r="CY112" s="48" t="s">
        <v>1710</v>
      </c>
      <c r="CZ112" s="48" t="s">
        <v>1712</v>
      </c>
      <c r="DA112" s="48" t="s">
        <v>1710</v>
      </c>
      <c r="DB112" s="48" t="s">
        <v>1878</v>
      </c>
      <c r="DC112" s="48" t="s">
        <v>2070</v>
      </c>
      <c r="DD112" s="48" t="s">
        <v>1842</v>
      </c>
      <c r="DE112" s="48" t="s">
        <v>1886</v>
      </c>
      <c r="DF112" s="48" t="s">
        <v>3713</v>
      </c>
      <c r="DG112" s="48" t="s">
        <v>2071</v>
      </c>
      <c r="DH112" s="48" t="s">
        <v>1712</v>
      </c>
      <c r="DI112" s="48" t="s">
        <v>1710</v>
      </c>
      <c r="DJ112" s="48" t="s">
        <v>1710</v>
      </c>
      <c r="DK112" s="48" t="s">
        <v>1710</v>
      </c>
      <c r="DL112" s="48" t="s">
        <v>1710</v>
      </c>
      <c r="DM112" s="48" t="s">
        <v>1710</v>
      </c>
      <c r="DN112" s="48" t="s">
        <v>1710</v>
      </c>
      <c r="DO112" s="48" t="s">
        <v>1710</v>
      </c>
      <c r="DP112" s="48" t="s">
        <v>1710</v>
      </c>
      <c r="DQ112" s="48" t="s">
        <v>1710</v>
      </c>
      <c r="DR112" s="48" t="s">
        <v>2072</v>
      </c>
      <c r="DS112" s="48" t="s">
        <v>1710</v>
      </c>
      <c r="DT112" s="48" t="s">
        <v>1710</v>
      </c>
      <c r="DU112" s="48" t="s">
        <v>2547</v>
      </c>
      <c r="DV112" s="48" t="s">
        <v>2816</v>
      </c>
      <c r="DW112" s="48" t="s">
        <v>1710</v>
      </c>
      <c r="DX112" s="48" t="s">
        <v>3714</v>
      </c>
      <c r="DY112" s="48" t="s">
        <v>1709</v>
      </c>
      <c r="DZ112" s="48" t="s">
        <v>2562</v>
      </c>
      <c r="EA112" s="48" t="s">
        <v>2546</v>
      </c>
      <c r="EB112">
        <v>0</v>
      </c>
      <c r="EC112" s="48" t="s">
        <v>2547</v>
      </c>
      <c r="ED112" s="48" t="s">
        <v>3715</v>
      </c>
      <c r="EE112" s="48" t="s">
        <v>1814</v>
      </c>
      <c r="EF112" s="48" t="s">
        <v>3716</v>
      </c>
      <c r="EG112" s="48" t="s">
        <v>3712</v>
      </c>
      <c r="EH112">
        <v>0.41399999999999998</v>
      </c>
      <c r="EI112" s="48" t="s">
        <v>1888</v>
      </c>
      <c r="EJ112">
        <v>2</v>
      </c>
      <c r="EK112" s="48" t="s">
        <v>1887</v>
      </c>
      <c r="EL112">
        <v>1</v>
      </c>
      <c r="EM112" s="48" t="s">
        <v>1886</v>
      </c>
      <c r="EN112">
        <v>0.41399999999999998</v>
      </c>
      <c r="EO112" s="48" t="s">
        <v>3717</v>
      </c>
      <c r="EP112" s="48" t="s">
        <v>3718</v>
      </c>
      <c r="EQ112">
        <v>718.06</v>
      </c>
      <c r="ER112">
        <v>718.06</v>
      </c>
      <c r="ES112">
        <v>1036745</v>
      </c>
      <c r="ET112">
        <v>704</v>
      </c>
      <c r="EU112" s="48" t="s">
        <v>1710</v>
      </c>
      <c r="EV112" s="48" t="s">
        <v>1710</v>
      </c>
      <c r="EW112" s="48" t="s">
        <v>1712</v>
      </c>
      <c r="EX112" s="48" t="s">
        <v>1710</v>
      </c>
      <c r="EY112" s="48" t="s">
        <v>1848</v>
      </c>
      <c r="EZ112" s="48" t="s">
        <v>1710</v>
      </c>
      <c r="FA112" s="48" t="s">
        <v>1710</v>
      </c>
      <c r="FB112" s="48" t="s">
        <v>1712</v>
      </c>
      <c r="FC112" s="48" t="s">
        <v>1710</v>
      </c>
      <c r="FD112" s="48" t="s">
        <v>1710</v>
      </c>
      <c r="FE112" s="48" t="s">
        <v>1814</v>
      </c>
      <c r="FF112" s="48" t="s">
        <v>1815</v>
      </c>
      <c r="FG112" s="48" t="s">
        <v>1710</v>
      </c>
      <c r="FH112">
        <v>2</v>
      </c>
      <c r="FI112" s="48" t="s">
        <v>1846</v>
      </c>
      <c r="FJ112">
        <v>718.06</v>
      </c>
      <c r="FK112">
        <v>359.03</v>
      </c>
      <c r="FL112" s="48" t="s">
        <v>3719</v>
      </c>
      <c r="FM112" s="48" t="s">
        <v>3718</v>
      </c>
      <c r="FN112" s="48" t="s">
        <v>1710</v>
      </c>
      <c r="FO112" s="48" t="s">
        <v>1710</v>
      </c>
      <c r="FP112" s="48" t="s">
        <v>1710</v>
      </c>
      <c r="FQ112" s="48" t="s">
        <v>1710</v>
      </c>
      <c r="FR112" s="48" t="s">
        <v>1710</v>
      </c>
      <c r="FS112" s="48" t="s">
        <v>1710</v>
      </c>
      <c r="FT112" s="48" t="s">
        <v>1710</v>
      </c>
      <c r="FU112" s="48" t="s">
        <v>1710</v>
      </c>
      <c r="FV112" s="48"/>
      <c r="FW112" s="56"/>
      <c r="FX112" s="56"/>
      <c r="FY112" s="56"/>
      <c r="FZ112" s="56"/>
      <c r="GA112" s="55" t="str">
        <f t="shared" si="5"/>
        <v>4388426300408X</v>
      </c>
      <c r="GB112" t="str">
        <f>VLOOKUP(B112,수출코드!$C$2:$D$4,2,FALSE)</f>
        <v>Suwon</v>
      </c>
      <c r="GC112" t="str">
        <f>VLOOKUP(L112,수출코드!$A$2:$B$6,2,FALSE)</f>
        <v/>
      </c>
      <c r="GD112" t="str">
        <f>VLOOKUP(M112,수출코드!$E$2:$F$5,2,FALSE)</f>
        <v>일반</v>
      </c>
      <c r="GE112" s="61">
        <f t="shared" si="3"/>
        <v>45972.675694444442</v>
      </c>
      <c r="GF112" s="62">
        <f t="shared" si="4"/>
        <v>46049.737500000003</v>
      </c>
      <c r="GI112" s="48" t="s">
        <v>2756</v>
      </c>
    </row>
    <row r="113" spans="1:191">
      <c r="A113" s="48" t="s">
        <v>3720</v>
      </c>
      <c r="B113" s="48" t="s">
        <v>1821</v>
      </c>
      <c r="C113" s="48" t="s">
        <v>2048</v>
      </c>
      <c r="D113" s="48" t="s">
        <v>2813</v>
      </c>
      <c r="E113" s="48" t="s">
        <v>3720</v>
      </c>
      <c r="F113" s="48" t="s">
        <v>1710</v>
      </c>
      <c r="G113" s="48" t="s">
        <v>2814</v>
      </c>
      <c r="H113" s="48" t="s">
        <v>3721</v>
      </c>
      <c r="I113" s="48" t="s">
        <v>1884</v>
      </c>
      <c r="J113" s="48" t="s">
        <v>2850</v>
      </c>
      <c r="K113" s="48" t="s">
        <v>1877</v>
      </c>
      <c r="L113" s="48" t="s">
        <v>1842</v>
      </c>
      <c r="M113" s="48" t="s">
        <v>1810</v>
      </c>
      <c r="N113" s="48" t="s">
        <v>1842</v>
      </c>
      <c r="O113" s="48" t="s">
        <v>1811</v>
      </c>
      <c r="P113" s="48" t="s">
        <v>2549</v>
      </c>
      <c r="Q113" s="48" t="s">
        <v>2049</v>
      </c>
      <c r="R113" s="48" t="s">
        <v>1838</v>
      </c>
      <c r="S113" s="48" t="s">
        <v>2050</v>
      </c>
      <c r="T113" s="48" t="s">
        <v>1845</v>
      </c>
      <c r="U113" s="48" t="s">
        <v>2049</v>
      </c>
      <c r="V113" s="48" t="s">
        <v>1838</v>
      </c>
      <c r="W113" s="48" t="s">
        <v>2051</v>
      </c>
      <c r="X113" s="48" t="s">
        <v>2052</v>
      </c>
      <c r="Y113" s="48" t="s">
        <v>2050</v>
      </c>
      <c r="Z113" s="48" t="s">
        <v>2053</v>
      </c>
      <c r="AA113" s="48" t="s">
        <v>2054</v>
      </c>
      <c r="AB113" s="48" t="s">
        <v>2817</v>
      </c>
      <c r="AC113" s="48" t="s">
        <v>2055</v>
      </c>
      <c r="AD113" s="48" t="s">
        <v>2056</v>
      </c>
      <c r="AE113" s="48" t="s">
        <v>1710</v>
      </c>
      <c r="AF113" s="48" t="s">
        <v>1710</v>
      </c>
      <c r="AG113" s="48" t="s">
        <v>2057</v>
      </c>
      <c r="AH113" s="48" t="s">
        <v>1815</v>
      </c>
      <c r="AI113" s="48" t="s">
        <v>2058</v>
      </c>
      <c r="AJ113" s="48" t="s">
        <v>1710</v>
      </c>
      <c r="AK113" s="48" t="s">
        <v>2090</v>
      </c>
      <c r="AL113" s="48" t="s">
        <v>2091</v>
      </c>
      <c r="AM113" s="48" t="s">
        <v>1816</v>
      </c>
      <c r="AN113" s="48" t="s">
        <v>2054</v>
      </c>
      <c r="AO113" s="48" t="s">
        <v>1710</v>
      </c>
      <c r="AP113" s="48" t="s">
        <v>1853</v>
      </c>
      <c r="AQ113" s="48" t="s">
        <v>2086</v>
      </c>
      <c r="AR113" s="48" t="s">
        <v>1812</v>
      </c>
      <c r="AS113" s="48" t="s">
        <v>1813</v>
      </c>
      <c r="AT113" s="48" t="s">
        <v>1826</v>
      </c>
      <c r="AU113" s="48" t="s">
        <v>2061</v>
      </c>
      <c r="AV113" s="48" t="s">
        <v>2850</v>
      </c>
      <c r="AW113" s="48" t="s">
        <v>2062</v>
      </c>
      <c r="AX113" s="48" t="s">
        <v>2063</v>
      </c>
      <c r="AY113" s="48" t="s">
        <v>1710</v>
      </c>
      <c r="AZ113" s="48" t="s">
        <v>3722</v>
      </c>
      <c r="BA113" s="48" t="s">
        <v>1710</v>
      </c>
      <c r="BB113" s="48" t="s">
        <v>1709</v>
      </c>
      <c r="BC113" s="48" t="s">
        <v>1710</v>
      </c>
      <c r="BD113" s="48" t="s">
        <v>2097</v>
      </c>
      <c r="BE113" s="52" t="s">
        <v>3488</v>
      </c>
      <c r="BF113" s="48" t="s">
        <v>1710</v>
      </c>
      <c r="BG113" s="48" t="s">
        <v>1814</v>
      </c>
      <c r="BH113">
        <v>2</v>
      </c>
      <c r="BI113" s="48" t="s">
        <v>1888</v>
      </c>
      <c r="BJ113">
        <v>1</v>
      </c>
      <c r="BK113">
        <v>1473.06</v>
      </c>
      <c r="BL113">
        <v>1784694</v>
      </c>
      <c r="BM113">
        <v>1212</v>
      </c>
      <c r="BN113" s="48" t="s">
        <v>2064</v>
      </c>
      <c r="BO113" s="48" t="s">
        <v>2065</v>
      </c>
      <c r="BP113">
        <v>1473.06</v>
      </c>
      <c r="BQ113">
        <v>1231.6500000000001</v>
      </c>
      <c r="BR113" s="48" t="s">
        <v>1885</v>
      </c>
      <c r="BS113" s="48" t="s">
        <v>2066</v>
      </c>
      <c r="BT113">
        <v>1</v>
      </c>
      <c r="BU113">
        <v>29600</v>
      </c>
      <c r="BV113">
        <v>29600</v>
      </c>
      <c r="BW113" s="48" t="s">
        <v>2065</v>
      </c>
      <c r="BX113">
        <v>1473.06</v>
      </c>
      <c r="BY113">
        <v>0</v>
      </c>
      <c r="BZ113">
        <v>0</v>
      </c>
      <c r="CA113" s="48" t="s">
        <v>2065</v>
      </c>
      <c r="CB113">
        <v>1473.06</v>
      </c>
      <c r="CC113">
        <v>0</v>
      </c>
      <c r="CD113">
        <v>0</v>
      </c>
      <c r="CE113" s="48" t="s">
        <v>1710</v>
      </c>
      <c r="CF113" s="48" t="s">
        <v>1710</v>
      </c>
      <c r="CG113" s="48" t="s">
        <v>1710</v>
      </c>
      <c r="CH113" s="48" t="s">
        <v>1710</v>
      </c>
      <c r="CI113" s="48" t="s">
        <v>2067</v>
      </c>
      <c r="CJ113" s="48" t="s">
        <v>1710</v>
      </c>
      <c r="CL113" s="48" t="s">
        <v>2850</v>
      </c>
      <c r="CM113" s="48" t="s">
        <v>1710</v>
      </c>
      <c r="CN113" s="48" t="s">
        <v>2068</v>
      </c>
      <c r="CO113" s="48" t="s">
        <v>2069</v>
      </c>
      <c r="CP113" s="48" t="s">
        <v>1710</v>
      </c>
      <c r="CQ113" s="48" t="s">
        <v>1710</v>
      </c>
      <c r="CR113" s="48" t="s">
        <v>1710</v>
      </c>
      <c r="CS113" s="48" t="s">
        <v>1710</v>
      </c>
      <c r="CT113" s="48" t="s">
        <v>1710</v>
      </c>
      <c r="CU113" s="48" t="s">
        <v>1712</v>
      </c>
      <c r="CV113" s="48" t="s">
        <v>1710</v>
      </c>
      <c r="CW113" s="48" t="s">
        <v>1710</v>
      </c>
      <c r="CX113" s="48" t="s">
        <v>3014</v>
      </c>
      <c r="CY113" s="48" t="s">
        <v>1710</v>
      </c>
      <c r="CZ113" s="48" t="s">
        <v>1712</v>
      </c>
      <c r="DA113" s="48" t="s">
        <v>1710</v>
      </c>
      <c r="DB113" s="48" t="s">
        <v>1878</v>
      </c>
      <c r="DC113" s="48" t="s">
        <v>2070</v>
      </c>
      <c r="DD113" s="48" t="s">
        <v>1842</v>
      </c>
      <c r="DE113" s="48" t="s">
        <v>1886</v>
      </c>
      <c r="DF113" s="48" t="s">
        <v>3723</v>
      </c>
      <c r="DG113" s="48" t="s">
        <v>2071</v>
      </c>
      <c r="DH113" s="48" t="s">
        <v>1712</v>
      </c>
      <c r="DI113" s="48" t="s">
        <v>1710</v>
      </c>
      <c r="DJ113" s="48" t="s">
        <v>1710</v>
      </c>
      <c r="DK113" s="48" t="s">
        <v>1710</v>
      </c>
      <c r="DL113" s="48" t="s">
        <v>1710</v>
      </c>
      <c r="DM113" s="48" t="s">
        <v>1710</v>
      </c>
      <c r="DN113" s="48" t="s">
        <v>1710</v>
      </c>
      <c r="DO113" s="48" t="s">
        <v>1710</v>
      </c>
      <c r="DP113" s="48" t="s">
        <v>1710</v>
      </c>
      <c r="DQ113" s="48" t="s">
        <v>1710</v>
      </c>
      <c r="DR113" s="48" t="s">
        <v>2072</v>
      </c>
      <c r="DS113" s="48" t="s">
        <v>1710</v>
      </c>
      <c r="DT113" s="48" t="s">
        <v>1710</v>
      </c>
      <c r="DU113" s="48" t="s">
        <v>2547</v>
      </c>
      <c r="DV113" s="48" t="s">
        <v>2816</v>
      </c>
      <c r="DW113" s="48" t="s">
        <v>1710</v>
      </c>
      <c r="DX113" s="48" t="s">
        <v>3724</v>
      </c>
      <c r="DY113" s="48" t="s">
        <v>1709</v>
      </c>
      <c r="DZ113" s="48" t="s">
        <v>2562</v>
      </c>
      <c r="EA113" s="48" t="s">
        <v>2546</v>
      </c>
      <c r="EB113">
        <v>0</v>
      </c>
      <c r="EC113" s="48" t="s">
        <v>2547</v>
      </c>
      <c r="ED113" s="48" t="s">
        <v>3707</v>
      </c>
      <c r="EE113" s="48" t="s">
        <v>1814</v>
      </c>
      <c r="EF113" s="48" t="s">
        <v>1861</v>
      </c>
      <c r="EG113" s="48" t="s">
        <v>3722</v>
      </c>
      <c r="EH113">
        <v>1.335</v>
      </c>
      <c r="EI113" s="48" t="s">
        <v>1888</v>
      </c>
      <c r="EJ113">
        <v>0</v>
      </c>
      <c r="EK113" s="48" t="s">
        <v>1710</v>
      </c>
      <c r="EL113">
        <v>1</v>
      </c>
      <c r="EM113" s="48" t="s">
        <v>1886</v>
      </c>
      <c r="EN113">
        <v>1.335</v>
      </c>
      <c r="EO113" s="48" t="s">
        <v>2518</v>
      </c>
      <c r="EP113" s="48" t="s">
        <v>3725</v>
      </c>
      <c r="EQ113">
        <v>1231.6500000000001</v>
      </c>
      <c r="ER113">
        <v>1231.6500000000001</v>
      </c>
      <c r="ES113">
        <v>1784694</v>
      </c>
      <c r="ET113">
        <v>1212</v>
      </c>
      <c r="EU113" s="48" t="s">
        <v>1710</v>
      </c>
      <c r="EV113" s="48" t="s">
        <v>1710</v>
      </c>
      <c r="EW113" s="48" t="s">
        <v>1712</v>
      </c>
      <c r="EX113" s="48" t="s">
        <v>1710</v>
      </c>
      <c r="EY113" s="48" t="s">
        <v>1848</v>
      </c>
      <c r="EZ113" s="48" t="s">
        <v>1710</v>
      </c>
      <c r="FA113" s="48" t="s">
        <v>1710</v>
      </c>
      <c r="FB113" s="48" t="s">
        <v>1712</v>
      </c>
      <c r="FC113" s="48" t="s">
        <v>1710</v>
      </c>
      <c r="FD113" s="48" t="s">
        <v>1710</v>
      </c>
      <c r="FE113" s="48" t="s">
        <v>1814</v>
      </c>
      <c r="FF113" s="48" t="s">
        <v>1815</v>
      </c>
      <c r="FG113" s="48" t="s">
        <v>1710</v>
      </c>
      <c r="FH113">
        <v>1</v>
      </c>
      <c r="FI113" s="48" t="s">
        <v>1846</v>
      </c>
      <c r="FJ113">
        <v>1231.6500000000001</v>
      </c>
      <c r="FK113">
        <v>1231.6500000000001</v>
      </c>
      <c r="FL113" s="48" t="s">
        <v>3726</v>
      </c>
      <c r="FM113" s="48" t="s">
        <v>3725</v>
      </c>
      <c r="FN113" s="48" t="s">
        <v>1710</v>
      </c>
      <c r="FO113" s="48" t="s">
        <v>1710</v>
      </c>
      <c r="FP113" s="48" t="s">
        <v>1710</v>
      </c>
      <c r="FQ113" s="48" t="s">
        <v>1710</v>
      </c>
      <c r="FR113" s="48" t="s">
        <v>1710</v>
      </c>
      <c r="FS113" s="48" t="s">
        <v>1710</v>
      </c>
      <c r="FT113" s="48" t="s">
        <v>1710</v>
      </c>
      <c r="FU113" s="48" t="s">
        <v>1710</v>
      </c>
      <c r="FV113" s="48"/>
      <c r="FW113" s="56"/>
      <c r="FX113" s="56"/>
      <c r="FY113" s="56"/>
      <c r="FZ113" s="56"/>
      <c r="GA113" s="55" t="str">
        <f t="shared" si="5"/>
        <v>4388426300409X</v>
      </c>
      <c r="GB113" t="str">
        <f>VLOOKUP(B113,수출코드!$C$2:$D$4,2,FALSE)</f>
        <v>Suwon</v>
      </c>
      <c r="GC113" t="str">
        <f>VLOOKUP(L113,수출코드!$A$2:$B$6,2,FALSE)</f>
        <v/>
      </c>
      <c r="GD113" t="str">
        <f>VLOOKUP(M113,수출코드!$E$2:$F$5,2,FALSE)</f>
        <v>일반</v>
      </c>
      <c r="GE113" s="61">
        <f t="shared" si="3"/>
        <v>45972.676388888889</v>
      </c>
      <c r="GF113" s="62">
        <f t="shared" si="4"/>
        <v>46049.736805555556</v>
      </c>
      <c r="GI113" s="48" t="s">
        <v>2757</v>
      </c>
    </row>
    <row r="114" spans="1:191">
      <c r="A114" s="48" t="s">
        <v>3727</v>
      </c>
      <c r="B114" s="48" t="s">
        <v>1821</v>
      </c>
      <c r="C114" s="48" t="s">
        <v>2048</v>
      </c>
      <c r="D114" s="48" t="s">
        <v>2813</v>
      </c>
      <c r="E114" s="48" t="s">
        <v>3727</v>
      </c>
      <c r="F114" s="48" t="s">
        <v>1710</v>
      </c>
      <c r="G114" s="48" t="s">
        <v>2814</v>
      </c>
      <c r="H114" s="48" t="s">
        <v>3728</v>
      </c>
      <c r="I114" s="48" t="s">
        <v>1884</v>
      </c>
      <c r="J114" s="48" t="s">
        <v>2850</v>
      </c>
      <c r="K114" s="48" t="s">
        <v>1877</v>
      </c>
      <c r="L114" s="48" t="s">
        <v>1842</v>
      </c>
      <c r="M114" s="48" t="s">
        <v>1810</v>
      </c>
      <c r="N114" s="48" t="s">
        <v>1842</v>
      </c>
      <c r="O114" s="48" t="s">
        <v>1811</v>
      </c>
      <c r="P114" s="48" t="s">
        <v>2549</v>
      </c>
      <c r="Q114" s="48" t="s">
        <v>2049</v>
      </c>
      <c r="R114" s="48" t="s">
        <v>1838</v>
      </c>
      <c r="S114" s="48" t="s">
        <v>2050</v>
      </c>
      <c r="T114" s="48" t="s">
        <v>1845</v>
      </c>
      <c r="U114" s="48" t="s">
        <v>2049</v>
      </c>
      <c r="V114" s="48" t="s">
        <v>1838</v>
      </c>
      <c r="W114" s="48" t="s">
        <v>2051</v>
      </c>
      <c r="X114" s="48" t="s">
        <v>2052</v>
      </c>
      <c r="Y114" s="48" t="s">
        <v>2050</v>
      </c>
      <c r="Z114" s="48" t="s">
        <v>2053</v>
      </c>
      <c r="AA114" s="48" t="s">
        <v>2054</v>
      </c>
      <c r="AB114" s="48" t="s">
        <v>2817</v>
      </c>
      <c r="AC114" s="48" t="s">
        <v>2055</v>
      </c>
      <c r="AD114" s="48" t="s">
        <v>2056</v>
      </c>
      <c r="AE114" s="48" t="s">
        <v>1710</v>
      </c>
      <c r="AF114" s="48" t="s">
        <v>1710</v>
      </c>
      <c r="AG114" s="48" t="s">
        <v>2057</v>
      </c>
      <c r="AH114" s="48" t="s">
        <v>1815</v>
      </c>
      <c r="AI114" s="48" t="s">
        <v>2058</v>
      </c>
      <c r="AJ114" s="48" t="s">
        <v>1710</v>
      </c>
      <c r="AK114" s="48" t="s">
        <v>2560</v>
      </c>
      <c r="AL114" s="48" t="s">
        <v>2561</v>
      </c>
      <c r="AM114" s="48" t="s">
        <v>1816</v>
      </c>
      <c r="AN114" s="48" t="s">
        <v>2054</v>
      </c>
      <c r="AO114" s="48" t="s">
        <v>1710</v>
      </c>
      <c r="AP114" s="48" t="s">
        <v>1855</v>
      </c>
      <c r="AQ114" s="48" t="s">
        <v>2076</v>
      </c>
      <c r="AR114" s="48" t="s">
        <v>1812</v>
      </c>
      <c r="AS114" s="48" t="s">
        <v>1813</v>
      </c>
      <c r="AT114" s="48" t="s">
        <v>1826</v>
      </c>
      <c r="AU114" s="48" t="s">
        <v>2061</v>
      </c>
      <c r="AV114" s="48" t="s">
        <v>2850</v>
      </c>
      <c r="AW114" s="48" t="s">
        <v>2062</v>
      </c>
      <c r="AX114" s="48" t="s">
        <v>2063</v>
      </c>
      <c r="AY114" s="48" t="s">
        <v>1710</v>
      </c>
      <c r="AZ114" s="48" t="s">
        <v>3729</v>
      </c>
      <c r="BA114" s="48" t="s">
        <v>1710</v>
      </c>
      <c r="BB114" s="48" t="s">
        <v>1709</v>
      </c>
      <c r="BC114" s="48" t="s">
        <v>1710</v>
      </c>
      <c r="BD114" s="48" t="s">
        <v>2097</v>
      </c>
      <c r="BE114" s="52" t="s">
        <v>3488</v>
      </c>
      <c r="BF114" s="48" t="s">
        <v>1710</v>
      </c>
      <c r="BG114" s="48" t="s">
        <v>1814</v>
      </c>
      <c r="BH114">
        <v>15</v>
      </c>
      <c r="BI114" s="48" t="s">
        <v>1888</v>
      </c>
      <c r="BJ114">
        <v>1</v>
      </c>
      <c r="BK114">
        <v>1473.06</v>
      </c>
      <c r="BL114">
        <v>6606387</v>
      </c>
      <c r="BM114">
        <v>4485</v>
      </c>
      <c r="BN114" s="48" t="s">
        <v>2064</v>
      </c>
      <c r="BO114" s="48" t="s">
        <v>2065</v>
      </c>
      <c r="BP114">
        <v>1473.06</v>
      </c>
      <c r="BQ114">
        <v>4540.2</v>
      </c>
      <c r="BR114" s="48" t="s">
        <v>1885</v>
      </c>
      <c r="BS114" s="48" t="s">
        <v>2066</v>
      </c>
      <c r="BT114">
        <v>1</v>
      </c>
      <c r="BU114">
        <v>81600</v>
      </c>
      <c r="BV114">
        <v>81600</v>
      </c>
      <c r="BW114" s="48" t="s">
        <v>2065</v>
      </c>
      <c r="BX114">
        <v>1473.06</v>
      </c>
      <c r="BY114">
        <v>0</v>
      </c>
      <c r="BZ114">
        <v>0</v>
      </c>
      <c r="CA114" s="48" t="s">
        <v>2065</v>
      </c>
      <c r="CB114">
        <v>1473.06</v>
      </c>
      <c r="CC114">
        <v>0</v>
      </c>
      <c r="CD114">
        <v>0</v>
      </c>
      <c r="CE114" s="48" t="s">
        <v>1710</v>
      </c>
      <c r="CF114" s="48" t="s">
        <v>1710</v>
      </c>
      <c r="CG114" s="48" t="s">
        <v>1710</v>
      </c>
      <c r="CH114" s="48" t="s">
        <v>1710</v>
      </c>
      <c r="CI114" s="48" t="s">
        <v>2067</v>
      </c>
      <c r="CJ114" s="48" t="s">
        <v>1710</v>
      </c>
      <c r="CL114" s="48" t="s">
        <v>2850</v>
      </c>
      <c r="CM114" s="48" t="s">
        <v>1710</v>
      </c>
      <c r="CN114" s="48" t="s">
        <v>2068</v>
      </c>
      <c r="CO114" s="48" t="s">
        <v>2069</v>
      </c>
      <c r="CP114" s="48" t="s">
        <v>1710</v>
      </c>
      <c r="CQ114" s="48" t="s">
        <v>1710</v>
      </c>
      <c r="CR114" s="48" t="s">
        <v>1710</v>
      </c>
      <c r="CS114" s="48" t="s">
        <v>1710</v>
      </c>
      <c r="CT114" s="48" t="s">
        <v>1710</v>
      </c>
      <c r="CU114" s="48" t="s">
        <v>1712</v>
      </c>
      <c r="CV114" s="48" t="s">
        <v>1710</v>
      </c>
      <c r="CW114" s="48" t="s">
        <v>1710</v>
      </c>
      <c r="CX114" s="48" t="s">
        <v>3014</v>
      </c>
      <c r="CY114" s="48" t="s">
        <v>1710</v>
      </c>
      <c r="CZ114" s="48" t="s">
        <v>1712</v>
      </c>
      <c r="DA114" s="48" t="s">
        <v>1710</v>
      </c>
      <c r="DB114" s="48" t="s">
        <v>1878</v>
      </c>
      <c r="DC114" s="48" t="s">
        <v>2070</v>
      </c>
      <c r="DD114" s="48" t="s">
        <v>1842</v>
      </c>
      <c r="DE114" s="48" t="s">
        <v>1886</v>
      </c>
      <c r="DF114" s="48" t="s">
        <v>3730</v>
      </c>
      <c r="DG114" s="48" t="s">
        <v>2071</v>
      </c>
      <c r="DH114" s="48" t="s">
        <v>1712</v>
      </c>
      <c r="DI114" s="48" t="s">
        <v>1710</v>
      </c>
      <c r="DJ114" s="48" t="s">
        <v>1710</v>
      </c>
      <c r="DK114" s="48" t="s">
        <v>1710</v>
      </c>
      <c r="DL114" s="48" t="s">
        <v>1710</v>
      </c>
      <c r="DM114" s="48" t="s">
        <v>1710</v>
      </c>
      <c r="DN114" s="48" t="s">
        <v>1710</v>
      </c>
      <c r="DO114" s="48" t="s">
        <v>1710</v>
      </c>
      <c r="DP114" s="48" t="s">
        <v>1710</v>
      </c>
      <c r="DQ114" s="48" t="s">
        <v>1710</v>
      </c>
      <c r="DR114" s="48" t="s">
        <v>2072</v>
      </c>
      <c r="DS114" s="48" t="s">
        <v>1710</v>
      </c>
      <c r="DT114" s="48" t="s">
        <v>1710</v>
      </c>
      <c r="DU114" s="48" t="s">
        <v>2547</v>
      </c>
      <c r="DV114" s="48" t="s">
        <v>2816</v>
      </c>
      <c r="DW114" s="48" t="s">
        <v>1710</v>
      </c>
      <c r="DX114" s="48" t="s">
        <v>3731</v>
      </c>
      <c r="DY114" s="48" t="s">
        <v>1709</v>
      </c>
      <c r="DZ114" s="48" t="s">
        <v>2562</v>
      </c>
      <c r="EA114" s="48" t="s">
        <v>2546</v>
      </c>
      <c r="EB114">
        <v>0</v>
      </c>
      <c r="EC114" s="48" t="s">
        <v>2547</v>
      </c>
      <c r="ED114" s="48" t="s">
        <v>3707</v>
      </c>
      <c r="EE114" s="48" t="s">
        <v>1814</v>
      </c>
      <c r="EF114" s="48" t="s">
        <v>1852</v>
      </c>
      <c r="EG114" s="48" t="s">
        <v>3729</v>
      </c>
      <c r="EH114">
        <v>13</v>
      </c>
      <c r="EI114" s="48" t="s">
        <v>1888</v>
      </c>
      <c r="EJ114">
        <v>0</v>
      </c>
      <c r="EK114" s="48" t="s">
        <v>1710</v>
      </c>
      <c r="EL114">
        <v>1</v>
      </c>
      <c r="EM114" s="48" t="s">
        <v>1886</v>
      </c>
      <c r="EN114">
        <v>13</v>
      </c>
      <c r="EO114" s="48" t="s">
        <v>2521</v>
      </c>
      <c r="EP114" s="48" t="s">
        <v>3732</v>
      </c>
      <c r="EQ114">
        <v>4540.2</v>
      </c>
      <c r="ER114">
        <v>4540.2</v>
      </c>
      <c r="ES114">
        <v>6606387</v>
      </c>
      <c r="ET114">
        <v>4485</v>
      </c>
      <c r="EU114" s="48" t="s">
        <v>1710</v>
      </c>
      <c r="EV114" s="48" t="s">
        <v>1710</v>
      </c>
      <c r="EW114" s="48" t="s">
        <v>1712</v>
      </c>
      <c r="EX114" s="48" t="s">
        <v>1710</v>
      </c>
      <c r="EY114" s="48" t="s">
        <v>1848</v>
      </c>
      <c r="EZ114" s="48" t="s">
        <v>1710</v>
      </c>
      <c r="FA114" s="48" t="s">
        <v>1710</v>
      </c>
      <c r="FB114" s="48" t="s">
        <v>1712</v>
      </c>
      <c r="FC114" s="48" t="s">
        <v>1710</v>
      </c>
      <c r="FD114" s="48" t="s">
        <v>1710</v>
      </c>
      <c r="FE114" s="48" t="s">
        <v>1814</v>
      </c>
      <c r="FF114" s="48" t="s">
        <v>1815</v>
      </c>
      <c r="FG114" s="48" t="s">
        <v>1710</v>
      </c>
      <c r="FH114">
        <v>1</v>
      </c>
      <c r="FI114" s="48" t="s">
        <v>1846</v>
      </c>
      <c r="FJ114">
        <v>4540.2</v>
      </c>
      <c r="FK114">
        <v>4540.2</v>
      </c>
      <c r="FL114" s="48" t="s">
        <v>3733</v>
      </c>
      <c r="FM114" s="48" t="s">
        <v>2521</v>
      </c>
      <c r="FN114" s="48" t="s">
        <v>1710</v>
      </c>
      <c r="FO114" s="48" t="s">
        <v>1710</v>
      </c>
      <c r="FP114" s="48" t="s">
        <v>1710</v>
      </c>
      <c r="FQ114" s="48" t="s">
        <v>1710</v>
      </c>
      <c r="FR114" s="48" t="s">
        <v>1710</v>
      </c>
      <c r="FS114" s="48" t="s">
        <v>1710</v>
      </c>
      <c r="FT114" s="48" t="s">
        <v>1710</v>
      </c>
      <c r="FU114" s="48" t="s">
        <v>1710</v>
      </c>
      <c r="FV114" s="48"/>
      <c r="FW114" s="56"/>
      <c r="FX114" s="56"/>
      <c r="FY114" s="56"/>
      <c r="FZ114" s="56"/>
      <c r="GA114" s="55" t="str">
        <f t="shared" si="5"/>
        <v>4388426300410X</v>
      </c>
      <c r="GB114" t="str">
        <f>VLOOKUP(B114,수출코드!$C$2:$D$4,2,FALSE)</f>
        <v>Suwon</v>
      </c>
      <c r="GC114" t="str">
        <f>VLOOKUP(L114,수출코드!$A$2:$B$6,2,FALSE)</f>
        <v/>
      </c>
      <c r="GD114" t="str">
        <f>VLOOKUP(M114,수출코드!$E$2:$F$5,2,FALSE)</f>
        <v>일반</v>
      </c>
      <c r="GE114" s="61">
        <f t="shared" si="3"/>
        <v>45972.677083333336</v>
      </c>
      <c r="GF114" s="62">
        <f t="shared" si="4"/>
        <v>46049.736805555556</v>
      </c>
      <c r="GI114" s="48" t="s">
        <v>2758</v>
      </c>
    </row>
    <row r="115" spans="1:191">
      <c r="A115" s="48" t="s">
        <v>3734</v>
      </c>
      <c r="B115" s="48" t="s">
        <v>1821</v>
      </c>
      <c r="C115" s="48" t="s">
        <v>2048</v>
      </c>
      <c r="D115" s="48" t="s">
        <v>2813</v>
      </c>
      <c r="E115" s="48" t="s">
        <v>3734</v>
      </c>
      <c r="F115" s="48" t="s">
        <v>1710</v>
      </c>
      <c r="G115" s="48" t="s">
        <v>2814</v>
      </c>
      <c r="H115" s="48" t="s">
        <v>3735</v>
      </c>
      <c r="I115" s="48" t="s">
        <v>1884</v>
      </c>
      <c r="J115" s="48" t="s">
        <v>2816</v>
      </c>
      <c r="K115" s="48" t="s">
        <v>1885</v>
      </c>
      <c r="L115" s="48" t="s">
        <v>1883</v>
      </c>
      <c r="M115" s="48" t="s">
        <v>1810</v>
      </c>
      <c r="N115" s="48" t="s">
        <v>1842</v>
      </c>
      <c r="O115" s="48" t="s">
        <v>1811</v>
      </c>
      <c r="P115" s="48" t="s">
        <v>2549</v>
      </c>
      <c r="Q115" s="48" t="s">
        <v>2049</v>
      </c>
      <c r="R115" s="48" t="s">
        <v>1838</v>
      </c>
      <c r="S115" s="48" t="s">
        <v>2050</v>
      </c>
      <c r="T115" s="48" t="s">
        <v>1845</v>
      </c>
      <c r="U115" s="48" t="s">
        <v>2049</v>
      </c>
      <c r="V115" s="48" t="s">
        <v>1838</v>
      </c>
      <c r="W115" s="48" t="s">
        <v>2051</v>
      </c>
      <c r="X115" s="48" t="s">
        <v>2052</v>
      </c>
      <c r="Y115" s="48" t="s">
        <v>2050</v>
      </c>
      <c r="Z115" s="48" t="s">
        <v>2053</v>
      </c>
      <c r="AA115" s="48" t="s">
        <v>2054</v>
      </c>
      <c r="AB115" s="48" t="s">
        <v>2817</v>
      </c>
      <c r="AC115" s="48" t="s">
        <v>2055</v>
      </c>
      <c r="AD115" s="48" t="s">
        <v>2056</v>
      </c>
      <c r="AE115" s="48" t="s">
        <v>1710</v>
      </c>
      <c r="AF115" s="48" t="s">
        <v>1710</v>
      </c>
      <c r="AG115" s="48" t="s">
        <v>2057</v>
      </c>
      <c r="AH115" s="48" t="s">
        <v>1815</v>
      </c>
      <c r="AI115" s="48" t="s">
        <v>2058</v>
      </c>
      <c r="AJ115" s="48" t="s">
        <v>1710</v>
      </c>
      <c r="AK115" s="48" t="s">
        <v>2077</v>
      </c>
      <c r="AL115" s="48" t="s">
        <v>1858</v>
      </c>
      <c r="AM115" s="48" t="s">
        <v>1816</v>
      </c>
      <c r="AN115" s="48" t="s">
        <v>2054</v>
      </c>
      <c r="AO115" s="48" t="s">
        <v>1710</v>
      </c>
      <c r="AP115" s="48" t="s">
        <v>1848</v>
      </c>
      <c r="AQ115" s="48" t="s">
        <v>2060</v>
      </c>
      <c r="AR115" s="48" t="s">
        <v>1812</v>
      </c>
      <c r="AS115" s="48" t="s">
        <v>1813</v>
      </c>
      <c r="AT115" s="48" t="s">
        <v>1826</v>
      </c>
      <c r="AU115" s="48" t="s">
        <v>2061</v>
      </c>
      <c r="AV115" s="48" t="s">
        <v>2816</v>
      </c>
      <c r="AW115" s="48" t="s">
        <v>2062</v>
      </c>
      <c r="AX115" s="48" t="s">
        <v>2063</v>
      </c>
      <c r="AY115" s="48" t="s">
        <v>1710</v>
      </c>
      <c r="AZ115" s="48" t="s">
        <v>3736</v>
      </c>
      <c r="BA115" s="48" t="s">
        <v>1710</v>
      </c>
      <c r="BB115" s="48" t="s">
        <v>1709</v>
      </c>
      <c r="BC115" s="48" t="s">
        <v>1710</v>
      </c>
      <c r="BD115" s="48" t="s">
        <v>2082</v>
      </c>
      <c r="BE115" s="52" t="s">
        <v>3737</v>
      </c>
      <c r="BF115" s="48" t="s">
        <v>1710</v>
      </c>
      <c r="BG115" s="48" t="s">
        <v>1817</v>
      </c>
      <c r="BH115">
        <v>14</v>
      </c>
      <c r="BI115" s="48" t="s">
        <v>1888</v>
      </c>
      <c r="BJ115">
        <v>2</v>
      </c>
      <c r="BK115">
        <v>1473.06</v>
      </c>
      <c r="BL115">
        <v>12550736</v>
      </c>
      <c r="BM115">
        <v>8520</v>
      </c>
      <c r="BN115" s="48" t="s">
        <v>2064</v>
      </c>
      <c r="BO115" s="48" t="s">
        <v>2065</v>
      </c>
      <c r="BP115">
        <v>1473.06</v>
      </c>
      <c r="BQ115">
        <v>8663.08</v>
      </c>
      <c r="BR115" s="48" t="s">
        <v>1885</v>
      </c>
      <c r="BS115" s="48" t="s">
        <v>2066</v>
      </c>
      <c r="BT115">
        <v>1</v>
      </c>
      <c r="BU115">
        <v>210500</v>
      </c>
      <c r="BV115">
        <v>210500</v>
      </c>
      <c r="BW115" s="48" t="s">
        <v>2065</v>
      </c>
      <c r="BX115">
        <v>1473.06</v>
      </c>
      <c r="BY115">
        <v>0</v>
      </c>
      <c r="BZ115">
        <v>0</v>
      </c>
      <c r="CA115" s="48" t="s">
        <v>2065</v>
      </c>
      <c r="CB115">
        <v>1473.06</v>
      </c>
      <c r="CC115">
        <v>0</v>
      </c>
      <c r="CD115">
        <v>0</v>
      </c>
      <c r="CE115" s="48" t="s">
        <v>1710</v>
      </c>
      <c r="CF115" s="48" t="s">
        <v>1710</v>
      </c>
      <c r="CG115" s="48" t="s">
        <v>1710</v>
      </c>
      <c r="CH115" s="48" t="s">
        <v>1710</v>
      </c>
      <c r="CI115" s="48" t="s">
        <v>2067</v>
      </c>
      <c r="CJ115" s="48" t="s">
        <v>1710</v>
      </c>
      <c r="CL115" s="48" t="s">
        <v>2816</v>
      </c>
      <c r="CM115" s="48" t="s">
        <v>1710</v>
      </c>
      <c r="CN115" s="48" t="s">
        <v>2068</v>
      </c>
      <c r="CO115" s="48" t="s">
        <v>2069</v>
      </c>
      <c r="CP115" s="48" t="s">
        <v>1710</v>
      </c>
      <c r="CQ115" s="48" t="s">
        <v>1710</v>
      </c>
      <c r="CR115" s="48" t="s">
        <v>1710</v>
      </c>
      <c r="CS115" s="48" t="s">
        <v>1710</v>
      </c>
      <c r="CT115" s="48" t="s">
        <v>1710</v>
      </c>
      <c r="CU115" s="48" t="s">
        <v>1712</v>
      </c>
      <c r="CV115" s="48" t="s">
        <v>1710</v>
      </c>
      <c r="CW115" s="48" t="s">
        <v>1710</v>
      </c>
      <c r="CX115" s="48" t="s">
        <v>2823</v>
      </c>
      <c r="CY115" s="48" t="s">
        <v>1710</v>
      </c>
      <c r="CZ115" s="48" t="s">
        <v>1712</v>
      </c>
      <c r="DA115" s="48" t="s">
        <v>1710</v>
      </c>
      <c r="DB115" s="48" t="s">
        <v>1878</v>
      </c>
      <c r="DC115" s="48" t="s">
        <v>2070</v>
      </c>
      <c r="DD115" s="48" t="s">
        <v>1842</v>
      </c>
      <c r="DE115" s="48" t="s">
        <v>1886</v>
      </c>
      <c r="DF115" s="48" t="s">
        <v>3738</v>
      </c>
      <c r="DG115" s="48" t="s">
        <v>2071</v>
      </c>
      <c r="DH115" s="48" t="s">
        <v>1712</v>
      </c>
      <c r="DI115" s="48" t="s">
        <v>1710</v>
      </c>
      <c r="DJ115" s="48" t="s">
        <v>1710</v>
      </c>
      <c r="DK115" s="48" t="s">
        <v>1710</v>
      </c>
      <c r="DL115" s="48" t="s">
        <v>1710</v>
      </c>
      <c r="DM115" s="48" t="s">
        <v>1710</v>
      </c>
      <c r="DN115" s="48" t="s">
        <v>1710</v>
      </c>
      <c r="DO115" s="48" t="s">
        <v>1710</v>
      </c>
      <c r="DP115" s="48" t="s">
        <v>1710</v>
      </c>
      <c r="DQ115" s="48" t="s">
        <v>1710</v>
      </c>
      <c r="DR115" s="48" t="s">
        <v>2072</v>
      </c>
      <c r="DS115" s="48" t="s">
        <v>1710</v>
      </c>
      <c r="DT115" s="48" t="s">
        <v>1710</v>
      </c>
      <c r="DU115" s="48" t="s">
        <v>2547</v>
      </c>
      <c r="DV115" s="48" t="s">
        <v>2816</v>
      </c>
      <c r="DW115" s="48" t="s">
        <v>1710</v>
      </c>
      <c r="DX115" s="48" t="s">
        <v>3739</v>
      </c>
      <c r="DY115" s="48" t="s">
        <v>1709</v>
      </c>
      <c r="DZ115" s="48" t="s">
        <v>2073</v>
      </c>
      <c r="EA115" s="48" t="s">
        <v>2546</v>
      </c>
      <c r="EB115">
        <v>0</v>
      </c>
      <c r="EC115" s="48" t="s">
        <v>2547</v>
      </c>
      <c r="ED115" s="48" t="s">
        <v>3740</v>
      </c>
      <c r="EE115" s="48" t="s">
        <v>1814</v>
      </c>
      <c r="EF115" s="48" t="s">
        <v>1867</v>
      </c>
      <c r="EG115" s="48" t="s">
        <v>3736</v>
      </c>
      <c r="EH115">
        <v>1.052</v>
      </c>
      <c r="EI115" s="48" t="s">
        <v>1888</v>
      </c>
      <c r="EJ115">
        <v>1</v>
      </c>
      <c r="EK115" s="48" t="s">
        <v>1887</v>
      </c>
      <c r="EL115">
        <v>2</v>
      </c>
      <c r="EM115" s="48" t="s">
        <v>1886</v>
      </c>
      <c r="EN115">
        <v>1.052</v>
      </c>
      <c r="EO115" s="48" t="s">
        <v>2520</v>
      </c>
      <c r="EP115" s="48" t="s">
        <v>3741</v>
      </c>
      <c r="EQ115">
        <v>855.39</v>
      </c>
      <c r="ER115">
        <v>855.39</v>
      </c>
      <c r="ES115">
        <v>1239256</v>
      </c>
      <c r="ET115">
        <v>841</v>
      </c>
      <c r="EU115" s="48" t="s">
        <v>1710</v>
      </c>
      <c r="EV115" s="48" t="s">
        <v>1710</v>
      </c>
      <c r="EW115" s="48" t="s">
        <v>1712</v>
      </c>
      <c r="EX115" s="48" t="s">
        <v>1710</v>
      </c>
      <c r="EY115" s="48" t="s">
        <v>1860</v>
      </c>
      <c r="EZ115" s="48" t="s">
        <v>1710</v>
      </c>
      <c r="FA115" s="48" t="s">
        <v>1710</v>
      </c>
      <c r="FB115" s="48" t="s">
        <v>1712</v>
      </c>
      <c r="FC115" s="48" t="s">
        <v>1710</v>
      </c>
      <c r="FD115" s="48" t="s">
        <v>1710</v>
      </c>
      <c r="FE115" s="48" t="s">
        <v>1814</v>
      </c>
      <c r="FF115" s="48" t="s">
        <v>1815</v>
      </c>
      <c r="FG115" s="48" t="s">
        <v>1710</v>
      </c>
      <c r="FH115">
        <v>1</v>
      </c>
      <c r="FI115" s="48" t="s">
        <v>1846</v>
      </c>
      <c r="FJ115">
        <v>855.39</v>
      </c>
      <c r="FK115">
        <v>855.39</v>
      </c>
      <c r="FL115" s="48" t="s">
        <v>3742</v>
      </c>
      <c r="FM115" s="48" t="s">
        <v>3741</v>
      </c>
      <c r="FN115" s="48" t="s">
        <v>1710</v>
      </c>
      <c r="FO115" s="48" t="s">
        <v>1710</v>
      </c>
      <c r="FP115" s="48" t="s">
        <v>1710</v>
      </c>
      <c r="FQ115" s="48" t="s">
        <v>1710</v>
      </c>
      <c r="FR115" s="48" t="s">
        <v>1710</v>
      </c>
      <c r="FS115" s="48" t="s">
        <v>1710</v>
      </c>
      <c r="FT115" s="48" t="s">
        <v>1710</v>
      </c>
      <c r="FU115" s="48" t="s">
        <v>1710</v>
      </c>
      <c r="FV115" s="48"/>
      <c r="FW115" s="56"/>
      <c r="FX115" s="56"/>
      <c r="FY115" s="56"/>
      <c r="FZ115" s="56"/>
      <c r="GA115" s="55" t="str">
        <f t="shared" si="5"/>
        <v>4388426300411X</v>
      </c>
      <c r="GB115" t="str">
        <f>VLOOKUP(B115,수출코드!$C$2:$D$4,2,FALSE)</f>
        <v>Suwon</v>
      </c>
      <c r="GC115" t="str">
        <f>VLOOKUP(L115,수출코드!$A$2:$B$6,2,FALSE)</f>
        <v>서류제출</v>
      </c>
      <c r="GD115" t="str">
        <f>VLOOKUP(M115,수출코드!$E$2:$F$5,2,FALSE)</f>
        <v>일반</v>
      </c>
      <c r="GE115" s="61">
        <f t="shared" si="3"/>
        <v>45972.677083333336</v>
      </c>
      <c r="GF115" s="62">
        <f t="shared" si="4"/>
        <v>46050.435416666667</v>
      </c>
      <c r="GI115" s="48" t="s">
        <v>2758</v>
      </c>
    </row>
    <row r="116" spans="1:191">
      <c r="A116" s="48" t="s">
        <v>3743</v>
      </c>
      <c r="B116" s="48" t="s">
        <v>1821</v>
      </c>
      <c r="C116" s="48" t="s">
        <v>2048</v>
      </c>
      <c r="D116" s="48" t="s">
        <v>2813</v>
      </c>
      <c r="E116" s="48" t="s">
        <v>3743</v>
      </c>
      <c r="F116" s="48" t="s">
        <v>1710</v>
      </c>
      <c r="G116" s="48" t="s">
        <v>2814</v>
      </c>
      <c r="H116" s="48" t="s">
        <v>3744</v>
      </c>
      <c r="I116" s="48" t="s">
        <v>1884</v>
      </c>
      <c r="J116" s="48" t="s">
        <v>2816</v>
      </c>
      <c r="K116" s="48" t="s">
        <v>1877</v>
      </c>
      <c r="L116" s="48" t="s">
        <v>1883</v>
      </c>
      <c r="M116" s="48" t="s">
        <v>1810</v>
      </c>
      <c r="N116" s="48" t="s">
        <v>1842</v>
      </c>
      <c r="O116" s="48" t="s">
        <v>1811</v>
      </c>
      <c r="P116" s="48" t="s">
        <v>2549</v>
      </c>
      <c r="Q116" s="48" t="s">
        <v>2049</v>
      </c>
      <c r="R116" s="48" t="s">
        <v>1838</v>
      </c>
      <c r="S116" s="48" t="s">
        <v>2050</v>
      </c>
      <c r="T116" s="48" t="s">
        <v>1845</v>
      </c>
      <c r="U116" s="48" t="s">
        <v>2049</v>
      </c>
      <c r="V116" s="48" t="s">
        <v>1838</v>
      </c>
      <c r="W116" s="48" t="s">
        <v>2051</v>
      </c>
      <c r="X116" s="48" t="s">
        <v>2052</v>
      </c>
      <c r="Y116" s="48" t="s">
        <v>2050</v>
      </c>
      <c r="Z116" s="48" t="s">
        <v>2053</v>
      </c>
      <c r="AA116" s="48" t="s">
        <v>2054</v>
      </c>
      <c r="AB116" s="48" t="s">
        <v>2817</v>
      </c>
      <c r="AC116" s="48" t="s">
        <v>2055</v>
      </c>
      <c r="AD116" s="48" t="s">
        <v>2056</v>
      </c>
      <c r="AE116" s="48" t="s">
        <v>1710</v>
      </c>
      <c r="AF116" s="48" t="s">
        <v>1710</v>
      </c>
      <c r="AG116" s="48" t="s">
        <v>2057</v>
      </c>
      <c r="AH116" s="48" t="s">
        <v>1815</v>
      </c>
      <c r="AI116" s="48" t="s">
        <v>2058</v>
      </c>
      <c r="AJ116" s="48" t="s">
        <v>1710</v>
      </c>
      <c r="AK116" s="48" t="s">
        <v>2080</v>
      </c>
      <c r="AL116" s="48" t="s">
        <v>1866</v>
      </c>
      <c r="AM116" s="48" t="s">
        <v>1816</v>
      </c>
      <c r="AN116" s="48" t="s">
        <v>2054</v>
      </c>
      <c r="AO116" s="48" t="s">
        <v>1710</v>
      </c>
      <c r="AP116" s="48" t="s">
        <v>1854</v>
      </c>
      <c r="AQ116" s="48" t="s">
        <v>2081</v>
      </c>
      <c r="AR116" s="48" t="s">
        <v>1812</v>
      </c>
      <c r="AS116" s="48" t="s">
        <v>1813</v>
      </c>
      <c r="AT116" s="48" t="s">
        <v>1826</v>
      </c>
      <c r="AU116" s="48" t="s">
        <v>2061</v>
      </c>
      <c r="AV116" s="48" t="s">
        <v>2816</v>
      </c>
      <c r="AW116" s="48" t="s">
        <v>2062</v>
      </c>
      <c r="AX116" s="48" t="s">
        <v>2063</v>
      </c>
      <c r="AY116" s="48" t="s">
        <v>1710</v>
      </c>
      <c r="AZ116" s="48" t="s">
        <v>3745</v>
      </c>
      <c r="BA116" s="48" t="s">
        <v>1710</v>
      </c>
      <c r="BB116" s="48" t="s">
        <v>1709</v>
      </c>
      <c r="BC116" s="48" t="s">
        <v>1710</v>
      </c>
      <c r="BD116" s="48" t="s">
        <v>2082</v>
      </c>
      <c r="BE116" s="52" t="s">
        <v>3737</v>
      </c>
      <c r="BF116" s="48" t="s">
        <v>1710</v>
      </c>
      <c r="BG116" s="48" t="s">
        <v>1818</v>
      </c>
      <c r="BH116">
        <v>44</v>
      </c>
      <c r="BI116" s="48" t="s">
        <v>1888</v>
      </c>
      <c r="BJ116">
        <v>3</v>
      </c>
      <c r="BK116">
        <v>1473.06</v>
      </c>
      <c r="BL116">
        <v>40233421</v>
      </c>
      <c r="BM116">
        <v>27313</v>
      </c>
      <c r="BN116" s="48" t="s">
        <v>2064</v>
      </c>
      <c r="BO116" s="48" t="s">
        <v>2065</v>
      </c>
      <c r="BP116">
        <v>1473.06</v>
      </c>
      <c r="BQ116">
        <v>27632.97</v>
      </c>
      <c r="BR116" s="48" t="s">
        <v>1885</v>
      </c>
      <c r="BS116" s="48" t="s">
        <v>2066</v>
      </c>
      <c r="BT116">
        <v>1</v>
      </c>
      <c r="BU116">
        <v>471600</v>
      </c>
      <c r="BV116">
        <v>471600</v>
      </c>
      <c r="BW116" s="48" t="s">
        <v>2065</v>
      </c>
      <c r="BX116">
        <v>1473.06</v>
      </c>
      <c r="BY116">
        <v>0</v>
      </c>
      <c r="BZ116">
        <v>0</v>
      </c>
      <c r="CA116" s="48" t="s">
        <v>2065</v>
      </c>
      <c r="CB116">
        <v>1473.06</v>
      </c>
      <c r="CC116">
        <v>0</v>
      </c>
      <c r="CD116">
        <v>0</v>
      </c>
      <c r="CE116" s="48" t="s">
        <v>1710</v>
      </c>
      <c r="CF116" s="48" t="s">
        <v>1710</v>
      </c>
      <c r="CG116" s="48" t="s">
        <v>1710</v>
      </c>
      <c r="CH116" s="48" t="s">
        <v>1710</v>
      </c>
      <c r="CI116" s="48" t="s">
        <v>2067</v>
      </c>
      <c r="CJ116" s="48" t="s">
        <v>1710</v>
      </c>
      <c r="CL116" s="48" t="s">
        <v>2816</v>
      </c>
      <c r="CM116" s="48" t="s">
        <v>1710</v>
      </c>
      <c r="CN116" s="48" t="s">
        <v>2068</v>
      </c>
      <c r="CO116" s="48" t="s">
        <v>2069</v>
      </c>
      <c r="CP116" s="48" t="s">
        <v>1710</v>
      </c>
      <c r="CQ116" s="48" t="s">
        <v>1710</v>
      </c>
      <c r="CR116" s="48" t="s">
        <v>1710</v>
      </c>
      <c r="CS116" s="48" t="s">
        <v>1710</v>
      </c>
      <c r="CT116" s="48" t="s">
        <v>1710</v>
      </c>
      <c r="CU116" s="48" t="s">
        <v>1712</v>
      </c>
      <c r="CV116" s="48" t="s">
        <v>1710</v>
      </c>
      <c r="CW116" s="48" t="s">
        <v>1710</v>
      </c>
      <c r="CX116" s="48" t="s">
        <v>2823</v>
      </c>
      <c r="CY116" s="48" t="s">
        <v>1710</v>
      </c>
      <c r="CZ116" s="48" t="s">
        <v>1712</v>
      </c>
      <c r="DA116" s="48" t="s">
        <v>1710</v>
      </c>
      <c r="DB116" s="48" t="s">
        <v>1878</v>
      </c>
      <c r="DC116" s="48" t="s">
        <v>2070</v>
      </c>
      <c r="DD116" s="48" t="s">
        <v>1842</v>
      </c>
      <c r="DE116" s="48" t="s">
        <v>1886</v>
      </c>
      <c r="DF116" s="48" t="s">
        <v>3746</v>
      </c>
      <c r="DG116" s="48" t="s">
        <v>2071</v>
      </c>
      <c r="DH116" s="48" t="s">
        <v>1712</v>
      </c>
      <c r="DI116" s="48" t="s">
        <v>1710</v>
      </c>
      <c r="DJ116" s="48" t="s">
        <v>1710</v>
      </c>
      <c r="DK116" s="48" t="s">
        <v>1710</v>
      </c>
      <c r="DL116" s="48" t="s">
        <v>1710</v>
      </c>
      <c r="DM116" s="48" t="s">
        <v>1710</v>
      </c>
      <c r="DN116" s="48" t="s">
        <v>1710</v>
      </c>
      <c r="DO116" s="48" t="s">
        <v>1710</v>
      </c>
      <c r="DP116" s="48" t="s">
        <v>1710</v>
      </c>
      <c r="DQ116" s="48" t="s">
        <v>1710</v>
      </c>
      <c r="DR116" s="48" t="s">
        <v>2072</v>
      </c>
      <c r="DS116" s="48" t="s">
        <v>1710</v>
      </c>
      <c r="DT116" s="48" t="s">
        <v>1710</v>
      </c>
      <c r="DU116" s="48" t="s">
        <v>2547</v>
      </c>
      <c r="DV116" s="48" t="s">
        <v>3111</v>
      </c>
      <c r="DW116" s="48" t="s">
        <v>1710</v>
      </c>
      <c r="DX116" s="48" t="s">
        <v>3747</v>
      </c>
      <c r="DY116" s="48" t="s">
        <v>1709</v>
      </c>
      <c r="DZ116" s="48" t="s">
        <v>2073</v>
      </c>
      <c r="EA116" s="48" t="s">
        <v>2546</v>
      </c>
      <c r="EB116">
        <v>0</v>
      </c>
      <c r="EC116" s="48" t="s">
        <v>2547</v>
      </c>
      <c r="ED116" s="48" t="s">
        <v>3740</v>
      </c>
      <c r="EE116" s="48" t="s">
        <v>1814</v>
      </c>
      <c r="EF116" s="48" t="s">
        <v>1870</v>
      </c>
      <c r="EG116" s="48" t="s">
        <v>3745</v>
      </c>
      <c r="EH116">
        <v>19</v>
      </c>
      <c r="EI116" s="48" t="s">
        <v>1888</v>
      </c>
      <c r="EJ116">
        <v>0</v>
      </c>
      <c r="EK116" s="48" t="s">
        <v>1710</v>
      </c>
      <c r="EL116">
        <v>3</v>
      </c>
      <c r="EM116" s="48" t="s">
        <v>1886</v>
      </c>
      <c r="EN116">
        <v>19</v>
      </c>
      <c r="EO116" s="48" t="s">
        <v>1871</v>
      </c>
      <c r="EP116" s="48" t="s">
        <v>3748</v>
      </c>
      <c r="EQ116">
        <v>17001.599999999999</v>
      </c>
      <c r="ER116">
        <v>17001.599999999999</v>
      </c>
      <c r="ES116">
        <v>24754217</v>
      </c>
      <c r="ET116">
        <v>16805</v>
      </c>
      <c r="EU116" s="48" t="s">
        <v>1710</v>
      </c>
      <c r="EV116" s="48" t="s">
        <v>1710</v>
      </c>
      <c r="EW116" s="48" t="s">
        <v>1712</v>
      </c>
      <c r="EX116" s="48" t="s">
        <v>1710</v>
      </c>
      <c r="EY116" s="48" t="s">
        <v>1851</v>
      </c>
      <c r="EZ116" s="48" t="s">
        <v>1710</v>
      </c>
      <c r="FA116" s="48" t="s">
        <v>1710</v>
      </c>
      <c r="FB116" s="48" t="s">
        <v>1712</v>
      </c>
      <c r="FC116" s="48" t="s">
        <v>1710</v>
      </c>
      <c r="FD116" s="48" t="s">
        <v>1710</v>
      </c>
      <c r="FE116" s="48" t="s">
        <v>1814</v>
      </c>
      <c r="FF116" s="48" t="s">
        <v>1815</v>
      </c>
      <c r="FG116" s="48" t="s">
        <v>1710</v>
      </c>
      <c r="FH116">
        <v>1</v>
      </c>
      <c r="FI116" s="48" t="s">
        <v>1846</v>
      </c>
      <c r="FJ116">
        <v>17001.599999999999</v>
      </c>
      <c r="FK116">
        <v>17001.599999999999</v>
      </c>
      <c r="FL116" s="48" t="s">
        <v>3749</v>
      </c>
      <c r="FM116" s="48" t="s">
        <v>3750</v>
      </c>
      <c r="FN116" s="48" t="s">
        <v>1710</v>
      </c>
      <c r="FO116" s="48" t="s">
        <v>1710</v>
      </c>
      <c r="FP116" s="48" t="s">
        <v>1710</v>
      </c>
      <c r="FQ116" s="48" t="s">
        <v>1710</v>
      </c>
      <c r="FR116" s="48" t="s">
        <v>1710</v>
      </c>
      <c r="FS116" s="48" t="s">
        <v>1710</v>
      </c>
      <c r="FT116" s="48" t="s">
        <v>1710</v>
      </c>
      <c r="FU116" s="48" t="s">
        <v>1710</v>
      </c>
      <c r="FV116" s="48"/>
      <c r="FW116" s="56"/>
      <c r="FX116" s="56"/>
      <c r="FY116" s="56"/>
      <c r="FZ116" s="56"/>
      <c r="GA116" s="55" t="str">
        <f t="shared" si="5"/>
        <v>4388426300412X</v>
      </c>
      <c r="GB116" t="str">
        <f>VLOOKUP(B116,수출코드!$C$2:$D$4,2,FALSE)</f>
        <v>Suwon</v>
      </c>
      <c r="GC116" t="str">
        <f>VLOOKUP(L116,수출코드!$A$2:$B$6,2,FALSE)</f>
        <v>서류제출</v>
      </c>
      <c r="GD116" t="str">
        <f>VLOOKUP(M116,수출코드!$E$2:$F$5,2,FALSE)</f>
        <v>일반</v>
      </c>
      <c r="GE116" s="61">
        <f t="shared" si="3"/>
        <v>45972.677083333336</v>
      </c>
      <c r="GF116" s="62">
        <f t="shared" si="4"/>
        <v>46050.435416666667</v>
      </c>
      <c r="GI116" s="48" t="s">
        <v>2758</v>
      </c>
    </row>
    <row r="117" spans="1:191">
      <c r="A117" s="48" t="s">
        <v>3751</v>
      </c>
      <c r="B117" s="48" t="s">
        <v>1821</v>
      </c>
      <c r="C117" s="48" t="s">
        <v>2048</v>
      </c>
      <c r="D117" s="48" t="s">
        <v>2813</v>
      </c>
      <c r="E117" s="48" t="s">
        <v>3751</v>
      </c>
      <c r="F117" s="48" t="s">
        <v>1710</v>
      </c>
      <c r="G117" s="48" t="s">
        <v>2814</v>
      </c>
      <c r="H117" s="48" t="s">
        <v>3752</v>
      </c>
      <c r="I117" s="48" t="s">
        <v>1884</v>
      </c>
      <c r="J117" s="48" t="s">
        <v>2816</v>
      </c>
      <c r="K117" s="48" t="s">
        <v>1877</v>
      </c>
      <c r="L117" s="48" t="s">
        <v>1883</v>
      </c>
      <c r="M117" s="48" t="s">
        <v>1810</v>
      </c>
      <c r="N117" s="48" t="s">
        <v>1842</v>
      </c>
      <c r="O117" s="48" t="s">
        <v>1811</v>
      </c>
      <c r="P117" s="48" t="s">
        <v>2549</v>
      </c>
      <c r="Q117" s="48" t="s">
        <v>2049</v>
      </c>
      <c r="R117" s="48" t="s">
        <v>1838</v>
      </c>
      <c r="S117" s="48" t="s">
        <v>2050</v>
      </c>
      <c r="T117" s="48" t="s">
        <v>1845</v>
      </c>
      <c r="U117" s="48" t="s">
        <v>2049</v>
      </c>
      <c r="V117" s="48" t="s">
        <v>1838</v>
      </c>
      <c r="W117" s="48" t="s">
        <v>2051</v>
      </c>
      <c r="X117" s="48" t="s">
        <v>2052</v>
      </c>
      <c r="Y117" s="48" t="s">
        <v>2050</v>
      </c>
      <c r="Z117" s="48" t="s">
        <v>2053</v>
      </c>
      <c r="AA117" s="48" t="s">
        <v>2054</v>
      </c>
      <c r="AB117" s="48" t="s">
        <v>2817</v>
      </c>
      <c r="AC117" s="48" t="s">
        <v>2055</v>
      </c>
      <c r="AD117" s="48" t="s">
        <v>2056</v>
      </c>
      <c r="AE117" s="48" t="s">
        <v>1710</v>
      </c>
      <c r="AF117" s="48" t="s">
        <v>1710</v>
      </c>
      <c r="AG117" s="48" t="s">
        <v>2057</v>
      </c>
      <c r="AH117" s="48" t="s">
        <v>1815</v>
      </c>
      <c r="AI117" s="48" t="s">
        <v>2058</v>
      </c>
      <c r="AJ117" s="48" t="s">
        <v>1710</v>
      </c>
      <c r="AK117" s="48" t="s">
        <v>2558</v>
      </c>
      <c r="AL117" s="48" t="s">
        <v>1882</v>
      </c>
      <c r="AM117" s="48" t="s">
        <v>1816</v>
      </c>
      <c r="AN117" s="48" t="s">
        <v>2054</v>
      </c>
      <c r="AO117" s="48" t="s">
        <v>1710</v>
      </c>
      <c r="AP117" s="48" t="s">
        <v>1851</v>
      </c>
      <c r="AQ117" s="48" t="s">
        <v>2083</v>
      </c>
      <c r="AR117" s="48" t="s">
        <v>1812</v>
      </c>
      <c r="AS117" s="48" t="s">
        <v>1813</v>
      </c>
      <c r="AT117" s="48" t="s">
        <v>1826</v>
      </c>
      <c r="AU117" s="48" t="s">
        <v>2061</v>
      </c>
      <c r="AV117" s="48" t="s">
        <v>2816</v>
      </c>
      <c r="AW117" s="48" t="s">
        <v>2062</v>
      </c>
      <c r="AX117" s="48" t="s">
        <v>2063</v>
      </c>
      <c r="AY117" s="48" t="s">
        <v>1710</v>
      </c>
      <c r="AZ117" s="48" t="s">
        <v>3753</v>
      </c>
      <c r="BA117" s="48" t="s">
        <v>1710</v>
      </c>
      <c r="BB117" s="48" t="s">
        <v>1709</v>
      </c>
      <c r="BC117" s="48" t="s">
        <v>1710</v>
      </c>
      <c r="BD117" s="48" t="s">
        <v>2082</v>
      </c>
      <c r="BE117" s="52" t="s">
        <v>3737</v>
      </c>
      <c r="BF117" s="48" t="s">
        <v>1710</v>
      </c>
      <c r="BG117" s="48" t="s">
        <v>1819</v>
      </c>
      <c r="BH117">
        <v>31</v>
      </c>
      <c r="BI117" s="48" t="s">
        <v>1888</v>
      </c>
      <c r="BJ117">
        <v>4</v>
      </c>
      <c r="BK117">
        <v>1473.06</v>
      </c>
      <c r="BL117">
        <v>26509368</v>
      </c>
      <c r="BM117">
        <v>17996</v>
      </c>
      <c r="BN117" s="48" t="s">
        <v>2064</v>
      </c>
      <c r="BO117" s="48" t="s">
        <v>2065</v>
      </c>
      <c r="BP117">
        <v>1473.06</v>
      </c>
      <c r="BQ117">
        <v>18257.62</v>
      </c>
      <c r="BR117" s="48" t="s">
        <v>1885</v>
      </c>
      <c r="BS117" s="48" t="s">
        <v>2066</v>
      </c>
      <c r="BT117">
        <v>1</v>
      </c>
      <c r="BU117">
        <v>385200</v>
      </c>
      <c r="BV117">
        <v>385200</v>
      </c>
      <c r="BW117" s="48" t="s">
        <v>2065</v>
      </c>
      <c r="BX117">
        <v>1473.06</v>
      </c>
      <c r="BY117">
        <v>0</v>
      </c>
      <c r="BZ117">
        <v>0</v>
      </c>
      <c r="CA117" s="48" t="s">
        <v>2065</v>
      </c>
      <c r="CB117">
        <v>1473.06</v>
      </c>
      <c r="CC117">
        <v>0</v>
      </c>
      <c r="CD117">
        <v>0</v>
      </c>
      <c r="CE117" s="48" t="s">
        <v>1710</v>
      </c>
      <c r="CF117" s="48" t="s">
        <v>1710</v>
      </c>
      <c r="CG117" s="48" t="s">
        <v>1710</v>
      </c>
      <c r="CH117" s="48" t="s">
        <v>1710</v>
      </c>
      <c r="CI117" s="48" t="s">
        <v>2067</v>
      </c>
      <c r="CJ117" s="48" t="s">
        <v>1710</v>
      </c>
      <c r="CL117" s="48" t="s">
        <v>2816</v>
      </c>
      <c r="CM117" s="48" t="s">
        <v>1710</v>
      </c>
      <c r="CN117" s="48" t="s">
        <v>2068</v>
      </c>
      <c r="CO117" s="48" t="s">
        <v>2069</v>
      </c>
      <c r="CP117" s="48" t="s">
        <v>1710</v>
      </c>
      <c r="CQ117" s="48" t="s">
        <v>1710</v>
      </c>
      <c r="CR117" s="48" t="s">
        <v>1710</v>
      </c>
      <c r="CS117" s="48" t="s">
        <v>1710</v>
      </c>
      <c r="CT117" s="48" t="s">
        <v>1710</v>
      </c>
      <c r="CU117" s="48" t="s">
        <v>1712</v>
      </c>
      <c r="CV117" s="48" t="s">
        <v>1710</v>
      </c>
      <c r="CW117" s="48" t="s">
        <v>1710</v>
      </c>
      <c r="CX117" s="48" t="s">
        <v>2823</v>
      </c>
      <c r="CY117" s="48" t="s">
        <v>1710</v>
      </c>
      <c r="CZ117" s="48" t="s">
        <v>1712</v>
      </c>
      <c r="DA117" s="48" t="s">
        <v>1710</v>
      </c>
      <c r="DB117" s="48" t="s">
        <v>1878</v>
      </c>
      <c r="DC117" s="48" t="s">
        <v>2070</v>
      </c>
      <c r="DD117" s="48" t="s">
        <v>1842</v>
      </c>
      <c r="DE117" s="48" t="s">
        <v>1886</v>
      </c>
      <c r="DF117" s="48" t="s">
        <v>3754</v>
      </c>
      <c r="DG117" s="48" t="s">
        <v>2071</v>
      </c>
      <c r="DH117" s="48" t="s">
        <v>1712</v>
      </c>
      <c r="DI117" s="48" t="s">
        <v>1710</v>
      </c>
      <c r="DJ117" s="48" t="s">
        <v>1710</v>
      </c>
      <c r="DK117" s="48" t="s">
        <v>1710</v>
      </c>
      <c r="DL117" s="48" t="s">
        <v>1710</v>
      </c>
      <c r="DM117" s="48" t="s">
        <v>1710</v>
      </c>
      <c r="DN117" s="48" t="s">
        <v>1710</v>
      </c>
      <c r="DO117" s="48" t="s">
        <v>1710</v>
      </c>
      <c r="DP117" s="48" t="s">
        <v>1710</v>
      </c>
      <c r="DQ117" s="48" t="s">
        <v>1710</v>
      </c>
      <c r="DR117" s="48" t="s">
        <v>2072</v>
      </c>
      <c r="DS117" s="48" t="s">
        <v>1710</v>
      </c>
      <c r="DT117" s="48" t="s">
        <v>1710</v>
      </c>
      <c r="DU117" s="48" t="s">
        <v>2547</v>
      </c>
      <c r="DV117" s="48" t="s">
        <v>3111</v>
      </c>
      <c r="DW117" s="48" t="s">
        <v>1710</v>
      </c>
      <c r="DX117" s="48" t="s">
        <v>3755</v>
      </c>
      <c r="DY117" s="48" t="s">
        <v>1709</v>
      </c>
      <c r="DZ117" s="48" t="s">
        <v>2073</v>
      </c>
      <c r="EA117" s="48" t="s">
        <v>2546</v>
      </c>
      <c r="EB117">
        <v>0</v>
      </c>
      <c r="EC117" s="48" t="s">
        <v>2547</v>
      </c>
      <c r="ED117" s="48" t="s">
        <v>3756</v>
      </c>
      <c r="EE117" s="48" t="s">
        <v>1814</v>
      </c>
      <c r="EF117" s="48" t="s">
        <v>1868</v>
      </c>
      <c r="EG117" s="48" t="s">
        <v>3753</v>
      </c>
      <c r="EH117">
        <v>8</v>
      </c>
      <c r="EI117" s="48" t="s">
        <v>1888</v>
      </c>
      <c r="EJ117">
        <v>1</v>
      </c>
      <c r="EK117" s="48" t="s">
        <v>1887</v>
      </c>
      <c r="EL117">
        <v>4</v>
      </c>
      <c r="EM117" s="48" t="s">
        <v>1886</v>
      </c>
      <c r="EN117">
        <v>8</v>
      </c>
      <c r="EO117" s="48" t="s">
        <v>2528</v>
      </c>
      <c r="EP117" s="48" t="s">
        <v>3757</v>
      </c>
      <c r="EQ117">
        <v>2031.01</v>
      </c>
      <c r="ER117">
        <v>2031.01</v>
      </c>
      <c r="ES117">
        <v>2948949</v>
      </c>
      <c r="ET117">
        <v>2002</v>
      </c>
      <c r="EU117" s="48" t="s">
        <v>1710</v>
      </c>
      <c r="EV117" s="48" t="s">
        <v>1710</v>
      </c>
      <c r="EW117" s="48" t="s">
        <v>1712</v>
      </c>
      <c r="EX117" s="48" t="s">
        <v>1710</v>
      </c>
      <c r="EY117" s="48" t="s">
        <v>1869</v>
      </c>
      <c r="EZ117" s="48" t="s">
        <v>1710</v>
      </c>
      <c r="FA117" s="48" t="s">
        <v>1710</v>
      </c>
      <c r="FB117" s="48" t="s">
        <v>1712</v>
      </c>
      <c r="FC117" s="48" t="s">
        <v>1710</v>
      </c>
      <c r="FD117" s="48" t="s">
        <v>1710</v>
      </c>
      <c r="FE117" s="48" t="s">
        <v>1814</v>
      </c>
      <c r="FF117" s="48" t="s">
        <v>1815</v>
      </c>
      <c r="FG117" s="48" t="s">
        <v>1710</v>
      </c>
      <c r="FH117">
        <v>1</v>
      </c>
      <c r="FI117" s="48" t="s">
        <v>1846</v>
      </c>
      <c r="FJ117">
        <v>2031.01</v>
      </c>
      <c r="FK117">
        <v>2031.01</v>
      </c>
      <c r="FL117" s="48" t="s">
        <v>3758</v>
      </c>
      <c r="FM117" s="48" t="s">
        <v>3757</v>
      </c>
      <c r="FN117" s="48" t="s">
        <v>1710</v>
      </c>
      <c r="FO117" s="48" t="s">
        <v>1710</v>
      </c>
      <c r="FP117" s="48" t="s">
        <v>1710</v>
      </c>
      <c r="FQ117" s="48" t="s">
        <v>1710</v>
      </c>
      <c r="FR117" s="48" t="s">
        <v>1710</v>
      </c>
      <c r="FS117" s="48" t="s">
        <v>1710</v>
      </c>
      <c r="FT117" s="48" t="s">
        <v>1710</v>
      </c>
      <c r="FU117" s="48" t="s">
        <v>1710</v>
      </c>
      <c r="FV117" s="48"/>
      <c r="FW117" s="56"/>
      <c r="FX117" s="56"/>
      <c r="FY117" s="56"/>
      <c r="FZ117" s="56"/>
      <c r="GA117" s="55" t="str">
        <f t="shared" si="5"/>
        <v>4388426300413X</v>
      </c>
      <c r="GB117" t="str">
        <f>VLOOKUP(B117,수출코드!$C$2:$D$4,2,FALSE)</f>
        <v>Suwon</v>
      </c>
      <c r="GC117" t="str">
        <f>VLOOKUP(L117,수출코드!$A$2:$B$6,2,FALSE)</f>
        <v>서류제출</v>
      </c>
      <c r="GD117" t="str">
        <f>VLOOKUP(M117,수출코드!$E$2:$F$5,2,FALSE)</f>
        <v>일반</v>
      </c>
      <c r="GE117" s="61">
        <f t="shared" si="3"/>
        <v>45972.677083333336</v>
      </c>
      <c r="GF117" s="62">
        <f t="shared" si="4"/>
        <v>46050.415277777778</v>
      </c>
      <c r="GI117" s="48" t="s">
        <v>2758</v>
      </c>
    </row>
    <row r="118" spans="1:191">
      <c r="A118" s="48" t="s">
        <v>3759</v>
      </c>
      <c r="B118" s="48" t="s">
        <v>1821</v>
      </c>
      <c r="C118" s="48" t="s">
        <v>2048</v>
      </c>
      <c r="D118" s="48" t="s">
        <v>2813</v>
      </c>
      <c r="E118" s="48" t="s">
        <v>3759</v>
      </c>
      <c r="F118" s="48" t="s">
        <v>1710</v>
      </c>
      <c r="G118" s="48" t="s">
        <v>2814</v>
      </c>
      <c r="H118" s="48" t="s">
        <v>3760</v>
      </c>
      <c r="I118" s="48" t="s">
        <v>1884</v>
      </c>
      <c r="J118" s="48" t="s">
        <v>2816</v>
      </c>
      <c r="K118" s="48" t="s">
        <v>1877</v>
      </c>
      <c r="L118" s="48" t="s">
        <v>1842</v>
      </c>
      <c r="M118" s="48" t="s">
        <v>1810</v>
      </c>
      <c r="N118" s="48" t="s">
        <v>1842</v>
      </c>
      <c r="O118" s="48" t="s">
        <v>1811</v>
      </c>
      <c r="P118" s="48" t="s">
        <v>2549</v>
      </c>
      <c r="Q118" s="48" t="s">
        <v>2049</v>
      </c>
      <c r="R118" s="48" t="s">
        <v>1838</v>
      </c>
      <c r="S118" s="48" t="s">
        <v>2050</v>
      </c>
      <c r="T118" s="48" t="s">
        <v>1845</v>
      </c>
      <c r="U118" s="48" t="s">
        <v>2049</v>
      </c>
      <c r="V118" s="48" t="s">
        <v>1838</v>
      </c>
      <c r="W118" s="48" t="s">
        <v>2051</v>
      </c>
      <c r="X118" s="48" t="s">
        <v>2052</v>
      </c>
      <c r="Y118" s="48" t="s">
        <v>2050</v>
      </c>
      <c r="Z118" s="48" t="s">
        <v>2053</v>
      </c>
      <c r="AA118" s="48" t="s">
        <v>2054</v>
      </c>
      <c r="AB118" s="48" t="s">
        <v>2817</v>
      </c>
      <c r="AC118" s="48" t="s">
        <v>2055</v>
      </c>
      <c r="AD118" s="48" t="s">
        <v>2056</v>
      </c>
      <c r="AE118" s="48" t="s">
        <v>1710</v>
      </c>
      <c r="AF118" s="48" t="s">
        <v>1710</v>
      </c>
      <c r="AG118" s="48" t="s">
        <v>2057</v>
      </c>
      <c r="AH118" s="48" t="s">
        <v>1815</v>
      </c>
      <c r="AI118" s="48" t="s">
        <v>2058</v>
      </c>
      <c r="AJ118" s="48" t="s">
        <v>1710</v>
      </c>
      <c r="AK118" s="48" t="s">
        <v>2100</v>
      </c>
      <c r="AL118" s="48" t="s">
        <v>2101</v>
      </c>
      <c r="AM118" s="48" t="s">
        <v>1816</v>
      </c>
      <c r="AN118" s="48" t="s">
        <v>2054</v>
      </c>
      <c r="AO118" s="48" t="s">
        <v>1710</v>
      </c>
      <c r="AP118" s="48" t="s">
        <v>1874</v>
      </c>
      <c r="AQ118" s="48" t="s">
        <v>2078</v>
      </c>
      <c r="AR118" s="48" t="s">
        <v>1812</v>
      </c>
      <c r="AS118" s="48" t="s">
        <v>1813</v>
      </c>
      <c r="AT118" s="48" t="s">
        <v>1826</v>
      </c>
      <c r="AU118" s="48" t="s">
        <v>2061</v>
      </c>
      <c r="AV118" s="48" t="s">
        <v>2816</v>
      </c>
      <c r="AW118" s="48" t="s">
        <v>2062</v>
      </c>
      <c r="AX118" s="48" t="s">
        <v>2063</v>
      </c>
      <c r="AY118" s="48" t="s">
        <v>1710</v>
      </c>
      <c r="AZ118" s="48" t="s">
        <v>3761</v>
      </c>
      <c r="BA118" s="48" t="s">
        <v>1710</v>
      </c>
      <c r="BB118" s="48" t="s">
        <v>1709</v>
      </c>
      <c r="BC118" s="48" t="s">
        <v>1710</v>
      </c>
      <c r="BD118" s="48" t="s">
        <v>2082</v>
      </c>
      <c r="BE118" s="52" t="s">
        <v>3737</v>
      </c>
      <c r="BF118" s="48" t="s">
        <v>1710</v>
      </c>
      <c r="BG118" s="48" t="s">
        <v>1817</v>
      </c>
      <c r="BH118">
        <v>36</v>
      </c>
      <c r="BI118" s="48" t="s">
        <v>1888</v>
      </c>
      <c r="BJ118">
        <v>2</v>
      </c>
      <c r="BK118">
        <v>1473.06</v>
      </c>
      <c r="BL118">
        <v>4081497</v>
      </c>
      <c r="BM118">
        <v>2771</v>
      </c>
      <c r="BN118" s="48" t="s">
        <v>2064</v>
      </c>
      <c r="BO118" s="48" t="s">
        <v>2065</v>
      </c>
      <c r="BP118">
        <v>1473.06</v>
      </c>
      <c r="BQ118">
        <v>2918.21</v>
      </c>
      <c r="BR118" s="48" t="s">
        <v>1885</v>
      </c>
      <c r="BS118" s="48" t="s">
        <v>2066</v>
      </c>
      <c r="BT118">
        <v>1</v>
      </c>
      <c r="BU118">
        <v>217200</v>
      </c>
      <c r="BV118">
        <v>217200</v>
      </c>
      <c r="BW118" s="48" t="s">
        <v>2065</v>
      </c>
      <c r="BX118">
        <v>1473.06</v>
      </c>
      <c r="BY118">
        <v>0</v>
      </c>
      <c r="BZ118">
        <v>0</v>
      </c>
      <c r="CA118" s="48" t="s">
        <v>2065</v>
      </c>
      <c r="CB118">
        <v>1473.06</v>
      </c>
      <c r="CC118">
        <v>0</v>
      </c>
      <c r="CD118">
        <v>0</v>
      </c>
      <c r="CE118" s="48" t="s">
        <v>1710</v>
      </c>
      <c r="CF118" s="48" t="s">
        <v>1710</v>
      </c>
      <c r="CG118" s="48" t="s">
        <v>1710</v>
      </c>
      <c r="CH118" s="48" t="s">
        <v>1710</v>
      </c>
      <c r="CI118" s="48" t="s">
        <v>2067</v>
      </c>
      <c r="CJ118" s="48" t="s">
        <v>1710</v>
      </c>
      <c r="CL118" s="48" t="s">
        <v>2816</v>
      </c>
      <c r="CM118" s="48" t="s">
        <v>1710</v>
      </c>
      <c r="CN118" s="48" t="s">
        <v>2068</v>
      </c>
      <c r="CO118" s="48" t="s">
        <v>2069</v>
      </c>
      <c r="CP118" s="48" t="s">
        <v>1710</v>
      </c>
      <c r="CQ118" s="48" t="s">
        <v>1710</v>
      </c>
      <c r="CR118" s="48" t="s">
        <v>1710</v>
      </c>
      <c r="CS118" s="48" t="s">
        <v>1710</v>
      </c>
      <c r="CT118" s="48" t="s">
        <v>1710</v>
      </c>
      <c r="CU118" s="48" t="s">
        <v>1712</v>
      </c>
      <c r="CV118" s="48" t="s">
        <v>1710</v>
      </c>
      <c r="CW118" s="48" t="s">
        <v>1710</v>
      </c>
      <c r="CX118" s="48" t="s">
        <v>2823</v>
      </c>
      <c r="CY118" s="48" t="s">
        <v>1710</v>
      </c>
      <c r="CZ118" s="48" t="s">
        <v>1712</v>
      </c>
      <c r="DA118" s="48" t="s">
        <v>1710</v>
      </c>
      <c r="DB118" s="48" t="s">
        <v>1878</v>
      </c>
      <c r="DC118" s="48" t="s">
        <v>2070</v>
      </c>
      <c r="DD118" s="48" t="s">
        <v>1842</v>
      </c>
      <c r="DE118" s="48" t="s">
        <v>1886</v>
      </c>
      <c r="DF118" s="48" t="s">
        <v>3762</v>
      </c>
      <c r="DG118" s="48" t="s">
        <v>2071</v>
      </c>
      <c r="DH118" s="48" t="s">
        <v>1712</v>
      </c>
      <c r="DI118" s="48" t="s">
        <v>1710</v>
      </c>
      <c r="DJ118" s="48" t="s">
        <v>1710</v>
      </c>
      <c r="DK118" s="48" t="s">
        <v>1710</v>
      </c>
      <c r="DL118" s="48" t="s">
        <v>1710</v>
      </c>
      <c r="DM118" s="48" t="s">
        <v>1710</v>
      </c>
      <c r="DN118" s="48" t="s">
        <v>1710</v>
      </c>
      <c r="DO118" s="48" t="s">
        <v>1710</v>
      </c>
      <c r="DP118" s="48" t="s">
        <v>1710</v>
      </c>
      <c r="DQ118" s="48" t="s">
        <v>1710</v>
      </c>
      <c r="DR118" s="48" t="s">
        <v>2072</v>
      </c>
      <c r="DS118" s="48" t="s">
        <v>1710</v>
      </c>
      <c r="DT118" s="48" t="s">
        <v>1710</v>
      </c>
      <c r="DU118" s="48" t="s">
        <v>2547</v>
      </c>
      <c r="DV118" s="48" t="s">
        <v>2816</v>
      </c>
      <c r="DW118" s="48" t="s">
        <v>1710</v>
      </c>
      <c r="DX118" s="48" t="s">
        <v>3763</v>
      </c>
      <c r="DY118" s="48" t="s">
        <v>1709</v>
      </c>
      <c r="DZ118" s="48" t="s">
        <v>2562</v>
      </c>
      <c r="EA118" s="48" t="s">
        <v>2546</v>
      </c>
      <c r="EB118">
        <v>0</v>
      </c>
      <c r="EC118" s="48" t="s">
        <v>2547</v>
      </c>
      <c r="ED118" s="48" t="s">
        <v>3764</v>
      </c>
      <c r="EE118" s="48" t="s">
        <v>1814</v>
      </c>
      <c r="EF118" s="48" t="s">
        <v>2982</v>
      </c>
      <c r="EG118" s="48" t="s">
        <v>3761</v>
      </c>
      <c r="EH118">
        <v>21</v>
      </c>
      <c r="EI118" s="48" t="s">
        <v>1888</v>
      </c>
      <c r="EJ118">
        <v>1</v>
      </c>
      <c r="EK118" s="48" t="s">
        <v>1887</v>
      </c>
      <c r="EL118">
        <v>2</v>
      </c>
      <c r="EM118" s="48" t="s">
        <v>1886</v>
      </c>
      <c r="EN118">
        <v>21</v>
      </c>
      <c r="EO118" s="48" t="s">
        <v>2983</v>
      </c>
      <c r="EP118" s="48" t="s">
        <v>3765</v>
      </c>
      <c r="EQ118">
        <v>1832.15</v>
      </c>
      <c r="ER118">
        <v>1832.15</v>
      </c>
      <c r="ES118">
        <v>2562501</v>
      </c>
      <c r="ET118">
        <v>1740</v>
      </c>
      <c r="EU118" s="48" t="s">
        <v>1710</v>
      </c>
      <c r="EV118" s="48" t="s">
        <v>1710</v>
      </c>
      <c r="EW118" s="48" t="s">
        <v>1712</v>
      </c>
      <c r="EX118" s="48" t="s">
        <v>1710</v>
      </c>
      <c r="EY118" s="48" t="s">
        <v>1850</v>
      </c>
      <c r="EZ118" s="48" t="s">
        <v>1710</v>
      </c>
      <c r="FA118" s="48" t="s">
        <v>1710</v>
      </c>
      <c r="FB118" s="48" t="s">
        <v>1712</v>
      </c>
      <c r="FC118" s="48" t="s">
        <v>1710</v>
      </c>
      <c r="FD118" s="48" t="s">
        <v>1710</v>
      </c>
      <c r="FE118" s="48" t="s">
        <v>1814</v>
      </c>
      <c r="FF118" s="48" t="s">
        <v>1815</v>
      </c>
      <c r="FG118" s="48" t="s">
        <v>1710</v>
      </c>
      <c r="FH118">
        <v>1</v>
      </c>
      <c r="FI118" s="48" t="s">
        <v>1846</v>
      </c>
      <c r="FJ118">
        <v>1832.15</v>
      </c>
      <c r="FK118">
        <v>1832.15</v>
      </c>
      <c r="FL118" s="48" t="s">
        <v>3766</v>
      </c>
      <c r="FM118" s="48" t="s">
        <v>3765</v>
      </c>
      <c r="FN118" s="48" t="s">
        <v>1710</v>
      </c>
      <c r="FO118" s="48" t="s">
        <v>1710</v>
      </c>
      <c r="FP118" s="48" t="s">
        <v>1710</v>
      </c>
      <c r="FQ118" s="48" t="s">
        <v>1710</v>
      </c>
      <c r="FR118" s="48" t="s">
        <v>1710</v>
      </c>
      <c r="FS118" s="48" t="s">
        <v>1710</v>
      </c>
      <c r="FT118" s="48" t="s">
        <v>1710</v>
      </c>
      <c r="FU118" s="48" t="s">
        <v>1710</v>
      </c>
      <c r="FV118" s="48"/>
      <c r="FW118" s="56"/>
      <c r="FX118" s="56"/>
      <c r="FY118" s="56"/>
      <c r="FZ118" s="56"/>
      <c r="GA118" s="55" t="str">
        <f t="shared" si="5"/>
        <v>4388426300414X</v>
      </c>
      <c r="GB118" t="str">
        <f>VLOOKUP(B118,수출코드!$C$2:$D$4,2,FALSE)</f>
        <v>Suwon</v>
      </c>
      <c r="GC118" t="str">
        <f>VLOOKUP(L118,수출코드!$A$2:$B$6,2,FALSE)</f>
        <v/>
      </c>
      <c r="GD118" t="str">
        <f>VLOOKUP(M118,수출코드!$E$2:$F$5,2,FALSE)</f>
        <v>일반</v>
      </c>
      <c r="GE118" s="61">
        <f t="shared" si="3"/>
        <v>45972.695833333331</v>
      </c>
      <c r="GF118" s="62">
        <f t="shared" si="4"/>
        <v>46050.381944444445</v>
      </c>
      <c r="GI118" s="48" t="s">
        <v>2759</v>
      </c>
    </row>
    <row r="119" spans="1:191">
      <c r="A119" s="48" t="s">
        <v>3767</v>
      </c>
      <c r="B119" s="48" t="s">
        <v>1821</v>
      </c>
      <c r="C119" s="48" t="s">
        <v>2048</v>
      </c>
      <c r="D119" s="48" t="s">
        <v>2813</v>
      </c>
      <c r="E119" s="48" t="s">
        <v>3767</v>
      </c>
      <c r="F119" s="48" t="s">
        <v>1710</v>
      </c>
      <c r="G119" s="48" t="s">
        <v>2814</v>
      </c>
      <c r="H119" s="48" t="s">
        <v>3768</v>
      </c>
      <c r="I119" s="48" t="s">
        <v>1884</v>
      </c>
      <c r="J119" s="48" t="s">
        <v>2816</v>
      </c>
      <c r="K119" s="48" t="s">
        <v>1877</v>
      </c>
      <c r="L119" s="48" t="s">
        <v>1842</v>
      </c>
      <c r="M119" s="48" t="s">
        <v>1810</v>
      </c>
      <c r="N119" s="48" t="s">
        <v>1842</v>
      </c>
      <c r="O119" s="48" t="s">
        <v>1811</v>
      </c>
      <c r="P119" s="48" t="s">
        <v>2549</v>
      </c>
      <c r="Q119" s="48" t="s">
        <v>2049</v>
      </c>
      <c r="R119" s="48" t="s">
        <v>1838</v>
      </c>
      <c r="S119" s="48" t="s">
        <v>2050</v>
      </c>
      <c r="T119" s="48" t="s">
        <v>1845</v>
      </c>
      <c r="U119" s="48" t="s">
        <v>2049</v>
      </c>
      <c r="V119" s="48" t="s">
        <v>1838</v>
      </c>
      <c r="W119" s="48" t="s">
        <v>2051</v>
      </c>
      <c r="X119" s="48" t="s">
        <v>2052</v>
      </c>
      <c r="Y119" s="48" t="s">
        <v>2050</v>
      </c>
      <c r="Z119" s="48" t="s">
        <v>2053</v>
      </c>
      <c r="AA119" s="48" t="s">
        <v>2054</v>
      </c>
      <c r="AB119" s="48" t="s">
        <v>2817</v>
      </c>
      <c r="AC119" s="48" t="s">
        <v>2055</v>
      </c>
      <c r="AD119" s="48" t="s">
        <v>2056</v>
      </c>
      <c r="AE119" s="48" t="s">
        <v>1710</v>
      </c>
      <c r="AF119" s="48" t="s">
        <v>1710</v>
      </c>
      <c r="AG119" s="48" t="s">
        <v>2057</v>
      </c>
      <c r="AH119" s="48" t="s">
        <v>1815</v>
      </c>
      <c r="AI119" s="48" t="s">
        <v>2058</v>
      </c>
      <c r="AJ119" s="48" t="s">
        <v>1710</v>
      </c>
      <c r="AK119" s="48" t="s">
        <v>2558</v>
      </c>
      <c r="AL119" s="48" t="s">
        <v>1882</v>
      </c>
      <c r="AM119" s="48" t="s">
        <v>1816</v>
      </c>
      <c r="AN119" s="48" t="s">
        <v>2054</v>
      </c>
      <c r="AO119" s="48" t="s">
        <v>1710</v>
      </c>
      <c r="AP119" s="48" t="s">
        <v>1851</v>
      </c>
      <c r="AQ119" s="48" t="s">
        <v>2083</v>
      </c>
      <c r="AR119" s="48" t="s">
        <v>1812</v>
      </c>
      <c r="AS119" s="48" t="s">
        <v>1813</v>
      </c>
      <c r="AT119" s="48" t="s">
        <v>1826</v>
      </c>
      <c r="AU119" s="48" t="s">
        <v>2061</v>
      </c>
      <c r="AV119" s="48" t="s">
        <v>2816</v>
      </c>
      <c r="AW119" s="48" t="s">
        <v>2062</v>
      </c>
      <c r="AX119" s="48" t="s">
        <v>2063</v>
      </c>
      <c r="AY119" s="48" t="s">
        <v>1710</v>
      </c>
      <c r="AZ119" s="48" t="s">
        <v>3769</v>
      </c>
      <c r="BA119" s="48" t="s">
        <v>1710</v>
      </c>
      <c r="BB119" s="48" t="s">
        <v>1709</v>
      </c>
      <c r="BC119" s="48" t="s">
        <v>1710</v>
      </c>
      <c r="BD119" s="48" t="s">
        <v>2573</v>
      </c>
      <c r="BE119" s="52" t="s">
        <v>3737</v>
      </c>
      <c r="BF119" s="48" t="s">
        <v>1710</v>
      </c>
      <c r="BG119" s="48" t="s">
        <v>1814</v>
      </c>
      <c r="BH119">
        <v>2</v>
      </c>
      <c r="BI119" s="48" t="s">
        <v>1888</v>
      </c>
      <c r="BJ119">
        <v>1</v>
      </c>
      <c r="BK119">
        <v>1473.06</v>
      </c>
      <c r="BL119">
        <v>6616371</v>
      </c>
      <c r="BM119">
        <v>4492</v>
      </c>
      <c r="BN119" s="48" t="s">
        <v>2064</v>
      </c>
      <c r="BO119" s="48" t="s">
        <v>2065</v>
      </c>
      <c r="BP119">
        <v>1473.06</v>
      </c>
      <c r="BQ119">
        <v>4524.4399999999996</v>
      </c>
      <c r="BR119" s="48" t="s">
        <v>1885</v>
      </c>
      <c r="BS119" s="48" t="s">
        <v>2066</v>
      </c>
      <c r="BT119">
        <v>1</v>
      </c>
      <c r="BU119">
        <v>48400</v>
      </c>
      <c r="BV119">
        <v>48400</v>
      </c>
      <c r="BW119" s="48" t="s">
        <v>2065</v>
      </c>
      <c r="BX119">
        <v>1473.06</v>
      </c>
      <c r="BY119">
        <v>0</v>
      </c>
      <c r="BZ119">
        <v>0</v>
      </c>
      <c r="CA119" s="48" t="s">
        <v>2065</v>
      </c>
      <c r="CB119">
        <v>1473.06</v>
      </c>
      <c r="CC119">
        <v>0</v>
      </c>
      <c r="CD119">
        <v>0</v>
      </c>
      <c r="CE119" s="48" t="s">
        <v>1710</v>
      </c>
      <c r="CF119" s="48" t="s">
        <v>1710</v>
      </c>
      <c r="CG119" s="48" t="s">
        <v>1710</v>
      </c>
      <c r="CH119" s="48" t="s">
        <v>1710</v>
      </c>
      <c r="CI119" s="48" t="s">
        <v>2067</v>
      </c>
      <c r="CJ119" s="48" t="s">
        <v>1710</v>
      </c>
      <c r="CL119" s="48" t="s">
        <v>2816</v>
      </c>
      <c r="CM119" s="48" t="s">
        <v>1710</v>
      </c>
      <c r="CN119" s="48" t="s">
        <v>2068</v>
      </c>
      <c r="CO119" s="48" t="s">
        <v>2069</v>
      </c>
      <c r="CP119" s="48" t="s">
        <v>1710</v>
      </c>
      <c r="CQ119" s="48" t="s">
        <v>1710</v>
      </c>
      <c r="CR119" s="48" t="s">
        <v>1710</v>
      </c>
      <c r="CS119" s="48" t="s">
        <v>1710</v>
      </c>
      <c r="CT119" s="48" t="s">
        <v>1710</v>
      </c>
      <c r="CU119" s="48" t="s">
        <v>1712</v>
      </c>
      <c r="CV119" s="48" t="s">
        <v>1710</v>
      </c>
      <c r="CW119" s="48" t="s">
        <v>1710</v>
      </c>
      <c r="CX119" s="48" t="s">
        <v>2823</v>
      </c>
      <c r="CY119" s="48" t="s">
        <v>1710</v>
      </c>
      <c r="CZ119" s="48" t="s">
        <v>1712</v>
      </c>
      <c r="DA119" s="48" t="s">
        <v>1710</v>
      </c>
      <c r="DB119" s="48" t="s">
        <v>1878</v>
      </c>
      <c r="DC119" s="48" t="s">
        <v>2070</v>
      </c>
      <c r="DD119" s="48" t="s">
        <v>1842</v>
      </c>
      <c r="DE119" s="48" t="s">
        <v>1886</v>
      </c>
      <c r="DF119" s="48" t="s">
        <v>3770</v>
      </c>
      <c r="DG119" s="48" t="s">
        <v>2071</v>
      </c>
      <c r="DH119" s="48" t="s">
        <v>1712</v>
      </c>
      <c r="DI119" s="48" t="s">
        <v>1710</v>
      </c>
      <c r="DJ119" s="48" t="s">
        <v>1710</v>
      </c>
      <c r="DK119" s="48" t="s">
        <v>1710</v>
      </c>
      <c r="DL119" s="48" t="s">
        <v>1710</v>
      </c>
      <c r="DM119" s="48" t="s">
        <v>1710</v>
      </c>
      <c r="DN119" s="48" t="s">
        <v>1710</v>
      </c>
      <c r="DO119" s="48" t="s">
        <v>1710</v>
      </c>
      <c r="DP119" s="48" t="s">
        <v>1710</v>
      </c>
      <c r="DQ119" s="48" t="s">
        <v>1710</v>
      </c>
      <c r="DR119" s="48" t="s">
        <v>2072</v>
      </c>
      <c r="DS119" s="48" t="s">
        <v>1710</v>
      </c>
      <c r="DT119" s="48" t="s">
        <v>1710</v>
      </c>
      <c r="DU119" s="48" t="s">
        <v>2547</v>
      </c>
      <c r="DV119" s="48" t="s">
        <v>3111</v>
      </c>
      <c r="DW119" s="48" t="s">
        <v>1710</v>
      </c>
      <c r="DX119" s="48" t="s">
        <v>3771</v>
      </c>
      <c r="DY119" s="48" t="s">
        <v>1709</v>
      </c>
      <c r="DZ119" s="48" t="s">
        <v>2562</v>
      </c>
      <c r="EA119" s="48" t="s">
        <v>2546</v>
      </c>
      <c r="EB119">
        <v>0</v>
      </c>
      <c r="EC119" s="48" t="s">
        <v>2547</v>
      </c>
      <c r="ED119" s="48" t="s">
        <v>3764</v>
      </c>
      <c r="EE119" s="48" t="s">
        <v>1814</v>
      </c>
      <c r="EF119" s="48" t="s">
        <v>1870</v>
      </c>
      <c r="EG119" s="48" t="s">
        <v>3769</v>
      </c>
      <c r="EH119">
        <v>1.39</v>
      </c>
      <c r="EI119" s="48" t="s">
        <v>1888</v>
      </c>
      <c r="EJ119">
        <v>0</v>
      </c>
      <c r="EK119" s="48" t="s">
        <v>1710</v>
      </c>
      <c r="EL119">
        <v>1</v>
      </c>
      <c r="EM119" s="48" t="s">
        <v>1886</v>
      </c>
      <c r="EN119">
        <v>1.39</v>
      </c>
      <c r="EO119" s="48" t="s">
        <v>1871</v>
      </c>
      <c r="EP119" s="48" t="s">
        <v>2638</v>
      </c>
      <c r="EQ119">
        <v>4524.4399999999996</v>
      </c>
      <c r="ER119">
        <v>4524.4399999999996</v>
      </c>
      <c r="ES119">
        <v>6616371</v>
      </c>
      <c r="ET119">
        <v>4492</v>
      </c>
      <c r="EU119" s="48" t="s">
        <v>1710</v>
      </c>
      <c r="EV119" s="48" t="s">
        <v>1710</v>
      </c>
      <c r="EW119" s="48" t="s">
        <v>1712</v>
      </c>
      <c r="EX119" s="48" t="s">
        <v>1710</v>
      </c>
      <c r="EY119" s="48" t="s">
        <v>1851</v>
      </c>
      <c r="EZ119" s="48" t="s">
        <v>1710</v>
      </c>
      <c r="FA119" s="48" t="s">
        <v>1710</v>
      </c>
      <c r="FB119" s="48" t="s">
        <v>1712</v>
      </c>
      <c r="FC119" s="48" t="s">
        <v>1710</v>
      </c>
      <c r="FD119" s="48" t="s">
        <v>1710</v>
      </c>
      <c r="FE119" s="48" t="s">
        <v>1814</v>
      </c>
      <c r="FF119" s="48" t="s">
        <v>1815</v>
      </c>
      <c r="FG119" s="48" t="s">
        <v>1710</v>
      </c>
      <c r="FH119">
        <v>1</v>
      </c>
      <c r="FI119" s="48" t="s">
        <v>1846</v>
      </c>
      <c r="FJ119">
        <v>4524.4399999999996</v>
      </c>
      <c r="FK119">
        <v>4524.4399999999996</v>
      </c>
      <c r="FL119" s="48" t="s">
        <v>2639</v>
      </c>
      <c r="FM119" s="48" t="s">
        <v>2640</v>
      </c>
      <c r="FN119" s="48" t="s">
        <v>1710</v>
      </c>
      <c r="FO119" s="48" t="s">
        <v>1710</v>
      </c>
      <c r="FP119" s="48" t="s">
        <v>1710</v>
      </c>
      <c r="FQ119" s="48" t="s">
        <v>1710</v>
      </c>
      <c r="FR119" s="48" t="s">
        <v>1710</v>
      </c>
      <c r="FS119" s="48" t="s">
        <v>1710</v>
      </c>
      <c r="FT119" s="48" t="s">
        <v>1710</v>
      </c>
      <c r="FU119" s="48" t="s">
        <v>1710</v>
      </c>
      <c r="FV119" s="48"/>
      <c r="FW119" s="56"/>
      <c r="FX119" s="56"/>
      <c r="FY119" s="56"/>
      <c r="FZ119" s="56"/>
      <c r="GA119" s="55" t="str">
        <f t="shared" si="5"/>
        <v>4388426300415X</v>
      </c>
      <c r="GB119" t="str">
        <f>VLOOKUP(B119,수출코드!$C$2:$D$4,2,FALSE)</f>
        <v>Suwon</v>
      </c>
      <c r="GC119" t="str">
        <f>VLOOKUP(L119,수출코드!$A$2:$B$6,2,FALSE)</f>
        <v/>
      </c>
      <c r="GD119" t="str">
        <f>VLOOKUP(M119,수출코드!$E$2:$F$5,2,FALSE)</f>
        <v>일반</v>
      </c>
      <c r="GE119" s="61">
        <f t="shared" si="3"/>
        <v>45973.402777777781</v>
      </c>
      <c r="GF119" s="62">
        <f t="shared" si="4"/>
        <v>46050.381944444445</v>
      </c>
      <c r="GI119" s="48" t="s">
        <v>2760</v>
      </c>
    </row>
    <row r="120" spans="1:191">
      <c r="A120" s="48" t="s">
        <v>3772</v>
      </c>
      <c r="B120" s="48" t="s">
        <v>1821</v>
      </c>
      <c r="C120" s="48" t="s">
        <v>2048</v>
      </c>
      <c r="D120" s="48" t="s">
        <v>2813</v>
      </c>
      <c r="E120" s="48" t="s">
        <v>3772</v>
      </c>
      <c r="F120" s="48" t="s">
        <v>1710</v>
      </c>
      <c r="G120" s="48" t="s">
        <v>2814</v>
      </c>
      <c r="H120" s="48" t="s">
        <v>3773</v>
      </c>
      <c r="I120" s="48" t="s">
        <v>1884</v>
      </c>
      <c r="J120" s="48" t="s">
        <v>2816</v>
      </c>
      <c r="K120" s="48" t="s">
        <v>1877</v>
      </c>
      <c r="L120" s="48" t="s">
        <v>1842</v>
      </c>
      <c r="M120" s="48" t="s">
        <v>1822</v>
      </c>
      <c r="N120" s="48" t="s">
        <v>1842</v>
      </c>
      <c r="O120" s="48" t="s">
        <v>1823</v>
      </c>
      <c r="P120" s="48" t="s">
        <v>2549</v>
      </c>
      <c r="Q120" s="48" t="s">
        <v>2049</v>
      </c>
      <c r="R120" s="48" t="s">
        <v>1838</v>
      </c>
      <c r="S120" s="48" t="s">
        <v>2050</v>
      </c>
      <c r="T120" s="48" t="s">
        <v>1845</v>
      </c>
      <c r="U120" s="48" t="s">
        <v>2049</v>
      </c>
      <c r="V120" s="48" t="s">
        <v>1838</v>
      </c>
      <c r="W120" s="48" t="s">
        <v>2051</v>
      </c>
      <c r="X120" s="48" t="s">
        <v>2052</v>
      </c>
      <c r="Y120" s="48" t="s">
        <v>2050</v>
      </c>
      <c r="Z120" s="48" t="s">
        <v>2053</v>
      </c>
      <c r="AA120" s="48" t="s">
        <v>2054</v>
      </c>
      <c r="AB120" s="48" t="s">
        <v>2817</v>
      </c>
      <c r="AC120" s="48" t="s">
        <v>2055</v>
      </c>
      <c r="AD120" s="48" t="s">
        <v>2056</v>
      </c>
      <c r="AE120" s="48" t="s">
        <v>1710</v>
      </c>
      <c r="AF120" s="48" t="s">
        <v>1710</v>
      </c>
      <c r="AG120" s="48" t="s">
        <v>2057</v>
      </c>
      <c r="AH120" s="48" t="s">
        <v>1815</v>
      </c>
      <c r="AI120" s="48" t="s">
        <v>2058</v>
      </c>
      <c r="AJ120" s="48" t="s">
        <v>1710</v>
      </c>
      <c r="AK120" s="48" t="s">
        <v>2074</v>
      </c>
      <c r="AL120" s="48" t="s">
        <v>2075</v>
      </c>
      <c r="AM120" s="48" t="s">
        <v>1816</v>
      </c>
      <c r="AN120" s="48" t="s">
        <v>2054</v>
      </c>
      <c r="AO120" s="48" t="s">
        <v>1710</v>
      </c>
      <c r="AP120" s="48" t="s">
        <v>1855</v>
      </c>
      <c r="AQ120" s="48" t="s">
        <v>2076</v>
      </c>
      <c r="AR120" s="48" t="s">
        <v>1812</v>
      </c>
      <c r="AS120" s="48" t="s">
        <v>1813</v>
      </c>
      <c r="AT120" s="48" t="s">
        <v>1826</v>
      </c>
      <c r="AU120" s="48" t="s">
        <v>2061</v>
      </c>
      <c r="AV120" s="48" t="s">
        <v>2816</v>
      </c>
      <c r="AW120" s="48" t="s">
        <v>2062</v>
      </c>
      <c r="AX120" s="48" t="s">
        <v>2063</v>
      </c>
      <c r="AY120" s="48" t="s">
        <v>1710</v>
      </c>
      <c r="AZ120" s="48" t="s">
        <v>3774</v>
      </c>
      <c r="BA120" s="48" t="s">
        <v>1710</v>
      </c>
      <c r="BB120" s="48" t="s">
        <v>1709</v>
      </c>
      <c r="BC120" s="48" t="s">
        <v>1710</v>
      </c>
      <c r="BD120" s="48" t="s">
        <v>3108</v>
      </c>
      <c r="BE120" s="52" t="s">
        <v>3775</v>
      </c>
      <c r="BF120" s="48" t="s">
        <v>1710</v>
      </c>
      <c r="BG120" s="48" t="s">
        <v>1814</v>
      </c>
      <c r="BH120">
        <v>64</v>
      </c>
      <c r="BI120" s="48" t="s">
        <v>1888</v>
      </c>
      <c r="BJ120">
        <v>1</v>
      </c>
      <c r="BK120">
        <v>1473.06</v>
      </c>
      <c r="BL120">
        <v>4976440</v>
      </c>
      <c r="BM120">
        <v>3378</v>
      </c>
      <c r="BN120" s="48" t="s">
        <v>2064</v>
      </c>
      <c r="BO120" s="48" t="s">
        <v>2065</v>
      </c>
      <c r="BP120">
        <v>1473.06</v>
      </c>
      <c r="BQ120">
        <v>3590.92</v>
      </c>
      <c r="BR120" s="48" t="s">
        <v>1885</v>
      </c>
      <c r="BS120" s="48" t="s">
        <v>2066</v>
      </c>
      <c r="BT120">
        <v>1</v>
      </c>
      <c r="BU120">
        <v>313200</v>
      </c>
      <c r="BV120">
        <v>313200</v>
      </c>
      <c r="BW120" s="48" t="s">
        <v>2065</v>
      </c>
      <c r="BX120">
        <v>1473.06</v>
      </c>
      <c r="BY120">
        <v>0</v>
      </c>
      <c r="BZ120">
        <v>0</v>
      </c>
      <c r="CA120" s="48" t="s">
        <v>2065</v>
      </c>
      <c r="CB120">
        <v>1473.06</v>
      </c>
      <c r="CC120">
        <v>0</v>
      </c>
      <c r="CD120">
        <v>0</v>
      </c>
      <c r="CE120" s="48" t="s">
        <v>1710</v>
      </c>
      <c r="CF120" s="48" t="s">
        <v>1710</v>
      </c>
      <c r="CG120" s="48" t="s">
        <v>1710</v>
      </c>
      <c r="CH120" s="48" t="s">
        <v>1710</v>
      </c>
      <c r="CI120" s="48" t="s">
        <v>2067</v>
      </c>
      <c r="CJ120" s="48" t="s">
        <v>1710</v>
      </c>
      <c r="CL120" s="48" t="s">
        <v>2816</v>
      </c>
      <c r="CM120" s="48" t="s">
        <v>1710</v>
      </c>
      <c r="CN120" s="48" t="s">
        <v>2068</v>
      </c>
      <c r="CO120" s="48" t="s">
        <v>2069</v>
      </c>
      <c r="CP120" s="48" t="s">
        <v>1710</v>
      </c>
      <c r="CQ120" s="48" t="s">
        <v>1710</v>
      </c>
      <c r="CR120" s="48" t="s">
        <v>1710</v>
      </c>
      <c r="CS120" s="48" t="s">
        <v>1710</v>
      </c>
      <c r="CT120" s="48" t="s">
        <v>1710</v>
      </c>
      <c r="CU120" s="48" t="s">
        <v>1712</v>
      </c>
      <c r="CV120" s="48" t="s">
        <v>1710</v>
      </c>
      <c r="CW120" s="48" t="s">
        <v>1710</v>
      </c>
      <c r="CX120" s="48" t="s">
        <v>2823</v>
      </c>
      <c r="CY120" s="48" t="s">
        <v>1710</v>
      </c>
      <c r="CZ120" s="48" t="s">
        <v>1885</v>
      </c>
      <c r="DA120" s="48" t="s">
        <v>1710</v>
      </c>
      <c r="DB120" s="48" t="s">
        <v>1878</v>
      </c>
      <c r="DC120" s="48" t="s">
        <v>2070</v>
      </c>
      <c r="DD120" s="48" t="s">
        <v>1842</v>
      </c>
      <c r="DE120" s="48" t="s">
        <v>1886</v>
      </c>
      <c r="DF120" s="48" t="s">
        <v>3776</v>
      </c>
      <c r="DG120" s="48" t="s">
        <v>2071</v>
      </c>
      <c r="DH120" s="48" t="s">
        <v>1712</v>
      </c>
      <c r="DI120" s="48" t="s">
        <v>1710</v>
      </c>
      <c r="DJ120" s="48" t="s">
        <v>1710</v>
      </c>
      <c r="DK120" s="48" t="s">
        <v>1710</v>
      </c>
      <c r="DL120" s="48" t="s">
        <v>1710</v>
      </c>
      <c r="DM120" s="48" t="s">
        <v>1710</v>
      </c>
      <c r="DN120" s="48" t="s">
        <v>1710</v>
      </c>
      <c r="DO120" s="48" t="s">
        <v>1710</v>
      </c>
      <c r="DP120" s="48" t="s">
        <v>1710</v>
      </c>
      <c r="DQ120" s="48" t="s">
        <v>1710</v>
      </c>
      <c r="DR120" s="48" t="s">
        <v>2072</v>
      </c>
      <c r="DS120" s="48" t="s">
        <v>1710</v>
      </c>
      <c r="DT120" s="48" t="s">
        <v>1710</v>
      </c>
      <c r="DU120" s="48" t="s">
        <v>2547</v>
      </c>
      <c r="DV120" s="48" t="s">
        <v>3111</v>
      </c>
      <c r="DW120" s="48" t="s">
        <v>1710</v>
      </c>
      <c r="DX120" s="48" t="s">
        <v>3777</v>
      </c>
      <c r="DY120" s="48" t="s">
        <v>1709</v>
      </c>
      <c r="DZ120" s="48" t="s">
        <v>2562</v>
      </c>
      <c r="EA120" s="48" t="s">
        <v>2546</v>
      </c>
      <c r="EB120">
        <v>0</v>
      </c>
      <c r="EC120" s="48" t="s">
        <v>2547</v>
      </c>
      <c r="ED120" s="48" t="s">
        <v>3778</v>
      </c>
      <c r="EE120" s="48" t="s">
        <v>1814</v>
      </c>
      <c r="EF120" s="48" t="s">
        <v>1852</v>
      </c>
      <c r="EG120" s="48" t="s">
        <v>3774</v>
      </c>
      <c r="EH120">
        <v>41.6</v>
      </c>
      <c r="EI120" s="48" t="s">
        <v>1888</v>
      </c>
      <c r="EJ120">
        <v>0</v>
      </c>
      <c r="EK120" s="48" t="s">
        <v>1710</v>
      </c>
      <c r="EL120">
        <v>1</v>
      </c>
      <c r="EM120" s="48" t="s">
        <v>1886</v>
      </c>
      <c r="EN120">
        <v>41.6</v>
      </c>
      <c r="EO120" s="48" t="s">
        <v>2525</v>
      </c>
      <c r="EP120" s="48" t="s">
        <v>3779</v>
      </c>
      <c r="EQ120">
        <v>3590.92</v>
      </c>
      <c r="ER120">
        <v>3590.92</v>
      </c>
      <c r="ES120">
        <v>4976440</v>
      </c>
      <c r="ET120">
        <v>3378</v>
      </c>
      <c r="EU120" s="48" t="s">
        <v>1710</v>
      </c>
      <c r="EV120" s="48" t="s">
        <v>1710</v>
      </c>
      <c r="EW120" s="48" t="s">
        <v>1712</v>
      </c>
      <c r="EX120" s="48" t="s">
        <v>1710</v>
      </c>
      <c r="EY120" s="48" t="s">
        <v>1855</v>
      </c>
      <c r="EZ120" s="48" t="s">
        <v>1710</v>
      </c>
      <c r="FA120" s="48" t="s">
        <v>1710</v>
      </c>
      <c r="FB120" s="48" t="s">
        <v>1712</v>
      </c>
      <c r="FC120" s="48" t="s">
        <v>1710</v>
      </c>
      <c r="FD120" s="48" t="s">
        <v>1710</v>
      </c>
      <c r="FE120" s="48" t="s">
        <v>1814</v>
      </c>
      <c r="FF120" s="48" t="s">
        <v>1815</v>
      </c>
      <c r="FG120" s="48" t="s">
        <v>1710</v>
      </c>
      <c r="FH120">
        <v>1</v>
      </c>
      <c r="FI120" s="48" t="s">
        <v>1846</v>
      </c>
      <c r="FJ120">
        <v>897.73</v>
      </c>
      <c r="FK120">
        <v>897.73</v>
      </c>
      <c r="FL120" s="48" t="s">
        <v>3780</v>
      </c>
      <c r="FM120" s="48" t="s">
        <v>3779</v>
      </c>
      <c r="FN120" s="48" t="s">
        <v>1710</v>
      </c>
      <c r="FO120" s="48" t="s">
        <v>1710</v>
      </c>
      <c r="FP120" s="48" t="s">
        <v>1710</v>
      </c>
      <c r="FQ120" s="48" t="s">
        <v>1710</v>
      </c>
      <c r="FR120" s="48" t="s">
        <v>1710</v>
      </c>
      <c r="FS120" s="48" t="s">
        <v>1710</v>
      </c>
      <c r="FT120" s="48" t="s">
        <v>3781</v>
      </c>
      <c r="FU120" s="48" t="s">
        <v>1710</v>
      </c>
      <c r="FV120" s="48"/>
      <c r="FW120" s="56"/>
      <c r="FX120" s="56"/>
      <c r="FY120" s="56"/>
      <c r="FZ120" s="56"/>
      <c r="GA120" s="55" t="str">
        <f t="shared" si="5"/>
        <v>4388426300416X</v>
      </c>
      <c r="GB120" t="str">
        <f>VLOOKUP(B120,수출코드!$C$2:$D$4,2,FALSE)</f>
        <v>Suwon</v>
      </c>
      <c r="GC120" t="str">
        <f>VLOOKUP(L120,수출코드!$A$2:$B$6,2,FALSE)</f>
        <v/>
      </c>
      <c r="GD120" t="str">
        <f>VLOOKUP(M120,수출코드!$E$2:$F$5,2,FALSE)</f>
        <v>재수입</v>
      </c>
      <c r="GE120" s="61">
        <f t="shared" si="3"/>
        <v>45973.426388888889</v>
      </c>
      <c r="GF120" s="62">
        <f t="shared" si="4"/>
        <v>46050.386805555558</v>
      </c>
      <c r="GI120" s="48" t="s">
        <v>2761</v>
      </c>
    </row>
    <row r="121" spans="1:191">
      <c r="A121" s="48" t="s">
        <v>3782</v>
      </c>
      <c r="B121" s="48" t="s">
        <v>1821</v>
      </c>
      <c r="C121" s="48" t="s">
        <v>2048</v>
      </c>
      <c r="D121" s="48" t="s">
        <v>2813</v>
      </c>
      <c r="E121" s="48" t="s">
        <v>3782</v>
      </c>
      <c r="F121" s="48" t="s">
        <v>1710</v>
      </c>
      <c r="G121" s="48" t="s">
        <v>2814</v>
      </c>
      <c r="H121" s="48" t="s">
        <v>3783</v>
      </c>
      <c r="I121" s="48" t="s">
        <v>1884</v>
      </c>
      <c r="J121" s="48" t="s">
        <v>2816</v>
      </c>
      <c r="K121" s="48" t="s">
        <v>1877</v>
      </c>
      <c r="L121" s="48" t="s">
        <v>1842</v>
      </c>
      <c r="M121" s="48" t="s">
        <v>1810</v>
      </c>
      <c r="N121" s="48" t="s">
        <v>1842</v>
      </c>
      <c r="O121" s="48" t="s">
        <v>1811</v>
      </c>
      <c r="P121" s="48" t="s">
        <v>2549</v>
      </c>
      <c r="Q121" s="48" t="s">
        <v>2049</v>
      </c>
      <c r="R121" s="48" t="s">
        <v>1838</v>
      </c>
      <c r="S121" s="48" t="s">
        <v>2050</v>
      </c>
      <c r="T121" s="48" t="s">
        <v>1845</v>
      </c>
      <c r="U121" s="48" t="s">
        <v>2049</v>
      </c>
      <c r="V121" s="48" t="s">
        <v>1838</v>
      </c>
      <c r="W121" s="48" t="s">
        <v>2051</v>
      </c>
      <c r="X121" s="48" t="s">
        <v>2052</v>
      </c>
      <c r="Y121" s="48" t="s">
        <v>2050</v>
      </c>
      <c r="Z121" s="48" t="s">
        <v>2053</v>
      </c>
      <c r="AA121" s="48" t="s">
        <v>2054</v>
      </c>
      <c r="AB121" s="48" t="s">
        <v>2817</v>
      </c>
      <c r="AC121" s="48" t="s">
        <v>2055</v>
      </c>
      <c r="AD121" s="48" t="s">
        <v>2056</v>
      </c>
      <c r="AE121" s="48" t="s">
        <v>1710</v>
      </c>
      <c r="AF121" s="48" t="s">
        <v>1710</v>
      </c>
      <c r="AG121" s="48" t="s">
        <v>2057</v>
      </c>
      <c r="AH121" s="48" t="s">
        <v>1815</v>
      </c>
      <c r="AI121" s="48" t="s">
        <v>2058</v>
      </c>
      <c r="AJ121" s="48" t="s">
        <v>1710</v>
      </c>
      <c r="AK121" s="48" t="s">
        <v>2563</v>
      </c>
      <c r="AL121" s="48" t="s">
        <v>2564</v>
      </c>
      <c r="AM121" s="48" t="s">
        <v>1816</v>
      </c>
      <c r="AN121" s="48" t="s">
        <v>2054</v>
      </c>
      <c r="AO121" s="48" t="s">
        <v>1710</v>
      </c>
      <c r="AP121" s="48" t="s">
        <v>1855</v>
      </c>
      <c r="AQ121" s="48" t="s">
        <v>2076</v>
      </c>
      <c r="AR121" s="48" t="s">
        <v>1812</v>
      </c>
      <c r="AS121" s="48" t="s">
        <v>1813</v>
      </c>
      <c r="AT121" s="48" t="s">
        <v>1826</v>
      </c>
      <c r="AU121" s="48" t="s">
        <v>2061</v>
      </c>
      <c r="AV121" s="48" t="s">
        <v>2816</v>
      </c>
      <c r="AW121" s="48" t="s">
        <v>2062</v>
      </c>
      <c r="AX121" s="48" t="s">
        <v>2063</v>
      </c>
      <c r="AY121" s="48" t="s">
        <v>1710</v>
      </c>
      <c r="AZ121" s="48" t="s">
        <v>3784</v>
      </c>
      <c r="BA121" s="48" t="s">
        <v>1710</v>
      </c>
      <c r="BB121" s="48" t="s">
        <v>1709</v>
      </c>
      <c r="BC121" s="48" t="s">
        <v>1710</v>
      </c>
      <c r="BD121" s="48" t="s">
        <v>2864</v>
      </c>
      <c r="BE121" s="52" t="s">
        <v>3785</v>
      </c>
      <c r="BF121" s="48" t="s">
        <v>1710</v>
      </c>
      <c r="BG121" s="48" t="s">
        <v>1814</v>
      </c>
      <c r="BH121">
        <v>128</v>
      </c>
      <c r="BI121" s="48" t="s">
        <v>1888</v>
      </c>
      <c r="BJ121">
        <v>1</v>
      </c>
      <c r="BK121">
        <v>1473.06</v>
      </c>
      <c r="BL121">
        <v>209913931</v>
      </c>
      <c r="BM121">
        <v>142502</v>
      </c>
      <c r="BN121" s="48" t="s">
        <v>2064</v>
      </c>
      <c r="BO121" s="48" t="s">
        <v>2065</v>
      </c>
      <c r="BP121">
        <v>1473.06</v>
      </c>
      <c r="BQ121">
        <v>142923.12</v>
      </c>
      <c r="BR121" s="48" t="s">
        <v>1885</v>
      </c>
      <c r="BS121" s="48" t="s">
        <v>2066</v>
      </c>
      <c r="BT121">
        <v>1</v>
      </c>
      <c r="BU121">
        <v>620400</v>
      </c>
      <c r="BV121">
        <v>620400</v>
      </c>
      <c r="BW121" s="48" t="s">
        <v>2065</v>
      </c>
      <c r="BX121">
        <v>1473.06</v>
      </c>
      <c r="BY121">
        <v>0</v>
      </c>
      <c r="BZ121">
        <v>0</v>
      </c>
      <c r="CA121" s="48" t="s">
        <v>2065</v>
      </c>
      <c r="CB121">
        <v>1473.06</v>
      </c>
      <c r="CC121">
        <v>0</v>
      </c>
      <c r="CD121">
        <v>0</v>
      </c>
      <c r="CE121" s="48" t="s">
        <v>1710</v>
      </c>
      <c r="CF121" s="48" t="s">
        <v>1710</v>
      </c>
      <c r="CG121" s="48" t="s">
        <v>1710</v>
      </c>
      <c r="CH121" s="48" t="s">
        <v>1710</v>
      </c>
      <c r="CI121" s="48" t="s">
        <v>2067</v>
      </c>
      <c r="CJ121" s="48" t="s">
        <v>1710</v>
      </c>
      <c r="CL121" s="48" t="s">
        <v>2816</v>
      </c>
      <c r="CM121" s="48" t="s">
        <v>1710</v>
      </c>
      <c r="CN121" s="48" t="s">
        <v>2068</v>
      </c>
      <c r="CO121" s="48" t="s">
        <v>2069</v>
      </c>
      <c r="CP121" s="48" t="s">
        <v>1710</v>
      </c>
      <c r="CQ121" s="48" t="s">
        <v>1710</v>
      </c>
      <c r="CR121" s="48" t="s">
        <v>1710</v>
      </c>
      <c r="CS121" s="48" t="s">
        <v>1710</v>
      </c>
      <c r="CT121" s="48" t="s">
        <v>1710</v>
      </c>
      <c r="CU121" s="48" t="s">
        <v>1712</v>
      </c>
      <c r="CV121" s="48" t="s">
        <v>1710</v>
      </c>
      <c r="CW121" s="48" t="s">
        <v>1710</v>
      </c>
      <c r="CX121" s="48" t="s">
        <v>2823</v>
      </c>
      <c r="CY121" s="48" t="s">
        <v>1710</v>
      </c>
      <c r="CZ121" s="48" t="s">
        <v>1712</v>
      </c>
      <c r="DA121" s="48" t="s">
        <v>1710</v>
      </c>
      <c r="DB121" s="48" t="s">
        <v>1878</v>
      </c>
      <c r="DC121" s="48" t="s">
        <v>2070</v>
      </c>
      <c r="DD121" s="48" t="s">
        <v>1842</v>
      </c>
      <c r="DE121" s="48" t="s">
        <v>1886</v>
      </c>
      <c r="DF121" s="48" t="s">
        <v>3786</v>
      </c>
      <c r="DG121" s="48" t="s">
        <v>2071</v>
      </c>
      <c r="DH121" s="48" t="s">
        <v>1712</v>
      </c>
      <c r="DI121" s="48" t="s">
        <v>1710</v>
      </c>
      <c r="DJ121" s="48" t="s">
        <v>1710</v>
      </c>
      <c r="DK121" s="48" t="s">
        <v>1710</v>
      </c>
      <c r="DL121" s="48" t="s">
        <v>1710</v>
      </c>
      <c r="DM121" s="48" t="s">
        <v>1710</v>
      </c>
      <c r="DN121" s="48" t="s">
        <v>1710</v>
      </c>
      <c r="DO121" s="48" t="s">
        <v>1710</v>
      </c>
      <c r="DP121" s="48" t="s">
        <v>1710</v>
      </c>
      <c r="DQ121" s="48" t="s">
        <v>1710</v>
      </c>
      <c r="DR121" s="48" t="s">
        <v>2072</v>
      </c>
      <c r="DS121" s="48" t="s">
        <v>1710</v>
      </c>
      <c r="DT121" s="48" t="s">
        <v>1710</v>
      </c>
      <c r="DU121" s="48" t="s">
        <v>2547</v>
      </c>
      <c r="DV121" s="48" t="s">
        <v>3111</v>
      </c>
      <c r="DW121" s="48" t="s">
        <v>1710</v>
      </c>
      <c r="DX121" s="48" t="s">
        <v>3787</v>
      </c>
      <c r="DY121" s="48" t="s">
        <v>1709</v>
      </c>
      <c r="DZ121" s="48" t="s">
        <v>2562</v>
      </c>
      <c r="EA121" s="48" t="s">
        <v>2546</v>
      </c>
      <c r="EB121">
        <v>0</v>
      </c>
      <c r="EC121" s="48" t="s">
        <v>2547</v>
      </c>
      <c r="ED121" s="48" t="s">
        <v>3788</v>
      </c>
      <c r="EE121" s="48" t="s">
        <v>1814</v>
      </c>
      <c r="EF121" s="48" t="s">
        <v>2620</v>
      </c>
      <c r="EG121" s="48" t="s">
        <v>3784</v>
      </c>
      <c r="EH121">
        <v>90</v>
      </c>
      <c r="EI121" s="48" t="s">
        <v>1888</v>
      </c>
      <c r="EJ121">
        <v>1</v>
      </c>
      <c r="EK121" s="48" t="s">
        <v>1887</v>
      </c>
      <c r="EL121">
        <v>1</v>
      </c>
      <c r="EM121" s="48" t="s">
        <v>1886</v>
      </c>
      <c r="EN121">
        <v>90</v>
      </c>
      <c r="EO121" s="48" t="s">
        <v>2621</v>
      </c>
      <c r="EP121" s="48" t="s">
        <v>2624</v>
      </c>
      <c r="EQ121">
        <v>142923.12</v>
      </c>
      <c r="ER121">
        <v>142923.12</v>
      </c>
      <c r="ES121">
        <v>209913931</v>
      </c>
      <c r="ET121">
        <v>142502</v>
      </c>
      <c r="EU121" s="48" t="s">
        <v>1710</v>
      </c>
      <c r="EV121" s="48" t="s">
        <v>1710</v>
      </c>
      <c r="EW121" s="48" t="s">
        <v>1712</v>
      </c>
      <c r="EX121" s="48" t="s">
        <v>1710</v>
      </c>
      <c r="EY121" s="48" t="s">
        <v>2622</v>
      </c>
      <c r="EZ121" s="48" t="s">
        <v>1710</v>
      </c>
      <c r="FA121" s="48" t="s">
        <v>1710</v>
      </c>
      <c r="FB121" s="48" t="s">
        <v>1712</v>
      </c>
      <c r="FC121" s="48" t="s">
        <v>1710</v>
      </c>
      <c r="FD121" s="48" t="s">
        <v>1710</v>
      </c>
      <c r="FE121" s="48" t="s">
        <v>1814</v>
      </c>
      <c r="FF121" s="48" t="s">
        <v>1815</v>
      </c>
      <c r="FG121" s="48" t="s">
        <v>1710</v>
      </c>
      <c r="FH121">
        <v>1</v>
      </c>
      <c r="FI121" s="48" t="s">
        <v>1846</v>
      </c>
      <c r="FJ121">
        <v>142923.12</v>
      </c>
      <c r="FK121">
        <v>142923.12</v>
      </c>
      <c r="FL121" s="48" t="s">
        <v>2625</v>
      </c>
      <c r="FM121" s="48" t="s">
        <v>2624</v>
      </c>
      <c r="FN121" s="48" t="s">
        <v>1710</v>
      </c>
      <c r="FO121" s="48" t="s">
        <v>1710</v>
      </c>
      <c r="FP121" s="48" t="s">
        <v>1710</v>
      </c>
      <c r="FQ121" s="48" t="s">
        <v>1710</v>
      </c>
      <c r="FR121" s="48" t="s">
        <v>1710</v>
      </c>
      <c r="FS121" s="48" t="s">
        <v>1710</v>
      </c>
      <c r="FT121" s="48" t="s">
        <v>1710</v>
      </c>
      <c r="FU121" s="48" t="s">
        <v>1710</v>
      </c>
      <c r="FV121" s="48"/>
      <c r="FW121" s="56"/>
      <c r="FX121" s="56"/>
      <c r="FY121" s="56"/>
      <c r="FZ121" s="56"/>
      <c r="GA121" s="55" t="str">
        <f t="shared" si="5"/>
        <v>4388426300417X</v>
      </c>
      <c r="GB121" t="str">
        <f>VLOOKUP(B121,수출코드!$C$2:$D$4,2,FALSE)</f>
        <v>Suwon</v>
      </c>
      <c r="GC121" t="str">
        <f>VLOOKUP(L121,수출코드!$A$2:$B$6,2,FALSE)</f>
        <v/>
      </c>
      <c r="GD121" t="str">
        <f>VLOOKUP(M121,수출코드!$E$2:$F$5,2,FALSE)</f>
        <v>일반</v>
      </c>
      <c r="GE121" s="61">
        <f t="shared" si="3"/>
        <v>45973.426388888889</v>
      </c>
      <c r="GF121" s="62">
        <f t="shared" si="4"/>
        <v>46050.388888888891</v>
      </c>
      <c r="GI121" s="48" t="s">
        <v>2761</v>
      </c>
    </row>
    <row r="122" spans="1:191">
      <c r="A122" s="48" t="s">
        <v>3789</v>
      </c>
      <c r="B122" s="48" t="s">
        <v>1821</v>
      </c>
      <c r="C122" s="48" t="s">
        <v>2048</v>
      </c>
      <c r="D122" s="48" t="s">
        <v>2813</v>
      </c>
      <c r="E122" s="48" t="s">
        <v>3789</v>
      </c>
      <c r="F122" s="48" t="s">
        <v>1710</v>
      </c>
      <c r="G122" s="48" t="s">
        <v>2814</v>
      </c>
      <c r="H122" s="48" t="s">
        <v>3790</v>
      </c>
      <c r="I122" s="48" t="s">
        <v>1884</v>
      </c>
      <c r="J122" s="48" t="s">
        <v>2816</v>
      </c>
      <c r="K122" s="48" t="s">
        <v>1877</v>
      </c>
      <c r="L122" s="48" t="s">
        <v>1842</v>
      </c>
      <c r="M122" s="48" t="s">
        <v>1810</v>
      </c>
      <c r="N122" s="48" t="s">
        <v>1842</v>
      </c>
      <c r="O122" s="48" t="s">
        <v>1811</v>
      </c>
      <c r="P122" s="48" t="s">
        <v>2549</v>
      </c>
      <c r="Q122" s="48" t="s">
        <v>2049</v>
      </c>
      <c r="R122" s="48" t="s">
        <v>1838</v>
      </c>
      <c r="S122" s="48" t="s">
        <v>2050</v>
      </c>
      <c r="T122" s="48" t="s">
        <v>1845</v>
      </c>
      <c r="U122" s="48" t="s">
        <v>2049</v>
      </c>
      <c r="V122" s="48" t="s">
        <v>1838</v>
      </c>
      <c r="W122" s="48" t="s">
        <v>2051</v>
      </c>
      <c r="X122" s="48" t="s">
        <v>2052</v>
      </c>
      <c r="Y122" s="48" t="s">
        <v>2050</v>
      </c>
      <c r="Z122" s="48" t="s">
        <v>2053</v>
      </c>
      <c r="AA122" s="48" t="s">
        <v>2054</v>
      </c>
      <c r="AB122" s="48" t="s">
        <v>2817</v>
      </c>
      <c r="AC122" s="48" t="s">
        <v>2055</v>
      </c>
      <c r="AD122" s="48" t="s">
        <v>2056</v>
      </c>
      <c r="AE122" s="48" t="s">
        <v>1710</v>
      </c>
      <c r="AF122" s="48" t="s">
        <v>1710</v>
      </c>
      <c r="AG122" s="48" t="s">
        <v>2057</v>
      </c>
      <c r="AH122" s="48" t="s">
        <v>1815</v>
      </c>
      <c r="AI122" s="48" t="s">
        <v>2058</v>
      </c>
      <c r="AJ122" s="48" t="s">
        <v>1710</v>
      </c>
      <c r="AK122" s="48" t="s">
        <v>2560</v>
      </c>
      <c r="AL122" s="48" t="s">
        <v>2561</v>
      </c>
      <c r="AM122" s="48" t="s">
        <v>1816</v>
      </c>
      <c r="AN122" s="48" t="s">
        <v>2054</v>
      </c>
      <c r="AO122" s="48" t="s">
        <v>1710</v>
      </c>
      <c r="AP122" s="48" t="s">
        <v>1855</v>
      </c>
      <c r="AQ122" s="48" t="s">
        <v>2076</v>
      </c>
      <c r="AR122" s="48" t="s">
        <v>1812</v>
      </c>
      <c r="AS122" s="48" t="s">
        <v>1813</v>
      </c>
      <c r="AT122" s="48" t="s">
        <v>1826</v>
      </c>
      <c r="AU122" s="48" t="s">
        <v>2061</v>
      </c>
      <c r="AV122" s="48" t="s">
        <v>2816</v>
      </c>
      <c r="AW122" s="48" t="s">
        <v>2062</v>
      </c>
      <c r="AX122" s="48" t="s">
        <v>2063</v>
      </c>
      <c r="AY122" s="48" t="s">
        <v>1710</v>
      </c>
      <c r="AZ122" s="48" t="s">
        <v>3791</v>
      </c>
      <c r="BA122" s="48" t="s">
        <v>1710</v>
      </c>
      <c r="BB122" s="48" t="s">
        <v>1709</v>
      </c>
      <c r="BC122" s="48" t="s">
        <v>1710</v>
      </c>
      <c r="BD122" s="48" t="s">
        <v>2864</v>
      </c>
      <c r="BE122" s="52" t="s">
        <v>3785</v>
      </c>
      <c r="BF122" s="48" t="s">
        <v>1710</v>
      </c>
      <c r="BG122" s="48" t="s">
        <v>1814</v>
      </c>
      <c r="BH122">
        <v>133</v>
      </c>
      <c r="BI122" s="48" t="s">
        <v>1888</v>
      </c>
      <c r="BJ122">
        <v>1</v>
      </c>
      <c r="BK122">
        <v>1473.06</v>
      </c>
      <c r="BL122">
        <v>209889931</v>
      </c>
      <c r="BM122">
        <v>142486</v>
      </c>
      <c r="BN122" s="48" t="s">
        <v>2064</v>
      </c>
      <c r="BO122" s="48" t="s">
        <v>2065</v>
      </c>
      <c r="BP122">
        <v>1473.06</v>
      </c>
      <c r="BQ122">
        <v>142923.12</v>
      </c>
      <c r="BR122" s="48" t="s">
        <v>1885</v>
      </c>
      <c r="BS122" s="48" t="s">
        <v>2066</v>
      </c>
      <c r="BT122">
        <v>1</v>
      </c>
      <c r="BU122">
        <v>644400</v>
      </c>
      <c r="BV122">
        <v>644400</v>
      </c>
      <c r="BW122" s="48" t="s">
        <v>2065</v>
      </c>
      <c r="BX122">
        <v>1473.06</v>
      </c>
      <c r="BY122">
        <v>0</v>
      </c>
      <c r="BZ122">
        <v>0</v>
      </c>
      <c r="CA122" s="48" t="s">
        <v>2065</v>
      </c>
      <c r="CB122">
        <v>1473.06</v>
      </c>
      <c r="CC122">
        <v>0</v>
      </c>
      <c r="CD122">
        <v>0</v>
      </c>
      <c r="CE122" s="48" t="s">
        <v>1710</v>
      </c>
      <c r="CF122" s="48" t="s">
        <v>1710</v>
      </c>
      <c r="CG122" s="48" t="s">
        <v>1710</v>
      </c>
      <c r="CH122" s="48" t="s">
        <v>1710</v>
      </c>
      <c r="CI122" s="48" t="s">
        <v>2067</v>
      </c>
      <c r="CJ122" s="48" t="s">
        <v>1710</v>
      </c>
      <c r="CL122" s="48" t="s">
        <v>2816</v>
      </c>
      <c r="CM122" s="48" t="s">
        <v>1710</v>
      </c>
      <c r="CN122" s="48" t="s">
        <v>2068</v>
      </c>
      <c r="CO122" s="48" t="s">
        <v>2069</v>
      </c>
      <c r="CP122" s="48" t="s">
        <v>1710</v>
      </c>
      <c r="CQ122" s="48" t="s">
        <v>1710</v>
      </c>
      <c r="CR122" s="48" t="s">
        <v>1710</v>
      </c>
      <c r="CS122" s="48" t="s">
        <v>1710</v>
      </c>
      <c r="CT122" s="48" t="s">
        <v>1710</v>
      </c>
      <c r="CU122" s="48" t="s">
        <v>1712</v>
      </c>
      <c r="CV122" s="48" t="s">
        <v>1710</v>
      </c>
      <c r="CW122" s="48" t="s">
        <v>1710</v>
      </c>
      <c r="CX122" s="48" t="s">
        <v>2823</v>
      </c>
      <c r="CY122" s="48" t="s">
        <v>1710</v>
      </c>
      <c r="CZ122" s="48" t="s">
        <v>1712</v>
      </c>
      <c r="DA122" s="48" t="s">
        <v>1710</v>
      </c>
      <c r="DB122" s="48" t="s">
        <v>1878</v>
      </c>
      <c r="DC122" s="48" t="s">
        <v>2070</v>
      </c>
      <c r="DD122" s="48" t="s">
        <v>1842</v>
      </c>
      <c r="DE122" s="48" t="s">
        <v>1886</v>
      </c>
      <c r="DF122" s="48" t="s">
        <v>3792</v>
      </c>
      <c r="DG122" s="48" t="s">
        <v>2071</v>
      </c>
      <c r="DH122" s="48" t="s">
        <v>1712</v>
      </c>
      <c r="DI122" s="48" t="s">
        <v>1710</v>
      </c>
      <c r="DJ122" s="48" t="s">
        <v>1710</v>
      </c>
      <c r="DK122" s="48" t="s">
        <v>1710</v>
      </c>
      <c r="DL122" s="48" t="s">
        <v>1710</v>
      </c>
      <c r="DM122" s="48" t="s">
        <v>1710</v>
      </c>
      <c r="DN122" s="48" t="s">
        <v>1710</v>
      </c>
      <c r="DO122" s="48" t="s">
        <v>1710</v>
      </c>
      <c r="DP122" s="48" t="s">
        <v>1710</v>
      </c>
      <c r="DQ122" s="48" t="s">
        <v>1710</v>
      </c>
      <c r="DR122" s="48" t="s">
        <v>2072</v>
      </c>
      <c r="DS122" s="48" t="s">
        <v>1710</v>
      </c>
      <c r="DT122" s="48" t="s">
        <v>1710</v>
      </c>
      <c r="DU122" s="48" t="s">
        <v>2547</v>
      </c>
      <c r="DV122" s="48" t="s">
        <v>3111</v>
      </c>
      <c r="DW122" s="48" t="s">
        <v>1710</v>
      </c>
      <c r="DX122" s="48" t="s">
        <v>3793</v>
      </c>
      <c r="DY122" s="48" t="s">
        <v>1709</v>
      </c>
      <c r="DZ122" s="48" t="s">
        <v>2562</v>
      </c>
      <c r="EA122" s="48" t="s">
        <v>2546</v>
      </c>
      <c r="EB122">
        <v>0</v>
      </c>
      <c r="EC122" s="48" t="s">
        <v>2547</v>
      </c>
      <c r="ED122" s="48" t="s">
        <v>3788</v>
      </c>
      <c r="EE122" s="48" t="s">
        <v>1814</v>
      </c>
      <c r="EF122" s="48" t="s">
        <v>2620</v>
      </c>
      <c r="EG122" s="48" t="s">
        <v>3791</v>
      </c>
      <c r="EH122">
        <v>90</v>
      </c>
      <c r="EI122" s="48" t="s">
        <v>1888</v>
      </c>
      <c r="EJ122">
        <v>1</v>
      </c>
      <c r="EK122" s="48" t="s">
        <v>1887</v>
      </c>
      <c r="EL122">
        <v>1</v>
      </c>
      <c r="EM122" s="48" t="s">
        <v>1886</v>
      </c>
      <c r="EN122">
        <v>90</v>
      </c>
      <c r="EO122" s="48" t="s">
        <v>2621</v>
      </c>
      <c r="EP122" s="48" t="s">
        <v>2624</v>
      </c>
      <c r="EQ122">
        <v>142923.12</v>
      </c>
      <c r="ER122">
        <v>142923.12</v>
      </c>
      <c r="ES122">
        <v>209889931</v>
      </c>
      <c r="ET122">
        <v>142486</v>
      </c>
      <c r="EU122" s="48" t="s">
        <v>1710</v>
      </c>
      <c r="EV122" s="48" t="s">
        <v>1710</v>
      </c>
      <c r="EW122" s="48" t="s">
        <v>1712</v>
      </c>
      <c r="EX122" s="48" t="s">
        <v>1710</v>
      </c>
      <c r="EY122" s="48" t="s">
        <v>2622</v>
      </c>
      <c r="EZ122" s="48" t="s">
        <v>1710</v>
      </c>
      <c r="FA122" s="48" t="s">
        <v>1710</v>
      </c>
      <c r="FB122" s="48" t="s">
        <v>1712</v>
      </c>
      <c r="FC122" s="48" t="s">
        <v>1710</v>
      </c>
      <c r="FD122" s="48" t="s">
        <v>1710</v>
      </c>
      <c r="FE122" s="48" t="s">
        <v>1814</v>
      </c>
      <c r="FF122" s="48" t="s">
        <v>1815</v>
      </c>
      <c r="FG122" s="48" t="s">
        <v>1710</v>
      </c>
      <c r="FH122">
        <v>1</v>
      </c>
      <c r="FI122" s="48" t="s">
        <v>1846</v>
      </c>
      <c r="FJ122">
        <v>142923.12</v>
      </c>
      <c r="FK122">
        <v>142923.12</v>
      </c>
      <c r="FL122" s="48" t="s">
        <v>2625</v>
      </c>
      <c r="FM122" s="48" t="s">
        <v>2624</v>
      </c>
      <c r="FN122" s="48" t="s">
        <v>1710</v>
      </c>
      <c r="FO122" s="48" t="s">
        <v>1710</v>
      </c>
      <c r="FP122" s="48" t="s">
        <v>1710</v>
      </c>
      <c r="FQ122" s="48" t="s">
        <v>1710</v>
      </c>
      <c r="FR122" s="48" t="s">
        <v>1710</v>
      </c>
      <c r="FS122" s="48" t="s">
        <v>1710</v>
      </c>
      <c r="FT122" s="48" t="s">
        <v>1710</v>
      </c>
      <c r="FU122" s="48" t="s">
        <v>1710</v>
      </c>
      <c r="FV122" s="48"/>
      <c r="FW122" s="56"/>
      <c r="FX122" s="56"/>
      <c r="FY122" s="56"/>
      <c r="FZ122" s="56"/>
      <c r="GA122" s="55" t="str">
        <f t="shared" si="5"/>
        <v>4388426300418X</v>
      </c>
      <c r="GB122" t="str">
        <f>VLOOKUP(B122,수출코드!$C$2:$D$4,2,FALSE)</f>
        <v>Suwon</v>
      </c>
      <c r="GC122" t="str">
        <f>VLOOKUP(L122,수출코드!$A$2:$B$6,2,FALSE)</f>
        <v/>
      </c>
      <c r="GD122" t="str">
        <f>VLOOKUP(M122,수출코드!$E$2:$F$5,2,FALSE)</f>
        <v>일반</v>
      </c>
      <c r="GE122" s="61">
        <f t="shared" si="3"/>
        <v>45973.45</v>
      </c>
      <c r="GF122" s="62">
        <f t="shared" si="4"/>
        <v>46050.388888888891</v>
      </c>
      <c r="GI122" s="48" t="s">
        <v>2762</v>
      </c>
    </row>
    <row r="123" spans="1:191">
      <c r="A123" s="48" t="s">
        <v>3794</v>
      </c>
      <c r="B123" s="48" t="s">
        <v>1821</v>
      </c>
      <c r="C123" s="48" t="s">
        <v>2048</v>
      </c>
      <c r="D123" s="48" t="s">
        <v>2813</v>
      </c>
      <c r="E123" s="48" t="s">
        <v>3794</v>
      </c>
      <c r="F123" s="48" t="s">
        <v>1710</v>
      </c>
      <c r="G123" s="48" t="s">
        <v>2814</v>
      </c>
      <c r="H123" s="48" t="s">
        <v>3795</v>
      </c>
      <c r="I123" s="48" t="s">
        <v>1884</v>
      </c>
      <c r="J123" s="48" t="s">
        <v>2816</v>
      </c>
      <c r="K123" s="48" t="s">
        <v>1877</v>
      </c>
      <c r="L123" s="48" t="s">
        <v>1842</v>
      </c>
      <c r="M123" s="48" t="s">
        <v>1822</v>
      </c>
      <c r="N123" s="48" t="s">
        <v>1842</v>
      </c>
      <c r="O123" s="48" t="s">
        <v>1823</v>
      </c>
      <c r="P123" s="48" t="s">
        <v>2549</v>
      </c>
      <c r="Q123" s="48" t="s">
        <v>2049</v>
      </c>
      <c r="R123" s="48" t="s">
        <v>1838</v>
      </c>
      <c r="S123" s="48" t="s">
        <v>2050</v>
      </c>
      <c r="T123" s="48" t="s">
        <v>1845</v>
      </c>
      <c r="U123" s="48" t="s">
        <v>2049</v>
      </c>
      <c r="V123" s="48" t="s">
        <v>1838</v>
      </c>
      <c r="W123" s="48" t="s">
        <v>2051</v>
      </c>
      <c r="X123" s="48" t="s">
        <v>2052</v>
      </c>
      <c r="Y123" s="48" t="s">
        <v>2050</v>
      </c>
      <c r="Z123" s="48" t="s">
        <v>2053</v>
      </c>
      <c r="AA123" s="48" t="s">
        <v>2054</v>
      </c>
      <c r="AB123" s="48" t="s">
        <v>2817</v>
      </c>
      <c r="AC123" s="48" t="s">
        <v>2055</v>
      </c>
      <c r="AD123" s="48" t="s">
        <v>2056</v>
      </c>
      <c r="AE123" s="48" t="s">
        <v>1710</v>
      </c>
      <c r="AF123" s="48" t="s">
        <v>1710</v>
      </c>
      <c r="AG123" s="48" t="s">
        <v>2057</v>
      </c>
      <c r="AH123" s="48" t="s">
        <v>1815</v>
      </c>
      <c r="AI123" s="48" t="s">
        <v>2058</v>
      </c>
      <c r="AJ123" s="48" t="s">
        <v>1710</v>
      </c>
      <c r="AK123" s="48" t="s">
        <v>3796</v>
      </c>
      <c r="AL123" s="48" t="s">
        <v>3797</v>
      </c>
      <c r="AM123" s="48" t="s">
        <v>1816</v>
      </c>
      <c r="AN123" s="48" t="s">
        <v>2054</v>
      </c>
      <c r="AO123" s="48" t="s">
        <v>1710</v>
      </c>
      <c r="AP123" s="48" t="s">
        <v>1843</v>
      </c>
      <c r="AQ123" s="48" t="s">
        <v>2079</v>
      </c>
      <c r="AR123" s="48" t="s">
        <v>1812</v>
      </c>
      <c r="AS123" s="48" t="s">
        <v>1813</v>
      </c>
      <c r="AT123" s="48" t="s">
        <v>1826</v>
      </c>
      <c r="AU123" s="48" t="s">
        <v>2061</v>
      </c>
      <c r="AV123" s="48" t="s">
        <v>2816</v>
      </c>
      <c r="AW123" s="48" t="s">
        <v>2062</v>
      </c>
      <c r="AX123" s="48" t="s">
        <v>2063</v>
      </c>
      <c r="AY123" s="48" t="s">
        <v>1710</v>
      </c>
      <c r="AZ123" s="48" t="s">
        <v>3798</v>
      </c>
      <c r="BA123" s="48" t="s">
        <v>1710</v>
      </c>
      <c r="BB123" s="48" t="s">
        <v>1709</v>
      </c>
      <c r="BC123" s="48" t="s">
        <v>1710</v>
      </c>
      <c r="BD123" s="48" t="s">
        <v>2613</v>
      </c>
      <c r="BE123" s="52" t="s">
        <v>3799</v>
      </c>
      <c r="BF123" s="48" t="s">
        <v>1710</v>
      </c>
      <c r="BG123" s="48" t="s">
        <v>1814</v>
      </c>
      <c r="BH123">
        <v>30</v>
      </c>
      <c r="BI123" s="48" t="s">
        <v>1888</v>
      </c>
      <c r="BJ123">
        <v>1</v>
      </c>
      <c r="BK123">
        <v>1473.06</v>
      </c>
      <c r="BL123">
        <v>4041446</v>
      </c>
      <c r="BM123">
        <v>2744</v>
      </c>
      <c r="BN123" s="48" t="s">
        <v>2064</v>
      </c>
      <c r="BO123" s="48" t="s">
        <v>2065</v>
      </c>
      <c r="BP123">
        <v>1473.06</v>
      </c>
      <c r="BQ123">
        <v>2842.55</v>
      </c>
      <c r="BR123" s="48" t="s">
        <v>1885</v>
      </c>
      <c r="BS123" s="48" t="s">
        <v>2066</v>
      </c>
      <c r="BT123">
        <v>1</v>
      </c>
      <c r="BU123">
        <v>145800</v>
      </c>
      <c r="BV123">
        <v>145800</v>
      </c>
      <c r="BW123" s="48" t="s">
        <v>2065</v>
      </c>
      <c r="BX123">
        <v>1473.06</v>
      </c>
      <c r="BY123">
        <v>0</v>
      </c>
      <c r="BZ123">
        <v>0</v>
      </c>
      <c r="CA123" s="48" t="s">
        <v>2065</v>
      </c>
      <c r="CB123">
        <v>1473.06</v>
      </c>
      <c r="CC123">
        <v>0</v>
      </c>
      <c r="CD123">
        <v>0</v>
      </c>
      <c r="CE123" s="48" t="s">
        <v>1710</v>
      </c>
      <c r="CF123" s="48" t="s">
        <v>1710</v>
      </c>
      <c r="CG123" s="48" t="s">
        <v>1710</v>
      </c>
      <c r="CH123" s="48" t="s">
        <v>1710</v>
      </c>
      <c r="CI123" s="48" t="s">
        <v>2067</v>
      </c>
      <c r="CJ123" s="48" t="s">
        <v>1710</v>
      </c>
      <c r="CL123" s="48" t="s">
        <v>2816</v>
      </c>
      <c r="CM123" s="48" t="s">
        <v>1710</v>
      </c>
      <c r="CN123" s="48" t="s">
        <v>2068</v>
      </c>
      <c r="CO123" s="48" t="s">
        <v>2069</v>
      </c>
      <c r="CP123" s="48" t="s">
        <v>1710</v>
      </c>
      <c r="CQ123" s="48" t="s">
        <v>1710</v>
      </c>
      <c r="CR123" s="48" t="s">
        <v>1710</v>
      </c>
      <c r="CS123" s="48" t="s">
        <v>1710</v>
      </c>
      <c r="CT123" s="48" t="s">
        <v>1710</v>
      </c>
      <c r="CU123" s="48" t="s">
        <v>1712</v>
      </c>
      <c r="CV123" s="48" t="s">
        <v>1710</v>
      </c>
      <c r="CW123" s="48" t="s">
        <v>1710</v>
      </c>
      <c r="CX123" s="48" t="s">
        <v>2823</v>
      </c>
      <c r="CY123" s="48" t="s">
        <v>1710</v>
      </c>
      <c r="CZ123" s="48" t="s">
        <v>1885</v>
      </c>
      <c r="DA123" s="48" t="s">
        <v>1710</v>
      </c>
      <c r="DB123" s="48" t="s">
        <v>1878</v>
      </c>
      <c r="DC123" s="48" t="s">
        <v>2070</v>
      </c>
      <c r="DD123" s="48" t="s">
        <v>1842</v>
      </c>
      <c r="DE123" s="48" t="s">
        <v>1886</v>
      </c>
      <c r="DF123" s="48" t="s">
        <v>3800</v>
      </c>
      <c r="DG123" s="48" t="s">
        <v>2071</v>
      </c>
      <c r="DH123" s="48" t="s">
        <v>1712</v>
      </c>
      <c r="DI123" s="48" t="s">
        <v>1710</v>
      </c>
      <c r="DJ123" s="48" t="s">
        <v>1710</v>
      </c>
      <c r="DK123" s="48" t="s">
        <v>1710</v>
      </c>
      <c r="DL123" s="48" t="s">
        <v>1710</v>
      </c>
      <c r="DM123" s="48" t="s">
        <v>1710</v>
      </c>
      <c r="DN123" s="48" t="s">
        <v>1710</v>
      </c>
      <c r="DO123" s="48" t="s">
        <v>1710</v>
      </c>
      <c r="DP123" s="48" t="s">
        <v>1710</v>
      </c>
      <c r="DQ123" s="48" t="s">
        <v>1710</v>
      </c>
      <c r="DR123" s="48" t="s">
        <v>2072</v>
      </c>
      <c r="DS123" s="48" t="s">
        <v>1710</v>
      </c>
      <c r="DT123" s="48" t="s">
        <v>1710</v>
      </c>
      <c r="DU123" s="48" t="s">
        <v>2547</v>
      </c>
      <c r="DV123" s="48" t="s">
        <v>2816</v>
      </c>
      <c r="DW123" s="48" t="s">
        <v>1710</v>
      </c>
      <c r="DX123" s="48" t="s">
        <v>3801</v>
      </c>
      <c r="DY123" s="48" t="s">
        <v>1709</v>
      </c>
      <c r="DZ123" s="48" t="s">
        <v>2562</v>
      </c>
      <c r="EA123" s="48" t="s">
        <v>2546</v>
      </c>
      <c r="EB123">
        <v>0</v>
      </c>
      <c r="EC123" s="48" t="s">
        <v>2547</v>
      </c>
      <c r="ED123" s="48" t="s">
        <v>3802</v>
      </c>
      <c r="EE123" s="48" t="s">
        <v>1814</v>
      </c>
      <c r="EF123" s="48" t="s">
        <v>1841</v>
      </c>
      <c r="EG123" s="48" t="s">
        <v>3798</v>
      </c>
      <c r="EH123">
        <v>26</v>
      </c>
      <c r="EI123" s="48" t="s">
        <v>1888</v>
      </c>
      <c r="EJ123">
        <v>0</v>
      </c>
      <c r="EK123" s="48" t="s">
        <v>1710</v>
      </c>
      <c r="EL123">
        <v>1</v>
      </c>
      <c r="EM123" s="48" t="s">
        <v>1886</v>
      </c>
      <c r="EN123">
        <v>26</v>
      </c>
      <c r="EO123" s="48" t="s">
        <v>2702</v>
      </c>
      <c r="EP123" s="48" t="s">
        <v>3803</v>
      </c>
      <c r="EQ123">
        <v>2842.55</v>
      </c>
      <c r="ER123">
        <v>2842.55</v>
      </c>
      <c r="ES123">
        <v>4041446</v>
      </c>
      <c r="ET123">
        <v>2744</v>
      </c>
      <c r="EU123" s="48" t="s">
        <v>1710</v>
      </c>
      <c r="EV123" s="48" t="s">
        <v>1710</v>
      </c>
      <c r="EW123" s="48" t="s">
        <v>1712</v>
      </c>
      <c r="EX123" s="48" t="s">
        <v>1710</v>
      </c>
      <c r="EY123" s="48" t="s">
        <v>1843</v>
      </c>
      <c r="EZ123" s="48" t="s">
        <v>1710</v>
      </c>
      <c r="FA123" s="48" t="s">
        <v>1710</v>
      </c>
      <c r="FB123" s="48" t="s">
        <v>1712</v>
      </c>
      <c r="FC123" s="48" t="s">
        <v>1710</v>
      </c>
      <c r="FD123" s="48" t="s">
        <v>1710</v>
      </c>
      <c r="FE123" s="48" t="s">
        <v>1814</v>
      </c>
      <c r="FF123" s="48" t="s">
        <v>1815</v>
      </c>
      <c r="FG123" s="48" t="s">
        <v>1710</v>
      </c>
      <c r="FH123">
        <v>1</v>
      </c>
      <c r="FI123" s="48" t="s">
        <v>1846</v>
      </c>
      <c r="FJ123">
        <v>2842.55</v>
      </c>
      <c r="FK123">
        <v>2842.55</v>
      </c>
      <c r="FL123" s="48" t="s">
        <v>3804</v>
      </c>
      <c r="FM123" s="48" t="s">
        <v>3803</v>
      </c>
      <c r="FN123" s="48" t="s">
        <v>1710</v>
      </c>
      <c r="FO123" s="48" t="s">
        <v>1710</v>
      </c>
      <c r="FP123" s="48" t="s">
        <v>1710</v>
      </c>
      <c r="FQ123" s="48" t="s">
        <v>1710</v>
      </c>
      <c r="FR123" s="48" t="s">
        <v>1710</v>
      </c>
      <c r="FS123" s="48" t="s">
        <v>1710</v>
      </c>
      <c r="FT123" s="48" t="s">
        <v>3805</v>
      </c>
      <c r="FU123" s="48" t="s">
        <v>1710</v>
      </c>
      <c r="FV123" s="48"/>
      <c r="FW123" s="56"/>
      <c r="FX123" s="56"/>
      <c r="FY123" s="56"/>
      <c r="FZ123" s="56"/>
      <c r="GA123" s="55" t="str">
        <f t="shared" si="5"/>
        <v>4388426300419X</v>
      </c>
      <c r="GB123" t="str">
        <f>VLOOKUP(B123,수출코드!$C$2:$D$4,2,FALSE)</f>
        <v>Suwon</v>
      </c>
      <c r="GC123" t="str">
        <f>VLOOKUP(L123,수출코드!$A$2:$B$6,2,FALSE)</f>
        <v/>
      </c>
      <c r="GD123" t="str">
        <f>VLOOKUP(M123,수출코드!$E$2:$F$5,2,FALSE)</f>
        <v>재수입</v>
      </c>
      <c r="GE123" s="61">
        <f t="shared" si="3"/>
        <v>45973.45</v>
      </c>
      <c r="GF123" s="62">
        <f t="shared" si="4"/>
        <v>46050.39166666667</v>
      </c>
      <c r="GI123" s="48" t="s">
        <v>2763</v>
      </c>
    </row>
    <row r="124" spans="1:191">
      <c r="A124" s="48" t="s">
        <v>3806</v>
      </c>
      <c r="B124" s="48" t="s">
        <v>1821</v>
      </c>
      <c r="C124" s="48" t="s">
        <v>2048</v>
      </c>
      <c r="D124" s="48" t="s">
        <v>2813</v>
      </c>
      <c r="E124" s="48" t="s">
        <v>3806</v>
      </c>
      <c r="F124" s="48" t="s">
        <v>1710</v>
      </c>
      <c r="G124" s="48" t="s">
        <v>2814</v>
      </c>
      <c r="H124" s="48" t="s">
        <v>3807</v>
      </c>
      <c r="I124" s="48" t="s">
        <v>1884</v>
      </c>
      <c r="J124" s="48" t="s">
        <v>2816</v>
      </c>
      <c r="K124" s="48" t="s">
        <v>1877</v>
      </c>
      <c r="L124" s="48" t="s">
        <v>1842</v>
      </c>
      <c r="M124" s="48" t="s">
        <v>1810</v>
      </c>
      <c r="N124" s="48" t="s">
        <v>1842</v>
      </c>
      <c r="O124" s="48" t="s">
        <v>1811</v>
      </c>
      <c r="P124" s="48" t="s">
        <v>2549</v>
      </c>
      <c r="Q124" s="48" t="s">
        <v>2049</v>
      </c>
      <c r="R124" s="48" t="s">
        <v>1838</v>
      </c>
      <c r="S124" s="48" t="s">
        <v>2050</v>
      </c>
      <c r="T124" s="48" t="s">
        <v>1845</v>
      </c>
      <c r="U124" s="48" t="s">
        <v>2049</v>
      </c>
      <c r="V124" s="48" t="s">
        <v>1838</v>
      </c>
      <c r="W124" s="48" t="s">
        <v>2051</v>
      </c>
      <c r="X124" s="48" t="s">
        <v>2052</v>
      </c>
      <c r="Y124" s="48" t="s">
        <v>2050</v>
      </c>
      <c r="Z124" s="48" t="s">
        <v>2053</v>
      </c>
      <c r="AA124" s="48" t="s">
        <v>2054</v>
      </c>
      <c r="AB124" s="48" t="s">
        <v>2817</v>
      </c>
      <c r="AC124" s="48" t="s">
        <v>2055</v>
      </c>
      <c r="AD124" s="48" t="s">
        <v>2056</v>
      </c>
      <c r="AE124" s="48" t="s">
        <v>1710</v>
      </c>
      <c r="AF124" s="48" t="s">
        <v>1710</v>
      </c>
      <c r="AG124" s="48" t="s">
        <v>2057</v>
      </c>
      <c r="AH124" s="48" t="s">
        <v>1815</v>
      </c>
      <c r="AI124" s="48" t="s">
        <v>2058</v>
      </c>
      <c r="AJ124" s="48" t="s">
        <v>1710</v>
      </c>
      <c r="AK124" s="48" t="s">
        <v>2059</v>
      </c>
      <c r="AL124" s="48" t="s">
        <v>1858</v>
      </c>
      <c r="AM124" s="48" t="s">
        <v>1816</v>
      </c>
      <c r="AN124" s="48" t="s">
        <v>2054</v>
      </c>
      <c r="AO124" s="48" t="s">
        <v>1710</v>
      </c>
      <c r="AP124" s="48" t="s">
        <v>1848</v>
      </c>
      <c r="AQ124" s="48" t="s">
        <v>2060</v>
      </c>
      <c r="AR124" s="48" t="s">
        <v>1812</v>
      </c>
      <c r="AS124" s="48" t="s">
        <v>1813</v>
      </c>
      <c r="AT124" s="48" t="s">
        <v>1826</v>
      </c>
      <c r="AU124" s="48" t="s">
        <v>2061</v>
      </c>
      <c r="AV124" s="48" t="s">
        <v>2816</v>
      </c>
      <c r="AW124" s="48" t="s">
        <v>2062</v>
      </c>
      <c r="AX124" s="48" t="s">
        <v>2063</v>
      </c>
      <c r="AY124" s="48" t="s">
        <v>1710</v>
      </c>
      <c r="AZ124" s="48" t="s">
        <v>3808</v>
      </c>
      <c r="BA124" s="48" t="s">
        <v>1710</v>
      </c>
      <c r="BB124" s="48" t="s">
        <v>1709</v>
      </c>
      <c r="BC124" s="48" t="s">
        <v>1710</v>
      </c>
      <c r="BD124" s="48" t="s">
        <v>2613</v>
      </c>
      <c r="BE124" s="52" t="s">
        <v>3799</v>
      </c>
      <c r="BF124" s="48" t="s">
        <v>1710</v>
      </c>
      <c r="BG124" s="48" t="s">
        <v>1814</v>
      </c>
      <c r="BH124">
        <v>2</v>
      </c>
      <c r="BI124" s="48" t="s">
        <v>1888</v>
      </c>
      <c r="BJ124">
        <v>1</v>
      </c>
      <c r="BK124">
        <v>1473.06</v>
      </c>
      <c r="BL124">
        <v>1773909</v>
      </c>
      <c r="BM124">
        <v>1204</v>
      </c>
      <c r="BN124" s="48" t="s">
        <v>2064</v>
      </c>
      <c r="BO124" s="48" t="s">
        <v>2065</v>
      </c>
      <c r="BP124">
        <v>1473.06</v>
      </c>
      <c r="BQ124">
        <v>1236.48</v>
      </c>
      <c r="BR124" s="48" t="s">
        <v>1885</v>
      </c>
      <c r="BS124" s="48" t="s">
        <v>2066</v>
      </c>
      <c r="BT124">
        <v>1</v>
      </c>
      <c r="BU124">
        <v>47500</v>
      </c>
      <c r="BV124">
        <v>47500</v>
      </c>
      <c r="BW124" s="48" t="s">
        <v>2065</v>
      </c>
      <c r="BX124">
        <v>1473.06</v>
      </c>
      <c r="BY124">
        <v>0</v>
      </c>
      <c r="BZ124">
        <v>0</v>
      </c>
      <c r="CA124" s="48" t="s">
        <v>2065</v>
      </c>
      <c r="CB124">
        <v>1473.06</v>
      </c>
      <c r="CC124">
        <v>0</v>
      </c>
      <c r="CD124">
        <v>0</v>
      </c>
      <c r="CE124" s="48" t="s">
        <v>1710</v>
      </c>
      <c r="CF124" s="48" t="s">
        <v>1710</v>
      </c>
      <c r="CG124" s="48" t="s">
        <v>1710</v>
      </c>
      <c r="CH124" s="48" t="s">
        <v>1710</v>
      </c>
      <c r="CI124" s="48" t="s">
        <v>2067</v>
      </c>
      <c r="CJ124" s="48" t="s">
        <v>1710</v>
      </c>
      <c r="CL124" s="48" t="s">
        <v>2816</v>
      </c>
      <c r="CM124" s="48" t="s">
        <v>1710</v>
      </c>
      <c r="CN124" s="48" t="s">
        <v>2068</v>
      </c>
      <c r="CO124" s="48" t="s">
        <v>2069</v>
      </c>
      <c r="CP124" s="48" t="s">
        <v>1710</v>
      </c>
      <c r="CQ124" s="48" t="s">
        <v>1710</v>
      </c>
      <c r="CR124" s="48" t="s">
        <v>1710</v>
      </c>
      <c r="CS124" s="48" t="s">
        <v>1710</v>
      </c>
      <c r="CT124" s="48" t="s">
        <v>1710</v>
      </c>
      <c r="CU124" s="48" t="s">
        <v>1712</v>
      </c>
      <c r="CV124" s="48" t="s">
        <v>1710</v>
      </c>
      <c r="CW124" s="48" t="s">
        <v>1710</v>
      </c>
      <c r="CX124" s="48" t="s">
        <v>2823</v>
      </c>
      <c r="CY124" s="48" t="s">
        <v>1710</v>
      </c>
      <c r="CZ124" s="48" t="s">
        <v>1712</v>
      </c>
      <c r="DA124" s="48" t="s">
        <v>1710</v>
      </c>
      <c r="DB124" s="48" t="s">
        <v>1878</v>
      </c>
      <c r="DC124" s="48" t="s">
        <v>2070</v>
      </c>
      <c r="DD124" s="48" t="s">
        <v>1842</v>
      </c>
      <c r="DE124" s="48" t="s">
        <v>1886</v>
      </c>
      <c r="DF124" s="48" t="s">
        <v>3809</v>
      </c>
      <c r="DG124" s="48" t="s">
        <v>2071</v>
      </c>
      <c r="DH124" s="48" t="s">
        <v>1712</v>
      </c>
      <c r="DI124" s="48" t="s">
        <v>1710</v>
      </c>
      <c r="DJ124" s="48" t="s">
        <v>1710</v>
      </c>
      <c r="DK124" s="48" t="s">
        <v>1710</v>
      </c>
      <c r="DL124" s="48" t="s">
        <v>1710</v>
      </c>
      <c r="DM124" s="48" t="s">
        <v>1710</v>
      </c>
      <c r="DN124" s="48" t="s">
        <v>1710</v>
      </c>
      <c r="DO124" s="48" t="s">
        <v>1710</v>
      </c>
      <c r="DP124" s="48" t="s">
        <v>1710</v>
      </c>
      <c r="DQ124" s="48" t="s">
        <v>1710</v>
      </c>
      <c r="DR124" s="48" t="s">
        <v>2072</v>
      </c>
      <c r="DS124" s="48" t="s">
        <v>1710</v>
      </c>
      <c r="DT124" s="48" t="s">
        <v>1710</v>
      </c>
      <c r="DU124" s="48" t="s">
        <v>2547</v>
      </c>
      <c r="DV124" s="48" t="s">
        <v>2816</v>
      </c>
      <c r="DW124" s="48" t="s">
        <v>1710</v>
      </c>
      <c r="DX124" s="48" t="s">
        <v>3810</v>
      </c>
      <c r="DY124" s="48" t="s">
        <v>1709</v>
      </c>
      <c r="DZ124" s="48" t="s">
        <v>2562</v>
      </c>
      <c r="EA124" s="48" t="s">
        <v>2546</v>
      </c>
      <c r="EB124">
        <v>0</v>
      </c>
      <c r="EC124" s="48" t="s">
        <v>2547</v>
      </c>
      <c r="ED124" s="48" t="s">
        <v>3811</v>
      </c>
      <c r="EE124" s="48" t="s">
        <v>1814</v>
      </c>
      <c r="EF124" s="48" t="s">
        <v>1852</v>
      </c>
      <c r="EG124" s="48" t="s">
        <v>3808</v>
      </c>
      <c r="EH124">
        <v>1</v>
      </c>
      <c r="EI124" s="48" t="s">
        <v>1888</v>
      </c>
      <c r="EJ124">
        <v>0</v>
      </c>
      <c r="EK124" s="48" t="s">
        <v>1710</v>
      </c>
      <c r="EL124">
        <v>1</v>
      </c>
      <c r="EM124" s="48" t="s">
        <v>1886</v>
      </c>
      <c r="EN124">
        <v>1</v>
      </c>
      <c r="EO124" s="48" t="s">
        <v>2521</v>
      </c>
      <c r="EP124" s="48" t="s">
        <v>3812</v>
      </c>
      <c r="EQ124">
        <v>1236.48</v>
      </c>
      <c r="ER124">
        <v>1236.48</v>
      </c>
      <c r="ES124">
        <v>1773909</v>
      </c>
      <c r="ET124">
        <v>1204</v>
      </c>
      <c r="EU124" s="48" t="s">
        <v>1710</v>
      </c>
      <c r="EV124" s="48" t="s">
        <v>1710</v>
      </c>
      <c r="EW124" s="48" t="s">
        <v>1712</v>
      </c>
      <c r="EX124" s="48" t="s">
        <v>1710</v>
      </c>
      <c r="EY124" s="48" t="s">
        <v>1848</v>
      </c>
      <c r="EZ124" s="48" t="s">
        <v>1710</v>
      </c>
      <c r="FA124" s="48" t="s">
        <v>1710</v>
      </c>
      <c r="FB124" s="48" t="s">
        <v>1712</v>
      </c>
      <c r="FC124" s="48" t="s">
        <v>1710</v>
      </c>
      <c r="FD124" s="48" t="s">
        <v>1710</v>
      </c>
      <c r="FE124" s="48" t="s">
        <v>1814</v>
      </c>
      <c r="FF124" s="48" t="s">
        <v>1815</v>
      </c>
      <c r="FG124" s="48" t="s">
        <v>1710</v>
      </c>
      <c r="FH124">
        <v>1</v>
      </c>
      <c r="FI124" s="48" t="s">
        <v>1846</v>
      </c>
      <c r="FJ124">
        <v>1236.48</v>
      </c>
      <c r="FK124">
        <v>1236.48</v>
      </c>
      <c r="FL124" s="48" t="s">
        <v>3813</v>
      </c>
      <c r="FM124" s="48" t="s">
        <v>3812</v>
      </c>
      <c r="FN124" s="48" t="s">
        <v>1710</v>
      </c>
      <c r="FO124" s="48" t="s">
        <v>1710</v>
      </c>
      <c r="FP124" s="48" t="s">
        <v>1710</v>
      </c>
      <c r="FQ124" s="48" t="s">
        <v>1710</v>
      </c>
      <c r="FR124" s="48" t="s">
        <v>1710</v>
      </c>
      <c r="FS124" s="48" t="s">
        <v>1710</v>
      </c>
      <c r="FT124" s="48" t="s">
        <v>1710</v>
      </c>
      <c r="FU124" s="48" t="s">
        <v>1710</v>
      </c>
      <c r="FV124" s="48"/>
      <c r="FW124" s="56"/>
      <c r="FX124" s="56"/>
      <c r="FY124" s="56"/>
      <c r="FZ124" s="56"/>
      <c r="GA124" s="55" t="str">
        <f t="shared" si="5"/>
        <v>4388426300420X</v>
      </c>
      <c r="GB124" t="str">
        <f>VLOOKUP(B124,수출코드!$C$2:$D$4,2,FALSE)</f>
        <v>Suwon</v>
      </c>
      <c r="GC124" t="str">
        <f>VLOOKUP(L124,수출코드!$A$2:$B$6,2,FALSE)</f>
        <v/>
      </c>
      <c r="GD124" t="str">
        <f>VLOOKUP(M124,수출코드!$E$2:$F$5,2,FALSE)</f>
        <v>일반</v>
      </c>
      <c r="GE124" s="61">
        <f t="shared" si="3"/>
        <v>45973.45</v>
      </c>
      <c r="GF124" s="62">
        <f t="shared" si="4"/>
        <v>46050.392361111109</v>
      </c>
      <c r="GI124" s="48" t="s">
        <v>2763</v>
      </c>
    </row>
    <row r="125" spans="1:191">
      <c r="A125" s="48" t="s">
        <v>3814</v>
      </c>
      <c r="B125" s="48" t="s">
        <v>1821</v>
      </c>
      <c r="C125" s="48" t="s">
        <v>2048</v>
      </c>
      <c r="D125" s="48" t="s">
        <v>2813</v>
      </c>
      <c r="E125" s="48" t="s">
        <v>3814</v>
      </c>
      <c r="F125" s="48" t="s">
        <v>1710</v>
      </c>
      <c r="G125" s="48" t="s">
        <v>2814</v>
      </c>
      <c r="H125" s="48" t="s">
        <v>3815</v>
      </c>
      <c r="I125" s="48" t="s">
        <v>1884</v>
      </c>
      <c r="J125" s="48" t="s">
        <v>2816</v>
      </c>
      <c r="K125" s="48" t="s">
        <v>1877</v>
      </c>
      <c r="L125" s="48" t="s">
        <v>1842</v>
      </c>
      <c r="M125" s="48" t="s">
        <v>1822</v>
      </c>
      <c r="N125" s="48" t="s">
        <v>1842</v>
      </c>
      <c r="O125" s="48" t="s">
        <v>1823</v>
      </c>
      <c r="P125" s="48" t="s">
        <v>2549</v>
      </c>
      <c r="Q125" s="48" t="s">
        <v>2049</v>
      </c>
      <c r="R125" s="48" t="s">
        <v>1838</v>
      </c>
      <c r="S125" s="48" t="s">
        <v>2050</v>
      </c>
      <c r="T125" s="48" t="s">
        <v>1845</v>
      </c>
      <c r="U125" s="48" t="s">
        <v>2049</v>
      </c>
      <c r="V125" s="48" t="s">
        <v>1838</v>
      </c>
      <c r="W125" s="48" t="s">
        <v>2051</v>
      </c>
      <c r="X125" s="48" t="s">
        <v>2052</v>
      </c>
      <c r="Y125" s="48" t="s">
        <v>2050</v>
      </c>
      <c r="Z125" s="48" t="s">
        <v>2053</v>
      </c>
      <c r="AA125" s="48" t="s">
        <v>2054</v>
      </c>
      <c r="AB125" s="48" t="s">
        <v>2817</v>
      </c>
      <c r="AC125" s="48" t="s">
        <v>2055</v>
      </c>
      <c r="AD125" s="48" t="s">
        <v>2056</v>
      </c>
      <c r="AE125" s="48" t="s">
        <v>1710</v>
      </c>
      <c r="AF125" s="48" t="s">
        <v>1710</v>
      </c>
      <c r="AG125" s="48" t="s">
        <v>2057</v>
      </c>
      <c r="AH125" s="48" t="s">
        <v>1815</v>
      </c>
      <c r="AI125" s="48" t="s">
        <v>2058</v>
      </c>
      <c r="AJ125" s="48" t="s">
        <v>1710</v>
      </c>
      <c r="AK125" s="48" t="s">
        <v>2074</v>
      </c>
      <c r="AL125" s="48" t="s">
        <v>2075</v>
      </c>
      <c r="AM125" s="48" t="s">
        <v>1816</v>
      </c>
      <c r="AN125" s="48" t="s">
        <v>2054</v>
      </c>
      <c r="AO125" s="48" t="s">
        <v>1710</v>
      </c>
      <c r="AP125" s="48" t="s">
        <v>1855</v>
      </c>
      <c r="AQ125" s="48" t="s">
        <v>2076</v>
      </c>
      <c r="AR125" s="48" t="s">
        <v>1812</v>
      </c>
      <c r="AS125" s="48" t="s">
        <v>1813</v>
      </c>
      <c r="AT125" s="48" t="s">
        <v>1826</v>
      </c>
      <c r="AU125" s="48" t="s">
        <v>2061</v>
      </c>
      <c r="AV125" s="48" t="s">
        <v>2816</v>
      </c>
      <c r="AW125" s="48" t="s">
        <v>2062</v>
      </c>
      <c r="AX125" s="48" t="s">
        <v>2063</v>
      </c>
      <c r="AY125" s="48" t="s">
        <v>1710</v>
      </c>
      <c r="AZ125" s="48" t="s">
        <v>3816</v>
      </c>
      <c r="BA125" s="48" t="s">
        <v>1710</v>
      </c>
      <c r="BB125" s="48" t="s">
        <v>1709</v>
      </c>
      <c r="BC125" s="48" t="s">
        <v>1710</v>
      </c>
      <c r="BD125" s="48" t="s">
        <v>3108</v>
      </c>
      <c r="BE125" s="52" t="s">
        <v>3817</v>
      </c>
      <c r="BF125" s="48" t="s">
        <v>1710</v>
      </c>
      <c r="BG125" s="48" t="s">
        <v>1814</v>
      </c>
      <c r="BH125">
        <v>51</v>
      </c>
      <c r="BI125" s="48" t="s">
        <v>1888</v>
      </c>
      <c r="BJ125">
        <v>1</v>
      </c>
      <c r="BK125">
        <v>1473.06</v>
      </c>
      <c r="BL125">
        <v>4396822</v>
      </c>
      <c r="BM125">
        <v>2985</v>
      </c>
      <c r="BN125" s="48" t="s">
        <v>2064</v>
      </c>
      <c r="BO125" s="48" t="s">
        <v>2065</v>
      </c>
      <c r="BP125">
        <v>1473.06</v>
      </c>
      <c r="BQ125">
        <v>3155.08</v>
      </c>
      <c r="BR125" s="48" t="s">
        <v>1885</v>
      </c>
      <c r="BS125" s="48" t="s">
        <v>2066</v>
      </c>
      <c r="BT125">
        <v>1</v>
      </c>
      <c r="BU125">
        <v>250800</v>
      </c>
      <c r="BV125">
        <v>250800</v>
      </c>
      <c r="BW125" s="48" t="s">
        <v>2065</v>
      </c>
      <c r="BX125">
        <v>1473.06</v>
      </c>
      <c r="BY125">
        <v>0</v>
      </c>
      <c r="BZ125">
        <v>0</v>
      </c>
      <c r="CA125" s="48" t="s">
        <v>2065</v>
      </c>
      <c r="CB125">
        <v>1473.06</v>
      </c>
      <c r="CC125">
        <v>0</v>
      </c>
      <c r="CD125">
        <v>0</v>
      </c>
      <c r="CE125" s="48" t="s">
        <v>1710</v>
      </c>
      <c r="CF125" s="48" t="s">
        <v>1710</v>
      </c>
      <c r="CG125" s="48" t="s">
        <v>1710</v>
      </c>
      <c r="CH125" s="48" t="s">
        <v>1710</v>
      </c>
      <c r="CI125" s="48" t="s">
        <v>2067</v>
      </c>
      <c r="CJ125" s="48" t="s">
        <v>1710</v>
      </c>
      <c r="CL125" s="48" t="s">
        <v>2816</v>
      </c>
      <c r="CM125" s="48" t="s">
        <v>1710</v>
      </c>
      <c r="CN125" s="48" t="s">
        <v>2068</v>
      </c>
      <c r="CO125" s="48" t="s">
        <v>2069</v>
      </c>
      <c r="CP125" s="48" t="s">
        <v>1710</v>
      </c>
      <c r="CQ125" s="48" t="s">
        <v>1710</v>
      </c>
      <c r="CR125" s="48" t="s">
        <v>1710</v>
      </c>
      <c r="CS125" s="48" t="s">
        <v>1710</v>
      </c>
      <c r="CT125" s="48" t="s">
        <v>1710</v>
      </c>
      <c r="CU125" s="48" t="s">
        <v>1712</v>
      </c>
      <c r="CV125" s="48" t="s">
        <v>1710</v>
      </c>
      <c r="CW125" s="48" t="s">
        <v>1710</v>
      </c>
      <c r="CX125" s="48" t="s">
        <v>2823</v>
      </c>
      <c r="CY125" s="48" t="s">
        <v>1710</v>
      </c>
      <c r="CZ125" s="48" t="s">
        <v>1885</v>
      </c>
      <c r="DA125" s="48" t="s">
        <v>1710</v>
      </c>
      <c r="DB125" s="48" t="s">
        <v>1878</v>
      </c>
      <c r="DC125" s="48" t="s">
        <v>2070</v>
      </c>
      <c r="DD125" s="48" t="s">
        <v>1842</v>
      </c>
      <c r="DE125" s="48" t="s">
        <v>1886</v>
      </c>
      <c r="DF125" s="48" t="s">
        <v>3818</v>
      </c>
      <c r="DG125" s="48" t="s">
        <v>2071</v>
      </c>
      <c r="DH125" s="48" t="s">
        <v>1712</v>
      </c>
      <c r="DI125" s="48" t="s">
        <v>1710</v>
      </c>
      <c r="DJ125" s="48" t="s">
        <v>1710</v>
      </c>
      <c r="DK125" s="48" t="s">
        <v>1710</v>
      </c>
      <c r="DL125" s="48" t="s">
        <v>1710</v>
      </c>
      <c r="DM125" s="48" t="s">
        <v>1710</v>
      </c>
      <c r="DN125" s="48" t="s">
        <v>1710</v>
      </c>
      <c r="DO125" s="48" t="s">
        <v>1710</v>
      </c>
      <c r="DP125" s="48" t="s">
        <v>1710</v>
      </c>
      <c r="DQ125" s="48" t="s">
        <v>1710</v>
      </c>
      <c r="DR125" s="48" t="s">
        <v>2072</v>
      </c>
      <c r="DS125" s="48" t="s">
        <v>1710</v>
      </c>
      <c r="DT125" s="48" t="s">
        <v>1710</v>
      </c>
      <c r="DU125" s="48" t="s">
        <v>2547</v>
      </c>
      <c r="DV125" s="48" t="s">
        <v>3141</v>
      </c>
      <c r="DW125" s="48" t="s">
        <v>1710</v>
      </c>
      <c r="DX125" s="48" t="s">
        <v>3819</v>
      </c>
      <c r="DY125" s="48" t="s">
        <v>1709</v>
      </c>
      <c r="DZ125" s="48" t="s">
        <v>2562</v>
      </c>
      <c r="EA125" s="48" t="s">
        <v>2546</v>
      </c>
      <c r="EB125">
        <v>0</v>
      </c>
      <c r="EC125" s="48" t="s">
        <v>2547</v>
      </c>
      <c r="ED125" s="48" t="s">
        <v>3820</v>
      </c>
      <c r="EE125" s="48" t="s">
        <v>1814</v>
      </c>
      <c r="EF125" s="48" t="s">
        <v>1852</v>
      </c>
      <c r="EG125" s="48" t="s">
        <v>3816</v>
      </c>
      <c r="EH125">
        <v>40</v>
      </c>
      <c r="EI125" s="48" t="s">
        <v>1888</v>
      </c>
      <c r="EJ125">
        <v>0</v>
      </c>
      <c r="EK125" s="48" t="s">
        <v>1710</v>
      </c>
      <c r="EL125">
        <v>1</v>
      </c>
      <c r="EM125" s="48" t="s">
        <v>1886</v>
      </c>
      <c r="EN125">
        <v>40</v>
      </c>
      <c r="EO125" s="48" t="s">
        <v>2525</v>
      </c>
      <c r="EP125" s="48" t="s">
        <v>3821</v>
      </c>
      <c r="EQ125">
        <v>3155.08</v>
      </c>
      <c r="ER125">
        <v>3155.08</v>
      </c>
      <c r="ES125">
        <v>4396822</v>
      </c>
      <c r="ET125">
        <v>2985</v>
      </c>
      <c r="EU125" s="48" t="s">
        <v>1710</v>
      </c>
      <c r="EV125" s="48" t="s">
        <v>1710</v>
      </c>
      <c r="EW125" s="48" t="s">
        <v>1712</v>
      </c>
      <c r="EX125" s="48" t="s">
        <v>1710</v>
      </c>
      <c r="EY125" s="48" t="s">
        <v>1848</v>
      </c>
      <c r="EZ125" s="48" t="s">
        <v>1710</v>
      </c>
      <c r="FA125" s="48" t="s">
        <v>1710</v>
      </c>
      <c r="FB125" s="48" t="s">
        <v>1712</v>
      </c>
      <c r="FC125" s="48" t="s">
        <v>1710</v>
      </c>
      <c r="FD125" s="48" t="s">
        <v>1710</v>
      </c>
      <c r="FE125" s="48" t="s">
        <v>1814</v>
      </c>
      <c r="FF125" s="48" t="s">
        <v>1815</v>
      </c>
      <c r="FG125" s="48" t="s">
        <v>1710</v>
      </c>
      <c r="FH125">
        <v>1</v>
      </c>
      <c r="FI125" s="48" t="s">
        <v>1846</v>
      </c>
      <c r="FJ125">
        <v>3155.08</v>
      </c>
      <c r="FK125">
        <v>3155.08</v>
      </c>
      <c r="FL125" s="48" t="s">
        <v>3822</v>
      </c>
      <c r="FM125" s="48" t="s">
        <v>3821</v>
      </c>
      <c r="FN125" s="48" t="s">
        <v>1710</v>
      </c>
      <c r="FO125" s="48" t="s">
        <v>1710</v>
      </c>
      <c r="FP125" s="48" t="s">
        <v>1710</v>
      </c>
      <c r="FQ125" s="48" t="s">
        <v>1710</v>
      </c>
      <c r="FR125" s="48" t="s">
        <v>1710</v>
      </c>
      <c r="FS125" s="48" t="s">
        <v>1710</v>
      </c>
      <c r="FT125" s="48" t="s">
        <v>3823</v>
      </c>
      <c r="FU125" s="48" t="s">
        <v>1710</v>
      </c>
      <c r="FV125" s="48"/>
      <c r="FW125" s="56"/>
      <c r="FX125" s="56"/>
      <c r="FY125" s="56"/>
      <c r="FZ125" s="56"/>
      <c r="GA125" s="55" t="str">
        <f t="shared" si="5"/>
        <v>4388426300421X</v>
      </c>
      <c r="GB125" t="str">
        <f>VLOOKUP(B125,수출코드!$C$2:$D$4,2,FALSE)</f>
        <v>Suwon</v>
      </c>
      <c r="GC125" t="str">
        <f>VLOOKUP(L125,수출코드!$A$2:$B$6,2,FALSE)</f>
        <v/>
      </c>
      <c r="GD125" t="str">
        <f>VLOOKUP(M125,수출코드!$E$2:$F$5,2,FALSE)</f>
        <v>재수입</v>
      </c>
      <c r="GE125" s="61">
        <f t="shared" si="3"/>
        <v>45973.45</v>
      </c>
      <c r="GF125" s="62">
        <f t="shared" si="4"/>
        <v>46050.425000000003</v>
      </c>
      <c r="GI125" s="48" t="s">
        <v>2763</v>
      </c>
    </row>
    <row r="126" spans="1:191">
      <c r="A126" s="48" t="s">
        <v>3824</v>
      </c>
      <c r="B126" s="48" t="s">
        <v>1821</v>
      </c>
      <c r="C126" s="48" t="s">
        <v>2048</v>
      </c>
      <c r="D126" s="48" t="s">
        <v>2813</v>
      </c>
      <c r="E126" s="48" t="s">
        <v>3824</v>
      </c>
      <c r="F126" s="48" t="s">
        <v>1710</v>
      </c>
      <c r="G126" s="48" t="s">
        <v>2814</v>
      </c>
      <c r="H126" s="48" t="s">
        <v>3825</v>
      </c>
      <c r="I126" s="48" t="s">
        <v>1884</v>
      </c>
      <c r="J126" s="48" t="s">
        <v>2816</v>
      </c>
      <c r="K126" s="48" t="s">
        <v>1877</v>
      </c>
      <c r="L126" s="48" t="s">
        <v>1842</v>
      </c>
      <c r="M126" s="48" t="s">
        <v>1822</v>
      </c>
      <c r="N126" s="48" t="s">
        <v>1842</v>
      </c>
      <c r="O126" s="48" t="s">
        <v>1823</v>
      </c>
      <c r="P126" s="48" t="s">
        <v>2549</v>
      </c>
      <c r="Q126" s="48" t="s">
        <v>2049</v>
      </c>
      <c r="R126" s="48" t="s">
        <v>1838</v>
      </c>
      <c r="S126" s="48" t="s">
        <v>2050</v>
      </c>
      <c r="T126" s="48" t="s">
        <v>1845</v>
      </c>
      <c r="U126" s="48" t="s">
        <v>2049</v>
      </c>
      <c r="V126" s="48" t="s">
        <v>1838</v>
      </c>
      <c r="W126" s="48" t="s">
        <v>2051</v>
      </c>
      <c r="X126" s="48" t="s">
        <v>2052</v>
      </c>
      <c r="Y126" s="48" t="s">
        <v>2050</v>
      </c>
      <c r="Z126" s="48" t="s">
        <v>2053</v>
      </c>
      <c r="AA126" s="48" t="s">
        <v>2054</v>
      </c>
      <c r="AB126" s="48" t="s">
        <v>2817</v>
      </c>
      <c r="AC126" s="48" t="s">
        <v>2055</v>
      </c>
      <c r="AD126" s="48" t="s">
        <v>2056</v>
      </c>
      <c r="AE126" s="48" t="s">
        <v>1710</v>
      </c>
      <c r="AF126" s="48" t="s">
        <v>1710</v>
      </c>
      <c r="AG126" s="48" t="s">
        <v>2057</v>
      </c>
      <c r="AH126" s="48" t="s">
        <v>1815</v>
      </c>
      <c r="AI126" s="48" t="s">
        <v>2058</v>
      </c>
      <c r="AJ126" s="48" t="s">
        <v>1710</v>
      </c>
      <c r="AK126" s="48" t="s">
        <v>2077</v>
      </c>
      <c r="AL126" s="48" t="s">
        <v>1858</v>
      </c>
      <c r="AM126" s="48" t="s">
        <v>1816</v>
      </c>
      <c r="AN126" s="48" t="s">
        <v>2054</v>
      </c>
      <c r="AO126" s="48" t="s">
        <v>1710</v>
      </c>
      <c r="AP126" s="48" t="s">
        <v>1848</v>
      </c>
      <c r="AQ126" s="48" t="s">
        <v>2060</v>
      </c>
      <c r="AR126" s="48" t="s">
        <v>1812</v>
      </c>
      <c r="AS126" s="48" t="s">
        <v>1813</v>
      </c>
      <c r="AT126" s="48" t="s">
        <v>1826</v>
      </c>
      <c r="AU126" s="48" t="s">
        <v>2061</v>
      </c>
      <c r="AV126" s="48" t="s">
        <v>2816</v>
      </c>
      <c r="AW126" s="48" t="s">
        <v>2062</v>
      </c>
      <c r="AX126" s="48" t="s">
        <v>2063</v>
      </c>
      <c r="AY126" s="48" t="s">
        <v>1710</v>
      </c>
      <c r="AZ126" s="48" t="s">
        <v>3826</v>
      </c>
      <c r="BA126" s="48" t="s">
        <v>1710</v>
      </c>
      <c r="BB126" s="48" t="s">
        <v>1709</v>
      </c>
      <c r="BC126" s="48" t="s">
        <v>1710</v>
      </c>
      <c r="BD126" s="48" t="s">
        <v>2094</v>
      </c>
      <c r="BE126" s="52" t="s">
        <v>3827</v>
      </c>
      <c r="BF126" s="48" t="s">
        <v>1710</v>
      </c>
      <c r="BG126" s="48" t="s">
        <v>1817</v>
      </c>
      <c r="BH126">
        <v>4</v>
      </c>
      <c r="BI126" s="48" t="s">
        <v>1888</v>
      </c>
      <c r="BJ126">
        <v>2</v>
      </c>
      <c r="BK126">
        <v>1473.06</v>
      </c>
      <c r="BL126">
        <v>4996611</v>
      </c>
      <c r="BM126">
        <v>3392</v>
      </c>
      <c r="BN126" s="48" t="s">
        <v>2064</v>
      </c>
      <c r="BO126" s="48" t="s">
        <v>2065</v>
      </c>
      <c r="BP126">
        <v>1473.06</v>
      </c>
      <c r="BQ126">
        <v>3442.57</v>
      </c>
      <c r="BR126" s="48" t="s">
        <v>1885</v>
      </c>
      <c r="BS126" s="48" t="s">
        <v>2066</v>
      </c>
      <c r="BT126">
        <v>1</v>
      </c>
      <c r="BU126">
        <v>74500</v>
      </c>
      <c r="BV126">
        <v>74500</v>
      </c>
      <c r="BW126" s="48" t="s">
        <v>2065</v>
      </c>
      <c r="BX126">
        <v>1473.06</v>
      </c>
      <c r="BY126">
        <v>0</v>
      </c>
      <c r="BZ126">
        <v>0</v>
      </c>
      <c r="CA126" s="48" t="s">
        <v>2065</v>
      </c>
      <c r="CB126">
        <v>1473.06</v>
      </c>
      <c r="CC126">
        <v>0</v>
      </c>
      <c r="CD126">
        <v>0</v>
      </c>
      <c r="CE126" s="48" t="s">
        <v>1710</v>
      </c>
      <c r="CF126" s="48" t="s">
        <v>1710</v>
      </c>
      <c r="CG126" s="48" t="s">
        <v>1710</v>
      </c>
      <c r="CH126" s="48" t="s">
        <v>1710</v>
      </c>
      <c r="CI126" s="48" t="s">
        <v>2067</v>
      </c>
      <c r="CJ126" s="48" t="s">
        <v>1710</v>
      </c>
      <c r="CL126" s="48" t="s">
        <v>2816</v>
      </c>
      <c r="CM126" s="48" t="s">
        <v>1710</v>
      </c>
      <c r="CN126" s="48" t="s">
        <v>2068</v>
      </c>
      <c r="CO126" s="48" t="s">
        <v>2069</v>
      </c>
      <c r="CP126" s="48" t="s">
        <v>1710</v>
      </c>
      <c r="CQ126" s="48" t="s">
        <v>1710</v>
      </c>
      <c r="CR126" s="48" t="s">
        <v>1710</v>
      </c>
      <c r="CS126" s="48" t="s">
        <v>1710</v>
      </c>
      <c r="CT126" s="48" t="s">
        <v>1710</v>
      </c>
      <c r="CU126" s="48" t="s">
        <v>1712</v>
      </c>
      <c r="CV126" s="48" t="s">
        <v>1710</v>
      </c>
      <c r="CW126" s="48" t="s">
        <v>1710</v>
      </c>
      <c r="CX126" s="48" t="s">
        <v>2823</v>
      </c>
      <c r="CY126" s="48" t="s">
        <v>1710</v>
      </c>
      <c r="CZ126" s="48" t="s">
        <v>1885</v>
      </c>
      <c r="DA126" s="48" t="s">
        <v>1710</v>
      </c>
      <c r="DB126" s="48" t="s">
        <v>1878</v>
      </c>
      <c r="DC126" s="48" t="s">
        <v>2070</v>
      </c>
      <c r="DD126" s="48" t="s">
        <v>1842</v>
      </c>
      <c r="DE126" s="48" t="s">
        <v>1886</v>
      </c>
      <c r="DF126" s="48" t="s">
        <v>3828</v>
      </c>
      <c r="DG126" s="48" t="s">
        <v>2071</v>
      </c>
      <c r="DH126" s="48" t="s">
        <v>1712</v>
      </c>
      <c r="DI126" s="48" t="s">
        <v>1710</v>
      </c>
      <c r="DJ126" s="48" t="s">
        <v>1710</v>
      </c>
      <c r="DK126" s="48" t="s">
        <v>1710</v>
      </c>
      <c r="DL126" s="48" t="s">
        <v>1710</v>
      </c>
      <c r="DM126" s="48" t="s">
        <v>1710</v>
      </c>
      <c r="DN126" s="48" t="s">
        <v>1710</v>
      </c>
      <c r="DO126" s="48" t="s">
        <v>1710</v>
      </c>
      <c r="DP126" s="48" t="s">
        <v>1710</v>
      </c>
      <c r="DQ126" s="48" t="s">
        <v>1710</v>
      </c>
      <c r="DR126" s="48" t="s">
        <v>2072</v>
      </c>
      <c r="DS126" s="48" t="s">
        <v>1710</v>
      </c>
      <c r="DT126" s="48" t="s">
        <v>1710</v>
      </c>
      <c r="DU126" s="48" t="s">
        <v>2547</v>
      </c>
      <c r="DV126" s="48" t="s">
        <v>2816</v>
      </c>
      <c r="DW126" s="48" t="s">
        <v>1710</v>
      </c>
      <c r="DX126" s="48" t="s">
        <v>3829</v>
      </c>
      <c r="DY126" s="48" t="s">
        <v>1709</v>
      </c>
      <c r="DZ126" s="48" t="s">
        <v>2562</v>
      </c>
      <c r="EA126" s="48" t="s">
        <v>2546</v>
      </c>
      <c r="EB126">
        <v>0</v>
      </c>
      <c r="EC126" s="48" t="s">
        <v>2547</v>
      </c>
      <c r="ED126" s="48" t="s">
        <v>3830</v>
      </c>
      <c r="EE126" s="48" t="s">
        <v>1814</v>
      </c>
      <c r="EF126" s="48" t="s">
        <v>2648</v>
      </c>
      <c r="EG126" s="48" t="s">
        <v>3826</v>
      </c>
      <c r="EH126">
        <v>1</v>
      </c>
      <c r="EI126" s="48" t="s">
        <v>1888</v>
      </c>
      <c r="EJ126">
        <v>1</v>
      </c>
      <c r="EK126" s="48" t="s">
        <v>1887</v>
      </c>
      <c r="EL126">
        <v>2</v>
      </c>
      <c r="EM126" s="48" t="s">
        <v>1886</v>
      </c>
      <c r="EN126">
        <v>1</v>
      </c>
      <c r="EO126" s="48" t="s">
        <v>3305</v>
      </c>
      <c r="EP126" s="48" t="s">
        <v>3831</v>
      </c>
      <c r="EQ126">
        <v>2178.56</v>
      </c>
      <c r="ER126">
        <v>2178.56</v>
      </c>
      <c r="ES126">
        <v>3162003</v>
      </c>
      <c r="ET126">
        <v>2147</v>
      </c>
      <c r="EU126" s="48" t="s">
        <v>1710</v>
      </c>
      <c r="EV126" s="48" t="s">
        <v>1710</v>
      </c>
      <c r="EW126" s="48" t="s">
        <v>1712</v>
      </c>
      <c r="EX126" s="48" t="s">
        <v>1710</v>
      </c>
      <c r="EY126" s="48" t="s">
        <v>1848</v>
      </c>
      <c r="EZ126" s="48" t="s">
        <v>1710</v>
      </c>
      <c r="FA126" s="48" t="s">
        <v>1710</v>
      </c>
      <c r="FB126" s="48" t="s">
        <v>1712</v>
      </c>
      <c r="FC126" s="48" t="s">
        <v>1710</v>
      </c>
      <c r="FD126" s="48" t="s">
        <v>1710</v>
      </c>
      <c r="FE126" s="48" t="s">
        <v>1814</v>
      </c>
      <c r="FF126" s="48" t="s">
        <v>1815</v>
      </c>
      <c r="FG126" s="48" t="s">
        <v>1710</v>
      </c>
      <c r="FH126">
        <v>1</v>
      </c>
      <c r="FI126" s="48" t="s">
        <v>1846</v>
      </c>
      <c r="FJ126">
        <v>2178.56</v>
      </c>
      <c r="FK126">
        <v>2178.56</v>
      </c>
      <c r="FL126" s="48" t="s">
        <v>3832</v>
      </c>
      <c r="FM126" s="48" t="s">
        <v>3831</v>
      </c>
      <c r="FN126" s="48" t="s">
        <v>1710</v>
      </c>
      <c r="FO126" s="48" t="s">
        <v>1710</v>
      </c>
      <c r="FP126" s="48" t="s">
        <v>1710</v>
      </c>
      <c r="FQ126" s="48" t="s">
        <v>1710</v>
      </c>
      <c r="FR126" s="48" t="s">
        <v>1710</v>
      </c>
      <c r="FS126" s="48" t="s">
        <v>1710</v>
      </c>
      <c r="FT126" s="48" t="s">
        <v>3833</v>
      </c>
      <c r="FU126" s="48" t="s">
        <v>1710</v>
      </c>
      <c r="FV126" s="48"/>
      <c r="FW126" s="56"/>
      <c r="FX126" s="56"/>
      <c r="FY126" s="56"/>
      <c r="FZ126" s="56"/>
      <c r="GA126" s="55" t="str">
        <f t="shared" si="5"/>
        <v>4388426300423X</v>
      </c>
      <c r="GB126" t="str">
        <f>VLOOKUP(B126,수출코드!$C$2:$D$4,2,FALSE)</f>
        <v>Suwon</v>
      </c>
      <c r="GC126" t="str">
        <f>VLOOKUP(L126,수출코드!$A$2:$B$6,2,FALSE)</f>
        <v/>
      </c>
      <c r="GD126" t="str">
        <f>VLOOKUP(M126,수출코드!$E$2:$F$5,2,FALSE)</f>
        <v>재수입</v>
      </c>
      <c r="GE126" s="61">
        <f t="shared" si="3"/>
        <v>45973.45</v>
      </c>
      <c r="GF126" s="62">
        <f t="shared" si="4"/>
        <v>46050.461111111108</v>
      </c>
      <c r="GI126" s="48" t="s">
        <v>2763</v>
      </c>
    </row>
    <row r="127" spans="1:191">
      <c r="A127" s="48" t="s">
        <v>3834</v>
      </c>
      <c r="B127" s="48" t="s">
        <v>1821</v>
      </c>
      <c r="C127" s="48" t="s">
        <v>2048</v>
      </c>
      <c r="D127" s="48" t="s">
        <v>2813</v>
      </c>
      <c r="E127" s="48" t="s">
        <v>3834</v>
      </c>
      <c r="F127" s="48" t="s">
        <v>1710</v>
      </c>
      <c r="G127" s="48" t="s">
        <v>2814</v>
      </c>
      <c r="H127" s="48" t="s">
        <v>3835</v>
      </c>
      <c r="I127" s="48" t="s">
        <v>1884</v>
      </c>
      <c r="J127" s="48" t="s">
        <v>2816</v>
      </c>
      <c r="K127" s="48" t="s">
        <v>1877</v>
      </c>
      <c r="L127" s="48" t="s">
        <v>1842</v>
      </c>
      <c r="M127" s="48" t="s">
        <v>1822</v>
      </c>
      <c r="N127" s="48" t="s">
        <v>1842</v>
      </c>
      <c r="O127" s="48" t="s">
        <v>1823</v>
      </c>
      <c r="P127" s="48" t="s">
        <v>2549</v>
      </c>
      <c r="Q127" s="48" t="s">
        <v>2049</v>
      </c>
      <c r="R127" s="48" t="s">
        <v>1838</v>
      </c>
      <c r="S127" s="48" t="s">
        <v>2050</v>
      </c>
      <c r="T127" s="48" t="s">
        <v>1845</v>
      </c>
      <c r="U127" s="48" t="s">
        <v>2049</v>
      </c>
      <c r="V127" s="48" t="s">
        <v>1838</v>
      </c>
      <c r="W127" s="48" t="s">
        <v>2051</v>
      </c>
      <c r="X127" s="48" t="s">
        <v>2052</v>
      </c>
      <c r="Y127" s="48" t="s">
        <v>2050</v>
      </c>
      <c r="Z127" s="48" t="s">
        <v>2053</v>
      </c>
      <c r="AA127" s="48" t="s">
        <v>2054</v>
      </c>
      <c r="AB127" s="48" t="s">
        <v>2817</v>
      </c>
      <c r="AC127" s="48" t="s">
        <v>2055</v>
      </c>
      <c r="AD127" s="48" t="s">
        <v>2056</v>
      </c>
      <c r="AE127" s="48" t="s">
        <v>1710</v>
      </c>
      <c r="AF127" s="48" t="s">
        <v>1710</v>
      </c>
      <c r="AG127" s="48" t="s">
        <v>2057</v>
      </c>
      <c r="AH127" s="48" t="s">
        <v>1815</v>
      </c>
      <c r="AI127" s="48" t="s">
        <v>2058</v>
      </c>
      <c r="AJ127" s="48" t="s">
        <v>1710</v>
      </c>
      <c r="AK127" s="48" t="s">
        <v>2563</v>
      </c>
      <c r="AL127" s="48" t="s">
        <v>2564</v>
      </c>
      <c r="AM127" s="48" t="s">
        <v>1816</v>
      </c>
      <c r="AN127" s="48" t="s">
        <v>2054</v>
      </c>
      <c r="AO127" s="48" t="s">
        <v>1710</v>
      </c>
      <c r="AP127" s="48" t="s">
        <v>1855</v>
      </c>
      <c r="AQ127" s="48" t="s">
        <v>2076</v>
      </c>
      <c r="AR127" s="48" t="s">
        <v>1812</v>
      </c>
      <c r="AS127" s="48" t="s">
        <v>1813</v>
      </c>
      <c r="AT127" s="48" t="s">
        <v>1826</v>
      </c>
      <c r="AU127" s="48" t="s">
        <v>2061</v>
      </c>
      <c r="AV127" s="48" t="s">
        <v>2816</v>
      </c>
      <c r="AW127" s="48" t="s">
        <v>2062</v>
      </c>
      <c r="AX127" s="48" t="s">
        <v>2063</v>
      </c>
      <c r="AY127" s="48" t="s">
        <v>1710</v>
      </c>
      <c r="AZ127" s="48" t="s">
        <v>3836</v>
      </c>
      <c r="BA127" s="48" t="s">
        <v>1710</v>
      </c>
      <c r="BB127" s="48" t="s">
        <v>1709</v>
      </c>
      <c r="BC127" s="48" t="s">
        <v>1710</v>
      </c>
      <c r="BD127" s="48" t="s">
        <v>2094</v>
      </c>
      <c r="BE127" s="52" t="s">
        <v>3827</v>
      </c>
      <c r="BF127" s="48" t="s">
        <v>1710</v>
      </c>
      <c r="BG127" s="48" t="s">
        <v>1817</v>
      </c>
      <c r="BH127">
        <v>14</v>
      </c>
      <c r="BI127" s="48" t="s">
        <v>1888</v>
      </c>
      <c r="BJ127">
        <v>2</v>
      </c>
      <c r="BK127">
        <v>1473.06</v>
      </c>
      <c r="BL127">
        <v>13117663</v>
      </c>
      <c r="BM127">
        <v>8905</v>
      </c>
      <c r="BN127" s="48" t="s">
        <v>2064</v>
      </c>
      <c r="BO127" s="48" t="s">
        <v>2065</v>
      </c>
      <c r="BP127">
        <v>1473.06</v>
      </c>
      <c r="BQ127">
        <v>8957.18</v>
      </c>
      <c r="BR127" s="48" t="s">
        <v>1885</v>
      </c>
      <c r="BS127" s="48" t="s">
        <v>2066</v>
      </c>
      <c r="BT127">
        <v>1</v>
      </c>
      <c r="BU127">
        <v>76800</v>
      </c>
      <c r="BV127">
        <v>76800</v>
      </c>
      <c r="BW127" s="48" t="s">
        <v>2065</v>
      </c>
      <c r="BX127">
        <v>1473.06</v>
      </c>
      <c r="BY127">
        <v>0</v>
      </c>
      <c r="BZ127">
        <v>0</v>
      </c>
      <c r="CA127" s="48" t="s">
        <v>2065</v>
      </c>
      <c r="CB127">
        <v>1473.06</v>
      </c>
      <c r="CC127">
        <v>0</v>
      </c>
      <c r="CD127">
        <v>0</v>
      </c>
      <c r="CE127" s="48" t="s">
        <v>1710</v>
      </c>
      <c r="CF127" s="48" t="s">
        <v>1710</v>
      </c>
      <c r="CG127" s="48" t="s">
        <v>1710</v>
      </c>
      <c r="CH127" s="48" t="s">
        <v>1710</v>
      </c>
      <c r="CI127" s="48" t="s">
        <v>2067</v>
      </c>
      <c r="CJ127" s="48" t="s">
        <v>1710</v>
      </c>
      <c r="CL127" s="48" t="s">
        <v>2816</v>
      </c>
      <c r="CM127" s="48" t="s">
        <v>1710</v>
      </c>
      <c r="CN127" s="48" t="s">
        <v>2068</v>
      </c>
      <c r="CO127" s="48" t="s">
        <v>2069</v>
      </c>
      <c r="CP127" s="48" t="s">
        <v>1710</v>
      </c>
      <c r="CQ127" s="48" t="s">
        <v>1710</v>
      </c>
      <c r="CR127" s="48" t="s">
        <v>1710</v>
      </c>
      <c r="CS127" s="48" t="s">
        <v>1710</v>
      </c>
      <c r="CT127" s="48" t="s">
        <v>1710</v>
      </c>
      <c r="CU127" s="48" t="s">
        <v>1712</v>
      </c>
      <c r="CV127" s="48" t="s">
        <v>1710</v>
      </c>
      <c r="CW127" s="48" t="s">
        <v>1710</v>
      </c>
      <c r="CX127" s="48" t="s">
        <v>2823</v>
      </c>
      <c r="CY127" s="48" t="s">
        <v>1710</v>
      </c>
      <c r="CZ127" s="48" t="s">
        <v>1885</v>
      </c>
      <c r="DA127" s="48" t="s">
        <v>1710</v>
      </c>
      <c r="DB127" s="48" t="s">
        <v>1878</v>
      </c>
      <c r="DC127" s="48" t="s">
        <v>2070</v>
      </c>
      <c r="DD127" s="48" t="s">
        <v>1842</v>
      </c>
      <c r="DE127" s="48" t="s">
        <v>1886</v>
      </c>
      <c r="DF127" s="48" t="s">
        <v>3837</v>
      </c>
      <c r="DG127" s="48" t="s">
        <v>2071</v>
      </c>
      <c r="DH127" s="48" t="s">
        <v>1712</v>
      </c>
      <c r="DI127" s="48" t="s">
        <v>1710</v>
      </c>
      <c r="DJ127" s="48" t="s">
        <v>1710</v>
      </c>
      <c r="DK127" s="48" t="s">
        <v>1710</v>
      </c>
      <c r="DL127" s="48" t="s">
        <v>1710</v>
      </c>
      <c r="DM127" s="48" t="s">
        <v>1710</v>
      </c>
      <c r="DN127" s="48" t="s">
        <v>1710</v>
      </c>
      <c r="DO127" s="48" t="s">
        <v>1710</v>
      </c>
      <c r="DP127" s="48" t="s">
        <v>1710</v>
      </c>
      <c r="DQ127" s="48" t="s">
        <v>1710</v>
      </c>
      <c r="DR127" s="48" t="s">
        <v>2072</v>
      </c>
      <c r="DS127" s="48" t="s">
        <v>1710</v>
      </c>
      <c r="DT127" s="48" t="s">
        <v>1710</v>
      </c>
      <c r="DU127" s="48" t="s">
        <v>2547</v>
      </c>
      <c r="DV127" s="48" t="s">
        <v>2816</v>
      </c>
      <c r="DW127" s="48" t="s">
        <v>1710</v>
      </c>
      <c r="DX127" s="48" t="s">
        <v>3838</v>
      </c>
      <c r="DY127" s="48" t="s">
        <v>1709</v>
      </c>
      <c r="DZ127" s="48" t="s">
        <v>2562</v>
      </c>
      <c r="EA127" s="48" t="s">
        <v>2546</v>
      </c>
      <c r="EB127">
        <v>0</v>
      </c>
      <c r="EC127" s="48" t="s">
        <v>2547</v>
      </c>
      <c r="ED127" s="48" t="s">
        <v>3830</v>
      </c>
      <c r="EE127" s="48" t="s">
        <v>1814</v>
      </c>
      <c r="EF127" s="48" t="s">
        <v>1852</v>
      </c>
      <c r="EG127" s="48" t="s">
        <v>3836</v>
      </c>
      <c r="EH127">
        <v>5</v>
      </c>
      <c r="EI127" s="48" t="s">
        <v>1888</v>
      </c>
      <c r="EJ127">
        <v>0</v>
      </c>
      <c r="EK127" s="48" t="s">
        <v>1710</v>
      </c>
      <c r="EL127">
        <v>2</v>
      </c>
      <c r="EM127" s="48" t="s">
        <v>1886</v>
      </c>
      <c r="EN127">
        <v>5</v>
      </c>
      <c r="EO127" s="48" t="s">
        <v>2525</v>
      </c>
      <c r="EP127" s="48" t="s">
        <v>2649</v>
      </c>
      <c r="EQ127">
        <v>6939.8</v>
      </c>
      <c r="ER127">
        <v>6939.8</v>
      </c>
      <c r="ES127">
        <v>10163239</v>
      </c>
      <c r="ET127">
        <v>6899</v>
      </c>
      <c r="EU127" s="48" t="s">
        <v>1710</v>
      </c>
      <c r="EV127" s="48" t="s">
        <v>1710</v>
      </c>
      <c r="EW127" s="48" t="s">
        <v>1712</v>
      </c>
      <c r="EX127" s="48" t="s">
        <v>1710</v>
      </c>
      <c r="EY127" s="48" t="s">
        <v>1848</v>
      </c>
      <c r="EZ127" s="48" t="s">
        <v>1710</v>
      </c>
      <c r="FA127" s="48" t="s">
        <v>1710</v>
      </c>
      <c r="FB127" s="48" t="s">
        <v>1712</v>
      </c>
      <c r="FC127" s="48" t="s">
        <v>1710</v>
      </c>
      <c r="FD127" s="48" t="s">
        <v>1710</v>
      </c>
      <c r="FE127" s="48" t="s">
        <v>1814</v>
      </c>
      <c r="FF127" s="48" t="s">
        <v>1815</v>
      </c>
      <c r="FG127" s="48" t="s">
        <v>1710</v>
      </c>
      <c r="FH127">
        <v>1</v>
      </c>
      <c r="FI127" s="48" t="s">
        <v>1846</v>
      </c>
      <c r="FJ127">
        <v>1734.95</v>
      </c>
      <c r="FK127">
        <v>1734.95</v>
      </c>
      <c r="FL127" s="48" t="s">
        <v>2650</v>
      </c>
      <c r="FM127" s="48" t="s">
        <v>2651</v>
      </c>
      <c r="FN127" s="48" t="s">
        <v>1710</v>
      </c>
      <c r="FO127" s="48" t="s">
        <v>1710</v>
      </c>
      <c r="FP127" s="48" t="s">
        <v>1710</v>
      </c>
      <c r="FQ127" s="48" t="s">
        <v>1710</v>
      </c>
      <c r="FR127" s="48" t="s">
        <v>1710</v>
      </c>
      <c r="FS127" s="48" t="s">
        <v>1710</v>
      </c>
      <c r="FT127" s="48" t="s">
        <v>3839</v>
      </c>
      <c r="FU127" s="48" t="s">
        <v>1710</v>
      </c>
      <c r="FV127" s="48"/>
      <c r="FW127" s="56"/>
      <c r="FX127" s="56"/>
      <c r="FY127" s="56"/>
      <c r="FZ127" s="56"/>
      <c r="GA127" s="55" t="str">
        <f t="shared" si="5"/>
        <v>4388426300424X</v>
      </c>
      <c r="GB127" t="str">
        <f>VLOOKUP(B127,수출코드!$C$2:$D$4,2,FALSE)</f>
        <v>Suwon</v>
      </c>
      <c r="GC127" t="str">
        <f>VLOOKUP(L127,수출코드!$A$2:$B$6,2,FALSE)</f>
        <v/>
      </c>
      <c r="GD127" t="str">
        <f>VLOOKUP(M127,수출코드!$E$2:$F$5,2,FALSE)</f>
        <v>재수입</v>
      </c>
      <c r="GE127" s="61">
        <f t="shared" si="3"/>
        <v>45973.45</v>
      </c>
      <c r="GF127" s="62">
        <f t="shared" si="4"/>
        <v>46050.461111111108</v>
      </c>
      <c r="GI127" s="48" t="s">
        <v>2763</v>
      </c>
    </row>
    <row r="128" spans="1:191">
      <c r="A128" s="48" t="s">
        <v>3840</v>
      </c>
      <c r="B128" s="48" t="s">
        <v>1821</v>
      </c>
      <c r="C128" s="48" t="s">
        <v>2048</v>
      </c>
      <c r="D128" s="48" t="s">
        <v>2813</v>
      </c>
      <c r="E128" s="48" t="s">
        <v>3840</v>
      </c>
      <c r="F128" s="48" t="s">
        <v>1710</v>
      </c>
      <c r="G128" s="48" t="s">
        <v>2814</v>
      </c>
      <c r="H128" s="48" t="s">
        <v>3841</v>
      </c>
      <c r="I128" s="48" t="s">
        <v>1884</v>
      </c>
      <c r="J128" s="48" t="s">
        <v>2816</v>
      </c>
      <c r="K128" s="48" t="s">
        <v>1877</v>
      </c>
      <c r="L128" s="48" t="s">
        <v>1842</v>
      </c>
      <c r="M128" s="48" t="s">
        <v>1810</v>
      </c>
      <c r="N128" s="48" t="s">
        <v>1842</v>
      </c>
      <c r="O128" s="48" t="s">
        <v>1811</v>
      </c>
      <c r="P128" s="48" t="s">
        <v>2549</v>
      </c>
      <c r="Q128" s="48" t="s">
        <v>2049</v>
      </c>
      <c r="R128" s="48" t="s">
        <v>1838</v>
      </c>
      <c r="S128" s="48" t="s">
        <v>2050</v>
      </c>
      <c r="T128" s="48" t="s">
        <v>1845</v>
      </c>
      <c r="U128" s="48" t="s">
        <v>2049</v>
      </c>
      <c r="V128" s="48" t="s">
        <v>1838</v>
      </c>
      <c r="W128" s="48" t="s">
        <v>2051</v>
      </c>
      <c r="X128" s="48" t="s">
        <v>2052</v>
      </c>
      <c r="Y128" s="48" t="s">
        <v>2050</v>
      </c>
      <c r="Z128" s="48" t="s">
        <v>2053</v>
      </c>
      <c r="AA128" s="48" t="s">
        <v>2054</v>
      </c>
      <c r="AB128" s="48" t="s">
        <v>2817</v>
      </c>
      <c r="AC128" s="48" t="s">
        <v>2055</v>
      </c>
      <c r="AD128" s="48" t="s">
        <v>2056</v>
      </c>
      <c r="AE128" s="48" t="s">
        <v>1710</v>
      </c>
      <c r="AF128" s="48" t="s">
        <v>1710</v>
      </c>
      <c r="AG128" s="48" t="s">
        <v>2057</v>
      </c>
      <c r="AH128" s="48" t="s">
        <v>1815</v>
      </c>
      <c r="AI128" s="48" t="s">
        <v>2058</v>
      </c>
      <c r="AJ128" s="48" t="s">
        <v>1710</v>
      </c>
      <c r="AK128" s="48" t="s">
        <v>2535</v>
      </c>
      <c r="AL128" s="48" t="s">
        <v>2536</v>
      </c>
      <c r="AM128" s="48" t="s">
        <v>1816</v>
      </c>
      <c r="AN128" s="48" t="s">
        <v>2054</v>
      </c>
      <c r="AO128" s="48" t="s">
        <v>1710</v>
      </c>
      <c r="AP128" s="48" t="s">
        <v>1853</v>
      </c>
      <c r="AQ128" s="48" t="s">
        <v>2086</v>
      </c>
      <c r="AR128" s="48" t="s">
        <v>1812</v>
      </c>
      <c r="AS128" s="48" t="s">
        <v>1813</v>
      </c>
      <c r="AT128" s="48" t="s">
        <v>1826</v>
      </c>
      <c r="AU128" s="48" t="s">
        <v>2061</v>
      </c>
      <c r="AV128" s="48" t="s">
        <v>2816</v>
      </c>
      <c r="AW128" s="48" t="s">
        <v>2062</v>
      </c>
      <c r="AX128" s="48" t="s">
        <v>2063</v>
      </c>
      <c r="AY128" s="48" t="s">
        <v>1710</v>
      </c>
      <c r="AZ128" s="48" t="s">
        <v>3842</v>
      </c>
      <c r="BA128" s="48" t="s">
        <v>1710</v>
      </c>
      <c r="BB128" s="48" t="s">
        <v>1709</v>
      </c>
      <c r="BC128" s="48" t="s">
        <v>1710</v>
      </c>
      <c r="BD128" s="48" t="s">
        <v>2097</v>
      </c>
      <c r="BE128" s="52" t="s">
        <v>3843</v>
      </c>
      <c r="BF128" s="48" t="s">
        <v>1710</v>
      </c>
      <c r="BG128" s="48" t="s">
        <v>1814</v>
      </c>
      <c r="BH128">
        <v>2</v>
      </c>
      <c r="BI128" s="48" t="s">
        <v>1888</v>
      </c>
      <c r="BJ128">
        <v>1</v>
      </c>
      <c r="BK128">
        <v>1473.06</v>
      </c>
      <c r="BL128">
        <v>6561047</v>
      </c>
      <c r="BM128">
        <v>4454</v>
      </c>
      <c r="BN128" s="48" t="s">
        <v>2064</v>
      </c>
      <c r="BO128" s="48" t="s">
        <v>2065</v>
      </c>
      <c r="BP128">
        <v>1473.06</v>
      </c>
      <c r="BQ128">
        <v>4474.12</v>
      </c>
      <c r="BR128" s="48" t="s">
        <v>1885</v>
      </c>
      <c r="BS128" s="48" t="s">
        <v>2066</v>
      </c>
      <c r="BT128">
        <v>1</v>
      </c>
      <c r="BU128">
        <v>29600</v>
      </c>
      <c r="BV128">
        <v>29600</v>
      </c>
      <c r="BW128" s="48" t="s">
        <v>2065</v>
      </c>
      <c r="BX128">
        <v>1473.06</v>
      </c>
      <c r="BY128">
        <v>0</v>
      </c>
      <c r="BZ128">
        <v>0</v>
      </c>
      <c r="CA128" s="48" t="s">
        <v>2065</v>
      </c>
      <c r="CB128">
        <v>1473.06</v>
      </c>
      <c r="CC128">
        <v>0</v>
      </c>
      <c r="CD128">
        <v>0</v>
      </c>
      <c r="CE128" s="48" t="s">
        <v>1710</v>
      </c>
      <c r="CF128" s="48" t="s">
        <v>1710</v>
      </c>
      <c r="CG128" s="48" t="s">
        <v>1710</v>
      </c>
      <c r="CH128" s="48" t="s">
        <v>1710</v>
      </c>
      <c r="CI128" s="48" t="s">
        <v>2067</v>
      </c>
      <c r="CJ128" s="48" t="s">
        <v>1710</v>
      </c>
      <c r="CL128" s="48" t="s">
        <v>2816</v>
      </c>
      <c r="CM128" s="48" t="s">
        <v>1710</v>
      </c>
      <c r="CN128" s="48" t="s">
        <v>2068</v>
      </c>
      <c r="CO128" s="48" t="s">
        <v>2069</v>
      </c>
      <c r="CP128" s="48" t="s">
        <v>1710</v>
      </c>
      <c r="CQ128" s="48" t="s">
        <v>1710</v>
      </c>
      <c r="CR128" s="48" t="s">
        <v>1710</v>
      </c>
      <c r="CS128" s="48" t="s">
        <v>1710</v>
      </c>
      <c r="CT128" s="48" t="s">
        <v>1710</v>
      </c>
      <c r="CU128" s="48" t="s">
        <v>1712</v>
      </c>
      <c r="CV128" s="48" t="s">
        <v>1710</v>
      </c>
      <c r="CW128" s="48" t="s">
        <v>1710</v>
      </c>
      <c r="CX128" s="48" t="s">
        <v>2823</v>
      </c>
      <c r="CY128" s="48" t="s">
        <v>1710</v>
      </c>
      <c r="CZ128" s="48" t="s">
        <v>1712</v>
      </c>
      <c r="DA128" s="48" t="s">
        <v>1710</v>
      </c>
      <c r="DB128" s="48" t="s">
        <v>1878</v>
      </c>
      <c r="DC128" s="48" t="s">
        <v>2070</v>
      </c>
      <c r="DD128" s="48" t="s">
        <v>1842</v>
      </c>
      <c r="DE128" s="48" t="s">
        <v>1886</v>
      </c>
      <c r="DF128" s="48" t="s">
        <v>3844</v>
      </c>
      <c r="DG128" s="48" t="s">
        <v>2071</v>
      </c>
      <c r="DH128" s="48" t="s">
        <v>1712</v>
      </c>
      <c r="DI128" s="48" t="s">
        <v>1710</v>
      </c>
      <c r="DJ128" s="48" t="s">
        <v>1710</v>
      </c>
      <c r="DK128" s="48" t="s">
        <v>1710</v>
      </c>
      <c r="DL128" s="48" t="s">
        <v>1710</v>
      </c>
      <c r="DM128" s="48" t="s">
        <v>1710</v>
      </c>
      <c r="DN128" s="48" t="s">
        <v>1710</v>
      </c>
      <c r="DO128" s="48" t="s">
        <v>1710</v>
      </c>
      <c r="DP128" s="48" t="s">
        <v>1710</v>
      </c>
      <c r="DQ128" s="48" t="s">
        <v>1710</v>
      </c>
      <c r="DR128" s="48" t="s">
        <v>2072</v>
      </c>
      <c r="DS128" s="48" t="s">
        <v>1710</v>
      </c>
      <c r="DT128" s="48" t="s">
        <v>1710</v>
      </c>
      <c r="DU128" s="48" t="s">
        <v>2547</v>
      </c>
      <c r="DV128" s="48" t="s">
        <v>2816</v>
      </c>
      <c r="DW128" s="48" t="s">
        <v>1710</v>
      </c>
      <c r="DX128" s="48" t="s">
        <v>3845</v>
      </c>
      <c r="DY128" s="48" t="s">
        <v>1709</v>
      </c>
      <c r="DZ128" s="48" t="s">
        <v>2562</v>
      </c>
      <c r="EA128" s="48" t="s">
        <v>2546</v>
      </c>
      <c r="EB128">
        <v>0</v>
      </c>
      <c r="EC128" s="48" t="s">
        <v>2547</v>
      </c>
      <c r="ED128" s="48" t="s">
        <v>3846</v>
      </c>
      <c r="EE128" s="48" t="s">
        <v>1814</v>
      </c>
      <c r="EF128" s="48" t="s">
        <v>1841</v>
      </c>
      <c r="EG128" s="48" t="s">
        <v>3842</v>
      </c>
      <c r="EH128">
        <v>1</v>
      </c>
      <c r="EI128" s="48" t="s">
        <v>1888</v>
      </c>
      <c r="EJ128">
        <v>0</v>
      </c>
      <c r="EK128" s="48" t="s">
        <v>1710</v>
      </c>
      <c r="EL128">
        <v>1</v>
      </c>
      <c r="EM128" s="48" t="s">
        <v>1886</v>
      </c>
      <c r="EN128">
        <v>1</v>
      </c>
      <c r="EO128" s="48" t="s">
        <v>2603</v>
      </c>
      <c r="EP128" s="48" t="s">
        <v>3847</v>
      </c>
      <c r="EQ128">
        <v>4474.12</v>
      </c>
      <c r="ER128">
        <v>4474.12</v>
      </c>
      <c r="ES128">
        <v>6561047</v>
      </c>
      <c r="ET128">
        <v>4454</v>
      </c>
      <c r="EU128" s="48" t="s">
        <v>1710</v>
      </c>
      <c r="EV128" s="48" t="s">
        <v>1710</v>
      </c>
      <c r="EW128" s="48" t="s">
        <v>1712</v>
      </c>
      <c r="EX128" s="48" t="s">
        <v>1710</v>
      </c>
      <c r="EY128" s="48" t="s">
        <v>1853</v>
      </c>
      <c r="EZ128" s="48" t="s">
        <v>1710</v>
      </c>
      <c r="FA128" s="48" t="s">
        <v>1710</v>
      </c>
      <c r="FB128" s="48" t="s">
        <v>1712</v>
      </c>
      <c r="FC128" s="48" t="s">
        <v>1710</v>
      </c>
      <c r="FD128" s="48" t="s">
        <v>1710</v>
      </c>
      <c r="FE128" s="48" t="s">
        <v>1814</v>
      </c>
      <c r="FF128" s="48" t="s">
        <v>1815</v>
      </c>
      <c r="FG128" s="48" t="s">
        <v>1710</v>
      </c>
      <c r="FH128">
        <v>1</v>
      </c>
      <c r="FI128" s="48" t="s">
        <v>1846</v>
      </c>
      <c r="FJ128">
        <v>4474.12</v>
      </c>
      <c r="FK128">
        <v>4474.12</v>
      </c>
      <c r="FL128" s="48" t="s">
        <v>3848</v>
      </c>
      <c r="FM128" s="48" t="s">
        <v>3847</v>
      </c>
      <c r="FN128" s="48" t="s">
        <v>1710</v>
      </c>
      <c r="FO128" s="48" t="s">
        <v>1710</v>
      </c>
      <c r="FP128" s="48" t="s">
        <v>1710</v>
      </c>
      <c r="FQ128" s="48" t="s">
        <v>1710</v>
      </c>
      <c r="FR128" s="48" t="s">
        <v>1710</v>
      </c>
      <c r="FS128" s="48" t="s">
        <v>1710</v>
      </c>
      <c r="FT128" s="48" t="s">
        <v>1710</v>
      </c>
      <c r="FU128" s="48" t="s">
        <v>1710</v>
      </c>
      <c r="FV128" s="48"/>
      <c r="FW128" s="56"/>
      <c r="FX128" s="56"/>
      <c r="FY128" s="56"/>
      <c r="FZ128" s="56"/>
      <c r="GA128" s="55" t="str">
        <f t="shared" si="5"/>
        <v>4388426300425X</v>
      </c>
      <c r="GB128" t="str">
        <f>VLOOKUP(B128,수출코드!$C$2:$D$4,2,FALSE)</f>
        <v>Suwon</v>
      </c>
      <c r="GC128" t="str">
        <f>VLOOKUP(L128,수출코드!$A$2:$B$6,2,FALSE)</f>
        <v/>
      </c>
      <c r="GD128" t="str">
        <f>VLOOKUP(M128,수출코드!$E$2:$F$5,2,FALSE)</f>
        <v>일반</v>
      </c>
      <c r="GE128" s="61">
        <f t="shared" si="3"/>
        <v>45973.45</v>
      </c>
      <c r="GF128" s="62">
        <f t="shared" si="4"/>
        <v>46050.462500000001</v>
      </c>
      <c r="GI128" s="48" t="s">
        <v>2763</v>
      </c>
    </row>
    <row r="129" spans="1:191">
      <c r="A129" s="48" t="s">
        <v>3849</v>
      </c>
      <c r="B129" s="48" t="s">
        <v>1821</v>
      </c>
      <c r="C129" s="48" t="s">
        <v>2048</v>
      </c>
      <c r="D129" s="48" t="s">
        <v>2813</v>
      </c>
      <c r="E129" s="48" t="s">
        <v>3849</v>
      </c>
      <c r="F129" s="48" t="s">
        <v>1710</v>
      </c>
      <c r="G129" s="48" t="s">
        <v>2814</v>
      </c>
      <c r="H129" s="48" t="s">
        <v>3850</v>
      </c>
      <c r="I129" s="48" t="s">
        <v>1884</v>
      </c>
      <c r="J129" s="48" t="s">
        <v>2816</v>
      </c>
      <c r="K129" s="48" t="s">
        <v>1877</v>
      </c>
      <c r="L129" s="48" t="s">
        <v>1842</v>
      </c>
      <c r="M129" s="48" t="s">
        <v>1810</v>
      </c>
      <c r="N129" s="48" t="s">
        <v>1842</v>
      </c>
      <c r="O129" s="48" t="s">
        <v>1811</v>
      </c>
      <c r="P129" s="48" t="s">
        <v>2549</v>
      </c>
      <c r="Q129" s="48" t="s">
        <v>2049</v>
      </c>
      <c r="R129" s="48" t="s">
        <v>1838</v>
      </c>
      <c r="S129" s="48" t="s">
        <v>2050</v>
      </c>
      <c r="T129" s="48" t="s">
        <v>1845</v>
      </c>
      <c r="U129" s="48" t="s">
        <v>2049</v>
      </c>
      <c r="V129" s="48" t="s">
        <v>1838</v>
      </c>
      <c r="W129" s="48" t="s">
        <v>2051</v>
      </c>
      <c r="X129" s="48" t="s">
        <v>2052</v>
      </c>
      <c r="Y129" s="48" t="s">
        <v>2050</v>
      </c>
      <c r="Z129" s="48" t="s">
        <v>2053</v>
      </c>
      <c r="AA129" s="48" t="s">
        <v>2054</v>
      </c>
      <c r="AB129" s="48" t="s">
        <v>2817</v>
      </c>
      <c r="AC129" s="48" t="s">
        <v>2055</v>
      </c>
      <c r="AD129" s="48" t="s">
        <v>2056</v>
      </c>
      <c r="AE129" s="48" t="s">
        <v>1710</v>
      </c>
      <c r="AF129" s="48" t="s">
        <v>1710</v>
      </c>
      <c r="AG129" s="48" t="s">
        <v>2057</v>
      </c>
      <c r="AH129" s="48" t="s">
        <v>1815</v>
      </c>
      <c r="AI129" s="48" t="s">
        <v>2058</v>
      </c>
      <c r="AJ129" s="48" t="s">
        <v>1710</v>
      </c>
      <c r="AK129" s="48" t="s">
        <v>2871</v>
      </c>
      <c r="AL129" s="48" t="s">
        <v>2534</v>
      </c>
      <c r="AM129" s="48" t="s">
        <v>1816</v>
      </c>
      <c r="AN129" s="48" t="s">
        <v>2054</v>
      </c>
      <c r="AO129" s="48" t="s">
        <v>1710</v>
      </c>
      <c r="AP129" s="48" t="s">
        <v>1848</v>
      </c>
      <c r="AQ129" s="48" t="s">
        <v>2060</v>
      </c>
      <c r="AR129" s="48" t="s">
        <v>1812</v>
      </c>
      <c r="AS129" s="48" t="s">
        <v>1813</v>
      </c>
      <c r="AT129" s="48" t="s">
        <v>1826</v>
      </c>
      <c r="AU129" s="48" t="s">
        <v>2061</v>
      </c>
      <c r="AV129" s="48" t="s">
        <v>2816</v>
      </c>
      <c r="AW129" s="48" t="s">
        <v>2062</v>
      </c>
      <c r="AX129" s="48" t="s">
        <v>2063</v>
      </c>
      <c r="AY129" s="48" t="s">
        <v>1710</v>
      </c>
      <c r="AZ129" s="48" t="s">
        <v>3851</v>
      </c>
      <c r="BA129" s="48" t="s">
        <v>1710</v>
      </c>
      <c r="BB129" s="48" t="s">
        <v>1709</v>
      </c>
      <c r="BC129" s="48" t="s">
        <v>1710</v>
      </c>
      <c r="BD129" s="48" t="s">
        <v>3852</v>
      </c>
      <c r="BE129" s="52" t="s">
        <v>3853</v>
      </c>
      <c r="BF129" s="48" t="s">
        <v>1710</v>
      </c>
      <c r="BG129" s="48" t="s">
        <v>1814</v>
      </c>
      <c r="BH129">
        <v>1</v>
      </c>
      <c r="BI129" s="48" t="s">
        <v>1888</v>
      </c>
      <c r="BJ129">
        <v>1</v>
      </c>
      <c r="BK129">
        <v>1473.06</v>
      </c>
      <c r="BL129">
        <v>1445687</v>
      </c>
      <c r="BM129">
        <v>981</v>
      </c>
      <c r="BN129" s="48" t="s">
        <v>2064</v>
      </c>
      <c r="BO129" s="48" t="s">
        <v>2065</v>
      </c>
      <c r="BP129">
        <v>1473.06</v>
      </c>
      <c r="BQ129">
        <v>1004.16</v>
      </c>
      <c r="BR129" s="48" t="s">
        <v>1885</v>
      </c>
      <c r="BS129" s="48" t="s">
        <v>2066</v>
      </c>
      <c r="BT129">
        <v>1</v>
      </c>
      <c r="BU129">
        <v>33500</v>
      </c>
      <c r="BV129">
        <v>33500</v>
      </c>
      <c r="BW129" s="48" t="s">
        <v>2065</v>
      </c>
      <c r="BX129">
        <v>1473.06</v>
      </c>
      <c r="BY129">
        <v>0</v>
      </c>
      <c r="BZ129">
        <v>0</v>
      </c>
      <c r="CA129" s="48" t="s">
        <v>2065</v>
      </c>
      <c r="CB129">
        <v>1473.06</v>
      </c>
      <c r="CC129">
        <v>0</v>
      </c>
      <c r="CD129">
        <v>0</v>
      </c>
      <c r="CE129" s="48" t="s">
        <v>1710</v>
      </c>
      <c r="CF129" s="48" t="s">
        <v>1710</v>
      </c>
      <c r="CG129" s="48" t="s">
        <v>1710</v>
      </c>
      <c r="CH129" s="48" t="s">
        <v>1710</v>
      </c>
      <c r="CI129" s="48" t="s">
        <v>2067</v>
      </c>
      <c r="CJ129" s="48" t="s">
        <v>1710</v>
      </c>
      <c r="CL129" s="48" t="s">
        <v>2816</v>
      </c>
      <c r="CM129" s="48" t="s">
        <v>1710</v>
      </c>
      <c r="CN129" s="48" t="s">
        <v>2068</v>
      </c>
      <c r="CO129" s="48" t="s">
        <v>2069</v>
      </c>
      <c r="CP129" s="48" t="s">
        <v>1710</v>
      </c>
      <c r="CQ129" s="48" t="s">
        <v>1710</v>
      </c>
      <c r="CR129" s="48" t="s">
        <v>1710</v>
      </c>
      <c r="CS129" s="48" t="s">
        <v>1710</v>
      </c>
      <c r="CT129" s="48" t="s">
        <v>1710</v>
      </c>
      <c r="CU129" s="48" t="s">
        <v>1712</v>
      </c>
      <c r="CV129" s="48" t="s">
        <v>1710</v>
      </c>
      <c r="CW129" s="48" t="s">
        <v>1710</v>
      </c>
      <c r="CX129" s="48" t="s">
        <v>2823</v>
      </c>
      <c r="CY129" s="48" t="s">
        <v>1710</v>
      </c>
      <c r="CZ129" s="48" t="s">
        <v>1712</v>
      </c>
      <c r="DA129" s="48" t="s">
        <v>1710</v>
      </c>
      <c r="DB129" s="48" t="s">
        <v>1878</v>
      </c>
      <c r="DC129" s="48" t="s">
        <v>2070</v>
      </c>
      <c r="DD129" s="48" t="s">
        <v>1842</v>
      </c>
      <c r="DE129" s="48" t="s">
        <v>1886</v>
      </c>
      <c r="DF129" s="48" t="s">
        <v>3854</v>
      </c>
      <c r="DG129" s="48" t="s">
        <v>2071</v>
      </c>
      <c r="DH129" s="48" t="s">
        <v>1712</v>
      </c>
      <c r="DI129" s="48" t="s">
        <v>1710</v>
      </c>
      <c r="DJ129" s="48" t="s">
        <v>1710</v>
      </c>
      <c r="DK129" s="48" t="s">
        <v>1710</v>
      </c>
      <c r="DL129" s="48" t="s">
        <v>1710</v>
      </c>
      <c r="DM129" s="48" t="s">
        <v>1710</v>
      </c>
      <c r="DN129" s="48" t="s">
        <v>1710</v>
      </c>
      <c r="DO129" s="48" t="s">
        <v>1710</v>
      </c>
      <c r="DP129" s="48" t="s">
        <v>1710</v>
      </c>
      <c r="DQ129" s="48" t="s">
        <v>1710</v>
      </c>
      <c r="DR129" s="48" t="s">
        <v>2072</v>
      </c>
      <c r="DS129" s="48" t="s">
        <v>1710</v>
      </c>
      <c r="DT129" s="48" t="s">
        <v>1710</v>
      </c>
      <c r="DU129" s="48" t="s">
        <v>2547</v>
      </c>
      <c r="DV129" s="48" t="s">
        <v>3111</v>
      </c>
      <c r="DW129" s="48" t="s">
        <v>1710</v>
      </c>
      <c r="DX129" s="48" t="s">
        <v>3855</v>
      </c>
      <c r="DY129" s="48" t="s">
        <v>1709</v>
      </c>
      <c r="DZ129" s="48" t="s">
        <v>2562</v>
      </c>
      <c r="EA129" s="48" t="s">
        <v>2546</v>
      </c>
      <c r="EB129">
        <v>0</v>
      </c>
      <c r="EC129" s="48" t="s">
        <v>2547</v>
      </c>
      <c r="ED129" s="48" t="s">
        <v>3856</v>
      </c>
      <c r="EE129" s="48" t="s">
        <v>1814</v>
      </c>
      <c r="EF129" s="48" t="s">
        <v>3857</v>
      </c>
      <c r="EG129" s="48" t="s">
        <v>3851</v>
      </c>
      <c r="EH129">
        <v>1</v>
      </c>
      <c r="EI129" s="48" t="s">
        <v>1888</v>
      </c>
      <c r="EJ129">
        <v>1</v>
      </c>
      <c r="EK129" s="48" t="s">
        <v>1887</v>
      </c>
      <c r="EL129">
        <v>1</v>
      </c>
      <c r="EM129" s="48" t="s">
        <v>1886</v>
      </c>
      <c r="EN129">
        <v>1</v>
      </c>
      <c r="EO129" s="48" t="s">
        <v>3858</v>
      </c>
      <c r="EP129" s="48" t="s">
        <v>3859</v>
      </c>
      <c r="EQ129">
        <v>1004.16</v>
      </c>
      <c r="ER129">
        <v>1004.16</v>
      </c>
      <c r="ES129">
        <v>1445687</v>
      </c>
      <c r="ET129">
        <v>981</v>
      </c>
      <c r="EU129" s="48" t="s">
        <v>1710</v>
      </c>
      <c r="EV129" s="48" t="s">
        <v>1710</v>
      </c>
      <c r="EW129" s="48" t="s">
        <v>1712</v>
      </c>
      <c r="EX129" s="48" t="s">
        <v>1710</v>
      </c>
      <c r="EY129" s="48" t="s">
        <v>1848</v>
      </c>
      <c r="EZ129" s="48" t="s">
        <v>1710</v>
      </c>
      <c r="FA129" s="48" t="s">
        <v>1710</v>
      </c>
      <c r="FB129" s="48" t="s">
        <v>1712</v>
      </c>
      <c r="FC129" s="48" t="s">
        <v>1710</v>
      </c>
      <c r="FD129" s="48" t="s">
        <v>1710</v>
      </c>
      <c r="FE129" s="48" t="s">
        <v>1814</v>
      </c>
      <c r="FF129" s="48" t="s">
        <v>1815</v>
      </c>
      <c r="FG129" s="48" t="s">
        <v>1710</v>
      </c>
      <c r="FH129">
        <v>1</v>
      </c>
      <c r="FI129" s="48" t="s">
        <v>1846</v>
      </c>
      <c r="FJ129">
        <v>1004.16</v>
      </c>
      <c r="FK129">
        <v>1004.16</v>
      </c>
      <c r="FL129" s="48" t="s">
        <v>3860</v>
      </c>
      <c r="FM129" s="48" t="s">
        <v>3859</v>
      </c>
      <c r="FN129" s="48" t="s">
        <v>1710</v>
      </c>
      <c r="FO129" s="48" t="s">
        <v>1710</v>
      </c>
      <c r="FP129" s="48" t="s">
        <v>1710</v>
      </c>
      <c r="FQ129" s="48" t="s">
        <v>1710</v>
      </c>
      <c r="FR129" s="48" t="s">
        <v>1710</v>
      </c>
      <c r="FS129" s="48" t="s">
        <v>1710</v>
      </c>
      <c r="FT129" s="48" t="s">
        <v>1710</v>
      </c>
      <c r="FU129" s="48" t="s">
        <v>1710</v>
      </c>
      <c r="FV129" s="48"/>
      <c r="FW129" s="56"/>
      <c r="FX129" s="56"/>
      <c r="FY129" s="56"/>
      <c r="FZ129" s="56"/>
      <c r="GA129" s="55" t="str">
        <f t="shared" si="5"/>
        <v>4388426300426X</v>
      </c>
      <c r="GB129" t="str">
        <f>VLOOKUP(B129,수출코드!$C$2:$D$4,2,FALSE)</f>
        <v>Suwon</v>
      </c>
      <c r="GC129" t="str">
        <f>VLOOKUP(L129,수출코드!$A$2:$B$6,2,FALSE)</f>
        <v/>
      </c>
      <c r="GD129" t="str">
        <f>VLOOKUP(M129,수출코드!$E$2:$F$5,2,FALSE)</f>
        <v>일반</v>
      </c>
      <c r="GE129" s="61">
        <f t="shared" si="3"/>
        <v>45973.45</v>
      </c>
      <c r="GF129" s="62">
        <f t="shared" si="4"/>
        <v>46050.484027777777</v>
      </c>
      <c r="GI129" s="48" t="s">
        <v>2763</v>
      </c>
    </row>
    <row r="130" spans="1:191">
      <c r="A130" s="48" t="s">
        <v>3861</v>
      </c>
      <c r="B130" s="48" t="s">
        <v>1821</v>
      </c>
      <c r="C130" s="48" t="s">
        <v>2048</v>
      </c>
      <c r="D130" s="48" t="s">
        <v>2813</v>
      </c>
      <c r="E130" s="48" t="s">
        <v>3861</v>
      </c>
      <c r="F130" s="48" t="s">
        <v>1710</v>
      </c>
      <c r="G130" s="48" t="s">
        <v>2814</v>
      </c>
      <c r="H130" s="48" t="s">
        <v>3862</v>
      </c>
      <c r="I130" s="48" t="s">
        <v>1884</v>
      </c>
      <c r="J130" s="48" t="s">
        <v>2816</v>
      </c>
      <c r="K130" s="48" t="s">
        <v>1877</v>
      </c>
      <c r="L130" s="48" t="s">
        <v>1842</v>
      </c>
      <c r="M130" s="48" t="s">
        <v>1810</v>
      </c>
      <c r="N130" s="48" t="s">
        <v>1842</v>
      </c>
      <c r="O130" s="48" t="s">
        <v>1811</v>
      </c>
      <c r="P130" s="48" t="s">
        <v>2549</v>
      </c>
      <c r="Q130" s="48" t="s">
        <v>2049</v>
      </c>
      <c r="R130" s="48" t="s">
        <v>1838</v>
      </c>
      <c r="S130" s="48" t="s">
        <v>2050</v>
      </c>
      <c r="T130" s="48" t="s">
        <v>1845</v>
      </c>
      <c r="U130" s="48" t="s">
        <v>2049</v>
      </c>
      <c r="V130" s="48" t="s">
        <v>1838</v>
      </c>
      <c r="W130" s="48" t="s">
        <v>2051</v>
      </c>
      <c r="X130" s="48" t="s">
        <v>2052</v>
      </c>
      <c r="Y130" s="48" t="s">
        <v>2050</v>
      </c>
      <c r="Z130" s="48" t="s">
        <v>2053</v>
      </c>
      <c r="AA130" s="48" t="s">
        <v>2054</v>
      </c>
      <c r="AB130" s="48" t="s">
        <v>2817</v>
      </c>
      <c r="AC130" s="48" t="s">
        <v>2055</v>
      </c>
      <c r="AD130" s="48" t="s">
        <v>2056</v>
      </c>
      <c r="AE130" s="48" t="s">
        <v>1710</v>
      </c>
      <c r="AF130" s="48" t="s">
        <v>1710</v>
      </c>
      <c r="AG130" s="48" t="s">
        <v>2057</v>
      </c>
      <c r="AH130" s="48" t="s">
        <v>1815</v>
      </c>
      <c r="AI130" s="48" t="s">
        <v>2058</v>
      </c>
      <c r="AJ130" s="48" t="s">
        <v>1710</v>
      </c>
      <c r="AK130" s="48" t="s">
        <v>2563</v>
      </c>
      <c r="AL130" s="48" t="s">
        <v>2564</v>
      </c>
      <c r="AM130" s="48" t="s">
        <v>1816</v>
      </c>
      <c r="AN130" s="48" t="s">
        <v>2054</v>
      </c>
      <c r="AO130" s="48" t="s">
        <v>1710</v>
      </c>
      <c r="AP130" s="48" t="s">
        <v>1855</v>
      </c>
      <c r="AQ130" s="48" t="s">
        <v>2076</v>
      </c>
      <c r="AR130" s="48" t="s">
        <v>1812</v>
      </c>
      <c r="AS130" s="48" t="s">
        <v>1813</v>
      </c>
      <c r="AT130" s="48" t="s">
        <v>1826</v>
      </c>
      <c r="AU130" s="48" t="s">
        <v>2061</v>
      </c>
      <c r="AV130" s="48" t="s">
        <v>2816</v>
      </c>
      <c r="AW130" s="48" t="s">
        <v>2062</v>
      </c>
      <c r="AX130" s="48" t="s">
        <v>2063</v>
      </c>
      <c r="AY130" s="48" t="s">
        <v>1710</v>
      </c>
      <c r="AZ130" s="48" t="s">
        <v>3863</v>
      </c>
      <c r="BA130" s="48" t="s">
        <v>1710</v>
      </c>
      <c r="BB130" s="48" t="s">
        <v>1709</v>
      </c>
      <c r="BC130" s="48" t="s">
        <v>1710</v>
      </c>
      <c r="BD130" s="48" t="s">
        <v>3852</v>
      </c>
      <c r="BE130" s="52" t="s">
        <v>3853</v>
      </c>
      <c r="BF130" s="48" t="s">
        <v>1710</v>
      </c>
      <c r="BG130" s="48" t="s">
        <v>1817</v>
      </c>
      <c r="BH130">
        <v>2</v>
      </c>
      <c r="BI130" s="48" t="s">
        <v>1888</v>
      </c>
      <c r="BJ130">
        <v>1</v>
      </c>
      <c r="BK130">
        <v>1473.06</v>
      </c>
      <c r="BL130">
        <v>1989450</v>
      </c>
      <c r="BM130">
        <v>1351</v>
      </c>
      <c r="BN130" s="48" t="s">
        <v>2064</v>
      </c>
      <c r="BO130" s="48" t="s">
        <v>2065</v>
      </c>
      <c r="BP130">
        <v>1473.06</v>
      </c>
      <c r="BQ130">
        <v>1367.8</v>
      </c>
      <c r="BR130" s="48" t="s">
        <v>1885</v>
      </c>
      <c r="BS130" s="48" t="s">
        <v>2066</v>
      </c>
      <c r="BT130">
        <v>1</v>
      </c>
      <c r="BU130">
        <v>25400</v>
      </c>
      <c r="BV130">
        <v>25400</v>
      </c>
      <c r="BW130" s="48" t="s">
        <v>2065</v>
      </c>
      <c r="BX130">
        <v>1473.06</v>
      </c>
      <c r="BY130">
        <v>0</v>
      </c>
      <c r="BZ130">
        <v>0</v>
      </c>
      <c r="CA130" s="48" t="s">
        <v>2065</v>
      </c>
      <c r="CB130">
        <v>1473.06</v>
      </c>
      <c r="CC130">
        <v>0</v>
      </c>
      <c r="CD130">
        <v>0</v>
      </c>
      <c r="CE130" s="48" t="s">
        <v>1710</v>
      </c>
      <c r="CF130" s="48" t="s">
        <v>1710</v>
      </c>
      <c r="CG130" s="48" t="s">
        <v>1710</v>
      </c>
      <c r="CH130" s="48" t="s">
        <v>1710</v>
      </c>
      <c r="CI130" s="48" t="s">
        <v>2067</v>
      </c>
      <c r="CJ130" s="48" t="s">
        <v>1710</v>
      </c>
      <c r="CL130" s="48" t="s">
        <v>2816</v>
      </c>
      <c r="CM130" s="48" t="s">
        <v>1710</v>
      </c>
      <c r="CN130" s="48" t="s">
        <v>2068</v>
      </c>
      <c r="CO130" s="48" t="s">
        <v>2069</v>
      </c>
      <c r="CP130" s="48" t="s">
        <v>1710</v>
      </c>
      <c r="CQ130" s="48" t="s">
        <v>1710</v>
      </c>
      <c r="CR130" s="48" t="s">
        <v>1710</v>
      </c>
      <c r="CS130" s="48" t="s">
        <v>1710</v>
      </c>
      <c r="CT130" s="48" t="s">
        <v>1710</v>
      </c>
      <c r="CU130" s="48" t="s">
        <v>1712</v>
      </c>
      <c r="CV130" s="48" t="s">
        <v>1710</v>
      </c>
      <c r="CW130" s="48" t="s">
        <v>1710</v>
      </c>
      <c r="CX130" s="48" t="s">
        <v>2823</v>
      </c>
      <c r="CY130" s="48" t="s">
        <v>1710</v>
      </c>
      <c r="CZ130" s="48" t="s">
        <v>1712</v>
      </c>
      <c r="DA130" s="48" t="s">
        <v>1710</v>
      </c>
      <c r="DB130" s="48" t="s">
        <v>1878</v>
      </c>
      <c r="DC130" s="48" t="s">
        <v>2070</v>
      </c>
      <c r="DD130" s="48" t="s">
        <v>1842</v>
      </c>
      <c r="DE130" s="48" t="s">
        <v>1886</v>
      </c>
      <c r="DF130" s="48" t="s">
        <v>3864</v>
      </c>
      <c r="DG130" s="48" t="s">
        <v>2071</v>
      </c>
      <c r="DH130" s="48" t="s">
        <v>1712</v>
      </c>
      <c r="DI130" s="48" t="s">
        <v>1710</v>
      </c>
      <c r="DJ130" s="48" t="s">
        <v>1710</v>
      </c>
      <c r="DK130" s="48" t="s">
        <v>1710</v>
      </c>
      <c r="DL130" s="48" t="s">
        <v>1710</v>
      </c>
      <c r="DM130" s="48" t="s">
        <v>1710</v>
      </c>
      <c r="DN130" s="48" t="s">
        <v>1710</v>
      </c>
      <c r="DO130" s="48" t="s">
        <v>1710</v>
      </c>
      <c r="DP130" s="48" t="s">
        <v>1710</v>
      </c>
      <c r="DQ130" s="48" t="s">
        <v>1710</v>
      </c>
      <c r="DR130" s="48" t="s">
        <v>2072</v>
      </c>
      <c r="DS130" s="48" t="s">
        <v>1710</v>
      </c>
      <c r="DT130" s="48" t="s">
        <v>1710</v>
      </c>
      <c r="DU130" s="48" t="s">
        <v>2547</v>
      </c>
      <c r="DV130" s="48" t="s">
        <v>3111</v>
      </c>
      <c r="DW130" s="48" t="s">
        <v>1710</v>
      </c>
      <c r="DX130" s="48" t="s">
        <v>3865</v>
      </c>
      <c r="DY130" s="48" t="s">
        <v>1709</v>
      </c>
      <c r="DZ130" s="48" t="s">
        <v>2562</v>
      </c>
      <c r="EA130" s="48" t="s">
        <v>2546</v>
      </c>
      <c r="EB130">
        <v>0</v>
      </c>
      <c r="EC130" s="48" t="s">
        <v>2547</v>
      </c>
      <c r="ED130" s="48" t="s">
        <v>3856</v>
      </c>
      <c r="EE130" s="48" t="s">
        <v>1814</v>
      </c>
      <c r="EF130" s="48" t="s">
        <v>1861</v>
      </c>
      <c r="EG130" s="48" t="s">
        <v>3863</v>
      </c>
      <c r="EH130">
        <v>1</v>
      </c>
      <c r="EI130" s="48" t="s">
        <v>1888</v>
      </c>
      <c r="EJ130">
        <v>0</v>
      </c>
      <c r="EK130" s="48" t="s">
        <v>1710</v>
      </c>
      <c r="EL130">
        <v>1</v>
      </c>
      <c r="EM130" s="48" t="s">
        <v>1886</v>
      </c>
      <c r="EN130">
        <v>1</v>
      </c>
      <c r="EO130" s="48" t="s">
        <v>2518</v>
      </c>
      <c r="EP130" s="48" t="s">
        <v>3866</v>
      </c>
      <c r="EQ130">
        <v>1159.05</v>
      </c>
      <c r="ER130">
        <v>1159.05</v>
      </c>
      <c r="ES130">
        <v>1685826</v>
      </c>
      <c r="ET130">
        <v>1144</v>
      </c>
      <c r="EU130" s="48" t="s">
        <v>1710</v>
      </c>
      <c r="EV130" s="48" t="s">
        <v>1710</v>
      </c>
      <c r="EW130" s="48" t="s">
        <v>1712</v>
      </c>
      <c r="EX130" s="48" t="s">
        <v>1710</v>
      </c>
      <c r="EY130" s="48" t="s">
        <v>1843</v>
      </c>
      <c r="EZ130" s="48" t="s">
        <v>1710</v>
      </c>
      <c r="FA130" s="48" t="s">
        <v>1710</v>
      </c>
      <c r="FB130" s="48" t="s">
        <v>1712</v>
      </c>
      <c r="FC130" s="48" t="s">
        <v>1710</v>
      </c>
      <c r="FD130" s="48" t="s">
        <v>1710</v>
      </c>
      <c r="FE130" s="48" t="s">
        <v>1814</v>
      </c>
      <c r="FF130" s="48" t="s">
        <v>1815</v>
      </c>
      <c r="FG130" s="48" t="s">
        <v>1710</v>
      </c>
      <c r="FH130">
        <v>1</v>
      </c>
      <c r="FI130" s="48" t="s">
        <v>1846</v>
      </c>
      <c r="FJ130">
        <v>1159.05</v>
      </c>
      <c r="FK130">
        <v>1159.05</v>
      </c>
      <c r="FL130" s="48" t="s">
        <v>3867</v>
      </c>
      <c r="FM130" s="48" t="s">
        <v>3868</v>
      </c>
      <c r="FN130" s="48" t="s">
        <v>1710</v>
      </c>
      <c r="FO130" s="48" t="s">
        <v>1710</v>
      </c>
      <c r="FP130" s="48" t="s">
        <v>1710</v>
      </c>
      <c r="FQ130" s="48" t="s">
        <v>1710</v>
      </c>
      <c r="FR130" s="48" t="s">
        <v>1710</v>
      </c>
      <c r="FS130" s="48" t="s">
        <v>1710</v>
      </c>
      <c r="FT130" s="48" t="s">
        <v>1710</v>
      </c>
      <c r="FU130" s="48" t="s">
        <v>1710</v>
      </c>
      <c r="FV130" s="48"/>
      <c r="FW130" s="56"/>
      <c r="FX130" s="56"/>
      <c r="FY130" s="56"/>
      <c r="FZ130" s="56"/>
      <c r="GA130" s="55" t="str">
        <f t="shared" si="5"/>
        <v>4388426300427X</v>
      </c>
      <c r="GB130" t="str">
        <f>VLOOKUP(B130,수출코드!$C$2:$D$4,2,FALSE)</f>
        <v>Suwon</v>
      </c>
      <c r="GC130" t="str">
        <f>VLOOKUP(L130,수출코드!$A$2:$B$6,2,FALSE)</f>
        <v/>
      </c>
      <c r="GD130" t="str">
        <f>VLOOKUP(M130,수출코드!$E$2:$F$5,2,FALSE)</f>
        <v>일반</v>
      </c>
      <c r="GE130" s="61">
        <f t="shared" si="3"/>
        <v>45973.45</v>
      </c>
      <c r="GF130" s="62">
        <f t="shared" si="4"/>
        <v>46050.484027777777</v>
      </c>
      <c r="GI130" s="48" t="s">
        <v>2763</v>
      </c>
    </row>
    <row r="131" spans="1:191">
      <c r="A131" s="48" t="s">
        <v>3869</v>
      </c>
      <c r="B131" s="48" t="s">
        <v>1821</v>
      </c>
      <c r="C131" s="48" t="s">
        <v>2048</v>
      </c>
      <c r="D131" s="48" t="s">
        <v>2813</v>
      </c>
      <c r="E131" s="48" t="s">
        <v>3869</v>
      </c>
      <c r="F131" s="48" t="s">
        <v>1710</v>
      </c>
      <c r="G131" s="48" t="s">
        <v>2814</v>
      </c>
      <c r="H131" s="48" t="s">
        <v>3870</v>
      </c>
      <c r="I131" s="48" t="s">
        <v>1884</v>
      </c>
      <c r="J131" s="48" t="s">
        <v>2816</v>
      </c>
      <c r="K131" s="48" t="s">
        <v>1877</v>
      </c>
      <c r="L131" s="48" t="s">
        <v>1842</v>
      </c>
      <c r="M131" s="48" t="s">
        <v>1810</v>
      </c>
      <c r="N131" s="48" t="s">
        <v>1842</v>
      </c>
      <c r="O131" s="48" t="s">
        <v>1811</v>
      </c>
      <c r="P131" s="48" t="s">
        <v>2549</v>
      </c>
      <c r="Q131" s="48" t="s">
        <v>2049</v>
      </c>
      <c r="R131" s="48" t="s">
        <v>1838</v>
      </c>
      <c r="S131" s="48" t="s">
        <v>2050</v>
      </c>
      <c r="T131" s="48" t="s">
        <v>1845</v>
      </c>
      <c r="U131" s="48" t="s">
        <v>2049</v>
      </c>
      <c r="V131" s="48" t="s">
        <v>1838</v>
      </c>
      <c r="W131" s="48" t="s">
        <v>2051</v>
      </c>
      <c r="X131" s="48" t="s">
        <v>2052</v>
      </c>
      <c r="Y131" s="48" t="s">
        <v>2050</v>
      </c>
      <c r="Z131" s="48" t="s">
        <v>2053</v>
      </c>
      <c r="AA131" s="48" t="s">
        <v>2054</v>
      </c>
      <c r="AB131" s="48" t="s">
        <v>2817</v>
      </c>
      <c r="AC131" s="48" t="s">
        <v>2055</v>
      </c>
      <c r="AD131" s="48" t="s">
        <v>2056</v>
      </c>
      <c r="AE131" s="48" t="s">
        <v>1710</v>
      </c>
      <c r="AF131" s="48" t="s">
        <v>1710</v>
      </c>
      <c r="AG131" s="48" t="s">
        <v>2057</v>
      </c>
      <c r="AH131" s="48" t="s">
        <v>1815</v>
      </c>
      <c r="AI131" s="48" t="s">
        <v>2058</v>
      </c>
      <c r="AJ131" s="48" t="s">
        <v>1710</v>
      </c>
      <c r="AK131" s="48" t="s">
        <v>2095</v>
      </c>
      <c r="AL131" s="48" t="s">
        <v>1880</v>
      </c>
      <c r="AM131" s="48" t="s">
        <v>1816</v>
      </c>
      <c r="AN131" s="48" t="s">
        <v>2054</v>
      </c>
      <c r="AO131" s="48" t="s">
        <v>1710</v>
      </c>
      <c r="AP131" s="48" t="s">
        <v>1843</v>
      </c>
      <c r="AQ131" s="48" t="s">
        <v>2079</v>
      </c>
      <c r="AR131" s="48" t="s">
        <v>1812</v>
      </c>
      <c r="AS131" s="48" t="s">
        <v>1813</v>
      </c>
      <c r="AT131" s="48" t="s">
        <v>1826</v>
      </c>
      <c r="AU131" s="48" t="s">
        <v>2061</v>
      </c>
      <c r="AV131" s="48" t="s">
        <v>2816</v>
      </c>
      <c r="AW131" s="48" t="s">
        <v>2062</v>
      </c>
      <c r="AX131" s="48" t="s">
        <v>2063</v>
      </c>
      <c r="AY131" s="48" t="s">
        <v>1710</v>
      </c>
      <c r="AZ131" s="48" t="s">
        <v>3871</v>
      </c>
      <c r="BA131" s="48" t="s">
        <v>1710</v>
      </c>
      <c r="BB131" s="48" t="s">
        <v>1709</v>
      </c>
      <c r="BC131" s="48" t="s">
        <v>1710</v>
      </c>
      <c r="BD131" s="48" t="s">
        <v>2864</v>
      </c>
      <c r="BE131" s="52" t="s">
        <v>3853</v>
      </c>
      <c r="BF131" s="48" t="s">
        <v>1710</v>
      </c>
      <c r="BG131" s="48" t="s">
        <v>1814</v>
      </c>
      <c r="BH131">
        <v>16</v>
      </c>
      <c r="BI131" s="48" t="s">
        <v>1888</v>
      </c>
      <c r="BJ131">
        <v>1</v>
      </c>
      <c r="BK131">
        <v>1473.06</v>
      </c>
      <c r="BL131">
        <v>9500009</v>
      </c>
      <c r="BM131">
        <v>6449</v>
      </c>
      <c r="BN131" s="48" t="s">
        <v>2064</v>
      </c>
      <c r="BO131" s="48" t="s">
        <v>2065</v>
      </c>
      <c r="BP131">
        <v>1473.06</v>
      </c>
      <c r="BQ131">
        <v>6513.93</v>
      </c>
      <c r="BR131" s="48" t="s">
        <v>1885</v>
      </c>
      <c r="BS131" s="48" t="s">
        <v>2066</v>
      </c>
      <c r="BT131">
        <v>1</v>
      </c>
      <c r="BU131">
        <v>95400</v>
      </c>
      <c r="BV131">
        <v>95400</v>
      </c>
      <c r="BW131" s="48" t="s">
        <v>2065</v>
      </c>
      <c r="BX131">
        <v>1473.06</v>
      </c>
      <c r="BY131">
        <v>0</v>
      </c>
      <c r="BZ131">
        <v>0</v>
      </c>
      <c r="CA131" s="48" t="s">
        <v>2065</v>
      </c>
      <c r="CB131">
        <v>1473.06</v>
      </c>
      <c r="CC131">
        <v>0</v>
      </c>
      <c r="CD131">
        <v>0</v>
      </c>
      <c r="CE131" s="48" t="s">
        <v>1710</v>
      </c>
      <c r="CF131" s="48" t="s">
        <v>1710</v>
      </c>
      <c r="CG131" s="48" t="s">
        <v>1710</v>
      </c>
      <c r="CH131" s="48" t="s">
        <v>1710</v>
      </c>
      <c r="CI131" s="48" t="s">
        <v>2067</v>
      </c>
      <c r="CJ131" s="48" t="s">
        <v>1710</v>
      </c>
      <c r="CL131" s="48" t="s">
        <v>2816</v>
      </c>
      <c r="CM131" s="48" t="s">
        <v>1710</v>
      </c>
      <c r="CN131" s="48" t="s">
        <v>2068</v>
      </c>
      <c r="CO131" s="48" t="s">
        <v>2069</v>
      </c>
      <c r="CP131" s="48" t="s">
        <v>1710</v>
      </c>
      <c r="CQ131" s="48" t="s">
        <v>1710</v>
      </c>
      <c r="CR131" s="48" t="s">
        <v>1710</v>
      </c>
      <c r="CS131" s="48" t="s">
        <v>1710</v>
      </c>
      <c r="CT131" s="48" t="s">
        <v>1710</v>
      </c>
      <c r="CU131" s="48" t="s">
        <v>1712</v>
      </c>
      <c r="CV131" s="48" t="s">
        <v>1710</v>
      </c>
      <c r="CW131" s="48" t="s">
        <v>1710</v>
      </c>
      <c r="CX131" s="48" t="s">
        <v>2823</v>
      </c>
      <c r="CY131" s="48" t="s">
        <v>1710</v>
      </c>
      <c r="CZ131" s="48" t="s">
        <v>1712</v>
      </c>
      <c r="DA131" s="48" t="s">
        <v>1710</v>
      </c>
      <c r="DB131" s="48" t="s">
        <v>1878</v>
      </c>
      <c r="DC131" s="48" t="s">
        <v>2070</v>
      </c>
      <c r="DD131" s="48" t="s">
        <v>1842</v>
      </c>
      <c r="DE131" s="48" t="s">
        <v>1886</v>
      </c>
      <c r="DF131" s="48" t="s">
        <v>3872</v>
      </c>
      <c r="DG131" s="48" t="s">
        <v>2071</v>
      </c>
      <c r="DH131" s="48" t="s">
        <v>1712</v>
      </c>
      <c r="DI131" s="48" t="s">
        <v>1710</v>
      </c>
      <c r="DJ131" s="48" t="s">
        <v>1710</v>
      </c>
      <c r="DK131" s="48" t="s">
        <v>1710</v>
      </c>
      <c r="DL131" s="48" t="s">
        <v>1710</v>
      </c>
      <c r="DM131" s="48" t="s">
        <v>1710</v>
      </c>
      <c r="DN131" s="48" t="s">
        <v>1710</v>
      </c>
      <c r="DO131" s="48" t="s">
        <v>1710</v>
      </c>
      <c r="DP131" s="48" t="s">
        <v>1710</v>
      </c>
      <c r="DQ131" s="48" t="s">
        <v>1710</v>
      </c>
      <c r="DR131" s="48" t="s">
        <v>2072</v>
      </c>
      <c r="DS131" s="48" t="s">
        <v>1710</v>
      </c>
      <c r="DT131" s="48" t="s">
        <v>1710</v>
      </c>
      <c r="DU131" s="48" t="s">
        <v>2547</v>
      </c>
      <c r="DV131" s="48" t="s">
        <v>3111</v>
      </c>
      <c r="DW131" s="48" t="s">
        <v>1710</v>
      </c>
      <c r="DX131" s="48" t="s">
        <v>3873</v>
      </c>
      <c r="DY131" s="48" t="s">
        <v>1709</v>
      </c>
      <c r="DZ131" s="48" t="s">
        <v>2562</v>
      </c>
      <c r="EA131" s="48" t="s">
        <v>2546</v>
      </c>
      <c r="EB131">
        <v>0</v>
      </c>
      <c r="EC131" s="48" t="s">
        <v>2547</v>
      </c>
      <c r="ED131" s="48" t="s">
        <v>3856</v>
      </c>
      <c r="EE131" s="48" t="s">
        <v>1814</v>
      </c>
      <c r="EF131" s="48" t="s">
        <v>2555</v>
      </c>
      <c r="EG131" s="48" t="s">
        <v>3871</v>
      </c>
      <c r="EH131">
        <v>10</v>
      </c>
      <c r="EI131" s="48" t="s">
        <v>1888</v>
      </c>
      <c r="EJ131">
        <v>1</v>
      </c>
      <c r="EK131" s="48" t="s">
        <v>1887</v>
      </c>
      <c r="EL131">
        <v>1</v>
      </c>
      <c r="EM131" s="48" t="s">
        <v>1886</v>
      </c>
      <c r="EN131">
        <v>10</v>
      </c>
      <c r="EO131" s="48" t="s">
        <v>2556</v>
      </c>
      <c r="EP131" s="48" t="s">
        <v>3874</v>
      </c>
      <c r="EQ131">
        <v>6513.93</v>
      </c>
      <c r="ER131">
        <v>6513.93</v>
      </c>
      <c r="ES131">
        <v>9500009</v>
      </c>
      <c r="ET131">
        <v>6449</v>
      </c>
      <c r="EU131" s="48" t="s">
        <v>1710</v>
      </c>
      <c r="EV131" s="48" t="s">
        <v>1710</v>
      </c>
      <c r="EW131" s="48" t="s">
        <v>1712</v>
      </c>
      <c r="EX131" s="48" t="s">
        <v>1710</v>
      </c>
      <c r="EY131" s="48" t="s">
        <v>1848</v>
      </c>
      <c r="EZ131" s="48" t="s">
        <v>1710</v>
      </c>
      <c r="FA131" s="48" t="s">
        <v>1710</v>
      </c>
      <c r="FB131" s="48" t="s">
        <v>1712</v>
      </c>
      <c r="FC131" s="48" t="s">
        <v>1710</v>
      </c>
      <c r="FD131" s="48" t="s">
        <v>1710</v>
      </c>
      <c r="FE131" s="48" t="s">
        <v>1814</v>
      </c>
      <c r="FF131" s="48" t="s">
        <v>1815</v>
      </c>
      <c r="FG131" s="48" t="s">
        <v>1710</v>
      </c>
      <c r="FH131">
        <v>1</v>
      </c>
      <c r="FI131" s="48" t="s">
        <v>1846</v>
      </c>
      <c r="FJ131">
        <v>6513.93</v>
      </c>
      <c r="FK131">
        <v>6513.93</v>
      </c>
      <c r="FL131" s="48" t="s">
        <v>3875</v>
      </c>
      <c r="FM131" s="48" t="s">
        <v>3874</v>
      </c>
      <c r="FN131" s="48" t="s">
        <v>1710</v>
      </c>
      <c r="FO131" s="48" t="s">
        <v>1710</v>
      </c>
      <c r="FP131" s="48" t="s">
        <v>1710</v>
      </c>
      <c r="FQ131" s="48" t="s">
        <v>1710</v>
      </c>
      <c r="FR131" s="48" t="s">
        <v>1710</v>
      </c>
      <c r="FS131" s="48" t="s">
        <v>1710</v>
      </c>
      <c r="FT131" s="48" t="s">
        <v>1710</v>
      </c>
      <c r="FU131" s="48" t="s">
        <v>1710</v>
      </c>
      <c r="FV131" s="48"/>
      <c r="FW131" s="56"/>
      <c r="FX131" s="56"/>
      <c r="FY131" s="56"/>
      <c r="FZ131" s="56"/>
      <c r="GA131" s="55" t="str">
        <f t="shared" si="5"/>
        <v>4388426300428X</v>
      </c>
      <c r="GB131" t="str">
        <f>VLOOKUP(B131,수출코드!$C$2:$D$4,2,FALSE)</f>
        <v>Suwon</v>
      </c>
      <c r="GC131" t="str">
        <f>VLOOKUP(L131,수출코드!$A$2:$B$6,2,FALSE)</f>
        <v/>
      </c>
      <c r="GD131" t="str">
        <f>VLOOKUP(M131,수출코드!$E$2:$F$5,2,FALSE)</f>
        <v>일반</v>
      </c>
      <c r="GE131" s="61">
        <f t="shared" ref="GE131:GE194" si="6">DATE(LEFT(GI131,4),MID(GI131,5,2),MID(GI131,7,2))+TIME(MID(GI131,10,2),MID(GI131,12,2),"00")</f>
        <v>45973.645833333336</v>
      </c>
      <c r="GF131" s="62">
        <f t="shared" ref="GF131:GF194" si="7">DATE(LEFT(ED131,4),MID(ED131,5,2),MID(ED131,7,2))+TIME(MID(ED131,9,2),MID(ED131,11,2),"00")</f>
        <v>46050.484027777777</v>
      </c>
      <c r="GI131" s="48" t="s">
        <v>2764</v>
      </c>
    </row>
    <row r="132" spans="1:191">
      <c r="A132" s="48" t="s">
        <v>3876</v>
      </c>
      <c r="B132" s="48" t="s">
        <v>1821</v>
      </c>
      <c r="C132" s="48" t="s">
        <v>2048</v>
      </c>
      <c r="D132" s="48" t="s">
        <v>2813</v>
      </c>
      <c r="E132" s="48" t="s">
        <v>3876</v>
      </c>
      <c r="F132" s="48" t="s">
        <v>1710</v>
      </c>
      <c r="G132" s="48" t="s">
        <v>2814</v>
      </c>
      <c r="H132" s="48" t="s">
        <v>3877</v>
      </c>
      <c r="I132" s="48" t="s">
        <v>1884</v>
      </c>
      <c r="J132" s="48" t="s">
        <v>2816</v>
      </c>
      <c r="K132" s="48" t="s">
        <v>1877</v>
      </c>
      <c r="L132" s="48" t="s">
        <v>1842</v>
      </c>
      <c r="M132" s="48" t="s">
        <v>1810</v>
      </c>
      <c r="N132" s="48" t="s">
        <v>1842</v>
      </c>
      <c r="O132" s="48" t="s">
        <v>1811</v>
      </c>
      <c r="P132" s="48" t="s">
        <v>2549</v>
      </c>
      <c r="Q132" s="48" t="s">
        <v>2049</v>
      </c>
      <c r="R132" s="48" t="s">
        <v>1838</v>
      </c>
      <c r="S132" s="48" t="s">
        <v>2050</v>
      </c>
      <c r="T132" s="48" t="s">
        <v>1845</v>
      </c>
      <c r="U132" s="48" t="s">
        <v>2049</v>
      </c>
      <c r="V132" s="48" t="s">
        <v>1838</v>
      </c>
      <c r="W132" s="48" t="s">
        <v>2051</v>
      </c>
      <c r="X132" s="48" t="s">
        <v>2052</v>
      </c>
      <c r="Y132" s="48" t="s">
        <v>2050</v>
      </c>
      <c r="Z132" s="48" t="s">
        <v>2053</v>
      </c>
      <c r="AA132" s="48" t="s">
        <v>2054</v>
      </c>
      <c r="AB132" s="48" t="s">
        <v>2817</v>
      </c>
      <c r="AC132" s="48" t="s">
        <v>2055</v>
      </c>
      <c r="AD132" s="48" t="s">
        <v>2056</v>
      </c>
      <c r="AE132" s="48" t="s">
        <v>1710</v>
      </c>
      <c r="AF132" s="48" t="s">
        <v>1710</v>
      </c>
      <c r="AG132" s="48" t="s">
        <v>2057</v>
      </c>
      <c r="AH132" s="48" t="s">
        <v>1815</v>
      </c>
      <c r="AI132" s="48" t="s">
        <v>2058</v>
      </c>
      <c r="AJ132" s="48" t="s">
        <v>1710</v>
      </c>
      <c r="AK132" s="48" t="s">
        <v>2059</v>
      </c>
      <c r="AL132" s="48" t="s">
        <v>1858</v>
      </c>
      <c r="AM132" s="48" t="s">
        <v>1816</v>
      </c>
      <c r="AN132" s="48" t="s">
        <v>2054</v>
      </c>
      <c r="AO132" s="48" t="s">
        <v>1710</v>
      </c>
      <c r="AP132" s="48" t="s">
        <v>1848</v>
      </c>
      <c r="AQ132" s="48" t="s">
        <v>2060</v>
      </c>
      <c r="AR132" s="48" t="s">
        <v>1812</v>
      </c>
      <c r="AS132" s="48" t="s">
        <v>1813</v>
      </c>
      <c r="AT132" s="48" t="s">
        <v>1826</v>
      </c>
      <c r="AU132" s="48" t="s">
        <v>2061</v>
      </c>
      <c r="AV132" s="48" t="s">
        <v>2816</v>
      </c>
      <c r="AW132" s="48" t="s">
        <v>2062</v>
      </c>
      <c r="AX132" s="48" t="s">
        <v>2063</v>
      </c>
      <c r="AY132" s="48" t="s">
        <v>1710</v>
      </c>
      <c r="AZ132" s="48" t="s">
        <v>3878</v>
      </c>
      <c r="BA132" s="48" t="s">
        <v>1710</v>
      </c>
      <c r="BB132" s="48" t="s">
        <v>1709</v>
      </c>
      <c r="BC132" s="48" t="s">
        <v>1710</v>
      </c>
      <c r="BD132" s="48" t="s">
        <v>3137</v>
      </c>
      <c r="BE132" s="52" t="s">
        <v>3138</v>
      </c>
      <c r="BF132" s="48" t="s">
        <v>1710</v>
      </c>
      <c r="BG132" s="48" t="s">
        <v>1814</v>
      </c>
      <c r="BH132">
        <v>57</v>
      </c>
      <c r="BI132" s="48" t="s">
        <v>1888</v>
      </c>
      <c r="BJ132">
        <v>1</v>
      </c>
      <c r="BK132">
        <v>1473.06</v>
      </c>
      <c r="BL132">
        <v>39445709</v>
      </c>
      <c r="BM132">
        <v>26778</v>
      </c>
      <c r="BN132" s="48" t="s">
        <v>2064</v>
      </c>
      <c r="BO132" s="48" t="s">
        <v>2065</v>
      </c>
      <c r="BP132">
        <v>1473.06</v>
      </c>
      <c r="BQ132">
        <v>27315.73</v>
      </c>
      <c r="BR132" s="48" t="s">
        <v>1885</v>
      </c>
      <c r="BS132" s="48" t="s">
        <v>2066</v>
      </c>
      <c r="BT132">
        <v>1</v>
      </c>
      <c r="BU132">
        <v>792000</v>
      </c>
      <c r="BV132">
        <v>792000</v>
      </c>
      <c r="BW132" s="48" t="s">
        <v>2065</v>
      </c>
      <c r="BX132">
        <v>1473.06</v>
      </c>
      <c r="BY132">
        <v>0</v>
      </c>
      <c r="BZ132">
        <v>0</v>
      </c>
      <c r="CA132" s="48" t="s">
        <v>2065</v>
      </c>
      <c r="CB132">
        <v>1473.06</v>
      </c>
      <c r="CC132">
        <v>0</v>
      </c>
      <c r="CD132">
        <v>0</v>
      </c>
      <c r="CE132" s="48" t="s">
        <v>1710</v>
      </c>
      <c r="CF132" s="48" t="s">
        <v>1710</v>
      </c>
      <c r="CG132" s="48" t="s">
        <v>1710</v>
      </c>
      <c r="CH132" s="48" t="s">
        <v>1710</v>
      </c>
      <c r="CI132" s="48" t="s">
        <v>2067</v>
      </c>
      <c r="CJ132" s="48" t="s">
        <v>1710</v>
      </c>
      <c r="CL132" s="48" t="s">
        <v>2816</v>
      </c>
      <c r="CM132" s="48" t="s">
        <v>1710</v>
      </c>
      <c r="CN132" s="48" t="s">
        <v>2068</v>
      </c>
      <c r="CO132" s="48" t="s">
        <v>2069</v>
      </c>
      <c r="CP132" s="48" t="s">
        <v>1710</v>
      </c>
      <c r="CQ132" s="48" t="s">
        <v>1710</v>
      </c>
      <c r="CR132" s="48" t="s">
        <v>1710</v>
      </c>
      <c r="CS132" s="48" t="s">
        <v>1710</v>
      </c>
      <c r="CT132" s="48" t="s">
        <v>1710</v>
      </c>
      <c r="CU132" s="48" t="s">
        <v>1712</v>
      </c>
      <c r="CV132" s="48" t="s">
        <v>1710</v>
      </c>
      <c r="CW132" s="48" t="s">
        <v>1710</v>
      </c>
      <c r="CX132" s="48" t="s">
        <v>2823</v>
      </c>
      <c r="CY132" s="48" t="s">
        <v>1710</v>
      </c>
      <c r="CZ132" s="48" t="s">
        <v>1712</v>
      </c>
      <c r="DA132" s="48" t="s">
        <v>1710</v>
      </c>
      <c r="DB132" s="48" t="s">
        <v>1878</v>
      </c>
      <c r="DC132" s="48" t="s">
        <v>2070</v>
      </c>
      <c r="DD132" s="48" t="s">
        <v>1842</v>
      </c>
      <c r="DE132" s="48" t="s">
        <v>1886</v>
      </c>
      <c r="DF132" s="48" t="s">
        <v>3879</v>
      </c>
      <c r="DG132" s="48" t="s">
        <v>2071</v>
      </c>
      <c r="DH132" s="48" t="s">
        <v>1712</v>
      </c>
      <c r="DI132" s="48" t="s">
        <v>1710</v>
      </c>
      <c r="DJ132" s="48" t="s">
        <v>1710</v>
      </c>
      <c r="DK132" s="48" t="s">
        <v>1710</v>
      </c>
      <c r="DL132" s="48" t="s">
        <v>1710</v>
      </c>
      <c r="DM132" s="48" t="s">
        <v>1710</v>
      </c>
      <c r="DN132" s="48" t="s">
        <v>1710</v>
      </c>
      <c r="DO132" s="48" t="s">
        <v>1710</v>
      </c>
      <c r="DP132" s="48" t="s">
        <v>1710</v>
      </c>
      <c r="DQ132" s="48" t="s">
        <v>1710</v>
      </c>
      <c r="DR132" s="48" t="s">
        <v>2072</v>
      </c>
      <c r="DS132" s="48" t="s">
        <v>1710</v>
      </c>
      <c r="DT132" s="48" t="s">
        <v>1710</v>
      </c>
      <c r="DU132" s="48" t="s">
        <v>2547</v>
      </c>
      <c r="DV132" s="48" t="s">
        <v>3141</v>
      </c>
      <c r="DW132" s="48" t="s">
        <v>1710</v>
      </c>
      <c r="DX132" s="48" t="s">
        <v>3880</v>
      </c>
      <c r="DY132" s="48" t="s">
        <v>1709</v>
      </c>
      <c r="DZ132" s="48" t="s">
        <v>2562</v>
      </c>
      <c r="EA132" s="48" t="s">
        <v>2546</v>
      </c>
      <c r="EB132">
        <v>0</v>
      </c>
      <c r="EC132" s="48" t="s">
        <v>2547</v>
      </c>
      <c r="ED132" s="48" t="s">
        <v>3881</v>
      </c>
      <c r="EE132" s="48" t="s">
        <v>1814</v>
      </c>
      <c r="EF132" s="48" t="s">
        <v>1881</v>
      </c>
      <c r="EG132" s="48" t="s">
        <v>3878</v>
      </c>
      <c r="EH132">
        <v>47.7</v>
      </c>
      <c r="EI132" s="48" t="s">
        <v>1888</v>
      </c>
      <c r="EJ132">
        <v>0</v>
      </c>
      <c r="EK132" s="48" t="s">
        <v>1710</v>
      </c>
      <c r="EL132">
        <v>1</v>
      </c>
      <c r="EM132" s="48" t="s">
        <v>1886</v>
      </c>
      <c r="EN132">
        <v>47.7</v>
      </c>
      <c r="EO132" s="48" t="s">
        <v>2601</v>
      </c>
      <c r="EP132" s="48" t="s">
        <v>3882</v>
      </c>
      <c r="EQ132">
        <v>27315.73</v>
      </c>
      <c r="ER132">
        <v>27315.73</v>
      </c>
      <c r="ES132">
        <v>39445709</v>
      </c>
      <c r="ET132">
        <v>26778</v>
      </c>
      <c r="EU132" s="48" t="s">
        <v>1710</v>
      </c>
      <c r="EV132" s="48" t="s">
        <v>1710</v>
      </c>
      <c r="EW132" s="48" t="s">
        <v>1712</v>
      </c>
      <c r="EX132" s="48" t="s">
        <v>1710</v>
      </c>
      <c r="EY132" s="48" t="s">
        <v>1848</v>
      </c>
      <c r="EZ132" s="48" t="s">
        <v>1710</v>
      </c>
      <c r="FA132" s="48" t="s">
        <v>1710</v>
      </c>
      <c r="FB132" s="48" t="s">
        <v>1712</v>
      </c>
      <c r="FC132" s="48" t="s">
        <v>1710</v>
      </c>
      <c r="FD132" s="48" t="s">
        <v>1710</v>
      </c>
      <c r="FE132" s="48" t="s">
        <v>1814</v>
      </c>
      <c r="FF132" s="48" t="s">
        <v>1815</v>
      </c>
      <c r="FG132" s="48" t="s">
        <v>1710</v>
      </c>
      <c r="FH132">
        <v>17</v>
      </c>
      <c r="FI132" s="48" t="s">
        <v>1846</v>
      </c>
      <c r="FJ132">
        <v>19623.810000000001</v>
      </c>
      <c r="FK132">
        <v>1154.3420000000001</v>
      </c>
      <c r="FL132" s="48" t="s">
        <v>3883</v>
      </c>
      <c r="FM132" s="48" t="s">
        <v>3882</v>
      </c>
      <c r="FN132" s="48" t="s">
        <v>1710</v>
      </c>
      <c r="FO132" s="48" t="s">
        <v>1710</v>
      </c>
      <c r="FP132" s="48" t="s">
        <v>1710</v>
      </c>
      <c r="FQ132" s="48" t="s">
        <v>1710</v>
      </c>
      <c r="FR132" s="48" t="s">
        <v>1710</v>
      </c>
      <c r="FS132" s="48" t="s">
        <v>1710</v>
      </c>
      <c r="FT132" s="48" t="s">
        <v>1710</v>
      </c>
      <c r="FU132" s="48" t="s">
        <v>1710</v>
      </c>
      <c r="FV132" s="48"/>
      <c r="FW132" s="56"/>
      <c r="FX132" s="56"/>
      <c r="FY132" s="56"/>
      <c r="FZ132" s="56"/>
      <c r="GA132" s="55" t="str">
        <f t="shared" ref="GA132:GA195" si="8">A132</f>
        <v>4388426300429X</v>
      </c>
      <c r="GB132" t="str">
        <f>VLOOKUP(B132,수출코드!$C$2:$D$4,2,FALSE)</f>
        <v>Suwon</v>
      </c>
      <c r="GC132" t="str">
        <f>VLOOKUP(L132,수출코드!$A$2:$B$6,2,FALSE)</f>
        <v/>
      </c>
      <c r="GD132" t="str">
        <f>VLOOKUP(M132,수출코드!$E$2:$F$5,2,FALSE)</f>
        <v>일반</v>
      </c>
      <c r="GE132" s="61">
        <f t="shared" si="6"/>
        <v>45973.645833333336</v>
      </c>
      <c r="GF132" s="62">
        <f t="shared" si="7"/>
        <v>46050.63958333333</v>
      </c>
      <c r="GI132" s="48" t="s">
        <v>2764</v>
      </c>
    </row>
    <row r="133" spans="1:191">
      <c r="A133" s="48" t="s">
        <v>3884</v>
      </c>
      <c r="B133" s="48" t="s">
        <v>1821</v>
      </c>
      <c r="C133" s="48" t="s">
        <v>2048</v>
      </c>
      <c r="D133" s="48" t="s">
        <v>2813</v>
      </c>
      <c r="E133" s="48" t="s">
        <v>3884</v>
      </c>
      <c r="F133" s="48" t="s">
        <v>1710</v>
      </c>
      <c r="G133" s="48" t="s">
        <v>2814</v>
      </c>
      <c r="H133" s="48" t="s">
        <v>3885</v>
      </c>
      <c r="I133" s="48" t="s">
        <v>1884</v>
      </c>
      <c r="J133" s="48" t="s">
        <v>2816</v>
      </c>
      <c r="K133" s="48" t="s">
        <v>1877</v>
      </c>
      <c r="L133" s="48" t="s">
        <v>1842</v>
      </c>
      <c r="M133" s="48" t="s">
        <v>1810</v>
      </c>
      <c r="N133" s="48" t="s">
        <v>1842</v>
      </c>
      <c r="O133" s="48" t="s">
        <v>1811</v>
      </c>
      <c r="P133" s="48" t="s">
        <v>2549</v>
      </c>
      <c r="Q133" s="48" t="s">
        <v>2049</v>
      </c>
      <c r="R133" s="48" t="s">
        <v>1838</v>
      </c>
      <c r="S133" s="48" t="s">
        <v>2050</v>
      </c>
      <c r="T133" s="48" t="s">
        <v>1845</v>
      </c>
      <c r="U133" s="48" t="s">
        <v>2049</v>
      </c>
      <c r="V133" s="48" t="s">
        <v>1838</v>
      </c>
      <c r="W133" s="48" t="s">
        <v>2051</v>
      </c>
      <c r="X133" s="48" t="s">
        <v>2052</v>
      </c>
      <c r="Y133" s="48" t="s">
        <v>2050</v>
      </c>
      <c r="Z133" s="48" t="s">
        <v>2053</v>
      </c>
      <c r="AA133" s="48" t="s">
        <v>2054</v>
      </c>
      <c r="AB133" s="48" t="s">
        <v>2817</v>
      </c>
      <c r="AC133" s="48" t="s">
        <v>2055</v>
      </c>
      <c r="AD133" s="48" t="s">
        <v>2056</v>
      </c>
      <c r="AE133" s="48" t="s">
        <v>1710</v>
      </c>
      <c r="AF133" s="48" t="s">
        <v>1710</v>
      </c>
      <c r="AG133" s="48" t="s">
        <v>2057</v>
      </c>
      <c r="AH133" s="48" t="s">
        <v>1815</v>
      </c>
      <c r="AI133" s="48" t="s">
        <v>2058</v>
      </c>
      <c r="AJ133" s="48" t="s">
        <v>1710</v>
      </c>
      <c r="AK133" s="48" t="s">
        <v>2628</v>
      </c>
      <c r="AL133" s="48" t="s">
        <v>2554</v>
      </c>
      <c r="AM133" s="48" t="s">
        <v>1816</v>
      </c>
      <c r="AN133" s="48" t="s">
        <v>2054</v>
      </c>
      <c r="AO133" s="48" t="s">
        <v>1710</v>
      </c>
      <c r="AP133" s="48" t="s">
        <v>1853</v>
      </c>
      <c r="AQ133" s="48" t="s">
        <v>2086</v>
      </c>
      <c r="AR133" s="48" t="s">
        <v>1812</v>
      </c>
      <c r="AS133" s="48" t="s">
        <v>1813</v>
      </c>
      <c r="AT133" s="48" t="s">
        <v>1826</v>
      </c>
      <c r="AU133" s="48" t="s">
        <v>2061</v>
      </c>
      <c r="AV133" s="48" t="s">
        <v>2816</v>
      </c>
      <c r="AW133" s="48" t="s">
        <v>2062</v>
      </c>
      <c r="AX133" s="48" t="s">
        <v>2063</v>
      </c>
      <c r="AY133" s="48" t="s">
        <v>1710</v>
      </c>
      <c r="AZ133" s="48" t="s">
        <v>3886</v>
      </c>
      <c r="BA133" s="48" t="s">
        <v>1710</v>
      </c>
      <c r="BB133" s="48" t="s">
        <v>1709</v>
      </c>
      <c r="BC133" s="48" t="s">
        <v>1710</v>
      </c>
      <c r="BD133" s="48" t="s">
        <v>3137</v>
      </c>
      <c r="BE133" s="52" t="s">
        <v>3138</v>
      </c>
      <c r="BF133" s="48" t="s">
        <v>1710</v>
      </c>
      <c r="BG133" s="48" t="s">
        <v>1814</v>
      </c>
      <c r="BH133">
        <v>6</v>
      </c>
      <c r="BI133" s="48" t="s">
        <v>1888</v>
      </c>
      <c r="BJ133">
        <v>1</v>
      </c>
      <c r="BK133">
        <v>1473.06</v>
      </c>
      <c r="BL133">
        <v>3182729</v>
      </c>
      <c r="BM133">
        <v>2161</v>
      </c>
      <c r="BN133" s="48" t="s">
        <v>2064</v>
      </c>
      <c r="BO133" s="48" t="s">
        <v>2065</v>
      </c>
      <c r="BP133">
        <v>1473.06</v>
      </c>
      <c r="BQ133">
        <v>2197.69</v>
      </c>
      <c r="BR133" s="48" t="s">
        <v>1885</v>
      </c>
      <c r="BS133" s="48" t="s">
        <v>2066</v>
      </c>
      <c r="BT133">
        <v>1</v>
      </c>
      <c r="BU133">
        <v>54600</v>
      </c>
      <c r="BV133">
        <v>54600</v>
      </c>
      <c r="BW133" s="48" t="s">
        <v>2065</v>
      </c>
      <c r="BX133">
        <v>1473.06</v>
      </c>
      <c r="BY133">
        <v>0</v>
      </c>
      <c r="BZ133">
        <v>0</v>
      </c>
      <c r="CA133" s="48" t="s">
        <v>2065</v>
      </c>
      <c r="CB133">
        <v>1473.06</v>
      </c>
      <c r="CC133">
        <v>0</v>
      </c>
      <c r="CD133">
        <v>0</v>
      </c>
      <c r="CE133" s="48" t="s">
        <v>1710</v>
      </c>
      <c r="CF133" s="48" t="s">
        <v>1710</v>
      </c>
      <c r="CG133" s="48" t="s">
        <v>1710</v>
      </c>
      <c r="CH133" s="48" t="s">
        <v>1710</v>
      </c>
      <c r="CI133" s="48" t="s">
        <v>2067</v>
      </c>
      <c r="CJ133" s="48" t="s">
        <v>1710</v>
      </c>
      <c r="CL133" s="48" t="s">
        <v>2816</v>
      </c>
      <c r="CM133" s="48" t="s">
        <v>1710</v>
      </c>
      <c r="CN133" s="48" t="s">
        <v>2068</v>
      </c>
      <c r="CO133" s="48" t="s">
        <v>2069</v>
      </c>
      <c r="CP133" s="48" t="s">
        <v>1710</v>
      </c>
      <c r="CQ133" s="48" t="s">
        <v>1710</v>
      </c>
      <c r="CR133" s="48" t="s">
        <v>1710</v>
      </c>
      <c r="CS133" s="48" t="s">
        <v>1710</v>
      </c>
      <c r="CT133" s="48" t="s">
        <v>1710</v>
      </c>
      <c r="CU133" s="48" t="s">
        <v>1712</v>
      </c>
      <c r="CV133" s="48" t="s">
        <v>1710</v>
      </c>
      <c r="CW133" s="48" t="s">
        <v>1710</v>
      </c>
      <c r="CX133" s="48" t="s">
        <v>2823</v>
      </c>
      <c r="CY133" s="48" t="s">
        <v>1710</v>
      </c>
      <c r="CZ133" s="48" t="s">
        <v>1712</v>
      </c>
      <c r="DA133" s="48" t="s">
        <v>1710</v>
      </c>
      <c r="DB133" s="48" t="s">
        <v>1878</v>
      </c>
      <c r="DC133" s="48" t="s">
        <v>2070</v>
      </c>
      <c r="DD133" s="48" t="s">
        <v>1842</v>
      </c>
      <c r="DE133" s="48" t="s">
        <v>1886</v>
      </c>
      <c r="DF133" s="48" t="s">
        <v>3887</v>
      </c>
      <c r="DG133" s="48" t="s">
        <v>2071</v>
      </c>
      <c r="DH133" s="48" t="s">
        <v>1712</v>
      </c>
      <c r="DI133" s="48" t="s">
        <v>1710</v>
      </c>
      <c r="DJ133" s="48" t="s">
        <v>1710</v>
      </c>
      <c r="DK133" s="48" t="s">
        <v>1710</v>
      </c>
      <c r="DL133" s="48" t="s">
        <v>1710</v>
      </c>
      <c r="DM133" s="48" t="s">
        <v>1710</v>
      </c>
      <c r="DN133" s="48" t="s">
        <v>1710</v>
      </c>
      <c r="DO133" s="48" t="s">
        <v>1710</v>
      </c>
      <c r="DP133" s="48" t="s">
        <v>1710</v>
      </c>
      <c r="DQ133" s="48" t="s">
        <v>1710</v>
      </c>
      <c r="DR133" s="48" t="s">
        <v>2072</v>
      </c>
      <c r="DS133" s="48" t="s">
        <v>1710</v>
      </c>
      <c r="DT133" s="48" t="s">
        <v>1710</v>
      </c>
      <c r="DU133" s="48" t="s">
        <v>2547</v>
      </c>
      <c r="DV133" s="48" t="s">
        <v>2825</v>
      </c>
      <c r="DW133" s="48" t="s">
        <v>1710</v>
      </c>
      <c r="DX133" s="48" t="s">
        <v>3888</v>
      </c>
      <c r="DY133" s="48" t="s">
        <v>1709</v>
      </c>
      <c r="DZ133" s="48" t="s">
        <v>2562</v>
      </c>
      <c r="EA133" s="48" t="s">
        <v>2546</v>
      </c>
      <c r="EB133">
        <v>0</v>
      </c>
      <c r="EC133" s="48" t="s">
        <v>2547</v>
      </c>
      <c r="ED133" s="48" t="s">
        <v>3881</v>
      </c>
      <c r="EE133" s="48" t="s">
        <v>1814</v>
      </c>
      <c r="EF133" s="48" t="s">
        <v>1881</v>
      </c>
      <c r="EG133" s="48" t="s">
        <v>3886</v>
      </c>
      <c r="EH133">
        <v>4.4000000000000004</v>
      </c>
      <c r="EI133" s="48" t="s">
        <v>1888</v>
      </c>
      <c r="EJ133">
        <v>0</v>
      </c>
      <c r="EK133" s="48" t="s">
        <v>1710</v>
      </c>
      <c r="EL133">
        <v>1</v>
      </c>
      <c r="EM133" s="48" t="s">
        <v>1886</v>
      </c>
      <c r="EN133">
        <v>4.4000000000000004</v>
      </c>
      <c r="EO133" s="48" t="s">
        <v>2601</v>
      </c>
      <c r="EP133" s="48" t="s">
        <v>3882</v>
      </c>
      <c r="EQ133">
        <v>2197.69</v>
      </c>
      <c r="ER133">
        <v>2197.69</v>
      </c>
      <c r="ES133">
        <v>3182729</v>
      </c>
      <c r="ET133">
        <v>2161</v>
      </c>
      <c r="EU133" s="48" t="s">
        <v>1710</v>
      </c>
      <c r="EV133" s="48" t="s">
        <v>1710</v>
      </c>
      <c r="EW133" s="48" t="s">
        <v>1712</v>
      </c>
      <c r="EX133" s="48" t="s">
        <v>1710</v>
      </c>
      <c r="EY133" s="48" t="s">
        <v>1848</v>
      </c>
      <c r="EZ133" s="48" t="s">
        <v>1710</v>
      </c>
      <c r="FA133" s="48" t="s">
        <v>1710</v>
      </c>
      <c r="FB133" s="48" t="s">
        <v>1712</v>
      </c>
      <c r="FC133" s="48" t="s">
        <v>1710</v>
      </c>
      <c r="FD133" s="48" t="s">
        <v>1710</v>
      </c>
      <c r="FE133" s="48" t="s">
        <v>1814</v>
      </c>
      <c r="FF133" s="48" t="s">
        <v>1815</v>
      </c>
      <c r="FG133" s="48" t="s">
        <v>1710</v>
      </c>
      <c r="FH133">
        <v>2</v>
      </c>
      <c r="FI133" s="48" t="s">
        <v>1846</v>
      </c>
      <c r="FJ133">
        <v>2197.69</v>
      </c>
      <c r="FK133">
        <v>1098.845</v>
      </c>
      <c r="FL133" s="48" t="s">
        <v>3889</v>
      </c>
      <c r="FM133" s="48" t="s">
        <v>3890</v>
      </c>
      <c r="FN133" s="48" t="s">
        <v>1710</v>
      </c>
      <c r="FO133" s="48" t="s">
        <v>1710</v>
      </c>
      <c r="FP133" s="48" t="s">
        <v>1710</v>
      </c>
      <c r="FQ133" s="48" t="s">
        <v>1710</v>
      </c>
      <c r="FR133" s="48" t="s">
        <v>1710</v>
      </c>
      <c r="FS133" s="48" t="s">
        <v>1710</v>
      </c>
      <c r="FT133" s="48" t="s">
        <v>1710</v>
      </c>
      <c r="FU133" s="48" t="s">
        <v>1710</v>
      </c>
      <c r="FV133" s="48"/>
      <c r="FW133" s="56"/>
      <c r="FX133" s="56"/>
      <c r="FY133" s="56"/>
      <c r="FZ133" s="56"/>
      <c r="GA133" s="55" t="str">
        <f t="shared" si="8"/>
        <v>4388426300430X</v>
      </c>
      <c r="GB133" t="str">
        <f>VLOOKUP(B133,수출코드!$C$2:$D$4,2,FALSE)</f>
        <v>Suwon</v>
      </c>
      <c r="GC133" t="str">
        <f>VLOOKUP(L133,수출코드!$A$2:$B$6,2,FALSE)</f>
        <v/>
      </c>
      <c r="GD133" t="str">
        <f>VLOOKUP(M133,수출코드!$E$2:$F$5,2,FALSE)</f>
        <v>일반</v>
      </c>
      <c r="GE133" s="61">
        <f t="shared" si="6"/>
        <v>45973.645833333336</v>
      </c>
      <c r="GF133" s="62">
        <f t="shared" si="7"/>
        <v>46050.63958333333</v>
      </c>
      <c r="GI133" s="48" t="s">
        <v>2764</v>
      </c>
    </row>
    <row r="134" spans="1:191">
      <c r="A134" s="48" t="s">
        <v>3891</v>
      </c>
      <c r="B134" s="48" t="s">
        <v>1821</v>
      </c>
      <c r="C134" s="48" t="s">
        <v>2048</v>
      </c>
      <c r="D134" s="48" t="s">
        <v>2813</v>
      </c>
      <c r="E134" s="48" t="s">
        <v>3891</v>
      </c>
      <c r="F134" s="48" t="s">
        <v>1710</v>
      </c>
      <c r="G134" s="48" t="s">
        <v>2814</v>
      </c>
      <c r="H134" s="48" t="s">
        <v>3892</v>
      </c>
      <c r="I134" s="48" t="s">
        <v>1884</v>
      </c>
      <c r="J134" s="48" t="s">
        <v>2816</v>
      </c>
      <c r="K134" s="48" t="s">
        <v>1877</v>
      </c>
      <c r="L134" s="48" t="s">
        <v>1842</v>
      </c>
      <c r="M134" s="48" t="s">
        <v>1810</v>
      </c>
      <c r="N134" s="48" t="s">
        <v>1842</v>
      </c>
      <c r="O134" s="48" t="s">
        <v>1811</v>
      </c>
      <c r="P134" s="48" t="s">
        <v>2549</v>
      </c>
      <c r="Q134" s="48" t="s">
        <v>2049</v>
      </c>
      <c r="R134" s="48" t="s">
        <v>1838</v>
      </c>
      <c r="S134" s="48" t="s">
        <v>2050</v>
      </c>
      <c r="T134" s="48" t="s">
        <v>1845</v>
      </c>
      <c r="U134" s="48" t="s">
        <v>2049</v>
      </c>
      <c r="V134" s="48" t="s">
        <v>1838</v>
      </c>
      <c r="W134" s="48" t="s">
        <v>2051</v>
      </c>
      <c r="X134" s="48" t="s">
        <v>2052</v>
      </c>
      <c r="Y134" s="48" t="s">
        <v>2050</v>
      </c>
      <c r="Z134" s="48" t="s">
        <v>2053</v>
      </c>
      <c r="AA134" s="48" t="s">
        <v>2054</v>
      </c>
      <c r="AB134" s="48" t="s">
        <v>2817</v>
      </c>
      <c r="AC134" s="48" t="s">
        <v>2055</v>
      </c>
      <c r="AD134" s="48" t="s">
        <v>2056</v>
      </c>
      <c r="AE134" s="48" t="s">
        <v>1710</v>
      </c>
      <c r="AF134" s="48" t="s">
        <v>1710</v>
      </c>
      <c r="AG134" s="48" t="s">
        <v>2057</v>
      </c>
      <c r="AH134" s="48" t="s">
        <v>1815</v>
      </c>
      <c r="AI134" s="48" t="s">
        <v>2058</v>
      </c>
      <c r="AJ134" s="48" t="s">
        <v>1710</v>
      </c>
      <c r="AK134" s="48" t="s">
        <v>2099</v>
      </c>
      <c r="AL134" s="48" t="s">
        <v>1866</v>
      </c>
      <c r="AM134" s="48" t="s">
        <v>1816</v>
      </c>
      <c r="AN134" s="48" t="s">
        <v>2054</v>
      </c>
      <c r="AO134" s="48" t="s">
        <v>1710</v>
      </c>
      <c r="AP134" s="48" t="s">
        <v>1854</v>
      </c>
      <c r="AQ134" s="48" t="s">
        <v>2081</v>
      </c>
      <c r="AR134" s="48" t="s">
        <v>1812</v>
      </c>
      <c r="AS134" s="48" t="s">
        <v>1813</v>
      </c>
      <c r="AT134" s="48" t="s">
        <v>1826</v>
      </c>
      <c r="AU134" s="48" t="s">
        <v>2061</v>
      </c>
      <c r="AV134" s="48" t="s">
        <v>2816</v>
      </c>
      <c r="AW134" s="48" t="s">
        <v>2062</v>
      </c>
      <c r="AX134" s="48" t="s">
        <v>2063</v>
      </c>
      <c r="AY134" s="48" t="s">
        <v>1710</v>
      </c>
      <c r="AZ134" s="48" t="s">
        <v>3893</v>
      </c>
      <c r="BA134" s="48" t="s">
        <v>1710</v>
      </c>
      <c r="BB134" s="48" t="s">
        <v>1709</v>
      </c>
      <c r="BC134" s="48" t="s">
        <v>1710</v>
      </c>
      <c r="BD134" s="48" t="s">
        <v>2089</v>
      </c>
      <c r="BE134" s="52" t="s">
        <v>3894</v>
      </c>
      <c r="BF134" s="48" t="s">
        <v>1710</v>
      </c>
      <c r="BG134" s="48" t="s">
        <v>1814</v>
      </c>
      <c r="BH134">
        <v>4</v>
      </c>
      <c r="BI134" s="48" t="s">
        <v>1888</v>
      </c>
      <c r="BJ134">
        <v>1</v>
      </c>
      <c r="BK134">
        <v>1473.06</v>
      </c>
      <c r="BL134">
        <v>8220781</v>
      </c>
      <c r="BM134">
        <v>5581</v>
      </c>
      <c r="BN134" s="48" t="s">
        <v>2064</v>
      </c>
      <c r="BO134" s="48" t="s">
        <v>2065</v>
      </c>
      <c r="BP134">
        <v>1473.06</v>
      </c>
      <c r="BQ134">
        <v>5628</v>
      </c>
      <c r="BR134" s="48" t="s">
        <v>1885</v>
      </c>
      <c r="BS134" s="48" t="s">
        <v>2066</v>
      </c>
      <c r="BT134">
        <v>1</v>
      </c>
      <c r="BU134">
        <v>69600</v>
      </c>
      <c r="BV134">
        <v>69600</v>
      </c>
      <c r="BW134" s="48" t="s">
        <v>2065</v>
      </c>
      <c r="BX134">
        <v>1473.06</v>
      </c>
      <c r="BY134">
        <v>0</v>
      </c>
      <c r="BZ134">
        <v>0</v>
      </c>
      <c r="CA134" s="48" t="s">
        <v>2065</v>
      </c>
      <c r="CB134">
        <v>1473.06</v>
      </c>
      <c r="CC134">
        <v>0</v>
      </c>
      <c r="CD134">
        <v>0</v>
      </c>
      <c r="CE134" s="48" t="s">
        <v>1710</v>
      </c>
      <c r="CF134" s="48" t="s">
        <v>1710</v>
      </c>
      <c r="CG134" s="48" t="s">
        <v>1710</v>
      </c>
      <c r="CH134" s="48" t="s">
        <v>1710</v>
      </c>
      <c r="CI134" s="48" t="s">
        <v>2067</v>
      </c>
      <c r="CJ134" s="48" t="s">
        <v>1710</v>
      </c>
      <c r="CL134" s="48" t="s">
        <v>2816</v>
      </c>
      <c r="CM134" s="48" t="s">
        <v>1710</v>
      </c>
      <c r="CN134" s="48" t="s">
        <v>2068</v>
      </c>
      <c r="CO134" s="48" t="s">
        <v>2069</v>
      </c>
      <c r="CP134" s="48" t="s">
        <v>1710</v>
      </c>
      <c r="CQ134" s="48" t="s">
        <v>1710</v>
      </c>
      <c r="CR134" s="48" t="s">
        <v>1710</v>
      </c>
      <c r="CS134" s="48" t="s">
        <v>1710</v>
      </c>
      <c r="CT134" s="48" t="s">
        <v>1710</v>
      </c>
      <c r="CU134" s="48" t="s">
        <v>1712</v>
      </c>
      <c r="CV134" s="48" t="s">
        <v>1710</v>
      </c>
      <c r="CW134" s="48" t="s">
        <v>1710</v>
      </c>
      <c r="CX134" s="48" t="s">
        <v>2823</v>
      </c>
      <c r="CY134" s="48" t="s">
        <v>1710</v>
      </c>
      <c r="CZ134" s="48" t="s">
        <v>1712</v>
      </c>
      <c r="DA134" s="48" t="s">
        <v>1710</v>
      </c>
      <c r="DB134" s="48" t="s">
        <v>1878</v>
      </c>
      <c r="DC134" s="48" t="s">
        <v>2070</v>
      </c>
      <c r="DD134" s="48" t="s">
        <v>1842</v>
      </c>
      <c r="DE134" s="48" t="s">
        <v>1886</v>
      </c>
      <c r="DF134" s="48" t="s">
        <v>3895</v>
      </c>
      <c r="DG134" s="48" t="s">
        <v>2071</v>
      </c>
      <c r="DH134" s="48" t="s">
        <v>1712</v>
      </c>
      <c r="DI134" s="48" t="s">
        <v>1710</v>
      </c>
      <c r="DJ134" s="48" t="s">
        <v>1710</v>
      </c>
      <c r="DK134" s="48" t="s">
        <v>1710</v>
      </c>
      <c r="DL134" s="48" t="s">
        <v>1710</v>
      </c>
      <c r="DM134" s="48" t="s">
        <v>1710</v>
      </c>
      <c r="DN134" s="48" t="s">
        <v>1710</v>
      </c>
      <c r="DO134" s="48" t="s">
        <v>1710</v>
      </c>
      <c r="DP134" s="48" t="s">
        <v>1710</v>
      </c>
      <c r="DQ134" s="48" t="s">
        <v>1710</v>
      </c>
      <c r="DR134" s="48" t="s">
        <v>2072</v>
      </c>
      <c r="DS134" s="48" t="s">
        <v>1710</v>
      </c>
      <c r="DT134" s="48" t="s">
        <v>1710</v>
      </c>
      <c r="DU134" s="48" t="s">
        <v>2547</v>
      </c>
      <c r="DV134" s="48" t="s">
        <v>2825</v>
      </c>
      <c r="DW134" s="48" t="s">
        <v>1710</v>
      </c>
      <c r="DX134" s="48" t="s">
        <v>3896</v>
      </c>
      <c r="DY134" s="48" t="s">
        <v>1709</v>
      </c>
      <c r="DZ134" s="48" t="s">
        <v>2562</v>
      </c>
      <c r="EA134" s="48" t="s">
        <v>2546</v>
      </c>
      <c r="EB134">
        <v>0</v>
      </c>
      <c r="EC134" s="48" t="s">
        <v>2547</v>
      </c>
      <c r="ED134" s="48" t="s">
        <v>3897</v>
      </c>
      <c r="EE134" s="48" t="s">
        <v>1814</v>
      </c>
      <c r="EF134" s="48" t="s">
        <v>3898</v>
      </c>
      <c r="EG134" s="48" t="s">
        <v>3893</v>
      </c>
      <c r="EH134">
        <v>3</v>
      </c>
      <c r="EI134" s="48" t="s">
        <v>1888</v>
      </c>
      <c r="EJ134">
        <v>1</v>
      </c>
      <c r="EK134" s="48" t="s">
        <v>1887</v>
      </c>
      <c r="EL134">
        <v>1</v>
      </c>
      <c r="EM134" s="48" t="s">
        <v>1886</v>
      </c>
      <c r="EN134">
        <v>3</v>
      </c>
      <c r="EO134" s="48" t="s">
        <v>3899</v>
      </c>
      <c r="EP134" s="48" t="s">
        <v>3900</v>
      </c>
      <c r="EQ134">
        <v>5628</v>
      </c>
      <c r="ER134">
        <v>5628</v>
      </c>
      <c r="ES134">
        <v>8220781</v>
      </c>
      <c r="ET134">
        <v>5581</v>
      </c>
      <c r="EU134" s="48" t="s">
        <v>1710</v>
      </c>
      <c r="EV134" s="48" t="s">
        <v>1710</v>
      </c>
      <c r="EW134" s="48" t="s">
        <v>1712</v>
      </c>
      <c r="EX134" s="48" t="s">
        <v>1710</v>
      </c>
      <c r="EY134" s="48" t="s">
        <v>1848</v>
      </c>
      <c r="EZ134" s="48" t="s">
        <v>1710</v>
      </c>
      <c r="FA134" s="48" t="s">
        <v>1710</v>
      </c>
      <c r="FB134" s="48" t="s">
        <v>1712</v>
      </c>
      <c r="FC134" s="48" t="s">
        <v>1710</v>
      </c>
      <c r="FD134" s="48" t="s">
        <v>1710</v>
      </c>
      <c r="FE134" s="48" t="s">
        <v>1814</v>
      </c>
      <c r="FF134" s="48" t="s">
        <v>1815</v>
      </c>
      <c r="FG134" s="48" t="s">
        <v>1710</v>
      </c>
      <c r="FH134">
        <v>1</v>
      </c>
      <c r="FI134" s="48" t="s">
        <v>1846</v>
      </c>
      <c r="FJ134">
        <v>5628</v>
      </c>
      <c r="FK134">
        <v>5628</v>
      </c>
      <c r="FL134" s="48" t="s">
        <v>3901</v>
      </c>
      <c r="FM134" s="48" t="s">
        <v>3900</v>
      </c>
      <c r="FN134" s="48" t="s">
        <v>1710</v>
      </c>
      <c r="FO134" s="48" t="s">
        <v>1710</v>
      </c>
      <c r="FP134" s="48" t="s">
        <v>1710</v>
      </c>
      <c r="FQ134" s="48" t="s">
        <v>1710</v>
      </c>
      <c r="FR134" s="48" t="s">
        <v>1710</v>
      </c>
      <c r="FS134" s="48" t="s">
        <v>1710</v>
      </c>
      <c r="FT134" s="48" t="s">
        <v>1710</v>
      </c>
      <c r="FU134" s="48" t="s">
        <v>1710</v>
      </c>
      <c r="FV134" s="48"/>
      <c r="FW134" s="56"/>
      <c r="FX134" s="56"/>
      <c r="FY134" s="56"/>
      <c r="FZ134" s="56"/>
      <c r="GA134" s="55" t="str">
        <f t="shared" si="8"/>
        <v>4388426300431X</v>
      </c>
      <c r="GB134" t="str">
        <f>VLOOKUP(B134,수출코드!$C$2:$D$4,2,FALSE)</f>
        <v>Suwon</v>
      </c>
      <c r="GC134" t="str">
        <f>VLOOKUP(L134,수출코드!$A$2:$B$6,2,FALSE)</f>
        <v/>
      </c>
      <c r="GD134" t="str">
        <f>VLOOKUP(M134,수출코드!$E$2:$F$5,2,FALSE)</f>
        <v>일반</v>
      </c>
      <c r="GE134" s="61">
        <f t="shared" si="6"/>
        <v>45973.645833333336</v>
      </c>
      <c r="GF134" s="62">
        <f t="shared" si="7"/>
        <v>46050.671527777777</v>
      </c>
      <c r="GI134" s="48" t="s">
        <v>2764</v>
      </c>
    </row>
    <row r="135" spans="1:191">
      <c r="A135" s="48" t="s">
        <v>3902</v>
      </c>
      <c r="B135" s="48" t="s">
        <v>1821</v>
      </c>
      <c r="C135" s="48" t="s">
        <v>2048</v>
      </c>
      <c r="D135" s="48" t="s">
        <v>2813</v>
      </c>
      <c r="E135" s="48" t="s">
        <v>3902</v>
      </c>
      <c r="F135" s="48" t="s">
        <v>1710</v>
      </c>
      <c r="G135" s="48" t="s">
        <v>2814</v>
      </c>
      <c r="H135" s="48" t="s">
        <v>3903</v>
      </c>
      <c r="I135" s="48" t="s">
        <v>1884</v>
      </c>
      <c r="J135" s="48" t="s">
        <v>2816</v>
      </c>
      <c r="K135" s="48" t="s">
        <v>1877</v>
      </c>
      <c r="L135" s="48" t="s">
        <v>1842</v>
      </c>
      <c r="M135" s="48" t="s">
        <v>1810</v>
      </c>
      <c r="N135" s="48" t="s">
        <v>1842</v>
      </c>
      <c r="O135" s="48" t="s">
        <v>1811</v>
      </c>
      <c r="P135" s="48" t="s">
        <v>2549</v>
      </c>
      <c r="Q135" s="48" t="s">
        <v>2049</v>
      </c>
      <c r="R135" s="48" t="s">
        <v>1838</v>
      </c>
      <c r="S135" s="48" t="s">
        <v>2050</v>
      </c>
      <c r="T135" s="48" t="s">
        <v>1845</v>
      </c>
      <c r="U135" s="48" t="s">
        <v>2049</v>
      </c>
      <c r="V135" s="48" t="s">
        <v>1838</v>
      </c>
      <c r="W135" s="48" t="s">
        <v>2051</v>
      </c>
      <c r="X135" s="48" t="s">
        <v>2052</v>
      </c>
      <c r="Y135" s="48" t="s">
        <v>2050</v>
      </c>
      <c r="Z135" s="48" t="s">
        <v>2053</v>
      </c>
      <c r="AA135" s="48" t="s">
        <v>2054</v>
      </c>
      <c r="AB135" s="48" t="s">
        <v>2817</v>
      </c>
      <c r="AC135" s="48" t="s">
        <v>2055</v>
      </c>
      <c r="AD135" s="48" t="s">
        <v>2056</v>
      </c>
      <c r="AE135" s="48" t="s">
        <v>1710</v>
      </c>
      <c r="AF135" s="48" t="s">
        <v>1710</v>
      </c>
      <c r="AG135" s="48" t="s">
        <v>2057</v>
      </c>
      <c r="AH135" s="48" t="s">
        <v>1815</v>
      </c>
      <c r="AI135" s="48" t="s">
        <v>2058</v>
      </c>
      <c r="AJ135" s="48" t="s">
        <v>1710</v>
      </c>
      <c r="AK135" s="48" t="s">
        <v>2569</v>
      </c>
      <c r="AL135" s="48" t="s">
        <v>2570</v>
      </c>
      <c r="AM135" s="48" t="s">
        <v>1816</v>
      </c>
      <c r="AN135" s="48" t="s">
        <v>2054</v>
      </c>
      <c r="AO135" s="48" t="s">
        <v>1710</v>
      </c>
      <c r="AP135" s="48" t="s">
        <v>1843</v>
      </c>
      <c r="AQ135" s="48" t="s">
        <v>2079</v>
      </c>
      <c r="AR135" s="48" t="s">
        <v>1812</v>
      </c>
      <c r="AS135" s="48" t="s">
        <v>1813</v>
      </c>
      <c r="AT135" s="48" t="s">
        <v>1826</v>
      </c>
      <c r="AU135" s="48" t="s">
        <v>2061</v>
      </c>
      <c r="AV135" s="48" t="s">
        <v>2816</v>
      </c>
      <c r="AW135" s="48" t="s">
        <v>2062</v>
      </c>
      <c r="AX135" s="48" t="s">
        <v>2063</v>
      </c>
      <c r="AY135" s="48" t="s">
        <v>1710</v>
      </c>
      <c r="AZ135" s="48" t="s">
        <v>3904</v>
      </c>
      <c r="BA135" s="48" t="s">
        <v>1710</v>
      </c>
      <c r="BB135" s="48" t="s">
        <v>1709</v>
      </c>
      <c r="BC135" s="48" t="s">
        <v>1710</v>
      </c>
      <c r="BD135" s="48" t="s">
        <v>2089</v>
      </c>
      <c r="BE135" s="52" t="s">
        <v>3894</v>
      </c>
      <c r="BF135" s="48" t="s">
        <v>1710</v>
      </c>
      <c r="BG135" s="48" t="s">
        <v>1814</v>
      </c>
      <c r="BH135">
        <v>1</v>
      </c>
      <c r="BI135" s="48" t="s">
        <v>1888</v>
      </c>
      <c r="BJ135">
        <v>1</v>
      </c>
      <c r="BK135">
        <v>1473.06</v>
      </c>
      <c r="BL135">
        <v>923364</v>
      </c>
      <c r="BM135">
        <v>627</v>
      </c>
      <c r="BN135" s="48" t="s">
        <v>2064</v>
      </c>
      <c r="BO135" s="48" t="s">
        <v>2065</v>
      </c>
      <c r="BP135">
        <v>1473.06</v>
      </c>
      <c r="BQ135">
        <v>641.09</v>
      </c>
      <c r="BR135" s="48" t="s">
        <v>1885</v>
      </c>
      <c r="BS135" s="48" t="s">
        <v>2066</v>
      </c>
      <c r="BT135">
        <v>1</v>
      </c>
      <c r="BU135">
        <v>21000</v>
      </c>
      <c r="BV135">
        <v>21000</v>
      </c>
      <c r="BW135" s="48" t="s">
        <v>2065</v>
      </c>
      <c r="BX135">
        <v>1473.06</v>
      </c>
      <c r="BY135">
        <v>0</v>
      </c>
      <c r="BZ135">
        <v>0</v>
      </c>
      <c r="CA135" s="48" t="s">
        <v>2065</v>
      </c>
      <c r="CB135">
        <v>1473.06</v>
      </c>
      <c r="CC135">
        <v>0</v>
      </c>
      <c r="CD135">
        <v>0</v>
      </c>
      <c r="CE135" s="48" t="s">
        <v>1710</v>
      </c>
      <c r="CF135" s="48" t="s">
        <v>1710</v>
      </c>
      <c r="CG135" s="48" t="s">
        <v>1710</v>
      </c>
      <c r="CH135" s="48" t="s">
        <v>1710</v>
      </c>
      <c r="CI135" s="48" t="s">
        <v>2067</v>
      </c>
      <c r="CJ135" s="48" t="s">
        <v>1710</v>
      </c>
      <c r="CL135" s="48" t="s">
        <v>2816</v>
      </c>
      <c r="CM135" s="48" t="s">
        <v>1710</v>
      </c>
      <c r="CN135" s="48" t="s">
        <v>2068</v>
      </c>
      <c r="CO135" s="48" t="s">
        <v>2069</v>
      </c>
      <c r="CP135" s="48" t="s">
        <v>1710</v>
      </c>
      <c r="CQ135" s="48" t="s">
        <v>1710</v>
      </c>
      <c r="CR135" s="48" t="s">
        <v>1710</v>
      </c>
      <c r="CS135" s="48" t="s">
        <v>1710</v>
      </c>
      <c r="CT135" s="48" t="s">
        <v>1710</v>
      </c>
      <c r="CU135" s="48" t="s">
        <v>1712</v>
      </c>
      <c r="CV135" s="48" t="s">
        <v>1710</v>
      </c>
      <c r="CW135" s="48" t="s">
        <v>1710</v>
      </c>
      <c r="CX135" s="48" t="s">
        <v>2823</v>
      </c>
      <c r="CY135" s="48" t="s">
        <v>1710</v>
      </c>
      <c r="CZ135" s="48" t="s">
        <v>1712</v>
      </c>
      <c r="DA135" s="48" t="s">
        <v>1710</v>
      </c>
      <c r="DB135" s="48" t="s">
        <v>1878</v>
      </c>
      <c r="DC135" s="48" t="s">
        <v>2070</v>
      </c>
      <c r="DD135" s="48" t="s">
        <v>1842</v>
      </c>
      <c r="DE135" s="48" t="s">
        <v>1886</v>
      </c>
      <c r="DF135" s="48" t="s">
        <v>3905</v>
      </c>
      <c r="DG135" s="48" t="s">
        <v>2071</v>
      </c>
      <c r="DH135" s="48" t="s">
        <v>1712</v>
      </c>
      <c r="DI135" s="48" t="s">
        <v>1710</v>
      </c>
      <c r="DJ135" s="48" t="s">
        <v>1710</v>
      </c>
      <c r="DK135" s="48" t="s">
        <v>1710</v>
      </c>
      <c r="DL135" s="48" t="s">
        <v>1710</v>
      </c>
      <c r="DM135" s="48" t="s">
        <v>1710</v>
      </c>
      <c r="DN135" s="48" t="s">
        <v>1710</v>
      </c>
      <c r="DO135" s="48" t="s">
        <v>1710</v>
      </c>
      <c r="DP135" s="48" t="s">
        <v>1710</v>
      </c>
      <c r="DQ135" s="48" t="s">
        <v>1710</v>
      </c>
      <c r="DR135" s="48" t="s">
        <v>2072</v>
      </c>
      <c r="DS135" s="48" t="s">
        <v>1710</v>
      </c>
      <c r="DT135" s="48" t="s">
        <v>1710</v>
      </c>
      <c r="DU135" s="48" t="s">
        <v>2547</v>
      </c>
      <c r="DV135" s="48" t="s">
        <v>3111</v>
      </c>
      <c r="DW135" s="48" t="s">
        <v>1710</v>
      </c>
      <c r="DX135" s="48" t="s">
        <v>3906</v>
      </c>
      <c r="DY135" s="48" t="s">
        <v>1709</v>
      </c>
      <c r="DZ135" s="48" t="s">
        <v>2562</v>
      </c>
      <c r="EA135" s="48" t="s">
        <v>2546</v>
      </c>
      <c r="EB135">
        <v>0</v>
      </c>
      <c r="EC135" s="48" t="s">
        <v>2547</v>
      </c>
      <c r="ED135" s="48" t="s">
        <v>3897</v>
      </c>
      <c r="EE135" s="48" t="s">
        <v>1814</v>
      </c>
      <c r="EF135" s="48" t="s">
        <v>3907</v>
      </c>
      <c r="EG135" s="48" t="s">
        <v>3904</v>
      </c>
      <c r="EH135">
        <v>1</v>
      </c>
      <c r="EI135" s="48" t="s">
        <v>1888</v>
      </c>
      <c r="EJ135">
        <v>0</v>
      </c>
      <c r="EK135" s="48" t="s">
        <v>1710</v>
      </c>
      <c r="EL135">
        <v>1</v>
      </c>
      <c r="EM135" s="48" t="s">
        <v>1886</v>
      </c>
      <c r="EN135">
        <v>1</v>
      </c>
      <c r="EO135" s="48" t="s">
        <v>3908</v>
      </c>
      <c r="EP135" s="48" t="s">
        <v>3909</v>
      </c>
      <c r="EQ135">
        <v>641.09</v>
      </c>
      <c r="ER135">
        <v>641.09</v>
      </c>
      <c r="ES135">
        <v>923364</v>
      </c>
      <c r="ET135">
        <v>627</v>
      </c>
      <c r="EU135" s="48" t="s">
        <v>1710</v>
      </c>
      <c r="EV135" s="48" t="s">
        <v>1710</v>
      </c>
      <c r="EW135" s="48" t="s">
        <v>1712</v>
      </c>
      <c r="EX135" s="48" t="s">
        <v>1710</v>
      </c>
      <c r="EY135" s="48" t="s">
        <v>1848</v>
      </c>
      <c r="EZ135" s="48" t="s">
        <v>1710</v>
      </c>
      <c r="FA135" s="48" t="s">
        <v>1710</v>
      </c>
      <c r="FB135" s="48" t="s">
        <v>1712</v>
      </c>
      <c r="FC135" s="48" t="s">
        <v>1710</v>
      </c>
      <c r="FD135" s="48" t="s">
        <v>1710</v>
      </c>
      <c r="FE135" s="48" t="s">
        <v>1814</v>
      </c>
      <c r="FF135" s="48" t="s">
        <v>1815</v>
      </c>
      <c r="FG135" s="48" t="s">
        <v>1710</v>
      </c>
      <c r="FH135">
        <v>1</v>
      </c>
      <c r="FI135" s="48" t="s">
        <v>1846</v>
      </c>
      <c r="FJ135">
        <v>641.09</v>
      </c>
      <c r="FK135">
        <v>641.09</v>
      </c>
      <c r="FL135" s="48" t="s">
        <v>3910</v>
      </c>
      <c r="FM135" s="48" t="s">
        <v>3909</v>
      </c>
      <c r="FN135" s="48" t="s">
        <v>1710</v>
      </c>
      <c r="FO135" s="48" t="s">
        <v>1710</v>
      </c>
      <c r="FP135" s="48" t="s">
        <v>1710</v>
      </c>
      <c r="FQ135" s="48" t="s">
        <v>1710</v>
      </c>
      <c r="FR135" s="48" t="s">
        <v>1710</v>
      </c>
      <c r="FS135" s="48" t="s">
        <v>1710</v>
      </c>
      <c r="FT135" s="48" t="s">
        <v>1710</v>
      </c>
      <c r="FU135" s="48" t="s">
        <v>1710</v>
      </c>
      <c r="FV135" s="48"/>
      <c r="FW135" s="56"/>
      <c r="FX135" s="56"/>
      <c r="FY135" s="56"/>
      <c r="FZ135" s="56"/>
      <c r="GA135" s="55" t="str">
        <f t="shared" si="8"/>
        <v>4388426300432X</v>
      </c>
      <c r="GB135" t="str">
        <f>VLOOKUP(B135,수출코드!$C$2:$D$4,2,FALSE)</f>
        <v>Suwon</v>
      </c>
      <c r="GC135" t="str">
        <f>VLOOKUP(L135,수출코드!$A$2:$B$6,2,FALSE)</f>
        <v/>
      </c>
      <c r="GD135" t="str">
        <f>VLOOKUP(M135,수출코드!$E$2:$F$5,2,FALSE)</f>
        <v>일반</v>
      </c>
      <c r="GE135" s="61">
        <f t="shared" si="6"/>
        <v>45973.645833333336</v>
      </c>
      <c r="GF135" s="62">
        <f t="shared" si="7"/>
        <v>46050.671527777777</v>
      </c>
      <c r="GI135" s="48" t="s">
        <v>2764</v>
      </c>
    </row>
    <row r="136" spans="1:191">
      <c r="A136" s="48" t="s">
        <v>3911</v>
      </c>
      <c r="B136" s="48" t="s">
        <v>1821</v>
      </c>
      <c r="C136" s="48" t="s">
        <v>2048</v>
      </c>
      <c r="D136" s="48" t="s">
        <v>2813</v>
      </c>
      <c r="E136" s="48" t="s">
        <v>3911</v>
      </c>
      <c r="F136" s="48" t="s">
        <v>1710</v>
      </c>
      <c r="G136" s="48" t="s">
        <v>2814</v>
      </c>
      <c r="H136" s="48" t="s">
        <v>3912</v>
      </c>
      <c r="I136" s="48" t="s">
        <v>1884</v>
      </c>
      <c r="J136" s="48" t="s">
        <v>2816</v>
      </c>
      <c r="K136" s="48" t="s">
        <v>1877</v>
      </c>
      <c r="L136" s="48" t="s">
        <v>1842</v>
      </c>
      <c r="M136" s="48" t="s">
        <v>1810</v>
      </c>
      <c r="N136" s="48" t="s">
        <v>1842</v>
      </c>
      <c r="O136" s="48" t="s">
        <v>1811</v>
      </c>
      <c r="P136" s="48" t="s">
        <v>2549</v>
      </c>
      <c r="Q136" s="48" t="s">
        <v>2049</v>
      </c>
      <c r="R136" s="48" t="s">
        <v>1838</v>
      </c>
      <c r="S136" s="48" t="s">
        <v>2050</v>
      </c>
      <c r="T136" s="48" t="s">
        <v>1845</v>
      </c>
      <c r="U136" s="48" t="s">
        <v>2049</v>
      </c>
      <c r="V136" s="48" t="s">
        <v>1838</v>
      </c>
      <c r="W136" s="48" t="s">
        <v>2051</v>
      </c>
      <c r="X136" s="48" t="s">
        <v>2052</v>
      </c>
      <c r="Y136" s="48" t="s">
        <v>2050</v>
      </c>
      <c r="Z136" s="48" t="s">
        <v>2053</v>
      </c>
      <c r="AA136" s="48" t="s">
        <v>2054</v>
      </c>
      <c r="AB136" s="48" t="s">
        <v>2817</v>
      </c>
      <c r="AC136" s="48" t="s">
        <v>2055</v>
      </c>
      <c r="AD136" s="48" t="s">
        <v>2056</v>
      </c>
      <c r="AE136" s="48" t="s">
        <v>1710</v>
      </c>
      <c r="AF136" s="48" t="s">
        <v>1710</v>
      </c>
      <c r="AG136" s="48" t="s">
        <v>2057</v>
      </c>
      <c r="AH136" s="48" t="s">
        <v>1815</v>
      </c>
      <c r="AI136" s="48" t="s">
        <v>2058</v>
      </c>
      <c r="AJ136" s="48" t="s">
        <v>1710</v>
      </c>
      <c r="AK136" s="48" t="s">
        <v>2100</v>
      </c>
      <c r="AL136" s="48" t="s">
        <v>2101</v>
      </c>
      <c r="AM136" s="48" t="s">
        <v>1816</v>
      </c>
      <c r="AN136" s="48" t="s">
        <v>2054</v>
      </c>
      <c r="AO136" s="48" t="s">
        <v>1710</v>
      </c>
      <c r="AP136" s="48" t="s">
        <v>1874</v>
      </c>
      <c r="AQ136" s="48" t="s">
        <v>2078</v>
      </c>
      <c r="AR136" s="48" t="s">
        <v>1812</v>
      </c>
      <c r="AS136" s="48" t="s">
        <v>1813</v>
      </c>
      <c r="AT136" s="48" t="s">
        <v>1826</v>
      </c>
      <c r="AU136" s="48" t="s">
        <v>2061</v>
      </c>
      <c r="AV136" s="48" t="s">
        <v>2816</v>
      </c>
      <c r="AW136" s="48" t="s">
        <v>2062</v>
      </c>
      <c r="AX136" s="48" t="s">
        <v>2063</v>
      </c>
      <c r="AY136" s="48" t="s">
        <v>1710</v>
      </c>
      <c r="AZ136" s="48" t="s">
        <v>3913</v>
      </c>
      <c r="BA136" s="48" t="s">
        <v>1710</v>
      </c>
      <c r="BB136" s="48" t="s">
        <v>1709</v>
      </c>
      <c r="BC136" s="48" t="s">
        <v>1710</v>
      </c>
      <c r="BD136" s="48" t="s">
        <v>2089</v>
      </c>
      <c r="BE136" s="52" t="s">
        <v>3894</v>
      </c>
      <c r="BF136" s="48" t="s">
        <v>1710</v>
      </c>
      <c r="BG136" s="48" t="s">
        <v>1814</v>
      </c>
      <c r="BH136">
        <v>1</v>
      </c>
      <c r="BI136" s="48" t="s">
        <v>1888</v>
      </c>
      <c r="BJ136">
        <v>1</v>
      </c>
      <c r="BK136">
        <v>1473.06</v>
      </c>
      <c r="BL136">
        <v>2919216</v>
      </c>
      <c r="BM136">
        <v>1982</v>
      </c>
      <c r="BN136" s="48" t="s">
        <v>2064</v>
      </c>
      <c r="BO136" s="48" t="s">
        <v>2065</v>
      </c>
      <c r="BP136">
        <v>1473.06</v>
      </c>
      <c r="BQ136">
        <v>1996.4</v>
      </c>
      <c r="BR136" s="48" t="s">
        <v>1885</v>
      </c>
      <c r="BS136" s="48" t="s">
        <v>2066</v>
      </c>
      <c r="BT136">
        <v>1</v>
      </c>
      <c r="BU136">
        <v>21600</v>
      </c>
      <c r="BV136">
        <v>21600</v>
      </c>
      <c r="BW136" s="48" t="s">
        <v>2065</v>
      </c>
      <c r="BX136">
        <v>1473.06</v>
      </c>
      <c r="BY136">
        <v>0</v>
      </c>
      <c r="BZ136">
        <v>0</v>
      </c>
      <c r="CA136" s="48" t="s">
        <v>2065</v>
      </c>
      <c r="CB136">
        <v>1473.06</v>
      </c>
      <c r="CC136">
        <v>0</v>
      </c>
      <c r="CD136">
        <v>0</v>
      </c>
      <c r="CE136" s="48" t="s">
        <v>1710</v>
      </c>
      <c r="CF136" s="48" t="s">
        <v>1710</v>
      </c>
      <c r="CG136" s="48" t="s">
        <v>1710</v>
      </c>
      <c r="CH136" s="48" t="s">
        <v>1710</v>
      </c>
      <c r="CI136" s="48" t="s">
        <v>2067</v>
      </c>
      <c r="CJ136" s="48" t="s">
        <v>1710</v>
      </c>
      <c r="CL136" s="48" t="s">
        <v>2816</v>
      </c>
      <c r="CM136" s="48" t="s">
        <v>1710</v>
      </c>
      <c r="CN136" s="48" t="s">
        <v>2068</v>
      </c>
      <c r="CO136" s="48" t="s">
        <v>2069</v>
      </c>
      <c r="CP136" s="48" t="s">
        <v>1710</v>
      </c>
      <c r="CQ136" s="48" t="s">
        <v>1710</v>
      </c>
      <c r="CR136" s="48" t="s">
        <v>1710</v>
      </c>
      <c r="CS136" s="48" t="s">
        <v>1710</v>
      </c>
      <c r="CT136" s="48" t="s">
        <v>1710</v>
      </c>
      <c r="CU136" s="48" t="s">
        <v>1712</v>
      </c>
      <c r="CV136" s="48" t="s">
        <v>1710</v>
      </c>
      <c r="CW136" s="48" t="s">
        <v>1710</v>
      </c>
      <c r="CX136" s="48" t="s">
        <v>2823</v>
      </c>
      <c r="CY136" s="48" t="s">
        <v>1710</v>
      </c>
      <c r="CZ136" s="48" t="s">
        <v>1712</v>
      </c>
      <c r="DA136" s="48" t="s">
        <v>1710</v>
      </c>
      <c r="DB136" s="48" t="s">
        <v>1878</v>
      </c>
      <c r="DC136" s="48" t="s">
        <v>2070</v>
      </c>
      <c r="DD136" s="48" t="s">
        <v>1842</v>
      </c>
      <c r="DE136" s="48" t="s">
        <v>1886</v>
      </c>
      <c r="DF136" s="48" t="s">
        <v>3914</v>
      </c>
      <c r="DG136" s="48" t="s">
        <v>2071</v>
      </c>
      <c r="DH136" s="48" t="s">
        <v>1712</v>
      </c>
      <c r="DI136" s="48" t="s">
        <v>1710</v>
      </c>
      <c r="DJ136" s="48" t="s">
        <v>1710</v>
      </c>
      <c r="DK136" s="48" t="s">
        <v>1710</v>
      </c>
      <c r="DL136" s="48" t="s">
        <v>1710</v>
      </c>
      <c r="DM136" s="48" t="s">
        <v>1710</v>
      </c>
      <c r="DN136" s="48" t="s">
        <v>1710</v>
      </c>
      <c r="DO136" s="48" t="s">
        <v>1710</v>
      </c>
      <c r="DP136" s="48" t="s">
        <v>1710</v>
      </c>
      <c r="DQ136" s="48" t="s">
        <v>1710</v>
      </c>
      <c r="DR136" s="48" t="s">
        <v>2072</v>
      </c>
      <c r="DS136" s="48" t="s">
        <v>1710</v>
      </c>
      <c r="DT136" s="48" t="s">
        <v>1710</v>
      </c>
      <c r="DU136" s="48" t="s">
        <v>2547</v>
      </c>
      <c r="DV136" s="48" t="s">
        <v>3111</v>
      </c>
      <c r="DW136" s="48" t="s">
        <v>1710</v>
      </c>
      <c r="DX136" s="48" t="s">
        <v>3915</v>
      </c>
      <c r="DY136" s="48" t="s">
        <v>1709</v>
      </c>
      <c r="DZ136" s="48" t="s">
        <v>2562</v>
      </c>
      <c r="EA136" s="48" t="s">
        <v>2546</v>
      </c>
      <c r="EB136">
        <v>0</v>
      </c>
      <c r="EC136" s="48" t="s">
        <v>2547</v>
      </c>
      <c r="ED136" s="48" t="s">
        <v>3916</v>
      </c>
      <c r="EE136" s="48" t="s">
        <v>1814</v>
      </c>
      <c r="EF136" s="48" t="s">
        <v>1879</v>
      </c>
      <c r="EG136" s="48" t="s">
        <v>3913</v>
      </c>
      <c r="EH136">
        <v>1</v>
      </c>
      <c r="EI136" s="48" t="s">
        <v>1888</v>
      </c>
      <c r="EJ136">
        <v>1</v>
      </c>
      <c r="EK136" s="48" t="s">
        <v>1887</v>
      </c>
      <c r="EL136">
        <v>1</v>
      </c>
      <c r="EM136" s="48" t="s">
        <v>1886</v>
      </c>
      <c r="EN136">
        <v>1</v>
      </c>
      <c r="EO136" s="48" t="s">
        <v>2519</v>
      </c>
      <c r="EP136" s="48" t="s">
        <v>2706</v>
      </c>
      <c r="EQ136">
        <v>1996.4</v>
      </c>
      <c r="ER136">
        <v>1996.4</v>
      </c>
      <c r="ES136">
        <v>2919216</v>
      </c>
      <c r="ET136">
        <v>1982</v>
      </c>
      <c r="EU136" s="48" t="s">
        <v>1710</v>
      </c>
      <c r="EV136" s="48" t="s">
        <v>1710</v>
      </c>
      <c r="EW136" s="48" t="s">
        <v>1712</v>
      </c>
      <c r="EX136" s="48" t="s">
        <v>1710</v>
      </c>
      <c r="EY136" s="48" t="s">
        <v>1843</v>
      </c>
      <c r="EZ136" s="48" t="s">
        <v>1710</v>
      </c>
      <c r="FA136" s="48" t="s">
        <v>1710</v>
      </c>
      <c r="FB136" s="48" t="s">
        <v>1712</v>
      </c>
      <c r="FC136" s="48" t="s">
        <v>1710</v>
      </c>
      <c r="FD136" s="48" t="s">
        <v>1710</v>
      </c>
      <c r="FE136" s="48" t="s">
        <v>1814</v>
      </c>
      <c r="FF136" s="48" t="s">
        <v>1815</v>
      </c>
      <c r="FG136" s="48" t="s">
        <v>1710</v>
      </c>
      <c r="FH136">
        <v>1</v>
      </c>
      <c r="FI136" s="48" t="s">
        <v>1846</v>
      </c>
      <c r="FJ136">
        <v>1996.4</v>
      </c>
      <c r="FK136">
        <v>1996.4</v>
      </c>
      <c r="FL136" s="48" t="s">
        <v>3917</v>
      </c>
      <c r="FM136" s="48" t="s">
        <v>2706</v>
      </c>
      <c r="FN136" s="48" t="s">
        <v>1710</v>
      </c>
      <c r="FO136" s="48" t="s">
        <v>1710</v>
      </c>
      <c r="FP136" s="48" t="s">
        <v>1710</v>
      </c>
      <c r="FQ136" s="48" t="s">
        <v>1710</v>
      </c>
      <c r="FR136" s="48" t="s">
        <v>1710</v>
      </c>
      <c r="FS136" s="48" t="s">
        <v>1710</v>
      </c>
      <c r="FT136" s="48" t="s">
        <v>1710</v>
      </c>
      <c r="FU136" s="48" t="s">
        <v>1710</v>
      </c>
      <c r="FV136" s="48"/>
      <c r="FW136" s="56"/>
      <c r="FX136" s="56"/>
      <c r="FY136" s="56"/>
      <c r="FZ136" s="56"/>
      <c r="GA136" s="55" t="str">
        <f t="shared" si="8"/>
        <v>4388426300433X</v>
      </c>
      <c r="GB136" t="str">
        <f>VLOOKUP(B136,수출코드!$C$2:$D$4,2,FALSE)</f>
        <v>Suwon</v>
      </c>
      <c r="GC136" t="str">
        <f>VLOOKUP(L136,수출코드!$A$2:$B$6,2,FALSE)</f>
        <v/>
      </c>
      <c r="GD136" t="str">
        <f>VLOOKUP(M136,수출코드!$E$2:$F$5,2,FALSE)</f>
        <v>일반</v>
      </c>
      <c r="GE136" s="61">
        <f t="shared" si="6"/>
        <v>45973.645833333336</v>
      </c>
      <c r="GF136" s="62">
        <f t="shared" si="7"/>
        <v>46050.67291666667</v>
      </c>
      <c r="GI136" s="48" t="s">
        <v>2764</v>
      </c>
    </row>
    <row r="137" spans="1:191">
      <c r="A137" s="48" t="s">
        <v>3918</v>
      </c>
      <c r="B137" s="48" t="s">
        <v>1821</v>
      </c>
      <c r="C137" s="48" t="s">
        <v>2048</v>
      </c>
      <c r="D137" s="48" t="s">
        <v>2813</v>
      </c>
      <c r="E137" s="48" t="s">
        <v>3918</v>
      </c>
      <c r="F137" s="48" t="s">
        <v>1710</v>
      </c>
      <c r="G137" s="48" t="s">
        <v>2814</v>
      </c>
      <c r="H137" s="48" t="s">
        <v>3919</v>
      </c>
      <c r="I137" s="48" t="s">
        <v>1884</v>
      </c>
      <c r="J137" s="48" t="s">
        <v>2816</v>
      </c>
      <c r="K137" s="48" t="s">
        <v>1877</v>
      </c>
      <c r="L137" s="48" t="s">
        <v>1842</v>
      </c>
      <c r="M137" s="48" t="s">
        <v>1810</v>
      </c>
      <c r="N137" s="48" t="s">
        <v>1842</v>
      </c>
      <c r="O137" s="48" t="s">
        <v>1811</v>
      </c>
      <c r="P137" s="48" t="s">
        <v>2549</v>
      </c>
      <c r="Q137" s="48" t="s">
        <v>2049</v>
      </c>
      <c r="R137" s="48" t="s">
        <v>1838</v>
      </c>
      <c r="S137" s="48" t="s">
        <v>2050</v>
      </c>
      <c r="T137" s="48" t="s">
        <v>1845</v>
      </c>
      <c r="U137" s="48" t="s">
        <v>2049</v>
      </c>
      <c r="V137" s="48" t="s">
        <v>1838</v>
      </c>
      <c r="W137" s="48" t="s">
        <v>2051</v>
      </c>
      <c r="X137" s="48" t="s">
        <v>2052</v>
      </c>
      <c r="Y137" s="48" t="s">
        <v>2050</v>
      </c>
      <c r="Z137" s="48" t="s">
        <v>2053</v>
      </c>
      <c r="AA137" s="48" t="s">
        <v>2054</v>
      </c>
      <c r="AB137" s="48" t="s">
        <v>2817</v>
      </c>
      <c r="AC137" s="48" t="s">
        <v>2055</v>
      </c>
      <c r="AD137" s="48" t="s">
        <v>2056</v>
      </c>
      <c r="AE137" s="48" t="s">
        <v>1710</v>
      </c>
      <c r="AF137" s="48" t="s">
        <v>1710</v>
      </c>
      <c r="AG137" s="48" t="s">
        <v>2057</v>
      </c>
      <c r="AH137" s="48" t="s">
        <v>1815</v>
      </c>
      <c r="AI137" s="48" t="s">
        <v>2058</v>
      </c>
      <c r="AJ137" s="48" t="s">
        <v>1710</v>
      </c>
      <c r="AK137" s="48" t="s">
        <v>2553</v>
      </c>
      <c r="AL137" s="48" t="s">
        <v>2554</v>
      </c>
      <c r="AM137" s="48" t="s">
        <v>1816</v>
      </c>
      <c r="AN137" s="48" t="s">
        <v>2054</v>
      </c>
      <c r="AO137" s="48" t="s">
        <v>1710</v>
      </c>
      <c r="AP137" s="48" t="s">
        <v>1853</v>
      </c>
      <c r="AQ137" s="48" t="s">
        <v>2086</v>
      </c>
      <c r="AR137" s="48" t="s">
        <v>1812</v>
      </c>
      <c r="AS137" s="48" t="s">
        <v>1813</v>
      </c>
      <c r="AT137" s="48" t="s">
        <v>1826</v>
      </c>
      <c r="AU137" s="48" t="s">
        <v>2061</v>
      </c>
      <c r="AV137" s="48" t="s">
        <v>2816</v>
      </c>
      <c r="AW137" s="48" t="s">
        <v>2062</v>
      </c>
      <c r="AX137" s="48" t="s">
        <v>2063</v>
      </c>
      <c r="AY137" s="48" t="s">
        <v>1710</v>
      </c>
      <c r="AZ137" s="48" t="s">
        <v>3920</v>
      </c>
      <c r="BA137" s="48" t="s">
        <v>1710</v>
      </c>
      <c r="BB137" s="48" t="s">
        <v>1709</v>
      </c>
      <c r="BC137" s="48" t="s">
        <v>1710</v>
      </c>
      <c r="BD137" s="48" t="s">
        <v>2089</v>
      </c>
      <c r="BE137" s="52" t="s">
        <v>3894</v>
      </c>
      <c r="BF137" s="48" t="s">
        <v>1710</v>
      </c>
      <c r="BG137" s="48" t="s">
        <v>1814</v>
      </c>
      <c r="BH137">
        <v>1</v>
      </c>
      <c r="BI137" s="48" t="s">
        <v>1888</v>
      </c>
      <c r="BJ137">
        <v>1</v>
      </c>
      <c r="BK137">
        <v>1473.06</v>
      </c>
      <c r="BL137">
        <v>71228</v>
      </c>
      <c r="BM137">
        <v>48</v>
      </c>
      <c r="BN137" s="48" t="s">
        <v>2064</v>
      </c>
      <c r="BO137" s="48" t="s">
        <v>2065</v>
      </c>
      <c r="BP137">
        <v>1473.06</v>
      </c>
      <c r="BQ137">
        <v>62.61</v>
      </c>
      <c r="BR137" s="48" t="s">
        <v>1885</v>
      </c>
      <c r="BS137" s="48" t="s">
        <v>2066</v>
      </c>
      <c r="BT137">
        <v>1</v>
      </c>
      <c r="BU137">
        <v>21000</v>
      </c>
      <c r="BV137">
        <v>21000</v>
      </c>
      <c r="BW137" s="48" t="s">
        <v>2065</v>
      </c>
      <c r="BX137">
        <v>1473.06</v>
      </c>
      <c r="BY137">
        <v>0</v>
      </c>
      <c r="BZ137">
        <v>0</v>
      </c>
      <c r="CA137" s="48" t="s">
        <v>2065</v>
      </c>
      <c r="CB137">
        <v>1473.06</v>
      </c>
      <c r="CC137">
        <v>0</v>
      </c>
      <c r="CD137">
        <v>0</v>
      </c>
      <c r="CE137" s="48" t="s">
        <v>1710</v>
      </c>
      <c r="CF137" s="48" t="s">
        <v>1710</v>
      </c>
      <c r="CG137" s="48" t="s">
        <v>1710</v>
      </c>
      <c r="CH137" s="48" t="s">
        <v>1710</v>
      </c>
      <c r="CI137" s="48" t="s">
        <v>2067</v>
      </c>
      <c r="CJ137" s="48" t="s">
        <v>1710</v>
      </c>
      <c r="CL137" s="48" t="s">
        <v>2816</v>
      </c>
      <c r="CM137" s="48" t="s">
        <v>1710</v>
      </c>
      <c r="CN137" s="48" t="s">
        <v>2068</v>
      </c>
      <c r="CO137" s="48" t="s">
        <v>2069</v>
      </c>
      <c r="CP137" s="48" t="s">
        <v>1710</v>
      </c>
      <c r="CQ137" s="48" t="s">
        <v>1710</v>
      </c>
      <c r="CR137" s="48" t="s">
        <v>1710</v>
      </c>
      <c r="CS137" s="48" t="s">
        <v>1710</v>
      </c>
      <c r="CT137" s="48" t="s">
        <v>1710</v>
      </c>
      <c r="CU137" s="48" t="s">
        <v>1712</v>
      </c>
      <c r="CV137" s="48" t="s">
        <v>1710</v>
      </c>
      <c r="CW137" s="48" t="s">
        <v>1710</v>
      </c>
      <c r="CX137" s="48" t="s">
        <v>2823</v>
      </c>
      <c r="CY137" s="48" t="s">
        <v>1710</v>
      </c>
      <c r="CZ137" s="48" t="s">
        <v>1712</v>
      </c>
      <c r="DA137" s="48" t="s">
        <v>1710</v>
      </c>
      <c r="DB137" s="48" t="s">
        <v>1878</v>
      </c>
      <c r="DC137" s="48" t="s">
        <v>2070</v>
      </c>
      <c r="DD137" s="48" t="s">
        <v>1842</v>
      </c>
      <c r="DE137" s="48" t="s">
        <v>1886</v>
      </c>
      <c r="DF137" s="48" t="s">
        <v>3921</v>
      </c>
      <c r="DG137" s="48" t="s">
        <v>2071</v>
      </c>
      <c r="DH137" s="48" t="s">
        <v>1712</v>
      </c>
      <c r="DI137" s="48" t="s">
        <v>1710</v>
      </c>
      <c r="DJ137" s="48" t="s">
        <v>1710</v>
      </c>
      <c r="DK137" s="48" t="s">
        <v>1710</v>
      </c>
      <c r="DL137" s="48" t="s">
        <v>1710</v>
      </c>
      <c r="DM137" s="48" t="s">
        <v>1710</v>
      </c>
      <c r="DN137" s="48" t="s">
        <v>1710</v>
      </c>
      <c r="DO137" s="48" t="s">
        <v>1710</v>
      </c>
      <c r="DP137" s="48" t="s">
        <v>1710</v>
      </c>
      <c r="DQ137" s="48" t="s">
        <v>1710</v>
      </c>
      <c r="DR137" s="48" t="s">
        <v>2072</v>
      </c>
      <c r="DS137" s="48" t="s">
        <v>1710</v>
      </c>
      <c r="DT137" s="48" t="s">
        <v>1710</v>
      </c>
      <c r="DU137" s="48" t="s">
        <v>2547</v>
      </c>
      <c r="DV137" s="48" t="s">
        <v>3111</v>
      </c>
      <c r="DW137" s="48" t="s">
        <v>1710</v>
      </c>
      <c r="DX137" s="48" t="s">
        <v>3922</v>
      </c>
      <c r="DY137" s="48" t="s">
        <v>1709</v>
      </c>
      <c r="DZ137" s="48" t="s">
        <v>2562</v>
      </c>
      <c r="EA137" s="48" t="s">
        <v>2546</v>
      </c>
      <c r="EB137">
        <v>0</v>
      </c>
      <c r="EC137" s="48" t="s">
        <v>2547</v>
      </c>
      <c r="ED137" s="48" t="s">
        <v>3916</v>
      </c>
      <c r="EE137" s="48" t="s">
        <v>1814</v>
      </c>
      <c r="EF137" s="48" t="s">
        <v>3697</v>
      </c>
      <c r="EG137" s="48" t="s">
        <v>3920</v>
      </c>
      <c r="EH137">
        <v>0.16</v>
      </c>
      <c r="EI137" s="48" t="s">
        <v>1888</v>
      </c>
      <c r="EJ137">
        <v>0</v>
      </c>
      <c r="EK137" s="48" t="s">
        <v>1710</v>
      </c>
      <c r="EL137">
        <v>1</v>
      </c>
      <c r="EM137" s="48" t="s">
        <v>1886</v>
      </c>
      <c r="EN137">
        <v>0.16</v>
      </c>
      <c r="EO137" s="48" t="s">
        <v>2593</v>
      </c>
      <c r="EP137" s="48" t="s">
        <v>3923</v>
      </c>
      <c r="EQ137">
        <v>62.61</v>
      </c>
      <c r="ER137">
        <v>62.61</v>
      </c>
      <c r="ES137">
        <v>71228</v>
      </c>
      <c r="ET137">
        <v>48</v>
      </c>
      <c r="EU137" s="48" t="s">
        <v>1710</v>
      </c>
      <c r="EV137" s="48" t="s">
        <v>1710</v>
      </c>
      <c r="EW137" s="48" t="s">
        <v>1712</v>
      </c>
      <c r="EX137" s="48" t="s">
        <v>1710</v>
      </c>
      <c r="EY137" s="48" t="s">
        <v>1848</v>
      </c>
      <c r="EZ137" s="48" t="s">
        <v>1710</v>
      </c>
      <c r="FA137" s="48" t="s">
        <v>1710</v>
      </c>
      <c r="FB137" s="48" t="s">
        <v>1712</v>
      </c>
      <c r="FC137" s="48" t="s">
        <v>1710</v>
      </c>
      <c r="FD137" s="48" t="s">
        <v>1710</v>
      </c>
      <c r="FE137" s="48" t="s">
        <v>1814</v>
      </c>
      <c r="FF137" s="48" t="s">
        <v>1815</v>
      </c>
      <c r="FG137" s="48" t="s">
        <v>1710</v>
      </c>
      <c r="FH137">
        <v>1</v>
      </c>
      <c r="FI137" s="48" t="s">
        <v>1846</v>
      </c>
      <c r="FJ137">
        <v>62.61</v>
      </c>
      <c r="FK137">
        <v>62.61</v>
      </c>
      <c r="FL137" s="48" t="s">
        <v>3924</v>
      </c>
      <c r="FM137" s="48" t="s">
        <v>3923</v>
      </c>
      <c r="FN137" s="48" t="s">
        <v>1710</v>
      </c>
      <c r="FO137" s="48" t="s">
        <v>1710</v>
      </c>
      <c r="FP137" s="48" t="s">
        <v>1710</v>
      </c>
      <c r="FQ137" s="48" t="s">
        <v>1710</v>
      </c>
      <c r="FR137" s="48" t="s">
        <v>1710</v>
      </c>
      <c r="FS137" s="48" t="s">
        <v>1710</v>
      </c>
      <c r="FT137" s="48" t="s">
        <v>1710</v>
      </c>
      <c r="FU137" s="48" t="s">
        <v>1710</v>
      </c>
      <c r="FV137" s="48"/>
      <c r="FW137" s="56"/>
      <c r="FX137" s="56"/>
      <c r="FY137" s="56"/>
      <c r="FZ137" s="56"/>
      <c r="GA137" s="55" t="str">
        <f t="shared" si="8"/>
        <v>4388426300434X</v>
      </c>
      <c r="GB137" t="str">
        <f>VLOOKUP(B137,수출코드!$C$2:$D$4,2,FALSE)</f>
        <v>Suwon</v>
      </c>
      <c r="GC137" t="str">
        <f>VLOOKUP(L137,수출코드!$A$2:$B$6,2,FALSE)</f>
        <v/>
      </c>
      <c r="GD137" t="str">
        <f>VLOOKUP(M137,수출코드!$E$2:$F$5,2,FALSE)</f>
        <v>일반</v>
      </c>
      <c r="GE137" s="61">
        <f t="shared" si="6"/>
        <v>45973.645833333336</v>
      </c>
      <c r="GF137" s="62">
        <f t="shared" si="7"/>
        <v>46050.67291666667</v>
      </c>
      <c r="GI137" s="48" t="s">
        <v>2764</v>
      </c>
    </row>
    <row r="138" spans="1:191">
      <c r="A138" s="48" t="s">
        <v>3925</v>
      </c>
      <c r="B138" s="48" t="s">
        <v>1821</v>
      </c>
      <c r="C138" s="48" t="s">
        <v>2048</v>
      </c>
      <c r="D138" s="48" t="s">
        <v>2813</v>
      </c>
      <c r="E138" s="48" t="s">
        <v>3925</v>
      </c>
      <c r="F138" s="48" t="s">
        <v>1710</v>
      </c>
      <c r="G138" s="48" t="s">
        <v>2814</v>
      </c>
      <c r="H138" s="48" t="s">
        <v>3926</v>
      </c>
      <c r="I138" s="48" t="s">
        <v>1884</v>
      </c>
      <c r="J138" s="48" t="s">
        <v>2816</v>
      </c>
      <c r="K138" s="48" t="s">
        <v>1877</v>
      </c>
      <c r="L138" s="48" t="s">
        <v>1842</v>
      </c>
      <c r="M138" s="48" t="s">
        <v>1810</v>
      </c>
      <c r="N138" s="48" t="s">
        <v>1842</v>
      </c>
      <c r="O138" s="48" t="s">
        <v>1811</v>
      </c>
      <c r="P138" s="48" t="s">
        <v>2549</v>
      </c>
      <c r="Q138" s="48" t="s">
        <v>2049</v>
      </c>
      <c r="R138" s="48" t="s">
        <v>1838</v>
      </c>
      <c r="S138" s="48" t="s">
        <v>2050</v>
      </c>
      <c r="T138" s="48" t="s">
        <v>1845</v>
      </c>
      <c r="U138" s="48" t="s">
        <v>2049</v>
      </c>
      <c r="V138" s="48" t="s">
        <v>1838</v>
      </c>
      <c r="W138" s="48" t="s">
        <v>2051</v>
      </c>
      <c r="X138" s="48" t="s">
        <v>2052</v>
      </c>
      <c r="Y138" s="48" t="s">
        <v>2050</v>
      </c>
      <c r="Z138" s="48" t="s">
        <v>2053</v>
      </c>
      <c r="AA138" s="48" t="s">
        <v>2054</v>
      </c>
      <c r="AB138" s="48" t="s">
        <v>2817</v>
      </c>
      <c r="AC138" s="48" t="s">
        <v>2055</v>
      </c>
      <c r="AD138" s="48" t="s">
        <v>2056</v>
      </c>
      <c r="AE138" s="48" t="s">
        <v>1710</v>
      </c>
      <c r="AF138" s="48" t="s">
        <v>1710</v>
      </c>
      <c r="AG138" s="48" t="s">
        <v>2057</v>
      </c>
      <c r="AH138" s="48" t="s">
        <v>1815</v>
      </c>
      <c r="AI138" s="48" t="s">
        <v>2058</v>
      </c>
      <c r="AJ138" s="48" t="s">
        <v>1710</v>
      </c>
      <c r="AK138" s="48" t="s">
        <v>2090</v>
      </c>
      <c r="AL138" s="48" t="s">
        <v>2091</v>
      </c>
      <c r="AM138" s="48" t="s">
        <v>1816</v>
      </c>
      <c r="AN138" s="48" t="s">
        <v>2054</v>
      </c>
      <c r="AO138" s="48" t="s">
        <v>1710</v>
      </c>
      <c r="AP138" s="48" t="s">
        <v>1853</v>
      </c>
      <c r="AQ138" s="48" t="s">
        <v>2086</v>
      </c>
      <c r="AR138" s="48" t="s">
        <v>1812</v>
      </c>
      <c r="AS138" s="48" t="s">
        <v>1813</v>
      </c>
      <c r="AT138" s="48" t="s">
        <v>1826</v>
      </c>
      <c r="AU138" s="48" t="s">
        <v>2061</v>
      </c>
      <c r="AV138" s="48" t="s">
        <v>2816</v>
      </c>
      <c r="AW138" s="48" t="s">
        <v>2062</v>
      </c>
      <c r="AX138" s="48" t="s">
        <v>2063</v>
      </c>
      <c r="AY138" s="48" t="s">
        <v>1710</v>
      </c>
      <c r="AZ138" s="48" t="s">
        <v>3927</v>
      </c>
      <c r="BA138" s="48" t="s">
        <v>1710</v>
      </c>
      <c r="BB138" s="48" t="s">
        <v>1709</v>
      </c>
      <c r="BC138" s="48" t="s">
        <v>1710</v>
      </c>
      <c r="BD138" s="48" t="s">
        <v>2089</v>
      </c>
      <c r="BE138" s="52" t="s">
        <v>3894</v>
      </c>
      <c r="BF138" s="48" t="s">
        <v>1710</v>
      </c>
      <c r="BG138" s="48" t="s">
        <v>1814</v>
      </c>
      <c r="BH138">
        <v>25</v>
      </c>
      <c r="BI138" s="48" t="s">
        <v>1888</v>
      </c>
      <c r="BJ138">
        <v>1</v>
      </c>
      <c r="BK138">
        <v>1473.06</v>
      </c>
      <c r="BL138">
        <v>19123779</v>
      </c>
      <c r="BM138">
        <v>12982</v>
      </c>
      <c r="BN138" s="48" t="s">
        <v>2064</v>
      </c>
      <c r="BO138" s="48" t="s">
        <v>2065</v>
      </c>
      <c r="BP138">
        <v>1473.06</v>
      </c>
      <c r="BQ138">
        <v>13074.81</v>
      </c>
      <c r="BR138" s="48" t="s">
        <v>1885</v>
      </c>
      <c r="BS138" s="48" t="s">
        <v>2066</v>
      </c>
      <c r="BT138">
        <v>1</v>
      </c>
      <c r="BU138">
        <v>136200</v>
      </c>
      <c r="BV138">
        <v>136200</v>
      </c>
      <c r="BW138" s="48" t="s">
        <v>2065</v>
      </c>
      <c r="BX138">
        <v>1473.06</v>
      </c>
      <c r="BY138">
        <v>0</v>
      </c>
      <c r="BZ138">
        <v>0</v>
      </c>
      <c r="CA138" s="48" t="s">
        <v>2065</v>
      </c>
      <c r="CB138">
        <v>1473.06</v>
      </c>
      <c r="CC138">
        <v>0</v>
      </c>
      <c r="CD138">
        <v>0</v>
      </c>
      <c r="CE138" s="48" t="s">
        <v>1710</v>
      </c>
      <c r="CF138" s="48" t="s">
        <v>1710</v>
      </c>
      <c r="CG138" s="48" t="s">
        <v>1710</v>
      </c>
      <c r="CH138" s="48" t="s">
        <v>1710</v>
      </c>
      <c r="CI138" s="48" t="s">
        <v>2067</v>
      </c>
      <c r="CJ138" s="48" t="s">
        <v>1710</v>
      </c>
      <c r="CL138" s="48" t="s">
        <v>2816</v>
      </c>
      <c r="CM138" s="48" t="s">
        <v>1710</v>
      </c>
      <c r="CN138" s="48" t="s">
        <v>2068</v>
      </c>
      <c r="CO138" s="48" t="s">
        <v>2069</v>
      </c>
      <c r="CP138" s="48" t="s">
        <v>1710</v>
      </c>
      <c r="CQ138" s="48" t="s">
        <v>1710</v>
      </c>
      <c r="CR138" s="48" t="s">
        <v>1710</v>
      </c>
      <c r="CS138" s="48" t="s">
        <v>1710</v>
      </c>
      <c r="CT138" s="48" t="s">
        <v>1710</v>
      </c>
      <c r="CU138" s="48" t="s">
        <v>1712</v>
      </c>
      <c r="CV138" s="48" t="s">
        <v>1710</v>
      </c>
      <c r="CW138" s="48" t="s">
        <v>1710</v>
      </c>
      <c r="CX138" s="48" t="s">
        <v>2823</v>
      </c>
      <c r="CY138" s="48" t="s">
        <v>1710</v>
      </c>
      <c r="CZ138" s="48" t="s">
        <v>1712</v>
      </c>
      <c r="DA138" s="48" t="s">
        <v>1710</v>
      </c>
      <c r="DB138" s="48" t="s">
        <v>1878</v>
      </c>
      <c r="DC138" s="48" t="s">
        <v>2070</v>
      </c>
      <c r="DD138" s="48" t="s">
        <v>1842</v>
      </c>
      <c r="DE138" s="48" t="s">
        <v>1886</v>
      </c>
      <c r="DF138" s="48" t="s">
        <v>3928</v>
      </c>
      <c r="DG138" s="48" t="s">
        <v>2071</v>
      </c>
      <c r="DH138" s="48" t="s">
        <v>1712</v>
      </c>
      <c r="DI138" s="48" t="s">
        <v>1710</v>
      </c>
      <c r="DJ138" s="48" t="s">
        <v>1710</v>
      </c>
      <c r="DK138" s="48" t="s">
        <v>1710</v>
      </c>
      <c r="DL138" s="48" t="s">
        <v>1710</v>
      </c>
      <c r="DM138" s="48" t="s">
        <v>1710</v>
      </c>
      <c r="DN138" s="48" t="s">
        <v>1710</v>
      </c>
      <c r="DO138" s="48" t="s">
        <v>1710</v>
      </c>
      <c r="DP138" s="48" t="s">
        <v>1710</v>
      </c>
      <c r="DQ138" s="48" t="s">
        <v>1710</v>
      </c>
      <c r="DR138" s="48" t="s">
        <v>2072</v>
      </c>
      <c r="DS138" s="48" t="s">
        <v>1710</v>
      </c>
      <c r="DT138" s="48" t="s">
        <v>1710</v>
      </c>
      <c r="DU138" s="48" t="s">
        <v>2547</v>
      </c>
      <c r="DV138" s="48" t="s">
        <v>3111</v>
      </c>
      <c r="DW138" s="48" t="s">
        <v>1710</v>
      </c>
      <c r="DX138" s="48" t="s">
        <v>3929</v>
      </c>
      <c r="DY138" s="48" t="s">
        <v>1709</v>
      </c>
      <c r="DZ138" s="48" t="s">
        <v>2562</v>
      </c>
      <c r="EA138" s="48" t="s">
        <v>2546</v>
      </c>
      <c r="EB138">
        <v>0</v>
      </c>
      <c r="EC138" s="48" t="s">
        <v>2547</v>
      </c>
      <c r="ED138" s="48" t="s">
        <v>3916</v>
      </c>
      <c r="EE138" s="48" t="s">
        <v>1814</v>
      </c>
      <c r="EF138" s="48" t="s">
        <v>1852</v>
      </c>
      <c r="EG138" s="48" t="s">
        <v>3927</v>
      </c>
      <c r="EH138">
        <v>20</v>
      </c>
      <c r="EI138" s="48" t="s">
        <v>1888</v>
      </c>
      <c r="EJ138">
        <v>0</v>
      </c>
      <c r="EK138" s="48" t="s">
        <v>1710</v>
      </c>
      <c r="EL138">
        <v>1</v>
      </c>
      <c r="EM138" s="48" t="s">
        <v>1886</v>
      </c>
      <c r="EN138">
        <v>20</v>
      </c>
      <c r="EO138" s="48" t="s">
        <v>2521</v>
      </c>
      <c r="EP138" s="48" t="s">
        <v>3930</v>
      </c>
      <c r="EQ138">
        <v>13074.81</v>
      </c>
      <c r="ER138">
        <v>13074.81</v>
      </c>
      <c r="ES138">
        <v>19123779</v>
      </c>
      <c r="ET138">
        <v>12982</v>
      </c>
      <c r="EU138" s="48" t="s">
        <v>1710</v>
      </c>
      <c r="EV138" s="48" t="s">
        <v>1710</v>
      </c>
      <c r="EW138" s="48" t="s">
        <v>1712</v>
      </c>
      <c r="EX138" s="48" t="s">
        <v>1710</v>
      </c>
      <c r="EY138" s="48" t="s">
        <v>1848</v>
      </c>
      <c r="EZ138" s="48" t="s">
        <v>1710</v>
      </c>
      <c r="FA138" s="48" t="s">
        <v>1710</v>
      </c>
      <c r="FB138" s="48" t="s">
        <v>1712</v>
      </c>
      <c r="FC138" s="48" t="s">
        <v>1710</v>
      </c>
      <c r="FD138" s="48" t="s">
        <v>1710</v>
      </c>
      <c r="FE138" s="48" t="s">
        <v>1814</v>
      </c>
      <c r="FF138" s="48" t="s">
        <v>1815</v>
      </c>
      <c r="FG138" s="48" t="s">
        <v>1710</v>
      </c>
      <c r="FH138">
        <v>1</v>
      </c>
      <c r="FI138" s="48" t="s">
        <v>1846</v>
      </c>
      <c r="FJ138">
        <v>13074.81</v>
      </c>
      <c r="FK138">
        <v>13074.81</v>
      </c>
      <c r="FL138" s="48" t="s">
        <v>3931</v>
      </c>
      <c r="FM138" s="48" t="s">
        <v>3930</v>
      </c>
      <c r="FN138" s="48" t="s">
        <v>1710</v>
      </c>
      <c r="FO138" s="48" t="s">
        <v>1710</v>
      </c>
      <c r="FP138" s="48" t="s">
        <v>1710</v>
      </c>
      <c r="FQ138" s="48" t="s">
        <v>1710</v>
      </c>
      <c r="FR138" s="48" t="s">
        <v>1710</v>
      </c>
      <c r="FS138" s="48" t="s">
        <v>1710</v>
      </c>
      <c r="FT138" s="48" t="s">
        <v>1710</v>
      </c>
      <c r="FU138" s="48" t="s">
        <v>1710</v>
      </c>
      <c r="FV138" s="48"/>
      <c r="FW138" s="56"/>
      <c r="FX138" s="56"/>
      <c r="FY138" s="56"/>
      <c r="FZ138" s="56"/>
      <c r="GA138" s="55" t="str">
        <f t="shared" si="8"/>
        <v>4388426300435X</v>
      </c>
      <c r="GB138" t="str">
        <f>VLOOKUP(B138,수출코드!$C$2:$D$4,2,FALSE)</f>
        <v>Suwon</v>
      </c>
      <c r="GC138" t="str">
        <f>VLOOKUP(L138,수출코드!$A$2:$B$6,2,FALSE)</f>
        <v/>
      </c>
      <c r="GD138" t="str">
        <f>VLOOKUP(M138,수출코드!$E$2:$F$5,2,FALSE)</f>
        <v>일반</v>
      </c>
      <c r="GE138" s="61">
        <f t="shared" si="6"/>
        <v>45973.645833333336</v>
      </c>
      <c r="GF138" s="62">
        <f t="shared" si="7"/>
        <v>46050.67291666667</v>
      </c>
      <c r="GI138" s="48" t="s">
        <v>2764</v>
      </c>
    </row>
    <row r="139" spans="1:191">
      <c r="A139" s="48" t="s">
        <v>3932</v>
      </c>
      <c r="B139" s="48" t="s">
        <v>1821</v>
      </c>
      <c r="C139" s="48" t="s">
        <v>2048</v>
      </c>
      <c r="D139" s="48" t="s">
        <v>2813</v>
      </c>
      <c r="E139" s="48" t="s">
        <v>3932</v>
      </c>
      <c r="F139" s="48" t="s">
        <v>1710</v>
      </c>
      <c r="G139" s="48" t="s">
        <v>2814</v>
      </c>
      <c r="H139" s="48" t="s">
        <v>3933</v>
      </c>
      <c r="I139" s="48" t="s">
        <v>1884</v>
      </c>
      <c r="J139" s="48" t="s">
        <v>2816</v>
      </c>
      <c r="K139" s="48" t="s">
        <v>1877</v>
      </c>
      <c r="L139" s="48" t="s">
        <v>1842</v>
      </c>
      <c r="M139" s="48" t="s">
        <v>1810</v>
      </c>
      <c r="N139" s="48" t="s">
        <v>1842</v>
      </c>
      <c r="O139" s="48" t="s">
        <v>1811</v>
      </c>
      <c r="P139" s="48" t="s">
        <v>2549</v>
      </c>
      <c r="Q139" s="48" t="s">
        <v>2049</v>
      </c>
      <c r="R139" s="48" t="s">
        <v>1838</v>
      </c>
      <c r="S139" s="48" t="s">
        <v>2050</v>
      </c>
      <c r="T139" s="48" t="s">
        <v>1845</v>
      </c>
      <c r="U139" s="48" t="s">
        <v>2049</v>
      </c>
      <c r="V139" s="48" t="s">
        <v>1838</v>
      </c>
      <c r="W139" s="48" t="s">
        <v>2051</v>
      </c>
      <c r="X139" s="48" t="s">
        <v>2052</v>
      </c>
      <c r="Y139" s="48" t="s">
        <v>2050</v>
      </c>
      <c r="Z139" s="48" t="s">
        <v>2053</v>
      </c>
      <c r="AA139" s="48" t="s">
        <v>2054</v>
      </c>
      <c r="AB139" s="48" t="s">
        <v>2817</v>
      </c>
      <c r="AC139" s="48" t="s">
        <v>2055</v>
      </c>
      <c r="AD139" s="48" t="s">
        <v>2056</v>
      </c>
      <c r="AE139" s="48" t="s">
        <v>1710</v>
      </c>
      <c r="AF139" s="48" t="s">
        <v>1710</v>
      </c>
      <c r="AG139" s="48" t="s">
        <v>2057</v>
      </c>
      <c r="AH139" s="48" t="s">
        <v>1815</v>
      </c>
      <c r="AI139" s="48" t="s">
        <v>2058</v>
      </c>
      <c r="AJ139" s="48" t="s">
        <v>1710</v>
      </c>
      <c r="AK139" s="48" t="s">
        <v>1839</v>
      </c>
      <c r="AL139" s="48" t="s">
        <v>1840</v>
      </c>
      <c r="AM139" s="48" t="s">
        <v>1816</v>
      </c>
      <c r="AN139" s="48" t="s">
        <v>2054</v>
      </c>
      <c r="AO139" s="48" t="s">
        <v>1710</v>
      </c>
      <c r="AP139" s="48" t="s">
        <v>1874</v>
      </c>
      <c r="AQ139" s="48" t="s">
        <v>2078</v>
      </c>
      <c r="AR139" s="48" t="s">
        <v>1812</v>
      </c>
      <c r="AS139" s="48" t="s">
        <v>1813</v>
      </c>
      <c r="AT139" s="48" t="s">
        <v>1826</v>
      </c>
      <c r="AU139" s="48" t="s">
        <v>2061</v>
      </c>
      <c r="AV139" s="48" t="s">
        <v>2816</v>
      </c>
      <c r="AW139" s="48" t="s">
        <v>2062</v>
      </c>
      <c r="AX139" s="48" t="s">
        <v>2063</v>
      </c>
      <c r="AY139" s="48" t="s">
        <v>1710</v>
      </c>
      <c r="AZ139" s="48" t="s">
        <v>3934</v>
      </c>
      <c r="BA139" s="48" t="s">
        <v>1710</v>
      </c>
      <c r="BB139" s="48" t="s">
        <v>1709</v>
      </c>
      <c r="BC139" s="48" t="s">
        <v>1710</v>
      </c>
      <c r="BD139" s="48" t="s">
        <v>2864</v>
      </c>
      <c r="BE139" s="52" t="s">
        <v>3935</v>
      </c>
      <c r="BF139" s="48" t="s">
        <v>1710</v>
      </c>
      <c r="BG139" s="48" t="s">
        <v>1817</v>
      </c>
      <c r="BH139">
        <v>8</v>
      </c>
      <c r="BI139" s="48" t="s">
        <v>1888</v>
      </c>
      <c r="BJ139">
        <v>1</v>
      </c>
      <c r="BK139">
        <v>1473.06</v>
      </c>
      <c r="BL139">
        <v>946759</v>
      </c>
      <c r="BM139">
        <v>643</v>
      </c>
      <c r="BN139" s="48" t="s">
        <v>2064</v>
      </c>
      <c r="BO139" s="48" t="s">
        <v>2065</v>
      </c>
      <c r="BP139">
        <v>1473.06</v>
      </c>
      <c r="BQ139">
        <v>684.67</v>
      </c>
      <c r="BR139" s="48" t="s">
        <v>1885</v>
      </c>
      <c r="BS139" s="48" t="s">
        <v>2066</v>
      </c>
      <c r="BT139">
        <v>1</v>
      </c>
      <c r="BU139">
        <v>61800</v>
      </c>
      <c r="BV139">
        <v>61800</v>
      </c>
      <c r="BW139" s="48" t="s">
        <v>2065</v>
      </c>
      <c r="BX139">
        <v>1473.06</v>
      </c>
      <c r="BY139">
        <v>0</v>
      </c>
      <c r="BZ139">
        <v>0</v>
      </c>
      <c r="CA139" s="48" t="s">
        <v>2065</v>
      </c>
      <c r="CB139">
        <v>1473.06</v>
      </c>
      <c r="CC139">
        <v>0</v>
      </c>
      <c r="CD139">
        <v>0</v>
      </c>
      <c r="CE139" s="48" t="s">
        <v>1710</v>
      </c>
      <c r="CF139" s="48" t="s">
        <v>1710</v>
      </c>
      <c r="CG139" s="48" t="s">
        <v>1710</v>
      </c>
      <c r="CH139" s="48" t="s">
        <v>1710</v>
      </c>
      <c r="CI139" s="48" t="s">
        <v>2067</v>
      </c>
      <c r="CJ139" s="48" t="s">
        <v>1710</v>
      </c>
      <c r="CL139" s="48" t="s">
        <v>2816</v>
      </c>
      <c r="CM139" s="48" t="s">
        <v>1710</v>
      </c>
      <c r="CN139" s="48" t="s">
        <v>2068</v>
      </c>
      <c r="CO139" s="48" t="s">
        <v>2069</v>
      </c>
      <c r="CP139" s="48" t="s">
        <v>1710</v>
      </c>
      <c r="CQ139" s="48" t="s">
        <v>1710</v>
      </c>
      <c r="CR139" s="48" t="s">
        <v>1710</v>
      </c>
      <c r="CS139" s="48" t="s">
        <v>1710</v>
      </c>
      <c r="CT139" s="48" t="s">
        <v>1710</v>
      </c>
      <c r="CU139" s="48" t="s">
        <v>1712</v>
      </c>
      <c r="CV139" s="48" t="s">
        <v>1710</v>
      </c>
      <c r="CW139" s="48" t="s">
        <v>1710</v>
      </c>
      <c r="CX139" s="48" t="s">
        <v>2823</v>
      </c>
      <c r="CY139" s="48" t="s">
        <v>1710</v>
      </c>
      <c r="CZ139" s="48" t="s">
        <v>1712</v>
      </c>
      <c r="DA139" s="48" t="s">
        <v>1710</v>
      </c>
      <c r="DB139" s="48" t="s">
        <v>1878</v>
      </c>
      <c r="DC139" s="48" t="s">
        <v>2070</v>
      </c>
      <c r="DD139" s="48" t="s">
        <v>1842</v>
      </c>
      <c r="DE139" s="48" t="s">
        <v>1886</v>
      </c>
      <c r="DF139" s="48" t="s">
        <v>3936</v>
      </c>
      <c r="DG139" s="48" t="s">
        <v>2071</v>
      </c>
      <c r="DH139" s="48" t="s">
        <v>1712</v>
      </c>
      <c r="DI139" s="48" t="s">
        <v>1710</v>
      </c>
      <c r="DJ139" s="48" t="s">
        <v>1710</v>
      </c>
      <c r="DK139" s="48" t="s">
        <v>1710</v>
      </c>
      <c r="DL139" s="48" t="s">
        <v>1710</v>
      </c>
      <c r="DM139" s="48" t="s">
        <v>1710</v>
      </c>
      <c r="DN139" s="48" t="s">
        <v>1710</v>
      </c>
      <c r="DO139" s="48" t="s">
        <v>1710</v>
      </c>
      <c r="DP139" s="48" t="s">
        <v>1710</v>
      </c>
      <c r="DQ139" s="48" t="s">
        <v>1710</v>
      </c>
      <c r="DR139" s="48" t="s">
        <v>2072</v>
      </c>
      <c r="DS139" s="48" t="s">
        <v>1710</v>
      </c>
      <c r="DT139" s="48" t="s">
        <v>1710</v>
      </c>
      <c r="DU139" s="48" t="s">
        <v>2547</v>
      </c>
      <c r="DV139" s="48" t="s">
        <v>2825</v>
      </c>
      <c r="DW139" s="48" t="s">
        <v>1710</v>
      </c>
      <c r="DX139" s="48" t="s">
        <v>3937</v>
      </c>
      <c r="DY139" s="48" t="s">
        <v>1709</v>
      </c>
      <c r="DZ139" s="48" t="s">
        <v>2562</v>
      </c>
      <c r="EA139" s="48" t="s">
        <v>2546</v>
      </c>
      <c r="EB139">
        <v>0</v>
      </c>
      <c r="EC139" s="48" t="s">
        <v>2547</v>
      </c>
      <c r="ED139" s="48" t="s">
        <v>3938</v>
      </c>
      <c r="EE139" s="48" t="s">
        <v>1814</v>
      </c>
      <c r="EF139" s="48" t="s">
        <v>1859</v>
      </c>
      <c r="EG139" s="48" t="s">
        <v>3934</v>
      </c>
      <c r="EH139">
        <v>1.4E-2</v>
      </c>
      <c r="EI139" s="48" t="s">
        <v>1888</v>
      </c>
      <c r="EJ139">
        <v>0</v>
      </c>
      <c r="EK139" s="48" t="s">
        <v>1710</v>
      </c>
      <c r="EL139">
        <v>1</v>
      </c>
      <c r="EM139" s="48" t="s">
        <v>1886</v>
      </c>
      <c r="EN139">
        <v>1.4E-2</v>
      </c>
      <c r="EO139" s="48" t="s">
        <v>2602</v>
      </c>
      <c r="EP139" s="48" t="s">
        <v>2584</v>
      </c>
      <c r="EQ139">
        <v>113.12</v>
      </c>
      <c r="ER139">
        <v>113.12</v>
      </c>
      <c r="ES139">
        <v>156422</v>
      </c>
      <c r="ET139">
        <v>106</v>
      </c>
      <c r="EU139" s="48" t="s">
        <v>1710</v>
      </c>
      <c r="EV139" s="48" t="s">
        <v>1710</v>
      </c>
      <c r="EW139" s="48" t="s">
        <v>1712</v>
      </c>
      <c r="EX139" s="48" t="s">
        <v>1710</v>
      </c>
      <c r="EY139" s="48" t="s">
        <v>1843</v>
      </c>
      <c r="EZ139" s="48" t="s">
        <v>1710</v>
      </c>
      <c r="FA139" s="48" t="s">
        <v>1710</v>
      </c>
      <c r="FB139" s="48" t="s">
        <v>1712</v>
      </c>
      <c r="FC139" s="48" t="s">
        <v>1710</v>
      </c>
      <c r="FD139" s="48" t="s">
        <v>1710</v>
      </c>
      <c r="FE139" s="48" t="s">
        <v>1814</v>
      </c>
      <c r="FF139" s="48" t="s">
        <v>1815</v>
      </c>
      <c r="FG139" s="48" t="s">
        <v>1710</v>
      </c>
      <c r="FH139">
        <v>1</v>
      </c>
      <c r="FI139" s="48" t="s">
        <v>1846</v>
      </c>
      <c r="FJ139">
        <v>113.12</v>
      </c>
      <c r="FK139">
        <v>113.12</v>
      </c>
      <c r="FL139" s="48" t="s">
        <v>3939</v>
      </c>
      <c r="FM139" s="48" t="s">
        <v>2584</v>
      </c>
      <c r="FN139" s="48" t="s">
        <v>1710</v>
      </c>
      <c r="FO139" s="48" t="s">
        <v>1710</v>
      </c>
      <c r="FP139" s="48" t="s">
        <v>1710</v>
      </c>
      <c r="FQ139" s="48" t="s">
        <v>1710</v>
      </c>
      <c r="FR139" s="48" t="s">
        <v>1710</v>
      </c>
      <c r="FS139" s="48" t="s">
        <v>1710</v>
      </c>
      <c r="FT139" s="48" t="s">
        <v>1710</v>
      </c>
      <c r="FU139" s="48" t="s">
        <v>1710</v>
      </c>
      <c r="FV139" s="48"/>
      <c r="FW139" s="56"/>
      <c r="FX139" s="56"/>
      <c r="FY139" s="56"/>
      <c r="FZ139" s="56"/>
      <c r="GA139" s="55" t="str">
        <f t="shared" si="8"/>
        <v>4388426300436X</v>
      </c>
      <c r="GB139" t="str">
        <f>VLOOKUP(B139,수출코드!$C$2:$D$4,2,FALSE)</f>
        <v>Suwon</v>
      </c>
      <c r="GC139" t="str">
        <f>VLOOKUP(L139,수출코드!$A$2:$B$6,2,FALSE)</f>
        <v/>
      </c>
      <c r="GD139" t="str">
        <f>VLOOKUP(M139,수출코드!$E$2:$F$5,2,FALSE)</f>
        <v>일반</v>
      </c>
      <c r="GE139" s="61">
        <f t="shared" si="6"/>
        <v>45973.645833333336</v>
      </c>
      <c r="GF139" s="62">
        <f t="shared" si="7"/>
        <v>46050.674305555556</v>
      </c>
      <c r="GI139" s="48" t="s">
        <v>2764</v>
      </c>
    </row>
    <row r="140" spans="1:191">
      <c r="A140" s="48" t="s">
        <v>3940</v>
      </c>
      <c r="B140" s="48" t="s">
        <v>1821</v>
      </c>
      <c r="C140" s="48" t="s">
        <v>2048</v>
      </c>
      <c r="D140" s="48" t="s">
        <v>2813</v>
      </c>
      <c r="E140" s="48" t="s">
        <v>3940</v>
      </c>
      <c r="F140" s="48" t="s">
        <v>1710</v>
      </c>
      <c r="G140" s="48" t="s">
        <v>2814</v>
      </c>
      <c r="H140" s="48" t="s">
        <v>3941</v>
      </c>
      <c r="I140" s="48" t="s">
        <v>1884</v>
      </c>
      <c r="J140" s="48" t="s">
        <v>2816</v>
      </c>
      <c r="K140" s="48" t="s">
        <v>1877</v>
      </c>
      <c r="L140" s="48" t="s">
        <v>1842</v>
      </c>
      <c r="M140" s="48" t="s">
        <v>1810</v>
      </c>
      <c r="N140" s="48" t="s">
        <v>1842</v>
      </c>
      <c r="O140" s="48" t="s">
        <v>1811</v>
      </c>
      <c r="P140" s="48" t="s">
        <v>2549</v>
      </c>
      <c r="Q140" s="48" t="s">
        <v>2049</v>
      </c>
      <c r="R140" s="48" t="s">
        <v>1838</v>
      </c>
      <c r="S140" s="48" t="s">
        <v>2050</v>
      </c>
      <c r="T140" s="48" t="s">
        <v>1845</v>
      </c>
      <c r="U140" s="48" t="s">
        <v>2049</v>
      </c>
      <c r="V140" s="48" t="s">
        <v>1838</v>
      </c>
      <c r="W140" s="48" t="s">
        <v>2051</v>
      </c>
      <c r="X140" s="48" t="s">
        <v>2052</v>
      </c>
      <c r="Y140" s="48" t="s">
        <v>2050</v>
      </c>
      <c r="Z140" s="48" t="s">
        <v>2053</v>
      </c>
      <c r="AA140" s="48" t="s">
        <v>2054</v>
      </c>
      <c r="AB140" s="48" t="s">
        <v>2817</v>
      </c>
      <c r="AC140" s="48" t="s">
        <v>2055</v>
      </c>
      <c r="AD140" s="48" t="s">
        <v>2056</v>
      </c>
      <c r="AE140" s="48" t="s">
        <v>1710</v>
      </c>
      <c r="AF140" s="48" t="s">
        <v>1710</v>
      </c>
      <c r="AG140" s="48" t="s">
        <v>2057</v>
      </c>
      <c r="AH140" s="48" t="s">
        <v>1815</v>
      </c>
      <c r="AI140" s="48" t="s">
        <v>2058</v>
      </c>
      <c r="AJ140" s="48" t="s">
        <v>1710</v>
      </c>
      <c r="AK140" s="48" t="s">
        <v>3942</v>
      </c>
      <c r="AL140" s="48" t="s">
        <v>3943</v>
      </c>
      <c r="AM140" s="48" t="s">
        <v>1816</v>
      </c>
      <c r="AN140" s="48" t="s">
        <v>2054</v>
      </c>
      <c r="AO140" s="48" t="s">
        <v>1710</v>
      </c>
      <c r="AP140" s="48" t="s">
        <v>1853</v>
      </c>
      <c r="AQ140" s="48" t="s">
        <v>2086</v>
      </c>
      <c r="AR140" s="48" t="s">
        <v>1812</v>
      </c>
      <c r="AS140" s="48" t="s">
        <v>1813</v>
      </c>
      <c r="AT140" s="48" t="s">
        <v>1826</v>
      </c>
      <c r="AU140" s="48" t="s">
        <v>2061</v>
      </c>
      <c r="AV140" s="48" t="s">
        <v>2816</v>
      </c>
      <c r="AW140" s="48" t="s">
        <v>2062</v>
      </c>
      <c r="AX140" s="48" t="s">
        <v>2063</v>
      </c>
      <c r="AY140" s="48" t="s">
        <v>1710</v>
      </c>
      <c r="AZ140" s="48" t="s">
        <v>3944</v>
      </c>
      <c r="BA140" s="48" t="s">
        <v>1710</v>
      </c>
      <c r="BB140" s="48" t="s">
        <v>1709</v>
      </c>
      <c r="BC140" s="48" t="s">
        <v>1710</v>
      </c>
      <c r="BD140" s="48" t="s">
        <v>2864</v>
      </c>
      <c r="BE140" s="52" t="s">
        <v>3945</v>
      </c>
      <c r="BF140" s="48" t="s">
        <v>1710</v>
      </c>
      <c r="BG140" s="48" t="s">
        <v>1814</v>
      </c>
      <c r="BH140">
        <v>9</v>
      </c>
      <c r="BI140" s="48" t="s">
        <v>1888</v>
      </c>
      <c r="BJ140">
        <v>1</v>
      </c>
      <c r="BK140">
        <v>1473.06</v>
      </c>
      <c r="BL140">
        <v>97926</v>
      </c>
      <c r="BM140">
        <v>66</v>
      </c>
      <c r="BN140" s="48" t="s">
        <v>2064</v>
      </c>
      <c r="BO140" s="48" t="s">
        <v>2065</v>
      </c>
      <c r="BP140">
        <v>1473.06</v>
      </c>
      <c r="BQ140">
        <v>111.69</v>
      </c>
      <c r="BR140" s="48" t="s">
        <v>1885</v>
      </c>
      <c r="BS140" s="48" t="s">
        <v>2066</v>
      </c>
      <c r="BT140">
        <v>1</v>
      </c>
      <c r="BU140">
        <v>66600</v>
      </c>
      <c r="BV140">
        <v>66600</v>
      </c>
      <c r="BW140" s="48" t="s">
        <v>2065</v>
      </c>
      <c r="BX140">
        <v>1473.06</v>
      </c>
      <c r="BY140">
        <v>0</v>
      </c>
      <c r="BZ140">
        <v>0</v>
      </c>
      <c r="CA140" s="48" t="s">
        <v>2065</v>
      </c>
      <c r="CB140">
        <v>1473.06</v>
      </c>
      <c r="CC140">
        <v>0</v>
      </c>
      <c r="CD140">
        <v>0</v>
      </c>
      <c r="CE140" s="48" t="s">
        <v>1710</v>
      </c>
      <c r="CF140" s="48" t="s">
        <v>1710</v>
      </c>
      <c r="CG140" s="48" t="s">
        <v>1710</v>
      </c>
      <c r="CH140" s="48" t="s">
        <v>1710</v>
      </c>
      <c r="CI140" s="48" t="s">
        <v>2067</v>
      </c>
      <c r="CJ140" s="48" t="s">
        <v>1710</v>
      </c>
      <c r="CL140" s="48" t="s">
        <v>2816</v>
      </c>
      <c r="CM140" s="48" t="s">
        <v>1710</v>
      </c>
      <c r="CN140" s="48" t="s">
        <v>2068</v>
      </c>
      <c r="CO140" s="48" t="s">
        <v>2069</v>
      </c>
      <c r="CP140" s="48" t="s">
        <v>1710</v>
      </c>
      <c r="CQ140" s="48" t="s">
        <v>1710</v>
      </c>
      <c r="CR140" s="48" t="s">
        <v>1710</v>
      </c>
      <c r="CS140" s="48" t="s">
        <v>1710</v>
      </c>
      <c r="CT140" s="48" t="s">
        <v>1710</v>
      </c>
      <c r="CU140" s="48" t="s">
        <v>1712</v>
      </c>
      <c r="CV140" s="48" t="s">
        <v>1710</v>
      </c>
      <c r="CW140" s="48" t="s">
        <v>1710</v>
      </c>
      <c r="CX140" s="48" t="s">
        <v>2823</v>
      </c>
      <c r="CY140" s="48" t="s">
        <v>1710</v>
      </c>
      <c r="CZ140" s="48" t="s">
        <v>1712</v>
      </c>
      <c r="DA140" s="48" t="s">
        <v>1710</v>
      </c>
      <c r="DB140" s="48" t="s">
        <v>1878</v>
      </c>
      <c r="DC140" s="48" t="s">
        <v>2070</v>
      </c>
      <c r="DD140" s="48" t="s">
        <v>1842</v>
      </c>
      <c r="DE140" s="48" t="s">
        <v>1886</v>
      </c>
      <c r="DF140" s="48" t="s">
        <v>3946</v>
      </c>
      <c r="DG140" s="48" t="s">
        <v>2071</v>
      </c>
      <c r="DH140" s="48" t="s">
        <v>1712</v>
      </c>
      <c r="DI140" s="48" t="s">
        <v>1710</v>
      </c>
      <c r="DJ140" s="48" t="s">
        <v>1710</v>
      </c>
      <c r="DK140" s="48" t="s">
        <v>1710</v>
      </c>
      <c r="DL140" s="48" t="s">
        <v>1710</v>
      </c>
      <c r="DM140" s="48" t="s">
        <v>1710</v>
      </c>
      <c r="DN140" s="48" t="s">
        <v>1710</v>
      </c>
      <c r="DO140" s="48" t="s">
        <v>1710</v>
      </c>
      <c r="DP140" s="48" t="s">
        <v>1710</v>
      </c>
      <c r="DQ140" s="48" t="s">
        <v>1710</v>
      </c>
      <c r="DR140" s="48" t="s">
        <v>2072</v>
      </c>
      <c r="DS140" s="48" t="s">
        <v>1710</v>
      </c>
      <c r="DT140" s="48" t="s">
        <v>1710</v>
      </c>
      <c r="DU140" s="48" t="s">
        <v>2547</v>
      </c>
      <c r="DV140" s="48" t="s">
        <v>3141</v>
      </c>
      <c r="DW140" s="48" t="s">
        <v>1710</v>
      </c>
      <c r="DX140" s="48" t="s">
        <v>3947</v>
      </c>
      <c r="DY140" s="48" t="s">
        <v>1709</v>
      </c>
      <c r="DZ140" s="48" t="s">
        <v>2562</v>
      </c>
      <c r="EA140" s="48" t="s">
        <v>2546</v>
      </c>
      <c r="EB140">
        <v>0</v>
      </c>
      <c r="EC140" s="48" t="s">
        <v>2547</v>
      </c>
      <c r="ED140" s="48" t="s">
        <v>3948</v>
      </c>
      <c r="EE140" s="48" t="s">
        <v>1814</v>
      </c>
      <c r="EF140" s="48" t="s">
        <v>3949</v>
      </c>
      <c r="EG140" s="48" t="s">
        <v>3944</v>
      </c>
      <c r="EH140">
        <v>8</v>
      </c>
      <c r="EI140" s="48" t="s">
        <v>1888</v>
      </c>
      <c r="EJ140">
        <v>2</v>
      </c>
      <c r="EK140" s="48" t="s">
        <v>1887</v>
      </c>
      <c r="EL140">
        <v>1</v>
      </c>
      <c r="EM140" s="48" t="s">
        <v>1886</v>
      </c>
      <c r="EN140">
        <v>8</v>
      </c>
      <c r="EO140" s="48" t="s">
        <v>3950</v>
      </c>
      <c r="EP140" s="48" t="s">
        <v>3951</v>
      </c>
      <c r="EQ140">
        <v>111.69</v>
      </c>
      <c r="ER140">
        <v>111.69</v>
      </c>
      <c r="ES140">
        <v>97926</v>
      </c>
      <c r="ET140">
        <v>66</v>
      </c>
      <c r="EU140" s="48" t="s">
        <v>1710</v>
      </c>
      <c r="EV140" s="48" t="s">
        <v>1710</v>
      </c>
      <c r="EW140" s="48" t="s">
        <v>1712</v>
      </c>
      <c r="EX140" s="48" t="s">
        <v>1710</v>
      </c>
      <c r="EY140" s="48" t="s">
        <v>2539</v>
      </c>
      <c r="EZ140" s="48" t="s">
        <v>1710</v>
      </c>
      <c r="FA140" s="48" t="s">
        <v>1710</v>
      </c>
      <c r="FB140" s="48" t="s">
        <v>1712</v>
      </c>
      <c r="FC140" s="48" t="s">
        <v>1710</v>
      </c>
      <c r="FD140" s="48" t="s">
        <v>1710</v>
      </c>
      <c r="FE140" s="48" t="s">
        <v>1814</v>
      </c>
      <c r="FF140" s="48" t="s">
        <v>1815</v>
      </c>
      <c r="FG140" s="48" t="s">
        <v>1710</v>
      </c>
      <c r="FH140">
        <v>2</v>
      </c>
      <c r="FI140" s="48" t="s">
        <v>1846</v>
      </c>
      <c r="FJ140">
        <v>111.69</v>
      </c>
      <c r="FK140">
        <v>55.844999999999999</v>
      </c>
      <c r="FL140" s="48" t="s">
        <v>3952</v>
      </c>
      <c r="FM140" s="48" t="s">
        <v>3951</v>
      </c>
      <c r="FN140" s="48" t="s">
        <v>1710</v>
      </c>
      <c r="FO140" s="48" t="s">
        <v>1710</v>
      </c>
      <c r="FP140" s="48" t="s">
        <v>1710</v>
      </c>
      <c r="FQ140" s="48" t="s">
        <v>1710</v>
      </c>
      <c r="FR140" s="48" t="s">
        <v>1710</v>
      </c>
      <c r="FS140" s="48" t="s">
        <v>1710</v>
      </c>
      <c r="FT140" s="48" t="s">
        <v>1710</v>
      </c>
      <c r="FU140" s="48" t="s">
        <v>1710</v>
      </c>
      <c r="FV140" s="48"/>
      <c r="FW140" s="56"/>
      <c r="FX140" s="56"/>
      <c r="FY140" s="56"/>
      <c r="FZ140" s="56"/>
      <c r="GA140" s="55" t="str">
        <f t="shared" si="8"/>
        <v>4388426300437X</v>
      </c>
      <c r="GB140" t="str">
        <f>VLOOKUP(B140,수출코드!$C$2:$D$4,2,FALSE)</f>
        <v>Suwon</v>
      </c>
      <c r="GC140" t="str">
        <f>VLOOKUP(L140,수출코드!$A$2:$B$6,2,FALSE)</f>
        <v/>
      </c>
      <c r="GD140" t="str">
        <f>VLOOKUP(M140,수출코드!$E$2:$F$5,2,FALSE)</f>
        <v>일반</v>
      </c>
      <c r="GE140" s="61">
        <f t="shared" si="6"/>
        <v>45973.645833333336</v>
      </c>
      <c r="GF140" s="62">
        <f t="shared" si="7"/>
        <v>46050.677777777775</v>
      </c>
      <c r="GI140" s="48" t="s">
        <v>2764</v>
      </c>
    </row>
    <row r="141" spans="1:191">
      <c r="A141" s="48" t="s">
        <v>3953</v>
      </c>
      <c r="B141" s="48" t="s">
        <v>1821</v>
      </c>
      <c r="C141" s="48" t="s">
        <v>2048</v>
      </c>
      <c r="D141" s="48" t="s">
        <v>2813</v>
      </c>
      <c r="E141" s="48" t="s">
        <v>3953</v>
      </c>
      <c r="F141" s="48" t="s">
        <v>1710</v>
      </c>
      <c r="G141" s="48" t="s">
        <v>2814</v>
      </c>
      <c r="H141" s="48" t="s">
        <v>3954</v>
      </c>
      <c r="I141" s="48" t="s">
        <v>1884</v>
      </c>
      <c r="J141" s="48" t="s">
        <v>2816</v>
      </c>
      <c r="K141" s="48" t="s">
        <v>1877</v>
      </c>
      <c r="L141" s="48" t="s">
        <v>1842</v>
      </c>
      <c r="M141" s="48" t="s">
        <v>1810</v>
      </c>
      <c r="N141" s="48" t="s">
        <v>1842</v>
      </c>
      <c r="O141" s="48" t="s">
        <v>1811</v>
      </c>
      <c r="P141" s="48" t="s">
        <v>2549</v>
      </c>
      <c r="Q141" s="48" t="s">
        <v>2049</v>
      </c>
      <c r="R141" s="48" t="s">
        <v>1838</v>
      </c>
      <c r="S141" s="48" t="s">
        <v>2050</v>
      </c>
      <c r="T141" s="48" t="s">
        <v>1845</v>
      </c>
      <c r="U141" s="48" t="s">
        <v>2049</v>
      </c>
      <c r="V141" s="48" t="s">
        <v>1838</v>
      </c>
      <c r="W141" s="48" t="s">
        <v>2051</v>
      </c>
      <c r="X141" s="48" t="s">
        <v>2052</v>
      </c>
      <c r="Y141" s="48" t="s">
        <v>2050</v>
      </c>
      <c r="Z141" s="48" t="s">
        <v>2053</v>
      </c>
      <c r="AA141" s="48" t="s">
        <v>2054</v>
      </c>
      <c r="AB141" s="48" t="s">
        <v>2817</v>
      </c>
      <c r="AC141" s="48" t="s">
        <v>2055</v>
      </c>
      <c r="AD141" s="48" t="s">
        <v>2056</v>
      </c>
      <c r="AE141" s="48" t="s">
        <v>1710</v>
      </c>
      <c r="AF141" s="48" t="s">
        <v>1710</v>
      </c>
      <c r="AG141" s="48" t="s">
        <v>2057</v>
      </c>
      <c r="AH141" s="48" t="s">
        <v>1815</v>
      </c>
      <c r="AI141" s="48" t="s">
        <v>2058</v>
      </c>
      <c r="AJ141" s="48" t="s">
        <v>1710</v>
      </c>
      <c r="AK141" s="48" t="s">
        <v>2565</v>
      </c>
      <c r="AL141" s="48" t="s">
        <v>2557</v>
      </c>
      <c r="AM141" s="48" t="s">
        <v>1816</v>
      </c>
      <c r="AN141" s="48" t="s">
        <v>2054</v>
      </c>
      <c r="AO141" s="48" t="s">
        <v>1710</v>
      </c>
      <c r="AP141" s="48" t="s">
        <v>1855</v>
      </c>
      <c r="AQ141" s="48" t="s">
        <v>2076</v>
      </c>
      <c r="AR141" s="48" t="s">
        <v>1812</v>
      </c>
      <c r="AS141" s="48" t="s">
        <v>1813</v>
      </c>
      <c r="AT141" s="48" t="s">
        <v>1826</v>
      </c>
      <c r="AU141" s="48" t="s">
        <v>2061</v>
      </c>
      <c r="AV141" s="48" t="s">
        <v>2816</v>
      </c>
      <c r="AW141" s="48" t="s">
        <v>2062</v>
      </c>
      <c r="AX141" s="48" t="s">
        <v>2063</v>
      </c>
      <c r="AY141" s="48" t="s">
        <v>1710</v>
      </c>
      <c r="AZ141" s="48" t="s">
        <v>3955</v>
      </c>
      <c r="BA141" s="48" t="s">
        <v>1710</v>
      </c>
      <c r="BB141" s="48" t="s">
        <v>1709</v>
      </c>
      <c r="BC141" s="48" t="s">
        <v>1710</v>
      </c>
      <c r="BD141" s="48" t="s">
        <v>3956</v>
      </c>
      <c r="BE141" s="52" t="s">
        <v>3957</v>
      </c>
      <c r="BF141" s="48" t="s">
        <v>1710</v>
      </c>
      <c r="BG141" s="48" t="s">
        <v>1814</v>
      </c>
      <c r="BH141">
        <v>61</v>
      </c>
      <c r="BI141" s="48" t="s">
        <v>1888</v>
      </c>
      <c r="BJ141">
        <v>2</v>
      </c>
      <c r="BK141">
        <v>1473.06</v>
      </c>
      <c r="BL141">
        <v>17681525</v>
      </c>
      <c r="BM141">
        <v>12003</v>
      </c>
      <c r="BN141" s="48" t="s">
        <v>2064</v>
      </c>
      <c r="BO141" s="48" t="s">
        <v>2065</v>
      </c>
      <c r="BP141">
        <v>1473.06</v>
      </c>
      <c r="BQ141">
        <v>12030.96</v>
      </c>
      <c r="BR141" s="48" t="s">
        <v>1885</v>
      </c>
      <c r="BS141" s="48" t="s">
        <v>2066</v>
      </c>
      <c r="BT141">
        <v>1</v>
      </c>
      <c r="BU141">
        <v>40800</v>
      </c>
      <c r="BV141">
        <v>40800</v>
      </c>
      <c r="BW141" s="48" t="s">
        <v>2065</v>
      </c>
      <c r="BX141">
        <v>1473.06</v>
      </c>
      <c r="BY141">
        <v>0</v>
      </c>
      <c r="BZ141">
        <v>0</v>
      </c>
      <c r="CA141" s="48" t="s">
        <v>2065</v>
      </c>
      <c r="CB141">
        <v>1473.06</v>
      </c>
      <c r="CC141">
        <v>0</v>
      </c>
      <c r="CD141">
        <v>0</v>
      </c>
      <c r="CE141" s="48" t="s">
        <v>1710</v>
      </c>
      <c r="CF141" s="48" t="s">
        <v>1710</v>
      </c>
      <c r="CG141" s="48" t="s">
        <v>1710</v>
      </c>
      <c r="CH141" s="48" t="s">
        <v>1710</v>
      </c>
      <c r="CI141" s="48" t="s">
        <v>2067</v>
      </c>
      <c r="CJ141" s="48" t="s">
        <v>1710</v>
      </c>
      <c r="CL141" s="48" t="s">
        <v>2816</v>
      </c>
      <c r="CM141" s="48" t="s">
        <v>1710</v>
      </c>
      <c r="CN141" s="48" t="s">
        <v>2068</v>
      </c>
      <c r="CO141" s="48" t="s">
        <v>2069</v>
      </c>
      <c r="CP141" s="48" t="s">
        <v>1710</v>
      </c>
      <c r="CQ141" s="48" t="s">
        <v>1710</v>
      </c>
      <c r="CR141" s="48" t="s">
        <v>1710</v>
      </c>
      <c r="CS141" s="48" t="s">
        <v>1710</v>
      </c>
      <c r="CT141" s="48" t="s">
        <v>1710</v>
      </c>
      <c r="CU141" s="48" t="s">
        <v>1712</v>
      </c>
      <c r="CV141" s="48" t="s">
        <v>1710</v>
      </c>
      <c r="CW141" s="48" t="s">
        <v>1710</v>
      </c>
      <c r="CX141" s="48" t="s">
        <v>2823</v>
      </c>
      <c r="CY141" s="48" t="s">
        <v>1710</v>
      </c>
      <c r="CZ141" s="48" t="s">
        <v>1712</v>
      </c>
      <c r="DA141" s="48" t="s">
        <v>1710</v>
      </c>
      <c r="DB141" s="48" t="s">
        <v>1878</v>
      </c>
      <c r="DC141" s="48" t="s">
        <v>2070</v>
      </c>
      <c r="DD141" s="48" t="s">
        <v>1842</v>
      </c>
      <c r="DE141" s="48" t="s">
        <v>1886</v>
      </c>
      <c r="DF141" s="48" t="s">
        <v>3958</v>
      </c>
      <c r="DG141" s="48" t="s">
        <v>2071</v>
      </c>
      <c r="DH141" s="48" t="s">
        <v>1712</v>
      </c>
      <c r="DI141" s="48" t="s">
        <v>1710</v>
      </c>
      <c r="DJ141" s="48" t="s">
        <v>1710</v>
      </c>
      <c r="DK141" s="48" t="s">
        <v>1710</v>
      </c>
      <c r="DL141" s="48" t="s">
        <v>1710</v>
      </c>
      <c r="DM141" s="48" t="s">
        <v>1710</v>
      </c>
      <c r="DN141" s="48" t="s">
        <v>1710</v>
      </c>
      <c r="DO141" s="48" t="s">
        <v>1710</v>
      </c>
      <c r="DP141" s="48" t="s">
        <v>1710</v>
      </c>
      <c r="DQ141" s="48" t="s">
        <v>1710</v>
      </c>
      <c r="DR141" s="48" t="s">
        <v>2072</v>
      </c>
      <c r="DS141" s="48" t="s">
        <v>1710</v>
      </c>
      <c r="DT141" s="48" t="s">
        <v>1710</v>
      </c>
      <c r="DU141" s="48" t="s">
        <v>2547</v>
      </c>
      <c r="DV141" s="48" t="s">
        <v>2825</v>
      </c>
      <c r="DW141" s="48" t="s">
        <v>1710</v>
      </c>
      <c r="DX141" s="48" t="s">
        <v>3959</v>
      </c>
      <c r="DY141" s="48" t="s">
        <v>1709</v>
      </c>
      <c r="DZ141" s="48" t="s">
        <v>2562</v>
      </c>
      <c r="EA141" s="48" t="s">
        <v>2546</v>
      </c>
      <c r="EB141">
        <v>0</v>
      </c>
      <c r="EC141" s="48" t="s">
        <v>2547</v>
      </c>
      <c r="ED141" s="48" t="s">
        <v>3960</v>
      </c>
      <c r="EE141" s="48" t="s">
        <v>1814</v>
      </c>
      <c r="EF141" s="48" t="s">
        <v>1857</v>
      </c>
      <c r="EG141" s="48" t="s">
        <v>3955</v>
      </c>
      <c r="EH141">
        <v>36</v>
      </c>
      <c r="EI141" s="48" t="s">
        <v>1888</v>
      </c>
      <c r="EJ141">
        <v>2</v>
      </c>
      <c r="EK141" s="48" t="s">
        <v>1887</v>
      </c>
      <c r="EL141">
        <v>2</v>
      </c>
      <c r="EM141" s="48" t="s">
        <v>1886</v>
      </c>
      <c r="EN141">
        <v>36</v>
      </c>
      <c r="EO141" s="48" t="s">
        <v>2545</v>
      </c>
      <c r="EP141" s="48" t="s">
        <v>3961</v>
      </c>
      <c r="EQ141">
        <v>12030.96</v>
      </c>
      <c r="ER141">
        <v>12030.96</v>
      </c>
      <c r="ES141">
        <v>17681525</v>
      </c>
      <c r="ET141">
        <v>12003</v>
      </c>
      <c r="EU141" s="48" t="s">
        <v>1710</v>
      </c>
      <c r="EV141" s="48" t="s">
        <v>1710</v>
      </c>
      <c r="EW141" s="48" t="s">
        <v>1712</v>
      </c>
      <c r="EX141" s="48" t="s">
        <v>1710</v>
      </c>
      <c r="EY141" s="48" t="s">
        <v>1853</v>
      </c>
      <c r="EZ141" s="48" t="s">
        <v>1710</v>
      </c>
      <c r="FA141" s="48" t="s">
        <v>1710</v>
      </c>
      <c r="FB141" s="48" t="s">
        <v>1712</v>
      </c>
      <c r="FC141" s="48" t="s">
        <v>1710</v>
      </c>
      <c r="FD141" s="48" t="s">
        <v>1710</v>
      </c>
      <c r="FE141" s="48" t="s">
        <v>1814</v>
      </c>
      <c r="FF141" s="48" t="s">
        <v>1815</v>
      </c>
      <c r="FG141" s="48" t="s">
        <v>1710</v>
      </c>
      <c r="FH141">
        <v>1</v>
      </c>
      <c r="FI141" s="48" t="s">
        <v>1846</v>
      </c>
      <c r="FJ141">
        <v>6015.48</v>
      </c>
      <c r="FK141">
        <v>6015.48</v>
      </c>
      <c r="FL141" s="48" t="s">
        <v>3962</v>
      </c>
      <c r="FM141" s="48" t="s">
        <v>3961</v>
      </c>
      <c r="FN141" s="48" t="s">
        <v>1710</v>
      </c>
      <c r="FO141" s="48" t="s">
        <v>1710</v>
      </c>
      <c r="FP141" s="48" t="s">
        <v>1710</v>
      </c>
      <c r="FQ141" s="48" t="s">
        <v>1710</v>
      </c>
      <c r="FR141" s="48" t="s">
        <v>1710</v>
      </c>
      <c r="FS141" s="48" t="s">
        <v>1710</v>
      </c>
      <c r="FT141" s="48" t="s">
        <v>1710</v>
      </c>
      <c r="FU141" s="48" t="s">
        <v>1710</v>
      </c>
      <c r="FV141" s="48"/>
      <c r="FW141" s="56"/>
      <c r="FX141" s="56"/>
      <c r="FY141" s="56"/>
      <c r="FZ141" s="56"/>
      <c r="GA141" s="55" t="str">
        <f t="shared" si="8"/>
        <v>4388426300438X</v>
      </c>
      <c r="GB141" t="str">
        <f>VLOOKUP(B141,수출코드!$C$2:$D$4,2,FALSE)</f>
        <v>Suwon</v>
      </c>
      <c r="GC141" t="str">
        <f>VLOOKUP(L141,수출코드!$A$2:$B$6,2,FALSE)</f>
        <v/>
      </c>
      <c r="GD141" t="str">
        <f>VLOOKUP(M141,수출코드!$E$2:$F$5,2,FALSE)</f>
        <v>일반</v>
      </c>
      <c r="GE141" s="61">
        <f t="shared" si="6"/>
        <v>45973.645833333336</v>
      </c>
      <c r="GF141" s="62">
        <f t="shared" si="7"/>
        <v>46050.736111111109</v>
      </c>
      <c r="GI141" s="48" t="s">
        <v>2764</v>
      </c>
    </row>
    <row r="142" spans="1:191">
      <c r="A142" s="48" t="s">
        <v>3963</v>
      </c>
      <c r="B142" s="48" t="s">
        <v>1821</v>
      </c>
      <c r="C142" s="48" t="s">
        <v>2048</v>
      </c>
      <c r="D142" s="48" t="s">
        <v>2813</v>
      </c>
      <c r="E142" s="48" t="s">
        <v>3963</v>
      </c>
      <c r="F142" s="48" t="s">
        <v>1710</v>
      </c>
      <c r="G142" s="48" t="s">
        <v>2814</v>
      </c>
      <c r="H142" s="48" t="s">
        <v>3964</v>
      </c>
      <c r="I142" s="48" t="s">
        <v>1884</v>
      </c>
      <c r="J142" s="48" t="s">
        <v>2816</v>
      </c>
      <c r="K142" s="48" t="s">
        <v>1877</v>
      </c>
      <c r="L142" s="48" t="s">
        <v>1842</v>
      </c>
      <c r="M142" s="48" t="s">
        <v>1810</v>
      </c>
      <c r="N142" s="48" t="s">
        <v>1842</v>
      </c>
      <c r="O142" s="48" t="s">
        <v>1811</v>
      </c>
      <c r="P142" s="48" t="s">
        <v>2549</v>
      </c>
      <c r="Q142" s="48" t="s">
        <v>2049</v>
      </c>
      <c r="R142" s="48" t="s">
        <v>1838</v>
      </c>
      <c r="S142" s="48" t="s">
        <v>2050</v>
      </c>
      <c r="T142" s="48" t="s">
        <v>1845</v>
      </c>
      <c r="U142" s="48" t="s">
        <v>2049</v>
      </c>
      <c r="V142" s="48" t="s">
        <v>1838</v>
      </c>
      <c r="W142" s="48" t="s">
        <v>2051</v>
      </c>
      <c r="X142" s="48" t="s">
        <v>2052</v>
      </c>
      <c r="Y142" s="48" t="s">
        <v>2050</v>
      </c>
      <c r="Z142" s="48" t="s">
        <v>2053</v>
      </c>
      <c r="AA142" s="48" t="s">
        <v>2054</v>
      </c>
      <c r="AB142" s="48" t="s">
        <v>2817</v>
      </c>
      <c r="AC142" s="48" t="s">
        <v>2055</v>
      </c>
      <c r="AD142" s="48" t="s">
        <v>2056</v>
      </c>
      <c r="AE142" s="48" t="s">
        <v>1710</v>
      </c>
      <c r="AF142" s="48" t="s">
        <v>1710</v>
      </c>
      <c r="AG142" s="48" t="s">
        <v>2057</v>
      </c>
      <c r="AH142" s="48" t="s">
        <v>1815</v>
      </c>
      <c r="AI142" s="48" t="s">
        <v>2058</v>
      </c>
      <c r="AJ142" s="48" t="s">
        <v>1710</v>
      </c>
      <c r="AK142" s="48" t="s">
        <v>2077</v>
      </c>
      <c r="AL142" s="48" t="s">
        <v>1858</v>
      </c>
      <c r="AM142" s="48" t="s">
        <v>1816</v>
      </c>
      <c r="AN142" s="48" t="s">
        <v>2054</v>
      </c>
      <c r="AO142" s="48" t="s">
        <v>1710</v>
      </c>
      <c r="AP142" s="48" t="s">
        <v>1848</v>
      </c>
      <c r="AQ142" s="48" t="s">
        <v>2060</v>
      </c>
      <c r="AR142" s="48" t="s">
        <v>1812</v>
      </c>
      <c r="AS142" s="48" t="s">
        <v>1813</v>
      </c>
      <c r="AT142" s="48" t="s">
        <v>1826</v>
      </c>
      <c r="AU142" s="48" t="s">
        <v>2061</v>
      </c>
      <c r="AV142" s="48" t="s">
        <v>2816</v>
      </c>
      <c r="AW142" s="48" t="s">
        <v>2062</v>
      </c>
      <c r="AX142" s="48" t="s">
        <v>2063</v>
      </c>
      <c r="AY142" s="48" t="s">
        <v>1710</v>
      </c>
      <c r="AZ142" s="48" t="s">
        <v>3965</v>
      </c>
      <c r="BA142" s="48" t="s">
        <v>1710</v>
      </c>
      <c r="BB142" s="48" t="s">
        <v>1709</v>
      </c>
      <c r="BC142" s="48" t="s">
        <v>1710</v>
      </c>
      <c r="BD142" s="48" t="s">
        <v>3956</v>
      </c>
      <c r="BE142" s="52" t="s">
        <v>3957</v>
      </c>
      <c r="BF142" s="48" t="s">
        <v>1710</v>
      </c>
      <c r="BG142" s="48" t="s">
        <v>1817</v>
      </c>
      <c r="BH142">
        <v>50</v>
      </c>
      <c r="BI142" s="48" t="s">
        <v>1888</v>
      </c>
      <c r="BJ142">
        <v>2</v>
      </c>
      <c r="BK142">
        <v>1473.06</v>
      </c>
      <c r="BL142">
        <v>158004195</v>
      </c>
      <c r="BM142">
        <v>107263</v>
      </c>
      <c r="BN142" s="48" t="s">
        <v>2064</v>
      </c>
      <c r="BO142" s="48" t="s">
        <v>2065</v>
      </c>
      <c r="BP142">
        <v>1473.06</v>
      </c>
      <c r="BQ142">
        <v>107736.07</v>
      </c>
      <c r="BR142" s="48" t="s">
        <v>1885</v>
      </c>
      <c r="BS142" s="48" t="s">
        <v>2066</v>
      </c>
      <c r="BT142">
        <v>1</v>
      </c>
      <c r="BU142">
        <v>697500</v>
      </c>
      <c r="BV142">
        <v>697500</v>
      </c>
      <c r="BW142" s="48" t="s">
        <v>2065</v>
      </c>
      <c r="BX142">
        <v>1473.06</v>
      </c>
      <c r="BY142">
        <v>0</v>
      </c>
      <c r="BZ142">
        <v>0</v>
      </c>
      <c r="CA142" s="48" t="s">
        <v>2065</v>
      </c>
      <c r="CB142">
        <v>1473.06</v>
      </c>
      <c r="CC142">
        <v>0</v>
      </c>
      <c r="CD142">
        <v>0</v>
      </c>
      <c r="CE142" s="48" t="s">
        <v>1710</v>
      </c>
      <c r="CF142" s="48" t="s">
        <v>1710</v>
      </c>
      <c r="CG142" s="48" t="s">
        <v>1710</v>
      </c>
      <c r="CH142" s="48" t="s">
        <v>1710</v>
      </c>
      <c r="CI142" s="48" t="s">
        <v>2067</v>
      </c>
      <c r="CJ142" s="48" t="s">
        <v>1710</v>
      </c>
      <c r="CL142" s="48" t="s">
        <v>2816</v>
      </c>
      <c r="CM142" s="48" t="s">
        <v>1710</v>
      </c>
      <c r="CN142" s="48" t="s">
        <v>2068</v>
      </c>
      <c r="CO142" s="48" t="s">
        <v>2069</v>
      </c>
      <c r="CP142" s="48" t="s">
        <v>1710</v>
      </c>
      <c r="CQ142" s="48" t="s">
        <v>1710</v>
      </c>
      <c r="CR142" s="48" t="s">
        <v>1710</v>
      </c>
      <c r="CS142" s="48" t="s">
        <v>1710</v>
      </c>
      <c r="CT142" s="48" t="s">
        <v>1710</v>
      </c>
      <c r="CU142" s="48" t="s">
        <v>1712</v>
      </c>
      <c r="CV142" s="48" t="s">
        <v>1710</v>
      </c>
      <c r="CW142" s="48" t="s">
        <v>1710</v>
      </c>
      <c r="CX142" s="48" t="s">
        <v>2823</v>
      </c>
      <c r="CY142" s="48" t="s">
        <v>1710</v>
      </c>
      <c r="CZ142" s="48" t="s">
        <v>1712</v>
      </c>
      <c r="DA142" s="48" t="s">
        <v>1710</v>
      </c>
      <c r="DB142" s="48" t="s">
        <v>1878</v>
      </c>
      <c r="DC142" s="48" t="s">
        <v>2070</v>
      </c>
      <c r="DD142" s="48" t="s">
        <v>1842</v>
      </c>
      <c r="DE142" s="48" t="s">
        <v>1886</v>
      </c>
      <c r="DF142" s="48" t="s">
        <v>3966</v>
      </c>
      <c r="DG142" s="48" t="s">
        <v>2071</v>
      </c>
      <c r="DH142" s="48" t="s">
        <v>1712</v>
      </c>
      <c r="DI142" s="48" t="s">
        <v>1710</v>
      </c>
      <c r="DJ142" s="48" t="s">
        <v>1710</v>
      </c>
      <c r="DK142" s="48" t="s">
        <v>1710</v>
      </c>
      <c r="DL142" s="48" t="s">
        <v>1710</v>
      </c>
      <c r="DM142" s="48" t="s">
        <v>1710</v>
      </c>
      <c r="DN142" s="48" t="s">
        <v>1710</v>
      </c>
      <c r="DO142" s="48" t="s">
        <v>1710</v>
      </c>
      <c r="DP142" s="48" t="s">
        <v>1710</v>
      </c>
      <c r="DQ142" s="48" t="s">
        <v>1710</v>
      </c>
      <c r="DR142" s="48" t="s">
        <v>2072</v>
      </c>
      <c r="DS142" s="48" t="s">
        <v>1710</v>
      </c>
      <c r="DT142" s="48" t="s">
        <v>1710</v>
      </c>
      <c r="DU142" s="48" t="s">
        <v>2547</v>
      </c>
      <c r="DV142" s="48" t="s">
        <v>3141</v>
      </c>
      <c r="DW142" s="48" t="s">
        <v>1710</v>
      </c>
      <c r="DX142" s="48" t="s">
        <v>3967</v>
      </c>
      <c r="DY142" s="48" t="s">
        <v>1709</v>
      </c>
      <c r="DZ142" s="48" t="s">
        <v>2562</v>
      </c>
      <c r="EA142" s="48" t="s">
        <v>2546</v>
      </c>
      <c r="EB142">
        <v>0</v>
      </c>
      <c r="EC142" s="48" t="s">
        <v>2547</v>
      </c>
      <c r="ED142" s="48" t="s">
        <v>3968</v>
      </c>
      <c r="EE142" s="48" t="s">
        <v>1814</v>
      </c>
      <c r="EF142" s="48" t="s">
        <v>1852</v>
      </c>
      <c r="EG142" s="48" t="s">
        <v>3965</v>
      </c>
      <c r="EH142">
        <v>23.25</v>
      </c>
      <c r="EI142" s="48" t="s">
        <v>1888</v>
      </c>
      <c r="EJ142">
        <v>0</v>
      </c>
      <c r="EK142" s="48" t="s">
        <v>1710</v>
      </c>
      <c r="EL142">
        <v>2</v>
      </c>
      <c r="EM142" s="48" t="s">
        <v>1886</v>
      </c>
      <c r="EN142">
        <v>23.25</v>
      </c>
      <c r="EO142" s="48" t="s">
        <v>2521</v>
      </c>
      <c r="EP142" s="48" t="s">
        <v>2710</v>
      </c>
      <c r="EQ142">
        <v>56578.77</v>
      </c>
      <c r="ER142">
        <v>56578.77</v>
      </c>
      <c r="ES142">
        <v>82977623</v>
      </c>
      <c r="ET142">
        <v>56330</v>
      </c>
      <c r="EU142" s="48" t="s">
        <v>1710</v>
      </c>
      <c r="EV142" s="48" t="s">
        <v>1710</v>
      </c>
      <c r="EW142" s="48" t="s">
        <v>1712</v>
      </c>
      <c r="EX142" s="48" t="s">
        <v>1710</v>
      </c>
      <c r="EY142" s="48" t="s">
        <v>1848</v>
      </c>
      <c r="EZ142" s="48" t="s">
        <v>1710</v>
      </c>
      <c r="FA142" s="48" t="s">
        <v>1710</v>
      </c>
      <c r="FB142" s="48" t="s">
        <v>1712</v>
      </c>
      <c r="FC142" s="48" t="s">
        <v>1710</v>
      </c>
      <c r="FD142" s="48" t="s">
        <v>1710</v>
      </c>
      <c r="FE142" s="48" t="s">
        <v>1814</v>
      </c>
      <c r="FF142" s="48" t="s">
        <v>1815</v>
      </c>
      <c r="FG142" s="48" t="s">
        <v>1710</v>
      </c>
      <c r="FH142">
        <v>1</v>
      </c>
      <c r="FI142" s="48" t="s">
        <v>1846</v>
      </c>
      <c r="FJ142">
        <v>56578.77</v>
      </c>
      <c r="FK142">
        <v>56578.77</v>
      </c>
      <c r="FL142" s="48" t="s">
        <v>3969</v>
      </c>
      <c r="FM142" s="48" t="s">
        <v>2710</v>
      </c>
      <c r="FN142" s="48" t="s">
        <v>1710</v>
      </c>
      <c r="FO142" s="48" t="s">
        <v>1710</v>
      </c>
      <c r="FP142" s="48" t="s">
        <v>1710</v>
      </c>
      <c r="FQ142" s="48" t="s">
        <v>1710</v>
      </c>
      <c r="FR142" s="48" t="s">
        <v>1710</v>
      </c>
      <c r="FS142" s="48" t="s">
        <v>1710</v>
      </c>
      <c r="FT142" s="48" t="s">
        <v>1710</v>
      </c>
      <c r="FU142" s="48" t="s">
        <v>1710</v>
      </c>
      <c r="FV142" s="48"/>
      <c r="FW142" s="56"/>
      <c r="FX142" s="56"/>
      <c r="FY142" s="56"/>
      <c r="FZ142" s="56"/>
      <c r="GA142" s="55" t="str">
        <f t="shared" si="8"/>
        <v>4388426300439X</v>
      </c>
      <c r="GB142" t="str">
        <f>VLOOKUP(B142,수출코드!$C$2:$D$4,2,FALSE)</f>
        <v>Suwon</v>
      </c>
      <c r="GC142" t="str">
        <f>VLOOKUP(L142,수출코드!$A$2:$B$6,2,FALSE)</f>
        <v/>
      </c>
      <c r="GD142" t="str">
        <f>VLOOKUP(M142,수출코드!$E$2:$F$5,2,FALSE)</f>
        <v>일반</v>
      </c>
      <c r="GE142" s="61">
        <f t="shared" si="6"/>
        <v>45973.645833333336</v>
      </c>
      <c r="GF142" s="62">
        <f t="shared" si="7"/>
        <v>46050.737500000003</v>
      </c>
      <c r="GI142" s="48" t="s">
        <v>2764</v>
      </c>
    </row>
    <row r="143" spans="1:191">
      <c r="A143" s="48" t="s">
        <v>3970</v>
      </c>
      <c r="B143" s="48" t="s">
        <v>1821</v>
      </c>
      <c r="C143" s="48" t="s">
        <v>2048</v>
      </c>
      <c r="D143" s="48" t="s">
        <v>2813</v>
      </c>
      <c r="E143" s="48" t="s">
        <v>3970</v>
      </c>
      <c r="F143" s="48" t="s">
        <v>1710</v>
      </c>
      <c r="G143" s="48" t="s">
        <v>2814</v>
      </c>
      <c r="H143" s="48" t="s">
        <v>3971</v>
      </c>
      <c r="I143" s="48" t="s">
        <v>1884</v>
      </c>
      <c r="J143" s="48" t="s">
        <v>2816</v>
      </c>
      <c r="K143" s="48" t="s">
        <v>1877</v>
      </c>
      <c r="L143" s="48" t="s">
        <v>1842</v>
      </c>
      <c r="M143" s="48" t="s">
        <v>1810</v>
      </c>
      <c r="N143" s="48" t="s">
        <v>1842</v>
      </c>
      <c r="O143" s="48" t="s">
        <v>1811</v>
      </c>
      <c r="P143" s="48" t="s">
        <v>2549</v>
      </c>
      <c r="Q143" s="48" t="s">
        <v>2049</v>
      </c>
      <c r="R143" s="48" t="s">
        <v>1838</v>
      </c>
      <c r="S143" s="48" t="s">
        <v>2050</v>
      </c>
      <c r="T143" s="48" t="s">
        <v>1845</v>
      </c>
      <c r="U143" s="48" t="s">
        <v>2049</v>
      </c>
      <c r="V143" s="48" t="s">
        <v>1838</v>
      </c>
      <c r="W143" s="48" t="s">
        <v>2051</v>
      </c>
      <c r="X143" s="48" t="s">
        <v>2052</v>
      </c>
      <c r="Y143" s="48" t="s">
        <v>2050</v>
      </c>
      <c r="Z143" s="48" t="s">
        <v>2053</v>
      </c>
      <c r="AA143" s="48" t="s">
        <v>2054</v>
      </c>
      <c r="AB143" s="48" t="s">
        <v>2817</v>
      </c>
      <c r="AC143" s="48" t="s">
        <v>2055</v>
      </c>
      <c r="AD143" s="48" t="s">
        <v>2056</v>
      </c>
      <c r="AE143" s="48" t="s">
        <v>1710</v>
      </c>
      <c r="AF143" s="48" t="s">
        <v>1710</v>
      </c>
      <c r="AG143" s="48" t="s">
        <v>2057</v>
      </c>
      <c r="AH143" s="48" t="s">
        <v>1815</v>
      </c>
      <c r="AI143" s="48" t="s">
        <v>2058</v>
      </c>
      <c r="AJ143" s="48" t="s">
        <v>1710</v>
      </c>
      <c r="AK143" s="48" t="s">
        <v>2077</v>
      </c>
      <c r="AL143" s="48" t="s">
        <v>1858</v>
      </c>
      <c r="AM143" s="48" t="s">
        <v>1816</v>
      </c>
      <c r="AN143" s="48" t="s">
        <v>2054</v>
      </c>
      <c r="AO143" s="48" t="s">
        <v>1710</v>
      </c>
      <c r="AP143" s="48" t="s">
        <v>1848</v>
      </c>
      <c r="AQ143" s="48" t="s">
        <v>2060</v>
      </c>
      <c r="AR143" s="48" t="s">
        <v>1812</v>
      </c>
      <c r="AS143" s="48" t="s">
        <v>1813</v>
      </c>
      <c r="AT143" s="48" t="s">
        <v>1826</v>
      </c>
      <c r="AU143" s="48" t="s">
        <v>2061</v>
      </c>
      <c r="AV143" s="48" t="s">
        <v>2816</v>
      </c>
      <c r="AW143" s="48" t="s">
        <v>2062</v>
      </c>
      <c r="AX143" s="48" t="s">
        <v>2063</v>
      </c>
      <c r="AY143" s="48" t="s">
        <v>1710</v>
      </c>
      <c r="AZ143" s="48" t="s">
        <v>3972</v>
      </c>
      <c r="BA143" s="48" t="s">
        <v>1710</v>
      </c>
      <c r="BB143" s="48" t="s">
        <v>1709</v>
      </c>
      <c r="BC143" s="48" t="s">
        <v>1710</v>
      </c>
      <c r="BD143" s="48" t="s">
        <v>3956</v>
      </c>
      <c r="BE143" s="52" t="s">
        <v>3957</v>
      </c>
      <c r="BF143" s="48" t="s">
        <v>1710</v>
      </c>
      <c r="BG143" s="48" t="s">
        <v>2544</v>
      </c>
      <c r="BH143">
        <v>265</v>
      </c>
      <c r="BI143" s="48" t="s">
        <v>1888</v>
      </c>
      <c r="BJ143">
        <v>16</v>
      </c>
      <c r="BK143">
        <v>1473.06</v>
      </c>
      <c r="BL143">
        <v>154597301</v>
      </c>
      <c r="BM143">
        <v>104950</v>
      </c>
      <c r="BN143" s="48" t="s">
        <v>2064</v>
      </c>
      <c r="BO143" s="48" t="s">
        <v>2065</v>
      </c>
      <c r="BP143">
        <v>1473.06</v>
      </c>
      <c r="BQ143">
        <v>107393.66</v>
      </c>
      <c r="BR143" s="48" t="s">
        <v>1885</v>
      </c>
      <c r="BS143" s="48" t="s">
        <v>2066</v>
      </c>
      <c r="BT143">
        <v>1</v>
      </c>
      <c r="BU143">
        <v>3600000</v>
      </c>
      <c r="BV143">
        <v>3600000</v>
      </c>
      <c r="BW143" s="48" t="s">
        <v>2065</v>
      </c>
      <c r="BX143">
        <v>1473.06</v>
      </c>
      <c r="BY143">
        <v>0</v>
      </c>
      <c r="BZ143">
        <v>0</v>
      </c>
      <c r="CA143" s="48" t="s">
        <v>2065</v>
      </c>
      <c r="CB143">
        <v>1473.06</v>
      </c>
      <c r="CC143">
        <v>0</v>
      </c>
      <c r="CD143">
        <v>0</v>
      </c>
      <c r="CE143" s="48" t="s">
        <v>1710</v>
      </c>
      <c r="CF143" s="48" t="s">
        <v>1710</v>
      </c>
      <c r="CG143" s="48" t="s">
        <v>1710</v>
      </c>
      <c r="CH143" s="48" t="s">
        <v>1710</v>
      </c>
      <c r="CI143" s="48" t="s">
        <v>2067</v>
      </c>
      <c r="CJ143" s="48" t="s">
        <v>1710</v>
      </c>
      <c r="CL143" s="48" t="s">
        <v>2816</v>
      </c>
      <c r="CM143" s="48" t="s">
        <v>1710</v>
      </c>
      <c r="CN143" s="48" t="s">
        <v>2068</v>
      </c>
      <c r="CO143" s="48" t="s">
        <v>2069</v>
      </c>
      <c r="CP143" s="48" t="s">
        <v>1710</v>
      </c>
      <c r="CQ143" s="48" t="s">
        <v>1710</v>
      </c>
      <c r="CR143" s="48" t="s">
        <v>1710</v>
      </c>
      <c r="CS143" s="48" t="s">
        <v>1710</v>
      </c>
      <c r="CT143" s="48" t="s">
        <v>1710</v>
      </c>
      <c r="CU143" s="48" t="s">
        <v>1712</v>
      </c>
      <c r="CV143" s="48" t="s">
        <v>1710</v>
      </c>
      <c r="CW143" s="48" t="s">
        <v>1710</v>
      </c>
      <c r="CX143" s="48" t="s">
        <v>2823</v>
      </c>
      <c r="CY143" s="48" t="s">
        <v>1710</v>
      </c>
      <c r="CZ143" s="48" t="s">
        <v>1712</v>
      </c>
      <c r="DA143" s="48" t="s">
        <v>1710</v>
      </c>
      <c r="DB143" s="48" t="s">
        <v>1878</v>
      </c>
      <c r="DC143" s="48" t="s">
        <v>2070</v>
      </c>
      <c r="DD143" s="48" t="s">
        <v>1842</v>
      </c>
      <c r="DE143" s="48" t="s">
        <v>1886</v>
      </c>
      <c r="DF143" s="48" t="s">
        <v>3973</v>
      </c>
      <c r="DG143" s="48" t="s">
        <v>2071</v>
      </c>
      <c r="DH143" s="48" t="s">
        <v>1712</v>
      </c>
      <c r="DI143" s="48" t="s">
        <v>1710</v>
      </c>
      <c r="DJ143" s="48" t="s">
        <v>1710</v>
      </c>
      <c r="DK143" s="48" t="s">
        <v>1710</v>
      </c>
      <c r="DL143" s="48" t="s">
        <v>1710</v>
      </c>
      <c r="DM143" s="48" t="s">
        <v>1710</v>
      </c>
      <c r="DN143" s="48" t="s">
        <v>1710</v>
      </c>
      <c r="DO143" s="48" t="s">
        <v>1710</v>
      </c>
      <c r="DP143" s="48" t="s">
        <v>1710</v>
      </c>
      <c r="DQ143" s="48" t="s">
        <v>1710</v>
      </c>
      <c r="DR143" s="48" t="s">
        <v>2072</v>
      </c>
      <c r="DS143" s="48" t="s">
        <v>1710</v>
      </c>
      <c r="DT143" s="48" t="s">
        <v>1710</v>
      </c>
      <c r="DU143" s="48" t="s">
        <v>2547</v>
      </c>
      <c r="DV143" s="48" t="s">
        <v>3141</v>
      </c>
      <c r="DW143" s="48" t="s">
        <v>1710</v>
      </c>
      <c r="DX143" s="48" t="s">
        <v>3974</v>
      </c>
      <c r="DY143" s="48" t="s">
        <v>1709</v>
      </c>
      <c r="DZ143" s="48" t="s">
        <v>2562</v>
      </c>
      <c r="EA143" s="48" t="s">
        <v>2546</v>
      </c>
      <c r="EB143">
        <v>0</v>
      </c>
      <c r="EC143" s="48" t="s">
        <v>2547</v>
      </c>
      <c r="ED143" s="48" t="s">
        <v>3975</v>
      </c>
      <c r="EE143" s="48" t="s">
        <v>1814</v>
      </c>
      <c r="EF143" s="48" t="s">
        <v>1876</v>
      </c>
      <c r="EG143" s="48" t="s">
        <v>3972</v>
      </c>
      <c r="EH143">
        <v>48</v>
      </c>
      <c r="EI143" s="48" t="s">
        <v>1888</v>
      </c>
      <c r="EJ143">
        <v>0</v>
      </c>
      <c r="EK143" s="48" t="s">
        <v>1710</v>
      </c>
      <c r="EL143">
        <v>16</v>
      </c>
      <c r="EM143" s="48" t="s">
        <v>1886</v>
      </c>
      <c r="EN143">
        <v>48</v>
      </c>
      <c r="EO143" s="48" t="s">
        <v>2722</v>
      </c>
      <c r="EP143" s="48" t="s">
        <v>3976</v>
      </c>
      <c r="EQ143">
        <v>24451.919999999998</v>
      </c>
      <c r="ER143">
        <v>24451.919999999998</v>
      </c>
      <c r="ES143">
        <v>35199479</v>
      </c>
      <c r="ET143">
        <v>23895</v>
      </c>
      <c r="EU143" s="48" t="s">
        <v>1710</v>
      </c>
      <c r="EV143" s="48" t="s">
        <v>1710</v>
      </c>
      <c r="EW143" s="48" t="s">
        <v>1712</v>
      </c>
      <c r="EX143" s="48" t="s">
        <v>1710</v>
      </c>
      <c r="EY143" s="48" t="s">
        <v>1848</v>
      </c>
      <c r="EZ143" s="48" t="s">
        <v>1710</v>
      </c>
      <c r="FA143" s="48" t="s">
        <v>1710</v>
      </c>
      <c r="FB143" s="48" t="s">
        <v>1712</v>
      </c>
      <c r="FC143" s="48" t="s">
        <v>1710</v>
      </c>
      <c r="FD143" s="48" t="s">
        <v>1710</v>
      </c>
      <c r="FE143" s="48" t="s">
        <v>1814</v>
      </c>
      <c r="FF143" s="48" t="s">
        <v>1815</v>
      </c>
      <c r="FG143" s="48" t="s">
        <v>1710</v>
      </c>
      <c r="FH143">
        <v>1</v>
      </c>
      <c r="FI143" s="48" t="s">
        <v>1846</v>
      </c>
      <c r="FJ143">
        <v>4075.32</v>
      </c>
      <c r="FK143">
        <v>4075.32</v>
      </c>
      <c r="FL143" s="48" t="s">
        <v>3977</v>
      </c>
      <c r="FM143" s="48" t="s">
        <v>3976</v>
      </c>
      <c r="FN143" s="48" t="s">
        <v>1710</v>
      </c>
      <c r="FO143" s="48" t="s">
        <v>1710</v>
      </c>
      <c r="FP143" s="48" t="s">
        <v>1710</v>
      </c>
      <c r="FQ143" s="48" t="s">
        <v>1710</v>
      </c>
      <c r="FR143" s="48" t="s">
        <v>1710</v>
      </c>
      <c r="FS143" s="48" t="s">
        <v>1710</v>
      </c>
      <c r="FT143" s="48" t="s">
        <v>1710</v>
      </c>
      <c r="FU143" s="48" t="s">
        <v>1710</v>
      </c>
      <c r="FV143" s="48"/>
      <c r="FW143" s="56"/>
      <c r="FX143" s="56"/>
      <c r="FY143" s="56"/>
      <c r="FZ143" s="56"/>
      <c r="GA143" s="55" t="str">
        <f t="shared" si="8"/>
        <v>4388426300440X</v>
      </c>
      <c r="GB143" t="str">
        <f>VLOOKUP(B143,수출코드!$C$2:$D$4,2,FALSE)</f>
        <v>Suwon</v>
      </c>
      <c r="GC143" t="str">
        <f>VLOOKUP(L143,수출코드!$A$2:$B$6,2,FALSE)</f>
        <v/>
      </c>
      <c r="GD143" t="str">
        <f>VLOOKUP(M143,수출코드!$E$2:$F$5,2,FALSE)</f>
        <v>일반</v>
      </c>
      <c r="GE143" s="61">
        <f t="shared" si="6"/>
        <v>45973.645833333336</v>
      </c>
      <c r="GF143" s="62">
        <f t="shared" si="7"/>
        <v>46050.739583333336</v>
      </c>
      <c r="GI143" s="48" t="s">
        <v>2764</v>
      </c>
    </row>
    <row r="144" spans="1:191">
      <c r="A144" s="48" t="s">
        <v>3978</v>
      </c>
      <c r="B144" s="48" t="s">
        <v>1821</v>
      </c>
      <c r="C144" s="48" t="s">
        <v>2048</v>
      </c>
      <c r="D144" s="48" t="s">
        <v>2813</v>
      </c>
      <c r="E144" s="48" t="s">
        <v>3978</v>
      </c>
      <c r="F144" s="48" t="s">
        <v>1710</v>
      </c>
      <c r="G144" s="48" t="s">
        <v>2814</v>
      </c>
      <c r="H144" s="48" t="s">
        <v>3979</v>
      </c>
      <c r="I144" s="48" t="s">
        <v>1884</v>
      </c>
      <c r="J144" s="48" t="s">
        <v>2816</v>
      </c>
      <c r="K144" s="48" t="s">
        <v>1877</v>
      </c>
      <c r="L144" s="48" t="s">
        <v>1842</v>
      </c>
      <c r="M144" s="48" t="s">
        <v>1810</v>
      </c>
      <c r="N144" s="48" t="s">
        <v>1842</v>
      </c>
      <c r="O144" s="48" t="s">
        <v>1811</v>
      </c>
      <c r="P144" s="48" t="s">
        <v>2549</v>
      </c>
      <c r="Q144" s="48" t="s">
        <v>2049</v>
      </c>
      <c r="R144" s="48" t="s">
        <v>1838</v>
      </c>
      <c r="S144" s="48" t="s">
        <v>2050</v>
      </c>
      <c r="T144" s="48" t="s">
        <v>1845</v>
      </c>
      <c r="U144" s="48" t="s">
        <v>2049</v>
      </c>
      <c r="V144" s="48" t="s">
        <v>1838</v>
      </c>
      <c r="W144" s="48" t="s">
        <v>2051</v>
      </c>
      <c r="X144" s="48" t="s">
        <v>2052</v>
      </c>
      <c r="Y144" s="48" t="s">
        <v>2050</v>
      </c>
      <c r="Z144" s="48" t="s">
        <v>2053</v>
      </c>
      <c r="AA144" s="48" t="s">
        <v>2054</v>
      </c>
      <c r="AB144" s="48" t="s">
        <v>2817</v>
      </c>
      <c r="AC144" s="48" t="s">
        <v>2055</v>
      </c>
      <c r="AD144" s="48" t="s">
        <v>2056</v>
      </c>
      <c r="AE144" s="48" t="s">
        <v>1710</v>
      </c>
      <c r="AF144" s="48" t="s">
        <v>1710</v>
      </c>
      <c r="AG144" s="48" t="s">
        <v>2057</v>
      </c>
      <c r="AH144" s="48" t="s">
        <v>1815</v>
      </c>
      <c r="AI144" s="48" t="s">
        <v>2058</v>
      </c>
      <c r="AJ144" s="48" t="s">
        <v>1710</v>
      </c>
      <c r="AK144" s="48" t="s">
        <v>2565</v>
      </c>
      <c r="AL144" s="48" t="s">
        <v>2557</v>
      </c>
      <c r="AM144" s="48" t="s">
        <v>1816</v>
      </c>
      <c r="AN144" s="48" t="s">
        <v>2054</v>
      </c>
      <c r="AO144" s="48" t="s">
        <v>1710</v>
      </c>
      <c r="AP144" s="48" t="s">
        <v>1855</v>
      </c>
      <c r="AQ144" s="48" t="s">
        <v>2076</v>
      </c>
      <c r="AR144" s="48" t="s">
        <v>1812</v>
      </c>
      <c r="AS144" s="48" t="s">
        <v>1813</v>
      </c>
      <c r="AT144" s="48" t="s">
        <v>1826</v>
      </c>
      <c r="AU144" s="48" t="s">
        <v>2061</v>
      </c>
      <c r="AV144" s="48" t="s">
        <v>2816</v>
      </c>
      <c r="AW144" s="48" t="s">
        <v>2062</v>
      </c>
      <c r="AX144" s="48" t="s">
        <v>2063</v>
      </c>
      <c r="AY144" s="48" t="s">
        <v>1710</v>
      </c>
      <c r="AZ144" s="48" t="s">
        <v>3980</v>
      </c>
      <c r="BA144" s="48" t="s">
        <v>1710</v>
      </c>
      <c r="BB144" s="48" t="s">
        <v>1709</v>
      </c>
      <c r="BC144" s="48" t="s">
        <v>1710</v>
      </c>
      <c r="BD144" s="48" t="s">
        <v>3956</v>
      </c>
      <c r="BE144" s="52" t="s">
        <v>3957</v>
      </c>
      <c r="BF144" s="48" t="s">
        <v>1710</v>
      </c>
      <c r="BG144" s="48" t="s">
        <v>1817</v>
      </c>
      <c r="BH144">
        <v>75</v>
      </c>
      <c r="BI144" s="48" t="s">
        <v>1888</v>
      </c>
      <c r="BJ144">
        <v>5</v>
      </c>
      <c r="BK144">
        <v>1473.06</v>
      </c>
      <c r="BL144">
        <v>51596574</v>
      </c>
      <c r="BM144">
        <v>35027</v>
      </c>
      <c r="BN144" s="48" t="s">
        <v>2064</v>
      </c>
      <c r="BO144" s="48" t="s">
        <v>2065</v>
      </c>
      <c r="BP144">
        <v>1473.06</v>
      </c>
      <c r="BQ144">
        <v>35275.26</v>
      </c>
      <c r="BR144" s="48" t="s">
        <v>1885</v>
      </c>
      <c r="BS144" s="48" t="s">
        <v>2066</v>
      </c>
      <c r="BT144">
        <v>1</v>
      </c>
      <c r="BU144">
        <v>366000</v>
      </c>
      <c r="BV144">
        <v>366000</v>
      </c>
      <c r="BW144" s="48" t="s">
        <v>2065</v>
      </c>
      <c r="BX144">
        <v>1473.06</v>
      </c>
      <c r="BY144">
        <v>0</v>
      </c>
      <c r="BZ144">
        <v>0</v>
      </c>
      <c r="CA144" s="48" t="s">
        <v>2065</v>
      </c>
      <c r="CB144">
        <v>1473.06</v>
      </c>
      <c r="CC144">
        <v>0</v>
      </c>
      <c r="CD144">
        <v>0</v>
      </c>
      <c r="CE144" s="48" t="s">
        <v>1710</v>
      </c>
      <c r="CF144" s="48" t="s">
        <v>1710</v>
      </c>
      <c r="CG144" s="48" t="s">
        <v>1710</v>
      </c>
      <c r="CH144" s="48" t="s">
        <v>1710</v>
      </c>
      <c r="CI144" s="48" t="s">
        <v>2067</v>
      </c>
      <c r="CJ144" s="48" t="s">
        <v>1710</v>
      </c>
      <c r="CL144" s="48" t="s">
        <v>2816</v>
      </c>
      <c r="CM144" s="48" t="s">
        <v>1710</v>
      </c>
      <c r="CN144" s="48" t="s">
        <v>2068</v>
      </c>
      <c r="CO144" s="48" t="s">
        <v>2069</v>
      </c>
      <c r="CP144" s="48" t="s">
        <v>1710</v>
      </c>
      <c r="CQ144" s="48" t="s">
        <v>1710</v>
      </c>
      <c r="CR144" s="48" t="s">
        <v>1710</v>
      </c>
      <c r="CS144" s="48" t="s">
        <v>1710</v>
      </c>
      <c r="CT144" s="48" t="s">
        <v>1710</v>
      </c>
      <c r="CU144" s="48" t="s">
        <v>1712</v>
      </c>
      <c r="CV144" s="48" t="s">
        <v>1710</v>
      </c>
      <c r="CW144" s="48" t="s">
        <v>1710</v>
      </c>
      <c r="CX144" s="48" t="s">
        <v>2823</v>
      </c>
      <c r="CY144" s="48" t="s">
        <v>1710</v>
      </c>
      <c r="CZ144" s="48" t="s">
        <v>1712</v>
      </c>
      <c r="DA144" s="48" t="s">
        <v>1710</v>
      </c>
      <c r="DB144" s="48" t="s">
        <v>1878</v>
      </c>
      <c r="DC144" s="48" t="s">
        <v>2070</v>
      </c>
      <c r="DD144" s="48" t="s">
        <v>1842</v>
      </c>
      <c r="DE144" s="48" t="s">
        <v>1886</v>
      </c>
      <c r="DF144" s="48" t="s">
        <v>3981</v>
      </c>
      <c r="DG144" s="48" t="s">
        <v>2071</v>
      </c>
      <c r="DH144" s="48" t="s">
        <v>1712</v>
      </c>
      <c r="DI144" s="48" t="s">
        <v>1710</v>
      </c>
      <c r="DJ144" s="48" t="s">
        <v>1710</v>
      </c>
      <c r="DK144" s="48" t="s">
        <v>1710</v>
      </c>
      <c r="DL144" s="48" t="s">
        <v>1710</v>
      </c>
      <c r="DM144" s="48" t="s">
        <v>1710</v>
      </c>
      <c r="DN144" s="48" t="s">
        <v>1710</v>
      </c>
      <c r="DO144" s="48" t="s">
        <v>1710</v>
      </c>
      <c r="DP144" s="48" t="s">
        <v>1710</v>
      </c>
      <c r="DQ144" s="48" t="s">
        <v>1710</v>
      </c>
      <c r="DR144" s="48" t="s">
        <v>2072</v>
      </c>
      <c r="DS144" s="48" t="s">
        <v>1710</v>
      </c>
      <c r="DT144" s="48" t="s">
        <v>1710</v>
      </c>
      <c r="DU144" s="48" t="s">
        <v>2547</v>
      </c>
      <c r="DV144" s="48" t="s">
        <v>3141</v>
      </c>
      <c r="DW144" s="48" t="s">
        <v>1710</v>
      </c>
      <c r="DX144" s="48" t="s">
        <v>3982</v>
      </c>
      <c r="DY144" s="48" t="s">
        <v>1709</v>
      </c>
      <c r="DZ144" s="48" t="s">
        <v>2562</v>
      </c>
      <c r="EA144" s="48" t="s">
        <v>2546</v>
      </c>
      <c r="EB144">
        <v>0</v>
      </c>
      <c r="EC144" s="48" t="s">
        <v>2547</v>
      </c>
      <c r="ED144" s="48" t="s">
        <v>3960</v>
      </c>
      <c r="EE144" s="48" t="s">
        <v>1814</v>
      </c>
      <c r="EF144" s="48" t="s">
        <v>1849</v>
      </c>
      <c r="EG144" s="48" t="s">
        <v>3980</v>
      </c>
      <c r="EH144">
        <v>57</v>
      </c>
      <c r="EI144" s="48" t="s">
        <v>1888</v>
      </c>
      <c r="EJ144">
        <v>3</v>
      </c>
      <c r="EK144" s="48" t="s">
        <v>1887</v>
      </c>
      <c r="EL144">
        <v>5</v>
      </c>
      <c r="EM144" s="48" t="s">
        <v>1886</v>
      </c>
      <c r="EN144">
        <v>57</v>
      </c>
      <c r="EO144" s="48" t="s">
        <v>2526</v>
      </c>
      <c r="EP144" s="48" t="s">
        <v>2711</v>
      </c>
      <c r="EQ144">
        <v>29843.4</v>
      </c>
      <c r="ER144">
        <v>29843.4</v>
      </c>
      <c r="ES144">
        <v>43651477</v>
      </c>
      <c r="ET144">
        <v>29633</v>
      </c>
      <c r="EU144" s="48" t="s">
        <v>1710</v>
      </c>
      <c r="EV144" s="48" t="s">
        <v>1710</v>
      </c>
      <c r="EW144" s="48" t="s">
        <v>1712</v>
      </c>
      <c r="EX144" s="48" t="s">
        <v>1710</v>
      </c>
      <c r="EY144" s="48" t="s">
        <v>1860</v>
      </c>
      <c r="EZ144" s="48" t="s">
        <v>1710</v>
      </c>
      <c r="FA144" s="48" t="s">
        <v>1710</v>
      </c>
      <c r="FB144" s="48" t="s">
        <v>1712</v>
      </c>
      <c r="FC144" s="48" t="s">
        <v>1710</v>
      </c>
      <c r="FD144" s="48" t="s">
        <v>1710</v>
      </c>
      <c r="FE144" s="48" t="s">
        <v>1814</v>
      </c>
      <c r="FF144" s="48" t="s">
        <v>1815</v>
      </c>
      <c r="FG144" s="48" t="s">
        <v>1710</v>
      </c>
      <c r="FH144">
        <v>1</v>
      </c>
      <c r="FI144" s="48" t="s">
        <v>1846</v>
      </c>
      <c r="FJ144">
        <v>9947.7999999999993</v>
      </c>
      <c r="FK144">
        <v>9947.7999999999993</v>
      </c>
      <c r="FL144" s="48" t="s">
        <v>2717</v>
      </c>
      <c r="FM144" s="48" t="s">
        <v>2711</v>
      </c>
      <c r="FN144" s="48" t="s">
        <v>1710</v>
      </c>
      <c r="FO144" s="48" t="s">
        <v>1710</v>
      </c>
      <c r="FP144" s="48" t="s">
        <v>1710</v>
      </c>
      <c r="FQ144" s="48" t="s">
        <v>1710</v>
      </c>
      <c r="FR144" s="48" t="s">
        <v>1710</v>
      </c>
      <c r="FS144" s="48" t="s">
        <v>1710</v>
      </c>
      <c r="FT144" s="48" t="s">
        <v>1710</v>
      </c>
      <c r="FU144" s="48" t="s">
        <v>1710</v>
      </c>
      <c r="FV144" s="48"/>
      <c r="FW144" s="56"/>
      <c r="FX144" s="56"/>
      <c r="FY144" s="56"/>
      <c r="FZ144" s="56"/>
      <c r="GA144" s="55" t="str">
        <f t="shared" si="8"/>
        <v>4388426300441X</v>
      </c>
      <c r="GB144" t="str">
        <f>VLOOKUP(B144,수출코드!$C$2:$D$4,2,FALSE)</f>
        <v>Suwon</v>
      </c>
      <c r="GC144" t="str">
        <f>VLOOKUP(L144,수출코드!$A$2:$B$6,2,FALSE)</f>
        <v/>
      </c>
      <c r="GD144" t="str">
        <f>VLOOKUP(M144,수출코드!$E$2:$F$5,2,FALSE)</f>
        <v>일반</v>
      </c>
      <c r="GE144" s="61">
        <f t="shared" si="6"/>
        <v>45973.645833333336</v>
      </c>
      <c r="GF144" s="62">
        <f t="shared" si="7"/>
        <v>46050.736111111109</v>
      </c>
      <c r="GI144" s="48" t="s">
        <v>2764</v>
      </c>
    </row>
    <row r="145" spans="1:191">
      <c r="A145" s="48" t="s">
        <v>3983</v>
      </c>
      <c r="B145" s="48" t="s">
        <v>1821</v>
      </c>
      <c r="C145" s="48" t="s">
        <v>2048</v>
      </c>
      <c r="D145" s="48" t="s">
        <v>2813</v>
      </c>
      <c r="E145" s="48" t="s">
        <v>3983</v>
      </c>
      <c r="F145" s="48" t="s">
        <v>1710</v>
      </c>
      <c r="G145" s="48" t="s">
        <v>2814</v>
      </c>
      <c r="H145" s="48" t="s">
        <v>3984</v>
      </c>
      <c r="I145" s="48" t="s">
        <v>1884</v>
      </c>
      <c r="J145" s="48" t="s">
        <v>2816</v>
      </c>
      <c r="K145" s="48" t="s">
        <v>1877</v>
      </c>
      <c r="L145" s="48" t="s">
        <v>1842</v>
      </c>
      <c r="M145" s="48" t="s">
        <v>1810</v>
      </c>
      <c r="N145" s="48" t="s">
        <v>1842</v>
      </c>
      <c r="O145" s="48" t="s">
        <v>1811</v>
      </c>
      <c r="P145" s="48" t="s">
        <v>2549</v>
      </c>
      <c r="Q145" s="48" t="s">
        <v>2049</v>
      </c>
      <c r="R145" s="48" t="s">
        <v>1838</v>
      </c>
      <c r="S145" s="48" t="s">
        <v>2050</v>
      </c>
      <c r="T145" s="48" t="s">
        <v>1845</v>
      </c>
      <c r="U145" s="48" t="s">
        <v>2049</v>
      </c>
      <c r="V145" s="48" t="s">
        <v>1838</v>
      </c>
      <c r="W145" s="48" t="s">
        <v>2051</v>
      </c>
      <c r="X145" s="48" t="s">
        <v>2052</v>
      </c>
      <c r="Y145" s="48" t="s">
        <v>2050</v>
      </c>
      <c r="Z145" s="48" t="s">
        <v>2053</v>
      </c>
      <c r="AA145" s="48" t="s">
        <v>2054</v>
      </c>
      <c r="AB145" s="48" t="s">
        <v>2817</v>
      </c>
      <c r="AC145" s="48" t="s">
        <v>2055</v>
      </c>
      <c r="AD145" s="48" t="s">
        <v>2056</v>
      </c>
      <c r="AE145" s="48" t="s">
        <v>1710</v>
      </c>
      <c r="AF145" s="48" t="s">
        <v>1710</v>
      </c>
      <c r="AG145" s="48" t="s">
        <v>2057</v>
      </c>
      <c r="AH145" s="48" t="s">
        <v>1815</v>
      </c>
      <c r="AI145" s="48" t="s">
        <v>2058</v>
      </c>
      <c r="AJ145" s="48" t="s">
        <v>1710</v>
      </c>
      <c r="AK145" s="48" t="s">
        <v>2568</v>
      </c>
      <c r="AL145" s="48" t="s">
        <v>1880</v>
      </c>
      <c r="AM145" s="48" t="s">
        <v>1816</v>
      </c>
      <c r="AN145" s="48" t="s">
        <v>2054</v>
      </c>
      <c r="AO145" s="48" t="s">
        <v>1710</v>
      </c>
      <c r="AP145" s="48" t="s">
        <v>1843</v>
      </c>
      <c r="AQ145" s="48" t="s">
        <v>2079</v>
      </c>
      <c r="AR145" s="48" t="s">
        <v>1812</v>
      </c>
      <c r="AS145" s="48" t="s">
        <v>1813</v>
      </c>
      <c r="AT145" s="48" t="s">
        <v>1826</v>
      </c>
      <c r="AU145" s="48" t="s">
        <v>2061</v>
      </c>
      <c r="AV145" s="48" t="s">
        <v>2816</v>
      </c>
      <c r="AW145" s="48" t="s">
        <v>2062</v>
      </c>
      <c r="AX145" s="48" t="s">
        <v>2063</v>
      </c>
      <c r="AY145" s="48" t="s">
        <v>1710</v>
      </c>
      <c r="AZ145" s="48" t="s">
        <v>3985</v>
      </c>
      <c r="BA145" s="48" t="s">
        <v>1710</v>
      </c>
      <c r="BB145" s="48" t="s">
        <v>1709</v>
      </c>
      <c r="BC145" s="48" t="s">
        <v>1710</v>
      </c>
      <c r="BD145" s="48" t="s">
        <v>3956</v>
      </c>
      <c r="BE145" s="52" t="s">
        <v>3957</v>
      </c>
      <c r="BF145" s="48" t="s">
        <v>1710</v>
      </c>
      <c r="BG145" s="48" t="s">
        <v>1814</v>
      </c>
      <c r="BH145">
        <v>106</v>
      </c>
      <c r="BI145" s="48" t="s">
        <v>1888</v>
      </c>
      <c r="BJ145">
        <v>1</v>
      </c>
      <c r="BK145">
        <v>1473.06</v>
      </c>
      <c r="BL145">
        <v>265020708</v>
      </c>
      <c r="BM145">
        <v>179912</v>
      </c>
      <c r="BN145" s="48" t="s">
        <v>2064</v>
      </c>
      <c r="BO145" s="48" t="s">
        <v>2065</v>
      </c>
      <c r="BP145">
        <v>1473.06</v>
      </c>
      <c r="BQ145">
        <v>180196.4</v>
      </c>
      <c r="BR145" s="48" t="s">
        <v>1885</v>
      </c>
      <c r="BS145" s="48" t="s">
        <v>2066</v>
      </c>
      <c r="BT145">
        <v>1</v>
      </c>
      <c r="BU145">
        <v>419400</v>
      </c>
      <c r="BV145">
        <v>419400</v>
      </c>
      <c r="BW145" s="48" t="s">
        <v>2065</v>
      </c>
      <c r="BX145">
        <v>1473.06</v>
      </c>
      <c r="BY145">
        <v>0</v>
      </c>
      <c r="BZ145">
        <v>0</v>
      </c>
      <c r="CA145" s="48" t="s">
        <v>2065</v>
      </c>
      <c r="CB145">
        <v>1473.06</v>
      </c>
      <c r="CC145">
        <v>0</v>
      </c>
      <c r="CD145">
        <v>0</v>
      </c>
      <c r="CE145" s="48" t="s">
        <v>1710</v>
      </c>
      <c r="CF145" s="48" t="s">
        <v>1710</v>
      </c>
      <c r="CG145" s="48" t="s">
        <v>1710</v>
      </c>
      <c r="CH145" s="48" t="s">
        <v>1710</v>
      </c>
      <c r="CI145" s="48" t="s">
        <v>2067</v>
      </c>
      <c r="CJ145" s="48" t="s">
        <v>1710</v>
      </c>
      <c r="CL145" s="48" t="s">
        <v>2816</v>
      </c>
      <c r="CM145" s="48" t="s">
        <v>1710</v>
      </c>
      <c r="CN145" s="48" t="s">
        <v>2068</v>
      </c>
      <c r="CO145" s="48" t="s">
        <v>2069</v>
      </c>
      <c r="CP145" s="48" t="s">
        <v>1710</v>
      </c>
      <c r="CQ145" s="48" t="s">
        <v>1710</v>
      </c>
      <c r="CR145" s="48" t="s">
        <v>1710</v>
      </c>
      <c r="CS145" s="48" t="s">
        <v>1710</v>
      </c>
      <c r="CT145" s="48" t="s">
        <v>1710</v>
      </c>
      <c r="CU145" s="48" t="s">
        <v>1712</v>
      </c>
      <c r="CV145" s="48" t="s">
        <v>1710</v>
      </c>
      <c r="CW145" s="48" t="s">
        <v>1710</v>
      </c>
      <c r="CX145" s="48" t="s">
        <v>2823</v>
      </c>
      <c r="CY145" s="48" t="s">
        <v>1710</v>
      </c>
      <c r="CZ145" s="48" t="s">
        <v>1712</v>
      </c>
      <c r="DA145" s="48" t="s">
        <v>1710</v>
      </c>
      <c r="DB145" s="48" t="s">
        <v>1878</v>
      </c>
      <c r="DC145" s="48" t="s">
        <v>2070</v>
      </c>
      <c r="DD145" s="48" t="s">
        <v>1842</v>
      </c>
      <c r="DE145" s="48" t="s">
        <v>1886</v>
      </c>
      <c r="DF145" s="48" t="s">
        <v>3986</v>
      </c>
      <c r="DG145" s="48" t="s">
        <v>2071</v>
      </c>
      <c r="DH145" s="48" t="s">
        <v>1712</v>
      </c>
      <c r="DI145" s="48" t="s">
        <v>1710</v>
      </c>
      <c r="DJ145" s="48" t="s">
        <v>1710</v>
      </c>
      <c r="DK145" s="48" t="s">
        <v>1710</v>
      </c>
      <c r="DL145" s="48" t="s">
        <v>1710</v>
      </c>
      <c r="DM145" s="48" t="s">
        <v>1710</v>
      </c>
      <c r="DN145" s="48" t="s">
        <v>1710</v>
      </c>
      <c r="DO145" s="48" t="s">
        <v>1710</v>
      </c>
      <c r="DP145" s="48" t="s">
        <v>1710</v>
      </c>
      <c r="DQ145" s="48" t="s">
        <v>1710</v>
      </c>
      <c r="DR145" s="48" t="s">
        <v>2072</v>
      </c>
      <c r="DS145" s="48" t="s">
        <v>1710</v>
      </c>
      <c r="DT145" s="48" t="s">
        <v>1710</v>
      </c>
      <c r="DU145" s="48" t="s">
        <v>2547</v>
      </c>
      <c r="DV145" s="48" t="s">
        <v>2825</v>
      </c>
      <c r="DW145" s="48" t="s">
        <v>1710</v>
      </c>
      <c r="DX145" s="48" t="s">
        <v>3987</v>
      </c>
      <c r="DY145" s="48" t="s">
        <v>1709</v>
      </c>
      <c r="DZ145" s="48" t="s">
        <v>2562</v>
      </c>
      <c r="EA145" s="48" t="s">
        <v>2546</v>
      </c>
      <c r="EB145">
        <v>0</v>
      </c>
      <c r="EC145" s="48" t="s">
        <v>2547</v>
      </c>
      <c r="ED145" s="48" t="s">
        <v>3975</v>
      </c>
      <c r="EE145" s="48" t="s">
        <v>1814</v>
      </c>
      <c r="EF145" s="48" t="s">
        <v>1852</v>
      </c>
      <c r="EG145" s="48" t="s">
        <v>3985</v>
      </c>
      <c r="EH145">
        <v>100</v>
      </c>
      <c r="EI145" s="48" t="s">
        <v>1888</v>
      </c>
      <c r="EJ145">
        <v>0</v>
      </c>
      <c r="EK145" s="48" t="s">
        <v>1710</v>
      </c>
      <c r="EL145">
        <v>1</v>
      </c>
      <c r="EM145" s="48" t="s">
        <v>1886</v>
      </c>
      <c r="EN145">
        <v>100</v>
      </c>
      <c r="EO145" s="48" t="s">
        <v>2521</v>
      </c>
      <c r="EP145" s="48" t="s">
        <v>2596</v>
      </c>
      <c r="EQ145">
        <v>180196.4</v>
      </c>
      <c r="ER145">
        <v>180196.4</v>
      </c>
      <c r="ES145">
        <v>265020708</v>
      </c>
      <c r="ET145">
        <v>179912</v>
      </c>
      <c r="EU145" s="48" t="s">
        <v>1710</v>
      </c>
      <c r="EV145" s="48" t="s">
        <v>1710</v>
      </c>
      <c r="EW145" s="48" t="s">
        <v>1712</v>
      </c>
      <c r="EX145" s="48" t="s">
        <v>1710</v>
      </c>
      <c r="EY145" s="48" t="s">
        <v>1843</v>
      </c>
      <c r="EZ145" s="48" t="s">
        <v>1710</v>
      </c>
      <c r="FA145" s="48" t="s">
        <v>1710</v>
      </c>
      <c r="FB145" s="48" t="s">
        <v>1712</v>
      </c>
      <c r="FC145" s="48" t="s">
        <v>1710</v>
      </c>
      <c r="FD145" s="48" t="s">
        <v>1710</v>
      </c>
      <c r="FE145" s="48" t="s">
        <v>1814</v>
      </c>
      <c r="FF145" s="48" t="s">
        <v>1815</v>
      </c>
      <c r="FG145" s="48" t="s">
        <v>1710</v>
      </c>
      <c r="FH145">
        <v>1</v>
      </c>
      <c r="FI145" s="48" t="s">
        <v>1846</v>
      </c>
      <c r="FJ145">
        <v>18019.64</v>
      </c>
      <c r="FK145">
        <v>18019.64</v>
      </c>
      <c r="FL145" s="48" t="s">
        <v>3988</v>
      </c>
      <c r="FM145" s="48" t="s">
        <v>2596</v>
      </c>
      <c r="FN145" s="48" t="s">
        <v>1710</v>
      </c>
      <c r="FO145" s="48" t="s">
        <v>1710</v>
      </c>
      <c r="FP145" s="48" t="s">
        <v>1710</v>
      </c>
      <c r="FQ145" s="48" t="s">
        <v>1710</v>
      </c>
      <c r="FR145" s="48" t="s">
        <v>1710</v>
      </c>
      <c r="FS145" s="48" t="s">
        <v>1710</v>
      </c>
      <c r="FT145" s="48" t="s">
        <v>1710</v>
      </c>
      <c r="FU145" s="48" t="s">
        <v>1710</v>
      </c>
      <c r="FV145" s="48"/>
      <c r="FW145" s="56"/>
      <c r="FX145" s="56"/>
      <c r="FY145" s="56"/>
      <c r="FZ145" s="56"/>
      <c r="GA145" s="55" t="str">
        <f t="shared" si="8"/>
        <v>4388426300442X</v>
      </c>
      <c r="GB145" t="str">
        <f>VLOOKUP(B145,수출코드!$C$2:$D$4,2,FALSE)</f>
        <v>Suwon</v>
      </c>
      <c r="GC145" t="str">
        <f>VLOOKUP(L145,수출코드!$A$2:$B$6,2,FALSE)</f>
        <v/>
      </c>
      <c r="GD145" t="str">
        <f>VLOOKUP(M145,수출코드!$E$2:$F$5,2,FALSE)</f>
        <v>일반</v>
      </c>
      <c r="GE145" s="61">
        <f t="shared" si="6"/>
        <v>45973.645833333336</v>
      </c>
      <c r="GF145" s="62">
        <f t="shared" si="7"/>
        <v>46050.739583333336</v>
      </c>
      <c r="GI145" s="48" t="s">
        <v>2764</v>
      </c>
    </row>
    <row r="146" spans="1:191">
      <c r="A146" s="48" t="s">
        <v>3989</v>
      </c>
      <c r="B146" s="48" t="s">
        <v>1821</v>
      </c>
      <c r="C146" s="48" t="s">
        <v>2048</v>
      </c>
      <c r="D146" s="48" t="s">
        <v>2813</v>
      </c>
      <c r="E146" s="48" t="s">
        <v>3989</v>
      </c>
      <c r="F146" s="48" t="s">
        <v>1710</v>
      </c>
      <c r="G146" s="48" t="s">
        <v>2814</v>
      </c>
      <c r="H146" s="48" t="s">
        <v>3990</v>
      </c>
      <c r="I146" s="48" t="s">
        <v>1884</v>
      </c>
      <c r="J146" s="48" t="s">
        <v>3111</v>
      </c>
      <c r="K146" s="48" t="s">
        <v>1877</v>
      </c>
      <c r="L146" s="48" t="s">
        <v>1842</v>
      </c>
      <c r="M146" s="48" t="s">
        <v>1822</v>
      </c>
      <c r="N146" s="48" t="s">
        <v>1842</v>
      </c>
      <c r="O146" s="48" t="s">
        <v>1823</v>
      </c>
      <c r="P146" s="48" t="s">
        <v>2549</v>
      </c>
      <c r="Q146" s="48" t="s">
        <v>2049</v>
      </c>
      <c r="R146" s="48" t="s">
        <v>1838</v>
      </c>
      <c r="S146" s="48" t="s">
        <v>2050</v>
      </c>
      <c r="T146" s="48" t="s">
        <v>1845</v>
      </c>
      <c r="U146" s="48" t="s">
        <v>2049</v>
      </c>
      <c r="V146" s="48" t="s">
        <v>1838</v>
      </c>
      <c r="W146" s="48" t="s">
        <v>2051</v>
      </c>
      <c r="X146" s="48" t="s">
        <v>2052</v>
      </c>
      <c r="Y146" s="48" t="s">
        <v>2050</v>
      </c>
      <c r="Z146" s="48" t="s">
        <v>2053</v>
      </c>
      <c r="AA146" s="48" t="s">
        <v>2054</v>
      </c>
      <c r="AB146" s="48" t="s">
        <v>2817</v>
      </c>
      <c r="AC146" s="48" t="s">
        <v>2055</v>
      </c>
      <c r="AD146" s="48" t="s">
        <v>2056</v>
      </c>
      <c r="AE146" s="48" t="s">
        <v>1710</v>
      </c>
      <c r="AF146" s="48" t="s">
        <v>1710</v>
      </c>
      <c r="AG146" s="48" t="s">
        <v>2057</v>
      </c>
      <c r="AH146" s="48" t="s">
        <v>1815</v>
      </c>
      <c r="AI146" s="48" t="s">
        <v>2058</v>
      </c>
      <c r="AJ146" s="48" t="s">
        <v>1710</v>
      </c>
      <c r="AK146" s="48" t="s">
        <v>3105</v>
      </c>
      <c r="AL146" s="48" t="s">
        <v>3106</v>
      </c>
      <c r="AM146" s="48" t="s">
        <v>1816</v>
      </c>
      <c r="AN146" s="48" t="s">
        <v>2054</v>
      </c>
      <c r="AO146" s="48" t="s">
        <v>1710</v>
      </c>
      <c r="AP146" s="48" t="s">
        <v>1855</v>
      </c>
      <c r="AQ146" s="48" t="s">
        <v>2076</v>
      </c>
      <c r="AR146" s="48" t="s">
        <v>1812</v>
      </c>
      <c r="AS146" s="48" t="s">
        <v>1813</v>
      </c>
      <c r="AT146" s="48" t="s">
        <v>1826</v>
      </c>
      <c r="AU146" s="48" t="s">
        <v>2061</v>
      </c>
      <c r="AV146" s="48" t="s">
        <v>3111</v>
      </c>
      <c r="AW146" s="48" t="s">
        <v>2062</v>
      </c>
      <c r="AX146" s="48" t="s">
        <v>2063</v>
      </c>
      <c r="AY146" s="48" t="s">
        <v>1710</v>
      </c>
      <c r="AZ146" s="48" t="s">
        <v>3991</v>
      </c>
      <c r="BA146" s="48" t="s">
        <v>1710</v>
      </c>
      <c r="BB146" s="48" t="s">
        <v>1709</v>
      </c>
      <c r="BC146" s="48" t="s">
        <v>1710</v>
      </c>
      <c r="BD146" s="48" t="s">
        <v>3108</v>
      </c>
      <c r="BE146" s="52" t="s">
        <v>3992</v>
      </c>
      <c r="BF146" s="48" t="s">
        <v>1710</v>
      </c>
      <c r="BG146" s="48" t="s">
        <v>1814</v>
      </c>
      <c r="BH146">
        <v>300</v>
      </c>
      <c r="BI146" s="48" t="s">
        <v>1888</v>
      </c>
      <c r="BJ146">
        <v>3</v>
      </c>
      <c r="BK146">
        <v>1473.06</v>
      </c>
      <c r="BL146">
        <v>44437241</v>
      </c>
      <c r="BM146">
        <v>30167</v>
      </c>
      <c r="BN146" s="48" t="s">
        <v>2064</v>
      </c>
      <c r="BO146" s="48" t="s">
        <v>2065</v>
      </c>
      <c r="BP146">
        <v>1473.06</v>
      </c>
      <c r="BQ146">
        <v>31148.25</v>
      </c>
      <c r="BR146" s="48" t="s">
        <v>1885</v>
      </c>
      <c r="BS146" s="48" t="s">
        <v>2066</v>
      </c>
      <c r="BT146">
        <v>1</v>
      </c>
      <c r="BU146">
        <v>1446000</v>
      </c>
      <c r="BV146">
        <v>1446000</v>
      </c>
      <c r="BW146" s="48" t="s">
        <v>2065</v>
      </c>
      <c r="BX146">
        <v>1473.06</v>
      </c>
      <c r="BY146">
        <v>0</v>
      </c>
      <c r="BZ146">
        <v>0</v>
      </c>
      <c r="CA146" s="48" t="s">
        <v>2065</v>
      </c>
      <c r="CB146">
        <v>1473.06</v>
      </c>
      <c r="CC146">
        <v>0</v>
      </c>
      <c r="CD146">
        <v>0</v>
      </c>
      <c r="CE146" s="48" t="s">
        <v>1710</v>
      </c>
      <c r="CF146" s="48" t="s">
        <v>1710</v>
      </c>
      <c r="CG146" s="48" t="s">
        <v>1710</v>
      </c>
      <c r="CH146" s="48" t="s">
        <v>1710</v>
      </c>
      <c r="CI146" s="48" t="s">
        <v>2067</v>
      </c>
      <c r="CJ146" s="48" t="s">
        <v>1710</v>
      </c>
      <c r="CL146" s="48" t="s">
        <v>3111</v>
      </c>
      <c r="CM146" s="48" t="s">
        <v>1710</v>
      </c>
      <c r="CN146" s="48" t="s">
        <v>2068</v>
      </c>
      <c r="CO146" s="48" t="s">
        <v>2069</v>
      </c>
      <c r="CP146" s="48" t="s">
        <v>1710</v>
      </c>
      <c r="CQ146" s="48" t="s">
        <v>1710</v>
      </c>
      <c r="CR146" s="48" t="s">
        <v>1710</v>
      </c>
      <c r="CS146" s="48" t="s">
        <v>1710</v>
      </c>
      <c r="CT146" s="48" t="s">
        <v>1710</v>
      </c>
      <c r="CU146" s="48" t="s">
        <v>1712</v>
      </c>
      <c r="CV146" s="48" t="s">
        <v>1710</v>
      </c>
      <c r="CW146" s="48" t="s">
        <v>1710</v>
      </c>
      <c r="CX146" s="48" t="s">
        <v>3167</v>
      </c>
      <c r="CY146" s="48" t="s">
        <v>1710</v>
      </c>
      <c r="CZ146" s="48" t="s">
        <v>1885</v>
      </c>
      <c r="DA146" s="48" t="s">
        <v>1710</v>
      </c>
      <c r="DB146" s="48" t="s">
        <v>1878</v>
      </c>
      <c r="DC146" s="48" t="s">
        <v>2070</v>
      </c>
      <c r="DD146" s="48" t="s">
        <v>1842</v>
      </c>
      <c r="DE146" s="48" t="s">
        <v>1886</v>
      </c>
      <c r="DF146" s="48" t="s">
        <v>3993</v>
      </c>
      <c r="DG146" s="48" t="s">
        <v>2071</v>
      </c>
      <c r="DH146" s="48" t="s">
        <v>1712</v>
      </c>
      <c r="DI146" s="48" t="s">
        <v>1710</v>
      </c>
      <c r="DJ146" s="48" t="s">
        <v>1710</v>
      </c>
      <c r="DK146" s="48" t="s">
        <v>1710</v>
      </c>
      <c r="DL146" s="48" t="s">
        <v>1710</v>
      </c>
      <c r="DM146" s="48" t="s">
        <v>1710</v>
      </c>
      <c r="DN146" s="48" t="s">
        <v>1710</v>
      </c>
      <c r="DO146" s="48" t="s">
        <v>1710</v>
      </c>
      <c r="DP146" s="48" t="s">
        <v>1710</v>
      </c>
      <c r="DQ146" s="48" t="s">
        <v>1710</v>
      </c>
      <c r="DR146" s="48" t="s">
        <v>2072</v>
      </c>
      <c r="DS146" s="48" t="s">
        <v>1710</v>
      </c>
      <c r="DT146" s="48" t="s">
        <v>1710</v>
      </c>
      <c r="DU146" s="48" t="s">
        <v>2547</v>
      </c>
      <c r="DV146" s="48" t="s">
        <v>3141</v>
      </c>
      <c r="DW146" s="48" t="s">
        <v>1710</v>
      </c>
      <c r="DX146" s="48" t="s">
        <v>3994</v>
      </c>
      <c r="DY146" s="48" t="s">
        <v>1709</v>
      </c>
      <c r="DZ146" s="48" t="s">
        <v>2562</v>
      </c>
      <c r="EA146" s="48" t="s">
        <v>2546</v>
      </c>
      <c r="EB146">
        <v>0</v>
      </c>
      <c r="EC146" s="48" t="s">
        <v>2547</v>
      </c>
      <c r="ED146" s="48" t="s">
        <v>3995</v>
      </c>
      <c r="EE146" s="48" t="s">
        <v>1814</v>
      </c>
      <c r="EF146" s="48" t="s">
        <v>1875</v>
      </c>
      <c r="EG146" s="48" t="s">
        <v>3991</v>
      </c>
      <c r="EH146">
        <v>240</v>
      </c>
      <c r="EI146" s="48" t="s">
        <v>1888</v>
      </c>
      <c r="EJ146">
        <v>0</v>
      </c>
      <c r="EK146" s="48" t="s">
        <v>1710</v>
      </c>
      <c r="EL146">
        <v>3</v>
      </c>
      <c r="EM146" s="48" t="s">
        <v>1886</v>
      </c>
      <c r="EN146">
        <v>240</v>
      </c>
      <c r="EO146" s="48" t="s">
        <v>3114</v>
      </c>
      <c r="EP146" s="48" t="s">
        <v>3115</v>
      </c>
      <c r="EQ146">
        <v>31148.25</v>
      </c>
      <c r="ER146">
        <v>31148.25</v>
      </c>
      <c r="ES146">
        <v>44437241</v>
      </c>
      <c r="ET146">
        <v>30167</v>
      </c>
      <c r="EU146" s="48" t="s">
        <v>1710</v>
      </c>
      <c r="EV146" s="48" t="s">
        <v>1710</v>
      </c>
      <c r="EW146" s="48" t="s">
        <v>1712</v>
      </c>
      <c r="EX146" s="48" t="s">
        <v>1710</v>
      </c>
      <c r="EY146" s="48" t="s">
        <v>1848</v>
      </c>
      <c r="EZ146" s="48" t="s">
        <v>1710</v>
      </c>
      <c r="FA146" s="48" t="s">
        <v>1710</v>
      </c>
      <c r="FB146" s="48" t="s">
        <v>1712</v>
      </c>
      <c r="FC146" s="48" t="s">
        <v>1710</v>
      </c>
      <c r="FD146" s="48" t="s">
        <v>1710</v>
      </c>
      <c r="FE146" s="48" t="s">
        <v>1814</v>
      </c>
      <c r="FF146" s="48" t="s">
        <v>1815</v>
      </c>
      <c r="FG146" s="48" t="s">
        <v>1710</v>
      </c>
      <c r="FH146">
        <v>1</v>
      </c>
      <c r="FI146" s="48" t="s">
        <v>1846</v>
      </c>
      <c r="FJ146">
        <v>10382.75</v>
      </c>
      <c r="FK146">
        <v>10382.75</v>
      </c>
      <c r="FL146" s="48" t="s">
        <v>3116</v>
      </c>
      <c r="FM146" s="48" t="s">
        <v>3115</v>
      </c>
      <c r="FN146" s="48" t="s">
        <v>1710</v>
      </c>
      <c r="FO146" s="48" t="s">
        <v>1710</v>
      </c>
      <c r="FP146" s="48" t="s">
        <v>1710</v>
      </c>
      <c r="FQ146" s="48" t="s">
        <v>1710</v>
      </c>
      <c r="FR146" s="48" t="s">
        <v>1710</v>
      </c>
      <c r="FS146" s="48" t="s">
        <v>1710</v>
      </c>
      <c r="FT146" s="48" t="s">
        <v>3996</v>
      </c>
      <c r="FU146" s="48" t="s">
        <v>1710</v>
      </c>
      <c r="FV146" s="48"/>
      <c r="FW146" s="56"/>
      <c r="FX146" s="56"/>
      <c r="FY146" s="56"/>
      <c r="FZ146" s="56"/>
      <c r="GA146" s="55" t="str">
        <f t="shared" si="8"/>
        <v>4388426300443X</v>
      </c>
      <c r="GB146" t="str">
        <f>VLOOKUP(B146,수출코드!$C$2:$D$4,2,FALSE)</f>
        <v>Suwon</v>
      </c>
      <c r="GC146" t="str">
        <f>VLOOKUP(L146,수출코드!$A$2:$B$6,2,FALSE)</f>
        <v/>
      </c>
      <c r="GD146" t="str">
        <f>VLOOKUP(M146,수출코드!$E$2:$F$5,2,FALSE)</f>
        <v>재수입</v>
      </c>
      <c r="GE146" s="61">
        <f t="shared" si="6"/>
        <v>45973.645833333336</v>
      </c>
      <c r="GF146" s="62">
        <f t="shared" si="7"/>
        <v>46051.379166666666</v>
      </c>
      <c r="GI146" s="48" t="s">
        <v>2764</v>
      </c>
    </row>
    <row r="147" spans="1:191">
      <c r="A147" s="48" t="s">
        <v>3997</v>
      </c>
      <c r="B147" s="48" t="s">
        <v>1821</v>
      </c>
      <c r="C147" s="48" t="s">
        <v>2048</v>
      </c>
      <c r="D147" s="48" t="s">
        <v>2813</v>
      </c>
      <c r="E147" s="48" t="s">
        <v>3997</v>
      </c>
      <c r="F147" s="48" t="s">
        <v>1710</v>
      </c>
      <c r="G147" s="48" t="s">
        <v>2814</v>
      </c>
      <c r="H147" s="48" t="s">
        <v>3998</v>
      </c>
      <c r="I147" s="48" t="s">
        <v>1884</v>
      </c>
      <c r="J147" s="48" t="s">
        <v>3111</v>
      </c>
      <c r="K147" s="48" t="s">
        <v>1877</v>
      </c>
      <c r="L147" s="48" t="s">
        <v>1842</v>
      </c>
      <c r="M147" s="48" t="s">
        <v>1810</v>
      </c>
      <c r="N147" s="48" t="s">
        <v>1842</v>
      </c>
      <c r="O147" s="48" t="s">
        <v>1811</v>
      </c>
      <c r="P147" s="48" t="s">
        <v>2549</v>
      </c>
      <c r="Q147" s="48" t="s">
        <v>2049</v>
      </c>
      <c r="R147" s="48" t="s">
        <v>1838</v>
      </c>
      <c r="S147" s="48" t="s">
        <v>2050</v>
      </c>
      <c r="T147" s="48" t="s">
        <v>1845</v>
      </c>
      <c r="U147" s="48" t="s">
        <v>2049</v>
      </c>
      <c r="V147" s="48" t="s">
        <v>1838</v>
      </c>
      <c r="W147" s="48" t="s">
        <v>2051</v>
      </c>
      <c r="X147" s="48" t="s">
        <v>2052</v>
      </c>
      <c r="Y147" s="48" t="s">
        <v>2050</v>
      </c>
      <c r="Z147" s="48" t="s">
        <v>2053</v>
      </c>
      <c r="AA147" s="48" t="s">
        <v>2054</v>
      </c>
      <c r="AB147" s="48" t="s">
        <v>2817</v>
      </c>
      <c r="AC147" s="48" t="s">
        <v>2055</v>
      </c>
      <c r="AD147" s="48" t="s">
        <v>2056</v>
      </c>
      <c r="AE147" s="48" t="s">
        <v>1710</v>
      </c>
      <c r="AF147" s="48" t="s">
        <v>1710</v>
      </c>
      <c r="AG147" s="48" t="s">
        <v>2057</v>
      </c>
      <c r="AH147" s="48" t="s">
        <v>1815</v>
      </c>
      <c r="AI147" s="48" t="s">
        <v>2058</v>
      </c>
      <c r="AJ147" s="48" t="s">
        <v>1710</v>
      </c>
      <c r="AK147" s="48" t="s">
        <v>2099</v>
      </c>
      <c r="AL147" s="48" t="s">
        <v>1866</v>
      </c>
      <c r="AM147" s="48" t="s">
        <v>1816</v>
      </c>
      <c r="AN147" s="48" t="s">
        <v>2054</v>
      </c>
      <c r="AO147" s="48" t="s">
        <v>1710</v>
      </c>
      <c r="AP147" s="48" t="s">
        <v>1854</v>
      </c>
      <c r="AQ147" s="48" t="s">
        <v>2081</v>
      </c>
      <c r="AR147" s="48" t="s">
        <v>1812</v>
      </c>
      <c r="AS147" s="48" t="s">
        <v>1813</v>
      </c>
      <c r="AT147" s="48" t="s">
        <v>1826</v>
      </c>
      <c r="AU147" s="48" t="s">
        <v>2061</v>
      </c>
      <c r="AV147" s="48" t="s">
        <v>3111</v>
      </c>
      <c r="AW147" s="48" t="s">
        <v>2062</v>
      </c>
      <c r="AX147" s="48" t="s">
        <v>2063</v>
      </c>
      <c r="AY147" s="48" t="s">
        <v>1710</v>
      </c>
      <c r="AZ147" s="48" t="s">
        <v>3999</v>
      </c>
      <c r="BA147" s="48" t="s">
        <v>1710</v>
      </c>
      <c r="BB147" s="48" t="s">
        <v>1709</v>
      </c>
      <c r="BC147" s="48" t="s">
        <v>1710</v>
      </c>
      <c r="BD147" s="48" t="s">
        <v>2089</v>
      </c>
      <c r="BE147" s="52" t="s">
        <v>4000</v>
      </c>
      <c r="BF147" s="48" t="s">
        <v>1710</v>
      </c>
      <c r="BG147" s="48" t="s">
        <v>1814</v>
      </c>
      <c r="BH147">
        <v>1</v>
      </c>
      <c r="BI147" s="48" t="s">
        <v>1888</v>
      </c>
      <c r="BJ147">
        <v>1</v>
      </c>
      <c r="BK147">
        <v>1473.06</v>
      </c>
      <c r="BL147">
        <v>296746</v>
      </c>
      <c r="BM147">
        <v>201</v>
      </c>
      <c r="BN147" s="48" t="s">
        <v>2064</v>
      </c>
      <c r="BO147" s="48" t="s">
        <v>2065</v>
      </c>
      <c r="BP147">
        <v>1473.06</v>
      </c>
      <c r="BQ147">
        <v>227.11</v>
      </c>
      <c r="BR147" s="48" t="s">
        <v>1885</v>
      </c>
      <c r="BS147" s="48" t="s">
        <v>2066</v>
      </c>
      <c r="BT147">
        <v>1</v>
      </c>
      <c r="BU147">
        <v>37800</v>
      </c>
      <c r="BV147">
        <v>37800</v>
      </c>
      <c r="BW147" s="48" t="s">
        <v>2065</v>
      </c>
      <c r="BX147">
        <v>1473.06</v>
      </c>
      <c r="BY147">
        <v>0</v>
      </c>
      <c r="BZ147">
        <v>0</v>
      </c>
      <c r="CA147" s="48" t="s">
        <v>2065</v>
      </c>
      <c r="CB147">
        <v>1473.06</v>
      </c>
      <c r="CC147">
        <v>0</v>
      </c>
      <c r="CD147">
        <v>0</v>
      </c>
      <c r="CE147" s="48" t="s">
        <v>1710</v>
      </c>
      <c r="CF147" s="48" t="s">
        <v>1710</v>
      </c>
      <c r="CG147" s="48" t="s">
        <v>1710</v>
      </c>
      <c r="CH147" s="48" t="s">
        <v>1710</v>
      </c>
      <c r="CI147" s="48" t="s">
        <v>2067</v>
      </c>
      <c r="CJ147" s="48" t="s">
        <v>1710</v>
      </c>
      <c r="CL147" s="48" t="s">
        <v>3111</v>
      </c>
      <c r="CM147" s="48" t="s">
        <v>1710</v>
      </c>
      <c r="CN147" s="48" t="s">
        <v>2068</v>
      </c>
      <c r="CO147" s="48" t="s">
        <v>2069</v>
      </c>
      <c r="CP147" s="48" t="s">
        <v>1710</v>
      </c>
      <c r="CQ147" s="48" t="s">
        <v>1710</v>
      </c>
      <c r="CR147" s="48" t="s">
        <v>1710</v>
      </c>
      <c r="CS147" s="48" t="s">
        <v>1710</v>
      </c>
      <c r="CT147" s="48" t="s">
        <v>1710</v>
      </c>
      <c r="CU147" s="48" t="s">
        <v>1712</v>
      </c>
      <c r="CV147" s="48" t="s">
        <v>1710</v>
      </c>
      <c r="CW147" s="48" t="s">
        <v>1710</v>
      </c>
      <c r="CX147" s="48" t="s">
        <v>3167</v>
      </c>
      <c r="CY147" s="48" t="s">
        <v>1710</v>
      </c>
      <c r="CZ147" s="48" t="s">
        <v>1712</v>
      </c>
      <c r="DA147" s="48" t="s">
        <v>1710</v>
      </c>
      <c r="DB147" s="48" t="s">
        <v>1878</v>
      </c>
      <c r="DC147" s="48" t="s">
        <v>2070</v>
      </c>
      <c r="DD147" s="48" t="s">
        <v>1842</v>
      </c>
      <c r="DE147" s="48" t="s">
        <v>1886</v>
      </c>
      <c r="DF147" s="48" t="s">
        <v>4001</v>
      </c>
      <c r="DG147" s="48" t="s">
        <v>2071</v>
      </c>
      <c r="DH147" s="48" t="s">
        <v>1712</v>
      </c>
      <c r="DI147" s="48" t="s">
        <v>1710</v>
      </c>
      <c r="DJ147" s="48" t="s">
        <v>1710</v>
      </c>
      <c r="DK147" s="48" t="s">
        <v>1710</v>
      </c>
      <c r="DL147" s="48" t="s">
        <v>1710</v>
      </c>
      <c r="DM147" s="48" t="s">
        <v>1710</v>
      </c>
      <c r="DN147" s="48" t="s">
        <v>1710</v>
      </c>
      <c r="DO147" s="48" t="s">
        <v>1710</v>
      </c>
      <c r="DP147" s="48" t="s">
        <v>1710</v>
      </c>
      <c r="DQ147" s="48" t="s">
        <v>1710</v>
      </c>
      <c r="DR147" s="48" t="s">
        <v>2072</v>
      </c>
      <c r="DS147" s="48" t="s">
        <v>1710</v>
      </c>
      <c r="DT147" s="48" t="s">
        <v>1710</v>
      </c>
      <c r="DU147" s="48" t="s">
        <v>2547</v>
      </c>
      <c r="DV147" s="48" t="s">
        <v>2825</v>
      </c>
      <c r="DW147" s="48" t="s">
        <v>1710</v>
      </c>
      <c r="DX147" s="48" t="s">
        <v>4002</v>
      </c>
      <c r="DY147" s="48" t="s">
        <v>1709</v>
      </c>
      <c r="DZ147" s="48" t="s">
        <v>2562</v>
      </c>
      <c r="EA147" s="48" t="s">
        <v>2546</v>
      </c>
      <c r="EB147">
        <v>0</v>
      </c>
      <c r="EC147" s="48" t="s">
        <v>2547</v>
      </c>
      <c r="ED147" s="48" t="s">
        <v>4003</v>
      </c>
      <c r="EE147" s="48" t="s">
        <v>1814</v>
      </c>
      <c r="EF147" s="48" t="s">
        <v>1849</v>
      </c>
      <c r="EG147" s="48" t="s">
        <v>3999</v>
      </c>
      <c r="EH147">
        <v>7.0000000000000007E-2</v>
      </c>
      <c r="EI147" s="48" t="s">
        <v>1888</v>
      </c>
      <c r="EJ147">
        <v>2</v>
      </c>
      <c r="EK147" s="48" t="s">
        <v>1887</v>
      </c>
      <c r="EL147">
        <v>1</v>
      </c>
      <c r="EM147" s="48" t="s">
        <v>1886</v>
      </c>
      <c r="EN147">
        <v>7.0000000000000007E-2</v>
      </c>
      <c r="EO147" s="48" t="s">
        <v>2526</v>
      </c>
      <c r="EP147" s="48" t="s">
        <v>4004</v>
      </c>
      <c r="EQ147">
        <v>227.11</v>
      </c>
      <c r="ER147">
        <v>227.11</v>
      </c>
      <c r="ES147">
        <v>296746</v>
      </c>
      <c r="ET147">
        <v>201</v>
      </c>
      <c r="EU147" s="48" t="s">
        <v>1710</v>
      </c>
      <c r="EV147" s="48" t="s">
        <v>1710</v>
      </c>
      <c r="EW147" s="48" t="s">
        <v>1712</v>
      </c>
      <c r="EX147" s="48" t="s">
        <v>1710</v>
      </c>
      <c r="EY147" s="48" t="s">
        <v>1854</v>
      </c>
      <c r="EZ147" s="48" t="s">
        <v>1710</v>
      </c>
      <c r="FA147" s="48" t="s">
        <v>1710</v>
      </c>
      <c r="FB147" s="48" t="s">
        <v>1712</v>
      </c>
      <c r="FC147" s="48" t="s">
        <v>1710</v>
      </c>
      <c r="FD147" s="48" t="s">
        <v>1710</v>
      </c>
      <c r="FE147" s="48" t="s">
        <v>1814</v>
      </c>
      <c r="FF147" s="48" t="s">
        <v>1815</v>
      </c>
      <c r="FG147" s="48" t="s">
        <v>1710</v>
      </c>
      <c r="FH147">
        <v>2</v>
      </c>
      <c r="FI147" s="48" t="s">
        <v>1846</v>
      </c>
      <c r="FJ147">
        <v>227.11</v>
      </c>
      <c r="FK147">
        <v>113.55500000000001</v>
      </c>
      <c r="FL147" s="48" t="s">
        <v>4005</v>
      </c>
      <c r="FM147" s="48" t="s">
        <v>4004</v>
      </c>
      <c r="FN147" s="48" t="s">
        <v>1710</v>
      </c>
      <c r="FO147" s="48" t="s">
        <v>1710</v>
      </c>
      <c r="FP147" s="48" t="s">
        <v>1710</v>
      </c>
      <c r="FQ147" s="48" t="s">
        <v>1710</v>
      </c>
      <c r="FR147" s="48" t="s">
        <v>1710</v>
      </c>
      <c r="FS147" s="48" t="s">
        <v>1710</v>
      </c>
      <c r="FT147" s="48" t="s">
        <v>1710</v>
      </c>
      <c r="FU147" s="48" t="s">
        <v>1710</v>
      </c>
      <c r="FV147" s="48"/>
      <c r="FW147" s="56"/>
      <c r="FX147" s="56"/>
      <c r="FY147" s="56"/>
      <c r="FZ147" s="56"/>
      <c r="GA147" s="55" t="str">
        <f t="shared" si="8"/>
        <v>4388426300444X</v>
      </c>
      <c r="GB147" t="str">
        <f>VLOOKUP(B147,수출코드!$C$2:$D$4,2,FALSE)</f>
        <v>Suwon</v>
      </c>
      <c r="GC147" t="str">
        <f>VLOOKUP(L147,수출코드!$A$2:$B$6,2,FALSE)</f>
        <v/>
      </c>
      <c r="GD147" t="str">
        <f>VLOOKUP(M147,수출코드!$E$2:$F$5,2,FALSE)</f>
        <v>일반</v>
      </c>
      <c r="GE147" s="61">
        <f t="shared" si="6"/>
        <v>45973.645833333336</v>
      </c>
      <c r="GF147" s="62">
        <f t="shared" si="7"/>
        <v>46051.48333333333</v>
      </c>
      <c r="GI147" s="48" t="s">
        <v>2764</v>
      </c>
    </row>
    <row r="148" spans="1:191">
      <c r="A148" s="48" t="s">
        <v>4006</v>
      </c>
      <c r="B148" s="48" t="s">
        <v>1821</v>
      </c>
      <c r="C148" s="48" t="s">
        <v>2048</v>
      </c>
      <c r="D148" s="48" t="s">
        <v>2813</v>
      </c>
      <c r="E148" s="48" t="s">
        <v>4006</v>
      </c>
      <c r="F148" s="48" t="s">
        <v>1710</v>
      </c>
      <c r="G148" s="48" t="s">
        <v>2814</v>
      </c>
      <c r="H148" s="48" t="s">
        <v>4007</v>
      </c>
      <c r="I148" s="48" t="s">
        <v>1884</v>
      </c>
      <c r="J148" s="48" t="s">
        <v>3111</v>
      </c>
      <c r="K148" s="48" t="s">
        <v>1877</v>
      </c>
      <c r="L148" s="48" t="s">
        <v>1842</v>
      </c>
      <c r="M148" s="48" t="s">
        <v>1810</v>
      </c>
      <c r="N148" s="48" t="s">
        <v>1842</v>
      </c>
      <c r="O148" s="48" t="s">
        <v>1811</v>
      </c>
      <c r="P148" s="48" t="s">
        <v>2549</v>
      </c>
      <c r="Q148" s="48" t="s">
        <v>2049</v>
      </c>
      <c r="R148" s="48" t="s">
        <v>1838</v>
      </c>
      <c r="S148" s="48" t="s">
        <v>2050</v>
      </c>
      <c r="T148" s="48" t="s">
        <v>1845</v>
      </c>
      <c r="U148" s="48" t="s">
        <v>2049</v>
      </c>
      <c r="V148" s="48" t="s">
        <v>1838</v>
      </c>
      <c r="W148" s="48" t="s">
        <v>2051</v>
      </c>
      <c r="X148" s="48" t="s">
        <v>2052</v>
      </c>
      <c r="Y148" s="48" t="s">
        <v>2050</v>
      </c>
      <c r="Z148" s="48" t="s">
        <v>2053</v>
      </c>
      <c r="AA148" s="48" t="s">
        <v>2054</v>
      </c>
      <c r="AB148" s="48" t="s">
        <v>2817</v>
      </c>
      <c r="AC148" s="48" t="s">
        <v>2055</v>
      </c>
      <c r="AD148" s="48" t="s">
        <v>2056</v>
      </c>
      <c r="AE148" s="48" t="s">
        <v>1710</v>
      </c>
      <c r="AF148" s="48" t="s">
        <v>1710</v>
      </c>
      <c r="AG148" s="48" t="s">
        <v>2057</v>
      </c>
      <c r="AH148" s="48" t="s">
        <v>1815</v>
      </c>
      <c r="AI148" s="48" t="s">
        <v>2058</v>
      </c>
      <c r="AJ148" s="48" t="s">
        <v>1710</v>
      </c>
      <c r="AK148" s="48" t="s">
        <v>1839</v>
      </c>
      <c r="AL148" s="48" t="s">
        <v>1840</v>
      </c>
      <c r="AM148" s="48" t="s">
        <v>1816</v>
      </c>
      <c r="AN148" s="48" t="s">
        <v>2054</v>
      </c>
      <c r="AO148" s="48" t="s">
        <v>1710</v>
      </c>
      <c r="AP148" s="48" t="s">
        <v>1874</v>
      </c>
      <c r="AQ148" s="48" t="s">
        <v>2078</v>
      </c>
      <c r="AR148" s="48" t="s">
        <v>1812</v>
      </c>
      <c r="AS148" s="48" t="s">
        <v>1813</v>
      </c>
      <c r="AT148" s="48" t="s">
        <v>1826</v>
      </c>
      <c r="AU148" s="48" t="s">
        <v>2061</v>
      </c>
      <c r="AV148" s="48" t="s">
        <v>3111</v>
      </c>
      <c r="AW148" s="48" t="s">
        <v>2062</v>
      </c>
      <c r="AX148" s="48" t="s">
        <v>2063</v>
      </c>
      <c r="AY148" s="48" t="s">
        <v>1710</v>
      </c>
      <c r="AZ148" s="48" t="s">
        <v>4008</v>
      </c>
      <c r="BA148" s="48" t="s">
        <v>1710</v>
      </c>
      <c r="BB148" s="48" t="s">
        <v>1709</v>
      </c>
      <c r="BC148" s="48" t="s">
        <v>1710</v>
      </c>
      <c r="BD148" s="48" t="s">
        <v>2089</v>
      </c>
      <c r="BE148" s="52" t="s">
        <v>4000</v>
      </c>
      <c r="BF148" s="48" t="s">
        <v>1710</v>
      </c>
      <c r="BG148" s="48" t="s">
        <v>1818</v>
      </c>
      <c r="BH148">
        <v>3</v>
      </c>
      <c r="BI148" s="48" t="s">
        <v>1888</v>
      </c>
      <c r="BJ148">
        <v>1</v>
      </c>
      <c r="BK148">
        <v>1473.06</v>
      </c>
      <c r="BL148">
        <v>1265169</v>
      </c>
      <c r="BM148">
        <v>859</v>
      </c>
      <c r="BN148" s="48" t="s">
        <v>2064</v>
      </c>
      <c r="BO148" s="48" t="s">
        <v>2065</v>
      </c>
      <c r="BP148">
        <v>1473.06</v>
      </c>
      <c r="BQ148">
        <v>882.09</v>
      </c>
      <c r="BR148" s="48" t="s">
        <v>1885</v>
      </c>
      <c r="BS148" s="48" t="s">
        <v>2066</v>
      </c>
      <c r="BT148">
        <v>1</v>
      </c>
      <c r="BU148">
        <v>34200</v>
      </c>
      <c r="BV148">
        <v>34200</v>
      </c>
      <c r="BW148" s="48" t="s">
        <v>2065</v>
      </c>
      <c r="BX148">
        <v>1473.06</v>
      </c>
      <c r="BY148">
        <v>0</v>
      </c>
      <c r="BZ148">
        <v>0</v>
      </c>
      <c r="CA148" s="48" t="s">
        <v>2065</v>
      </c>
      <c r="CB148">
        <v>1473.06</v>
      </c>
      <c r="CC148">
        <v>0</v>
      </c>
      <c r="CD148">
        <v>0</v>
      </c>
      <c r="CE148" s="48" t="s">
        <v>1710</v>
      </c>
      <c r="CF148" s="48" t="s">
        <v>1710</v>
      </c>
      <c r="CG148" s="48" t="s">
        <v>1710</v>
      </c>
      <c r="CH148" s="48" t="s">
        <v>1710</v>
      </c>
      <c r="CI148" s="48" t="s">
        <v>2067</v>
      </c>
      <c r="CJ148" s="48" t="s">
        <v>1710</v>
      </c>
      <c r="CL148" s="48" t="s">
        <v>3111</v>
      </c>
      <c r="CM148" s="48" t="s">
        <v>1710</v>
      </c>
      <c r="CN148" s="48" t="s">
        <v>2068</v>
      </c>
      <c r="CO148" s="48" t="s">
        <v>2069</v>
      </c>
      <c r="CP148" s="48" t="s">
        <v>1710</v>
      </c>
      <c r="CQ148" s="48" t="s">
        <v>1710</v>
      </c>
      <c r="CR148" s="48" t="s">
        <v>1710</v>
      </c>
      <c r="CS148" s="48" t="s">
        <v>1710</v>
      </c>
      <c r="CT148" s="48" t="s">
        <v>1710</v>
      </c>
      <c r="CU148" s="48" t="s">
        <v>1712</v>
      </c>
      <c r="CV148" s="48" t="s">
        <v>1710</v>
      </c>
      <c r="CW148" s="48" t="s">
        <v>1710</v>
      </c>
      <c r="CX148" s="48" t="s">
        <v>3167</v>
      </c>
      <c r="CY148" s="48" t="s">
        <v>1710</v>
      </c>
      <c r="CZ148" s="48" t="s">
        <v>1712</v>
      </c>
      <c r="DA148" s="48" t="s">
        <v>1710</v>
      </c>
      <c r="DB148" s="48" t="s">
        <v>1878</v>
      </c>
      <c r="DC148" s="48" t="s">
        <v>2070</v>
      </c>
      <c r="DD148" s="48" t="s">
        <v>1842</v>
      </c>
      <c r="DE148" s="48" t="s">
        <v>1886</v>
      </c>
      <c r="DF148" s="48" t="s">
        <v>4009</v>
      </c>
      <c r="DG148" s="48" t="s">
        <v>2071</v>
      </c>
      <c r="DH148" s="48" t="s">
        <v>1712</v>
      </c>
      <c r="DI148" s="48" t="s">
        <v>1710</v>
      </c>
      <c r="DJ148" s="48" t="s">
        <v>1710</v>
      </c>
      <c r="DK148" s="48" t="s">
        <v>1710</v>
      </c>
      <c r="DL148" s="48" t="s">
        <v>1710</v>
      </c>
      <c r="DM148" s="48" t="s">
        <v>1710</v>
      </c>
      <c r="DN148" s="48" t="s">
        <v>1710</v>
      </c>
      <c r="DO148" s="48" t="s">
        <v>1710</v>
      </c>
      <c r="DP148" s="48" t="s">
        <v>1710</v>
      </c>
      <c r="DQ148" s="48" t="s">
        <v>1710</v>
      </c>
      <c r="DR148" s="48" t="s">
        <v>2072</v>
      </c>
      <c r="DS148" s="48" t="s">
        <v>1710</v>
      </c>
      <c r="DT148" s="48" t="s">
        <v>1710</v>
      </c>
      <c r="DU148" s="48" t="s">
        <v>2547</v>
      </c>
      <c r="DV148" s="48" t="s">
        <v>3111</v>
      </c>
      <c r="DW148" s="48" t="s">
        <v>1710</v>
      </c>
      <c r="DX148" s="48" t="s">
        <v>4010</v>
      </c>
      <c r="DY148" s="48" t="s">
        <v>1709</v>
      </c>
      <c r="DZ148" s="48" t="s">
        <v>2562</v>
      </c>
      <c r="EA148" s="48" t="s">
        <v>2546</v>
      </c>
      <c r="EB148">
        <v>0</v>
      </c>
      <c r="EC148" s="48" t="s">
        <v>2547</v>
      </c>
      <c r="ED148" s="48" t="s">
        <v>4003</v>
      </c>
      <c r="EE148" s="48" t="s">
        <v>1814</v>
      </c>
      <c r="EF148" s="48" t="s">
        <v>4011</v>
      </c>
      <c r="EG148" s="48" t="s">
        <v>4008</v>
      </c>
      <c r="EH148">
        <v>1</v>
      </c>
      <c r="EI148" s="48" t="s">
        <v>1888</v>
      </c>
      <c r="EJ148">
        <v>0</v>
      </c>
      <c r="EK148" s="48" t="s">
        <v>1710</v>
      </c>
      <c r="EL148">
        <v>1</v>
      </c>
      <c r="EM148" s="48" t="s">
        <v>1886</v>
      </c>
      <c r="EN148">
        <v>1</v>
      </c>
      <c r="EO148" s="48" t="s">
        <v>4012</v>
      </c>
      <c r="EP148" s="48" t="s">
        <v>4013</v>
      </c>
      <c r="EQ148">
        <v>197.06</v>
      </c>
      <c r="ER148">
        <v>197.06</v>
      </c>
      <c r="ES148">
        <v>282640</v>
      </c>
      <c r="ET148">
        <v>192</v>
      </c>
      <c r="EU148" s="48" t="s">
        <v>1710</v>
      </c>
      <c r="EV148" s="48" t="s">
        <v>1710</v>
      </c>
      <c r="EW148" s="48" t="s">
        <v>1712</v>
      </c>
      <c r="EX148" s="48" t="s">
        <v>1710</v>
      </c>
      <c r="EY148" s="48" t="s">
        <v>1848</v>
      </c>
      <c r="EZ148" s="48" t="s">
        <v>1710</v>
      </c>
      <c r="FA148" s="48" t="s">
        <v>1710</v>
      </c>
      <c r="FB148" s="48" t="s">
        <v>1712</v>
      </c>
      <c r="FC148" s="48" t="s">
        <v>1710</v>
      </c>
      <c r="FD148" s="48" t="s">
        <v>1710</v>
      </c>
      <c r="FE148" s="48" t="s">
        <v>1814</v>
      </c>
      <c r="FF148" s="48" t="s">
        <v>1815</v>
      </c>
      <c r="FG148" s="48" t="s">
        <v>1710</v>
      </c>
      <c r="FH148">
        <v>3</v>
      </c>
      <c r="FI148" s="48" t="s">
        <v>1846</v>
      </c>
      <c r="FJ148">
        <v>197.06</v>
      </c>
      <c r="FK148">
        <v>65.686999999999998</v>
      </c>
      <c r="FL148" s="48" t="s">
        <v>4014</v>
      </c>
      <c r="FM148" s="48" t="s">
        <v>4013</v>
      </c>
      <c r="FN148" s="48" t="s">
        <v>1710</v>
      </c>
      <c r="FO148" s="48" t="s">
        <v>1710</v>
      </c>
      <c r="FP148" s="48" t="s">
        <v>1710</v>
      </c>
      <c r="FQ148" s="48" t="s">
        <v>1710</v>
      </c>
      <c r="FR148" s="48" t="s">
        <v>1710</v>
      </c>
      <c r="FS148" s="48" t="s">
        <v>1710</v>
      </c>
      <c r="FT148" s="48" t="s">
        <v>1710</v>
      </c>
      <c r="FU148" s="48" t="s">
        <v>1710</v>
      </c>
      <c r="FV148" s="48"/>
      <c r="FW148" s="56"/>
      <c r="FX148" s="56"/>
      <c r="FY148" s="56"/>
      <c r="FZ148" s="56"/>
      <c r="GA148" s="55" t="str">
        <f t="shared" si="8"/>
        <v>4388426300445X</v>
      </c>
      <c r="GB148" t="str">
        <f>VLOOKUP(B148,수출코드!$C$2:$D$4,2,FALSE)</f>
        <v>Suwon</v>
      </c>
      <c r="GC148" t="str">
        <f>VLOOKUP(L148,수출코드!$A$2:$B$6,2,FALSE)</f>
        <v/>
      </c>
      <c r="GD148" t="str">
        <f>VLOOKUP(M148,수출코드!$E$2:$F$5,2,FALSE)</f>
        <v>일반</v>
      </c>
      <c r="GE148" s="61">
        <f t="shared" si="6"/>
        <v>45973.645833333336</v>
      </c>
      <c r="GF148" s="62">
        <f t="shared" si="7"/>
        <v>46051.48333333333</v>
      </c>
      <c r="GI148" s="48" t="s">
        <v>2764</v>
      </c>
    </row>
    <row r="149" spans="1:191">
      <c r="A149" s="48" t="s">
        <v>4015</v>
      </c>
      <c r="B149" s="48" t="s">
        <v>1821</v>
      </c>
      <c r="C149" s="48" t="s">
        <v>2048</v>
      </c>
      <c r="D149" s="48" t="s">
        <v>2813</v>
      </c>
      <c r="E149" s="48" t="s">
        <v>4015</v>
      </c>
      <c r="F149" s="48" t="s">
        <v>1710</v>
      </c>
      <c r="G149" s="48" t="s">
        <v>2814</v>
      </c>
      <c r="H149" s="48" t="s">
        <v>4016</v>
      </c>
      <c r="I149" s="48" t="s">
        <v>1884</v>
      </c>
      <c r="J149" s="48" t="s">
        <v>3111</v>
      </c>
      <c r="K149" s="48" t="s">
        <v>1877</v>
      </c>
      <c r="L149" s="48" t="s">
        <v>1842</v>
      </c>
      <c r="M149" s="48" t="s">
        <v>1810</v>
      </c>
      <c r="N149" s="48" t="s">
        <v>1842</v>
      </c>
      <c r="O149" s="48" t="s">
        <v>1811</v>
      </c>
      <c r="P149" s="48" t="s">
        <v>2549</v>
      </c>
      <c r="Q149" s="48" t="s">
        <v>2049</v>
      </c>
      <c r="R149" s="48" t="s">
        <v>1838</v>
      </c>
      <c r="S149" s="48" t="s">
        <v>2050</v>
      </c>
      <c r="T149" s="48" t="s">
        <v>1845</v>
      </c>
      <c r="U149" s="48" t="s">
        <v>2049</v>
      </c>
      <c r="V149" s="48" t="s">
        <v>1838</v>
      </c>
      <c r="W149" s="48" t="s">
        <v>2051</v>
      </c>
      <c r="X149" s="48" t="s">
        <v>2052</v>
      </c>
      <c r="Y149" s="48" t="s">
        <v>2050</v>
      </c>
      <c r="Z149" s="48" t="s">
        <v>2053</v>
      </c>
      <c r="AA149" s="48" t="s">
        <v>2054</v>
      </c>
      <c r="AB149" s="48" t="s">
        <v>2817</v>
      </c>
      <c r="AC149" s="48" t="s">
        <v>2055</v>
      </c>
      <c r="AD149" s="48" t="s">
        <v>2056</v>
      </c>
      <c r="AE149" s="48" t="s">
        <v>1710</v>
      </c>
      <c r="AF149" s="48" t="s">
        <v>1710</v>
      </c>
      <c r="AG149" s="48" t="s">
        <v>2057</v>
      </c>
      <c r="AH149" s="48" t="s">
        <v>1815</v>
      </c>
      <c r="AI149" s="48" t="s">
        <v>2058</v>
      </c>
      <c r="AJ149" s="48" t="s">
        <v>1710</v>
      </c>
      <c r="AK149" s="48" t="s">
        <v>2102</v>
      </c>
      <c r="AL149" s="48" t="s">
        <v>1858</v>
      </c>
      <c r="AM149" s="48" t="s">
        <v>1816</v>
      </c>
      <c r="AN149" s="48" t="s">
        <v>2054</v>
      </c>
      <c r="AO149" s="48" t="s">
        <v>1710</v>
      </c>
      <c r="AP149" s="48" t="s">
        <v>1848</v>
      </c>
      <c r="AQ149" s="48" t="s">
        <v>2060</v>
      </c>
      <c r="AR149" s="48" t="s">
        <v>1812</v>
      </c>
      <c r="AS149" s="48" t="s">
        <v>1813</v>
      </c>
      <c r="AT149" s="48" t="s">
        <v>1826</v>
      </c>
      <c r="AU149" s="48" t="s">
        <v>2061</v>
      </c>
      <c r="AV149" s="48" t="s">
        <v>3111</v>
      </c>
      <c r="AW149" s="48" t="s">
        <v>2062</v>
      </c>
      <c r="AX149" s="48" t="s">
        <v>2063</v>
      </c>
      <c r="AY149" s="48" t="s">
        <v>1710</v>
      </c>
      <c r="AZ149" s="48" t="s">
        <v>4017</v>
      </c>
      <c r="BA149" s="48" t="s">
        <v>1710</v>
      </c>
      <c r="BB149" s="48" t="s">
        <v>1709</v>
      </c>
      <c r="BC149" s="48" t="s">
        <v>1710</v>
      </c>
      <c r="BD149" s="48" t="s">
        <v>2089</v>
      </c>
      <c r="BE149" s="52" t="s">
        <v>4000</v>
      </c>
      <c r="BF149" s="48" t="s">
        <v>1710</v>
      </c>
      <c r="BG149" s="48" t="s">
        <v>1814</v>
      </c>
      <c r="BH149">
        <v>2</v>
      </c>
      <c r="BI149" s="48" t="s">
        <v>1888</v>
      </c>
      <c r="BJ149">
        <v>1</v>
      </c>
      <c r="BK149">
        <v>1473.06</v>
      </c>
      <c r="BL149">
        <v>1057795</v>
      </c>
      <c r="BM149">
        <v>718</v>
      </c>
      <c r="BN149" s="48" t="s">
        <v>2064</v>
      </c>
      <c r="BO149" s="48" t="s">
        <v>2065</v>
      </c>
      <c r="BP149">
        <v>1473.06</v>
      </c>
      <c r="BQ149">
        <v>750.34</v>
      </c>
      <c r="BR149" s="48" t="s">
        <v>1885</v>
      </c>
      <c r="BS149" s="48" t="s">
        <v>2066</v>
      </c>
      <c r="BT149">
        <v>1</v>
      </c>
      <c r="BU149">
        <v>47500</v>
      </c>
      <c r="BV149">
        <v>47500</v>
      </c>
      <c r="BW149" s="48" t="s">
        <v>2065</v>
      </c>
      <c r="BX149">
        <v>1473.06</v>
      </c>
      <c r="BY149">
        <v>0</v>
      </c>
      <c r="BZ149">
        <v>0</v>
      </c>
      <c r="CA149" s="48" t="s">
        <v>2065</v>
      </c>
      <c r="CB149">
        <v>1473.06</v>
      </c>
      <c r="CC149">
        <v>0</v>
      </c>
      <c r="CD149">
        <v>0</v>
      </c>
      <c r="CE149" s="48" t="s">
        <v>1710</v>
      </c>
      <c r="CF149" s="48" t="s">
        <v>1710</v>
      </c>
      <c r="CG149" s="48" t="s">
        <v>1710</v>
      </c>
      <c r="CH149" s="48" t="s">
        <v>1710</v>
      </c>
      <c r="CI149" s="48" t="s">
        <v>2067</v>
      </c>
      <c r="CJ149" s="48" t="s">
        <v>1710</v>
      </c>
      <c r="CL149" s="48" t="s">
        <v>3111</v>
      </c>
      <c r="CM149" s="48" t="s">
        <v>1710</v>
      </c>
      <c r="CN149" s="48" t="s">
        <v>2068</v>
      </c>
      <c r="CO149" s="48" t="s">
        <v>2069</v>
      </c>
      <c r="CP149" s="48" t="s">
        <v>1710</v>
      </c>
      <c r="CQ149" s="48" t="s">
        <v>1710</v>
      </c>
      <c r="CR149" s="48" t="s">
        <v>1710</v>
      </c>
      <c r="CS149" s="48" t="s">
        <v>1710</v>
      </c>
      <c r="CT149" s="48" t="s">
        <v>1710</v>
      </c>
      <c r="CU149" s="48" t="s">
        <v>1712</v>
      </c>
      <c r="CV149" s="48" t="s">
        <v>1710</v>
      </c>
      <c r="CW149" s="48" t="s">
        <v>1710</v>
      </c>
      <c r="CX149" s="48" t="s">
        <v>3167</v>
      </c>
      <c r="CY149" s="48" t="s">
        <v>1710</v>
      </c>
      <c r="CZ149" s="48" t="s">
        <v>1712</v>
      </c>
      <c r="DA149" s="48" t="s">
        <v>1710</v>
      </c>
      <c r="DB149" s="48" t="s">
        <v>1878</v>
      </c>
      <c r="DC149" s="48" t="s">
        <v>2070</v>
      </c>
      <c r="DD149" s="48" t="s">
        <v>1842</v>
      </c>
      <c r="DE149" s="48" t="s">
        <v>1886</v>
      </c>
      <c r="DF149" s="48" t="s">
        <v>4018</v>
      </c>
      <c r="DG149" s="48" t="s">
        <v>2071</v>
      </c>
      <c r="DH149" s="48" t="s">
        <v>1712</v>
      </c>
      <c r="DI149" s="48" t="s">
        <v>1710</v>
      </c>
      <c r="DJ149" s="48" t="s">
        <v>1710</v>
      </c>
      <c r="DK149" s="48" t="s">
        <v>1710</v>
      </c>
      <c r="DL149" s="48" t="s">
        <v>1710</v>
      </c>
      <c r="DM149" s="48" t="s">
        <v>1710</v>
      </c>
      <c r="DN149" s="48" t="s">
        <v>1710</v>
      </c>
      <c r="DO149" s="48" t="s">
        <v>1710</v>
      </c>
      <c r="DP149" s="48" t="s">
        <v>1710</v>
      </c>
      <c r="DQ149" s="48" t="s">
        <v>1710</v>
      </c>
      <c r="DR149" s="48" t="s">
        <v>2072</v>
      </c>
      <c r="DS149" s="48" t="s">
        <v>1710</v>
      </c>
      <c r="DT149" s="48" t="s">
        <v>1710</v>
      </c>
      <c r="DU149" s="48" t="s">
        <v>2547</v>
      </c>
      <c r="DV149" s="48" t="s">
        <v>3111</v>
      </c>
      <c r="DW149" s="48" t="s">
        <v>1710</v>
      </c>
      <c r="DX149" s="48" t="s">
        <v>4019</v>
      </c>
      <c r="DY149" s="48" t="s">
        <v>1709</v>
      </c>
      <c r="DZ149" s="48" t="s">
        <v>2562</v>
      </c>
      <c r="EA149" s="48" t="s">
        <v>2546</v>
      </c>
      <c r="EB149">
        <v>0</v>
      </c>
      <c r="EC149" s="48" t="s">
        <v>2547</v>
      </c>
      <c r="ED149" s="48" t="s">
        <v>4020</v>
      </c>
      <c r="EE149" s="48" t="s">
        <v>1814</v>
      </c>
      <c r="EF149" s="48" t="s">
        <v>1847</v>
      </c>
      <c r="EG149" s="48" t="s">
        <v>4017</v>
      </c>
      <c r="EH149">
        <v>1.1479999999999999</v>
      </c>
      <c r="EI149" s="48" t="s">
        <v>1888</v>
      </c>
      <c r="EJ149">
        <v>0</v>
      </c>
      <c r="EK149" s="48" t="s">
        <v>1710</v>
      </c>
      <c r="EL149">
        <v>1</v>
      </c>
      <c r="EM149" s="48" t="s">
        <v>1886</v>
      </c>
      <c r="EN149">
        <v>1.1479999999999999</v>
      </c>
      <c r="EO149" s="48" t="s">
        <v>2529</v>
      </c>
      <c r="EP149" s="48" t="s">
        <v>4021</v>
      </c>
      <c r="EQ149">
        <v>750.34</v>
      </c>
      <c r="ER149">
        <v>750.34</v>
      </c>
      <c r="ES149">
        <v>1057795</v>
      </c>
      <c r="ET149">
        <v>718</v>
      </c>
      <c r="EU149" s="48" t="s">
        <v>1710</v>
      </c>
      <c r="EV149" s="48" t="s">
        <v>1710</v>
      </c>
      <c r="EW149" s="48" t="s">
        <v>1712</v>
      </c>
      <c r="EX149" s="48" t="s">
        <v>1710</v>
      </c>
      <c r="EY149" s="48" t="s">
        <v>1860</v>
      </c>
      <c r="EZ149" s="48" t="s">
        <v>1710</v>
      </c>
      <c r="FA149" s="48" t="s">
        <v>1710</v>
      </c>
      <c r="FB149" s="48" t="s">
        <v>1712</v>
      </c>
      <c r="FC149" s="48" t="s">
        <v>1710</v>
      </c>
      <c r="FD149" s="48" t="s">
        <v>1710</v>
      </c>
      <c r="FE149" s="48" t="s">
        <v>1814</v>
      </c>
      <c r="FF149" s="48" t="s">
        <v>1815</v>
      </c>
      <c r="FG149" s="48" t="s">
        <v>1710</v>
      </c>
      <c r="FH149">
        <v>1</v>
      </c>
      <c r="FI149" s="48" t="s">
        <v>1846</v>
      </c>
      <c r="FJ149">
        <v>750.34</v>
      </c>
      <c r="FK149">
        <v>750.34</v>
      </c>
      <c r="FL149" s="48" t="s">
        <v>4022</v>
      </c>
      <c r="FM149" s="48" t="s">
        <v>4021</v>
      </c>
      <c r="FN149" s="48" t="s">
        <v>1710</v>
      </c>
      <c r="FO149" s="48" t="s">
        <v>1710</v>
      </c>
      <c r="FP149" s="48" t="s">
        <v>1710</v>
      </c>
      <c r="FQ149" s="48" t="s">
        <v>1710</v>
      </c>
      <c r="FR149" s="48" t="s">
        <v>1710</v>
      </c>
      <c r="FS149" s="48" t="s">
        <v>1710</v>
      </c>
      <c r="FT149" s="48" t="s">
        <v>1710</v>
      </c>
      <c r="FU149" s="48" t="s">
        <v>1710</v>
      </c>
      <c r="FV149" s="48"/>
      <c r="FW149" s="56"/>
      <c r="FX149" s="56"/>
      <c r="FY149" s="56"/>
      <c r="FZ149" s="56"/>
      <c r="GA149" s="55" t="str">
        <f t="shared" si="8"/>
        <v>4388426300446X</v>
      </c>
      <c r="GB149" t="str">
        <f>VLOOKUP(B149,수출코드!$C$2:$D$4,2,FALSE)</f>
        <v>Suwon</v>
      </c>
      <c r="GC149" t="str">
        <f>VLOOKUP(L149,수출코드!$A$2:$B$6,2,FALSE)</f>
        <v/>
      </c>
      <c r="GD149" t="str">
        <f>VLOOKUP(M149,수출코드!$E$2:$F$5,2,FALSE)</f>
        <v>일반</v>
      </c>
      <c r="GE149" s="61">
        <f t="shared" si="6"/>
        <v>45974.372916666667</v>
      </c>
      <c r="GF149" s="62">
        <f t="shared" si="7"/>
        <v>46051.486805555556</v>
      </c>
      <c r="GI149" s="48" t="s">
        <v>2765</v>
      </c>
    </row>
    <row r="150" spans="1:191">
      <c r="A150" s="48" t="s">
        <v>4023</v>
      </c>
      <c r="B150" s="48" t="s">
        <v>1821</v>
      </c>
      <c r="C150" s="48" t="s">
        <v>2048</v>
      </c>
      <c r="D150" s="48" t="s">
        <v>2813</v>
      </c>
      <c r="E150" s="48" t="s">
        <v>4023</v>
      </c>
      <c r="F150" s="48" t="s">
        <v>1710</v>
      </c>
      <c r="G150" s="48" t="s">
        <v>2814</v>
      </c>
      <c r="H150" s="48" t="s">
        <v>4024</v>
      </c>
      <c r="I150" s="48" t="s">
        <v>1884</v>
      </c>
      <c r="J150" s="48" t="s">
        <v>3111</v>
      </c>
      <c r="K150" s="48" t="s">
        <v>1877</v>
      </c>
      <c r="L150" s="48" t="s">
        <v>1842</v>
      </c>
      <c r="M150" s="48" t="s">
        <v>1810</v>
      </c>
      <c r="N150" s="48" t="s">
        <v>1842</v>
      </c>
      <c r="O150" s="48" t="s">
        <v>1811</v>
      </c>
      <c r="P150" s="48" t="s">
        <v>2549</v>
      </c>
      <c r="Q150" s="48" t="s">
        <v>2049</v>
      </c>
      <c r="R150" s="48" t="s">
        <v>1838</v>
      </c>
      <c r="S150" s="48" t="s">
        <v>2050</v>
      </c>
      <c r="T150" s="48" t="s">
        <v>1845</v>
      </c>
      <c r="U150" s="48" t="s">
        <v>2049</v>
      </c>
      <c r="V150" s="48" t="s">
        <v>1838</v>
      </c>
      <c r="W150" s="48" t="s">
        <v>2051</v>
      </c>
      <c r="X150" s="48" t="s">
        <v>2052</v>
      </c>
      <c r="Y150" s="48" t="s">
        <v>2050</v>
      </c>
      <c r="Z150" s="48" t="s">
        <v>2053</v>
      </c>
      <c r="AA150" s="48" t="s">
        <v>2054</v>
      </c>
      <c r="AB150" s="48" t="s">
        <v>2817</v>
      </c>
      <c r="AC150" s="48" t="s">
        <v>2055</v>
      </c>
      <c r="AD150" s="48" t="s">
        <v>2056</v>
      </c>
      <c r="AE150" s="48" t="s">
        <v>1710</v>
      </c>
      <c r="AF150" s="48" t="s">
        <v>1710</v>
      </c>
      <c r="AG150" s="48" t="s">
        <v>2057</v>
      </c>
      <c r="AH150" s="48" t="s">
        <v>1815</v>
      </c>
      <c r="AI150" s="48" t="s">
        <v>2058</v>
      </c>
      <c r="AJ150" s="48" t="s">
        <v>1710</v>
      </c>
      <c r="AK150" s="48" t="s">
        <v>3693</v>
      </c>
      <c r="AL150" s="48" t="s">
        <v>2534</v>
      </c>
      <c r="AM150" s="48" t="s">
        <v>1816</v>
      </c>
      <c r="AN150" s="48" t="s">
        <v>2054</v>
      </c>
      <c r="AO150" s="48" t="s">
        <v>1710</v>
      </c>
      <c r="AP150" s="48" t="s">
        <v>1848</v>
      </c>
      <c r="AQ150" s="48" t="s">
        <v>2060</v>
      </c>
      <c r="AR150" s="48" t="s">
        <v>1812</v>
      </c>
      <c r="AS150" s="48" t="s">
        <v>1813</v>
      </c>
      <c r="AT150" s="48" t="s">
        <v>1826</v>
      </c>
      <c r="AU150" s="48" t="s">
        <v>2061</v>
      </c>
      <c r="AV150" s="48" t="s">
        <v>3111</v>
      </c>
      <c r="AW150" s="48" t="s">
        <v>2062</v>
      </c>
      <c r="AX150" s="48" t="s">
        <v>2063</v>
      </c>
      <c r="AY150" s="48" t="s">
        <v>1710</v>
      </c>
      <c r="AZ150" s="48" t="s">
        <v>4025</v>
      </c>
      <c r="BA150" s="48" t="s">
        <v>1710</v>
      </c>
      <c r="BB150" s="48" t="s">
        <v>1709</v>
      </c>
      <c r="BC150" s="48" t="s">
        <v>1710</v>
      </c>
      <c r="BD150" s="48" t="s">
        <v>2089</v>
      </c>
      <c r="BE150" s="52" t="s">
        <v>4000</v>
      </c>
      <c r="BF150" s="48" t="s">
        <v>1710</v>
      </c>
      <c r="BG150" s="48" t="s">
        <v>1814</v>
      </c>
      <c r="BH150">
        <v>13</v>
      </c>
      <c r="BI150" s="48" t="s">
        <v>1888</v>
      </c>
      <c r="BJ150">
        <v>1</v>
      </c>
      <c r="BK150">
        <v>1473.06</v>
      </c>
      <c r="BL150">
        <v>9519200</v>
      </c>
      <c r="BM150">
        <v>6462</v>
      </c>
      <c r="BN150" s="48" t="s">
        <v>2064</v>
      </c>
      <c r="BO150" s="48" t="s">
        <v>2065</v>
      </c>
      <c r="BP150">
        <v>1473.06</v>
      </c>
      <c r="BQ150">
        <v>6595.93</v>
      </c>
      <c r="BR150" s="48" t="s">
        <v>1885</v>
      </c>
      <c r="BS150" s="48" t="s">
        <v>2066</v>
      </c>
      <c r="BT150">
        <v>1</v>
      </c>
      <c r="BU150">
        <v>197000</v>
      </c>
      <c r="BV150">
        <v>197000</v>
      </c>
      <c r="BW150" s="48" t="s">
        <v>2065</v>
      </c>
      <c r="BX150">
        <v>1473.06</v>
      </c>
      <c r="BY150">
        <v>0</v>
      </c>
      <c r="BZ150">
        <v>0</v>
      </c>
      <c r="CA150" s="48" t="s">
        <v>2065</v>
      </c>
      <c r="CB150">
        <v>1473.06</v>
      </c>
      <c r="CC150">
        <v>0</v>
      </c>
      <c r="CD150">
        <v>0</v>
      </c>
      <c r="CE150" s="48" t="s">
        <v>1710</v>
      </c>
      <c r="CF150" s="48" t="s">
        <v>1710</v>
      </c>
      <c r="CG150" s="48" t="s">
        <v>1710</v>
      </c>
      <c r="CH150" s="48" t="s">
        <v>1710</v>
      </c>
      <c r="CI150" s="48" t="s">
        <v>2067</v>
      </c>
      <c r="CJ150" s="48" t="s">
        <v>1710</v>
      </c>
      <c r="CL150" s="48" t="s">
        <v>3111</v>
      </c>
      <c r="CM150" s="48" t="s">
        <v>1710</v>
      </c>
      <c r="CN150" s="48" t="s">
        <v>2068</v>
      </c>
      <c r="CO150" s="48" t="s">
        <v>2069</v>
      </c>
      <c r="CP150" s="48" t="s">
        <v>1710</v>
      </c>
      <c r="CQ150" s="48" t="s">
        <v>1710</v>
      </c>
      <c r="CR150" s="48" t="s">
        <v>1710</v>
      </c>
      <c r="CS150" s="48" t="s">
        <v>1710</v>
      </c>
      <c r="CT150" s="48" t="s">
        <v>1710</v>
      </c>
      <c r="CU150" s="48" t="s">
        <v>1712</v>
      </c>
      <c r="CV150" s="48" t="s">
        <v>1710</v>
      </c>
      <c r="CW150" s="48" t="s">
        <v>1710</v>
      </c>
      <c r="CX150" s="48" t="s">
        <v>3167</v>
      </c>
      <c r="CY150" s="48" t="s">
        <v>1710</v>
      </c>
      <c r="CZ150" s="48" t="s">
        <v>1712</v>
      </c>
      <c r="DA150" s="48" t="s">
        <v>1710</v>
      </c>
      <c r="DB150" s="48" t="s">
        <v>1878</v>
      </c>
      <c r="DC150" s="48" t="s">
        <v>2070</v>
      </c>
      <c r="DD150" s="48" t="s">
        <v>1842</v>
      </c>
      <c r="DE150" s="48" t="s">
        <v>1886</v>
      </c>
      <c r="DF150" s="48" t="s">
        <v>4026</v>
      </c>
      <c r="DG150" s="48" t="s">
        <v>2071</v>
      </c>
      <c r="DH150" s="48" t="s">
        <v>1712</v>
      </c>
      <c r="DI150" s="48" t="s">
        <v>1710</v>
      </c>
      <c r="DJ150" s="48" t="s">
        <v>1710</v>
      </c>
      <c r="DK150" s="48" t="s">
        <v>1710</v>
      </c>
      <c r="DL150" s="48" t="s">
        <v>1710</v>
      </c>
      <c r="DM150" s="48" t="s">
        <v>1710</v>
      </c>
      <c r="DN150" s="48" t="s">
        <v>1710</v>
      </c>
      <c r="DO150" s="48" t="s">
        <v>1710</v>
      </c>
      <c r="DP150" s="48" t="s">
        <v>1710</v>
      </c>
      <c r="DQ150" s="48" t="s">
        <v>1710</v>
      </c>
      <c r="DR150" s="48" t="s">
        <v>2072</v>
      </c>
      <c r="DS150" s="48" t="s">
        <v>1710</v>
      </c>
      <c r="DT150" s="48" t="s">
        <v>1710</v>
      </c>
      <c r="DU150" s="48" t="s">
        <v>2547</v>
      </c>
      <c r="DV150" s="48" t="s">
        <v>3111</v>
      </c>
      <c r="DW150" s="48" t="s">
        <v>1710</v>
      </c>
      <c r="DX150" s="48" t="s">
        <v>4027</v>
      </c>
      <c r="DY150" s="48" t="s">
        <v>1709</v>
      </c>
      <c r="DZ150" s="48" t="s">
        <v>2562</v>
      </c>
      <c r="EA150" s="48" t="s">
        <v>2546</v>
      </c>
      <c r="EB150">
        <v>0</v>
      </c>
      <c r="EC150" s="48" t="s">
        <v>2547</v>
      </c>
      <c r="ED150" s="48" t="s">
        <v>4020</v>
      </c>
      <c r="EE150" s="48" t="s">
        <v>1814</v>
      </c>
      <c r="EF150" s="48" t="s">
        <v>2585</v>
      </c>
      <c r="EG150" s="48" t="s">
        <v>4025</v>
      </c>
      <c r="EH150">
        <v>10.199999999999999</v>
      </c>
      <c r="EI150" s="48" t="s">
        <v>1888</v>
      </c>
      <c r="EJ150">
        <v>2</v>
      </c>
      <c r="EK150" s="48" t="s">
        <v>1887</v>
      </c>
      <c r="EL150">
        <v>1</v>
      </c>
      <c r="EM150" s="48" t="s">
        <v>1886</v>
      </c>
      <c r="EN150">
        <v>10.199999999999999</v>
      </c>
      <c r="EO150" s="48" t="s">
        <v>2586</v>
      </c>
      <c r="EP150" s="48" t="s">
        <v>3391</v>
      </c>
      <c r="EQ150">
        <v>6595.93</v>
      </c>
      <c r="ER150">
        <v>6595.93</v>
      </c>
      <c r="ES150">
        <v>9519200</v>
      </c>
      <c r="ET150">
        <v>6462</v>
      </c>
      <c r="EU150" s="48" t="s">
        <v>1710</v>
      </c>
      <c r="EV150" s="48" t="s">
        <v>1710</v>
      </c>
      <c r="EW150" s="48" t="s">
        <v>1712</v>
      </c>
      <c r="EX150" s="48" t="s">
        <v>1710</v>
      </c>
      <c r="EY150" s="48" t="s">
        <v>1848</v>
      </c>
      <c r="EZ150" s="48" t="s">
        <v>1710</v>
      </c>
      <c r="FA150" s="48" t="s">
        <v>1710</v>
      </c>
      <c r="FB150" s="48" t="s">
        <v>1712</v>
      </c>
      <c r="FC150" s="48" t="s">
        <v>1710</v>
      </c>
      <c r="FD150" s="48" t="s">
        <v>1710</v>
      </c>
      <c r="FE150" s="48" t="s">
        <v>1814</v>
      </c>
      <c r="FF150" s="48" t="s">
        <v>1815</v>
      </c>
      <c r="FG150" s="48" t="s">
        <v>1710</v>
      </c>
      <c r="FH150">
        <v>2</v>
      </c>
      <c r="FI150" s="48" t="s">
        <v>1846</v>
      </c>
      <c r="FJ150">
        <v>6595.93</v>
      </c>
      <c r="FK150">
        <v>3297.9650000000001</v>
      </c>
      <c r="FL150" s="48" t="s">
        <v>3392</v>
      </c>
      <c r="FM150" s="48" t="s">
        <v>3391</v>
      </c>
      <c r="FN150" s="48" t="s">
        <v>1710</v>
      </c>
      <c r="FO150" s="48" t="s">
        <v>1710</v>
      </c>
      <c r="FP150" s="48" t="s">
        <v>1710</v>
      </c>
      <c r="FQ150" s="48" t="s">
        <v>1710</v>
      </c>
      <c r="FR150" s="48" t="s">
        <v>1710</v>
      </c>
      <c r="FS150" s="48" t="s">
        <v>1710</v>
      </c>
      <c r="FT150" s="48" t="s">
        <v>1710</v>
      </c>
      <c r="FU150" s="48" t="s">
        <v>1710</v>
      </c>
      <c r="FV150" s="48"/>
      <c r="FW150" s="56"/>
      <c r="FX150" s="56"/>
      <c r="FY150" s="56"/>
      <c r="FZ150" s="56"/>
      <c r="GA150" s="55" t="str">
        <f t="shared" si="8"/>
        <v>4388426300447X</v>
      </c>
      <c r="GB150" t="str">
        <f>VLOOKUP(B150,수출코드!$C$2:$D$4,2,FALSE)</f>
        <v>Suwon</v>
      </c>
      <c r="GC150" t="str">
        <f>VLOOKUP(L150,수출코드!$A$2:$B$6,2,FALSE)</f>
        <v/>
      </c>
      <c r="GD150" t="str">
        <f>VLOOKUP(M150,수출코드!$E$2:$F$5,2,FALSE)</f>
        <v>일반</v>
      </c>
      <c r="GE150" s="61">
        <f t="shared" si="6"/>
        <v>45974.372916666667</v>
      </c>
      <c r="GF150" s="62">
        <f t="shared" si="7"/>
        <v>46051.486805555556</v>
      </c>
      <c r="GI150" s="48" t="s">
        <v>2765</v>
      </c>
    </row>
    <row r="151" spans="1:191">
      <c r="A151" s="48" t="s">
        <v>4028</v>
      </c>
      <c r="B151" s="48" t="s">
        <v>1821</v>
      </c>
      <c r="C151" s="48" t="s">
        <v>2048</v>
      </c>
      <c r="D151" s="48" t="s">
        <v>2813</v>
      </c>
      <c r="E151" s="48" t="s">
        <v>4028</v>
      </c>
      <c r="F151" s="48" t="s">
        <v>1710</v>
      </c>
      <c r="G151" s="48" t="s">
        <v>2814</v>
      </c>
      <c r="H151" s="48" t="s">
        <v>4029</v>
      </c>
      <c r="I151" s="48" t="s">
        <v>1884</v>
      </c>
      <c r="J151" s="48" t="s">
        <v>3111</v>
      </c>
      <c r="K151" s="48" t="s">
        <v>1877</v>
      </c>
      <c r="L151" s="48" t="s">
        <v>1842</v>
      </c>
      <c r="M151" s="48" t="s">
        <v>1810</v>
      </c>
      <c r="N151" s="48" t="s">
        <v>1842</v>
      </c>
      <c r="O151" s="48" t="s">
        <v>1811</v>
      </c>
      <c r="P151" s="48" t="s">
        <v>2549</v>
      </c>
      <c r="Q151" s="48" t="s">
        <v>2049</v>
      </c>
      <c r="R151" s="48" t="s">
        <v>1838</v>
      </c>
      <c r="S151" s="48" t="s">
        <v>2050</v>
      </c>
      <c r="T151" s="48" t="s">
        <v>1845</v>
      </c>
      <c r="U151" s="48" t="s">
        <v>2049</v>
      </c>
      <c r="V151" s="48" t="s">
        <v>1838</v>
      </c>
      <c r="W151" s="48" t="s">
        <v>2051</v>
      </c>
      <c r="X151" s="48" t="s">
        <v>2052</v>
      </c>
      <c r="Y151" s="48" t="s">
        <v>2050</v>
      </c>
      <c r="Z151" s="48" t="s">
        <v>2053</v>
      </c>
      <c r="AA151" s="48" t="s">
        <v>2054</v>
      </c>
      <c r="AB151" s="48" t="s">
        <v>2817</v>
      </c>
      <c r="AC151" s="48" t="s">
        <v>2055</v>
      </c>
      <c r="AD151" s="48" t="s">
        <v>2056</v>
      </c>
      <c r="AE151" s="48" t="s">
        <v>1710</v>
      </c>
      <c r="AF151" s="48" t="s">
        <v>1710</v>
      </c>
      <c r="AG151" s="48" t="s">
        <v>2057</v>
      </c>
      <c r="AH151" s="48" t="s">
        <v>1815</v>
      </c>
      <c r="AI151" s="48" t="s">
        <v>2058</v>
      </c>
      <c r="AJ151" s="48" t="s">
        <v>1710</v>
      </c>
      <c r="AK151" s="48" t="s">
        <v>2563</v>
      </c>
      <c r="AL151" s="48" t="s">
        <v>2564</v>
      </c>
      <c r="AM151" s="48" t="s">
        <v>1816</v>
      </c>
      <c r="AN151" s="48" t="s">
        <v>2054</v>
      </c>
      <c r="AO151" s="48" t="s">
        <v>1710</v>
      </c>
      <c r="AP151" s="48" t="s">
        <v>1855</v>
      </c>
      <c r="AQ151" s="48" t="s">
        <v>2076</v>
      </c>
      <c r="AR151" s="48" t="s">
        <v>1812</v>
      </c>
      <c r="AS151" s="48" t="s">
        <v>1813</v>
      </c>
      <c r="AT151" s="48" t="s">
        <v>1826</v>
      </c>
      <c r="AU151" s="48" t="s">
        <v>2061</v>
      </c>
      <c r="AV151" s="48" t="s">
        <v>3111</v>
      </c>
      <c r="AW151" s="48" t="s">
        <v>2062</v>
      </c>
      <c r="AX151" s="48" t="s">
        <v>2063</v>
      </c>
      <c r="AY151" s="48" t="s">
        <v>1710</v>
      </c>
      <c r="AZ151" s="48" t="s">
        <v>4030</v>
      </c>
      <c r="BA151" s="48" t="s">
        <v>1710</v>
      </c>
      <c r="BB151" s="48" t="s">
        <v>1709</v>
      </c>
      <c r="BC151" s="48" t="s">
        <v>1710</v>
      </c>
      <c r="BD151" s="48" t="s">
        <v>2089</v>
      </c>
      <c r="BE151" s="52" t="s">
        <v>4000</v>
      </c>
      <c r="BF151" s="48" t="s">
        <v>1710</v>
      </c>
      <c r="BG151" s="48" t="s">
        <v>1817</v>
      </c>
      <c r="BH151">
        <v>3</v>
      </c>
      <c r="BI151" s="48" t="s">
        <v>1888</v>
      </c>
      <c r="BJ151">
        <v>1</v>
      </c>
      <c r="BK151">
        <v>1473.06</v>
      </c>
      <c r="BL151">
        <v>1594719</v>
      </c>
      <c r="BM151">
        <v>1083</v>
      </c>
      <c r="BN151" s="48" t="s">
        <v>2064</v>
      </c>
      <c r="BO151" s="48" t="s">
        <v>2065</v>
      </c>
      <c r="BP151">
        <v>1473.06</v>
      </c>
      <c r="BQ151">
        <v>1102.82</v>
      </c>
      <c r="BR151" s="48" t="s">
        <v>1885</v>
      </c>
      <c r="BS151" s="48" t="s">
        <v>2066</v>
      </c>
      <c r="BT151">
        <v>1</v>
      </c>
      <c r="BU151">
        <v>29800</v>
      </c>
      <c r="BV151">
        <v>29800</v>
      </c>
      <c r="BW151" s="48" t="s">
        <v>2065</v>
      </c>
      <c r="BX151">
        <v>1473.06</v>
      </c>
      <c r="BY151">
        <v>0</v>
      </c>
      <c r="BZ151">
        <v>0</v>
      </c>
      <c r="CA151" s="48" t="s">
        <v>2065</v>
      </c>
      <c r="CB151">
        <v>1473.06</v>
      </c>
      <c r="CC151">
        <v>0</v>
      </c>
      <c r="CD151">
        <v>0</v>
      </c>
      <c r="CE151" s="48" t="s">
        <v>1710</v>
      </c>
      <c r="CF151" s="48" t="s">
        <v>1710</v>
      </c>
      <c r="CG151" s="48" t="s">
        <v>1710</v>
      </c>
      <c r="CH151" s="48" t="s">
        <v>1710</v>
      </c>
      <c r="CI151" s="48" t="s">
        <v>2067</v>
      </c>
      <c r="CJ151" s="48" t="s">
        <v>1710</v>
      </c>
      <c r="CL151" s="48" t="s">
        <v>3111</v>
      </c>
      <c r="CM151" s="48" t="s">
        <v>1710</v>
      </c>
      <c r="CN151" s="48" t="s">
        <v>2068</v>
      </c>
      <c r="CO151" s="48" t="s">
        <v>2069</v>
      </c>
      <c r="CP151" s="48" t="s">
        <v>1710</v>
      </c>
      <c r="CQ151" s="48" t="s">
        <v>1710</v>
      </c>
      <c r="CR151" s="48" t="s">
        <v>1710</v>
      </c>
      <c r="CS151" s="48" t="s">
        <v>1710</v>
      </c>
      <c r="CT151" s="48" t="s">
        <v>1710</v>
      </c>
      <c r="CU151" s="48" t="s">
        <v>1712</v>
      </c>
      <c r="CV151" s="48" t="s">
        <v>1710</v>
      </c>
      <c r="CW151" s="48" t="s">
        <v>1710</v>
      </c>
      <c r="CX151" s="48" t="s">
        <v>3167</v>
      </c>
      <c r="CY151" s="48" t="s">
        <v>1710</v>
      </c>
      <c r="CZ151" s="48" t="s">
        <v>1712</v>
      </c>
      <c r="DA151" s="48" t="s">
        <v>1710</v>
      </c>
      <c r="DB151" s="48" t="s">
        <v>1878</v>
      </c>
      <c r="DC151" s="48" t="s">
        <v>2070</v>
      </c>
      <c r="DD151" s="48" t="s">
        <v>1842</v>
      </c>
      <c r="DE151" s="48" t="s">
        <v>1886</v>
      </c>
      <c r="DF151" s="48" t="s">
        <v>4031</v>
      </c>
      <c r="DG151" s="48" t="s">
        <v>2071</v>
      </c>
      <c r="DH151" s="48" t="s">
        <v>1712</v>
      </c>
      <c r="DI151" s="48" t="s">
        <v>1710</v>
      </c>
      <c r="DJ151" s="48" t="s">
        <v>1710</v>
      </c>
      <c r="DK151" s="48" t="s">
        <v>1710</v>
      </c>
      <c r="DL151" s="48" t="s">
        <v>1710</v>
      </c>
      <c r="DM151" s="48" t="s">
        <v>1710</v>
      </c>
      <c r="DN151" s="48" t="s">
        <v>1710</v>
      </c>
      <c r="DO151" s="48" t="s">
        <v>1710</v>
      </c>
      <c r="DP151" s="48" t="s">
        <v>1710</v>
      </c>
      <c r="DQ151" s="48" t="s">
        <v>1710</v>
      </c>
      <c r="DR151" s="48" t="s">
        <v>2072</v>
      </c>
      <c r="DS151" s="48" t="s">
        <v>1710</v>
      </c>
      <c r="DT151" s="48" t="s">
        <v>1710</v>
      </c>
      <c r="DU151" s="48" t="s">
        <v>2547</v>
      </c>
      <c r="DV151" s="48" t="s">
        <v>3111</v>
      </c>
      <c r="DW151" s="48" t="s">
        <v>1710</v>
      </c>
      <c r="DX151" s="48" t="s">
        <v>4032</v>
      </c>
      <c r="DY151" s="48" t="s">
        <v>1709</v>
      </c>
      <c r="DZ151" s="48" t="s">
        <v>2562</v>
      </c>
      <c r="EA151" s="48" t="s">
        <v>2546</v>
      </c>
      <c r="EB151">
        <v>0</v>
      </c>
      <c r="EC151" s="48" t="s">
        <v>2547</v>
      </c>
      <c r="ED151" s="48" t="s">
        <v>4020</v>
      </c>
      <c r="EE151" s="48" t="s">
        <v>1814</v>
      </c>
      <c r="EF151" s="48" t="s">
        <v>1852</v>
      </c>
      <c r="EG151" s="48" t="s">
        <v>4030</v>
      </c>
      <c r="EH151">
        <v>1.1000000000000001</v>
      </c>
      <c r="EI151" s="48" t="s">
        <v>1888</v>
      </c>
      <c r="EJ151">
        <v>0</v>
      </c>
      <c r="EK151" s="48" t="s">
        <v>1710</v>
      </c>
      <c r="EL151">
        <v>1</v>
      </c>
      <c r="EM151" s="48" t="s">
        <v>1886</v>
      </c>
      <c r="EN151">
        <v>1.1000000000000001</v>
      </c>
      <c r="EO151" s="48" t="s">
        <v>2521</v>
      </c>
      <c r="EP151" s="48" t="s">
        <v>4033</v>
      </c>
      <c r="EQ151">
        <v>853.3</v>
      </c>
      <c r="ER151">
        <v>853.3</v>
      </c>
      <c r="ES151">
        <v>1233904</v>
      </c>
      <c r="ET151">
        <v>838</v>
      </c>
      <c r="EU151" s="48" t="s">
        <v>1710</v>
      </c>
      <c r="EV151" s="48" t="s">
        <v>1710</v>
      </c>
      <c r="EW151" s="48" t="s">
        <v>1712</v>
      </c>
      <c r="EX151" s="48" t="s">
        <v>1710</v>
      </c>
      <c r="EY151" s="48" t="s">
        <v>1874</v>
      </c>
      <c r="EZ151" s="48" t="s">
        <v>1710</v>
      </c>
      <c r="FA151" s="48" t="s">
        <v>1710</v>
      </c>
      <c r="FB151" s="48" t="s">
        <v>1712</v>
      </c>
      <c r="FC151" s="48" t="s">
        <v>1710</v>
      </c>
      <c r="FD151" s="48" t="s">
        <v>1710</v>
      </c>
      <c r="FE151" s="48" t="s">
        <v>1814</v>
      </c>
      <c r="FF151" s="48" t="s">
        <v>1815</v>
      </c>
      <c r="FG151" s="48" t="s">
        <v>1710</v>
      </c>
      <c r="FH151">
        <v>1</v>
      </c>
      <c r="FI151" s="48" t="s">
        <v>1846</v>
      </c>
      <c r="FJ151">
        <v>853.3</v>
      </c>
      <c r="FK151">
        <v>853.3</v>
      </c>
      <c r="FL151" s="48" t="s">
        <v>4034</v>
      </c>
      <c r="FM151" s="48" t="s">
        <v>4033</v>
      </c>
      <c r="FN151" s="48" t="s">
        <v>1710</v>
      </c>
      <c r="FO151" s="48" t="s">
        <v>1710</v>
      </c>
      <c r="FP151" s="48" t="s">
        <v>1710</v>
      </c>
      <c r="FQ151" s="48" t="s">
        <v>1710</v>
      </c>
      <c r="FR151" s="48" t="s">
        <v>1710</v>
      </c>
      <c r="FS151" s="48" t="s">
        <v>1710</v>
      </c>
      <c r="FT151" s="48" t="s">
        <v>1710</v>
      </c>
      <c r="FU151" s="48" t="s">
        <v>1710</v>
      </c>
      <c r="FV151" s="48"/>
      <c r="FW151" s="56"/>
      <c r="FX151" s="56"/>
      <c r="FY151" s="56"/>
      <c r="FZ151" s="56"/>
      <c r="GA151" s="55" t="str">
        <f t="shared" si="8"/>
        <v>4388426300448X</v>
      </c>
      <c r="GB151" t="str">
        <f>VLOOKUP(B151,수출코드!$C$2:$D$4,2,FALSE)</f>
        <v>Suwon</v>
      </c>
      <c r="GC151" t="str">
        <f>VLOOKUP(L151,수출코드!$A$2:$B$6,2,FALSE)</f>
        <v/>
      </c>
      <c r="GD151" t="str">
        <f>VLOOKUP(M151,수출코드!$E$2:$F$5,2,FALSE)</f>
        <v>일반</v>
      </c>
      <c r="GE151" s="61">
        <f t="shared" si="6"/>
        <v>45974.372916666667</v>
      </c>
      <c r="GF151" s="62">
        <f t="shared" si="7"/>
        <v>46051.486805555556</v>
      </c>
      <c r="GI151" s="48" t="s">
        <v>2765</v>
      </c>
    </row>
    <row r="152" spans="1:191">
      <c r="A152" s="48" t="s">
        <v>4035</v>
      </c>
      <c r="B152" s="48" t="s">
        <v>1821</v>
      </c>
      <c r="C152" s="48" t="s">
        <v>2048</v>
      </c>
      <c r="D152" s="48" t="s">
        <v>2813</v>
      </c>
      <c r="E152" s="48" t="s">
        <v>4035</v>
      </c>
      <c r="F152" s="48" t="s">
        <v>1710</v>
      </c>
      <c r="G152" s="48" t="s">
        <v>2814</v>
      </c>
      <c r="H152" s="48" t="s">
        <v>4036</v>
      </c>
      <c r="I152" s="48" t="s">
        <v>1884</v>
      </c>
      <c r="J152" s="48" t="s">
        <v>3111</v>
      </c>
      <c r="K152" s="48" t="s">
        <v>1877</v>
      </c>
      <c r="L152" s="48" t="s">
        <v>1842</v>
      </c>
      <c r="M152" s="48" t="s">
        <v>1810</v>
      </c>
      <c r="N152" s="48" t="s">
        <v>1842</v>
      </c>
      <c r="O152" s="48" t="s">
        <v>1811</v>
      </c>
      <c r="P152" s="48" t="s">
        <v>2549</v>
      </c>
      <c r="Q152" s="48" t="s">
        <v>2049</v>
      </c>
      <c r="R152" s="48" t="s">
        <v>1838</v>
      </c>
      <c r="S152" s="48" t="s">
        <v>2050</v>
      </c>
      <c r="T152" s="48" t="s">
        <v>1845</v>
      </c>
      <c r="U152" s="48" t="s">
        <v>2049</v>
      </c>
      <c r="V152" s="48" t="s">
        <v>1838</v>
      </c>
      <c r="W152" s="48" t="s">
        <v>2051</v>
      </c>
      <c r="X152" s="48" t="s">
        <v>2052</v>
      </c>
      <c r="Y152" s="48" t="s">
        <v>2050</v>
      </c>
      <c r="Z152" s="48" t="s">
        <v>2053</v>
      </c>
      <c r="AA152" s="48" t="s">
        <v>2054</v>
      </c>
      <c r="AB152" s="48" t="s">
        <v>2817</v>
      </c>
      <c r="AC152" s="48" t="s">
        <v>2055</v>
      </c>
      <c r="AD152" s="48" t="s">
        <v>2056</v>
      </c>
      <c r="AE152" s="48" t="s">
        <v>1710</v>
      </c>
      <c r="AF152" s="48" t="s">
        <v>1710</v>
      </c>
      <c r="AG152" s="48" t="s">
        <v>2057</v>
      </c>
      <c r="AH152" s="48" t="s">
        <v>1815</v>
      </c>
      <c r="AI152" s="48" t="s">
        <v>2058</v>
      </c>
      <c r="AJ152" s="48" t="s">
        <v>1710</v>
      </c>
      <c r="AK152" s="48" t="s">
        <v>2569</v>
      </c>
      <c r="AL152" s="48" t="s">
        <v>2570</v>
      </c>
      <c r="AM152" s="48" t="s">
        <v>1816</v>
      </c>
      <c r="AN152" s="48" t="s">
        <v>2054</v>
      </c>
      <c r="AO152" s="48" t="s">
        <v>1710</v>
      </c>
      <c r="AP152" s="48" t="s">
        <v>1843</v>
      </c>
      <c r="AQ152" s="48" t="s">
        <v>2079</v>
      </c>
      <c r="AR152" s="48" t="s">
        <v>1812</v>
      </c>
      <c r="AS152" s="48" t="s">
        <v>1813</v>
      </c>
      <c r="AT152" s="48" t="s">
        <v>1826</v>
      </c>
      <c r="AU152" s="48" t="s">
        <v>2061</v>
      </c>
      <c r="AV152" s="48" t="s">
        <v>3111</v>
      </c>
      <c r="AW152" s="48" t="s">
        <v>2062</v>
      </c>
      <c r="AX152" s="48" t="s">
        <v>2063</v>
      </c>
      <c r="AY152" s="48" t="s">
        <v>1710</v>
      </c>
      <c r="AZ152" s="48" t="s">
        <v>4037</v>
      </c>
      <c r="BA152" s="48" t="s">
        <v>1710</v>
      </c>
      <c r="BB152" s="48" t="s">
        <v>1709</v>
      </c>
      <c r="BC152" s="48" t="s">
        <v>1710</v>
      </c>
      <c r="BD152" s="48" t="s">
        <v>2089</v>
      </c>
      <c r="BE152" s="52" t="s">
        <v>4000</v>
      </c>
      <c r="BF152" s="48" t="s">
        <v>1710</v>
      </c>
      <c r="BG152" s="48" t="s">
        <v>1814</v>
      </c>
      <c r="BH152">
        <v>1</v>
      </c>
      <c r="BI152" s="48" t="s">
        <v>1888</v>
      </c>
      <c r="BJ152">
        <v>1</v>
      </c>
      <c r="BK152">
        <v>1473.06</v>
      </c>
      <c r="BL152">
        <v>927650</v>
      </c>
      <c r="BM152">
        <v>630</v>
      </c>
      <c r="BN152" s="48" t="s">
        <v>2064</v>
      </c>
      <c r="BO152" s="48" t="s">
        <v>2065</v>
      </c>
      <c r="BP152">
        <v>1473.06</v>
      </c>
      <c r="BQ152">
        <v>644</v>
      </c>
      <c r="BR152" s="48" t="s">
        <v>1885</v>
      </c>
      <c r="BS152" s="48" t="s">
        <v>2066</v>
      </c>
      <c r="BT152">
        <v>1</v>
      </c>
      <c r="BU152">
        <v>21000</v>
      </c>
      <c r="BV152">
        <v>21000</v>
      </c>
      <c r="BW152" s="48" t="s">
        <v>2065</v>
      </c>
      <c r="BX152">
        <v>1473.06</v>
      </c>
      <c r="BY152">
        <v>0</v>
      </c>
      <c r="BZ152">
        <v>0</v>
      </c>
      <c r="CA152" s="48" t="s">
        <v>2065</v>
      </c>
      <c r="CB152">
        <v>1473.06</v>
      </c>
      <c r="CC152">
        <v>0</v>
      </c>
      <c r="CD152">
        <v>0</v>
      </c>
      <c r="CE152" s="48" t="s">
        <v>1710</v>
      </c>
      <c r="CF152" s="48" t="s">
        <v>1710</v>
      </c>
      <c r="CG152" s="48" t="s">
        <v>1710</v>
      </c>
      <c r="CH152" s="48" t="s">
        <v>1710</v>
      </c>
      <c r="CI152" s="48" t="s">
        <v>2067</v>
      </c>
      <c r="CJ152" s="48" t="s">
        <v>1710</v>
      </c>
      <c r="CL152" s="48" t="s">
        <v>3111</v>
      </c>
      <c r="CM152" s="48" t="s">
        <v>1710</v>
      </c>
      <c r="CN152" s="48" t="s">
        <v>2068</v>
      </c>
      <c r="CO152" s="48" t="s">
        <v>2069</v>
      </c>
      <c r="CP152" s="48" t="s">
        <v>1710</v>
      </c>
      <c r="CQ152" s="48" t="s">
        <v>1710</v>
      </c>
      <c r="CR152" s="48" t="s">
        <v>1710</v>
      </c>
      <c r="CS152" s="48" t="s">
        <v>1710</v>
      </c>
      <c r="CT152" s="48" t="s">
        <v>1710</v>
      </c>
      <c r="CU152" s="48" t="s">
        <v>1712</v>
      </c>
      <c r="CV152" s="48" t="s">
        <v>1710</v>
      </c>
      <c r="CW152" s="48" t="s">
        <v>1710</v>
      </c>
      <c r="CX152" s="48" t="s">
        <v>3167</v>
      </c>
      <c r="CY152" s="48" t="s">
        <v>1710</v>
      </c>
      <c r="CZ152" s="48" t="s">
        <v>1712</v>
      </c>
      <c r="DA152" s="48" t="s">
        <v>1710</v>
      </c>
      <c r="DB152" s="48" t="s">
        <v>1878</v>
      </c>
      <c r="DC152" s="48" t="s">
        <v>2070</v>
      </c>
      <c r="DD152" s="48" t="s">
        <v>1842</v>
      </c>
      <c r="DE152" s="48" t="s">
        <v>1886</v>
      </c>
      <c r="DF152" s="48" t="s">
        <v>4038</v>
      </c>
      <c r="DG152" s="48" t="s">
        <v>2071</v>
      </c>
      <c r="DH152" s="48" t="s">
        <v>1712</v>
      </c>
      <c r="DI152" s="48" t="s">
        <v>1710</v>
      </c>
      <c r="DJ152" s="48" t="s">
        <v>1710</v>
      </c>
      <c r="DK152" s="48" t="s">
        <v>1710</v>
      </c>
      <c r="DL152" s="48" t="s">
        <v>1710</v>
      </c>
      <c r="DM152" s="48" t="s">
        <v>1710</v>
      </c>
      <c r="DN152" s="48" t="s">
        <v>1710</v>
      </c>
      <c r="DO152" s="48" t="s">
        <v>1710</v>
      </c>
      <c r="DP152" s="48" t="s">
        <v>1710</v>
      </c>
      <c r="DQ152" s="48" t="s">
        <v>1710</v>
      </c>
      <c r="DR152" s="48" t="s">
        <v>2072</v>
      </c>
      <c r="DS152" s="48" t="s">
        <v>1710</v>
      </c>
      <c r="DT152" s="48" t="s">
        <v>1710</v>
      </c>
      <c r="DU152" s="48" t="s">
        <v>2547</v>
      </c>
      <c r="DV152" s="48" t="s">
        <v>3111</v>
      </c>
      <c r="DW152" s="48" t="s">
        <v>1710</v>
      </c>
      <c r="DX152" s="48" t="s">
        <v>4039</v>
      </c>
      <c r="DY152" s="48" t="s">
        <v>1709</v>
      </c>
      <c r="DZ152" s="48" t="s">
        <v>2562</v>
      </c>
      <c r="EA152" s="48" t="s">
        <v>2546</v>
      </c>
      <c r="EB152">
        <v>0</v>
      </c>
      <c r="EC152" s="48" t="s">
        <v>2547</v>
      </c>
      <c r="ED152" s="48" t="s">
        <v>4040</v>
      </c>
      <c r="EE152" s="48" t="s">
        <v>1814</v>
      </c>
      <c r="EF152" s="48" t="s">
        <v>4041</v>
      </c>
      <c r="EG152" s="48" t="s">
        <v>4037</v>
      </c>
      <c r="EH152">
        <v>3.0000000000000001E-3</v>
      </c>
      <c r="EI152" s="48" t="s">
        <v>1888</v>
      </c>
      <c r="EJ152">
        <v>1</v>
      </c>
      <c r="EK152" s="48" t="s">
        <v>1887</v>
      </c>
      <c r="EL152">
        <v>1</v>
      </c>
      <c r="EM152" s="48" t="s">
        <v>1886</v>
      </c>
      <c r="EN152">
        <v>3.0000000000000001E-3</v>
      </c>
      <c r="EO152" s="48" t="s">
        <v>4042</v>
      </c>
      <c r="EP152" s="48" t="s">
        <v>4043</v>
      </c>
      <c r="EQ152">
        <v>644</v>
      </c>
      <c r="ER152">
        <v>644</v>
      </c>
      <c r="ES152">
        <v>927650</v>
      </c>
      <c r="ET152">
        <v>630</v>
      </c>
      <c r="EU152" s="48" t="s">
        <v>1710</v>
      </c>
      <c r="EV152" s="48" t="s">
        <v>1710</v>
      </c>
      <c r="EW152" s="48" t="s">
        <v>1712</v>
      </c>
      <c r="EX152" s="48" t="s">
        <v>1710</v>
      </c>
      <c r="EY152" s="48" t="s">
        <v>1843</v>
      </c>
      <c r="EZ152" s="48" t="s">
        <v>1710</v>
      </c>
      <c r="FA152" s="48" t="s">
        <v>1710</v>
      </c>
      <c r="FB152" s="48" t="s">
        <v>1712</v>
      </c>
      <c r="FC152" s="48" t="s">
        <v>1710</v>
      </c>
      <c r="FD152" s="48" t="s">
        <v>1710</v>
      </c>
      <c r="FE152" s="48" t="s">
        <v>1814</v>
      </c>
      <c r="FF152" s="48" t="s">
        <v>1815</v>
      </c>
      <c r="FG152" s="48" t="s">
        <v>1710</v>
      </c>
      <c r="FH152">
        <v>1</v>
      </c>
      <c r="FI152" s="48" t="s">
        <v>1846</v>
      </c>
      <c r="FJ152">
        <v>644</v>
      </c>
      <c r="FK152">
        <v>644</v>
      </c>
      <c r="FL152" s="48" t="s">
        <v>4044</v>
      </c>
      <c r="FM152" s="48" t="s">
        <v>4043</v>
      </c>
      <c r="FN152" s="48" t="s">
        <v>1710</v>
      </c>
      <c r="FO152" s="48" t="s">
        <v>1710</v>
      </c>
      <c r="FP152" s="48" t="s">
        <v>1710</v>
      </c>
      <c r="FQ152" s="48" t="s">
        <v>1710</v>
      </c>
      <c r="FR152" s="48" t="s">
        <v>1710</v>
      </c>
      <c r="FS152" s="48" t="s">
        <v>1710</v>
      </c>
      <c r="FT152" s="48" t="s">
        <v>1710</v>
      </c>
      <c r="FU152" s="48" t="s">
        <v>1710</v>
      </c>
      <c r="FV152" s="48"/>
      <c r="FW152" s="56"/>
      <c r="FX152" s="56"/>
      <c r="FY152" s="56"/>
      <c r="FZ152" s="56"/>
      <c r="GA152" s="55" t="str">
        <f t="shared" si="8"/>
        <v>4388426300449X</v>
      </c>
      <c r="GB152" t="str">
        <f>VLOOKUP(B152,수출코드!$C$2:$D$4,2,FALSE)</f>
        <v>Suwon</v>
      </c>
      <c r="GC152" t="str">
        <f>VLOOKUP(L152,수출코드!$A$2:$B$6,2,FALSE)</f>
        <v/>
      </c>
      <c r="GD152" t="str">
        <f>VLOOKUP(M152,수출코드!$E$2:$F$5,2,FALSE)</f>
        <v>일반</v>
      </c>
      <c r="GE152" s="61">
        <f t="shared" si="6"/>
        <v>45974.372916666667</v>
      </c>
      <c r="GF152" s="62">
        <f t="shared" si="7"/>
        <v>46051.493750000001</v>
      </c>
      <c r="GI152" s="48" t="s">
        <v>2765</v>
      </c>
    </row>
    <row r="153" spans="1:191">
      <c r="A153" s="48" t="s">
        <v>4045</v>
      </c>
      <c r="B153" s="48" t="s">
        <v>1821</v>
      </c>
      <c r="C153" s="48" t="s">
        <v>2048</v>
      </c>
      <c r="D153" s="48" t="s">
        <v>2813</v>
      </c>
      <c r="E153" s="48" t="s">
        <v>4045</v>
      </c>
      <c r="F153" s="48" t="s">
        <v>1710</v>
      </c>
      <c r="G153" s="48" t="s">
        <v>2814</v>
      </c>
      <c r="H153" s="48" t="s">
        <v>4046</v>
      </c>
      <c r="I153" s="48" t="s">
        <v>1884</v>
      </c>
      <c r="J153" s="48" t="s">
        <v>3111</v>
      </c>
      <c r="K153" s="48" t="s">
        <v>1877</v>
      </c>
      <c r="L153" s="48" t="s">
        <v>1842</v>
      </c>
      <c r="M153" s="48" t="s">
        <v>1810</v>
      </c>
      <c r="N153" s="48" t="s">
        <v>1842</v>
      </c>
      <c r="O153" s="48" t="s">
        <v>1811</v>
      </c>
      <c r="P153" s="48" t="s">
        <v>2549</v>
      </c>
      <c r="Q153" s="48" t="s">
        <v>2049</v>
      </c>
      <c r="R153" s="48" t="s">
        <v>1838</v>
      </c>
      <c r="S153" s="48" t="s">
        <v>2050</v>
      </c>
      <c r="T153" s="48" t="s">
        <v>1845</v>
      </c>
      <c r="U153" s="48" t="s">
        <v>2049</v>
      </c>
      <c r="V153" s="48" t="s">
        <v>1838</v>
      </c>
      <c r="W153" s="48" t="s">
        <v>2051</v>
      </c>
      <c r="X153" s="48" t="s">
        <v>2052</v>
      </c>
      <c r="Y153" s="48" t="s">
        <v>2050</v>
      </c>
      <c r="Z153" s="48" t="s">
        <v>2053</v>
      </c>
      <c r="AA153" s="48" t="s">
        <v>2054</v>
      </c>
      <c r="AB153" s="48" t="s">
        <v>2817</v>
      </c>
      <c r="AC153" s="48" t="s">
        <v>2055</v>
      </c>
      <c r="AD153" s="48" t="s">
        <v>2056</v>
      </c>
      <c r="AE153" s="48" t="s">
        <v>1710</v>
      </c>
      <c r="AF153" s="48" t="s">
        <v>1710</v>
      </c>
      <c r="AG153" s="48" t="s">
        <v>2057</v>
      </c>
      <c r="AH153" s="48" t="s">
        <v>1815</v>
      </c>
      <c r="AI153" s="48" t="s">
        <v>2058</v>
      </c>
      <c r="AJ153" s="48" t="s">
        <v>1710</v>
      </c>
      <c r="AK153" s="48" t="s">
        <v>2087</v>
      </c>
      <c r="AL153" s="48" t="s">
        <v>2088</v>
      </c>
      <c r="AM153" s="48" t="s">
        <v>1816</v>
      </c>
      <c r="AN153" s="48" t="s">
        <v>2054</v>
      </c>
      <c r="AO153" s="48" t="s">
        <v>1710</v>
      </c>
      <c r="AP153" s="48" t="s">
        <v>1853</v>
      </c>
      <c r="AQ153" s="48" t="s">
        <v>2086</v>
      </c>
      <c r="AR153" s="48" t="s">
        <v>1812</v>
      </c>
      <c r="AS153" s="48" t="s">
        <v>1813</v>
      </c>
      <c r="AT153" s="48" t="s">
        <v>1826</v>
      </c>
      <c r="AU153" s="48" t="s">
        <v>2061</v>
      </c>
      <c r="AV153" s="48" t="s">
        <v>3111</v>
      </c>
      <c r="AW153" s="48" t="s">
        <v>2062</v>
      </c>
      <c r="AX153" s="48" t="s">
        <v>2063</v>
      </c>
      <c r="AY153" s="48" t="s">
        <v>1710</v>
      </c>
      <c r="AZ153" s="48" t="s">
        <v>4047</v>
      </c>
      <c r="BA153" s="48" t="s">
        <v>1710</v>
      </c>
      <c r="BB153" s="48" t="s">
        <v>1709</v>
      </c>
      <c r="BC153" s="48" t="s">
        <v>1710</v>
      </c>
      <c r="BD153" s="48" t="s">
        <v>2089</v>
      </c>
      <c r="BE153" s="52" t="s">
        <v>4000</v>
      </c>
      <c r="BF153" s="48" t="s">
        <v>1710</v>
      </c>
      <c r="BG153" s="48" t="s">
        <v>1814</v>
      </c>
      <c r="BH153">
        <v>1</v>
      </c>
      <c r="BI153" s="48" t="s">
        <v>1888</v>
      </c>
      <c r="BJ153">
        <v>1</v>
      </c>
      <c r="BK153">
        <v>1473.06</v>
      </c>
      <c r="BL153">
        <v>178128</v>
      </c>
      <c r="BM153">
        <v>121</v>
      </c>
      <c r="BN153" s="48" t="s">
        <v>2064</v>
      </c>
      <c r="BO153" s="48" t="s">
        <v>2065</v>
      </c>
      <c r="BP153">
        <v>1473.06</v>
      </c>
      <c r="BQ153">
        <v>135.18</v>
      </c>
      <c r="BR153" s="48" t="s">
        <v>1885</v>
      </c>
      <c r="BS153" s="48" t="s">
        <v>2066</v>
      </c>
      <c r="BT153">
        <v>1</v>
      </c>
      <c r="BU153">
        <v>21000</v>
      </c>
      <c r="BV153">
        <v>21000</v>
      </c>
      <c r="BW153" s="48" t="s">
        <v>2065</v>
      </c>
      <c r="BX153">
        <v>1473.06</v>
      </c>
      <c r="BY153">
        <v>0</v>
      </c>
      <c r="BZ153">
        <v>0</v>
      </c>
      <c r="CA153" s="48" t="s">
        <v>2065</v>
      </c>
      <c r="CB153">
        <v>1473.06</v>
      </c>
      <c r="CC153">
        <v>0</v>
      </c>
      <c r="CD153">
        <v>0</v>
      </c>
      <c r="CE153" s="48" t="s">
        <v>1710</v>
      </c>
      <c r="CF153" s="48" t="s">
        <v>1710</v>
      </c>
      <c r="CG153" s="48" t="s">
        <v>1710</v>
      </c>
      <c r="CH153" s="48" t="s">
        <v>1710</v>
      </c>
      <c r="CI153" s="48" t="s">
        <v>2067</v>
      </c>
      <c r="CJ153" s="48" t="s">
        <v>1710</v>
      </c>
      <c r="CL153" s="48" t="s">
        <v>3111</v>
      </c>
      <c r="CM153" s="48" t="s">
        <v>1710</v>
      </c>
      <c r="CN153" s="48" t="s">
        <v>2068</v>
      </c>
      <c r="CO153" s="48" t="s">
        <v>2069</v>
      </c>
      <c r="CP153" s="48" t="s">
        <v>1710</v>
      </c>
      <c r="CQ153" s="48" t="s">
        <v>1710</v>
      </c>
      <c r="CR153" s="48" t="s">
        <v>1710</v>
      </c>
      <c r="CS153" s="48" t="s">
        <v>1710</v>
      </c>
      <c r="CT153" s="48" t="s">
        <v>1710</v>
      </c>
      <c r="CU153" s="48" t="s">
        <v>1712</v>
      </c>
      <c r="CV153" s="48" t="s">
        <v>1710</v>
      </c>
      <c r="CW153" s="48" t="s">
        <v>1710</v>
      </c>
      <c r="CX153" s="48" t="s">
        <v>3167</v>
      </c>
      <c r="CY153" s="48" t="s">
        <v>1710</v>
      </c>
      <c r="CZ153" s="48" t="s">
        <v>1712</v>
      </c>
      <c r="DA153" s="48" t="s">
        <v>1710</v>
      </c>
      <c r="DB153" s="48" t="s">
        <v>1878</v>
      </c>
      <c r="DC153" s="48" t="s">
        <v>2070</v>
      </c>
      <c r="DD153" s="48" t="s">
        <v>1842</v>
      </c>
      <c r="DE153" s="48" t="s">
        <v>1886</v>
      </c>
      <c r="DF153" s="48" t="s">
        <v>4048</v>
      </c>
      <c r="DG153" s="48" t="s">
        <v>2071</v>
      </c>
      <c r="DH153" s="48" t="s">
        <v>1712</v>
      </c>
      <c r="DI153" s="48" t="s">
        <v>1710</v>
      </c>
      <c r="DJ153" s="48" t="s">
        <v>1710</v>
      </c>
      <c r="DK153" s="48" t="s">
        <v>1710</v>
      </c>
      <c r="DL153" s="48" t="s">
        <v>1710</v>
      </c>
      <c r="DM153" s="48" t="s">
        <v>1710</v>
      </c>
      <c r="DN153" s="48" t="s">
        <v>1710</v>
      </c>
      <c r="DO153" s="48" t="s">
        <v>1710</v>
      </c>
      <c r="DP153" s="48" t="s">
        <v>1710</v>
      </c>
      <c r="DQ153" s="48" t="s">
        <v>1710</v>
      </c>
      <c r="DR153" s="48" t="s">
        <v>2072</v>
      </c>
      <c r="DS153" s="48" t="s">
        <v>1710</v>
      </c>
      <c r="DT153" s="48" t="s">
        <v>1710</v>
      </c>
      <c r="DU153" s="48" t="s">
        <v>2547</v>
      </c>
      <c r="DV153" s="48" t="s">
        <v>3111</v>
      </c>
      <c r="DW153" s="48" t="s">
        <v>1710</v>
      </c>
      <c r="DX153" s="48" t="s">
        <v>4049</v>
      </c>
      <c r="DY153" s="48" t="s">
        <v>1709</v>
      </c>
      <c r="DZ153" s="48" t="s">
        <v>2562</v>
      </c>
      <c r="EA153" s="48" t="s">
        <v>2546</v>
      </c>
      <c r="EB153">
        <v>0</v>
      </c>
      <c r="EC153" s="48" t="s">
        <v>2547</v>
      </c>
      <c r="ED153" s="48" t="s">
        <v>4050</v>
      </c>
      <c r="EE153" s="48" t="s">
        <v>1814</v>
      </c>
      <c r="EF153" s="48" t="s">
        <v>1859</v>
      </c>
      <c r="EG153" s="48" t="s">
        <v>4047</v>
      </c>
      <c r="EH153">
        <v>8.7999999999999995E-2</v>
      </c>
      <c r="EI153" s="48" t="s">
        <v>1888</v>
      </c>
      <c r="EJ153">
        <v>0</v>
      </c>
      <c r="EK153" s="48" t="s">
        <v>1710</v>
      </c>
      <c r="EL153">
        <v>1</v>
      </c>
      <c r="EM153" s="48" t="s">
        <v>1886</v>
      </c>
      <c r="EN153">
        <v>8.7999999999999995E-2</v>
      </c>
      <c r="EO153" s="48" t="s">
        <v>2602</v>
      </c>
      <c r="EP153" s="48" t="s">
        <v>2584</v>
      </c>
      <c r="EQ153">
        <v>135.18</v>
      </c>
      <c r="ER153">
        <v>135.18</v>
      </c>
      <c r="ES153">
        <v>178128</v>
      </c>
      <c r="ET153">
        <v>121</v>
      </c>
      <c r="EU153" s="48" t="s">
        <v>1710</v>
      </c>
      <c r="EV153" s="48" t="s">
        <v>1710</v>
      </c>
      <c r="EW153" s="48" t="s">
        <v>1712</v>
      </c>
      <c r="EX153" s="48" t="s">
        <v>1710</v>
      </c>
      <c r="EY153" s="48" t="s">
        <v>1848</v>
      </c>
      <c r="EZ153" s="48" t="s">
        <v>1710</v>
      </c>
      <c r="FA153" s="48" t="s">
        <v>1710</v>
      </c>
      <c r="FB153" s="48" t="s">
        <v>1712</v>
      </c>
      <c r="FC153" s="48" t="s">
        <v>1710</v>
      </c>
      <c r="FD153" s="48" t="s">
        <v>1710</v>
      </c>
      <c r="FE153" s="48" t="s">
        <v>1814</v>
      </c>
      <c r="FF153" s="48" t="s">
        <v>1815</v>
      </c>
      <c r="FG153" s="48" t="s">
        <v>1710</v>
      </c>
      <c r="FH153">
        <v>2</v>
      </c>
      <c r="FI153" s="48" t="s">
        <v>1846</v>
      </c>
      <c r="FJ153">
        <v>67.59</v>
      </c>
      <c r="FK153">
        <v>33.795000000000002</v>
      </c>
      <c r="FL153" s="48" t="s">
        <v>4051</v>
      </c>
      <c r="FM153" s="48" t="s">
        <v>2584</v>
      </c>
      <c r="FN153" s="48" t="s">
        <v>1710</v>
      </c>
      <c r="FO153" s="48" t="s">
        <v>1710</v>
      </c>
      <c r="FP153" s="48" t="s">
        <v>1710</v>
      </c>
      <c r="FQ153" s="48" t="s">
        <v>1710</v>
      </c>
      <c r="FR153" s="48" t="s">
        <v>1710</v>
      </c>
      <c r="FS153" s="48" t="s">
        <v>1710</v>
      </c>
      <c r="FT153" s="48" t="s">
        <v>1710</v>
      </c>
      <c r="FU153" s="48" t="s">
        <v>1710</v>
      </c>
      <c r="FV153" s="48"/>
      <c r="FW153" s="56"/>
      <c r="FX153" s="56"/>
      <c r="FY153" s="56"/>
      <c r="FZ153" s="56"/>
      <c r="GA153" s="55" t="str">
        <f t="shared" si="8"/>
        <v>4388426300450X</v>
      </c>
      <c r="GB153" t="str">
        <f>VLOOKUP(B153,수출코드!$C$2:$D$4,2,FALSE)</f>
        <v>Suwon</v>
      </c>
      <c r="GC153" t="str">
        <f>VLOOKUP(L153,수출코드!$A$2:$B$6,2,FALSE)</f>
        <v/>
      </c>
      <c r="GD153" t="str">
        <f>VLOOKUP(M153,수출코드!$E$2:$F$5,2,FALSE)</f>
        <v>일반</v>
      </c>
      <c r="GE153" s="61">
        <f t="shared" si="6"/>
        <v>45974.388194444444</v>
      </c>
      <c r="GF153" s="62">
        <f t="shared" si="7"/>
        <v>46051.489583333336</v>
      </c>
      <c r="GI153" s="48" t="s">
        <v>2766</v>
      </c>
    </row>
    <row r="154" spans="1:191">
      <c r="A154" s="48" t="s">
        <v>4052</v>
      </c>
      <c r="B154" s="48" t="s">
        <v>1821</v>
      </c>
      <c r="C154" s="48" t="s">
        <v>2048</v>
      </c>
      <c r="D154" s="48" t="s">
        <v>2813</v>
      </c>
      <c r="E154" s="48" t="s">
        <v>4052</v>
      </c>
      <c r="F154" s="48" t="s">
        <v>1710</v>
      </c>
      <c r="G154" s="48" t="s">
        <v>2814</v>
      </c>
      <c r="H154" s="48" t="s">
        <v>4053</v>
      </c>
      <c r="I154" s="48" t="s">
        <v>1884</v>
      </c>
      <c r="J154" s="48" t="s">
        <v>3111</v>
      </c>
      <c r="K154" s="48" t="s">
        <v>1877</v>
      </c>
      <c r="L154" s="48" t="s">
        <v>1842</v>
      </c>
      <c r="M154" s="48" t="s">
        <v>1810</v>
      </c>
      <c r="N154" s="48" t="s">
        <v>1842</v>
      </c>
      <c r="O154" s="48" t="s">
        <v>1811</v>
      </c>
      <c r="P154" s="48" t="s">
        <v>2549</v>
      </c>
      <c r="Q154" s="48" t="s">
        <v>2049</v>
      </c>
      <c r="R154" s="48" t="s">
        <v>1838</v>
      </c>
      <c r="S154" s="48" t="s">
        <v>2050</v>
      </c>
      <c r="T154" s="48" t="s">
        <v>1845</v>
      </c>
      <c r="U154" s="48" t="s">
        <v>2049</v>
      </c>
      <c r="V154" s="48" t="s">
        <v>1838</v>
      </c>
      <c r="W154" s="48" t="s">
        <v>2051</v>
      </c>
      <c r="X154" s="48" t="s">
        <v>2052</v>
      </c>
      <c r="Y154" s="48" t="s">
        <v>2050</v>
      </c>
      <c r="Z154" s="48" t="s">
        <v>2053</v>
      </c>
      <c r="AA154" s="48" t="s">
        <v>2054</v>
      </c>
      <c r="AB154" s="48" t="s">
        <v>2817</v>
      </c>
      <c r="AC154" s="48" t="s">
        <v>2055</v>
      </c>
      <c r="AD154" s="48" t="s">
        <v>2056</v>
      </c>
      <c r="AE154" s="48" t="s">
        <v>1710</v>
      </c>
      <c r="AF154" s="48" t="s">
        <v>1710</v>
      </c>
      <c r="AG154" s="48" t="s">
        <v>2057</v>
      </c>
      <c r="AH154" s="48" t="s">
        <v>1815</v>
      </c>
      <c r="AI154" s="48" t="s">
        <v>2058</v>
      </c>
      <c r="AJ154" s="48" t="s">
        <v>1710</v>
      </c>
      <c r="AK154" s="48" t="s">
        <v>2100</v>
      </c>
      <c r="AL154" s="48" t="s">
        <v>2101</v>
      </c>
      <c r="AM154" s="48" t="s">
        <v>1816</v>
      </c>
      <c r="AN154" s="48" t="s">
        <v>2054</v>
      </c>
      <c r="AO154" s="48" t="s">
        <v>1710</v>
      </c>
      <c r="AP154" s="48" t="s">
        <v>1874</v>
      </c>
      <c r="AQ154" s="48" t="s">
        <v>2078</v>
      </c>
      <c r="AR154" s="48" t="s">
        <v>1812</v>
      </c>
      <c r="AS154" s="48" t="s">
        <v>1813</v>
      </c>
      <c r="AT154" s="48" t="s">
        <v>1826</v>
      </c>
      <c r="AU154" s="48" t="s">
        <v>2061</v>
      </c>
      <c r="AV154" s="48" t="s">
        <v>3111</v>
      </c>
      <c r="AW154" s="48" t="s">
        <v>2062</v>
      </c>
      <c r="AX154" s="48" t="s">
        <v>2063</v>
      </c>
      <c r="AY154" s="48" t="s">
        <v>1710</v>
      </c>
      <c r="AZ154" s="48" t="s">
        <v>4054</v>
      </c>
      <c r="BA154" s="48" t="s">
        <v>1710</v>
      </c>
      <c r="BB154" s="48" t="s">
        <v>1709</v>
      </c>
      <c r="BC154" s="48" t="s">
        <v>1710</v>
      </c>
      <c r="BD154" s="48" t="s">
        <v>2089</v>
      </c>
      <c r="BE154" s="52" t="s">
        <v>4000</v>
      </c>
      <c r="BF154" s="48" t="s">
        <v>1710</v>
      </c>
      <c r="BG154" s="48" t="s">
        <v>1817</v>
      </c>
      <c r="BH154">
        <v>4</v>
      </c>
      <c r="BI154" s="48" t="s">
        <v>1888</v>
      </c>
      <c r="BJ154">
        <v>1</v>
      </c>
      <c r="BK154">
        <v>1473.06</v>
      </c>
      <c r="BL154">
        <v>848315</v>
      </c>
      <c r="BM154">
        <v>576</v>
      </c>
      <c r="BN154" s="48" t="s">
        <v>2064</v>
      </c>
      <c r="BO154" s="48" t="s">
        <v>2065</v>
      </c>
      <c r="BP154">
        <v>1473.06</v>
      </c>
      <c r="BQ154">
        <v>602.77</v>
      </c>
      <c r="BR154" s="48" t="s">
        <v>1885</v>
      </c>
      <c r="BS154" s="48" t="s">
        <v>2066</v>
      </c>
      <c r="BT154">
        <v>1</v>
      </c>
      <c r="BU154">
        <v>39600</v>
      </c>
      <c r="BV154">
        <v>39600</v>
      </c>
      <c r="BW154" s="48" t="s">
        <v>2065</v>
      </c>
      <c r="BX154">
        <v>1473.06</v>
      </c>
      <c r="BY154">
        <v>0</v>
      </c>
      <c r="BZ154">
        <v>0</v>
      </c>
      <c r="CA154" s="48" t="s">
        <v>2065</v>
      </c>
      <c r="CB154">
        <v>1473.06</v>
      </c>
      <c r="CC154">
        <v>0</v>
      </c>
      <c r="CD154">
        <v>0</v>
      </c>
      <c r="CE154" s="48" t="s">
        <v>1710</v>
      </c>
      <c r="CF154" s="48" t="s">
        <v>1710</v>
      </c>
      <c r="CG154" s="48" t="s">
        <v>1710</v>
      </c>
      <c r="CH154" s="48" t="s">
        <v>1710</v>
      </c>
      <c r="CI154" s="48" t="s">
        <v>2067</v>
      </c>
      <c r="CJ154" s="48" t="s">
        <v>1710</v>
      </c>
      <c r="CL154" s="48" t="s">
        <v>3111</v>
      </c>
      <c r="CM154" s="48" t="s">
        <v>1710</v>
      </c>
      <c r="CN154" s="48" t="s">
        <v>2068</v>
      </c>
      <c r="CO154" s="48" t="s">
        <v>2069</v>
      </c>
      <c r="CP154" s="48" t="s">
        <v>1710</v>
      </c>
      <c r="CQ154" s="48" t="s">
        <v>1710</v>
      </c>
      <c r="CR154" s="48" t="s">
        <v>1710</v>
      </c>
      <c r="CS154" s="48" t="s">
        <v>1710</v>
      </c>
      <c r="CT154" s="48" t="s">
        <v>1710</v>
      </c>
      <c r="CU154" s="48" t="s">
        <v>1712</v>
      </c>
      <c r="CV154" s="48" t="s">
        <v>1710</v>
      </c>
      <c r="CW154" s="48" t="s">
        <v>1710</v>
      </c>
      <c r="CX154" s="48" t="s">
        <v>3167</v>
      </c>
      <c r="CY154" s="48" t="s">
        <v>1710</v>
      </c>
      <c r="CZ154" s="48" t="s">
        <v>1712</v>
      </c>
      <c r="DA154" s="48" t="s">
        <v>1710</v>
      </c>
      <c r="DB154" s="48" t="s">
        <v>1878</v>
      </c>
      <c r="DC154" s="48" t="s">
        <v>2070</v>
      </c>
      <c r="DD154" s="48" t="s">
        <v>1842</v>
      </c>
      <c r="DE154" s="48" t="s">
        <v>1886</v>
      </c>
      <c r="DF154" s="48" t="s">
        <v>4055</v>
      </c>
      <c r="DG154" s="48" t="s">
        <v>2071</v>
      </c>
      <c r="DH154" s="48" t="s">
        <v>1712</v>
      </c>
      <c r="DI154" s="48" t="s">
        <v>1710</v>
      </c>
      <c r="DJ154" s="48" t="s">
        <v>1710</v>
      </c>
      <c r="DK154" s="48" t="s">
        <v>1710</v>
      </c>
      <c r="DL154" s="48" t="s">
        <v>1710</v>
      </c>
      <c r="DM154" s="48" t="s">
        <v>1710</v>
      </c>
      <c r="DN154" s="48" t="s">
        <v>1710</v>
      </c>
      <c r="DO154" s="48" t="s">
        <v>1710</v>
      </c>
      <c r="DP154" s="48" t="s">
        <v>1710</v>
      </c>
      <c r="DQ154" s="48" t="s">
        <v>1710</v>
      </c>
      <c r="DR154" s="48" t="s">
        <v>2072</v>
      </c>
      <c r="DS154" s="48" t="s">
        <v>1710</v>
      </c>
      <c r="DT154" s="48" t="s">
        <v>1710</v>
      </c>
      <c r="DU154" s="48" t="s">
        <v>2547</v>
      </c>
      <c r="DV154" s="48" t="s">
        <v>3111</v>
      </c>
      <c r="DW154" s="48" t="s">
        <v>1710</v>
      </c>
      <c r="DX154" s="48" t="s">
        <v>4056</v>
      </c>
      <c r="DY154" s="48" t="s">
        <v>1709</v>
      </c>
      <c r="DZ154" s="48" t="s">
        <v>2562</v>
      </c>
      <c r="EA154" s="48" t="s">
        <v>2546</v>
      </c>
      <c r="EB154">
        <v>0</v>
      </c>
      <c r="EC154" s="48" t="s">
        <v>2547</v>
      </c>
      <c r="ED154" s="48" t="s">
        <v>4050</v>
      </c>
      <c r="EE154" s="48" t="s">
        <v>1814</v>
      </c>
      <c r="EF154" s="48" t="s">
        <v>3907</v>
      </c>
      <c r="EG154" s="48" t="s">
        <v>4054</v>
      </c>
      <c r="EH154">
        <v>2</v>
      </c>
      <c r="EI154" s="48" t="s">
        <v>1888</v>
      </c>
      <c r="EJ154">
        <v>0</v>
      </c>
      <c r="EK154" s="48" t="s">
        <v>1710</v>
      </c>
      <c r="EL154">
        <v>1</v>
      </c>
      <c r="EM154" s="48" t="s">
        <v>1886</v>
      </c>
      <c r="EN154">
        <v>2</v>
      </c>
      <c r="EO154" s="48" t="s">
        <v>3908</v>
      </c>
      <c r="EP154" s="48" t="s">
        <v>4057</v>
      </c>
      <c r="EQ154">
        <v>202.71</v>
      </c>
      <c r="ER154">
        <v>202.71</v>
      </c>
      <c r="ES154">
        <v>285286</v>
      </c>
      <c r="ET154">
        <v>194</v>
      </c>
      <c r="EU154" s="48" t="s">
        <v>1710</v>
      </c>
      <c r="EV154" s="48" t="s">
        <v>1710</v>
      </c>
      <c r="EW154" s="48" t="s">
        <v>1712</v>
      </c>
      <c r="EX154" s="48" t="s">
        <v>1710</v>
      </c>
      <c r="EY154" s="48" t="s">
        <v>1853</v>
      </c>
      <c r="EZ154" s="48" t="s">
        <v>1710</v>
      </c>
      <c r="FA154" s="48" t="s">
        <v>1710</v>
      </c>
      <c r="FB154" s="48" t="s">
        <v>1712</v>
      </c>
      <c r="FC154" s="48" t="s">
        <v>1710</v>
      </c>
      <c r="FD154" s="48" t="s">
        <v>1710</v>
      </c>
      <c r="FE154" s="48" t="s">
        <v>1814</v>
      </c>
      <c r="FF154" s="48" t="s">
        <v>1815</v>
      </c>
      <c r="FG154" s="48" t="s">
        <v>1710</v>
      </c>
      <c r="FH154">
        <v>1</v>
      </c>
      <c r="FI154" s="48" t="s">
        <v>1846</v>
      </c>
      <c r="FJ154">
        <v>202.71</v>
      </c>
      <c r="FK154">
        <v>202.71</v>
      </c>
      <c r="FL154" s="48" t="s">
        <v>4058</v>
      </c>
      <c r="FM154" s="48" t="s">
        <v>4057</v>
      </c>
      <c r="FN154" s="48" t="s">
        <v>1710</v>
      </c>
      <c r="FO154" s="48" t="s">
        <v>1710</v>
      </c>
      <c r="FP154" s="48" t="s">
        <v>1710</v>
      </c>
      <c r="FQ154" s="48" t="s">
        <v>1710</v>
      </c>
      <c r="FR154" s="48" t="s">
        <v>1710</v>
      </c>
      <c r="FS154" s="48" t="s">
        <v>1710</v>
      </c>
      <c r="FT154" s="48" t="s">
        <v>1710</v>
      </c>
      <c r="FU154" s="48" t="s">
        <v>1710</v>
      </c>
      <c r="FV154" s="48"/>
      <c r="FW154" s="56"/>
      <c r="FX154" s="56"/>
      <c r="FY154" s="56"/>
      <c r="FZ154" s="56"/>
      <c r="GA154" s="55" t="str">
        <f t="shared" si="8"/>
        <v>4388426300451X</v>
      </c>
      <c r="GB154" t="str">
        <f>VLOOKUP(B154,수출코드!$C$2:$D$4,2,FALSE)</f>
        <v>Suwon</v>
      </c>
      <c r="GC154" t="str">
        <f>VLOOKUP(L154,수출코드!$A$2:$B$6,2,FALSE)</f>
        <v/>
      </c>
      <c r="GD154" t="str">
        <f>VLOOKUP(M154,수출코드!$E$2:$F$5,2,FALSE)</f>
        <v>일반</v>
      </c>
      <c r="GE154" s="61">
        <f t="shared" si="6"/>
        <v>45974.383333333331</v>
      </c>
      <c r="GF154" s="62">
        <f t="shared" si="7"/>
        <v>46051.489583333336</v>
      </c>
      <c r="GI154" s="48" t="s">
        <v>2767</v>
      </c>
    </row>
    <row r="155" spans="1:191">
      <c r="A155" s="48" t="s">
        <v>4059</v>
      </c>
      <c r="B155" s="48" t="s">
        <v>1821</v>
      </c>
      <c r="C155" s="48" t="s">
        <v>2048</v>
      </c>
      <c r="D155" s="48" t="s">
        <v>2813</v>
      </c>
      <c r="E155" s="48" t="s">
        <v>4059</v>
      </c>
      <c r="F155" s="48" t="s">
        <v>1710</v>
      </c>
      <c r="G155" s="48" t="s">
        <v>2814</v>
      </c>
      <c r="H155" s="48" t="s">
        <v>4060</v>
      </c>
      <c r="I155" s="48" t="s">
        <v>1884</v>
      </c>
      <c r="J155" s="48" t="s">
        <v>3111</v>
      </c>
      <c r="K155" s="48" t="s">
        <v>1877</v>
      </c>
      <c r="L155" s="48" t="s">
        <v>1842</v>
      </c>
      <c r="M155" s="48" t="s">
        <v>1810</v>
      </c>
      <c r="N155" s="48" t="s">
        <v>1842</v>
      </c>
      <c r="O155" s="48" t="s">
        <v>1811</v>
      </c>
      <c r="P155" s="48" t="s">
        <v>2549</v>
      </c>
      <c r="Q155" s="48" t="s">
        <v>2049</v>
      </c>
      <c r="R155" s="48" t="s">
        <v>1838</v>
      </c>
      <c r="S155" s="48" t="s">
        <v>2050</v>
      </c>
      <c r="T155" s="48" t="s">
        <v>1845</v>
      </c>
      <c r="U155" s="48" t="s">
        <v>2049</v>
      </c>
      <c r="V155" s="48" t="s">
        <v>1838</v>
      </c>
      <c r="W155" s="48" t="s">
        <v>2051</v>
      </c>
      <c r="X155" s="48" t="s">
        <v>2052</v>
      </c>
      <c r="Y155" s="48" t="s">
        <v>2050</v>
      </c>
      <c r="Z155" s="48" t="s">
        <v>2053</v>
      </c>
      <c r="AA155" s="48" t="s">
        <v>2054</v>
      </c>
      <c r="AB155" s="48" t="s">
        <v>2817</v>
      </c>
      <c r="AC155" s="48" t="s">
        <v>2055</v>
      </c>
      <c r="AD155" s="48" t="s">
        <v>2056</v>
      </c>
      <c r="AE155" s="48" t="s">
        <v>1710</v>
      </c>
      <c r="AF155" s="48" t="s">
        <v>1710</v>
      </c>
      <c r="AG155" s="48" t="s">
        <v>2057</v>
      </c>
      <c r="AH155" s="48" t="s">
        <v>1815</v>
      </c>
      <c r="AI155" s="48" t="s">
        <v>2058</v>
      </c>
      <c r="AJ155" s="48" t="s">
        <v>1710</v>
      </c>
      <c r="AK155" s="48" t="s">
        <v>2560</v>
      </c>
      <c r="AL155" s="48" t="s">
        <v>2561</v>
      </c>
      <c r="AM155" s="48" t="s">
        <v>1816</v>
      </c>
      <c r="AN155" s="48" t="s">
        <v>2054</v>
      </c>
      <c r="AO155" s="48" t="s">
        <v>1710</v>
      </c>
      <c r="AP155" s="48" t="s">
        <v>1855</v>
      </c>
      <c r="AQ155" s="48" t="s">
        <v>2076</v>
      </c>
      <c r="AR155" s="48" t="s">
        <v>1812</v>
      </c>
      <c r="AS155" s="48" t="s">
        <v>1813</v>
      </c>
      <c r="AT155" s="48" t="s">
        <v>1826</v>
      </c>
      <c r="AU155" s="48" t="s">
        <v>2061</v>
      </c>
      <c r="AV155" s="48" t="s">
        <v>3111</v>
      </c>
      <c r="AW155" s="48" t="s">
        <v>2062</v>
      </c>
      <c r="AX155" s="48" t="s">
        <v>2063</v>
      </c>
      <c r="AY155" s="48" t="s">
        <v>1710</v>
      </c>
      <c r="AZ155" s="48" t="s">
        <v>4061</v>
      </c>
      <c r="BA155" s="48" t="s">
        <v>1710</v>
      </c>
      <c r="BB155" s="48" t="s">
        <v>1709</v>
      </c>
      <c r="BC155" s="48" t="s">
        <v>1710</v>
      </c>
      <c r="BD155" s="48" t="s">
        <v>2089</v>
      </c>
      <c r="BE155" s="52" t="s">
        <v>4000</v>
      </c>
      <c r="BF155" s="48" t="s">
        <v>1710</v>
      </c>
      <c r="BG155" s="48" t="s">
        <v>1814</v>
      </c>
      <c r="BH155">
        <v>2</v>
      </c>
      <c r="BI155" s="48" t="s">
        <v>1888</v>
      </c>
      <c r="BJ155">
        <v>1</v>
      </c>
      <c r="BK155">
        <v>1473.06</v>
      </c>
      <c r="BL155">
        <v>1385820</v>
      </c>
      <c r="BM155">
        <v>941</v>
      </c>
      <c r="BN155" s="48" t="s">
        <v>2064</v>
      </c>
      <c r="BO155" s="48" t="s">
        <v>2065</v>
      </c>
      <c r="BP155">
        <v>1473.06</v>
      </c>
      <c r="BQ155">
        <v>958.02</v>
      </c>
      <c r="BR155" s="48" t="s">
        <v>1885</v>
      </c>
      <c r="BS155" s="48" t="s">
        <v>2066</v>
      </c>
      <c r="BT155">
        <v>1</v>
      </c>
      <c r="BU155">
        <v>25400</v>
      </c>
      <c r="BV155">
        <v>25400</v>
      </c>
      <c r="BW155" s="48" t="s">
        <v>2065</v>
      </c>
      <c r="BX155">
        <v>1473.06</v>
      </c>
      <c r="BY155">
        <v>0</v>
      </c>
      <c r="BZ155">
        <v>0</v>
      </c>
      <c r="CA155" s="48" t="s">
        <v>2065</v>
      </c>
      <c r="CB155">
        <v>1473.06</v>
      </c>
      <c r="CC155">
        <v>0</v>
      </c>
      <c r="CD155">
        <v>0</v>
      </c>
      <c r="CE155" s="48" t="s">
        <v>1710</v>
      </c>
      <c r="CF155" s="48" t="s">
        <v>1710</v>
      </c>
      <c r="CG155" s="48" t="s">
        <v>1710</v>
      </c>
      <c r="CH155" s="48" t="s">
        <v>1710</v>
      </c>
      <c r="CI155" s="48" t="s">
        <v>2067</v>
      </c>
      <c r="CJ155" s="48" t="s">
        <v>1710</v>
      </c>
      <c r="CL155" s="48" t="s">
        <v>3111</v>
      </c>
      <c r="CM155" s="48" t="s">
        <v>1710</v>
      </c>
      <c r="CN155" s="48" t="s">
        <v>2068</v>
      </c>
      <c r="CO155" s="48" t="s">
        <v>2069</v>
      </c>
      <c r="CP155" s="48" t="s">
        <v>1710</v>
      </c>
      <c r="CQ155" s="48" t="s">
        <v>1710</v>
      </c>
      <c r="CR155" s="48" t="s">
        <v>1710</v>
      </c>
      <c r="CS155" s="48" t="s">
        <v>1710</v>
      </c>
      <c r="CT155" s="48" t="s">
        <v>1710</v>
      </c>
      <c r="CU155" s="48" t="s">
        <v>1712</v>
      </c>
      <c r="CV155" s="48" t="s">
        <v>1710</v>
      </c>
      <c r="CW155" s="48" t="s">
        <v>1710</v>
      </c>
      <c r="CX155" s="48" t="s">
        <v>3167</v>
      </c>
      <c r="CY155" s="48" t="s">
        <v>1710</v>
      </c>
      <c r="CZ155" s="48" t="s">
        <v>1712</v>
      </c>
      <c r="DA155" s="48" t="s">
        <v>1710</v>
      </c>
      <c r="DB155" s="48" t="s">
        <v>1878</v>
      </c>
      <c r="DC155" s="48" t="s">
        <v>2070</v>
      </c>
      <c r="DD155" s="48" t="s">
        <v>1842</v>
      </c>
      <c r="DE155" s="48" t="s">
        <v>1886</v>
      </c>
      <c r="DF155" s="48" t="s">
        <v>4062</v>
      </c>
      <c r="DG155" s="48" t="s">
        <v>2071</v>
      </c>
      <c r="DH155" s="48" t="s">
        <v>1712</v>
      </c>
      <c r="DI155" s="48" t="s">
        <v>1710</v>
      </c>
      <c r="DJ155" s="48" t="s">
        <v>1710</v>
      </c>
      <c r="DK155" s="48" t="s">
        <v>1710</v>
      </c>
      <c r="DL155" s="48" t="s">
        <v>1710</v>
      </c>
      <c r="DM155" s="48" t="s">
        <v>1710</v>
      </c>
      <c r="DN155" s="48" t="s">
        <v>1710</v>
      </c>
      <c r="DO155" s="48" t="s">
        <v>1710</v>
      </c>
      <c r="DP155" s="48" t="s">
        <v>1710</v>
      </c>
      <c r="DQ155" s="48" t="s">
        <v>1710</v>
      </c>
      <c r="DR155" s="48" t="s">
        <v>2072</v>
      </c>
      <c r="DS155" s="48" t="s">
        <v>1710</v>
      </c>
      <c r="DT155" s="48" t="s">
        <v>1710</v>
      </c>
      <c r="DU155" s="48" t="s">
        <v>2547</v>
      </c>
      <c r="DV155" s="48" t="s">
        <v>3111</v>
      </c>
      <c r="DW155" s="48" t="s">
        <v>1710</v>
      </c>
      <c r="DX155" s="48" t="s">
        <v>4063</v>
      </c>
      <c r="DY155" s="48" t="s">
        <v>1709</v>
      </c>
      <c r="DZ155" s="48" t="s">
        <v>2562</v>
      </c>
      <c r="EA155" s="48" t="s">
        <v>2546</v>
      </c>
      <c r="EB155">
        <v>0</v>
      </c>
      <c r="EC155" s="48" t="s">
        <v>2547</v>
      </c>
      <c r="ED155" s="48" t="s">
        <v>4050</v>
      </c>
      <c r="EE155" s="48" t="s">
        <v>1814</v>
      </c>
      <c r="EF155" s="48" t="s">
        <v>1847</v>
      </c>
      <c r="EG155" s="48" t="s">
        <v>4061</v>
      </c>
      <c r="EH155">
        <v>1</v>
      </c>
      <c r="EI155" s="48" t="s">
        <v>1888</v>
      </c>
      <c r="EJ155">
        <v>0</v>
      </c>
      <c r="EK155" s="48" t="s">
        <v>1710</v>
      </c>
      <c r="EL155">
        <v>1</v>
      </c>
      <c r="EM155" s="48" t="s">
        <v>1886</v>
      </c>
      <c r="EN155">
        <v>1</v>
      </c>
      <c r="EO155" s="48" t="s">
        <v>2529</v>
      </c>
      <c r="EP155" s="48" t="s">
        <v>4064</v>
      </c>
      <c r="EQ155">
        <v>958.02</v>
      </c>
      <c r="ER155">
        <v>958.02</v>
      </c>
      <c r="ES155">
        <v>1385820</v>
      </c>
      <c r="ET155">
        <v>941</v>
      </c>
      <c r="EU155" s="48" t="s">
        <v>1710</v>
      </c>
      <c r="EV155" s="48" t="s">
        <v>1710</v>
      </c>
      <c r="EW155" s="48" t="s">
        <v>1712</v>
      </c>
      <c r="EX155" s="48" t="s">
        <v>1710</v>
      </c>
      <c r="EY155" s="48" t="s">
        <v>1848</v>
      </c>
      <c r="EZ155" s="48" t="s">
        <v>1710</v>
      </c>
      <c r="FA155" s="48" t="s">
        <v>1710</v>
      </c>
      <c r="FB155" s="48" t="s">
        <v>1712</v>
      </c>
      <c r="FC155" s="48" t="s">
        <v>1710</v>
      </c>
      <c r="FD155" s="48" t="s">
        <v>1710</v>
      </c>
      <c r="FE155" s="48" t="s">
        <v>1814</v>
      </c>
      <c r="FF155" s="48" t="s">
        <v>1815</v>
      </c>
      <c r="FG155" s="48" t="s">
        <v>1710</v>
      </c>
      <c r="FH155">
        <v>1</v>
      </c>
      <c r="FI155" s="48" t="s">
        <v>1846</v>
      </c>
      <c r="FJ155">
        <v>958.02</v>
      </c>
      <c r="FK155">
        <v>958.02</v>
      </c>
      <c r="FL155" s="48" t="s">
        <v>4065</v>
      </c>
      <c r="FM155" s="48" t="s">
        <v>4064</v>
      </c>
      <c r="FN155" s="48" t="s">
        <v>1710</v>
      </c>
      <c r="FO155" s="48" t="s">
        <v>1710</v>
      </c>
      <c r="FP155" s="48" t="s">
        <v>1710</v>
      </c>
      <c r="FQ155" s="48" t="s">
        <v>1710</v>
      </c>
      <c r="FR155" s="48" t="s">
        <v>1710</v>
      </c>
      <c r="FS155" s="48" t="s">
        <v>1710</v>
      </c>
      <c r="FT155" s="48" t="s">
        <v>1710</v>
      </c>
      <c r="FU155" s="48" t="s">
        <v>1710</v>
      </c>
      <c r="FV155" s="48"/>
      <c r="FW155" s="56"/>
      <c r="FX155" s="56"/>
      <c r="FY155" s="56"/>
      <c r="FZ155" s="56"/>
      <c r="GA155" s="55" t="str">
        <f t="shared" si="8"/>
        <v>4388426300452X</v>
      </c>
      <c r="GB155" t="str">
        <f>VLOOKUP(B155,수출코드!$C$2:$D$4,2,FALSE)</f>
        <v>Suwon</v>
      </c>
      <c r="GC155" t="str">
        <f>VLOOKUP(L155,수출코드!$A$2:$B$6,2,FALSE)</f>
        <v/>
      </c>
      <c r="GD155" t="str">
        <f>VLOOKUP(M155,수출코드!$E$2:$F$5,2,FALSE)</f>
        <v>일반</v>
      </c>
      <c r="GE155" s="61">
        <f t="shared" si="6"/>
        <v>45974.383333333331</v>
      </c>
      <c r="GF155" s="62">
        <f t="shared" si="7"/>
        <v>46051.489583333336</v>
      </c>
      <c r="GI155" s="48" t="s">
        <v>2767</v>
      </c>
    </row>
    <row r="156" spans="1:191">
      <c r="A156" s="48" t="s">
        <v>4066</v>
      </c>
      <c r="B156" s="48" t="s">
        <v>1821</v>
      </c>
      <c r="C156" s="48" t="s">
        <v>2048</v>
      </c>
      <c r="D156" s="48" t="s">
        <v>2813</v>
      </c>
      <c r="E156" s="48" t="s">
        <v>4066</v>
      </c>
      <c r="F156" s="48" t="s">
        <v>1710</v>
      </c>
      <c r="G156" s="48" t="s">
        <v>2814</v>
      </c>
      <c r="H156" s="48" t="s">
        <v>4067</v>
      </c>
      <c r="I156" s="48" t="s">
        <v>1884</v>
      </c>
      <c r="J156" s="48" t="s">
        <v>3111</v>
      </c>
      <c r="K156" s="48" t="s">
        <v>1877</v>
      </c>
      <c r="L156" s="48" t="s">
        <v>1842</v>
      </c>
      <c r="M156" s="48" t="s">
        <v>1810</v>
      </c>
      <c r="N156" s="48" t="s">
        <v>1842</v>
      </c>
      <c r="O156" s="48" t="s">
        <v>1811</v>
      </c>
      <c r="P156" s="48" t="s">
        <v>2549</v>
      </c>
      <c r="Q156" s="48" t="s">
        <v>2049</v>
      </c>
      <c r="R156" s="48" t="s">
        <v>1838</v>
      </c>
      <c r="S156" s="48" t="s">
        <v>2050</v>
      </c>
      <c r="T156" s="48" t="s">
        <v>1845</v>
      </c>
      <c r="U156" s="48" t="s">
        <v>2049</v>
      </c>
      <c r="V156" s="48" t="s">
        <v>1838</v>
      </c>
      <c r="W156" s="48" t="s">
        <v>2051</v>
      </c>
      <c r="X156" s="48" t="s">
        <v>2052</v>
      </c>
      <c r="Y156" s="48" t="s">
        <v>2050</v>
      </c>
      <c r="Z156" s="48" t="s">
        <v>2053</v>
      </c>
      <c r="AA156" s="48" t="s">
        <v>2054</v>
      </c>
      <c r="AB156" s="48" t="s">
        <v>2817</v>
      </c>
      <c r="AC156" s="48" t="s">
        <v>2055</v>
      </c>
      <c r="AD156" s="48" t="s">
        <v>2056</v>
      </c>
      <c r="AE156" s="48" t="s">
        <v>1710</v>
      </c>
      <c r="AF156" s="48" t="s">
        <v>1710</v>
      </c>
      <c r="AG156" s="48" t="s">
        <v>2057</v>
      </c>
      <c r="AH156" s="48" t="s">
        <v>1815</v>
      </c>
      <c r="AI156" s="48" t="s">
        <v>2058</v>
      </c>
      <c r="AJ156" s="48" t="s">
        <v>1710</v>
      </c>
      <c r="AK156" s="48" t="s">
        <v>2563</v>
      </c>
      <c r="AL156" s="48" t="s">
        <v>2564</v>
      </c>
      <c r="AM156" s="48" t="s">
        <v>1816</v>
      </c>
      <c r="AN156" s="48" t="s">
        <v>2054</v>
      </c>
      <c r="AO156" s="48" t="s">
        <v>1710</v>
      </c>
      <c r="AP156" s="48" t="s">
        <v>1855</v>
      </c>
      <c r="AQ156" s="48" t="s">
        <v>2076</v>
      </c>
      <c r="AR156" s="48" t="s">
        <v>1812</v>
      </c>
      <c r="AS156" s="48" t="s">
        <v>1813</v>
      </c>
      <c r="AT156" s="48" t="s">
        <v>1826</v>
      </c>
      <c r="AU156" s="48" t="s">
        <v>2061</v>
      </c>
      <c r="AV156" s="48" t="s">
        <v>3111</v>
      </c>
      <c r="AW156" s="48" t="s">
        <v>2062</v>
      </c>
      <c r="AX156" s="48" t="s">
        <v>2063</v>
      </c>
      <c r="AY156" s="48" t="s">
        <v>1710</v>
      </c>
      <c r="AZ156" s="48" t="s">
        <v>4068</v>
      </c>
      <c r="BA156" s="48" t="s">
        <v>1710</v>
      </c>
      <c r="BB156" s="48" t="s">
        <v>1709</v>
      </c>
      <c r="BC156" s="48" t="s">
        <v>1710</v>
      </c>
      <c r="BD156" s="48" t="s">
        <v>2089</v>
      </c>
      <c r="BE156" s="52" t="s">
        <v>4000</v>
      </c>
      <c r="BF156" s="48" t="s">
        <v>1710</v>
      </c>
      <c r="BG156" s="48" t="s">
        <v>1814</v>
      </c>
      <c r="BH156">
        <v>1</v>
      </c>
      <c r="BI156" s="48" t="s">
        <v>1888</v>
      </c>
      <c r="BJ156">
        <v>1</v>
      </c>
      <c r="BK156">
        <v>1473.06</v>
      </c>
      <c r="BL156">
        <v>316065</v>
      </c>
      <c r="BM156">
        <v>215</v>
      </c>
      <c r="BN156" s="48" t="s">
        <v>2064</v>
      </c>
      <c r="BO156" s="48" t="s">
        <v>2065</v>
      </c>
      <c r="BP156">
        <v>1473.06</v>
      </c>
      <c r="BQ156">
        <v>228.82</v>
      </c>
      <c r="BR156" s="48" t="s">
        <v>1885</v>
      </c>
      <c r="BS156" s="48" t="s">
        <v>2066</v>
      </c>
      <c r="BT156">
        <v>1</v>
      </c>
      <c r="BU156">
        <v>21000</v>
      </c>
      <c r="BV156">
        <v>21000</v>
      </c>
      <c r="BW156" s="48" t="s">
        <v>2065</v>
      </c>
      <c r="BX156">
        <v>1473.06</v>
      </c>
      <c r="BY156">
        <v>0</v>
      </c>
      <c r="BZ156">
        <v>0</v>
      </c>
      <c r="CA156" s="48" t="s">
        <v>2065</v>
      </c>
      <c r="CB156">
        <v>1473.06</v>
      </c>
      <c r="CC156">
        <v>0</v>
      </c>
      <c r="CD156">
        <v>0</v>
      </c>
      <c r="CE156" s="48" t="s">
        <v>1710</v>
      </c>
      <c r="CF156" s="48" t="s">
        <v>1710</v>
      </c>
      <c r="CG156" s="48" t="s">
        <v>1710</v>
      </c>
      <c r="CH156" s="48" t="s">
        <v>1710</v>
      </c>
      <c r="CI156" s="48" t="s">
        <v>2067</v>
      </c>
      <c r="CJ156" s="48" t="s">
        <v>1710</v>
      </c>
      <c r="CL156" s="48" t="s">
        <v>3111</v>
      </c>
      <c r="CM156" s="48" t="s">
        <v>1710</v>
      </c>
      <c r="CN156" s="48" t="s">
        <v>2068</v>
      </c>
      <c r="CO156" s="48" t="s">
        <v>2069</v>
      </c>
      <c r="CP156" s="48" t="s">
        <v>1710</v>
      </c>
      <c r="CQ156" s="48" t="s">
        <v>1710</v>
      </c>
      <c r="CR156" s="48" t="s">
        <v>1710</v>
      </c>
      <c r="CS156" s="48" t="s">
        <v>1710</v>
      </c>
      <c r="CT156" s="48" t="s">
        <v>1710</v>
      </c>
      <c r="CU156" s="48" t="s">
        <v>1712</v>
      </c>
      <c r="CV156" s="48" t="s">
        <v>1710</v>
      </c>
      <c r="CW156" s="48" t="s">
        <v>1710</v>
      </c>
      <c r="CX156" s="48" t="s">
        <v>3167</v>
      </c>
      <c r="CY156" s="48" t="s">
        <v>1710</v>
      </c>
      <c r="CZ156" s="48" t="s">
        <v>1712</v>
      </c>
      <c r="DA156" s="48" t="s">
        <v>1710</v>
      </c>
      <c r="DB156" s="48" t="s">
        <v>1878</v>
      </c>
      <c r="DC156" s="48" t="s">
        <v>2070</v>
      </c>
      <c r="DD156" s="48" t="s">
        <v>1842</v>
      </c>
      <c r="DE156" s="48" t="s">
        <v>1886</v>
      </c>
      <c r="DF156" s="48" t="s">
        <v>4069</v>
      </c>
      <c r="DG156" s="48" t="s">
        <v>2071</v>
      </c>
      <c r="DH156" s="48" t="s">
        <v>1712</v>
      </c>
      <c r="DI156" s="48" t="s">
        <v>1710</v>
      </c>
      <c r="DJ156" s="48" t="s">
        <v>1710</v>
      </c>
      <c r="DK156" s="48" t="s">
        <v>1710</v>
      </c>
      <c r="DL156" s="48" t="s">
        <v>1710</v>
      </c>
      <c r="DM156" s="48" t="s">
        <v>1710</v>
      </c>
      <c r="DN156" s="48" t="s">
        <v>1710</v>
      </c>
      <c r="DO156" s="48" t="s">
        <v>1710</v>
      </c>
      <c r="DP156" s="48" t="s">
        <v>1710</v>
      </c>
      <c r="DQ156" s="48" t="s">
        <v>1710</v>
      </c>
      <c r="DR156" s="48" t="s">
        <v>2072</v>
      </c>
      <c r="DS156" s="48" t="s">
        <v>1710</v>
      </c>
      <c r="DT156" s="48" t="s">
        <v>1710</v>
      </c>
      <c r="DU156" s="48" t="s">
        <v>2547</v>
      </c>
      <c r="DV156" s="48" t="s">
        <v>3111</v>
      </c>
      <c r="DW156" s="48" t="s">
        <v>1710</v>
      </c>
      <c r="DX156" s="48" t="s">
        <v>4070</v>
      </c>
      <c r="DY156" s="48" t="s">
        <v>1709</v>
      </c>
      <c r="DZ156" s="48" t="s">
        <v>2562</v>
      </c>
      <c r="EA156" s="48" t="s">
        <v>2546</v>
      </c>
      <c r="EB156">
        <v>0</v>
      </c>
      <c r="EC156" s="48" t="s">
        <v>2547</v>
      </c>
      <c r="ED156" s="48" t="s">
        <v>4071</v>
      </c>
      <c r="EE156" s="48" t="s">
        <v>1814</v>
      </c>
      <c r="EF156" s="48" t="s">
        <v>1859</v>
      </c>
      <c r="EG156" s="48" t="s">
        <v>4068</v>
      </c>
      <c r="EH156">
        <v>3.7999999999999999E-2</v>
      </c>
      <c r="EI156" s="48" t="s">
        <v>1888</v>
      </c>
      <c r="EJ156">
        <v>0</v>
      </c>
      <c r="EK156" s="48" t="s">
        <v>1710</v>
      </c>
      <c r="EL156">
        <v>1</v>
      </c>
      <c r="EM156" s="48" t="s">
        <v>1886</v>
      </c>
      <c r="EN156">
        <v>3.7999999999999999E-2</v>
      </c>
      <c r="EO156" s="48" t="s">
        <v>2602</v>
      </c>
      <c r="EP156" s="48" t="s">
        <v>2584</v>
      </c>
      <c r="EQ156">
        <v>228.82</v>
      </c>
      <c r="ER156">
        <v>228.82</v>
      </c>
      <c r="ES156">
        <v>316065</v>
      </c>
      <c r="ET156">
        <v>215</v>
      </c>
      <c r="EU156" s="48" t="s">
        <v>1710</v>
      </c>
      <c r="EV156" s="48" t="s">
        <v>1710</v>
      </c>
      <c r="EW156" s="48" t="s">
        <v>1712</v>
      </c>
      <c r="EX156" s="48" t="s">
        <v>1710</v>
      </c>
      <c r="EY156" s="48" t="s">
        <v>1848</v>
      </c>
      <c r="EZ156" s="48" t="s">
        <v>1710</v>
      </c>
      <c r="FA156" s="48" t="s">
        <v>1710</v>
      </c>
      <c r="FB156" s="48" t="s">
        <v>1712</v>
      </c>
      <c r="FC156" s="48" t="s">
        <v>1710</v>
      </c>
      <c r="FD156" s="48" t="s">
        <v>1710</v>
      </c>
      <c r="FE156" s="48" t="s">
        <v>1814</v>
      </c>
      <c r="FF156" s="48" t="s">
        <v>1815</v>
      </c>
      <c r="FG156" s="48" t="s">
        <v>1710</v>
      </c>
      <c r="FH156">
        <v>2</v>
      </c>
      <c r="FI156" s="48" t="s">
        <v>1846</v>
      </c>
      <c r="FJ156">
        <v>228.82</v>
      </c>
      <c r="FK156">
        <v>114.41</v>
      </c>
      <c r="FL156" s="48" t="s">
        <v>4072</v>
      </c>
      <c r="FM156" s="48" t="s">
        <v>2584</v>
      </c>
      <c r="FN156" s="48" t="s">
        <v>1710</v>
      </c>
      <c r="FO156" s="48" t="s">
        <v>1710</v>
      </c>
      <c r="FP156" s="48" t="s">
        <v>1710</v>
      </c>
      <c r="FQ156" s="48" t="s">
        <v>1710</v>
      </c>
      <c r="FR156" s="48" t="s">
        <v>1710</v>
      </c>
      <c r="FS156" s="48" t="s">
        <v>1710</v>
      </c>
      <c r="FT156" s="48" t="s">
        <v>1710</v>
      </c>
      <c r="FU156" s="48" t="s">
        <v>1710</v>
      </c>
      <c r="FV156" s="48"/>
      <c r="FW156" s="56"/>
      <c r="FX156" s="56"/>
      <c r="FY156" s="56"/>
      <c r="FZ156" s="56"/>
      <c r="GA156" s="55" t="str">
        <f t="shared" si="8"/>
        <v>4388426300453X</v>
      </c>
      <c r="GB156" t="str">
        <f>VLOOKUP(B156,수출코드!$C$2:$D$4,2,FALSE)</f>
        <v>Suwon</v>
      </c>
      <c r="GC156" t="str">
        <f>VLOOKUP(L156,수출코드!$A$2:$B$6,2,FALSE)</f>
        <v/>
      </c>
      <c r="GD156" t="str">
        <f>VLOOKUP(M156,수출코드!$E$2:$F$5,2,FALSE)</f>
        <v>일반</v>
      </c>
      <c r="GE156" s="61">
        <f t="shared" si="6"/>
        <v>45974.383333333331</v>
      </c>
      <c r="GF156" s="62">
        <f t="shared" si="7"/>
        <v>46051.491666666669</v>
      </c>
      <c r="GI156" s="48" t="s">
        <v>2767</v>
      </c>
    </row>
    <row r="157" spans="1:191">
      <c r="A157" s="48" t="s">
        <v>4073</v>
      </c>
      <c r="B157" s="48" t="s">
        <v>1821</v>
      </c>
      <c r="C157" s="48" t="s">
        <v>2048</v>
      </c>
      <c r="D157" s="48" t="s">
        <v>2813</v>
      </c>
      <c r="E157" s="48" t="s">
        <v>4073</v>
      </c>
      <c r="F157" s="48" t="s">
        <v>1710</v>
      </c>
      <c r="G157" s="48" t="s">
        <v>2814</v>
      </c>
      <c r="H157" s="48" t="s">
        <v>4074</v>
      </c>
      <c r="I157" s="48" t="s">
        <v>1884</v>
      </c>
      <c r="J157" s="48" t="s">
        <v>3111</v>
      </c>
      <c r="K157" s="48" t="s">
        <v>1877</v>
      </c>
      <c r="L157" s="48" t="s">
        <v>1842</v>
      </c>
      <c r="M157" s="48" t="s">
        <v>1810</v>
      </c>
      <c r="N157" s="48" t="s">
        <v>1842</v>
      </c>
      <c r="O157" s="48" t="s">
        <v>1811</v>
      </c>
      <c r="P157" s="48" t="s">
        <v>2549</v>
      </c>
      <c r="Q157" s="48" t="s">
        <v>2049</v>
      </c>
      <c r="R157" s="48" t="s">
        <v>1838</v>
      </c>
      <c r="S157" s="48" t="s">
        <v>2050</v>
      </c>
      <c r="T157" s="48" t="s">
        <v>1845</v>
      </c>
      <c r="U157" s="48" t="s">
        <v>2049</v>
      </c>
      <c r="V157" s="48" t="s">
        <v>1838</v>
      </c>
      <c r="W157" s="48" t="s">
        <v>2051</v>
      </c>
      <c r="X157" s="48" t="s">
        <v>2052</v>
      </c>
      <c r="Y157" s="48" t="s">
        <v>2050</v>
      </c>
      <c r="Z157" s="48" t="s">
        <v>2053</v>
      </c>
      <c r="AA157" s="48" t="s">
        <v>2054</v>
      </c>
      <c r="AB157" s="48" t="s">
        <v>2817</v>
      </c>
      <c r="AC157" s="48" t="s">
        <v>2055</v>
      </c>
      <c r="AD157" s="48" t="s">
        <v>2056</v>
      </c>
      <c r="AE157" s="48" t="s">
        <v>1710</v>
      </c>
      <c r="AF157" s="48" t="s">
        <v>1710</v>
      </c>
      <c r="AG157" s="48" t="s">
        <v>2057</v>
      </c>
      <c r="AH157" s="48" t="s">
        <v>1815</v>
      </c>
      <c r="AI157" s="48" t="s">
        <v>2058</v>
      </c>
      <c r="AJ157" s="48" t="s">
        <v>1710</v>
      </c>
      <c r="AK157" s="48" t="s">
        <v>2098</v>
      </c>
      <c r="AL157" s="48" t="s">
        <v>1856</v>
      </c>
      <c r="AM157" s="48" t="s">
        <v>1816</v>
      </c>
      <c r="AN157" s="48" t="s">
        <v>2054</v>
      </c>
      <c r="AO157" s="48" t="s">
        <v>1710</v>
      </c>
      <c r="AP157" s="48" t="s">
        <v>1855</v>
      </c>
      <c r="AQ157" s="48" t="s">
        <v>2076</v>
      </c>
      <c r="AR157" s="48" t="s">
        <v>1812</v>
      </c>
      <c r="AS157" s="48" t="s">
        <v>1813</v>
      </c>
      <c r="AT157" s="48" t="s">
        <v>1826</v>
      </c>
      <c r="AU157" s="48" t="s">
        <v>2061</v>
      </c>
      <c r="AV157" s="48" t="s">
        <v>3111</v>
      </c>
      <c r="AW157" s="48" t="s">
        <v>2062</v>
      </c>
      <c r="AX157" s="48" t="s">
        <v>2063</v>
      </c>
      <c r="AY157" s="48" t="s">
        <v>1710</v>
      </c>
      <c r="AZ157" s="48" t="s">
        <v>4075</v>
      </c>
      <c r="BA157" s="48" t="s">
        <v>1710</v>
      </c>
      <c r="BB157" s="48" t="s">
        <v>1709</v>
      </c>
      <c r="BC157" s="48" t="s">
        <v>1710</v>
      </c>
      <c r="BD157" s="48" t="s">
        <v>2089</v>
      </c>
      <c r="BE157" s="52" t="s">
        <v>4000</v>
      </c>
      <c r="BF157" s="48" t="s">
        <v>1710</v>
      </c>
      <c r="BG157" s="48" t="s">
        <v>1814</v>
      </c>
      <c r="BH157">
        <v>12</v>
      </c>
      <c r="BI157" s="48" t="s">
        <v>1888</v>
      </c>
      <c r="BJ157">
        <v>1</v>
      </c>
      <c r="BK157">
        <v>1473.06</v>
      </c>
      <c r="BL157">
        <v>32470312</v>
      </c>
      <c r="BM157">
        <v>22043</v>
      </c>
      <c r="BN157" s="48" t="s">
        <v>2064</v>
      </c>
      <c r="BO157" s="48" t="s">
        <v>2065</v>
      </c>
      <c r="BP157">
        <v>1473.06</v>
      </c>
      <c r="BQ157">
        <v>22088.79</v>
      </c>
      <c r="BR157" s="48" t="s">
        <v>1885</v>
      </c>
      <c r="BS157" s="48" t="s">
        <v>2066</v>
      </c>
      <c r="BT157">
        <v>1</v>
      </c>
      <c r="BU157">
        <v>67800</v>
      </c>
      <c r="BV157">
        <v>67800</v>
      </c>
      <c r="BW157" s="48" t="s">
        <v>2065</v>
      </c>
      <c r="BX157">
        <v>1473.06</v>
      </c>
      <c r="BY157">
        <v>0</v>
      </c>
      <c r="BZ157">
        <v>0</v>
      </c>
      <c r="CA157" s="48" t="s">
        <v>2065</v>
      </c>
      <c r="CB157">
        <v>1473.06</v>
      </c>
      <c r="CC157">
        <v>0</v>
      </c>
      <c r="CD157">
        <v>0</v>
      </c>
      <c r="CE157" s="48" t="s">
        <v>1710</v>
      </c>
      <c r="CF157" s="48" t="s">
        <v>1710</v>
      </c>
      <c r="CG157" s="48" t="s">
        <v>1710</v>
      </c>
      <c r="CH157" s="48" t="s">
        <v>1710</v>
      </c>
      <c r="CI157" s="48" t="s">
        <v>2067</v>
      </c>
      <c r="CJ157" s="48" t="s">
        <v>1710</v>
      </c>
      <c r="CL157" s="48" t="s">
        <v>3111</v>
      </c>
      <c r="CM157" s="48" t="s">
        <v>1710</v>
      </c>
      <c r="CN157" s="48" t="s">
        <v>2068</v>
      </c>
      <c r="CO157" s="48" t="s">
        <v>2069</v>
      </c>
      <c r="CP157" s="48" t="s">
        <v>1710</v>
      </c>
      <c r="CQ157" s="48" t="s">
        <v>1710</v>
      </c>
      <c r="CR157" s="48" t="s">
        <v>1710</v>
      </c>
      <c r="CS157" s="48" t="s">
        <v>1710</v>
      </c>
      <c r="CT157" s="48" t="s">
        <v>1710</v>
      </c>
      <c r="CU157" s="48" t="s">
        <v>1712</v>
      </c>
      <c r="CV157" s="48" t="s">
        <v>1710</v>
      </c>
      <c r="CW157" s="48" t="s">
        <v>1710</v>
      </c>
      <c r="CX157" s="48" t="s">
        <v>3167</v>
      </c>
      <c r="CY157" s="48" t="s">
        <v>1710</v>
      </c>
      <c r="CZ157" s="48" t="s">
        <v>1712</v>
      </c>
      <c r="DA157" s="48" t="s">
        <v>1710</v>
      </c>
      <c r="DB157" s="48" t="s">
        <v>1878</v>
      </c>
      <c r="DC157" s="48" t="s">
        <v>2070</v>
      </c>
      <c r="DD157" s="48" t="s">
        <v>1842</v>
      </c>
      <c r="DE157" s="48" t="s">
        <v>1886</v>
      </c>
      <c r="DF157" s="48" t="s">
        <v>4076</v>
      </c>
      <c r="DG157" s="48" t="s">
        <v>2071</v>
      </c>
      <c r="DH157" s="48" t="s">
        <v>1712</v>
      </c>
      <c r="DI157" s="48" t="s">
        <v>1710</v>
      </c>
      <c r="DJ157" s="48" t="s">
        <v>1710</v>
      </c>
      <c r="DK157" s="48" t="s">
        <v>1710</v>
      </c>
      <c r="DL157" s="48" t="s">
        <v>1710</v>
      </c>
      <c r="DM157" s="48" t="s">
        <v>1710</v>
      </c>
      <c r="DN157" s="48" t="s">
        <v>1710</v>
      </c>
      <c r="DO157" s="48" t="s">
        <v>1710</v>
      </c>
      <c r="DP157" s="48" t="s">
        <v>1710</v>
      </c>
      <c r="DQ157" s="48" t="s">
        <v>1710</v>
      </c>
      <c r="DR157" s="48" t="s">
        <v>2072</v>
      </c>
      <c r="DS157" s="48" t="s">
        <v>1710</v>
      </c>
      <c r="DT157" s="48" t="s">
        <v>1710</v>
      </c>
      <c r="DU157" s="48" t="s">
        <v>2547</v>
      </c>
      <c r="DV157" s="48" t="s">
        <v>3111</v>
      </c>
      <c r="DW157" s="48" t="s">
        <v>1710</v>
      </c>
      <c r="DX157" s="48" t="s">
        <v>4077</v>
      </c>
      <c r="DY157" s="48" t="s">
        <v>1709</v>
      </c>
      <c r="DZ157" s="48" t="s">
        <v>2562</v>
      </c>
      <c r="EA157" s="48" t="s">
        <v>2546</v>
      </c>
      <c r="EB157">
        <v>0</v>
      </c>
      <c r="EC157" s="48" t="s">
        <v>2547</v>
      </c>
      <c r="ED157" s="48" t="s">
        <v>4071</v>
      </c>
      <c r="EE157" s="48" t="s">
        <v>1814</v>
      </c>
      <c r="EF157" s="48" t="s">
        <v>1852</v>
      </c>
      <c r="EG157" s="48" t="s">
        <v>4075</v>
      </c>
      <c r="EH157">
        <v>8.3000000000000007</v>
      </c>
      <c r="EI157" s="48" t="s">
        <v>1888</v>
      </c>
      <c r="EJ157">
        <v>0</v>
      </c>
      <c r="EK157" s="48" t="s">
        <v>1710</v>
      </c>
      <c r="EL157">
        <v>1</v>
      </c>
      <c r="EM157" s="48" t="s">
        <v>1886</v>
      </c>
      <c r="EN157">
        <v>8.3000000000000007</v>
      </c>
      <c r="EO157" s="48" t="s">
        <v>2521</v>
      </c>
      <c r="EP157" s="48" t="s">
        <v>4078</v>
      </c>
      <c r="EQ157">
        <v>22088.79</v>
      </c>
      <c r="ER157">
        <v>22088.79</v>
      </c>
      <c r="ES157">
        <v>32470312</v>
      </c>
      <c r="ET157">
        <v>22043</v>
      </c>
      <c r="EU157" s="48" t="s">
        <v>1710</v>
      </c>
      <c r="EV157" s="48" t="s">
        <v>1710</v>
      </c>
      <c r="EW157" s="48" t="s">
        <v>1712</v>
      </c>
      <c r="EX157" s="48" t="s">
        <v>1710</v>
      </c>
      <c r="EY157" s="48" t="s">
        <v>1843</v>
      </c>
      <c r="EZ157" s="48" t="s">
        <v>1710</v>
      </c>
      <c r="FA157" s="48" t="s">
        <v>1710</v>
      </c>
      <c r="FB157" s="48" t="s">
        <v>1712</v>
      </c>
      <c r="FC157" s="48" t="s">
        <v>1710</v>
      </c>
      <c r="FD157" s="48" t="s">
        <v>1710</v>
      </c>
      <c r="FE157" s="48" t="s">
        <v>1814</v>
      </c>
      <c r="FF157" s="48" t="s">
        <v>1815</v>
      </c>
      <c r="FG157" s="48" t="s">
        <v>1710</v>
      </c>
      <c r="FH157">
        <v>1</v>
      </c>
      <c r="FI157" s="48" t="s">
        <v>1846</v>
      </c>
      <c r="FJ157">
        <v>22088.79</v>
      </c>
      <c r="FK157">
        <v>22088.79</v>
      </c>
      <c r="FL157" s="48" t="s">
        <v>4079</v>
      </c>
      <c r="FM157" s="48" t="s">
        <v>4078</v>
      </c>
      <c r="FN157" s="48" t="s">
        <v>1710</v>
      </c>
      <c r="FO157" s="48" t="s">
        <v>1710</v>
      </c>
      <c r="FP157" s="48" t="s">
        <v>1710</v>
      </c>
      <c r="FQ157" s="48" t="s">
        <v>1710</v>
      </c>
      <c r="FR157" s="48" t="s">
        <v>1710</v>
      </c>
      <c r="FS157" s="48" t="s">
        <v>1710</v>
      </c>
      <c r="FT157" s="48" t="s">
        <v>1710</v>
      </c>
      <c r="FU157" s="48" t="s">
        <v>1710</v>
      </c>
      <c r="FV157" s="48"/>
      <c r="FW157" s="56"/>
      <c r="FX157" s="56"/>
      <c r="FY157" s="56"/>
      <c r="FZ157" s="56"/>
      <c r="GA157" s="55" t="str">
        <f t="shared" si="8"/>
        <v>4388426300454X</v>
      </c>
      <c r="GB157" t="str">
        <f>VLOOKUP(B157,수출코드!$C$2:$D$4,2,FALSE)</f>
        <v>Suwon</v>
      </c>
      <c r="GC157" t="str">
        <f>VLOOKUP(L157,수출코드!$A$2:$B$6,2,FALSE)</f>
        <v/>
      </c>
      <c r="GD157" t="str">
        <f>VLOOKUP(M157,수출코드!$E$2:$F$5,2,FALSE)</f>
        <v>일반</v>
      </c>
      <c r="GE157" s="61">
        <f t="shared" si="6"/>
        <v>45974.383333333331</v>
      </c>
      <c r="GF157" s="62">
        <f t="shared" si="7"/>
        <v>46051.491666666669</v>
      </c>
      <c r="GI157" s="48" t="s">
        <v>2767</v>
      </c>
    </row>
    <row r="158" spans="1:191">
      <c r="A158" s="48" t="s">
        <v>4080</v>
      </c>
      <c r="B158" s="48" t="s">
        <v>1821</v>
      </c>
      <c r="C158" s="48" t="s">
        <v>2048</v>
      </c>
      <c r="D158" s="48" t="s">
        <v>2813</v>
      </c>
      <c r="E158" s="48" t="s">
        <v>4080</v>
      </c>
      <c r="F158" s="48" t="s">
        <v>1710</v>
      </c>
      <c r="G158" s="48" t="s">
        <v>2814</v>
      </c>
      <c r="H158" s="48" t="s">
        <v>4081</v>
      </c>
      <c r="I158" s="48" t="s">
        <v>1884</v>
      </c>
      <c r="J158" s="48" t="s">
        <v>3111</v>
      </c>
      <c r="K158" s="48" t="s">
        <v>1877</v>
      </c>
      <c r="L158" s="48" t="s">
        <v>1842</v>
      </c>
      <c r="M158" s="48" t="s">
        <v>1810</v>
      </c>
      <c r="N158" s="48" t="s">
        <v>1842</v>
      </c>
      <c r="O158" s="48" t="s">
        <v>1811</v>
      </c>
      <c r="P158" s="48" t="s">
        <v>2549</v>
      </c>
      <c r="Q158" s="48" t="s">
        <v>2049</v>
      </c>
      <c r="R158" s="48" t="s">
        <v>1838</v>
      </c>
      <c r="S158" s="48" t="s">
        <v>2050</v>
      </c>
      <c r="T158" s="48" t="s">
        <v>1845</v>
      </c>
      <c r="U158" s="48" t="s">
        <v>2049</v>
      </c>
      <c r="V158" s="48" t="s">
        <v>1838</v>
      </c>
      <c r="W158" s="48" t="s">
        <v>2051</v>
      </c>
      <c r="X158" s="48" t="s">
        <v>2052</v>
      </c>
      <c r="Y158" s="48" t="s">
        <v>2050</v>
      </c>
      <c r="Z158" s="48" t="s">
        <v>2053</v>
      </c>
      <c r="AA158" s="48" t="s">
        <v>2054</v>
      </c>
      <c r="AB158" s="48" t="s">
        <v>2817</v>
      </c>
      <c r="AC158" s="48" t="s">
        <v>2055</v>
      </c>
      <c r="AD158" s="48" t="s">
        <v>2056</v>
      </c>
      <c r="AE158" s="48" t="s">
        <v>1710</v>
      </c>
      <c r="AF158" s="48" t="s">
        <v>1710</v>
      </c>
      <c r="AG158" s="48" t="s">
        <v>2057</v>
      </c>
      <c r="AH158" s="48" t="s">
        <v>1815</v>
      </c>
      <c r="AI158" s="48" t="s">
        <v>2058</v>
      </c>
      <c r="AJ158" s="48" t="s">
        <v>1710</v>
      </c>
      <c r="AK158" s="48" t="s">
        <v>2098</v>
      </c>
      <c r="AL158" s="48" t="s">
        <v>1856</v>
      </c>
      <c r="AM158" s="48" t="s">
        <v>1816</v>
      </c>
      <c r="AN158" s="48" t="s">
        <v>2054</v>
      </c>
      <c r="AO158" s="48" t="s">
        <v>1710</v>
      </c>
      <c r="AP158" s="48" t="s">
        <v>1855</v>
      </c>
      <c r="AQ158" s="48" t="s">
        <v>2076</v>
      </c>
      <c r="AR158" s="48" t="s">
        <v>1812</v>
      </c>
      <c r="AS158" s="48" t="s">
        <v>1813</v>
      </c>
      <c r="AT158" s="48" t="s">
        <v>1826</v>
      </c>
      <c r="AU158" s="48" t="s">
        <v>2061</v>
      </c>
      <c r="AV158" s="48" t="s">
        <v>3111</v>
      </c>
      <c r="AW158" s="48" t="s">
        <v>2062</v>
      </c>
      <c r="AX158" s="48" t="s">
        <v>2063</v>
      </c>
      <c r="AY158" s="48" t="s">
        <v>1710</v>
      </c>
      <c r="AZ158" s="48" t="s">
        <v>4082</v>
      </c>
      <c r="BA158" s="48" t="s">
        <v>1710</v>
      </c>
      <c r="BB158" s="48" t="s">
        <v>1709</v>
      </c>
      <c r="BC158" s="48" t="s">
        <v>1710</v>
      </c>
      <c r="BD158" s="48" t="s">
        <v>2089</v>
      </c>
      <c r="BE158" s="52" t="s">
        <v>4000</v>
      </c>
      <c r="BF158" s="48" t="s">
        <v>1710</v>
      </c>
      <c r="BG158" s="48" t="s">
        <v>1814</v>
      </c>
      <c r="BH158">
        <v>9</v>
      </c>
      <c r="BI158" s="48" t="s">
        <v>1888</v>
      </c>
      <c r="BJ158">
        <v>1</v>
      </c>
      <c r="BK158">
        <v>1473.06</v>
      </c>
      <c r="BL158">
        <v>5453642</v>
      </c>
      <c r="BM158">
        <v>3702</v>
      </c>
      <c r="BN158" s="48" t="s">
        <v>2064</v>
      </c>
      <c r="BO158" s="48" t="s">
        <v>2065</v>
      </c>
      <c r="BP158">
        <v>1473.06</v>
      </c>
      <c r="BQ158">
        <v>3739.32</v>
      </c>
      <c r="BR158" s="48" t="s">
        <v>1885</v>
      </c>
      <c r="BS158" s="48" t="s">
        <v>2066</v>
      </c>
      <c r="BT158">
        <v>1</v>
      </c>
      <c r="BU158">
        <v>54600</v>
      </c>
      <c r="BV158">
        <v>54600</v>
      </c>
      <c r="BW158" s="48" t="s">
        <v>2065</v>
      </c>
      <c r="BX158">
        <v>1473.06</v>
      </c>
      <c r="BY158">
        <v>0</v>
      </c>
      <c r="BZ158">
        <v>0</v>
      </c>
      <c r="CA158" s="48" t="s">
        <v>2065</v>
      </c>
      <c r="CB158">
        <v>1473.06</v>
      </c>
      <c r="CC158">
        <v>0</v>
      </c>
      <c r="CD158">
        <v>0</v>
      </c>
      <c r="CE158" s="48" t="s">
        <v>1710</v>
      </c>
      <c r="CF158" s="48" t="s">
        <v>1710</v>
      </c>
      <c r="CG158" s="48" t="s">
        <v>1710</v>
      </c>
      <c r="CH158" s="48" t="s">
        <v>1710</v>
      </c>
      <c r="CI158" s="48" t="s">
        <v>2067</v>
      </c>
      <c r="CJ158" s="48" t="s">
        <v>1710</v>
      </c>
      <c r="CL158" s="48" t="s">
        <v>3111</v>
      </c>
      <c r="CM158" s="48" t="s">
        <v>1710</v>
      </c>
      <c r="CN158" s="48" t="s">
        <v>2068</v>
      </c>
      <c r="CO158" s="48" t="s">
        <v>2069</v>
      </c>
      <c r="CP158" s="48" t="s">
        <v>1710</v>
      </c>
      <c r="CQ158" s="48" t="s">
        <v>1710</v>
      </c>
      <c r="CR158" s="48" t="s">
        <v>1710</v>
      </c>
      <c r="CS158" s="48" t="s">
        <v>1710</v>
      </c>
      <c r="CT158" s="48" t="s">
        <v>1710</v>
      </c>
      <c r="CU158" s="48" t="s">
        <v>1712</v>
      </c>
      <c r="CV158" s="48" t="s">
        <v>1710</v>
      </c>
      <c r="CW158" s="48" t="s">
        <v>1710</v>
      </c>
      <c r="CX158" s="48" t="s">
        <v>3167</v>
      </c>
      <c r="CY158" s="48" t="s">
        <v>1710</v>
      </c>
      <c r="CZ158" s="48" t="s">
        <v>1712</v>
      </c>
      <c r="DA158" s="48" t="s">
        <v>1710</v>
      </c>
      <c r="DB158" s="48" t="s">
        <v>1878</v>
      </c>
      <c r="DC158" s="48" t="s">
        <v>2070</v>
      </c>
      <c r="DD158" s="48" t="s">
        <v>1842</v>
      </c>
      <c r="DE158" s="48" t="s">
        <v>1886</v>
      </c>
      <c r="DF158" s="48" t="s">
        <v>4083</v>
      </c>
      <c r="DG158" s="48" t="s">
        <v>2071</v>
      </c>
      <c r="DH158" s="48" t="s">
        <v>1712</v>
      </c>
      <c r="DI158" s="48" t="s">
        <v>1710</v>
      </c>
      <c r="DJ158" s="48" t="s">
        <v>1710</v>
      </c>
      <c r="DK158" s="48" t="s">
        <v>1710</v>
      </c>
      <c r="DL158" s="48" t="s">
        <v>1710</v>
      </c>
      <c r="DM158" s="48" t="s">
        <v>1710</v>
      </c>
      <c r="DN158" s="48" t="s">
        <v>1710</v>
      </c>
      <c r="DO158" s="48" t="s">
        <v>1710</v>
      </c>
      <c r="DP158" s="48" t="s">
        <v>1710</v>
      </c>
      <c r="DQ158" s="48" t="s">
        <v>1710</v>
      </c>
      <c r="DR158" s="48" t="s">
        <v>2072</v>
      </c>
      <c r="DS158" s="48" t="s">
        <v>1710</v>
      </c>
      <c r="DT158" s="48" t="s">
        <v>1710</v>
      </c>
      <c r="DU158" s="48" t="s">
        <v>2547</v>
      </c>
      <c r="DV158" s="48" t="s">
        <v>3111</v>
      </c>
      <c r="DW158" s="48" t="s">
        <v>1710</v>
      </c>
      <c r="DX158" s="48" t="s">
        <v>4084</v>
      </c>
      <c r="DY158" s="48" t="s">
        <v>1709</v>
      </c>
      <c r="DZ158" s="48" t="s">
        <v>2562</v>
      </c>
      <c r="EA158" s="48" t="s">
        <v>2546</v>
      </c>
      <c r="EB158">
        <v>0</v>
      </c>
      <c r="EC158" s="48" t="s">
        <v>2547</v>
      </c>
      <c r="ED158" s="48" t="s">
        <v>4071</v>
      </c>
      <c r="EE158" s="48" t="s">
        <v>1814</v>
      </c>
      <c r="EF158" s="48" t="s">
        <v>1857</v>
      </c>
      <c r="EG158" s="48" t="s">
        <v>4082</v>
      </c>
      <c r="EH158">
        <v>3.45</v>
      </c>
      <c r="EI158" s="48" t="s">
        <v>1888</v>
      </c>
      <c r="EJ158">
        <v>1</v>
      </c>
      <c r="EK158" s="48" t="s">
        <v>1887</v>
      </c>
      <c r="EL158">
        <v>1</v>
      </c>
      <c r="EM158" s="48" t="s">
        <v>1886</v>
      </c>
      <c r="EN158">
        <v>3.45</v>
      </c>
      <c r="EO158" s="48" t="s">
        <v>2545</v>
      </c>
      <c r="EP158" s="48" t="s">
        <v>2664</v>
      </c>
      <c r="EQ158">
        <v>3739.32</v>
      </c>
      <c r="ER158">
        <v>3739.32</v>
      </c>
      <c r="ES158">
        <v>5453642</v>
      </c>
      <c r="ET158">
        <v>3702</v>
      </c>
      <c r="EU158" s="48" t="s">
        <v>1710</v>
      </c>
      <c r="EV158" s="48" t="s">
        <v>1710</v>
      </c>
      <c r="EW158" s="48" t="s">
        <v>1712</v>
      </c>
      <c r="EX158" s="48" t="s">
        <v>1710</v>
      </c>
      <c r="EY158" s="48" t="s">
        <v>1848</v>
      </c>
      <c r="EZ158" s="48" t="s">
        <v>1710</v>
      </c>
      <c r="FA158" s="48" t="s">
        <v>1710</v>
      </c>
      <c r="FB158" s="48" t="s">
        <v>1712</v>
      </c>
      <c r="FC158" s="48" t="s">
        <v>1710</v>
      </c>
      <c r="FD158" s="48" t="s">
        <v>1710</v>
      </c>
      <c r="FE158" s="48" t="s">
        <v>1814</v>
      </c>
      <c r="FF158" s="48" t="s">
        <v>1815</v>
      </c>
      <c r="FG158" s="48" t="s">
        <v>1710</v>
      </c>
      <c r="FH158">
        <v>1</v>
      </c>
      <c r="FI158" s="48" t="s">
        <v>1846</v>
      </c>
      <c r="FJ158">
        <v>3739.32</v>
      </c>
      <c r="FK158">
        <v>3739.32</v>
      </c>
      <c r="FL158" s="48" t="s">
        <v>2665</v>
      </c>
      <c r="FM158" s="48" t="s">
        <v>2664</v>
      </c>
      <c r="FN158" s="48" t="s">
        <v>1710</v>
      </c>
      <c r="FO158" s="48" t="s">
        <v>1710</v>
      </c>
      <c r="FP158" s="48" t="s">
        <v>1710</v>
      </c>
      <c r="FQ158" s="48" t="s">
        <v>1710</v>
      </c>
      <c r="FR158" s="48" t="s">
        <v>1710</v>
      </c>
      <c r="FS158" s="48" t="s">
        <v>1710</v>
      </c>
      <c r="FT158" s="48" t="s">
        <v>1710</v>
      </c>
      <c r="FU158" s="48" t="s">
        <v>1710</v>
      </c>
      <c r="FV158" s="48"/>
      <c r="FW158" s="56"/>
      <c r="FX158" s="56"/>
      <c r="FY158" s="56"/>
      <c r="FZ158" s="56"/>
      <c r="GA158" s="55" t="str">
        <f t="shared" si="8"/>
        <v>4388426300455X</v>
      </c>
      <c r="GB158" t="str">
        <f>VLOOKUP(B158,수출코드!$C$2:$D$4,2,FALSE)</f>
        <v>Suwon</v>
      </c>
      <c r="GC158" t="str">
        <f>VLOOKUP(L158,수출코드!$A$2:$B$6,2,FALSE)</f>
        <v/>
      </c>
      <c r="GD158" t="str">
        <f>VLOOKUP(M158,수출코드!$E$2:$F$5,2,FALSE)</f>
        <v>일반</v>
      </c>
      <c r="GE158" s="61">
        <f t="shared" si="6"/>
        <v>45974.383333333331</v>
      </c>
      <c r="GF158" s="62">
        <f t="shared" si="7"/>
        <v>46051.491666666669</v>
      </c>
      <c r="GI158" s="48" t="s">
        <v>2767</v>
      </c>
    </row>
    <row r="159" spans="1:191">
      <c r="A159" s="48" t="s">
        <v>4085</v>
      </c>
      <c r="B159" s="48" t="s">
        <v>1821</v>
      </c>
      <c r="C159" s="48" t="s">
        <v>2048</v>
      </c>
      <c r="D159" s="48" t="s">
        <v>2813</v>
      </c>
      <c r="E159" s="48" t="s">
        <v>4085</v>
      </c>
      <c r="F159" s="48" t="s">
        <v>1710</v>
      </c>
      <c r="G159" s="48" t="s">
        <v>2814</v>
      </c>
      <c r="H159" s="48" t="s">
        <v>4086</v>
      </c>
      <c r="I159" s="48" t="s">
        <v>1884</v>
      </c>
      <c r="J159" s="48" t="s">
        <v>3111</v>
      </c>
      <c r="K159" s="48" t="s">
        <v>1877</v>
      </c>
      <c r="L159" s="48" t="s">
        <v>1842</v>
      </c>
      <c r="M159" s="48" t="s">
        <v>1810</v>
      </c>
      <c r="N159" s="48" t="s">
        <v>1842</v>
      </c>
      <c r="O159" s="48" t="s">
        <v>1811</v>
      </c>
      <c r="P159" s="48" t="s">
        <v>2549</v>
      </c>
      <c r="Q159" s="48" t="s">
        <v>2049</v>
      </c>
      <c r="R159" s="48" t="s">
        <v>1838</v>
      </c>
      <c r="S159" s="48" t="s">
        <v>2050</v>
      </c>
      <c r="T159" s="48" t="s">
        <v>1845</v>
      </c>
      <c r="U159" s="48" t="s">
        <v>2049</v>
      </c>
      <c r="V159" s="48" t="s">
        <v>1838</v>
      </c>
      <c r="W159" s="48" t="s">
        <v>2051</v>
      </c>
      <c r="X159" s="48" t="s">
        <v>2052</v>
      </c>
      <c r="Y159" s="48" t="s">
        <v>2050</v>
      </c>
      <c r="Z159" s="48" t="s">
        <v>2053</v>
      </c>
      <c r="AA159" s="48" t="s">
        <v>2054</v>
      </c>
      <c r="AB159" s="48" t="s">
        <v>2817</v>
      </c>
      <c r="AC159" s="48" t="s">
        <v>2055</v>
      </c>
      <c r="AD159" s="48" t="s">
        <v>2056</v>
      </c>
      <c r="AE159" s="48" t="s">
        <v>1710</v>
      </c>
      <c r="AF159" s="48" t="s">
        <v>1710</v>
      </c>
      <c r="AG159" s="48" t="s">
        <v>2057</v>
      </c>
      <c r="AH159" s="48" t="s">
        <v>1815</v>
      </c>
      <c r="AI159" s="48" t="s">
        <v>2058</v>
      </c>
      <c r="AJ159" s="48" t="s">
        <v>1710</v>
      </c>
      <c r="AK159" s="48" t="s">
        <v>2563</v>
      </c>
      <c r="AL159" s="48" t="s">
        <v>2564</v>
      </c>
      <c r="AM159" s="48" t="s">
        <v>1816</v>
      </c>
      <c r="AN159" s="48" t="s">
        <v>2054</v>
      </c>
      <c r="AO159" s="48" t="s">
        <v>1710</v>
      </c>
      <c r="AP159" s="48" t="s">
        <v>1855</v>
      </c>
      <c r="AQ159" s="48" t="s">
        <v>2076</v>
      </c>
      <c r="AR159" s="48" t="s">
        <v>1812</v>
      </c>
      <c r="AS159" s="48" t="s">
        <v>1813</v>
      </c>
      <c r="AT159" s="48" t="s">
        <v>1826</v>
      </c>
      <c r="AU159" s="48" t="s">
        <v>2061</v>
      </c>
      <c r="AV159" s="48" t="s">
        <v>3111</v>
      </c>
      <c r="AW159" s="48" t="s">
        <v>2062</v>
      </c>
      <c r="AX159" s="48" t="s">
        <v>2063</v>
      </c>
      <c r="AY159" s="48" t="s">
        <v>1710</v>
      </c>
      <c r="AZ159" s="48" t="s">
        <v>4087</v>
      </c>
      <c r="BA159" s="48" t="s">
        <v>1710</v>
      </c>
      <c r="BB159" s="48" t="s">
        <v>1709</v>
      </c>
      <c r="BC159" s="48" t="s">
        <v>1710</v>
      </c>
      <c r="BD159" s="48" t="s">
        <v>2089</v>
      </c>
      <c r="BE159" s="52" t="s">
        <v>4000</v>
      </c>
      <c r="BF159" s="48" t="s">
        <v>1710</v>
      </c>
      <c r="BG159" s="48" t="s">
        <v>1814</v>
      </c>
      <c r="BH159">
        <v>1</v>
      </c>
      <c r="BI159" s="48" t="s">
        <v>1888</v>
      </c>
      <c r="BJ159">
        <v>1</v>
      </c>
      <c r="BK159">
        <v>1473.06</v>
      </c>
      <c r="BL159">
        <v>1158714</v>
      </c>
      <c r="BM159">
        <v>787</v>
      </c>
      <c r="BN159" s="48" t="s">
        <v>2064</v>
      </c>
      <c r="BO159" s="48" t="s">
        <v>2065</v>
      </c>
      <c r="BP159">
        <v>1473.06</v>
      </c>
      <c r="BQ159">
        <v>800.86</v>
      </c>
      <c r="BR159" s="48" t="s">
        <v>1885</v>
      </c>
      <c r="BS159" s="48" t="s">
        <v>2066</v>
      </c>
      <c r="BT159">
        <v>1</v>
      </c>
      <c r="BU159">
        <v>21000</v>
      </c>
      <c r="BV159">
        <v>21000</v>
      </c>
      <c r="BW159" s="48" t="s">
        <v>2065</v>
      </c>
      <c r="BX159">
        <v>1473.06</v>
      </c>
      <c r="BY159">
        <v>0</v>
      </c>
      <c r="BZ159">
        <v>0</v>
      </c>
      <c r="CA159" s="48" t="s">
        <v>2065</v>
      </c>
      <c r="CB159">
        <v>1473.06</v>
      </c>
      <c r="CC159">
        <v>0</v>
      </c>
      <c r="CD159">
        <v>0</v>
      </c>
      <c r="CE159" s="48" t="s">
        <v>1710</v>
      </c>
      <c r="CF159" s="48" t="s">
        <v>1710</v>
      </c>
      <c r="CG159" s="48" t="s">
        <v>1710</v>
      </c>
      <c r="CH159" s="48" t="s">
        <v>1710</v>
      </c>
      <c r="CI159" s="48" t="s">
        <v>2067</v>
      </c>
      <c r="CJ159" s="48" t="s">
        <v>1710</v>
      </c>
      <c r="CL159" s="48" t="s">
        <v>3111</v>
      </c>
      <c r="CM159" s="48" t="s">
        <v>1710</v>
      </c>
      <c r="CN159" s="48" t="s">
        <v>2068</v>
      </c>
      <c r="CO159" s="48" t="s">
        <v>2069</v>
      </c>
      <c r="CP159" s="48" t="s">
        <v>1710</v>
      </c>
      <c r="CQ159" s="48" t="s">
        <v>1710</v>
      </c>
      <c r="CR159" s="48" t="s">
        <v>1710</v>
      </c>
      <c r="CS159" s="48" t="s">
        <v>1710</v>
      </c>
      <c r="CT159" s="48" t="s">
        <v>1710</v>
      </c>
      <c r="CU159" s="48" t="s">
        <v>1712</v>
      </c>
      <c r="CV159" s="48" t="s">
        <v>1710</v>
      </c>
      <c r="CW159" s="48" t="s">
        <v>1710</v>
      </c>
      <c r="CX159" s="48" t="s">
        <v>3167</v>
      </c>
      <c r="CY159" s="48" t="s">
        <v>1710</v>
      </c>
      <c r="CZ159" s="48" t="s">
        <v>1712</v>
      </c>
      <c r="DA159" s="48" t="s">
        <v>1710</v>
      </c>
      <c r="DB159" s="48" t="s">
        <v>1878</v>
      </c>
      <c r="DC159" s="48" t="s">
        <v>2070</v>
      </c>
      <c r="DD159" s="48" t="s">
        <v>1842</v>
      </c>
      <c r="DE159" s="48" t="s">
        <v>1886</v>
      </c>
      <c r="DF159" s="48" t="s">
        <v>4088</v>
      </c>
      <c r="DG159" s="48" t="s">
        <v>2071</v>
      </c>
      <c r="DH159" s="48" t="s">
        <v>1712</v>
      </c>
      <c r="DI159" s="48" t="s">
        <v>1710</v>
      </c>
      <c r="DJ159" s="48" t="s">
        <v>1710</v>
      </c>
      <c r="DK159" s="48" t="s">
        <v>1710</v>
      </c>
      <c r="DL159" s="48" t="s">
        <v>1710</v>
      </c>
      <c r="DM159" s="48" t="s">
        <v>1710</v>
      </c>
      <c r="DN159" s="48" t="s">
        <v>1710</v>
      </c>
      <c r="DO159" s="48" t="s">
        <v>1710</v>
      </c>
      <c r="DP159" s="48" t="s">
        <v>1710</v>
      </c>
      <c r="DQ159" s="48" t="s">
        <v>1710</v>
      </c>
      <c r="DR159" s="48" t="s">
        <v>2072</v>
      </c>
      <c r="DS159" s="48" t="s">
        <v>1710</v>
      </c>
      <c r="DT159" s="48" t="s">
        <v>1710</v>
      </c>
      <c r="DU159" s="48" t="s">
        <v>2547</v>
      </c>
      <c r="DV159" s="48" t="s">
        <v>3111</v>
      </c>
      <c r="DW159" s="48" t="s">
        <v>1710</v>
      </c>
      <c r="DX159" s="48" t="s">
        <v>4089</v>
      </c>
      <c r="DY159" s="48" t="s">
        <v>1709</v>
      </c>
      <c r="DZ159" s="48" t="s">
        <v>2562</v>
      </c>
      <c r="EA159" s="48" t="s">
        <v>2546</v>
      </c>
      <c r="EB159">
        <v>0</v>
      </c>
      <c r="EC159" s="48" t="s">
        <v>2547</v>
      </c>
      <c r="ED159" s="48" t="s">
        <v>4090</v>
      </c>
      <c r="EE159" s="48" t="s">
        <v>1814</v>
      </c>
      <c r="EF159" s="48" t="s">
        <v>1859</v>
      </c>
      <c r="EG159" s="48" t="s">
        <v>4087</v>
      </c>
      <c r="EH159">
        <v>0.13300000000000001</v>
      </c>
      <c r="EI159" s="48" t="s">
        <v>1888</v>
      </c>
      <c r="EJ159">
        <v>0</v>
      </c>
      <c r="EK159" s="48" t="s">
        <v>1710</v>
      </c>
      <c r="EL159">
        <v>1</v>
      </c>
      <c r="EM159" s="48" t="s">
        <v>1886</v>
      </c>
      <c r="EN159">
        <v>0.13300000000000001</v>
      </c>
      <c r="EO159" s="48" t="s">
        <v>2602</v>
      </c>
      <c r="EP159" s="48" t="s">
        <v>2584</v>
      </c>
      <c r="EQ159">
        <v>800.86</v>
      </c>
      <c r="ER159">
        <v>800.86</v>
      </c>
      <c r="ES159">
        <v>1158714</v>
      </c>
      <c r="ET159">
        <v>787</v>
      </c>
      <c r="EU159" s="48" t="s">
        <v>1710</v>
      </c>
      <c r="EV159" s="48" t="s">
        <v>1710</v>
      </c>
      <c r="EW159" s="48" t="s">
        <v>1712</v>
      </c>
      <c r="EX159" s="48" t="s">
        <v>1710</v>
      </c>
      <c r="EY159" s="48" t="s">
        <v>1848</v>
      </c>
      <c r="EZ159" s="48" t="s">
        <v>1710</v>
      </c>
      <c r="FA159" s="48" t="s">
        <v>1710</v>
      </c>
      <c r="FB159" s="48" t="s">
        <v>1712</v>
      </c>
      <c r="FC159" s="48" t="s">
        <v>1710</v>
      </c>
      <c r="FD159" s="48" t="s">
        <v>1710</v>
      </c>
      <c r="FE159" s="48" t="s">
        <v>1814</v>
      </c>
      <c r="FF159" s="48" t="s">
        <v>1815</v>
      </c>
      <c r="FG159" s="48" t="s">
        <v>1710</v>
      </c>
      <c r="FH159">
        <v>7</v>
      </c>
      <c r="FI159" s="48" t="s">
        <v>1846</v>
      </c>
      <c r="FJ159">
        <v>800.86</v>
      </c>
      <c r="FK159">
        <v>114.40900000000001</v>
      </c>
      <c r="FL159" s="48" t="s">
        <v>4072</v>
      </c>
      <c r="FM159" s="48" t="s">
        <v>2584</v>
      </c>
      <c r="FN159" s="48" t="s">
        <v>1710</v>
      </c>
      <c r="FO159" s="48" t="s">
        <v>1710</v>
      </c>
      <c r="FP159" s="48" t="s">
        <v>1710</v>
      </c>
      <c r="FQ159" s="48" t="s">
        <v>1710</v>
      </c>
      <c r="FR159" s="48" t="s">
        <v>1710</v>
      </c>
      <c r="FS159" s="48" t="s">
        <v>1710</v>
      </c>
      <c r="FT159" s="48" t="s">
        <v>1710</v>
      </c>
      <c r="FU159" s="48" t="s">
        <v>1710</v>
      </c>
      <c r="FV159" s="48"/>
      <c r="FW159" s="56"/>
      <c r="FX159" s="56"/>
      <c r="FY159" s="56"/>
      <c r="FZ159" s="56"/>
      <c r="GA159" s="55" t="str">
        <f t="shared" si="8"/>
        <v>4388426300456X</v>
      </c>
      <c r="GB159" t="str">
        <f>VLOOKUP(B159,수출코드!$C$2:$D$4,2,FALSE)</f>
        <v>Suwon</v>
      </c>
      <c r="GC159" t="str">
        <f>VLOOKUP(L159,수출코드!$A$2:$B$6,2,FALSE)</f>
        <v/>
      </c>
      <c r="GD159" t="str">
        <f>VLOOKUP(M159,수출코드!$E$2:$F$5,2,FALSE)</f>
        <v>일반</v>
      </c>
      <c r="GE159" s="61">
        <f t="shared" si="6"/>
        <v>45974.383333333331</v>
      </c>
      <c r="GF159" s="62">
        <f t="shared" si="7"/>
        <v>46051.493055555555</v>
      </c>
      <c r="GI159" s="48" t="s">
        <v>2767</v>
      </c>
    </row>
    <row r="160" spans="1:191">
      <c r="A160" s="48" t="s">
        <v>4091</v>
      </c>
      <c r="B160" s="48" t="s">
        <v>1821</v>
      </c>
      <c r="C160" s="48" t="s">
        <v>2048</v>
      </c>
      <c r="D160" s="48" t="s">
        <v>2813</v>
      </c>
      <c r="E160" s="48" t="s">
        <v>4091</v>
      </c>
      <c r="F160" s="48" t="s">
        <v>1710</v>
      </c>
      <c r="G160" s="48" t="s">
        <v>2814</v>
      </c>
      <c r="H160" s="48" t="s">
        <v>4092</v>
      </c>
      <c r="I160" s="48" t="s">
        <v>1884</v>
      </c>
      <c r="J160" s="48" t="s">
        <v>3111</v>
      </c>
      <c r="K160" s="48" t="s">
        <v>1877</v>
      </c>
      <c r="L160" s="48" t="s">
        <v>1842</v>
      </c>
      <c r="M160" s="48" t="s">
        <v>1810</v>
      </c>
      <c r="N160" s="48" t="s">
        <v>1842</v>
      </c>
      <c r="O160" s="48" t="s">
        <v>1811</v>
      </c>
      <c r="P160" s="48" t="s">
        <v>2549</v>
      </c>
      <c r="Q160" s="48" t="s">
        <v>2049</v>
      </c>
      <c r="R160" s="48" t="s">
        <v>1838</v>
      </c>
      <c r="S160" s="48" t="s">
        <v>2050</v>
      </c>
      <c r="T160" s="48" t="s">
        <v>1845</v>
      </c>
      <c r="U160" s="48" t="s">
        <v>2049</v>
      </c>
      <c r="V160" s="48" t="s">
        <v>1838</v>
      </c>
      <c r="W160" s="48" t="s">
        <v>2051</v>
      </c>
      <c r="X160" s="48" t="s">
        <v>2052</v>
      </c>
      <c r="Y160" s="48" t="s">
        <v>2050</v>
      </c>
      <c r="Z160" s="48" t="s">
        <v>2053</v>
      </c>
      <c r="AA160" s="48" t="s">
        <v>2054</v>
      </c>
      <c r="AB160" s="48" t="s">
        <v>2817</v>
      </c>
      <c r="AC160" s="48" t="s">
        <v>2055</v>
      </c>
      <c r="AD160" s="48" t="s">
        <v>2056</v>
      </c>
      <c r="AE160" s="48" t="s">
        <v>1710</v>
      </c>
      <c r="AF160" s="48" t="s">
        <v>1710</v>
      </c>
      <c r="AG160" s="48" t="s">
        <v>2057</v>
      </c>
      <c r="AH160" s="48" t="s">
        <v>1815</v>
      </c>
      <c r="AI160" s="48" t="s">
        <v>2058</v>
      </c>
      <c r="AJ160" s="48" t="s">
        <v>1710</v>
      </c>
      <c r="AK160" s="48" t="s">
        <v>2090</v>
      </c>
      <c r="AL160" s="48" t="s">
        <v>2091</v>
      </c>
      <c r="AM160" s="48" t="s">
        <v>1816</v>
      </c>
      <c r="AN160" s="48" t="s">
        <v>2054</v>
      </c>
      <c r="AO160" s="48" t="s">
        <v>1710</v>
      </c>
      <c r="AP160" s="48" t="s">
        <v>1853</v>
      </c>
      <c r="AQ160" s="48" t="s">
        <v>2086</v>
      </c>
      <c r="AR160" s="48" t="s">
        <v>1812</v>
      </c>
      <c r="AS160" s="48" t="s">
        <v>1813</v>
      </c>
      <c r="AT160" s="48" t="s">
        <v>1826</v>
      </c>
      <c r="AU160" s="48" t="s">
        <v>2061</v>
      </c>
      <c r="AV160" s="48" t="s">
        <v>3111</v>
      </c>
      <c r="AW160" s="48" t="s">
        <v>2062</v>
      </c>
      <c r="AX160" s="48" t="s">
        <v>2063</v>
      </c>
      <c r="AY160" s="48" t="s">
        <v>1710</v>
      </c>
      <c r="AZ160" s="48" t="s">
        <v>4093</v>
      </c>
      <c r="BA160" s="48" t="s">
        <v>1710</v>
      </c>
      <c r="BB160" s="48" t="s">
        <v>1709</v>
      </c>
      <c r="BC160" s="48" t="s">
        <v>1710</v>
      </c>
      <c r="BD160" s="48" t="s">
        <v>2089</v>
      </c>
      <c r="BE160" s="52" t="s">
        <v>4000</v>
      </c>
      <c r="BF160" s="48" t="s">
        <v>1710</v>
      </c>
      <c r="BG160" s="48" t="s">
        <v>1814</v>
      </c>
      <c r="BH160">
        <v>9</v>
      </c>
      <c r="BI160" s="48" t="s">
        <v>1888</v>
      </c>
      <c r="BJ160">
        <v>1</v>
      </c>
      <c r="BK160">
        <v>1473.06</v>
      </c>
      <c r="BL160">
        <v>6996104</v>
      </c>
      <c r="BM160">
        <v>4749</v>
      </c>
      <c r="BN160" s="48" t="s">
        <v>2064</v>
      </c>
      <c r="BO160" s="48" t="s">
        <v>2065</v>
      </c>
      <c r="BP160">
        <v>1473.06</v>
      </c>
      <c r="BQ160">
        <v>4794.58</v>
      </c>
      <c r="BR160" s="48" t="s">
        <v>1885</v>
      </c>
      <c r="BS160" s="48" t="s">
        <v>2066</v>
      </c>
      <c r="BT160">
        <v>1</v>
      </c>
      <c r="BU160">
        <v>66600</v>
      </c>
      <c r="BV160">
        <v>66600</v>
      </c>
      <c r="BW160" s="48" t="s">
        <v>2065</v>
      </c>
      <c r="BX160">
        <v>1473.06</v>
      </c>
      <c r="BY160">
        <v>0</v>
      </c>
      <c r="BZ160">
        <v>0</v>
      </c>
      <c r="CA160" s="48" t="s">
        <v>2065</v>
      </c>
      <c r="CB160">
        <v>1473.06</v>
      </c>
      <c r="CC160">
        <v>0</v>
      </c>
      <c r="CD160">
        <v>0</v>
      </c>
      <c r="CE160" s="48" t="s">
        <v>1710</v>
      </c>
      <c r="CF160" s="48" t="s">
        <v>1710</v>
      </c>
      <c r="CG160" s="48" t="s">
        <v>1710</v>
      </c>
      <c r="CH160" s="48" t="s">
        <v>1710</v>
      </c>
      <c r="CI160" s="48" t="s">
        <v>2067</v>
      </c>
      <c r="CJ160" s="48" t="s">
        <v>1710</v>
      </c>
      <c r="CL160" s="48" t="s">
        <v>3111</v>
      </c>
      <c r="CM160" s="48" t="s">
        <v>1710</v>
      </c>
      <c r="CN160" s="48" t="s">
        <v>2068</v>
      </c>
      <c r="CO160" s="48" t="s">
        <v>2069</v>
      </c>
      <c r="CP160" s="48" t="s">
        <v>1710</v>
      </c>
      <c r="CQ160" s="48" t="s">
        <v>1710</v>
      </c>
      <c r="CR160" s="48" t="s">
        <v>1710</v>
      </c>
      <c r="CS160" s="48" t="s">
        <v>1710</v>
      </c>
      <c r="CT160" s="48" t="s">
        <v>1710</v>
      </c>
      <c r="CU160" s="48" t="s">
        <v>1712</v>
      </c>
      <c r="CV160" s="48" t="s">
        <v>1710</v>
      </c>
      <c r="CW160" s="48" t="s">
        <v>1710</v>
      </c>
      <c r="CX160" s="48" t="s">
        <v>3167</v>
      </c>
      <c r="CY160" s="48" t="s">
        <v>1710</v>
      </c>
      <c r="CZ160" s="48" t="s">
        <v>1712</v>
      </c>
      <c r="DA160" s="48" t="s">
        <v>1710</v>
      </c>
      <c r="DB160" s="48" t="s">
        <v>1878</v>
      </c>
      <c r="DC160" s="48" t="s">
        <v>2070</v>
      </c>
      <c r="DD160" s="48" t="s">
        <v>1842</v>
      </c>
      <c r="DE160" s="48" t="s">
        <v>1886</v>
      </c>
      <c r="DF160" s="48" t="s">
        <v>4094</v>
      </c>
      <c r="DG160" s="48" t="s">
        <v>2071</v>
      </c>
      <c r="DH160" s="48" t="s">
        <v>1712</v>
      </c>
      <c r="DI160" s="48" t="s">
        <v>1710</v>
      </c>
      <c r="DJ160" s="48" t="s">
        <v>1710</v>
      </c>
      <c r="DK160" s="48" t="s">
        <v>1710</v>
      </c>
      <c r="DL160" s="48" t="s">
        <v>1710</v>
      </c>
      <c r="DM160" s="48" t="s">
        <v>1710</v>
      </c>
      <c r="DN160" s="48" t="s">
        <v>1710</v>
      </c>
      <c r="DO160" s="48" t="s">
        <v>1710</v>
      </c>
      <c r="DP160" s="48" t="s">
        <v>1710</v>
      </c>
      <c r="DQ160" s="48" t="s">
        <v>1710</v>
      </c>
      <c r="DR160" s="48" t="s">
        <v>2072</v>
      </c>
      <c r="DS160" s="48" t="s">
        <v>1710</v>
      </c>
      <c r="DT160" s="48" t="s">
        <v>1710</v>
      </c>
      <c r="DU160" s="48" t="s">
        <v>2547</v>
      </c>
      <c r="DV160" s="48" t="s">
        <v>3111</v>
      </c>
      <c r="DW160" s="48" t="s">
        <v>1710</v>
      </c>
      <c r="DX160" s="48" t="s">
        <v>4095</v>
      </c>
      <c r="DY160" s="48" t="s">
        <v>1709</v>
      </c>
      <c r="DZ160" s="48" t="s">
        <v>2562</v>
      </c>
      <c r="EA160" s="48" t="s">
        <v>2546</v>
      </c>
      <c r="EB160">
        <v>0</v>
      </c>
      <c r="EC160" s="48" t="s">
        <v>2547</v>
      </c>
      <c r="ED160" s="48" t="s">
        <v>4090</v>
      </c>
      <c r="EE160" s="48" t="s">
        <v>1814</v>
      </c>
      <c r="EF160" s="48" t="s">
        <v>1852</v>
      </c>
      <c r="EG160" s="48" t="s">
        <v>4093</v>
      </c>
      <c r="EH160">
        <v>6</v>
      </c>
      <c r="EI160" s="48" t="s">
        <v>1888</v>
      </c>
      <c r="EJ160">
        <v>0</v>
      </c>
      <c r="EK160" s="48" t="s">
        <v>1710</v>
      </c>
      <c r="EL160">
        <v>1</v>
      </c>
      <c r="EM160" s="48" t="s">
        <v>1886</v>
      </c>
      <c r="EN160">
        <v>6</v>
      </c>
      <c r="EO160" s="48" t="s">
        <v>2521</v>
      </c>
      <c r="EP160" s="48" t="s">
        <v>3368</v>
      </c>
      <c r="EQ160">
        <v>4794.58</v>
      </c>
      <c r="ER160">
        <v>4794.58</v>
      </c>
      <c r="ES160">
        <v>6996104</v>
      </c>
      <c r="ET160">
        <v>4749</v>
      </c>
      <c r="EU160" s="48" t="s">
        <v>1710</v>
      </c>
      <c r="EV160" s="48" t="s">
        <v>1710</v>
      </c>
      <c r="EW160" s="48" t="s">
        <v>1712</v>
      </c>
      <c r="EX160" s="48" t="s">
        <v>1710</v>
      </c>
      <c r="EY160" s="48" t="s">
        <v>1860</v>
      </c>
      <c r="EZ160" s="48" t="s">
        <v>1710</v>
      </c>
      <c r="FA160" s="48" t="s">
        <v>1710</v>
      </c>
      <c r="FB160" s="48" t="s">
        <v>1712</v>
      </c>
      <c r="FC160" s="48" t="s">
        <v>1710</v>
      </c>
      <c r="FD160" s="48" t="s">
        <v>1710</v>
      </c>
      <c r="FE160" s="48" t="s">
        <v>1814</v>
      </c>
      <c r="FF160" s="48" t="s">
        <v>1815</v>
      </c>
      <c r="FG160" s="48" t="s">
        <v>1710</v>
      </c>
      <c r="FH160">
        <v>1</v>
      </c>
      <c r="FI160" s="48" t="s">
        <v>1846</v>
      </c>
      <c r="FJ160">
        <v>4794.58</v>
      </c>
      <c r="FK160">
        <v>4794.58</v>
      </c>
      <c r="FL160" s="48" t="s">
        <v>3369</v>
      </c>
      <c r="FM160" s="48" t="s">
        <v>3368</v>
      </c>
      <c r="FN160" s="48" t="s">
        <v>1710</v>
      </c>
      <c r="FO160" s="48" t="s">
        <v>1710</v>
      </c>
      <c r="FP160" s="48" t="s">
        <v>1710</v>
      </c>
      <c r="FQ160" s="48" t="s">
        <v>1710</v>
      </c>
      <c r="FR160" s="48" t="s">
        <v>1710</v>
      </c>
      <c r="FS160" s="48" t="s">
        <v>1710</v>
      </c>
      <c r="FT160" s="48" t="s">
        <v>1710</v>
      </c>
      <c r="FU160" s="48" t="s">
        <v>1710</v>
      </c>
      <c r="FV160" s="48"/>
      <c r="FW160" s="56"/>
      <c r="FX160" s="56"/>
      <c r="FY160" s="56"/>
      <c r="FZ160" s="56"/>
      <c r="GA160" s="55" t="str">
        <f t="shared" si="8"/>
        <v>4388426300457X</v>
      </c>
      <c r="GB160" t="str">
        <f>VLOOKUP(B160,수출코드!$C$2:$D$4,2,FALSE)</f>
        <v>Suwon</v>
      </c>
      <c r="GC160" t="str">
        <f>VLOOKUP(L160,수출코드!$A$2:$B$6,2,FALSE)</f>
        <v/>
      </c>
      <c r="GD160" t="str">
        <f>VLOOKUP(M160,수출코드!$E$2:$F$5,2,FALSE)</f>
        <v>일반</v>
      </c>
      <c r="GE160" s="61">
        <f t="shared" si="6"/>
        <v>45974.383333333331</v>
      </c>
      <c r="GF160" s="62">
        <f t="shared" si="7"/>
        <v>46051.493055555555</v>
      </c>
      <c r="GI160" s="48" t="s">
        <v>2767</v>
      </c>
    </row>
    <row r="161" spans="1:191">
      <c r="A161" s="48" t="s">
        <v>4096</v>
      </c>
      <c r="B161" s="48" t="s">
        <v>1821</v>
      </c>
      <c r="C161" s="48" t="s">
        <v>2048</v>
      </c>
      <c r="D161" s="48" t="s">
        <v>2813</v>
      </c>
      <c r="E161" s="48" t="s">
        <v>4096</v>
      </c>
      <c r="F161" s="48" t="s">
        <v>1710</v>
      </c>
      <c r="G161" s="48" t="s">
        <v>2814</v>
      </c>
      <c r="H161" s="48" t="s">
        <v>4097</v>
      </c>
      <c r="I161" s="48" t="s">
        <v>1884</v>
      </c>
      <c r="J161" s="48" t="s">
        <v>3111</v>
      </c>
      <c r="K161" s="48" t="s">
        <v>1877</v>
      </c>
      <c r="L161" s="48" t="s">
        <v>1842</v>
      </c>
      <c r="M161" s="48" t="s">
        <v>1810</v>
      </c>
      <c r="N161" s="48" t="s">
        <v>1842</v>
      </c>
      <c r="O161" s="48" t="s">
        <v>1811</v>
      </c>
      <c r="P161" s="48" t="s">
        <v>2549</v>
      </c>
      <c r="Q161" s="48" t="s">
        <v>2049</v>
      </c>
      <c r="R161" s="48" t="s">
        <v>1838</v>
      </c>
      <c r="S161" s="48" t="s">
        <v>2050</v>
      </c>
      <c r="T161" s="48" t="s">
        <v>1845</v>
      </c>
      <c r="U161" s="48" t="s">
        <v>2049</v>
      </c>
      <c r="V161" s="48" t="s">
        <v>1838</v>
      </c>
      <c r="W161" s="48" t="s">
        <v>2051</v>
      </c>
      <c r="X161" s="48" t="s">
        <v>2052</v>
      </c>
      <c r="Y161" s="48" t="s">
        <v>2050</v>
      </c>
      <c r="Z161" s="48" t="s">
        <v>2053</v>
      </c>
      <c r="AA161" s="48" t="s">
        <v>2054</v>
      </c>
      <c r="AB161" s="48" t="s">
        <v>2817</v>
      </c>
      <c r="AC161" s="48" t="s">
        <v>2055</v>
      </c>
      <c r="AD161" s="48" t="s">
        <v>2056</v>
      </c>
      <c r="AE161" s="48" t="s">
        <v>1710</v>
      </c>
      <c r="AF161" s="48" t="s">
        <v>1710</v>
      </c>
      <c r="AG161" s="48" t="s">
        <v>2057</v>
      </c>
      <c r="AH161" s="48" t="s">
        <v>1815</v>
      </c>
      <c r="AI161" s="48" t="s">
        <v>2058</v>
      </c>
      <c r="AJ161" s="48" t="s">
        <v>1710</v>
      </c>
      <c r="AK161" s="48" t="s">
        <v>2560</v>
      </c>
      <c r="AL161" s="48" t="s">
        <v>2561</v>
      </c>
      <c r="AM161" s="48" t="s">
        <v>1816</v>
      </c>
      <c r="AN161" s="48" t="s">
        <v>2054</v>
      </c>
      <c r="AO161" s="48" t="s">
        <v>1710</v>
      </c>
      <c r="AP161" s="48" t="s">
        <v>1855</v>
      </c>
      <c r="AQ161" s="48" t="s">
        <v>2076</v>
      </c>
      <c r="AR161" s="48" t="s">
        <v>1812</v>
      </c>
      <c r="AS161" s="48" t="s">
        <v>1813</v>
      </c>
      <c r="AT161" s="48" t="s">
        <v>1826</v>
      </c>
      <c r="AU161" s="48" t="s">
        <v>2061</v>
      </c>
      <c r="AV161" s="48" t="s">
        <v>3111</v>
      </c>
      <c r="AW161" s="48" t="s">
        <v>2062</v>
      </c>
      <c r="AX161" s="48" t="s">
        <v>2063</v>
      </c>
      <c r="AY161" s="48" t="s">
        <v>1710</v>
      </c>
      <c r="AZ161" s="48" t="s">
        <v>4098</v>
      </c>
      <c r="BA161" s="48" t="s">
        <v>1710</v>
      </c>
      <c r="BB161" s="48" t="s">
        <v>1709</v>
      </c>
      <c r="BC161" s="48" t="s">
        <v>1710</v>
      </c>
      <c r="BD161" s="48" t="s">
        <v>2089</v>
      </c>
      <c r="BE161" s="52" t="s">
        <v>4000</v>
      </c>
      <c r="BF161" s="48" t="s">
        <v>1710</v>
      </c>
      <c r="BG161" s="48" t="s">
        <v>1814</v>
      </c>
      <c r="BH161">
        <v>17</v>
      </c>
      <c r="BI161" s="48" t="s">
        <v>1888</v>
      </c>
      <c r="BJ161">
        <v>1</v>
      </c>
      <c r="BK161">
        <v>1473.06</v>
      </c>
      <c r="BL161">
        <v>54775036</v>
      </c>
      <c r="BM161">
        <v>37185</v>
      </c>
      <c r="BN161" s="48" t="s">
        <v>2064</v>
      </c>
      <c r="BO161" s="48" t="s">
        <v>2065</v>
      </c>
      <c r="BP161">
        <v>1473.06</v>
      </c>
      <c r="BQ161">
        <v>37246.03</v>
      </c>
      <c r="BR161" s="48" t="s">
        <v>1885</v>
      </c>
      <c r="BS161" s="48" t="s">
        <v>2066</v>
      </c>
      <c r="BT161">
        <v>1</v>
      </c>
      <c r="BU161">
        <v>90600</v>
      </c>
      <c r="BV161">
        <v>90600</v>
      </c>
      <c r="BW161" s="48" t="s">
        <v>2065</v>
      </c>
      <c r="BX161">
        <v>1473.06</v>
      </c>
      <c r="BY161">
        <v>0</v>
      </c>
      <c r="BZ161">
        <v>0</v>
      </c>
      <c r="CA161" s="48" t="s">
        <v>2065</v>
      </c>
      <c r="CB161">
        <v>1473.06</v>
      </c>
      <c r="CC161">
        <v>0</v>
      </c>
      <c r="CD161">
        <v>0</v>
      </c>
      <c r="CE161" s="48" t="s">
        <v>1710</v>
      </c>
      <c r="CF161" s="48" t="s">
        <v>1710</v>
      </c>
      <c r="CG161" s="48" t="s">
        <v>1710</v>
      </c>
      <c r="CH161" s="48" t="s">
        <v>1710</v>
      </c>
      <c r="CI161" s="48" t="s">
        <v>2067</v>
      </c>
      <c r="CJ161" s="48" t="s">
        <v>1710</v>
      </c>
      <c r="CL161" s="48" t="s">
        <v>3111</v>
      </c>
      <c r="CM161" s="48" t="s">
        <v>1710</v>
      </c>
      <c r="CN161" s="48" t="s">
        <v>2068</v>
      </c>
      <c r="CO161" s="48" t="s">
        <v>2069</v>
      </c>
      <c r="CP161" s="48" t="s">
        <v>1710</v>
      </c>
      <c r="CQ161" s="48" t="s">
        <v>1710</v>
      </c>
      <c r="CR161" s="48" t="s">
        <v>1710</v>
      </c>
      <c r="CS161" s="48" t="s">
        <v>1710</v>
      </c>
      <c r="CT161" s="48" t="s">
        <v>1710</v>
      </c>
      <c r="CU161" s="48" t="s">
        <v>1712</v>
      </c>
      <c r="CV161" s="48" t="s">
        <v>1710</v>
      </c>
      <c r="CW161" s="48" t="s">
        <v>1710</v>
      </c>
      <c r="CX161" s="48" t="s">
        <v>3167</v>
      </c>
      <c r="CY161" s="48" t="s">
        <v>1710</v>
      </c>
      <c r="CZ161" s="48" t="s">
        <v>1712</v>
      </c>
      <c r="DA161" s="48" t="s">
        <v>1710</v>
      </c>
      <c r="DB161" s="48" t="s">
        <v>1878</v>
      </c>
      <c r="DC161" s="48" t="s">
        <v>2070</v>
      </c>
      <c r="DD161" s="48" t="s">
        <v>1842</v>
      </c>
      <c r="DE161" s="48" t="s">
        <v>1886</v>
      </c>
      <c r="DF161" s="48" t="s">
        <v>4099</v>
      </c>
      <c r="DG161" s="48" t="s">
        <v>2071</v>
      </c>
      <c r="DH161" s="48" t="s">
        <v>1712</v>
      </c>
      <c r="DI161" s="48" t="s">
        <v>1710</v>
      </c>
      <c r="DJ161" s="48" t="s">
        <v>1710</v>
      </c>
      <c r="DK161" s="48" t="s">
        <v>1710</v>
      </c>
      <c r="DL161" s="48" t="s">
        <v>1710</v>
      </c>
      <c r="DM161" s="48" t="s">
        <v>1710</v>
      </c>
      <c r="DN161" s="48" t="s">
        <v>1710</v>
      </c>
      <c r="DO161" s="48" t="s">
        <v>1710</v>
      </c>
      <c r="DP161" s="48" t="s">
        <v>1710</v>
      </c>
      <c r="DQ161" s="48" t="s">
        <v>1710</v>
      </c>
      <c r="DR161" s="48" t="s">
        <v>2072</v>
      </c>
      <c r="DS161" s="48" t="s">
        <v>1710</v>
      </c>
      <c r="DT161" s="48" t="s">
        <v>1710</v>
      </c>
      <c r="DU161" s="48" t="s">
        <v>2547</v>
      </c>
      <c r="DV161" s="48" t="s">
        <v>3111</v>
      </c>
      <c r="DW161" s="48" t="s">
        <v>1710</v>
      </c>
      <c r="DX161" s="48" t="s">
        <v>4100</v>
      </c>
      <c r="DY161" s="48" t="s">
        <v>1709</v>
      </c>
      <c r="DZ161" s="48" t="s">
        <v>2562</v>
      </c>
      <c r="EA161" s="48" t="s">
        <v>2546</v>
      </c>
      <c r="EB161">
        <v>0</v>
      </c>
      <c r="EC161" s="48" t="s">
        <v>2547</v>
      </c>
      <c r="ED161" s="48" t="s">
        <v>4090</v>
      </c>
      <c r="EE161" s="48" t="s">
        <v>1814</v>
      </c>
      <c r="EF161" s="48" t="s">
        <v>4101</v>
      </c>
      <c r="EG161" s="48" t="s">
        <v>4098</v>
      </c>
      <c r="EH161">
        <v>13.000999999999999</v>
      </c>
      <c r="EI161" s="48" t="s">
        <v>1888</v>
      </c>
      <c r="EJ161">
        <v>0</v>
      </c>
      <c r="EK161" s="48" t="s">
        <v>1710</v>
      </c>
      <c r="EL161">
        <v>1</v>
      </c>
      <c r="EM161" s="48" t="s">
        <v>1886</v>
      </c>
      <c r="EN161">
        <v>13.000999999999999</v>
      </c>
      <c r="EO161" s="48" t="s">
        <v>4102</v>
      </c>
      <c r="EP161" s="48" t="s">
        <v>4103</v>
      </c>
      <c r="EQ161">
        <v>37246.03</v>
      </c>
      <c r="ER161">
        <v>37246.03</v>
      </c>
      <c r="ES161">
        <v>54775036</v>
      </c>
      <c r="ET161">
        <v>37185</v>
      </c>
      <c r="EU161" s="48" t="s">
        <v>1710</v>
      </c>
      <c r="EV161" s="48" t="s">
        <v>1710</v>
      </c>
      <c r="EW161" s="48" t="s">
        <v>1712</v>
      </c>
      <c r="EX161" s="48" t="s">
        <v>1710</v>
      </c>
      <c r="EY161" s="48" t="s">
        <v>1869</v>
      </c>
      <c r="EZ161" s="48" t="s">
        <v>1710</v>
      </c>
      <c r="FA161" s="48" t="s">
        <v>1710</v>
      </c>
      <c r="FB161" s="48" t="s">
        <v>1712</v>
      </c>
      <c r="FC161" s="48" t="s">
        <v>1710</v>
      </c>
      <c r="FD161" s="48" t="s">
        <v>1710</v>
      </c>
      <c r="FE161" s="48" t="s">
        <v>1814</v>
      </c>
      <c r="FF161" s="48" t="s">
        <v>1815</v>
      </c>
      <c r="FG161" s="48" t="s">
        <v>1710</v>
      </c>
      <c r="FH161">
        <v>1</v>
      </c>
      <c r="FI161" s="48" t="s">
        <v>1846</v>
      </c>
      <c r="FJ161">
        <v>37246.03</v>
      </c>
      <c r="FK161">
        <v>37246.03</v>
      </c>
      <c r="FL161" s="48" t="s">
        <v>4104</v>
      </c>
      <c r="FM161" s="48" t="s">
        <v>4103</v>
      </c>
      <c r="FN161" s="48" t="s">
        <v>1710</v>
      </c>
      <c r="FO161" s="48" t="s">
        <v>1710</v>
      </c>
      <c r="FP161" s="48" t="s">
        <v>1710</v>
      </c>
      <c r="FQ161" s="48" t="s">
        <v>1710</v>
      </c>
      <c r="FR161" s="48" t="s">
        <v>1710</v>
      </c>
      <c r="FS161" s="48" t="s">
        <v>1710</v>
      </c>
      <c r="FT161" s="48" t="s">
        <v>1710</v>
      </c>
      <c r="FU161" s="48" t="s">
        <v>1710</v>
      </c>
      <c r="FV161" s="48"/>
      <c r="FW161" s="56"/>
      <c r="FX161" s="56"/>
      <c r="FY161" s="56"/>
      <c r="FZ161" s="56"/>
      <c r="GA161" s="55" t="str">
        <f t="shared" si="8"/>
        <v>4388426300458X</v>
      </c>
      <c r="GB161" t="str">
        <f>VLOOKUP(B161,수출코드!$C$2:$D$4,2,FALSE)</f>
        <v>Suwon</v>
      </c>
      <c r="GC161" t="str">
        <f>VLOOKUP(L161,수출코드!$A$2:$B$6,2,FALSE)</f>
        <v/>
      </c>
      <c r="GD161" t="str">
        <f>VLOOKUP(M161,수출코드!$E$2:$F$5,2,FALSE)</f>
        <v>일반</v>
      </c>
      <c r="GE161" s="61">
        <f t="shared" si="6"/>
        <v>45974.383333333331</v>
      </c>
      <c r="GF161" s="62">
        <f t="shared" si="7"/>
        <v>46051.493055555555</v>
      </c>
      <c r="GI161" s="48" t="s">
        <v>2767</v>
      </c>
    </row>
    <row r="162" spans="1:191">
      <c r="A162" s="48" t="s">
        <v>4105</v>
      </c>
      <c r="B162" s="48" t="s">
        <v>1821</v>
      </c>
      <c r="C162" s="48" t="s">
        <v>2048</v>
      </c>
      <c r="D162" s="48" t="s">
        <v>2813</v>
      </c>
      <c r="E162" s="48" t="s">
        <v>4105</v>
      </c>
      <c r="F162" s="48" t="s">
        <v>1710</v>
      </c>
      <c r="G162" s="48" t="s">
        <v>2814</v>
      </c>
      <c r="H162" s="48" t="s">
        <v>4106</v>
      </c>
      <c r="I162" s="48" t="s">
        <v>1884</v>
      </c>
      <c r="J162" s="48" t="s">
        <v>3111</v>
      </c>
      <c r="K162" s="48" t="s">
        <v>1877</v>
      </c>
      <c r="L162" s="48" t="s">
        <v>1842</v>
      </c>
      <c r="M162" s="48" t="s">
        <v>1822</v>
      </c>
      <c r="N162" s="48" t="s">
        <v>1842</v>
      </c>
      <c r="O162" s="48" t="s">
        <v>1823</v>
      </c>
      <c r="P162" s="48" t="s">
        <v>2549</v>
      </c>
      <c r="Q162" s="48" t="s">
        <v>2049</v>
      </c>
      <c r="R162" s="48" t="s">
        <v>1838</v>
      </c>
      <c r="S162" s="48" t="s">
        <v>2050</v>
      </c>
      <c r="T162" s="48" t="s">
        <v>1845</v>
      </c>
      <c r="U162" s="48" t="s">
        <v>2049</v>
      </c>
      <c r="V162" s="48" t="s">
        <v>1838</v>
      </c>
      <c r="W162" s="48" t="s">
        <v>2051</v>
      </c>
      <c r="X162" s="48" t="s">
        <v>2052</v>
      </c>
      <c r="Y162" s="48" t="s">
        <v>2050</v>
      </c>
      <c r="Z162" s="48" t="s">
        <v>2053</v>
      </c>
      <c r="AA162" s="48" t="s">
        <v>2054</v>
      </c>
      <c r="AB162" s="48" t="s">
        <v>2817</v>
      </c>
      <c r="AC162" s="48" t="s">
        <v>2055</v>
      </c>
      <c r="AD162" s="48" t="s">
        <v>2056</v>
      </c>
      <c r="AE162" s="48" t="s">
        <v>1710</v>
      </c>
      <c r="AF162" s="48" t="s">
        <v>1710</v>
      </c>
      <c r="AG162" s="48" t="s">
        <v>2057</v>
      </c>
      <c r="AH162" s="48" t="s">
        <v>1815</v>
      </c>
      <c r="AI162" s="48" t="s">
        <v>2058</v>
      </c>
      <c r="AJ162" s="48" t="s">
        <v>1710</v>
      </c>
      <c r="AK162" s="48" t="s">
        <v>2563</v>
      </c>
      <c r="AL162" s="48" t="s">
        <v>2564</v>
      </c>
      <c r="AM162" s="48" t="s">
        <v>1816</v>
      </c>
      <c r="AN162" s="48" t="s">
        <v>2054</v>
      </c>
      <c r="AO162" s="48" t="s">
        <v>1710</v>
      </c>
      <c r="AP162" s="48" t="s">
        <v>1855</v>
      </c>
      <c r="AQ162" s="48" t="s">
        <v>2076</v>
      </c>
      <c r="AR162" s="48" t="s">
        <v>1812</v>
      </c>
      <c r="AS162" s="48" t="s">
        <v>1813</v>
      </c>
      <c r="AT162" s="48" t="s">
        <v>1826</v>
      </c>
      <c r="AU162" s="48" t="s">
        <v>2061</v>
      </c>
      <c r="AV162" s="48" t="s">
        <v>3111</v>
      </c>
      <c r="AW162" s="48" t="s">
        <v>2062</v>
      </c>
      <c r="AX162" s="48" t="s">
        <v>2063</v>
      </c>
      <c r="AY162" s="48" t="s">
        <v>1710</v>
      </c>
      <c r="AZ162" s="48" t="s">
        <v>4107</v>
      </c>
      <c r="BA162" s="48" t="s">
        <v>1710</v>
      </c>
      <c r="BB162" s="48" t="s">
        <v>1709</v>
      </c>
      <c r="BC162" s="48" t="s">
        <v>1710</v>
      </c>
      <c r="BD162" s="48" t="s">
        <v>2094</v>
      </c>
      <c r="BE162" s="52" t="s">
        <v>4108</v>
      </c>
      <c r="BF162" s="48" t="s">
        <v>1710</v>
      </c>
      <c r="BG162" s="48" t="s">
        <v>1814</v>
      </c>
      <c r="BH162">
        <v>65</v>
      </c>
      <c r="BI162" s="48" t="s">
        <v>1888</v>
      </c>
      <c r="BJ162">
        <v>1</v>
      </c>
      <c r="BK162">
        <v>1473.06</v>
      </c>
      <c r="BL162">
        <v>7472867</v>
      </c>
      <c r="BM162">
        <v>5073</v>
      </c>
      <c r="BN162" s="48" t="s">
        <v>2064</v>
      </c>
      <c r="BO162" s="48" t="s">
        <v>2065</v>
      </c>
      <c r="BP162">
        <v>1473.06</v>
      </c>
      <c r="BQ162">
        <v>5288.9</v>
      </c>
      <c r="BR162" s="48" t="s">
        <v>1885</v>
      </c>
      <c r="BS162" s="48" t="s">
        <v>2066</v>
      </c>
      <c r="BT162">
        <v>1</v>
      </c>
      <c r="BU162">
        <v>318000</v>
      </c>
      <c r="BV162">
        <v>318000</v>
      </c>
      <c r="BW162" s="48" t="s">
        <v>2065</v>
      </c>
      <c r="BX162">
        <v>1473.06</v>
      </c>
      <c r="BY162">
        <v>0</v>
      </c>
      <c r="BZ162">
        <v>0</v>
      </c>
      <c r="CA162" s="48" t="s">
        <v>2065</v>
      </c>
      <c r="CB162">
        <v>1473.06</v>
      </c>
      <c r="CC162">
        <v>0</v>
      </c>
      <c r="CD162">
        <v>0</v>
      </c>
      <c r="CE162" s="48" t="s">
        <v>1710</v>
      </c>
      <c r="CF162" s="48" t="s">
        <v>1710</v>
      </c>
      <c r="CG162" s="48" t="s">
        <v>1710</v>
      </c>
      <c r="CH162" s="48" t="s">
        <v>1710</v>
      </c>
      <c r="CI162" s="48" t="s">
        <v>2067</v>
      </c>
      <c r="CJ162" s="48" t="s">
        <v>1710</v>
      </c>
      <c r="CL162" s="48" t="s">
        <v>3111</v>
      </c>
      <c r="CM162" s="48" t="s">
        <v>1710</v>
      </c>
      <c r="CN162" s="48" t="s">
        <v>2068</v>
      </c>
      <c r="CO162" s="48" t="s">
        <v>2069</v>
      </c>
      <c r="CP162" s="48" t="s">
        <v>1710</v>
      </c>
      <c r="CQ162" s="48" t="s">
        <v>1710</v>
      </c>
      <c r="CR162" s="48" t="s">
        <v>1710</v>
      </c>
      <c r="CS162" s="48" t="s">
        <v>1710</v>
      </c>
      <c r="CT162" s="48" t="s">
        <v>1710</v>
      </c>
      <c r="CU162" s="48" t="s">
        <v>1712</v>
      </c>
      <c r="CV162" s="48" t="s">
        <v>1710</v>
      </c>
      <c r="CW162" s="48" t="s">
        <v>1710</v>
      </c>
      <c r="CX162" s="48" t="s">
        <v>3167</v>
      </c>
      <c r="CY162" s="48" t="s">
        <v>1710</v>
      </c>
      <c r="CZ162" s="48" t="s">
        <v>1885</v>
      </c>
      <c r="DA162" s="48" t="s">
        <v>1710</v>
      </c>
      <c r="DB162" s="48" t="s">
        <v>1878</v>
      </c>
      <c r="DC162" s="48" t="s">
        <v>2070</v>
      </c>
      <c r="DD162" s="48" t="s">
        <v>1842</v>
      </c>
      <c r="DE162" s="48" t="s">
        <v>1886</v>
      </c>
      <c r="DF162" s="48" t="s">
        <v>4109</v>
      </c>
      <c r="DG162" s="48" t="s">
        <v>2071</v>
      </c>
      <c r="DH162" s="48" t="s">
        <v>1712</v>
      </c>
      <c r="DI162" s="48" t="s">
        <v>1710</v>
      </c>
      <c r="DJ162" s="48" t="s">
        <v>1710</v>
      </c>
      <c r="DK162" s="48" t="s">
        <v>1710</v>
      </c>
      <c r="DL162" s="48" t="s">
        <v>1710</v>
      </c>
      <c r="DM162" s="48" t="s">
        <v>1710</v>
      </c>
      <c r="DN162" s="48" t="s">
        <v>1710</v>
      </c>
      <c r="DO162" s="48" t="s">
        <v>1710</v>
      </c>
      <c r="DP162" s="48" t="s">
        <v>1710</v>
      </c>
      <c r="DQ162" s="48" t="s">
        <v>1710</v>
      </c>
      <c r="DR162" s="48" t="s">
        <v>2072</v>
      </c>
      <c r="DS162" s="48" t="s">
        <v>1710</v>
      </c>
      <c r="DT162" s="48" t="s">
        <v>1710</v>
      </c>
      <c r="DU162" s="48" t="s">
        <v>2547</v>
      </c>
      <c r="DV162" s="48" t="s">
        <v>3141</v>
      </c>
      <c r="DW162" s="48" t="s">
        <v>1710</v>
      </c>
      <c r="DX162" s="48" t="s">
        <v>4110</v>
      </c>
      <c r="DY162" s="48" t="s">
        <v>1709</v>
      </c>
      <c r="DZ162" s="48" t="s">
        <v>2562</v>
      </c>
      <c r="EA162" s="48" t="s">
        <v>2546</v>
      </c>
      <c r="EB162">
        <v>0</v>
      </c>
      <c r="EC162" s="48" t="s">
        <v>2547</v>
      </c>
      <c r="ED162" s="48" t="s">
        <v>4111</v>
      </c>
      <c r="EE162" s="48" t="s">
        <v>1814</v>
      </c>
      <c r="EF162" s="48" t="s">
        <v>2653</v>
      </c>
      <c r="EG162" s="48" t="s">
        <v>4107</v>
      </c>
      <c r="EH162">
        <v>24.3</v>
      </c>
      <c r="EI162" s="48" t="s">
        <v>1888</v>
      </c>
      <c r="EJ162">
        <v>0</v>
      </c>
      <c r="EK162" s="48" t="s">
        <v>1710</v>
      </c>
      <c r="EL162">
        <v>1</v>
      </c>
      <c r="EM162" s="48" t="s">
        <v>1886</v>
      </c>
      <c r="EN162">
        <v>24.3</v>
      </c>
      <c r="EO162" s="48" t="s">
        <v>4112</v>
      </c>
      <c r="EP162" s="48" t="s">
        <v>4113</v>
      </c>
      <c r="EQ162">
        <v>5288.9</v>
      </c>
      <c r="ER162">
        <v>5288.9</v>
      </c>
      <c r="ES162">
        <v>7472867</v>
      </c>
      <c r="ET162">
        <v>5073</v>
      </c>
      <c r="EU162" s="48" t="s">
        <v>1710</v>
      </c>
      <c r="EV162" s="48" t="s">
        <v>1710</v>
      </c>
      <c r="EW162" s="48" t="s">
        <v>1712</v>
      </c>
      <c r="EX162" s="48" t="s">
        <v>1710</v>
      </c>
      <c r="EY162" s="48" t="s">
        <v>1843</v>
      </c>
      <c r="EZ162" s="48" t="s">
        <v>1710</v>
      </c>
      <c r="FA162" s="48" t="s">
        <v>1710</v>
      </c>
      <c r="FB162" s="48" t="s">
        <v>1712</v>
      </c>
      <c r="FC162" s="48" t="s">
        <v>1710</v>
      </c>
      <c r="FD162" s="48" t="s">
        <v>1710</v>
      </c>
      <c r="FE162" s="48" t="s">
        <v>1814</v>
      </c>
      <c r="FF162" s="48" t="s">
        <v>1815</v>
      </c>
      <c r="FG162" s="48" t="s">
        <v>1710</v>
      </c>
      <c r="FH162">
        <v>1</v>
      </c>
      <c r="FI162" s="48" t="s">
        <v>1846</v>
      </c>
      <c r="FJ162">
        <v>5288.9</v>
      </c>
      <c r="FK162">
        <v>5288.9</v>
      </c>
      <c r="FL162" s="48" t="s">
        <v>4114</v>
      </c>
      <c r="FM162" s="48" t="s">
        <v>4113</v>
      </c>
      <c r="FN162" s="48" t="s">
        <v>1710</v>
      </c>
      <c r="FO162" s="48" t="s">
        <v>1710</v>
      </c>
      <c r="FP162" s="48" t="s">
        <v>1710</v>
      </c>
      <c r="FQ162" s="48" t="s">
        <v>1710</v>
      </c>
      <c r="FR162" s="48" t="s">
        <v>1710</v>
      </c>
      <c r="FS162" s="48" t="s">
        <v>1710</v>
      </c>
      <c r="FT162" s="48" t="s">
        <v>4115</v>
      </c>
      <c r="FU162" s="48" t="s">
        <v>1710</v>
      </c>
      <c r="FV162" s="48"/>
      <c r="FW162" s="56"/>
      <c r="FX162" s="56"/>
      <c r="FY162" s="56"/>
      <c r="FZ162" s="56"/>
      <c r="GA162" s="55" t="str">
        <f t="shared" si="8"/>
        <v>4388426300459X</v>
      </c>
      <c r="GB162" t="str">
        <f>VLOOKUP(B162,수출코드!$C$2:$D$4,2,FALSE)</f>
        <v>Suwon</v>
      </c>
      <c r="GC162" t="str">
        <f>VLOOKUP(L162,수출코드!$A$2:$B$6,2,FALSE)</f>
        <v/>
      </c>
      <c r="GD162" t="str">
        <f>VLOOKUP(M162,수출코드!$E$2:$F$5,2,FALSE)</f>
        <v>재수입</v>
      </c>
      <c r="GE162" s="61">
        <f t="shared" si="6"/>
        <v>45974.383333333331</v>
      </c>
      <c r="GF162" s="62">
        <f t="shared" si="7"/>
        <v>46051.569444444445</v>
      </c>
      <c r="GI162" s="48" t="s">
        <v>2767</v>
      </c>
    </row>
    <row r="163" spans="1:191">
      <c r="A163" s="48" t="s">
        <v>4116</v>
      </c>
      <c r="B163" s="48" t="s">
        <v>1821</v>
      </c>
      <c r="C163" s="48" t="s">
        <v>2048</v>
      </c>
      <c r="D163" s="48" t="s">
        <v>2813</v>
      </c>
      <c r="E163" s="48" t="s">
        <v>4116</v>
      </c>
      <c r="F163" s="48" t="s">
        <v>1710</v>
      </c>
      <c r="G163" s="48" t="s">
        <v>2814</v>
      </c>
      <c r="H163" s="48" t="s">
        <v>4117</v>
      </c>
      <c r="I163" s="48" t="s">
        <v>1884</v>
      </c>
      <c r="J163" s="48" t="s">
        <v>3111</v>
      </c>
      <c r="K163" s="48" t="s">
        <v>1877</v>
      </c>
      <c r="L163" s="48" t="s">
        <v>1842</v>
      </c>
      <c r="M163" s="48" t="s">
        <v>1810</v>
      </c>
      <c r="N163" s="48" t="s">
        <v>1842</v>
      </c>
      <c r="O163" s="48" t="s">
        <v>1811</v>
      </c>
      <c r="P163" s="48" t="s">
        <v>2549</v>
      </c>
      <c r="Q163" s="48" t="s">
        <v>2049</v>
      </c>
      <c r="R163" s="48" t="s">
        <v>1838</v>
      </c>
      <c r="S163" s="48" t="s">
        <v>2050</v>
      </c>
      <c r="T163" s="48" t="s">
        <v>1845</v>
      </c>
      <c r="U163" s="48" t="s">
        <v>2049</v>
      </c>
      <c r="V163" s="48" t="s">
        <v>1838</v>
      </c>
      <c r="W163" s="48" t="s">
        <v>2051</v>
      </c>
      <c r="X163" s="48" t="s">
        <v>2052</v>
      </c>
      <c r="Y163" s="48" t="s">
        <v>2050</v>
      </c>
      <c r="Z163" s="48" t="s">
        <v>2053</v>
      </c>
      <c r="AA163" s="48" t="s">
        <v>2054</v>
      </c>
      <c r="AB163" s="48" t="s">
        <v>2817</v>
      </c>
      <c r="AC163" s="48" t="s">
        <v>2055</v>
      </c>
      <c r="AD163" s="48" t="s">
        <v>2056</v>
      </c>
      <c r="AE163" s="48" t="s">
        <v>1710</v>
      </c>
      <c r="AF163" s="48" t="s">
        <v>1710</v>
      </c>
      <c r="AG163" s="48" t="s">
        <v>2057</v>
      </c>
      <c r="AH163" s="48" t="s">
        <v>1815</v>
      </c>
      <c r="AI163" s="48" t="s">
        <v>2058</v>
      </c>
      <c r="AJ163" s="48" t="s">
        <v>1710</v>
      </c>
      <c r="AK163" s="48" t="s">
        <v>2099</v>
      </c>
      <c r="AL163" s="48" t="s">
        <v>1866</v>
      </c>
      <c r="AM163" s="48" t="s">
        <v>1816</v>
      </c>
      <c r="AN163" s="48" t="s">
        <v>2054</v>
      </c>
      <c r="AO163" s="48" t="s">
        <v>1710</v>
      </c>
      <c r="AP163" s="48" t="s">
        <v>1854</v>
      </c>
      <c r="AQ163" s="48" t="s">
        <v>2081</v>
      </c>
      <c r="AR163" s="48" t="s">
        <v>1812</v>
      </c>
      <c r="AS163" s="48" t="s">
        <v>1813</v>
      </c>
      <c r="AT163" s="48" t="s">
        <v>1826</v>
      </c>
      <c r="AU163" s="48" t="s">
        <v>2061</v>
      </c>
      <c r="AV163" s="48" t="s">
        <v>3111</v>
      </c>
      <c r="AW163" s="48" t="s">
        <v>2062</v>
      </c>
      <c r="AX163" s="48" t="s">
        <v>2063</v>
      </c>
      <c r="AY163" s="48" t="s">
        <v>1710</v>
      </c>
      <c r="AZ163" s="48" t="s">
        <v>4118</v>
      </c>
      <c r="BA163" s="48" t="s">
        <v>1710</v>
      </c>
      <c r="BB163" s="48" t="s">
        <v>1709</v>
      </c>
      <c r="BC163" s="48" t="s">
        <v>1710</v>
      </c>
      <c r="BD163" s="48" t="s">
        <v>4119</v>
      </c>
      <c r="BE163" s="52" t="s">
        <v>4120</v>
      </c>
      <c r="BF163" s="48" t="s">
        <v>1710</v>
      </c>
      <c r="BG163" s="48" t="s">
        <v>1814</v>
      </c>
      <c r="BH163">
        <v>375</v>
      </c>
      <c r="BI163" s="48" t="s">
        <v>1888</v>
      </c>
      <c r="BJ163">
        <v>1</v>
      </c>
      <c r="BK163">
        <v>1473.06</v>
      </c>
      <c r="BL163">
        <v>338330485</v>
      </c>
      <c r="BM163">
        <v>229679</v>
      </c>
      <c r="BN163" s="48" t="s">
        <v>2064</v>
      </c>
      <c r="BO163" s="48" t="s">
        <v>2065</v>
      </c>
      <c r="BP163">
        <v>1473.06</v>
      </c>
      <c r="BQ163">
        <v>232290.8</v>
      </c>
      <c r="BR163" s="48" t="s">
        <v>1885</v>
      </c>
      <c r="BS163" s="48" t="s">
        <v>2066</v>
      </c>
      <c r="BT163">
        <v>1</v>
      </c>
      <c r="BU163">
        <v>3847800</v>
      </c>
      <c r="BV163">
        <v>3847800</v>
      </c>
      <c r="BW163" s="48" t="s">
        <v>2065</v>
      </c>
      <c r="BX163">
        <v>1473.06</v>
      </c>
      <c r="BY163">
        <v>0</v>
      </c>
      <c r="BZ163">
        <v>0</v>
      </c>
      <c r="CA163" s="48" t="s">
        <v>2065</v>
      </c>
      <c r="CB163">
        <v>1473.06</v>
      </c>
      <c r="CC163">
        <v>0</v>
      </c>
      <c r="CD163">
        <v>0</v>
      </c>
      <c r="CE163" s="48" t="s">
        <v>1710</v>
      </c>
      <c r="CF163" s="48" t="s">
        <v>1710</v>
      </c>
      <c r="CG163" s="48" t="s">
        <v>1710</v>
      </c>
      <c r="CH163" s="48" t="s">
        <v>1710</v>
      </c>
      <c r="CI163" s="48" t="s">
        <v>2067</v>
      </c>
      <c r="CJ163" s="48" t="s">
        <v>1710</v>
      </c>
      <c r="CL163" s="48" t="s">
        <v>3111</v>
      </c>
      <c r="CM163" s="48" t="s">
        <v>1710</v>
      </c>
      <c r="CN163" s="48" t="s">
        <v>2068</v>
      </c>
      <c r="CO163" s="48" t="s">
        <v>2069</v>
      </c>
      <c r="CP163" s="48" t="s">
        <v>1710</v>
      </c>
      <c r="CQ163" s="48" t="s">
        <v>1710</v>
      </c>
      <c r="CR163" s="48" t="s">
        <v>1710</v>
      </c>
      <c r="CS163" s="48" t="s">
        <v>1710</v>
      </c>
      <c r="CT163" s="48" t="s">
        <v>1710</v>
      </c>
      <c r="CU163" s="48" t="s">
        <v>1712</v>
      </c>
      <c r="CV163" s="48" t="s">
        <v>1710</v>
      </c>
      <c r="CW163" s="48" t="s">
        <v>1710</v>
      </c>
      <c r="CX163" s="48" t="s">
        <v>3167</v>
      </c>
      <c r="CY163" s="48" t="s">
        <v>1710</v>
      </c>
      <c r="CZ163" s="48" t="s">
        <v>1712</v>
      </c>
      <c r="DA163" s="48" t="s">
        <v>1710</v>
      </c>
      <c r="DB163" s="48" t="s">
        <v>1878</v>
      </c>
      <c r="DC163" s="48" t="s">
        <v>2070</v>
      </c>
      <c r="DD163" s="48" t="s">
        <v>1842</v>
      </c>
      <c r="DE163" s="48" t="s">
        <v>1886</v>
      </c>
      <c r="DF163" s="48" t="s">
        <v>4121</v>
      </c>
      <c r="DG163" s="48" t="s">
        <v>2071</v>
      </c>
      <c r="DH163" s="48" t="s">
        <v>1712</v>
      </c>
      <c r="DI163" s="48" t="s">
        <v>1710</v>
      </c>
      <c r="DJ163" s="48" t="s">
        <v>1710</v>
      </c>
      <c r="DK163" s="48" t="s">
        <v>1710</v>
      </c>
      <c r="DL163" s="48" t="s">
        <v>1710</v>
      </c>
      <c r="DM163" s="48" t="s">
        <v>1710</v>
      </c>
      <c r="DN163" s="48" t="s">
        <v>1710</v>
      </c>
      <c r="DO163" s="48" t="s">
        <v>1710</v>
      </c>
      <c r="DP163" s="48" t="s">
        <v>1710</v>
      </c>
      <c r="DQ163" s="48" t="s">
        <v>1710</v>
      </c>
      <c r="DR163" s="48" t="s">
        <v>2072</v>
      </c>
      <c r="DS163" s="48" t="s">
        <v>1710</v>
      </c>
      <c r="DT163" s="48" t="s">
        <v>1710</v>
      </c>
      <c r="DU163" s="48" t="s">
        <v>2547</v>
      </c>
      <c r="DV163" s="48" t="s">
        <v>3206</v>
      </c>
      <c r="DW163" s="48" t="s">
        <v>1710</v>
      </c>
      <c r="DX163" s="48" t="s">
        <v>4122</v>
      </c>
      <c r="DY163" s="48" t="s">
        <v>1709</v>
      </c>
      <c r="DZ163" s="48" t="s">
        <v>2562</v>
      </c>
      <c r="EA163" s="48" t="s">
        <v>2546</v>
      </c>
      <c r="EB163">
        <v>0</v>
      </c>
      <c r="EC163" s="48" t="s">
        <v>2547</v>
      </c>
      <c r="ED163" s="48" t="s">
        <v>4123</v>
      </c>
      <c r="EE163" s="48" t="s">
        <v>1814</v>
      </c>
      <c r="EF163" s="48" t="s">
        <v>2620</v>
      </c>
      <c r="EG163" s="48" t="s">
        <v>4118</v>
      </c>
      <c r="EH163">
        <v>321</v>
      </c>
      <c r="EI163" s="48" t="s">
        <v>1888</v>
      </c>
      <c r="EJ163">
        <v>1</v>
      </c>
      <c r="EK163" s="48" t="s">
        <v>1887</v>
      </c>
      <c r="EL163">
        <v>1</v>
      </c>
      <c r="EM163" s="48" t="s">
        <v>1886</v>
      </c>
      <c r="EN163">
        <v>321</v>
      </c>
      <c r="EO163" s="48" t="s">
        <v>2621</v>
      </c>
      <c r="EP163" s="48" t="s">
        <v>4124</v>
      </c>
      <c r="EQ163">
        <v>232290.8</v>
      </c>
      <c r="ER163">
        <v>232290.8</v>
      </c>
      <c r="ES163">
        <v>338330485</v>
      </c>
      <c r="ET163">
        <v>229679</v>
      </c>
      <c r="EU163" s="48" t="s">
        <v>1710</v>
      </c>
      <c r="EV163" s="48" t="s">
        <v>1710</v>
      </c>
      <c r="EW163" s="48" t="s">
        <v>1712</v>
      </c>
      <c r="EX163" s="48" t="s">
        <v>1710</v>
      </c>
      <c r="EY163" s="48" t="s">
        <v>1848</v>
      </c>
      <c r="EZ163" s="48" t="s">
        <v>1710</v>
      </c>
      <c r="FA163" s="48" t="s">
        <v>1710</v>
      </c>
      <c r="FB163" s="48" t="s">
        <v>1712</v>
      </c>
      <c r="FC163" s="48" t="s">
        <v>1710</v>
      </c>
      <c r="FD163" s="48" t="s">
        <v>1710</v>
      </c>
      <c r="FE163" s="48" t="s">
        <v>1814</v>
      </c>
      <c r="FF163" s="48" t="s">
        <v>1815</v>
      </c>
      <c r="FG163" s="48" t="s">
        <v>1710</v>
      </c>
      <c r="FH163">
        <v>1</v>
      </c>
      <c r="FI163" s="48" t="s">
        <v>1846</v>
      </c>
      <c r="FJ163">
        <v>232290.8</v>
      </c>
      <c r="FK163">
        <v>232290.8</v>
      </c>
      <c r="FL163" s="48" t="s">
        <v>4125</v>
      </c>
      <c r="FM163" s="48" t="s">
        <v>4124</v>
      </c>
      <c r="FN163" s="48" t="s">
        <v>1710</v>
      </c>
      <c r="FO163" s="48" t="s">
        <v>1710</v>
      </c>
      <c r="FP163" s="48" t="s">
        <v>1710</v>
      </c>
      <c r="FQ163" s="48" t="s">
        <v>1710</v>
      </c>
      <c r="FR163" s="48" t="s">
        <v>1710</v>
      </c>
      <c r="FS163" s="48" t="s">
        <v>1710</v>
      </c>
      <c r="FT163" s="48" t="s">
        <v>1710</v>
      </c>
      <c r="FU163" s="48" t="s">
        <v>1710</v>
      </c>
      <c r="FV163" s="48"/>
      <c r="FW163" s="56"/>
      <c r="FX163" s="56"/>
      <c r="FY163" s="56"/>
      <c r="FZ163" s="56"/>
      <c r="GA163" s="55" t="str">
        <f t="shared" si="8"/>
        <v>4388426300460X</v>
      </c>
      <c r="GB163" t="str">
        <f>VLOOKUP(B163,수출코드!$C$2:$D$4,2,FALSE)</f>
        <v>Suwon</v>
      </c>
      <c r="GC163" t="str">
        <f>VLOOKUP(L163,수출코드!$A$2:$B$6,2,FALSE)</f>
        <v/>
      </c>
      <c r="GD163" t="str">
        <f>VLOOKUP(M163,수출코드!$E$2:$F$5,2,FALSE)</f>
        <v>일반</v>
      </c>
      <c r="GE163" s="61">
        <f t="shared" si="6"/>
        <v>45974.383333333331</v>
      </c>
      <c r="GF163" s="62">
        <f t="shared" si="7"/>
        <v>46051.675000000003</v>
      </c>
      <c r="GI163" s="48" t="s">
        <v>2767</v>
      </c>
    </row>
    <row r="164" spans="1:191">
      <c r="A164" s="48" t="s">
        <v>4126</v>
      </c>
      <c r="B164" s="48" t="s">
        <v>1821</v>
      </c>
      <c r="C164" s="48" t="s">
        <v>2048</v>
      </c>
      <c r="D164" s="48" t="s">
        <v>2813</v>
      </c>
      <c r="E164" s="48" t="s">
        <v>4126</v>
      </c>
      <c r="F164" s="48" t="s">
        <v>1710</v>
      </c>
      <c r="G164" s="48" t="s">
        <v>2814</v>
      </c>
      <c r="H164" s="48" t="s">
        <v>4127</v>
      </c>
      <c r="I164" s="48" t="s">
        <v>1884</v>
      </c>
      <c r="J164" s="48" t="s">
        <v>3111</v>
      </c>
      <c r="K164" s="48" t="s">
        <v>1877</v>
      </c>
      <c r="L164" s="48" t="s">
        <v>1842</v>
      </c>
      <c r="M164" s="48" t="s">
        <v>1810</v>
      </c>
      <c r="N164" s="48" t="s">
        <v>1842</v>
      </c>
      <c r="O164" s="48" t="s">
        <v>1811</v>
      </c>
      <c r="P164" s="48" t="s">
        <v>2549</v>
      </c>
      <c r="Q164" s="48" t="s">
        <v>2049</v>
      </c>
      <c r="R164" s="48" t="s">
        <v>1838</v>
      </c>
      <c r="S164" s="48" t="s">
        <v>2050</v>
      </c>
      <c r="T164" s="48" t="s">
        <v>1845</v>
      </c>
      <c r="U164" s="48" t="s">
        <v>2049</v>
      </c>
      <c r="V164" s="48" t="s">
        <v>1838</v>
      </c>
      <c r="W164" s="48" t="s">
        <v>2051</v>
      </c>
      <c r="X164" s="48" t="s">
        <v>2052</v>
      </c>
      <c r="Y164" s="48" t="s">
        <v>2050</v>
      </c>
      <c r="Z164" s="48" t="s">
        <v>2053</v>
      </c>
      <c r="AA164" s="48" t="s">
        <v>2054</v>
      </c>
      <c r="AB164" s="48" t="s">
        <v>2817</v>
      </c>
      <c r="AC164" s="48" t="s">
        <v>2055</v>
      </c>
      <c r="AD164" s="48" t="s">
        <v>2056</v>
      </c>
      <c r="AE164" s="48" t="s">
        <v>1710</v>
      </c>
      <c r="AF164" s="48" t="s">
        <v>1710</v>
      </c>
      <c r="AG164" s="48" t="s">
        <v>2057</v>
      </c>
      <c r="AH164" s="48" t="s">
        <v>1815</v>
      </c>
      <c r="AI164" s="48" t="s">
        <v>2058</v>
      </c>
      <c r="AJ164" s="48" t="s">
        <v>1710</v>
      </c>
      <c r="AK164" s="48" t="s">
        <v>2099</v>
      </c>
      <c r="AL164" s="48" t="s">
        <v>1866</v>
      </c>
      <c r="AM164" s="48" t="s">
        <v>1816</v>
      </c>
      <c r="AN164" s="48" t="s">
        <v>2054</v>
      </c>
      <c r="AO164" s="48" t="s">
        <v>1710</v>
      </c>
      <c r="AP164" s="48" t="s">
        <v>1854</v>
      </c>
      <c r="AQ164" s="48" t="s">
        <v>2081</v>
      </c>
      <c r="AR164" s="48" t="s">
        <v>1812</v>
      </c>
      <c r="AS164" s="48" t="s">
        <v>1813</v>
      </c>
      <c r="AT164" s="48" t="s">
        <v>1826</v>
      </c>
      <c r="AU164" s="48" t="s">
        <v>2061</v>
      </c>
      <c r="AV164" s="48" t="s">
        <v>3111</v>
      </c>
      <c r="AW164" s="48" t="s">
        <v>2062</v>
      </c>
      <c r="AX164" s="48" t="s">
        <v>2063</v>
      </c>
      <c r="AY164" s="48" t="s">
        <v>1710</v>
      </c>
      <c r="AZ164" s="48" t="s">
        <v>4128</v>
      </c>
      <c r="BA164" s="48" t="s">
        <v>1710</v>
      </c>
      <c r="BB164" s="48" t="s">
        <v>1709</v>
      </c>
      <c r="BC164" s="48" t="s">
        <v>1710</v>
      </c>
      <c r="BD164" s="48" t="s">
        <v>2097</v>
      </c>
      <c r="BE164" s="52" t="s">
        <v>4129</v>
      </c>
      <c r="BF164" s="48" t="s">
        <v>1710</v>
      </c>
      <c r="BG164" s="48" t="s">
        <v>1818</v>
      </c>
      <c r="BH164">
        <v>27.7</v>
      </c>
      <c r="BI164" s="48" t="s">
        <v>1888</v>
      </c>
      <c r="BJ164">
        <v>1</v>
      </c>
      <c r="BK164">
        <v>1473.06</v>
      </c>
      <c r="BL164">
        <v>32442233</v>
      </c>
      <c r="BM164">
        <v>22024</v>
      </c>
      <c r="BN164" s="48" t="s">
        <v>2064</v>
      </c>
      <c r="BO164" s="48" t="s">
        <v>2065</v>
      </c>
      <c r="BP164">
        <v>1473.06</v>
      </c>
      <c r="BQ164">
        <v>22233.47</v>
      </c>
      <c r="BR164" s="48" t="s">
        <v>1885</v>
      </c>
      <c r="BS164" s="48" t="s">
        <v>2066</v>
      </c>
      <c r="BT164">
        <v>1</v>
      </c>
      <c r="BU164">
        <v>309000</v>
      </c>
      <c r="BV164">
        <v>309000</v>
      </c>
      <c r="BW164" s="48" t="s">
        <v>2065</v>
      </c>
      <c r="BX164">
        <v>1473.06</v>
      </c>
      <c r="BY164">
        <v>0</v>
      </c>
      <c r="BZ164">
        <v>0</v>
      </c>
      <c r="CA164" s="48" t="s">
        <v>2065</v>
      </c>
      <c r="CB164">
        <v>1473.06</v>
      </c>
      <c r="CC164">
        <v>0</v>
      </c>
      <c r="CD164">
        <v>0</v>
      </c>
      <c r="CE164" s="48" t="s">
        <v>1710</v>
      </c>
      <c r="CF164" s="48" t="s">
        <v>1710</v>
      </c>
      <c r="CG164" s="48" t="s">
        <v>1710</v>
      </c>
      <c r="CH164" s="48" t="s">
        <v>1710</v>
      </c>
      <c r="CI164" s="48" t="s">
        <v>2067</v>
      </c>
      <c r="CJ164" s="48" t="s">
        <v>1710</v>
      </c>
      <c r="CL164" s="48" t="s">
        <v>3111</v>
      </c>
      <c r="CM164" s="48" t="s">
        <v>1710</v>
      </c>
      <c r="CN164" s="48" t="s">
        <v>2068</v>
      </c>
      <c r="CO164" s="48" t="s">
        <v>2069</v>
      </c>
      <c r="CP164" s="48" t="s">
        <v>1710</v>
      </c>
      <c r="CQ164" s="48" t="s">
        <v>1710</v>
      </c>
      <c r="CR164" s="48" t="s">
        <v>1710</v>
      </c>
      <c r="CS164" s="48" t="s">
        <v>1710</v>
      </c>
      <c r="CT164" s="48" t="s">
        <v>1710</v>
      </c>
      <c r="CU164" s="48" t="s">
        <v>1712</v>
      </c>
      <c r="CV164" s="48" t="s">
        <v>1710</v>
      </c>
      <c r="CW164" s="48" t="s">
        <v>1710</v>
      </c>
      <c r="CX164" s="48" t="s">
        <v>3167</v>
      </c>
      <c r="CY164" s="48" t="s">
        <v>1710</v>
      </c>
      <c r="CZ164" s="48" t="s">
        <v>1712</v>
      </c>
      <c r="DA164" s="48" t="s">
        <v>1710</v>
      </c>
      <c r="DB164" s="48" t="s">
        <v>1878</v>
      </c>
      <c r="DC164" s="48" t="s">
        <v>2070</v>
      </c>
      <c r="DD164" s="48" t="s">
        <v>1842</v>
      </c>
      <c r="DE164" s="48" t="s">
        <v>1886</v>
      </c>
      <c r="DF164" s="48" t="s">
        <v>4130</v>
      </c>
      <c r="DG164" s="48" t="s">
        <v>2071</v>
      </c>
      <c r="DH164" s="48" t="s">
        <v>1712</v>
      </c>
      <c r="DI164" s="48" t="s">
        <v>1710</v>
      </c>
      <c r="DJ164" s="48" t="s">
        <v>1710</v>
      </c>
      <c r="DK164" s="48" t="s">
        <v>1710</v>
      </c>
      <c r="DL164" s="48" t="s">
        <v>1710</v>
      </c>
      <c r="DM164" s="48" t="s">
        <v>1710</v>
      </c>
      <c r="DN164" s="48" t="s">
        <v>1710</v>
      </c>
      <c r="DO164" s="48" t="s">
        <v>1710</v>
      </c>
      <c r="DP164" s="48" t="s">
        <v>1710</v>
      </c>
      <c r="DQ164" s="48" t="s">
        <v>1710</v>
      </c>
      <c r="DR164" s="48" t="s">
        <v>2072</v>
      </c>
      <c r="DS164" s="48" t="s">
        <v>1710</v>
      </c>
      <c r="DT164" s="48" t="s">
        <v>1710</v>
      </c>
      <c r="DU164" s="48" t="s">
        <v>2547</v>
      </c>
      <c r="DV164" s="48" t="s">
        <v>3141</v>
      </c>
      <c r="DW164" s="48" t="s">
        <v>1710</v>
      </c>
      <c r="DX164" s="48" t="s">
        <v>4131</v>
      </c>
      <c r="DY164" s="48" t="s">
        <v>1709</v>
      </c>
      <c r="DZ164" s="48" t="s">
        <v>2562</v>
      </c>
      <c r="EA164" s="48" t="s">
        <v>2546</v>
      </c>
      <c r="EB164">
        <v>0</v>
      </c>
      <c r="EC164" s="48" t="s">
        <v>2547</v>
      </c>
      <c r="ED164" s="48" t="s">
        <v>4132</v>
      </c>
      <c r="EE164" s="48" t="s">
        <v>1814</v>
      </c>
      <c r="EF164" s="48" t="s">
        <v>2585</v>
      </c>
      <c r="EG164" s="48" t="s">
        <v>4128</v>
      </c>
      <c r="EH164">
        <v>4</v>
      </c>
      <c r="EI164" s="48" t="s">
        <v>1888</v>
      </c>
      <c r="EJ164">
        <v>1</v>
      </c>
      <c r="EK164" s="48" t="s">
        <v>1887</v>
      </c>
      <c r="EL164">
        <v>1</v>
      </c>
      <c r="EM164" s="48" t="s">
        <v>1886</v>
      </c>
      <c r="EN164">
        <v>4</v>
      </c>
      <c r="EO164" s="48" t="s">
        <v>2586</v>
      </c>
      <c r="EP164" s="48" t="s">
        <v>4133</v>
      </c>
      <c r="EQ164">
        <v>4501.92</v>
      </c>
      <c r="ER164">
        <v>4501.92</v>
      </c>
      <c r="ES164">
        <v>6569030</v>
      </c>
      <c r="ET164">
        <v>4459</v>
      </c>
      <c r="EU164" s="48" t="s">
        <v>1710</v>
      </c>
      <c r="EV164" s="48" t="s">
        <v>1710</v>
      </c>
      <c r="EW164" s="48" t="s">
        <v>1712</v>
      </c>
      <c r="EX164" s="48" t="s">
        <v>1710</v>
      </c>
      <c r="EY164" s="48" t="s">
        <v>1869</v>
      </c>
      <c r="EZ164" s="48" t="s">
        <v>1710</v>
      </c>
      <c r="FA164" s="48" t="s">
        <v>1710</v>
      </c>
      <c r="FB164" s="48" t="s">
        <v>1712</v>
      </c>
      <c r="FC164" s="48" t="s">
        <v>1710</v>
      </c>
      <c r="FD164" s="48" t="s">
        <v>1710</v>
      </c>
      <c r="FE164" s="48" t="s">
        <v>1814</v>
      </c>
      <c r="FF164" s="48" t="s">
        <v>1815</v>
      </c>
      <c r="FG164" s="48" t="s">
        <v>1710</v>
      </c>
      <c r="FH164">
        <v>1</v>
      </c>
      <c r="FI164" s="48" t="s">
        <v>1846</v>
      </c>
      <c r="FJ164">
        <v>4501.92</v>
      </c>
      <c r="FK164">
        <v>4501.92</v>
      </c>
      <c r="FL164" s="48" t="s">
        <v>4134</v>
      </c>
      <c r="FM164" s="48" t="s">
        <v>4133</v>
      </c>
      <c r="FN164" s="48" t="s">
        <v>1710</v>
      </c>
      <c r="FO164" s="48" t="s">
        <v>1710</v>
      </c>
      <c r="FP164" s="48" t="s">
        <v>1710</v>
      </c>
      <c r="FQ164" s="48" t="s">
        <v>1710</v>
      </c>
      <c r="FR164" s="48" t="s">
        <v>1710</v>
      </c>
      <c r="FS164" s="48" t="s">
        <v>1710</v>
      </c>
      <c r="FT164" s="48" t="s">
        <v>1710</v>
      </c>
      <c r="FU164" s="48" t="s">
        <v>1710</v>
      </c>
      <c r="FV164" s="48"/>
      <c r="FW164" s="56"/>
      <c r="FX164" s="56"/>
      <c r="FY164" s="56"/>
      <c r="FZ164" s="56"/>
      <c r="GA164" s="55" t="str">
        <f t="shared" si="8"/>
        <v>4388426300461X</v>
      </c>
      <c r="GB164" t="str">
        <f>VLOOKUP(B164,수출코드!$C$2:$D$4,2,FALSE)</f>
        <v>Suwon</v>
      </c>
      <c r="GC164" t="str">
        <f>VLOOKUP(L164,수출코드!$A$2:$B$6,2,FALSE)</f>
        <v/>
      </c>
      <c r="GD164" t="str">
        <f>VLOOKUP(M164,수출코드!$E$2:$F$5,2,FALSE)</f>
        <v>일반</v>
      </c>
      <c r="GE164" s="61">
        <f t="shared" si="6"/>
        <v>45974.383333333331</v>
      </c>
      <c r="GF164" s="62">
        <f t="shared" si="7"/>
        <v>46051.722916666666</v>
      </c>
      <c r="GI164" s="48" t="s">
        <v>2767</v>
      </c>
    </row>
    <row r="165" spans="1:191">
      <c r="A165" s="48" t="s">
        <v>4135</v>
      </c>
      <c r="B165" s="48" t="s">
        <v>1821</v>
      </c>
      <c r="C165" s="48" t="s">
        <v>2048</v>
      </c>
      <c r="D165" s="48" t="s">
        <v>2813</v>
      </c>
      <c r="E165" s="48" t="s">
        <v>4135</v>
      </c>
      <c r="F165" s="48" t="s">
        <v>1710</v>
      </c>
      <c r="G165" s="48" t="s">
        <v>2814</v>
      </c>
      <c r="H165" s="48" t="s">
        <v>4136</v>
      </c>
      <c r="I165" s="48" t="s">
        <v>1884</v>
      </c>
      <c r="J165" s="48" t="s">
        <v>3111</v>
      </c>
      <c r="K165" s="48" t="s">
        <v>1885</v>
      </c>
      <c r="L165" s="48" t="s">
        <v>1883</v>
      </c>
      <c r="M165" s="48" t="s">
        <v>2085</v>
      </c>
      <c r="N165" s="48" t="s">
        <v>1842</v>
      </c>
      <c r="O165" s="48" t="s">
        <v>1811</v>
      </c>
      <c r="P165" s="48" t="s">
        <v>2549</v>
      </c>
      <c r="Q165" s="48" t="s">
        <v>2049</v>
      </c>
      <c r="R165" s="48" t="s">
        <v>1838</v>
      </c>
      <c r="S165" s="48" t="s">
        <v>2050</v>
      </c>
      <c r="T165" s="48" t="s">
        <v>1845</v>
      </c>
      <c r="U165" s="48" t="s">
        <v>2049</v>
      </c>
      <c r="V165" s="48" t="s">
        <v>1838</v>
      </c>
      <c r="W165" s="48" t="s">
        <v>2051</v>
      </c>
      <c r="X165" s="48" t="s">
        <v>2052</v>
      </c>
      <c r="Y165" s="48" t="s">
        <v>2050</v>
      </c>
      <c r="Z165" s="48" t="s">
        <v>2053</v>
      </c>
      <c r="AA165" s="48" t="s">
        <v>2054</v>
      </c>
      <c r="AB165" s="48" t="s">
        <v>2817</v>
      </c>
      <c r="AC165" s="48" t="s">
        <v>2055</v>
      </c>
      <c r="AD165" s="48" t="s">
        <v>2056</v>
      </c>
      <c r="AE165" s="48" t="s">
        <v>1710</v>
      </c>
      <c r="AF165" s="48" t="s">
        <v>1710</v>
      </c>
      <c r="AG165" s="48" t="s">
        <v>2057</v>
      </c>
      <c r="AH165" s="48" t="s">
        <v>1815</v>
      </c>
      <c r="AI165" s="48" t="s">
        <v>2058</v>
      </c>
      <c r="AJ165" s="48" t="s">
        <v>1710</v>
      </c>
      <c r="AK165" s="48" t="s">
        <v>2099</v>
      </c>
      <c r="AL165" s="48" t="s">
        <v>1866</v>
      </c>
      <c r="AM165" s="48" t="s">
        <v>1816</v>
      </c>
      <c r="AN165" s="48" t="s">
        <v>2054</v>
      </c>
      <c r="AO165" s="48" t="s">
        <v>1710</v>
      </c>
      <c r="AP165" s="48" t="s">
        <v>1854</v>
      </c>
      <c r="AQ165" s="48" t="s">
        <v>2081</v>
      </c>
      <c r="AR165" s="48" t="s">
        <v>1812</v>
      </c>
      <c r="AS165" s="48" t="s">
        <v>1813</v>
      </c>
      <c r="AT165" s="48" t="s">
        <v>1826</v>
      </c>
      <c r="AU165" s="48" t="s">
        <v>2061</v>
      </c>
      <c r="AV165" s="48" t="s">
        <v>3111</v>
      </c>
      <c r="AW165" s="48" t="s">
        <v>2062</v>
      </c>
      <c r="AX165" s="48" t="s">
        <v>2063</v>
      </c>
      <c r="AY165" s="48" t="s">
        <v>1710</v>
      </c>
      <c r="AZ165" s="48" t="s">
        <v>4128</v>
      </c>
      <c r="BA165" s="48" t="s">
        <v>1710</v>
      </c>
      <c r="BB165" s="48" t="s">
        <v>1709</v>
      </c>
      <c r="BC165" s="48" t="s">
        <v>1710</v>
      </c>
      <c r="BD165" s="48" t="s">
        <v>2097</v>
      </c>
      <c r="BE165" s="52" t="s">
        <v>4129</v>
      </c>
      <c r="BF165" s="48" t="s">
        <v>1710</v>
      </c>
      <c r="BG165" s="48" t="s">
        <v>1814</v>
      </c>
      <c r="BH165">
        <v>1.3</v>
      </c>
      <c r="BI165" s="48" t="s">
        <v>1888</v>
      </c>
      <c r="BJ165">
        <v>1</v>
      </c>
      <c r="BK165">
        <v>1473.06</v>
      </c>
      <c r="BL165">
        <v>16830790</v>
      </c>
      <c r="BM165">
        <v>11426</v>
      </c>
      <c r="BN165" s="48" t="s">
        <v>2064</v>
      </c>
      <c r="BO165" s="48" t="s">
        <v>2065</v>
      </c>
      <c r="BP165">
        <v>1473.06</v>
      </c>
      <c r="BQ165">
        <v>11458.59</v>
      </c>
      <c r="BR165" s="48" t="s">
        <v>1885</v>
      </c>
      <c r="BS165" s="48" t="s">
        <v>2066</v>
      </c>
      <c r="BT165">
        <v>1</v>
      </c>
      <c r="BU165">
        <v>48400</v>
      </c>
      <c r="BV165">
        <v>48400</v>
      </c>
      <c r="BW165" s="48" t="s">
        <v>2065</v>
      </c>
      <c r="BX165">
        <v>1473.06</v>
      </c>
      <c r="BY165">
        <v>0</v>
      </c>
      <c r="BZ165">
        <v>0</v>
      </c>
      <c r="CA165" s="48" t="s">
        <v>2065</v>
      </c>
      <c r="CB165">
        <v>1473.06</v>
      </c>
      <c r="CC165">
        <v>0</v>
      </c>
      <c r="CD165">
        <v>0</v>
      </c>
      <c r="CE165" s="48" t="s">
        <v>1710</v>
      </c>
      <c r="CF165" s="48" t="s">
        <v>1710</v>
      </c>
      <c r="CG165" s="48" t="s">
        <v>1710</v>
      </c>
      <c r="CH165" s="48" t="s">
        <v>1710</v>
      </c>
      <c r="CI165" s="48" t="s">
        <v>2067</v>
      </c>
      <c r="CJ165" s="48" t="s">
        <v>1710</v>
      </c>
      <c r="CL165" s="48" t="s">
        <v>3111</v>
      </c>
      <c r="CM165" s="48" t="s">
        <v>1710</v>
      </c>
      <c r="CN165" s="48" t="s">
        <v>2068</v>
      </c>
      <c r="CO165" s="48" t="s">
        <v>2069</v>
      </c>
      <c r="CP165" s="48" t="s">
        <v>1710</v>
      </c>
      <c r="CQ165" s="48" t="s">
        <v>1710</v>
      </c>
      <c r="CR165" s="48" t="s">
        <v>1710</v>
      </c>
      <c r="CS165" s="48" t="s">
        <v>1710</v>
      </c>
      <c r="CT165" s="48" t="s">
        <v>1710</v>
      </c>
      <c r="CU165" s="48" t="s">
        <v>1712</v>
      </c>
      <c r="CV165" s="48" t="s">
        <v>1710</v>
      </c>
      <c r="CW165" s="48" t="s">
        <v>1710</v>
      </c>
      <c r="CX165" s="48" t="s">
        <v>3167</v>
      </c>
      <c r="CY165" s="48" t="s">
        <v>1710</v>
      </c>
      <c r="CZ165" s="48" t="s">
        <v>1712</v>
      </c>
      <c r="DA165" s="48" t="s">
        <v>1710</v>
      </c>
      <c r="DB165" s="48" t="s">
        <v>1878</v>
      </c>
      <c r="DC165" s="48" t="s">
        <v>2070</v>
      </c>
      <c r="DD165" s="48" t="s">
        <v>1842</v>
      </c>
      <c r="DE165" s="48" t="s">
        <v>1886</v>
      </c>
      <c r="DF165" s="48" t="s">
        <v>4137</v>
      </c>
      <c r="DG165" s="48" t="s">
        <v>2071</v>
      </c>
      <c r="DH165" s="48" t="s">
        <v>1712</v>
      </c>
      <c r="DI165" s="48" t="s">
        <v>1710</v>
      </c>
      <c r="DJ165" s="48" t="s">
        <v>1710</v>
      </c>
      <c r="DK165" s="48" t="s">
        <v>1710</v>
      </c>
      <c r="DL165" s="48" t="s">
        <v>1710</v>
      </c>
      <c r="DM165" s="48" t="s">
        <v>1710</v>
      </c>
      <c r="DN165" s="48" t="s">
        <v>1710</v>
      </c>
      <c r="DO165" s="48" t="s">
        <v>1710</v>
      </c>
      <c r="DP165" s="48" t="s">
        <v>1710</v>
      </c>
      <c r="DQ165" s="48" t="s">
        <v>1710</v>
      </c>
      <c r="DR165" s="48" t="s">
        <v>2072</v>
      </c>
      <c r="DS165" s="48" t="s">
        <v>1710</v>
      </c>
      <c r="DT165" s="48" t="s">
        <v>1710</v>
      </c>
      <c r="DU165" s="48" t="s">
        <v>2547</v>
      </c>
      <c r="DV165" s="48" t="s">
        <v>3141</v>
      </c>
      <c r="DW165" s="48" t="s">
        <v>1710</v>
      </c>
      <c r="DX165" s="48" t="s">
        <v>4131</v>
      </c>
      <c r="DY165" s="48" t="s">
        <v>1709</v>
      </c>
      <c r="DZ165" s="48" t="s">
        <v>2073</v>
      </c>
      <c r="EA165" s="48" t="s">
        <v>2546</v>
      </c>
      <c r="EB165">
        <v>0</v>
      </c>
      <c r="EC165" s="48" t="s">
        <v>2547</v>
      </c>
      <c r="ED165" s="48" t="s">
        <v>4138</v>
      </c>
      <c r="EE165" s="48" t="s">
        <v>1814</v>
      </c>
      <c r="EF165" s="48" t="s">
        <v>2660</v>
      </c>
      <c r="EG165" s="48" t="s">
        <v>4128</v>
      </c>
      <c r="EH165">
        <v>1.1000000000000001</v>
      </c>
      <c r="EI165" s="48" t="s">
        <v>1888</v>
      </c>
      <c r="EJ165">
        <v>0</v>
      </c>
      <c r="EK165" s="48" t="s">
        <v>1710</v>
      </c>
      <c r="EL165">
        <v>1</v>
      </c>
      <c r="EM165" s="48" t="s">
        <v>1886</v>
      </c>
      <c r="EN165">
        <v>1.1000000000000001</v>
      </c>
      <c r="EO165" s="48" t="s">
        <v>2661</v>
      </c>
      <c r="EP165" s="48" t="s">
        <v>4139</v>
      </c>
      <c r="EQ165">
        <v>11458.59</v>
      </c>
      <c r="ER165">
        <v>11458.59</v>
      </c>
      <c r="ES165">
        <v>16830790</v>
      </c>
      <c r="ET165">
        <v>11426</v>
      </c>
      <c r="EU165" s="48" t="s">
        <v>4140</v>
      </c>
      <c r="EV165" s="48" t="s">
        <v>3139</v>
      </c>
      <c r="EW165" s="48" t="s">
        <v>1712</v>
      </c>
      <c r="EX165" s="48" t="s">
        <v>1710</v>
      </c>
      <c r="EY165" s="48" t="s">
        <v>1848</v>
      </c>
      <c r="EZ165" s="48" t="s">
        <v>1710</v>
      </c>
      <c r="FA165" s="48" t="s">
        <v>1710</v>
      </c>
      <c r="FB165" s="48" t="s">
        <v>1712</v>
      </c>
      <c r="FC165" s="48" t="s">
        <v>1710</v>
      </c>
      <c r="FD165" s="48" t="s">
        <v>1710</v>
      </c>
      <c r="FE165" s="48" t="s">
        <v>1814</v>
      </c>
      <c r="FF165" s="48" t="s">
        <v>1815</v>
      </c>
      <c r="FG165" s="48" t="s">
        <v>1710</v>
      </c>
      <c r="FH165">
        <v>1</v>
      </c>
      <c r="FI165" s="48" t="s">
        <v>1846</v>
      </c>
      <c r="FJ165">
        <v>11458.59</v>
      </c>
      <c r="FK165">
        <v>11458.59</v>
      </c>
      <c r="FL165" s="48" t="s">
        <v>4141</v>
      </c>
      <c r="FM165" s="48" t="s">
        <v>4139</v>
      </c>
      <c r="FN165" s="48" t="s">
        <v>1710</v>
      </c>
      <c r="FO165" s="48" t="s">
        <v>1710</v>
      </c>
      <c r="FP165" s="48" t="s">
        <v>1710</v>
      </c>
      <c r="FQ165" s="48" t="s">
        <v>1710</v>
      </c>
      <c r="FR165" s="48" t="s">
        <v>1710</v>
      </c>
      <c r="FS165" s="48" t="s">
        <v>1710</v>
      </c>
      <c r="FT165" s="48" t="s">
        <v>1710</v>
      </c>
      <c r="FU165" s="48" t="s">
        <v>1710</v>
      </c>
      <c r="FV165" s="48"/>
      <c r="FW165" s="56"/>
      <c r="FX165" s="56"/>
      <c r="FY165" s="56"/>
      <c r="FZ165" s="56"/>
      <c r="GA165" s="55" t="str">
        <f t="shared" si="8"/>
        <v>4388426300462X</v>
      </c>
      <c r="GB165" t="str">
        <f>VLOOKUP(B165,수출코드!$C$2:$D$4,2,FALSE)</f>
        <v>Suwon</v>
      </c>
      <c r="GC165" t="str">
        <f>VLOOKUP(L165,수출코드!$A$2:$B$6,2,FALSE)</f>
        <v>서류제출</v>
      </c>
      <c r="GD165" t="str">
        <f>VLOOKUP(M165,수출코드!$E$2:$F$5,2,FALSE)</f>
        <v>원상태</v>
      </c>
      <c r="GE165" s="61">
        <f t="shared" si="6"/>
        <v>45974.490972222222</v>
      </c>
      <c r="GF165" s="62">
        <f t="shared" si="7"/>
        <v>46051.737500000003</v>
      </c>
      <c r="GI165" s="48" t="s">
        <v>2768</v>
      </c>
    </row>
    <row r="166" spans="1:191">
      <c r="A166" s="48" t="s">
        <v>4142</v>
      </c>
      <c r="B166" s="48" t="s">
        <v>1821</v>
      </c>
      <c r="C166" s="48" t="s">
        <v>2048</v>
      </c>
      <c r="D166" s="48" t="s">
        <v>2813</v>
      </c>
      <c r="E166" s="48" t="s">
        <v>4142</v>
      </c>
      <c r="F166" s="48" t="s">
        <v>1710</v>
      </c>
      <c r="G166" s="48" t="s">
        <v>2814</v>
      </c>
      <c r="H166" s="48" t="s">
        <v>4143</v>
      </c>
      <c r="I166" s="48" t="s">
        <v>1884</v>
      </c>
      <c r="J166" s="48" t="s">
        <v>3111</v>
      </c>
      <c r="K166" s="48" t="s">
        <v>1877</v>
      </c>
      <c r="L166" s="48" t="s">
        <v>1842</v>
      </c>
      <c r="M166" s="48" t="s">
        <v>1810</v>
      </c>
      <c r="N166" s="48" t="s">
        <v>1842</v>
      </c>
      <c r="O166" s="48" t="s">
        <v>1811</v>
      </c>
      <c r="P166" s="48" t="s">
        <v>2549</v>
      </c>
      <c r="Q166" s="48" t="s">
        <v>2049</v>
      </c>
      <c r="R166" s="48" t="s">
        <v>1838</v>
      </c>
      <c r="S166" s="48" t="s">
        <v>2050</v>
      </c>
      <c r="T166" s="48" t="s">
        <v>1845</v>
      </c>
      <c r="U166" s="48" t="s">
        <v>2049</v>
      </c>
      <c r="V166" s="48" t="s">
        <v>1838</v>
      </c>
      <c r="W166" s="48" t="s">
        <v>2051</v>
      </c>
      <c r="X166" s="48" t="s">
        <v>2052</v>
      </c>
      <c r="Y166" s="48" t="s">
        <v>2050</v>
      </c>
      <c r="Z166" s="48" t="s">
        <v>2053</v>
      </c>
      <c r="AA166" s="48" t="s">
        <v>2054</v>
      </c>
      <c r="AB166" s="48" t="s">
        <v>2817</v>
      </c>
      <c r="AC166" s="48" t="s">
        <v>2055</v>
      </c>
      <c r="AD166" s="48" t="s">
        <v>2056</v>
      </c>
      <c r="AE166" s="48" t="s">
        <v>1710</v>
      </c>
      <c r="AF166" s="48" t="s">
        <v>1710</v>
      </c>
      <c r="AG166" s="48" t="s">
        <v>2057</v>
      </c>
      <c r="AH166" s="48" t="s">
        <v>1815</v>
      </c>
      <c r="AI166" s="48" t="s">
        <v>2058</v>
      </c>
      <c r="AJ166" s="48" t="s">
        <v>1710</v>
      </c>
      <c r="AK166" s="48" t="s">
        <v>1839</v>
      </c>
      <c r="AL166" s="48" t="s">
        <v>1840</v>
      </c>
      <c r="AM166" s="48" t="s">
        <v>1816</v>
      </c>
      <c r="AN166" s="48" t="s">
        <v>2054</v>
      </c>
      <c r="AO166" s="48" t="s">
        <v>1710</v>
      </c>
      <c r="AP166" s="48" t="s">
        <v>1874</v>
      </c>
      <c r="AQ166" s="48" t="s">
        <v>2078</v>
      </c>
      <c r="AR166" s="48" t="s">
        <v>1812</v>
      </c>
      <c r="AS166" s="48" t="s">
        <v>1813</v>
      </c>
      <c r="AT166" s="48" t="s">
        <v>1826</v>
      </c>
      <c r="AU166" s="48" t="s">
        <v>2061</v>
      </c>
      <c r="AV166" s="48" t="s">
        <v>3111</v>
      </c>
      <c r="AW166" s="48" t="s">
        <v>2062</v>
      </c>
      <c r="AX166" s="48" t="s">
        <v>2063</v>
      </c>
      <c r="AY166" s="48" t="s">
        <v>1710</v>
      </c>
      <c r="AZ166" s="48" t="s">
        <v>4144</v>
      </c>
      <c r="BA166" s="48" t="s">
        <v>1710</v>
      </c>
      <c r="BB166" s="48" t="s">
        <v>1709</v>
      </c>
      <c r="BC166" s="48" t="s">
        <v>1710</v>
      </c>
      <c r="BD166" s="48" t="s">
        <v>2097</v>
      </c>
      <c r="BE166" s="52" t="s">
        <v>4129</v>
      </c>
      <c r="BF166" s="48" t="s">
        <v>1710</v>
      </c>
      <c r="BG166" s="48" t="s">
        <v>1819</v>
      </c>
      <c r="BH166">
        <v>10</v>
      </c>
      <c r="BI166" s="48" t="s">
        <v>1888</v>
      </c>
      <c r="BJ166">
        <v>1</v>
      </c>
      <c r="BK166">
        <v>1473.06</v>
      </c>
      <c r="BL166">
        <v>14590713</v>
      </c>
      <c r="BM166">
        <v>9905</v>
      </c>
      <c r="BN166" s="48" t="s">
        <v>2064</v>
      </c>
      <c r="BO166" s="48" t="s">
        <v>2065</v>
      </c>
      <c r="BP166">
        <v>1473.06</v>
      </c>
      <c r="BQ166">
        <v>9954.73</v>
      </c>
      <c r="BR166" s="48" t="s">
        <v>1885</v>
      </c>
      <c r="BS166" s="48" t="s">
        <v>2066</v>
      </c>
      <c r="BT166">
        <v>1</v>
      </c>
      <c r="BU166">
        <v>73200</v>
      </c>
      <c r="BV166">
        <v>73200</v>
      </c>
      <c r="BW166" s="48" t="s">
        <v>2065</v>
      </c>
      <c r="BX166">
        <v>1473.06</v>
      </c>
      <c r="BY166">
        <v>0</v>
      </c>
      <c r="BZ166">
        <v>0</v>
      </c>
      <c r="CA166" s="48" t="s">
        <v>2065</v>
      </c>
      <c r="CB166">
        <v>1473.06</v>
      </c>
      <c r="CC166">
        <v>0</v>
      </c>
      <c r="CD166">
        <v>0</v>
      </c>
      <c r="CE166" s="48" t="s">
        <v>1710</v>
      </c>
      <c r="CF166" s="48" t="s">
        <v>1710</v>
      </c>
      <c r="CG166" s="48" t="s">
        <v>1710</v>
      </c>
      <c r="CH166" s="48" t="s">
        <v>1710</v>
      </c>
      <c r="CI166" s="48" t="s">
        <v>2067</v>
      </c>
      <c r="CJ166" s="48" t="s">
        <v>1710</v>
      </c>
      <c r="CL166" s="48" t="s">
        <v>3111</v>
      </c>
      <c r="CM166" s="48" t="s">
        <v>1710</v>
      </c>
      <c r="CN166" s="48" t="s">
        <v>2068</v>
      </c>
      <c r="CO166" s="48" t="s">
        <v>2069</v>
      </c>
      <c r="CP166" s="48" t="s">
        <v>1710</v>
      </c>
      <c r="CQ166" s="48" t="s">
        <v>1710</v>
      </c>
      <c r="CR166" s="48" t="s">
        <v>1710</v>
      </c>
      <c r="CS166" s="48" t="s">
        <v>1710</v>
      </c>
      <c r="CT166" s="48" t="s">
        <v>1710</v>
      </c>
      <c r="CU166" s="48" t="s">
        <v>1712</v>
      </c>
      <c r="CV166" s="48" t="s">
        <v>1710</v>
      </c>
      <c r="CW166" s="48" t="s">
        <v>1710</v>
      </c>
      <c r="CX166" s="48" t="s">
        <v>3167</v>
      </c>
      <c r="CY166" s="48" t="s">
        <v>1710</v>
      </c>
      <c r="CZ166" s="48" t="s">
        <v>1712</v>
      </c>
      <c r="DA166" s="48" t="s">
        <v>1710</v>
      </c>
      <c r="DB166" s="48" t="s">
        <v>1878</v>
      </c>
      <c r="DC166" s="48" t="s">
        <v>2070</v>
      </c>
      <c r="DD166" s="48" t="s">
        <v>1842</v>
      </c>
      <c r="DE166" s="48" t="s">
        <v>1886</v>
      </c>
      <c r="DF166" s="48" t="s">
        <v>4145</v>
      </c>
      <c r="DG166" s="48" t="s">
        <v>2071</v>
      </c>
      <c r="DH166" s="48" t="s">
        <v>1712</v>
      </c>
      <c r="DI166" s="48" t="s">
        <v>1710</v>
      </c>
      <c r="DJ166" s="48" t="s">
        <v>1710</v>
      </c>
      <c r="DK166" s="48" t="s">
        <v>1710</v>
      </c>
      <c r="DL166" s="48" t="s">
        <v>1710</v>
      </c>
      <c r="DM166" s="48" t="s">
        <v>1710</v>
      </c>
      <c r="DN166" s="48" t="s">
        <v>1710</v>
      </c>
      <c r="DO166" s="48" t="s">
        <v>1710</v>
      </c>
      <c r="DP166" s="48" t="s">
        <v>1710</v>
      </c>
      <c r="DQ166" s="48" t="s">
        <v>1710</v>
      </c>
      <c r="DR166" s="48" t="s">
        <v>2072</v>
      </c>
      <c r="DS166" s="48" t="s">
        <v>1710</v>
      </c>
      <c r="DT166" s="48" t="s">
        <v>1710</v>
      </c>
      <c r="DU166" s="48" t="s">
        <v>2547</v>
      </c>
      <c r="DV166" s="48" t="s">
        <v>2825</v>
      </c>
      <c r="DW166" s="48" t="s">
        <v>1710</v>
      </c>
      <c r="DX166" s="48" t="s">
        <v>4146</v>
      </c>
      <c r="DY166" s="48" t="s">
        <v>1709</v>
      </c>
      <c r="DZ166" s="48" t="s">
        <v>2562</v>
      </c>
      <c r="EA166" s="48" t="s">
        <v>2546</v>
      </c>
      <c r="EB166">
        <v>0</v>
      </c>
      <c r="EC166" s="48" t="s">
        <v>2547</v>
      </c>
      <c r="ED166" s="48" t="s">
        <v>4147</v>
      </c>
      <c r="EE166" s="48" t="s">
        <v>1814</v>
      </c>
      <c r="EF166" s="48" t="s">
        <v>1862</v>
      </c>
      <c r="EG166" s="48" t="s">
        <v>4144</v>
      </c>
      <c r="EH166">
        <v>2</v>
      </c>
      <c r="EI166" s="48" t="s">
        <v>1888</v>
      </c>
      <c r="EJ166">
        <v>0</v>
      </c>
      <c r="EK166" s="48" t="s">
        <v>1710</v>
      </c>
      <c r="EL166">
        <v>1</v>
      </c>
      <c r="EM166" s="48" t="s">
        <v>1886</v>
      </c>
      <c r="EN166">
        <v>2</v>
      </c>
      <c r="EO166" s="48" t="s">
        <v>2522</v>
      </c>
      <c r="EP166" s="48" t="s">
        <v>4148</v>
      </c>
      <c r="EQ166">
        <v>1235.51</v>
      </c>
      <c r="ER166">
        <v>1235.51</v>
      </c>
      <c r="ES166">
        <v>1810895</v>
      </c>
      <c r="ET166">
        <v>1229</v>
      </c>
      <c r="EU166" s="48" t="s">
        <v>1710</v>
      </c>
      <c r="EV166" s="48" t="s">
        <v>1710</v>
      </c>
      <c r="EW166" s="48" t="s">
        <v>1712</v>
      </c>
      <c r="EX166" s="48" t="s">
        <v>1710</v>
      </c>
      <c r="EY166" s="48" t="s">
        <v>1850</v>
      </c>
      <c r="EZ166" s="48" t="s">
        <v>1710</v>
      </c>
      <c r="FA166" s="48" t="s">
        <v>1710</v>
      </c>
      <c r="FB166" s="48" t="s">
        <v>1712</v>
      </c>
      <c r="FC166" s="48" t="s">
        <v>1710</v>
      </c>
      <c r="FD166" s="48" t="s">
        <v>1710</v>
      </c>
      <c r="FE166" s="48" t="s">
        <v>1814</v>
      </c>
      <c r="FF166" s="48" t="s">
        <v>1815</v>
      </c>
      <c r="FG166" s="48" t="s">
        <v>1710</v>
      </c>
      <c r="FH166">
        <v>3</v>
      </c>
      <c r="FI166" s="48" t="s">
        <v>1846</v>
      </c>
      <c r="FJ166">
        <v>1235.51</v>
      </c>
      <c r="FK166">
        <v>411.83699999999999</v>
      </c>
      <c r="FL166" s="48" t="s">
        <v>4149</v>
      </c>
      <c r="FM166" s="48" t="s">
        <v>4148</v>
      </c>
      <c r="FN166" s="48" t="s">
        <v>1710</v>
      </c>
      <c r="FO166" s="48" t="s">
        <v>1710</v>
      </c>
      <c r="FP166" s="48" t="s">
        <v>1710</v>
      </c>
      <c r="FQ166" s="48" t="s">
        <v>1710</v>
      </c>
      <c r="FR166" s="48" t="s">
        <v>1710</v>
      </c>
      <c r="FS166" s="48" t="s">
        <v>1710</v>
      </c>
      <c r="FT166" s="48" t="s">
        <v>1710</v>
      </c>
      <c r="FU166" s="48" t="s">
        <v>1710</v>
      </c>
      <c r="FV166" s="48"/>
      <c r="FW166" s="56"/>
      <c r="FX166" s="56"/>
      <c r="FY166" s="56"/>
      <c r="FZ166" s="56"/>
      <c r="GA166" s="55" t="str">
        <f t="shared" si="8"/>
        <v>4388426300463X</v>
      </c>
      <c r="GB166" t="str">
        <f>VLOOKUP(B166,수출코드!$C$2:$D$4,2,FALSE)</f>
        <v>Suwon</v>
      </c>
      <c r="GC166" t="str">
        <f>VLOOKUP(L166,수출코드!$A$2:$B$6,2,FALSE)</f>
        <v/>
      </c>
      <c r="GD166" t="str">
        <f>VLOOKUP(M166,수출코드!$E$2:$F$5,2,FALSE)</f>
        <v>일반</v>
      </c>
      <c r="GE166" s="61">
        <f t="shared" si="6"/>
        <v>45974.490972222222</v>
      </c>
      <c r="GF166" s="62">
        <f t="shared" si="7"/>
        <v>46051.729166666664</v>
      </c>
      <c r="GI166" s="48" t="s">
        <v>2768</v>
      </c>
    </row>
    <row r="167" spans="1:191">
      <c r="A167" s="48" t="s">
        <v>4150</v>
      </c>
      <c r="B167" s="48" t="s">
        <v>1821</v>
      </c>
      <c r="C167" s="48" t="s">
        <v>2048</v>
      </c>
      <c r="D167" s="48" t="s">
        <v>2813</v>
      </c>
      <c r="E167" s="48" t="s">
        <v>4150</v>
      </c>
      <c r="F167" s="48" t="s">
        <v>1710</v>
      </c>
      <c r="G167" s="48" t="s">
        <v>2814</v>
      </c>
      <c r="H167" s="48" t="s">
        <v>4151</v>
      </c>
      <c r="I167" s="48" t="s">
        <v>1884</v>
      </c>
      <c r="J167" s="48" t="s">
        <v>3111</v>
      </c>
      <c r="K167" s="48" t="s">
        <v>1877</v>
      </c>
      <c r="L167" s="48" t="s">
        <v>1842</v>
      </c>
      <c r="M167" s="48" t="s">
        <v>1810</v>
      </c>
      <c r="N167" s="48" t="s">
        <v>1842</v>
      </c>
      <c r="O167" s="48" t="s">
        <v>1811</v>
      </c>
      <c r="P167" s="48" t="s">
        <v>2549</v>
      </c>
      <c r="Q167" s="48" t="s">
        <v>2049</v>
      </c>
      <c r="R167" s="48" t="s">
        <v>1838</v>
      </c>
      <c r="S167" s="48" t="s">
        <v>2050</v>
      </c>
      <c r="T167" s="48" t="s">
        <v>1845</v>
      </c>
      <c r="U167" s="48" t="s">
        <v>2049</v>
      </c>
      <c r="V167" s="48" t="s">
        <v>1838</v>
      </c>
      <c r="W167" s="48" t="s">
        <v>2051</v>
      </c>
      <c r="X167" s="48" t="s">
        <v>2052</v>
      </c>
      <c r="Y167" s="48" t="s">
        <v>2050</v>
      </c>
      <c r="Z167" s="48" t="s">
        <v>2053</v>
      </c>
      <c r="AA167" s="48" t="s">
        <v>2054</v>
      </c>
      <c r="AB167" s="48" t="s">
        <v>2817</v>
      </c>
      <c r="AC167" s="48" t="s">
        <v>2055</v>
      </c>
      <c r="AD167" s="48" t="s">
        <v>2056</v>
      </c>
      <c r="AE167" s="48" t="s">
        <v>1710</v>
      </c>
      <c r="AF167" s="48" t="s">
        <v>1710</v>
      </c>
      <c r="AG167" s="48" t="s">
        <v>2057</v>
      </c>
      <c r="AH167" s="48" t="s">
        <v>1815</v>
      </c>
      <c r="AI167" s="48" t="s">
        <v>2058</v>
      </c>
      <c r="AJ167" s="48" t="s">
        <v>1710</v>
      </c>
      <c r="AK167" s="48" t="s">
        <v>2059</v>
      </c>
      <c r="AL167" s="48" t="s">
        <v>1858</v>
      </c>
      <c r="AM167" s="48" t="s">
        <v>1816</v>
      </c>
      <c r="AN167" s="48" t="s">
        <v>2054</v>
      </c>
      <c r="AO167" s="48" t="s">
        <v>1710</v>
      </c>
      <c r="AP167" s="48" t="s">
        <v>1848</v>
      </c>
      <c r="AQ167" s="48" t="s">
        <v>2060</v>
      </c>
      <c r="AR167" s="48" t="s">
        <v>1812</v>
      </c>
      <c r="AS167" s="48" t="s">
        <v>1813</v>
      </c>
      <c r="AT167" s="48" t="s">
        <v>1826</v>
      </c>
      <c r="AU167" s="48" t="s">
        <v>2061</v>
      </c>
      <c r="AV167" s="48" t="s">
        <v>3111</v>
      </c>
      <c r="AW167" s="48" t="s">
        <v>2062</v>
      </c>
      <c r="AX167" s="48" t="s">
        <v>2063</v>
      </c>
      <c r="AY167" s="48" t="s">
        <v>1710</v>
      </c>
      <c r="AZ167" s="48" t="s">
        <v>4152</v>
      </c>
      <c r="BA167" s="48" t="s">
        <v>1710</v>
      </c>
      <c r="BB167" s="48" t="s">
        <v>1709</v>
      </c>
      <c r="BC167" s="48" t="s">
        <v>1710</v>
      </c>
      <c r="BD167" s="48" t="s">
        <v>2097</v>
      </c>
      <c r="BE167" s="52" t="s">
        <v>4129</v>
      </c>
      <c r="BF167" s="48" t="s">
        <v>1710</v>
      </c>
      <c r="BG167" s="48" t="s">
        <v>1814</v>
      </c>
      <c r="BH167">
        <v>1</v>
      </c>
      <c r="BI167" s="48" t="s">
        <v>1888</v>
      </c>
      <c r="BJ167">
        <v>1</v>
      </c>
      <c r="BK167">
        <v>1473.06</v>
      </c>
      <c r="BL167">
        <v>755412</v>
      </c>
      <c r="BM167">
        <v>513</v>
      </c>
      <c r="BN167" s="48" t="s">
        <v>2064</v>
      </c>
      <c r="BO167" s="48" t="s">
        <v>2065</v>
      </c>
      <c r="BP167">
        <v>1473.06</v>
      </c>
      <c r="BQ167">
        <v>535.55999999999995</v>
      </c>
      <c r="BR167" s="48" t="s">
        <v>1885</v>
      </c>
      <c r="BS167" s="48" t="s">
        <v>2066</v>
      </c>
      <c r="BT167">
        <v>1</v>
      </c>
      <c r="BU167">
        <v>33500</v>
      </c>
      <c r="BV167">
        <v>33500</v>
      </c>
      <c r="BW167" s="48" t="s">
        <v>2065</v>
      </c>
      <c r="BX167">
        <v>1473.06</v>
      </c>
      <c r="BY167">
        <v>0</v>
      </c>
      <c r="BZ167">
        <v>0</v>
      </c>
      <c r="CA167" s="48" t="s">
        <v>2065</v>
      </c>
      <c r="CB167">
        <v>1473.06</v>
      </c>
      <c r="CC167">
        <v>0</v>
      </c>
      <c r="CD167">
        <v>0</v>
      </c>
      <c r="CE167" s="48" t="s">
        <v>1710</v>
      </c>
      <c r="CF167" s="48" t="s">
        <v>1710</v>
      </c>
      <c r="CG167" s="48" t="s">
        <v>1710</v>
      </c>
      <c r="CH167" s="48" t="s">
        <v>1710</v>
      </c>
      <c r="CI167" s="48" t="s">
        <v>2067</v>
      </c>
      <c r="CJ167" s="48" t="s">
        <v>1710</v>
      </c>
      <c r="CL167" s="48" t="s">
        <v>3111</v>
      </c>
      <c r="CM167" s="48" t="s">
        <v>1710</v>
      </c>
      <c r="CN167" s="48" t="s">
        <v>2068</v>
      </c>
      <c r="CO167" s="48" t="s">
        <v>2069</v>
      </c>
      <c r="CP167" s="48" t="s">
        <v>1710</v>
      </c>
      <c r="CQ167" s="48" t="s">
        <v>1710</v>
      </c>
      <c r="CR167" s="48" t="s">
        <v>1710</v>
      </c>
      <c r="CS167" s="48" t="s">
        <v>1710</v>
      </c>
      <c r="CT167" s="48" t="s">
        <v>1710</v>
      </c>
      <c r="CU167" s="48" t="s">
        <v>1712</v>
      </c>
      <c r="CV167" s="48" t="s">
        <v>1710</v>
      </c>
      <c r="CW167" s="48" t="s">
        <v>1710</v>
      </c>
      <c r="CX167" s="48" t="s">
        <v>3167</v>
      </c>
      <c r="CY167" s="48" t="s">
        <v>1710</v>
      </c>
      <c r="CZ167" s="48" t="s">
        <v>1712</v>
      </c>
      <c r="DA167" s="48" t="s">
        <v>1710</v>
      </c>
      <c r="DB167" s="48" t="s">
        <v>1878</v>
      </c>
      <c r="DC167" s="48" t="s">
        <v>2070</v>
      </c>
      <c r="DD167" s="48" t="s">
        <v>1842</v>
      </c>
      <c r="DE167" s="48" t="s">
        <v>1886</v>
      </c>
      <c r="DF167" s="48" t="s">
        <v>4153</v>
      </c>
      <c r="DG167" s="48" t="s">
        <v>2071</v>
      </c>
      <c r="DH167" s="48" t="s">
        <v>1712</v>
      </c>
      <c r="DI167" s="48" t="s">
        <v>1710</v>
      </c>
      <c r="DJ167" s="48" t="s">
        <v>1710</v>
      </c>
      <c r="DK167" s="48" t="s">
        <v>1710</v>
      </c>
      <c r="DL167" s="48" t="s">
        <v>1710</v>
      </c>
      <c r="DM167" s="48" t="s">
        <v>1710</v>
      </c>
      <c r="DN167" s="48" t="s">
        <v>1710</v>
      </c>
      <c r="DO167" s="48" t="s">
        <v>1710</v>
      </c>
      <c r="DP167" s="48" t="s">
        <v>1710</v>
      </c>
      <c r="DQ167" s="48" t="s">
        <v>1710</v>
      </c>
      <c r="DR167" s="48" t="s">
        <v>2072</v>
      </c>
      <c r="DS167" s="48" t="s">
        <v>1710</v>
      </c>
      <c r="DT167" s="48" t="s">
        <v>1710</v>
      </c>
      <c r="DU167" s="48" t="s">
        <v>2547</v>
      </c>
      <c r="DV167" s="48" t="s">
        <v>2825</v>
      </c>
      <c r="DW167" s="48" t="s">
        <v>1710</v>
      </c>
      <c r="DX167" s="48" t="s">
        <v>4154</v>
      </c>
      <c r="DY167" s="48" t="s">
        <v>1709</v>
      </c>
      <c r="DZ167" s="48" t="s">
        <v>2562</v>
      </c>
      <c r="EA167" s="48" t="s">
        <v>2546</v>
      </c>
      <c r="EB167">
        <v>0</v>
      </c>
      <c r="EC167" s="48" t="s">
        <v>2547</v>
      </c>
      <c r="ED167" s="48" t="s">
        <v>4147</v>
      </c>
      <c r="EE167" s="48" t="s">
        <v>1814</v>
      </c>
      <c r="EF167" s="48" t="s">
        <v>1862</v>
      </c>
      <c r="EG167" s="48" t="s">
        <v>4152</v>
      </c>
      <c r="EH167">
        <v>1.2E-2</v>
      </c>
      <c r="EI167" s="48" t="s">
        <v>1888</v>
      </c>
      <c r="EJ167">
        <v>0</v>
      </c>
      <c r="EK167" s="48" t="s">
        <v>1710</v>
      </c>
      <c r="EL167">
        <v>1</v>
      </c>
      <c r="EM167" s="48" t="s">
        <v>1886</v>
      </c>
      <c r="EN167">
        <v>1.2E-2</v>
      </c>
      <c r="EO167" s="48" t="s">
        <v>2522</v>
      </c>
      <c r="EP167" s="48" t="s">
        <v>4155</v>
      </c>
      <c r="EQ167">
        <v>535.55999999999995</v>
      </c>
      <c r="ER167">
        <v>535.55999999999995</v>
      </c>
      <c r="ES167">
        <v>755412</v>
      </c>
      <c r="ET167">
        <v>513</v>
      </c>
      <c r="EU167" s="48" t="s">
        <v>1710</v>
      </c>
      <c r="EV167" s="48" t="s">
        <v>1710</v>
      </c>
      <c r="EW167" s="48" t="s">
        <v>1712</v>
      </c>
      <c r="EX167" s="48" t="s">
        <v>1710</v>
      </c>
      <c r="EY167" s="48" t="s">
        <v>1848</v>
      </c>
      <c r="EZ167" s="48" t="s">
        <v>1710</v>
      </c>
      <c r="FA167" s="48" t="s">
        <v>1710</v>
      </c>
      <c r="FB167" s="48" t="s">
        <v>1712</v>
      </c>
      <c r="FC167" s="48" t="s">
        <v>1710</v>
      </c>
      <c r="FD167" s="48" t="s">
        <v>1710</v>
      </c>
      <c r="FE167" s="48" t="s">
        <v>1814</v>
      </c>
      <c r="FF167" s="48" t="s">
        <v>1815</v>
      </c>
      <c r="FG167" s="48" t="s">
        <v>1710</v>
      </c>
      <c r="FH167">
        <v>1</v>
      </c>
      <c r="FI167" s="48" t="s">
        <v>1846</v>
      </c>
      <c r="FJ167">
        <v>535.55999999999995</v>
      </c>
      <c r="FK167">
        <v>535.55999999999995</v>
      </c>
      <c r="FL167" s="48" t="s">
        <v>4156</v>
      </c>
      <c r="FM167" s="48" t="s">
        <v>4155</v>
      </c>
      <c r="FN167" s="48" t="s">
        <v>1710</v>
      </c>
      <c r="FO167" s="48" t="s">
        <v>1710</v>
      </c>
      <c r="FP167" s="48" t="s">
        <v>1710</v>
      </c>
      <c r="FQ167" s="48" t="s">
        <v>1710</v>
      </c>
      <c r="FR167" s="48" t="s">
        <v>1710</v>
      </c>
      <c r="FS167" s="48" t="s">
        <v>1710</v>
      </c>
      <c r="FT167" s="48" t="s">
        <v>1710</v>
      </c>
      <c r="FU167" s="48" t="s">
        <v>1710</v>
      </c>
      <c r="FV167" s="48"/>
      <c r="FW167" s="56"/>
      <c r="FX167" s="56"/>
      <c r="FY167" s="56"/>
      <c r="FZ167" s="56"/>
      <c r="GA167" s="55" t="str">
        <f t="shared" si="8"/>
        <v>4388426300464X</v>
      </c>
      <c r="GB167" t="str">
        <f>VLOOKUP(B167,수출코드!$C$2:$D$4,2,FALSE)</f>
        <v>Suwon</v>
      </c>
      <c r="GC167" t="str">
        <f>VLOOKUP(L167,수출코드!$A$2:$B$6,2,FALSE)</f>
        <v/>
      </c>
      <c r="GD167" t="str">
        <f>VLOOKUP(M167,수출코드!$E$2:$F$5,2,FALSE)</f>
        <v>일반</v>
      </c>
      <c r="GE167" s="61">
        <f t="shared" si="6"/>
        <v>45974.490972222222</v>
      </c>
      <c r="GF167" s="62">
        <f t="shared" si="7"/>
        <v>46051.729166666664</v>
      </c>
      <c r="GI167" s="48" t="s">
        <v>2768</v>
      </c>
    </row>
    <row r="168" spans="1:191">
      <c r="A168" s="48" t="s">
        <v>4157</v>
      </c>
      <c r="B168" s="48" t="s">
        <v>1821</v>
      </c>
      <c r="C168" s="48" t="s">
        <v>2048</v>
      </c>
      <c r="D168" s="48" t="s">
        <v>2813</v>
      </c>
      <c r="E168" s="48" t="s">
        <v>4157</v>
      </c>
      <c r="F168" s="48" t="s">
        <v>1710</v>
      </c>
      <c r="G168" s="48" t="s">
        <v>2814</v>
      </c>
      <c r="H168" s="48" t="s">
        <v>4158</v>
      </c>
      <c r="I168" s="48" t="s">
        <v>1884</v>
      </c>
      <c r="J168" s="48" t="s">
        <v>3111</v>
      </c>
      <c r="K168" s="48" t="s">
        <v>1877</v>
      </c>
      <c r="L168" s="48" t="s">
        <v>1842</v>
      </c>
      <c r="M168" s="48" t="s">
        <v>1810</v>
      </c>
      <c r="N168" s="48" t="s">
        <v>1842</v>
      </c>
      <c r="O168" s="48" t="s">
        <v>1811</v>
      </c>
      <c r="P168" s="48" t="s">
        <v>2549</v>
      </c>
      <c r="Q168" s="48" t="s">
        <v>2049</v>
      </c>
      <c r="R168" s="48" t="s">
        <v>1838</v>
      </c>
      <c r="S168" s="48" t="s">
        <v>2050</v>
      </c>
      <c r="T168" s="48" t="s">
        <v>1845</v>
      </c>
      <c r="U168" s="48" t="s">
        <v>2049</v>
      </c>
      <c r="V168" s="48" t="s">
        <v>1838</v>
      </c>
      <c r="W168" s="48" t="s">
        <v>2051</v>
      </c>
      <c r="X168" s="48" t="s">
        <v>2052</v>
      </c>
      <c r="Y168" s="48" t="s">
        <v>2050</v>
      </c>
      <c r="Z168" s="48" t="s">
        <v>2053</v>
      </c>
      <c r="AA168" s="48" t="s">
        <v>2054</v>
      </c>
      <c r="AB168" s="48" t="s">
        <v>2817</v>
      </c>
      <c r="AC168" s="48" t="s">
        <v>2055</v>
      </c>
      <c r="AD168" s="48" t="s">
        <v>2056</v>
      </c>
      <c r="AE168" s="48" t="s">
        <v>1710</v>
      </c>
      <c r="AF168" s="48" t="s">
        <v>1710</v>
      </c>
      <c r="AG168" s="48" t="s">
        <v>2057</v>
      </c>
      <c r="AH168" s="48" t="s">
        <v>1815</v>
      </c>
      <c r="AI168" s="48" t="s">
        <v>2058</v>
      </c>
      <c r="AJ168" s="48" t="s">
        <v>1710</v>
      </c>
      <c r="AK168" s="48" t="s">
        <v>2059</v>
      </c>
      <c r="AL168" s="48" t="s">
        <v>1858</v>
      </c>
      <c r="AM168" s="48" t="s">
        <v>1816</v>
      </c>
      <c r="AN168" s="48" t="s">
        <v>2054</v>
      </c>
      <c r="AO168" s="48" t="s">
        <v>1710</v>
      </c>
      <c r="AP168" s="48" t="s">
        <v>1848</v>
      </c>
      <c r="AQ168" s="48" t="s">
        <v>2060</v>
      </c>
      <c r="AR168" s="48" t="s">
        <v>1812</v>
      </c>
      <c r="AS168" s="48" t="s">
        <v>1813</v>
      </c>
      <c r="AT168" s="48" t="s">
        <v>1826</v>
      </c>
      <c r="AU168" s="48" t="s">
        <v>2061</v>
      </c>
      <c r="AV168" s="48" t="s">
        <v>3111</v>
      </c>
      <c r="AW168" s="48" t="s">
        <v>2062</v>
      </c>
      <c r="AX168" s="48" t="s">
        <v>2063</v>
      </c>
      <c r="AY168" s="48" t="s">
        <v>1710</v>
      </c>
      <c r="AZ168" s="48" t="s">
        <v>4159</v>
      </c>
      <c r="BA168" s="48" t="s">
        <v>1710</v>
      </c>
      <c r="BB168" s="48" t="s">
        <v>1709</v>
      </c>
      <c r="BC168" s="48" t="s">
        <v>1710</v>
      </c>
      <c r="BD168" s="48" t="s">
        <v>2097</v>
      </c>
      <c r="BE168" s="52" t="s">
        <v>4129</v>
      </c>
      <c r="BF168" s="48" t="s">
        <v>1710</v>
      </c>
      <c r="BG168" s="48" t="s">
        <v>1814</v>
      </c>
      <c r="BH168">
        <v>2</v>
      </c>
      <c r="BI168" s="48" t="s">
        <v>1888</v>
      </c>
      <c r="BJ168">
        <v>1</v>
      </c>
      <c r="BK168">
        <v>1473.06</v>
      </c>
      <c r="BL168">
        <v>1057574</v>
      </c>
      <c r="BM168">
        <v>718</v>
      </c>
      <c r="BN168" s="48" t="s">
        <v>2064</v>
      </c>
      <c r="BO168" s="48" t="s">
        <v>2065</v>
      </c>
      <c r="BP168">
        <v>1473.06</v>
      </c>
      <c r="BQ168">
        <v>750.19</v>
      </c>
      <c r="BR168" s="48" t="s">
        <v>1885</v>
      </c>
      <c r="BS168" s="48" t="s">
        <v>2066</v>
      </c>
      <c r="BT168">
        <v>1</v>
      </c>
      <c r="BU168">
        <v>47500</v>
      </c>
      <c r="BV168">
        <v>47500</v>
      </c>
      <c r="BW168" s="48" t="s">
        <v>2065</v>
      </c>
      <c r="BX168">
        <v>1473.06</v>
      </c>
      <c r="BY168">
        <v>0</v>
      </c>
      <c r="BZ168">
        <v>0</v>
      </c>
      <c r="CA168" s="48" t="s">
        <v>2065</v>
      </c>
      <c r="CB168">
        <v>1473.06</v>
      </c>
      <c r="CC168">
        <v>0</v>
      </c>
      <c r="CD168">
        <v>0</v>
      </c>
      <c r="CE168" s="48" t="s">
        <v>1710</v>
      </c>
      <c r="CF168" s="48" t="s">
        <v>1710</v>
      </c>
      <c r="CG168" s="48" t="s">
        <v>1710</v>
      </c>
      <c r="CH168" s="48" t="s">
        <v>1710</v>
      </c>
      <c r="CI168" s="48" t="s">
        <v>2067</v>
      </c>
      <c r="CJ168" s="48" t="s">
        <v>1710</v>
      </c>
      <c r="CL168" s="48" t="s">
        <v>3111</v>
      </c>
      <c r="CM168" s="48" t="s">
        <v>1710</v>
      </c>
      <c r="CN168" s="48" t="s">
        <v>2068</v>
      </c>
      <c r="CO168" s="48" t="s">
        <v>2069</v>
      </c>
      <c r="CP168" s="48" t="s">
        <v>1710</v>
      </c>
      <c r="CQ168" s="48" t="s">
        <v>1710</v>
      </c>
      <c r="CR168" s="48" t="s">
        <v>1710</v>
      </c>
      <c r="CS168" s="48" t="s">
        <v>1710</v>
      </c>
      <c r="CT168" s="48" t="s">
        <v>1710</v>
      </c>
      <c r="CU168" s="48" t="s">
        <v>1712</v>
      </c>
      <c r="CV168" s="48" t="s">
        <v>1710</v>
      </c>
      <c r="CW168" s="48" t="s">
        <v>1710</v>
      </c>
      <c r="CX168" s="48" t="s">
        <v>3167</v>
      </c>
      <c r="CY168" s="48" t="s">
        <v>1710</v>
      </c>
      <c r="CZ168" s="48" t="s">
        <v>1712</v>
      </c>
      <c r="DA168" s="48" t="s">
        <v>1710</v>
      </c>
      <c r="DB168" s="48" t="s">
        <v>1878</v>
      </c>
      <c r="DC168" s="48" t="s">
        <v>2070</v>
      </c>
      <c r="DD168" s="48" t="s">
        <v>1842</v>
      </c>
      <c r="DE168" s="48" t="s">
        <v>1886</v>
      </c>
      <c r="DF168" s="48" t="s">
        <v>4160</v>
      </c>
      <c r="DG168" s="48" t="s">
        <v>2071</v>
      </c>
      <c r="DH168" s="48" t="s">
        <v>1712</v>
      </c>
      <c r="DI168" s="48" t="s">
        <v>1710</v>
      </c>
      <c r="DJ168" s="48" t="s">
        <v>1710</v>
      </c>
      <c r="DK168" s="48" t="s">
        <v>1710</v>
      </c>
      <c r="DL168" s="48" t="s">
        <v>1710</v>
      </c>
      <c r="DM168" s="48" t="s">
        <v>1710</v>
      </c>
      <c r="DN168" s="48" t="s">
        <v>1710</v>
      </c>
      <c r="DO168" s="48" t="s">
        <v>1710</v>
      </c>
      <c r="DP168" s="48" t="s">
        <v>1710</v>
      </c>
      <c r="DQ168" s="48" t="s">
        <v>1710</v>
      </c>
      <c r="DR168" s="48" t="s">
        <v>2072</v>
      </c>
      <c r="DS168" s="48" t="s">
        <v>1710</v>
      </c>
      <c r="DT168" s="48" t="s">
        <v>1710</v>
      </c>
      <c r="DU168" s="48" t="s">
        <v>2547</v>
      </c>
      <c r="DV168" s="48" t="s">
        <v>2825</v>
      </c>
      <c r="DW168" s="48" t="s">
        <v>1710</v>
      </c>
      <c r="DX168" s="48" t="s">
        <v>4161</v>
      </c>
      <c r="DY168" s="48" t="s">
        <v>1709</v>
      </c>
      <c r="DZ168" s="48" t="s">
        <v>2562</v>
      </c>
      <c r="EA168" s="48" t="s">
        <v>2546</v>
      </c>
      <c r="EB168">
        <v>0</v>
      </c>
      <c r="EC168" s="48" t="s">
        <v>2547</v>
      </c>
      <c r="ED168" s="48" t="s">
        <v>4147</v>
      </c>
      <c r="EE168" s="48" t="s">
        <v>1814</v>
      </c>
      <c r="EF168" s="48" t="s">
        <v>2609</v>
      </c>
      <c r="EG168" s="48" t="s">
        <v>4159</v>
      </c>
      <c r="EH168">
        <v>0.27400000000000002</v>
      </c>
      <c r="EI168" s="48" t="s">
        <v>1888</v>
      </c>
      <c r="EJ168">
        <v>0</v>
      </c>
      <c r="EK168" s="48" t="s">
        <v>1710</v>
      </c>
      <c r="EL168">
        <v>1</v>
      </c>
      <c r="EM168" s="48" t="s">
        <v>1886</v>
      </c>
      <c r="EN168">
        <v>0.27400000000000002</v>
      </c>
      <c r="EO168" s="48" t="s">
        <v>2610</v>
      </c>
      <c r="EP168" s="48" t="s">
        <v>4162</v>
      </c>
      <c r="EQ168">
        <v>750.19</v>
      </c>
      <c r="ER168">
        <v>750.19</v>
      </c>
      <c r="ES168">
        <v>1057574</v>
      </c>
      <c r="ET168">
        <v>718</v>
      </c>
      <c r="EU168" s="48" t="s">
        <v>1710</v>
      </c>
      <c r="EV168" s="48" t="s">
        <v>1710</v>
      </c>
      <c r="EW168" s="48" t="s">
        <v>1712</v>
      </c>
      <c r="EX168" s="48" t="s">
        <v>1710</v>
      </c>
      <c r="EY168" s="48" t="s">
        <v>1848</v>
      </c>
      <c r="EZ168" s="48" t="s">
        <v>1710</v>
      </c>
      <c r="FA168" s="48" t="s">
        <v>1710</v>
      </c>
      <c r="FB168" s="48" t="s">
        <v>1712</v>
      </c>
      <c r="FC168" s="48" t="s">
        <v>1710</v>
      </c>
      <c r="FD168" s="48" t="s">
        <v>1710</v>
      </c>
      <c r="FE168" s="48" t="s">
        <v>1814</v>
      </c>
      <c r="FF168" s="48" t="s">
        <v>1815</v>
      </c>
      <c r="FG168" s="48" t="s">
        <v>1710</v>
      </c>
      <c r="FH168">
        <v>1</v>
      </c>
      <c r="FI168" s="48" t="s">
        <v>1846</v>
      </c>
      <c r="FJ168">
        <v>750.19</v>
      </c>
      <c r="FK168">
        <v>750.19</v>
      </c>
      <c r="FL168" s="48" t="s">
        <v>4163</v>
      </c>
      <c r="FM168" s="48" t="s">
        <v>4162</v>
      </c>
      <c r="FN168" s="48" t="s">
        <v>1710</v>
      </c>
      <c r="FO168" s="48" t="s">
        <v>1710</v>
      </c>
      <c r="FP168" s="48" t="s">
        <v>1710</v>
      </c>
      <c r="FQ168" s="48" t="s">
        <v>1710</v>
      </c>
      <c r="FR168" s="48" t="s">
        <v>1710</v>
      </c>
      <c r="FS168" s="48" t="s">
        <v>1710</v>
      </c>
      <c r="FT168" s="48" t="s">
        <v>1710</v>
      </c>
      <c r="FU168" s="48" t="s">
        <v>1710</v>
      </c>
      <c r="FV168" s="48"/>
      <c r="FW168" s="56"/>
      <c r="FX168" s="56"/>
      <c r="FY168" s="56"/>
      <c r="FZ168" s="56"/>
      <c r="GA168" s="55" t="str">
        <f t="shared" si="8"/>
        <v>4388426300465X</v>
      </c>
      <c r="GB168" t="str">
        <f>VLOOKUP(B168,수출코드!$C$2:$D$4,2,FALSE)</f>
        <v>Suwon</v>
      </c>
      <c r="GC168" t="str">
        <f>VLOOKUP(L168,수출코드!$A$2:$B$6,2,FALSE)</f>
        <v/>
      </c>
      <c r="GD168" t="str">
        <f>VLOOKUP(M168,수출코드!$E$2:$F$5,2,FALSE)</f>
        <v>일반</v>
      </c>
      <c r="GE168" s="61">
        <f t="shared" si="6"/>
        <v>45974.490972222222</v>
      </c>
      <c r="GF168" s="62">
        <f t="shared" si="7"/>
        <v>46051.729166666664</v>
      </c>
      <c r="GI168" s="48" t="s">
        <v>2768</v>
      </c>
    </row>
    <row r="169" spans="1:191">
      <c r="A169" s="48" t="s">
        <v>4164</v>
      </c>
      <c r="B169" s="48" t="s">
        <v>1821</v>
      </c>
      <c r="C169" s="48" t="s">
        <v>2048</v>
      </c>
      <c r="D169" s="48" t="s">
        <v>2813</v>
      </c>
      <c r="E169" s="48" t="s">
        <v>4164</v>
      </c>
      <c r="F169" s="48" t="s">
        <v>1710</v>
      </c>
      <c r="G169" s="48" t="s">
        <v>2814</v>
      </c>
      <c r="H169" s="48" t="s">
        <v>4165</v>
      </c>
      <c r="I169" s="48" t="s">
        <v>1884</v>
      </c>
      <c r="J169" s="48" t="s">
        <v>3111</v>
      </c>
      <c r="K169" s="48" t="s">
        <v>1877</v>
      </c>
      <c r="L169" s="48" t="s">
        <v>1842</v>
      </c>
      <c r="M169" s="48" t="s">
        <v>1810</v>
      </c>
      <c r="N169" s="48" t="s">
        <v>1842</v>
      </c>
      <c r="O169" s="48" t="s">
        <v>1811</v>
      </c>
      <c r="P169" s="48" t="s">
        <v>2549</v>
      </c>
      <c r="Q169" s="48" t="s">
        <v>2049</v>
      </c>
      <c r="R169" s="48" t="s">
        <v>1838</v>
      </c>
      <c r="S169" s="48" t="s">
        <v>2050</v>
      </c>
      <c r="T169" s="48" t="s">
        <v>1845</v>
      </c>
      <c r="U169" s="48" t="s">
        <v>2049</v>
      </c>
      <c r="V169" s="48" t="s">
        <v>1838</v>
      </c>
      <c r="W169" s="48" t="s">
        <v>2051</v>
      </c>
      <c r="X169" s="48" t="s">
        <v>2052</v>
      </c>
      <c r="Y169" s="48" t="s">
        <v>2050</v>
      </c>
      <c r="Z169" s="48" t="s">
        <v>2053</v>
      </c>
      <c r="AA169" s="48" t="s">
        <v>2054</v>
      </c>
      <c r="AB169" s="48" t="s">
        <v>2817</v>
      </c>
      <c r="AC169" s="48" t="s">
        <v>2055</v>
      </c>
      <c r="AD169" s="48" t="s">
        <v>2056</v>
      </c>
      <c r="AE169" s="48" t="s">
        <v>1710</v>
      </c>
      <c r="AF169" s="48" t="s">
        <v>1710</v>
      </c>
      <c r="AG169" s="48" t="s">
        <v>2057</v>
      </c>
      <c r="AH169" s="48" t="s">
        <v>1815</v>
      </c>
      <c r="AI169" s="48" t="s">
        <v>2058</v>
      </c>
      <c r="AJ169" s="48" t="s">
        <v>1710</v>
      </c>
      <c r="AK169" s="48" t="s">
        <v>2592</v>
      </c>
      <c r="AL169" s="48" t="s">
        <v>1858</v>
      </c>
      <c r="AM169" s="48" t="s">
        <v>1816</v>
      </c>
      <c r="AN169" s="48" t="s">
        <v>2054</v>
      </c>
      <c r="AO169" s="48" t="s">
        <v>1710</v>
      </c>
      <c r="AP169" s="48" t="s">
        <v>1848</v>
      </c>
      <c r="AQ169" s="48" t="s">
        <v>2060</v>
      </c>
      <c r="AR169" s="48" t="s">
        <v>1812</v>
      </c>
      <c r="AS169" s="48" t="s">
        <v>1813</v>
      </c>
      <c r="AT169" s="48" t="s">
        <v>1826</v>
      </c>
      <c r="AU169" s="48" t="s">
        <v>2061</v>
      </c>
      <c r="AV169" s="48" t="s">
        <v>3111</v>
      </c>
      <c r="AW169" s="48" t="s">
        <v>2062</v>
      </c>
      <c r="AX169" s="48" t="s">
        <v>2063</v>
      </c>
      <c r="AY169" s="48" t="s">
        <v>1710</v>
      </c>
      <c r="AZ169" s="48" t="s">
        <v>4166</v>
      </c>
      <c r="BA169" s="48" t="s">
        <v>1710</v>
      </c>
      <c r="BB169" s="48" t="s">
        <v>1709</v>
      </c>
      <c r="BC169" s="48" t="s">
        <v>1710</v>
      </c>
      <c r="BD169" s="48" t="s">
        <v>2097</v>
      </c>
      <c r="BE169" s="52" t="s">
        <v>4129</v>
      </c>
      <c r="BF169" s="48" t="s">
        <v>1710</v>
      </c>
      <c r="BG169" s="48" t="s">
        <v>1817</v>
      </c>
      <c r="BH169">
        <v>8</v>
      </c>
      <c r="BI169" s="48" t="s">
        <v>1888</v>
      </c>
      <c r="BJ169">
        <v>1</v>
      </c>
      <c r="BK169">
        <v>1473.06</v>
      </c>
      <c r="BL169">
        <v>3281192</v>
      </c>
      <c r="BM169">
        <v>2227</v>
      </c>
      <c r="BN169" s="48" t="s">
        <v>2064</v>
      </c>
      <c r="BO169" s="48" t="s">
        <v>2065</v>
      </c>
      <c r="BP169">
        <v>1473.06</v>
      </c>
      <c r="BQ169">
        <v>2315.04</v>
      </c>
      <c r="BR169" s="48" t="s">
        <v>1885</v>
      </c>
      <c r="BS169" s="48" t="s">
        <v>2066</v>
      </c>
      <c r="BT169">
        <v>1</v>
      </c>
      <c r="BU169">
        <v>129000</v>
      </c>
      <c r="BV169">
        <v>129000</v>
      </c>
      <c r="BW169" s="48" t="s">
        <v>2065</v>
      </c>
      <c r="BX169">
        <v>1473.06</v>
      </c>
      <c r="BY169">
        <v>0</v>
      </c>
      <c r="BZ169">
        <v>0</v>
      </c>
      <c r="CA169" s="48" t="s">
        <v>2065</v>
      </c>
      <c r="CB169">
        <v>1473.06</v>
      </c>
      <c r="CC169">
        <v>0</v>
      </c>
      <c r="CD169">
        <v>0</v>
      </c>
      <c r="CE169" s="48" t="s">
        <v>1710</v>
      </c>
      <c r="CF169" s="48" t="s">
        <v>1710</v>
      </c>
      <c r="CG169" s="48" t="s">
        <v>1710</v>
      </c>
      <c r="CH169" s="48" t="s">
        <v>1710</v>
      </c>
      <c r="CI169" s="48" t="s">
        <v>2067</v>
      </c>
      <c r="CJ169" s="48" t="s">
        <v>1710</v>
      </c>
      <c r="CL169" s="48" t="s">
        <v>3111</v>
      </c>
      <c r="CM169" s="48" t="s">
        <v>1710</v>
      </c>
      <c r="CN169" s="48" t="s">
        <v>2068</v>
      </c>
      <c r="CO169" s="48" t="s">
        <v>2069</v>
      </c>
      <c r="CP169" s="48" t="s">
        <v>1710</v>
      </c>
      <c r="CQ169" s="48" t="s">
        <v>1710</v>
      </c>
      <c r="CR169" s="48" t="s">
        <v>1710</v>
      </c>
      <c r="CS169" s="48" t="s">
        <v>1710</v>
      </c>
      <c r="CT169" s="48" t="s">
        <v>1710</v>
      </c>
      <c r="CU169" s="48" t="s">
        <v>1712</v>
      </c>
      <c r="CV169" s="48" t="s">
        <v>1710</v>
      </c>
      <c r="CW169" s="48" t="s">
        <v>1710</v>
      </c>
      <c r="CX169" s="48" t="s">
        <v>3167</v>
      </c>
      <c r="CY169" s="48" t="s">
        <v>1710</v>
      </c>
      <c r="CZ169" s="48" t="s">
        <v>1712</v>
      </c>
      <c r="DA169" s="48" t="s">
        <v>1710</v>
      </c>
      <c r="DB169" s="48" t="s">
        <v>1878</v>
      </c>
      <c r="DC169" s="48" t="s">
        <v>2070</v>
      </c>
      <c r="DD169" s="48" t="s">
        <v>1842</v>
      </c>
      <c r="DE169" s="48" t="s">
        <v>1886</v>
      </c>
      <c r="DF169" s="48" t="s">
        <v>4167</v>
      </c>
      <c r="DG169" s="48" t="s">
        <v>2071</v>
      </c>
      <c r="DH169" s="48" t="s">
        <v>1712</v>
      </c>
      <c r="DI169" s="48" t="s">
        <v>1710</v>
      </c>
      <c r="DJ169" s="48" t="s">
        <v>1710</v>
      </c>
      <c r="DK169" s="48" t="s">
        <v>1710</v>
      </c>
      <c r="DL169" s="48" t="s">
        <v>1710</v>
      </c>
      <c r="DM169" s="48" t="s">
        <v>1710</v>
      </c>
      <c r="DN169" s="48" t="s">
        <v>1710</v>
      </c>
      <c r="DO169" s="48" t="s">
        <v>1710</v>
      </c>
      <c r="DP169" s="48" t="s">
        <v>1710</v>
      </c>
      <c r="DQ169" s="48" t="s">
        <v>1710</v>
      </c>
      <c r="DR169" s="48" t="s">
        <v>2072</v>
      </c>
      <c r="DS169" s="48" t="s">
        <v>1710</v>
      </c>
      <c r="DT169" s="48" t="s">
        <v>1710</v>
      </c>
      <c r="DU169" s="48" t="s">
        <v>2547</v>
      </c>
      <c r="DV169" s="48" t="s">
        <v>3141</v>
      </c>
      <c r="DW169" s="48" t="s">
        <v>1710</v>
      </c>
      <c r="DX169" s="48" t="s">
        <v>4168</v>
      </c>
      <c r="DY169" s="48" t="s">
        <v>1709</v>
      </c>
      <c r="DZ169" s="48" t="s">
        <v>2562</v>
      </c>
      <c r="EA169" s="48" t="s">
        <v>2546</v>
      </c>
      <c r="EB169">
        <v>0</v>
      </c>
      <c r="EC169" s="48" t="s">
        <v>2547</v>
      </c>
      <c r="ED169" s="48" t="s">
        <v>4169</v>
      </c>
      <c r="EE169" s="48" t="s">
        <v>1814</v>
      </c>
      <c r="EF169" s="48" t="s">
        <v>1852</v>
      </c>
      <c r="EG169" s="48" t="s">
        <v>4166</v>
      </c>
      <c r="EH169">
        <v>5</v>
      </c>
      <c r="EI169" s="48" t="s">
        <v>1888</v>
      </c>
      <c r="EJ169">
        <v>0</v>
      </c>
      <c r="EK169" s="48" t="s">
        <v>1710</v>
      </c>
      <c r="EL169">
        <v>1</v>
      </c>
      <c r="EM169" s="48" t="s">
        <v>1886</v>
      </c>
      <c r="EN169">
        <v>5</v>
      </c>
      <c r="EO169" s="48" t="s">
        <v>2521</v>
      </c>
      <c r="EP169" s="48" t="s">
        <v>2614</v>
      </c>
      <c r="EQ169">
        <v>1552.12</v>
      </c>
      <c r="ER169">
        <v>1552.12</v>
      </c>
      <c r="ES169">
        <v>2199877</v>
      </c>
      <c r="ET169">
        <v>1493</v>
      </c>
      <c r="EU169" s="48" t="s">
        <v>1710</v>
      </c>
      <c r="EV169" s="48" t="s">
        <v>1710</v>
      </c>
      <c r="EW169" s="48" t="s">
        <v>1712</v>
      </c>
      <c r="EX169" s="48" t="s">
        <v>1710</v>
      </c>
      <c r="EY169" s="48" t="s">
        <v>1855</v>
      </c>
      <c r="EZ169" s="48" t="s">
        <v>1710</v>
      </c>
      <c r="FA169" s="48" t="s">
        <v>1710</v>
      </c>
      <c r="FB169" s="48" t="s">
        <v>1712</v>
      </c>
      <c r="FC169" s="48" t="s">
        <v>1710</v>
      </c>
      <c r="FD169" s="48" t="s">
        <v>1710</v>
      </c>
      <c r="FE169" s="48" t="s">
        <v>1814</v>
      </c>
      <c r="FF169" s="48" t="s">
        <v>1815</v>
      </c>
      <c r="FG169" s="48" t="s">
        <v>1710</v>
      </c>
      <c r="FH169">
        <v>1</v>
      </c>
      <c r="FI169" s="48" t="s">
        <v>1846</v>
      </c>
      <c r="FJ169">
        <v>1552.12</v>
      </c>
      <c r="FK169">
        <v>1552.12</v>
      </c>
      <c r="FL169" s="48" t="s">
        <v>2615</v>
      </c>
      <c r="FM169" s="48" t="s">
        <v>2614</v>
      </c>
      <c r="FN169" s="48" t="s">
        <v>1710</v>
      </c>
      <c r="FO169" s="48" t="s">
        <v>1710</v>
      </c>
      <c r="FP169" s="48" t="s">
        <v>1710</v>
      </c>
      <c r="FQ169" s="48" t="s">
        <v>1710</v>
      </c>
      <c r="FR169" s="48" t="s">
        <v>1710</v>
      </c>
      <c r="FS169" s="48" t="s">
        <v>1710</v>
      </c>
      <c r="FT169" s="48" t="s">
        <v>1710</v>
      </c>
      <c r="FU169" s="48" t="s">
        <v>1710</v>
      </c>
      <c r="FV169" s="48"/>
      <c r="FW169" s="56"/>
      <c r="FX169" s="56"/>
      <c r="FY169" s="56"/>
      <c r="FZ169" s="56"/>
      <c r="GA169" s="55" t="str">
        <f t="shared" si="8"/>
        <v>4388426300466X</v>
      </c>
      <c r="GB169" t="str">
        <f>VLOOKUP(B169,수출코드!$C$2:$D$4,2,FALSE)</f>
        <v>Suwon</v>
      </c>
      <c r="GC169" t="str">
        <f>VLOOKUP(L169,수출코드!$A$2:$B$6,2,FALSE)</f>
        <v/>
      </c>
      <c r="GD169" t="str">
        <f>VLOOKUP(M169,수출코드!$E$2:$F$5,2,FALSE)</f>
        <v>일반</v>
      </c>
      <c r="GE169" s="61">
        <f t="shared" si="6"/>
        <v>45974.490972222222</v>
      </c>
      <c r="GF169" s="62">
        <f t="shared" si="7"/>
        <v>46051.73333333333</v>
      </c>
      <c r="GI169" s="48" t="s">
        <v>2768</v>
      </c>
    </row>
    <row r="170" spans="1:191">
      <c r="A170" s="48" t="s">
        <v>4170</v>
      </c>
      <c r="B170" s="48" t="s">
        <v>1821</v>
      </c>
      <c r="C170" s="48" t="s">
        <v>2048</v>
      </c>
      <c r="D170" s="48" t="s">
        <v>2813</v>
      </c>
      <c r="E170" s="48" t="s">
        <v>4170</v>
      </c>
      <c r="F170" s="48" t="s">
        <v>1710</v>
      </c>
      <c r="G170" s="48" t="s">
        <v>2814</v>
      </c>
      <c r="H170" s="48" t="s">
        <v>4171</v>
      </c>
      <c r="I170" s="48" t="s">
        <v>1884</v>
      </c>
      <c r="J170" s="48" t="s">
        <v>3111</v>
      </c>
      <c r="K170" s="48" t="s">
        <v>1877</v>
      </c>
      <c r="L170" s="48" t="s">
        <v>1842</v>
      </c>
      <c r="M170" s="48" t="s">
        <v>1810</v>
      </c>
      <c r="N170" s="48" t="s">
        <v>1842</v>
      </c>
      <c r="O170" s="48" t="s">
        <v>1811</v>
      </c>
      <c r="P170" s="48" t="s">
        <v>2549</v>
      </c>
      <c r="Q170" s="48" t="s">
        <v>2049</v>
      </c>
      <c r="R170" s="48" t="s">
        <v>1838</v>
      </c>
      <c r="S170" s="48" t="s">
        <v>2050</v>
      </c>
      <c r="T170" s="48" t="s">
        <v>1845</v>
      </c>
      <c r="U170" s="48" t="s">
        <v>2049</v>
      </c>
      <c r="V170" s="48" t="s">
        <v>1838</v>
      </c>
      <c r="W170" s="48" t="s">
        <v>2051</v>
      </c>
      <c r="X170" s="48" t="s">
        <v>2052</v>
      </c>
      <c r="Y170" s="48" t="s">
        <v>2050</v>
      </c>
      <c r="Z170" s="48" t="s">
        <v>2053</v>
      </c>
      <c r="AA170" s="48" t="s">
        <v>2054</v>
      </c>
      <c r="AB170" s="48" t="s">
        <v>2817</v>
      </c>
      <c r="AC170" s="48" t="s">
        <v>2055</v>
      </c>
      <c r="AD170" s="48" t="s">
        <v>2056</v>
      </c>
      <c r="AE170" s="48" t="s">
        <v>1710</v>
      </c>
      <c r="AF170" s="48" t="s">
        <v>1710</v>
      </c>
      <c r="AG170" s="48" t="s">
        <v>2057</v>
      </c>
      <c r="AH170" s="48" t="s">
        <v>1815</v>
      </c>
      <c r="AI170" s="48" t="s">
        <v>2058</v>
      </c>
      <c r="AJ170" s="48" t="s">
        <v>1710</v>
      </c>
      <c r="AK170" s="48" t="s">
        <v>2589</v>
      </c>
      <c r="AL170" s="48" t="s">
        <v>2590</v>
      </c>
      <c r="AM170" s="48" t="s">
        <v>1816</v>
      </c>
      <c r="AN170" s="48" t="s">
        <v>2054</v>
      </c>
      <c r="AO170" s="48" t="s">
        <v>1710</v>
      </c>
      <c r="AP170" s="48" t="s">
        <v>1843</v>
      </c>
      <c r="AQ170" s="48" t="s">
        <v>2079</v>
      </c>
      <c r="AR170" s="48" t="s">
        <v>1812</v>
      </c>
      <c r="AS170" s="48" t="s">
        <v>1813</v>
      </c>
      <c r="AT170" s="48" t="s">
        <v>1826</v>
      </c>
      <c r="AU170" s="48" t="s">
        <v>2061</v>
      </c>
      <c r="AV170" s="48" t="s">
        <v>3111</v>
      </c>
      <c r="AW170" s="48" t="s">
        <v>2062</v>
      </c>
      <c r="AX170" s="48" t="s">
        <v>2063</v>
      </c>
      <c r="AY170" s="48" t="s">
        <v>1710</v>
      </c>
      <c r="AZ170" s="48" t="s">
        <v>4172</v>
      </c>
      <c r="BA170" s="48" t="s">
        <v>1710</v>
      </c>
      <c r="BB170" s="48" t="s">
        <v>1709</v>
      </c>
      <c r="BC170" s="48" t="s">
        <v>1710</v>
      </c>
      <c r="BD170" s="48" t="s">
        <v>2097</v>
      </c>
      <c r="BE170" s="52" t="s">
        <v>4129</v>
      </c>
      <c r="BF170" s="48" t="s">
        <v>1710</v>
      </c>
      <c r="BG170" s="48" t="s">
        <v>1817</v>
      </c>
      <c r="BH170">
        <v>8</v>
      </c>
      <c r="BI170" s="48" t="s">
        <v>1888</v>
      </c>
      <c r="BJ170">
        <v>1</v>
      </c>
      <c r="BK170">
        <v>1473.06</v>
      </c>
      <c r="BL170">
        <v>640187</v>
      </c>
      <c r="BM170">
        <v>435</v>
      </c>
      <c r="BN170" s="48" t="s">
        <v>2064</v>
      </c>
      <c r="BO170" s="48" t="s">
        <v>2065</v>
      </c>
      <c r="BP170">
        <v>1473.06</v>
      </c>
      <c r="BQ170">
        <v>478.18</v>
      </c>
      <c r="BR170" s="48" t="s">
        <v>1885</v>
      </c>
      <c r="BS170" s="48" t="s">
        <v>2066</v>
      </c>
      <c r="BT170">
        <v>1</v>
      </c>
      <c r="BU170">
        <v>64200</v>
      </c>
      <c r="BV170">
        <v>64200</v>
      </c>
      <c r="BW170" s="48" t="s">
        <v>2065</v>
      </c>
      <c r="BX170">
        <v>1473.06</v>
      </c>
      <c r="BY170">
        <v>0</v>
      </c>
      <c r="BZ170">
        <v>0</v>
      </c>
      <c r="CA170" s="48" t="s">
        <v>2065</v>
      </c>
      <c r="CB170">
        <v>1473.06</v>
      </c>
      <c r="CC170">
        <v>0</v>
      </c>
      <c r="CD170">
        <v>0</v>
      </c>
      <c r="CE170" s="48" t="s">
        <v>1710</v>
      </c>
      <c r="CF170" s="48" t="s">
        <v>1710</v>
      </c>
      <c r="CG170" s="48" t="s">
        <v>1710</v>
      </c>
      <c r="CH170" s="48" t="s">
        <v>1710</v>
      </c>
      <c r="CI170" s="48" t="s">
        <v>2067</v>
      </c>
      <c r="CJ170" s="48" t="s">
        <v>1710</v>
      </c>
      <c r="CL170" s="48" t="s">
        <v>3111</v>
      </c>
      <c r="CM170" s="48" t="s">
        <v>1710</v>
      </c>
      <c r="CN170" s="48" t="s">
        <v>2068</v>
      </c>
      <c r="CO170" s="48" t="s">
        <v>2069</v>
      </c>
      <c r="CP170" s="48" t="s">
        <v>1710</v>
      </c>
      <c r="CQ170" s="48" t="s">
        <v>1710</v>
      </c>
      <c r="CR170" s="48" t="s">
        <v>1710</v>
      </c>
      <c r="CS170" s="48" t="s">
        <v>1710</v>
      </c>
      <c r="CT170" s="48" t="s">
        <v>1710</v>
      </c>
      <c r="CU170" s="48" t="s">
        <v>1712</v>
      </c>
      <c r="CV170" s="48" t="s">
        <v>1710</v>
      </c>
      <c r="CW170" s="48" t="s">
        <v>1710</v>
      </c>
      <c r="CX170" s="48" t="s">
        <v>3167</v>
      </c>
      <c r="CY170" s="48" t="s">
        <v>1710</v>
      </c>
      <c r="CZ170" s="48" t="s">
        <v>1712</v>
      </c>
      <c r="DA170" s="48" t="s">
        <v>1710</v>
      </c>
      <c r="DB170" s="48" t="s">
        <v>1878</v>
      </c>
      <c r="DC170" s="48" t="s">
        <v>2070</v>
      </c>
      <c r="DD170" s="48" t="s">
        <v>1842</v>
      </c>
      <c r="DE170" s="48" t="s">
        <v>1886</v>
      </c>
      <c r="DF170" s="48" t="s">
        <v>4173</v>
      </c>
      <c r="DG170" s="48" t="s">
        <v>2071</v>
      </c>
      <c r="DH170" s="48" t="s">
        <v>1712</v>
      </c>
      <c r="DI170" s="48" t="s">
        <v>1710</v>
      </c>
      <c r="DJ170" s="48" t="s">
        <v>1710</v>
      </c>
      <c r="DK170" s="48" t="s">
        <v>1710</v>
      </c>
      <c r="DL170" s="48" t="s">
        <v>1710</v>
      </c>
      <c r="DM170" s="48" t="s">
        <v>1710</v>
      </c>
      <c r="DN170" s="48" t="s">
        <v>1710</v>
      </c>
      <c r="DO170" s="48" t="s">
        <v>1710</v>
      </c>
      <c r="DP170" s="48" t="s">
        <v>1710</v>
      </c>
      <c r="DQ170" s="48" t="s">
        <v>1710</v>
      </c>
      <c r="DR170" s="48" t="s">
        <v>2072</v>
      </c>
      <c r="DS170" s="48" t="s">
        <v>1710</v>
      </c>
      <c r="DT170" s="48" t="s">
        <v>1710</v>
      </c>
      <c r="DU170" s="48" t="s">
        <v>2547</v>
      </c>
      <c r="DV170" s="48" t="s">
        <v>2825</v>
      </c>
      <c r="DW170" s="48" t="s">
        <v>1710</v>
      </c>
      <c r="DX170" s="48" t="s">
        <v>4174</v>
      </c>
      <c r="DY170" s="48" t="s">
        <v>1709</v>
      </c>
      <c r="DZ170" s="48" t="s">
        <v>2562</v>
      </c>
      <c r="EA170" s="48" t="s">
        <v>2546</v>
      </c>
      <c r="EB170">
        <v>0</v>
      </c>
      <c r="EC170" s="48" t="s">
        <v>2547</v>
      </c>
      <c r="ED170" s="48" t="s">
        <v>4169</v>
      </c>
      <c r="EE170" s="48" t="s">
        <v>1814</v>
      </c>
      <c r="EF170" s="48" t="s">
        <v>1862</v>
      </c>
      <c r="EG170" s="48" t="s">
        <v>4172</v>
      </c>
      <c r="EH170">
        <v>3.2000000000000001E-2</v>
      </c>
      <c r="EI170" s="48" t="s">
        <v>1888</v>
      </c>
      <c r="EJ170">
        <v>0</v>
      </c>
      <c r="EK170" s="48" t="s">
        <v>1710</v>
      </c>
      <c r="EL170">
        <v>1</v>
      </c>
      <c r="EM170" s="48" t="s">
        <v>1886</v>
      </c>
      <c r="EN170">
        <v>3.2000000000000001E-2</v>
      </c>
      <c r="EO170" s="48" t="s">
        <v>2522</v>
      </c>
      <c r="EP170" s="48" t="s">
        <v>4175</v>
      </c>
      <c r="EQ170">
        <v>296.24</v>
      </c>
      <c r="ER170">
        <v>296.24</v>
      </c>
      <c r="ES170">
        <v>396606</v>
      </c>
      <c r="ET170">
        <v>269</v>
      </c>
      <c r="EU170" s="48" t="s">
        <v>1710</v>
      </c>
      <c r="EV170" s="48" t="s">
        <v>1710</v>
      </c>
      <c r="EW170" s="48" t="s">
        <v>1712</v>
      </c>
      <c r="EX170" s="48" t="s">
        <v>1710</v>
      </c>
      <c r="EY170" s="48" t="s">
        <v>1848</v>
      </c>
      <c r="EZ170" s="48" t="s">
        <v>1710</v>
      </c>
      <c r="FA170" s="48" t="s">
        <v>1710</v>
      </c>
      <c r="FB170" s="48" t="s">
        <v>1712</v>
      </c>
      <c r="FC170" s="48" t="s">
        <v>1710</v>
      </c>
      <c r="FD170" s="48" t="s">
        <v>1710</v>
      </c>
      <c r="FE170" s="48" t="s">
        <v>1814</v>
      </c>
      <c r="FF170" s="48" t="s">
        <v>1815</v>
      </c>
      <c r="FG170" s="48" t="s">
        <v>1710</v>
      </c>
      <c r="FH170">
        <v>2</v>
      </c>
      <c r="FI170" s="48" t="s">
        <v>1846</v>
      </c>
      <c r="FJ170">
        <v>148.12</v>
      </c>
      <c r="FK170">
        <v>74.06</v>
      </c>
      <c r="FL170" s="48" t="s">
        <v>4176</v>
      </c>
      <c r="FM170" s="48" t="s">
        <v>4175</v>
      </c>
      <c r="FN170" s="48" t="s">
        <v>1710</v>
      </c>
      <c r="FO170" s="48" t="s">
        <v>1710</v>
      </c>
      <c r="FP170" s="48" t="s">
        <v>1710</v>
      </c>
      <c r="FQ170" s="48" t="s">
        <v>1710</v>
      </c>
      <c r="FR170" s="48" t="s">
        <v>1710</v>
      </c>
      <c r="FS170" s="48" t="s">
        <v>1710</v>
      </c>
      <c r="FT170" s="48" t="s">
        <v>1710</v>
      </c>
      <c r="FU170" s="48" t="s">
        <v>1710</v>
      </c>
      <c r="FV170" s="48"/>
      <c r="FW170" s="56"/>
      <c r="FX170" s="56"/>
      <c r="FY170" s="56"/>
      <c r="FZ170" s="56"/>
      <c r="GA170" s="55" t="str">
        <f t="shared" si="8"/>
        <v>4388426300467X</v>
      </c>
      <c r="GB170" t="str">
        <f>VLOOKUP(B170,수출코드!$C$2:$D$4,2,FALSE)</f>
        <v>Suwon</v>
      </c>
      <c r="GC170" t="str">
        <f>VLOOKUP(L170,수출코드!$A$2:$B$6,2,FALSE)</f>
        <v/>
      </c>
      <c r="GD170" t="str">
        <f>VLOOKUP(M170,수출코드!$E$2:$F$5,2,FALSE)</f>
        <v>일반</v>
      </c>
      <c r="GE170" s="61">
        <f t="shared" si="6"/>
        <v>45974.490972222222</v>
      </c>
      <c r="GF170" s="62">
        <f t="shared" si="7"/>
        <v>46051.73333333333</v>
      </c>
      <c r="GI170" s="48" t="s">
        <v>2768</v>
      </c>
    </row>
    <row r="171" spans="1:191">
      <c r="A171" s="48" t="s">
        <v>4177</v>
      </c>
      <c r="B171" s="48" t="s">
        <v>1821</v>
      </c>
      <c r="C171" s="48" t="s">
        <v>2048</v>
      </c>
      <c r="D171" s="48" t="s">
        <v>2813</v>
      </c>
      <c r="E171" s="48" t="s">
        <v>4177</v>
      </c>
      <c r="F171" s="48" t="s">
        <v>1710</v>
      </c>
      <c r="G171" s="48" t="s">
        <v>2814</v>
      </c>
      <c r="H171" s="48" t="s">
        <v>4178</v>
      </c>
      <c r="I171" s="48" t="s">
        <v>1884</v>
      </c>
      <c r="J171" s="48" t="s">
        <v>2825</v>
      </c>
      <c r="K171" s="48" t="s">
        <v>1877</v>
      </c>
      <c r="L171" s="48" t="s">
        <v>1844</v>
      </c>
      <c r="M171" s="48" t="s">
        <v>1810</v>
      </c>
      <c r="N171" s="48" t="s">
        <v>1842</v>
      </c>
      <c r="O171" s="48" t="s">
        <v>1811</v>
      </c>
      <c r="P171" s="48" t="s">
        <v>2549</v>
      </c>
      <c r="Q171" s="48" t="s">
        <v>2049</v>
      </c>
      <c r="R171" s="48" t="s">
        <v>1838</v>
      </c>
      <c r="S171" s="48" t="s">
        <v>2050</v>
      </c>
      <c r="T171" s="48" t="s">
        <v>1845</v>
      </c>
      <c r="U171" s="48" t="s">
        <v>2049</v>
      </c>
      <c r="V171" s="48" t="s">
        <v>1838</v>
      </c>
      <c r="W171" s="48" t="s">
        <v>2051</v>
      </c>
      <c r="X171" s="48" t="s">
        <v>2052</v>
      </c>
      <c r="Y171" s="48" t="s">
        <v>2050</v>
      </c>
      <c r="Z171" s="48" t="s">
        <v>2053</v>
      </c>
      <c r="AA171" s="48" t="s">
        <v>2054</v>
      </c>
      <c r="AB171" s="48" t="s">
        <v>2817</v>
      </c>
      <c r="AC171" s="48" t="s">
        <v>2055</v>
      </c>
      <c r="AD171" s="48" t="s">
        <v>2056</v>
      </c>
      <c r="AE171" s="48" t="s">
        <v>1710</v>
      </c>
      <c r="AF171" s="48" t="s">
        <v>1710</v>
      </c>
      <c r="AG171" s="48" t="s">
        <v>2057</v>
      </c>
      <c r="AH171" s="48" t="s">
        <v>1815</v>
      </c>
      <c r="AI171" s="48" t="s">
        <v>2058</v>
      </c>
      <c r="AJ171" s="48" t="s">
        <v>1710</v>
      </c>
      <c r="AK171" s="48" t="s">
        <v>2095</v>
      </c>
      <c r="AL171" s="48" t="s">
        <v>1880</v>
      </c>
      <c r="AM171" s="48" t="s">
        <v>1816</v>
      </c>
      <c r="AN171" s="48" t="s">
        <v>2054</v>
      </c>
      <c r="AO171" s="48" t="s">
        <v>1710</v>
      </c>
      <c r="AP171" s="48" t="s">
        <v>1843</v>
      </c>
      <c r="AQ171" s="48" t="s">
        <v>2079</v>
      </c>
      <c r="AR171" s="48" t="s">
        <v>1812</v>
      </c>
      <c r="AS171" s="48" t="s">
        <v>1813</v>
      </c>
      <c r="AT171" s="48" t="s">
        <v>1826</v>
      </c>
      <c r="AU171" s="48" t="s">
        <v>2061</v>
      </c>
      <c r="AV171" s="48" t="s">
        <v>2825</v>
      </c>
      <c r="AW171" s="48" t="s">
        <v>2062</v>
      </c>
      <c r="AX171" s="48" t="s">
        <v>2063</v>
      </c>
      <c r="AY171" s="48" t="s">
        <v>1710</v>
      </c>
      <c r="AZ171" s="48" t="s">
        <v>4179</v>
      </c>
      <c r="BA171" s="48" t="s">
        <v>1710</v>
      </c>
      <c r="BB171" s="48" t="s">
        <v>1709</v>
      </c>
      <c r="BC171" s="48" t="s">
        <v>1710</v>
      </c>
      <c r="BD171" s="48" t="s">
        <v>2097</v>
      </c>
      <c r="BE171" s="52" t="s">
        <v>4180</v>
      </c>
      <c r="BF171" s="48" t="s">
        <v>1710</v>
      </c>
      <c r="BG171" s="48" t="s">
        <v>1818</v>
      </c>
      <c r="BH171">
        <v>1</v>
      </c>
      <c r="BI171" s="48" t="s">
        <v>1888</v>
      </c>
      <c r="BJ171">
        <v>1</v>
      </c>
      <c r="BK171">
        <v>1473.06</v>
      </c>
      <c r="BL171">
        <v>5219483</v>
      </c>
      <c r="BM171">
        <v>3543</v>
      </c>
      <c r="BN171" s="48" t="s">
        <v>2064</v>
      </c>
      <c r="BO171" s="48" t="s">
        <v>2065</v>
      </c>
      <c r="BP171">
        <v>1473.06</v>
      </c>
      <c r="BQ171">
        <v>3557.55</v>
      </c>
      <c r="BR171" s="48" t="s">
        <v>1885</v>
      </c>
      <c r="BS171" s="48" t="s">
        <v>2066</v>
      </c>
      <c r="BT171">
        <v>1</v>
      </c>
      <c r="BU171">
        <v>21000</v>
      </c>
      <c r="BV171">
        <v>21000</v>
      </c>
      <c r="BW171" s="48" t="s">
        <v>2065</v>
      </c>
      <c r="BX171">
        <v>1473.06</v>
      </c>
      <c r="BY171">
        <v>0</v>
      </c>
      <c r="BZ171">
        <v>0</v>
      </c>
      <c r="CA171" s="48" t="s">
        <v>2065</v>
      </c>
      <c r="CB171">
        <v>1473.06</v>
      </c>
      <c r="CC171">
        <v>0</v>
      </c>
      <c r="CD171">
        <v>0</v>
      </c>
      <c r="CE171" s="48" t="s">
        <v>1710</v>
      </c>
      <c r="CF171" s="48" t="s">
        <v>1710</v>
      </c>
      <c r="CG171" s="48" t="s">
        <v>1710</v>
      </c>
      <c r="CH171" s="48" t="s">
        <v>1710</v>
      </c>
      <c r="CI171" s="48" t="s">
        <v>2067</v>
      </c>
      <c r="CJ171" s="48" t="s">
        <v>1710</v>
      </c>
      <c r="CL171" s="48" t="s">
        <v>2825</v>
      </c>
      <c r="CM171" s="48" t="s">
        <v>1710</v>
      </c>
      <c r="CN171" s="48" t="s">
        <v>2068</v>
      </c>
      <c r="CO171" s="48" t="s">
        <v>2069</v>
      </c>
      <c r="CP171" s="48" t="s">
        <v>1710</v>
      </c>
      <c r="CQ171" s="48" t="s">
        <v>1710</v>
      </c>
      <c r="CR171" s="48" t="s">
        <v>1710</v>
      </c>
      <c r="CS171" s="48" t="s">
        <v>1710</v>
      </c>
      <c r="CT171" s="48" t="s">
        <v>1710</v>
      </c>
      <c r="CU171" s="48" t="s">
        <v>1712</v>
      </c>
      <c r="CV171" s="48" t="s">
        <v>1710</v>
      </c>
      <c r="CW171" s="48" t="s">
        <v>1710</v>
      </c>
      <c r="CX171" s="48" t="s">
        <v>3167</v>
      </c>
      <c r="CY171" s="48" t="s">
        <v>1710</v>
      </c>
      <c r="CZ171" s="48" t="s">
        <v>1712</v>
      </c>
      <c r="DA171" s="48" t="s">
        <v>1710</v>
      </c>
      <c r="DB171" s="48" t="s">
        <v>1878</v>
      </c>
      <c r="DC171" s="48" t="s">
        <v>2070</v>
      </c>
      <c r="DD171" s="48" t="s">
        <v>1842</v>
      </c>
      <c r="DE171" s="48" t="s">
        <v>1886</v>
      </c>
      <c r="DF171" s="48" t="s">
        <v>4181</v>
      </c>
      <c r="DG171" s="48" t="s">
        <v>2071</v>
      </c>
      <c r="DH171" s="48" t="s">
        <v>1712</v>
      </c>
      <c r="DI171" s="48" t="s">
        <v>1710</v>
      </c>
      <c r="DJ171" s="48" t="s">
        <v>1710</v>
      </c>
      <c r="DK171" s="48" t="s">
        <v>1710</v>
      </c>
      <c r="DL171" s="48" t="s">
        <v>1710</v>
      </c>
      <c r="DM171" s="48" t="s">
        <v>1710</v>
      </c>
      <c r="DN171" s="48" t="s">
        <v>1710</v>
      </c>
      <c r="DO171" s="48" t="s">
        <v>1710</v>
      </c>
      <c r="DP171" s="48" t="s">
        <v>1710</v>
      </c>
      <c r="DQ171" s="48" t="s">
        <v>1710</v>
      </c>
      <c r="DR171" s="48" t="s">
        <v>2072</v>
      </c>
      <c r="DS171" s="48" t="s">
        <v>1710</v>
      </c>
      <c r="DT171" s="48" t="s">
        <v>1710</v>
      </c>
      <c r="DU171" s="48" t="s">
        <v>2547</v>
      </c>
      <c r="DV171" s="48" t="s">
        <v>2825</v>
      </c>
      <c r="DW171" s="48" t="s">
        <v>1710</v>
      </c>
      <c r="DX171" s="48" t="s">
        <v>4182</v>
      </c>
      <c r="DY171" s="48" t="s">
        <v>1709</v>
      </c>
      <c r="DZ171" s="48" t="s">
        <v>2084</v>
      </c>
      <c r="EA171" s="48" t="s">
        <v>2546</v>
      </c>
      <c r="EB171">
        <v>0</v>
      </c>
      <c r="EC171" s="48" t="s">
        <v>2547</v>
      </c>
      <c r="ED171" s="48" t="s">
        <v>4183</v>
      </c>
      <c r="EE171" s="48" t="s">
        <v>1814</v>
      </c>
      <c r="EF171" s="48" t="s">
        <v>4184</v>
      </c>
      <c r="EG171" s="48" t="s">
        <v>4179</v>
      </c>
      <c r="EH171">
        <v>0.1</v>
      </c>
      <c r="EI171" s="48" t="s">
        <v>1888</v>
      </c>
      <c r="EJ171">
        <v>1</v>
      </c>
      <c r="EK171" s="48" t="s">
        <v>1887</v>
      </c>
      <c r="EL171">
        <v>1</v>
      </c>
      <c r="EM171" s="48" t="s">
        <v>1886</v>
      </c>
      <c r="EN171">
        <v>0.1</v>
      </c>
      <c r="EO171" s="48" t="s">
        <v>4185</v>
      </c>
      <c r="EP171" s="48" t="s">
        <v>4186</v>
      </c>
      <c r="EQ171">
        <v>442.75</v>
      </c>
      <c r="ER171">
        <v>442.75</v>
      </c>
      <c r="ES171">
        <v>649583</v>
      </c>
      <c r="ET171">
        <v>441</v>
      </c>
      <c r="EU171" s="48" t="s">
        <v>1710</v>
      </c>
      <c r="EV171" s="48" t="s">
        <v>1710</v>
      </c>
      <c r="EW171" s="48" t="s">
        <v>1712</v>
      </c>
      <c r="EX171" s="48" t="s">
        <v>1710</v>
      </c>
      <c r="EY171" s="48" t="s">
        <v>1855</v>
      </c>
      <c r="EZ171" s="48" t="s">
        <v>1710</v>
      </c>
      <c r="FA171" s="48" t="s">
        <v>1710</v>
      </c>
      <c r="FB171" s="48" t="s">
        <v>1712</v>
      </c>
      <c r="FC171" s="48" t="s">
        <v>1710</v>
      </c>
      <c r="FD171" s="48" t="s">
        <v>1710</v>
      </c>
      <c r="FE171" s="48" t="s">
        <v>1814</v>
      </c>
      <c r="FF171" s="48" t="s">
        <v>1815</v>
      </c>
      <c r="FG171" s="48" t="s">
        <v>1710</v>
      </c>
      <c r="FH171">
        <v>1</v>
      </c>
      <c r="FI171" s="48" t="s">
        <v>1846</v>
      </c>
      <c r="FJ171">
        <v>442.75</v>
      </c>
      <c r="FK171">
        <v>442.75</v>
      </c>
      <c r="FL171" s="48" t="s">
        <v>4187</v>
      </c>
      <c r="FM171" s="48" t="s">
        <v>4186</v>
      </c>
      <c r="FN171" s="48" t="s">
        <v>1710</v>
      </c>
      <c r="FO171" s="48" t="s">
        <v>1710</v>
      </c>
      <c r="FP171" s="48" t="s">
        <v>1710</v>
      </c>
      <c r="FQ171" s="48" t="s">
        <v>1710</v>
      </c>
      <c r="FR171" s="48" t="s">
        <v>1710</v>
      </c>
      <c r="FS171" s="48" t="s">
        <v>1710</v>
      </c>
      <c r="FT171" s="48" t="s">
        <v>1710</v>
      </c>
      <c r="FU171" s="48" t="s">
        <v>1710</v>
      </c>
      <c r="FV171" s="48"/>
      <c r="FW171" s="56"/>
      <c r="FX171" s="56"/>
      <c r="FY171" s="56"/>
      <c r="FZ171" s="56"/>
      <c r="GA171" s="55" t="str">
        <f t="shared" si="8"/>
        <v>4388426300468X</v>
      </c>
      <c r="GB171" t="str">
        <f>VLOOKUP(B171,수출코드!$C$2:$D$4,2,FALSE)</f>
        <v>Suwon</v>
      </c>
      <c r="GC171" t="str">
        <f>VLOOKUP(L171,수출코드!$A$2:$B$6,2,FALSE)</f>
        <v>화면심사</v>
      </c>
      <c r="GD171" t="str">
        <f>VLOOKUP(M171,수출코드!$E$2:$F$5,2,FALSE)</f>
        <v>일반</v>
      </c>
      <c r="GE171" s="61">
        <f t="shared" si="6"/>
        <v>45974.490972222222</v>
      </c>
      <c r="GF171" s="62">
        <f t="shared" si="7"/>
        <v>46052.400694444441</v>
      </c>
      <c r="GI171" s="48" t="s">
        <v>2768</v>
      </c>
    </row>
    <row r="172" spans="1:191">
      <c r="A172" s="48" t="s">
        <v>4188</v>
      </c>
      <c r="B172" s="48" t="s">
        <v>1821</v>
      </c>
      <c r="C172" s="48" t="s">
        <v>2048</v>
      </c>
      <c r="D172" s="48" t="s">
        <v>2813</v>
      </c>
      <c r="E172" s="48" t="s">
        <v>4188</v>
      </c>
      <c r="F172" s="48" t="s">
        <v>1710</v>
      </c>
      <c r="G172" s="48" t="s">
        <v>2814</v>
      </c>
      <c r="H172" s="48" t="s">
        <v>4189</v>
      </c>
      <c r="I172" s="48" t="s">
        <v>1884</v>
      </c>
      <c r="J172" s="48" t="s">
        <v>3111</v>
      </c>
      <c r="K172" s="48" t="s">
        <v>1877</v>
      </c>
      <c r="L172" s="48" t="s">
        <v>1842</v>
      </c>
      <c r="M172" s="48" t="s">
        <v>1810</v>
      </c>
      <c r="N172" s="48" t="s">
        <v>1842</v>
      </c>
      <c r="O172" s="48" t="s">
        <v>1811</v>
      </c>
      <c r="P172" s="48" t="s">
        <v>2549</v>
      </c>
      <c r="Q172" s="48" t="s">
        <v>2049</v>
      </c>
      <c r="R172" s="48" t="s">
        <v>1838</v>
      </c>
      <c r="S172" s="48" t="s">
        <v>2050</v>
      </c>
      <c r="T172" s="48" t="s">
        <v>1845</v>
      </c>
      <c r="U172" s="48" t="s">
        <v>2049</v>
      </c>
      <c r="V172" s="48" t="s">
        <v>1838</v>
      </c>
      <c r="W172" s="48" t="s">
        <v>2051</v>
      </c>
      <c r="X172" s="48" t="s">
        <v>2052</v>
      </c>
      <c r="Y172" s="48" t="s">
        <v>2050</v>
      </c>
      <c r="Z172" s="48" t="s">
        <v>2053</v>
      </c>
      <c r="AA172" s="48" t="s">
        <v>2054</v>
      </c>
      <c r="AB172" s="48" t="s">
        <v>2817</v>
      </c>
      <c r="AC172" s="48" t="s">
        <v>2055</v>
      </c>
      <c r="AD172" s="48" t="s">
        <v>2056</v>
      </c>
      <c r="AE172" s="48" t="s">
        <v>1710</v>
      </c>
      <c r="AF172" s="48" t="s">
        <v>1710</v>
      </c>
      <c r="AG172" s="48" t="s">
        <v>2057</v>
      </c>
      <c r="AH172" s="48" t="s">
        <v>1815</v>
      </c>
      <c r="AI172" s="48" t="s">
        <v>2058</v>
      </c>
      <c r="AJ172" s="48" t="s">
        <v>1710</v>
      </c>
      <c r="AK172" s="48" t="s">
        <v>2569</v>
      </c>
      <c r="AL172" s="48" t="s">
        <v>2570</v>
      </c>
      <c r="AM172" s="48" t="s">
        <v>1816</v>
      </c>
      <c r="AN172" s="48" t="s">
        <v>2054</v>
      </c>
      <c r="AO172" s="48" t="s">
        <v>1710</v>
      </c>
      <c r="AP172" s="48" t="s">
        <v>1843</v>
      </c>
      <c r="AQ172" s="48" t="s">
        <v>2079</v>
      </c>
      <c r="AR172" s="48" t="s">
        <v>1812</v>
      </c>
      <c r="AS172" s="48" t="s">
        <v>1813</v>
      </c>
      <c r="AT172" s="48" t="s">
        <v>1826</v>
      </c>
      <c r="AU172" s="48" t="s">
        <v>2061</v>
      </c>
      <c r="AV172" s="48" t="s">
        <v>3111</v>
      </c>
      <c r="AW172" s="48" t="s">
        <v>2062</v>
      </c>
      <c r="AX172" s="48" t="s">
        <v>2063</v>
      </c>
      <c r="AY172" s="48" t="s">
        <v>1710</v>
      </c>
      <c r="AZ172" s="48" t="s">
        <v>4190</v>
      </c>
      <c r="BA172" s="48" t="s">
        <v>1710</v>
      </c>
      <c r="BB172" s="48" t="s">
        <v>1709</v>
      </c>
      <c r="BC172" s="48" t="s">
        <v>1710</v>
      </c>
      <c r="BD172" s="48" t="s">
        <v>2097</v>
      </c>
      <c r="BE172" s="52" t="s">
        <v>4129</v>
      </c>
      <c r="BF172" s="48" t="s">
        <v>1710</v>
      </c>
      <c r="BG172" s="48" t="s">
        <v>1817</v>
      </c>
      <c r="BH172">
        <v>6</v>
      </c>
      <c r="BI172" s="48" t="s">
        <v>1888</v>
      </c>
      <c r="BJ172">
        <v>1</v>
      </c>
      <c r="BK172">
        <v>1473.06</v>
      </c>
      <c r="BL172">
        <v>3572449</v>
      </c>
      <c r="BM172">
        <v>2425</v>
      </c>
      <c r="BN172" s="48" t="s">
        <v>2064</v>
      </c>
      <c r="BO172" s="48" t="s">
        <v>2065</v>
      </c>
      <c r="BP172">
        <v>1473.06</v>
      </c>
      <c r="BQ172">
        <v>2463.0700000000002</v>
      </c>
      <c r="BR172" s="48" t="s">
        <v>1885</v>
      </c>
      <c r="BS172" s="48" t="s">
        <v>2066</v>
      </c>
      <c r="BT172">
        <v>1</v>
      </c>
      <c r="BU172">
        <v>55800</v>
      </c>
      <c r="BV172">
        <v>55800</v>
      </c>
      <c r="BW172" s="48" t="s">
        <v>2065</v>
      </c>
      <c r="BX172">
        <v>1473.06</v>
      </c>
      <c r="BY172">
        <v>0</v>
      </c>
      <c r="BZ172">
        <v>0</v>
      </c>
      <c r="CA172" s="48" t="s">
        <v>2065</v>
      </c>
      <c r="CB172">
        <v>1473.06</v>
      </c>
      <c r="CC172">
        <v>0</v>
      </c>
      <c r="CD172">
        <v>0</v>
      </c>
      <c r="CE172" s="48" t="s">
        <v>1710</v>
      </c>
      <c r="CF172" s="48" t="s">
        <v>1710</v>
      </c>
      <c r="CG172" s="48" t="s">
        <v>1710</v>
      </c>
      <c r="CH172" s="48" t="s">
        <v>1710</v>
      </c>
      <c r="CI172" s="48" t="s">
        <v>2067</v>
      </c>
      <c r="CJ172" s="48" t="s">
        <v>1710</v>
      </c>
      <c r="CL172" s="48" t="s">
        <v>3111</v>
      </c>
      <c r="CM172" s="48" t="s">
        <v>1710</v>
      </c>
      <c r="CN172" s="48" t="s">
        <v>2068</v>
      </c>
      <c r="CO172" s="48" t="s">
        <v>2069</v>
      </c>
      <c r="CP172" s="48" t="s">
        <v>1710</v>
      </c>
      <c r="CQ172" s="48" t="s">
        <v>1710</v>
      </c>
      <c r="CR172" s="48" t="s">
        <v>1710</v>
      </c>
      <c r="CS172" s="48" t="s">
        <v>1710</v>
      </c>
      <c r="CT172" s="48" t="s">
        <v>1710</v>
      </c>
      <c r="CU172" s="48" t="s">
        <v>1712</v>
      </c>
      <c r="CV172" s="48" t="s">
        <v>1710</v>
      </c>
      <c r="CW172" s="48" t="s">
        <v>1710</v>
      </c>
      <c r="CX172" s="48" t="s">
        <v>3167</v>
      </c>
      <c r="CY172" s="48" t="s">
        <v>1710</v>
      </c>
      <c r="CZ172" s="48" t="s">
        <v>1712</v>
      </c>
      <c r="DA172" s="48" t="s">
        <v>1710</v>
      </c>
      <c r="DB172" s="48" t="s">
        <v>1878</v>
      </c>
      <c r="DC172" s="48" t="s">
        <v>2070</v>
      </c>
      <c r="DD172" s="48" t="s">
        <v>1842</v>
      </c>
      <c r="DE172" s="48" t="s">
        <v>1886</v>
      </c>
      <c r="DF172" s="48" t="s">
        <v>4191</v>
      </c>
      <c r="DG172" s="48" t="s">
        <v>2071</v>
      </c>
      <c r="DH172" s="48" t="s">
        <v>1712</v>
      </c>
      <c r="DI172" s="48" t="s">
        <v>1710</v>
      </c>
      <c r="DJ172" s="48" t="s">
        <v>1710</v>
      </c>
      <c r="DK172" s="48" t="s">
        <v>1710</v>
      </c>
      <c r="DL172" s="48" t="s">
        <v>1710</v>
      </c>
      <c r="DM172" s="48" t="s">
        <v>1710</v>
      </c>
      <c r="DN172" s="48" t="s">
        <v>1710</v>
      </c>
      <c r="DO172" s="48" t="s">
        <v>1710</v>
      </c>
      <c r="DP172" s="48" t="s">
        <v>1710</v>
      </c>
      <c r="DQ172" s="48" t="s">
        <v>1710</v>
      </c>
      <c r="DR172" s="48" t="s">
        <v>2072</v>
      </c>
      <c r="DS172" s="48" t="s">
        <v>1710</v>
      </c>
      <c r="DT172" s="48" t="s">
        <v>1710</v>
      </c>
      <c r="DU172" s="48" t="s">
        <v>2547</v>
      </c>
      <c r="DV172" s="48" t="s">
        <v>2825</v>
      </c>
      <c r="DW172" s="48" t="s">
        <v>1710</v>
      </c>
      <c r="DX172" s="48" t="s">
        <v>4192</v>
      </c>
      <c r="DY172" s="48" t="s">
        <v>1709</v>
      </c>
      <c r="DZ172" s="48" t="s">
        <v>2562</v>
      </c>
      <c r="EA172" s="48" t="s">
        <v>2546</v>
      </c>
      <c r="EB172">
        <v>0</v>
      </c>
      <c r="EC172" s="48" t="s">
        <v>2547</v>
      </c>
      <c r="ED172" s="48" t="s">
        <v>4193</v>
      </c>
      <c r="EE172" s="48" t="s">
        <v>1814</v>
      </c>
      <c r="EF172" s="48" t="s">
        <v>3687</v>
      </c>
      <c r="EG172" s="48" t="s">
        <v>4190</v>
      </c>
      <c r="EH172">
        <v>2.2999999999999998</v>
      </c>
      <c r="EI172" s="48" t="s">
        <v>1888</v>
      </c>
      <c r="EJ172">
        <v>1</v>
      </c>
      <c r="EK172" s="48" t="s">
        <v>1887</v>
      </c>
      <c r="EL172">
        <v>1</v>
      </c>
      <c r="EM172" s="48" t="s">
        <v>1886</v>
      </c>
      <c r="EN172">
        <v>2.2999999999999998</v>
      </c>
      <c r="EO172" s="48" t="s">
        <v>3688</v>
      </c>
      <c r="EP172" s="48" t="s">
        <v>4194</v>
      </c>
      <c r="EQ172">
        <v>1202.0999999999999</v>
      </c>
      <c r="ER172">
        <v>1202.0999999999999</v>
      </c>
      <c r="ES172">
        <v>1743532</v>
      </c>
      <c r="ET172">
        <v>1184</v>
      </c>
      <c r="EU172" s="48" t="s">
        <v>1710</v>
      </c>
      <c r="EV172" s="48" t="s">
        <v>1710</v>
      </c>
      <c r="EW172" s="48" t="s">
        <v>1712</v>
      </c>
      <c r="EX172" s="48" t="s">
        <v>1710</v>
      </c>
      <c r="EY172" s="48" t="s">
        <v>1848</v>
      </c>
      <c r="EZ172" s="48" t="s">
        <v>1710</v>
      </c>
      <c r="FA172" s="48" t="s">
        <v>1710</v>
      </c>
      <c r="FB172" s="48" t="s">
        <v>1712</v>
      </c>
      <c r="FC172" s="48" t="s">
        <v>1710</v>
      </c>
      <c r="FD172" s="48" t="s">
        <v>1710</v>
      </c>
      <c r="FE172" s="48" t="s">
        <v>1814</v>
      </c>
      <c r="FF172" s="48" t="s">
        <v>1815</v>
      </c>
      <c r="FG172" s="48" t="s">
        <v>1710</v>
      </c>
      <c r="FH172">
        <v>1</v>
      </c>
      <c r="FI172" s="48" t="s">
        <v>1846</v>
      </c>
      <c r="FJ172">
        <v>1202.0999999999999</v>
      </c>
      <c r="FK172">
        <v>1202.0999999999999</v>
      </c>
      <c r="FL172" s="48" t="s">
        <v>4195</v>
      </c>
      <c r="FM172" s="48" t="s">
        <v>4194</v>
      </c>
      <c r="FN172" s="48" t="s">
        <v>1710</v>
      </c>
      <c r="FO172" s="48" t="s">
        <v>1710</v>
      </c>
      <c r="FP172" s="48" t="s">
        <v>1710</v>
      </c>
      <c r="FQ172" s="48" t="s">
        <v>1710</v>
      </c>
      <c r="FR172" s="48" t="s">
        <v>1710</v>
      </c>
      <c r="FS172" s="48" t="s">
        <v>1710</v>
      </c>
      <c r="FT172" s="48" t="s">
        <v>1710</v>
      </c>
      <c r="FU172" s="48" t="s">
        <v>1710</v>
      </c>
      <c r="FV172" s="48"/>
      <c r="FW172" s="56"/>
      <c r="FX172" s="56"/>
      <c r="FY172" s="56"/>
      <c r="FZ172" s="56"/>
      <c r="GA172" s="55" t="str">
        <f t="shared" si="8"/>
        <v>4388426300469X</v>
      </c>
      <c r="GB172" t="str">
        <f>VLOOKUP(B172,수출코드!$C$2:$D$4,2,FALSE)</f>
        <v>Suwon</v>
      </c>
      <c r="GC172" t="str">
        <f>VLOOKUP(L172,수출코드!$A$2:$B$6,2,FALSE)</f>
        <v/>
      </c>
      <c r="GD172" t="str">
        <f>VLOOKUP(M172,수출코드!$E$2:$F$5,2,FALSE)</f>
        <v>일반</v>
      </c>
      <c r="GE172" s="61">
        <f t="shared" si="6"/>
        <v>45974.561111111114</v>
      </c>
      <c r="GF172" s="62">
        <f t="shared" si="7"/>
        <v>46051.73541666667</v>
      </c>
      <c r="GI172" s="48" t="s">
        <v>2769</v>
      </c>
    </row>
    <row r="173" spans="1:191">
      <c r="A173" s="48" t="s">
        <v>4196</v>
      </c>
      <c r="B173" s="48" t="s">
        <v>1821</v>
      </c>
      <c r="C173" s="48" t="s">
        <v>2048</v>
      </c>
      <c r="D173" s="48" t="s">
        <v>2813</v>
      </c>
      <c r="E173" s="48" t="s">
        <v>4196</v>
      </c>
      <c r="F173" s="48" t="s">
        <v>1710</v>
      </c>
      <c r="G173" s="48" t="s">
        <v>2814</v>
      </c>
      <c r="H173" s="48" t="s">
        <v>4197</v>
      </c>
      <c r="I173" s="48" t="s">
        <v>1884</v>
      </c>
      <c r="J173" s="48" t="s">
        <v>3111</v>
      </c>
      <c r="K173" s="48" t="s">
        <v>1877</v>
      </c>
      <c r="L173" s="48" t="s">
        <v>1842</v>
      </c>
      <c r="M173" s="48" t="s">
        <v>1810</v>
      </c>
      <c r="N173" s="48" t="s">
        <v>1842</v>
      </c>
      <c r="O173" s="48" t="s">
        <v>1811</v>
      </c>
      <c r="P173" s="48" t="s">
        <v>2549</v>
      </c>
      <c r="Q173" s="48" t="s">
        <v>2049</v>
      </c>
      <c r="R173" s="48" t="s">
        <v>1838</v>
      </c>
      <c r="S173" s="48" t="s">
        <v>2050</v>
      </c>
      <c r="T173" s="48" t="s">
        <v>1845</v>
      </c>
      <c r="U173" s="48" t="s">
        <v>2049</v>
      </c>
      <c r="V173" s="48" t="s">
        <v>1838</v>
      </c>
      <c r="W173" s="48" t="s">
        <v>2051</v>
      </c>
      <c r="X173" s="48" t="s">
        <v>2052</v>
      </c>
      <c r="Y173" s="48" t="s">
        <v>2050</v>
      </c>
      <c r="Z173" s="48" t="s">
        <v>2053</v>
      </c>
      <c r="AA173" s="48" t="s">
        <v>2054</v>
      </c>
      <c r="AB173" s="48" t="s">
        <v>2817</v>
      </c>
      <c r="AC173" s="48" t="s">
        <v>2055</v>
      </c>
      <c r="AD173" s="48" t="s">
        <v>2056</v>
      </c>
      <c r="AE173" s="48" t="s">
        <v>1710</v>
      </c>
      <c r="AF173" s="48" t="s">
        <v>1710</v>
      </c>
      <c r="AG173" s="48" t="s">
        <v>2057</v>
      </c>
      <c r="AH173" s="48" t="s">
        <v>1815</v>
      </c>
      <c r="AI173" s="48" t="s">
        <v>2058</v>
      </c>
      <c r="AJ173" s="48" t="s">
        <v>1710</v>
      </c>
      <c r="AK173" s="48" t="s">
        <v>2100</v>
      </c>
      <c r="AL173" s="48" t="s">
        <v>2101</v>
      </c>
      <c r="AM173" s="48" t="s">
        <v>1816</v>
      </c>
      <c r="AN173" s="48" t="s">
        <v>2054</v>
      </c>
      <c r="AO173" s="48" t="s">
        <v>1710</v>
      </c>
      <c r="AP173" s="48" t="s">
        <v>1874</v>
      </c>
      <c r="AQ173" s="48" t="s">
        <v>2078</v>
      </c>
      <c r="AR173" s="48" t="s">
        <v>1812</v>
      </c>
      <c r="AS173" s="48" t="s">
        <v>1813</v>
      </c>
      <c r="AT173" s="48" t="s">
        <v>1826</v>
      </c>
      <c r="AU173" s="48" t="s">
        <v>2061</v>
      </c>
      <c r="AV173" s="48" t="s">
        <v>3111</v>
      </c>
      <c r="AW173" s="48" t="s">
        <v>2062</v>
      </c>
      <c r="AX173" s="48" t="s">
        <v>2063</v>
      </c>
      <c r="AY173" s="48" t="s">
        <v>1710</v>
      </c>
      <c r="AZ173" s="48" t="s">
        <v>4198</v>
      </c>
      <c r="BA173" s="48" t="s">
        <v>1710</v>
      </c>
      <c r="BB173" s="48" t="s">
        <v>1709</v>
      </c>
      <c r="BC173" s="48" t="s">
        <v>1710</v>
      </c>
      <c r="BD173" s="48" t="s">
        <v>2097</v>
      </c>
      <c r="BE173" s="52" t="s">
        <v>4129</v>
      </c>
      <c r="BF173" s="48" t="s">
        <v>1710</v>
      </c>
      <c r="BG173" s="48" t="s">
        <v>1814</v>
      </c>
      <c r="BH173">
        <v>1</v>
      </c>
      <c r="BI173" s="48" t="s">
        <v>1888</v>
      </c>
      <c r="BJ173">
        <v>1</v>
      </c>
      <c r="BK173">
        <v>1473.06</v>
      </c>
      <c r="BL173">
        <v>1116883</v>
      </c>
      <c r="BM173">
        <v>758</v>
      </c>
      <c r="BN173" s="48" t="s">
        <v>2064</v>
      </c>
      <c r="BO173" s="48" t="s">
        <v>2065</v>
      </c>
      <c r="BP173">
        <v>1473.06</v>
      </c>
      <c r="BQ173">
        <v>772.87</v>
      </c>
      <c r="BR173" s="48" t="s">
        <v>1885</v>
      </c>
      <c r="BS173" s="48" t="s">
        <v>2066</v>
      </c>
      <c r="BT173">
        <v>1</v>
      </c>
      <c r="BU173">
        <v>21600</v>
      </c>
      <c r="BV173">
        <v>21600</v>
      </c>
      <c r="BW173" s="48" t="s">
        <v>2065</v>
      </c>
      <c r="BX173">
        <v>1473.06</v>
      </c>
      <c r="BY173">
        <v>0</v>
      </c>
      <c r="BZ173">
        <v>0</v>
      </c>
      <c r="CA173" s="48" t="s">
        <v>2065</v>
      </c>
      <c r="CB173">
        <v>1473.06</v>
      </c>
      <c r="CC173">
        <v>0</v>
      </c>
      <c r="CD173">
        <v>0</v>
      </c>
      <c r="CE173" s="48" t="s">
        <v>1710</v>
      </c>
      <c r="CF173" s="48" t="s">
        <v>1710</v>
      </c>
      <c r="CG173" s="48" t="s">
        <v>1710</v>
      </c>
      <c r="CH173" s="48" t="s">
        <v>1710</v>
      </c>
      <c r="CI173" s="48" t="s">
        <v>2067</v>
      </c>
      <c r="CJ173" s="48" t="s">
        <v>1710</v>
      </c>
      <c r="CL173" s="48" t="s">
        <v>3111</v>
      </c>
      <c r="CM173" s="48" t="s">
        <v>1710</v>
      </c>
      <c r="CN173" s="48" t="s">
        <v>2068</v>
      </c>
      <c r="CO173" s="48" t="s">
        <v>2069</v>
      </c>
      <c r="CP173" s="48" t="s">
        <v>1710</v>
      </c>
      <c r="CQ173" s="48" t="s">
        <v>1710</v>
      </c>
      <c r="CR173" s="48" t="s">
        <v>1710</v>
      </c>
      <c r="CS173" s="48" t="s">
        <v>1710</v>
      </c>
      <c r="CT173" s="48" t="s">
        <v>1710</v>
      </c>
      <c r="CU173" s="48" t="s">
        <v>1712</v>
      </c>
      <c r="CV173" s="48" t="s">
        <v>1710</v>
      </c>
      <c r="CW173" s="48" t="s">
        <v>1710</v>
      </c>
      <c r="CX173" s="48" t="s">
        <v>3167</v>
      </c>
      <c r="CY173" s="48" t="s">
        <v>1710</v>
      </c>
      <c r="CZ173" s="48" t="s">
        <v>1712</v>
      </c>
      <c r="DA173" s="48" t="s">
        <v>1710</v>
      </c>
      <c r="DB173" s="48" t="s">
        <v>1878</v>
      </c>
      <c r="DC173" s="48" t="s">
        <v>2070</v>
      </c>
      <c r="DD173" s="48" t="s">
        <v>1842</v>
      </c>
      <c r="DE173" s="48" t="s">
        <v>1886</v>
      </c>
      <c r="DF173" s="48" t="s">
        <v>4199</v>
      </c>
      <c r="DG173" s="48" t="s">
        <v>2071</v>
      </c>
      <c r="DH173" s="48" t="s">
        <v>1712</v>
      </c>
      <c r="DI173" s="48" t="s">
        <v>1710</v>
      </c>
      <c r="DJ173" s="48" t="s">
        <v>1710</v>
      </c>
      <c r="DK173" s="48" t="s">
        <v>1710</v>
      </c>
      <c r="DL173" s="48" t="s">
        <v>1710</v>
      </c>
      <c r="DM173" s="48" t="s">
        <v>1710</v>
      </c>
      <c r="DN173" s="48" t="s">
        <v>1710</v>
      </c>
      <c r="DO173" s="48" t="s">
        <v>1710</v>
      </c>
      <c r="DP173" s="48" t="s">
        <v>1710</v>
      </c>
      <c r="DQ173" s="48" t="s">
        <v>1710</v>
      </c>
      <c r="DR173" s="48" t="s">
        <v>2072</v>
      </c>
      <c r="DS173" s="48" t="s">
        <v>1710</v>
      </c>
      <c r="DT173" s="48" t="s">
        <v>1710</v>
      </c>
      <c r="DU173" s="48" t="s">
        <v>2547</v>
      </c>
      <c r="DV173" s="48" t="s">
        <v>3141</v>
      </c>
      <c r="DW173" s="48" t="s">
        <v>1710</v>
      </c>
      <c r="DX173" s="48" t="s">
        <v>4200</v>
      </c>
      <c r="DY173" s="48" t="s">
        <v>1709</v>
      </c>
      <c r="DZ173" s="48" t="s">
        <v>2562</v>
      </c>
      <c r="EA173" s="48" t="s">
        <v>2546</v>
      </c>
      <c r="EB173">
        <v>0</v>
      </c>
      <c r="EC173" s="48" t="s">
        <v>2547</v>
      </c>
      <c r="ED173" s="48" t="s">
        <v>4193</v>
      </c>
      <c r="EE173" s="48" t="s">
        <v>1814</v>
      </c>
      <c r="EF173" s="48" t="s">
        <v>1862</v>
      </c>
      <c r="EG173" s="48" t="s">
        <v>4198</v>
      </c>
      <c r="EH173">
        <v>0.14000000000000001</v>
      </c>
      <c r="EI173" s="48" t="s">
        <v>1888</v>
      </c>
      <c r="EJ173">
        <v>0</v>
      </c>
      <c r="EK173" s="48" t="s">
        <v>1710</v>
      </c>
      <c r="EL173">
        <v>1</v>
      </c>
      <c r="EM173" s="48" t="s">
        <v>1886</v>
      </c>
      <c r="EN173">
        <v>0.14000000000000001</v>
      </c>
      <c r="EO173" s="48" t="s">
        <v>2522</v>
      </c>
      <c r="EP173" s="48" t="s">
        <v>2668</v>
      </c>
      <c r="EQ173">
        <v>772.87</v>
      </c>
      <c r="ER173">
        <v>772.87</v>
      </c>
      <c r="ES173">
        <v>1116883</v>
      </c>
      <c r="ET173">
        <v>758</v>
      </c>
      <c r="EU173" s="48" t="s">
        <v>1710</v>
      </c>
      <c r="EV173" s="48" t="s">
        <v>1710</v>
      </c>
      <c r="EW173" s="48" t="s">
        <v>1712</v>
      </c>
      <c r="EX173" s="48" t="s">
        <v>1710</v>
      </c>
      <c r="EY173" s="48" t="s">
        <v>1848</v>
      </c>
      <c r="EZ173" s="48" t="s">
        <v>1710</v>
      </c>
      <c r="FA173" s="48" t="s">
        <v>1710</v>
      </c>
      <c r="FB173" s="48" t="s">
        <v>1712</v>
      </c>
      <c r="FC173" s="48" t="s">
        <v>1710</v>
      </c>
      <c r="FD173" s="48" t="s">
        <v>1710</v>
      </c>
      <c r="FE173" s="48" t="s">
        <v>1814</v>
      </c>
      <c r="FF173" s="48" t="s">
        <v>1815</v>
      </c>
      <c r="FG173" s="48" t="s">
        <v>1710</v>
      </c>
      <c r="FH173">
        <v>5</v>
      </c>
      <c r="FI173" s="48" t="s">
        <v>1846</v>
      </c>
      <c r="FJ173">
        <v>772.87</v>
      </c>
      <c r="FK173">
        <v>154.57400000000001</v>
      </c>
      <c r="FL173" s="48" t="s">
        <v>2669</v>
      </c>
      <c r="FM173" s="48" t="s">
        <v>2668</v>
      </c>
      <c r="FN173" s="48" t="s">
        <v>1710</v>
      </c>
      <c r="FO173" s="48" t="s">
        <v>1710</v>
      </c>
      <c r="FP173" s="48" t="s">
        <v>1710</v>
      </c>
      <c r="FQ173" s="48" t="s">
        <v>1710</v>
      </c>
      <c r="FR173" s="48" t="s">
        <v>1710</v>
      </c>
      <c r="FS173" s="48" t="s">
        <v>1710</v>
      </c>
      <c r="FT173" s="48" t="s">
        <v>1710</v>
      </c>
      <c r="FU173" s="48" t="s">
        <v>1710</v>
      </c>
      <c r="FV173" s="48"/>
      <c r="FW173" s="56"/>
      <c r="FX173" s="56"/>
      <c r="FY173" s="56"/>
      <c r="FZ173" s="56"/>
      <c r="GA173" s="55" t="str">
        <f t="shared" si="8"/>
        <v>4388426300470X</v>
      </c>
      <c r="GB173" t="str">
        <f>VLOOKUP(B173,수출코드!$C$2:$D$4,2,FALSE)</f>
        <v>Suwon</v>
      </c>
      <c r="GC173" t="str">
        <f>VLOOKUP(L173,수출코드!$A$2:$B$6,2,FALSE)</f>
        <v/>
      </c>
      <c r="GD173" t="str">
        <f>VLOOKUP(M173,수출코드!$E$2:$F$5,2,FALSE)</f>
        <v>일반</v>
      </c>
      <c r="GE173" s="61">
        <f t="shared" si="6"/>
        <v>45974.561111111114</v>
      </c>
      <c r="GF173" s="62">
        <f t="shared" si="7"/>
        <v>46051.73541666667</v>
      </c>
      <c r="GI173" s="48" t="s">
        <v>2769</v>
      </c>
    </row>
    <row r="174" spans="1:191">
      <c r="A174" s="48" t="s">
        <v>4201</v>
      </c>
      <c r="B174" s="48" t="s">
        <v>1821</v>
      </c>
      <c r="C174" s="48" t="s">
        <v>2048</v>
      </c>
      <c r="D174" s="48" t="s">
        <v>2813</v>
      </c>
      <c r="E174" s="48" t="s">
        <v>4201</v>
      </c>
      <c r="F174" s="48" t="s">
        <v>1710</v>
      </c>
      <c r="G174" s="48" t="s">
        <v>2814</v>
      </c>
      <c r="H174" s="48" t="s">
        <v>4202</v>
      </c>
      <c r="I174" s="48" t="s">
        <v>1884</v>
      </c>
      <c r="J174" s="48" t="s">
        <v>3111</v>
      </c>
      <c r="K174" s="48" t="s">
        <v>1877</v>
      </c>
      <c r="L174" s="48" t="s">
        <v>1842</v>
      </c>
      <c r="M174" s="48" t="s">
        <v>1810</v>
      </c>
      <c r="N174" s="48" t="s">
        <v>1842</v>
      </c>
      <c r="O174" s="48" t="s">
        <v>1811</v>
      </c>
      <c r="P174" s="48" t="s">
        <v>2549</v>
      </c>
      <c r="Q174" s="48" t="s">
        <v>2049</v>
      </c>
      <c r="R174" s="48" t="s">
        <v>1838</v>
      </c>
      <c r="S174" s="48" t="s">
        <v>2050</v>
      </c>
      <c r="T174" s="48" t="s">
        <v>1845</v>
      </c>
      <c r="U174" s="48" t="s">
        <v>2049</v>
      </c>
      <c r="V174" s="48" t="s">
        <v>1838</v>
      </c>
      <c r="W174" s="48" t="s">
        <v>2051</v>
      </c>
      <c r="X174" s="48" t="s">
        <v>2052</v>
      </c>
      <c r="Y174" s="48" t="s">
        <v>2050</v>
      </c>
      <c r="Z174" s="48" t="s">
        <v>2053</v>
      </c>
      <c r="AA174" s="48" t="s">
        <v>2054</v>
      </c>
      <c r="AB174" s="48" t="s">
        <v>2817</v>
      </c>
      <c r="AC174" s="48" t="s">
        <v>2055</v>
      </c>
      <c r="AD174" s="48" t="s">
        <v>2056</v>
      </c>
      <c r="AE174" s="48" t="s">
        <v>1710</v>
      </c>
      <c r="AF174" s="48" t="s">
        <v>1710</v>
      </c>
      <c r="AG174" s="48" t="s">
        <v>2057</v>
      </c>
      <c r="AH174" s="48" t="s">
        <v>1815</v>
      </c>
      <c r="AI174" s="48" t="s">
        <v>2058</v>
      </c>
      <c r="AJ174" s="48" t="s">
        <v>1710</v>
      </c>
      <c r="AK174" s="48" t="s">
        <v>2560</v>
      </c>
      <c r="AL174" s="48" t="s">
        <v>2561</v>
      </c>
      <c r="AM174" s="48" t="s">
        <v>1816</v>
      </c>
      <c r="AN174" s="48" t="s">
        <v>2054</v>
      </c>
      <c r="AO174" s="48" t="s">
        <v>1710</v>
      </c>
      <c r="AP174" s="48" t="s">
        <v>1855</v>
      </c>
      <c r="AQ174" s="48" t="s">
        <v>2076</v>
      </c>
      <c r="AR174" s="48" t="s">
        <v>1812</v>
      </c>
      <c r="AS174" s="48" t="s">
        <v>1813</v>
      </c>
      <c r="AT174" s="48" t="s">
        <v>1826</v>
      </c>
      <c r="AU174" s="48" t="s">
        <v>2061</v>
      </c>
      <c r="AV174" s="48" t="s">
        <v>3111</v>
      </c>
      <c r="AW174" s="48" t="s">
        <v>2062</v>
      </c>
      <c r="AX174" s="48" t="s">
        <v>2063</v>
      </c>
      <c r="AY174" s="48" t="s">
        <v>1710</v>
      </c>
      <c r="AZ174" s="48" t="s">
        <v>4203</v>
      </c>
      <c r="BA174" s="48" t="s">
        <v>1710</v>
      </c>
      <c r="BB174" s="48" t="s">
        <v>1709</v>
      </c>
      <c r="BC174" s="48" t="s">
        <v>1710</v>
      </c>
      <c r="BD174" s="48" t="s">
        <v>2097</v>
      </c>
      <c r="BE174" s="52" t="s">
        <v>4129</v>
      </c>
      <c r="BF174" s="48" t="s">
        <v>1710</v>
      </c>
      <c r="BG174" s="48" t="s">
        <v>1814</v>
      </c>
      <c r="BH174">
        <v>1</v>
      </c>
      <c r="BI174" s="48" t="s">
        <v>1888</v>
      </c>
      <c r="BJ174">
        <v>1</v>
      </c>
      <c r="BK174">
        <v>1473.06</v>
      </c>
      <c r="BL174">
        <v>1194716</v>
      </c>
      <c r="BM174">
        <v>811</v>
      </c>
      <c r="BN174" s="48" t="s">
        <v>2064</v>
      </c>
      <c r="BO174" s="48" t="s">
        <v>2065</v>
      </c>
      <c r="BP174">
        <v>1473.06</v>
      </c>
      <c r="BQ174">
        <v>825.3</v>
      </c>
      <c r="BR174" s="48" t="s">
        <v>1885</v>
      </c>
      <c r="BS174" s="48" t="s">
        <v>2066</v>
      </c>
      <c r="BT174">
        <v>1</v>
      </c>
      <c r="BU174">
        <v>21000</v>
      </c>
      <c r="BV174">
        <v>21000</v>
      </c>
      <c r="BW174" s="48" t="s">
        <v>2065</v>
      </c>
      <c r="BX174">
        <v>1473.06</v>
      </c>
      <c r="BY174">
        <v>0</v>
      </c>
      <c r="BZ174">
        <v>0</v>
      </c>
      <c r="CA174" s="48" t="s">
        <v>2065</v>
      </c>
      <c r="CB174">
        <v>1473.06</v>
      </c>
      <c r="CC174">
        <v>0</v>
      </c>
      <c r="CD174">
        <v>0</v>
      </c>
      <c r="CE174" s="48" t="s">
        <v>1710</v>
      </c>
      <c r="CF174" s="48" t="s">
        <v>1710</v>
      </c>
      <c r="CG174" s="48" t="s">
        <v>1710</v>
      </c>
      <c r="CH174" s="48" t="s">
        <v>1710</v>
      </c>
      <c r="CI174" s="48" t="s">
        <v>2067</v>
      </c>
      <c r="CJ174" s="48" t="s">
        <v>1710</v>
      </c>
      <c r="CL174" s="48" t="s">
        <v>3111</v>
      </c>
      <c r="CM174" s="48" t="s">
        <v>1710</v>
      </c>
      <c r="CN174" s="48" t="s">
        <v>2068</v>
      </c>
      <c r="CO174" s="48" t="s">
        <v>2069</v>
      </c>
      <c r="CP174" s="48" t="s">
        <v>1710</v>
      </c>
      <c r="CQ174" s="48" t="s">
        <v>1710</v>
      </c>
      <c r="CR174" s="48" t="s">
        <v>1710</v>
      </c>
      <c r="CS174" s="48" t="s">
        <v>1710</v>
      </c>
      <c r="CT174" s="48" t="s">
        <v>1710</v>
      </c>
      <c r="CU174" s="48" t="s">
        <v>1712</v>
      </c>
      <c r="CV174" s="48" t="s">
        <v>1710</v>
      </c>
      <c r="CW174" s="48" t="s">
        <v>1710</v>
      </c>
      <c r="CX174" s="48" t="s">
        <v>3167</v>
      </c>
      <c r="CY174" s="48" t="s">
        <v>1710</v>
      </c>
      <c r="CZ174" s="48" t="s">
        <v>1712</v>
      </c>
      <c r="DA174" s="48" t="s">
        <v>1710</v>
      </c>
      <c r="DB174" s="48" t="s">
        <v>1878</v>
      </c>
      <c r="DC174" s="48" t="s">
        <v>2070</v>
      </c>
      <c r="DD174" s="48" t="s">
        <v>1842</v>
      </c>
      <c r="DE174" s="48" t="s">
        <v>1886</v>
      </c>
      <c r="DF174" s="48" t="s">
        <v>4204</v>
      </c>
      <c r="DG174" s="48" t="s">
        <v>2071</v>
      </c>
      <c r="DH174" s="48" t="s">
        <v>1712</v>
      </c>
      <c r="DI174" s="48" t="s">
        <v>1710</v>
      </c>
      <c r="DJ174" s="48" t="s">
        <v>1710</v>
      </c>
      <c r="DK174" s="48" t="s">
        <v>1710</v>
      </c>
      <c r="DL174" s="48" t="s">
        <v>1710</v>
      </c>
      <c r="DM174" s="48" t="s">
        <v>1710</v>
      </c>
      <c r="DN174" s="48" t="s">
        <v>1710</v>
      </c>
      <c r="DO174" s="48" t="s">
        <v>1710</v>
      </c>
      <c r="DP174" s="48" t="s">
        <v>1710</v>
      </c>
      <c r="DQ174" s="48" t="s">
        <v>1710</v>
      </c>
      <c r="DR174" s="48" t="s">
        <v>2072</v>
      </c>
      <c r="DS174" s="48" t="s">
        <v>1710</v>
      </c>
      <c r="DT174" s="48" t="s">
        <v>1710</v>
      </c>
      <c r="DU174" s="48" t="s">
        <v>2547</v>
      </c>
      <c r="DV174" s="48" t="s">
        <v>2825</v>
      </c>
      <c r="DW174" s="48" t="s">
        <v>1710</v>
      </c>
      <c r="DX174" s="48" t="s">
        <v>4205</v>
      </c>
      <c r="DY174" s="48" t="s">
        <v>1709</v>
      </c>
      <c r="DZ174" s="48" t="s">
        <v>2562</v>
      </c>
      <c r="EA174" s="48" t="s">
        <v>2546</v>
      </c>
      <c r="EB174">
        <v>0</v>
      </c>
      <c r="EC174" s="48" t="s">
        <v>2547</v>
      </c>
      <c r="ED174" s="48" t="s">
        <v>4193</v>
      </c>
      <c r="EE174" s="48" t="s">
        <v>1814</v>
      </c>
      <c r="EF174" s="48" t="s">
        <v>1861</v>
      </c>
      <c r="EG174" s="48" t="s">
        <v>4203</v>
      </c>
      <c r="EH174">
        <v>0.24</v>
      </c>
      <c r="EI174" s="48" t="s">
        <v>1888</v>
      </c>
      <c r="EJ174">
        <v>0</v>
      </c>
      <c r="EK174" s="48" t="s">
        <v>1710</v>
      </c>
      <c r="EL174">
        <v>1</v>
      </c>
      <c r="EM174" s="48" t="s">
        <v>1886</v>
      </c>
      <c r="EN174">
        <v>0.24</v>
      </c>
      <c r="EO174" s="48" t="s">
        <v>2518</v>
      </c>
      <c r="EP174" s="48" t="s">
        <v>4206</v>
      </c>
      <c r="EQ174">
        <v>825.3</v>
      </c>
      <c r="ER174">
        <v>825.3</v>
      </c>
      <c r="ES174">
        <v>1194716</v>
      </c>
      <c r="ET174">
        <v>811</v>
      </c>
      <c r="EU174" s="48" t="s">
        <v>1710</v>
      </c>
      <c r="EV174" s="48" t="s">
        <v>1710</v>
      </c>
      <c r="EW174" s="48" t="s">
        <v>1712</v>
      </c>
      <c r="EX174" s="48" t="s">
        <v>1710</v>
      </c>
      <c r="EY174" s="48" t="s">
        <v>1843</v>
      </c>
      <c r="EZ174" s="48" t="s">
        <v>1710</v>
      </c>
      <c r="FA174" s="48" t="s">
        <v>1710</v>
      </c>
      <c r="FB174" s="48" t="s">
        <v>1712</v>
      </c>
      <c r="FC174" s="48" t="s">
        <v>1710</v>
      </c>
      <c r="FD174" s="48" t="s">
        <v>1710</v>
      </c>
      <c r="FE174" s="48" t="s">
        <v>1814</v>
      </c>
      <c r="FF174" s="48" t="s">
        <v>1815</v>
      </c>
      <c r="FG174" s="48" t="s">
        <v>1710</v>
      </c>
      <c r="FH174">
        <v>2</v>
      </c>
      <c r="FI174" s="48" t="s">
        <v>1846</v>
      </c>
      <c r="FJ174">
        <v>825.3</v>
      </c>
      <c r="FK174">
        <v>412.65</v>
      </c>
      <c r="FL174" s="48" t="s">
        <v>4207</v>
      </c>
      <c r="FM174" s="48" t="s">
        <v>4206</v>
      </c>
      <c r="FN174" s="48" t="s">
        <v>1710</v>
      </c>
      <c r="FO174" s="48" t="s">
        <v>1710</v>
      </c>
      <c r="FP174" s="48" t="s">
        <v>1710</v>
      </c>
      <c r="FQ174" s="48" t="s">
        <v>1710</v>
      </c>
      <c r="FR174" s="48" t="s">
        <v>1710</v>
      </c>
      <c r="FS174" s="48" t="s">
        <v>1710</v>
      </c>
      <c r="FT174" s="48" t="s">
        <v>1710</v>
      </c>
      <c r="FU174" s="48" t="s">
        <v>1710</v>
      </c>
      <c r="FV174" s="48"/>
      <c r="FW174" s="56"/>
      <c r="FX174" s="56"/>
      <c r="FY174" s="56"/>
      <c r="FZ174" s="56"/>
      <c r="GA174" s="55" t="str">
        <f t="shared" si="8"/>
        <v>4388426300471X</v>
      </c>
      <c r="GB174" t="str">
        <f>VLOOKUP(B174,수출코드!$C$2:$D$4,2,FALSE)</f>
        <v>Suwon</v>
      </c>
      <c r="GC174" t="str">
        <f>VLOOKUP(L174,수출코드!$A$2:$B$6,2,FALSE)</f>
        <v/>
      </c>
      <c r="GD174" t="str">
        <f>VLOOKUP(M174,수출코드!$E$2:$F$5,2,FALSE)</f>
        <v>일반</v>
      </c>
      <c r="GE174" s="61">
        <f t="shared" si="6"/>
        <v>45974.492361111108</v>
      </c>
      <c r="GF174" s="62">
        <f t="shared" si="7"/>
        <v>46051.73541666667</v>
      </c>
      <c r="GI174" s="48" t="s">
        <v>2770</v>
      </c>
    </row>
    <row r="175" spans="1:191">
      <c r="A175" s="48" t="s">
        <v>4208</v>
      </c>
      <c r="B175" s="48" t="s">
        <v>1821</v>
      </c>
      <c r="C175" s="48" t="s">
        <v>2048</v>
      </c>
      <c r="D175" s="48" t="s">
        <v>2813</v>
      </c>
      <c r="E175" s="48" t="s">
        <v>4208</v>
      </c>
      <c r="F175" s="48" t="s">
        <v>1710</v>
      </c>
      <c r="G175" s="48" t="s">
        <v>2814</v>
      </c>
      <c r="H175" s="48" t="s">
        <v>4209</v>
      </c>
      <c r="I175" s="48" t="s">
        <v>1884</v>
      </c>
      <c r="J175" s="48" t="s">
        <v>3111</v>
      </c>
      <c r="K175" s="48" t="s">
        <v>1877</v>
      </c>
      <c r="L175" s="48" t="s">
        <v>1842</v>
      </c>
      <c r="M175" s="48" t="s">
        <v>1810</v>
      </c>
      <c r="N175" s="48" t="s">
        <v>1842</v>
      </c>
      <c r="O175" s="48" t="s">
        <v>1811</v>
      </c>
      <c r="P175" s="48" t="s">
        <v>2549</v>
      </c>
      <c r="Q175" s="48" t="s">
        <v>2049</v>
      </c>
      <c r="R175" s="48" t="s">
        <v>1838</v>
      </c>
      <c r="S175" s="48" t="s">
        <v>2050</v>
      </c>
      <c r="T175" s="48" t="s">
        <v>1845</v>
      </c>
      <c r="U175" s="48" t="s">
        <v>2049</v>
      </c>
      <c r="V175" s="48" t="s">
        <v>1838</v>
      </c>
      <c r="W175" s="48" t="s">
        <v>2051</v>
      </c>
      <c r="X175" s="48" t="s">
        <v>2052</v>
      </c>
      <c r="Y175" s="48" t="s">
        <v>2050</v>
      </c>
      <c r="Z175" s="48" t="s">
        <v>2053</v>
      </c>
      <c r="AA175" s="48" t="s">
        <v>2054</v>
      </c>
      <c r="AB175" s="48" t="s">
        <v>2817</v>
      </c>
      <c r="AC175" s="48" t="s">
        <v>2055</v>
      </c>
      <c r="AD175" s="48" t="s">
        <v>2056</v>
      </c>
      <c r="AE175" s="48" t="s">
        <v>1710</v>
      </c>
      <c r="AF175" s="48" t="s">
        <v>1710</v>
      </c>
      <c r="AG175" s="48" t="s">
        <v>2057</v>
      </c>
      <c r="AH175" s="48" t="s">
        <v>1815</v>
      </c>
      <c r="AI175" s="48" t="s">
        <v>2058</v>
      </c>
      <c r="AJ175" s="48" t="s">
        <v>1710</v>
      </c>
      <c r="AK175" s="48" t="s">
        <v>2560</v>
      </c>
      <c r="AL175" s="48" t="s">
        <v>2561</v>
      </c>
      <c r="AM175" s="48" t="s">
        <v>1816</v>
      </c>
      <c r="AN175" s="48" t="s">
        <v>2054</v>
      </c>
      <c r="AO175" s="48" t="s">
        <v>1710</v>
      </c>
      <c r="AP175" s="48" t="s">
        <v>1855</v>
      </c>
      <c r="AQ175" s="48" t="s">
        <v>2076</v>
      </c>
      <c r="AR175" s="48" t="s">
        <v>1812</v>
      </c>
      <c r="AS175" s="48" t="s">
        <v>1813</v>
      </c>
      <c r="AT175" s="48" t="s">
        <v>1826</v>
      </c>
      <c r="AU175" s="48" t="s">
        <v>2061</v>
      </c>
      <c r="AV175" s="48" t="s">
        <v>3111</v>
      </c>
      <c r="AW175" s="48" t="s">
        <v>2062</v>
      </c>
      <c r="AX175" s="48" t="s">
        <v>2063</v>
      </c>
      <c r="AY175" s="48" t="s">
        <v>1710</v>
      </c>
      <c r="AZ175" s="48" t="s">
        <v>4210</v>
      </c>
      <c r="BA175" s="48" t="s">
        <v>1710</v>
      </c>
      <c r="BB175" s="48" t="s">
        <v>1709</v>
      </c>
      <c r="BC175" s="48" t="s">
        <v>1710</v>
      </c>
      <c r="BD175" s="48" t="s">
        <v>2097</v>
      </c>
      <c r="BE175" s="52" t="s">
        <v>4129</v>
      </c>
      <c r="BF175" s="48" t="s">
        <v>1710</v>
      </c>
      <c r="BG175" s="48" t="s">
        <v>1814</v>
      </c>
      <c r="BH175">
        <v>5</v>
      </c>
      <c r="BI175" s="48" t="s">
        <v>1888</v>
      </c>
      <c r="BJ175">
        <v>1</v>
      </c>
      <c r="BK175">
        <v>1473.06</v>
      </c>
      <c r="BL175">
        <v>4722654</v>
      </c>
      <c r="BM175">
        <v>3206</v>
      </c>
      <c r="BN175" s="48" t="s">
        <v>2064</v>
      </c>
      <c r="BO175" s="48" t="s">
        <v>2065</v>
      </c>
      <c r="BP175">
        <v>1473.06</v>
      </c>
      <c r="BQ175">
        <v>3231.27</v>
      </c>
      <c r="BR175" s="48" t="s">
        <v>1885</v>
      </c>
      <c r="BS175" s="48" t="s">
        <v>2066</v>
      </c>
      <c r="BT175">
        <v>1</v>
      </c>
      <c r="BU175">
        <v>37200</v>
      </c>
      <c r="BV175">
        <v>37200</v>
      </c>
      <c r="BW175" s="48" t="s">
        <v>2065</v>
      </c>
      <c r="BX175">
        <v>1473.06</v>
      </c>
      <c r="BY175">
        <v>0</v>
      </c>
      <c r="BZ175">
        <v>0</v>
      </c>
      <c r="CA175" s="48" t="s">
        <v>2065</v>
      </c>
      <c r="CB175">
        <v>1473.06</v>
      </c>
      <c r="CC175">
        <v>0</v>
      </c>
      <c r="CD175">
        <v>0</v>
      </c>
      <c r="CE175" s="48" t="s">
        <v>1710</v>
      </c>
      <c r="CF175" s="48" t="s">
        <v>1710</v>
      </c>
      <c r="CG175" s="48" t="s">
        <v>1710</v>
      </c>
      <c r="CH175" s="48" t="s">
        <v>1710</v>
      </c>
      <c r="CI175" s="48" t="s">
        <v>2067</v>
      </c>
      <c r="CJ175" s="48" t="s">
        <v>1710</v>
      </c>
      <c r="CL175" s="48" t="s">
        <v>3111</v>
      </c>
      <c r="CM175" s="48" t="s">
        <v>1710</v>
      </c>
      <c r="CN175" s="48" t="s">
        <v>2068</v>
      </c>
      <c r="CO175" s="48" t="s">
        <v>2069</v>
      </c>
      <c r="CP175" s="48" t="s">
        <v>1710</v>
      </c>
      <c r="CQ175" s="48" t="s">
        <v>1710</v>
      </c>
      <c r="CR175" s="48" t="s">
        <v>1710</v>
      </c>
      <c r="CS175" s="48" t="s">
        <v>1710</v>
      </c>
      <c r="CT175" s="48" t="s">
        <v>1710</v>
      </c>
      <c r="CU175" s="48" t="s">
        <v>1712</v>
      </c>
      <c r="CV175" s="48" t="s">
        <v>1710</v>
      </c>
      <c r="CW175" s="48" t="s">
        <v>1710</v>
      </c>
      <c r="CX175" s="48" t="s">
        <v>3167</v>
      </c>
      <c r="CY175" s="48" t="s">
        <v>1710</v>
      </c>
      <c r="CZ175" s="48" t="s">
        <v>1712</v>
      </c>
      <c r="DA175" s="48" t="s">
        <v>1710</v>
      </c>
      <c r="DB175" s="48" t="s">
        <v>1878</v>
      </c>
      <c r="DC175" s="48" t="s">
        <v>2070</v>
      </c>
      <c r="DD175" s="48" t="s">
        <v>1842</v>
      </c>
      <c r="DE175" s="48" t="s">
        <v>1886</v>
      </c>
      <c r="DF175" s="48" t="s">
        <v>4211</v>
      </c>
      <c r="DG175" s="48" t="s">
        <v>2071</v>
      </c>
      <c r="DH175" s="48" t="s">
        <v>1712</v>
      </c>
      <c r="DI175" s="48" t="s">
        <v>1710</v>
      </c>
      <c r="DJ175" s="48" t="s">
        <v>1710</v>
      </c>
      <c r="DK175" s="48" t="s">
        <v>1710</v>
      </c>
      <c r="DL175" s="48" t="s">
        <v>1710</v>
      </c>
      <c r="DM175" s="48" t="s">
        <v>1710</v>
      </c>
      <c r="DN175" s="48" t="s">
        <v>1710</v>
      </c>
      <c r="DO175" s="48" t="s">
        <v>1710</v>
      </c>
      <c r="DP175" s="48" t="s">
        <v>1710</v>
      </c>
      <c r="DQ175" s="48" t="s">
        <v>1710</v>
      </c>
      <c r="DR175" s="48" t="s">
        <v>2072</v>
      </c>
      <c r="DS175" s="48" t="s">
        <v>1710</v>
      </c>
      <c r="DT175" s="48" t="s">
        <v>1710</v>
      </c>
      <c r="DU175" s="48" t="s">
        <v>2547</v>
      </c>
      <c r="DV175" s="48" t="s">
        <v>2825</v>
      </c>
      <c r="DW175" s="48" t="s">
        <v>1710</v>
      </c>
      <c r="DX175" s="48" t="s">
        <v>4212</v>
      </c>
      <c r="DY175" s="48" t="s">
        <v>1709</v>
      </c>
      <c r="DZ175" s="48" t="s">
        <v>2562</v>
      </c>
      <c r="EA175" s="48" t="s">
        <v>2546</v>
      </c>
      <c r="EB175">
        <v>0</v>
      </c>
      <c r="EC175" s="48" t="s">
        <v>2547</v>
      </c>
      <c r="ED175" s="48" t="s">
        <v>4138</v>
      </c>
      <c r="EE175" s="48" t="s">
        <v>1814</v>
      </c>
      <c r="EF175" s="48" t="s">
        <v>2550</v>
      </c>
      <c r="EG175" s="48" t="s">
        <v>4210</v>
      </c>
      <c r="EH175">
        <v>1</v>
      </c>
      <c r="EI175" s="48" t="s">
        <v>1888</v>
      </c>
      <c r="EJ175">
        <v>0</v>
      </c>
      <c r="EK175" s="48" t="s">
        <v>1710</v>
      </c>
      <c r="EL175">
        <v>1</v>
      </c>
      <c r="EM175" s="48" t="s">
        <v>1886</v>
      </c>
      <c r="EN175">
        <v>1</v>
      </c>
      <c r="EO175" s="48" t="s">
        <v>2707</v>
      </c>
      <c r="EP175" s="48" t="s">
        <v>4213</v>
      </c>
      <c r="EQ175">
        <v>3231.27</v>
      </c>
      <c r="ER175">
        <v>3231.27</v>
      </c>
      <c r="ES175">
        <v>4722654</v>
      </c>
      <c r="ET175">
        <v>3206</v>
      </c>
      <c r="EU175" s="48" t="s">
        <v>1710</v>
      </c>
      <c r="EV175" s="48" t="s">
        <v>1710</v>
      </c>
      <c r="EW175" s="48" t="s">
        <v>1712</v>
      </c>
      <c r="EX175" s="48" t="s">
        <v>1710</v>
      </c>
      <c r="EY175" s="48" t="s">
        <v>1853</v>
      </c>
      <c r="EZ175" s="48" t="s">
        <v>1710</v>
      </c>
      <c r="FA175" s="48" t="s">
        <v>1710</v>
      </c>
      <c r="FB175" s="48" t="s">
        <v>1712</v>
      </c>
      <c r="FC175" s="48" t="s">
        <v>1710</v>
      </c>
      <c r="FD175" s="48" t="s">
        <v>1710</v>
      </c>
      <c r="FE175" s="48" t="s">
        <v>1814</v>
      </c>
      <c r="FF175" s="48" t="s">
        <v>1815</v>
      </c>
      <c r="FG175" s="48" t="s">
        <v>1710</v>
      </c>
      <c r="FH175">
        <v>3</v>
      </c>
      <c r="FI175" s="48" t="s">
        <v>1846</v>
      </c>
      <c r="FJ175">
        <v>3231.27</v>
      </c>
      <c r="FK175">
        <v>1077.0899999999999</v>
      </c>
      <c r="FL175" s="48" t="s">
        <v>4214</v>
      </c>
      <c r="FM175" s="48" t="s">
        <v>4213</v>
      </c>
      <c r="FN175" s="48" t="s">
        <v>1710</v>
      </c>
      <c r="FO175" s="48" t="s">
        <v>1710</v>
      </c>
      <c r="FP175" s="48" t="s">
        <v>1710</v>
      </c>
      <c r="FQ175" s="48" t="s">
        <v>1710</v>
      </c>
      <c r="FR175" s="48" t="s">
        <v>1710</v>
      </c>
      <c r="FS175" s="48" t="s">
        <v>1710</v>
      </c>
      <c r="FT175" s="48" t="s">
        <v>1710</v>
      </c>
      <c r="FU175" s="48" t="s">
        <v>1710</v>
      </c>
      <c r="FV175" s="48"/>
      <c r="FW175" s="56"/>
      <c r="FX175" s="56"/>
      <c r="FY175" s="56"/>
      <c r="FZ175" s="56"/>
      <c r="GA175" s="55" t="str">
        <f t="shared" si="8"/>
        <v>4388426300472X</v>
      </c>
      <c r="GB175" t="str">
        <f>VLOOKUP(B175,수출코드!$C$2:$D$4,2,FALSE)</f>
        <v>Suwon</v>
      </c>
      <c r="GC175" t="str">
        <f>VLOOKUP(L175,수출코드!$A$2:$B$6,2,FALSE)</f>
        <v/>
      </c>
      <c r="GD175" t="str">
        <f>VLOOKUP(M175,수출코드!$E$2:$F$5,2,FALSE)</f>
        <v>일반</v>
      </c>
      <c r="GE175" s="61">
        <f t="shared" si="6"/>
        <v>45974.492361111108</v>
      </c>
      <c r="GF175" s="62">
        <f t="shared" si="7"/>
        <v>46051.737500000003</v>
      </c>
      <c r="GI175" s="48" t="s">
        <v>2770</v>
      </c>
    </row>
    <row r="176" spans="1:191">
      <c r="A176" s="48" t="s">
        <v>4215</v>
      </c>
      <c r="B176" s="48" t="s">
        <v>1821</v>
      </c>
      <c r="C176" s="48" t="s">
        <v>2048</v>
      </c>
      <c r="D176" s="48" t="s">
        <v>2813</v>
      </c>
      <c r="E176" s="48" t="s">
        <v>4215</v>
      </c>
      <c r="F176" s="48" t="s">
        <v>1710</v>
      </c>
      <c r="G176" s="48" t="s">
        <v>2814</v>
      </c>
      <c r="H176" s="48" t="s">
        <v>4216</v>
      </c>
      <c r="I176" s="48" t="s">
        <v>1884</v>
      </c>
      <c r="J176" s="48" t="s">
        <v>3111</v>
      </c>
      <c r="K176" s="48" t="s">
        <v>1877</v>
      </c>
      <c r="L176" s="48" t="s">
        <v>1842</v>
      </c>
      <c r="M176" s="48" t="s">
        <v>1810</v>
      </c>
      <c r="N176" s="48" t="s">
        <v>1842</v>
      </c>
      <c r="O176" s="48" t="s">
        <v>1811</v>
      </c>
      <c r="P176" s="48" t="s">
        <v>2549</v>
      </c>
      <c r="Q176" s="48" t="s">
        <v>2049</v>
      </c>
      <c r="R176" s="48" t="s">
        <v>1838</v>
      </c>
      <c r="S176" s="48" t="s">
        <v>2050</v>
      </c>
      <c r="T176" s="48" t="s">
        <v>1845</v>
      </c>
      <c r="U176" s="48" t="s">
        <v>2049</v>
      </c>
      <c r="V176" s="48" t="s">
        <v>1838</v>
      </c>
      <c r="W176" s="48" t="s">
        <v>2051</v>
      </c>
      <c r="X176" s="48" t="s">
        <v>2052</v>
      </c>
      <c r="Y176" s="48" t="s">
        <v>2050</v>
      </c>
      <c r="Z176" s="48" t="s">
        <v>2053</v>
      </c>
      <c r="AA176" s="48" t="s">
        <v>2054</v>
      </c>
      <c r="AB176" s="48" t="s">
        <v>2817</v>
      </c>
      <c r="AC176" s="48" t="s">
        <v>2055</v>
      </c>
      <c r="AD176" s="48" t="s">
        <v>2056</v>
      </c>
      <c r="AE176" s="48" t="s">
        <v>1710</v>
      </c>
      <c r="AF176" s="48" t="s">
        <v>1710</v>
      </c>
      <c r="AG176" s="48" t="s">
        <v>2057</v>
      </c>
      <c r="AH176" s="48" t="s">
        <v>1815</v>
      </c>
      <c r="AI176" s="48" t="s">
        <v>2058</v>
      </c>
      <c r="AJ176" s="48" t="s">
        <v>1710</v>
      </c>
      <c r="AK176" s="48" t="s">
        <v>2100</v>
      </c>
      <c r="AL176" s="48" t="s">
        <v>2101</v>
      </c>
      <c r="AM176" s="48" t="s">
        <v>1816</v>
      </c>
      <c r="AN176" s="48" t="s">
        <v>2054</v>
      </c>
      <c r="AO176" s="48" t="s">
        <v>1710</v>
      </c>
      <c r="AP176" s="48" t="s">
        <v>1874</v>
      </c>
      <c r="AQ176" s="48" t="s">
        <v>2078</v>
      </c>
      <c r="AR176" s="48" t="s">
        <v>1812</v>
      </c>
      <c r="AS176" s="48" t="s">
        <v>1813</v>
      </c>
      <c r="AT176" s="48" t="s">
        <v>1826</v>
      </c>
      <c r="AU176" s="48" t="s">
        <v>2061</v>
      </c>
      <c r="AV176" s="48" t="s">
        <v>3111</v>
      </c>
      <c r="AW176" s="48" t="s">
        <v>2062</v>
      </c>
      <c r="AX176" s="48" t="s">
        <v>2063</v>
      </c>
      <c r="AY176" s="48" t="s">
        <v>1710</v>
      </c>
      <c r="AZ176" s="48" t="s">
        <v>4217</v>
      </c>
      <c r="BA176" s="48" t="s">
        <v>1710</v>
      </c>
      <c r="BB176" s="48" t="s">
        <v>1709</v>
      </c>
      <c r="BC176" s="48" t="s">
        <v>1710</v>
      </c>
      <c r="BD176" s="48" t="s">
        <v>2097</v>
      </c>
      <c r="BE176" s="52" t="s">
        <v>4129</v>
      </c>
      <c r="BF176" s="48" t="s">
        <v>1710</v>
      </c>
      <c r="BG176" s="48" t="s">
        <v>1817</v>
      </c>
      <c r="BH176">
        <v>9</v>
      </c>
      <c r="BI176" s="48" t="s">
        <v>1888</v>
      </c>
      <c r="BJ176">
        <v>1</v>
      </c>
      <c r="BK176">
        <v>1473.06</v>
      </c>
      <c r="BL176">
        <v>2922231</v>
      </c>
      <c r="BM176">
        <v>1984</v>
      </c>
      <c r="BN176" s="48" t="s">
        <v>2064</v>
      </c>
      <c r="BO176" s="48" t="s">
        <v>2065</v>
      </c>
      <c r="BP176">
        <v>1473.06</v>
      </c>
      <c r="BQ176">
        <v>2029.81</v>
      </c>
      <c r="BR176" s="48" t="s">
        <v>1885</v>
      </c>
      <c r="BS176" s="48" t="s">
        <v>2066</v>
      </c>
      <c r="BT176">
        <v>1</v>
      </c>
      <c r="BU176">
        <v>67800</v>
      </c>
      <c r="BV176">
        <v>67800</v>
      </c>
      <c r="BW176" s="48" t="s">
        <v>2065</v>
      </c>
      <c r="BX176">
        <v>1473.06</v>
      </c>
      <c r="BY176">
        <v>0</v>
      </c>
      <c r="BZ176">
        <v>0</v>
      </c>
      <c r="CA176" s="48" t="s">
        <v>2065</v>
      </c>
      <c r="CB176">
        <v>1473.06</v>
      </c>
      <c r="CC176">
        <v>0</v>
      </c>
      <c r="CD176">
        <v>0</v>
      </c>
      <c r="CE176" s="48" t="s">
        <v>1710</v>
      </c>
      <c r="CF176" s="48" t="s">
        <v>1710</v>
      </c>
      <c r="CG176" s="48" t="s">
        <v>1710</v>
      </c>
      <c r="CH176" s="48" t="s">
        <v>1710</v>
      </c>
      <c r="CI176" s="48" t="s">
        <v>2067</v>
      </c>
      <c r="CJ176" s="48" t="s">
        <v>1710</v>
      </c>
      <c r="CL176" s="48" t="s">
        <v>3111</v>
      </c>
      <c r="CM176" s="48" t="s">
        <v>1710</v>
      </c>
      <c r="CN176" s="48" t="s">
        <v>2068</v>
      </c>
      <c r="CO176" s="48" t="s">
        <v>2069</v>
      </c>
      <c r="CP176" s="48" t="s">
        <v>1710</v>
      </c>
      <c r="CQ176" s="48" t="s">
        <v>1710</v>
      </c>
      <c r="CR176" s="48" t="s">
        <v>1710</v>
      </c>
      <c r="CS176" s="48" t="s">
        <v>1710</v>
      </c>
      <c r="CT176" s="48" t="s">
        <v>1710</v>
      </c>
      <c r="CU176" s="48" t="s">
        <v>1712</v>
      </c>
      <c r="CV176" s="48" t="s">
        <v>1710</v>
      </c>
      <c r="CW176" s="48" t="s">
        <v>1710</v>
      </c>
      <c r="CX176" s="48" t="s">
        <v>3167</v>
      </c>
      <c r="CY176" s="48" t="s">
        <v>1710</v>
      </c>
      <c r="CZ176" s="48" t="s">
        <v>1712</v>
      </c>
      <c r="DA176" s="48" t="s">
        <v>1710</v>
      </c>
      <c r="DB176" s="48" t="s">
        <v>1878</v>
      </c>
      <c r="DC176" s="48" t="s">
        <v>2070</v>
      </c>
      <c r="DD176" s="48" t="s">
        <v>1842</v>
      </c>
      <c r="DE176" s="48" t="s">
        <v>1886</v>
      </c>
      <c r="DF176" s="48" t="s">
        <v>4218</v>
      </c>
      <c r="DG176" s="48" t="s">
        <v>2071</v>
      </c>
      <c r="DH176" s="48" t="s">
        <v>1712</v>
      </c>
      <c r="DI176" s="48" t="s">
        <v>1710</v>
      </c>
      <c r="DJ176" s="48" t="s">
        <v>1710</v>
      </c>
      <c r="DK176" s="48" t="s">
        <v>1710</v>
      </c>
      <c r="DL176" s="48" t="s">
        <v>1710</v>
      </c>
      <c r="DM176" s="48" t="s">
        <v>1710</v>
      </c>
      <c r="DN176" s="48" t="s">
        <v>1710</v>
      </c>
      <c r="DO176" s="48" t="s">
        <v>1710</v>
      </c>
      <c r="DP176" s="48" t="s">
        <v>1710</v>
      </c>
      <c r="DQ176" s="48" t="s">
        <v>1710</v>
      </c>
      <c r="DR176" s="48" t="s">
        <v>2072</v>
      </c>
      <c r="DS176" s="48" t="s">
        <v>1710</v>
      </c>
      <c r="DT176" s="48" t="s">
        <v>1710</v>
      </c>
      <c r="DU176" s="48" t="s">
        <v>2547</v>
      </c>
      <c r="DV176" s="48" t="s">
        <v>2825</v>
      </c>
      <c r="DW176" s="48" t="s">
        <v>1710</v>
      </c>
      <c r="DX176" s="48" t="s">
        <v>4219</v>
      </c>
      <c r="DY176" s="48" t="s">
        <v>1709</v>
      </c>
      <c r="DZ176" s="48" t="s">
        <v>2562</v>
      </c>
      <c r="EA176" s="48" t="s">
        <v>2546</v>
      </c>
      <c r="EB176">
        <v>0</v>
      </c>
      <c r="EC176" s="48" t="s">
        <v>2547</v>
      </c>
      <c r="ED176" s="48" t="s">
        <v>4138</v>
      </c>
      <c r="EE176" s="48" t="s">
        <v>1814</v>
      </c>
      <c r="EF176" s="48" t="s">
        <v>1859</v>
      </c>
      <c r="EG176" s="48" t="s">
        <v>4217</v>
      </c>
      <c r="EH176">
        <v>0.17599999999999999</v>
      </c>
      <c r="EI176" s="48" t="s">
        <v>1888</v>
      </c>
      <c r="EJ176">
        <v>0</v>
      </c>
      <c r="EK176" s="48" t="s">
        <v>1710</v>
      </c>
      <c r="EL176">
        <v>1</v>
      </c>
      <c r="EM176" s="48" t="s">
        <v>1886</v>
      </c>
      <c r="EN176">
        <v>0.17599999999999999</v>
      </c>
      <c r="EO176" s="48" t="s">
        <v>2602</v>
      </c>
      <c r="EP176" s="48" t="s">
        <v>2584</v>
      </c>
      <c r="EQ176">
        <v>437.67</v>
      </c>
      <c r="ER176">
        <v>437.67</v>
      </c>
      <c r="ES176">
        <v>630095</v>
      </c>
      <c r="ET176">
        <v>428</v>
      </c>
      <c r="EU176" s="48" t="s">
        <v>1710</v>
      </c>
      <c r="EV176" s="48" t="s">
        <v>1710</v>
      </c>
      <c r="EW176" s="48" t="s">
        <v>1712</v>
      </c>
      <c r="EX176" s="48" t="s">
        <v>1710</v>
      </c>
      <c r="EY176" s="48" t="s">
        <v>1848</v>
      </c>
      <c r="EZ176" s="48" t="s">
        <v>1710</v>
      </c>
      <c r="FA176" s="48" t="s">
        <v>1710</v>
      </c>
      <c r="FB176" s="48" t="s">
        <v>1712</v>
      </c>
      <c r="FC176" s="48" t="s">
        <v>1710</v>
      </c>
      <c r="FD176" s="48" t="s">
        <v>1710</v>
      </c>
      <c r="FE176" s="48" t="s">
        <v>1814</v>
      </c>
      <c r="FF176" s="48" t="s">
        <v>1815</v>
      </c>
      <c r="FG176" s="48" t="s">
        <v>1710</v>
      </c>
      <c r="FH176">
        <v>22</v>
      </c>
      <c r="FI176" s="48" t="s">
        <v>1846</v>
      </c>
      <c r="FJ176">
        <v>437.67</v>
      </c>
      <c r="FK176">
        <v>19.893999999999998</v>
      </c>
      <c r="FL176" s="48" t="s">
        <v>4220</v>
      </c>
      <c r="FM176" s="48" t="s">
        <v>2584</v>
      </c>
      <c r="FN176" s="48" t="s">
        <v>1710</v>
      </c>
      <c r="FO176" s="48" t="s">
        <v>1710</v>
      </c>
      <c r="FP176" s="48" t="s">
        <v>1710</v>
      </c>
      <c r="FQ176" s="48" t="s">
        <v>1710</v>
      </c>
      <c r="FR176" s="48" t="s">
        <v>1710</v>
      </c>
      <c r="FS176" s="48" t="s">
        <v>1710</v>
      </c>
      <c r="FT176" s="48" t="s">
        <v>1710</v>
      </c>
      <c r="FU176" s="48" t="s">
        <v>1710</v>
      </c>
      <c r="FV176" s="48"/>
      <c r="FW176" s="56"/>
      <c r="FX176" s="56"/>
      <c r="FY176" s="56"/>
      <c r="FZ176" s="56"/>
      <c r="GA176" s="55" t="str">
        <f t="shared" si="8"/>
        <v>4388426300473X</v>
      </c>
      <c r="GB176" t="str">
        <f>VLOOKUP(B176,수출코드!$C$2:$D$4,2,FALSE)</f>
        <v>Suwon</v>
      </c>
      <c r="GC176" t="str">
        <f>VLOOKUP(L176,수출코드!$A$2:$B$6,2,FALSE)</f>
        <v/>
      </c>
      <c r="GD176" t="str">
        <f>VLOOKUP(M176,수출코드!$E$2:$F$5,2,FALSE)</f>
        <v>일반</v>
      </c>
      <c r="GE176" s="61">
        <f t="shared" si="6"/>
        <v>45974.492361111108</v>
      </c>
      <c r="GF176" s="62">
        <f t="shared" si="7"/>
        <v>46051.737500000003</v>
      </c>
      <c r="GI176" s="48" t="s">
        <v>2770</v>
      </c>
    </row>
    <row r="177" spans="1:191">
      <c r="A177" s="48" t="s">
        <v>4221</v>
      </c>
      <c r="B177" s="48" t="s">
        <v>1821</v>
      </c>
      <c r="C177" s="48" t="s">
        <v>2048</v>
      </c>
      <c r="D177" s="48" t="s">
        <v>2813</v>
      </c>
      <c r="E177" s="48" t="s">
        <v>4221</v>
      </c>
      <c r="F177" s="48" t="s">
        <v>1710</v>
      </c>
      <c r="G177" s="48" t="s">
        <v>2814</v>
      </c>
      <c r="H177" s="48" t="s">
        <v>4222</v>
      </c>
      <c r="I177" s="48" t="s">
        <v>1884</v>
      </c>
      <c r="J177" s="48" t="s">
        <v>3111</v>
      </c>
      <c r="K177" s="48" t="s">
        <v>1877</v>
      </c>
      <c r="L177" s="48" t="s">
        <v>1842</v>
      </c>
      <c r="M177" s="48" t="s">
        <v>1810</v>
      </c>
      <c r="N177" s="48" t="s">
        <v>1842</v>
      </c>
      <c r="O177" s="48" t="s">
        <v>1811</v>
      </c>
      <c r="P177" s="48" t="s">
        <v>2549</v>
      </c>
      <c r="Q177" s="48" t="s">
        <v>2049</v>
      </c>
      <c r="R177" s="48" t="s">
        <v>1838</v>
      </c>
      <c r="S177" s="48" t="s">
        <v>2050</v>
      </c>
      <c r="T177" s="48" t="s">
        <v>1845</v>
      </c>
      <c r="U177" s="48" t="s">
        <v>2049</v>
      </c>
      <c r="V177" s="48" t="s">
        <v>1838</v>
      </c>
      <c r="W177" s="48" t="s">
        <v>2051</v>
      </c>
      <c r="X177" s="48" t="s">
        <v>2052</v>
      </c>
      <c r="Y177" s="48" t="s">
        <v>2050</v>
      </c>
      <c r="Z177" s="48" t="s">
        <v>2053</v>
      </c>
      <c r="AA177" s="48" t="s">
        <v>2054</v>
      </c>
      <c r="AB177" s="48" t="s">
        <v>2817</v>
      </c>
      <c r="AC177" s="48" t="s">
        <v>2055</v>
      </c>
      <c r="AD177" s="48" t="s">
        <v>2056</v>
      </c>
      <c r="AE177" s="48" t="s">
        <v>1710</v>
      </c>
      <c r="AF177" s="48" t="s">
        <v>1710</v>
      </c>
      <c r="AG177" s="48" t="s">
        <v>2057</v>
      </c>
      <c r="AH177" s="48" t="s">
        <v>1815</v>
      </c>
      <c r="AI177" s="48" t="s">
        <v>2058</v>
      </c>
      <c r="AJ177" s="48" t="s">
        <v>1710</v>
      </c>
      <c r="AK177" s="48" t="s">
        <v>2099</v>
      </c>
      <c r="AL177" s="48" t="s">
        <v>1866</v>
      </c>
      <c r="AM177" s="48" t="s">
        <v>1816</v>
      </c>
      <c r="AN177" s="48" t="s">
        <v>2054</v>
      </c>
      <c r="AO177" s="48" t="s">
        <v>1710</v>
      </c>
      <c r="AP177" s="48" t="s">
        <v>1854</v>
      </c>
      <c r="AQ177" s="48" t="s">
        <v>2081</v>
      </c>
      <c r="AR177" s="48" t="s">
        <v>1812</v>
      </c>
      <c r="AS177" s="48" t="s">
        <v>1813</v>
      </c>
      <c r="AT177" s="48" t="s">
        <v>1826</v>
      </c>
      <c r="AU177" s="48" t="s">
        <v>2061</v>
      </c>
      <c r="AV177" s="48" t="s">
        <v>3111</v>
      </c>
      <c r="AW177" s="48" t="s">
        <v>2062</v>
      </c>
      <c r="AX177" s="48" t="s">
        <v>2063</v>
      </c>
      <c r="AY177" s="48" t="s">
        <v>1710</v>
      </c>
      <c r="AZ177" s="48" t="s">
        <v>4223</v>
      </c>
      <c r="BA177" s="48" t="s">
        <v>1710</v>
      </c>
      <c r="BB177" s="48" t="s">
        <v>1709</v>
      </c>
      <c r="BC177" s="48" t="s">
        <v>1710</v>
      </c>
      <c r="BD177" s="48" t="s">
        <v>2097</v>
      </c>
      <c r="BE177" s="52" t="s">
        <v>4129</v>
      </c>
      <c r="BF177" s="48" t="s">
        <v>1710</v>
      </c>
      <c r="BG177" s="48" t="s">
        <v>1814</v>
      </c>
      <c r="BH177">
        <v>17</v>
      </c>
      <c r="BI177" s="48" t="s">
        <v>1888</v>
      </c>
      <c r="BJ177">
        <v>1</v>
      </c>
      <c r="BK177">
        <v>1473.06</v>
      </c>
      <c r="BL177">
        <v>10460689</v>
      </c>
      <c r="BM177">
        <v>7101</v>
      </c>
      <c r="BN177" s="48" t="s">
        <v>2064</v>
      </c>
      <c r="BO177" s="48" t="s">
        <v>2065</v>
      </c>
      <c r="BP177">
        <v>1473.06</v>
      </c>
      <c r="BQ177">
        <v>7235.34</v>
      </c>
      <c r="BR177" s="48" t="s">
        <v>1885</v>
      </c>
      <c r="BS177" s="48" t="s">
        <v>2066</v>
      </c>
      <c r="BT177">
        <v>1</v>
      </c>
      <c r="BU177">
        <v>197400</v>
      </c>
      <c r="BV177">
        <v>197400</v>
      </c>
      <c r="BW177" s="48" t="s">
        <v>2065</v>
      </c>
      <c r="BX177">
        <v>1473.06</v>
      </c>
      <c r="BY177">
        <v>0</v>
      </c>
      <c r="BZ177">
        <v>0</v>
      </c>
      <c r="CA177" s="48" t="s">
        <v>2065</v>
      </c>
      <c r="CB177">
        <v>1473.06</v>
      </c>
      <c r="CC177">
        <v>0</v>
      </c>
      <c r="CD177">
        <v>0</v>
      </c>
      <c r="CE177" s="48" t="s">
        <v>1710</v>
      </c>
      <c r="CF177" s="48" t="s">
        <v>1710</v>
      </c>
      <c r="CG177" s="48" t="s">
        <v>1710</v>
      </c>
      <c r="CH177" s="48" t="s">
        <v>1710</v>
      </c>
      <c r="CI177" s="48" t="s">
        <v>2067</v>
      </c>
      <c r="CJ177" s="48" t="s">
        <v>1710</v>
      </c>
      <c r="CL177" s="48" t="s">
        <v>3111</v>
      </c>
      <c r="CM177" s="48" t="s">
        <v>1710</v>
      </c>
      <c r="CN177" s="48" t="s">
        <v>2068</v>
      </c>
      <c r="CO177" s="48" t="s">
        <v>2069</v>
      </c>
      <c r="CP177" s="48" t="s">
        <v>1710</v>
      </c>
      <c r="CQ177" s="48" t="s">
        <v>1710</v>
      </c>
      <c r="CR177" s="48" t="s">
        <v>1710</v>
      </c>
      <c r="CS177" s="48" t="s">
        <v>1710</v>
      </c>
      <c r="CT177" s="48" t="s">
        <v>1710</v>
      </c>
      <c r="CU177" s="48" t="s">
        <v>1712</v>
      </c>
      <c r="CV177" s="48" t="s">
        <v>1710</v>
      </c>
      <c r="CW177" s="48" t="s">
        <v>1710</v>
      </c>
      <c r="CX177" s="48" t="s">
        <v>3167</v>
      </c>
      <c r="CY177" s="48" t="s">
        <v>1710</v>
      </c>
      <c r="CZ177" s="48" t="s">
        <v>1712</v>
      </c>
      <c r="DA177" s="48" t="s">
        <v>1710</v>
      </c>
      <c r="DB177" s="48" t="s">
        <v>1878</v>
      </c>
      <c r="DC177" s="48" t="s">
        <v>2070</v>
      </c>
      <c r="DD177" s="48" t="s">
        <v>1842</v>
      </c>
      <c r="DE177" s="48" t="s">
        <v>1886</v>
      </c>
      <c r="DF177" s="48" t="s">
        <v>4224</v>
      </c>
      <c r="DG177" s="48" t="s">
        <v>2071</v>
      </c>
      <c r="DH177" s="48" t="s">
        <v>1712</v>
      </c>
      <c r="DI177" s="48" t="s">
        <v>1710</v>
      </c>
      <c r="DJ177" s="48" t="s">
        <v>1710</v>
      </c>
      <c r="DK177" s="48" t="s">
        <v>1710</v>
      </c>
      <c r="DL177" s="48" t="s">
        <v>1710</v>
      </c>
      <c r="DM177" s="48" t="s">
        <v>1710</v>
      </c>
      <c r="DN177" s="48" t="s">
        <v>1710</v>
      </c>
      <c r="DO177" s="48" t="s">
        <v>1710</v>
      </c>
      <c r="DP177" s="48" t="s">
        <v>1710</v>
      </c>
      <c r="DQ177" s="48" t="s">
        <v>1710</v>
      </c>
      <c r="DR177" s="48" t="s">
        <v>2072</v>
      </c>
      <c r="DS177" s="48" t="s">
        <v>1710</v>
      </c>
      <c r="DT177" s="48" t="s">
        <v>1710</v>
      </c>
      <c r="DU177" s="48" t="s">
        <v>2547</v>
      </c>
      <c r="DV177" s="48" t="s">
        <v>3141</v>
      </c>
      <c r="DW177" s="48" t="s">
        <v>1710</v>
      </c>
      <c r="DX177" s="48" t="s">
        <v>4225</v>
      </c>
      <c r="DY177" s="48" t="s">
        <v>1709</v>
      </c>
      <c r="DZ177" s="48" t="s">
        <v>2562</v>
      </c>
      <c r="EA177" s="48" t="s">
        <v>2546</v>
      </c>
      <c r="EB177">
        <v>0</v>
      </c>
      <c r="EC177" s="48" t="s">
        <v>2547</v>
      </c>
      <c r="ED177" s="48" t="s">
        <v>4138</v>
      </c>
      <c r="EE177" s="48" t="s">
        <v>1814</v>
      </c>
      <c r="EF177" s="48" t="s">
        <v>1868</v>
      </c>
      <c r="EG177" s="48" t="s">
        <v>4223</v>
      </c>
      <c r="EH177">
        <v>11.272</v>
      </c>
      <c r="EI177" s="48" t="s">
        <v>1888</v>
      </c>
      <c r="EJ177">
        <v>1</v>
      </c>
      <c r="EK177" s="48" t="s">
        <v>1887</v>
      </c>
      <c r="EL177">
        <v>1</v>
      </c>
      <c r="EM177" s="48" t="s">
        <v>1886</v>
      </c>
      <c r="EN177">
        <v>11.272</v>
      </c>
      <c r="EO177" s="48" t="s">
        <v>2528</v>
      </c>
      <c r="EP177" s="48" t="s">
        <v>4226</v>
      </c>
      <c r="EQ177">
        <v>7235.34</v>
      </c>
      <c r="ER177">
        <v>7235.34</v>
      </c>
      <c r="ES177">
        <v>10460689</v>
      </c>
      <c r="ET177">
        <v>7101</v>
      </c>
      <c r="EU177" s="48" t="s">
        <v>1710</v>
      </c>
      <c r="EV177" s="48" t="s">
        <v>1710</v>
      </c>
      <c r="EW177" s="48" t="s">
        <v>1712</v>
      </c>
      <c r="EX177" s="48" t="s">
        <v>1710</v>
      </c>
      <c r="EY177" s="48" t="s">
        <v>1851</v>
      </c>
      <c r="EZ177" s="48" t="s">
        <v>1710</v>
      </c>
      <c r="FA177" s="48" t="s">
        <v>1710</v>
      </c>
      <c r="FB177" s="48" t="s">
        <v>1712</v>
      </c>
      <c r="FC177" s="48" t="s">
        <v>1710</v>
      </c>
      <c r="FD177" s="48" t="s">
        <v>1710</v>
      </c>
      <c r="FE177" s="48" t="s">
        <v>1814</v>
      </c>
      <c r="FF177" s="48" t="s">
        <v>1815</v>
      </c>
      <c r="FG177" s="48" t="s">
        <v>1710</v>
      </c>
      <c r="FH177">
        <v>1</v>
      </c>
      <c r="FI177" s="48" t="s">
        <v>1846</v>
      </c>
      <c r="FJ177">
        <v>7235.34</v>
      </c>
      <c r="FK177">
        <v>7235.34</v>
      </c>
      <c r="FL177" s="48" t="s">
        <v>4227</v>
      </c>
      <c r="FM177" s="48" t="s">
        <v>4226</v>
      </c>
      <c r="FN177" s="48" t="s">
        <v>1710</v>
      </c>
      <c r="FO177" s="48" t="s">
        <v>1710</v>
      </c>
      <c r="FP177" s="48" t="s">
        <v>1710</v>
      </c>
      <c r="FQ177" s="48" t="s">
        <v>1710</v>
      </c>
      <c r="FR177" s="48" t="s">
        <v>1710</v>
      </c>
      <c r="FS177" s="48" t="s">
        <v>1710</v>
      </c>
      <c r="FT177" s="48" t="s">
        <v>1710</v>
      </c>
      <c r="FU177" s="48" t="s">
        <v>1710</v>
      </c>
      <c r="FV177" s="48"/>
      <c r="FW177" s="56"/>
      <c r="FX177" s="56"/>
      <c r="FY177" s="56"/>
      <c r="FZ177" s="56"/>
      <c r="GA177" s="55" t="str">
        <f t="shared" si="8"/>
        <v>4388426300474X</v>
      </c>
      <c r="GB177" t="str">
        <f>VLOOKUP(B177,수출코드!$C$2:$D$4,2,FALSE)</f>
        <v>Suwon</v>
      </c>
      <c r="GC177" t="str">
        <f>VLOOKUP(L177,수출코드!$A$2:$B$6,2,FALSE)</f>
        <v/>
      </c>
      <c r="GD177" t="str">
        <f>VLOOKUP(M177,수출코드!$E$2:$F$5,2,FALSE)</f>
        <v>일반</v>
      </c>
      <c r="GE177" s="61">
        <f t="shared" si="6"/>
        <v>45974.492361111108</v>
      </c>
      <c r="GF177" s="62">
        <f t="shared" si="7"/>
        <v>46051.737500000003</v>
      </c>
      <c r="GI177" s="48" t="s">
        <v>2770</v>
      </c>
    </row>
    <row r="178" spans="1:191">
      <c r="A178" s="48" t="s">
        <v>4228</v>
      </c>
      <c r="B178" s="48" t="s">
        <v>1821</v>
      </c>
      <c r="C178" s="48" t="s">
        <v>2048</v>
      </c>
      <c r="D178" s="48" t="s">
        <v>2813</v>
      </c>
      <c r="E178" s="48" t="s">
        <v>4228</v>
      </c>
      <c r="F178" s="48" t="s">
        <v>1710</v>
      </c>
      <c r="G178" s="48" t="s">
        <v>2814</v>
      </c>
      <c r="H178" s="48" t="s">
        <v>4229</v>
      </c>
      <c r="I178" s="48" t="s">
        <v>1884</v>
      </c>
      <c r="J178" s="48" t="s">
        <v>3111</v>
      </c>
      <c r="K178" s="48" t="s">
        <v>1877</v>
      </c>
      <c r="L178" s="48" t="s">
        <v>1842</v>
      </c>
      <c r="M178" s="48" t="s">
        <v>1810</v>
      </c>
      <c r="N178" s="48" t="s">
        <v>1842</v>
      </c>
      <c r="O178" s="48" t="s">
        <v>1811</v>
      </c>
      <c r="P178" s="48" t="s">
        <v>2549</v>
      </c>
      <c r="Q178" s="48" t="s">
        <v>2049</v>
      </c>
      <c r="R178" s="48" t="s">
        <v>1838</v>
      </c>
      <c r="S178" s="48" t="s">
        <v>2050</v>
      </c>
      <c r="T178" s="48" t="s">
        <v>1845</v>
      </c>
      <c r="U178" s="48" t="s">
        <v>2049</v>
      </c>
      <c r="V178" s="48" t="s">
        <v>1838</v>
      </c>
      <c r="W178" s="48" t="s">
        <v>2051</v>
      </c>
      <c r="X178" s="48" t="s">
        <v>2052</v>
      </c>
      <c r="Y178" s="48" t="s">
        <v>2050</v>
      </c>
      <c r="Z178" s="48" t="s">
        <v>2053</v>
      </c>
      <c r="AA178" s="48" t="s">
        <v>2054</v>
      </c>
      <c r="AB178" s="48" t="s">
        <v>2817</v>
      </c>
      <c r="AC178" s="48" t="s">
        <v>2055</v>
      </c>
      <c r="AD178" s="48" t="s">
        <v>2056</v>
      </c>
      <c r="AE178" s="48" t="s">
        <v>1710</v>
      </c>
      <c r="AF178" s="48" t="s">
        <v>1710</v>
      </c>
      <c r="AG178" s="48" t="s">
        <v>2057</v>
      </c>
      <c r="AH178" s="48" t="s">
        <v>1815</v>
      </c>
      <c r="AI178" s="48" t="s">
        <v>2058</v>
      </c>
      <c r="AJ178" s="48" t="s">
        <v>1710</v>
      </c>
      <c r="AK178" s="48" t="s">
        <v>2059</v>
      </c>
      <c r="AL178" s="48" t="s">
        <v>1858</v>
      </c>
      <c r="AM178" s="48" t="s">
        <v>1816</v>
      </c>
      <c r="AN178" s="48" t="s">
        <v>2054</v>
      </c>
      <c r="AO178" s="48" t="s">
        <v>1710</v>
      </c>
      <c r="AP178" s="48" t="s">
        <v>1848</v>
      </c>
      <c r="AQ178" s="48" t="s">
        <v>2060</v>
      </c>
      <c r="AR178" s="48" t="s">
        <v>1812</v>
      </c>
      <c r="AS178" s="48" t="s">
        <v>1813</v>
      </c>
      <c r="AT178" s="48" t="s">
        <v>1826</v>
      </c>
      <c r="AU178" s="48" t="s">
        <v>2061</v>
      </c>
      <c r="AV178" s="48" t="s">
        <v>3111</v>
      </c>
      <c r="AW178" s="48" t="s">
        <v>2062</v>
      </c>
      <c r="AX178" s="48" t="s">
        <v>2063</v>
      </c>
      <c r="AY178" s="48" t="s">
        <v>1710</v>
      </c>
      <c r="AZ178" s="48" t="s">
        <v>4230</v>
      </c>
      <c r="BA178" s="48" t="s">
        <v>1710</v>
      </c>
      <c r="BB178" s="48" t="s">
        <v>1709</v>
      </c>
      <c r="BC178" s="48" t="s">
        <v>1710</v>
      </c>
      <c r="BD178" s="48" t="s">
        <v>2097</v>
      </c>
      <c r="BE178" s="52" t="s">
        <v>4129</v>
      </c>
      <c r="BF178" s="48" t="s">
        <v>1710</v>
      </c>
      <c r="BG178" s="48" t="s">
        <v>1818</v>
      </c>
      <c r="BH178">
        <v>3</v>
      </c>
      <c r="BI178" s="48" t="s">
        <v>1888</v>
      </c>
      <c r="BJ178">
        <v>1</v>
      </c>
      <c r="BK178">
        <v>1473.06</v>
      </c>
      <c r="BL178">
        <v>2192589</v>
      </c>
      <c r="BM178">
        <v>1488</v>
      </c>
      <c r="BN178" s="48" t="s">
        <v>2064</v>
      </c>
      <c r="BO178" s="48" t="s">
        <v>2065</v>
      </c>
      <c r="BP178">
        <v>1473.06</v>
      </c>
      <c r="BQ178">
        <v>1529.87</v>
      </c>
      <c r="BR178" s="48" t="s">
        <v>1885</v>
      </c>
      <c r="BS178" s="48" t="s">
        <v>2066</v>
      </c>
      <c r="BT178">
        <v>1</v>
      </c>
      <c r="BU178">
        <v>61000</v>
      </c>
      <c r="BV178">
        <v>61000</v>
      </c>
      <c r="BW178" s="48" t="s">
        <v>2065</v>
      </c>
      <c r="BX178">
        <v>1473.06</v>
      </c>
      <c r="BY178">
        <v>0</v>
      </c>
      <c r="BZ178">
        <v>0</v>
      </c>
      <c r="CA178" s="48" t="s">
        <v>2065</v>
      </c>
      <c r="CB178">
        <v>1473.06</v>
      </c>
      <c r="CC178">
        <v>0</v>
      </c>
      <c r="CD178">
        <v>0</v>
      </c>
      <c r="CE178" s="48" t="s">
        <v>1710</v>
      </c>
      <c r="CF178" s="48" t="s">
        <v>1710</v>
      </c>
      <c r="CG178" s="48" t="s">
        <v>1710</v>
      </c>
      <c r="CH178" s="48" t="s">
        <v>1710</v>
      </c>
      <c r="CI178" s="48" t="s">
        <v>2067</v>
      </c>
      <c r="CJ178" s="48" t="s">
        <v>1710</v>
      </c>
      <c r="CL178" s="48" t="s">
        <v>3111</v>
      </c>
      <c r="CM178" s="48" t="s">
        <v>1710</v>
      </c>
      <c r="CN178" s="48" t="s">
        <v>2068</v>
      </c>
      <c r="CO178" s="48" t="s">
        <v>2069</v>
      </c>
      <c r="CP178" s="48" t="s">
        <v>1710</v>
      </c>
      <c r="CQ178" s="48" t="s">
        <v>1710</v>
      </c>
      <c r="CR178" s="48" t="s">
        <v>1710</v>
      </c>
      <c r="CS178" s="48" t="s">
        <v>1710</v>
      </c>
      <c r="CT178" s="48" t="s">
        <v>1710</v>
      </c>
      <c r="CU178" s="48" t="s">
        <v>1712</v>
      </c>
      <c r="CV178" s="48" t="s">
        <v>1710</v>
      </c>
      <c r="CW178" s="48" t="s">
        <v>1710</v>
      </c>
      <c r="CX178" s="48" t="s">
        <v>3167</v>
      </c>
      <c r="CY178" s="48" t="s">
        <v>1710</v>
      </c>
      <c r="CZ178" s="48" t="s">
        <v>1712</v>
      </c>
      <c r="DA178" s="48" t="s">
        <v>1710</v>
      </c>
      <c r="DB178" s="48" t="s">
        <v>1878</v>
      </c>
      <c r="DC178" s="48" t="s">
        <v>2070</v>
      </c>
      <c r="DD178" s="48" t="s">
        <v>1842</v>
      </c>
      <c r="DE178" s="48" t="s">
        <v>1886</v>
      </c>
      <c r="DF178" s="48" t="s">
        <v>4231</v>
      </c>
      <c r="DG178" s="48" t="s">
        <v>2071</v>
      </c>
      <c r="DH178" s="48" t="s">
        <v>1712</v>
      </c>
      <c r="DI178" s="48" t="s">
        <v>1710</v>
      </c>
      <c r="DJ178" s="48" t="s">
        <v>1710</v>
      </c>
      <c r="DK178" s="48" t="s">
        <v>1710</v>
      </c>
      <c r="DL178" s="48" t="s">
        <v>1710</v>
      </c>
      <c r="DM178" s="48" t="s">
        <v>1710</v>
      </c>
      <c r="DN178" s="48" t="s">
        <v>1710</v>
      </c>
      <c r="DO178" s="48" t="s">
        <v>1710</v>
      </c>
      <c r="DP178" s="48" t="s">
        <v>1710</v>
      </c>
      <c r="DQ178" s="48" t="s">
        <v>1710</v>
      </c>
      <c r="DR178" s="48" t="s">
        <v>2072</v>
      </c>
      <c r="DS178" s="48" t="s">
        <v>1710</v>
      </c>
      <c r="DT178" s="48" t="s">
        <v>1710</v>
      </c>
      <c r="DU178" s="48" t="s">
        <v>2547</v>
      </c>
      <c r="DV178" s="48" t="s">
        <v>2825</v>
      </c>
      <c r="DW178" s="48" t="s">
        <v>1710</v>
      </c>
      <c r="DX178" s="48" t="s">
        <v>4232</v>
      </c>
      <c r="DY178" s="48" t="s">
        <v>1709</v>
      </c>
      <c r="DZ178" s="48" t="s">
        <v>2562</v>
      </c>
      <c r="EA178" s="48" t="s">
        <v>2546</v>
      </c>
      <c r="EB178">
        <v>0</v>
      </c>
      <c r="EC178" s="48" t="s">
        <v>2547</v>
      </c>
      <c r="ED178" s="48" t="s">
        <v>4233</v>
      </c>
      <c r="EE178" s="48" t="s">
        <v>1814</v>
      </c>
      <c r="EF178" s="48" t="s">
        <v>4234</v>
      </c>
      <c r="EG178" s="48" t="s">
        <v>4230</v>
      </c>
      <c r="EH178">
        <v>0.34</v>
      </c>
      <c r="EI178" s="48" t="s">
        <v>1888</v>
      </c>
      <c r="EJ178">
        <v>0</v>
      </c>
      <c r="EK178" s="48" t="s">
        <v>1710</v>
      </c>
      <c r="EL178">
        <v>1</v>
      </c>
      <c r="EM178" s="48" t="s">
        <v>1886</v>
      </c>
      <c r="EN178">
        <v>0.34</v>
      </c>
      <c r="EO178" s="48" t="s">
        <v>4235</v>
      </c>
      <c r="EP178" s="48" t="s">
        <v>4236</v>
      </c>
      <c r="EQ178">
        <v>434.7</v>
      </c>
      <c r="ER178">
        <v>434.7</v>
      </c>
      <c r="ES178">
        <v>623006</v>
      </c>
      <c r="ET178">
        <v>423</v>
      </c>
      <c r="EU178" s="48" t="s">
        <v>1710</v>
      </c>
      <c r="EV178" s="48" t="s">
        <v>1710</v>
      </c>
      <c r="EW178" s="48" t="s">
        <v>1712</v>
      </c>
      <c r="EX178" s="48" t="s">
        <v>1710</v>
      </c>
      <c r="EY178" s="48" t="s">
        <v>1848</v>
      </c>
      <c r="EZ178" s="48" t="s">
        <v>1710</v>
      </c>
      <c r="FA178" s="48" t="s">
        <v>1710</v>
      </c>
      <c r="FB178" s="48" t="s">
        <v>1712</v>
      </c>
      <c r="FC178" s="48" t="s">
        <v>1710</v>
      </c>
      <c r="FD178" s="48" t="s">
        <v>1710</v>
      </c>
      <c r="FE178" s="48" t="s">
        <v>1814</v>
      </c>
      <c r="FF178" s="48" t="s">
        <v>1815</v>
      </c>
      <c r="FG178" s="48" t="s">
        <v>1710</v>
      </c>
      <c r="FH178">
        <v>1</v>
      </c>
      <c r="FI178" s="48" t="s">
        <v>1846</v>
      </c>
      <c r="FJ178">
        <v>434.7</v>
      </c>
      <c r="FK178">
        <v>434.7</v>
      </c>
      <c r="FL178" s="48" t="s">
        <v>4237</v>
      </c>
      <c r="FM178" s="48" t="s">
        <v>4236</v>
      </c>
      <c r="FN178" s="48" t="s">
        <v>1710</v>
      </c>
      <c r="FO178" s="48" t="s">
        <v>1710</v>
      </c>
      <c r="FP178" s="48" t="s">
        <v>1710</v>
      </c>
      <c r="FQ178" s="48" t="s">
        <v>1710</v>
      </c>
      <c r="FR178" s="48" t="s">
        <v>1710</v>
      </c>
      <c r="FS178" s="48" t="s">
        <v>1710</v>
      </c>
      <c r="FT178" s="48" t="s">
        <v>1710</v>
      </c>
      <c r="FU178" s="48" t="s">
        <v>1710</v>
      </c>
      <c r="FV178" s="48"/>
      <c r="FW178" s="56"/>
      <c r="FX178" s="56"/>
      <c r="FY178" s="56"/>
      <c r="FZ178" s="56"/>
      <c r="GA178" s="55" t="str">
        <f t="shared" si="8"/>
        <v>4388426300475X</v>
      </c>
      <c r="GB178" t="str">
        <f>VLOOKUP(B178,수출코드!$C$2:$D$4,2,FALSE)</f>
        <v>Suwon</v>
      </c>
      <c r="GC178" t="str">
        <f>VLOOKUP(L178,수출코드!$A$2:$B$6,2,FALSE)</f>
        <v/>
      </c>
      <c r="GD178" t="str">
        <f>VLOOKUP(M178,수출코드!$E$2:$F$5,2,FALSE)</f>
        <v>일반</v>
      </c>
      <c r="GE178" s="61">
        <f t="shared" si="6"/>
        <v>45974.609027777777</v>
      </c>
      <c r="GF178" s="62">
        <f t="shared" si="7"/>
        <v>46051.745138888888</v>
      </c>
      <c r="GI178" s="48" t="s">
        <v>2771</v>
      </c>
    </row>
    <row r="179" spans="1:191">
      <c r="A179" s="48" t="s">
        <v>4238</v>
      </c>
      <c r="B179" s="48" t="s">
        <v>1821</v>
      </c>
      <c r="C179" s="48" t="s">
        <v>2048</v>
      </c>
      <c r="D179" s="48" t="s">
        <v>2813</v>
      </c>
      <c r="E179" s="48" t="s">
        <v>4238</v>
      </c>
      <c r="F179" s="48" t="s">
        <v>1710</v>
      </c>
      <c r="G179" s="48" t="s">
        <v>2814</v>
      </c>
      <c r="H179" s="48" t="s">
        <v>4239</v>
      </c>
      <c r="I179" s="48" t="s">
        <v>1884</v>
      </c>
      <c r="J179" s="48" t="s">
        <v>3111</v>
      </c>
      <c r="K179" s="48" t="s">
        <v>1877</v>
      </c>
      <c r="L179" s="48" t="s">
        <v>1842</v>
      </c>
      <c r="M179" s="48" t="s">
        <v>1810</v>
      </c>
      <c r="N179" s="48" t="s">
        <v>1842</v>
      </c>
      <c r="O179" s="48" t="s">
        <v>1811</v>
      </c>
      <c r="P179" s="48" t="s">
        <v>2549</v>
      </c>
      <c r="Q179" s="48" t="s">
        <v>2049</v>
      </c>
      <c r="R179" s="48" t="s">
        <v>1838</v>
      </c>
      <c r="S179" s="48" t="s">
        <v>2050</v>
      </c>
      <c r="T179" s="48" t="s">
        <v>1845</v>
      </c>
      <c r="U179" s="48" t="s">
        <v>2049</v>
      </c>
      <c r="V179" s="48" t="s">
        <v>1838</v>
      </c>
      <c r="W179" s="48" t="s">
        <v>2051</v>
      </c>
      <c r="X179" s="48" t="s">
        <v>2052</v>
      </c>
      <c r="Y179" s="48" t="s">
        <v>2050</v>
      </c>
      <c r="Z179" s="48" t="s">
        <v>2053</v>
      </c>
      <c r="AA179" s="48" t="s">
        <v>2054</v>
      </c>
      <c r="AB179" s="48" t="s">
        <v>2817</v>
      </c>
      <c r="AC179" s="48" t="s">
        <v>2055</v>
      </c>
      <c r="AD179" s="48" t="s">
        <v>2056</v>
      </c>
      <c r="AE179" s="48" t="s">
        <v>1710</v>
      </c>
      <c r="AF179" s="48" t="s">
        <v>1710</v>
      </c>
      <c r="AG179" s="48" t="s">
        <v>2057</v>
      </c>
      <c r="AH179" s="48" t="s">
        <v>1815</v>
      </c>
      <c r="AI179" s="48" t="s">
        <v>2058</v>
      </c>
      <c r="AJ179" s="48" t="s">
        <v>1710</v>
      </c>
      <c r="AK179" s="48" t="s">
        <v>2059</v>
      </c>
      <c r="AL179" s="48" t="s">
        <v>1858</v>
      </c>
      <c r="AM179" s="48" t="s">
        <v>1816</v>
      </c>
      <c r="AN179" s="48" t="s">
        <v>2054</v>
      </c>
      <c r="AO179" s="48" t="s">
        <v>1710</v>
      </c>
      <c r="AP179" s="48" t="s">
        <v>1848</v>
      </c>
      <c r="AQ179" s="48" t="s">
        <v>2060</v>
      </c>
      <c r="AR179" s="48" t="s">
        <v>1812</v>
      </c>
      <c r="AS179" s="48" t="s">
        <v>1813</v>
      </c>
      <c r="AT179" s="48" t="s">
        <v>1826</v>
      </c>
      <c r="AU179" s="48" t="s">
        <v>2061</v>
      </c>
      <c r="AV179" s="48" t="s">
        <v>3111</v>
      </c>
      <c r="AW179" s="48" t="s">
        <v>2062</v>
      </c>
      <c r="AX179" s="48" t="s">
        <v>2063</v>
      </c>
      <c r="AY179" s="48" t="s">
        <v>1710</v>
      </c>
      <c r="AZ179" s="48" t="s">
        <v>4240</v>
      </c>
      <c r="BA179" s="48" t="s">
        <v>1710</v>
      </c>
      <c r="BB179" s="48" t="s">
        <v>1709</v>
      </c>
      <c r="BC179" s="48" t="s">
        <v>1710</v>
      </c>
      <c r="BD179" s="48" t="s">
        <v>2097</v>
      </c>
      <c r="BE179" s="52" t="s">
        <v>4129</v>
      </c>
      <c r="BF179" s="48" t="s">
        <v>1710</v>
      </c>
      <c r="BG179" s="48" t="s">
        <v>1817</v>
      </c>
      <c r="BH179">
        <v>1</v>
      </c>
      <c r="BI179" s="48" t="s">
        <v>1888</v>
      </c>
      <c r="BJ179">
        <v>1</v>
      </c>
      <c r="BK179">
        <v>1473.06</v>
      </c>
      <c r="BL179">
        <v>655523</v>
      </c>
      <c r="BM179">
        <v>445</v>
      </c>
      <c r="BN179" s="48" t="s">
        <v>2064</v>
      </c>
      <c r="BO179" s="48" t="s">
        <v>2065</v>
      </c>
      <c r="BP179">
        <v>1473.06</v>
      </c>
      <c r="BQ179">
        <v>467.75</v>
      </c>
      <c r="BR179" s="48" t="s">
        <v>1885</v>
      </c>
      <c r="BS179" s="48" t="s">
        <v>2066</v>
      </c>
      <c r="BT179">
        <v>1</v>
      </c>
      <c r="BU179">
        <v>33500</v>
      </c>
      <c r="BV179">
        <v>33500</v>
      </c>
      <c r="BW179" s="48" t="s">
        <v>2065</v>
      </c>
      <c r="BX179">
        <v>1473.06</v>
      </c>
      <c r="BY179">
        <v>0</v>
      </c>
      <c r="BZ179">
        <v>0</v>
      </c>
      <c r="CA179" s="48" t="s">
        <v>2065</v>
      </c>
      <c r="CB179">
        <v>1473.06</v>
      </c>
      <c r="CC179">
        <v>0</v>
      </c>
      <c r="CD179">
        <v>0</v>
      </c>
      <c r="CE179" s="48" t="s">
        <v>1710</v>
      </c>
      <c r="CF179" s="48" t="s">
        <v>1710</v>
      </c>
      <c r="CG179" s="48" t="s">
        <v>1710</v>
      </c>
      <c r="CH179" s="48" t="s">
        <v>1710</v>
      </c>
      <c r="CI179" s="48" t="s">
        <v>2067</v>
      </c>
      <c r="CJ179" s="48" t="s">
        <v>1710</v>
      </c>
      <c r="CL179" s="48" t="s">
        <v>3111</v>
      </c>
      <c r="CM179" s="48" t="s">
        <v>1710</v>
      </c>
      <c r="CN179" s="48" t="s">
        <v>2068</v>
      </c>
      <c r="CO179" s="48" t="s">
        <v>2069</v>
      </c>
      <c r="CP179" s="48" t="s">
        <v>1710</v>
      </c>
      <c r="CQ179" s="48" t="s">
        <v>1710</v>
      </c>
      <c r="CR179" s="48" t="s">
        <v>1710</v>
      </c>
      <c r="CS179" s="48" t="s">
        <v>1710</v>
      </c>
      <c r="CT179" s="48" t="s">
        <v>1710</v>
      </c>
      <c r="CU179" s="48" t="s">
        <v>1712</v>
      </c>
      <c r="CV179" s="48" t="s">
        <v>1710</v>
      </c>
      <c r="CW179" s="48" t="s">
        <v>1710</v>
      </c>
      <c r="CX179" s="48" t="s">
        <v>3167</v>
      </c>
      <c r="CY179" s="48" t="s">
        <v>1710</v>
      </c>
      <c r="CZ179" s="48" t="s">
        <v>1712</v>
      </c>
      <c r="DA179" s="48" t="s">
        <v>1710</v>
      </c>
      <c r="DB179" s="48" t="s">
        <v>1878</v>
      </c>
      <c r="DC179" s="48" t="s">
        <v>2070</v>
      </c>
      <c r="DD179" s="48" t="s">
        <v>1842</v>
      </c>
      <c r="DE179" s="48" t="s">
        <v>1886</v>
      </c>
      <c r="DF179" s="48" t="s">
        <v>4241</v>
      </c>
      <c r="DG179" s="48" t="s">
        <v>2071</v>
      </c>
      <c r="DH179" s="48" t="s">
        <v>1712</v>
      </c>
      <c r="DI179" s="48" t="s">
        <v>1710</v>
      </c>
      <c r="DJ179" s="48" t="s">
        <v>1710</v>
      </c>
      <c r="DK179" s="48" t="s">
        <v>1710</v>
      </c>
      <c r="DL179" s="48" t="s">
        <v>1710</v>
      </c>
      <c r="DM179" s="48" t="s">
        <v>1710</v>
      </c>
      <c r="DN179" s="48" t="s">
        <v>1710</v>
      </c>
      <c r="DO179" s="48" t="s">
        <v>1710</v>
      </c>
      <c r="DP179" s="48" t="s">
        <v>1710</v>
      </c>
      <c r="DQ179" s="48" t="s">
        <v>1710</v>
      </c>
      <c r="DR179" s="48" t="s">
        <v>2072</v>
      </c>
      <c r="DS179" s="48" t="s">
        <v>1710</v>
      </c>
      <c r="DT179" s="48" t="s">
        <v>1710</v>
      </c>
      <c r="DU179" s="48" t="s">
        <v>2547</v>
      </c>
      <c r="DV179" s="48" t="s">
        <v>2825</v>
      </c>
      <c r="DW179" s="48" t="s">
        <v>1710</v>
      </c>
      <c r="DX179" s="48" t="s">
        <v>4242</v>
      </c>
      <c r="DY179" s="48" t="s">
        <v>1709</v>
      </c>
      <c r="DZ179" s="48" t="s">
        <v>2562</v>
      </c>
      <c r="EA179" s="48" t="s">
        <v>2546</v>
      </c>
      <c r="EB179">
        <v>0</v>
      </c>
      <c r="EC179" s="48" t="s">
        <v>2547</v>
      </c>
      <c r="ED179" s="48" t="s">
        <v>4233</v>
      </c>
      <c r="EE179" s="48" t="s">
        <v>1814</v>
      </c>
      <c r="EF179" s="48" t="s">
        <v>1841</v>
      </c>
      <c r="EG179" s="48" t="s">
        <v>4240</v>
      </c>
      <c r="EH179">
        <v>6.0000000000000001E-3</v>
      </c>
      <c r="EI179" s="48" t="s">
        <v>1888</v>
      </c>
      <c r="EJ179">
        <v>0</v>
      </c>
      <c r="EK179" s="48" t="s">
        <v>1710</v>
      </c>
      <c r="EL179">
        <v>1</v>
      </c>
      <c r="EM179" s="48" t="s">
        <v>1886</v>
      </c>
      <c r="EN179">
        <v>6.0000000000000001E-3</v>
      </c>
      <c r="EO179" s="48" t="s">
        <v>2603</v>
      </c>
      <c r="EP179" s="48" t="s">
        <v>4243</v>
      </c>
      <c r="EQ179">
        <v>400.93</v>
      </c>
      <c r="ER179">
        <v>400.93</v>
      </c>
      <c r="ES179">
        <v>561879</v>
      </c>
      <c r="ET179">
        <v>381</v>
      </c>
      <c r="EU179" s="48" t="s">
        <v>1710</v>
      </c>
      <c r="EV179" s="48" t="s">
        <v>1710</v>
      </c>
      <c r="EW179" s="48" t="s">
        <v>1712</v>
      </c>
      <c r="EX179" s="48" t="s">
        <v>1710</v>
      </c>
      <c r="EY179" s="48" t="s">
        <v>1853</v>
      </c>
      <c r="EZ179" s="48" t="s">
        <v>1710</v>
      </c>
      <c r="FA179" s="48" t="s">
        <v>1710</v>
      </c>
      <c r="FB179" s="48" t="s">
        <v>1712</v>
      </c>
      <c r="FC179" s="48" t="s">
        <v>1710</v>
      </c>
      <c r="FD179" s="48" t="s">
        <v>1710</v>
      </c>
      <c r="FE179" s="48" t="s">
        <v>1814</v>
      </c>
      <c r="FF179" s="48" t="s">
        <v>1815</v>
      </c>
      <c r="FG179" s="48" t="s">
        <v>1710</v>
      </c>
      <c r="FH179">
        <v>6</v>
      </c>
      <c r="FI179" s="48" t="s">
        <v>1846</v>
      </c>
      <c r="FJ179">
        <v>400.93</v>
      </c>
      <c r="FK179">
        <v>66.822000000000003</v>
      </c>
      <c r="FL179" s="48" t="s">
        <v>4244</v>
      </c>
      <c r="FM179" s="48" t="s">
        <v>4243</v>
      </c>
      <c r="FN179" s="48" t="s">
        <v>1710</v>
      </c>
      <c r="FO179" s="48" t="s">
        <v>1710</v>
      </c>
      <c r="FP179" s="48" t="s">
        <v>1710</v>
      </c>
      <c r="FQ179" s="48" t="s">
        <v>1710</v>
      </c>
      <c r="FR179" s="48" t="s">
        <v>1710</v>
      </c>
      <c r="FS179" s="48" t="s">
        <v>1710</v>
      </c>
      <c r="FT179" s="48" t="s">
        <v>1710</v>
      </c>
      <c r="FU179" s="48" t="s">
        <v>1710</v>
      </c>
      <c r="FV179" s="48"/>
      <c r="FW179" s="56"/>
      <c r="FX179" s="56"/>
      <c r="FY179" s="56"/>
      <c r="FZ179" s="56"/>
      <c r="GA179" s="55" t="str">
        <f t="shared" si="8"/>
        <v>4388426300477X</v>
      </c>
      <c r="GB179" t="str">
        <f>VLOOKUP(B179,수출코드!$C$2:$D$4,2,FALSE)</f>
        <v>Suwon</v>
      </c>
      <c r="GC179" t="str">
        <f>VLOOKUP(L179,수출코드!$A$2:$B$6,2,FALSE)</f>
        <v/>
      </c>
      <c r="GD179" t="str">
        <f>VLOOKUP(M179,수출코드!$E$2:$F$5,2,FALSE)</f>
        <v>일반</v>
      </c>
      <c r="GE179" s="61">
        <f t="shared" si="6"/>
        <v>45974.609027777777</v>
      </c>
      <c r="GF179" s="62">
        <f t="shared" si="7"/>
        <v>46051.745138888888</v>
      </c>
      <c r="GI179" s="48" t="s">
        <v>2771</v>
      </c>
    </row>
    <row r="180" spans="1:191">
      <c r="A180" s="48" t="s">
        <v>4245</v>
      </c>
      <c r="B180" s="48" t="s">
        <v>1821</v>
      </c>
      <c r="C180" s="48" t="s">
        <v>2048</v>
      </c>
      <c r="D180" s="48" t="s">
        <v>2813</v>
      </c>
      <c r="E180" s="48" t="s">
        <v>4245</v>
      </c>
      <c r="F180" s="48" t="s">
        <v>1710</v>
      </c>
      <c r="G180" s="48" t="s">
        <v>2814</v>
      </c>
      <c r="H180" s="48" t="s">
        <v>4246</v>
      </c>
      <c r="I180" s="48" t="s">
        <v>1884</v>
      </c>
      <c r="J180" s="48" t="s">
        <v>3111</v>
      </c>
      <c r="K180" s="48" t="s">
        <v>1877</v>
      </c>
      <c r="L180" s="48" t="s">
        <v>1842</v>
      </c>
      <c r="M180" s="48" t="s">
        <v>1810</v>
      </c>
      <c r="N180" s="48" t="s">
        <v>1842</v>
      </c>
      <c r="O180" s="48" t="s">
        <v>1811</v>
      </c>
      <c r="P180" s="48" t="s">
        <v>2549</v>
      </c>
      <c r="Q180" s="48" t="s">
        <v>2049</v>
      </c>
      <c r="R180" s="48" t="s">
        <v>1838</v>
      </c>
      <c r="S180" s="48" t="s">
        <v>2050</v>
      </c>
      <c r="T180" s="48" t="s">
        <v>1845</v>
      </c>
      <c r="U180" s="48" t="s">
        <v>2049</v>
      </c>
      <c r="V180" s="48" t="s">
        <v>1838</v>
      </c>
      <c r="W180" s="48" t="s">
        <v>2051</v>
      </c>
      <c r="X180" s="48" t="s">
        <v>2052</v>
      </c>
      <c r="Y180" s="48" t="s">
        <v>2050</v>
      </c>
      <c r="Z180" s="48" t="s">
        <v>2053</v>
      </c>
      <c r="AA180" s="48" t="s">
        <v>2054</v>
      </c>
      <c r="AB180" s="48" t="s">
        <v>2817</v>
      </c>
      <c r="AC180" s="48" t="s">
        <v>2055</v>
      </c>
      <c r="AD180" s="48" t="s">
        <v>2056</v>
      </c>
      <c r="AE180" s="48" t="s">
        <v>1710</v>
      </c>
      <c r="AF180" s="48" t="s">
        <v>1710</v>
      </c>
      <c r="AG180" s="48" t="s">
        <v>2057</v>
      </c>
      <c r="AH180" s="48" t="s">
        <v>1815</v>
      </c>
      <c r="AI180" s="48" t="s">
        <v>2058</v>
      </c>
      <c r="AJ180" s="48" t="s">
        <v>1710</v>
      </c>
      <c r="AK180" s="48" t="s">
        <v>2578</v>
      </c>
      <c r="AL180" s="48" t="s">
        <v>2579</v>
      </c>
      <c r="AM180" s="48" t="s">
        <v>1816</v>
      </c>
      <c r="AN180" s="48" t="s">
        <v>2054</v>
      </c>
      <c r="AO180" s="48" t="s">
        <v>1710</v>
      </c>
      <c r="AP180" s="48" t="s">
        <v>2580</v>
      </c>
      <c r="AQ180" s="48" t="s">
        <v>2581</v>
      </c>
      <c r="AR180" s="48" t="s">
        <v>1812</v>
      </c>
      <c r="AS180" s="48" t="s">
        <v>1813</v>
      </c>
      <c r="AT180" s="48" t="s">
        <v>1826</v>
      </c>
      <c r="AU180" s="48" t="s">
        <v>2061</v>
      </c>
      <c r="AV180" s="48" t="s">
        <v>3111</v>
      </c>
      <c r="AW180" s="48" t="s">
        <v>2062</v>
      </c>
      <c r="AX180" s="48" t="s">
        <v>2063</v>
      </c>
      <c r="AY180" s="48" t="s">
        <v>1710</v>
      </c>
      <c r="AZ180" s="48" t="s">
        <v>4247</v>
      </c>
      <c r="BA180" s="48" t="s">
        <v>1710</v>
      </c>
      <c r="BB180" s="48" t="s">
        <v>1709</v>
      </c>
      <c r="BC180" s="48" t="s">
        <v>1710</v>
      </c>
      <c r="BD180" s="48" t="s">
        <v>2097</v>
      </c>
      <c r="BE180" s="52" t="s">
        <v>4129</v>
      </c>
      <c r="BF180" s="48" t="s">
        <v>1710</v>
      </c>
      <c r="BG180" s="48" t="s">
        <v>1814</v>
      </c>
      <c r="BH180">
        <v>1</v>
      </c>
      <c r="BI180" s="48" t="s">
        <v>1888</v>
      </c>
      <c r="BJ180">
        <v>1</v>
      </c>
      <c r="BK180">
        <v>1473.06</v>
      </c>
      <c r="BL180">
        <v>246132</v>
      </c>
      <c r="BM180">
        <v>167</v>
      </c>
      <c r="BN180" s="48" t="s">
        <v>2064</v>
      </c>
      <c r="BO180" s="48" t="s">
        <v>2065</v>
      </c>
      <c r="BP180">
        <v>1473.06</v>
      </c>
      <c r="BQ180">
        <v>192.75</v>
      </c>
      <c r="BR180" s="48" t="s">
        <v>1885</v>
      </c>
      <c r="BS180" s="48" t="s">
        <v>2066</v>
      </c>
      <c r="BT180">
        <v>1</v>
      </c>
      <c r="BU180">
        <v>37800</v>
      </c>
      <c r="BV180">
        <v>37800</v>
      </c>
      <c r="BW180" s="48" t="s">
        <v>2065</v>
      </c>
      <c r="BX180">
        <v>1473.06</v>
      </c>
      <c r="BY180">
        <v>0</v>
      </c>
      <c r="BZ180">
        <v>0</v>
      </c>
      <c r="CA180" s="48" t="s">
        <v>2065</v>
      </c>
      <c r="CB180">
        <v>1473.06</v>
      </c>
      <c r="CC180">
        <v>0</v>
      </c>
      <c r="CD180">
        <v>0</v>
      </c>
      <c r="CE180" s="48" t="s">
        <v>1710</v>
      </c>
      <c r="CF180" s="48" t="s">
        <v>1710</v>
      </c>
      <c r="CG180" s="48" t="s">
        <v>1710</v>
      </c>
      <c r="CH180" s="48" t="s">
        <v>1710</v>
      </c>
      <c r="CI180" s="48" t="s">
        <v>2067</v>
      </c>
      <c r="CJ180" s="48" t="s">
        <v>1710</v>
      </c>
      <c r="CL180" s="48" t="s">
        <v>3111</v>
      </c>
      <c r="CM180" s="48" t="s">
        <v>1710</v>
      </c>
      <c r="CN180" s="48" t="s">
        <v>2068</v>
      </c>
      <c r="CO180" s="48" t="s">
        <v>2069</v>
      </c>
      <c r="CP180" s="48" t="s">
        <v>1710</v>
      </c>
      <c r="CQ180" s="48" t="s">
        <v>1710</v>
      </c>
      <c r="CR180" s="48" t="s">
        <v>1710</v>
      </c>
      <c r="CS180" s="48" t="s">
        <v>1710</v>
      </c>
      <c r="CT180" s="48" t="s">
        <v>1710</v>
      </c>
      <c r="CU180" s="48" t="s">
        <v>1712</v>
      </c>
      <c r="CV180" s="48" t="s">
        <v>1710</v>
      </c>
      <c r="CW180" s="48" t="s">
        <v>1710</v>
      </c>
      <c r="CX180" s="48" t="s">
        <v>3167</v>
      </c>
      <c r="CY180" s="48" t="s">
        <v>1710</v>
      </c>
      <c r="CZ180" s="48" t="s">
        <v>1712</v>
      </c>
      <c r="DA180" s="48" t="s">
        <v>1710</v>
      </c>
      <c r="DB180" s="48" t="s">
        <v>1878</v>
      </c>
      <c r="DC180" s="48" t="s">
        <v>2070</v>
      </c>
      <c r="DD180" s="48" t="s">
        <v>1842</v>
      </c>
      <c r="DE180" s="48" t="s">
        <v>1886</v>
      </c>
      <c r="DF180" s="48" t="s">
        <v>4248</v>
      </c>
      <c r="DG180" s="48" t="s">
        <v>2071</v>
      </c>
      <c r="DH180" s="48" t="s">
        <v>1712</v>
      </c>
      <c r="DI180" s="48" t="s">
        <v>1710</v>
      </c>
      <c r="DJ180" s="48" t="s">
        <v>1710</v>
      </c>
      <c r="DK180" s="48" t="s">
        <v>1710</v>
      </c>
      <c r="DL180" s="48" t="s">
        <v>1710</v>
      </c>
      <c r="DM180" s="48" t="s">
        <v>1710</v>
      </c>
      <c r="DN180" s="48" t="s">
        <v>1710</v>
      </c>
      <c r="DO180" s="48" t="s">
        <v>1710</v>
      </c>
      <c r="DP180" s="48" t="s">
        <v>1710</v>
      </c>
      <c r="DQ180" s="48" t="s">
        <v>1710</v>
      </c>
      <c r="DR180" s="48" t="s">
        <v>2072</v>
      </c>
      <c r="DS180" s="48" t="s">
        <v>1710</v>
      </c>
      <c r="DT180" s="48" t="s">
        <v>1710</v>
      </c>
      <c r="DU180" s="48" t="s">
        <v>2547</v>
      </c>
      <c r="DV180" s="48" t="s">
        <v>3141</v>
      </c>
      <c r="DW180" s="48" t="s">
        <v>1710</v>
      </c>
      <c r="DX180" s="48" t="s">
        <v>4249</v>
      </c>
      <c r="DY180" s="48" t="s">
        <v>1709</v>
      </c>
      <c r="DZ180" s="48" t="s">
        <v>2562</v>
      </c>
      <c r="EA180" s="48" t="s">
        <v>2546</v>
      </c>
      <c r="EB180">
        <v>0</v>
      </c>
      <c r="EC180" s="48" t="s">
        <v>2547</v>
      </c>
      <c r="ED180" s="48" t="s">
        <v>4233</v>
      </c>
      <c r="EE180" s="48" t="s">
        <v>1814</v>
      </c>
      <c r="EF180" s="48" t="s">
        <v>1881</v>
      </c>
      <c r="EG180" s="48" t="s">
        <v>4247</v>
      </c>
      <c r="EH180">
        <v>1.2E-2</v>
      </c>
      <c r="EI180" s="48" t="s">
        <v>1888</v>
      </c>
      <c r="EJ180">
        <v>0</v>
      </c>
      <c r="EK180" s="48" t="s">
        <v>1710</v>
      </c>
      <c r="EL180">
        <v>1</v>
      </c>
      <c r="EM180" s="48" t="s">
        <v>1886</v>
      </c>
      <c r="EN180">
        <v>1.2E-2</v>
      </c>
      <c r="EO180" s="48" t="s">
        <v>2601</v>
      </c>
      <c r="EP180" s="48" t="s">
        <v>4250</v>
      </c>
      <c r="EQ180">
        <v>192.75</v>
      </c>
      <c r="ER180">
        <v>192.75</v>
      </c>
      <c r="ES180">
        <v>246132</v>
      </c>
      <c r="ET180">
        <v>167</v>
      </c>
      <c r="EU180" s="48" t="s">
        <v>1710</v>
      </c>
      <c r="EV180" s="48" t="s">
        <v>1710</v>
      </c>
      <c r="EW180" s="48" t="s">
        <v>1712</v>
      </c>
      <c r="EX180" s="48" t="s">
        <v>1710</v>
      </c>
      <c r="EY180" s="48" t="s">
        <v>1848</v>
      </c>
      <c r="EZ180" s="48" t="s">
        <v>1710</v>
      </c>
      <c r="FA180" s="48" t="s">
        <v>1710</v>
      </c>
      <c r="FB180" s="48" t="s">
        <v>1712</v>
      </c>
      <c r="FC180" s="48" t="s">
        <v>1710</v>
      </c>
      <c r="FD180" s="48" t="s">
        <v>1710</v>
      </c>
      <c r="FE180" s="48" t="s">
        <v>1814</v>
      </c>
      <c r="FF180" s="48" t="s">
        <v>1815</v>
      </c>
      <c r="FG180" s="48" t="s">
        <v>1710</v>
      </c>
      <c r="FH180">
        <v>2</v>
      </c>
      <c r="FI180" s="48" t="s">
        <v>1846</v>
      </c>
      <c r="FJ180">
        <v>192.75</v>
      </c>
      <c r="FK180">
        <v>96.375</v>
      </c>
      <c r="FL180" s="48" t="s">
        <v>4251</v>
      </c>
      <c r="FM180" s="48" t="s">
        <v>4250</v>
      </c>
      <c r="FN180" s="48" t="s">
        <v>1710</v>
      </c>
      <c r="FO180" s="48" t="s">
        <v>1710</v>
      </c>
      <c r="FP180" s="48" t="s">
        <v>1710</v>
      </c>
      <c r="FQ180" s="48" t="s">
        <v>1710</v>
      </c>
      <c r="FR180" s="48" t="s">
        <v>1710</v>
      </c>
      <c r="FS180" s="48" t="s">
        <v>1710</v>
      </c>
      <c r="FT180" s="48" t="s">
        <v>1710</v>
      </c>
      <c r="FU180" s="48" t="s">
        <v>1710</v>
      </c>
      <c r="FV180" s="48"/>
      <c r="FW180" s="56"/>
      <c r="FX180" s="56"/>
      <c r="FY180" s="56"/>
      <c r="FZ180" s="56"/>
      <c r="GA180" s="55" t="str">
        <f t="shared" si="8"/>
        <v>4388426300478X</v>
      </c>
      <c r="GB180" t="str">
        <f>VLOOKUP(B180,수출코드!$C$2:$D$4,2,FALSE)</f>
        <v>Suwon</v>
      </c>
      <c r="GC180" t="str">
        <f>VLOOKUP(L180,수출코드!$A$2:$B$6,2,FALSE)</f>
        <v/>
      </c>
      <c r="GD180" t="str">
        <f>VLOOKUP(M180,수출코드!$E$2:$F$5,2,FALSE)</f>
        <v>일반</v>
      </c>
      <c r="GE180" s="61">
        <f t="shared" si="6"/>
        <v>45974.609027777777</v>
      </c>
      <c r="GF180" s="62">
        <f t="shared" si="7"/>
        <v>46051.745138888888</v>
      </c>
      <c r="GI180" s="48" t="s">
        <v>2771</v>
      </c>
    </row>
    <row r="181" spans="1:191">
      <c r="A181" s="48" t="s">
        <v>4252</v>
      </c>
      <c r="B181" s="48" t="s">
        <v>1821</v>
      </c>
      <c r="C181" s="48" t="s">
        <v>2048</v>
      </c>
      <c r="D181" s="48" t="s">
        <v>2813</v>
      </c>
      <c r="E181" s="48" t="s">
        <v>4252</v>
      </c>
      <c r="F181" s="48" t="s">
        <v>1710</v>
      </c>
      <c r="G181" s="48" t="s">
        <v>2814</v>
      </c>
      <c r="H181" s="48" t="s">
        <v>4253</v>
      </c>
      <c r="I181" s="48" t="s">
        <v>1884</v>
      </c>
      <c r="J181" s="48" t="s">
        <v>3111</v>
      </c>
      <c r="K181" s="48" t="s">
        <v>1877</v>
      </c>
      <c r="L181" s="48" t="s">
        <v>1842</v>
      </c>
      <c r="M181" s="48" t="s">
        <v>1810</v>
      </c>
      <c r="N181" s="48" t="s">
        <v>1842</v>
      </c>
      <c r="O181" s="48" t="s">
        <v>1811</v>
      </c>
      <c r="P181" s="48" t="s">
        <v>2549</v>
      </c>
      <c r="Q181" s="48" t="s">
        <v>2049</v>
      </c>
      <c r="R181" s="48" t="s">
        <v>1838</v>
      </c>
      <c r="S181" s="48" t="s">
        <v>2050</v>
      </c>
      <c r="T181" s="48" t="s">
        <v>1845</v>
      </c>
      <c r="U181" s="48" t="s">
        <v>2049</v>
      </c>
      <c r="V181" s="48" t="s">
        <v>1838</v>
      </c>
      <c r="W181" s="48" t="s">
        <v>2051</v>
      </c>
      <c r="X181" s="48" t="s">
        <v>2052</v>
      </c>
      <c r="Y181" s="48" t="s">
        <v>2050</v>
      </c>
      <c r="Z181" s="48" t="s">
        <v>2053</v>
      </c>
      <c r="AA181" s="48" t="s">
        <v>2054</v>
      </c>
      <c r="AB181" s="48" t="s">
        <v>2817</v>
      </c>
      <c r="AC181" s="48" t="s">
        <v>2055</v>
      </c>
      <c r="AD181" s="48" t="s">
        <v>2056</v>
      </c>
      <c r="AE181" s="48" t="s">
        <v>1710</v>
      </c>
      <c r="AF181" s="48" t="s">
        <v>1710</v>
      </c>
      <c r="AG181" s="48" t="s">
        <v>2057</v>
      </c>
      <c r="AH181" s="48" t="s">
        <v>1815</v>
      </c>
      <c r="AI181" s="48" t="s">
        <v>2058</v>
      </c>
      <c r="AJ181" s="48" t="s">
        <v>1710</v>
      </c>
      <c r="AK181" s="48" t="s">
        <v>2589</v>
      </c>
      <c r="AL181" s="48" t="s">
        <v>2590</v>
      </c>
      <c r="AM181" s="48" t="s">
        <v>1816</v>
      </c>
      <c r="AN181" s="48" t="s">
        <v>2054</v>
      </c>
      <c r="AO181" s="48" t="s">
        <v>1710</v>
      </c>
      <c r="AP181" s="48" t="s">
        <v>1843</v>
      </c>
      <c r="AQ181" s="48" t="s">
        <v>2079</v>
      </c>
      <c r="AR181" s="48" t="s">
        <v>1812</v>
      </c>
      <c r="AS181" s="48" t="s">
        <v>1813</v>
      </c>
      <c r="AT181" s="48" t="s">
        <v>1826</v>
      </c>
      <c r="AU181" s="48" t="s">
        <v>2061</v>
      </c>
      <c r="AV181" s="48" t="s">
        <v>3111</v>
      </c>
      <c r="AW181" s="48" t="s">
        <v>2062</v>
      </c>
      <c r="AX181" s="48" t="s">
        <v>2063</v>
      </c>
      <c r="AY181" s="48" t="s">
        <v>1710</v>
      </c>
      <c r="AZ181" s="48" t="s">
        <v>4254</v>
      </c>
      <c r="BA181" s="48" t="s">
        <v>1710</v>
      </c>
      <c r="BB181" s="48" t="s">
        <v>1709</v>
      </c>
      <c r="BC181" s="48" t="s">
        <v>1710</v>
      </c>
      <c r="BD181" s="48" t="s">
        <v>2097</v>
      </c>
      <c r="BE181" s="52" t="s">
        <v>4129</v>
      </c>
      <c r="BF181" s="48" t="s">
        <v>1710</v>
      </c>
      <c r="BG181" s="48" t="s">
        <v>1814</v>
      </c>
      <c r="BH181">
        <v>1</v>
      </c>
      <c r="BI181" s="48" t="s">
        <v>1888</v>
      </c>
      <c r="BJ181">
        <v>1</v>
      </c>
      <c r="BK181">
        <v>1473.06</v>
      </c>
      <c r="BL181">
        <v>154824</v>
      </c>
      <c r="BM181">
        <v>105</v>
      </c>
      <c r="BN181" s="48" t="s">
        <v>2064</v>
      </c>
      <c r="BO181" s="48" t="s">
        <v>2065</v>
      </c>
      <c r="BP181">
        <v>1473.06</v>
      </c>
      <c r="BQ181">
        <v>119.36</v>
      </c>
      <c r="BR181" s="48" t="s">
        <v>1885</v>
      </c>
      <c r="BS181" s="48" t="s">
        <v>2066</v>
      </c>
      <c r="BT181">
        <v>1</v>
      </c>
      <c r="BU181">
        <v>21000</v>
      </c>
      <c r="BV181">
        <v>21000</v>
      </c>
      <c r="BW181" s="48" t="s">
        <v>2065</v>
      </c>
      <c r="BX181">
        <v>1473.06</v>
      </c>
      <c r="BY181">
        <v>0</v>
      </c>
      <c r="BZ181">
        <v>0</v>
      </c>
      <c r="CA181" s="48" t="s">
        <v>2065</v>
      </c>
      <c r="CB181">
        <v>1473.06</v>
      </c>
      <c r="CC181">
        <v>0</v>
      </c>
      <c r="CD181">
        <v>0</v>
      </c>
      <c r="CE181" s="48" t="s">
        <v>1710</v>
      </c>
      <c r="CF181" s="48" t="s">
        <v>1710</v>
      </c>
      <c r="CG181" s="48" t="s">
        <v>1710</v>
      </c>
      <c r="CH181" s="48" t="s">
        <v>1710</v>
      </c>
      <c r="CI181" s="48" t="s">
        <v>2067</v>
      </c>
      <c r="CJ181" s="48" t="s">
        <v>1710</v>
      </c>
      <c r="CL181" s="48" t="s">
        <v>3111</v>
      </c>
      <c r="CM181" s="48" t="s">
        <v>1710</v>
      </c>
      <c r="CN181" s="48" t="s">
        <v>2068</v>
      </c>
      <c r="CO181" s="48" t="s">
        <v>2069</v>
      </c>
      <c r="CP181" s="48" t="s">
        <v>1710</v>
      </c>
      <c r="CQ181" s="48" t="s">
        <v>1710</v>
      </c>
      <c r="CR181" s="48" t="s">
        <v>1710</v>
      </c>
      <c r="CS181" s="48" t="s">
        <v>1710</v>
      </c>
      <c r="CT181" s="48" t="s">
        <v>1710</v>
      </c>
      <c r="CU181" s="48" t="s">
        <v>1712</v>
      </c>
      <c r="CV181" s="48" t="s">
        <v>1710</v>
      </c>
      <c r="CW181" s="48" t="s">
        <v>1710</v>
      </c>
      <c r="CX181" s="48" t="s">
        <v>3167</v>
      </c>
      <c r="CY181" s="48" t="s">
        <v>1710</v>
      </c>
      <c r="CZ181" s="48" t="s">
        <v>1712</v>
      </c>
      <c r="DA181" s="48" t="s">
        <v>1710</v>
      </c>
      <c r="DB181" s="48" t="s">
        <v>1878</v>
      </c>
      <c r="DC181" s="48" t="s">
        <v>2070</v>
      </c>
      <c r="DD181" s="48" t="s">
        <v>1842</v>
      </c>
      <c r="DE181" s="48" t="s">
        <v>1886</v>
      </c>
      <c r="DF181" s="48" t="s">
        <v>4255</v>
      </c>
      <c r="DG181" s="48" t="s">
        <v>2071</v>
      </c>
      <c r="DH181" s="48" t="s">
        <v>1712</v>
      </c>
      <c r="DI181" s="48" t="s">
        <v>1710</v>
      </c>
      <c r="DJ181" s="48" t="s">
        <v>1710</v>
      </c>
      <c r="DK181" s="48" t="s">
        <v>1710</v>
      </c>
      <c r="DL181" s="48" t="s">
        <v>1710</v>
      </c>
      <c r="DM181" s="48" t="s">
        <v>1710</v>
      </c>
      <c r="DN181" s="48" t="s">
        <v>1710</v>
      </c>
      <c r="DO181" s="48" t="s">
        <v>1710</v>
      </c>
      <c r="DP181" s="48" t="s">
        <v>1710</v>
      </c>
      <c r="DQ181" s="48" t="s">
        <v>1710</v>
      </c>
      <c r="DR181" s="48" t="s">
        <v>2072</v>
      </c>
      <c r="DS181" s="48" t="s">
        <v>1710</v>
      </c>
      <c r="DT181" s="48" t="s">
        <v>1710</v>
      </c>
      <c r="DU181" s="48" t="s">
        <v>2547</v>
      </c>
      <c r="DV181" s="48" t="s">
        <v>2825</v>
      </c>
      <c r="DW181" s="48" t="s">
        <v>1710</v>
      </c>
      <c r="DX181" s="48" t="s">
        <v>4256</v>
      </c>
      <c r="DY181" s="48" t="s">
        <v>1709</v>
      </c>
      <c r="DZ181" s="48" t="s">
        <v>2562</v>
      </c>
      <c r="EA181" s="48" t="s">
        <v>2546</v>
      </c>
      <c r="EB181">
        <v>0</v>
      </c>
      <c r="EC181" s="48" t="s">
        <v>2547</v>
      </c>
      <c r="ED181" s="48" t="s">
        <v>4257</v>
      </c>
      <c r="EE181" s="48" t="s">
        <v>1814</v>
      </c>
      <c r="EF181" s="48" t="s">
        <v>1859</v>
      </c>
      <c r="EG181" s="48" t="s">
        <v>4254</v>
      </c>
      <c r="EH181">
        <v>4.8000000000000001E-2</v>
      </c>
      <c r="EI181" s="48" t="s">
        <v>1888</v>
      </c>
      <c r="EJ181">
        <v>0</v>
      </c>
      <c r="EK181" s="48" t="s">
        <v>1710</v>
      </c>
      <c r="EL181">
        <v>1</v>
      </c>
      <c r="EM181" s="48" t="s">
        <v>1886</v>
      </c>
      <c r="EN181">
        <v>4.8000000000000001E-2</v>
      </c>
      <c r="EO181" s="48" t="s">
        <v>2602</v>
      </c>
      <c r="EP181" s="48" t="s">
        <v>2584</v>
      </c>
      <c r="EQ181">
        <v>119.36</v>
      </c>
      <c r="ER181">
        <v>119.36</v>
      </c>
      <c r="ES181">
        <v>154824</v>
      </c>
      <c r="ET181">
        <v>105</v>
      </c>
      <c r="EU181" s="48" t="s">
        <v>1710</v>
      </c>
      <c r="EV181" s="48" t="s">
        <v>1710</v>
      </c>
      <c r="EW181" s="48" t="s">
        <v>1712</v>
      </c>
      <c r="EX181" s="48" t="s">
        <v>1710</v>
      </c>
      <c r="EY181" s="48" t="s">
        <v>1848</v>
      </c>
      <c r="EZ181" s="48" t="s">
        <v>1710</v>
      </c>
      <c r="FA181" s="48" t="s">
        <v>1710</v>
      </c>
      <c r="FB181" s="48" t="s">
        <v>1712</v>
      </c>
      <c r="FC181" s="48" t="s">
        <v>1710</v>
      </c>
      <c r="FD181" s="48" t="s">
        <v>1710</v>
      </c>
      <c r="FE181" s="48" t="s">
        <v>1814</v>
      </c>
      <c r="FF181" s="48" t="s">
        <v>1815</v>
      </c>
      <c r="FG181" s="48" t="s">
        <v>1710</v>
      </c>
      <c r="FH181">
        <v>6</v>
      </c>
      <c r="FI181" s="48" t="s">
        <v>1846</v>
      </c>
      <c r="FJ181">
        <v>119.36</v>
      </c>
      <c r="FK181">
        <v>19.893000000000001</v>
      </c>
      <c r="FL181" s="48" t="s">
        <v>4220</v>
      </c>
      <c r="FM181" s="48" t="s">
        <v>2584</v>
      </c>
      <c r="FN181" s="48" t="s">
        <v>1710</v>
      </c>
      <c r="FO181" s="48" t="s">
        <v>1710</v>
      </c>
      <c r="FP181" s="48" t="s">
        <v>1710</v>
      </c>
      <c r="FQ181" s="48" t="s">
        <v>1710</v>
      </c>
      <c r="FR181" s="48" t="s">
        <v>1710</v>
      </c>
      <c r="FS181" s="48" t="s">
        <v>1710</v>
      </c>
      <c r="FT181" s="48" t="s">
        <v>1710</v>
      </c>
      <c r="FU181" s="48" t="s">
        <v>1710</v>
      </c>
      <c r="FV181" s="48"/>
      <c r="FW181" s="56"/>
      <c r="FX181" s="56"/>
      <c r="FY181" s="56"/>
      <c r="FZ181" s="56"/>
      <c r="GA181" s="55" t="str">
        <f t="shared" si="8"/>
        <v>4388426300479X</v>
      </c>
      <c r="GB181" t="str">
        <f>VLOOKUP(B181,수출코드!$C$2:$D$4,2,FALSE)</f>
        <v>Suwon</v>
      </c>
      <c r="GC181" t="str">
        <f>VLOOKUP(L181,수출코드!$A$2:$B$6,2,FALSE)</f>
        <v/>
      </c>
      <c r="GD181" t="str">
        <f>VLOOKUP(M181,수출코드!$E$2:$F$5,2,FALSE)</f>
        <v>일반</v>
      </c>
      <c r="GE181" s="61">
        <f t="shared" si="6"/>
        <v>45974.609027777777</v>
      </c>
      <c r="GF181" s="62">
        <f t="shared" si="7"/>
        <v>46051.74722222222</v>
      </c>
      <c r="GI181" s="48" t="s">
        <v>2771</v>
      </c>
    </row>
    <row r="182" spans="1:191">
      <c r="A182" s="48" t="s">
        <v>4258</v>
      </c>
      <c r="B182" s="48" t="s">
        <v>1821</v>
      </c>
      <c r="C182" s="48" t="s">
        <v>2048</v>
      </c>
      <c r="D182" s="48" t="s">
        <v>2813</v>
      </c>
      <c r="E182" s="48" t="s">
        <v>4258</v>
      </c>
      <c r="F182" s="48" t="s">
        <v>1710</v>
      </c>
      <c r="G182" s="48" t="s">
        <v>2814</v>
      </c>
      <c r="H182" s="48" t="s">
        <v>4259</v>
      </c>
      <c r="I182" s="48" t="s">
        <v>1884</v>
      </c>
      <c r="J182" s="48" t="s">
        <v>3111</v>
      </c>
      <c r="K182" s="48" t="s">
        <v>1877</v>
      </c>
      <c r="L182" s="48" t="s">
        <v>1842</v>
      </c>
      <c r="M182" s="48" t="s">
        <v>1810</v>
      </c>
      <c r="N182" s="48" t="s">
        <v>1842</v>
      </c>
      <c r="O182" s="48" t="s">
        <v>1811</v>
      </c>
      <c r="P182" s="48" t="s">
        <v>2549</v>
      </c>
      <c r="Q182" s="48" t="s">
        <v>2049</v>
      </c>
      <c r="R182" s="48" t="s">
        <v>1838</v>
      </c>
      <c r="S182" s="48" t="s">
        <v>2050</v>
      </c>
      <c r="T182" s="48" t="s">
        <v>1845</v>
      </c>
      <c r="U182" s="48" t="s">
        <v>2049</v>
      </c>
      <c r="V182" s="48" t="s">
        <v>1838</v>
      </c>
      <c r="W182" s="48" t="s">
        <v>2051</v>
      </c>
      <c r="X182" s="48" t="s">
        <v>2052</v>
      </c>
      <c r="Y182" s="48" t="s">
        <v>2050</v>
      </c>
      <c r="Z182" s="48" t="s">
        <v>2053</v>
      </c>
      <c r="AA182" s="48" t="s">
        <v>2054</v>
      </c>
      <c r="AB182" s="48" t="s">
        <v>2817</v>
      </c>
      <c r="AC182" s="48" t="s">
        <v>2055</v>
      </c>
      <c r="AD182" s="48" t="s">
        <v>2056</v>
      </c>
      <c r="AE182" s="48" t="s">
        <v>1710</v>
      </c>
      <c r="AF182" s="48" t="s">
        <v>1710</v>
      </c>
      <c r="AG182" s="48" t="s">
        <v>2057</v>
      </c>
      <c r="AH182" s="48" t="s">
        <v>1815</v>
      </c>
      <c r="AI182" s="48" t="s">
        <v>2058</v>
      </c>
      <c r="AJ182" s="48" t="s">
        <v>1710</v>
      </c>
      <c r="AK182" s="48" t="s">
        <v>2589</v>
      </c>
      <c r="AL182" s="48" t="s">
        <v>2590</v>
      </c>
      <c r="AM182" s="48" t="s">
        <v>1816</v>
      </c>
      <c r="AN182" s="48" t="s">
        <v>2054</v>
      </c>
      <c r="AO182" s="48" t="s">
        <v>1710</v>
      </c>
      <c r="AP182" s="48" t="s">
        <v>1843</v>
      </c>
      <c r="AQ182" s="48" t="s">
        <v>2079</v>
      </c>
      <c r="AR182" s="48" t="s">
        <v>1812</v>
      </c>
      <c r="AS182" s="48" t="s">
        <v>1813</v>
      </c>
      <c r="AT182" s="48" t="s">
        <v>1826</v>
      </c>
      <c r="AU182" s="48" t="s">
        <v>2061</v>
      </c>
      <c r="AV182" s="48" t="s">
        <v>3111</v>
      </c>
      <c r="AW182" s="48" t="s">
        <v>2062</v>
      </c>
      <c r="AX182" s="48" t="s">
        <v>2063</v>
      </c>
      <c r="AY182" s="48" t="s">
        <v>1710</v>
      </c>
      <c r="AZ182" s="48" t="s">
        <v>4260</v>
      </c>
      <c r="BA182" s="48" t="s">
        <v>1710</v>
      </c>
      <c r="BB182" s="48" t="s">
        <v>1709</v>
      </c>
      <c r="BC182" s="48" t="s">
        <v>1710</v>
      </c>
      <c r="BD182" s="48" t="s">
        <v>2097</v>
      </c>
      <c r="BE182" s="52" t="s">
        <v>4129</v>
      </c>
      <c r="BF182" s="48" t="s">
        <v>1710</v>
      </c>
      <c r="BG182" s="48" t="s">
        <v>1814</v>
      </c>
      <c r="BH182">
        <v>1</v>
      </c>
      <c r="BI182" s="48" t="s">
        <v>1888</v>
      </c>
      <c r="BJ182">
        <v>1</v>
      </c>
      <c r="BK182">
        <v>1473.06</v>
      </c>
      <c r="BL182">
        <v>442822</v>
      </c>
      <c r="BM182">
        <v>301</v>
      </c>
      <c r="BN182" s="48" t="s">
        <v>2064</v>
      </c>
      <c r="BO182" s="48" t="s">
        <v>2065</v>
      </c>
      <c r="BP182">
        <v>1473.06</v>
      </c>
      <c r="BQ182">
        <v>314.87</v>
      </c>
      <c r="BR182" s="48" t="s">
        <v>1885</v>
      </c>
      <c r="BS182" s="48" t="s">
        <v>2066</v>
      </c>
      <c r="BT182">
        <v>1</v>
      </c>
      <c r="BU182">
        <v>21000</v>
      </c>
      <c r="BV182">
        <v>21000</v>
      </c>
      <c r="BW182" s="48" t="s">
        <v>2065</v>
      </c>
      <c r="BX182">
        <v>1473.06</v>
      </c>
      <c r="BY182">
        <v>0</v>
      </c>
      <c r="BZ182">
        <v>0</v>
      </c>
      <c r="CA182" s="48" t="s">
        <v>2065</v>
      </c>
      <c r="CB182">
        <v>1473.06</v>
      </c>
      <c r="CC182">
        <v>0</v>
      </c>
      <c r="CD182">
        <v>0</v>
      </c>
      <c r="CE182" s="48" t="s">
        <v>1710</v>
      </c>
      <c r="CF182" s="48" t="s">
        <v>1710</v>
      </c>
      <c r="CG182" s="48" t="s">
        <v>1710</v>
      </c>
      <c r="CH182" s="48" t="s">
        <v>1710</v>
      </c>
      <c r="CI182" s="48" t="s">
        <v>2067</v>
      </c>
      <c r="CJ182" s="48" t="s">
        <v>1710</v>
      </c>
      <c r="CL182" s="48" t="s">
        <v>3111</v>
      </c>
      <c r="CM182" s="48" t="s">
        <v>1710</v>
      </c>
      <c r="CN182" s="48" t="s">
        <v>2068</v>
      </c>
      <c r="CO182" s="48" t="s">
        <v>2069</v>
      </c>
      <c r="CP182" s="48" t="s">
        <v>1710</v>
      </c>
      <c r="CQ182" s="48" t="s">
        <v>1710</v>
      </c>
      <c r="CR182" s="48" t="s">
        <v>1710</v>
      </c>
      <c r="CS182" s="48" t="s">
        <v>1710</v>
      </c>
      <c r="CT182" s="48" t="s">
        <v>1710</v>
      </c>
      <c r="CU182" s="48" t="s">
        <v>1712</v>
      </c>
      <c r="CV182" s="48" t="s">
        <v>1710</v>
      </c>
      <c r="CW182" s="48" t="s">
        <v>1710</v>
      </c>
      <c r="CX182" s="48" t="s">
        <v>3167</v>
      </c>
      <c r="CY182" s="48" t="s">
        <v>1710</v>
      </c>
      <c r="CZ182" s="48" t="s">
        <v>1712</v>
      </c>
      <c r="DA182" s="48" t="s">
        <v>1710</v>
      </c>
      <c r="DB182" s="48" t="s">
        <v>1878</v>
      </c>
      <c r="DC182" s="48" t="s">
        <v>2070</v>
      </c>
      <c r="DD182" s="48" t="s">
        <v>1842</v>
      </c>
      <c r="DE182" s="48" t="s">
        <v>1886</v>
      </c>
      <c r="DF182" s="48" t="s">
        <v>4261</v>
      </c>
      <c r="DG182" s="48" t="s">
        <v>2071</v>
      </c>
      <c r="DH182" s="48" t="s">
        <v>1712</v>
      </c>
      <c r="DI182" s="48" t="s">
        <v>1710</v>
      </c>
      <c r="DJ182" s="48" t="s">
        <v>1710</v>
      </c>
      <c r="DK182" s="48" t="s">
        <v>1710</v>
      </c>
      <c r="DL182" s="48" t="s">
        <v>1710</v>
      </c>
      <c r="DM182" s="48" t="s">
        <v>1710</v>
      </c>
      <c r="DN182" s="48" t="s">
        <v>1710</v>
      </c>
      <c r="DO182" s="48" t="s">
        <v>1710</v>
      </c>
      <c r="DP182" s="48" t="s">
        <v>1710</v>
      </c>
      <c r="DQ182" s="48" t="s">
        <v>1710</v>
      </c>
      <c r="DR182" s="48" t="s">
        <v>2072</v>
      </c>
      <c r="DS182" s="48" t="s">
        <v>1710</v>
      </c>
      <c r="DT182" s="48" t="s">
        <v>1710</v>
      </c>
      <c r="DU182" s="48" t="s">
        <v>2547</v>
      </c>
      <c r="DV182" s="48" t="s">
        <v>2825</v>
      </c>
      <c r="DW182" s="48" t="s">
        <v>1710</v>
      </c>
      <c r="DX182" s="48" t="s">
        <v>4262</v>
      </c>
      <c r="DY182" s="48" t="s">
        <v>1709</v>
      </c>
      <c r="DZ182" s="48" t="s">
        <v>2562</v>
      </c>
      <c r="EA182" s="48" t="s">
        <v>2546</v>
      </c>
      <c r="EB182">
        <v>0</v>
      </c>
      <c r="EC182" s="48" t="s">
        <v>2547</v>
      </c>
      <c r="ED182" s="48" t="s">
        <v>4257</v>
      </c>
      <c r="EE182" s="48" t="s">
        <v>1814</v>
      </c>
      <c r="EF182" s="48" t="s">
        <v>4263</v>
      </c>
      <c r="EG182" s="48" t="s">
        <v>4260</v>
      </c>
      <c r="EH182">
        <v>1.7999999999999999E-2</v>
      </c>
      <c r="EI182" s="48" t="s">
        <v>1888</v>
      </c>
      <c r="EJ182">
        <v>0</v>
      </c>
      <c r="EK182" s="48" t="s">
        <v>1710</v>
      </c>
      <c r="EL182">
        <v>1</v>
      </c>
      <c r="EM182" s="48" t="s">
        <v>1886</v>
      </c>
      <c r="EN182">
        <v>1.7999999999999999E-2</v>
      </c>
      <c r="EO182" s="48" t="s">
        <v>4264</v>
      </c>
      <c r="EP182" s="48" t="s">
        <v>4265</v>
      </c>
      <c r="EQ182">
        <v>314.87</v>
      </c>
      <c r="ER182">
        <v>314.87</v>
      </c>
      <c r="ES182">
        <v>442822</v>
      </c>
      <c r="ET182">
        <v>301</v>
      </c>
      <c r="EU182" s="48" t="s">
        <v>1710</v>
      </c>
      <c r="EV182" s="48" t="s">
        <v>1710</v>
      </c>
      <c r="EW182" s="48" t="s">
        <v>1712</v>
      </c>
      <c r="EX182" s="48" t="s">
        <v>1710</v>
      </c>
      <c r="EY182" s="48" t="s">
        <v>1848</v>
      </c>
      <c r="EZ182" s="48" t="s">
        <v>1710</v>
      </c>
      <c r="FA182" s="48" t="s">
        <v>1710</v>
      </c>
      <c r="FB182" s="48" t="s">
        <v>1712</v>
      </c>
      <c r="FC182" s="48" t="s">
        <v>1710</v>
      </c>
      <c r="FD182" s="48" t="s">
        <v>1710</v>
      </c>
      <c r="FE182" s="48" t="s">
        <v>1814</v>
      </c>
      <c r="FF182" s="48" t="s">
        <v>1815</v>
      </c>
      <c r="FG182" s="48" t="s">
        <v>1710</v>
      </c>
      <c r="FH182">
        <v>3</v>
      </c>
      <c r="FI182" s="48" t="s">
        <v>1846</v>
      </c>
      <c r="FJ182">
        <v>314.87</v>
      </c>
      <c r="FK182">
        <v>104.95699999999999</v>
      </c>
      <c r="FL182" s="48" t="s">
        <v>4266</v>
      </c>
      <c r="FM182" s="48" t="s">
        <v>4265</v>
      </c>
      <c r="FN182" s="48" t="s">
        <v>1710</v>
      </c>
      <c r="FO182" s="48" t="s">
        <v>1710</v>
      </c>
      <c r="FP182" s="48" t="s">
        <v>1710</v>
      </c>
      <c r="FQ182" s="48" t="s">
        <v>1710</v>
      </c>
      <c r="FR182" s="48" t="s">
        <v>1710</v>
      </c>
      <c r="FS182" s="48" t="s">
        <v>1710</v>
      </c>
      <c r="FT182" s="48" t="s">
        <v>1710</v>
      </c>
      <c r="FU182" s="48" t="s">
        <v>1710</v>
      </c>
      <c r="FV182" s="48"/>
      <c r="FW182" s="56"/>
      <c r="FX182" s="56"/>
      <c r="FY182" s="56"/>
      <c r="FZ182" s="56"/>
      <c r="GA182" s="55" t="str">
        <f t="shared" si="8"/>
        <v>4388426300480X</v>
      </c>
      <c r="GB182" t="str">
        <f>VLOOKUP(B182,수출코드!$C$2:$D$4,2,FALSE)</f>
        <v>Suwon</v>
      </c>
      <c r="GC182" t="str">
        <f>VLOOKUP(L182,수출코드!$A$2:$B$6,2,FALSE)</f>
        <v/>
      </c>
      <c r="GD182" t="str">
        <f>VLOOKUP(M182,수출코드!$E$2:$F$5,2,FALSE)</f>
        <v>일반</v>
      </c>
      <c r="GE182" s="61">
        <f t="shared" si="6"/>
        <v>45974.609027777777</v>
      </c>
      <c r="GF182" s="62">
        <f t="shared" si="7"/>
        <v>46051.74722222222</v>
      </c>
      <c r="GI182" s="48" t="s">
        <v>2771</v>
      </c>
    </row>
    <row r="183" spans="1:191">
      <c r="A183" s="48" t="s">
        <v>4267</v>
      </c>
      <c r="B183" s="48" t="s">
        <v>1821</v>
      </c>
      <c r="C183" s="48" t="s">
        <v>2048</v>
      </c>
      <c r="D183" s="48" t="s">
        <v>2813</v>
      </c>
      <c r="E183" s="48" t="s">
        <v>4267</v>
      </c>
      <c r="F183" s="48" t="s">
        <v>1710</v>
      </c>
      <c r="G183" s="48" t="s">
        <v>2814</v>
      </c>
      <c r="H183" s="48" t="s">
        <v>4268</v>
      </c>
      <c r="I183" s="48" t="s">
        <v>1884</v>
      </c>
      <c r="J183" s="48" t="s">
        <v>3111</v>
      </c>
      <c r="K183" s="48" t="s">
        <v>1877</v>
      </c>
      <c r="L183" s="48" t="s">
        <v>1842</v>
      </c>
      <c r="M183" s="48" t="s">
        <v>1810</v>
      </c>
      <c r="N183" s="48" t="s">
        <v>1842</v>
      </c>
      <c r="O183" s="48" t="s">
        <v>1811</v>
      </c>
      <c r="P183" s="48" t="s">
        <v>2549</v>
      </c>
      <c r="Q183" s="48" t="s">
        <v>2049</v>
      </c>
      <c r="R183" s="48" t="s">
        <v>1838</v>
      </c>
      <c r="S183" s="48" t="s">
        <v>2050</v>
      </c>
      <c r="T183" s="48" t="s">
        <v>1845</v>
      </c>
      <c r="U183" s="48" t="s">
        <v>2049</v>
      </c>
      <c r="V183" s="48" t="s">
        <v>1838</v>
      </c>
      <c r="W183" s="48" t="s">
        <v>2051</v>
      </c>
      <c r="X183" s="48" t="s">
        <v>2052</v>
      </c>
      <c r="Y183" s="48" t="s">
        <v>2050</v>
      </c>
      <c r="Z183" s="48" t="s">
        <v>2053</v>
      </c>
      <c r="AA183" s="48" t="s">
        <v>2054</v>
      </c>
      <c r="AB183" s="48" t="s">
        <v>2817</v>
      </c>
      <c r="AC183" s="48" t="s">
        <v>2055</v>
      </c>
      <c r="AD183" s="48" t="s">
        <v>2056</v>
      </c>
      <c r="AE183" s="48" t="s">
        <v>1710</v>
      </c>
      <c r="AF183" s="48" t="s">
        <v>1710</v>
      </c>
      <c r="AG183" s="48" t="s">
        <v>2057</v>
      </c>
      <c r="AH183" s="48" t="s">
        <v>1815</v>
      </c>
      <c r="AI183" s="48" t="s">
        <v>2058</v>
      </c>
      <c r="AJ183" s="48" t="s">
        <v>1710</v>
      </c>
      <c r="AK183" s="48" t="s">
        <v>2589</v>
      </c>
      <c r="AL183" s="48" t="s">
        <v>2590</v>
      </c>
      <c r="AM183" s="48" t="s">
        <v>1816</v>
      </c>
      <c r="AN183" s="48" t="s">
        <v>2054</v>
      </c>
      <c r="AO183" s="48" t="s">
        <v>1710</v>
      </c>
      <c r="AP183" s="48" t="s">
        <v>1843</v>
      </c>
      <c r="AQ183" s="48" t="s">
        <v>2079</v>
      </c>
      <c r="AR183" s="48" t="s">
        <v>1812</v>
      </c>
      <c r="AS183" s="48" t="s">
        <v>1813</v>
      </c>
      <c r="AT183" s="48" t="s">
        <v>1826</v>
      </c>
      <c r="AU183" s="48" t="s">
        <v>2061</v>
      </c>
      <c r="AV183" s="48" t="s">
        <v>3111</v>
      </c>
      <c r="AW183" s="48" t="s">
        <v>2062</v>
      </c>
      <c r="AX183" s="48" t="s">
        <v>2063</v>
      </c>
      <c r="AY183" s="48" t="s">
        <v>1710</v>
      </c>
      <c r="AZ183" s="48" t="s">
        <v>4269</v>
      </c>
      <c r="BA183" s="48" t="s">
        <v>1710</v>
      </c>
      <c r="BB183" s="48" t="s">
        <v>1709</v>
      </c>
      <c r="BC183" s="48" t="s">
        <v>1710</v>
      </c>
      <c r="BD183" s="48" t="s">
        <v>2097</v>
      </c>
      <c r="BE183" s="52" t="s">
        <v>4129</v>
      </c>
      <c r="BF183" s="48" t="s">
        <v>1710</v>
      </c>
      <c r="BG183" s="48" t="s">
        <v>1814</v>
      </c>
      <c r="BH183">
        <v>1</v>
      </c>
      <c r="BI183" s="48" t="s">
        <v>1888</v>
      </c>
      <c r="BJ183">
        <v>1</v>
      </c>
      <c r="BK183">
        <v>1473.06</v>
      </c>
      <c r="BL183">
        <v>1181429</v>
      </c>
      <c r="BM183">
        <v>802</v>
      </c>
      <c r="BN183" s="48" t="s">
        <v>2064</v>
      </c>
      <c r="BO183" s="48" t="s">
        <v>2065</v>
      </c>
      <c r="BP183">
        <v>1473.06</v>
      </c>
      <c r="BQ183">
        <v>816.28</v>
      </c>
      <c r="BR183" s="48" t="s">
        <v>1885</v>
      </c>
      <c r="BS183" s="48" t="s">
        <v>2066</v>
      </c>
      <c r="BT183">
        <v>1</v>
      </c>
      <c r="BU183">
        <v>21000</v>
      </c>
      <c r="BV183">
        <v>21000</v>
      </c>
      <c r="BW183" s="48" t="s">
        <v>2065</v>
      </c>
      <c r="BX183">
        <v>1473.06</v>
      </c>
      <c r="BY183">
        <v>0</v>
      </c>
      <c r="BZ183">
        <v>0</v>
      </c>
      <c r="CA183" s="48" t="s">
        <v>2065</v>
      </c>
      <c r="CB183">
        <v>1473.06</v>
      </c>
      <c r="CC183">
        <v>0</v>
      </c>
      <c r="CD183">
        <v>0</v>
      </c>
      <c r="CE183" s="48" t="s">
        <v>1710</v>
      </c>
      <c r="CF183" s="48" t="s">
        <v>1710</v>
      </c>
      <c r="CG183" s="48" t="s">
        <v>1710</v>
      </c>
      <c r="CH183" s="48" t="s">
        <v>1710</v>
      </c>
      <c r="CI183" s="48" t="s">
        <v>2067</v>
      </c>
      <c r="CJ183" s="48" t="s">
        <v>1710</v>
      </c>
      <c r="CL183" s="48" t="s">
        <v>3111</v>
      </c>
      <c r="CM183" s="48" t="s">
        <v>1710</v>
      </c>
      <c r="CN183" s="48" t="s">
        <v>2068</v>
      </c>
      <c r="CO183" s="48" t="s">
        <v>2069</v>
      </c>
      <c r="CP183" s="48" t="s">
        <v>1710</v>
      </c>
      <c r="CQ183" s="48" t="s">
        <v>1710</v>
      </c>
      <c r="CR183" s="48" t="s">
        <v>1710</v>
      </c>
      <c r="CS183" s="48" t="s">
        <v>1710</v>
      </c>
      <c r="CT183" s="48" t="s">
        <v>1710</v>
      </c>
      <c r="CU183" s="48" t="s">
        <v>1712</v>
      </c>
      <c r="CV183" s="48" t="s">
        <v>1710</v>
      </c>
      <c r="CW183" s="48" t="s">
        <v>1710</v>
      </c>
      <c r="CX183" s="48" t="s">
        <v>3167</v>
      </c>
      <c r="CY183" s="48" t="s">
        <v>1710</v>
      </c>
      <c r="CZ183" s="48" t="s">
        <v>1712</v>
      </c>
      <c r="DA183" s="48" t="s">
        <v>1710</v>
      </c>
      <c r="DB183" s="48" t="s">
        <v>1878</v>
      </c>
      <c r="DC183" s="48" t="s">
        <v>2070</v>
      </c>
      <c r="DD183" s="48" t="s">
        <v>1842</v>
      </c>
      <c r="DE183" s="48" t="s">
        <v>1886</v>
      </c>
      <c r="DF183" s="48" t="s">
        <v>4270</v>
      </c>
      <c r="DG183" s="48" t="s">
        <v>2071</v>
      </c>
      <c r="DH183" s="48" t="s">
        <v>1712</v>
      </c>
      <c r="DI183" s="48" t="s">
        <v>1710</v>
      </c>
      <c r="DJ183" s="48" t="s">
        <v>1710</v>
      </c>
      <c r="DK183" s="48" t="s">
        <v>1710</v>
      </c>
      <c r="DL183" s="48" t="s">
        <v>1710</v>
      </c>
      <c r="DM183" s="48" t="s">
        <v>1710</v>
      </c>
      <c r="DN183" s="48" t="s">
        <v>1710</v>
      </c>
      <c r="DO183" s="48" t="s">
        <v>1710</v>
      </c>
      <c r="DP183" s="48" t="s">
        <v>1710</v>
      </c>
      <c r="DQ183" s="48" t="s">
        <v>1710</v>
      </c>
      <c r="DR183" s="48" t="s">
        <v>2072</v>
      </c>
      <c r="DS183" s="48" t="s">
        <v>1710</v>
      </c>
      <c r="DT183" s="48" t="s">
        <v>1710</v>
      </c>
      <c r="DU183" s="48" t="s">
        <v>2547</v>
      </c>
      <c r="DV183" s="48" t="s">
        <v>2825</v>
      </c>
      <c r="DW183" s="48" t="s">
        <v>1710</v>
      </c>
      <c r="DX183" s="48" t="s">
        <v>4271</v>
      </c>
      <c r="DY183" s="48" t="s">
        <v>1709</v>
      </c>
      <c r="DZ183" s="48" t="s">
        <v>2562</v>
      </c>
      <c r="EA183" s="48" t="s">
        <v>2546</v>
      </c>
      <c r="EB183">
        <v>0</v>
      </c>
      <c r="EC183" s="48" t="s">
        <v>2547</v>
      </c>
      <c r="ED183" s="48" t="s">
        <v>4257</v>
      </c>
      <c r="EE183" s="48" t="s">
        <v>1814</v>
      </c>
      <c r="EF183" s="48" t="s">
        <v>4272</v>
      </c>
      <c r="EG183" s="48" t="s">
        <v>4269</v>
      </c>
      <c r="EH183">
        <v>0.02</v>
      </c>
      <c r="EI183" s="48" t="s">
        <v>1888</v>
      </c>
      <c r="EJ183">
        <v>0</v>
      </c>
      <c r="EK183" s="48" t="s">
        <v>1710</v>
      </c>
      <c r="EL183">
        <v>1</v>
      </c>
      <c r="EM183" s="48" t="s">
        <v>1886</v>
      </c>
      <c r="EN183">
        <v>0.02</v>
      </c>
      <c r="EO183" s="48" t="s">
        <v>4273</v>
      </c>
      <c r="EP183" s="48" t="s">
        <v>4274</v>
      </c>
      <c r="EQ183">
        <v>816.28</v>
      </c>
      <c r="ER183">
        <v>816.28</v>
      </c>
      <c r="ES183">
        <v>1181429</v>
      </c>
      <c r="ET183">
        <v>802</v>
      </c>
      <c r="EU183" s="48" t="s">
        <v>1710</v>
      </c>
      <c r="EV183" s="48" t="s">
        <v>1710</v>
      </c>
      <c r="EW183" s="48" t="s">
        <v>1712</v>
      </c>
      <c r="EX183" s="48" t="s">
        <v>1710</v>
      </c>
      <c r="EY183" s="48" t="s">
        <v>1848</v>
      </c>
      <c r="EZ183" s="48" t="s">
        <v>1710</v>
      </c>
      <c r="FA183" s="48" t="s">
        <v>1710</v>
      </c>
      <c r="FB183" s="48" t="s">
        <v>1712</v>
      </c>
      <c r="FC183" s="48" t="s">
        <v>1710</v>
      </c>
      <c r="FD183" s="48" t="s">
        <v>1710</v>
      </c>
      <c r="FE183" s="48" t="s">
        <v>1814</v>
      </c>
      <c r="FF183" s="48" t="s">
        <v>1815</v>
      </c>
      <c r="FG183" s="48" t="s">
        <v>1710</v>
      </c>
      <c r="FH183">
        <v>2</v>
      </c>
      <c r="FI183" s="48" t="s">
        <v>1846</v>
      </c>
      <c r="FJ183">
        <v>816.28</v>
      </c>
      <c r="FK183">
        <v>408.14</v>
      </c>
      <c r="FL183" s="48" t="s">
        <v>4275</v>
      </c>
      <c r="FM183" s="48" t="s">
        <v>4274</v>
      </c>
      <c r="FN183" s="48" t="s">
        <v>1710</v>
      </c>
      <c r="FO183" s="48" t="s">
        <v>1710</v>
      </c>
      <c r="FP183" s="48" t="s">
        <v>1710</v>
      </c>
      <c r="FQ183" s="48" t="s">
        <v>1710</v>
      </c>
      <c r="FR183" s="48" t="s">
        <v>1710</v>
      </c>
      <c r="FS183" s="48" t="s">
        <v>1710</v>
      </c>
      <c r="FT183" s="48" t="s">
        <v>1710</v>
      </c>
      <c r="FU183" s="48" t="s">
        <v>1710</v>
      </c>
      <c r="FV183" s="48"/>
      <c r="FW183" s="56"/>
      <c r="FX183" s="56"/>
      <c r="FY183" s="56"/>
      <c r="FZ183" s="56"/>
      <c r="GA183" s="55" t="str">
        <f t="shared" si="8"/>
        <v>4388426300481X</v>
      </c>
      <c r="GB183" t="str">
        <f>VLOOKUP(B183,수출코드!$C$2:$D$4,2,FALSE)</f>
        <v>Suwon</v>
      </c>
      <c r="GC183" t="str">
        <f>VLOOKUP(L183,수출코드!$A$2:$B$6,2,FALSE)</f>
        <v/>
      </c>
      <c r="GD183" t="str">
        <f>VLOOKUP(M183,수출코드!$E$2:$F$5,2,FALSE)</f>
        <v>일반</v>
      </c>
      <c r="GE183" s="61">
        <f t="shared" si="6"/>
        <v>45974.609027777777</v>
      </c>
      <c r="GF183" s="62">
        <f t="shared" si="7"/>
        <v>46051.74722222222</v>
      </c>
      <c r="GI183" s="48" t="s">
        <v>2771</v>
      </c>
    </row>
    <row r="184" spans="1:191">
      <c r="A184" s="48" t="s">
        <v>4276</v>
      </c>
      <c r="B184" s="48" t="s">
        <v>1821</v>
      </c>
      <c r="C184" s="48" t="s">
        <v>2048</v>
      </c>
      <c r="D184" s="48" t="s">
        <v>2813</v>
      </c>
      <c r="E184" s="48" t="s">
        <v>4276</v>
      </c>
      <c r="F184" s="48" t="s">
        <v>1710</v>
      </c>
      <c r="G184" s="48" t="s">
        <v>2814</v>
      </c>
      <c r="H184" s="48" t="s">
        <v>4277</v>
      </c>
      <c r="I184" s="48" t="s">
        <v>1884</v>
      </c>
      <c r="J184" s="48" t="s">
        <v>3111</v>
      </c>
      <c r="K184" s="48" t="s">
        <v>1877</v>
      </c>
      <c r="L184" s="48" t="s">
        <v>1842</v>
      </c>
      <c r="M184" s="48" t="s">
        <v>1810</v>
      </c>
      <c r="N184" s="48" t="s">
        <v>1842</v>
      </c>
      <c r="O184" s="48" t="s">
        <v>1811</v>
      </c>
      <c r="P184" s="48" t="s">
        <v>2549</v>
      </c>
      <c r="Q184" s="48" t="s">
        <v>2049</v>
      </c>
      <c r="R184" s="48" t="s">
        <v>1838</v>
      </c>
      <c r="S184" s="48" t="s">
        <v>2050</v>
      </c>
      <c r="T184" s="48" t="s">
        <v>1845</v>
      </c>
      <c r="U184" s="48" t="s">
        <v>2049</v>
      </c>
      <c r="V184" s="48" t="s">
        <v>1838</v>
      </c>
      <c r="W184" s="48" t="s">
        <v>2051</v>
      </c>
      <c r="X184" s="48" t="s">
        <v>2052</v>
      </c>
      <c r="Y184" s="48" t="s">
        <v>2050</v>
      </c>
      <c r="Z184" s="48" t="s">
        <v>2053</v>
      </c>
      <c r="AA184" s="48" t="s">
        <v>2054</v>
      </c>
      <c r="AB184" s="48" t="s">
        <v>2817</v>
      </c>
      <c r="AC184" s="48" t="s">
        <v>2055</v>
      </c>
      <c r="AD184" s="48" t="s">
        <v>2056</v>
      </c>
      <c r="AE184" s="48" t="s">
        <v>1710</v>
      </c>
      <c r="AF184" s="48" t="s">
        <v>1710</v>
      </c>
      <c r="AG184" s="48" t="s">
        <v>2057</v>
      </c>
      <c r="AH184" s="48" t="s">
        <v>1815</v>
      </c>
      <c r="AI184" s="48" t="s">
        <v>2058</v>
      </c>
      <c r="AJ184" s="48" t="s">
        <v>1710</v>
      </c>
      <c r="AK184" s="48" t="s">
        <v>2095</v>
      </c>
      <c r="AL184" s="48" t="s">
        <v>1880</v>
      </c>
      <c r="AM184" s="48" t="s">
        <v>1816</v>
      </c>
      <c r="AN184" s="48" t="s">
        <v>2054</v>
      </c>
      <c r="AO184" s="48" t="s">
        <v>1710</v>
      </c>
      <c r="AP184" s="48" t="s">
        <v>1843</v>
      </c>
      <c r="AQ184" s="48" t="s">
        <v>2079</v>
      </c>
      <c r="AR184" s="48" t="s">
        <v>1812</v>
      </c>
      <c r="AS184" s="48" t="s">
        <v>1813</v>
      </c>
      <c r="AT184" s="48" t="s">
        <v>1826</v>
      </c>
      <c r="AU184" s="48" t="s">
        <v>2061</v>
      </c>
      <c r="AV184" s="48" t="s">
        <v>3111</v>
      </c>
      <c r="AW184" s="48" t="s">
        <v>2062</v>
      </c>
      <c r="AX184" s="48" t="s">
        <v>2063</v>
      </c>
      <c r="AY184" s="48" t="s">
        <v>1710</v>
      </c>
      <c r="AZ184" s="48" t="s">
        <v>4278</v>
      </c>
      <c r="BA184" s="48" t="s">
        <v>1710</v>
      </c>
      <c r="BB184" s="48" t="s">
        <v>1709</v>
      </c>
      <c r="BC184" s="48" t="s">
        <v>1710</v>
      </c>
      <c r="BD184" s="48" t="s">
        <v>2097</v>
      </c>
      <c r="BE184" s="52" t="s">
        <v>4129</v>
      </c>
      <c r="BF184" s="48" t="s">
        <v>1710</v>
      </c>
      <c r="BG184" s="48" t="s">
        <v>1814</v>
      </c>
      <c r="BH184">
        <v>1</v>
      </c>
      <c r="BI184" s="48" t="s">
        <v>1888</v>
      </c>
      <c r="BJ184">
        <v>1</v>
      </c>
      <c r="BK184">
        <v>1473.06</v>
      </c>
      <c r="BL184">
        <v>657609</v>
      </c>
      <c r="BM184">
        <v>446</v>
      </c>
      <c r="BN184" s="48" t="s">
        <v>2064</v>
      </c>
      <c r="BO184" s="48" t="s">
        <v>2065</v>
      </c>
      <c r="BP184">
        <v>1473.06</v>
      </c>
      <c r="BQ184">
        <v>460.68</v>
      </c>
      <c r="BR184" s="48" t="s">
        <v>1885</v>
      </c>
      <c r="BS184" s="48" t="s">
        <v>2066</v>
      </c>
      <c r="BT184">
        <v>1</v>
      </c>
      <c r="BU184">
        <v>21000</v>
      </c>
      <c r="BV184">
        <v>21000</v>
      </c>
      <c r="BW184" s="48" t="s">
        <v>2065</v>
      </c>
      <c r="BX184">
        <v>1473.06</v>
      </c>
      <c r="BY184">
        <v>0</v>
      </c>
      <c r="BZ184">
        <v>0</v>
      </c>
      <c r="CA184" s="48" t="s">
        <v>2065</v>
      </c>
      <c r="CB184">
        <v>1473.06</v>
      </c>
      <c r="CC184">
        <v>0</v>
      </c>
      <c r="CD184">
        <v>0</v>
      </c>
      <c r="CE184" s="48" t="s">
        <v>1710</v>
      </c>
      <c r="CF184" s="48" t="s">
        <v>1710</v>
      </c>
      <c r="CG184" s="48" t="s">
        <v>1710</v>
      </c>
      <c r="CH184" s="48" t="s">
        <v>1710</v>
      </c>
      <c r="CI184" s="48" t="s">
        <v>2067</v>
      </c>
      <c r="CJ184" s="48" t="s">
        <v>1710</v>
      </c>
      <c r="CL184" s="48" t="s">
        <v>3111</v>
      </c>
      <c r="CM184" s="48" t="s">
        <v>1710</v>
      </c>
      <c r="CN184" s="48" t="s">
        <v>2068</v>
      </c>
      <c r="CO184" s="48" t="s">
        <v>2069</v>
      </c>
      <c r="CP184" s="48" t="s">
        <v>1710</v>
      </c>
      <c r="CQ184" s="48" t="s">
        <v>1710</v>
      </c>
      <c r="CR184" s="48" t="s">
        <v>1710</v>
      </c>
      <c r="CS184" s="48" t="s">
        <v>1710</v>
      </c>
      <c r="CT184" s="48" t="s">
        <v>1710</v>
      </c>
      <c r="CU184" s="48" t="s">
        <v>1712</v>
      </c>
      <c r="CV184" s="48" t="s">
        <v>1710</v>
      </c>
      <c r="CW184" s="48" t="s">
        <v>1710</v>
      </c>
      <c r="CX184" s="48" t="s">
        <v>3167</v>
      </c>
      <c r="CY184" s="48" t="s">
        <v>1710</v>
      </c>
      <c r="CZ184" s="48" t="s">
        <v>1712</v>
      </c>
      <c r="DA184" s="48" t="s">
        <v>1710</v>
      </c>
      <c r="DB184" s="48" t="s">
        <v>1878</v>
      </c>
      <c r="DC184" s="48" t="s">
        <v>2070</v>
      </c>
      <c r="DD184" s="48" t="s">
        <v>1842</v>
      </c>
      <c r="DE184" s="48" t="s">
        <v>1886</v>
      </c>
      <c r="DF184" s="48" t="s">
        <v>4279</v>
      </c>
      <c r="DG184" s="48" t="s">
        <v>2071</v>
      </c>
      <c r="DH184" s="48" t="s">
        <v>1712</v>
      </c>
      <c r="DI184" s="48" t="s">
        <v>1710</v>
      </c>
      <c r="DJ184" s="48" t="s">
        <v>1710</v>
      </c>
      <c r="DK184" s="48" t="s">
        <v>1710</v>
      </c>
      <c r="DL184" s="48" t="s">
        <v>1710</v>
      </c>
      <c r="DM184" s="48" t="s">
        <v>1710</v>
      </c>
      <c r="DN184" s="48" t="s">
        <v>1710</v>
      </c>
      <c r="DO184" s="48" t="s">
        <v>1710</v>
      </c>
      <c r="DP184" s="48" t="s">
        <v>1710</v>
      </c>
      <c r="DQ184" s="48" t="s">
        <v>1710</v>
      </c>
      <c r="DR184" s="48" t="s">
        <v>2072</v>
      </c>
      <c r="DS184" s="48" t="s">
        <v>1710</v>
      </c>
      <c r="DT184" s="48" t="s">
        <v>1710</v>
      </c>
      <c r="DU184" s="48" t="s">
        <v>2547</v>
      </c>
      <c r="DV184" s="48" t="s">
        <v>2825</v>
      </c>
      <c r="DW184" s="48" t="s">
        <v>1710</v>
      </c>
      <c r="DX184" s="48" t="s">
        <v>4280</v>
      </c>
      <c r="DY184" s="48" t="s">
        <v>1709</v>
      </c>
      <c r="DZ184" s="48" t="s">
        <v>2562</v>
      </c>
      <c r="EA184" s="48" t="s">
        <v>2546</v>
      </c>
      <c r="EB184">
        <v>0</v>
      </c>
      <c r="EC184" s="48" t="s">
        <v>2547</v>
      </c>
      <c r="ED184" s="48" t="s">
        <v>4281</v>
      </c>
      <c r="EE184" s="48" t="s">
        <v>1814</v>
      </c>
      <c r="EF184" s="48" t="s">
        <v>4282</v>
      </c>
      <c r="EG184" s="48" t="s">
        <v>4278</v>
      </c>
      <c r="EH184">
        <v>0.16</v>
      </c>
      <c r="EI184" s="48" t="s">
        <v>1888</v>
      </c>
      <c r="EJ184">
        <v>1</v>
      </c>
      <c r="EK184" s="48" t="s">
        <v>1887</v>
      </c>
      <c r="EL184">
        <v>1</v>
      </c>
      <c r="EM184" s="48" t="s">
        <v>1886</v>
      </c>
      <c r="EN184">
        <v>0.16</v>
      </c>
      <c r="EO184" s="48" t="s">
        <v>4283</v>
      </c>
      <c r="EP184" s="48" t="s">
        <v>4284</v>
      </c>
      <c r="EQ184">
        <v>460.68</v>
      </c>
      <c r="ER184">
        <v>460.68</v>
      </c>
      <c r="ES184">
        <v>657609</v>
      </c>
      <c r="ET184">
        <v>446</v>
      </c>
      <c r="EU184" s="48" t="s">
        <v>1710</v>
      </c>
      <c r="EV184" s="48" t="s">
        <v>1710</v>
      </c>
      <c r="EW184" s="48" t="s">
        <v>1712</v>
      </c>
      <c r="EX184" s="48" t="s">
        <v>1710</v>
      </c>
      <c r="EY184" s="48" t="s">
        <v>1853</v>
      </c>
      <c r="EZ184" s="48" t="s">
        <v>1710</v>
      </c>
      <c r="FA184" s="48" t="s">
        <v>1710</v>
      </c>
      <c r="FB184" s="48" t="s">
        <v>1712</v>
      </c>
      <c r="FC184" s="48" t="s">
        <v>1710</v>
      </c>
      <c r="FD184" s="48" t="s">
        <v>1710</v>
      </c>
      <c r="FE184" s="48" t="s">
        <v>1814</v>
      </c>
      <c r="FF184" s="48" t="s">
        <v>1815</v>
      </c>
      <c r="FG184" s="48" t="s">
        <v>1710</v>
      </c>
      <c r="FH184">
        <v>1</v>
      </c>
      <c r="FI184" s="48" t="s">
        <v>1846</v>
      </c>
      <c r="FJ184">
        <v>460.68</v>
      </c>
      <c r="FK184">
        <v>460.68</v>
      </c>
      <c r="FL184" s="48" t="s">
        <v>4285</v>
      </c>
      <c r="FM184" s="48" t="s">
        <v>4284</v>
      </c>
      <c r="FN184" s="48" t="s">
        <v>1710</v>
      </c>
      <c r="FO184" s="48" t="s">
        <v>1710</v>
      </c>
      <c r="FP184" s="48" t="s">
        <v>1710</v>
      </c>
      <c r="FQ184" s="48" t="s">
        <v>1710</v>
      </c>
      <c r="FR184" s="48" t="s">
        <v>1710</v>
      </c>
      <c r="FS184" s="48" t="s">
        <v>1710</v>
      </c>
      <c r="FT184" s="48" t="s">
        <v>1710</v>
      </c>
      <c r="FU184" s="48" t="s">
        <v>1710</v>
      </c>
      <c r="FV184" s="48"/>
      <c r="FW184" s="56"/>
      <c r="FX184" s="56"/>
      <c r="FY184" s="56"/>
      <c r="FZ184" s="56"/>
      <c r="GA184" s="55" t="str">
        <f t="shared" si="8"/>
        <v>4388426300482X</v>
      </c>
      <c r="GB184" t="str">
        <f>VLOOKUP(B184,수출코드!$C$2:$D$4,2,FALSE)</f>
        <v>Suwon</v>
      </c>
      <c r="GC184" t="str">
        <f>VLOOKUP(L184,수출코드!$A$2:$B$6,2,FALSE)</f>
        <v/>
      </c>
      <c r="GD184" t="str">
        <f>VLOOKUP(M184,수출코드!$E$2:$F$5,2,FALSE)</f>
        <v>일반</v>
      </c>
      <c r="GE184" s="61">
        <f t="shared" si="6"/>
        <v>45974.609027777777</v>
      </c>
      <c r="GF184" s="62">
        <f t="shared" si="7"/>
        <v>46051.75</v>
      </c>
      <c r="GI184" s="48" t="s">
        <v>2771</v>
      </c>
    </row>
    <row r="185" spans="1:191">
      <c r="A185" s="48" t="s">
        <v>4286</v>
      </c>
      <c r="B185" s="48" t="s">
        <v>1821</v>
      </c>
      <c r="C185" s="48" t="s">
        <v>2048</v>
      </c>
      <c r="D185" s="48" t="s">
        <v>2813</v>
      </c>
      <c r="E185" s="48" t="s">
        <v>4286</v>
      </c>
      <c r="F185" s="48" t="s">
        <v>1710</v>
      </c>
      <c r="G185" s="48" t="s">
        <v>2814</v>
      </c>
      <c r="H185" s="48" t="s">
        <v>4287</v>
      </c>
      <c r="I185" s="48" t="s">
        <v>1884</v>
      </c>
      <c r="J185" s="48" t="s">
        <v>3111</v>
      </c>
      <c r="K185" s="48" t="s">
        <v>1877</v>
      </c>
      <c r="L185" s="48" t="s">
        <v>1842</v>
      </c>
      <c r="M185" s="48" t="s">
        <v>1810</v>
      </c>
      <c r="N185" s="48" t="s">
        <v>1842</v>
      </c>
      <c r="O185" s="48" t="s">
        <v>1811</v>
      </c>
      <c r="P185" s="48" t="s">
        <v>2549</v>
      </c>
      <c r="Q185" s="48" t="s">
        <v>2049</v>
      </c>
      <c r="R185" s="48" t="s">
        <v>1838</v>
      </c>
      <c r="S185" s="48" t="s">
        <v>2050</v>
      </c>
      <c r="T185" s="48" t="s">
        <v>1845</v>
      </c>
      <c r="U185" s="48" t="s">
        <v>2049</v>
      </c>
      <c r="V185" s="48" t="s">
        <v>1838</v>
      </c>
      <c r="W185" s="48" t="s">
        <v>2051</v>
      </c>
      <c r="X185" s="48" t="s">
        <v>2052</v>
      </c>
      <c r="Y185" s="48" t="s">
        <v>2050</v>
      </c>
      <c r="Z185" s="48" t="s">
        <v>2053</v>
      </c>
      <c r="AA185" s="48" t="s">
        <v>2054</v>
      </c>
      <c r="AB185" s="48" t="s">
        <v>2817</v>
      </c>
      <c r="AC185" s="48" t="s">
        <v>2055</v>
      </c>
      <c r="AD185" s="48" t="s">
        <v>2056</v>
      </c>
      <c r="AE185" s="48" t="s">
        <v>1710</v>
      </c>
      <c r="AF185" s="48" t="s">
        <v>1710</v>
      </c>
      <c r="AG185" s="48" t="s">
        <v>2057</v>
      </c>
      <c r="AH185" s="48" t="s">
        <v>1815</v>
      </c>
      <c r="AI185" s="48" t="s">
        <v>2058</v>
      </c>
      <c r="AJ185" s="48" t="s">
        <v>1710</v>
      </c>
      <c r="AK185" s="48" t="s">
        <v>2100</v>
      </c>
      <c r="AL185" s="48" t="s">
        <v>2101</v>
      </c>
      <c r="AM185" s="48" t="s">
        <v>1816</v>
      </c>
      <c r="AN185" s="48" t="s">
        <v>2054</v>
      </c>
      <c r="AO185" s="48" t="s">
        <v>1710</v>
      </c>
      <c r="AP185" s="48" t="s">
        <v>1874</v>
      </c>
      <c r="AQ185" s="48" t="s">
        <v>2078</v>
      </c>
      <c r="AR185" s="48" t="s">
        <v>1812</v>
      </c>
      <c r="AS185" s="48" t="s">
        <v>1813</v>
      </c>
      <c r="AT185" s="48" t="s">
        <v>1826</v>
      </c>
      <c r="AU185" s="48" t="s">
        <v>2061</v>
      </c>
      <c r="AV185" s="48" t="s">
        <v>3111</v>
      </c>
      <c r="AW185" s="48" t="s">
        <v>2062</v>
      </c>
      <c r="AX185" s="48" t="s">
        <v>2063</v>
      </c>
      <c r="AY185" s="48" t="s">
        <v>1710</v>
      </c>
      <c r="AZ185" s="48" t="s">
        <v>4288</v>
      </c>
      <c r="BA185" s="48" t="s">
        <v>1710</v>
      </c>
      <c r="BB185" s="48" t="s">
        <v>1709</v>
      </c>
      <c r="BC185" s="48" t="s">
        <v>1710</v>
      </c>
      <c r="BD185" s="48" t="s">
        <v>2097</v>
      </c>
      <c r="BE185" s="52" t="s">
        <v>4129</v>
      </c>
      <c r="BF185" s="48" t="s">
        <v>1710</v>
      </c>
      <c r="BG185" s="48" t="s">
        <v>1814</v>
      </c>
      <c r="BH185">
        <v>1</v>
      </c>
      <c r="BI185" s="48" t="s">
        <v>1888</v>
      </c>
      <c r="BJ185">
        <v>1</v>
      </c>
      <c r="BK185">
        <v>1473.06</v>
      </c>
      <c r="BL185">
        <v>50874</v>
      </c>
      <c r="BM185">
        <v>35</v>
      </c>
      <c r="BN185" s="48" t="s">
        <v>2064</v>
      </c>
      <c r="BO185" s="48" t="s">
        <v>2065</v>
      </c>
      <c r="BP185">
        <v>1473.06</v>
      </c>
      <c r="BQ185">
        <v>49.2</v>
      </c>
      <c r="BR185" s="48" t="s">
        <v>1885</v>
      </c>
      <c r="BS185" s="48" t="s">
        <v>2066</v>
      </c>
      <c r="BT185">
        <v>1</v>
      </c>
      <c r="BU185">
        <v>21600</v>
      </c>
      <c r="BV185">
        <v>21600</v>
      </c>
      <c r="BW185" s="48" t="s">
        <v>2065</v>
      </c>
      <c r="BX185">
        <v>1473.06</v>
      </c>
      <c r="BY185">
        <v>0</v>
      </c>
      <c r="BZ185">
        <v>0</v>
      </c>
      <c r="CA185" s="48" t="s">
        <v>2065</v>
      </c>
      <c r="CB185">
        <v>1473.06</v>
      </c>
      <c r="CC185">
        <v>0</v>
      </c>
      <c r="CD185">
        <v>0</v>
      </c>
      <c r="CE185" s="48" t="s">
        <v>1710</v>
      </c>
      <c r="CF185" s="48" t="s">
        <v>1710</v>
      </c>
      <c r="CG185" s="48" t="s">
        <v>1710</v>
      </c>
      <c r="CH185" s="48" t="s">
        <v>1710</v>
      </c>
      <c r="CI185" s="48" t="s">
        <v>2067</v>
      </c>
      <c r="CJ185" s="48" t="s">
        <v>1710</v>
      </c>
      <c r="CL185" s="48" t="s">
        <v>3111</v>
      </c>
      <c r="CM185" s="48" t="s">
        <v>1710</v>
      </c>
      <c r="CN185" s="48" t="s">
        <v>2068</v>
      </c>
      <c r="CO185" s="48" t="s">
        <v>2069</v>
      </c>
      <c r="CP185" s="48" t="s">
        <v>1710</v>
      </c>
      <c r="CQ185" s="48" t="s">
        <v>1710</v>
      </c>
      <c r="CR185" s="48" t="s">
        <v>1710</v>
      </c>
      <c r="CS185" s="48" t="s">
        <v>1710</v>
      </c>
      <c r="CT185" s="48" t="s">
        <v>1710</v>
      </c>
      <c r="CU185" s="48" t="s">
        <v>1712</v>
      </c>
      <c r="CV185" s="48" t="s">
        <v>1710</v>
      </c>
      <c r="CW185" s="48" t="s">
        <v>1710</v>
      </c>
      <c r="CX185" s="48" t="s">
        <v>3167</v>
      </c>
      <c r="CY185" s="48" t="s">
        <v>1710</v>
      </c>
      <c r="CZ185" s="48" t="s">
        <v>1712</v>
      </c>
      <c r="DA185" s="48" t="s">
        <v>1710</v>
      </c>
      <c r="DB185" s="48" t="s">
        <v>1878</v>
      </c>
      <c r="DC185" s="48" t="s">
        <v>2070</v>
      </c>
      <c r="DD185" s="48" t="s">
        <v>1842</v>
      </c>
      <c r="DE185" s="48" t="s">
        <v>1886</v>
      </c>
      <c r="DF185" s="48" t="s">
        <v>4289</v>
      </c>
      <c r="DG185" s="48" t="s">
        <v>2071</v>
      </c>
      <c r="DH185" s="48" t="s">
        <v>1712</v>
      </c>
      <c r="DI185" s="48" t="s">
        <v>1710</v>
      </c>
      <c r="DJ185" s="48" t="s">
        <v>1710</v>
      </c>
      <c r="DK185" s="48" t="s">
        <v>1710</v>
      </c>
      <c r="DL185" s="48" t="s">
        <v>1710</v>
      </c>
      <c r="DM185" s="48" t="s">
        <v>1710</v>
      </c>
      <c r="DN185" s="48" t="s">
        <v>1710</v>
      </c>
      <c r="DO185" s="48" t="s">
        <v>1710</v>
      </c>
      <c r="DP185" s="48" t="s">
        <v>1710</v>
      </c>
      <c r="DQ185" s="48" t="s">
        <v>1710</v>
      </c>
      <c r="DR185" s="48" t="s">
        <v>2072</v>
      </c>
      <c r="DS185" s="48" t="s">
        <v>1710</v>
      </c>
      <c r="DT185" s="48" t="s">
        <v>1710</v>
      </c>
      <c r="DU185" s="48" t="s">
        <v>2547</v>
      </c>
      <c r="DV185" s="48" t="s">
        <v>3141</v>
      </c>
      <c r="DW185" s="48" t="s">
        <v>1710</v>
      </c>
      <c r="DX185" s="48" t="s">
        <v>4290</v>
      </c>
      <c r="DY185" s="48" t="s">
        <v>1709</v>
      </c>
      <c r="DZ185" s="48" t="s">
        <v>2562</v>
      </c>
      <c r="EA185" s="48" t="s">
        <v>2546</v>
      </c>
      <c r="EB185">
        <v>0</v>
      </c>
      <c r="EC185" s="48" t="s">
        <v>2547</v>
      </c>
      <c r="ED185" s="48" t="s">
        <v>4281</v>
      </c>
      <c r="EE185" s="48" t="s">
        <v>1814</v>
      </c>
      <c r="EF185" s="48" t="s">
        <v>4291</v>
      </c>
      <c r="EG185" s="48" t="s">
        <v>4288</v>
      </c>
      <c r="EH185">
        <v>1.4E-2</v>
      </c>
      <c r="EI185" s="48" t="s">
        <v>1888</v>
      </c>
      <c r="EJ185">
        <v>0</v>
      </c>
      <c r="EK185" s="48" t="s">
        <v>1710</v>
      </c>
      <c r="EL185">
        <v>1</v>
      </c>
      <c r="EM185" s="48" t="s">
        <v>1886</v>
      </c>
      <c r="EN185">
        <v>1.4E-2</v>
      </c>
      <c r="EO185" s="48" t="s">
        <v>4292</v>
      </c>
      <c r="EP185" s="48" t="s">
        <v>4293</v>
      </c>
      <c r="EQ185">
        <v>49.2</v>
      </c>
      <c r="ER185">
        <v>49.2</v>
      </c>
      <c r="ES185">
        <v>50874</v>
      </c>
      <c r="ET185">
        <v>35</v>
      </c>
      <c r="EU185" s="48" t="s">
        <v>1710</v>
      </c>
      <c r="EV185" s="48" t="s">
        <v>1710</v>
      </c>
      <c r="EW185" s="48" t="s">
        <v>1712</v>
      </c>
      <c r="EX185" s="48" t="s">
        <v>1710</v>
      </c>
      <c r="EY185" s="48" t="s">
        <v>1848</v>
      </c>
      <c r="EZ185" s="48" t="s">
        <v>1710</v>
      </c>
      <c r="FA185" s="48" t="s">
        <v>1710</v>
      </c>
      <c r="FB185" s="48" t="s">
        <v>1712</v>
      </c>
      <c r="FC185" s="48" t="s">
        <v>1710</v>
      </c>
      <c r="FD185" s="48" t="s">
        <v>1710</v>
      </c>
      <c r="FE185" s="48" t="s">
        <v>1814</v>
      </c>
      <c r="FF185" s="48" t="s">
        <v>1815</v>
      </c>
      <c r="FG185" s="48" t="s">
        <v>1710</v>
      </c>
      <c r="FH185">
        <v>2</v>
      </c>
      <c r="FI185" s="48" t="s">
        <v>1846</v>
      </c>
      <c r="FJ185">
        <v>49.2</v>
      </c>
      <c r="FK185">
        <v>24.6</v>
      </c>
      <c r="FL185" s="48" t="s">
        <v>4294</v>
      </c>
      <c r="FM185" s="48" t="s">
        <v>4293</v>
      </c>
      <c r="FN185" s="48" t="s">
        <v>1710</v>
      </c>
      <c r="FO185" s="48" t="s">
        <v>1710</v>
      </c>
      <c r="FP185" s="48" t="s">
        <v>1710</v>
      </c>
      <c r="FQ185" s="48" t="s">
        <v>1710</v>
      </c>
      <c r="FR185" s="48" t="s">
        <v>1710</v>
      </c>
      <c r="FS185" s="48" t="s">
        <v>1710</v>
      </c>
      <c r="FT185" s="48" t="s">
        <v>1710</v>
      </c>
      <c r="FU185" s="48" t="s">
        <v>1710</v>
      </c>
      <c r="FV185" s="48"/>
      <c r="FW185" s="56"/>
      <c r="FX185" s="56"/>
      <c r="FY185" s="56"/>
      <c r="FZ185" s="56"/>
      <c r="GA185" s="55" t="str">
        <f t="shared" si="8"/>
        <v>4388426300483X</v>
      </c>
      <c r="GB185" t="str">
        <f>VLOOKUP(B185,수출코드!$C$2:$D$4,2,FALSE)</f>
        <v>Suwon</v>
      </c>
      <c r="GC185" t="str">
        <f>VLOOKUP(L185,수출코드!$A$2:$B$6,2,FALSE)</f>
        <v/>
      </c>
      <c r="GD185" t="str">
        <f>VLOOKUP(M185,수출코드!$E$2:$F$5,2,FALSE)</f>
        <v>일반</v>
      </c>
      <c r="GE185" s="61">
        <f t="shared" si="6"/>
        <v>45974.609027777777</v>
      </c>
      <c r="GF185" s="62">
        <f t="shared" si="7"/>
        <v>46051.75</v>
      </c>
      <c r="GI185" s="48" t="s">
        <v>2771</v>
      </c>
    </row>
    <row r="186" spans="1:191">
      <c r="A186" s="48" t="s">
        <v>4295</v>
      </c>
      <c r="B186" s="48" t="s">
        <v>1821</v>
      </c>
      <c r="C186" s="48" t="s">
        <v>2048</v>
      </c>
      <c r="D186" s="48" t="s">
        <v>2813</v>
      </c>
      <c r="E186" s="48" t="s">
        <v>4295</v>
      </c>
      <c r="F186" s="48" t="s">
        <v>1710</v>
      </c>
      <c r="G186" s="48" t="s">
        <v>2814</v>
      </c>
      <c r="H186" s="48" t="s">
        <v>4296</v>
      </c>
      <c r="I186" s="48" t="s">
        <v>1884</v>
      </c>
      <c r="J186" s="48" t="s">
        <v>3111</v>
      </c>
      <c r="K186" s="48" t="s">
        <v>1877</v>
      </c>
      <c r="L186" s="48" t="s">
        <v>1842</v>
      </c>
      <c r="M186" s="48" t="s">
        <v>1810</v>
      </c>
      <c r="N186" s="48" t="s">
        <v>1842</v>
      </c>
      <c r="O186" s="48" t="s">
        <v>1811</v>
      </c>
      <c r="P186" s="48" t="s">
        <v>2549</v>
      </c>
      <c r="Q186" s="48" t="s">
        <v>2049</v>
      </c>
      <c r="R186" s="48" t="s">
        <v>1838</v>
      </c>
      <c r="S186" s="48" t="s">
        <v>2050</v>
      </c>
      <c r="T186" s="48" t="s">
        <v>1845</v>
      </c>
      <c r="U186" s="48" t="s">
        <v>2049</v>
      </c>
      <c r="V186" s="48" t="s">
        <v>1838</v>
      </c>
      <c r="W186" s="48" t="s">
        <v>2051</v>
      </c>
      <c r="X186" s="48" t="s">
        <v>2052</v>
      </c>
      <c r="Y186" s="48" t="s">
        <v>2050</v>
      </c>
      <c r="Z186" s="48" t="s">
        <v>2053</v>
      </c>
      <c r="AA186" s="48" t="s">
        <v>2054</v>
      </c>
      <c r="AB186" s="48" t="s">
        <v>2817</v>
      </c>
      <c r="AC186" s="48" t="s">
        <v>2055</v>
      </c>
      <c r="AD186" s="48" t="s">
        <v>2056</v>
      </c>
      <c r="AE186" s="48" t="s">
        <v>1710</v>
      </c>
      <c r="AF186" s="48" t="s">
        <v>1710</v>
      </c>
      <c r="AG186" s="48" t="s">
        <v>2057</v>
      </c>
      <c r="AH186" s="48" t="s">
        <v>1815</v>
      </c>
      <c r="AI186" s="48" t="s">
        <v>2058</v>
      </c>
      <c r="AJ186" s="48" t="s">
        <v>1710</v>
      </c>
      <c r="AK186" s="48" t="s">
        <v>3702</v>
      </c>
      <c r="AL186" s="48" t="s">
        <v>3703</v>
      </c>
      <c r="AM186" s="48" t="s">
        <v>1816</v>
      </c>
      <c r="AN186" s="48" t="s">
        <v>2054</v>
      </c>
      <c r="AO186" s="48" t="s">
        <v>1710</v>
      </c>
      <c r="AP186" s="48" t="s">
        <v>1853</v>
      </c>
      <c r="AQ186" s="48" t="s">
        <v>2086</v>
      </c>
      <c r="AR186" s="48" t="s">
        <v>1812</v>
      </c>
      <c r="AS186" s="48" t="s">
        <v>1813</v>
      </c>
      <c r="AT186" s="48" t="s">
        <v>1826</v>
      </c>
      <c r="AU186" s="48" t="s">
        <v>2061</v>
      </c>
      <c r="AV186" s="48" t="s">
        <v>3111</v>
      </c>
      <c r="AW186" s="48" t="s">
        <v>2062</v>
      </c>
      <c r="AX186" s="48" t="s">
        <v>2063</v>
      </c>
      <c r="AY186" s="48" t="s">
        <v>1710</v>
      </c>
      <c r="AZ186" s="48" t="s">
        <v>4297</v>
      </c>
      <c r="BA186" s="48" t="s">
        <v>1710</v>
      </c>
      <c r="BB186" s="48" t="s">
        <v>1709</v>
      </c>
      <c r="BC186" s="48" t="s">
        <v>1710</v>
      </c>
      <c r="BD186" s="48" t="s">
        <v>2097</v>
      </c>
      <c r="BE186" s="52" t="s">
        <v>4129</v>
      </c>
      <c r="BF186" s="48" t="s">
        <v>1710</v>
      </c>
      <c r="BG186" s="48" t="s">
        <v>1814</v>
      </c>
      <c r="BH186">
        <v>21</v>
      </c>
      <c r="BI186" s="48" t="s">
        <v>1888</v>
      </c>
      <c r="BJ186">
        <v>1</v>
      </c>
      <c r="BK186">
        <v>1473.06</v>
      </c>
      <c r="BL186">
        <v>9843231</v>
      </c>
      <c r="BM186">
        <v>6682</v>
      </c>
      <c r="BN186" s="48" t="s">
        <v>2064</v>
      </c>
      <c r="BO186" s="48" t="s">
        <v>2065</v>
      </c>
      <c r="BP186">
        <v>1473.06</v>
      </c>
      <c r="BQ186">
        <v>6762</v>
      </c>
      <c r="BR186" s="48" t="s">
        <v>1885</v>
      </c>
      <c r="BS186" s="48" t="s">
        <v>2066</v>
      </c>
      <c r="BT186">
        <v>1</v>
      </c>
      <c r="BU186">
        <v>117600</v>
      </c>
      <c r="BV186">
        <v>117600</v>
      </c>
      <c r="BW186" s="48" t="s">
        <v>2065</v>
      </c>
      <c r="BX186">
        <v>1473.06</v>
      </c>
      <c r="BY186">
        <v>0</v>
      </c>
      <c r="BZ186">
        <v>0</v>
      </c>
      <c r="CA186" s="48" t="s">
        <v>2065</v>
      </c>
      <c r="CB186">
        <v>1473.06</v>
      </c>
      <c r="CC186">
        <v>0</v>
      </c>
      <c r="CD186">
        <v>0</v>
      </c>
      <c r="CE186" s="48" t="s">
        <v>1710</v>
      </c>
      <c r="CF186" s="48" t="s">
        <v>1710</v>
      </c>
      <c r="CG186" s="48" t="s">
        <v>1710</v>
      </c>
      <c r="CH186" s="48" t="s">
        <v>1710</v>
      </c>
      <c r="CI186" s="48" t="s">
        <v>2067</v>
      </c>
      <c r="CJ186" s="48" t="s">
        <v>1710</v>
      </c>
      <c r="CL186" s="48" t="s">
        <v>3111</v>
      </c>
      <c r="CM186" s="48" t="s">
        <v>1710</v>
      </c>
      <c r="CN186" s="48" t="s">
        <v>2068</v>
      </c>
      <c r="CO186" s="48" t="s">
        <v>2069</v>
      </c>
      <c r="CP186" s="48" t="s">
        <v>1710</v>
      </c>
      <c r="CQ186" s="48" t="s">
        <v>1710</v>
      </c>
      <c r="CR186" s="48" t="s">
        <v>1710</v>
      </c>
      <c r="CS186" s="48" t="s">
        <v>1710</v>
      </c>
      <c r="CT186" s="48" t="s">
        <v>1710</v>
      </c>
      <c r="CU186" s="48" t="s">
        <v>1712</v>
      </c>
      <c r="CV186" s="48" t="s">
        <v>1710</v>
      </c>
      <c r="CW186" s="48" t="s">
        <v>1710</v>
      </c>
      <c r="CX186" s="48" t="s">
        <v>3167</v>
      </c>
      <c r="CY186" s="48" t="s">
        <v>1710</v>
      </c>
      <c r="CZ186" s="48" t="s">
        <v>1712</v>
      </c>
      <c r="DA186" s="48" t="s">
        <v>1710</v>
      </c>
      <c r="DB186" s="48" t="s">
        <v>1878</v>
      </c>
      <c r="DC186" s="48" t="s">
        <v>2070</v>
      </c>
      <c r="DD186" s="48" t="s">
        <v>1842</v>
      </c>
      <c r="DE186" s="48" t="s">
        <v>1886</v>
      </c>
      <c r="DF186" s="48" t="s">
        <v>4298</v>
      </c>
      <c r="DG186" s="48" t="s">
        <v>2071</v>
      </c>
      <c r="DH186" s="48" t="s">
        <v>1712</v>
      </c>
      <c r="DI186" s="48" t="s">
        <v>1710</v>
      </c>
      <c r="DJ186" s="48" t="s">
        <v>1710</v>
      </c>
      <c r="DK186" s="48" t="s">
        <v>1710</v>
      </c>
      <c r="DL186" s="48" t="s">
        <v>1710</v>
      </c>
      <c r="DM186" s="48" t="s">
        <v>1710</v>
      </c>
      <c r="DN186" s="48" t="s">
        <v>1710</v>
      </c>
      <c r="DO186" s="48" t="s">
        <v>1710</v>
      </c>
      <c r="DP186" s="48" t="s">
        <v>1710</v>
      </c>
      <c r="DQ186" s="48" t="s">
        <v>1710</v>
      </c>
      <c r="DR186" s="48" t="s">
        <v>2072</v>
      </c>
      <c r="DS186" s="48" t="s">
        <v>1710</v>
      </c>
      <c r="DT186" s="48" t="s">
        <v>1710</v>
      </c>
      <c r="DU186" s="48" t="s">
        <v>2547</v>
      </c>
      <c r="DV186" s="48" t="s">
        <v>2825</v>
      </c>
      <c r="DW186" s="48" t="s">
        <v>1710</v>
      </c>
      <c r="DX186" s="48" t="s">
        <v>4299</v>
      </c>
      <c r="DY186" s="48" t="s">
        <v>1709</v>
      </c>
      <c r="DZ186" s="48" t="s">
        <v>2562</v>
      </c>
      <c r="EA186" s="48" t="s">
        <v>2546</v>
      </c>
      <c r="EB186">
        <v>0</v>
      </c>
      <c r="EC186" s="48" t="s">
        <v>2547</v>
      </c>
      <c r="ED186" s="48" t="s">
        <v>4281</v>
      </c>
      <c r="EE186" s="48" t="s">
        <v>1814</v>
      </c>
      <c r="EF186" s="48" t="s">
        <v>1849</v>
      </c>
      <c r="EG186" s="48" t="s">
        <v>4297</v>
      </c>
      <c r="EH186">
        <v>20</v>
      </c>
      <c r="EI186" s="48" t="s">
        <v>1888</v>
      </c>
      <c r="EJ186">
        <v>1</v>
      </c>
      <c r="EK186" s="48" t="s">
        <v>1887</v>
      </c>
      <c r="EL186">
        <v>1</v>
      </c>
      <c r="EM186" s="48" t="s">
        <v>1886</v>
      </c>
      <c r="EN186">
        <v>20</v>
      </c>
      <c r="EO186" s="48" t="s">
        <v>2526</v>
      </c>
      <c r="EP186" s="48" t="s">
        <v>4300</v>
      </c>
      <c r="EQ186">
        <v>6762</v>
      </c>
      <c r="ER186">
        <v>6762</v>
      </c>
      <c r="ES186">
        <v>9843231</v>
      </c>
      <c r="ET186">
        <v>6682</v>
      </c>
      <c r="EU186" s="48" t="s">
        <v>1710</v>
      </c>
      <c r="EV186" s="48" t="s">
        <v>1710</v>
      </c>
      <c r="EW186" s="48" t="s">
        <v>1712</v>
      </c>
      <c r="EX186" s="48" t="s">
        <v>1710</v>
      </c>
      <c r="EY186" s="48" t="s">
        <v>1853</v>
      </c>
      <c r="EZ186" s="48" t="s">
        <v>1710</v>
      </c>
      <c r="FA186" s="48" t="s">
        <v>1710</v>
      </c>
      <c r="FB186" s="48" t="s">
        <v>1712</v>
      </c>
      <c r="FC186" s="48" t="s">
        <v>1710</v>
      </c>
      <c r="FD186" s="48" t="s">
        <v>1710</v>
      </c>
      <c r="FE186" s="48" t="s">
        <v>1814</v>
      </c>
      <c r="FF186" s="48" t="s">
        <v>1815</v>
      </c>
      <c r="FG186" s="48" t="s">
        <v>1710</v>
      </c>
      <c r="FH186">
        <v>1</v>
      </c>
      <c r="FI186" s="48" t="s">
        <v>1846</v>
      </c>
      <c r="FJ186">
        <v>6762</v>
      </c>
      <c r="FK186">
        <v>6762</v>
      </c>
      <c r="FL186" s="48" t="s">
        <v>4301</v>
      </c>
      <c r="FM186" s="48" t="s">
        <v>4300</v>
      </c>
      <c r="FN186" s="48" t="s">
        <v>1710</v>
      </c>
      <c r="FO186" s="48" t="s">
        <v>1710</v>
      </c>
      <c r="FP186" s="48" t="s">
        <v>1710</v>
      </c>
      <c r="FQ186" s="48" t="s">
        <v>1710</v>
      </c>
      <c r="FR186" s="48" t="s">
        <v>1710</v>
      </c>
      <c r="FS186" s="48" t="s">
        <v>1710</v>
      </c>
      <c r="FT186" s="48" t="s">
        <v>1710</v>
      </c>
      <c r="FU186" s="48" t="s">
        <v>1710</v>
      </c>
      <c r="FV186" s="48"/>
      <c r="FW186" s="56"/>
      <c r="FX186" s="56"/>
      <c r="FY186" s="56"/>
      <c r="FZ186" s="56"/>
      <c r="GA186" s="55" t="str">
        <f t="shared" si="8"/>
        <v>4388426300484X</v>
      </c>
      <c r="GB186" t="str">
        <f>VLOOKUP(B186,수출코드!$C$2:$D$4,2,FALSE)</f>
        <v>Suwon</v>
      </c>
      <c r="GC186" t="str">
        <f>VLOOKUP(L186,수출코드!$A$2:$B$6,2,FALSE)</f>
        <v/>
      </c>
      <c r="GD186" t="str">
        <f>VLOOKUP(M186,수출코드!$E$2:$F$5,2,FALSE)</f>
        <v>일반</v>
      </c>
      <c r="GE186" s="61">
        <f t="shared" si="6"/>
        <v>45974.609027777777</v>
      </c>
      <c r="GF186" s="62">
        <f t="shared" si="7"/>
        <v>46051.75</v>
      </c>
      <c r="GI186" s="48" t="s">
        <v>2771</v>
      </c>
    </row>
    <row r="187" spans="1:191">
      <c r="A187" s="48" t="s">
        <v>4302</v>
      </c>
      <c r="B187" s="48" t="s">
        <v>1821</v>
      </c>
      <c r="C187" s="48" t="s">
        <v>2048</v>
      </c>
      <c r="D187" s="48" t="s">
        <v>2813</v>
      </c>
      <c r="E187" s="48" t="s">
        <v>4302</v>
      </c>
      <c r="F187" s="48" t="s">
        <v>1710</v>
      </c>
      <c r="G187" s="48" t="s">
        <v>2814</v>
      </c>
      <c r="H187" s="48" t="s">
        <v>4303</v>
      </c>
      <c r="I187" s="48" t="s">
        <v>1884</v>
      </c>
      <c r="J187" s="48" t="s">
        <v>3111</v>
      </c>
      <c r="K187" s="48" t="s">
        <v>1877</v>
      </c>
      <c r="L187" s="48" t="s">
        <v>1842</v>
      </c>
      <c r="M187" s="48" t="s">
        <v>1810</v>
      </c>
      <c r="N187" s="48" t="s">
        <v>1842</v>
      </c>
      <c r="O187" s="48" t="s">
        <v>1811</v>
      </c>
      <c r="P187" s="48" t="s">
        <v>2549</v>
      </c>
      <c r="Q187" s="48" t="s">
        <v>2049</v>
      </c>
      <c r="R187" s="48" t="s">
        <v>1838</v>
      </c>
      <c r="S187" s="48" t="s">
        <v>2050</v>
      </c>
      <c r="T187" s="48" t="s">
        <v>1845</v>
      </c>
      <c r="U187" s="48" t="s">
        <v>2049</v>
      </c>
      <c r="V187" s="48" t="s">
        <v>1838</v>
      </c>
      <c r="W187" s="48" t="s">
        <v>2051</v>
      </c>
      <c r="X187" s="48" t="s">
        <v>2052</v>
      </c>
      <c r="Y187" s="48" t="s">
        <v>2050</v>
      </c>
      <c r="Z187" s="48" t="s">
        <v>2053</v>
      </c>
      <c r="AA187" s="48" t="s">
        <v>2054</v>
      </c>
      <c r="AB187" s="48" t="s">
        <v>2817</v>
      </c>
      <c r="AC187" s="48" t="s">
        <v>2055</v>
      </c>
      <c r="AD187" s="48" t="s">
        <v>2056</v>
      </c>
      <c r="AE187" s="48" t="s">
        <v>1710</v>
      </c>
      <c r="AF187" s="48" t="s">
        <v>1710</v>
      </c>
      <c r="AG187" s="48" t="s">
        <v>2057</v>
      </c>
      <c r="AH187" s="48" t="s">
        <v>1815</v>
      </c>
      <c r="AI187" s="48" t="s">
        <v>2058</v>
      </c>
      <c r="AJ187" s="48" t="s">
        <v>1710</v>
      </c>
      <c r="AK187" s="48" t="s">
        <v>2535</v>
      </c>
      <c r="AL187" s="48" t="s">
        <v>2536</v>
      </c>
      <c r="AM187" s="48" t="s">
        <v>1816</v>
      </c>
      <c r="AN187" s="48" t="s">
        <v>2054</v>
      </c>
      <c r="AO187" s="48" t="s">
        <v>1710</v>
      </c>
      <c r="AP187" s="48" t="s">
        <v>1853</v>
      </c>
      <c r="AQ187" s="48" t="s">
        <v>2086</v>
      </c>
      <c r="AR187" s="48" t="s">
        <v>1812</v>
      </c>
      <c r="AS187" s="48" t="s">
        <v>1813</v>
      </c>
      <c r="AT187" s="48" t="s">
        <v>1826</v>
      </c>
      <c r="AU187" s="48" t="s">
        <v>2061</v>
      </c>
      <c r="AV187" s="48" t="s">
        <v>3111</v>
      </c>
      <c r="AW187" s="48" t="s">
        <v>2062</v>
      </c>
      <c r="AX187" s="48" t="s">
        <v>2063</v>
      </c>
      <c r="AY187" s="48" t="s">
        <v>1710</v>
      </c>
      <c r="AZ187" s="48" t="s">
        <v>4304</v>
      </c>
      <c r="BA187" s="48" t="s">
        <v>1710</v>
      </c>
      <c r="BB187" s="48" t="s">
        <v>1709</v>
      </c>
      <c r="BC187" s="48" t="s">
        <v>1710</v>
      </c>
      <c r="BD187" s="48" t="s">
        <v>2097</v>
      </c>
      <c r="BE187" s="52" t="s">
        <v>4129</v>
      </c>
      <c r="BF187" s="48" t="s">
        <v>1710</v>
      </c>
      <c r="BG187" s="48" t="s">
        <v>1817</v>
      </c>
      <c r="BH187">
        <v>3</v>
      </c>
      <c r="BI187" s="48" t="s">
        <v>1888</v>
      </c>
      <c r="BJ187">
        <v>1</v>
      </c>
      <c r="BK187">
        <v>1473.06</v>
      </c>
      <c r="BL187">
        <v>6062697</v>
      </c>
      <c r="BM187">
        <v>4116</v>
      </c>
      <c r="BN187" s="48" t="s">
        <v>2064</v>
      </c>
      <c r="BO187" s="48" t="s">
        <v>2065</v>
      </c>
      <c r="BP187">
        <v>1473.06</v>
      </c>
      <c r="BQ187">
        <v>4141.6499999999996</v>
      </c>
      <c r="BR187" s="48" t="s">
        <v>1885</v>
      </c>
      <c r="BS187" s="48" t="s">
        <v>2066</v>
      </c>
      <c r="BT187">
        <v>1</v>
      </c>
      <c r="BU187">
        <v>38200</v>
      </c>
      <c r="BV187">
        <v>38200</v>
      </c>
      <c r="BW187" s="48" t="s">
        <v>2065</v>
      </c>
      <c r="BX187">
        <v>1473.06</v>
      </c>
      <c r="BY187">
        <v>0</v>
      </c>
      <c r="BZ187">
        <v>0</v>
      </c>
      <c r="CA187" s="48" t="s">
        <v>2065</v>
      </c>
      <c r="CB187">
        <v>1473.06</v>
      </c>
      <c r="CC187">
        <v>0</v>
      </c>
      <c r="CD187">
        <v>0</v>
      </c>
      <c r="CE187" s="48" t="s">
        <v>1710</v>
      </c>
      <c r="CF187" s="48" t="s">
        <v>1710</v>
      </c>
      <c r="CG187" s="48" t="s">
        <v>1710</v>
      </c>
      <c r="CH187" s="48" t="s">
        <v>1710</v>
      </c>
      <c r="CI187" s="48" t="s">
        <v>2067</v>
      </c>
      <c r="CJ187" s="48" t="s">
        <v>1710</v>
      </c>
      <c r="CL187" s="48" t="s">
        <v>3111</v>
      </c>
      <c r="CM187" s="48" t="s">
        <v>1710</v>
      </c>
      <c r="CN187" s="48" t="s">
        <v>2068</v>
      </c>
      <c r="CO187" s="48" t="s">
        <v>2069</v>
      </c>
      <c r="CP187" s="48" t="s">
        <v>1710</v>
      </c>
      <c r="CQ187" s="48" t="s">
        <v>1710</v>
      </c>
      <c r="CR187" s="48" t="s">
        <v>1710</v>
      </c>
      <c r="CS187" s="48" t="s">
        <v>1710</v>
      </c>
      <c r="CT187" s="48" t="s">
        <v>1710</v>
      </c>
      <c r="CU187" s="48" t="s">
        <v>1712</v>
      </c>
      <c r="CV187" s="48" t="s">
        <v>1710</v>
      </c>
      <c r="CW187" s="48" t="s">
        <v>1710</v>
      </c>
      <c r="CX187" s="48" t="s">
        <v>3167</v>
      </c>
      <c r="CY187" s="48" t="s">
        <v>1710</v>
      </c>
      <c r="CZ187" s="48" t="s">
        <v>1712</v>
      </c>
      <c r="DA187" s="48" t="s">
        <v>1710</v>
      </c>
      <c r="DB187" s="48" t="s">
        <v>1878</v>
      </c>
      <c r="DC187" s="48" t="s">
        <v>2070</v>
      </c>
      <c r="DD187" s="48" t="s">
        <v>1842</v>
      </c>
      <c r="DE187" s="48" t="s">
        <v>1886</v>
      </c>
      <c r="DF187" s="48" t="s">
        <v>4305</v>
      </c>
      <c r="DG187" s="48" t="s">
        <v>2071</v>
      </c>
      <c r="DH187" s="48" t="s">
        <v>1712</v>
      </c>
      <c r="DI187" s="48" t="s">
        <v>1710</v>
      </c>
      <c r="DJ187" s="48" t="s">
        <v>1710</v>
      </c>
      <c r="DK187" s="48" t="s">
        <v>1710</v>
      </c>
      <c r="DL187" s="48" t="s">
        <v>1710</v>
      </c>
      <c r="DM187" s="48" t="s">
        <v>1710</v>
      </c>
      <c r="DN187" s="48" t="s">
        <v>1710</v>
      </c>
      <c r="DO187" s="48" t="s">
        <v>1710</v>
      </c>
      <c r="DP187" s="48" t="s">
        <v>1710</v>
      </c>
      <c r="DQ187" s="48" t="s">
        <v>1710</v>
      </c>
      <c r="DR187" s="48" t="s">
        <v>2072</v>
      </c>
      <c r="DS187" s="48" t="s">
        <v>1710</v>
      </c>
      <c r="DT187" s="48" t="s">
        <v>1710</v>
      </c>
      <c r="DU187" s="48" t="s">
        <v>2547</v>
      </c>
      <c r="DV187" s="48" t="s">
        <v>3141</v>
      </c>
      <c r="DW187" s="48" t="s">
        <v>1710</v>
      </c>
      <c r="DX187" s="48" t="s">
        <v>4306</v>
      </c>
      <c r="DY187" s="48" t="s">
        <v>1709</v>
      </c>
      <c r="DZ187" s="48" t="s">
        <v>2562</v>
      </c>
      <c r="EA187" s="48" t="s">
        <v>2546</v>
      </c>
      <c r="EB187">
        <v>0</v>
      </c>
      <c r="EC187" s="48" t="s">
        <v>2547</v>
      </c>
      <c r="ED187" s="48" t="s">
        <v>4307</v>
      </c>
      <c r="EE187" s="48" t="s">
        <v>1814</v>
      </c>
      <c r="EF187" s="48" t="s">
        <v>1859</v>
      </c>
      <c r="EG187" s="48" t="s">
        <v>4304</v>
      </c>
      <c r="EH187">
        <v>0.04</v>
      </c>
      <c r="EI187" s="48" t="s">
        <v>1888</v>
      </c>
      <c r="EJ187">
        <v>0</v>
      </c>
      <c r="EK187" s="48" t="s">
        <v>1710</v>
      </c>
      <c r="EL187">
        <v>1</v>
      </c>
      <c r="EM187" s="48" t="s">
        <v>1886</v>
      </c>
      <c r="EN187">
        <v>0.04</v>
      </c>
      <c r="EO187" s="48" t="s">
        <v>2602</v>
      </c>
      <c r="EP187" s="48" t="s">
        <v>4308</v>
      </c>
      <c r="EQ187">
        <v>813.78</v>
      </c>
      <c r="ER187">
        <v>813.78</v>
      </c>
      <c r="ES187">
        <v>1191240</v>
      </c>
      <c r="ET187">
        <v>809</v>
      </c>
      <c r="EU187" s="48" t="s">
        <v>1710</v>
      </c>
      <c r="EV187" s="48" t="s">
        <v>1710</v>
      </c>
      <c r="EW187" s="48" t="s">
        <v>1712</v>
      </c>
      <c r="EX187" s="48" t="s">
        <v>1710</v>
      </c>
      <c r="EY187" s="48" t="s">
        <v>1848</v>
      </c>
      <c r="EZ187" s="48" t="s">
        <v>1710</v>
      </c>
      <c r="FA187" s="48" t="s">
        <v>1710</v>
      </c>
      <c r="FB187" s="48" t="s">
        <v>1712</v>
      </c>
      <c r="FC187" s="48" t="s">
        <v>1710</v>
      </c>
      <c r="FD187" s="48" t="s">
        <v>1710</v>
      </c>
      <c r="FE187" s="48" t="s">
        <v>1814</v>
      </c>
      <c r="FF187" s="48" t="s">
        <v>1815</v>
      </c>
      <c r="FG187" s="48" t="s">
        <v>1710</v>
      </c>
      <c r="FH187">
        <v>1</v>
      </c>
      <c r="FI187" s="48" t="s">
        <v>1846</v>
      </c>
      <c r="FJ187">
        <v>813.78</v>
      </c>
      <c r="FK187">
        <v>813.78</v>
      </c>
      <c r="FL187" s="48" t="s">
        <v>4309</v>
      </c>
      <c r="FM187" s="48" t="s">
        <v>4308</v>
      </c>
      <c r="FN187" s="48" t="s">
        <v>1710</v>
      </c>
      <c r="FO187" s="48" t="s">
        <v>1710</v>
      </c>
      <c r="FP187" s="48" t="s">
        <v>1710</v>
      </c>
      <c r="FQ187" s="48" t="s">
        <v>1710</v>
      </c>
      <c r="FR187" s="48" t="s">
        <v>1710</v>
      </c>
      <c r="FS187" s="48" t="s">
        <v>1710</v>
      </c>
      <c r="FT187" s="48" t="s">
        <v>1710</v>
      </c>
      <c r="FU187" s="48" t="s">
        <v>1710</v>
      </c>
      <c r="FV187" s="48"/>
      <c r="FW187" s="56"/>
      <c r="FX187" s="56"/>
      <c r="FY187" s="56"/>
      <c r="FZ187" s="56"/>
      <c r="GA187" s="55" t="str">
        <f t="shared" si="8"/>
        <v>4388426300485X</v>
      </c>
      <c r="GB187" t="str">
        <f>VLOOKUP(B187,수출코드!$C$2:$D$4,2,FALSE)</f>
        <v>Suwon</v>
      </c>
      <c r="GC187" t="str">
        <f>VLOOKUP(L187,수출코드!$A$2:$B$6,2,FALSE)</f>
        <v/>
      </c>
      <c r="GD187" t="str">
        <f>VLOOKUP(M187,수출코드!$E$2:$F$5,2,FALSE)</f>
        <v>일반</v>
      </c>
      <c r="GE187" s="61">
        <f t="shared" si="6"/>
        <v>45974.71597222222</v>
      </c>
      <c r="GF187" s="62">
        <f t="shared" si="7"/>
        <v>46051.752083333333</v>
      </c>
      <c r="GI187" s="48" t="s">
        <v>2772</v>
      </c>
    </row>
    <row r="188" spans="1:191">
      <c r="A188" s="48" t="s">
        <v>4310</v>
      </c>
      <c r="B188" s="48" t="s">
        <v>1821</v>
      </c>
      <c r="C188" s="48" t="s">
        <v>2048</v>
      </c>
      <c r="D188" s="48" t="s">
        <v>2813</v>
      </c>
      <c r="E188" s="48" t="s">
        <v>4310</v>
      </c>
      <c r="F188" s="48" t="s">
        <v>1710</v>
      </c>
      <c r="G188" s="48" t="s">
        <v>2814</v>
      </c>
      <c r="H188" s="48" t="s">
        <v>4311</v>
      </c>
      <c r="I188" s="48" t="s">
        <v>1884</v>
      </c>
      <c r="J188" s="48" t="s">
        <v>3111</v>
      </c>
      <c r="K188" s="48" t="s">
        <v>1877</v>
      </c>
      <c r="L188" s="48" t="s">
        <v>1842</v>
      </c>
      <c r="M188" s="48" t="s">
        <v>1810</v>
      </c>
      <c r="N188" s="48" t="s">
        <v>1842</v>
      </c>
      <c r="O188" s="48" t="s">
        <v>1811</v>
      </c>
      <c r="P188" s="48" t="s">
        <v>2549</v>
      </c>
      <c r="Q188" s="48" t="s">
        <v>2049</v>
      </c>
      <c r="R188" s="48" t="s">
        <v>1838</v>
      </c>
      <c r="S188" s="48" t="s">
        <v>2050</v>
      </c>
      <c r="T188" s="48" t="s">
        <v>1845</v>
      </c>
      <c r="U188" s="48" t="s">
        <v>2049</v>
      </c>
      <c r="V188" s="48" t="s">
        <v>1838</v>
      </c>
      <c r="W188" s="48" t="s">
        <v>2051</v>
      </c>
      <c r="X188" s="48" t="s">
        <v>2052</v>
      </c>
      <c r="Y188" s="48" t="s">
        <v>2050</v>
      </c>
      <c r="Z188" s="48" t="s">
        <v>2053</v>
      </c>
      <c r="AA188" s="48" t="s">
        <v>2054</v>
      </c>
      <c r="AB188" s="48" t="s">
        <v>2817</v>
      </c>
      <c r="AC188" s="48" t="s">
        <v>2055</v>
      </c>
      <c r="AD188" s="48" t="s">
        <v>2056</v>
      </c>
      <c r="AE188" s="48" t="s">
        <v>1710</v>
      </c>
      <c r="AF188" s="48" t="s">
        <v>1710</v>
      </c>
      <c r="AG188" s="48" t="s">
        <v>2057</v>
      </c>
      <c r="AH188" s="48" t="s">
        <v>1815</v>
      </c>
      <c r="AI188" s="48" t="s">
        <v>2058</v>
      </c>
      <c r="AJ188" s="48" t="s">
        <v>1710</v>
      </c>
      <c r="AK188" s="48" t="s">
        <v>2087</v>
      </c>
      <c r="AL188" s="48" t="s">
        <v>2088</v>
      </c>
      <c r="AM188" s="48" t="s">
        <v>1816</v>
      </c>
      <c r="AN188" s="48" t="s">
        <v>2054</v>
      </c>
      <c r="AO188" s="48" t="s">
        <v>1710</v>
      </c>
      <c r="AP188" s="48" t="s">
        <v>1853</v>
      </c>
      <c r="AQ188" s="48" t="s">
        <v>2086</v>
      </c>
      <c r="AR188" s="48" t="s">
        <v>1812</v>
      </c>
      <c r="AS188" s="48" t="s">
        <v>1813</v>
      </c>
      <c r="AT188" s="48" t="s">
        <v>1826</v>
      </c>
      <c r="AU188" s="48" t="s">
        <v>2061</v>
      </c>
      <c r="AV188" s="48" t="s">
        <v>3111</v>
      </c>
      <c r="AW188" s="48" t="s">
        <v>2062</v>
      </c>
      <c r="AX188" s="48" t="s">
        <v>2063</v>
      </c>
      <c r="AY188" s="48" t="s">
        <v>1710</v>
      </c>
      <c r="AZ188" s="48" t="s">
        <v>4312</v>
      </c>
      <c r="BA188" s="48" t="s">
        <v>1710</v>
      </c>
      <c r="BB188" s="48" t="s">
        <v>1709</v>
      </c>
      <c r="BC188" s="48" t="s">
        <v>1710</v>
      </c>
      <c r="BD188" s="48" t="s">
        <v>2097</v>
      </c>
      <c r="BE188" s="52" t="s">
        <v>4129</v>
      </c>
      <c r="BF188" s="48" t="s">
        <v>1710</v>
      </c>
      <c r="BG188" s="48" t="s">
        <v>1814</v>
      </c>
      <c r="BH188">
        <v>1</v>
      </c>
      <c r="BI188" s="48" t="s">
        <v>1888</v>
      </c>
      <c r="BJ188">
        <v>1</v>
      </c>
      <c r="BK188">
        <v>1473.06</v>
      </c>
      <c r="BL188">
        <v>157475</v>
      </c>
      <c r="BM188">
        <v>107</v>
      </c>
      <c r="BN188" s="48" t="s">
        <v>2064</v>
      </c>
      <c r="BO188" s="48" t="s">
        <v>2065</v>
      </c>
      <c r="BP188">
        <v>1473.06</v>
      </c>
      <c r="BQ188">
        <v>121.16</v>
      </c>
      <c r="BR188" s="48" t="s">
        <v>1885</v>
      </c>
      <c r="BS188" s="48" t="s">
        <v>2066</v>
      </c>
      <c r="BT188">
        <v>1</v>
      </c>
      <c r="BU188">
        <v>21000</v>
      </c>
      <c r="BV188">
        <v>21000</v>
      </c>
      <c r="BW188" s="48" t="s">
        <v>2065</v>
      </c>
      <c r="BX188">
        <v>1473.06</v>
      </c>
      <c r="BY188">
        <v>0</v>
      </c>
      <c r="BZ188">
        <v>0</v>
      </c>
      <c r="CA188" s="48" t="s">
        <v>2065</v>
      </c>
      <c r="CB188">
        <v>1473.06</v>
      </c>
      <c r="CC188">
        <v>0</v>
      </c>
      <c r="CD188">
        <v>0</v>
      </c>
      <c r="CE188" s="48" t="s">
        <v>1710</v>
      </c>
      <c r="CF188" s="48" t="s">
        <v>1710</v>
      </c>
      <c r="CG188" s="48" t="s">
        <v>1710</v>
      </c>
      <c r="CH188" s="48" t="s">
        <v>1710</v>
      </c>
      <c r="CI188" s="48" t="s">
        <v>2067</v>
      </c>
      <c r="CJ188" s="48" t="s">
        <v>1710</v>
      </c>
      <c r="CL188" s="48" t="s">
        <v>3111</v>
      </c>
      <c r="CM188" s="48" t="s">
        <v>1710</v>
      </c>
      <c r="CN188" s="48" t="s">
        <v>2068</v>
      </c>
      <c r="CO188" s="48" t="s">
        <v>2069</v>
      </c>
      <c r="CP188" s="48" t="s">
        <v>1710</v>
      </c>
      <c r="CQ188" s="48" t="s">
        <v>1710</v>
      </c>
      <c r="CR188" s="48" t="s">
        <v>1710</v>
      </c>
      <c r="CS188" s="48" t="s">
        <v>1710</v>
      </c>
      <c r="CT188" s="48" t="s">
        <v>1710</v>
      </c>
      <c r="CU188" s="48" t="s">
        <v>1712</v>
      </c>
      <c r="CV188" s="48" t="s">
        <v>1710</v>
      </c>
      <c r="CW188" s="48" t="s">
        <v>1710</v>
      </c>
      <c r="CX188" s="48" t="s">
        <v>3167</v>
      </c>
      <c r="CY188" s="48" t="s">
        <v>1710</v>
      </c>
      <c r="CZ188" s="48" t="s">
        <v>1712</v>
      </c>
      <c r="DA188" s="48" t="s">
        <v>1710</v>
      </c>
      <c r="DB188" s="48" t="s">
        <v>1878</v>
      </c>
      <c r="DC188" s="48" t="s">
        <v>2070</v>
      </c>
      <c r="DD188" s="48" t="s">
        <v>1842</v>
      </c>
      <c r="DE188" s="48" t="s">
        <v>1886</v>
      </c>
      <c r="DF188" s="48" t="s">
        <v>4313</v>
      </c>
      <c r="DG188" s="48" t="s">
        <v>2071</v>
      </c>
      <c r="DH188" s="48" t="s">
        <v>1712</v>
      </c>
      <c r="DI188" s="48" t="s">
        <v>1710</v>
      </c>
      <c r="DJ188" s="48" t="s">
        <v>1710</v>
      </c>
      <c r="DK188" s="48" t="s">
        <v>1710</v>
      </c>
      <c r="DL188" s="48" t="s">
        <v>1710</v>
      </c>
      <c r="DM188" s="48" t="s">
        <v>1710</v>
      </c>
      <c r="DN188" s="48" t="s">
        <v>1710</v>
      </c>
      <c r="DO188" s="48" t="s">
        <v>1710</v>
      </c>
      <c r="DP188" s="48" t="s">
        <v>1710</v>
      </c>
      <c r="DQ188" s="48" t="s">
        <v>1710</v>
      </c>
      <c r="DR188" s="48" t="s">
        <v>2072</v>
      </c>
      <c r="DS188" s="48" t="s">
        <v>1710</v>
      </c>
      <c r="DT188" s="48" t="s">
        <v>1710</v>
      </c>
      <c r="DU188" s="48" t="s">
        <v>2547</v>
      </c>
      <c r="DV188" s="48" t="s">
        <v>3141</v>
      </c>
      <c r="DW188" s="48" t="s">
        <v>1710</v>
      </c>
      <c r="DX188" s="48" t="s">
        <v>4314</v>
      </c>
      <c r="DY188" s="48" t="s">
        <v>1709</v>
      </c>
      <c r="DZ188" s="48" t="s">
        <v>2562</v>
      </c>
      <c r="EA188" s="48" t="s">
        <v>2546</v>
      </c>
      <c r="EB188">
        <v>0</v>
      </c>
      <c r="EC188" s="48" t="s">
        <v>2547</v>
      </c>
      <c r="ED188" s="48" t="s">
        <v>4307</v>
      </c>
      <c r="EE188" s="48" t="s">
        <v>1814</v>
      </c>
      <c r="EF188" s="48" t="s">
        <v>2636</v>
      </c>
      <c r="EG188" s="48" t="s">
        <v>4312</v>
      </c>
      <c r="EH188">
        <v>1.4E-2</v>
      </c>
      <c r="EI188" s="48" t="s">
        <v>1888</v>
      </c>
      <c r="EJ188">
        <v>0</v>
      </c>
      <c r="EK188" s="48" t="s">
        <v>1710</v>
      </c>
      <c r="EL188">
        <v>1</v>
      </c>
      <c r="EM188" s="48" t="s">
        <v>1886</v>
      </c>
      <c r="EN188">
        <v>1.4E-2</v>
      </c>
      <c r="EO188" s="48" t="s">
        <v>2637</v>
      </c>
      <c r="EP188" s="48" t="s">
        <v>4315</v>
      </c>
      <c r="EQ188">
        <v>121.16</v>
      </c>
      <c r="ER188">
        <v>121.16</v>
      </c>
      <c r="ES188">
        <v>157475</v>
      </c>
      <c r="ET188">
        <v>107</v>
      </c>
      <c r="EU188" s="48" t="s">
        <v>1710</v>
      </c>
      <c r="EV188" s="48" t="s">
        <v>1710</v>
      </c>
      <c r="EW188" s="48" t="s">
        <v>1712</v>
      </c>
      <c r="EX188" s="48" t="s">
        <v>1710</v>
      </c>
      <c r="EY188" s="48" t="s">
        <v>1848</v>
      </c>
      <c r="EZ188" s="48" t="s">
        <v>1710</v>
      </c>
      <c r="FA188" s="48" t="s">
        <v>1710</v>
      </c>
      <c r="FB188" s="48" t="s">
        <v>1712</v>
      </c>
      <c r="FC188" s="48" t="s">
        <v>1710</v>
      </c>
      <c r="FD188" s="48" t="s">
        <v>1710</v>
      </c>
      <c r="FE188" s="48" t="s">
        <v>1814</v>
      </c>
      <c r="FF188" s="48" t="s">
        <v>1815</v>
      </c>
      <c r="FG188" s="48" t="s">
        <v>1710</v>
      </c>
      <c r="FH188">
        <v>1</v>
      </c>
      <c r="FI188" s="48" t="s">
        <v>1846</v>
      </c>
      <c r="FJ188">
        <v>121.16</v>
      </c>
      <c r="FK188">
        <v>121.16</v>
      </c>
      <c r="FL188" s="48" t="s">
        <v>4316</v>
      </c>
      <c r="FM188" s="48" t="s">
        <v>4315</v>
      </c>
      <c r="FN188" s="48" t="s">
        <v>1710</v>
      </c>
      <c r="FO188" s="48" t="s">
        <v>1710</v>
      </c>
      <c r="FP188" s="48" t="s">
        <v>1710</v>
      </c>
      <c r="FQ188" s="48" t="s">
        <v>1710</v>
      </c>
      <c r="FR188" s="48" t="s">
        <v>1710</v>
      </c>
      <c r="FS188" s="48" t="s">
        <v>1710</v>
      </c>
      <c r="FT188" s="48" t="s">
        <v>1710</v>
      </c>
      <c r="FU188" s="48" t="s">
        <v>1710</v>
      </c>
      <c r="FV188" s="48"/>
      <c r="FW188" s="56"/>
      <c r="FX188" s="56"/>
      <c r="FY188" s="56"/>
      <c r="FZ188" s="56"/>
      <c r="GA188" s="55" t="str">
        <f t="shared" si="8"/>
        <v>4388426300486X</v>
      </c>
      <c r="GB188" t="str">
        <f>VLOOKUP(B188,수출코드!$C$2:$D$4,2,FALSE)</f>
        <v>Suwon</v>
      </c>
      <c r="GC188" t="str">
        <f>VLOOKUP(L188,수출코드!$A$2:$B$6,2,FALSE)</f>
        <v/>
      </c>
      <c r="GD188" t="str">
        <f>VLOOKUP(M188,수출코드!$E$2:$F$5,2,FALSE)</f>
        <v>일반</v>
      </c>
      <c r="GE188" s="61">
        <f t="shared" si="6"/>
        <v>45974.71597222222</v>
      </c>
      <c r="GF188" s="62">
        <f t="shared" si="7"/>
        <v>46051.752083333333</v>
      </c>
      <c r="GI188" s="48" t="s">
        <v>2772</v>
      </c>
    </row>
    <row r="189" spans="1:191">
      <c r="A189" s="48" t="s">
        <v>4317</v>
      </c>
      <c r="B189" s="48" t="s">
        <v>1821</v>
      </c>
      <c r="C189" s="48" t="s">
        <v>2048</v>
      </c>
      <c r="D189" s="48" t="s">
        <v>2813</v>
      </c>
      <c r="E189" s="48" t="s">
        <v>4317</v>
      </c>
      <c r="F189" s="48" t="s">
        <v>1710</v>
      </c>
      <c r="G189" s="48" t="s">
        <v>2814</v>
      </c>
      <c r="H189" s="48" t="s">
        <v>4318</v>
      </c>
      <c r="I189" s="48" t="s">
        <v>1884</v>
      </c>
      <c r="J189" s="48" t="s">
        <v>3111</v>
      </c>
      <c r="K189" s="48" t="s">
        <v>1877</v>
      </c>
      <c r="L189" s="48" t="s">
        <v>1842</v>
      </c>
      <c r="M189" s="48" t="s">
        <v>1810</v>
      </c>
      <c r="N189" s="48" t="s">
        <v>1842</v>
      </c>
      <c r="O189" s="48" t="s">
        <v>1811</v>
      </c>
      <c r="P189" s="48" t="s">
        <v>2549</v>
      </c>
      <c r="Q189" s="48" t="s">
        <v>2049</v>
      </c>
      <c r="R189" s="48" t="s">
        <v>1838</v>
      </c>
      <c r="S189" s="48" t="s">
        <v>2050</v>
      </c>
      <c r="T189" s="48" t="s">
        <v>1845</v>
      </c>
      <c r="U189" s="48" t="s">
        <v>2049</v>
      </c>
      <c r="V189" s="48" t="s">
        <v>1838</v>
      </c>
      <c r="W189" s="48" t="s">
        <v>2051</v>
      </c>
      <c r="X189" s="48" t="s">
        <v>2052</v>
      </c>
      <c r="Y189" s="48" t="s">
        <v>2050</v>
      </c>
      <c r="Z189" s="48" t="s">
        <v>2053</v>
      </c>
      <c r="AA189" s="48" t="s">
        <v>2054</v>
      </c>
      <c r="AB189" s="48" t="s">
        <v>2817</v>
      </c>
      <c r="AC189" s="48" t="s">
        <v>2055</v>
      </c>
      <c r="AD189" s="48" t="s">
        <v>2056</v>
      </c>
      <c r="AE189" s="48" t="s">
        <v>1710</v>
      </c>
      <c r="AF189" s="48" t="s">
        <v>1710</v>
      </c>
      <c r="AG189" s="48" t="s">
        <v>2057</v>
      </c>
      <c r="AH189" s="48" t="s">
        <v>1815</v>
      </c>
      <c r="AI189" s="48" t="s">
        <v>2058</v>
      </c>
      <c r="AJ189" s="48" t="s">
        <v>1710</v>
      </c>
      <c r="AK189" s="48" t="s">
        <v>2943</v>
      </c>
      <c r="AL189" s="48" t="s">
        <v>2091</v>
      </c>
      <c r="AM189" s="48" t="s">
        <v>1816</v>
      </c>
      <c r="AN189" s="48" t="s">
        <v>2054</v>
      </c>
      <c r="AO189" s="48" t="s">
        <v>1710</v>
      </c>
      <c r="AP189" s="48" t="s">
        <v>1853</v>
      </c>
      <c r="AQ189" s="48" t="s">
        <v>2086</v>
      </c>
      <c r="AR189" s="48" t="s">
        <v>1812</v>
      </c>
      <c r="AS189" s="48" t="s">
        <v>1813</v>
      </c>
      <c r="AT189" s="48" t="s">
        <v>1826</v>
      </c>
      <c r="AU189" s="48" t="s">
        <v>2061</v>
      </c>
      <c r="AV189" s="48" t="s">
        <v>3111</v>
      </c>
      <c r="AW189" s="48" t="s">
        <v>2062</v>
      </c>
      <c r="AX189" s="48" t="s">
        <v>2063</v>
      </c>
      <c r="AY189" s="48" t="s">
        <v>1710</v>
      </c>
      <c r="AZ189" s="48" t="s">
        <v>4319</v>
      </c>
      <c r="BA189" s="48" t="s">
        <v>1710</v>
      </c>
      <c r="BB189" s="48" t="s">
        <v>1709</v>
      </c>
      <c r="BC189" s="48" t="s">
        <v>1710</v>
      </c>
      <c r="BD189" s="48" t="s">
        <v>2097</v>
      </c>
      <c r="BE189" s="52" t="s">
        <v>4129</v>
      </c>
      <c r="BF189" s="48" t="s">
        <v>1710</v>
      </c>
      <c r="BG189" s="48" t="s">
        <v>1814</v>
      </c>
      <c r="BH189">
        <v>1</v>
      </c>
      <c r="BI189" s="48" t="s">
        <v>1888</v>
      </c>
      <c r="BJ189">
        <v>1</v>
      </c>
      <c r="BK189">
        <v>1473.06</v>
      </c>
      <c r="BL189">
        <v>607068</v>
      </c>
      <c r="BM189">
        <v>412</v>
      </c>
      <c r="BN189" s="48" t="s">
        <v>2064</v>
      </c>
      <c r="BO189" s="48" t="s">
        <v>2065</v>
      </c>
      <c r="BP189">
        <v>1473.06</v>
      </c>
      <c r="BQ189">
        <v>426.37</v>
      </c>
      <c r="BR189" s="48" t="s">
        <v>1885</v>
      </c>
      <c r="BS189" s="48" t="s">
        <v>2066</v>
      </c>
      <c r="BT189">
        <v>1</v>
      </c>
      <c r="BU189">
        <v>21000</v>
      </c>
      <c r="BV189">
        <v>21000</v>
      </c>
      <c r="BW189" s="48" t="s">
        <v>2065</v>
      </c>
      <c r="BX189">
        <v>1473.06</v>
      </c>
      <c r="BY189">
        <v>0</v>
      </c>
      <c r="BZ189">
        <v>0</v>
      </c>
      <c r="CA189" s="48" t="s">
        <v>2065</v>
      </c>
      <c r="CB189">
        <v>1473.06</v>
      </c>
      <c r="CC189">
        <v>0</v>
      </c>
      <c r="CD189">
        <v>0</v>
      </c>
      <c r="CE189" s="48" t="s">
        <v>1710</v>
      </c>
      <c r="CF189" s="48" t="s">
        <v>1710</v>
      </c>
      <c r="CG189" s="48" t="s">
        <v>1710</v>
      </c>
      <c r="CH189" s="48" t="s">
        <v>1710</v>
      </c>
      <c r="CI189" s="48" t="s">
        <v>2067</v>
      </c>
      <c r="CJ189" s="48" t="s">
        <v>1710</v>
      </c>
      <c r="CL189" s="48" t="s">
        <v>3111</v>
      </c>
      <c r="CM189" s="48" t="s">
        <v>1710</v>
      </c>
      <c r="CN189" s="48" t="s">
        <v>2068</v>
      </c>
      <c r="CO189" s="48" t="s">
        <v>2069</v>
      </c>
      <c r="CP189" s="48" t="s">
        <v>1710</v>
      </c>
      <c r="CQ189" s="48" t="s">
        <v>1710</v>
      </c>
      <c r="CR189" s="48" t="s">
        <v>1710</v>
      </c>
      <c r="CS189" s="48" t="s">
        <v>1710</v>
      </c>
      <c r="CT189" s="48" t="s">
        <v>1710</v>
      </c>
      <c r="CU189" s="48" t="s">
        <v>1712</v>
      </c>
      <c r="CV189" s="48" t="s">
        <v>1710</v>
      </c>
      <c r="CW189" s="48" t="s">
        <v>1710</v>
      </c>
      <c r="CX189" s="48" t="s">
        <v>3167</v>
      </c>
      <c r="CY189" s="48" t="s">
        <v>1710</v>
      </c>
      <c r="CZ189" s="48" t="s">
        <v>1712</v>
      </c>
      <c r="DA189" s="48" t="s">
        <v>1710</v>
      </c>
      <c r="DB189" s="48" t="s">
        <v>1878</v>
      </c>
      <c r="DC189" s="48" t="s">
        <v>2070</v>
      </c>
      <c r="DD189" s="48" t="s">
        <v>1842</v>
      </c>
      <c r="DE189" s="48" t="s">
        <v>1886</v>
      </c>
      <c r="DF189" s="48" t="s">
        <v>4320</v>
      </c>
      <c r="DG189" s="48" t="s">
        <v>2071</v>
      </c>
      <c r="DH189" s="48" t="s">
        <v>1712</v>
      </c>
      <c r="DI189" s="48" t="s">
        <v>1710</v>
      </c>
      <c r="DJ189" s="48" t="s">
        <v>1710</v>
      </c>
      <c r="DK189" s="48" t="s">
        <v>1710</v>
      </c>
      <c r="DL189" s="48" t="s">
        <v>1710</v>
      </c>
      <c r="DM189" s="48" t="s">
        <v>1710</v>
      </c>
      <c r="DN189" s="48" t="s">
        <v>1710</v>
      </c>
      <c r="DO189" s="48" t="s">
        <v>1710</v>
      </c>
      <c r="DP189" s="48" t="s">
        <v>1710</v>
      </c>
      <c r="DQ189" s="48" t="s">
        <v>1710</v>
      </c>
      <c r="DR189" s="48" t="s">
        <v>2072</v>
      </c>
      <c r="DS189" s="48" t="s">
        <v>1710</v>
      </c>
      <c r="DT189" s="48" t="s">
        <v>1710</v>
      </c>
      <c r="DU189" s="48" t="s">
        <v>2547</v>
      </c>
      <c r="DV189" s="48" t="s">
        <v>2825</v>
      </c>
      <c r="DW189" s="48" t="s">
        <v>1710</v>
      </c>
      <c r="DX189" s="48" t="s">
        <v>4321</v>
      </c>
      <c r="DY189" s="48" t="s">
        <v>1709</v>
      </c>
      <c r="DZ189" s="48" t="s">
        <v>2562</v>
      </c>
      <c r="EA189" s="48" t="s">
        <v>2546</v>
      </c>
      <c r="EB189">
        <v>0</v>
      </c>
      <c r="EC189" s="48" t="s">
        <v>2547</v>
      </c>
      <c r="ED189" s="48" t="s">
        <v>4322</v>
      </c>
      <c r="EE189" s="48" t="s">
        <v>1814</v>
      </c>
      <c r="EF189" s="48" t="s">
        <v>4323</v>
      </c>
      <c r="EG189" s="48" t="s">
        <v>4319</v>
      </c>
      <c r="EH189">
        <v>1</v>
      </c>
      <c r="EI189" s="48" t="s">
        <v>1888</v>
      </c>
      <c r="EJ189">
        <v>0</v>
      </c>
      <c r="EK189" s="48" t="s">
        <v>1710</v>
      </c>
      <c r="EL189">
        <v>1</v>
      </c>
      <c r="EM189" s="48" t="s">
        <v>1886</v>
      </c>
      <c r="EN189">
        <v>1</v>
      </c>
      <c r="EO189" s="48" t="s">
        <v>4324</v>
      </c>
      <c r="EP189" s="48" t="s">
        <v>4325</v>
      </c>
      <c r="EQ189">
        <v>426.37</v>
      </c>
      <c r="ER189">
        <v>426.37</v>
      </c>
      <c r="ES189">
        <v>607068</v>
      </c>
      <c r="ET189">
        <v>412</v>
      </c>
      <c r="EU189" s="48" t="s">
        <v>1710</v>
      </c>
      <c r="EV189" s="48" t="s">
        <v>1710</v>
      </c>
      <c r="EW189" s="48" t="s">
        <v>1712</v>
      </c>
      <c r="EX189" s="48" t="s">
        <v>1710</v>
      </c>
      <c r="EY189" s="48" t="s">
        <v>1843</v>
      </c>
      <c r="EZ189" s="48" t="s">
        <v>1710</v>
      </c>
      <c r="FA189" s="48" t="s">
        <v>1710</v>
      </c>
      <c r="FB189" s="48" t="s">
        <v>1712</v>
      </c>
      <c r="FC189" s="48" t="s">
        <v>1710</v>
      </c>
      <c r="FD189" s="48" t="s">
        <v>1710</v>
      </c>
      <c r="FE189" s="48" t="s">
        <v>1814</v>
      </c>
      <c r="FF189" s="48" t="s">
        <v>1815</v>
      </c>
      <c r="FG189" s="48" t="s">
        <v>1710</v>
      </c>
      <c r="FH189">
        <v>1</v>
      </c>
      <c r="FI189" s="48" t="s">
        <v>1846</v>
      </c>
      <c r="FJ189">
        <v>426.37</v>
      </c>
      <c r="FK189">
        <v>426.37</v>
      </c>
      <c r="FL189" s="48" t="s">
        <v>4326</v>
      </c>
      <c r="FM189" s="48" t="s">
        <v>4325</v>
      </c>
      <c r="FN189" s="48" t="s">
        <v>1710</v>
      </c>
      <c r="FO189" s="48" t="s">
        <v>1710</v>
      </c>
      <c r="FP189" s="48" t="s">
        <v>1710</v>
      </c>
      <c r="FQ189" s="48" t="s">
        <v>1710</v>
      </c>
      <c r="FR189" s="48" t="s">
        <v>1710</v>
      </c>
      <c r="FS189" s="48" t="s">
        <v>1710</v>
      </c>
      <c r="FT189" s="48" t="s">
        <v>1710</v>
      </c>
      <c r="FU189" s="48" t="s">
        <v>1710</v>
      </c>
      <c r="FV189" s="48"/>
      <c r="FW189" s="56"/>
      <c r="FX189" s="56"/>
      <c r="FY189" s="56"/>
      <c r="FZ189" s="56"/>
      <c r="GA189" s="55" t="str">
        <f t="shared" si="8"/>
        <v>4388426300487X</v>
      </c>
      <c r="GB189" t="str">
        <f>VLOOKUP(B189,수출코드!$C$2:$D$4,2,FALSE)</f>
        <v>Suwon</v>
      </c>
      <c r="GC189" t="str">
        <f>VLOOKUP(L189,수출코드!$A$2:$B$6,2,FALSE)</f>
        <v/>
      </c>
      <c r="GD189" t="str">
        <f>VLOOKUP(M189,수출코드!$E$2:$F$5,2,FALSE)</f>
        <v>일반</v>
      </c>
      <c r="GE189" s="61">
        <f t="shared" si="6"/>
        <v>45974.71597222222</v>
      </c>
      <c r="GF189" s="62">
        <f t="shared" si="7"/>
        <v>46051.753472222219</v>
      </c>
      <c r="GI189" s="48" t="s">
        <v>2772</v>
      </c>
    </row>
    <row r="190" spans="1:191">
      <c r="A190" s="48" t="s">
        <v>4327</v>
      </c>
      <c r="B190" s="48" t="s">
        <v>1821</v>
      </c>
      <c r="C190" s="48" t="s">
        <v>2048</v>
      </c>
      <c r="D190" s="48" t="s">
        <v>2813</v>
      </c>
      <c r="E190" s="48" t="s">
        <v>4327</v>
      </c>
      <c r="F190" s="48" t="s">
        <v>1710</v>
      </c>
      <c r="G190" s="48" t="s">
        <v>2814</v>
      </c>
      <c r="H190" s="48" t="s">
        <v>4328</v>
      </c>
      <c r="I190" s="48" t="s">
        <v>1884</v>
      </c>
      <c r="J190" s="48" t="s">
        <v>3111</v>
      </c>
      <c r="K190" s="48" t="s">
        <v>1877</v>
      </c>
      <c r="L190" s="48" t="s">
        <v>1842</v>
      </c>
      <c r="M190" s="48" t="s">
        <v>1810</v>
      </c>
      <c r="N190" s="48" t="s">
        <v>1842</v>
      </c>
      <c r="O190" s="48" t="s">
        <v>1811</v>
      </c>
      <c r="P190" s="48" t="s">
        <v>2549</v>
      </c>
      <c r="Q190" s="48" t="s">
        <v>2049</v>
      </c>
      <c r="R190" s="48" t="s">
        <v>1838</v>
      </c>
      <c r="S190" s="48" t="s">
        <v>2050</v>
      </c>
      <c r="T190" s="48" t="s">
        <v>1845</v>
      </c>
      <c r="U190" s="48" t="s">
        <v>2049</v>
      </c>
      <c r="V190" s="48" t="s">
        <v>1838</v>
      </c>
      <c r="W190" s="48" t="s">
        <v>2051</v>
      </c>
      <c r="X190" s="48" t="s">
        <v>2052</v>
      </c>
      <c r="Y190" s="48" t="s">
        <v>2050</v>
      </c>
      <c r="Z190" s="48" t="s">
        <v>2053</v>
      </c>
      <c r="AA190" s="48" t="s">
        <v>2054</v>
      </c>
      <c r="AB190" s="48" t="s">
        <v>2817</v>
      </c>
      <c r="AC190" s="48" t="s">
        <v>2055</v>
      </c>
      <c r="AD190" s="48" t="s">
        <v>2056</v>
      </c>
      <c r="AE190" s="48" t="s">
        <v>1710</v>
      </c>
      <c r="AF190" s="48" t="s">
        <v>1710</v>
      </c>
      <c r="AG190" s="48" t="s">
        <v>2057</v>
      </c>
      <c r="AH190" s="48" t="s">
        <v>1815</v>
      </c>
      <c r="AI190" s="48" t="s">
        <v>2058</v>
      </c>
      <c r="AJ190" s="48" t="s">
        <v>1710</v>
      </c>
      <c r="AK190" s="48" t="s">
        <v>2087</v>
      </c>
      <c r="AL190" s="48" t="s">
        <v>2088</v>
      </c>
      <c r="AM190" s="48" t="s">
        <v>1816</v>
      </c>
      <c r="AN190" s="48" t="s">
        <v>2054</v>
      </c>
      <c r="AO190" s="48" t="s">
        <v>1710</v>
      </c>
      <c r="AP190" s="48" t="s">
        <v>1853</v>
      </c>
      <c r="AQ190" s="48" t="s">
        <v>2086</v>
      </c>
      <c r="AR190" s="48" t="s">
        <v>1812</v>
      </c>
      <c r="AS190" s="48" t="s">
        <v>1813</v>
      </c>
      <c r="AT190" s="48" t="s">
        <v>1826</v>
      </c>
      <c r="AU190" s="48" t="s">
        <v>2061</v>
      </c>
      <c r="AV190" s="48" t="s">
        <v>3111</v>
      </c>
      <c r="AW190" s="48" t="s">
        <v>2062</v>
      </c>
      <c r="AX190" s="48" t="s">
        <v>2063</v>
      </c>
      <c r="AY190" s="48" t="s">
        <v>1710</v>
      </c>
      <c r="AZ190" s="48" t="s">
        <v>4329</v>
      </c>
      <c r="BA190" s="48" t="s">
        <v>1710</v>
      </c>
      <c r="BB190" s="48" t="s">
        <v>1709</v>
      </c>
      <c r="BC190" s="48" t="s">
        <v>1710</v>
      </c>
      <c r="BD190" s="48" t="s">
        <v>2097</v>
      </c>
      <c r="BE190" s="52" t="s">
        <v>4129</v>
      </c>
      <c r="BF190" s="48" t="s">
        <v>1710</v>
      </c>
      <c r="BG190" s="48" t="s">
        <v>1814</v>
      </c>
      <c r="BH190">
        <v>4</v>
      </c>
      <c r="BI190" s="48" t="s">
        <v>1888</v>
      </c>
      <c r="BJ190">
        <v>1</v>
      </c>
      <c r="BK190">
        <v>1473.06</v>
      </c>
      <c r="BL190">
        <v>226040</v>
      </c>
      <c r="BM190">
        <v>153</v>
      </c>
      <c r="BN190" s="48" t="s">
        <v>2064</v>
      </c>
      <c r="BO190" s="48" t="s">
        <v>2065</v>
      </c>
      <c r="BP190">
        <v>1473.06</v>
      </c>
      <c r="BQ190">
        <v>185.22</v>
      </c>
      <c r="BR190" s="48" t="s">
        <v>1885</v>
      </c>
      <c r="BS190" s="48" t="s">
        <v>2066</v>
      </c>
      <c r="BT190">
        <v>1</v>
      </c>
      <c r="BU190">
        <v>46800</v>
      </c>
      <c r="BV190">
        <v>46800</v>
      </c>
      <c r="BW190" s="48" t="s">
        <v>2065</v>
      </c>
      <c r="BX190">
        <v>1473.06</v>
      </c>
      <c r="BY190">
        <v>0</v>
      </c>
      <c r="BZ190">
        <v>0</v>
      </c>
      <c r="CA190" s="48" t="s">
        <v>2065</v>
      </c>
      <c r="CB190">
        <v>1473.06</v>
      </c>
      <c r="CC190">
        <v>0</v>
      </c>
      <c r="CD190">
        <v>0</v>
      </c>
      <c r="CE190" s="48" t="s">
        <v>1710</v>
      </c>
      <c r="CF190" s="48" t="s">
        <v>1710</v>
      </c>
      <c r="CG190" s="48" t="s">
        <v>1710</v>
      </c>
      <c r="CH190" s="48" t="s">
        <v>1710</v>
      </c>
      <c r="CI190" s="48" t="s">
        <v>2067</v>
      </c>
      <c r="CJ190" s="48" t="s">
        <v>1710</v>
      </c>
      <c r="CL190" s="48" t="s">
        <v>3111</v>
      </c>
      <c r="CM190" s="48" t="s">
        <v>1710</v>
      </c>
      <c r="CN190" s="48" t="s">
        <v>2068</v>
      </c>
      <c r="CO190" s="48" t="s">
        <v>2069</v>
      </c>
      <c r="CP190" s="48" t="s">
        <v>1710</v>
      </c>
      <c r="CQ190" s="48" t="s">
        <v>1710</v>
      </c>
      <c r="CR190" s="48" t="s">
        <v>1710</v>
      </c>
      <c r="CS190" s="48" t="s">
        <v>1710</v>
      </c>
      <c r="CT190" s="48" t="s">
        <v>1710</v>
      </c>
      <c r="CU190" s="48" t="s">
        <v>1712</v>
      </c>
      <c r="CV190" s="48" t="s">
        <v>1710</v>
      </c>
      <c r="CW190" s="48" t="s">
        <v>1710</v>
      </c>
      <c r="CX190" s="48" t="s">
        <v>3167</v>
      </c>
      <c r="CY190" s="48" t="s">
        <v>1710</v>
      </c>
      <c r="CZ190" s="48" t="s">
        <v>1712</v>
      </c>
      <c r="DA190" s="48" t="s">
        <v>1710</v>
      </c>
      <c r="DB190" s="48" t="s">
        <v>1878</v>
      </c>
      <c r="DC190" s="48" t="s">
        <v>2070</v>
      </c>
      <c r="DD190" s="48" t="s">
        <v>1842</v>
      </c>
      <c r="DE190" s="48" t="s">
        <v>1886</v>
      </c>
      <c r="DF190" s="48" t="s">
        <v>4330</v>
      </c>
      <c r="DG190" s="48" t="s">
        <v>2071</v>
      </c>
      <c r="DH190" s="48" t="s">
        <v>1712</v>
      </c>
      <c r="DI190" s="48" t="s">
        <v>1710</v>
      </c>
      <c r="DJ190" s="48" t="s">
        <v>1710</v>
      </c>
      <c r="DK190" s="48" t="s">
        <v>1710</v>
      </c>
      <c r="DL190" s="48" t="s">
        <v>1710</v>
      </c>
      <c r="DM190" s="48" t="s">
        <v>1710</v>
      </c>
      <c r="DN190" s="48" t="s">
        <v>1710</v>
      </c>
      <c r="DO190" s="48" t="s">
        <v>1710</v>
      </c>
      <c r="DP190" s="48" t="s">
        <v>1710</v>
      </c>
      <c r="DQ190" s="48" t="s">
        <v>1710</v>
      </c>
      <c r="DR190" s="48" t="s">
        <v>2072</v>
      </c>
      <c r="DS190" s="48" t="s">
        <v>1710</v>
      </c>
      <c r="DT190" s="48" t="s">
        <v>1710</v>
      </c>
      <c r="DU190" s="48" t="s">
        <v>2547</v>
      </c>
      <c r="DV190" s="48" t="s">
        <v>3141</v>
      </c>
      <c r="DW190" s="48" t="s">
        <v>1710</v>
      </c>
      <c r="DX190" s="48" t="s">
        <v>4331</v>
      </c>
      <c r="DY190" s="48" t="s">
        <v>1709</v>
      </c>
      <c r="DZ190" s="48" t="s">
        <v>2562</v>
      </c>
      <c r="EA190" s="48" t="s">
        <v>2546</v>
      </c>
      <c r="EB190">
        <v>0</v>
      </c>
      <c r="EC190" s="48" t="s">
        <v>2547</v>
      </c>
      <c r="ED190" s="48" t="s">
        <v>4322</v>
      </c>
      <c r="EE190" s="48" t="s">
        <v>1814</v>
      </c>
      <c r="EF190" s="48" t="s">
        <v>1852</v>
      </c>
      <c r="EG190" s="48" t="s">
        <v>4329</v>
      </c>
      <c r="EH190">
        <v>2</v>
      </c>
      <c r="EI190" s="48" t="s">
        <v>1888</v>
      </c>
      <c r="EJ190">
        <v>0</v>
      </c>
      <c r="EK190" s="48" t="s">
        <v>1710</v>
      </c>
      <c r="EL190">
        <v>1</v>
      </c>
      <c r="EM190" s="48" t="s">
        <v>1886</v>
      </c>
      <c r="EN190">
        <v>2</v>
      </c>
      <c r="EO190" s="48" t="s">
        <v>2521</v>
      </c>
      <c r="EP190" s="48" t="s">
        <v>4332</v>
      </c>
      <c r="EQ190">
        <v>185.22</v>
      </c>
      <c r="ER190">
        <v>185.22</v>
      </c>
      <c r="ES190">
        <v>226040</v>
      </c>
      <c r="ET190">
        <v>153</v>
      </c>
      <c r="EU190" s="48" t="s">
        <v>1710</v>
      </c>
      <c r="EV190" s="48" t="s">
        <v>1710</v>
      </c>
      <c r="EW190" s="48" t="s">
        <v>1712</v>
      </c>
      <c r="EX190" s="48" t="s">
        <v>1710</v>
      </c>
      <c r="EY190" s="48" t="s">
        <v>1853</v>
      </c>
      <c r="EZ190" s="48" t="s">
        <v>1710</v>
      </c>
      <c r="FA190" s="48" t="s">
        <v>1710</v>
      </c>
      <c r="FB190" s="48" t="s">
        <v>1712</v>
      </c>
      <c r="FC190" s="48" t="s">
        <v>1710</v>
      </c>
      <c r="FD190" s="48" t="s">
        <v>1710</v>
      </c>
      <c r="FE190" s="48" t="s">
        <v>1814</v>
      </c>
      <c r="FF190" s="48" t="s">
        <v>1815</v>
      </c>
      <c r="FG190" s="48" t="s">
        <v>1710</v>
      </c>
      <c r="FH190">
        <v>2</v>
      </c>
      <c r="FI190" s="48" t="s">
        <v>1846</v>
      </c>
      <c r="FJ190">
        <v>185.22</v>
      </c>
      <c r="FK190">
        <v>92.61</v>
      </c>
      <c r="FL190" s="48" t="s">
        <v>4333</v>
      </c>
      <c r="FM190" s="48" t="s">
        <v>4332</v>
      </c>
      <c r="FN190" s="48" t="s">
        <v>1710</v>
      </c>
      <c r="FO190" s="48" t="s">
        <v>1710</v>
      </c>
      <c r="FP190" s="48" t="s">
        <v>1710</v>
      </c>
      <c r="FQ190" s="48" t="s">
        <v>1710</v>
      </c>
      <c r="FR190" s="48" t="s">
        <v>1710</v>
      </c>
      <c r="FS190" s="48" t="s">
        <v>1710</v>
      </c>
      <c r="FT190" s="48" t="s">
        <v>1710</v>
      </c>
      <c r="FU190" s="48" t="s">
        <v>1710</v>
      </c>
      <c r="FV190" s="48"/>
      <c r="FW190" s="56"/>
      <c r="FX190" s="56"/>
      <c r="FY190" s="56"/>
      <c r="FZ190" s="56"/>
      <c r="GA190" s="55" t="str">
        <f t="shared" si="8"/>
        <v>4388426300488X</v>
      </c>
      <c r="GB190" t="str">
        <f>VLOOKUP(B190,수출코드!$C$2:$D$4,2,FALSE)</f>
        <v>Suwon</v>
      </c>
      <c r="GC190" t="str">
        <f>VLOOKUP(L190,수출코드!$A$2:$B$6,2,FALSE)</f>
        <v/>
      </c>
      <c r="GD190" t="str">
        <f>VLOOKUP(M190,수출코드!$E$2:$F$5,2,FALSE)</f>
        <v>일반</v>
      </c>
      <c r="GE190" s="61">
        <f t="shared" si="6"/>
        <v>45974.71597222222</v>
      </c>
      <c r="GF190" s="62">
        <f t="shared" si="7"/>
        <v>46051.753472222219</v>
      </c>
      <c r="GI190" s="48" t="s">
        <v>2772</v>
      </c>
    </row>
    <row r="191" spans="1:191">
      <c r="A191" s="48" t="s">
        <v>4334</v>
      </c>
      <c r="B191" s="48" t="s">
        <v>1821</v>
      </c>
      <c r="C191" s="48" t="s">
        <v>2048</v>
      </c>
      <c r="D191" s="48" t="s">
        <v>2813</v>
      </c>
      <c r="E191" s="48" t="s">
        <v>4334</v>
      </c>
      <c r="F191" s="48" t="s">
        <v>1710</v>
      </c>
      <c r="G191" s="48" t="s">
        <v>2814</v>
      </c>
      <c r="H191" s="48" t="s">
        <v>4335</v>
      </c>
      <c r="I191" s="48" t="s">
        <v>1884</v>
      </c>
      <c r="J191" s="48" t="s">
        <v>3111</v>
      </c>
      <c r="K191" s="48" t="s">
        <v>1877</v>
      </c>
      <c r="L191" s="48" t="s">
        <v>1842</v>
      </c>
      <c r="M191" s="48" t="s">
        <v>1810</v>
      </c>
      <c r="N191" s="48" t="s">
        <v>1842</v>
      </c>
      <c r="O191" s="48" t="s">
        <v>1811</v>
      </c>
      <c r="P191" s="48" t="s">
        <v>2549</v>
      </c>
      <c r="Q191" s="48" t="s">
        <v>2049</v>
      </c>
      <c r="R191" s="48" t="s">
        <v>1838</v>
      </c>
      <c r="S191" s="48" t="s">
        <v>2050</v>
      </c>
      <c r="T191" s="48" t="s">
        <v>1845</v>
      </c>
      <c r="U191" s="48" t="s">
        <v>2049</v>
      </c>
      <c r="V191" s="48" t="s">
        <v>1838</v>
      </c>
      <c r="W191" s="48" t="s">
        <v>2051</v>
      </c>
      <c r="X191" s="48" t="s">
        <v>2052</v>
      </c>
      <c r="Y191" s="48" t="s">
        <v>2050</v>
      </c>
      <c r="Z191" s="48" t="s">
        <v>2053</v>
      </c>
      <c r="AA191" s="48" t="s">
        <v>2054</v>
      </c>
      <c r="AB191" s="48" t="s">
        <v>2817</v>
      </c>
      <c r="AC191" s="48" t="s">
        <v>2055</v>
      </c>
      <c r="AD191" s="48" t="s">
        <v>2056</v>
      </c>
      <c r="AE191" s="48" t="s">
        <v>1710</v>
      </c>
      <c r="AF191" s="48" t="s">
        <v>1710</v>
      </c>
      <c r="AG191" s="48" t="s">
        <v>2057</v>
      </c>
      <c r="AH191" s="48" t="s">
        <v>1815</v>
      </c>
      <c r="AI191" s="48" t="s">
        <v>2058</v>
      </c>
      <c r="AJ191" s="48" t="s">
        <v>1710</v>
      </c>
      <c r="AK191" s="48" t="s">
        <v>2098</v>
      </c>
      <c r="AL191" s="48" t="s">
        <v>1856</v>
      </c>
      <c r="AM191" s="48" t="s">
        <v>1816</v>
      </c>
      <c r="AN191" s="48" t="s">
        <v>2054</v>
      </c>
      <c r="AO191" s="48" t="s">
        <v>1710</v>
      </c>
      <c r="AP191" s="48" t="s">
        <v>1855</v>
      </c>
      <c r="AQ191" s="48" t="s">
        <v>2076</v>
      </c>
      <c r="AR191" s="48" t="s">
        <v>1812</v>
      </c>
      <c r="AS191" s="48" t="s">
        <v>1813</v>
      </c>
      <c r="AT191" s="48" t="s">
        <v>1826</v>
      </c>
      <c r="AU191" s="48" t="s">
        <v>2061</v>
      </c>
      <c r="AV191" s="48" t="s">
        <v>3111</v>
      </c>
      <c r="AW191" s="48" t="s">
        <v>2062</v>
      </c>
      <c r="AX191" s="48" t="s">
        <v>2063</v>
      </c>
      <c r="AY191" s="48" t="s">
        <v>1710</v>
      </c>
      <c r="AZ191" s="48" t="s">
        <v>4336</v>
      </c>
      <c r="BA191" s="48" t="s">
        <v>1710</v>
      </c>
      <c r="BB191" s="48" t="s">
        <v>1709</v>
      </c>
      <c r="BC191" s="48" t="s">
        <v>1710</v>
      </c>
      <c r="BD191" s="48" t="s">
        <v>2097</v>
      </c>
      <c r="BE191" s="52" t="s">
        <v>4129</v>
      </c>
      <c r="BF191" s="48" t="s">
        <v>1710</v>
      </c>
      <c r="BG191" s="48" t="s">
        <v>1814</v>
      </c>
      <c r="BH191">
        <v>18</v>
      </c>
      <c r="BI191" s="48" t="s">
        <v>1888</v>
      </c>
      <c r="BJ191">
        <v>1</v>
      </c>
      <c r="BK191">
        <v>1473.06</v>
      </c>
      <c r="BL191">
        <v>22363903</v>
      </c>
      <c r="BM191">
        <v>15182</v>
      </c>
      <c r="BN191" s="48" t="s">
        <v>2064</v>
      </c>
      <c r="BO191" s="48" t="s">
        <v>2065</v>
      </c>
      <c r="BP191">
        <v>1473.06</v>
      </c>
      <c r="BQ191">
        <v>15246.7</v>
      </c>
      <c r="BR191" s="48" t="s">
        <v>1885</v>
      </c>
      <c r="BS191" s="48" t="s">
        <v>2066</v>
      </c>
      <c r="BT191">
        <v>1</v>
      </c>
      <c r="BU191">
        <v>95400</v>
      </c>
      <c r="BV191">
        <v>95400</v>
      </c>
      <c r="BW191" s="48" t="s">
        <v>2065</v>
      </c>
      <c r="BX191">
        <v>1473.06</v>
      </c>
      <c r="BY191">
        <v>0</v>
      </c>
      <c r="BZ191">
        <v>0</v>
      </c>
      <c r="CA191" s="48" t="s">
        <v>2065</v>
      </c>
      <c r="CB191">
        <v>1473.06</v>
      </c>
      <c r="CC191">
        <v>0</v>
      </c>
      <c r="CD191">
        <v>0</v>
      </c>
      <c r="CE191" s="48" t="s">
        <v>1710</v>
      </c>
      <c r="CF191" s="48" t="s">
        <v>1710</v>
      </c>
      <c r="CG191" s="48" t="s">
        <v>1710</v>
      </c>
      <c r="CH191" s="48" t="s">
        <v>1710</v>
      </c>
      <c r="CI191" s="48" t="s">
        <v>2067</v>
      </c>
      <c r="CJ191" s="48" t="s">
        <v>1710</v>
      </c>
      <c r="CL191" s="48" t="s">
        <v>3111</v>
      </c>
      <c r="CM191" s="48" t="s">
        <v>1710</v>
      </c>
      <c r="CN191" s="48" t="s">
        <v>2068</v>
      </c>
      <c r="CO191" s="48" t="s">
        <v>2069</v>
      </c>
      <c r="CP191" s="48" t="s">
        <v>1710</v>
      </c>
      <c r="CQ191" s="48" t="s">
        <v>1710</v>
      </c>
      <c r="CR191" s="48" t="s">
        <v>1710</v>
      </c>
      <c r="CS191" s="48" t="s">
        <v>1710</v>
      </c>
      <c r="CT191" s="48" t="s">
        <v>1710</v>
      </c>
      <c r="CU191" s="48" t="s">
        <v>1712</v>
      </c>
      <c r="CV191" s="48" t="s">
        <v>1710</v>
      </c>
      <c r="CW191" s="48" t="s">
        <v>1710</v>
      </c>
      <c r="CX191" s="48" t="s">
        <v>3167</v>
      </c>
      <c r="CY191" s="48" t="s">
        <v>1710</v>
      </c>
      <c r="CZ191" s="48" t="s">
        <v>1712</v>
      </c>
      <c r="DA191" s="48" t="s">
        <v>1710</v>
      </c>
      <c r="DB191" s="48" t="s">
        <v>1878</v>
      </c>
      <c r="DC191" s="48" t="s">
        <v>2070</v>
      </c>
      <c r="DD191" s="48" t="s">
        <v>1842</v>
      </c>
      <c r="DE191" s="48" t="s">
        <v>1886</v>
      </c>
      <c r="DF191" s="48" t="s">
        <v>4337</v>
      </c>
      <c r="DG191" s="48" t="s">
        <v>2071</v>
      </c>
      <c r="DH191" s="48" t="s">
        <v>1712</v>
      </c>
      <c r="DI191" s="48" t="s">
        <v>1710</v>
      </c>
      <c r="DJ191" s="48" t="s">
        <v>1710</v>
      </c>
      <c r="DK191" s="48" t="s">
        <v>1710</v>
      </c>
      <c r="DL191" s="48" t="s">
        <v>1710</v>
      </c>
      <c r="DM191" s="48" t="s">
        <v>1710</v>
      </c>
      <c r="DN191" s="48" t="s">
        <v>1710</v>
      </c>
      <c r="DO191" s="48" t="s">
        <v>1710</v>
      </c>
      <c r="DP191" s="48" t="s">
        <v>1710</v>
      </c>
      <c r="DQ191" s="48" t="s">
        <v>1710</v>
      </c>
      <c r="DR191" s="48" t="s">
        <v>2072</v>
      </c>
      <c r="DS191" s="48" t="s">
        <v>1710</v>
      </c>
      <c r="DT191" s="48" t="s">
        <v>1710</v>
      </c>
      <c r="DU191" s="48" t="s">
        <v>2547</v>
      </c>
      <c r="DV191" s="48" t="s">
        <v>2825</v>
      </c>
      <c r="DW191" s="48" t="s">
        <v>1710</v>
      </c>
      <c r="DX191" s="48" t="s">
        <v>4338</v>
      </c>
      <c r="DY191" s="48" t="s">
        <v>1709</v>
      </c>
      <c r="DZ191" s="48" t="s">
        <v>2562</v>
      </c>
      <c r="EA191" s="48" t="s">
        <v>2546</v>
      </c>
      <c r="EB191">
        <v>0</v>
      </c>
      <c r="EC191" s="48" t="s">
        <v>2547</v>
      </c>
      <c r="ED191" s="48" t="s">
        <v>4322</v>
      </c>
      <c r="EE191" s="48" t="s">
        <v>1814</v>
      </c>
      <c r="EF191" s="48" t="s">
        <v>1849</v>
      </c>
      <c r="EG191" s="48" t="s">
        <v>4336</v>
      </c>
      <c r="EH191">
        <v>17</v>
      </c>
      <c r="EI191" s="48" t="s">
        <v>1888</v>
      </c>
      <c r="EJ191">
        <v>1</v>
      </c>
      <c r="EK191" s="48" t="s">
        <v>1887</v>
      </c>
      <c r="EL191">
        <v>1</v>
      </c>
      <c r="EM191" s="48" t="s">
        <v>1886</v>
      </c>
      <c r="EN191">
        <v>17</v>
      </c>
      <c r="EO191" s="48" t="s">
        <v>2526</v>
      </c>
      <c r="EP191" s="48" t="s">
        <v>4339</v>
      </c>
      <c r="EQ191">
        <v>15246.7</v>
      </c>
      <c r="ER191">
        <v>15246.7</v>
      </c>
      <c r="ES191">
        <v>22363903</v>
      </c>
      <c r="ET191">
        <v>15182</v>
      </c>
      <c r="EU191" s="48" t="s">
        <v>1710</v>
      </c>
      <c r="EV191" s="48" t="s">
        <v>1710</v>
      </c>
      <c r="EW191" s="48" t="s">
        <v>1712</v>
      </c>
      <c r="EX191" s="48" t="s">
        <v>1710</v>
      </c>
      <c r="EY191" s="48" t="s">
        <v>1850</v>
      </c>
      <c r="EZ191" s="48" t="s">
        <v>1710</v>
      </c>
      <c r="FA191" s="48" t="s">
        <v>1710</v>
      </c>
      <c r="FB191" s="48" t="s">
        <v>1712</v>
      </c>
      <c r="FC191" s="48" t="s">
        <v>1710</v>
      </c>
      <c r="FD191" s="48" t="s">
        <v>1710</v>
      </c>
      <c r="FE191" s="48" t="s">
        <v>1814</v>
      </c>
      <c r="FF191" s="48" t="s">
        <v>1815</v>
      </c>
      <c r="FG191" s="48" t="s">
        <v>1710</v>
      </c>
      <c r="FH191">
        <v>1</v>
      </c>
      <c r="FI191" s="48" t="s">
        <v>1846</v>
      </c>
      <c r="FJ191">
        <v>15246.7</v>
      </c>
      <c r="FK191">
        <v>15246.7</v>
      </c>
      <c r="FL191" s="48" t="s">
        <v>4340</v>
      </c>
      <c r="FM191" s="48" t="s">
        <v>4339</v>
      </c>
      <c r="FN191" s="48" t="s">
        <v>1710</v>
      </c>
      <c r="FO191" s="48" t="s">
        <v>1710</v>
      </c>
      <c r="FP191" s="48" t="s">
        <v>1710</v>
      </c>
      <c r="FQ191" s="48" t="s">
        <v>1710</v>
      </c>
      <c r="FR191" s="48" t="s">
        <v>1710</v>
      </c>
      <c r="FS191" s="48" t="s">
        <v>1710</v>
      </c>
      <c r="FT191" s="48" t="s">
        <v>1710</v>
      </c>
      <c r="FU191" s="48" t="s">
        <v>1710</v>
      </c>
      <c r="FV191" s="48"/>
      <c r="FW191" s="56"/>
      <c r="FX191" s="56"/>
      <c r="FY191" s="56"/>
      <c r="FZ191" s="56"/>
      <c r="GA191" s="55" t="str">
        <f t="shared" si="8"/>
        <v>4388426300489X</v>
      </c>
      <c r="GB191" t="str">
        <f>VLOOKUP(B191,수출코드!$C$2:$D$4,2,FALSE)</f>
        <v>Suwon</v>
      </c>
      <c r="GC191" t="str">
        <f>VLOOKUP(L191,수출코드!$A$2:$B$6,2,FALSE)</f>
        <v/>
      </c>
      <c r="GD191" t="str">
        <f>VLOOKUP(M191,수출코드!$E$2:$F$5,2,FALSE)</f>
        <v>일반</v>
      </c>
      <c r="GE191" s="61">
        <f t="shared" si="6"/>
        <v>45975.658333333333</v>
      </c>
      <c r="GF191" s="62">
        <f t="shared" si="7"/>
        <v>46051.753472222219</v>
      </c>
      <c r="GI191" s="48" t="s">
        <v>2729</v>
      </c>
    </row>
    <row r="192" spans="1:191">
      <c r="A192" s="48" t="s">
        <v>4341</v>
      </c>
      <c r="B192" s="48" t="s">
        <v>1821</v>
      </c>
      <c r="C192" s="48" t="s">
        <v>2048</v>
      </c>
      <c r="D192" s="48" t="s">
        <v>2813</v>
      </c>
      <c r="E192" s="48" t="s">
        <v>4341</v>
      </c>
      <c r="F192" s="48" t="s">
        <v>1710</v>
      </c>
      <c r="G192" s="48" t="s">
        <v>2814</v>
      </c>
      <c r="H192" s="48" t="s">
        <v>4342</v>
      </c>
      <c r="I192" s="48" t="s">
        <v>1884</v>
      </c>
      <c r="J192" s="48" t="s">
        <v>2825</v>
      </c>
      <c r="K192" s="48" t="s">
        <v>1877</v>
      </c>
      <c r="L192" s="48" t="s">
        <v>1842</v>
      </c>
      <c r="M192" s="48" t="s">
        <v>1810</v>
      </c>
      <c r="N192" s="48" t="s">
        <v>1842</v>
      </c>
      <c r="O192" s="48" t="s">
        <v>1811</v>
      </c>
      <c r="P192" s="48" t="s">
        <v>2549</v>
      </c>
      <c r="Q192" s="48" t="s">
        <v>2049</v>
      </c>
      <c r="R192" s="48" t="s">
        <v>1838</v>
      </c>
      <c r="S192" s="48" t="s">
        <v>2050</v>
      </c>
      <c r="T192" s="48" t="s">
        <v>1845</v>
      </c>
      <c r="U192" s="48" t="s">
        <v>2049</v>
      </c>
      <c r="V192" s="48" t="s">
        <v>1838</v>
      </c>
      <c r="W192" s="48" t="s">
        <v>2051</v>
      </c>
      <c r="X192" s="48" t="s">
        <v>2052</v>
      </c>
      <c r="Y192" s="48" t="s">
        <v>2050</v>
      </c>
      <c r="Z192" s="48" t="s">
        <v>2053</v>
      </c>
      <c r="AA192" s="48" t="s">
        <v>2054</v>
      </c>
      <c r="AB192" s="48" t="s">
        <v>2817</v>
      </c>
      <c r="AC192" s="48" t="s">
        <v>2055</v>
      </c>
      <c r="AD192" s="48" t="s">
        <v>2056</v>
      </c>
      <c r="AE192" s="48" t="s">
        <v>1710</v>
      </c>
      <c r="AF192" s="48" t="s">
        <v>1710</v>
      </c>
      <c r="AG192" s="48" t="s">
        <v>2057</v>
      </c>
      <c r="AH192" s="48" t="s">
        <v>1815</v>
      </c>
      <c r="AI192" s="48" t="s">
        <v>2058</v>
      </c>
      <c r="AJ192" s="48" t="s">
        <v>1710</v>
      </c>
      <c r="AK192" s="48" t="s">
        <v>2077</v>
      </c>
      <c r="AL192" s="48" t="s">
        <v>1858</v>
      </c>
      <c r="AM192" s="48" t="s">
        <v>1816</v>
      </c>
      <c r="AN192" s="48" t="s">
        <v>2054</v>
      </c>
      <c r="AO192" s="48" t="s">
        <v>1710</v>
      </c>
      <c r="AP192" s="48" t="s">
        <v>1848</v>
      </c>
      <c r="AQ192" s="48" t="s">
        <v>2060</v>
      </c>
      <c r="AR192" s="48" t="s">
        <v>1812</v>
      </c>
      <c r="AS192" s="48" t="s">
        <v>1813</v>
      </c>
      <c r="AT192" s="48" t="s">
        <v>1826</v>
      </c>
      <c r="AU192" s="48" t="s">
        <v>2061</v>
      </c>
      <c r="AV192" s="48" t="s">
        <v>2825</v>
      </c>
      <c r="AW192" s="48" t="s">
        <v>2062</v>
      </c>
      <c r="AX192" s="48" t="s">
        <v>2063</v>
      </c>
      <c r="AY192" s="48" t="s">
        <v>1710</v>
      </c>
      <c r="AZ192" s="48" t="s">
        <v>4343</v>
      </c>
      <c r="BA192" s="48" t="s">
        <v>1710</v>
      </c>
      <c r="BB192" s="48" t="s">
        <v>1709</v>
      </c>
      <c r="BC192" s="48" t="s">
        <v>1710</v>
      </c>
      <c r="BD192" s="48" t="s">
        <v>2837</v>
      </c>
      <c r="BE192" s="52" t="s">
        <v>4344</v>
      </c>
      <c r="BF192" s="48" t="s">
        <v>1710</v>
      </c>
      <c r="BG192" s="48" t="s">
        <v>3139</v>
      </c>
      <c r="BH192">
        <v>178</v>
      </c>
      <c r="BI192" s="48" t="s">
        <v>1888</v>
      </c>
      <c r="BJ192">
        <v>11</v>
      </c>
      <c r="BK192">
        <v>1473.06</v>
      </c>
      <c r="BL192">
        <v>176240353</v>
      </c>
      <c r="BM192">
        <v>119642</v>
      </c>
      <c r="BN192" s="48" t="s">
        <v>2064</v>
      </c>
      <c r="BO192" s="48" t="s">
        <v>2065</v>
      </c>
      <c r="BP192">
        <v>1473.06</v>
      </c>
      <c r="BQ192">
        <v>121288.92</v>
      </c>
      <c r="BR192" s="48" t="s">
        <v>1885</v>
      </c>
      <c r="BS192" s="48" t="s">
        <v>2066</v>
      </c>
      <c r="BT192">
        <v>1</v>
      </c>
      <c r="BU192">
        <v>2425500</v>
      </c>
      <c r="BV192">
        <v>2425500</v>
      </c>
      <c r="BW192" s="48" t="s">
        <v>2065</v>
      </c>
      <c r="BX192">
        <v>1473.06</v>
      </c>
      <c r="BY192">
        <v>0</v>
      </c>
      <c r="BZ192">
        <v>0</v>
      </c>
      <c r="CA192" s="48" t="s">
        <v>2065</v>
      </c>
      <c r="CB192">
        <v>1473.06</v>
      </c>
      <c r="CC192">
        <v>0</v>
      </c>
      <c r="CD192">
        <v>0</v>
      </c>
      <c r="CE192" s="48" t="s">
        <v>1710</v>
      </c>
      <c r="CF192" s="48" t="s">
        <v>1710</v>
      </c>
      <c r="CG192" s="48" t="s">
        <v>1710</v>
      </c>
      <c r="CH192" s="48" t="s">
        <v>1710</v>
      </c>
      <c r="CI192" s="48" t="s">
        <v>2067</v>
      </c>
      <c r="CJ192" s="48" t="s">
        <v>1710</v>
      </c>
      <c r="CL192" s="48" t="s">
        <v>2825</v>
      </c>
      <c r="CM192" s="48" t="s">
        <v>1710</v>
      </c>
      <c r="CN192" s="48" t="s">
        <v>2068</v>
      </c>
      <c r="CO192" s="48" t="s">
        <v>2069</v>
      </c>
      <c r="CP192" s="48" t="s">
        <v>1710</v>
      </c>
      <c r="CQ192" s="48" t="s">
        <v>1710</v>
      </c>
      <c r="CR192" s="48" t="s">
        <v>1710</v>
      </c>
      <c r="CS192" s="48" t="s">
        <v>1710</v>
      </c>
      <c r="CT192" s="48" t="s">
        <v>1710</v>
      </c>
      <c r="CU192" s="48" t="s">
        <v>1712</v>
      </c>
      <c r="CV192" s="48" t="s">
        <v>1710</v>
      </c>
      <c r="CW192" s="48" t="s">
        <v>1710</v>
      </c>
      <c r="CX192" s="48" t="s">
        <v>3167</v>
      </c>
      <c r="CY192" s="48" t="s">
        <v>1710</v>
      </c>
      <c r="CZ192" s="48" t="s">
        <v>1712</v>
      </c>
      <c r="DA192" s="48" t="s">
        <v>1710</v>
      </c>
      <c r="DB192" s="48" t="s">
        <v>1878</v>
      </c>
      <c r="DC192" s="48" t="s">
        <v>2070</v>
      </c>
      <c r="DD192" s="48" t="s">
        <v>1842</v>
      </c>
      <c r="DE192" s="48" t="s">
        <v>1886</v>
      </c>
      <c r="DF192" s="48" t="s">
        <v>4345</v>
      </c>
      <c r="DG192" s="48" t="s">
        <v>2071</v>
      </c>
      <c r="DH192" s="48" t="s">
        <v>1712</v>
      </c>
      <c r="DI192" s="48" t="s">
        <v>1710</v>
      </c>
      <c r="DJ192" s="48" t="s">
        <v>1710</v>
      </c>
      <c r="DK192" s="48" t="s">
        <v>1710</v>
      </c>
      <c r="DL192" s="48" t="s">
        <v>1710</v>
      </c>
      <c r="DM192" s="48" t="s">
        <v>1710</v>
      </c>
      <c r="DN192" s="48" t="s">
        <v>1710</v>
      </c>
      <c r="DO192" s="48" t="s">
        <v>1710</v>
      </c>
      <c r="DP192" s="48" t="s">
        <v>1710</v>
      </c>
      <c r="DQ192" s="48" t="s">
        <v>1710</v>
      </c>
      <c r="DR192" s="48" t="s">
        <v>2072</v>
      </c>
      <c r="DS192" s="48" t="s">
        <v>1710</v>
      </c>
      <c r="DT192" s="48" t="s">
        <v>1710</v>
      </c>
      <c r="DU192" s="48" t="s">
        <v>2547</v>
      </c>
      <c r="DV192" s="48" t="s">
        <v>3141</v>
      </c>
      <c r="DW192" s="48" t="s">
        <v>1710</v>
      </c>
      <c r="DX192" s="48" t="s">
        <v>4346</v>
      </c>
      <c r="DY192" s="48" t="s">
        <v>1709</v>
      </c>
      <c r="DZ192" s="48" t="s">
        <v>2562</v>
      </c>
      <c r="EA192" s="48" t="s">
        <v>2546</v>
      </c>
      <c r="EB192">
        <v>0</v>
      </c>
      <c r="EC192" s="48" t="s">
        <v>2547</v>
      </c>
      <c r="ED192" s="48" t="s">
        <v>4347</v>
      </c>
      <c r="EE192" s="48" t="s">
        <v>1814</v>
      </c>
      <c r="EF192" s="48" t="s">
        <v>1872</v>
      </c>
      <c r="EG192" s="48" t="s">
        <v>4343</v>
      </c>
      <c r="EH192">
        <v>16</v>
      </c>
      <c r="EI192" s="48" t="s">
        <v>1888</v>
      </c>
      <c r="EJ192">
        <v>2</v>
      </c>
      <c r="EK192" s="48" t="s">
        <v>1887</v>
      </c>
      <c r="EL192">
        <v>11</v>
      </c>
      <c r="EM192" s="48" t="s">
        <v>1886</v>
      </c>
      <c r="EN192">
        <v>16</v>
      </c>
      <c r="EO192" s="48" t="s">
        <v>2527</v>
      </c>
      <c r="EP192" s="48" t="s">
        <v>4348</v>
      </c>
      <c r="EQ192">
        <v>12293.4</v>
      </c>
      <c r="ER192">
        <v>12293.4</v>
      </c>
      <c r="ES192">
        <v>17863076</v>
      </c>
      <c r="ET192">
        <v>12127</v>
      </c>
      <c r="EU192" s="48" t="s">
        <v>1710</v>
      </c>
      <c r="EV192" s="48" t="s">
        <v>1710</v>
      </c>
      <c r="EW192" s="48" t="s">
        <v>1712</v>
      </c>
      <c r="EX192" s="48" t="s">
        <v>1710</v>
      </c>
      <c r="EY192" s="48" t="s">
        <v>1848</v>
      </c>
      <c r="EZ192" s="48" t="s">
        <v>1710</v>
      </c>
      <c r="FA192" s="48" t="s">
        <v>1710</v>
      </c>
      <c r="FB192" s="48" t="s">
        <v>1712</v>
      </c>
      <c r="FC192" s="48" t="s">
        <v>1710</v>
      </c>
      <c r="FD192" s="48" t="s">
        <v>1710</v>
      </c>
      <c r="FE192" s="48" t="s">
        <v>1814</v>
      </c>
      <c r="FF192" s="48" t="s">
        <v>1815</v>
      </c>
      <c r="FG192" s="48" t="s">
        <v>1710</v>
      </c>
      <c r="FH192">
        <v>1</v>
      </c>
      <c r="FI192" s="48" t="s">
        <v>1846</v>
      </c>
      <c r="FJ192">
        <v>6146.7</v>
      </c>
      <c r="FK192">
        <v>6146.7</v>
      </c>
      <c r="FL192" s="48" t="s">
        <v>4349</v>
      </c>
      <c r="FM192" s="48" t="s">
        <v>4348</v>
      </c>
      <c r="FN192" s="48" t="s">
        <v>1710</v>
      </c>
      <c r="FO192" s="48" t="s">
        <v>1710</v>
      </c>
      <c r="FP192" s="48" t="s">
        <v>1710</v>
      </c>
      <c r="FQ192" s="48" t="s">
        <v>1710</v>
      </c>
      <c r="FR192" s="48" t="s">
        <v>1710</v>
      </c>
      <c r="FS192" s="48" t="s">
        <v>1710</v>
      </c>
      <c r="FT192" s="48" t="s">
        <v>1710</v>
      </c>
      <c r="FU192" s="48" t="s">
        <v>1710</v>
      </c>
      <c r="FV192" s="48"/>
      <c r="FW192" s="56"/>
      <c r="FX192" s="56"/>
      <c r="FY192" s="56"/>
      <c r="FZ192" s="56"/>
      <c r="GA192" s="55" t="str">
        <f t="shared" si="8"/>
        <v>4388426300490X</v>
      </c>
      <c r="GB192" t="str">
        <f>VLOOKUP(B192,수출코드!$C$2:$D$4,2,FALSE)</f>
        <v>Suwon</v>
      </c>
      <c r="GC192" t="str">
        <f>VLOOKUP(L192,수출코드!$A$2:$B$6,2,FALSE)</f>
        <v/>
      </c>
      <c r="GD192" t="str">
        <f>VLOOKUP(M192,수출코드!$E$2:$F$5,2,FALSE)</f>
        <v>일반</v>
      </c>
      <c r="GE192" s="61">
        <f t="shared" si="6"/>
        <v>45975.658333333333</v>
      </c>
      <c r="GF192" s="62">
        <f t="shared" si="7"/>
        <v>46052.386805555558</v>
      </c>
      <c r="GI192" s="48" t="s">
        <v>2729</v>
      </c>
    </row>
    <row r="193" spans="1:191">
      <c r="A193" s="48" t="s">
        <v>4350</v>
      </c>
      <c r="B193" s="48" t="s">
        <v>1821</v>
      </c>
      <c r="C193" s="48" t="s">
        <v>2048</v>
      </c>
      <c r="D193" s="48" t="s">
        <v>2813</v>
      </c>
      <c r="E193" s="48" t="s">
        <v>4350</v>
      </c>
      <c r="F193" s="48" t="s">
        <v>1710</v>
      </c>
      <c r="G193" s="48" t="s">
        <v>2814</v>
      </c>
      <c r="H193" s="48" t="s">
        <v>4351</v>
      </c>
      <c r="I193" s="48" t="s">
        <v>1884</v>
      </c>
      <c r="J193" s="48" t="s">
        <v>2825</v>
      </c>
      <c r="K193" s="48" t="s">
        <v>1877</v>
      </c>
      <c r="L193" s="48" t="s">
        <v>1842</v>
      </c>
      <c r="M193" s="48" t="s">
        <v>1810</v>
      </c>
      <c r="N193" s="48" t="s">
        <v>1842</v>
      </c>
      <c r="O193" s="48" t="s">
        <v>1811</v>
      </c>
      <c r="P193" s="48" t="s">
        <v>2549</v>
      </c>
      <c r="Q193" s="48" t="s">
        <v>2049</v>
      </c>
      <c r="R193" s="48" t="s">
        <v>1838</v>
      </c>
      <c r="S193" s="48" t="s">
        <v>2050</v>
      </c>
      <c r="T193" s="48" t="s">
        <v>1845</v>
      </c>
      <c r="U193" s="48" t="s">
        <v>2049</v>
      </c>
      <c r="V193" s="48" t="s">
        <v>1838</v>
      </c>
      <c r="W193" s="48" t="s">
        <v>2051</v>
      </c>
      <c r="X193" s="48" t="s">
        <v>2052</v>
      </c>
      <c r="Y193" s="48" t="s">
        <v>2050</v>
      </c>
      <c r="Z193" s="48" t="s">
        <v>2053</v>
      </c>
      <c r="AA193" s="48" t="s">
        <v>2054</v>
      </c>
      <c r="AB193" s="48" t="s">
        <v>2817</v>
      </c>
      <c r="AC193" s="48" t="s">
        <v>2055</v>
      </c>
      <c r="AD193" s="48" t="s">
        <v>2056</v>
      </c>
      <c r="AE193" s="48" t="s">
        <v>1710</v>
      </c>
      <c r="AF193" s="48" t="s">
        <v>1710</v>
      </c>
      <c r="AG193" s="48" t="s">
        <v>2057</v>
      </c>
      <c r="AH193" s="48" t="s">
        <v>1815</v>
      </c>
      <c r="AI193" s="48" t="s">
        <v>2058</v>
      </c>
      <c r="AJ193" s="48" t="s">
        <v>1710</v>
      </c>
      <c r="AK193" s="48" t="s">
        <v>2565</v>
      </c>
      <c r="AL193" s="48" t="s">
        <v>2557</v>
      </c>
      <c r="AM193" s="48" t="s">
        <v>1816</v>
      </c>
      <c r="AN193" s="48" t="s">
        <v>2054</v>
      </c>
      <c r="AO193" s="48" t="s">
        <v>1710</v>
      </c>
      <c r="AP193" s="48" t="s">
        <v>1855</v>
      </c>
      <c r="AQ193" s="48" t="s">
        <v>2076</v>
      </c>
      <c r="AR193" s="48" t="s">
        <v>1812</v>
      </c>
      <c r="AS193" s="48" t="s">
        <v>1813</v>
      </c>
      <c r="AT193" s="48" t="s">
        <v>1826</v>
      </c>
      <c r="AU193" s="48" t="s">
        <v>2061</v>
      </c>
      <c r="AV193" s="48" t="s">
        <v>2825</v>
      </c>
      <c r="AW193" s="48" t="s">
        <v>2062</v>
      </c>
      <c r="AX193" s="48" t="s">
        <v>2063</v>
      </c>
      <c r="AY193" s="48" t="s">
        <v>1710</v>
      </c>
      <c r="AZ193" s="48" t="s">
        <v>4352</v>
      </c>
      <c r="BA193" s="48" t="s">
        <v>1710</v>
      </c>
      <c r="BB193" s="48" t="s">
        <v>1709</v>
      </c>
      <c r="BC193" s="48" t="s">
        <v>1710</v>
      </c>
      <c r="BD193" s="48" t="s">
        <v>2837</v>
      </c>
      <c r="BE193" s="52" t="s">
        <v>4344</v>
      </c>
      <c r="BF193" s="48" t="s">
        <v>1710</v>
      </c>
      <c r="BG193" s="48" t="s">
        <v>1818</v>
      </c>
      <c r="BH193">
        <v>57</v>
      </c>
      <c r="BI193" s="48" t="s">
        <v>1888</v>
      </c>
      <c r="BJ193">
        <v>3</v>
      </c>
      <c r="BK193">
        <v>1473.06</v>
      </c>
      <c r="BL193">
        <v>72664223</v>
      </c>
      <c r="BM193">
        <v>49329</v>
      </c>
      <c r="BN193" s="48" t="s">
        <v>2064</v>
      </c>
      <c r="BO193" s="48" t="s">
        <v>2065</v>
      </c>
      <c r="BP193">
        <v>1473.06</v>
      </c>
      <c r="BQ193">
        <v>49518.57</v>
      </c>
      <c r="BR193" s="48" t="s">
        <v>1885</v>
      </c>
      <c r="BS193" s="48" t="s">
        <v>2066</v>
      </c>
      <c r="BT193">
        <v>1</v>
      </c>
      <c r="BU193">
        <v>279600</v>
      </c>
      <c r="BV193">
        <v>279600</v>
      </c>
      <c r="BW193" s="48" t="s">
        <v>2065</v>
      </c>
      <c r="BX193">
        <v>1473.06</v>
      </c>
      <c r="BY193">
        <v>0</v>
      </c>
      <c r="BZ193">
        <v>0</v>
      </c>
      <c r="CA193" s="48" t="s">
        <v>2065</v>
      </c>
      <c r="CB193">
        <v>1473.06</v>
      </c>
      <c r="CC193">
        <v>0</v>
      </c>
      <c r="CD193">
        <v>0</v>
      </c>
      <c r="CE193" s="48" t="s">
        <v>1710</v>
      </c>
      <c r="CF193" s="48" t="s">
        <v>1710</v>
      </c>
      <c r="CG193" s="48" t="s">
        <v>1710</v>
      </c>
      <c r="CH193" s="48" t="s">
        <v>1710</v>
      </c>
      <c r="CI193" s="48" t="s">
        <v>2067</v>
      </c>
      <c r="CJ193" s="48" t="s">
        <v>1710</v>
      </c>
      <c r="CL193" s="48" t="s">
        <v>2825</v>
      </c>
      <c r="CM193" s="48" t="s">
        <v>1710</v>
      </c>
      <c r="CN193" s="48" t="s">
        <v>2068</v>
      </c>
      <c r="CO193" s="48" t="s">
        <v>2069</v>
      </c>
      <c r="CP193" s="48" t="s">
        <v>1710</v>
      </c>
      <c r="CQ193" s="48" t="s">
        <v>1710</v>
      </c>
      <c r="CR193" s="48" t="s">
        <v>1710</v>
      </c>
      <c r="CS193" s="48" t="s">
        <v>1710</v>
      </c>
      <c r="CT193" s="48" t="s">
        <v>1710</v>
      </c>
      <c r="CU193" s="48" t="s">
        <v>1712</v>
      </c>
      <c r="CV193" s="48" t="s">
        <v>1710</v>
      </c>
      <c r="CW193" s="48" t="s">
        <v>1710</v>
      </c>
      <c r="CX193" s="48" t="s">
        <v>3167</v>
      </c>
      <c r="CY193" s="48" t="s">
        <v>1710</v>
      </c>
      <c r="CZ193" s="48" t="s">
        <v>1712</v>
      </c>
      <c r="DA193" s="48" t="s">
        <v>1710</v>
      </c>
      <c r="DB193" s="48" t="s">
        <v>1878</v>
      </c>
      <c r="DC193" s="48" t="s">
        <v>2070</v>
      </c>
      <c r="DD193" s="48" t="s">
        <v>1842</v>
      </c>
      <c r="DE193" s="48" t="s">
        <v>1886</v>
      </c>
      <c r="DF193" s="48" t="s">
        <v>4353</v>
      </c>
      <c r="DG193" s="48" t="s">
        <v>2071</v>
      </c>
      <c r="DH193" s="48" t="s">
        <v>1712</v>
      </c>
      <c r="DI193" s="48" t="s">
        <v>1710</v>
      </c>
      <c r="DJ193" s="48" t="s">
        <v>1710</v>
      </c>
      <c r="DK193" s="48" t="s">
        <v>1710</v>
      </c>
      <c r="DL193" s="48" t="s">
        <v>1710</v>
      </c>
      <c r="DM193" s="48" t="s">
        <v>1710</v>
      </c>
      <c r="DN193" s="48" t="s">
        <v>1710</v>
      </c>
      <c r="DO193" s="48" t="s">
        <v>1710</v>
      </c>
      <c r="DP193" s="48" t="s">
        <v>1710</v>
      </c>
      <c r="DQ193" s="48" t="s">
        <v>1710</v>
      </c>
      <c r="DR193" s="48" t="s">
        <v>2072</v>
      </c>
      <c r="DS193" s="48" t="s">
        <v>1710</v>
      </c>
      <c r="DT193" s="48" t="s">
        <v>1710</v>
      </c>
      <c r="DU193" s="48" t="s">
        <v>2547</v>
      </c>
      <c r="DV193" s="48" t="s">
        <v>3206</v>
      </c>
      <c r="DW193" s="48" t="s">
        <v>1710</v>
      </c>
      <c r="DX193" s="48" t="s">
        <v>4354</v>
      </c>
      <c r="DY193" s="48" t="s">
        <v>1709</v>
      </c>
      <c r="DZ193" s="48" t="s">
        <v>2562</v>
      </c>
      <c r="EA193" s="48" t="s">
        <v>2546</v>
      </c>
      <c r="EB193">
        <v>0</v>
      </c>
      <c r="EC193" s="48" t="s">
        <v>2547</v>
      </c>
      <c r="ED193" s="48" t="s">
        <v>4355</v>
      </c>
      <c r="EE193" s="48" t="s">
        <v>1814</v>
      </c>
      <c r="EF193" s="48" t="s">
        <v>1876</v>
      </c>
      <c r="EG193" s="48" t="s">
        <v>4352</v>
      </c>
      <c r="EH193">
        <v>20</v>
      </c>
      <c r="EI193" s="48" t="s">
        <v>1888</v>
      </c>
      <c r="EJ193">
        <v>0</v>
      </c>
      <c r="EK193" s="48" t="s">
        <v>1710</v>
      </c>
      <c r="EL193">
        <v>3</v>
      </c>
      <c r="EM193" s="48" t="s">
        <v>1886</v>
      </c>
      <c r="EN193">
        <v>20</v>
      </c>
      <c r="EO193" s="48" t="s">
        <v>2722</v>
      </c>
      <c r="EP193" s="48" t="s">
        <v>4356</v>
      </c>
      <c r="EQ193">
        <v>26945.599999999999</v>
      </c>
      <c r="ER193">
        <v>26945.599999999999</v>
      </c>
      <c r="ES193">
        <v>39540340</v>
      </c>
      <c r="ET193">
        <v>26842</v>
      </c>
      <c r="EU193" s="48" t="s">
        <v>1710</v>
      </c>
      <c r="EV193" s="48" t="s">
        <v>1710</v>
      </c>
      <c r="EW193" s="48" t="s">
        <v>1712</v>
      </c>
      <c r="EX193" s="48" t="s">
        <v>1710</v>
      </c>
      <c r="EY193" s="48" t="s">
        <v>1855</v>
      </c>
      <c r="EZ193" s="48" t="s">
        <v>1710</v>
      </c>
      <c r="FA193" s="48" t="s">
        <v>1710</v>
      </c>
      <c r="FB193" s="48" t="s">
        <v>1712</v>
      </c>
      <c r="FC193" s="48" t="s">
        <v>1710</v>
      </c>
      <c r="FD193" s="48" t="s">
        <v>1710</v>
      </c>
      <c r="FE193" s="48" t="s">
        <v>1814</v>
      </c>
      <c r="FF193" s="48" t="s">
        <v>1815</v>
      </c>
      <c r="FG193" s="48" t="s">
        <v>1710</v>
      </c>
      <c r="FH193">
        <v>1</v>
      </c>
      <c r="FI193" s="48" t="s">
        <v>1846</v>
      </c>
      <c r="FJ193">
        <v>26945.599999999999</v>
      </c>
      <c r="FK193">
        <v>26945.599999999999</v>
      </c>
      <c r="FL193" s="48" t="s">
        <v>4357</v>
      </c>
      <c r="FM193" s="48" t="s">
        <v>4356</v>
      </c>
      <c r="FN193" s="48" t="s">
        <v>1710</v>
      </c>
      <c r="FO193" s="48" t="s">
        <v>1710</v>
      </c>
      <c r="FP193" s="48" t="s">
        <v>1710</v>
      </c>
      <c r="FQ193" s="48" t="s">
        <v>1710</v>
      </c>
      <c r="FR193" s="48" t="s">
        <v>1710</v>
      </c>
      <c r="FS193" s="48" t="s">
        <v>1710</v>
      </c>
      <c r="FT193" s="48" t="s">
        <v>1710</v>
      </c>
      <c r="FU193" s="48" t="s">
        <v>1710</v>
      </c>
      <c r="FV193" s="48"/>
      <c r="FW193" s="56"/>
      <c r="FX193" s="56"/>
      <c r="FY193" s="56"/>
      <c r="FZ193" s="56"/>
      <c r="GA193" s="55" t="str">
        <f t="shared" si="8"/>
        <v>4388426300491X</v>
      </c>
      <c r="GB193" t="str">
        <f>VLOOKUP(B193,수출코드!$C$2:$D$4,2,FALSE)</f>
        <v>Suwon</v>
      </c>
      <c r="GC193" t="str">
        <f>VLOOKUP(L193,수출코드!$A$2:$B$6,2,FALSE)</f>
        <v/>
      </c>
      <c r="GD193" t="str">
        <f>VLOOKUP(M193,수출코드!$E$2:$F$5,2,FALSE)</f>
        <v>일반</v>
      </c>
      <c r="GE193" s="61">
        <f t="shared" si="6"/>
        <v>45975.658333333333</v>
      </c>
      <c r="GF193" s="62">
        <f t="shared" si="7"/>
        <v>46052.38958333333</v>
      </c>
      <c r="GI193" s="48" t="s">
        <v>2729</v>
      </c>
    </row>
    <row r="194" spans="1:191">
      <c r="A194" s="48" t="s">
        <v>4358</v>
      </c>
      <c r="B194" s="48" t="s">
        <v>1821</v>
      </c>
      <c r="C194" s="48" t="s">
        <v>2048</v>
      </c>
      <c r="D194" s="48" t="s">
        <v>2813</v>
      </c>
      <c r="E194" s="48" t="s">
        <v>4358</v>
      </c>
      <c r="F194" s="48" t="s">
        <v>1710</v>
      </c>
      <c r="G194" s="48" t="s">
        <v>2814</v>
      </c>
      <c r="H194" s="48" t="s">
        <v>4359</v>
      </c>
      <c r="I194" s="48" t="s">
        <v>1884</v>
      </c>
      <c r="J194" s="48" t="s">
        <v>2825</v>
      </c>
      <c r="K194" s="48" t="s">
        <v>1877</v>
      </c>
      <c r="L194" s="48" t="s">
        <v>1842</v>
      </c>
      <c r="M194" s="48" t="s">
        <v>1810</v>
      </c>
      <c r="N194" s="48" t="s">
        <v>1842</v>
      </c>
      <c r="O194" s="48" t="s">
        <v>1811</v>
      </c>
      <c r="P194" s="48" t="s">
        <v>2549</v>
      </c>
      <c r="Q194" s="48" t="s">
        <v>2049</v>
      </c>
      <c r="R194" s="48" t="s">
        <v>1838</v>
      </c>
      <c r="S194" s="48" t="s">
        <v>2050</v>
      </c>
      <c r="T194" s="48" t="s">
        <v>1845</v>
      </c>
      <c r="U194" s="48" t="s">
        <v>2049</v>
      </c>
      <c r="V194" s="48" t="s">
        <v>1838</v>
      </c>
      <c r="W194" s="48" t="s">
        <v>2051</v>
      </c>
      <c r="X194" s="48" t="s">
        <v>2052</v>
      </c>
      <c r="Y194" s="48" t="s">
        <v>2050</v>
      </c>
      <c r="Z194" s="48" t="s">
        <v>2053</v>
      </c>
      <c r="AA194" s="48" t="s">
        <v>2054</v>
      </c>
      <c r="AB194" s="48" t="s">
        <v>2817</v>
      </c>
      <c r="AC194" s="48" t="s">
        <v>2055</v>
      </c>
      <c r="AD194" s="48" t="s">
        <v>2056</v>
      </c>
      <c r="AE194" s="48" t="s">
        <v>1710</v>
      </c>
      <c r="AF194" s="48" t="s">
        <v>1710</v>
      </c>
      <c r="AG194" s="48" t="s">
        <v>2057</v>
      </c>
      <c r="AH194" s="48" t="s">
        <v>1815</v>
      </c>
      <c r="AI194" s="48" t="s">
        <v>2058</v>
      </c>
      <c r="AJ194" s="48" t="s">
        <v>1710</v>
      </c>
      <c r="AK194" s="48" t="s">
        <v>2077</v>
      </c>
      <c r="AL194" s="48" t="s">
        <v>1858</v>
      </c>
      <c r="AM194" s="48" t="s">
        <v>1816</v>
      </c>
      <c r="AN194" s="48" t="s">
        <v>2054</v>
      </c>
      <c r="AO194" s="48" t="s">
        <v>1710</v>
      </c>
      <c r="AP194" s="48" t="s">
        <v>1848</v>
      </c>
      <c r="AQ194" s="48" t="s">
        <v>2060</v>
      </c>
      <c r="AR194" s="48" t="s">
        <v>1812</v>
      </c>
      <c r="AS194" s="48" t="s">
        <v>1813</v>
      </c>
      <c r="AT194" s="48" t="s">
        <v>1826</v>
      </c>
      <c r="AU194" s="48" t="s">
        <v>2061</v>
      </c>
      <c r="AV194" s="48" t="s">
        <v>2825</v>
      </c>
      <c r="AW194" s="48" t="s">
        <v>2062</v>
      </c>
      <c r="AX194" s="48" t="s">
        <v>2063</v>
      </c>
      <c r="AY194" s="48" t="s">
        <v>1710</v>
      </c>
      <c r="AZ194" s="48" t="s">
        <v>4360</v>
      </c>
      <c r="BA194" s="48" t="s">
        <v>1710</v>
      </c>
      <c r="BB194" s="48" t="s">
        <v>1709</v>
      </c>
      <c r="BC194" s="48" t="s">
        <v>1710</v>
      </c>
      <c r="BD194" s="48" t="s">
        <v>2837</v>
      </c>
      <c r="BE194" s="52" t="s">
        <v>4344</v>
      </c>
      <c r="BF194" s="48" t="s">
        <v>1710</v>
      </c>
      <c r="BG194" s="48" t="s">
        <v>1814</v>
      </c>
      <c r="BH194">
        <v>13</v>
      </c>
      <c r="BI194" s="48" t="s">
        <v>1888</v>
      </c>
      <c r="BJ194">
        <v>1</v>
      </c>
      <c r="BK194">
        <v>1473.06</v>
      </c>
      <c r="BL194">
        <v>10834054</v>
      </c>
      <c r="BM194">
        <v>7355</v>
      </c>
      <c r="BN194" s="48" t="s">
        <v>2064</v>
      </c>
      <c r="BO194" s="48" t="s">
        <v>2065</v>
      </c>
      <c r="BP194">
        <v>1473.06</v>
      </c>
      <c r="BQ194">
        <v>7488.53</v>
      </c>
      <c r="BR194" s="48" t="s">
        <v>1885</v>
      </c>
      <c r="BS194" s="48" t="s">
        <v>2066</v>
      </c>
      <c r="BT194">
        <v>1</v>
      </c>
      <c r="BU194">
        <v>197000</v>
      </c>
      <c r="BV194">
        <v>197000</v>
      </c>
      <c r="BW194" s="48" t="s">
        <v>2065</v>
      </c>
      <c r="BX194">
        <v>1473.06</v>
      </c>
      <c r="BY194">
        <v>0</v>
      </c>
      <c r="BZ194">
        <v>0</v>
      </c>
      <c r="CA194" s="48" t="s">
        <v>2065</v>
      </c>
      <c r="CB194">
        <v>1473.06</v>
      </c>
      <c r="CC194">
        <v>0</v>
      </c>
      <c r="CD194">
        <v>0</v>
      </c>
      <c r="CE194" s="48" t="s">
        <v>1710</v>
      </c>
      <c r="CF194" s="48" t="s">
        <v>1710</v>
      </c>
      <c r="CG194" s="48" t="s">
        <v>1710</v>
      </c>
      <c r="CH194" s="48" t="s">
        <v>1710</v>
      </c>
      <c r="CI194" s="48" t="s">
        <v>2067</v>
      </c>
      <c r="CJ194" s="48" t="s">
        <v>1710</v>
      </c>
      <c r="CL194" s="48" t="s">
        <v>2825</v>
      </c>
      <c r="CM194" s="48" t="s">
        <v>1710</v>
      </c>
      <c r="CN194" s="48" t="s">
        <v>2068</v>
      </c>
      <c r="CO194" s="48" t="s">
        <v>2069</v>
      </c>
      <c r="CP194" s="48" t="s">
        <v>1710</v>
      </c>
      <c r="CQ194" s="48" t="s">
        <v>1710</v>
      </c>
      <c r="CR194" s="48" t="s">
        <v>1710</v>
      </c>
      <c r="CS194" s="48" t="s">
        <v>1710</v>
      </c>
      <c r="CT194" s="48" t="s">
        <v>1710</v>
      </c>
      <c r="CU194" s="48" t="s">
        <v>1712</v>
      </c>
      <c r="CV194" s="48" t="s">
        <v>1710</v>
      </c>
      <c r="CW194" s="48" t="s">
        <v>1710</v>
      </c>
      <c r="CX194" s="48" t="s">
        <v>3167</v>
      </c>
      <c r="CY194" s="48" t="s">
        <v>1710</v>
      </c>
      <c r="CZ194" s="48" t="s">
        <v>1712</v>
      </c>
      <c r="DA194" s="48" t="s">
        <v>1710</v>
      </c>
      <c r="DB194" s="48" t="s">
        <v>1878</v>
      </c>
      <c r="DC194" s="48" t="s">
        <v>2070</v>
      </c>
      <c r="DD194" s="48" t="s">
        <v>1842</v>
      </c>
      <c r="DE194" s="48" t="s">
        <v>1886</v>
      </c>
      <c r="DF194" s="48" t="s">
        <v>4361</v>
      </c>
      <c r="DG194" s="48" t="s">
        <v>2071</v>
      </c>
      <c r="DH194" s="48" t="s">
        <v>1712</v>
      </c>
      <c r="DI194" s="48" t="s">
        <v>1710</v>
      </c>
      <c r="DJ194" s="48" t="s">
        <v>1710</v>
      </c>
      <c r="DK194" s="48" t="s">
        <v>1710</v>
      </c>
      <c r="DL194" s="48" t="s">
        <v>1710</v>
      </c>
      <c r="DM194" s="48" t="s">
        <v>1710</v>
      </c>
      <c r="DN194" s="48" t="s">
        <v>1710</v>
      </c>
      <c r="DO194" s="48" t="s">
        <v>1710</v>
      </c>
      <c r="DP194" s="48" t="s">
        <v>1710</v>
      </c>
      <c r="DQ194" s="48" t="s">
        <v>1710</v>
      </c>
      <c r="DR194" s="48" t="s">
        <v>2072</v>
      </c>
      <c r="DS194" s="48" t="s">
        <v>1710</v>
      </c>
      <c r="DT194" s="48" t="s">
        <v>1710</v>
      </c>
      <c r="DU194" s="48" t="s">
        <v>2547</v>
      </c>
      <c r="DV194" s="48" t="s">
        <v>3141</v>
      </c>
      <c r="DW194" s="48" t="s">
        <v>1710</v>
      </c>
      <c r="DX194" s="48" t="s">
        <v>4362</v>
      </c>
      <c r="DY194" s="48" t="s">
        <v>1709</v>
      </c>
      <c r="DZ194" s="48" t="s">
        <v>2562</v>
      </c>
      <c r="EA194" s="48" t="s">
        <v>2546</v>
      </c>
      <c r="EB194">
        <v>0</v>
      </c>
      <c r="EC194" s="48" t="s">
        <v>2547</v>
      </c>
      <c r="ED194" s="48" t="s">
        <v>4355</v>
      </c>
      <c r="EE194" s="48" t="s">
        <v>1814</v>
      </c>
      <c r="EF194" s="48" t="s">
        <v>1881</v>
      </c>
      <c r="EG194" s="48" t="s">
        <v>4360</v>
      </c>
      <c r="EH194">
        <v>12</v>
      </c>
      <c r="EI194" s="48" t="s">
        <v>1888</v>
      </c>
      <c r="EJ194">
        <v>0</v>
      </c>
      <c r="EK194" s="48" t="s">
        <v>1710</v>
      </c>
      <c r="EL194">
        <v>1</v>
      </c>
      <c r="EM194" s="48" t="s">
        <v>1886</v>
      </c>
      <c r="EN194">
        <v>12</v>
      </c>
      <c r="EO194" s="48" t="s">
        <v>2601</v>
      </c>
      <c r="EP194" s="48" t="s">
        <v>4363</v>
      </c>
      <c r="EQ194">
        <v>7488.53</v>
      </c>
      <c r="ER194">
        <v>7488.53</v>
      </c>
      <c r="ES194">
        <v>10834054</v>
      </c>
      <c r="ET194">
        <v>7355</v>
      </c>
      <c r="EU194" s="48" t="s">
        <v>1710</v>
      </c>
      <c r="EV194" s="48" t="s">
        <v>1710</v>
      </c>
      <c r="EW194" s="48" t="s">
        <v>1712</v>
      </c>
      <c r="EX194" s="48" t="s">
        <v>1710</v>
      </c>
      <c r="EY194" s="48" t="s">
        <v>1848</v>
      </c>
      <c r="EZ194" s="48" t="s">
        <v>1710</v>
      </c>
      <c r="FA194" s="48" t="s">
        <v>1710</v>
      </c>
      <c r="FB194" s="48" t="s">
        <v>1712</v>
      </c>
      <c r="FC194" s="48" t="s">
        <v>1710</v>
      </c>
      <c r="FD194" s="48" t="s">
        <v>1710</v>
      </c>
      <c r="FE194" s="48" t="s">
        <v>1814</v>
      </c>
      <c r="FF194" s="48" t="s">
        <v>1815</v>
      </c>
      <c r="FG194" s="48" t="s">
        <v>1710</v>
      </c>
      <c r="FH194">
        <v>1</v>
      </c>
      <c r="FI194" s="48" t="s">
        <v>1846</v>
      </c>
      <c r="FJ194">
        <v>7488.53</v>
      </c>
      <c r="FK194">
        <v>7488.53</v>
      </c>
      <c r="FL194" s="48" t="s">
        <v>4364</v>
      </c>
      <c r="FM194" s="48" t="s">
        <v>4363</v>
      </c>
      <c r="FN194" s="48" t="s">
        <v>1710</v>
      </c>
      <c r="FO194" s="48" t="s">
        <v>1710</v>
      </c>
      <c r="FP194" s="48" t="s">
        <v>1710</v>
      </c>
      <c r="FQ194" s="48" t="s">
        <v>1710</v>
      </c>
      <c r="FR194" s="48" t="s">
        <v>1710</v>
      </c>
      <c r="FS194" s="48" t="s">
        <v>1710</v>
      </c>
      <c r="FT194" s="48" t="s">
        <v>1710</v>
      </c>
      <c r="FU194" s="48" t="s">
        <v>1710</v>
      </c>
      <c r="FV194" s="48"/>
      <c r="FW194" s="56"/>
      <c r="FX194" s="56"/>
      <c r="FY194" s="56"/>
      <c r="FZ194" s="56"/>
      <c r="GA194" s="55" t="str">
        <f t="shared" si="8"/>
        <v>4388426300492X</v>
      </c>
      <c r="GB194" t="str">
        <f>VLOOKUP(B194,수출코드!$C$2:$D$4,2,FALSE)</f>
        <v>Suwon</v>
      </c>
      <c r="GC194" t="str">
        <f>VLOOKUP(L194,수출코드!$A$2:$B$6,2,FALSE)</f>
        <v/>
      </c>
      <c r="GD194" t="str">
        <f>VLOOKUP(M194,수출코드!$E$2:$F$5,2,FALSE)</f>
        <v>일반</v>
      </c>
      <c r="GE194" s="61">
        <f t="shared" si="6"/>
        <v>45975.658333333333</v>
      </c>
      <c r="GF194" s="62">
        <f t="shared" si="7"/>
        <v>46052.38958333333</v>
      </c>
      <c r="GI194" s="48" t="s">
        <v>2729</v>
      </c>
    </row>
    <row r="195" spans="1:191">
      <c r="A195" s="48" t="s">
        <v>4365</v>
      </c>
      <c r="B195" s="48" t="s">
        <v>1821</v>
      </c>
      <c r="C195" s="48" t="s">
        <v>2048</v>
      </c>
      <c r="D195" s="48" t="s">
        <v>2813</v>
      </c>
      <c r="E195" s="48" t="s">
        <v>4365</v>
      </c>
      <c r="F195" s="48" t="s">
        <v>1710</v>
      </c>
      <c r="G195" s="48" t="s">
        <v>2814</v>
      </c>
      <c r="H195" s="48" t="s">
        <v>4366</v>
      </c>
      <c r="I195" s="48" t="s">
        <v>1884</v>
      </c>
      <c r="J195" s="48" t="s">
        <v>2825</v>
      </c>
      <c r="K195" s="48" t="s">
        <v>1877</v>
      </c>
      <c r="L195" s="48" t="s">
        <v>1842</v>
      </c>
      <c r="M195" s="48" t="s">
        <v>1810</v>
      </c>
      <c r="N195" s="48" t="s">
        <v>1842</v>
      </c>
      <c r="O195" s="48" t="s">
        <v>1811</v>
      </c>
      <c r="P195" s="48" t="s">
        <v>2549</v>
      </c>
      <c r="Q195" s="48" t="s">
        <v>2049</v>
      </c>
      <c r="R195" s="48" t="s">
        <v>1838</v>
      </c>
      <c r="S195" s="48" t="s">
        <v>2050</v>
      </c>
      <c r="T195" s="48" t="s">
        <v>1845</v>
      </c>
      <c r="U195" s="48" t="s">
        <v>2049</v>
      </c>
      <c r="V195" s="48" t="s">
        <v>1838</v>
      </c>
      <c r="W195" s="48" t="s">
        <v>2051</v>
      </c>
      <c r="X195" s="48" t="s">
        <v>2052</v>
      </c>
      <c r="Y195" s="48" t="s">
        <v>2050</v>
      </c>
      <c r="Z195" s="48" t="s">
        <v>2053</v>
      </c>
      <c r="AA195" s="48" t="s">
        <v>2054</v>
      </c>
      <c r="AB195" s="48" t="s">
        <v>2817</v>
      </c>
      <c r="AC195" s="48" t="s">
        <v>2055</v>
      </c>
      <c r="AD195" s="48" t="s">
        <v>2056</v>
      </c>
      <c r="AE195" s="48" t="s">
        <v>1710</v>
      </c>
      <c r="AF195" s="48" t="s">
        <v>1710</v>
      </c>
      <c r="AG195" s="48" t="s">
        <v>2057</v>
      </c>
      <c r="AH195" s="48" t="s">
        <v>1815</v>
      </c>
      <c r="AI195" s="48" t="s">
        <v>2058</v>
      </c>
      <c r="AJ195" s="48" t="s">
        <v>1710</v>
      </c>
      <c r="AK195" s="48" t="s">
        <v>2558</v>
      </c>
      <c r="AL195" s="48" t="s">
        <v>1882</v>
      </c>
      <c r="AM195" s="48" t="s">
        <v>1816</v>
      </c>
      <c r="AN195" s="48" t="s">
        <v>2054</v>
      </c>
      <c r="AO195" s="48" t="s">
        <v>1710</v>
      </c>
      <c r="AP195" s="48" t="s">
        <v>1851</v>
      </c>
      <c r="AQ195" s="48" t="s">
        <v>2083</v>
      </c>
      <c r="AR195" s="48" t="s">
        <v>1812</v>
      </c>
      <c r="AS195" s="48" t="s">
        <v>1813</v>
      </c>
      <c r="AT195" s="48" t="s">
        <v>1826</v>
      </c>
      <c r="AU195" s="48" t="s">
        <v>2061</v>
      </c>
      <c r="AV195" s="48" t="s">
        <v>2825</v>
      </c>
      <c r="AW195" s="48" t="s">
        <v>2062</v>
      </c>
      <c r="AX195" s="48" t="s">
        <v>2063</v>
      </c>
      <c r="AY195" s="48" t="s">
        <v>1710</v>
      </c>
      <c r="AZ195" s="48" t="s">
        <v>4367</v>
      </c>
      <c r="BA195" s="48" t="s">
        <v>1710</v>
      </c>
      <c r="BB195" s="48" t="s">
        <v>1709</v>
      </c>
      <c r="BC195" s="48" t="s">
        <v>1710</v>
      </c>
      <c r="BD195" s="48" t="s">
        <v>2837</v>
      </c>
      <c r="BE195" s="52" t="s">
        <v>4344</v>
      </c>
      <c r="BF195" s="48" t="s">
        <v>1710</v>
      </c>
      <c r="BG195" s="48" t="s">
        <v>1814</v>
      </c>
      <c r="BH195">
        <v>104</v>
      </c>
      <c r="BI195" s="48" t="s">
        <v>1888</v>
      </c>
      <c r="BJ195">
        <v>2</v>
      </c>
      <c r="BK195">
        <v>1473.06</v>
      </c>
      <c r="BL195">
        <v>82356667</v>
      </c>
      <c r="BM195">
        <v>55909</v>
      </c>
      <c r="BN195" s="48" t="s">
        <v>2064</v>
      </c>
      <c r="BO195" s="48" t="s">
        <v>2065</v>
      </c>
      <c r="BP195">
        <v>1473.06</v>
      </c>
      <c r="BQ195">
        <v>56764.74</v>
      </c>
      <c r="BR195" s="48" t="s">
        <v>1885</v>
      </c>
      <c r="BS195" s="48" t="s">
        <v>2066</v>
      </c>
      <c r="BT195">
        <v>1</v>
      </c>
      <c r="BU195">
        <v>1261200</v>
      </c>
      <c r="BV195">
        <v>1261200</v>
      </c>
      <c r="BW195" s="48" t="s">
        <v>2065</v>
      </c>
      <c r="BX195">
        <v>1473.06</v>
      </c>
      <c r="BY195">
        <v>0</v>
      </c>
      <c r="BZ195">
        <v>0</v>
      </c>
      <c r="CA195" s="48" t="s">
        <v>2065</v>
      </c>
      <c r="CB195">
        <v>1473.06</v>
      </c>
      <c r="CC195">
        <v>0</v>
      </c>
      <c r="CD195">
        <v>0</v>
      </c>
      <c r="CE195" s="48" t="s">
        <v>1710</v>
      </c>
      <c r="CF195" s="48" t="s">
        <v>1710</v>
      </c>
      <c r="CG195" s="48" t="s">
        <v>1710</v>
      </c>
      <c r="CH195" s="48" t="s">
        <v>1710</v>
      </c>
      <c r="CI195" s="48" t="s">
        <v>2067</v>
      </c>
      <c r="CJ195" s="48" t="s">
        <v>1710</v>
      </c>
      <c r="CL195" s="48" t="s">
        <v>2825</v>
      </c>
      <c r="CM195" s="48" t="s">
        <v>1710</v>
      </c>
      <c r="CN195" s="48" t="s">
        <v>2068</v>
      </c>
      <c r="CO195" s="48" t="s">
        <v>2069</v>
      </c>
      <c r="CP195" s="48" t="s">
        <v>1710</v>
      </c>
      <c r="CQ195" s="48" t="s">
        <v>1710</v>
      </c>
      <c r="CR195" s="48" t="s">
        <v>1710</v>
      </c>
      <c r="CS195" s="48" t="s">
        <v>1710</v>
      </c>
      <c r="CT195" s="48" t="s">
        <v>1710</v>
      </c>
      <c r="CU195" s="48" t="s">
        <v>1712</v>
      </c>
      <c r="CV195" s="48" t="s">
        <v>1710</v>
      </c>
      <c r="CW195" s="48" t="s">
        <v>1710</v>
      </c>
      <c r="CX195" s="48" t="s">
        <v>3167</v>
      </c>
      <c r="CY195" s="48" t="s">
        <v>1710</v>
      </c>
      <c r="CZ195" s="48" t="s">
        <v>1712</v>
      </c>
      <c r="DA195" s="48" t="s">
        <v>1710</v>
      </c>
      <c r="DB195" s="48" t="s">
        <v>1878</v>
      </c>
      <c r="DC195" s="48" t="s">
        <v>2070</v>
      </c>
      <c r="DD195" s="48" t="s">
        <v>1842</v>
      </c>
      <c r="DE195" s="48" t="s">
        <v>1886</v>
      </c>
      <c r="DF195" s="48" t="s">
        <v>4368</v>
      </c>
      <c r="DG195" s="48" t="s">
        <v>2071</v>
      </c>
      <c r="DH195" s="48" t="s">
        <v>1712</v>
      </c>
      <c r="DI195" s="48" t="s">
        <v>1710</v>
      </c>
      <c r="DJ195" s="48" t="s">
        <v>1710</v>
      </c>
      <c r="DK195" s="48" t="s">
        <v>1710</v>
      </c>
      <c r="DL195" s="48" t="s">
        <v>1710</v>
      </c>
      <c r="DM195" s="48" t="s">
        <v>1710</v>
      </c>
      <c r="DN195" s="48" t="s">
        <v>1710</v>
      </c>
      <c r="DO195" s="48" t="s">
        <v>1710</v>
      </c>
      <c r="DP195" s="48" t="s">
        <v>1710</v>
      </c>
      <c r="DQ195" s="48" t="s">
        <v>1710</v>
      </c>
      <c r="DR195" s="48" t="s">
        <v>2072</v>
      </c>
      <c r="DS195" s="48" t="s">
        <v>1710</v>
      </c>
      <c r="DT195" s="48" t="s">
        <v>1710</v>
      </c>
      <c r="DU195" s="48" t="s">
        <v>2547</v>
      </c>
      <c r="DV195" s="48" t="s">
        <v>1710</v>
      </c>
      <c r="DW195" s="48" t="s">
        <v>1710</v>
      </c>
      <c r="DX195" s="48" t="s">
        <v>1710</v>
      </c>
      <c r="DY195" s="48" t="s">
        <v>1710</v>
      </c>
      <c r="DZ195" s="48" t="s">
        <v>2562</v>
      </c>
      <c r="EA195" s="48" t="s">
        <v>2546</v>
      </c>
      <c r="EB195">
        <v>0</v>
      </c>
      <c r="EC195" s="48" t="s">
        <v>2547</v>
      </c>
      <c r="ED195" s="48" t="s">
        <v>4369</v>
      </c>
      <c r="EE195" s="48" t="s">
        <v>1814</v>
      </c>
      <c r="EF195" s="48" t="s">
        <v>2555</v>
      </c>
      <c r="EG195" s="48" t="s">
        <v>4367</v>
      </c>
      <c r="EH195">
        <v>50</v>
      </c>
      <c r="EI195" s="48" t="s">
        <v>1888</v>
      </c>
      <c r="EJ195">
        <v>2</v>
      </c>
      <c r="EK195" s="48" t="s">
        <v>1887</v>
      </c>
      <c r="EL195">
        <v>2</v>
      </c>
      <c r="EM195" s="48" t="s">
        <v>1886</v>
      </c>
      <c r="EN195">
        <v>50</v>
      </c>
      <c r="EO195" s="48" t="s">
        <v>2556</v>
      </c>
      <c r="EP195" s="48" t="s">
        <v>4370</v>
      </c>
      <c r="EQ195">
        <v>56764.74</v>
      </c>
      <c r="ER195">
        <v>56764.74</v>
      </c>
      <c r="ES195">
        <v>82356667</v>
      </c>
      <c r="ET195">
        <v>55909</v>
      </c>
      <c r="EU195" s="48" t="s">
        <v>1710</v>
      </c>
      <c r="EV195" s="48" t="s">
        <v>1710</v>
      </c>
      <c r="EW195" s="48" t="s">
        <v>1712</v>
      </c>
      <c r="EX195" s="48" t="s">
        <v>1710</v>
      </c>
      <c r="EY195" s="48" t="s">
        <v>1851</v>
      </c>
      <c r="EZ195" s="48" t="s">
        <v>1710</v>
      </c>
      <c r="FA195" s="48" t="s">
        <v>1710</v>
      </c>
      <c r="FB195" s="48" t="s">
        <v>1712</v>
      </c>
      <c r="FC195" s="48" t="s">
        <v>1710</v>
      </c>
      <c r="FD195" s="48" t="s">
        <v>1710</v>
      </c>
      <c r="FE195" s="48" t="s">
        <v>1814</v>
      </c>
      <c r="FF195" s="48" t="s">
        <v>1815</v>
      </c>
      <c r="FG195" s="48" t="s">
        <v>1710</v>
      </c>
      <c r="FH195">
        <v>1</v>
      </c>
      <c r="FI195" s="48" t="s">
        <v>1846</v>
      </c>
      <c r="FJ195">
        <v>28382.37</v>
      </c>
      <c r="FK195">
        <v>28382.37</v>
      </c>
      <c r="FL195" s="48" t="s">
        <v>4371</v>
      </c>
      <c r="FM195" s="48" t="s">
        <v>4370</v>
      </c>
      <c r="FN195" s="48" t="s">
        <v>1710</v>
      </c>
      <c r="FO195" s="48" t="s">
        <v>1710</v>
      </c>
      <c r="FP195" s="48" t="s">
        <v>1710</v>
      </c>
      <c r="FQ195" s="48" t="s">
        <v>1710</v>
      </c>
      <c r="FR195" s="48" t="s">
        <v>1710</v>
      </c>
      <c r="FS195" s="48" t="s">
        <v>1710</v>
      </c>
      <c r="FT195" s="48" t="s">
        <v>1710</v>
      </c>
      <c r="FU195" s="48" t="s">
        <v>1710</v>
      </c>
      <c r="FV195" s="48"/>
      <c r="FW195" s="56"/>
      <c r="FX195" s="56"/>
      <c r="FY195" s="56"/>
      <c r="FZ195" s="56"/>
      <c r="GA195" s="55" t="str">
        <f t="shared" si="8"/>
        <v>4388426300493X</v>
      </c>
      <c r="GB195" t="str">
        <f>VLOOKUP(B195,수출코드!$C$2:$D$4,2,FALSE)</f>
        <v>Suwon</v>
      </c>
      <c r="GC195" t="str">
        <f>VLOOKUP(L195,수출코드!$A$2:$B$6,2,FALSE)</f>
        <v/>
      </c>
      <c r="GD195" t="str">
        <f>VLOOKUP(M195,수출코드!$E$2:$F$5,2,FALSE)</f>
        <v>일반</v>
      </c>
      <c r="GE195" s="61">
        <f t="shared" ref="GE195:GE258" si="9">DATE(LEFT(GI195,4),MID(GI195,5,2),MID(GI195,7,2))+TIME(MID(GI195,10,2),MID(GI195,12,2),"00")</f>
        <v>45975.658333333333</v>
      </c>
      <c r="GF195" s="62">
        <f t="shared" ref="GF195:GF258" si="10">DATE(LEFT(ED195,4),MID(ED195,5,2),MID(ED195,7,2))+TIME(MID(ED195,9,2),MID(ED195,11,2),"00")</f>
        <v>46052.390972222223</v>
      </c>
      <c r="GI195" s="48" t="s">
        <v>2729</v>
      </c>
    </row>
    <row r="196" spans="1:191">
      <c r="A196" s="48" t="s">
        <v>4372</v>
      </c>
      <c r="B196" s="48" t="s">
        <v>1821</v>
      </c>
      <c r="C196" s="48" t="s">
        <v>2048</v>
      </c>
      <c r="D196" s="48" t="s">
        <v>2813</v>
      </c>
      <c r="E196" s="48" t="s">
        <v>4372</v>
      </c>
      <c r="F196" s="48" t="s">
        <v>1710</v>
      </c>
      <c r="G196" s="48" t="s">
        <v>2814</v>
      </c>
      <c r="H196" s="48" t="s">
        <v>4373</v>
      </c>
      <c r="I196" s="48" t="s">
        <v>1884</v>
      </c>
      <c r="J196" s="48" t="s">
        <v>2825</v>
      </c>
      <c r="K196" s="48" t="s">
        <v>1877</v>
      </c>
      <c r="L196" s="48" t="s">
        <v>1842</v>
      </c>
      <c r="M196" s="48" t="s">
        <v>1810</v>
      </c>
      <c r="N196" s="48" t="s">
        <v>1842</v>
      </c>
      <c r="O196" s="48" t="s">
        <v>1811</v>
      </c>
      <c r="P196" s="48" t="s">
        <v>2549</v>
      </c>
      <c r="Q196" s="48" t="s">
        <v>2049</v>
      </c>
      <c r="R196" s="48" t="s">
        <v>1838</v>
      </c>
      <c r="S196" s="48" t="s">
        <v>2050</v>
      </c>
      <c r="T196" s="48" t="s">
        <v>1845</v>
      </c>
      <c r="U196" s="48" t="s">
        <v>2049</v>
      </c>
      <c r="V196" s="48" t="s">
        <v>1838</v>
      </c>
      <c r="W196" s="48" t="s">
        <v>2051</v>
      </c>
      <c r="X196" s="48" t="s">
        <v>2052</v>
      </c>
      <c r="Y196" s="48" t="s">
        <v>2050</v>
      </c>
      <c r="Z196" s="48" t="s">
        <v>2053</v>
      </c>
      <c r="AA196" s="48" t="s">
        <v>2054</v>
      </c>
      <c r="AB196" s="48" t="s">
        <v>2817</v>
      </c>
      <c r="AC196" s="48" t="s">
        <v>2055</v>
      </c>
      <c r="AD196" s="48" t="s">
        <v>2056</v>
      </c>
      <c r="AE196" s="48" t="s">
        <v>1710</v>
      </c>
      <c r="AF196" s="48" t="s">
        <v>1710</v>
      </c>
      <c r="AG196" s="48" t="s">
        <v>2057</v>
      </c>
      <c r="AH196" s="48" t="s">
        <v>1815</v>
      </c>
      <c r="AI196" s="48" t="s">
        <v>2058</v>
      </c>
      <c r="AJ196" s="48" t="s">
        <v>1710</v>
      </c>
      <c r="AK196" s="48" t="s">
        <v>1839</v>
      </c>
      <c r="AL196" s="48" t="s">
        <v>1840</v>
      </c>
      <c r="AM196" s="48" t="s">
        <v>1816</v>
      </c>
      <c r="AN196" s="48" t="s">
        <v>2054</v>
      </c>
      <c r="AO196" s="48" t="s">
        <v>1710</v>
      </c>
      <c r="AP196" s="48" t="s">
        <v>1874</v>
      </c>
      <c r="AQ196" s="48" t="s">
        <v>2078</v>
      </c>
      <c r="AR196" s="48" t="s">
        <v>1812</v>
      </c>
      <c r="AS196" s="48" t="s">
        <v>1813</v>
      </c>
      <c r="AT196" s="48" t="s">
        <v>1826</v>
      </c>
      <c r="AU196" s="48" t="s">
        <v>2061</v>
      </c>
      <c r="AV196" s="48" t="s">
        <v>2825</v>
      </c>
      <c r="AW196" s="48" t="s">
        <v>2062</v>
      </c>
      <c r="AX196" s="48" t="s">
        <v>2063</v>
      </c>
      <c r="AY196" s="48" t="s">
        <v>1710</v>
      </c>
      <c r="AZ196" s="48" t="s">
        <v>4374</v>
      </c>
      <c r="BA196" s="48" t="s">
        <v>1710</v>
      </c>
      <c r="BB196" s="48" t="s">
        <v>1709</v>
      </c>
      <c r="BC196" s="48" t="s">
        <v>1710</v>
      </c>
      <c r="BD196" s="48" t="s">
        <v>2089</v>
      </c>
      <c r="BE196" s="52" t="s">
        <v>4375</v>
      </c>
      <c r="BF196" s="48" t="s">
        <v>1710</v>
      </c>
      <c r="BG196" s="48" t="s">
        <v>1814</v>
      </c>
      <c r="BH196">
        <v>1</v>
      </c>
      <c r="BI196" s="48" t="s">
        <v>1888</v>
      </c>
      <c r="BJ196">
        <v>1</v>
      </c>
      <c r="BK196">
        <v>1473.06</v>
      </c>
      <c r="BL196">
        <v>173654</v>
      </c>
      <c r="BM196">
        <v>118</v>
      </c>
      <c r="BN196" s="48" t="s">
        <v>2064</v>
      </c>
      <c r="BO196" s="48" t="s">
        <v>2065</v>
      </c>
      <c r="BP196">
        <v>1473.06</v>
      </c>
      <c r="BQ196">
        <v>132.55000000000001</v>
      </c>
      <c r="BR196" s="48" t="s">
        <v>1885</v>
      </c>
      <c r="BS196" s="48" t="s">
        <v>2066</v>
      </c>
      <c r="BT196">
        <v>1</v>
      </c>
      <c r="BU196">
        <v>21600</v>
      </c>
      <c r="BV196">
        <v>21600</v>
      </c>
      <c r="BW196" s="48" t="s">
        <v>2065</v>
      </c>
      <c r="BX196">
        <v>1473.06</v>
      </c>
      <c r="BY196">
        <v>0</v>
      </c>
      <c r="BZ196">
        <v>0</v>
      </c>
      <c r="CA196" s="48" t="s">
        <v>2065</v>
      </c>
      <c r="CB196">
        <v>1473.06</v>
      </c>
      <c r="CC196">
        <v>0</v>
      </c>
      <c r="CD196">
        <v>0</v>
      </c>
      <c r="CE196" s="48" t="s">
        <v>1710</v>
      </c>
      <c r="CF196" s="48" t="s">
        <v>1710</v>
      </c>
      <c r="CG196" s="48" t="s">
        <v>1710</v>
      </c>
      <c r="CH196" s="48" t="s">
        <v>1710</v>
      </c>
      <c r="CI196" s="48" t="s">
        <v>2067</v>
      </c>
      <c r="CJ196" s="48" t="s">
        <v>1710</v>
      </c>
      <c r="CL196" s="48" t="s">
        <v>2825</v>
      </c>
      <c r="CM196" s="48" t="s">
        <v>1710</v>
      </c>
      <c r="CN196" s="48" t="s">
        <v>2068</v>
      </c>
      <c r="CO196" s="48" t="s">
        <v>2069</v>
      </c>
      <c r="CP196" s="48" t="s">
        <v>1710</v>
      </c>
      <c r="CQ196" s="48" t="s">
        <v>1710</v>
      </c>
      <c r="CR196" s="48" t="s">
        <v>1710</v>
      </c>
      <c r="CS196" s="48" t="s">
        <v>1710</v>
      </c>
      <c r="CT196" s="48" t="s">
        <v>1710</v>
      </c>
      <c r="CU196" s="48" t="s">
        <v>1712</v>
      </c>
      <c r="CV196" s="48" t="s">
        <v>1710</v>
      </c>
      <c r="CW196" s="48" t="s">
        <v>1710</v>
      </c>
      <c r="CX196" s="48" t="s">
        <v>3167</v>
      </c>
      <c r="CY196" s="48" t="s">
        <v>1710</v>
      </c>
      <c r="CZ196" s="48" t="s">
        <v>1712</v>
      </c>
      <c r="DA196" s="48" t="s">
        <v>1710</v>
      </c>
      <c r="DB196" s="48" t="s">
        <v>1878</v>
      </c>
      <c r="DC196" s="48" t="s">
        <v>2070</v>
      </c>
      <c r="DD196" s="48" t="s">
        <v>1842</v>
      </c>
      <c r="DE196" s="48" t="s">
        <v>1886</v>
      </c>
      <c r="DF196" s="48" t="s">
        <v>4376</v>
      </c>
      <c r="DG196" s="48" t="s">
        <v>2071</v>
      </c>
      <c r="DH196" s="48" t="s">
        <v>1712</v>
      </c>
      <c r="DI196" s="48" t="s">
        <v>1710</v>
      </c>
      <c r="DJ196" s="48" t="s">
        <v>1710</v>
      </c>
      <c r="DK196" s="48" t="s">
        <v>1710</v>
      </c>
      <c r="DL196" s="48" t="s">
        <v>1710</v>
      </c>
      <c r="DM196" s="48" t="s">
        <v>1710</v>
      </c>
      <c r="DN196" s="48" t="s">
        <v>1710</v>
      </c>
      <c r="DO196" s="48" t="s">
        <v>1710</v>
      </c>
      <c r="DP196" s="48" t="s">
        <v>1710</v>
      </c>
      <c r="DQ196" s="48" t="s">
        <v>1710</v>
      </c>
      <c r="DR196" s="48" t="s">
        <v>2072</v>
      </c>
      <c r="DS196" s="48" t="s">
        <v>1710</v>
      </c>
      <c r="DT196" s="48" t="s">
        <v>1710</v>
      </c>
      <c r="DU196" s="48" t="s">
        <v>2547</v>
      </c>
      <c r="DV196" s="48" t="s">
        <v>2825</v>
      </c>
      <c r="DW196" s="48" t="s">
        <v>1710</v>
      </c>
      <c r="DX196" s="48" t="s">
        <v>4377</v>
      </c>
      <c r="DY196" s="48" t="s">
        <v>1709</v>
      </c>
      <c r="DZ196" s="48" t="s">
        <v>2562</v>
      </c>
      <c r="EA196" s="48" t="s">
        <v>2546</v>
      </c>
      <c r="EB196">
        <v>0</v>
      </c>
      <c r="EC196" s="48" t="s">
        <v>2547</v>
      </c>
      <c r="ED196" s="48" t="s">
        <v>4378</v>
      </c>
      <c r="EE196" s="48" t="s">
        <v>1814</v>
      </c>
      <c r="EF196" s="48" t="s">
        <v>4379</v>
      </c>
      <c r="EG196" s="48" t="s">
        <v>4374</v>
      </c>
      <c r="EH196">
        <v>0.35</v>
      </c>
      <c r="EI196" s="48" t="s">
        <v>1888</v>
      </c>
      <c r="EJ196">
        <v>0</v>
      </c>
      <c r="EK196" s="48" t="s">
        <v>1710</v>
      </c>
      <c r="EL196">
        <v>1</v>
      </c>
      <c r="EM196" s="48" t="s">
        <v>1886</v>
      </c>
      <c r="EN196">
        <v>0.35</v>
      </c>
      <c r="EO196" s="48" t="s">
        <v>4380</v>
      </c>
      <c r="EP196" s="48" t="s">
        <v>4381</v>
      </c>
      <c r="EQ196">
        <v>132.55000000000001</v>
      </c>
      <c r="ER196">
        <v>132.55000000000001</v>
      </c>
      <c r="ES196">
        <v>173654</v>
      </c>
      <c r="ET196">
        <v>118</v>
      </c>
      <c r="EU196" s="48" t="s">
        <v>1710</v>
      </c>
      <c r="EV196" s="48" t="s">
        <v>1710</v>
      </c>
      <c r="EW196" s="48" t="s">
        <v>1712</v>
      </c>
      <c r="EX196" s="48" t="s">
        <v>1710</v>
      </c>
      <c r="EY196" s="48" t="s">
        <v>2654</v>
      </c>
      <c r="EZ196" s="48" t="s">
        <v>1710</v>
      </c>
      <c r="FA196" s="48" t="s">
        <v>1710</v>
      </c>
      <c r="FB196" s="48" t="s">
        <v>1712</v>
      </c>
      <c r="FC196" s="48" t="s">
        <v>1710</v>
      </c>
      <c r="FD196" s="48" t="s">
        <v>1710</v>
      </c>
      <c r="FE196" s="48" t="s">
        <v>1814</v>
      </c>
      <c r="FF196" s="48" t="s">
        <v>1815</v>
      </c>
      <c r="FG196" s="48" t="s">
        <v>1710</v>
      </c>
      <c r="FH196">
        <v>1</v>
      </c>
      <c r="FI196" s="48" t="s">
        <v>1846</v>
      </c>
      <c r="FJ196">
        <v>132.55000000000001</v>
      </c>
      <c r="FK196">
        <v>132.55000000000001</v>
      </c>
      <c r="FL196" s="48" t="s">
        <v>4382</v>
      </c>
      <c r="FM196" s="48" t="s">
        <v>4381</v>
      </c>
      <c r="FN196" s="48" t="s">
        <v>1710</v>
      </c>
      <c r="FO196" s="48" t="s">
        <v>1710</v>
      </c>
      <c r="FP196" s="48" t="s">
        <v>1710</v>
      </c>
      <c r="FQ196" s="48" t="s">
        <v>1710</v>
      </c>
      <c r="FR196" s="48" t="s">
        <v>1710</v>
      </c>
      <c r="FS196" s="48" t="s">
        <v>1710</v>
      </c>
      <c r="FT196" s="48" t="s">
        <v>1710</v>
      </c>
      <c r="FU196" s="48" t="s">
        <v>1710</v>
      </c>
      <c r="FV196" s="48"/>
      <c r="FW196" s="56"/>
      <c r="FX196" s="56"/>
      <c r="FY196" s="56"/>
      <c r="FZ196" s="56"/>
      <c r="GA196" s="55" t="str">
        <f t="shared" ref="GA196:GA259" si="11">A196</f>
        <v>4388426300494X</v>
      </c>
      <c r="GB196" t="str">
        <f>VLOOKUP(B196,수출코드!$C$2:$D$4,2,FALSE)</f>
        <v>Suwon</v>
      </c>
      <c r="GC196" t="str">
        <f>VLOOKUP(L196,수출코드!$A$2:$B$6,2,FALSE)</f>
        <v/>
      </c>
      <c r="GD196" t="str">
        <f>VLOOKUP(M196,수출코드!$E$2:$F$5,2,FALSE)</f>
        <v>일반</v>
      </c>
      <c r="GE196" s="61">
        <f t="shared" si="9"/>
        <v>45975.658333333333</v>
      </c>
      <c r="GF196" s="62">
        <f t="shared" si="10"/>
        <v>46052.49722222222</v>
      </c>
      <c r="GI196" s="48" t="s">
        <v>2729</v>
      </c>
    </row>
    <row r="197" spans="1:191">
      <c r="A197" s="48" t="s">
        <v>4383</v>
      </c>
      <c r="B197" s="48" t="s">
        <v>1821</v>
      </c>
      <c r="C197" s="48" t="s">
        <v>2048</v>
      </c>
      <c r="D197" s="48" t="s">
        <v>2813</v>
      </c>
      <c r="E197" s="48" t="s">
        <v>4383</v>
      </c>
      <c r="F197" s="48" t="s">
        <v>1710</v>
      </c>
      <c r="G197" s="48" t="s">
        <v>2814</v>
      </c>
      <c r="H197" s="48" t="s">
        <v>4384</v>
      </c>
      <c r="I197" s="48" t="s">
        <v>1884</v>
      </c>
      <c r="J197" s="48" t="s">
        <v>2825</v>
      </c>
      <c r="K197" s="48" t="s">
        <v>1877</v>
      </c>
      <c r="L197" s="48" t="s">
        <v>1842</v>
      </c>
      <c r="M197" s="48" t="s">
        <v>1810</v>
      </c>
      <c r="N197" s="48" t="s">
        <v>1842</v>
      </c>
      <c r="O197" s="48" t="s">
        <v>1811</v>
      </c>
      <c r="P197" s="48" t="s">
        <v>2549</v>
      </c>
      <c r="Q197" s="48" t="s">
        <v>2049</v>
      </c>
      <c r="R197" s="48" t="s">
        <v>1838</v>
      </c>
      <c r="S197" s="48" t="s">
        <v>2050</v>
      </c>
      <c r="T197" s="48" t="s">
        <v>1845</v>
      </c>
      <c r="U197" s="48" t="s">
        <v>2049</v>
      </c>
      <c r="V197" s="48" t="s">
        <v>1838</v>
      </c>
      <c r="W197" s="48" t="s">
        <v>2051</v>
      </c>
      <c r="X197" s="48" t="s">
        <v>2052</v>
      </c>
      <c r="Y197" s="48" t="s">
        <v>2050</v>
      </c>
      <c r="Z197" s="48" t="s">
        <v>2053</v>
      </c>
      <c r="AA197" s="48" t="s">
        <v>2054</v>
      </c>
      <c r="AB197" s="48" t="s">
        <v>2817</v>
      </c>
      <c r="AC197" s="48" t="s">
        <v>2055</v>
      </c>
      <c r="AD197" s="48" t="s">
        <v>2056</v>
      </c>
      <c r="AE197" s="48" t="s">
        <v>1710</v>
      </c>
      <c r="AF197" s="48" t="s">
        <v>1710</v>
      </c>
      <c r="AG197" s="48" t="s">
        <v>2057</v>
      </c>
      <c r="AH197" s="48" t="s">
        <v>1815</v>
      </c>
      <c r="AI197" s="48" t="s">
        <v>2058</v>
      </c>
      <c r="AJ197" s="48" t="s">
        <v>1710</v>
      </c>
      <c r="AK197" s="48" t="s">
        <v>2092</v>
      </c>
      <c r="AL197" s="48" t="s">
        <v>2093</v>
      </c>
      <c r="AM197" s="48" t="s">
        <v>1816</v>
      </c>
      <c r="AN197" s="48" t="s">
        <v>2054</v>
      </c>
      <c r="AO197" s="48" t="s">
        <v>1710</v>
      </c>
      <c r="AP197" s="48" t="s">
        <v>1853</v>
      </c>
      <c r="AQ197" s="48" t="s">
        <v>2086</v>
      </c>
      <c r="AR197" s="48" t="s">
        <v>1812</v>
      </c>
      <c r="AS197" s="48" t="s">
        <v>1813</v>
      </c>
      <c r="AT197" s="48" t="s">
        <v>1826</v>
      </c>
      <c r="AU197" s="48" t="s">
        <v>2061</v>
      </c>
      <c r="AV197" s="48" t="s">
        <v>2825</v>
      </c>
      <c r="AW197" s="48" t="s">
        <v>2062</v>
      </c>
      <c r="AX197" s="48" t="s">
        <v>2063</v>
      </c>
      <c r="AY197" s="48" t="s">
        <v>1710</v>
      </c>
      <c r="AZ197" s="48" t="s">
        <v>4385</v>
      </c>
      <c r="BA197" s="48" t="s">
        <v>1710</v>
      </c>
      <c r="BB197" s="48" t="s">
        <v>1709</v>
      </c>
      <c r="BC197" s="48" t="s">
        <v>1710</v>
      </c>
      <c r="BD197" s="48" t="s">
        <v>2089</v>
      </c>
      <c r="BE197" s="52" t="s">
        <v>4375</v>
      </c>
      <c r="BF197" s="48" t="s">
        <v>1710</v>
      </c>
      <c r="BG197" s="48" t="s">
        <v>1814</v>
      </c>
      <c r="BH197">
        <v>22</v>
      </c>
      <c r="BI197" s="48" t="s">
        <v>1888</v>
      </c>
      <c r="BJ197">
        <v>1</v>
      </c>
      <c r="BK197">
        <v>1473.06</v>
      </c>
      <c r="BL197">
        <v>40966030</v>
      </c>
      <c r="BM197">
        <v>27810</v>
      </c>
      <c r="BN197" s="48" t="s">
        <v>2064</v>
      </c>
      <c r="BO197" s="48" t="s">
        <v>2065</v>
      </c>
      <c r="BP197">
        <v>1473.06</v>
      </c>
      <c r="BQ197">
        <v>27893.25</v>
      </c>
      <c r="BR197" s="48" t="s">
        <v>1885</v>
      </c>
      <c r="BS197" s="48" t="s">
        <v>2066</v>
      </c>
      <c r="BT197">
        <v>1</v>
      </c>
      <c r="BU197">
        <v>122400</v>
      </c>
      <c r="BV197">
        <v>122400</v>
      </c>
      <c r="BW197" s="48" t="s">
        <v>2065</v>
      </c>
      <c r="BX197">
        <v>1473.06</v>
      </c>
      <c r="BY197">
        <v>0</v>
      </c>
      <c r="BZ197">
        <v>0</v>
      </c>
      <c r="CA197" s="48" t="s">
        <v>2065</v>
      </c>
      <c r="CB197">
        <v>1473.06</v>
      </c>
      <c r="CC197">
        <v>0</v>
      </c>
      <c r="CD197">
        <v>0</v>
      </c>
      <c r="CE197" s="48" t="s">
        <v>1710</v>
      </c>
      <c r="CF197" s="48" t="s">
        <v>1710</v>
      </c>
      <c r="CG197" s="48" t="s">
        <v>1710</v>
      </c>
      <c r="CH197" s="48" t="s">
        <v>1710</v>
      </c>
      <c r="CI197" s="48" t="s">
        <v>2067</v>
      </c>
      <c r="CJ197" s="48" t="s">
        <v>1710</v>
      </c>
      <c r="CL197" s="48" t="s">
        <v>2825</v>
      </c>
      <c r="CM197" s="48" t="s">
        <v>1710</v>
      </c>
      <c r="CN197" s="48" t="s">
        <v>2068</v>
      </c>
      <c r="CO197" s="48" t="s">
        <v>2069</v>
      </c>
      <c r="CP197" s="48" t="s">
        <v>1710</v>
      </c>
      <c r="CQ197" s="48" t="s">
        <v>1710</v>
      </c>
      <c r="CR197" s="48" t="s">
        <v>1710</v>
      </c>
      <c r="CS197" s="48" t="s">
        <v>1710</v>
      </c>
      <c r="CT197" s="48" t="s">
        <v>1710</v>
      </c>
      <c r="CU197" s="48" t="s">
        <v>1712</v>
      </c>
      <c r="CV197" s="48" t="s">
        <v>1710</v>
      </c>
      <c r="CW197" s="48" t="s">
        <v>1710</v>
      </c>
      <c r="CX197" s="48" t="s">
        <v>3167</v>
      </c>
      <c r="CY197" s="48" t="s">
        <v>1710</v>
      </c>
      <c r="CZ197" s="48" t="s">
        <v>1712</v>
      </c>
      <c r="DA197" s="48" t="s">
        <v>1710</v>
      </c>
      <c r="DB197" s="48" t="s">
        <v>1878</v>
      </c>
      <c r="DC197" s="48" t="s">
        <v>2070</v>
      </c>
      <c r="DD197" s="48" t="s">
        <v>1842</v>
      </c>
      <c r="DE197" s="48" t="s">
        <v>1886</v>
      </c>
      <c r="DF197" s="48" t="s">
        <v>4386</v>
      </c>
      <c r="DG197" s="48" t="s">
        <v>2071</v>
      </c>
      <c r="DH197" s="48" t="s">
        <v>1712</v>
      </c>
      <c r="DI197" s="48" t="s">
        <v>1710</v>
      </c>
      <c r="DJ197" s="48" t="s">
        <v>1710</v>
      </c>
      <c r="DK197" s="48" t="s">
        <v>1710</v>
      </c>
      <c r="DL197" s="48" t="s">
        <v>1710</v>
      </c>
      <c r="DM197" s="48" t="s">
        <v>1710</v>
      </c>
      <c r="DN197" s="48" t="s">
        <v>1710</v>
      </c>
      <c r="DO197" s="48" t="s">
        <v>1710</v>
      </c>
      <c r="DP197" s="48" t="s">
        <v>1710</v>
      </c>
      <c r="DQ197" s="48" t="s">
        <v>1710</v>
      </c>
      <c r="DR197" s="48" t="s">
        <v>2072</v>
      </c>
      <c r="DS197" s="48" t="s">
        <v>1710</v>
      </c>
      <c r="DT197" s="48" t="s">
        <v>1710</v>
      </c>
      <c r="DU197" s="48" t="s">
        <v>2547</v>
      </c>
      <c r="DV197" s="48" t="s">
        <v>3141</v>
      </c>
      <c r="DW197" s="48" t="s">
        <v>1710</v>
      </c>
      <c r="DX197" s="48" t="s">
        <v>4387</v>
      </c>
      <c r="DY197" s="48" t="s">
        <v>1709</v>
      </c>
      <c r="DZ197" s="48" t="s">
        <v>2562</v>
      </c>
      <c r="EA197" s="48" t="s">
        <v>2546</v>
      </c>
      <c r="EB197">
        <v>0</v>
      </c>
      <c r="EC197" s="48" t="s">
        <v>2547</v>
      </c>
      <c r="ED197" s="48" t="s">
        <v>4378</v>
      </c>
      <c r="EE197" s="48" t="s">
        <v>1814</v>
      </c>
      <c r="EF197" s="48" t="s">
        <v>2982</v>
      </c>
      <c r="EG197" s="48" t="s">
        <v>4385</v>
      </c>
      <c r="EH197">
        <v>18</v>
      </c>
      <c r="EI197" s="48" t="s">
        <v>1888</v>
      </c>
      <c r="EJ197">
        <v>1</v>
      </c>
      <c r="EK197" s="48" t="s">
        <v>1887</v>
      </c>
      <c r="EL197">
        <v>1</v>
      </c>
      <c r="EM197" s="48" t="s">
        <v>1886</v>
      </c>
      <c r="EN197">
        <v>18</v>
      </c>
      <c r="EO197" s="48" t="s">
        <v>2983</v>
      </c>
      <c r="EP197" s="48" t="s">
        <v>4388</v>
      </c>
      <c r="EQ197">
        <v>27893.25</v>
      </c>
      <c r="ER197">
        <v>27893.25</v>
      </c>
      <c r="ES197">
        <v>40966030</v>
      </c>
      <c r="ET197">
        <v>27810</v>
      </c>
      <c r="EU197" s="48" t="s">
        <v>1710</v>
      </c>
      <c r="EV197" s="48" t="s">
        <v>1710</v>
      </c>
      <c r="EW197" s="48" t="s">
        <v>1712</v>
      </c>
      <c r="EX197" s="48" t="s">
        <v>1710</v>
      </c>
      <c r="EY197" s="48" t="s">
        <v>1848</v>
      </c>
      <c r="EZ197" s="48" t="s">
        <v>1710</v>
      </c>
      <c r="FA197" s="48" t="s">
        <v>1710</v>
      </c>
      <c r="FB197" s="48" t="s">
        <v>1712</v>
      </c>
      <c r="FC197" s="48" t="s">
        <v>1710</v>
      </c>
      <c r="FD197" s="48" t="s">
        <v>1710</v>
      </c>
      <c r="FE197" s="48" t="s">
        <v>1814</v>
      </c>
      <c r="FF197" s="48" t="s">
        <v>1815</v>
      </c>
      <c r="FG197" s="48" t="s">
        <v>1710</v>
      </c>
      <c r="FH197">
        <v>1</v>
      </c>
      <c r="FI197" s="48" t="s">
        <v>1846</v>
      </c>
      <c r="FJ197">
        <v>27893.25</v>
      </c>
      <c r="FK197">
        <v>27893.25</v>
      </c>
      <c r="FL197" s="48" t="s">
        <v>4389</v>
      </c>
      <c r="FM197" s="48" t="s">
        <v>4388</v>
      </c>
      <c r="FN197" s="48" t="s">
        <v>1710</v>
      </c>
      <c r="FO197" s="48" t="s">
        <v>1710</v>
      </c>
      <c r="FP197" s="48" t="s">
        <v>1710</v>
      </c>
      <c r="FQ197" s="48" t="s">
        <v>1710</v>
      </c>
      <c r="FR197" s="48" t="s">
        <v>1710</v>
      </c>
      <c r="FS197" s="48" t="s">
        <v>1710</v>
      </c>
      <c r="FT197" s="48" t="s">
        <v>1710</v>
      </c>
      <c r="FU197" s="48" t="s">
        <v>1710</v>
      </c>
      <c r="FV197" s="48"/>
      <c r="FW197" s="56"/>
      <c r="FX197" s="56"/>
      <c r="FY197" s="56"/>
      <c r="FZ197" s="56"/>
      <c r="GA197" s="55" t="str">
        <f t="shared" si="11"/>
        <v>4388426300495X</v>
      </c>
      <c r="GB197" t="str">
        <f>VLOOKUP(B197,수출코드!$C$2:$D$4,2,FALSE)</f>
        <v>Suwon</v>
      </c>
      <c r="GC197" t="str">
        <f>VLOOKUP(L197,수출코드!$A$2:$B$6,2,FALSE)</f>
        <v/>
      </c>
      <c r="GD197" t="str">
        <f>VLOOKUP(M197,수출코드!$E$2:$F$5,2,FALSE)</f>
        <v>일반</v>
      </c>
      <c r="GE197" s="61">
        <f t="shared" si="9"/>
        <v>45975.658333333333</v>
      </c>
      <c r="GF197" s="62">
        <f t="shared" si="10"/>
        <v>46052.49722222222</v>
      </c>
      <c r="GI197" s="48" t="s">
        <v>2729</v>
      </c>
    </row>
    <row r="198" spans="1:191">
      <c r="A198" s="48" t="s">
        <v>4390</v>
      </c>
      <c r="B198" s="48" t="s">
        <v>1821</v>
      </c>
      <c r="C198" s="48" t="s">
        <v>2048</v>
      </c>
      <c r="D198" s="48" t="s">
        <v>2813</v>
      </c>
      <c r="E198" s="48" t="s">
        <v>4390</v>
      </c>
      <c r="F198" s="48" t="s">
        <v>1710</v>
      </c>
      <c r="G198" s="48" t="s">
        <v>2814</v>
      </c>
      <c r="H198" s="48" t="s">
        <v>4391</v>
      </c>
      <c r="I198" s="48" t="s">
        <v>1884</v>
      </c>
      <c r="J198" s="48" t="s">
        <v>2825</v>
      </c>
      <c r="K198" s="48" t="s">
        <v>1877</v>
      </c>
      <c r="L198" s="48" t="s">
        <v>1842</v>
      </c>
      <c r="M198" s="48" t="s">
        <v>1810</v>
      </c>
      <c r="N198" s="48" t="s">
        <v>1842</v>
      </c>
      <c r="O198" s="48" t="s">
        <v>1811</v>
      </c>
      <c r="P198" s="48" t="s">
        <v>2549</v>
      </c>
      <c r="Q198" s="48" t="s">
        <v>2049</v>
      </c>
      <c r="R198" s="48" t="s">
        <v>1838</v>
      </c>
      <c r="S198" s="48" t="s">
        <v>2050</v>
      </c>
      <c r="T198" s="48" t="s">
        <v>1845</v>
      </c>
      <c r="U198" s="48" t="s">
        <v>2049</v>
      </c>
      <c r="V198" s="48" t="s">
        <v>1838</v>
      </c>
      <c r="W198" s="48" t="s">
        <v>2051</v>
      </c>
      <c r="X198" s="48" t="s">
        <v>2052</v>
      </c>
      <c r="Y198" s="48" t="s">
        <v>2050</v>
      </c>
      <c r="Z198" s="48" t="s">
        <v>2053</v>
      </c>
      <c r="AA198" s="48" t="s">
        <v>2054</v>
      </c>
      <c r="AB198" s="48" t="s">
        <v>2817</v>
      </c>
      <c r="AC198" s="48" t="s">
        <v>2055</v>
      </c>
      <c r="AD198" s="48" t="s">
        <v>2056</v>
      </c>
      <c r="AE198" s="48" t="s">
        <v>1710</v>
      </c>
      <c r="AF198" s="48" t="s">
        <v>1710</v>
      </c>
      <c r="AG198" s="48" t="s">
        <v>2057</v>
      </c>
      <c r="AH198" s="48" t="s">
        <v>1815</v>
      </c>
      <c r="AI198" s="48" t="s">
        <v>2058</v>
      </c>
      <c r="AJ198" s="48" t="s">
        <v>1710</v>
      </c>
      <c r="AK198" s="48" t="s">
        <v>2090</v>
      </c>
      <c r="AL198" s="48" t="s">
        <v>2091</v>
      </c>
      <c r="AM198" s="48" t="s">
        <v>1816</v>
      </c>
      <c r="AN198" s="48" t="s">
        <v>2054</v>
      </c>
      <c r="AO198" s="48" t="s">
        <v>1710</v>
      </c>
      <c r="AP198" s="48" t="s">
        <v>1853</v>
      </c>
      <c r="AQ198" s="48" t="s">
        <v>2086</v>
      </c>
      <c r="AR198" s="48" t="s">
        <v>1812</v>
      </c>
      <c r="AS198" s="48" t="s">
        <v>1813</v>
      </c>
      <c r="AT198" s="48" t="s">
        <v>1826</v>
      </c>
      <c r="AU198" s="48" t="s">
        <v>2061</v>
      </c>
      <c r="AV198" s="48" t="s">
        <v>2825</v>
      </c>
      <c r="AW198" s="48" t="s">
        <v>2062</v>
      </c>
      <c r="AX198" s="48" t="s">
        <v>2063</v>
      </c>
      <c r="AY198" s="48" t="s">
        <v>1710</v>
      </c>
      <c r="AZ198" s="48" t="s">
        <v>4392</v>
      </c>
      <c r="BA198" s="48" t="s">
        <v>1710</v>
      </c>
      <c r="BB198" s="48" t="s">
        <v>1709</v>
      </c>
      <c r="BC198" s="48" t="s">
        <v>1710</v>
      </c>
      <c r="BD198" s="48" t="s">
        <v>2089</v>
      </c>
      <c r="BE198" s="52" t="s">
        <v>4375</v>
      </c>
      <c r="BF198" s="48" t="s">
        <v>1710</v>
      </c>
      <c r="BG198" s="48" t="s">
        <v>1814</v>
      </c>
      <c r="BH198">
        <v>32</v>
      </c>
      <c r="BI198" s="48" t="s">
        <v>1888</v>
      </c>
      <c r="BJ198">
        <v>1</v>
      </c>
      <c r="BK198">
        <v>1473.06</v>
      </c>
      <c r="BL198">
        <v>101846939</v>
      </c>
      <c r="BM198">
        <v>69140</v>
      </c>
      <c r="BN198" s="48" t="s">
        <v>2064</v>
      </c>
      <c r="BO198" s="48" t="s">
        <v>2065</v>
      </c>
      <c r="BP198">
        <v>1473.06</v>
      </c>
      <c r="BQ198">
        <v>69253.350000000006</v>
      </c>
      <c r="BR198" s="48" t="s">
        <v>1885</v>
      </c>
      <c r="BS198" s="48" t="s">
        <v>2066</v>
      </c>
      <c r="BT198">
        <v>1</v>
      </c>
      <c r="BU198">
        <v>167400</v>
      </c>
      <c r="BV198">
        <v>167400</v>
      </c>
      <c r="BW198" s="48" t="s">
        <v>2065</v>
      </c>
      <c r="BX198">
        <v>1473.06</v>
      </c>
      <c r="BY198">
        <v>0</v>
      </c>
      <c r="BZ198">
        <v>0</v>
      </c>
      <c r="CA198" s="48" t="s">
        <v>2065</v>
      </c>
      <c r="CB198">
        <v>1473.06</v>
      </c>
      <c r="CC198">
        <v>0</v>
      </c>
      <c r="CD198">
        <v>0</v>
      </c>
      <c r="CE198" s="48" t="s">
        <v>1710</v>
      </c>
      <c r="CF198" s="48" t="s">
        <v>1710</v>
      </c>
      <c r="CG198" s="48" t="s">
        <v>1710</v>
      </c>
      <c r="CH198" s="48" t="s">
        <v>1710</v>
      </c>
      <c r="CI198" s="48" t="s">
        <v>2067</v>
      </c>
      <c r="CJ198" s="48" t="s">
        <v>1710</v>
      </c>
      <c r="CL198" s="48" t="s">
        <v>2825</v>
      </c>
      <c r="CM198" s="48" t="s">
        <v>1710</v>
      </c>
      <c r="CN198" s="48" t="s">
        <v>2068</v>
      </c>
      <c r="CO198" s="48" t="s">
        <v>2069</v>
      </c>
      <c r="CP198" s="48" t="s">
        <v>1710</v>
      </c>
      <c r="CQ198" s="48" t="s">
        <v>1710</v>
      </c>
      <c r="CR198" s="48" t="s">
        <v>1710</v>
      </c>
      <c r="CS198" s="48" t="s">
        <v>1710</v>
      </c>
      <c r="CT198" s="48" t="s">
        <v>1710</v>
      </c>
      <c r="CU198" s="48" t="s">
        <v>1712</v>
      </c>
      <c r="CV198" s="48" t="s">
        <v>1710</v>
      </c>
      <c r="CW198" s="48" t="s">
        <v>1710</v>
      </c>
      <c r="CX198" s="48" t="s">
        <v>3167</v>
      </c>
      <c r="CY198" s="48" t="s">
        <v>1710</v>
      </c>
      <c r="CZ198" s="48" t="s">
        <v>1712</v>
      </c>
      <c r="DA198" s="48" t="s">
        <v>1710</v>
      </c>
      <c r="DB198" s="48" t="s">
        <v>1878</v>
      </c>
      <c r="DC198" s="48" t="s">
        <v>2070</v>
      </c>
      <c r="DD198" s="48" t="s">
        <v>1842</v>
      </c>
      <c r="DE198" s="48" t="s">
        <v>1886</v>
      </c>
      <c r="DF198" s="48" t="s">
        <v>4393</v>
      </c>
      <c r="DG198" s="48" t="s">
        <v>2071</v>
      </c>
      <c r="DH198" s="48" t="s">
        <v>1712</v>
      </c>
      <c r="DI198" s="48" t="s">
        <v>1710</v>
      </c>
      <c r="DJ198" s="48" t="s">
        <v>1710</v>
      </c>
      <c r="DK198" s="48" t="s">
        <v>1710</v>
      </c>
      <c r="DL198" s="48" t="s">
        <v>1710</v>
      </c>
      <c r="DM198" s="48" t="s">
        <v>1710</v>
      </c>
      <c r="DN198" s="48" t="s">
        <v>1710</v>
      </c>
      <c r="DO198" s="48" t="s">
        <v>1710</v>
      </c>
      <c r="DP198" s="48" t="s">
        <v>1710</v>
      </c>
      <c r="DQ198" s="48" t="s">
        <v>1710</v>
      </c>
      <c r="DR198" s="48" t="s">
        <v>2072</v>
      </c>
      <c r="DS198" s="48" t="s">
        <v>1710</v>
      </c>
      <c r="DT198" s="48" t="s">
        <v>1710</v>
      </c>
      <c r="DU198" s="48" t="s">
        <v>2547</v>
      </c>
      <c r="DV198" s="48" t="s">
        <v>1710</v>
      </c>
      <c r="DW198" s="48" t="s">
        <v>1710</v>
      </c>
      <c r="DX198" s="48" t="s">
        <v>1710</v>
      </c>
      <c r="DY198" s="48" t="s">
        <v>1710</v>
      </c>
      <c r="DZ198" s="48" t="s">
        <v>2562</v>
      </c>
      <c r="EA198" s="48" t="s">
        <v>2546</v>
      </c>
      <c r="EB198">
        <v>0</v>
      </c>
      <c r="EC198" s="48" t="s">
        <v>2547</v>
      </c>
      <c r="ED198" s="48" t="s">
        <v>4394</v>
      </c>
      <c r="EE198" s="48" t="s">
        <v>1814</v>
      </c>
      <c r="EF198" s="48" t="s">
        <v>1852</v>
      </c>
      <c r="EG198" s="48" t="s">
        <v>4392</v>
      </c>
      <c r="EH198">
        <v>26.35</v>
      </c>
      <c r="EI198" s="48" t="s">
        <v>1888</v>
      </c>
      <c r="EJ198">
        <v>0</v>
      </c>
      <c r="EK198" s="48" t="s">
        <v>1710</v>
      </c>
      <c r="EL198">
        <v>1</v>
      </c>
      <c r="EM198" s="48" t="s">
        <v>1886</v>
      </c>
      <c r="EN198">
        <v>26.35</v>
      </c>
      <c r="EO198" s="48" t="s">
        <v>2521</v>
      </c>
      <c r="EP198" s="48" t="s">
        <v>4395</v>
      </c>
      <c r="EQ198">
        <v>69253.350000000006</v>
      </c>
      <c r="ER198">
        <v>69253.350000000006</v>
      </c>
      <c r="ES198">
        <v>101846939</v>
      </c>
      <c r="ET198">
        <v>69140</v>
      </c>
      <c r="EU198" s="48" t="s">
        <v>1710</v>
      </c>
      <c r="EV198" s="48" t="s">
        <v>1710</v>
      </c>
      <c r="EW198" s="48" t="s">
        <v>1712</v>
      </c>
      <c r="EX198" s="48" t="s">
        <v>1710</v>
      </c>
      <c r="EY198" s="48" t="s">
        <v>1848</v>
      </c>
      <c r="EZ198" s="48" t="s">
        <v>1710</v>
      </c>
      <c r="FA198" s="48" t="s">
        <v>1710</v>
      </c>
      <c r="FB198" s="48" t="s">
        <v>1712</v>
      </c>
      <c r="FC198" s="48" t="s">
        <v>1710</v>
      </c>
      <c r="FD198" s="48" t="s">
        <v>1710</v>
      </c>
      <c r="FE198" s="48" t="s">
        <v>1814</v>
      </c>
      <c r="FF198" s="48" t="s">
        <v>1815</v>
      </c>
      <c r="FG198" s="48" t="s">
        <v>1710</v>
      </c>
      <c r="FH198">
        <v>1</v>
      </c>
      <c r="FI198" s="48" t="s">
        <v>1846</v>
      </c>
      <c r="FJ198">
        <v>69253.350000000006</v>
      </c>
      <c r="FK198">
        <v>69253.350000000006</v>
      </c>
      <c r="FL198" s="48" t="s">
        <v>4396</v>
      </c>
      <c r="FM198" s="48" t="s">
        <v>4395</v>
      </c>
      <c r="FN198" s="48" t="s">
        <v>1710</v>
      </c>
      <c r="FO198" s="48" t="s">
        <v>1710</v>
      </c>
      <c r="FP198" s="48" t="s">
        <v>1710</v>
      </c>
      <c r="FQ198" s="48" t="s">
        <v>1710</v>
      </c>
      <c r="FR198" s="48" t="s">
        <v>1710</v>
      </c>
      <c r="FS198" s="48" t="s">
        <v>1710</v>
      </c>
      <c r="FT198" s="48" t="s">
        <v>1710</v>
      </c>
      <c r="FU198" s="48" t="s">
        <v>1710</v>
      </c>
      <c r="FV198" s="48"/>
      <c r="FW198" s="56"/>
      <c r="FX198" s="56"/>
      <c r="FY198" s="56"/>
      <c r="FZ198" s="56"/>
      <c r="GA198" s="55" t="str">
        <f t="shared" si="11"/>
        <v>4388426300496X</v>
      </c>
      <c r="GB198" t="str">
        <f>VLOOKUP(B198,수출코드!$C$2:$D$4,2,FALSE)</f>
        <v>Suwon</v>
      </c>
      <c r="GC198" t="str">
        <f>VLOOKUP(L198,수출코드!$A$2:$B$6,2,FALSE)</f>
        <v/>
      </c>
      <c r="GD198" t="str">
        <f>VLOOKUP(M198,수출코드!$E$2:$F$5,2,FALSE)</f>
        <v>일반</v>
      </c>
      <c r="GE198" s="61">
        <f t="shared" si="9"/>
        <v>45975.658333333333</v>
      </c>
      <c r="GF198" s="62">
        <f t="shared" si="10"/>
        <v>46052.5</v>
      </c>
      <c r="GI198" s="48" t="s">
        <v>2729</v>
      </c>
    </row>
    <row r="199" spans="1:191">
      <c r="A199" s="48" t="s">
        <v>4397</v>
      </c>
      <c r="B199" s="48" t="s">
        <v>1821</v>
      </c>
      <c r="C199" s="48" t="s">
        <v>2048</v>
      </c>
      <c r="D199" s="48" t="s">
        <v>2813</v>
      </c>
      <c r="E199" s="48" t="s">
        <v>4397</v>
      </c>
      <c r="F199" s="48" t="s">
        <v>1710</v>
      </c>
      <c r="G199" s="48" t="s">
        <v>2814</v>
      </c>
      <c r="H199" s="48" t="s">
        <v>4398</v>
      </c>
      <c r="I199" s="48" t="s">
        <v>1884</v>
      </c>
      <c r="J199" s="48" t="s">
        <v>2825</v>
      </c>
      <c r="K199" s="48" t="s">
        <v>1877</v>
      </c>
      <c r="L199" s="48" t="s">
        <v>1842</v>
      </c>
      <c r="M199" s="48" t="s">
        <v>1810</v>
      </c>
      <c r="N199" s="48" t="s">
        <v>1842</v>
      </c>
      <c r="O199" s="48" t="s">
        <v>1811</v>
      </c>
      <c r="P199" s="48" t="s">
        <v>2549</v>
      </c>
      <c r="Q199" s="48" t="s">
        <v>2049</v>
      </c>
      <c r="R199" s="48" t="s">
        <v>1838</v>
      </c>
      <c r="S199" s="48" t="s">
        <v>2050</v>
      </c>
      <c r="T199" s="48" t="s">
        <v>1845</v>
      </c>
      <c r="U199" s="48" t="s">
        <v>2049</v>
      </c>
      <c r="V199" s="48" t="s">
        <v>1838</v>
      </c>
      <c r="W199" s="48" t="s">
        <v>2051</v>
      </c>
      <c r="X199" s="48" t="s">
        <v>2052</v>
      </c>
      <c r="Y199" s="48" t="s">
        <v>2050</v>
      </c>
      <c r="Z199" s="48" t="s">
        <v>2053</v>
      </c>
      <c r="AA199" s="48" t="s">
        <v>2054</v>
      </c>
      <c r="AB199" s="48" t="s">
        <v>2817</v>
      </c>
      <c r="AC199" s="48" t="s">
        <v>2055</v>
      </c>
      <c r="AD199" s="48" t="s">
        <v>2056</v>
      </c>
      <c r="AE199" s="48" t="s">
        <v>1710</v>
      </c>
      <c r="AF199" s="48" t="s">
        <v>1710</v>
      </c>
      <c r="AG199" s="48" t="s">
        <v>2057</v>
      </c>
      <c r="AH199" s="48" t="s">
        <v>1815</v>
      </c>
      <c r="AI199" s="48" t="s">
        <v>2058</v>
      </c>
      <c r="AJ199" s="48" t="s">
        <v>1710</v>
      </c>
      <c r="AK199" s="48" t="s">
        <v>4399</v>
      </c>
      <c r="AL199" s="48" t="s">
        <v>2989</v>
      </c>
      <c r="AM199" s="48" t="s">
        <v>1816</v>
      </c>
      <c r="AN199" s="48" t="s">
        <v>2054</v>
      </c>
      <c r="AO199" s="48" t="s">
        <v>1710</v>
      </c>
      <c r="AP199" s="48" t="s">
        <v>1853</v>
      </c>
      <c r="AQ199" s="48" t="s">
        <v>2086</v>
      </c>
      <c r="AR199" s="48" t="s">
        <v>1812</v>
      </c>
      <c r="AS199" s="48" t="s">
        <v>1813</v>
      </c>
      <c r="AT199" s="48" t="s">
        <v>1826</v>
      </c>
      <c r="AU199" s="48" t="s">
        <v>2061</v>
      </c>
      <c r="AV199" s="48" t="s">
        <v>2825</v>
      </c>
      <c r="AW199" s="48" t="s">
        <v>2062</v>
      </c>
      <c r="AX199" s="48" t="s">
        <v>2063</v>
      </c>
      <c r="AY199" s="48" t="s">
        <v>1710</v>
      </c>
      <c r="AZ199" s="48" t="s">
        <v>4400</v>
      </c>
      <c r="BA199" s="48" t="s">
        <v>1710</v>
      </c>
      <c r="BB199" s="48" t="s">
        <v>1709</v>
      </c>
      <c r="BC199" s="48" t="s">
        <v>1710</v>
      </c>
      <c r="BD199" s="48" t="s">
        <v>2089</v>
      </c>
      <c r="BE199" s="52" t="s">
        <v>4375</v>
      </c>
      <c r="BF199" s="48" t="s">
        <v>1710</v>
      </c>
      <c r="BG199" s="48" t="s">
        <v>1814</v>
      </c>
      <c r="BH199">
        <v>2</v>
      </c>
      <c r="BI199" s="48" t="s">
        <v>1888</v>
      </c>
      <c r="BJ199">
        <v>1</v>
      </c>
      <c r="BK199">
        <v>1473.06</v>
      </c>
      <c r="BL199">
        <v>957526</v>
      </c>
      <c r="BM199">
        <v>650</v>
      </c>
      <c r="BN199" s="48" t="s">
        <v>2064</v>
      </c>
      <c r="BO199" s="48" t="s">
        <v>2065</v>
      </c>
      <c r="BP199">
        <v>1473.06</v>
      </c>
      <c r="BQ199">
        <v>670.12</v>
      </c>
      <c r="BR199" s="48" t="s">
        <v>1885</v>
      </c>
      <c r="BS199" s="48" t="s">
        <v>2066</v>
      </c>
      <c r="BT199">
        <v>1</v>
      </c>
      <c r="BU199">
        <v>29600</v>
      </c>
      <c r="BV199">
        <v>29600</v>
      </c>
      <c r="BW199" s="48" t="s">
        <v>2065</v>
      </c>
      <c r="BX199">
        <v>1473.06</v>
      </c>
      <c r="BY199">
        <v>0</v>
      </c>
      <c r="BZ199">
        <v>0</v>
      </c>
      <c r="CA199" s="48" t="s">
        <v>2065</v>
      </c>
      <c r="CB199">
        <v>1473.06</v>
      </c>
      <c r="CC199">
        <v>0</v>
      </c>
      <c r="CD199">
        <v>0</v>
      </c>
      <c r="CE199" s="48" t="s">
        <v>1710</v>
      </c>
      <c r="CF199" s="48" t="s">
        <v>1710</v>
      </c>
      <c r="CG199" s="48" t="s">
        <v>1710</v>
      </c>
      <c r="CH199" s="48" t="s">
        <v>1710</v>
      </c>
      <c r="CI199" s="48" t="s">
        <v>2067</v>
      </c>
      <c r="CJ199" s="48" t="s">
        <v>1710</v>
      </c>
      <c r="CL199" s="48" t="s">
        <v>2825</v>
      </c>
      <c r="CM199" s="48" t="s">
        <v>1710</v>
      </c>
      <c r="CN199" s="48" t="s">
        <v>2068</v>
      </c>
      <c r="CO199" s="48" t="s">
        <v>2069</v>
      </c>
      <c r="CP199" s="48" t="s">
        <v>1710</v>
      </c>
      <c r="CQ199" s="48" t="s">
        <v>1710</v>
      </c>
      <c r="CR199" s="48" t="s">
        <v>1710</v>
      </c>
      <c r="CS199" s="48" t="s">
        <v>1710</v>
      </c>
      <c r="CT199" s="48" t="s">
        <v>1710</v>
      </c>
      <c r="CU199" s="48" t="s">
        <v>1712</v>
      </c>
      <c r="CV199" s="48" t="s">
        <v>1710</v>
      </c>
      <c r="CW199" s="48" t="s">
        <v>1710</v>
      </c>
      <c r="CX199" s="48" t="s">
        <v>3167</v>
      </c>
      <c r="CY199" s="48" t="s">
        <v>1710</v>
      </c>
      <c r="CZ199" s="48" t="s">
        <v>1712</v>
      </c>
      <c r="DA199" s="48" t="s">
        <v>1710</v>
      </c>
      <c r="DB199" s="48" t="s">
        <v>1878</v>
      </c>
      <c r="DC199" s="48" t="s">
        <v>2070</v>
      </c>
      <c r="DD199" s="48" t="s">
        <v>1842</v>
      </c>
      <c r="DE199" s="48" t="s">
        <v>1886</v>
      </c>
      <c r="DF199" s="48" t="s">
        <v>4401</v>
      </c>
      <c r="DG199" s="48" t="s">
        <v>2071</v>
      </c>
      <c r="DH199" s="48" t="s">
        <v>1712</v>
      </c>
      <c r="DI199" s="48" t="s">
        <v>1710</v>
      </c>
      <c r="DJ199" s="48" t="s">
        <v>1710</v>
      </c>
      <c r="DK199" s="48" t="s">
        <v>1710</v>
      </c>
      <c r="DL199" s="48" t="s">
        <v>1710</v>
      </c>
      <c r="DM199" s="48" t="s">
        <v>1710</v>
      </c>
      <c r="DN199" s="48" t="s">
        <v>1710</v>
      </c>
      <c r="DO199" s="48" t="s">
        <v>1710</v>
      </c>
      <c r="DP199" s="48" t="s">
        <v>1710</v>
      </c>
      <c r="DQ199" s="48" t="s">
        <v>1710</v>
      </c>
      <c r="DR199" s="48" t="s">
        <v>2072</v>
      </c>
      <c r="DS199" s="48" t="s">
        <v>1710</v>
      </c>
      <c r="DT199" s="48" t="s">
        <v>1710</v>
      </c>
      <c r="DU199" s="48" t="s">
        <v>2547</v>
      </c>
      <c r="DV199" s="48" t="s">
        <v>2825</v>
      </c>
      <c r="DW199" s="48" t="s">
        <v>1710</v>
      </c>
      <c r="DX199" s="48" t="s">
        <v>4402</v>
      </c>
      <c r="DY199" s="48" t="s">
        <v>1709</v>
      </c>
      <c r="DZ199" s="48" t="s">
        <v>2562</v>
      </c>
      <c r="EA199" s="48" t="s">
        <v>2546</v>
      </c>
      <c r="EB199">
        <v>0</v>
      </c>
      <c r="EC199" s="48" t="s">
        <v>2547</v>
      </c>
      <c r="ED199" s="48" t="s">
        <v>4394</v>
      </c>
      <c r="EE199" s="48" t="s">
        <v>1814</v>
      </c>
      <c r="EF199" s="48" t="s">
        <v>1847</v>
      </c>
      <c r="EG199" s="48" t="s">
        <v>4400</v>
      </c>
      <c r="EH199">
        <v>1</v>
      </c>
      <c r="EI199" s="48" t="s">
        <v>1888</v>
      </c>
      <c r="EJ199">
        <v>0</v>
      </c>
      <c r="EK199" s="48" t="s">
        <v>1710</v>
      </c>
      <c r="EL199">
        <v>1</v>
      </c>
      <c r="EM199" s="48" t="s">
        <v>1886</v>
      </c>
      <c r="EN199">
        <v>1</v>
      </c>
      <c r="EO199" s="48" t="s">
        <v>2529</v>
      </c>
      <c r="EP199" s="48" t="s">
        <v>4403</v>
      </c>
      <c r="EQ199">
        <v>670.12</v>
      </c>
      <c r="ER199">
        <v>670.12</v>
      </c>
      <c r="ES199">
        <v>957526</v>
      </c>
      <c r="ET199">
        <v>650</v>
      </c>
      <c r="EU199" s="48" t="s">
        <v>1710</v>
      </c>
      <c r="EV199" s="48" t="s">
        <v>1710</v>
      </c>
      <c r="EW199" s="48" t="s">
        <v>1712</v>
      </c>
      <c r="EX199" s="48" t="s">
        <v>1710</v>
      </c>
      <c r="EY199" s="48" t="s">
        <v>1860</v>
      </c>
      <c r="EZ199" s="48" t="s">
        <v>1710</v>
      </c>
      <c r="FA199" s="48" t="s">
        <v>1710</v>
      </c>
      <c r="FB199" s="48" t="s">
        <v>1712</v>
      </c>
      <c r="FC199" s="48" t="s">
        <v>1710</v>
      </c>
      <c r="FD199" s="48" t="s">
        <v>1710</v>
      </c>
      <c r="FE199" s="48" t="s">
        <v>1814</v>
      </c>
      <c r="FF199" s="48" t="s">
        <v>1815</v>
      </c>
      <c r="FG199" s="48" t="s">
        <v>1710</v>
      </c>
      <c r="FH199">
        <v>1</v>
      </c>
      <c r="FI199" s="48" t="s">
        <v>1846</v>
      </c>
      <c r="FJ199">
        <v>670.12</v>
      </c>
      <c r="FK199">
        <v>670.12</v>
      </c>
      <c r="FL199" s="48" t="s">
        <v>4404</v>
      </c>
      <c r="FM199" s="48" t="s">
        <v>4403</v>
      </c>
      <c r="FN199" s="48" t="s">
        <v>1710</v>
      </c>
      <c r="FO199" s="48" t="s">
        <v>1710</v>
      </c>
      <c r="FP199" s="48" t="s">
        <v>1710</v>
      </c>
      <c r="FQ199" s="48" t="s">
        <v>1710</v>
      </c>
      <c r="FR199" s="48" t="s">
        <v>1710</v>
      </c>
      <c r="FS199" s="48" t="s">
        <v>1710</v>
      </c>
      <c r="FT199" s="48" t="s">
        <v>1710</v>
      </c>
      <c r="FU199" s="48" t="s">
        <v>1710</v>
      </c>
      <c r="FV199" s="48"/>
      <c r="FW199" s="56"/>
      <c r="FX199" s="56"/>
      <c r="FY199" s="56"/>
      <c r="FZ199" s="56"/>
      <c r="GA199" s="55" t="str">
        <f t="shared" si="11"/>
        <v>4388426300497X</v>
      </c>
      <c r="GB199" t="str">
        <f>VLOOKUP(B199,수출코드!$C$2:$D$4,2,FALSE)</f>
        <v>Suwon</v>
      </c>
      <c r="GC199" t="str">
        <f>VLOOKUP(L199,수출코드!$A$2:$B$6,2,FALSE)</f>
        <v/>
      </c>
      <c r="GD199" t="str">
        <f>VLOOKUP(M199,수출코드!$E$2:$F$5,2,FALSE)</f>
        <v>일반</v>
      </c>
      <c r="GE199" s="61">
        <f t="shared" si="9"/>
        <v>45975.658333333333</v>
      </c>
      <c r="GF199" s="62">
        <f t="shared" si="10"/>
        <v>46052.5</v>
      </c>
      <c r="GI199" s="48" t="s">
        <v>2729</v>
      </c>
    </row>
    <row r="200" spans="1:191">
      <c r="A200" s="48" t="s">
        <v>4405</v>
      </c>
      <c r="B200" s="48" t="s">
        <v>1821</v>
      </c>
      <c r="C200" s="48" t="s">
        <v>2048</v>
      </c>
      <c r="D200" s="48" t="s">
        <v>2813</v>
      </c>
      <c r="E200" s="48" t="s">
        <v>4405</v>
      </c>
      <c r="F200" s="48" t="s">
        <v>1710</v>
      </c>
      <c r="G200" s="48" t="s">
        <v>2814</v>
      </c>
      <c r="H200" s="48" t="s">
        <v>4406</v>
      </c>
      <c r="I200" s="48" t="s">
        <v>1884</v>
      </c>
      <c r="J200" s="48" t="s">
        <v>2825</v>
      </c>
      <c r="K200" s="48" t="s">
        <v>1877</v>
      </c>
      <c r="L200" s="48" t="s">
        <v>1842</v>
      </c>
      <c r="M200" s="48" t="s">
        <v>1810</v>
      </c>
      <c r="N200" s="48" t="s">
        <v>1842</v>
      </c>
      <c r="O200" s="48" t="s">
        <v>1811</v>
      </c>
      <c r="P200" s="48" t="s">
        <v>2549</v>
      </c>
      <c r="Q200" s="48" t="s">
        <v>2049</v>
      </c>
      <c r="R200" s="48" t="s">
        <v>1838</v>
      </c>
      <c r="S200" s="48" t="s">
        <v>2050</v>
      </c>
      <c r="T200" s="48" t="s">
        <v>1845</v>
      </c>
      <c r="U200" s="48" t="s">
        <v>2049</v>
      </c>
      <c r="V200" s="48" t="s">
        <v>1838</v>
      </c>
      <c r="W200" s="48" t="s">
        <v>2051</v>
      </c>
      <c r="X200" s="48" t="s">
        <v>2052</v>
      </c>
      <c r="Y200" s="48" t="s">
        <v>2050</v>
      </c>
      <c r="Z200" s="48" t="s">
        <v>2053</v>
      </c>
      <c r="AA200" s="48" t="s">
        <v>2054</v>
      </c>
      <c r="AB200" s="48" t="s">
        <v>2817</v>
      </c>
      <c r="AC200" s="48" t="s">
        <v>2055</v>
      </c>
      <c r="AD200" s="48" t="s">
        <v>2056</v>
      </c>
      <c r="AE200" s="48" t="s">
        <v>1710</v>
      </c>
      <c r="AF200" s="48" t="s">
        <v>1710</v>
      </c>
      <c r="AG200" s="48" t="s">
        <v>2057</v>
      </c>
      <c r="AH200" s="48" t="s">
        <v>1815</v>
      </c>
      <c r="AI200" s="48" t="s">
        <v>2058</v>
      </c>
      <c r="AJ200" s="48" t="s">
        <v>1710</v>
      </c>
      <c r="AK200" s="48" t="s">
        <v>2100</v>
      </c>
      <c r="AL200" s="48" t="s">
        <v>2101</v>
      </c>
      <c r="AM200" s="48" t="s">
        <v>1816</v>
      </c>
      <c r="AN200" s="48" t="s">
        <v>2054</v>
      </c>
      <c r="AO200" s="48" t="s">
        <v>1710</v>
      </c>
      <c r="AP200" s="48" t="s">
        <v>1874</v>
      </c>
      <c r="AQ200" s="48" t="s">
        <v>2078</v>
      </c>
      <c r="AR200" s="48" t="s">
        <v>1812</v>
      </c>
      <c r="AS200" s="48" t="s">
        <v>1813</v>
      </c>
      <c r="AT200" s="48" t="s">
        <v>1826</v>
      </c>
      <c r="AU200" s="48" t="s">
        <v>2061</v>
      </c>
      <c r="AV200" s="48" t="s">
        <v>2825</v>
      </c>
      <c r="AW200" s="48" t="s">
        <v>2062</v>
      </c>
      <c r="AX200" s="48" t="s">
        <v>2063</v>
      </c>
      <c r="AY200" s="48" t="s">
        <v>1710</v>
      </c>
      <c r="AZ200" s="48" t="s">
        <v>4407</v>
      </c>
      <c r="BA200" s="48" t="s">
        <v>1710</v>
      </c>
      <c r="BB200" s="48" t="s">
        <v>1709</v>
      </c>
      <c r="BC200" s="48" t="s">
        <v>1710</v>
      </c>
      <c r="BD200" s="48" t="s">
        <v>2089</v>
      </c>
      <c r="BE200" s="52" t="s">
        <v>4375</v>
      </c>
      <c r="BF200" s="48" t="s">
        <v>1710</v>
      </c>
      <c r="BG200" s="48" t="s">
        <v>1814</v>
      </c>
      <c r="BH200">
        <v>1</v>
      </c>
      <c r="BI200" s="48" t="s">
        <v>1888</v>
      </c>
      <c r="BJ200">
        <v>1</v>
      </c>
      <c r="BK200">
        <v>1473.06</v>
      </c>
      <c r="BL200">
        <v>1141881</v>
      </c>
      <c r="BM200">
        <v>775</v>
      </c>
      <c r="BN200" s="48" t="s">
        <v>2064</v>
      </c>
      <c r="BO200" s="48" t="s">
        <v>2065</v>
      </c>
      <c r="BP200">
        <v>1473.06</v>
      </c>
      <c r="BQ200">
        <v>789.84</v>
      </c>
      <c r="BR200" s="48" t="s">
        <v>1885</v>
      </c>
      <c r="BS200" s="48" t="s">
        <v>2066</v>
      </c>
      <c r="BT200">
        <v>1</v>
      </c>
      <c r="BU200">
        <v>21600</v>
      </c>
      <c r="BV200">
        <v>21600</v>
      </c>
      <c r="BW200" s="48" t="s">
        <v>2065</v>
      </c>
      <c r="BX200">
        <v>1473.06</v>
      </c>
      <c r="BY200">
        <v>0</v>
      </c>
      <c r="BZ200">
        <v>0</v>
      </c>
      <c r="CA200" s="48" t="s">
        <v>2065</v>
      </c>
      <c r="CB200">
        <v>1473.06</v>
      </c>
      <c r="CC200">
        <v>0</v>
      </c>
      <c r="CD200">
        <v>0</v>
      </c>
      <c r="CE200" s="48" t="s">
        <v>1710</v>
      </c>
      <c r="CF200" s="48" t="s">
        <v>1710</v>
      </c>
      <c r="CG200" s="48" t="s">
        <v>1710</v>
      </c>
      <c r="CH200" s="48" t="s">
        <v>1710</v>
      </c>
      <c r="CI200" s="48" t="s">
        <v>2067</v>
      </c>
      <c r="CJ200" s="48" t="s">
        <v>1710</v>
      </c>
      <c r="CL200" s="48" t="s">
        <v>2825</v>
      </c>
      <c r="CM200" s="48" t="s">
        <v>1710</v>
      </c>
      <c r="CN200" s="48" t="s">
        <v>2068</v>
      </c>
      <c r="CO200" s="48" t="s">
        <v>2069</v>
      </c>
      <c r="CP200" s="48" t="s">
        <v>1710</v>
      </c>
      <c r="CQ200" s="48" t="s">
        <v>1710</v>
      </c>
      <c r="CR200" s="48" t="s">
        <v>1710</v>
      </c>
      <c r="CS200" s="48" t="s">
        <v>1710</v>
      </c>
      <c r="CT200" s="48" t="s">
        <v>1710</v>
      </c>
      <c r="CU200" s="48" t="s">
        <v>1712</v>
      </c>
      <c r="CV200" s="48" t="s">
        <v>1710</v>
      </c>
      <c r="CW200" s="48" t="s">
        <v>1710</v>
      </c>
      <c r="CX200" s="48" t="s">
        <v>3167</v>
      </c>
      <c r="CY200" s="48" t="s">
        <v>1710</v>
      </c>
      <c r="CZ200" s="48" t="s">
        <v>1712</v>
      </c>
      <c r="DA200" s="48" t="s">
        <v>1710</v>
      </c>
      <c r="DB200" s="48" t="s">
        <v>1878</v>
      </c>
      <c r="DC200" s="48" t="s">
        <v>2070</v>
      </c>
      <c r="DD200" s="48" t="s">
        <v>1842</v>
      </c>
      <c r="DE200" s="48" t="s">
        <v>1886</v>
      </c>
      <c r="DF200" s="48" t="s">
        <v>4408</v>
      </c>
      <c r="DG200" s="48" t="s">
        <v>2071</v>
      </c>
      <c r="DH200" s="48" t="s">
        <v>1712</v>
      </c>
      <c r="DI200" s="48" t="s">
        <v>1710</v>
      </c>
      <c r="DJ200" s="48" t="s">
        <v>1710</v>
      </c>
      <c r="DK200" s="48" t="s">
        <v>1710</v>
      </c>
      <c r="DL200" s="48" t="s">
        <v>1710</v>
      </c>
      <c r="DM200" s="48" t="s">
        <v>1710</v>
      </c>
      <c r="DN200" s="48" t="s">
        <v>1710</v>
      </c>
      <c r="DO200" s="48" t="s">
        <v>1710</v>
      </c>
      <c r="DP200" s="48" t="s">
        <v>1710</v>
      </c>
      <c r="DQ200" s="48" t="s">
        <v>1710</v>
      </c>
      <c r="DR200" s="48" t="s">
        <v>2072</v>
      </c>
      <c r="DS200" s="48" t="s">
        <v>1710</v>
      </c>
      <c r="DT200" s="48" t="s">
        <v>1710</v>
      </c>
      <c r="DU200" s="48" t="s">
        <v>2547</v>
      </c>
      <c r="DV200" s="48" t="s">
        <v>3141</v>
      </c>
      <c r="DW200" s="48" t="s">
        <v>1710</v>
      </c>
      <c r="DX200" s="48" t="s">
        <v>4409</v>
      </c>
      <c r="DY200" s="48" t="s">
        <v>1709</v>
      </c>
      <c r="DZ200" s="48" t="s">
        <v>2562</v>
      </c>
      <c r="EA200" s="48" t="s">
        <v>2546</v>
      </c>
      <c r="EB200">
        <v>0</v>
      </c>
      <c r="EC200" s="48" t="s">
        <v>2547</v>
      </c>
      <c r="ED200" s="48" t="s">
        <v>4394</v>
      </c>
      <c r="EE200" s="48" t="s">
        <v>1814</v>
      </c>
      <c r="EF200" s="48" t="s">
        <v>1852</v>
      </c>
      <c r="EG200" s="48" t="s">
        <v>4407</v>
      </c>
      <c r="EH200">
        <v>0.15</v>
      </c>
      <c r="EI200" s="48" t="s">
        <v>1888</v>
      </c>
      <c r="EJ200">
        <v>0</v>
      </c>
      <c r="EK200" s="48" t="s">
        <v>1710</v>
      </c>
      <c r="EL200">
        <v>1</v>
      </c>
      <c r="EM200" s="48" t="s">
        <v>1886</v>
      </c>
      <c r="EN200">
        <v>0.15</v>
      </c>
      <c r="EO200" s="48" t="s">
        <v>2521</v>
      </c>
      <c r="EP200" s="48" t="s">
        <v>4410</v>
      </c>
      <c r="EQ200">
        <v>789.84</v>
      </c>
      <c r="ER200">
        <v>789.84</v>
      </c>
      <c r="ES200">
        <v>1141881</v>
      </c>
      <c r="ET200">
        <v>775</v>
      </c>
      <c r="EU200" s="48" t="s">
        <v>1710</v>
      </c>
      <c r="EV200" s="48" t="s">
        <v>1710</v>
      </c>
      <c r="EW200" s="48" t="s">
        <v>1712</v>
      </c>
      <c r="EX200" s="48" t="s">
        <v>1710</v>
      </c>
      <c r="EY200" s="48" t="s">
        <v>1848</v>
      </c>
      <c r="EZ200" s="48" t="s">
        <v>1710</v>
      </c>
      <c r="FA200" s="48" t="s">
        <v>1710</v>
      </c>
      <c r="FB200" s="48" t="s">
        <v>1712</v>
      </c>
      <c r="FC200" s="48" t="s">
        <v>1710</v>
      </c>
      <c r="FD200" s="48" t="s">
        <v>1710</v>
      </c>
      <c r="FE200" s="48" t="s">
        <v>1814</v>
      </c>
      <c r="FF200" s="48" t="s">
        <v>1815</v>
      </c>
      <c r="FG200" s="48" t="s">
        <v>1710</v>
      </c>
      <c r="FH200">
        <v>1</v>
      </c>
      <c r="FI200" s="48" t="s">
        <v>1846</v>
      </c>
      <c r="FJ200">
        <v>789.84</v>
      </c>
      <c r="FK200">
        <v>789.84</v>
      </c>
      <c r="FL200" s="48" t="s">
        <v>4411</v>
      </c>
      <c r="FM200" s="48" t="s">
        <v>4410</v>
      </c>
      <c r="FN200" s="48" t="s">
        <v>1710</v>
      </c>
      <c r="FO200" s="48" t="s">
        <v>1710</v>
      </c>
      <c r="FP200" s="48" t="s">
        <v>1710</v>
      </c>
      <c r="FQ200" s="48" t="s">
        <v>1710</v>
      </c>
      <c r="FR200" s="48" t="s">
        <v>1710</v>
      </c>
      <c r="FS200" s="48" t="s">
        <v>1710</v>
      </c>
      <c r="FT200" s="48" t="s">
        <v>1710</v>
      </c>
      <c r="FU200" s="48" t="s">
        <v>1710</v>
      </c>
      <c r="FV200" s="48"/>
      <c r="FW200" s="56"/>
      <c r="FX200" s="56"/>
      <c r="FY200" s="56"/>
      <c r="FZ200" s="56"/>
      <c r="GA200" s="55" t="str">
        <f t="shared" si="11"/>
        <v>4388426300498X</v>
      </c>
      <c r="GB200" t="str">
        <f>VLOOKUP(B200,수출코드!$C$2:$D$4,2,FALSE)</f>
        <v>Suwon</v>
      </c>
      <c r="GC200" t="str">
        <f>VLOOKUP(L200,수출코드!$A$2:$B$6,2,FALSE)</f>
        <v/>
      </c>
      <c r="GD200" t="str">
        <f>VLOOKUP(M200,수출코드!$E$2:$F$5,2,FALSE)</f>
        <v>일반</v>
      </c>
      <c r="GE200" s="61">
        <f t="shared" si="9"/>
        <v>45975.658333333333</v>
      </c>
      <c r="GF200" s="62">
        <f t="shared" si="10"/>
        <v>46052.5</v>
      </c>
      <c r="GI200" s="48" t="s">
        <v>2729</v>
      </c>
    </row>
    <row r="201" spans="1:191">
      <c r="A201" s="48" t="s">
        <v>4412</v>
      </c>
      <c r="B201" s="48" t="s">
        <v>1821</v>
      </c>
      <c r="C201" s="48" t="s">
        <v>2048</v>
      </c>
      <c r="D201" s="48" t="s">
        <v>2813</v>
      </c>
      <c r="E201" s="48" t="s">
        <v>4412</v>
      </c>
      <c r="F201" s="48" t="s">
        <v>1710</v>
      </c>
      <c r="G201" s="48" t="s">
        <v>2814</v>
      </c>
      <c r="H201" s="48" t="s">
        <v>4413</v>
      </c>
      <c r="I201" s="48" t="s">
        <v>1884</v>
      </c>
      <c r="J201" s="48" t="s">
        <v>2825</v>
      </c>
      <c r="K201" s="48" t="s">
        <v>1877</v>
      </c>
      <c r="L201" s="48" t="s">
        <v>1842</v>
      </c>
      <c r="M201" s="48" t="s">
        <v>1810</v>
      </c>
      <c r="N201" s="48" t="s">
        <v>1842</v>
      </c>
      <c r="O201" s="48" t="s">
        <v>1811</v>
      </c>
      <c r="P201" s="48" t="s">
        <v>2549</v>
      </c>
      <c r="Q201" s="48" t="s">
        <v>2049</v>
      </c>
      <c r="R201" s="48" t="s">
        <v>1838</v>
      </c>
      <c r="S201" s="48" t="s">
        <v>2050</v>
      </c>
      <c r="T201" s="48" t="s">
        <v>1845</v>
      </c>
      <c r="U201" s="48" t="s">
        <v>2049</v>
      </c>
      <c r="V201" s="48" t="s">
        <v>1838</v>
      </c>
      <c r="W201" s="48" t="s">
        <v>2051</v>
      </c>
      <c r="X201" s="48" t="s">
        <v>2052</v>
      </c>
      <c r="Y201" s="48" t="s">
        <v>2050</v>
      </c>
      <c r="Z201" s="48" t="s">
        <v>2053</v>
      </c>
      <c r="AA201" s="48" t="s">
        <v>2054</v>
      </c>
      <c r="AB201" s="48" t="s">
        <v>2817</v>
      </c>
      <c r="AC201" s="48" t="s">
        <v>2055</v>
      </c>
      <c r="AD201" s="48" t="s">
        <v>2056</v>
      </c>
      <c r="AE201" s="48" t="s">
        <v>1710</v>
      </c>
      <c r="AF201" s="48" t="s">
        <v>1710</v>
      </c>
      <c r="AG201" s="48" t="s">
        <v>2057</v>
      </c>
      <c r="AH201" s="48" t="s">
        <v>1815</v>
      </c>
      <c r="AI201" s="48" t="s">
        <v>2058</v>
      </c>
      <c r="AJ201" s="48" t="s">
        <v>1710</v>
      </c>
      <c r="AK201" s="48" t="s">
        <v>2099</v>
      </c>
      <c r="AL201" s="48" t="s">
        <v>1866</v>
      </c>
      <c r="AM201" s="48" t="s">
        <v>1816</v>
      </c>
      <c r="AN201" s="48" t="s">
        <v>2054</v>
      </c>
      <c r="AO201" s="48" t="s">
        <v>1710</v>
      </c>
      <c r="AP201" s="48" t="s">
        <v>1854</v>
      </c>
      <c r="AQ201" s="48" t="s">
        <v>2081</v>
      </c>
      <c r="AR201" s="48" t="s">
        <v>1812</v>
      </c>
      <c r="AS201" s="48" t="s">
        <v>1813</v>
      </c>
      <c r="AT201" s="48" t="s">
        <v>1826</v>
      </c>
      <c r="AU201" s="48" t="s">
        <v>2061</v>
      </c>
      <c r="AV201" s="48" t="s">
        <v>2825</v>
      </c>
      <c r="AW201" s="48" t="s">
        <v>2062</v>
      </c>
      <c r="AX201" s="48" t="s">
        <v>2063</v>
      </c>
      <c r="AY201" s="48" t="s">
        <v>1710</v>
      </c>
      <c r="AZ201" s="48" t="s">
        <v>4414</v>
      </c>
      <c r="BA201" s="48" t="s">
        <v>1710</v>
      </c>
      <c r="BB201" s="48" t="s">
        <v>1709</v>
      </c>
      <c r="BC201" s="48" t="s">
        <v>1710</v>
      </c>
      <c r="BD201" s="48" t="s">
        <v>2089</v>
      </c>
      <c r="BE201" s="52" t="s">
        <v>4375</v>
      </c>
      <c r="BF201" s="48" t="s">
        <v>1710</v>
      </c>
      <c r="BG201" s="48" t="s">
        <v>1814</v>
      </c>
      <c r="BH201">
        <v>4</v>
      </c>
      <c r="BI201" s="48" t="s">
        <v>1888</v>
      </c>
      <c r="BJ201">
        <v>1</v>
      </c>
      <c r="BK201">
        <v>1473.06</v>
      </c>
      <c r="BL201">
        <v>2979707</v>
      </c>
      <c r="BM201">
        <v>2023</v>
      </c>
      <c r="BN201" s="48" t="s">
        <v>2064</v>
      </c>
      <c r="BO201" s="48" t="s">
        <v>2065</v>
      </c>
      <c r="BP201">
        <v>1473.06</v>
      </c>
      <c r="BQ201">
        <v>2070.0500000000002</v>
      </c>
      <c r="BR201" s="48" t="s">
        <v>1885</v>
      </c>
      <c r="BS201" s="48" t="s">
        <v>2066</v>
      </c>
      <c r="BT201">
        <v>1</v>
      </c>
      <c r="BU201">
        <v>69600</v>
      </c>
      <c r="BV201">
        <v>69600</v>
      </c>
      <c r="BW201" s="48" t="s">
        <v>2065</v>
      </c>
      <c r="BX201">
        <v>1473.06</v>
      </c>
      <c r="BY201">
        <v>0</v>
      </c>
      <c r="BZ201">
        <v>0</v>
      </c>
      <c r="CA201" s="48" t="s">
        <v>2065</v>
      </c>
      <c r="CB201">
        <v>1473.06</v>
      </c>
      <c r="CC201">
        <v>0</v>
      </c>
      <c r="CD201">
        <v>0</v>
      </c>
      <c r="CE201" s="48" t="s">
        <v>1710</v>
      </c>
      <c r="CF201" s="48" t="s">
        <v>1710</v>
      </c>
      <c r="CG201" s="48" t="s">
        <v>1710</v>
      </c>
      <c r="CH201" s="48" t="s">
        <v>1710</v>
      </c>
      <c r="CI201" s="48" t="s">
        <v>2067</v>
      </c>
      <c r="CJ201" s="48" t="s">
        <v>1710</v>
      </c>
      <c r="CL201" s="48" t="s">
        <v>2825</v>
      </c>
      <c r="CM201" s="48" t="s">
        <v>1710</v>
      </c>
      <c r="CN201" s="48" t="s">
        <v>2068</v>
      </c>
      <c r="CO201" s="48" t="s">
        <v>2069</v>
      </c>
      <c r="CP201" s="48" t="s">
        <v>1710</v>
      </c>
      <c r="CQ201" s="48" t="s">
        <v>1710</v>
      </c>
      <c r="CR201" s="48" t="s">
        <v>1710</v>
      </c>
      <c r="CS201" s="48" t="s">
        <v>1710</v>
      </c>
      <c r="CT201" s="48" t="s">
        <v>1710</v>
      </c>
      <c r="CU201" s="48" t="s">
        <v>1712</v>
      </c>
      <c r="CV201" s="48" t="s">
        <v>1710</v>
      </c>
      <c r="CW201" s="48" t="s">
        <v>1710</v>
      </c>
      <c r="CX201" s="48" t="s">
        <v>3167</v>
      </c>
      <c r="CY201" s="48" t="s">
        <v>1710</v>
      </c>
      <c r="CZ201" s="48" t="s">
        <v>1712</v>
      </c>
      <c r="DA201" s="48" t="s">
        <v>1710</v>
      </c>
      <c r="DB201" s="48" t="s">
        <v>1878</v>
      </c>
      <c r="DC201" s="48" t="s">
        <v>2070</v>
      </c>
      <c r="DD201" s="48" t="s">
        <v>1842</v>
      </c>
      <c r="DE201" s="48" t="s">
        <v>1886</v>
      </c>
      <c r="DF201" s="48" t="s">
        <v>4415</v>
      </c>
      <c r="DG201" s="48" t="s">
        <v>2071</v>
      </c>
      <c r="DH201" s="48" t="s">
        <v>1712</v>
      </c>
      <c r="DI201" s="48" t="s">
        <v>1710</v>
      </c>
      <c r="DJ201" s="48" t="s">
        <v>1710</v>
      </c>
      <c r="DK201" s="48" t="s">
        <v>1710</v>
      </c>
      <c r="DL201" s="48" t="s">
        <v>1710</v>
      </c>
      <c r="DM201" s="48" t="s">
        <v>1710</v>
      </c>
      <c r="DN201" s="48" t="s">
        <v>1710</v>
      </c>
      <c r="DO201" s="48" t="s">
        <v>1710</v>
      </c>
      <c r="DP201" s="48" t="s">
        <v>1710</v>
      </c>
      <c r="DQ201" s="48" t="s">
        <v>1710</v>
      </c>
      <c r="DR201" s="48" t="s">
        <v>2072</v>
      </c>
      <c r="DS201" s="48" t="s">
        <v>1710</v>
      </c>
      <c r="DT201" s="48" t="s">
        <v>1710</v>
      </c>
      <c r="DU201" s="48" t="s">
        <v>2547</v>
      </c>
      <c r="DV201" s="48" t="s">
        <v>3141</v>
      </c>
      <c r="DW201" s="48" t="s">
        <v>1710</v>
      </c>
      <c r="DX201" s="48" t="s">
        <v>4416</v>
      </c>
      <c r="DY201" s="48" t="s">
        <v>1709</v>
      </c>
      <c r="DZ201" s="48" t="s">
        <v>2562</v>
      </c>
      <c r="EA201" s="48" t="s">
        <v>2546</v>
      </c>
      <c r="EB201">
        <v>0</v>
      </c>
      <c r="EC201" s="48" t="s">
        <v>2547</v>
      </c>
      <c r="ED201" s="48" t="s">
        <v>4417</v>
      </c>
      <c r="EE201" s="48" t="s">
        <v>1814</v>
      </c>
      <c r="EF201" s="48" t="s">
        <v>1870</v>
      </c>
      <c r="EG201" s="48" t="s">
        <v>4414</v>
      </c>
      <c r="EH201">
        <v>2.2999999999999998</v>
      </c>
      <c r="EI201" s="48" t="s">
        <v>1888</v>
      </c>
      <c r="EJ201">
        <v>0</v>
      </c>
      <c r="EK201" s="48" t="s">
        <v>1710</v>
      </c>
      <c r="EL201">
        <v>1</v>
      </c>
      <c r="EM201" s="48" t="s">
        <v>1886</v>
      </c>
      <c r="EN201">
        <v>2.2999999999999998</v>
      </c>
      <c r="EO201" s="48" t="s">
        <v>1871</v>
      </c>
      <c r="EP201" s="48" t="s">
        <v>4418</v>
      </c>
      <c r="EQ201">
        <v>2070.0500000000002</v>
      </c>
      <c r="ER201">
        <v>2070.0500000000002</v>
      </c>
      <c r="ES201">
        <v>2979707</v>
      </c>
      <c r="ET201">
        <v>2023</v>
      </c>
      <c r="EU201" s="48" t="s">
        <v>1710</v>
      </c>
      <c r="EV201" s="48" t="s">
        <v>1710</v>
      </c>
      <c r="EW201" s="48" t="s">
        <v>1712</v>
      </c>
      <c r="EX201" s="48" t="s">
        <v>1710</v>
      </c>
      <c r="EY201" s="48" t="s">
        <v>1848</v>
      </c>
      <c r="EZ201" s="48" t="s">
        <v>1710</v>
      </c>
      <c r="FA201" s="48" t="s">
        <v>1710</v>
      </c>
      <c r="FB201" s="48" t="s">
        <v>1712</v>
      </c>
      <c r="FC201" s="48" t="s">
        <v>1710</v>
      </c>
      <c r="FD201" s="48" t="s">
        <v>1710</v>
      </c>
      <c r="FE201" s="48" t="s">
        <v>1814</v>
      </c>
      <c r="FF201" s="48" t="s">
        <v>1815</v>
      </c>
      <c r="FG201" s="48" t="s">
        <v>1710</v>
      </c>
      <c r="FH201">
        <v>1</v>
      </c>
      <c r="FI201" s="48" t="s">
        <v>1846</v>
      </c>
      <c r="FJ201">
        <v>2070.0500000000002</v>
      </c>
      <c r="FK201">
        <v>2070.0500000000002</v>
      </c>
      <c r="FL201" s="48" t="s">
        <v>4419</v>
      </c>
      <c r="FM201" s="48" t="s">
        <v>4418</v>
      </c>
      <c r="FN201" s="48" t="s">
        <v>1710</v>
      </c>
      <c r="FO201" s="48" t="s">
        <v>1710</v>
      </c>
      <c r="FP201" s="48" t="s">
        <v>1710</v>
      </c>
      <c r="FQ201" s="48" t="s">
        <v>1710</v>
      </c>
      <c r="FR201" s="48" t="s">
        <v>1710</v>
      </c>
      <c r="FS201" s="48" t="s">
        <v>1710</v>
      </c>
      <c r="FT201" s="48" t="s">
        <v>1710</v>
      </c>
      <c r="FU201" s="48" t="s">
        <v>1710</v>
      </c>
      <c r="FV201" s="48"/>
      <c r="FW201" s="56"/>
      <c r="FX201" s="56"/>
      <c r="FY201" s="56"/>
      <c r="FZ201" s="56"/>
      <c r="GA201" s="55" t="str">
        <f t="shared" si="11"/>
        <v>4388426300499X</v>
      </c>
      <c r="GB201" t="str">
        <f>VLOOKUP(B201,수출코드!$C$2:$D$4,2,FALSE)</f>
        <v>Suwon</v>
      </c>
      <c r="GC201" t="str">
        <f>VLOOKUP(L201,수출코드!$A$2:$B$6,2,FALSE)</f>
        <v/>
      </c>
      <c r="GD201" t="str">
        <f>VLOOKUP(M201,수출코드!$E$2:$F$5,2,FALSE)</f>
        <v>일반</v>
      </c>
      <c r="GE201" s="61">
        <f t="shared" si="9"/>
        <v>45975.658333333333</v>
      </c>
      <c r="GF201" s="62">
        <f t="shared" si="10"/>
        <v>46052.501388888886</v>
      </c>
      <c r="GI201" s="48" t="s">
        <v>2729</v>
      </c>
    </row>
    <row r="202" spans="1:191">
      <c r="A202" s="48" t="s">
        <v>4420</v>
      </c>
      <c r="B202" s="48" t="s">
        <v>1821</v>
      </c>
      <c r="C202" s="48" t="s">
        <v>2048</v>
      </c>
      <c r="D202" s="48" t="s">
        <v>2813</v>
      </c>
      <c r="E202" s="48" t="s">
        <v>4420</v>
      </c>
      <c r="F202" s="48" t="s">
        <v>1710</v>
      </c>
      <c r="G202" s="48" t="s">
        <v>2814</v>
      </c>
      <c r="H202" s="48" t="s">
        <v>4421</v>
      </c>
      <c r="I202" s="48" t="s">
        <v>1884</v>
      </c>
      <c r="J202" s="48" t="s">
        <v>2825</v>
      </c>
      <c r="K202" s="48" t="s">
        <v>1877</v>
      </c>
      <c r="L202" s="48" t="s">
        <v>1842</v>
      </c>
      <c r="M202" s="48" t="s">
        <v>1810</v>
      </c>
      <c r="N202" s="48" t="s">
        <v>1842</v>
      </c>
      <c r="O202" s="48" t="s">
        <v>1811</v>
      </c>
      <c r="P202" s="48" t="s">
        <v>2549</v>
      </c>
      <c r="Q202" s="48" t="s">
        <v>2049</v>
      </c>
      <c r="R202" s="48" t="s">
        <v>1838</v>
      </c>
      <c r="S202" s="48" t="s">
        <v>2050</v>
      </c>
      <c r="T202" s="48" t="s">
        <v>1845</v>
      </c>
      <c r="U202" s="48" t="s">
        <v>2049</v>
      </c>
      <c r="V202" s="48" t="s">
        <v>1838</v>
      </c>
      <c r="W202" s="48" t="s">
        <v>2051</v>
      </c>
      <c r="X202" s="48" t="s">
        <v>2052</v>
      </c>
      <c r="Y202" s="48" t="s">
        <v>2050</v>
      </c>
      <c r="Z202" s="48" t="s">
        <v>2053</v>
      </c>
      <c r="AA202" s="48" t="s">
        <v>2054</v>
      </c>
      <c r="AB202" s="48" t="s">
        <v>2817</v>
      </c>
      <c r="AC202" s="48" t="s">
        <v>2055</v>
      </c>
      <c r="AD202" s="48" t="s">
        <v>2056</v>
      </c>
      <c r="AE202" s="48" t="s">
        <v>1710</v>
      </c>
      <c r="AF202" s="48" t="s">
        <v>1710</v>
      </c>
      <c r="AG202" s="48" t="s">
        <v>2057</v>
      </c>
      <c r="AH202" s="48" t="s">
        <v>1815</v>
      </c>
      <c r="AI202" s="48" t="s">
        <v>2058</v>
      </c>
      <c r="AJ202" s="48" t="s">
        <v>1710</v>
      </c>
      <c r="AK202" s="48" t="s">
        <v>2588</v>
      </c>
      <c r="AL202" s="48" t="s">
        <v>1858</v>
      </c>
      <c r="AM202" s="48" t="s">
        <v>1816</v>
      </c>
      <c r="AN202" s="48" t="s">
        <v>2054</v>
      </c>
      <c r="AO202" s="48" t="s">
        <v>1710</v>
      </c>
      <c r="AP202" s="48" t="s">
        <v>1848</v>
      </c>
      <c r="AQ202" s="48" t="s">
        <v>2060</v>
      </c>
      <c r="AR202" s="48" t="s">
        <v>1812</v>
      </c>
      <c r="AS202" s="48" t="s">
        <v>1813</v>
      </c>
      <c r="AT202" s="48" t="s">
        <v>1826</v>
      </c>
      <c r="AU202" s="48" t="s">
        <v>2061</v>
      </c>
      <c r="AV202" s="48" t="s">
        <v>2825</v>
      </c>
      <c r="AW202" s="48" t="s">
        <v>2062</v>
      </c>
      <c r="AX202" s="48" t="s">
        <v>2063</v>
      </c>
      <c r="AY202" s="48" t="s">
        <v>1710</v>
      </c>
      <c r="AZ202" s="48" t="s">
        <v>4422</v>
      </c>
      <c r="BA202" s="48" t="s">
        <v>1710</v>
      </c>
      <c r="BB202" s="48" t="s">
        <v>1709</v>
      </c>
      <c r="BC202" s="48" t="s">
        <v>1710</v>
      </c>
      <c r="BD202" s="48" t="s">
        <v>2089</v>
      </c>
      <c r="BE202" s="52" t="s">
        <v>4375</v>
      </c>
      <c r="BF202" s="48" t="s">
        <v>1710</v>
      </c>
      <c r="BG202" s="48" t="s">
        <v>1814</v>
      </c>
      <c r="BH202">
        <v>1</v>
      </c>
      <c r="BI202" s="48" t="s">
        <v>1888</v>
      </c>
      <c r="BJ202">
        <v>1</v>
      </c>
      <c r="BK202">
        <v>1473.06</v>
      </c>
      <c r="BL202">
        <v>347698</v>
      </c>
      <c r="BM202">
        <v>236</v>
      </c>
      <c r="BN202" s="48" t="s">
        <v>2064</v>
      </c>
      <c r="BO202" s="48" t="s">
        <v>2065</v>
      </c>
      <c r="BP202">
        <v>1473.06</v>
      </c>
      <c r="BQ202">
        <v>258.77999999999997</v>
      </c>
      <c r="BR202" s="48" t="s">
        <v>1885</v>
      </c>
      <c r="BS202" s="48" t="s">
        <v>2066</v>
      </c>
      <c r="BT202">
        <v>1</v>
      </c>
      <c r="BU202">
        <v>33500</v>
      </c>
      <c r="BV202">
        <v>33500</v>
      </c>
      <c r="BW202" s="48" t="s">
        <v>2065</v>
      </c>
      <c r="BX202">
        <v>1473.06</v>
      </c>
      <c r="BY202">
        <v>0</v>
      </c>
      <c r="BZ202">
        <v>0</v>
      </c>
      <c r="CA202" s="48" t="s">
        <v>2065</v>
      </c>
      <c r="CB202">
        <v>1473.06</v>
      </c>
      <c r="CC202">
        <v>0</v>
      </c>
      <c r="CD202">
        <v>0</v>
      </c>
      <c r="CE202" s="48" t="s">
        <v>1710</v>
      </c>
      <c r="CF202" s="48" t="s">
        <v>1710</v>
      </c>
      <c r="CG202" s="48" t="s">
        <v>1710</v>
      </c>
      <c r="CH202" s="48" t="s">
        <v>1710</v>
      </c>
      <c r="CI202" s="48" t="s">
        <v>2067</v>
      </c>
      <c r="CJ202" s="48" t="s">
        <v>1710</v>
      </c>
      <c r="CL202" s="48" t="s">
        <v>2825</v>
      </c>
      <c r="CM202" s="48" t="s">
        <v>1710</v>
      </c>
      <c r="CN202" s="48" t="s">
        <v>2068</v>
      </c>
      <c r="CO202" s="48" t="s">
        <v>2069</v>
      </c>
      <c r="CP202" s="48" t="s">
        <v>1710</v>
      </c>
      <c r="CQ202" s="48" t="s">
        <v>1710</v>
      </c>
      <c r="CR202" s="48" t="s">
        <v>1710</v>
      </c>
      <c r="CS202" s="48" t="s">
        <v>1710</v>
      </c>
      <c r="CT202" s="48" t="s">
        <v>1710</v>
      </c>
      <c r="CU202" s="48" t="s">
        <v>1712</v>
      </c>
      <c r="CV202" s="48" t="s">
        <v>1710</v>
      </c>
      <c r="CW202" s="48" t="s">
        <v>1710</v>
      </c>
      <c r="CX202" s="48" t="s">
        <v>3167</v>
      </c>
      <c r="CY202" s="48" t="s">
        <v>1710</v>
      </c>
      <c r="CZ202" s="48" t="s">
        <v>1712</v>
      </c>
      <c r="DA202" s="48" t="s">
        <v>1710</v>
      </c>
      <c r="DB202" s="48" t="s">
        <v>1878</v>
      </c>
      <c r="DC202" s="48" t="s">
        <v>2070</v>
      </c>
      <c r="DD202" s="48" t="s">
        <v>1842</v>
      </c>
      <c r="DE202" s="48" t="s">
        <v>1886</v>
      </c>
      <c r="DF202" s="48" t="s">
        <v>4423</v>
      </c>
      <c r="DG202" s="48" t="s">
        <v>2071</v>
      </c>
      <c r="DH202" s="48" t="s">
        <v>1712</v>
      </c>
      <c r="DI202" s="48" t="s">
        <v>1710</v>
      </c>
      <c r="DJ202" s="48" t="s">
        <v>1710</v>
      </c>
      <c r="DK202" s="48" t="s">
        <v>1710</v>
      </c>
      <c r="DL202" s="48" t="s">
        <v>1710</v>
      </c>
      <c r="DM202" s="48" t="s">
        <v>1710</v>
      </c>
      <c r="DN202" s="48" t="s">
        <v>1710</v>
      </c>
      <c r="DO202" s="48" t="s">
        <v>1710</v>
      </c>
      <c r="DP202" s="48" t="s">
        <v>1710</v>
      </c>
      <c r="DQ202" s="48" t="s">
        <v>1710</v>
      </c>
      <c r="DR202" s="48" t="s">
        <v>2072</v>
      </c>
      <c r="DS202" s="48" t="s">
        <v>1710</v>
      </c>
      <c r="DT202" s="48" t="s">
        <v>1710</v>
      </c>
      <c r="DU202" s="48" t="s">
        <v>2547</v>
      </c>
      <c r="DV202" s="48" t="s">
        <v>2825</v>
      </c>
      <c r="DW202" s="48" t="s">
        <v>1710</v>
      </c>
      <c r="DX202" s="48" t="s">
        <v>4424</v>
      </c>
      <c r="DY202" s="48" t="s">
        <v>1709</v>
      </c>
      <c r="DZ202" s="48" t="s">
        <v>2562</v>
      </c>
      <c r="EA202" s="48" t="s">
        <v>2546</v>
      </c>
      <c r="EB202">
        <v>0</v>
      </c>
      <c r="EC202" s="48" t="s">
        <v>2547</v>
      </c>
      <c r="ED202" s="48" t="s">
        <v>4417</v>
      </c>
      <c r="EE202" s="48" t="s">
        <v>1814</v>
      </c>
      <c r="EF202" s="48" t="s">
        <v>1859</v>
      </c>
      <c r="EG202" s="48" t="s">
        <v>4422</v>
      </c>
      <c r="EH202">
        <v>4.3999999999999997E-2</v>
      </c>
      <c r="EI202" s="48" t="s">
        <v>1888</v>
      </c>
      <c r="EJ202">
        <v>0</v>
      </c>
      <c r="EK202" s="48" t="s">
        <v>1710</v>
      </c>
      <c r="EL202">
        <v>1</v>
      </c>
      <c r="EM202" s="48" t="s">
        <v>1886</v>
      </c>
      <c r="EN202">
        <v>4.3999999999999997E-2</v>
      </c>
      <c r="EO202" s="48" t="s">
        <v>2602</v>
      </c>
      <c r="EP202" s="48" t="s">
        <v>2584</v>
      </c>
      <c r="EQ202">
        <v>258.77999999999997</v>
      </c>
      <c r="ER202">
        <v>258.77999999999997</v>
      </c>
      <c r="ES202">
        <v>347698</v>
      </c>
      <c r="ET202">
        <v>236</v>
      </c>
      <c r="EU202" s="48" t="s">
        <v>1710</v>
      </c>
      <c r="EV202" s="48" t="s">
        <v>1710</v>
      </c>
      <c r="EW202" s="48" t="s">
        <v>1712</v>
      </c>
      <c r="EX202" s="48" t="s">
        <v>1710</v>
      </c>
      <c r="EY202" s="48" t="s">
        <v>1843</v>
      </c>
      <c r="EZ202" s="48" t="s">
        <v>1710</v>
      </c>
      <c r="FA202" s="48" t="s">
        <v>1710</v>
      </c>
      <c r="FB202" s="48" t="s">
        <v>1712</v>
      </c>
      <c r="FC202" s="48" t="s">
        <v>1710</v>
      </c>
      <c r="FD202" s="48" t="s">
        <v>1710</v>
      </c>
      <c r="FE202" s="48" t="s">
        <v>1814</v>
      </c>
      <c r="FF202" s="48" t="s">
        <v>1815</v>
      </c>
      <c r="FG202" s="48" t="s">
        <v>1710</v>
      </c>
      <c r="FH202">
        <v>1</v>
      </c>
      <c r="FI202" s="48" t="s">
        <v>1846</v>
      </c>
      <c r="FJ202">
        <v>258.77999999999997</v>
      </c>
      <c r="FK202">
        <v>258.77999999999997</v>
      </c>
      <c r="FL202" s="48" t="s">
        <v>4425</v>
      </c>
      <c r="FM202" s="48" t="s">
        <v>2584</v>
      </c>
      <c r="FN202" s="48" t="s">
        <v>1710</v>
      </c>
      <c r="FO202" s="48" t="s">
        <v>1710</v>
      </c>
      <c r="FP202" s="48" t="s">
        <v>1710</v>
      </c>
      <c r="FQ202" s="48" t="s">
        <v>1710</v>
      </c>
      <c r="FR202" s="48" t="s">
        <v>1710</v>
      </c>
      <c r="FS202" s="48" t="s">
        <v>1710</v>
      </c>
      <c r="FT202" s="48" t="s">
        <v>1710</v>
      </c>
      <c r="FU202" s="48" t="s">
        <v>1710</v>
      </c>
      <c r="FV202" s="48"/>
      <c r="FW202" s="56"/>
      <c r="FX202" s="56"/>
      <c r="FY202" s="56"/>
      <c r="FZ202" s="56"/>
      <c r="GA202" s="55" t="str">
        <f t="shared" si="11"/>
        <v>4388426300500X</v>
      </c>
      <c r="GB202" t="str">
        <f>VLOOKUP(B202,수출코드!$C$2:$D$4,2,FALSE)</f>
        <v>Suwon</v>
      </c>
      <c r="GC202" t="str">
        <f>VLOOKUP(L202,수출코드!$A$2:$B$6,2,FALSE)</f>
        <v/>
      </c>
      <c r="GD202" t="str">
        <f>VLOOKUP(M202,수출코드!$E$2:$F$5,2,FALSE)</f>
        <v>일반</v>
      </c>
      <c r="GE202" s="61">
        <f t="shared" si="9"/>
        <v>45973.356944444444</v>
      </c>
      <c r="GF202" s="62">
        <f t="shared" si="10"/>
        <v>46052.501388888886</v>
      </c>
      <c r="GI202" s="48" t="s">
        <v>2773</v>
      </c>
    </row>
    <row r="203" spans="1:191">
      <c r="A203" s="48" t="s">
        <v>4426</v>
      </c>
      <c r="B203" s="48" t="s">
        <v>1821</v>
      </c>
      <c r="C203" s="48" t="s">
        <v>2048</v>
      </c>
      <c r="D203" s="48" t="s">
        <v>2813</v>
      </c>
      <c r="E203" s="48" t="s">
        <v>4426</v>
      </c>
      <c r="F203" s="48" t="s">
        <v>1710</v>
      </c>
      <c r="G203" s="48" t="s">
        <v>2814</v>
      </c>
      <c r="H203" s="48" t="s">
        <v>4427</v>
      </c>
      <c r="I203" s="48" t="s">
        <v>1884</v>
      </c>
      <c r="J203" s="48" t="s">
        <v>2825</v>
      </c>
      <c r="K203" s="48" t="s">
        <v>1877</v>
      </c>
      <c r="L203" s="48" t="s">
        <v>1842</v>
      </c>
      <c r="M203" s="48" t="s">
        <v>1810</v>
      </c>
      <c r="N203" s="48" t="s">
        <v>1842</v>
      </c>
      <c r="O203" s="48" t="s">
        <v>1811</v>
      </c>
      <c r="P203" s="48" t="s">
        <v>2549</v>
      </c>
      <c r="Q203" s="48" t="s">
        <v>2049</v>
      </c>
      <c r="R203" s="48" t="s">
        <v>1838</v>
      </c>
      <c r="S203" s="48" t="s">
        <v>2050</v>
      </c>
      <c r="T203" s="48" t="s">
        <v>1845</v>
      </c>
      <c r="U203" s="48" t="s">
        <v>2049</v>
      </c>
      <c r="V203" s="48" t="s">
        <v>1838</v>
      </c>
      <c r="W203" s="48" t="s">
        <v>2051</v>
      </c>
      <c r="X203" s="48" t="s">
        <v>2052</v>
      </c>
      <c r="Y203" s="48" t="s">
        <v>2050</v>
      </c>
      <c r="Z203" s="48" t="s">
        <v>2053</v>
      </c>
      <c r="AA203" s="48" t="s">
        <v>2054</v>
      </c>
      <c r="AB203" s="48" t="s">
        <v>2817</v>
      </c>
      <c r="AC203" s="48" t="s">
        <v>2055</v>
      </c>
      <c r="AD203" s="48" t="s">
        <v>2056</v>
      </c>
      <c r="AE203" s="48" t="s">
        <v>1710</v>
      </c>
      <c r="AF203" s="48" t="s">
        <v>1710</v>
      </c>
      <c r="AG203" s="48" t="s">
        <v>2057</v>
      </c>
      <c r="AH203" s="48" t="s">
        <v>1815</v>
      </c>
      <c r="AI203" s="48" t="s">
        <v>2058</v>
      </c>
      <c r="AJ203" s="48" t="s">
        <v>1710</v>
      </c>
      <c r="AK203" s="48" t="s">
        <v>2563</v>
      </c>
      <c r="AL203" s="48" t="s">
        <v>2564</v>
      </c>
      <c r="AM203" s="48" t="s">
        <v>1816</v>
      </c>
      <c r="AN203" s="48" t="s">
        <v>2054</v>
      </c>
      <c r="AO203" s="48" t="s">
        <v>1710</v>
      </c>
      <c r="AP203" s="48" t="s">
        <v>1855</v>
      </c>
      <c r="AQ203" s="48" t="s">
        <v>2076</v>
      </c>
      <c r="AR203" s="48" t="s">
        <v>1812</v>
      </c>
      <c r="AS203" s="48" t="s">
        <v>1813</v>
      </c>
      <c r="AT203" s="48" t="s">
        <v>1826</v>
      </c>
      <c r="AU203" s="48" t="s">
        <v>2061</v>
      </c>
      <c r="AV203" s="48" t="s">
        <v>2825</v>
      </c>
      <c r="AW203" s="48" t="s">
        <v>2062</v>
      </c>
      <c r="AX203" s="48" t="s">
        <v>2063</v>
      </c>
      <c r="AY203" s="48" t="s">
        <v>1710</v>
      </c>
      <c r="AZ203" s="48" t="s">
        <v>4428</v>
      </c>
      <c r="BA203" s="48" t="s">
        <v>1710</v>
      </c>
      <c r="BB203" s="48" t="s">
        <v>1709</v>
      </c>
      <c r="BC203" s="48" t="s">
        <v>1710</v>
      </c>
      <c r="BD203" s="48" t="s">
        <v>2864</v>
      </c>
      <c r="BE203" s="52" t="s">
        <v>4429</v>
      </c>
      <c r="BF203" s="48" t="s">
        <v>1710</v>
      </c>
      <c r="BG203" s="48" t="s">
        <v>1814</v>
      </c>
      <c r="BH203">
        <v>5</v>
      </c>
      <c r="BI203" s="48" t="s">
        <v>1888</v>
      </c>
      <c r="BJ203">
        <v>1</v>
      </c>
      <c r="BK203">
        <v>1473.06</v>
      </c>
      <c r="BL203">
        <v>1248486</v>
      </c>
      <c r="BM203">
        <v>848</v>
      </c>
      <c r="BN203" s="48" t="s">
        <v>2064</v>
      </c>
      <c r="BO203" s="48" t="s">
        <v>2065</v>
      </c>
      <c r="BP203">
        <v>1473.06</v>
      </c>
      <c r="BQ203">
        <v>872.8</v>
      </c>
      <c r="BR203" s="48" t="s">
        <v>1885</v>
      </c>
      <c r="BS203" s="48" t="s">
        <v>2066</v>
      </c>
      <c r="BT203">
        <v>1</v>
      </c>
      <c r="BU203">
        <v>37200</v>
      </c>
      <c r="BV203">
        <v>37200</v>
      </c>
      <c r="BW203" s="48" t="s">
        <v>2065</v>
      </c>
      <c r="BX203">
        <v>1473.06</v>
      </c>
      <c r="BY203">
        <v>0</v>
      </c>
      <c r="BZ203">
        <v>0</v>
      </c>
      <c r="CA203" s="48" t="s">
        <v>2065</v>
      </c>
      <c r="CB203">
        <v>1473.06</v>
      </c>
      <c r="CC203">
        <v>0</v>
      </c>
      <c r="CD203">
        <v>0</v>
      </c>
      <c r="CE203" s="48" t="s">
        <v>1710</v>
      </c>
      <c r="CF203" s="48" t="s">
        <v>1710</v>
      </c>
      <c r="CG203" s="48" t="s">
        <v>1710</v>
      </c>
      <c r="CH203" s="48" t="s">
        <v>1710</v>
      </c>
      <c r="CI203" s="48" t="s">
        <v>2067</v>
      </c>
      <c r="CJ203" s="48" t="s">
        <v>1710</v>
      </c>
      <c r="CL203" s="48" t="s">
        <v>2825</v>
      </c>
      <c r="CM203" s="48" t="s">
        <v>1710</v>
      </c>
      <c r="CN203" s="48" t="s">
        <v>2068</v>
      </c>
      <c r="CO203" s="48" t="s">
        <v>2069</v>
      </c>
      <c r="CP203" s="48" t="s">
        <v>1710</v>
      </c>
      <c r="CQ203" s="48" t="s">
        <v>1710</v>
      </c>
      <c r="CR203" s="48" t="s">
        <v>1710</v>
      </c>
      <c r="CS203" s="48" t="s">
        <v>1710</v>
      </c>
      <c r="CT203" s="48" t="s">
        <v>1710</v>
      </c>
      <c r="CU203" s="48" t="s">
        <v>1712</v>
      </c>
      <c r="CV203" s="48" t="s">
        <v>1710</v>
      </c>
      <c r="CW203" s="48" t="s">
        <v>1710</v>
      </c>
      <c r="CX203" s="48" t="s">
        <v>3167</v>
      </c>
      <c r="CY203" s="48" t="s">
        <v>1710</v>
      </c>
      <c r="CZ203" s="48" t="s">
        <v>1712</v>
      </c>
      <c r="DA203" s="48" t="s">
        <v>1710</v>
      </c>
      <c r="DB203" s="48" t="s">
        <v>1878</v>
      </c>
      <c r="DC203" s="48" t="s">
        <v>2070</v>
      </c>
      <c r="DD203" s="48" t="s">
        <v>1842</v>
      </c>
      <c r="DE203" s="48" t="s">
        <v>1886</v>
      </c>
      <c r="DF203" s="48" t="s">
        <v>4430</v>
      </c>
      <c r="DG203" s="48" t="s">
        <v>2071</v>
      </c>
      <c r="DH203" s="48" t="s">
        <v>1712</v>
      </c>
      <c r="DI203" s="48" t="s">
        <v>1710</v>
      </c>
      <c r="DJ203" s="48" t="s">
        <v>1710</v>
      </c>
      <c r="DK203" s="48" t="s">
        <v>1710</v>
      </c>
      <c r="DL203" s="48" t="s">
        <v>1710</v>
      </c>
      <c r="DM203" s="48" t="s">
        <v>1710</v>
      </c>
      <c r="DN203" s="48" t="s">
        <v>1710</v>
      </c>
      <c r="DO203" s="48" t="s">
        <v>1710</v>
      </c>
      <c r="DP203" s="48" t="s">
        <v>1710</v>
      </c>
      <c r="DQ203" s="48" t="s">
        <v>1710</v>
      </c>
      <c r="DR203" s="48" t="s">
        <v>2072</v>
      </c>
      <c r="DS203" s="48" t="s">
        <v>1710</v>
      </c>
      <c r="DT203" s="48" t="s">
        <v>1710</v>
      </c>
      <c r="DU203" s="48" t="s">
        <v>2547</v>
      </c>
      <c r="DV203" s="48" t="s">
        <v>3141</v>
      </c>
      <c r="DW203" s="48" t="s">
        <v>1710</v>
      </c>
      <c r="DX203" s="48" t="s">
        <v>4431</v>
      </c>
      <c r="DY203" s="48" t="s">
        <v>1709</v>
      </c>
      <c r="DZ203" s="48" t="s">
        <v>2562</v>
      </c>
      <c r="EA203" s="48" t="s">
        <v>2546</v>
      </c>
      <c r="EB203">
        <v>0</v>
      </c>
      <c r="EC203" s="48" t="s">
        <v>2547</v>
      </c>
      <c r="ED203" s="48" t="s">
        <v>4432</v>
      </c>
      <c r="EE203" s="48" t="s">
        <v>1814</v>
      </c>
      <c r="EF203" s="48" t="s">
        <v>1852</v>
      </c>
      <c r="EG203" s="48" t="s">
        <v>4428</v>
      </c>
      <c r="EH203">
        <v>3</v>
      </c>
      <c r="EI203" s="48" t="s">
        <v>1888</v>
      </c>
      <c r="EJ203">
        <v>0</v>
      </c>
      <c r="EK203" s="48" t="s">
        <v>1710</v>
      </c>
      <c r="EL203">
        <v>1</v>
      </c>
      <c r="EM203" s="48" t="s">
        <v>1886</v>
      </c>
      <c r="EN203">
        <v>3</v>
      </c>
      <c r="EO203" s="48" t="s">
        <v>2521</v>
      </c>
      <c r="EP203" s="48" t="s">
        <v>4433</v>
      </c>
      <c r="EQ203">
        <v>872.8</v>
      </c>
      <c r="ER203">
        <v>872.8</v>
      </c>
      <c r="ES203">
        <v>1248486</v>
      </c>
      <c r="ET203">
        <v>848</v>
      </c>
      <c r="EU203" s="48" t="s">
        <v>1710</v>
      </c>
      <c r="EV203" s="48" t="s">
        <v>1710</v>
      </c>
      <c r="EW203" s="48" t="s">
        <v>1712</v>
      </c>
      <c r="EX203" s="48" t="s">
        <v>1710</v>
      </c>
      <c r="EY203" s="48" t="s">
        <v>1873</v>
      </c>
      <c r="EZ203" s="48" t="s">
        <v>1710</v>
      </c>
      <c r="FA203" s="48" t="s">
        <v>1710</v>
      </c>
      <c r="FB203" s="48" t="s">
        <v>1712</v>
      </c>
      <c r="FC203" s="48" t="s">
        <v>1710</v>
      </c>
      <c r="FD203" s="48" t="s">
        <v>1710</v>
      </c>
      <c r="FE203" s="48" t="s">
        <v>1814</v>
      </c>
      <c r="FF203" s="48" t="s">
        <v>1815</v>
      </c>
      <c r="FG203" s="48" t="s">
        <v>1710</v>
      </c>
      <c r="FH203">
        <v>3</v>
      </c>
      <c r="FI203" s="48" t="s">
        <v>1846</v>
      </c>
      <c r="FJ203">
        <v>872.8</v>
      </c>
      <c r="FK203">
        <v>290.93299999999999</v>
      </c>
      <c r="FL203" s="48" t="s">
        <v>4434</v>
      </c>
      <c r="FM203" s="48" t="s">
        <v>4433</v>
      </c>
      <c r="FN203" s="48" t="s">
        <v>1710</v>
      </c>
      <c r="FO203" s="48" t="s">
        <v>1710</v>
      </c>
      <c r="FP203" s="48" t="s">
        <v>1710</v>
      </c>
      <c r="FQ203" s="48" t="s">
        <v>1710</v>
      </c>
      <c r="FR203" s="48" t="s">
        <v>1710</v>
      </c>
      <c r="FS203" s="48" t="s">
        <v>1710</v>
      </c>
      <c r="FT203" s="48" t="s">
        <v>1710</v>
      </c>
      <c r="FU203" s="48" t="s">
        <v>1710</v>
      </c>
      <c r="FV203" s="48"/>
      <c r="FW203" s="56"/>
      <c r="FX203" s="56"/>
      <c r="FY203" s="56"/>
      <c r="FZ203" s="56"/>
      <c r="GA203" s="55" t="str">
        <f t="shared" si="11"/>
        <v>4388426300501X</v>
      </c>
      <c r="GB203" t="str">
        <f>VLOOKUP(B203,수출코드!$C$2:$D$4,2,FALSE)</f>
        <v>Suwon</v>
      </c>
      <c r="GC203" t="str">
        <f>VLOOKUP(L203,수출코드!$A$2:$B$6,2,FALSE)</f>
        <v/>
      </c>
      <c r="GD203" t="str">
        <f>VLOOKUP(M203,수출코드!$E$2:$F$5,2,FALSE)</f>
        <v>일반</v>
      </c>
      <c r="GE203" s="61">
        <f t="shared" si="9"/>
        <v>45973.375</v>
      </c>
      <c r="GF203" s="62">
        <f t="shared" si="10"/>
        <v>46052.599305555559</v>
      </c>
      <c r="GI203" s="48" t="s">
        <v>2774</v>
      </c>
    </row>
    <row r="204" spans="1:191">
      <c r="A204" s="48" t="s">
        <v>4435</v>
      </c>
      <c r="B204" s="48" t="s">
        <v>1821</v>
      </c>
      <c r="C204" s="48" t="s">
        <v>2048</v>
      </c>
      <c r="D204" s="48" t="s">
        <v>2813</v>
      </c>
      <c r="E204" s="48" t="s">
        <v>4435</v>
      </c>
      <c r="F204" s="48" t="s">
        <v>1710</v>
      </c>
      <c r="G204" s="48" t="s">
        <v>2814</v>
      </c>
      <c r="H204" s="48" t="s">
        <v>4436</v>
      </c>
      <c r="I204" s="48" t="s">
        <v>1884</v>
      </c>
      <c r="J204" s="48" t="s">
        <v>2825</v>
      </c>
      <c r="K204" s="48" t="s">
        <v>1877</v>
      </c>
      <c r="L204" s="48" t="s">
        <v>1842</v>
      </c>
      <c r="M204" s="48" t="s">
        <v>1810</v>
      </c>
      <c r="N204" s="48" t="s">
        <v>1842</v>
      </c>
      <c r="O204" s="48" t="s">
        <v>1811</v>
      </c>
      <c r="P204" s="48" t="s">
        <v>2549</v>
      </c>
      <c r="Q204" s="48" t="s">
        <v>2049</v>
      </c>
      <c r="R204" s="48" t="s">
        <v>1838</v>
      </c>
      <c r="S204" s="48" t="s">
        <v>2050</v>
      </c>
      <c r="T204" s="48" t="s">
        <v>1845</v>
      </c>
      <c r="U204" s="48" t="s">
        <v>2049</v>
      </c>
      <c r="V204" s="48" t="s">
        <v>1838</v>
      </c>
      <c r="W204" s="48" t="s">
        <v>2051</v>
      </c>
      <c r="X204" s="48" t="s">
        <v>2052</v>
      </c>
      <c r="Y204" s="48" t="s">
        <v>2050</v>
      </c>
      <c r="Z204" s="48" t="s">
        <v>2053</v>
      </c>
      <c r="AA204" s="48" t="s">
        <v>2054</v>
      </c>
      <c r="AB204" s="48" t="s">
        <v>2817</v>
      </c>
      <c r="AC204" s="48" t="s">
        <v>2055</v>
      </c>
      <c r="AD204" s="48" t="s">
        <v>2056</v>
      </c>
      <c r="AE204" s="48" t="s">
        <v>1710</v>
      </c>
      <c r="AF204" s="48" t="s">
        <v>1710</v>
      </c>
      <c r="AG204" s="48" t="s">
        <v>2057</v>
      </c>
      <c r="AH204" s="48" t="s">
        <v>1815</v>
      </c>
      <c r="AI204" s="48" t="s">
        <v>2058</v>
      </c>
      <c r="AJ204" s="48" t="s">
        <v>1710</v>
      </c>
      <c r="AK204" s="48" t="s">
        <v>2563</v>
      </c>
      <c r="AL204" s="48" t="s">
        <v>2564</v>
      </c>
      <c r="AM204" s="48" t="s">
        <v>1816</v>
      </c>
      <c r="AN204" s="48" t="s">
        <v>2054</v>
      </c>
      <c r="AO204" s="48" t="s">
        <v>1710</v>
      </c>
      <c r="AP204" s="48" t="s">
        <v>1855</v>
      </c>
      <c r="AQ204" s="48" t="s">
        <v>2076</v>
      </c>
      <c r="AR204" s="48" t="s">
        <v>1812</v>
      </c>
      <c r="AS204" s="48" t="s">
        <v>1813</v>
      </c>
      <c r="AT204" s="48" t="s">
        <v>1826</v>
      </c>
      <c r="AU204" s="48" t="s">
        <v>2061</v>
      </c>
      <c r="AV204" s="48" t="s">
        <v>2825</v>
      </c>
      <c r="AW204" s="48" t="s">
        <v>2062</v>
      </c>
      <c r="AX204" s="48" t="s">
        <v>2063</v>
      </c>
      <c r="AY204" s="48" t="s">
        <v>1710</v>
      </c>
      <c r="AZ204" s="48" t="s">
        <v>4437</v>
      </c>
      <c r="BA204" s="48" t="s">
        <v>1710</v>
      </c>
      <c r="BB204" s="48" t="s">
        <v>1709</v>
      </c>
      <c r="BC204" s="48" t="s">
        <v>1710</v>
      </c>
      <c r="BD204" s="48" t="s">
        <v>2097</v>
      </c>
      <c r="BE204" s="52" t="s">
        <v>4438</v>
      </c>
      <c r="BF204" s="48" t="s">
        <v>1710</v>
      </c>
      <c r="BG204" s="48" t="s">
        <v>1818</v>
      </c>
      <c r="BH204">
        <v>5</v>
      </c>
      <c r="BI204" s="48" t="s">
        <v>1888</v>
      </c>
      <c r="BJ204">
        <v>1</v>
      </c>
      <c r="BK204">
        <v>1473.06</v>
      </c>
      <c r="BL204">
        <v>10892579</v>
      </c>
      <c r="BM204">
        <v>7395</v>
      </c>
      <c r="BN204" s="48" t="s">
        <v>2064</v>
      </c>
      <c r="BO204" s="48" t="s">
        <v>2065</v>
      </c>
      <c r="BP204">
        <v>1473.06</v>
      </c>
      <c r="BQ204">
        <v>7419.78</v>
      </c>
      <c r="BR204" s="48" t="s">
        <v>1885</v>
      </c>
      <c r="BS204" s="48" t="s">
        <v>2066</v>
      </c>
      <c r="BT204">
        <v>1</v>
      </c>
      <c r="BU204">
        <v>37200</v>
      </c>
      <c r="BV204">
        <v>37200</v>
      </c>
      <c r="BW204" s="48" t="s">
        <v>2065</v>
      </c>
      <c r="BX204">
        <v>1473.06</v>
      </c>
      <c r="BY204">
        <v>0</v>
      </c>
      <c r="BZ204">
        <v>0</v>
      </c>
      <c r="CA204" s="48" t="s">
        <v>2065</v>
      </c>
      <c r="CB204">
        <v>1473.06</v>
      </c>
      <c r="CC204">
        <v>0</v>
      </c>
      <c r="CD204">
        <v>0</v>
      </c>
      <c r="CE204" s="48" t="s">
        <v>1710</v>
      </c>
      <c r="CF204" s="48" t="s">
        <v>1710</v>
      </c>
      <c r="CG204" s="48" t="s">
        <v>1710</v>
      </c>
      <c r="CH204" s="48" t="s">
        <v>1710</v>
      </c>
      <c r="CI204" s="48" t="s">
        <v>2067</v>
      </c>
      <c r="CJ204" s="48" t="s">
        <v>1710</v>
      </c>
      <c r="CL204" s="48" t="s">
        <v>2825</v>
      </c>
      <c r="CM204" s="48" t="s">
        <v>1710</v>
      </c>
      <c r="CN204" s="48" t="s">
        <v>2068</v>
      </c>
      <c r="CO204" s="48" t="s">
        <v>2069</v>
      </c>
      <c r="CP204" s="48" t="s">
        <v>1710</v>
      </c>
      <c r="CQ204" s="48" t="s">
        <v>1710</v>
      </c>
      <c r="CR204" s="48" t="s">
        <v>1710</v>
      </c>
      <c r="CS204" s="48" t="s">
        <v>1710</v>
      </c>
      <c r="CT204" s="48" t="s">
        <v>1710</v>
      </c>
      <c r="CU204" s="48" t="s">
        <v>1712</v>
      </c>
      <c r="CV204" s="48" t="s">
        <v>1710</v>
      </c>
      <c r="CW204" s="48" t="s">
        <v>1710</v>
      </c>
      <c r="CX204" s="48" t="s">
        <v>3167</v>
      </c>
      <c r="CY204" s="48" t="s">
        <v>1710</v>
      </c>
      <c r="CZ204" s="48" t="s">
        <v>1712</v>
      </c>
      <c r="DA204" s="48" t="s">
        <v>1710</v>
      </c>
      <c r="DB204" s="48" t="s">
        <v>1878</v>
      </c>
      <c r="DC204" s="48" t="s">
        <v>2070</v>
      </c>
      <c r="DD204" s="48" t="s">
        <v>1842</v>
      </c>
      <c r="DE204" s="48" t="s">
        <v>1886</v>
      </c>
      <c r="DF204" s="48" t="s">
        <v>4439</v>
      </c>
      <c r="DG204" s="48" t="s">
        <v>2071</v>
      </c>
      <c r="DH204" s="48" t="s">
        <v>1712</v>
      </c>
      <c r="DI204" s="48" t="s">
        <v>1710</v>
      </c>
      <c r="DJ204" s="48" t="s">
        <v>1710</v>
      </c>
      <c r="DK204" s="48" t="s">
        <v>1710</v>
      </c>
      <c r="DL204" s="48" t="s">
        <v>1710</v>
      </c>
      <c r="DM204" s="48" t="s">
        <v>1710</v>
      </c>
      <c r="DN204" s="48" t="s">
        <v>1710</v>
      </c>
      <c r="DO204" s="48" t="s">
        <v>1710</v>
      </c>
      <c r="DP204" s="48" t="s">
        <v>1710</v>
      </c>
      <c r="DQ204" s="48" t="s">
        <v>1710</v>
      </c>
      <c r="DR204" s="48" t="s">
        <v>2072</v>
      </c>
      <c r="DS204" s="48" t="s">
        <v>1710</v>
      </c>
      <c r="DT204" s="48" t="s">
        <v>1710</v>
      </c>
      <c r="DU204" s="48" t="s">
        <v>2547</v>
      </c>
      <c r="DV204" s="48" t="s">
        <v>1710</v>
      </c>
      <c r="DW204" s="48" t="s">
        <v>1710</v>
      </c>
      <c r="DX204" s="48" t="s">
        <v>1710</v>
      </c>
      <c r="DY204" s="48" t="s">
        <v>1710</v>
      </c>
      <c r="DZ204" s="48" t="s">
        <v>2562</v>
      </c>
      <c r="EA204" s="48" t="s">
        <v>2546</v>
      </c>
      <c r="EB204">
        <v>0</v>
      </c>
      <c r="EC204" s="48" t="s">
        <v>2547</v>
      </c>
      <c r="ED204" s="48" t="s">
        <v>4440</v>
      </c>
      <c r="EE204" s="48" t="s">
        <v>1814</v>
      </c>
      <c r="EF204" s="48" t="s">
        <v>4441</v>
      </c>
      <c r="EG204" s="48" t="s">
        <v>4437</v>
      </c>
      <c r="EH204">
        <v>0.01</v>
      </c>
      <c r="EI204" s="48" t="s">
        <v>1888</v>
      </c>
      <c r="EJ204">
        <v>0</v>
      </c>
      <c r="EK204" s="48" t="s">
        <v>1710</v>
      </c>
      <c r="EL204">
        <v>1</v>
      </c>
      <c r="EM204" s="48" t="s">
        <v>1886</v>
      </c>
      <c r="EN204">
        <v>0.01</v>
      </c>
      <c r="EO204" s="48" t="s">
        <v>4442</v>
      </c>
      <c r="EP204" s="48" t="s">
        <v>4443</v>
      </c>
      <c r="EQ204">
        <v>446.87</v>
      </c>
      <c r="ER204">
        <v>446.87</v>
      </c>
      <c r="ES204">
        <v>656025</v>
      </c>
      <c r="ET204">
        <v>445</v>
      </c>
      <c r="EU204" s="48" t="s">
        <v>1710</v>
      </c>
      <c r="EV204" s="48" t="s">
        <v>1710</v>
      </c>
      <c r="EW204" s="48" t="s">
        <v>1712</v>
      </c>
      <c r="EX204" s="48" t="s">
        <v>1710</v>
      </c>
      <c r="EY204" s="48" t="s">
        <v>1843</v>
      </c>
      <c r="EZ204" s="48" t="s">
        <v>1710</v>
      </c>
      <c r="FA204" s="48" t="s">
        <v>1710</v>
      </c>
      <c r="FB204" s="48" t="s">
        <v>1712</v>
      </c>
      <c r="FC204" s="48" t="s">
        <v>1710</v>
      </c>
      <c r="FD204" s="48" t="s">
        <v>1710</v>
      </c>
      <c r="FE204" s="48" t="s">
        <v>1814</v>
      </c>
      <c r="FF204" s="48" t="s">
        <v>1815</v>
      </c>
      <c r="FG204" s="48" t="s">
        <v>1710</v>
      </c>
      <c r="FH204">
        <v>1</v>
      </c>
      <c r="FI204" s="48" t="s">
        <v>1846</v>
      </c>
      <c r="FJ204">
        <v>446.87</v>
      </c>
      <c r="FK204">
        <v>446.87</v>
      </c>
      <c r="FL204" s="48" t="s">
        <v>4444</v>
      </c>
      <c r="FM204" s="48" t="s">
        <v>4443</v>
      </c>
      <c r="FN204" s="48" t="s">
        <v>1710</v>
      </c>
      <c r="FO204" s="48" t="s">
        <v>1710</v>
      </c>
      <c r="FP204" s="48" t="s">
        <v>1710</v>
      </c>
      <c r="FQ204" s="48" t="s">
        <v>1710</v>
      </c>
      <c r="FR204" s="48" t="s">
        <v>1710</v>
      </c>
      <c r="FS204" s="48" t="s">
        <v>1710</v>
      </c>
      <c r="FT204" s="48" t="s">
        <v>1710</v>
      </c>
      <c r="FU204" s="48" t="s">
        <v>1710</v>
      </c>
      <c r="FV204" s="48"/>
      <c r="FW204" s="56"/>
      <c r="FX204" s="56"/>
      <c r="FY204" s="56"/>
      <c r="FZ204" s="56"/>
      <c r="GA204" s="55" t="str">
        <f t="shared" si="11"/>
        <v>4388426300502X</v>
      </c>
      <c r="GB204" t="str">
        <f>VLOOKUP(B204,수출코드!$C$2:$D$4,2,FALSE)</f>
        <v>Suwon</v>
      </c>
      <c r="GC204" t="str">
        <f>VLOOKUP(L204,수출코드!$A$2:$B$6,2,FALSE)</f>
        <v/>
      </c>
      <c r="GD204" t="str">
        <f>VLOOKUP(M204,수출코드!$E$2:$F$5,2,FALSE)</f>
        <v>일반</v>
      </c>
      <c r="GE204" s="61">
        <f t="shared" si="9"/>
        <v>45973.59097222222</v>
      </c>
      <c r="GF204" s="62">
        <f t="shared" si="10"/>
        <v>46052.716666666667</v>
      </c>
      <c r="GI204" s="48" t="s">
        <v>2775</v>
      </c>
    </row>
    <row r="205" spans="1:191">
      <c r="A205" s="48" t="s">
        <v>4445</v>
      </c>
      <c r="B205" s="48" t="s">
        <v>1821</v>
      </c>
      <c r="C205" s="48" t="s">
        <v>2048</v>
      </c>
      <c r="D205" s="48" t="s">
        <v>2813</v>
      </c>
      <c r="E205" s="48" t="s">
        <v>4445</v>
      </c>
      <c r="F205" s="48" t="s">
        <v>1710</v>
      </c>
      <c r="G205" s="48" t="s">
        <v>2814</v>
      </c>
      <c r="H205" s="48" t="s">
        <v>4446</v>
      </c>
      <c r="I205" s="48" t="s">
        <v>1884</v>
      </c>
      <c r="J205" s="48" t="s">
        <v>2825</v>
      </c>
      <c r="K205" s="48" t="s">
        <v>1885</v>
      </c>
      <c r="L205" s="48" t="s">
        <v>1883</v>
      </c>
      <c r="M205" s="48" t="s">
        <v>2085</v>
      </c>
      <c r="N205" s="48" t="s">
        <v>1842</v>
      </c>
      <c r="O205" s="48" t="s">
        <v>1811</v>
      </c>
      <c r="P205" s="48" t="s">
        <v>2549</v>
      </c>
      <c r="Q205" s="48" t="s">
        <v>2049</v>
      </c>
      <c r="R205" s="48" t="s">
        <v>1838</v>
      </c>
      <c r="S205" s="48" t="s">
        <v>2050</v>
      </c>
      <c r="T205" s="48" t="s">
        <v>1845</v>
      </c>
      <c r="U205" s="48" t="s">
        <v>2049</v>
      </c>
      <c r="V205" s="48" t="s">
        <v>1838</v>
      </c>
      <c r="W205" s="48" t="s">
        <v>2051</v>
      </c>
      <c r="X205" s="48" t="s">
        <v>2052</v>
      </c>
      <c r="Y205" s="48" t="s">
        <v>2050</v>
      </c>
      <c r="Z205" s="48" t="s">
        <v>2053</v>
      </c>
      <c r="AA205" s="48" t="s">
        <v>2054</v>
      </c>
      <c r="AB205" s="48" t="s">
        <v>2817</v>
      </c>
      <c r="AC205" s="48" t="s">
        <v>2055</v>
      </c>
      <c r="AD205" s="48" t="s">
        <v>2056</v>
      </c>
      <c r="AE205" s="48" t="s">
        <v>1710</v>
      </c>
      <c r="AF205" s="48" t="s">
        <v>1710</v>
      </c>
      <c r="AG205" s="48" t="s">
        <v>2057</v>
      </c>
      <c r="AH205" s="48" t="s">
        <v>1815</v>
      </c>
      <c r="AI205" s="48" t="s">
        <v>2058</v>
      </c>
      <c r="AJ205" s="48" t="s">
        <v>1710</v>
      </c>
      <c r="AK205" s="48" t="s">
        <v>2563</v>
      </c>
      <c r="AL205" s="48" t="s">
        <v>2564</v>
      </c>
      <c r="AM205" s="48" t="s">
        <v>1816</v>
      </c>
      <c r="AN205" s="48" t="s">
        <v>2054</v>
      </c>
      <c r="AO205" s="48" t="s">
        <v>1710</v>
      </c>
      <c r="AP205" s="48" t="s">
        <v>1855</v>
      </c>
      <c r="AQ205" s="48" t="s">
        <v>2076</v>
      </c>
      <c r="AR205" s="48" t="s">
        <v>1812</v>
      </c>
      <c r="AS205" s="48" t="s">
        <v>1813</v>
      </c>
      <c r="AT205" s="48" t="s">
        <v>1826</v>
      </c>
      <c r="AU205" s="48" t="s">
        <v>2061</v>
      </c>
      <c r="AV205" s="48" t="s">
        <v>2825</v>
      </c>
      <c r="AW205" s="48" t="s">
        <v>2062</v>
      </c>
      <c r="AX205" s="48" t="s">
        <v>2063</v>
      </c>
      <c r="AY205" s="48" t="s">
        <v>1710</v>
      </c>
      <c r="AZ205" s="48" t="s">
        <v>4437</v>
      </c>
      <c r="BA205" s="48" t="s">
        <v>1710</v>
      </c>
      <c r="BB205" s="48" t="s">
        <v>1709</v>
      </c>
      <c r="BC205" s="48" t="s">
        <v>1710</v>
      </c>
      <c r="BD205" s="48" t="s">
        <v>2097</v>
      </c>
      <c r="BE205" s="52" t="s">
        <v>4438</v>
      </c>
      <c r="BF205" s="48" t="s">
        <v>1710</v>
      </c>
      <c r="BG205" s="48" t="s">
        <v>1814</v>
      </c>
      <c r="BH205">
        <v>4</v>
      </c>
      <c r="BI205" s="48" t="s">
        <v>1888</v>
      </c>
      <c r="BJ205">
        <v>1</v>
      </c>
      <c r="BK205">
        <v>1473.06</v>
      </c>
      <c r="BL205">
        <v>6499631</v>
      </c>
      <c r="BM205">
        <v>4412</v>
      </c>
      <c r="BN205" s="48" t="s">
        <v>2064</v>
      </c>
      <c r="BO205" s="48" t="s">
        <v>2065</v>
      </c>
      <c r="BP205">
        <v>1473.06</v>
      </c>
      <c r="BQ205">
        <v>4435.55</v>
      </c>
      <c r="BR205" s="48" t="s">
        <v>1885</v>
      </c>
      <c r="BS205" s="48" t="s">
        <v>2066</v>
      </c>
      <c r="BT205">
        <v>1</v>
      </c>
      <c r="BU205">
        <v>34200</v>
      </c>
      <c r="BV205">
        <v>34200</v>
      </c>
      <c r="BW205" s="48" t="s">
        <v>2065</v>
      </c>
      <c r="BX205">
        <v>1473.06</v>
      </c>
      <c r="BY205">
        <v>0</v>
      </c>
      <c r="BZ205">
        <v>0</v>
      </c>
      <c r="CA205" s="48" t="s">
        <v>2065</v>
      </c>
      <c r="CB205">
        <v>1473.06</v>
      </c>
      <c r="CC205">
        <v>0</v>
      </c>
      <c r="CD205">
        <v>0</v>
      </c>
      <c r="CE205" s="48" t="s">
        <v>1710</v>
      </c>
      <c r="CF205" s="48" t="s">
        <v>1710</v>
      </c>
      <c r="CG205" s="48" t="s">
        <v>1710</v>
      </c>
      <c r="CH205" s="48" t="s">
        <v>1710</v>
      </c>
      <c r="CI205" s="48" t="s">
        <v>2067</v>
      </c>
      <c r="CJ205" s="48" t="s">
        <v>1710</v>
      </c>
      <c r="CL205" s="48" t="s">
        <v>2825</v>
      </c>
      <c r="CM205" s="48" t="s">
        <v>1710</v>
      </c>
      <c r="CN205" s="48" t="s">
        <v>2068</v>
      </c>
      <c r="CO205" s="48" t="s">
        <v>2069</v>
      </c>
      <c r="CP205" s="48" t="s">
        <v>1710</v>
      </c>
      <c r="CQ205" s="48" t="s">
        <v>1710</v>
      </c>
      <c r="CR205" s="48" t="s">
        <v>1710</v>
      </c>
      <c r="CS205" s="48" t="s">
        <v>1710</v>
      </c>
      <c r="CT205" s="48" t="s">
        <v>1710</v>
      </c>
      <c r="CU205" s="48" t="s">
        <v>1712</v>
      </c>
      <c r="CV205" s="48" t="s">
        <v>1710</v>
      </c>
      <c r="CW205" s="48" t="s">
        <v>1710</v>
      </c>
      <c r="CX205" s="48" t="s">
        <v>3167</v>
      </c>
      <c r="CY205" s="48" t="s">
        <v>1710</v>
      </c>
      <c r="CZ205" s="48" t="s">
        <v>1712</v>
      </c>
      <c r="DA205" s="48" t="s">
        <v>1710</v>
      </c>
      <c r="DB205" s="48" t="s">
        <v>1878</v>
      </c>
      <c r="DC205" s="48" t="s">
        <v>2070</v>
      </c>
      <c r="DD205" s="48" t="s">
        <v>1842</v>
      </c>
      <c r="DE205" s="48" t="s">
        <v>1886</v>
      </c>
      <c r="DF205" s="48" t="s">
        <v>4447</v>
      </c>
      <c r="DG205" s="48" t="s">
        <v>2071</v>
      </c>
      <c r="DH205" s="48" t="s">
        <v>1712</v>
      </c>
      <c r="DI205" s="48" t="s">
        <v>1710</v>
      </c>
      <c r="DJ205" s="48" t="s">
        <v>1710</v>
      </c>
      <c r="DK205" s="48" t="s">
        <v>1710</v>
      </c>
      <c r="DL205" s="48" t="s">
        <v>1710</v>
      </c>
      <c r="DM205" s="48" t="s">
        <v>1710</v>
      </c>
      <c r="DN205" s="48" t="s">
        <v>1710</v>
      </c>
      <c r="DO205" s="48" t="s">
        <v>1710</v>
      </c>
      <c r="DP205" s="48" t="s">
        <v>1710</v>
      </c>
      <c r="DQ205" s="48" t="s">
        <v>1710</v>
      </c>
      <c r="DR205" s="48" t="s">
        <v>2072</v>
      </c>
      <c r="DS205" s="48" t="s">
        <v>1710</v>
      </c>
      <c r="DT205" s="48" t="s">
        <v>1710</v>
      </c>
      <c r="DU205" s="48" t="s">
        <v>2547</v>
      </c>
      <c r="DV205" s="48" t="s">
        <v>1710</v>
      </c>
      <c r="DW205" s="48" t="s">
        <v>1710</v>
      </c>
      <c r="DX205" s="48" t="s">
        <v>1710</v>
      </c>
      <c r="DY205" s="48" t="s">
        <v>1710</v>
      </c>
      <c r="DZ205" s="48" t="s">
        <v>2073</v>
      </c>
      <c r="EA205" s="48" t="s">
        <v>2546</v>
      </c>
      <c r="EB205">
        <v>0</v>
      </c>
      <c r="EC205" s="48" t="s">
        <v>2547</v>
      </c>
      <c r="ED205" s="48" t="s">
        <v>4448</v>
      </c>
      <c r="EE205" s="48" t="s">
        <v>1814</v>
      </c>
      <c r="EF205" s="48" t="s">
        <v>4449</v>
      </c>
      <c r="EG205" s="48" t="s">
        <v>4437</v>
      </c>
      <c r="EH205">
        <v>2.7210000000000001</v>
      </c>
      <c r="EI205" s="48" t="s">
        <v>1888</v>
      </c>
      <c r="EJ205">
        <v>1</v>
      </c>
      <c r="EK205" s="48" t="s">
        <v>1887</v>
      </c>
      <c r="EL205">
        <v>1</v>
      </c>
      <c r="EM205" s="48" t="s">
        <v>1886</v>
      </c>
      <c r="EN205">
        <v>2.7210000000000001</v>
      </c>
      <c r="EO205" s="48" t="s">
        <v>4450</v>
      </c>
      <c r="EP205" s="48" t="s">
        <v>4451</v>
      </c>
      <c r="EQ205">
        <v>4435.55</v>
      </c>
      <c r="ER205">
        <v>4435.55</v>
      </c>
      <c r="ES205">
        <v>6499631</v>
      </c>
      <c r="ET205">
        <v>4412</v>
      </c>
      <c r="EU205" s="48" t="s">
        <v>4452</v>
      </c>
      <c r="EV205" s="48" t="s">
        <v>3525</v>
      </c>
      <c r="EW205" s="48" t="s">
        <v>1712</v>
      </c>
      <c r="EX205" s="48" t="s">
        <v>1710</v>
      </c>
      <c r="EY205" s="48" t="s">
        <v>1848</v>
      </c>
      <c r="EZ205" s="48" t="s">
        <v>1710</v>
      </c>
      <c r="FA205" s="48" t="s">
        <v>1710</v>
      </c>
      <c r="FB205" s="48" t="s">
        <v>1712</v>
      </c>
      <c r="FC205" s="48" t="s">
        <v>1710</v>
      </c>
      <c r="FD205" s="48" t="s">
        <v>1710</v>
      </c>
      <c r="FE205" s="48" t="s">
        <v>1814</v>
      </c>
      <c r="FF205" s="48" t="s">
        <v>1815</v>
      </c>
      <c r="FG205" s="48" t="s">
        <v>1710</v>
      </c>
      <c r="FH205">
        <v>1</v>
      </c>
      <c r="FI205" s="48" t="s">
        <v>1846</v>
      </c>
      <c r="FJ205">
        <v>4435.55</v>
      </c>
      <c r="FK205">
        <v>4435.55</v>
      </c>
      <c r="FL205" s="48" t="s">
        <v>4453</v>
      </c>
      <c r="FM205" s="48" t="s">
        <v>4451</v>
      </c>
      <c r="FN205" s="48" t="s">
        <v>1710</v>
      </c>
      <c r="FO205" s="48" t="s">
        <v>1710</v>
      </c>
      <c r="FP205" s="48" t="s">
        <v>1710</v>
      </c>
      <c r="FQ205" s="48" t="s">
        <v>1710</v>
      </c>
      <c r="FR205" s="48" t="s">
        <v>1710</v>
      </c>
      <c r="FS205" s="48" t="s">
        <v>1710</v>
      </c>
      <c r="FT205" s="48" t="s">
        <v>1710</v>
      </c>
      <c r="FU205" s="48" t="s">
        <v>1710</v>
      </c>
      <c r="FV205" s="48"/>
      <c r="FW205" s="56"/>
      <c r="FX205" s="56"/>
      <c r="FY205" s="56"/>
      <c r="FZ205" s="56"/>
      <c r="GA205" s="55" t="str">
        <f t="shared" si="11"/>
        <v>4388426300503X</v>
      </c>
      <c r="GB205" t="str">
        <f>VLOOKUP(B205,수출코드!$C$2:$D$4,2,FALSE)</f>
        <v>Suwon</v>
      </c>
      <c r="GC205" t="str">
        <f>VLOOKUP(L205,수출코드!$A$2:$B$6,2,FALSE)</f>
        <v>서류제출</v>
      </c>
      <c r="GD205" t="str">
        <f>VLOOKUP(M205,수출코드!$E$2:$F$5,2,FALSE)</f>
        <v>원상태</v>
      </c>
      <c r="GE205" s="61">
        <f t="shared" si="9"/>
        <v>45973.59097222222</v>
      </c>
      <c r="GF205" s="62">
        <f t="shared" si="10"/>
        <v>46052.72152777778</v>
      </c>
      <c r="GI205" s="48" t="s">
        <v>2775</v>
      </c>
    </row>
    <row r="206" spans="1:191">
      <c r="A206" s="48" t="s">
        <v>4454</v>
      </c>
      <c r="B206" s="48" t="s">
        <v>1821</v>
      </c>
      <c r="C206" s="48" t="s">
        <v>2048</v>
      </c>
      <c r="D206" s="48" t="s">
        <v>2813</v>
      </c>
      <c r="E206" s="48" t="s">
        <v>4454</v>
      </c>
      <c r="F206" s="48" t="s">
        <v>1710</v>
      </c>
      <c r="G206" s="48" t="s">
        <v>2814</v>
      </c>
      <c r="H206" s="48" t="s">
        <v>4455</v>
      </c>
      <c r="I206" s="48" t="s">
        <v>1884</v>
      </c>
      <c r="J206" s="48" t="s">
        <v>2825</v>
      </c>
      <c r="K206" s="48" t="s">
        <v>1885</v>
      </c>
      <c r="L206" s="48" t="s">
        <v>1883</v>
      </c>
      <c r="M206" s="48" t="s">
        <v>2085</v>
      </c>
      <c r="N206" s="48" t="s">
        <v>1842</v>
      </c>
      <c r="O206" s="48" t="s">
        <v>1811</v>
      </c>
      <c r="P206" s="48" t="s">
        <v>2549</v>
      </c>
      <c r="Q206" s="48" t="s">
        <v>2049</v>
      </c>
      <c r="R206" s="48" t="s">
        <v>1838</v>
      </c>
      <c r="S206" s="48" t="s">
        <v>2050</v>
      </c>
      <c r="T206" s="48" t="s">
        <v>1845</v>
      </c>
      <c r="U206" s="48" t="s">
        <v>2049</v>
      </c>
      <c r="V206" s="48" t="s">
        <v>1838</v>
      </c>
      <c r="W206" s="48" t="s">
        <v>2051</v>
      </c>
      <c r="X206" s="48" t="s">
        <v>2052</v>
      </c>
      <c r="Y206" s="48" t="s">
        <v>2050</v>
      </c>
      <c r="Z206" s="48" t="s">
        <v>2053</v>
      </c>
      <c r="AA206" s="48" t="s">
        <v>2054</v>
      </c>
      <c r="AB206" s="48" t="s">
        <v>2817</v>
      </c>
      <c r="AC206" s="48" t="s">
        <v>2055</v>
      </c>
      <c r="AD206" s="48" t="s">
        <v>2056</v>
      </c>
      <c r="AE206" s="48" t="s">
        <v>1710</v>
      </c>
      <c r="AF206" s="48" t="s">
        <v>1710</v>
      </c>
      <c r="AG206" s="48" t="s">
        <v>2057</v>
      </c>
      <c r="AH206" s="48" t="s">
        <v>1815</v>
      </c>
      <c r="AI206" s="48" t="s">
        <v>2058</v>
      </c>
      <c r="AJ206" s="48" t="s">
        <v>1710</v>
      </c>
      <c r="AK206" s="48" t="s">
        <v>2560</v>
      </c>
      <c r="AL206" s="48" t="s">
        <v>2561</v>
      </c>
      <c r="AM206" s="48" t="s">
        <v>1816</v>
      </c>
      <c r="AN206" s="48" t="s">
        <v>2054</v>
      </c>
      <c r="AO206" s="48" t="s">
        <v>1710</v>
      </c>
      <c r="AP206" s="48" t="s">
        <v>1855</v>
      </c>
      <c r="AQ206" s="48" t="s">
        <v>2076</v>
      </c>
      <c r="AR206" s="48" t="s">
        <v>1812</v>
      </c>
      <c r="AS206" s="48" t="s">
        <v>1813</v>
      </c>
      <c r="AT206" s="48" t="s">
        <v>1826</v>
      </c>
      <c r="AU206" s="48" t="s">
        <v>2061</v>
      </c>
      <c r="AV206" s="48" t="s">
        <v>2825</v>
      </c>
      <c r="AW206" s="48" t="s">
        <v>2062</v>
      </c>
      <c r="AX206" s="48" t="s">
        <v>2063</v>
      </c>
      <c r="AY206" s="48" t="s">
        <v>1710</v>
      </c>
      <c r="AZ206" s="48" t="s">
        <v>4456</v>
      </c>
      <c r="BA206" s="48" t="s">
        <v>1710</v>
      </c>
      <c r="BB206" s="48" t="s">
        <v>1709</v>
      </c>
      <c r="BC206" s="48" t="s">
        <v>1710</v>
      </c>
      <c r="BD206" s="48" t="s">
        <v>2097</v>
      </c>
      <c r="BE206" s="52" t="s">
        <v>4438</v>
      </c>
      <c r="BF206" s="48" t="s">
        <v>1710</v>
      </c>
      <c r="BG206" s="48" t="s">
        <v>1814</v>
      </c>
      <c r="BH206">
        <v>9</v>
      </c>
      <c r="BI206" s="48" t="s">
        <v>1888</v>
      </c>
      <c r="BJ206">
        <v>1</v>
      </c>
      <c r="BK206">
        <v>1473.06</v>
      </c>
      <c r="BL206">
        <v>3502839</v>
      </c>
      <c r="BM206">
        <v>2378</v>
      </c>
      <c r="BN206" s="48" t="s">
        <v>2064</v>
      </c>
      <c r="BO206" s="48" t="s">
        <v>2065</v>
      </c>
      <c r="BP206">
        <v>1473.06</v>
      </c>
      <c r="BQ206">
        <v>2415</v>
      </c>
      <c r="BR206" s="48" t="s">
        <v>1885</v>
      </c>
      <c r="BS206" s="48" t="s">
        <v>2066</v>
      </c>
      <c r="BT206">
        <v>1</v>
      </c>
      <c r="BU206">
        <v>54600</v>
      </c>
      <c r="BV206">
        <v>54600</v>
      </c>
      <c r="BW206" s="48" t="s">
        <v>2065</v>
      </c>
      <c r="BX206">
        <v>1473.06</v>
      </c>
      <c r="BY206">
        <v>0</v>
      </c>
      <c r="BZ206">
        <v>0</v>
      </c>
      <c r="CA206" s="48" t="s">
        <v>2065</v>
      </c>
      <c r="CB206">
        <v>1473.06</v>
      </c>
      <c r="CC206">
        <v>0</v>
      </c>
      <c r="CD206">
        <v>0</v>
      </c>
      <c r="CE206" s="48" t="s">
        <v>1710</v>
      </c>
      <c r="CF206" s="48" t="s">
        <v>1710</v>
      </c>
      <c r="CG206" s="48" t="s">
        <v>1710</v>
      </c>
      <c r="CH206" s="48" t="s">
        <v>1710</v>
      </c>
      <c r="CI206" s="48" t="s">
        <v>2067</v>
      </c>
      <c r="CJ206" s="48" t="s">
        <v>1710</v>
      </c>
      <c r="CL206" s="48" t="s">
        <v>2825</v>
      </c>
      <c r="CM206" s="48" t="s">
        <v>1710</v>
      </c>
      <c r="CN206" s="48" t="s">
        <v>2068</v>
      </c>
      <c r="CO206" s="48" t="s">
        <v>2069</v>
      </c>
      <c r="CP206" s="48" t="s">
        <v>1710</v>
      </c>
      <c r="CQ206" s="48" t="s">
        <v>1710</v>
      </c>
      <c r="CR206" s="48" t="s">
        <v>1710</v>
      </c>
      <c r="CS206" s="48" t="s">
        <v>1710</v>
      </c>
      <c r="CT206" s="48" t="s">
        <v>1710</v>
      </c>
      <c r="CU206" s="48" t="s">
        <v>1712</v>
      </c>
      <c r="CV206" s="48" t="s">
        <v>1710</v>
      </c>
      <c r="CW206" s="48" t="s">
        <v>1710</v>
      </c>
      <c r="CX206" s="48" t="s">
        <v>3167</v>
      </c>
      <c r="CY206" s="48" t="s">
        <v>1710</v>
      </c>
      <c r="CZ206" s="48" t="s">
        <v>1712</v>
      </c>
      <c r="DA206" s="48" t="s">
        <v>1710</v>
      </c>
      <c r="DB206" s="48" t="s">
        <v>1878</v>
      </c>
      <c r="DC206" s="48" t="s">
        <v>2070</v>
      </c>
      <c r="DD206" s="48" t="s">
        <v>1842</v>
      </c>
      <c r="DE206" s="48" t="s">
        <v>1886</v>
      </c>
      <c r="DF206" s="48" t="s">
        <v>4457</v>
      </c>
      <c r="DG206" s="48" t="s">
        <v>2071</v>
      </c>
      <c r="DH206" s="48" t="s">
        <v>1712</v>
      </c>
      <c r="DI206" s="48" t="s">
        <v>1710</v>
      </c>
      <c r="DJ206" s="48" t="s">
        <v>1710</v>
      </c>
      <c r="DK206" s="48" t="s">
        <v>1710</v>
      </c>
      <c r="DL206" s="48" t="s">
        <v>1710</v>
      </c>
      <c r="DM206" s="48" t="s">
        <v>1710</v>
      </c>
      <c r="DN206" s="48" t="s">
        <v>1710</v>
      </c>
      <c r="DO206" s="48" t="s">
        <v>1710</v>
      </c>
      <c r="DP206" s="48" t="s">
        <v>1710</v>
      </c>
      <c r="DQ206" s="48" t="s">
        <v>1710</v>
      </c>
      <c r="DR206" s="48" t="s">
        <v>2072</v>
      </c>
      <c r="DS206" s="48" t="s">
        <v>1710</v>
      </c>
      <c r="DT206" s="48" t="s">
        <v>1710</v>
      </c>
      <c r="DU206" s="48" t="s">
        <v>2547</v>
      </c>
      <c r="DV206" s="48" t="s">
        <v>1710</v>
      </c>
      <c r="DW206" s="48" t="s">
        <v>1710</v>
      </c>
      <c r="DX206" s="48" t="s">
        <v>1710</v>
      </c>
      <c r="DY206" s="48" t="s">
        <v>1710</v>
      </c>
      <c r="DZ206" s="48" t="s">
        <v>2073</v>
      </c>
      <c r="EA206" s="48" t="s">
        <v>2546</v>
      </c>
      <c r="EB206">
        <v>0</v>
      </c>
      <c r="EC206" s="48" t="s">
        <v>2547</v>
      </c>
      <c r="ED206" s="48" t="s">
        <v>4458</v>
      </c>
      <c r="EE206" s="48" t="s">
        <v>1814</v>
      </c>
      <c r="EF206" s="48" t="s">
        <v>1872</v>
      </c>
      <c r="EG206" s="48" t="s">
        <v>4456</v>
      </c>
      <c r="EH206">
        <v>3.65</v>
      </c>
      <c r="EI206" s="48" t="s">
        <v>1888</v>
      </c>
      <c r="EJ206">
        <v>1</v>
      </c>
      <c r="EK206" s="48" t="s">
        <v>1887</v>
      </c>
      <c r="EL206">
        <v>1</v>
      </c>
      <c r="EM206" s="48" t="s">
        <v>1886</v>
      </c>
      <c r="EN206">
        <v>3.65</v>
      </c>
      <c r="EO206" s="48" t="s">
        <v>2527</v>
      </c>
      <c r="EP206" s="48" t="s">
        <v>4459</v>
      </c>
      <c r="EQ206">
        <v>2415</v>
      </c>
      <c r="ER206">
        <v>2415</v>
      </c>
      <c r="ES206">
        <v>3502839</v>
      </c>
      <c r="ET206">
        <v>2378</v>
      </c>
      <c r="EU206" s="48" t="s">
        <v>4460</v>
      </c>
      <c r="EV206" s="48" t="s">
        <v>1814</v>
      </c>
      <c r="EW206" s="48" t="s">
        <v>1712</v>
      </c>
      <c r="EX206" s="48" t="s">
        <v>1710</v>
      </c>
      <c r="EY206" s="48" t="s">
        <v>1843</v>
      </c>
      <c r="EZ206" s="48" t="s">
        <v>1710</v>
      </c>
      <c r="FA206" s="48" t="s">
        <v>1710</v>
      </c>
      <c r="FB206" s="48" t="s">
        <v>1712</v>
      </c>
      <c r="FC206" s="48" t="s">
        <v>1710</v>
      </c>
      <c r="FD206" s="48" t="s">
        <v>1710</v>
      </c>
      <c r="FE206" s="48" t="s">
        <v>1814</v>
      </c>
      <c r="FF206" s="48" t="s">
        <v>1815</v>
      </c>
      <c r="FG206" s="48" t="s">
        <v>1710</v>
      </c>
      <c r="FH206">
        <v>1</v>
      </c>
      <c r="FI206" s="48" t="s">
        <v>1846</v>
      </c>
      <c r="FJ206">
        <v>2415</v>
      </c>
      <c r="FK206">
        <v>2415</v>
      </c>
      <c r="FL206" s="48" t="s">
        <v>4461</v>
      </c>
      <c r="FM206" s="48" t="s">
        <v>4459</v>
      </c>
      <c r="FN206" s="48" t="s">
        <v>1710</v>
      </c>
      <c r="FO206" s="48" t="s">
        <v>1710</v>
      </c>
      <c r="FP206" s="48" t="s">
        <v>1710</v>
      </c>
      <c r="FQ206" s="48" t="s">
        <v>1710</v>
      </c>
      <c r="FR206" s="48" t="s">
        <v>1710</v>
      </c>
      <c r="FS206" s="48" t="s">
        <v>1710</v>
      </c>
      <c r="FT206" s="48" t="s">
        <v>1710</v>
      </c>
      <c r="FU206" s="48" t="s">
        <v>1710</v>
      </c>
      <c r="FV206" s="48"/>
      <c r="FW206" s="56"/>
      <c r="FX206" s="56"/>
      <c r="FY206" s="56"/>
      <c r="FZ206" s="56"/>
      <c r="GA206" s="55" t="str">
        <f t="shared" si="11"/>
        <v>4388426300504X</v>
      </c>
      <c r="GB206" t="str">
        <f>VLOOKUP(B206,수출코드!$C$2:$D$4,2,FALSE)</f>
        <v>Suwon</v>
      </c>
      <c r="GC206" t="str">
        <f>VLOOKUP(L206,수출코드!$A$2:$B$6,2,FALSE)</f>
        <v>서류제출</v>
      </c>
      <c r="GD206" t="str">
        <f>VLOOKUP(M206,수출코드!$E$2:$F$5,2,FALSE)</f>
        <v>원상태</v>
      </c>
      <c r="GE206" s="61">
        <f t="shared" si="9"/>
        <v>45973.59097222222</v>
      </c>
      <c r="GF206" s="62">
        <f t="shared" si="10"/>
        <v>46052.722222222219</v>
      </c>
      <c r="GI206" s="48" t="s">
        <v>2775</v>
      </c>
    </row>
    <row r="207" spans="1:191">
      <c r="A207" s="48" t="s">
        <v>4462</v>
      </c>
      <c r="B207" s="48" t="s">
        <v>1821</v>
      </c>
      <c r="C207" s="48" t="s">
        <v>2048</v>
      </c>
      <c r="D207" s="48" t="s">
        <v>2813</v>
      </c>
      <c r="E207" s="48" t="s">
        <v>4462</v>
      </c>
      <c r="F207" s="48" t="s">
        <v>1710</v>
      </c>
      <c r="G207" s="48" t="s">
        <v>2814</v>
      </c>
      <c r="H207" s="48" t="s">
        <v>4463</v>
      </c>
      <c r="I207" s="48" t="s">
        <v>1884</v>
      </c>
      <c r="J207" s="48" t="s">
        <v>2825</v>
      </c>
      <c r="K207" s="48" t="s">
        <v>1877</v>
      </c>
      <c r="L207" s="48" t="s">
        <v>1842</v>
      </c>
      <c r="M207" s="48" t="s">
        <v>1810</v>
      </c>
      <c r="N207" s="48" t="s">
        <v>1842</v>
      </c>
      <c r="O207" s="48" t="s">
        <v>1811</v>
      </c>
      <c r="P207" s="48" t="s">
        <v>2549</v>
      </c>
      <c r="Q207" s="48" t="s">
        <v>2049</v>
      </c>
      <c r="R207" s="48" t="s">
        <v>1838</v>
      </c>
      <c r="S207" s="48" t="s">
        <v>2050</v>
      </c>
      <c r="T207" s="48" t="s">
        <v>1845</v>
      </c>
      <c r="U207" s="48" t="s">
        <v>2049</v>
      </c>
      <c r="V207" s="48" t="s">
        <v>1838</v>
      </c>
      <c r="W207" s="48" t="s">
        <v>2051</v>
      </c>
      <c r="X207" s="48" t="s">
        <v>2052</v>
      </c>
      <c r="Y207" s="48" t="s">
        <v>2050</v>
      </c>
      <c r="Z207" s="48" t="s">
        <v>2053</v>
      </c>
      <c r="AA207" s="48" t="s">
        <v>2054</v>
      </c>
      <c r="AB207" s="48" t="s">
        <v>2817</v>
      </c>
      <c r="AC207" s="48" t="s">
        <v>2055</v>
      </c>
      <c r="AD207" s="48" t="s">
        <v>2056</v>
      </c>
      <c r="AE207" s="48" t="s">
        <v>1710</v>
      </c>
      <c r="AF207" s="48" t="s">
        <v>1710</v>
      </c>
      <c r="AG207" s="48" t="s">
        <v>2057</v>
      </c>
      <c r="AH207" s="48" t="s">
        <v>1815</v>
      </c>
      <c r="AI207" s="48" t="s">
        <v>2058</v>
      </c>
      <c r="AJ207" s="48" t="s">
        <v>1710</v>
      </c>
      <c r="AK207" s="48" t="s">
        <v>2080</v>
      </c>
      <c r="AL207" s="48" t="s">
        <v>1866</v>
      </c>
      <c r="AM207" s="48" t="s">
        <v>1816</v>
      </c>
      <c r="AN207" s="48" t="s">
        <v>2054</v>
      </c>
      <c r="AO207" s="48" t="s">
        <v>1710</v>
      </c>
      <c r="AP207" s="48" t="s">
        <v>1854</v>
      </c>
      <c r="AQ207" s="48" t="s">
        <v>2081</v>
      </c>
      <c r="AR207" s="48" t="s">
        <v>1812</v>
      </c>
      <c r="AS207" s="48" t="s">
        <v>1813</v>
      </c>
      <c r="AT207" s="48" t="s">
        <v>1826</v>
      </c>
      <c r="AU207" s="48" t="s">
        <v>2061</v>
      </c>
      <c r="AV207" s="48" t="s">
        <v>2825</v>
      </c>
      <c r="AW207" s="48" t="s">
        <v>2062</v>
      </c>
      <c r="AX207" s="48" t="s">
        <v>2063</v>
      </c>
      <c r="AY207" s="48" t="s">
        <v>1710</v>
      </c>
      <c r="AZ207" s="48" t="s">
        <v>4464</v>
      </c>
      <c r="BA207" s="48" t="s">
        <v>1710</v>
      </c>
      <c r="BB207" s="48" t="s">
        <v>1709</v>
      </c>
      <c r="BC207" s="48" t="s">
        <v>1710</v>
      </c>
      <c r="BD207" s="48" t="s">
        <v>2097</v>
      </c>
      <c r="BE207" s="52" t="s">
        <v>4438</v>
      </c>
      <c r="BF207" s="48" t="s">
        <v>1710</v>
      </c>
      <c r="BG207" s="48" t="s">
        <v>1817</v>
      </c>
      <c r="BH207">
        <v>5</v>
      </c>
      <c r="BI207" s="48" t="s">
        <v>1888</v>
      </c>
      <c r="BJ207">
        <v>1</v>
      </c>
      <c r="BK207">
        <v>1473.06</v>
      </c>
      <c r="BL207">
        <v>1797897</v>
      </c>
      <c r="BM207">
        <v>1221</v>
      </c>
      <c r="BN207" s="48" t="s">
        <v>2064</v>
      </c>
      <c r="BO207" s="48" t="s">
        <v>2065</v>
      </c>
      <c r="BP207">
        <v>1473.06</v>
      </c>
      <c r="BQ207">
        <v>1273.47</v>
      </c>
      <c r="BR207" s="48" t="s">
        <v>1885</v>
      </c>
      <c r="BS207" s="48" t="s">
        <v>2066</v>
      </c>
      <c r="BT207">
        <v>1</v>
      </c>
      <c r="BU207">
        <v>78000</v>
      </c>
      <c r="BV207">
        <v>78000</v>
      </c>
      <c r="BW207" s="48" t="s">
        <v>2065</v>
      </c>
      <c r="BX207">
        <v>1473.06</v>
      </c>
      <c r="BY207">
        <v>0</v>
      </c>
      <c r="BZ207">
        <v>0</v>
      </c>
      <c r="CA207" s="48" t="s">
        <v>2065</v>
      </c>
      <c r="CB207">
        <v>1473.06</v>
      </c>
      <c r="CC207">
        <v>0</v>
      </c>
      <c r="CD207">
        <v>0</v>
      </c>
      <c r="CE207" s="48" t="s">
        <v>1710</v>
      </c>
      <c r="CF207" s="48" t="s">
        <v>1710</v>
      </c>
      <c r="CG207" s="48" t="s">
        <v>1710</v>
      </c>
      <c r="CH207" s="48" t="s">
        <v>1710</v>
      </c>
      <c r="CI207" s="48" t="s">
        <v>2067</v>
      </c>
      <c r="CJ207" s="48" t="s">
        <v>1710</v>
      </c>
      <c r="CL207" s="48" t="s">
        <v>2825</v>
      </c>
      <c r="CM207" s="48" t="s">
        <v>1710</v>
      </c>
      <c r="CN207" s="48" t="s">
        <v>2068</v>
      </c>
      <c r="CO207" s="48" t="s">
        <v>2069</v>
      </c>
      <c r="CP207" s="48" t="s">
        <v>1710</v>
      </c>
      <c r="CQ207" s="48" t="s">
        <v>1710</v>
      </c>
      <c r="CR207" s="48" t="s">
        <v>1710</v>
      </c>
      <c r="CS207" s="48" t="s">
        <v>1710</v>
      </c>
      <c r="CT207" s="48" t="s">
        <v>1710</v>
      </c>
      <c r="CU207" s="48" t="s">
        <v>1712</v>
      </c>
      <c r="CV207" s="48" t="s">
        <v>1710</v>
      </c>
      <c r="CW207" s="48" t="s">
        <v>1710</v>
      </c>
      <c r="CX207" s="48" t="s">
        <v>3167</v>
      </c>
      <c r="CY207" s="48" t="s">
        <v>1710</v>
      </c>
      <c r="CZ207" s="48" t="s">
        <v>1712</v>
      </c>
      <c r="DA207" s="48" t="s">
        <v>1710</v>
      </c>
      <c r="DB207" s="48" t="s">
        <v>1878</v>
      </c>
      <c r="DC207" s="48" t="s">
        <v>2070</v>
      </c>
      <c r="DD207" s="48" t="s">
        <v>1842</v>
      </c>
      <c r="DE207" s="48" t="s">
        <v>1886</v>
      </c>
      <c r="DF207" s="48" t="s">
        <v>4465</v>
      </c>
      <c r="DG207" s="48" t="s">
        <v>2071</v>
      </c>
      <c r="DH207" s="48" t="s">
        <v>1712</v>
      </c>
      <c r="DI207" s="48" t="s">
        <v>1710</v>
      </c>
      <c r="DJ207" s="48" t="s">
        <v>1710</v>
      </c>
      <c r="DK207" s="48" t="s">
        <v>1710</v>
      </c>
      <c r="DL207" s="48" t="s">
        <v>1710</v>
      </c>
      <c r="DM207" s="48" t="s">
        <v>1710</v>
      </c>
      <c r="DN207" s="48" t="s">
        <v>1710</v>
      </c>
      <c r="DO207" s="48" t="s">
        <v>1710</v>
      </c>
      <c r="DP207" s="48" t="s">
        <v>1710</v>
      </c>
      <c r="DQ207" s="48" t="s">
        <v>1710</v>
      </c>
      <c r="DR207" s="48" t="s">
        <v>2072</v>
      </c>
      <c r="DS207" s="48" t="s">
        <v>1710</v>
      </c>
      <c r="DT207" s="48" t="s">
        <v>1710</v>
      </c>
      <c r="DU207" s="48" t="s">
        <v>2547</v>
      </c>
      <c r="DV207" s="48" t="s">
        <v>1710</v>
      </c>
      <c r="DW207" s="48" t="s">
        <v>1710</v>
      </c>
      <c r="DX207" s="48" t="s">
        <v>1710</v>
      </c>
      <c r="DY207" s="48" t="s">
        <v>1710</v>
      </c>
      <c r="DZ207" s="48" t="s">
        <v>2562</v>
      </c>
      <c r="EA207" s="48" t="s">
        <v>2546</v>
      </c>
      <c r="EB207">
        <v>0</v>
      </c>
      <c r="EC207" s="48" t="s">
        <v>2547</v>
      </c>
      <c r="ED207" s="48" t="s">
        <v>4458</v>
      </c>
      <c r="EE207" s="48" t="s">
        <v>1814</v>
      </c>
      <c r="EF207" s="48" t="s">
        <v>1852</v>
      </c>
      <c r="EG207" s="48" t="s">
        <v>4464</v>
      </c>
      <c r="EH207">
        <v>1</v>
      </c>
      <c r="EI207" s="48" t="s">
        <v>1888</v>
      </c>
      <c r="EJ207">
        <v>0</v>
      </c>
      <c r="EK207" s="48" t="s">
        <v>1710</v>
      </c>
      <c r="EL207">
        <v>1</v>
      </c>
      <c r="EM207" s="48" t="s">
        <v>1886</v>
      </c>
      <c r="EN207">
        <v>1</v>
      </c>
      <c r="EO207" s="48" t="s">
        <v>2521</v>
      </c>
      <c r="EP207" s="48" t="s">
        <v>4466</v>
      </c>
      <c r="EQ207">
        <v>681.31</v>
      </c>
      <c r="ER207">
        <v>681.31</v>
      </c>
      <c r="ES207">
        <v>961880</v>
      </c>
      <c r="ET207">
        <v>653</v>
      </c>
      <c r="EU207" s="48" t="s">
        <v>1710</v>
      </c>
      <c r="EV207" s="48" t="s">
        <v>1710</v>
      </c>
      <c r="EW207" s="48" t="s">
        <v>1712</v>
      </c>
      <c r="EX207" s="48" t="s">
        <v>1710</v>
      </c>
      <c r="EY207" s="48" t="s">
        <v>1853</v>
      </c>
      <c r="EZ207" s="48" t="s">
        <v>1710</v>
      </c>
      <c r="FA207" s="48" t="s">
        <v>1710</v>
      </c>
      <c r="FB207" s="48" t="s">
        <v>1712</v>
      </c>
      <c r="FC207" s="48" t="s">
        <v>1710</v>
      </c>
      <c r="FD207" s="48" t="s">
        <v>1710</v>
      </c>
      <c r="FE207" s="48" t="s">
        <v>1814</v>
      </c>
      <c r="FF207" s="48" t="s">
        <v>1815</v>
      </c>
      <c r="FG207" s="48" t="s">
        <v>1710</v>
      </c>
      <c r="FH207">
        <v>1</v>
      </c>
      <c r="FI207" s="48" t="s">
        <v>1846</v>
      </c>
      <c r="FJ207">
        <v>681.31</v>
      </c>
      <c r="FK207">
        <v>681.31</v>
      </c>
      <c r="FL207" s="48" t="s">
        <v>4467</v>
      </c>
      <c r="FM207" s="48" t="s">
        <v>4466</v>
      </c>
      <c r="FN207" s="48" t="s">
        <v>1710</v>
      </c>
      <c r="FO207" s="48" t="s">
        <v>1710</v>
      </c>
      <c r="FP207" s="48" t="s">
        <v>1710</v>
      </c>
      <c r="FQ207" s="48" t="s">
        <v>1710</v>
      </c>
      <c r="FR207" s="48" t="s">
        <v>1710</v>
      </c>
      <c r="FS207" s="48" t="s">
        <v>1710</v>
      </c>
      <c r="FT207" s="48" t="s">
        <v>1710</v>
      </c>
      <c r="FU207" s="48" t="s">
        <v>1710</v>
      </c>
      <c r="FV207" s="48"/>
      <c r="FW207" s="56"/>
      <c r="FX207" s="56"/>
      <c r="FY207" s="56"/>
      <c r="FZ207" s="56"/>
      <c r="GA207" s="55" t="str">
        <f t="shared" si="11"/>
        <v>4388426300505X</v>
      </c>
      <c r="GB207" t="str">
        <f>VLOOKUP(B207,수출코드!$C$2:$D$4,2,FALSE)</f>
        <v>Suwon</v>
      </c>
      <c r="GC207" t="str">
        <f>VLOOKUP(L207,수출코드!$A$2:$B$6,2,FALSE)</f>
        <v/>
      </c>
      <c r="GD207" t="str">
        <f>VLOOKUP(M207,수출코드!$E$2:$F$5,2,FALSE)</f>
        <v>일반</v>
      </c>
      <c r="GE207" s="61">
        <f t="shared" si="9"/>
        <v>45973.59097222222</v>
      </c>
      <c r="GF207" s="62">
        <f t="shared" si="10"/>
        <v>46052.722222222219</v>
      </c>
      <c r="GI207" s="48" t="s">
        <v>2775</v>
      </c>
    </row>
    <row r="208" spans="1:191">
      <c r="A208" s="48" t="s">
        <v>4468</v>
      </c>
      <c r="B208" s="48" t="s">
        <v>1821</v>
      </c>
      <c r="C208" s="48" t="s">
        <v>2048</v>
      </c>
      <c r="D208" s="48" t="s">
        <v>2813</v>
      </c>
      <c r="E208" s="48" t="s">
        <v>4468</v>
      </c>
      <c r="F208" s="48" t="s">
        <v>1710</v>
      </c>
      <c r="G208" s="48" t="s">
        <v>2814</v>
      </c>
      <c r="H208" s="48" t="s">
        <v>4469</v>
      </c>
      <c r="I208" s="48" t="s">
        <v>1884</v>
      </c>
      <c r="J208" s="48" t="s">
        <v>2825</v>
      </c>
      <c r="K208" s="48" t="s">
        <v>1877</v>
      </c>
      <c r="L208" s="48" t="s">
        <v>1842</v>
      </c>
      <c r="M208" s="48" t="s">
        <v>1810</v>
      </c>
      <c r="N208" s="48" t="s">
        <v>1842</v>
      </c>
      <c r="O208" s="48" t="s">
        <v>1811</v>
      </c>
      <c r="P208" s="48" t="s">
        <v>2549</v>
      </c>
      <c r="Q208" s="48" t="s">
        <v>2049</v>
      </c>
      <c r="R208" s="48" t="s">
        <v>1838</v>
      </c>
      <c r="S208" s="48" t="s">
        <v>2050</v>
      </c>
      <c r="T208" s="48" t="s">
        <v>1845</v>
      </c>
      <c r="U208" s="48" t="s">
        <v>2049</v>
      </c>
      <c r="V208" s="48" t="s">
        <v>1838</v>
      </c>
      <c r="W208" s="48" t="s">
        <v>2051</v>
      </c>
      <c r="X208" s="48" t="s">
        <v>2052</v>
      </c>
      <c r="Y208" s="48" t="s">
        <v>2050</v>
      </c>
      <c r="Z208" s="48" t="s">
        <v>2053</v>
      </c>
      <c r="AA208" s="48" t="s">
        <v>2054</v>
      </c>
      <c r="AB208" s="48" t="s">
        <v>2817</v>
      </c>
      <c r="AC208" s="48" t="s">
        <v>2055</v>
      </c>
      <c r="AD208" s="48" t="s">
        <v>2056</v>
      </c>
      <c r="AE208" s="48" t="s">
        <v>1710</v>
      </c>
      <c r="AF208" s="48" t="s">
        <v>1710</v>
      </c>
      <c r="AG208" s="48" t="s">
        <v>2057</v>
      </c>
      <c r="AH208" s="48" t="s">
        <v>1815</v>
      </c>
      <c r="AI208" s="48" t="s">
        <v>2058</v>
      </c>
      <c r="AJ208" s="48" t="s">
        <v>1710</v>
      </c>
      <c r="AK208" s="48" t="s">
        <v>2100</v>
      </c>
      <c r="AL208" s="48" t="s">
        <v>2101</v>
      </c>
      <c r="AM208" s="48" t="s">
        <v>1816</v>
      </c>
      <c r="AN208" s="48" t="s">
        <v>2054</v>
      </c>
      <c r="AO208" s="48" t="s">
        <v>1710</v>
      </c>
      <c r="AP208" s="48" t="s">
        <v>1874</v>
      </c>
      <c r="AQ208" s="48" t="s">
        <v>2078</v>
      </c>
      <c r="AR208" s="48" t="s">
        <v>1812</v>
      </c>
      <c r="AS208" s="48" t="s">
        <v>1813</v>
      </c>
      <c r="AT208" s="48" t="s">
        <v>1826</v>
      </c>
      <c r="AU208" s="48" t="s">
        <v>2061</v>
      </c>
      <c r="AV208" s="48" t="s">
        <v>2825</v>
      </c>
      <c r="AW208" s="48" t="s">
        <v>2062</v>
      </c>
      <c r="AX208" s="48" t="s">
        <v>2063</v>
      </c>
      <c r="AY208" s="48" t="s">
        <v>1710</v>
      </c>
      <c r="AZ208" s="48" t="s">
        <v>4470</v>
      </c>
      <c r="BA208" s="48" t="s">
        <v>1710</v>
      </c>
      <c r="BB208" s="48" t="s">
        <v>1709</v>
      </c>
      <c r="BC208" s="48" t="s">
        <v>1710</v>
      </c>
      <c r="BD208" s="48" t="s">
        <v>2097</v>
      </c>
      <c r="BE208" s="52" t="s">
        <v>4438</v>
      </c>
      <c r="BF208" s="48" t="s">
        <v>1710</v>
      </c>
      <c r="BG208" s="48" t="s">
        <v>1814</v>
      </c>
      <c r="BH208">
        <v>5</v>
      </c>
      <c r="BI208" s="48" t="s">
        <v>1888</v>
      </c>
      <c r="BJ208">
        <v>1</v>
      </c>
      <c r="BK208">
        <v>1473.06</v>
      </c>
      <c r="BL208">
        <v>3012483</v>
      </c>
      <c r="BM208">
        <v>2045</v>
      </c>
      <c r="BN208" s="48" t="s">
        <v>2064</v>
      </c>
      <c r="BO208" s="48" t="s">
        <v>2065</v>
      </c>
      <c r="BP208">
        <v>1473.06</v>
      </c>
      <c r="BQ208">
        <v>2075.6</v>
      </c>
      <c r="BR208" s="48" t="s">
        <v>1885</v>
      </c>
      <c r="BS208" s="48" t="s">
        <v>2066</v>
      </c>
      <c r="BT208">
        <v>1</v>
      </c>
      <c r="BU208">
        <v>45000</v>
      </c>
      <c r="BV208">
        <v>45000</v>
      </c>
      <c r="BW208" s="48" t="s">
        <v>2065</v>
      </c>
      <c r="BX208">
        <v>1473.06</v>
      </c>
      <c r="BY208">
        <v>0</v>
      </c>
      <c r="BZ208">
        <v>0</v>
      </c>
      <c r="CA208" s="48" t="s">
        <v>2065</v>
      </c>
      <c r="CB208">
        <v>1473.06</v>
      </c>
      <c r="CC208">
        <v>0</v>
      </c>
      <c r="CD208">
        <v>0</v>
      </c>
      <c r="CE208" s="48" t="s">
        <v>1710</v>
      </c>
      <c r="CF208" s="48" t="s">
        <v>1710</v>
      </c>
      <c r="CG208" s="48" t="s">
        <v>1710</v>
      </c>
      <c r="CH208" s="48" t="s">
        <v>1710</v>
      </c>
      <c r="CI208" s="48" t="s">
        <v>2067</v>
      </c>
      <c r="CJ208" s="48" t="s">
        <v>1710</v>
      </c>
      <c r="CL208" s="48" t="s">
        <v>2825</v>
      </c>
      <c r="CM208" s="48" t="s">
        <v>1710</v>
      </c>
      <c r="CN208" s="48" t="s">
        <v>2068</v>
      </c>
      <c r="CO208" s="48" t="s">
        <v>2069</v>
      </c>
      <c r="CP208" s="48" t="s">
        <v>1710</v>
      </c>
      <c r="CQ208" s="48" t="s">
        <v>1710</v>
      </c>
      <c r="CR208" s="48" t="s">
        <v>1710</v>
      </c>
      <c r="CS208" s="48" t="s">
        <v>1710</v>
      </c>
      <c r="CT208" s="48" t="s">
        <v>1710</v>
      </c>
      <c r="CU208" s="48" t="s">
        <v>1712</v>
      </c>
      <c r="CV208" s="48" t="s">
        <v>1710</v>
      </c>
      <c r="CW208" s="48" t="s">
        <v>1710</v>
      </c>
      <c r="CX208" s="48" t="s">
        <v>3167</v>
      </c>
      <c r="CY208" s="48" t="s">
        <v>1710</v>
      </c>
      <c r="CZ208" s="48" t="s">
        <v>1712</v>
      </c>
      <c r="DA208" s="48" t="s">
        <v>1710</v>
      </c>
      <c r="DB208" s="48" t="s">
        <v>1878</v>
      </c>
      <c r="DC208" s="48" t="s">
        <v>2070</v>
      </c>
      <c r="DD208" s="48" t="s">
        <v>1842</v>
      </c>
      <c r="DE208" s="48" t="s">
        <v>1886</v>
      </c>
      <c r="DF208" s="48" t="s">
        <v>4471</v>
      </c>
      <c r="DG208" s="48" t="s">
        <v>2071</v>
      </c>
      <c r="DH208" s="48" t="s">
        <v>1712</v>
      </c>
      <c r="DI208" s="48" t="s">
        <v>1710</v>
      </c>
      <c r="DJ208" s="48" t="s">
        <v>1710</v>
      </c>
      <c r="DK208" s="48" t="s">
        <v>1710</v>
      </c>
      <c r="DL208" s="48" t="s">
        <v>1710</v>
      </c>
      <c r="DM208" s="48" t="s">
        <v>1710</v>
      </c>
      <c r="DN208" s="48" t="s">
        <v>1710</v>
      </c>
      <c r="DO208" s="48" t="s">
        <v>1710</v>
      </c>
      <c r="DP208" s="48" t="s">
        <v>1710</v>
      </c>
      <c r="DQ208" s="48" t="s">
        <v>1710</v>
      </c>
      <c r="DR208" s="48" t="s">
        <v>2072</v>
      </c>
      <c r="DS208" s="48" t="s">
        <v>1710</v>
      </c>
      <c r="DT208" s="48" t="s">
        <v>1710</v>
      </c>
      <c r="DU208" s="48" t="s">
        <v>2547</v>
      </c>
      <c r="DV208" s="48" t="s">
        <v>1710</v>
      </c>
      <c r="DW208" s="48" t="s">
        <v>1710</v>
      </c>
      <c r="DX208" s="48" t="s">
        <v>1710</v>
      </c>
      <c r="DY208" s="48" t="s">
        <v>1710</v>
      </c>
      <c r="DZ208" s="48" t="s">
        <v>2562</v>
      </c>
      <c r="EA208" s="48" t="s">
        <v>2546</v>
      </c>
      <c r="EB208">
        <v>0</v>
      </c>
      <c r="EC208" s="48" t="s">
        <v>2547</v>
      </c>
      <c r="ED208" s="48" t="s">
        <v>4458</v>
      </c>
      <c r="EE208" s="48" t="s">
        <v>1814</v>
      </c>
      <c r="EF208" s="48" t="s">
        <v>3687</v>
      </c>
      <c r="EG208" s="48" t="s">
        <v>4470</v>
      </c>
      <c r="EH208">
        <v>2</v>
      </c>
      <c r="EI208" s="48" t="s">
        <v>1888</v>
      </c>
      <c r="EJ208">
        <v>1</v>
      </c>
      <c r="EK208" s="48" t="s">
        <v>1887</v>
      </c>
      <c r="EL208">
        <v>1</v>
      </c>
      <c r="EM208" s="48" t="s">
        <v>1886</v>
      </c>
      <c r="EN208">
        <v>2</v>
      </c>
      <c r="EO208" s="48" t="s">
        <v>3688</v>
      </c>
      <c r="EP208" s="48" t="s">
        <v>4472</v>
      </c>
      <c r="EQ208">
        <v>2075.6</v>
      </c>
      <c r="ER208">
        <v>2075.6</v>
      </c>
      <c r="ES208">
        <v>3012483</v>
      </c>
      <c r="ET208">
        <v>2045</v>
      </c>
      <c r="EU208" s="48" t="s">
        <v>1710</v>
      </c>
      <c r="EV208" s="48" t="s">
        <v>1710</v>
      </c>
      <c r="EW208" s="48" t="s">
        <v>1712</v>
      </c>
      <c r="EX208" s="48" t="s">
        <v>1710</v>
      </c>
      <c r="EY208" s="48" t="s">
        <v>1843</v>
      </c>
      <c r="EZ208" s="48" t="s">
        <v>1710</v>
      </c>
      <c r="FA208" s="48" t="s">
        <v>1710</v>
      </c>
      <c r="FB208" s="48" t="s">
        <v>1712</v>
      </c>
      <c r="FC208" s="48" t="s">
        <v>1710</v>
      </c>
      <c r="FD208" s="48" t="s">
        <v>1710</v>
      </c>
      <c r="FE208" s="48" t="s">
        <v>1814</v>
      </c>
      <c r="FF208" s="48" t="s">
        <v>1815</v>
      </c>
      <c r="FG208" s="48" t="s">
        <v>1710</v>
      </c>
      <c r="FH208">
        <v>1</v>
      </c>
      <c r="FI208" s="48" t="s">
        <v>1846</v>
      </c>
      <c r="FJ208">
        <v>2075.6</v>
      </c>
      <c r="FK208">
        <v>2075.6</v>
      </c>
      <c r="FL208" s="48" t="s">
        <v>4473</v>
      </c>
      <c r="FM208" s="48" t="s">
        <v>4472</v>
      </c>
      <c r="FN208" s="48" t="s">
        <v>1710</v>
      </c>
      <c r="FO208" s="48" t="s">
        <v>1710</v>
      </c>
      <c r="FP208" s="48" t="s">
        <v>1710</v>
      </c>
      <c r="FQ208" s="48" t="s">
        <v>1710</v>
      </c>
      <c r="FR208" s="48" t="s">
        <v>1710</v>
      </c>
      <c r="FS208" s="48" t="s">
        <v>1710</v>
      </c>
      <c r="FT208" s="48" t="s">
        <v>1710</v>
      </c>
      <c r="FU208" s="48" t="s">
        <v>1710</v>
      </c>
      <c r="FV208" s="48"/>
      <c r="FW208" s="56"/>
      <c r="FX208" s="56"/>
      <c r="FY208" s="56"/>
      <c r="FZ208" s="56"/>
      <c r="GA208" s="55" t="str">
        <f t="shared" si="11"/>
        <v>4388426300506X</v>
      </c>
      <c r="GB208" t="str">
        <f>VLOOKUP(B208,수출코드!$C$2:$D$4,2,FALSE)</f>
        <v>Suwon</v>
      </c>
      <c r="GC208" t="str">
        <f>VLOOKUP(L208,수출코드!$A$2:$B$6,2,FALSE)</f>
        <v/>
      </c>
      <c r="GD208" t="str">
        <f>VLOOKUP(M208,수출코드!$E$2:$F$5,2,FALSE)</f>
        <v>일반</v>
      </c>
      <c r="GE208" s="61">
        <f t="shared" si="9"/>
        <v>45973.59097222222</v>
      </c>
      <c r="GF208" s="62">
        <f t="shared" si="10"/>
        <v>46052.722222222219</v>
      </c>
      <c r="GI208" s="48" t="s">
        <v>2775</v>
      </c>
    </row>
    <row r="209" spans="1:191">
      <c r="A209" s="48" t="s">
        <v>4474</v>
      </c>
      <c r="B209" s="48" t="s">
        <v>1821</v>
      </c>
      <c r="C209" s="48" t="s">
        <v>2048</v>
      </c>
      <c r="D209" s="48" t="s">
        <v>2813</v>
      </c>
      <c r="E209" s="48" t="s">
        <v>4474</v>
      </c>
      <c r="F209" s="48" t="s">
        <v>1710</v>
      </c>
      <c r="G209" s="48" t="s">
        <v>2814</v>
      </c>
      <c r="H209" s="48" t="s">
        <v>4475</v>
      </c>
      <c r="I209" s="48" t="s">
        <v>1884</v>
      </c>
      <c r="J209" s="48" t="s">
        <v>2825</v>
      </c>
      <c r="K209" s="48" t="s">
        <v>1877</v>
      </c>
      <c r="L209" s="48" t="s">
        <v>1842</v>
      </c>
      <c r="M209" s="48" t="s">
        <v>1810</v>
      </c>
      <c r="N209" s="48" t="s">
        <v>1842</v>
      </c>
      <c r="O209" s="48" t="s">
        <v>1811</v>
      </c>
      <c r="P209" s="48" t="s">
        <v>2549</v>
      </c>
      <c r="Q209" s="48" t="s">
        <v>2049</v>
      </c>
      <c r="R209" s="48" t="s">
        <v>1838</v>
      </c>
      <c r="S209" s="48" t="s">
        <v>2050</v>
      </c>
      <c r="T209" s="48" t="s">
        <v>1845</v>
      </c>
      <c r="U209" s="48" t="s">
        <v>2049</v>
      </c>
      <c r="V209" s="48" t="s">
        <v>1838</v>
      </c>
      <c r="W209" s="48" t="s">
        <v>2051</v>
      </c>
      <c r="X209" s="48" t="s">
        <v>2052</v>
      </c>
      <c r="Y209" s="48" t="s">
        <v>2050</v>
      </c>
      <c r="Z209" s="48" t="s">
        <v>2053</v>
      </c>
      <c r="AA209" s="48" t="s">
        <v>2054</v>
      </c>
      <c r="AB209" s="48" t="s">
        <v>2817</v>
      </c>
      <c r="AC209" s="48" t="s">
        <v>2055</v>
      </c>
      <c r="AD209" s="48" t="s">
        <v>2056</v>
      </c>
      <c r="AE209" s="48" t="s">
        <v>1710</v>
      </c>
      <c r="AF209" s="48" t="s">
        <v>1710</v>
      </c>
      <c r="AG209" s="48" t="s">
        <v>2057</v>
      </c>
      <c r="AH209" s="48" t="s">
        <v>1815</v>
      </c>
      <c r="AI209" s="48" t="s">
        <v>2058</v>
      </c>
      <c r="AJ209" s="48" t="s">
        <v>1710</v>
      </c>
      <c r="AK209" s="48" t="s">
        <v>2099</v>
      </c>
      <c r="AL209" s="48" t="s">
        <v>1866</v>
      </c>
      <c r="AM209" s="48" t="s">
        <v>1816</v>
      </c>
      <c r="AN209" s="48" t="s">
        <v>2054</v>
      </c>
      <c r="AO209" s="48" t="s">
        <v>1710</v>
      </c>
      <c r="AP209" s="48" t="s">
        <v>1854</v>
      </c>
      <c r="AQ209" s="48" t="s">
        <v>2081</v>
      </c>
      <c r="AR209" s="48" t="s">
        <v>1812</v>
      </c>
      <c r="AS209" s="48" t="s">
        <v>1813</v>
      </c>
      <c r="AT209" s="48" t="s">
        <v>1826</v>
      </c>
      <c r="AU209" s="48" t="s">
        <v>2061</v>
      </c>
      <c r="AV209" s="48" t="s">
        <v>2825</v>
      </c>
      <c r="AW209" s="48" t="s">
        <v>2062</v>
      </c>
      <c r="AX209" s="48" t="s">
        <v>2063</v>
      </c>
      <c r="AY209" s="48" t="s">
        <v>1710</v>
      </c>
      <c r="AZ209" s="48" t="s">
        <v>4476</v>
      </c>
      <c r="BA209" s="48" t="s">
        <v>1710</v>
      </c>
      <c r="BB209" s="48" t="s">
        <v>1709</v>
      </c>
      <c r="BC209" s="48" t="s">
        <v>1710</v>
      </c>
      <c r="BD209" s="48" t="s">
        <v>2097</v>
      </c>
      <c r="BE209" s="52" t="s">
        <v>4438</v>
      </c>
      <c r="BF209" s="48" t="s">
        <v>1710</v>
      </c>
      <c r="BG209" s="48" t="s">
        <v>1814</v>
      </c>
      <c r="BH209">
        <v>8</v>
      </c>
      <c r="BI209" s="48" t="s">
        <v>1888</v>
      </c>
      <c r="BJ209">
        <v>1</v>
      </c>
      <c r="BK209">
        <v>1473.06</v>
      </c>
      <c r="BL209">
        <v>40295740</v>
      </c>
      <c r="BM209">
        <v>27355</v>
      </c>
      <c r="BN209" s="48" t="s">
        <v>2064</v>
      </c>
      <c r="BO209" s="48" t="s">
        <v>2065</v>
      </c>
      <c r="BP209">
        <v>1473.06</v>
      </c>
      <c r="BQ209">
        <v>27427.22</v>
      </c>
      <c r="BR209" s="48" t="s">
        <v>1885</v>
      </c>
      <c r="BS209" s="48" t="s">
        <v>2066</v>
      </c>
      <c r="BT209">
        <v>1</v>
      </c>
      <c r="BU209">
        <v>106200</v>
      </c>
      <c r="BV209">
        <v>106200</v>
      </c>
      <c r="BW209" s="48" t="s">
        <v>2065</v>
      </c>
      <c r="BX209">
        <v>1473.06</v>
      </c>
      <c r="BY209">
        <v>0</v>
      </c>
      <c r="BZ209">
        <v>0</v>
      </c>
      <c r="CA209" s="48" t="s">
        <v>2065</v>
      </c>
      <c r="CB209">
        <v>1473.06</v>
      </c>
      <c r="CC209">
        <v>0</v>
      </c>
      <c r="CD209">
        <v>0</v>
      </c>
      <c r="CE209" s="48" t="s">
        <v>1710</v>
      </c>
      <c r="CF209" s="48" t="s">
        <v>1710</v>
      </c>
      <c r="CG209" s="48" t="s">
        <v>1710</v>
      </c>
      <c r="CH209" s="48" t="s">
        <v>1710</v>
      </c>
      <c r="CI209" s="48" t="s">
        <v>2067</v>
      </c>
      <c r="CJ209" s="48" t="s">
        <v>1710</v>
      </c>
      <c r="CL209" s="48" t="s">
        <v>2825</v>
      </c>
      <c r="CM209" s="48" t="s">
        <v>1710</v>
      </c>
      <c r="CN209" s="48" t="s">
        <v>2068</v>
      </c>
      <c r="CO209" s="48" t="s">
        <v>2069</v>
      </c>
      <c r="CP209" s="48" t="s">
        <v>1710</v>
      </c>
      <c r="CQ209" s="48" t="s">
        <v>1710</v>
      </c>
      <c r="CR209" s="48" t="s">
        <v>1710</v>
      </c>
      <c r="CS209" s="48" t="s">
        <v>1710</v>
      </c>
      <c r="CT209" s="48" t="s">
        <v>1710</v>
      </c>
      <c r="CU209" s="48" t="s">
        <v>1712</v>
      </c>
      <c r="CV209" s="48" t="s">
        <v>1710</v>
      </c>
      <c r="CW209" s="48" t="s">
        <v>1710</v>
      </c>
      <c r="CX209" s="48" t="s">
        <v>3167</v>
      </c>
      <c r="CY209" s="48" t="s">
        <v>1710</v>
      </c>
      <c r="CZ209" s="48" t="s">
        <v>1712</v>
      </c>
      <c r="DA209" s="48" t="s">
        <v>1710</v>
      </c>
      <c r="DB209" s="48" t="s">
        <v>1878</v>
      </c>
      <c r="DC209" s="48" t="s">
        <v>2070</v>
      </c>
      <c r="DD209" s="48" t="s">
        <v>1842</v>
      </c>
      <c r="DE209" s="48" t="s">
        <v>1886</v>
      </c>
      <c r="DF209" s="48" t="s">
        <v>4477</v>
      </c>
      <c r="DG209" s="48" t="s">
        <v>2071</v>
      </c>
      <c r="DH209" s="48" t="s">
        <v>1712</v>
      </c>
      <c r="DI209" s="48" t="s">
        <v>1710</v>
      </c>
      <c r="DJ209" s="48" t="s">
        <v>1710</v>
      </c>
      <c r="DK209" s="48" t="s">
        <v>1710</v>
      </c>
      <c r="DL209" s="48" t="s">
        <v>1710</v>
      </c>
      <c r="DM209" s="48" t="s">
        <v>1710</v>
      </c>
      <c r="DN209" s="48" t="s">
        <v>1710</v>
      </c>
      <c r="DO209" s="48" t="s">
        <v>1710</v>
      </c>
      <c r="DP209" s="48" t="s">
        <v>1710</v>
      </c>
      <c r="DQ209" s="48" t="s">
        <v>1710</v>
      </c>
      <c r="DR209" s="48" t="s">
        <v>2072</v>
      </c>
      <c r="DS209" s="48" t="s">
        <v>1710</v>
      </c>
      <c r="DT209" s="48" t="s">
        <v>1710</v>
      </c>
      <c r="DU209" s="48" t="s">
        <v>2547</v>
      </c>
      <c r="DV209" s="48" t="s">
        <v>1710</v>
      </c>
      <c r="DW209" s="48" t="s">
        <v>1710</v>
      </c>
      <c r="DX209" s="48" t="s">
        <v>1710</v>
      </c>
      <c r="DY209" s="48" t="s">
        <v>1710</v>
      </c>
      <c r="DZ209" s="48" t="s">
        <v>2562</v>
      </c>
      <c r="EA209" s="48" t="s">
        <v>2546</v>
      </c>
      <c r="EB209">
        <v>0</v>
      </c>
      <c r="EC209" s="48" t="s">
        <v>2547</v>
      </c>
      <c r="ED209" s="48" t="s">
        <v>4478</v>
      </c>
      <c r="EE209" s="48" t="s">
        <v>1814</v>
      </c>
      <c r="EF209" s="48" t="s">
        <v>2701</v>
      </c>
      <c r="EG209" s="48" t="s">
        <v>4476</v>
      </c>
      <c r="EH209">
        <v>4.25</v>
      </c>
      <c r="EI209" s="48" t="s">
        <v>1888</v>
      </c>
      <c r="EJ209">
        <v>0</v>
      </c>
      <c r="EK209" s="48" t="s">
        <v>1710</v>
      </c>
      <c r="EL209">
        <v>1</v>
      </c>
      <c r="EM209" s="48" t="s">
        <v>1886</v>
      </c>
      <c r="EN209">
        <v>4.25</v>
      </c>
      <c r="EO209" s="48" t="s">
        <v>4479</v>
      </c>
      <c r="EP209" s="48" t="s">
        <v>4480</v>
      </c>
      <c r="EQ209">
        <v>27427.22</v>
      </c>
      <c r="ER209">
        <v>27427.22</v>
      </c>
      <c r="ES209">
        <v>40295740</v>
      </c>
      <c r="ET209">
        <v>27355</v>
      </c>
      <c r="EU209" s="48" t="s">
        <v>1710</v>
      </c>
      <c r="EV209" s="48" t="s">
        <v>1710</v>
      </c>
      <c r="EW209" s="48" t="s">
        <v>1712</v>
      </c>
      <c r="EX209" s="48" t="s">
        <v>1710</v>
      </c>
      <c r="EY209" s="48" t="s">
        <v>1854</v>
      </c>
      <c r="EZ209" s="48" t="s">
        <v>1710</v>
      </c>
      <c r="FA209" s="48" t="s">
        <v>1710</v>
      </c>
      <c r="FB209" s="48" t="s">
        <v>1712</v>
      </c>
      <c r="FC209" s="48" t="s">
        <v>1710</v>
      </c>
      <c r="FD209" s="48" t="s">
        <v>1710</v>
      </c>
      <c r="FE209" s="48" t="s">
        <v>1814</v>
      </c>
      <c r="FF209" s="48" t="s">
        <v>1815</v>
      </c>
      <c r="FG209" s="48" t="s">
        <v>1710</v>
      </c>
      <c r="FH209">
        <v>1</v>
      </c>
      <c r="FI209" s="48" t="s">
        <v>1846</v>
      </c>
      <c r="FJ209">
        <v>27427.22</v>
      </c>
      <c r="FK209">
        <v>27427.22</v>
      </c>
      <c r="FL209" s="48" t="s">
        <v>4481</v>
      </c>
      <c r="FM209" s="48" t="s">
        <v>4480</v>
      </c>
      <c r="FN209" s="48" t="s">
        <v>1710</v>
      </c>
      <c r="FO209" s="48" t="s">
        <v>1710</v>
      </c>
      <c r="FP209" s="48" t="s">
        <v>1710</v>
      </c>
      <c r="FQ209" s="48" t="s">
        <v>1710</v>
      </c>
      <c r="FR209" s="48" t="s">
        <v>1710</v>
      </c>
      <c r="FS209" s="48" t="s">
        <v>1710</v>
      </c>
      <c r="FT209" s="48" t="s">
        <v>1710</v>
      </c>
      <c r="FU209" s="48" t="s">
        <v>1710</v>
      </c>
      <c r="FV209" s="48"/>
      <c r="FW209" s="56"/>
      <c r="FX209" s="56"/>
      <c r="FY209" s="56"/>
      <c r="FZ209" s="56"/>
      <c r="GA209" s="55" t="str">
        <f t="shared" si="11"/>
        <v>4388426300507X</v>
      </c>
      <c r="GB209" t="str">
        <f>VLOOKUP(B209,수출코드!$C$2:$D$4,2,FALSE)</f>
        <v>Suwon</v>
      </c>
      <c r="GC209" t="str">
        <f>VLOOKUP(L209,수출코드!$A$2:$B$6,2,FALSE)</f>
        <v/>
      </c>
      <c r="GD209" t="str">
        <f>VLOOKUP(M209,수출코드!$E$2:$F$5,2,FALSE)</f>
        <v>일반</v>
      </c>
      <c r="GE209" s="61">
        <f t="shared" si="9"/>
        <v>45974.396527777775</v>
      </c>
      <c r="GF209" s="62">
        <f t="shared" si="10"/>
        <v>46052.724999999999</v>
      </c>
      <c r="GI209" s="48" t="s">
        <v>2776</v>
      </c>
    </row>
    <row r="210" spans="1:191">
      <c r="A210" s="48" t="s">
        <v>4482</v>
      </c>
      <c r="B210" s="48" t="s">
        <v>1821</v>
      </c>
      <c r="C210" s="48" t="s">
        <v>2048</v>
      </c>
      <c r="D210" s="48" t="s">
        <v>2813</v>
      </c>
      <c r="E210" s="48" t="s">
        <v>4482</v>
      </c>
      <c r="F210" s="48" t="s">
        <v>1710</v>
      </c>
      <c r="G210" s="48" t="s">
        <v>2814</v>
      </c>
      <c r="H210" s="48" t="s">
        <v>4483</v>
      </c>
      <c r="I210" s="48" t="s">
        <v>1884</v>
      </c>
      <c r="J210" s="48" t="s">
        <v>2825</v>
      </c>
      <c r="K210" s="48" t="s">
        <v>1877</v>
      </c>
      <c r="L210" s="48" t="s">
        <v>1842</v>
      </c>
      <c r="M210" s="48" t="s">
        <v>1810</v>
      </c>
      <c r="N210" s="48" t="s">
        <v>1842</v>
      </c>
      <c r="O210" s="48" t="s">
        <v>1811</v>
      </c>
      <c r="P210" s="48" t="s">
        <v>2549</v>
      </c>
      <c r="Q210" s="48" t="s">
        <v>2049</v>
      </c>
      <c r="R210" s="48" t="s">
        <v>1838</v>
      </c>
      <c r="S210" s="48" t="s">
        <v>2050</v>
      </c>
      <c r="T210" s="48" t="s">
        <v>1845</v>
      </c>
      <c r="U210" s="48" t="s">
        <v>2049</v>
      </c>
      <c r="V210" s="48" t="s">
        <v>1838</v>
      </c>
      <c r="W210" s="48" t="s">
        <v>2051</v>
      </c>
      <c r="X210" s="48" t="s">
        <v>2052</v>
      </c>
      <c r="Y210" s="48" t="s">
        <v>2050</v>
      </c>
      <c r="Z210" s="48" t="s">
        <v>2053</v>
      </c>
      <c r="AA210" s="48" t="s">
        <v>2054</v>
      </c>
      <c r="AB210" s="48" t="s">
        <v>2817</v>
      </c>
      <c r="AC210" s="48" t="s">
        <v>2055</v>
      </c>
      <c r="AD210" s="48" t="s">
        <v>2056</v>
      </c>
      <c r="AE210" s="48" t="s">
        <v>1710</v>
      </c>
      <c r="AF210" s="48" t="s">
        <v>1710</v>
      </c>
      <c r="AG210" s="48" t="s">
        <v>2057</v>
      </c>
      <c r="AH210" s="48" t="s">
        <v>1815</v>
      </c>
      <c r="AI210" s="48" t="s">
        <v>2058</v>
      </c>
      <c r="AJ210" s="48" t="s">
        <v>1710</v>
      </c>
      <c r="AK210" s="48" t="s">
        <v>2102</v>
      </c>
      <c r="AL210" s="48" t="s">
        <v>1858</v>
      </c>
      <c r="AM210" s="48" t="s">
        <v>1816</v>
      </c>
      <c r="AN210" s="48" t="s">
        <v>2054</v>
      </c>
      <c r="AO210" s="48" t="s">
        <v>1710</v>
      </c>
      <c r="AP210" s="48" t="s">
        <v>1848</v>
      </c>
      <c r="AQ210" s="48" t="s">
        <v>2060</v>
      </c>
      <c r="AR210" s="48" t="s">
        <v>1812</v>
      </c>
      <c r="AS210" s="48" t="s">
        <v>1813</v>
      </c>
      <c r="AT210" s="48" t="s">
        <v>1826</v>
      </c>
      <c r="AU210" s="48" t="s">
        <v>2061</v>
      </c>
      <c r="AV210" s="48" t="s">
        <v>2825</v>
      </c>
      <c r="AW210" s="48" t="s">
        <v>2062</v>
      </c>
      <c r="AX210" s="48" t="s">
        <v>2063</v>
      </c>
      <c r="AY210" s="48" t="s">
        <v>1710</v>
      </c>
      <c r="AZ210" s="48" t="s">
        <v>4484</v>
      </c>
      <c r="BA210" s="48" t="s">
        <v>1710</v>
      </c>
      <c r="BB210" s="48" t="s">
        <v>1709</v>
      </c>
      <c r="BC210" s="48" t="s">
        <v>1710</v>
      </c>
      <c r="BD210" s="48" t="s">
        <v>2097</v>
      </c>
      <c r="BE210" s="52" t="s">
        <v>4438</v>
      </c>
      <c r="BF210" s="48" t="s">
        <v>1710</v>
      </c>
      <c r="BG210" s="48" t="s">
        <v>1814</v>
      </c>
      <c r="BH210">
        <v>6</v>
      </c>
      <c r="BI210" s="48" t="s">
        <v>1888</v>
      </c>
      <c r="BJ210">
        <v>1</v>
      </c>
      <c r="BK210">
        <v>1473.06</v>
      </c>
      <c r="BL210">
        <v>9070052</v>
      </c>
      <c r="BM210">
        <v>6157</v>
      </c>
      <c r="BN210" s="48" t="s">
        <v>2064</v>
      </c>
      <c r="BO210" s="48" t="s">
        <v>2065</v>
      </c>
      <c r="BP210">
        <v>1473.06</v>
      </c>
      <c r="BQ210">
        <v>6226.53</v>
      </c>
      <c r="BR210" s="48" t="s">
        <v>1885</v>
      </c>
      <c r="BS210" s="48" t="s">
        <v>2066</v>
      </c>
      <c r="BT210">
        <v>1</v>
      </c>
      <c r="BU210">
        <v>102000</v>
      </c>
      <c r="BV210">
        <v>102000</v>
      </c>
      <c r="BW210" s="48" t="s">
        <v>2065</v>
      </c>
      <c r="BX210">
        <v>1473.06</v>
      </c>
      <c r="BY210">
        <v>0</v>
      </c>
      <c r="BZ210">
        <v>0</v>
      </c>
      <c r="CA210" s="48" t="s">
        <v>2065</v>
      </c>
      <c r="CB210">
        <v>1473.06</v>
      </c>
      <c r="CC210">
        <v>0</v>
      </c>
      <c r="CD210">
        <v>0</v>
      </c>
      <c r="CE210" s="48" t="s">
        <v>1710</v>
      </c>
      <c r="CF210" s="48" t="s">
        <v>1710</v>
      </c>
      <c r="CG210" s="48" t="s">
        <v>1710</v>
      </c>
      <c r="CH210" s="48" t="s">
        <v>1710</v>
      </c>
      <c r="CI210" s="48" t="s">
        <v>2067</v>
      </c>
      <c r="CJ210" s="48" t="s">
        <v>1710</v>
      </c>
      <c r="CL210" s="48" t="s">
        <v>2825</v>
      </c>
      <c r="CM210" s="48" t="s">
        <v>1710</v>
      </c>
      <c r="CN210" s="48" t="s">
        <v>2068</v>
      </c>
      <c r="CO210" s="48" t="s">
        <v>2069</v>
      </c>
      <c r="CP210" s="48" t="s">
        <v>1710</v>
      </c>
      <c r="CQ210" s="48" t="s">
        <v>1710</v>
      </c>
      <c r="CR210" s="48" t="s">
        <v>1710</v>
      </c>
      <c r="CS210" s="48" t="s">
        <v>1710</v>
      </c>
      <c r="CT210" s="48" t="s">
        <v>1710</v>
      </c>
      <c r="CU210" s="48" t="s">
        <v>1712</v>
      </c>
      <c r="CV210" s="48" t="s">
        <v>1710</v>
      </c>
      <c r="CW210" s="48" t="s">
        <v>1710</v>
      </c>
      <c r="CX210" s="48" t="s">
        <v>3167</v>
      </c>
      <c r="CY210" s="48" t="s">
        <v>1710</v>
      </c>
      <c r="CZ210" s="48" t="s">
        <v>1712</v>
      </c>
      <c r="DA210" s="48" t="s">
        <v>1710</v>
      </c>
      <c r="DB210" s="48" t="s">
        <v>1878</v>
      </c>
      <c r="DC210" s="48" t="s">
        <v>2070</v>
      </c>
      <c r="DD210" s="48" t="s">
        <v>1842</v>
      </c>
      <c r="DE210" s="48" t="s">
        <v>1886</v>
      </c>
      <c r="DF210" s="48" t="s">
        <v>4485</v>
      </c>
      <c r="DG210" s="48" t="s">
        <v>2071</v>
      </c>
      <c r="DH210" s="48" t="s">
        <v>1712</v>
      </c>
      <c r="DI210" s="48" t="s">
        <v>1710</v>
      </c>
      <c r="DJ210" s="48" t="s">
        <v>1710</v>
      </c>
      <c r="DK210" s="48" t="s">
        <v>1710</v>
      </c>
      <c r="DL210" s="48" t="s">
        <v>1710</v>
      </c>
      <c r="DM210" s="48" t="s">
        <v>1710</v>
      </c>
      <c r="DN210" s="48" t="s">
        <v>1710</v>
      </c>
      <c r="DO210" s="48" t="s">
        <v>1710</v>
      </c>
      <c r="DP210" s="48" t="s">
        <v>1710</v>
      </c>
      <c r="DQ210" s="48" t="s">
        <v>1710</v>
      </c>
      <c r="DR210" s="48" t="s">
        <v>2072</v>
      </c>
      <c r="DS210" s="48" t="s">
        <v>1710</v>
      </c>
      <c r="DT210" s="48" t="s">
        <v>1710</v>
      </c>
      <c r="DU210" s="48" t="s">
        <v>2547</v>
      </c>
      <c r="DV210" s="48" t="s">
        <v>1710</v>
      </c>
      <c r="DW210" s="48" t="s">
        <v>1710</v>
      </c>
      <c r="DX210" s="48" t="s">
        <v>1710</v>
      </c>
      <c r="DY210" s="48" t="s">
        <v>1710</v>
      </c>
      <c r="DZ210" s="48" t="s">
        <v>2562</v>
      </c>
      <c r="EA210" s="48" t="s">
        <v>2546</v>
      </c>
      <c r="EB210">
        <v>0</v>
      </c>
      <c r="EC210" s="48" t="s">
        <v>2547</v>
      </c>
      <c r="ED210" s="48" t="s">
        <v>4478</v>
      </c>
      <c r="EE210" s="48" t="s">
        <v>1814</v>
      </c>
      <c r="EF210" s="48" t="s">
        <v>1852</v>
      </c>
      <c r="EG210" s="48" t="s">
        <v>4484</v>
      </c>
      <c r="EH210">
        <v>4.46</v>
      </c>
      <c r="EI210" s="48" t="s">
        <v>1888</v>
      </c>
      <c r="EJ210">
        <v>0</v>
      </c>
      <c r="EK210" s="48" t="s">
        <v>1710</v>
      </c>
      <c r="EL210">
        <v>1</v>
      </c>
      <c r="EM210" s="48" t="s">
        <v>1886</v>
      </c>
      <c r="EN210">
        <v>4.46</v>
      </c>
      <c r="EO210" s="48" t="s">
        <v>2521</v>
      </c>
      <c r="EP210" s="48" t="s">
        <v>4486</v>
      </c>
      <c r="EQ210">
        <v>6226.53</v>
      </c>
      <c r="ER210">
        <v>6226.53</v>
      </c>
      <c r="ES210">
        <v>9070052</v>
      </c>
      <c r="ET210">
        <v>6157</v>
      </c>
      <c r="EU210" s="48" t="s">
        <v>1710</v>
      </c>
      <c r="EV210" s="48" t="s">
        <v>1710</v>
      </c>
      <c r="EW210" s="48" t="s">
        <v>1712</v>
      </c>
      <c r="EX210" s="48" t="s">
        <v>1710</v>
      </c>
      <c r="EY210" s="48" t="s">
        <v>1848</v>
      </c>
      <c r="EZ210" s="48" t="s">
        <v>1710</v>
      </c>
      <c r="FA210" s="48" t="s">
        <v>1710</v>
      </c>
      <c r="FB210" s="48" t="s">
        <v>1712</v>
      </c>
      <c r="FC210" s="48" t="s">
        <v>1710</v>
      </c>
      <c r="FD210" s="48" t="s">
        <v>1710</v>
      </c>
      <c r="FE210" s="48" t="s">
        <v>1814</v>
      </c>
      <c r="FF210" s="48" t="s">
        <v>1815</v>
      </c>
      <c r="FG210" s="48" t="s">
        <v>1710</v>
      </c>
      <c r="FH210">
        <v>1</v>
      </c>
      <c r="FI210" s="48" t="s">
        <v>1846</v>
      </c>
      <c r="FJ210">
        <v>6226.53</v>
      </c>
      <c r="FK210">
        <v>6226.53</v>
      </c>
      <c r="FL210" s="48" t="s">
        <v>4487</v>
      </c>
      <c r="FM210" s="48" t="s">
        <v>4486</v>
      </c>
      <c r="FN210" s="48" t="s">
        <v>1710</v>
      </c>
      <c r="FO210" s="48" t="s">
        <v>1710</v>
      </c>
      <c r="FP210" s="48" t="s">
        <v>1710</v>
      </c>
      <c r="FQ210" s="48" t="s">
        <v>1710</v>
      </c>
      <c r="FR210" s="48" t="s">
        <v>1710</v>
      </c>
      <c r="FS210" s="48" t="s">
        <v>1710</v>
      </c>
      <c r="FT210" s="48" t="s">
        <v>1710</v>
      </c>
      <c r="FU210" s="48" t="s">
        <v>1710</v>
      </c>
      <c r="FV210" s="48"/>
      <c r="FW210" s="56"/>
      <c r="FX210" s="56"/>
      <c r="FY210" s="56"/>
      <c r="FZ210" s="56"/>
      <c r="GA210" s="55" t="str">
        <f t="shared" si="11"/>
        <v>4388426300508X</v>
      </c>
      <c r="GB210" t="str">
        <f>VLOOKUP(B210,수출코드!$C$2:$D$4,2,FALSE)</f>
        <v>Suwon</v>
      </c>
      <c r="GC210" t="str">
        <f>VLOOKUP(L210,수출코드!$A$2:$B$6,2,FALSE)</f>
        <v/>
      </c>
      <c r="GD210" t="str">
        <f>VLOOKUP(M210,수출코드!$E$2:$F$5,2,FALSE)</f>
        <v>일반</v>
      </c>
      <c r="GE210" s="61">
        <f t="shared" si="9"/>
        <v>45973.645833333336</v>
      </c>
      <c r="GF210" s="62">
        <f t="shared" si="10"/>
        <v>46052.724999999999</v>
      </c>
      <c r="GI210" s="48" t="s">
        <v>2764</v>
      </c>
    </row>
    <row r="211" spans="1:191">
      <c r="A211" s="48" t="s">
        <v>4488</v>
      </c>
      <c r="B211" s="48" t="s">
        <v>1821</v>
      </c>
      <c r="C211" s="48" t="s">
        <v>2048</v>
      </c>
      <c r="D211" s="48" t="s">
        <v>2813</v>
      </c>
      <c r="E211" s="48" t="s">
        <v>4488</v>
      </c>
      <c r="F211" s="48" t="s">
        <v>1710</v>
      </c>
      <c r="G211" s="48" t="s">
        <v>2814</v>
      </c>
      <c r="H211" s="48" t="s">
        <v>4489</v>
      </c>
      <c r="I211" s="48" t="s">
        <v>1884</v>
      </c>
      <c r="J211" s="48" t="s">
        <v>2825</v>
      </c>
      <c r="K211" s="48" t="s">
        <v>1877</v>
      </c>
      <c r="L211" s="48" t="s">
        <v>1842</v>
      </c>
      <c r="M211" s="48" t="s">
        <v>1810</v>
      </c>
      <c r="N211" s="48" t="s">
        <v>1842</v>
      </c>
      <c r="O211" s="48" t="s">
        <v>1811</v>
      </c>
      <c r="P211" s="48" t="s">
        <v>2549</v>
      </c>
      <c r="Q211" s="48" t="s">
        <v>2049</v>
      </c>
      <c r="R211" s="48" t="s">
        <v>1838</v>
      </c>
      <c r="S211" s="48" t="s">
        <v>2050</v>
      </c>
      <c r="T211" s="48" t="s">
        <v>1845</v>
      </c>
      <c r="U211" s="48" t="s">
        <v>2049</v>
      </c>
      <c r="V211" s="48" t="s">
        <v>1838</v>
      </c>
      <c r="W211" s="48" t="s">
        <v>2051</v>
      </c>
      <c r="X211" s="48" t="s">
        <v>2052</v>
      </c>
      <c r="Y211" s="48" t="s">
        <v>2050</v>
      </c>
      <c r="Z211" s="48" t="s">
        <v>2053</v>
      </c>
      <c r="AA211" s="48" t="s">
        <v>2054</v>
      </c>
      <c r="AB211" s="48" t="s">
        <v>2817</v>
      </c>
      <c r="AC211" s="48" t="s">
        <v>2055</v>
      </c>
      <c r="AD211" s="48" t="s">
        <v>2056</v>
      </c>
      <c r="AE211" s="48" t="s">
        <v>1710</v>
      </c>
      <c r="AF211" s="48" t="s">
        <v>1710</v>
      </c>
      <c r="AG211" s="48" t="s">
        <v>2057</v>
      </c>
      <c r="AH211" s="48" t="s">
        <v>1815</v>
      </c>
      <c r="AI211" s="48" t="s">
        <v>2058</v>
      </c>
      <c r="AJ211" s="48" t="s">
        <v>1710</v>
      </c>
      <c r="AK211" s="48" t="s">
        <v>2552</v>
      </c>
      <c r="AL211" s="48" t="s">
        <v>1858</v>
      </c>
      <c r="AM211" s="48" t="s">
        <v>1816</v>
      </c>
      <c r="AN211" s="48" t="s">
        <v>2054</v>
      </c>
      <c r="AO211" s="48" t="s">
        <v>1710</v>
      </c>
      <c r="AP211" s="48" t="s">
        <v>1848</v>
      </c>
      <c r="AQ211" s="48" t="s">
        <v>2060</v>
      </c>
      <c r="AR211" s="48" t="s">
        <v>1812</v>
      </c>
      <c r="AS211" s="48" t="s">
        <v>1813</v>
      </c>
      <c r="AT211" s="48" t="s">
        <v>1826</v>
      </c>
      <c r="AU211" s="48" t="s">
        <v>2061</v>
      </c>
      <c r="AV211" s="48" t="s">
        <v>2825</v>
      </c>
      <c r="AW211" s="48" t="s">
        <v>2062</v>
      </c>
      <c r="AX211" s="48" t="s">
        <v>2063</v>
      </c>
      <c r="AY211" s="48" t="s">
        <v>1710</v>
      </c>
      <c r="AZ211" s="48" t="s">
        <v>4490</v>
      </c>
      <c r="BA211" s="48" t="s">
        <v>1710</v>
      </c>
      <c r="BB211" s="48" t="s">
        <v>1709</v>
      </c>
      <c r="BC211" s="48" t="s">
        <v>1710</v>
      </c>
      <c r="BD211" s="48" t="s">
        <v>2097</v>
      </c>
      <c r="BE211" s="52" t="s">
        <v>4438</v>
      </c>
      <c r="BF211" s="48" t="s">
        <v>1710</v>
      </c>
      <c r="BG211" s="48" t="s">
        <v>1817</v>
      </c>
      <c r="BH211">
        <v>6</v>
      </c>
      <c r="BI211" s="48" t="s">
        <v>1888</v>
      </c>
      <c r="BJ211">
        <v>1</v>
      </c>
      <c r="BK211">
        <v>1473.06</v>
      </c>
      <c r="BL211">
        <v>9349181</v>
      </c>
      <c r="BM211">
        <v>6347</v>
      </c>
      <c r="BN211" s="48" t="s">
        <v>2064</v>
      </c>
      <c r="BO211" s="48" t="s">
        <v>2065</v>
      </c>
      <c r="BP211">
        <v>1473.06</v>
      </c>
      <c r="BQ211">
        <v>6416.02</v>
      </c>
      <c r="BR211" s="48" t="s">
        <v>1885</v>
      </c>
      <c r="BS211" s="48" t="s">
        <v>2066</v>
      </c>
      <c r="BT211">
        <v>1</v>
      </c>
      <c r="BU211">
        <v>102000</v>
      </c>
      <c r="BV211">
        <v>102000</v>
      </c>
      <c r="BW211" s="48" t="s">
        <v>2065</v>
      </c>
      <c r="BX211">
        <v>1473.06</v>
      </c>
      <c r="BY211">
        <v>0</v>
      </c>
      <c r="BZ211">
        <v>0</v>
      </c>
      <c r="CA211" s="48" t="s">
        <v>2065</v>
      </c>
      <c r="CB211">
        <v>1473.06</v>
      </c>
      <c r="CC211">
        <v>0</v>
      </c>
      <c r="CD211">
        <v>0</v>
      </c>
      <c r="CE211" s="48" t="s">
        <v>1710</v>
      </c>
      <c r="CF211" s="48" t="s">
        <v>1710</v>
      </c>
      <c r="CG211" s="48" t="s">
        <v>1710</v>
      </c>
      <c r="CH211" s="48" t="s">
        <v>1710</v>
      </c>
      <c r="CI211" s="48" t="s">
        <v>2067</v>
      </c>
      <c r="CJ211" s="48" t="s">
        <v>1710</v>
      </c>
      <c r="CL211" s="48" t="s">
        <v>2825</v>
      </c>
      <c r="CM211" s="48" t="s">
        <v>1710</v>
      </c>
      <c r="CN211" s="48" t="s">
        <v>2068</v>
      </c>
      <c r="CO211" s="48" t="s">
        <v>2069</v>
      </c>
      <c r="CP211" s="48" t="s">
        <v>1710</v>
      </c>
      <c r="CQ211" s="48" t="s">
        <v>1710</v>
      </c>
      <c r="CR211" s="48" t="s">
        <v>1710</v>
      </c>
      <c r="CS211" s="48" t="s">
        <v>1710</v>
      </c>
      <c r="CT211" s="48" t="s">
        <v>1710</v>
      </c>
      <c r="CU211" s="48" t="s">
        <v>1712</v>
      </c>
      <c r="CV211" s="48" t="s">
        <v>1710</v>
      </c>
      <c r="CW211" s="48" t="s">
        <v>1710</v>
      </c>
      <c r="CX211" s="48" t="s">
        <v>3167</v>
      </c>
      <c r="CY211" s="48" t="s">
        <v>1710</v>
      </c>
      <c r="CZ211" s="48" t="s">
        <v>1712</v>
      </c>
      <c r="DA211" s="48" t="s">
        <v>1710</v>
      </c>
      <c r="DB211" s="48" t="s">
        <v>1878</v>
      </c>
      <c r="DC211" s="48" t="s">
        <v>2070</v>
      </c>
      <c r="DD211" s="48" t="s">
        <v>1842</v>
      </c>
      <c r="DE211" s="48" t="s">
        <v>1886</v>
      </c>
      <c r="DF211" s="48" t="s">
        <v>4491</v>
      </c>
      <c r="DG211" s="48" t="s">
        <v>2071</v>
      </c>
      <c r="DH211" s="48" t="s">
        <v>1712</v>
      </c>
      <c r="DI211" s="48" t="s">
        <v>1710</v>
      </c>
      <c r="DJ211" s="48" t="s">
        <v>1710</v>
      </c>
      <c r="DK211" s="48" t="s">
        <v>1710</v>
      </c>
      <c r="DL211" s="48" t="s">
        <v>1710</v>
      </c>
      <c r="DM211" s="48" t="s">
        <v>1710</v>
      </c>
      <c r="DN211" s="48" t="s">
        <v>1710</v>
      </c>
      <c r="DO211" s="48" t="s">
        <v>1710</v>
      </c>
      <c r="DP211" s="48" t="s">
        <v>1710</v>
      </c>
      <c r="DQ211" s="48" t="s">
        <v>1710</v>
      </c>
      <c r="DR211" s="48" t="s">
        <v>2072</v>
      </c>
      <c r="DS211" s="48" t="s">
        <v>1710</v>
      </c>
      <c r="DT211" s="48" t="s">
        <v>1710</v>
      </c>
      <c r="DU211" s="48" t="s">
        <v>2547</v>
      </c>
      <c r="DV211" s="48" t="s">
        <v>1710</v>
      </c>
      <c r="DW211" s="48" t="s">
        <v>1710</v>
      </c>
      <c r="DX211" s="48" t="s">
        <v>1710</v>
      </c>
      <c r="DY211" s="48" t="s">
        <v>1710</v>
      </c>
      <c r="DZ211" s="48" t="s">
        <v>2562</v>
      </c>
      <c r="EA211" s="48" t="s">
        <v>2546</v>
      </c>
      <c r="EB211">
        <v>0</v>
      </c>
      <c r="EC211" s="48" t="s">
        <v>2547</v>
      </c>
      <c r="ED211" s="48" t="s">
        <v>4492</v>
      </c>
      <c r="EE211" s="48" t="s">
        <v>1814</v>
      </c>
      <c r="EF211" s="48" t="s">
        <v>2658</v>
      </c>
      <c r="EG211" s="48" t="s">
        <v>4490</v>
      </c>
      <c r="EH211">
        <v>1</v>
      </c>
      <c r="EI211" s="48" t="s">
        <v>1888</v>
      </c>
      <c r="EJ211">
        <v>0</v>
      </c>
      <c r="EK211" s="48" t="s">
        <v>1710</v>
      </c>
      <c r="EL211">
        <v>1</v>
      </c>
      <c r="EM211" s="48" t="s">
        <v>1886</v>
      </c>
      <c r="EN211">
        <v>1</v>
      </c>
      <c r="EO211" s="48" t="s">
        <v>2659</v>
      </c>
      <c r="EP211" s="48" t="s">
        <v>4493</v>
      </c>
      <c r="EQ211">
        <v>525.03</v>
      </c>
      <c r="ER211">
        <v>525.03</v>
      </c>
      <c r="ES211">
        <v>765053</v>
      </c>
      <c r="ET211">
        <v>519</v>
      </c>
      <c r="EU211" s="48" t="s">
        <v>1710</v>
      </c>
      <c r="EV211" s="48" t="s">
        <v>1710</v>
      </c>
      <c r="EW211" s="48" t="s">
        <v>1712</v>
      </c>
      <c r="EX211" s="48" t="s">
        <v>1710</v>
      </c>
      <c r="EY211" s="48" t="s">
        <v>1848</v>
      </c>
      <c r="EZ211" s="48" t="s">
        <v>1710</v>
      </c>
      <c r="FA211" s="48" t="s">
        <v>1710</v>
      </c>
      <c r="FB211" s="48" t="s">
        <v>1712</v>
      </c>
      <c r="FC211" s="48" t="s">
        <v>1710</v>
      </c>
      <c r="FD211" s="48" t="s">
        <v>1710</v>
      </c>
      <c r="FE211" s="48" t="s">
        <v>1814</v>
      </c>
      <c r="FF211" s="48" t="s">
        <v>1815</v>
      </c>
      <c r="FG211" s="48" t="s">
        <v>1710</v>
      </c>
      <c r="FH211">
        <v>1</v>
      </c>
      <c r="FI211" s="48" t="s">
        <v>1846</v>
      </c>
      <c r="FJ211">
        <v>525.03</v>
      </c>
      <c r="FK211">
        <v>525.03</v>
      </c>
      <c r="FL211" s="48" t="s">
        <v>4494</v>
      </c>
      <c r="FM211" s="48" t="s">
        <v>4493</v>
      </c>
      <c r="FN211" s="48" t="s">
        <v>1710</v>
      </c>
      <c r="FO211" s="48" t="s">
        <v>1710</v>
      </c>
      <c r="FP211" s="48" t="s">
        <v>1710</v>
      </c>
      <c r="FQ211" s="48" t="s">
        <v>1710</v>
      </c>
      <c r="FR211" s="48" t="s">
        <v>1710</v>
      </c>
      <c r="FS211" s="48" t="s">
        <v>1710</v>
      </c>
      <c r="FT211" s="48" t="s">
        <v>1710</v>
      </c>
      <c r="FU211" s="48" t="s">
        <v>1710</v>
      </c>
      <c r="FV211" s="48"/>
      <c r="FW211" s="56"/>
      <c r="FX211" s="56"/>
      <c r="FY211" s="56"/>
      <c r="FZ211" s="56"/>
      <c r="GA211" s="55" t="str">
        <f t="shared" si="11"/>
        <v>4388426300509X</v>
      </c>
      <c r="GB211" t="str">
        <f>VLOOKUP(B211,수출코드!$C$2:$D$4,2,FALSE)</f>
        <v>Suwon</v>
      </c>
      <c r="GC211" t="str">
        <f>VLOOKUP(L211,수출코드!$A$2:$B$6,2,FALSE)</f>
        <v/>
      </c>
      <c r="GD211" t="str">
        <f>VLOOKUP(M211,수출코드!$E$2:$F$5,2,FALSE)</f>
        <v>일반</v>
      </c>
      <c r="GE211" s="61">
        <f t="shared" si="9"/>
        <v>45973.645833333336</v>
      </c>
      <c r="GF211" s="62">
        <f t="shared" si="10"/>
        <v>46052.729861111111</v>
      </c>
      <c r="GI211" s="48" t="s">
        <v>2764</v>
      </c>
    </row>
    <row r="212" spans="1:191">
      <c r="A212" s="48" t="s">
        <v>4495</v>
      </c>
      <c r="B212" s="48" t="s">
        <v>1821</v>
      </c>
      <c r="C212" s="48" t="s">
        <v>2048</v>
      </c>
      <c r="D212" s="48" t="s">
        <v>2813</v>
      </c>
      <c r="E212" s="48" t="s">
        <v>4495</v>
      </c>
      <c r="F212" s="48" t="s">
        <v>1710</v>
      </c>
      <c r="G212" s="48" t="s">
        <v>2814</v>
      </c>
      <c r="H212" s="48" t="s">
        <v>4496</v>
      </c>
      <c r="I212" s="48" t="s">
        <v>1884</v>
      </c>
      <c r="J212" s="48" t="s">
        <v>2825</v>
      </c>
      <c r="K212" s="48" t="s">
        <v>1877</v>
      </c>
      <c r="L212" s="48" t="s">
        <v>1842</v>
      </c>
      <c r="M212" s="48" t="s">
        <v>1810</v>
      </c>
      <c r="N212" s="48" t="s">
        <v>1842</v>
      </c>
      <c r="O212" s="48" t="s">
        <v>1811</v>
      </c>
      <c r="P212" s="48" t="s">
        <v>2549</v>
      </c>
      <c r="Q212" s="48" t="s">
        <v>2049</v>
      </c>
      <c r="R212" s="48" t="s">
        <v>1838</v>
      </c>
      <c r="S212" s="48" t="s">
        <v>2050</v>
      </c>
      <c r="T212" s="48" t="s">
        <v>1845</v>
      </c>
      <c r="U212" s="48" t="s">
        <v>2049</v>
      </c>
      <c r="V212" s="48" t="s">
        <v>1838</v>
      </c>
      <c r="W212" s="48" t="s">
        <v>2051</v>
      </c>
      <c r="X212" s="48" t="s">
        <v>2052</v>
      </c>
      <c r="Y212" s="48" t="s">
        <v>2050</v>
      </c>
      <c r="Z212" s="48" t="s">
        <v>2053</v>
      </c>
      <c r="AA212" s="48" t="s">
        <v>2054</v>
      </c>
      <c r="AB212" s="48" t="s">
        <v>2817</v>
      </c>
      <c r="AC212" s="48" t="s">
        <v>2055</v>
      </c>
      <c r="AD212" s="48" t="s">
        <v>2056</v>
      </c>
      <c r="AE212" s="48" t="s">
        <v>1710</v>
      </c>
      <c r="AF212" s="48" t="s">
        <v>1710</v>
      </c>
      <c r="AG212" s="48" t="s">
        <v>2057</v>
      </c>
      <c r="AH212" s="48" t="s">
        <v>1815</v>
      </c>
      <c r="AI212" s="48" t="s">
        <v>2058</v>
      </c>
      <c r="AJ212" s="48" t="s">
        <v>1710</v>
      </c>
      <c r="AK212" s="48" t="s">
        <v>2563</v>
      </c>
      <c r="AL212" s="48" t="s">
        <v>2564</v>
      </c>
      <c r="AM212" s="48" t="s">
        <v>1816</v>
      </c>
      <c r="AN212" s="48" t="s">
        <v>2054</v>
      </c>
      <c r="AO212" s="48" t="s">
        <v>1710</v>
      </c>
      <c r="AP212" s="48" t="s">
        <v>1855</v>
      </c>
      <c r="AQ212" s="48" t="s">
        <v>2076</v>
      </c>
      <c r="AR212" s="48" t="s">
        <v>1812</v>
      </c>
      <c r="AS212" s="48" t="s">
        <v>1813</v>
      </c>
      <c r="AT212" s="48" t="s">
        <v>1826</v>
      </c>
      <c r="AU212" s="48" t="s">
        <v>2061</v>
      </c>
      <c r="AV212" s="48" t="s">
        <v>2825</v>
      </c>
      <c r="AW212" s="48" t="s">
        <v>2062</v>
      </c>
      <c r="AX212" s="48" t="s">
        <v>2063</v>
      </c>
      <c r="AY212" s="48" t="s">
        <v>1710</v>
      </c>
      <c r="AZ212" s="48" t="s">
        <v>4497</v>
      </c>
      <c r="BA212" s="48" t="s">
        <v>1710</v>
      </c>
      <c r="BB212" s="48" t="s">
        <v>1709</v>
      </c>
      <c r="BC212" s="48" t="s">
        <v>1710</v>
      </c>
      <c r="BD212" s="48" t="s">
        <v>2097</v>
      </c>
      <c r="BE212" s="52" t="s">
        <v>4438</v>
      </c>
      <c r="BF212" s="48" t="s">
        <v>1710</v>
      </c>
      <c r="BG212" s="48" t="s">
        <v>1818</v>
      </c>
      <c r="BH212">
        <v>7</v>
      </c>
      <c r="BI212" s="48" t="s">
        <v>1888</v>
      </c>
      <c r="BJ212">
        <v>1</v>
      </c>
      <c r="BK212">
        <v>1473.06</v>
      </c>
      <c r="BL212">
        <v>17248693</v>
      </c>
      <c r="BM212">
        <v>11709</v>
      </c>
      <c r="BN212" s="48" t="s">
        <v>2064</v>
      </c>
      <c r="BO212" s="48" t="s">
        <v>2065</v>
      </c>
      <c r="BP212">
        <v>1473.06</v>
      </c>
      <c r="BQ212">
        <v>11739.98</v>
      </c>
      <c r="BR212" s="48" t="s">
        <v>1885</v>
      </c>
      <c r="BS212" s="48" t="s">
        <v>2066</v>
      </c>
      <c r="BT212">
        <v>1</v>
      </c>
      <c r="BU212">
        <v>45000</v>
      </c>
      <c r="BV212">
        <v>45000</v>
      </c>
      <c r="BW212" s="48" t="s">
        <v>2065</v>
      </c>
      <c r="BX212">
        <v>1473.06</v>
      </c>
      <c r="BY212">
        <v>0</v>
      </c>
      <c r="BZ212">
        <v>0</v>
      </c>
      <c r="CA212" s="48" t="s">
        <v>2065</v>
      </c>
      <c r="CB212">
        <v>1473.06</v>
      </c>
      <c r="CC212">
        <v>0</v>
      </c>
      <c r="CD212">
        <v>0</v>
      </c>
      <c r="CE212" s="48" t="s">
        <v>1710</v>
      </c>
      <c r="CF212" s="48" t="s">
        <v>1710</v>
      </c>
      <c r="CG212" s="48" t="s">
        <v>1710</v>
      </c>
      <c r="CH212" s="48" t="s">
        <v>1710</v>
      </c>
      <c r="CI212" s="48" t="s">
        <v>2067</v>
      </c>
      <c r="CJ212" s="48" t="s">
        <v>1710</v>
      </c>
      <c r="CL212" s="48" t="s">
        <v>2825</v>
      </c>
      <c r="CM212" s="48" t="s">
        <v>1710</v>
      </c>
      <c r="CN212" s="48" t="s">
        <v>2068</v>
      </c>
      <c r="CO212" s="48" t="s">
        <v>2069</v>
      </c>
      <c r="CP212" s="48" t="s">
        <v>1710</v>
      </c>
      <c r="CQ212" s="48" t="s">
        <v>1710</v>
      </c>
      <c r="CR212" s="48" t="s">
        <v>1710</v>
      </c>
      <c r="CS212" s="48" t="s">
        <v>1710</v>
      </c>
      <c r="CT212" s="48" t="s">
        <v>1710</v>
      </c>
      <c r="CU212" s="48" t="s">
        <v>1712</v>
      </c>
      <c r="CV212" s="48" t="s">
        <v>1710</v>
      </c>
      <c r="CW212" s="48" t="s">
        <v>1710</v>
      </c>
      <c r="CX212" s="48" t="s">
        <v>3167</v>
      </c>
      <c r="CY212" s="48" t="s">
        <v>1710</v>
      </c>
      <c r="CZ212" s="48" t="s">
        <v>1712</v>
      </c>
      <c r="DA212" s="48" t="s">
        <v>1710</v>
      </c>
      <c r="DB212" s="48" t="s">
        <v>1878</v>
      </c>
      <c r="DC212" s="48" t="s">
        <v>2070</v>
      </c>
      <c r="DD212" s="48" t="s">
        <v>1842</v>
      </c>
      <c r="DE212" s="48" t="s">
        <v>1886</v>
      </c>
      <c r="DF212" s="48" t="s">
        <v>4498</v>
      </c>
      <c r="DG212" s="48" t="s">
        <v>2071</v>
      </c>
      <c r="DH212" s="48" t="s">
        <v>1712</v>
      </c>
      <c r="DI212" s="48" t="s">
        <v>1710</v>
      </c>
      <c r="DJ212" s="48" t="s">
        <v>1710</v>
      </c>
      <c r="DK212" s="48" t="s">
        <v>1710</v>
      </c>
      <c r="DL212" s="48" t="s">
        <v>1710</v>
      </c>
      <c r="DM212" s="48" t="s">
        <v>1710</v>
      </c>
      <c r="DN212" s="48" t="s">
        <v>1710</v>
      </c>
      <c r="DO212" s="48" t="s">
        <v>1710</v>
      </c>
      <c r="DP212" s="48" t="s">
        <v>1710</v>
      </c>
      <c r="DQ212" s="48" t="s">
        <v>1710</v>
      </c>
      <c r="DR212" s="48" t="s">
        <v>2072</v>
      </c>
      <c r="DS212" s="48" t="s">
        <v>1710</v>
      </c>
      <c r="DT212" s="48" t="s">
        <v>1710</v>
      </c>
      <c r="DU212" s="48" t="s">
        <v>2547</v>
      </c>
      <c r="DV212" s="48" t="s">
        <v>1710</v>
      </c>
      <c r="DW212" s="48" t="s">
        <v>1710</v>
      </c>
      <c r="DX212" s="48" t="s">
        <v>1710</v>
      </c>
      <c r="DY212" s="48" t="s">
        <v>1710</v>
      </c>
      <c r="DZ212" s="48" t="s">
        <v>2562</v>
      </c>
      <c r="EA212" s="48" t="s">
        <v>2546</v>
      </c>
      <c r="EB212">
        <v>0</v>
      </c>
      <c r="EC212" s="48" t="s">
        <v>2547</v>
      </c>
      <c r="ED212" s="48" t="s">
        <v>4492</v>
      </c>
      <c r="EE212" s="48" t="s">
        <v>1814</v>
      </c>
      <c r="EF212" s="48" t="s">
        <v>1872</v>
      </c>
      <c r="EG212" s="48" t="s">
        <v>4497</v>
      </c>
      <c r="EH212">
        <v>2</v>
      </c>
      <c r="EI212" s="48" t="s">
        <v>1888</v>
      </c>
      <c r="EJ212">
        <v>1</v>
      </c>
      <c r="EK212" s="48" t="s">
        <v>1887</v>
      </c>
      <c r="EL212">
        <v>1</v>
      </c>
      <c r="EM212" s="48" t="s">
        <v>1886</v>
      </c>
      <c r="EN212">
        <v>2</v>
      </c>
      <c r="EO212" s="48" t="s">
        <v>2527</v>
      </c>
      <c r="EP212" s="48" t="s">
        <v>4499</v>
      </c>
      <c r="EQ212">
        <v>1891.11</v>
      </c>
      <c r="ER212">
        <v>1891.11</v>
      </c>
      <c r="ES212">
        <v>2778469</v>
      </c>
      <c r="ET212">
        <v>1886</v>
      </c>
      <c r="EU212" s="48" t="s">
        <v>1710</v>
      </c>
      <c r="EV212" s="48" t="s">
        <v>1710</v>
      </c>
      <c r="EW212" s="48" t="s">
        <v>1712</v>
      </c>
      <c r="EX212" s="48" t="s">
        <v>1710</v>
      </c>
      <c r="EY212" s="48" t="s">
        <v>1869</v>
      </c>
      <c r="EZ212" s="48" t="s">
        <v>1710</v>
      </c>
      <c r="FA212" s="48" t="s">
        <v>1710</v>
      </c>
      <c r="FB212" s="48" t="s">
        <v>1712</v>
      </c>
      <c r="FC212" s="48" t="s">
        <v>1710</v>
      </c>
      <c r="FD212" s="48" t="s">
        <v>1710</v>
      </c>
      <c r="FE212" s="48" t="s">
        <v>1814</v>
      </c>
      <c r="FF212" s="48" t="s">
        <v>1815</v>
      </c>
      <c r="FG212" s="48" t="s">
        <v>1710</v>
      </c>
      <c r="FH212">
        <v>1</v>
      </c>
      <c r="FI212" s="48" t="s">
        <v>1846</v>
      </c>
      <c r="FJ212">
        <v>1891.11</v>
      </c>
      <c r="FK212">
        <v>1891.11</v>
      </c>
      <c r="FL212" s="48" t="s">
        <v>4500</v>
      </c>
      <c r="FM212" s="48" t="s">
        <v>4499</v>
      </c>
      <c r="FN212" s="48" t="s">
        <v>1710</v>
      </c>
      <c r="FO212" s="48" t="s">
        <v>1710</v>
      </c>
      <c r="FP212" s="48" t="s">
        <v>1710</v>
      </c>
      <c r="FQ212" s="48" t="s">
        <v>1710</v>
      </c>
      <c r="FR212" s="48" t="s">
        <v>1710</v>
      </c>
      <c r="FS212" s="48" t="s">
        <v>1710</v>
      </c>
      <c r="FT212" s="48" t="s">
        <v>1710</v>
      </c>
      <c r="FU212" s="48" t="s">
        <v>1710</v>
      </c>
      <c r="FV212" s="48"/>
      <c r="FW212" s="56"/>
      <c r="FX212" s="56"/>
      <c r="FY212" s="56"/>
      <c r="FZ212" s="56"/>
      <c r="GA212" s="55" t="str">
        <f t="shared" si="11"/>
        <v>4388426300510X</v>
      </c>
      <c r="GB212" t="str">
        <f>VLOOKUP(B212,수출코드!$C$2:$D$4,2,FALSE)</f>
        <v>Suwon</v>
      </c>
      <c r="GC212" t="str">
        <f>VLOOKUP(L212,수출코드!$A$2:$B$6,2,FALSE)</f>
        <v/>
      </c>
      <c r="GD212" t="str">
        <f>VLOOKUP(M212,수출코드!$E$2:$F$5,2,FALSE)</f>
        <v>일반</v>
      </c>
      <c r="GE212" s="61">
        <f t="shared" si="9"/>
        <v>45973.645833333336</v>
      </c>
      <c r="GF212" s="62">
        <f t="shared" si="10"/>
        <v>46052.729861111111</v>
      </c>
      <c r="GI212" s="48" t="s">
        <v>2764</v>
      </c>
    </row>
    <row r="213" spans="1:191">
      <c r="A213" s="48" t="s">
        <v>4501</v>
      </c>
      <c r="B213" s="48" t="s">
        <v>1821</v>
      </c>
      <c r="C213" s="48" t="s">
        <v>2048</v>
      </c>
      <c r="D213" s="48" t="s">
        <v>2813</v>
      </c>
      <c r="E213" s="48" t="s">
        <v>4501</v>
      </c>
      <c r="F213" s="48" t="s">
        <v>1710</v>
      </c>
      <c r="G213" s="48" t="s">
        <v>2814</v>
      </c>
      <c r="H213" s="48" t="s">
        <v>4502</v>
      </c>
      <c r="I213" s="48" t="s">
        <v>1884</v>
      </c>
      <c r="J213" s="48" t="s">
        <v>2825</v>
      </c>
      <c r="K213" s="48" t="s">
        <v>1877</v>
      </c>
      <c r="L213" s="48" t="s">
        <v>1842</v>
      </c>
      <c r="M213" s="48" t="s">
        <v>1810</v>
      </c>
      <c r="N213" s="48" t="s">
        <v>1842</v>
      </c>
      <c r="O213" s="48" t="s">
        <v>1811</v>
      </c>
      <c r="P213" s="48" t="s">
        <v>2549</v>
      </c>
      <c r="Q213" s="48" t="s">
        <v>2049</v>
      </c>
      <c r="R213" s="48" t="s">
        <v>1838</v>
      </c>
      <c r="S213" s="48" t="s">
        <v>2050</v>
      </c>
      <c r="T213" s="48" t="s">
        <v>1845</v>
      </c>
      <c r="U213" s="48" t="s">
        <v>2049</v>
      </c>
      <c r="V213" s="48" t="s">
        <v>1838</v>
      </c>
      <c r="W213" s="48" t="s">
        <v>2051</v>
      </c>
      <c r="X213" s="48" t="s">
        <v>2052</v>
      </c>
      <c r="Y213" s="48" t="s">
        <v>2050</v>
      </c>
      <c r="Z213" s="48" t="s">
        <v>2053</v>
      </c>
      <c r="AA213" s="48" t="s">
        <v>2054</v>
      </c>
      <c r="AB213" s="48" t="s">
        <v>2817</v>
      </c>
      <c r="AC213" s="48" t="s">
        <v>2055</v>
      </c>
      <c r="AD213" s="48" t="s">
        <v>2056</v>
      </c>
      <c r="AE213" s="48" t="s">
        <v>1710</v>
      </c>
      <c r="AF213" s="48" t="s">
        <v>1710</v>
      </c>
      <c r="AG213" s="48" t="s">
        <v>2057</v>
      </c>
      <c r="AH213" s="48" t="s">
        <v>1815</v>
      </c>
      <c r="AI213" s="48" t="s">
        <v>2058</v>
      </c>
      <c r="AJ213" s="48" t="s">
        <v>1710</v>
      </c>
      <c r="AK213" s="48" t="s">
        <v>2080</v>
      </c>
      <c r="AL213" s="48" t="s">
        <v>1866</v>
      </c>
      <c r="AM213" s="48" t="s">
        <v>1816</v>
      </c>
      <c r="AN213" s="48" t="s">
        <v>2054</v>
      </c>
      <c r="AO213" s="48" t="s">
        <v>1710</v>
      </c>
      <c r="AP213" s="48" t="s">
        <v>1854</v>
      </c>
      <c r="AQ213" s="48" t="s">
        <v>2081</v>
      </c>
      <c r="AR213" s="48" t="s">
        <v>1812</v>
      </c>
      <c r="AS213" s="48" t="s">
        <v>1813</v>
      </c>
      <c r="AT213" s="48" t="s">
        <v>1826</v>
      </c>
      <c r="AU213" s="48" t="s">
        <v>2061</v>
      </c>
      <c r="AV213" s="48" t="s">
        <v>2825</v>
      </c>
      <c r="AW213" s="48" t="s">
        <v>2062</v>
      </c>
      <c r="AX213" s="48" t="s">
        <v>2063</v>
      </c>
      <c r="AY213" s="48" t="s">
        <v>1710</v>
      </c>
      <c r="AZ213" s="48" t="s">
        <v>4503</v>
      </c>
      <c r="BA213" s="48" t="s">
        <v>1710</v>
      </c>
      <c r="BB213" s="48" t="s">
        <v>1709</v>
      </c>
      <c r="BC213" s="48" t="s">
        <v>1710</v>
      </c>
      <c r="BD213" s="48" t="s">
        <v>2097</v>
      </c>
      <c r="BE213" s="52" t="s">
        <v>4438</v>
      </c>
      <c r="BF213" s="48" t="s">
        <v>1710</v>
      </c>
      <c r="BG213" s="48" t="s">
        <v>1814</v>
      </c>
      <c r="BH213">
        <v>1</v>
      </c>
      <c r="BI213" s="48" t="s">
        <v>1888</v>
      </c>
      <c r="BJ213">
        <v>1</v>
      </c>
      <c r="BK213">
        <v>1473.06</v>
      </c>
      <c r="BL213">
        <v>575</v>
      </c>
      <c r="BM213">
        <v>0</v>
      </c>
      <c r="BN213" s="48" t="s">
        <v>2064</v>
      </c>
      <c r="BO213" s="48" t="s">
        <v>2065</v>
      </c>
      <c r="BP213">
        <v>1473.06</v>
      </c>
      <c r="BQ213">
        <v>18.72</v>
      </c>
      <c r="BR213" s="48" t="s">
        <v>1885</v>
      </c>
      <c r="BS213" s="48" t="s">
        <v>2066</v>
      </c>
      <c r="BT213">
        <v>1</v>
      </c>
      <c r="BU213">
        <v>27000</v>
      </c>
      <c r="BV213">
        <v>27000</v>
      </c>
      <c r="BW213" s="48" t="s">
        <v>2065</v>
      </c>
      <c r="BX213">
        <v>1473.06</v>
      </c>
      <c r="BY213">
        <v>0</v>
      </c>
      <c r="BZ213">
        <v>0</v>
      </c>
      <c r="CA213" s="48" t="s">
        <v>2065</v>
      </c>
      <c r="CB213">
        <v>1473.06</v>
      </c>
      <c r="CC213">
        <v>0</v>
      </c>
      <c r="CD213">
        <v>0</v>
      </c>
      <c r="CE213" s="48" t="s">
        <v>1710</v>
      </c>
      <c r="CF213" s="48" t="s">
        <v>1710</v>
      </c>
      <c r="CG213" s="48" t="s">
        <v>1710</v>
      </c>
      <c r="CH213" s="48" t="s">
        <v>1710</v>
      </c>
      <c r="CI213" s="48" t="s">
        <v>2067</v>
      </c>
      <c r="CJ213" s="48" t="s">
        <v>1710</v>
      </c>
      <c r="CL213" s="48" t="s">
        <v>2825</v>
      </c>
      <c r="CM213" s="48" t="s">
        <v>1710</v>
      </c>
      <c r="CN213" s="48" t="s">
        <v>2068</v>
      </c>
      <c r="CO213" s="48" t="s">
        <v>2069</v>
      </c>
      <c r="CP213" s="48" t="s">
        <v>1710</v>
      </c>
      <c r="CQ213" s="48" t="s">
        <v>1710</v>
      </c>
      <c r="CR213" s="48" t="s">
        <v>1710</v>
      </c>
      <c r="CS213" s="48" t="s">
        <v>1710</v>
      </c>
      <c r="CT213" s="48" t="s">
        <v>1710</v>
      </c>
      <c r="CU213" s="48" t="s">
        <v>1712</v>
      </c>
      <c r="CV213" s="48" t="s">
        <v>1710</v>
      </c>
      <c r="CW213" s="48" t="s">
        <v>1710</v>
      </c>
      <c r="CX213" s="48" t="s">
        <v>3167</v>
      </c>
      <c r="CY213" s="48" t="s">
        <v>1710</v>
      </c>
      <c r="CZ213" s="48" t="s">
        <v>1712</v>
      </c>
      <c r="DA213" s="48" t="s">
        <v>1710</v>
      </c>
      <c r="DB213" s="48" t="s">
        <v>1878</v>
      </c>
      <c r="DC213" s="48" t="s">
        <v>2070</v>
      </c>
      <c r="DD213" s="48" t="s">
        <v>1842</v>
      </c>
      <c r="DE213" s="48" t="s">
        <v>1886</v>
      </c>
      <c r="DF213" s="48" t="s">
        <v>4504</v>
      </c>
      <c r="DG213" s="48" t="s">
        <v>2071</v>
      </c>
      <c r="DH213" s="48" t="s">
        <v>1712</v>
      </c>
      <c r="DI213" s="48" t="s">
        <v>1710</v>
      </c>
      <c r="DJ213" s="48" t="s">
        <v>1710</v>
      </c>
      <c r="DK213" s="48" t="s">
        <v>1710</v>
      </c>
      <c r="DL213" s="48" t="s">
        <v>1710</v>
      </c>
      <c r="DM213" s="48" t="s">
        <v>1710</v>
      </c>
      <c r="DN213" s="48" t="s">
        <v>1710</v>
      </c>
      <c r="DO213" s="48" t="s">
        <v>1710</v>
      </c>
      <c r="DP213" s="48" t="s">
        <v>1710</v>
      </c>
      <c r="DQ213" s="48" t="s">
        <v>1710</v>
      </c>
      <c r="DR213" s="48" t="s">
        <v>2072</v>
      </c>
      <c r="DS213" s="48" t="s">
        <v>1710</v>
      </c>
      <c r="DT213" s="48" t="s">
        <v>1710</v>
      </c>
      <c r="DU213" s="48" t="s">
        <v>2547</v>
      </c>
      <c r="DV213" s="48" t="s">
        <v>1710</v>
      </c>
      <c r="DW213" s="48" t="s">
        <v>1710</v>
      </c>
      <c r="DX213" s="48" t="s">
        <v>1710</v>
      </c>
      <c r="DY213" s="48" t="s">
        <v>1710</v>
      </c>
      <c r="DZ213" s="48" t="s">
        <v>2562</v>
      </c>
      <c r="EA213" s="48" t="s">
        <v>2546</v>
      </c>
      <c r="EB213">
        <v>0</v>
      </c>
      <c r="EC213" s="48" t="s">
        <v>2547</v>
      </c>
      <c r="ED213" s="48" t="s">
        <v>4505</v>
      </c>
      <c r="EE213" s="48" t="s">
        <v>1814</v>
      </c>
      <c r="EF213" s="48" t="s">
        <v>1863</v>
      </c>
      <c r="EG213" s="48" t="s">
        <v>4503</v>
      </c>
      <c r="EH213">
        <v>1E-3</v>
      </c>
      <c r="EI213" s="48" t="s">
        <v>1888</v>
      </c>
      <c r="EJ213">
        <v>0</v>
      </c>
      <c r="EK213" s="48" t="s">
        <v>1710</v>
      </c>
      <c r="EL213">
        <v>1</v>
      </c>
      <c r="EM213" s="48" t="s">
        <v>1886</v>
      </c>
      <c r="EN213">
        <v>1E-3</v>
      </c>
      <c r="EO213" s="48" t="s">
        <v>2533</v>
      </c>
      <c r="EP213" s="48" t="s">
        <v>4506</v>
      </c>
      <c r="EQ213">
        <v>18.72</v>
      </c>
      <c r="ER213">
        <v>18.72</v>
      </c>
      <c r="ES213">
        <v>575</v>
      </c>
      <c r="ET213">
        <v>0</v>
      </c>
      <c r="EU213" s="48" t="s">
        <v>1710</v>
      </c>
      <c r="EV213" s="48" t="s">
        <v>1710</v>
      </c>
      <c r="EW213" s="48" t="s">
        <v>1712</v>
      </c>
      <c r="EX213" s="48" t="s">
        <v>1710</v>
      </c>
      <c r="EY213" s="48" t="s">
        <v>1843</v>
      </c>
      <c r="EZ213" s="48" t="s">
        <v>1710</v>
      </c>
      <c r="FA213" s="48" t="s">
        <v>1710</v>
      </c>
      <c r="FB213" s="48" t="s">
        <v>1712</v>
      </c>
      <c r="FC213" s="48" t="s">
        <v>1710</v>
      </c>
      <c r="FD213" s="48" t="s">
        <v>1710</v>
      </c>
      <c r="FE213" s="48" t="s">
        <v>1814</v>
      </c>
      <c r="FF213" s="48" t="s">
        <v>1815</v>
      </c>
      <c r="FG213" s="48" t="s">
        <v>1710</v>
      </c>
      <c r="FH213">
        <v>1</v>
      </c>
      <c r="FI213" s="48" t="s">
        <v>1846</v>
      </c>
      <c r="FJ213">
        <v>18.72</v>
      </c>
      <c r="FK213">
        <v>18.72</v>
      </c>
      <c r="FL213" s="48" t="s">
        <v>4507</v>
      </c>
      <c r="FM213" s="48" t="s">
        <v>4506</v>
      </c>
      <c r="FN213" s="48" t="s">
        <v>1710</v>
      </c>
      <c r="FO213" s="48" t="s">
        <v>1710</v>
      </c>
      <c r="FP213" s="48" t="s">
        <v>1710</v>
      </c>
      <c r="FQ213" s="48" t="s">
        <v>1710</v>
      </c>
      <c r="FR213" s="48" t="s">
        <v>1710</v>
      </c>
      <c r="FS213" s="48" t="s">
        <v>1710</v>
      </c>
      <c r="FT213" s="48" t="s">
        <v>1710</v>
      </c>
      <c r="FU213" s="48" t="s">
        <v>1710</v>
      </c>
      <c r="FV213" s="48"/>
      <c r="FW213" s="56"/>
      <c r="FX213" s="56"/>
      <c r="FY213" s="56"/>
      <c r="FZ213" s="56"/>
      <c r="GA213" s="55" t="str">
        <f t="shared" si="11"/>
        <v>4388426300511X</v>
      </c>
      <c r="GB213" t="str">
        <f>VLOOKUP(B213,수출코드!$C$2:$D$4,2,FALSE)</f>
        <v>Suwon</v>
      </c>
      <c r="GC213" t="str">
        <f>VLOOKUP(L213,수출코드!$A$2:$B$6,2,FALSE)</f>
        <v/>
      </c>
      <c r="GD213" t="str">
        <f>VLOOKUP(M213,수출코드!$E$2:$F$5,2,FALSE)</f>
        <v>일반</v>
      </c>
      <c r="GE213" s="61">
        <f t="shared" si="9"/>
        <v>45973.645833333336</v>
      </c>
      <c r="GF213" s="62">
        <f t="shared" si="10"/>
        <v>46052.730555555558</v>
      </c>
      <c r="GI213" s="48" t="s">
        <v>2764</v>
      </c>
    </row>
    <row r="214" spans="1:191">
      <c r="A214" s="48" t="s">
        <v>4508</v>
      </c>
      <c r="B214" s="48" t="s">
        <v>1821</v>
      </c>
      <c r="C214" s="48" t="s">
        <v>2048</v>
      </c>
      <c r="D214" s="48" t="s">
        <v>2813</v>
      </c>
      <c r="E214" s="48" t="s">
        <v>4508</v>
      </c>
      <c r="F214" s="48" t="s">
        <v>1710</v>
      </c>
      <c r="G214" s="48" t="s">
        <v>2814</v>
      </c>
      <c r="H214" s="48" t="s">
        <v>4509</v>
      </c>
      <c r="I214" s="48" t="s">
        <v>1884</v>
      </c>
      <c r="J214" s="48" t="s">
        <v>2825</v>
      </c>
      <c r="K214" s="48" t="s">
        <v>1877</v>
      </c>
      <c r="L214" s="48" t="s">
        <v>1842</v>
      </c>
      <c r="M214" s="48" t="s">
        <v>1810</v>
      </c>
      <c r="N214" s="48" t="s">
        <v>1842</v>
      </c>
      <c r="O214" s="48" t="s">
        <v>1811</v>
      </c>
      <c r="P214" s="48" t="s">
        <v>2549</v>
      </c>
      <c r="Q214" s="48" t="s">
        <v>2049</v>
      </c>
      <c r="R214" s="48" t="s">
        <v>1838</v>
      </c>
      <c r="S214" s="48" t="s">
        <v>2050</v>
      </c>
      <c r="T214" s="48" t="s">
        <v>1845</v>
      </c>
      <c r="U214" s="48" t="s">
        <v>2049</v>
      </c>
      <c r="V214" s="48" t="s">
        <v>1838</v>
      </c>
      <c r="W214" s="48" t="s">
        <v>2051</v>
      </c>
      <c r="X214" s="48" t="s">
        <v>2052</v>
      </c>
      <c r="Y214" s="48" t="s">
        <v>2050</v>
      </c>
      <c r="Z214" s="48" t="s">
        <v>2053</v>
      </c>
      <c r="AA214" s="48" t="s">
        <v>2054</v>
      </c>
      <c r="AB214" s="48" t="s">
        <v>2817</v>
      </c>
      <c r="AC214" s="48" t="s">
        <v>2055</v>
      </c>
      <c r="AD214" s="48" t="s">
        <v>2056</v>
      </c>
      <c r="AE214" s="48" t="s">
        <v>1710</v>
      </c>
      <c r="AF214" s="48" t="s">
        <v>1710</v>
      </c>
      <c r="AG214" s="48" t="s">
        <v>2057</v>
      </c>
      <c r="AH214" s="48" t="s">
        <v>1815</v>
      </c>
      <c r="AI214" s="48" t="s">
        <v>2058</v>
      </c>
      <c r="AJ214" s="48" t="s">
        <v>1710</v>
      </c>
      <c r="AK214" s="48" t="s">
        <v>2087</v>
      </c>
      <c r="AL214" s="48" t="s">
        <v>2088</v>
      </c>
      <c r="AM214" s="48" t="s">
        <v>1816</v>
      </c>
      <c r="AN214" s="48" t="s">
        <v>2054</v>
      </c>
      <c r="AO214" s="48" t="s">
        <v>1710</v>
      </c>
      <c r="AP214" s="48" t="s">
        <v>1853</v>
      </c>
      <c r="AQ214" s="48" t="s">
        <v>2086</v>
      </c>
      <c r="AR214" s="48" t="s">
        <v>1812</v>
      </c>
      <c r="AS214" s="48" t="s">
        <v>1813</v>
      </c>
      <c r="AT214" s="48" t="s">
        <v>1826</v>
      </c>
      <c r="AU214" s="48" t="s">
        <v>2061</v>
      </c>
      <c r="AV214" s="48" t="s">
        <v>2825</v>
      </c>
      <c r="AW214" s="48" t="s">
        <v>2062</v>
      </c>
      <c r="AX214" s="48" t="s">
        <v>2063</v>
      </c>
      <c r="AY214" s="48" t="s">
        <v>1710</v>
      </c>
      <c r="AZ214" s="48" t="s">
        <v>4510</v>
      </c>
      <c r="BA214" s="48" t="s">
        <v>1710</v>
      </c>
      <c r="BB214" s="48" t="s">
        <v>1709</v>
      </c>
      <c r="BC214" s="48" t="s">
        <v>1710</v>
      </c>
      <c r="BD214" s="48" t="s">
        <v>2097</v>
      </c>
      <c r="BE214" s="52" t="s">
        <v>4438</v>
      </c>
      <c r="BF214" s="48" t="s">
        <v>1710</v>
      </c>
      <c r="BG214" s="48" t="s">
        <v>1820</v>
      </c>
      <c r="BH214">
        <v>25</v>
      </c>
      <c r="BI214" s="48" t="s">
        <v>1888</v>
      </c>
      <c r="BJ214">
        <v>1</v>
      </c>
      <c r="BK214">
        <v>1473.06</v>
      </c>
      <c r="BL214">
        <v>54721965</v>
      </c>
      <c r="BM214">
        <v>37148</v>
      </c>
      <c r="BN214" s="48" t="s">
        <v>2064</v>
      </c>
      <c r="BO214" s="48" t="s">
        <v>2065</v>
      </c>
      <c r="BP214">
        <v>1473.06</v>
      </c>
      <c r="BQ214">
        <v>37240.959999999999</v>
      </c>
      <c r="BR214" s="48" t="s">
        <v>1885</v>
      </c>
      <c r="BS214" s="48" t="s">
        <v>2066</v>
      </c>
      <c r="BT214">
        <v>1</v>
      </c>
      <c r="BU214">
        <v>136200</v>
      </c>
      <c r="BV214">
        <v>136200</v>
      </c>
      <c r="BW214" s="48" t="s">
        <v>2065</v>
      </c>
      <c r="BX214">
        <v>1473.06</v>
      </c>
      <c r="BY214">
        <v>0</v>
      </c>
      <c r="BZ214">
        <v>0</v>
      </c>
      <c r="CA214" s="48" t="s">
        <v>2065</v>
      </c>
      <c r="CB214">
        <v>1473.06</v>
      </c>
      <c r="CC214">
        <v>0</v>
      </c>
      <c r="CD214">
        <v>0</v>
      </c>
      <c r="CE214" s="48" t="s">
        <v>1710</v>
      </c>
      <c r="CF214" s="48" t="s">
        <v>1710</v>
      </c>
      <c r="CG214" s="48" t="s">
        <v>1710</v>
      </c>
      <c r="CH214" s="48" t="s">
        <v>1710</v>
      </c>
      <c r="CI214" s="48" t="s">
        <v>2067</v>
      </c>
      <c r="CJ214" s="48" t="s">
        <v>1710</v>
      </c>
      <c r="CL214" s="48" t="s">
        <v>2825</v>
      </c>
      <c r="CM214" s="48" t="s">
        <v>1710</v>
      </c>
      <c r="CN214" s="48" t="s">
        <v>2068</v>
      </c>
      <c r="CO214" s="48" t="s">
        <v>2069</v>
      </c>
      <c r="CP214" s="48" t="s">
        <v>1710</v>
      </c>
      <c r="CQ214" s="48" t="s">
        <v>1710</v>
      </c>
      <c r="CR214" s="48" t="s">
        <v>1710</v>
      </c>
      <c r="CS214" s="48" t="s">
        <v>1710</v>
      </c>
      <c r="CT214" s="48" t="s">
        <v>1710</v>
      </c>
      <c r="CU214" s="48" t="s">
        <v>1712</v>
      </c>
      <c r="CV214" s="48" t="s">
        <v>1710</v>
      </c>
      <c r="CW214" s="48" t="s">
        <v>1710</v>
      </c>
      <c r="CX214" s="48" t="s">
        <v>3167</v>
      </c>
      <c r="CY214" s="48" t="s">
        <v>1710</v>
      </c>
      <c r="CZ214" s="48" t="s">
        <v>1712</v>
      </c>
      <c r="DA214" s="48" t="s">
        <v>1710</v>
      </c>
      <c r="DB214" s="48" t="s">
        <v>1878</v>
      </c>
      <c r="DC214" s="48" t="s">
        <v>2070</v>
      </c>
      <c r="DD214" s="48" t="s">
        <v>1842</v>
      </c>
      <c r="DE214" s="48" t="s">
        <v>1886</v>
      </c>
      <c r="DF214" s="48" t="s">
        <v>4511</v>
      </c>
      <c r="DG214" s="48" t="s">
        <v>2071</v>
      </c>
      <c r="DH214" s="48" t="s">
        <v>1712</v>
      </c>
      <c r="DI214" s="48" t="s">
        <v>1710</v>
      </c>
      <c r="DJ214" s="48" t="s">
        <v>1710</v>
      </c>
      <c r="DK214" s="48" t="s">
        <v>1710</v>
      </c>
      <c r="DL214" s="48" t="s">
        <v>1710</v>
      </c>
      <c r="DM214" s="48" t="s">
        <v>1710</v>
      </c>
      <c r="DN214" s="48" t="s">
        <v>1710</v>
      </c>
      <c r="DO214" s="48" t="s">
        <v>1710</v>
      </c>
      <c r="DP214" s="48" t="s">
        <v>1710</v>
      </c>
      <c r="DQ214" s="48" t="s">
        <v>1710</v>
      </c>
      <c r="DR214" s="48" t="s">
        <v>2072</v>
      </c>
      <c r="DS214" s="48" t="s">
        <v>1710</v>
      </c>
      <c r="DT214" s="48" t="s">
        <v>1710</v>
      </c>
      <c r="DU214" s="48" t="s">
        <v>2547</v>
      </c>
      <c r="DV214" s="48" t="s">
        <v>1710</v>
      </c>
      <c r="DW214" s="48" t="s">
        <v>1710</v>
      </c>
      <c r="DX214" s="48" t="s">
        <v>1710</v>
      </c>
      <c r="DY214" s="48" t="s">
        <v>1710</v>
      </c>
      <c r="DZ214" s="48" t="s">
        <v>2562</v>
      </c>
      <c r="EA214" s="48" t="s">
        <v>2546</v>
      </c>
      <c r="EB214">
        <v>0</v>
      </c>
      <c r="EC214" s="48" t="s">
        <v>2547</v>
      </c>
      <c r="ED214" s="48" t="s">
        <v>4512</v>
      </c>
      <c r="EE214" s="48" t="s">
        <v>1814</v>
      </c>
      <c r="EF214" s="48" t="s">
        <v>2692</v>
      </c>
      <c r="EG214" s="48" t="s">
        <v>4510</v>
      </c>
      <c r="EH214">
        <v>0.1</v>
      </c>
      <c r="EI214" s="48" t="s">
        <v>1888</v>
      </c>
      <c r="EJ214">
        <v>0</v>
      </c>
      <c r="EK214" s="48" t="s">
        <v>1710</v>
      </c>
      <c r="EL214">
        <v>1</v>
      </c>
      <c r="EM214" s="48" t="s">
        <v>1886</v>
      </c>
      <c r="EN214">
        <v>0.1</v>
      </c>
      <c r="EO214" s="48" t="s">
        <v>2693</v>
      </c>
      <c r="EP214" s="48" t="s">
        <v>2694</v>
      </c>
      <c r="EQ214">
        <v>288.39999999999998</v>
      </c>
      <c r="ER214">
        <v>288.39999999999998</v>
      </c>
      <c r="ES214">
        <v>423775</v>
      </c>
      <c r="ET214">
        <v>288</v>
      </c>
      <c r="EU214" s="48" t="s">
        <v>1710</v>
      </c>
      <c r="EV214" s="48" t="s">
        <v>1710</v>
      </c>
      <c r="EW214" s="48" t="s">
        <v>1712</v>
      </c>
      <c r="EX214" s="48" t="s">
        <v>1710</v>
      </c>
      <c r="EY214" s="48" t="s">
        <v>1848</v>
      </c>
      <c r="EZ214" s="48" t="s">
        <v>1710</v>
      </c>
      <c r="FA214" s="48" t="s">
        <v>1710</v>
      </c>
      <c r="FB214" s="48" t="s">
        <v>1712</v>
      </c>
      <c r="FC214" s="48" t="s">
        <v>1710</v>
      </c>
      <c r="FD214" s="48" t="s">
        <v>1710</v>
      </c>
      <c r="FE214" s="48" t="s">
        <v>1814</v>
      </c>
      <c r="FF214" s="48" t="s">
        <v>1815</v>
      </c>
      <c r="FG214" s="48" t="s">
        <v>1710</v>
      </c>
      <c r="FH214">
        <v>1</v>
      </c>
      <c r="FI214" s="48" t="s">
        <v>2695</v>
      </c>
      <c r="FJ214">
        <v>288.39999999999998</v>
      </c>
      <c r="FK214">
        <v>288.39999999999998</v>
      </c>
      <c r="FL214" s="48" t="s">
        <v>2696</v>
      </c>
      <c r="FM214" s="48" t="s">
        <v>2694</v>
      </c>
      <c r="FN214" s="48" t="s">
        <v>1710</v>
      </c>
      <c r="FO214" s="48" t="s">
        <v>1710</v>
      </c>
      <c r="FP214" s="48" t="s">
        <v>1710</v>
      </c>
      <c r="FQ214" s="48" t="s">
        <v>1710</v>
      </c>
      <c r="FR214" s="48" t="s">
        <v>1710</v>
      </c>
      <c r="FS214" s="48" t="s">
        <v>1710</v>
      </c>
      <c r="FT214" s="48" t="s">
        <v>1710</v>
      </c>
      <c r="FU214" s="48" t="s">
        <v>1710</v>
      </c>
      <c r="FV214" s="48"/>
      <c r="FW214" s="56"/>
      <c r="FX214" s="56"/>
      <c r="FY214" s="56"/>
      <c r="FZ214" s="56"/>
      <c r="GA214" s="55" t="str">
        <f t="shared" si="11"/>
        <v>4388426300512X</v>
      </c>
      <c r="GB214" t="str">
        <f>VLOOKUP(B214,수출코드!$C$2:$D$4,2,FALSE)</f>
        <v>Suwon</v>
      </c>
      <c r="GC214" t="str">
        <f>VLOOKUP(L214,수출코드!$A$2:$B$6,2,FALSE)</f>
        <v/>
      </c>
      <c r="GD214" t="str">
        <f>VLOOKUP(M214,수출코드!$E$2:$F$5,2,FALSE)</f>
        <v>일반</v>
      </c>
      <c r="GE214" s="61">
        <f t="shared" si="9"/>
        <v>45973.645833333336</v>
      </c>
      <c r="GF214" s="62">
        <f t="shared" si="10"/>
        <v>46052.732638888891</v>
      </c>
      <c r="GI214" s="48" t="s">
        <v>2764</v>
      </c>
    </row>
    <row r="215" spans="1:191">
      <c r="A215" s="48" t="s">
        <v>4513</v>
      </c>
      <c r="B215" s="48" t="s">
        <v>1821</v>
      </c>
      <c r="C215" s="48" t="s">
        <v>2048</v>
      </c>
      <c r="D215" s="48" t="s">
        <v>2813</v>
      </c>
      <c r="E215" s="48" t="s">
        <v>4513</v>
      </c>
      <c r="F215" s="48" t="s">
        <v>1710</v>
      </c>
      <c r="G215" s="48" t="s">
        <v>2814</v>
      </c>
      <c r="H215" s="48" t="s">
        <v>4514</v>
      </c>
      <c r="I215" s="48" t="s">
        <v>1884</v>
      </c>
      <c r="J215" s="48" t="s">
        <v>2825</v>
      </c>
      <c r="K215" s="48" t="s">
        <v>1877</v>
      </c>
      <c r="L215" s="48" t="s">
        <v>1842</v>
      </c>
      <c r="M215" s="48" t="s">
        <v>1810</v>
      </c>
      <c r="N215" s="48" t="s">
        <v>1842</v>
      </c>
      <c r="O215" s="48" t="s">
        <v>1811</v>
      </c>
      <c r="P215" s="48" t="s">
        <v>2549</v>
      </c>
      <c r="Q215" s="48" t="s">
        <v>2049</v>
      </c>
      <c r="R215" s="48" t="s">
        <v>1838</v>
      </c>
      <c r="S215" s="48" t="s">
        <v>2050</v>
      </c>
      <c r="T215" s="48" t="s">
        <v>1845</v>
      </c>
      <c r="U215" s="48" t="s">
        <v>2049</v>
      </c>
      <c r="V215" s="48" t="s">
        <v>1838</v>
      </c>
      <c r="W215" s="48" t="s">
        <v>2051</v>
      </c>
      <c r="X215" s="48" t="s">
        <v>2052</v>
      </c>
      <c r="Y215" s="48" t="s">
        <v>2050</v>
      </c>
      <c r="Z215" s="48" t="s">
        <v>2053</v>
      </c>
      <c r="AA215" s="48" t="s">
        <v>2054</v>
      </c>
      <c r="AB215" s="48" t="s">
        <v>2817</v>
      </c>
      <c r="AC215" s="48" t="s">
        <v>2055</v>
      </c>
      <c r="AD215" s="48" t="s">
        <v>2056</v>
      </c>
      <c r="AE215" s="48" t="s">
        <v>1710</v>
      </c>
      <c r="AF215" s="48" t="s">
        <v>1710</v>
      </c>
      <c r="AG215" s="48" t="s">
        <v>2057</v>
      </c>
      <c r="AH215" s="48" t="s">
        <v>1815</v>
      </c>
      <c r="AI215" s="48" t="s">
        <v>2058</v>
      </c>
      <c r="AJ215" s="48" t="s">
        <v>1710</v>
      </c>
      <c r="AK215" s="48" t="s">
        <v>2553</v>
      </c>
      <c r="AL215" s="48" t="s">
        <v>2554</v>
      </c>
      <c r="AM215" s="48" t="s">
        <v>1816</v>
      </c>
      <c r="AN215" s="48" t="s">
        <v>2054</v>
      </c>
      <c r="AO215" s="48" t="s">
        <v>1710</v>
      </c>
      <c r="AP215" s="48" t="s">
        <v>1853</v>
      </c>
      <c r="AQ215" s="48" t="s">
        <v>2086</v>
      </c>
      <c r="AR215" s="48" t="s">
        <v>1812</v>
      </c>
      <c r="AS215" s="48" t="s">
        <v>1813</v>
      </c>
      <c r="AT215" s="48" t="s">
        <v>1826</v>
      </c>
      <c r="AU215" s="48" t="s">
        <v>2061</v>
      </c>
      <c r="AV215" s="48" t="s">
        <v>2825</v>
      </c>
      <c r="AW215" s="48" t="s">
        <v>2062</v>
      </c>
      <c r="AX215" s="48" t="s">
        <v>2063</v>
      </c>
      <c r="AY215" s="48" t="s">
        <v>1710</v>
      </c>
      <c r="AZ215" s="48" t="s">
        <v>4515</v>
      </c>
      <c r="BA215" s="48" t="s">
        <v>1710</v>
      </c>
      <c r="BB215" s="48" t="s">
        <v>1709</v>
      </c>
      <c r="BC215" s="48" t="s">
        <v>1710</v>
      </c>
      <c r="BD215" s="48" t="s">
        <v>2097</v>
      </c>
      <c r="BE215" s="52" t="s">
        <v>4438</v>
      </c>
      <c r="BF215" s="48" t="s">
        <v>1710</v>
      </c>
      <c r="BG215" s="48" t="s">
        <v>1814</v>
      </c>
      <c r="BH215">
        <v>1</v>
      </c>
      <c r="BI215" s="48" t="s">
        <v>1888</v>
      </c>
      <c r="BJ215">
        <v>1</v>
      </c>
      <c r="BK215">
        <v>1473.06</v>
      </c>
      <c r="BL215">
        <v>1794428</v>
      </c>
      <c r="BM215">
        <v>1218</v>
      </c>
      <c r="BN215" s="48" t="s">
        <v>2064</v>
      </c>
      <c r="BO215" s="48" t="s">
        <v>2065</v>
      </c>
      <c r="BP215">
        <v>1473.06</v>
      </c>
      <c r="BQ215">
        <v>1232.42</v>
      </c>
      <c r="BR215" s="48" t="s">
        <v>1885</v>
      </c>
      <c r="BS215" s="48" t="s">
        <v>2066</v>
      </c>
      <c r="BT215">
        <v>1</v>
      </c>
      <c r="BU215">
        <v>21000</v>
      </c>
      <c r="BV215">
        <v>21000</v>
      </c>
      <c r="BW215" s="48" t="s">
        <v>2065</v>
      </c>
      <c r="BX215">
        <v>1473.06</v>
      </c>
      <c r="BY215">
        <v>0</v>
      </c>
      <c r="BZ215">
        <v>0</v>
      </c>
      <c r="CA215" s="48" t="s">
        <v>2065</v>
      </c>
      <c r="CB215">
        <v>1473.06</v>
      </c>
      <c r="CC215">
        <v>0</v>
      </c>
      <c r="CD215">
        <v>0</v>
      </c>
      <c r="CE215" s="48" t="s">
        <v>1710</v>
      </c>
      <c r="CF215" s="48" t="s">
        <v>1710</v>
      </c>
      <c r="CG215" s="48" t="s">
        <v>1710</v>
      </c>
      <c r="CH215" s="48" t="s">
        <v>1710</v>
      </c>
      <c r="CI215" s="48" t="s">
        <v>2067</v>
      </c>
      <c r="CJ215" s="48" t="s">
        <v>1710</v>
      </c>
      <c r="CL215" s="48" t="s">
        <v>2825</v>
      </c>
      <c r="CM215" s="48" t="s">
        <v>1710</v>
      </c>
      <c r="CN215" s="48" t="s">
        <v>2068</v>
      </c>
      <c r="CO215" s="48" t="s">
        <v>2069</v>
      </c>
      <c r="CP215" s="48" t="s">
        <v>1710</v>
      </c>
      <c r="CQ215" s="48" t="s">
        <v>1710</v>
      </c>
      <c r="CR215" s="48" t="s">
        <v>1710</v>
      </c>
      <c r="CS215" s="48" t="s">
        <v>1710</v>
      </c>
      <c r="CT215" s="48" t="s">
        <v>1710</v>
      </c>
      <c r="CU215" s="48" t="s">
        <v>1712</v>
      </c>
      <c r="CV215" s="48" t="s">
        <v>1710</v>
      </c>
      <c r="CW215" s="48" t="s">
        <v>1710</v>
      </c>
      <c r="CX215" s="48" t="s">
        <v>3167</v>
      </c>
      <c r="CY215" s="48" t="s">
        <v>1710</v>
      </c>
      <c r="CZ215" s="48" t="s">
        <v>1712</v>
      </c>
      <c r="DA215" s="48" t="s">
        <v>1710</v>
      </c>
      <c r="DB215" s="48" t="s">
        <v>1878</v>
      </c>
      <c r="DC215" s="48" t="s">
        <v>2070</v>
      </c>
      <c r="DD215" s="48" t="s">
        <v>1842</v>
      </c>
      <c r="DE215" s="48" t="s">
        <v>1886</v>
      </c>
      <c r="DF215" s="48" t="s">
        <v>4516</v>
      </c>
      <c r="DG215" s="48" t="s">
        <v>2071</v>
      </c>
      <c r="DH215" s="48" t="s">
        <v>1712</v>
      </c>
      <c r="DI215" s="48" t="s">
        <v>1710</v>
      </c>
      <c r="DJ215" s="48" t="s">
        <v>1710</v>
      </c>
      <c r="DK215" s="48" t="s">
        <v>1710</v>
      </c>
      <c r="DL215" s="48" t="s">
        <v>1710</v>
      </c>
      <c r="DM215" s="48" t="s">
        <v>1710</v>
      </c>
      <c r="DN215" s="48" t="s">
        <v>1710</v>
      </c>
      <c r="DO215" s="48" t="s">
        <v>1710</v>
      </c>
      <c r="DP215" s="48" t="s">
        <v>1710</v>
      </c>
      <c r="DQ215" s="48" t="s">
        <v>1710</v>
      </c>
      <c r="DR215" s="48" t="s">
        <v>2072</v>
      </c>
      <c r="DS215" s="48" t="s">
        <v>1710</v>
      </c>
      <c r="DT215" s="48" t="s">
        <v>1710</v>
      </c>
      <c r="DU215" s="48" t="s">
        <v>2547</v>
      </c>
      <c r="DV215" s="48" t="s">
        <v>1710</v>
      </c>
      <c r="DW215" s="48" t="s">
        <v>1710</v>
      </c>
      <c r="DX215" s="48" t="s">
        <v>1710</v>
      </c>
      <c r="DY215" s="48" t="s">
        <v>1710</v>
      </c>
      <c r="DZ215" s="48" t="s">
        <v>2562</v>
      </c>
      <c r="EA215" s="48" t="s">
        <v>2546</v>
      </c>
      <c r="EB215">
        <v>0</v>
      </c>
      <c r="EC215" s="48" t="s">
        <v>2547</v>
      </c>
      <c r="ED215" s="48" t="s">
        <v>4512</v>
      </c>
      <c r="EE215" s="48" t="s">
        <v>1814</v>
      </c>
      <c r="EF215" s="48" t="s">
        <v>1852</v>
      </c>
      <c r="EG215" s="48" t="s">
        <v>4515</v>
      </c>
      <c r="EH215">
        <v>0.16</v>
      </c>
      <c r="EI215" s="48" t="s">
        <v>1888</v>
      </c>
      <c r="EJ215">
        <v>0</v>
      </c>
      <c r="EK215" s="48" t="s">
        <v>1710</v>
      </c>
      <c r="EL215">
        <v>1</v>
      </c>
      <c r="EM215" s="48" t="s">
        <v>1886</v>
      </c>
      <c r="EN215">
        <v>0.16</v>
      </c>
      <c r="EO215" s="48" t="s">
        <v>2521</v>
      </c>
      <c r="EP215" s="48" t="s">
        <v>2674</v>
      </c>
      <c r="EQ215">
        <v>1232.42</v>
      </c>
      <c r="ER215">
        <v>1232.42</v>
      </c>
      <c r="ES215">
        <v>1794428</v>
      </c>
      <c r="ET215">
        <v>1218</v>
      </c>
      <c r="EU215" s="48" t="s">
        <v>1710</v>
      </c>
      <c r="EV215" s="48" t="s">
        <v>1710</v>
      </c>
      <c r="EW215" s="48" t="s">
        <v>1712</v>
      </c>
      <c r="EX215" s="48" t="s">
        <v>1710</v>
      </c>
      <c r="EY215" s="48" t="s">
        <v>1848</v>
      </c>
      <c r="EZ215" s="48" t="s">
        <v>1710</v>
      </c>
      <c r="FA215" s="48" t="s">
        <v>1710</v>
      </c>
      <c r="FB215" s="48" t="s">
        <v>1712</v>
      </c>
      <c r="FC215" s="48" t="s">
        <v>1710</v>
      </c>
      <c r="FD215" s="48" t="s">
        <v>1710</v>
      </c>
      <c r="FE215" s="48" t="s">
        <v>1814</v>
      </c>
      <c r="FF215" s="48" t="s">
        <v>1815</v>
      </c>
      <c r="FG215" s="48" t="s">
        <v>1710</v>
      </c>
      <c r="FH215">
        <v>1</v>
      </c>
      <c r="FI215" s="48" t="s">
        <v>1846</v>
      </c>
      <c r="FJ215">
        <v>1232.42</v>
      </c>
      <c r="FK215">
        <v>1232.42</v>
      </c>
      <c r="FL215" s="48" t="s">
        <v>2675</v>
      </c>
      <c r="FM215" s="48" t="s">
        <v>2674</v>
      </c>
      <c r="FN215" s="48" t="s">
        <v>1710</v>
      </c>
      <c r="FO215" s="48" t="s">
        <v>1710</v>
      </c>
      <c r="FP215" s="48" t="s">
        <v>1710</v>
      </c>
      <c r="FQ215" s="48" t="s">
        <v>1710</v>
      </c>
      <c r="FR215" s="48" t="s">
        <v>1710</v>
      </c>
      <c r="FS215" s="48" t="s">
        <v>1710</v>
      </c>
      <c r="FT215" s="48" t="s">
        <v>1710</v>
      </c>
      <c r="FU215" s="48" t="s">
        <v>1710</v>
      </c>
      <c r="FV215" s="48"/>
      <c r="FW215" s="56"/>
      <c r="FX215" s="56"/>
      <c r="FY215" s="56"/>
      <c r="FZ215" s="56"/>
      <c r="GA215" s="55" t="str">
        <f t="shared" si="11"/>
        <v>4388426300513X</v>
      </c>
      <c r="GB215" t="str">
        <f>VLOOKUP(B215,수출코드!$C$2:$D$4,2,FALSE)</f>
        <v>Suwon</v>
      </c>
      <c r="GC215" t="str">
        <f>VLOOKUP(L215,수출코드!$A$2:$B$6,2,FALSE)</f>
        <v/>
      </c>
      <c r="GD215" t="str">
        <f>VLOOKUP(M215,수출코드!$E$2:$F$5,2,FALSE)</f>
        <v>일반</v>
      </c>
      <c r="GE215" s="61">
        <f t="shared" si="9"/>
        <v>45973.645833333336</v>
      </c>
      <c r="GF215" s="62">
        <f t="shared" si="10"/>
        <v>46052.732638888891</v>
      </c>
      <c r="GI215" s="48" t="s">
        <v>2764</v>
      </c>
    </row>
    <row r="216" spans="1:191">
      <c r="A216" s="48" t="s">
        <v>4517</v>
      </c>
      <c r="B216" s="48" t="s">
        <v>1821</v>
      </c>
      <c r="C216" s="48" t="s">
        <v>2048</v>
      </c>
      <c r="D216" s="48" t="s">
        <v>2813</v>
      </c>
      <c r="E216" s="48" t="s">
        <v>4517</v>
      </c>
      <c r="F216" s="48" t="s">
        <v>1710</v>
      </c>
      <c r="G216" s="48" t="s">
        <v>2814</v>
      </c>
      <c r="H216" s="48" t="s">
        <v>4518</v>
      </c>
      <c r="I216" s="48" t="s">
        <v>1884</v>
      </c>
      <c r="J216" s="48" t="s">
        <v>2825</v>
      </c>
      <c r="K216" s="48" t="s">
        <v>1877</v>
      </c>
      <c r="L216" s="48" t="s">
        <v>1842</v>
      </c>
      <c r="M216" s="48" t="s">
        <v>1810</v>
      </c>
      <c r="N216" s="48" t="s">
        <v>1842</v>
      </c>
      <c r="O216" s="48" t="s">
        <v>1811</v>
      </c>
      <c r="P216" s="48" t="s">
        <v>2549</v>
      </c>
      <c r="Q216" s="48" t="s">
        <v>2049</v>
      </c>
      <c r="R216" s="48" t="s">
        <v>1838</v>
      </c>
      <c r="S216" s="48" t="s">
        <v>2050</v>
      </c>
      <c r="T216" s="48" t="s">
        <v>1845</v>
      </c>
      <c r="U216" s="48" t="s">
        <v>2049</v>
      </c>
      <c r="V216" s="48" t="s">
        <v>1838</v>
      </c>
      <c r="W216" s="48" t="s">
        <v>2051</v>
      </c>
      <c r="X216" s="48" t="s">
        <v>2052</v>
      </c>
      <c r="Y216" s="48" t="s">
        <v>2050</v>
      </c>
      <c r="Z216" s="48" t="s">
        <v>2053</v>
      </c>
      <c r="AA216" s="48" t="s">
        <v>2054</v>
      </c>
      <c r="AB216" s="48" t="s">
        <v>2817</v>
      </c>
      <c r="AC216" s="48" t="s">
        <v>2055</v>
      </c>
      <c r="AD216" s="48" t="s">
        <v>2056</v>
      </c>
      <c r="AE216" s="48" t="s">
        <v>1710</v>
      </c>
      <c r="AF216" s="48" t="s">
        <v>1710</v>
      </c>
      <c r="AG216" s="48" t="s">
        <v>2057</v>
      </c>
      <c r="AH216" s="48" t="s">
        <v>1815</v>
      </c>
      <c r="AI216" s="48" t="s">
        <v>2058</v>
      </c>
      <c r="AJ216" s="48" t="s">
        <v>1710</v>
      </c>
      <c r="AK216" s="48" t="s">
        <v>2100</v>
      </c>
      <c r="AL216" s="48" t="s">
        <v>2101</v>
      </c>
      <c r="AM216" s="48" t="s">
        <v>1816</v>
      </c>
      <c r="AN216" s="48" t="s">
        <v>2054</v>
      </c>
      <c r="AO216" s="48" t="s">
        <v>1710</v>
      </c>
      <c r="AP216" s="48" t="s">
        <v>1874</v>
      </c>
      <c r="AQ216" s="48" t="s">
        <v>2078</v>
      </c>
      <c r="AR216" s="48" t="s">
        <v>1812</v>
      </c>
      <c r="AS216" s="48" t="s">
        <v>1813</v>
      </c>
      <c r="AT216" s="48" t="s">
        <v>1826</v>
      </c>
      <c r="AU216" s="48" t="s">
        <v>2061</v>
      </c>
      <c r="AV216" s="48" t="s">
        <v>2825</v>
      </c>
      <c r="AW216" s="48" t="s">
        <v>2062</v>
      </c>
      <c r="AX216" s="48" t="s">
        <v>2063</v>
      </c>
      <c r="AY216" s="48" t="s">
        <v>1710</v>
      </c>
      <c r="AZ216" s="48" t="s">
        <v>4519</v>
      </c>
      <c r="BA216" s="48" t="s">
        <v>1710</v>
      </c>
      <c r="BB216" s="48" t="s">
        <v>1709</v>
      </c>
      <c r="BC216" s="48" t="s">
        <v>1710</v>
      </c>
      <c r="BD216" s="48" t="s">
        <v>2097</v>
      </c>
      <c r="BE216" s="52" t="s">
        <v>4438</v>
      </c>
      <c r="BF216" s="48" t="s">
        <v>1710</v>
      </c>
      <c r="BG216" s="48" t="s">
        <v>1814</v>
      </c>
      <c r="BH216">
        <v>4</v>
      </c>
      <c r="BI216" s="48" t="s">
        <v>1888</v>
      </c>
      <c r="BJ216">
        <v>1</v>
      </c>
      <c r="BK216">
        <v>1473.06</v>
      </c>
      <c r="BL216">
        <v>325630</v>
      </c>
      <c r="BM216">
        <v>221</v>
      </c>
      <c r="BN216" s="48" t="s">
        <v>2064</v>
      </c>
      <c r="BO216" s="48" t="s">
        <v>2065</v>
      </c>
      <c r="BP216">
        <v>1473.06</v>
      </c>
      <c r="BQ216">
        <v>247.94</v>
      </c>
      <c r="BR216" s="48" t="s">
        <v>1885</v>
      </c>
      <c r="BS216" s="48" t="s">
        <v>2066</v>
      </c>
      <c r="BT216">
        <v>1</v>
      </c>
      <c r="BU216">
        <v>39600</v>
      </c>
      <c r="BV216">
        <v>39600</v>
      </c>
      <c r="BW216" s="48" t="s">
        <v>2065</v>
      </c>
      <c r="BX216">
        <v>1473.06</v>
      </c>
      <c r="BY216">
        <v>0</v>
      </c>
      <c r="BZ216">
        <v>0</v>
      </c>
      <c r="CA216" s="48" t="s">
        <v>2065</v>
      </c>
      <c r="CB216">
        <v>1473.06</v>
      </c>
      <c r="CC216">
        <v>0</v>
      </c>
      <c r="CD216">
        <v>0</v>
      </c>
      <c r="CE216" s="48" t="s">
        <v>1710</v>
      </c>
      <c r="CF216" s="48" t="s">
        <v>1710</v>
      </c>
      <c r="CG216" s="48" t="s">
        <v>1710</v>
      </c>
      <c r="CH216" s="48" t="s">
        <v>1710</v>
      </c>
      <c r="CI216" s="48" t="s">
        <v>2067</v>
      </c>
      <c r="CJ216" s="48" t="s">
        <v>1710</v>
      </c>
      <c r="CL216" s="48" t="s">
        <v>2825</v>
      </c>
      <c r="CM216" s="48" t="s">
        <v>1710</v>
      </c>
      <c r="CN216" s="48" t="s">
        <v>2068</v>
      </c>
      <c r="CO216" s="48" t="s">
        <v>2069</v>
      </c>
      <c r="CP216" s="48" t="s">
        <v>1710</v>
      </c>
      <c r="CQ216" s="48" t="s">
        <v>1710</v>
      </c>
      <c r="CR216" s="48" t="s">
        <v>1710</v>
      </c>
      <c r="CS216" s="48" t="s">
        <v>1710</v>
      </c>
      <c r="CT216" s="48" t="s">
        <v>1710</v>
      </c>
      <c r="CU216" s="48" t="s">
        <v>1712</v>
      </c>
      <c r="CV216" s="48" t="s">
        <v>1710</v>
      </c>
      <c r="CW216" s="48" t="s">
        <v>1710</v>
      </c>
      <c r="CX216" s="48" t="s">
        <v>3167</v>
      </c>
      <c r="CY216" s="48" t="s">
        <v>1710</v>
      </c>
      <c r="CZ216" s="48" t="s">
        <v>1712</v>
      </c>
      <c r="DA216" s="48" t="s">
        <v>1710</v>
      </c>
      <c r="DB216" s="48" t="s">
        <v>1878</v>
      </c>
      <c r="DC216" s="48" t="s">
        <v>2070</v>
      </c>
      <c r="DD216" s="48" t="s">
        <v>1842</v>
      </c>
      <c r="DE216" s="48" t="s">
        <v>1886</v>
      </c>
      <c r="DF216" s="48" t="s">
        <v>4520</v>
      </c>
      <c r="DG216" s="48" t="s">
        <v>2071</v>
      </c>
      <c r="DH216" s="48" t="s">
        <v>1712</v>
      </c>
      <c r="DI216" s="48" t="s">
        <v>1710</v>
      </c>
      <c r="DJ216" s="48" t="s">
        <v>1710</v>
      </c>
      <c r="DK216" s="48" t="s">
        <v>1710</v>
      </c>
      <c r="DL216" s="48" t="s">
        <v>1710</v>
      </c>
      <c r="DM216" s="48" t="s">
        <v>1710</v>
      </c>
      <c r="DN216" s="48" t="s">
        <v>1710</v>
      </c>
      <c r="DO216" s="48" t="s">
        <v>1710</v>
      </c>
      <c r="DP216" s="48" t="s">
        <v>1710</v>
      </c>
      <c r="DQ216" s="48" t="s">
        <v>1710</v>
      </c>
      <c r="DR216" s="48" t="s">
        <v>2072</v>
      </c>
      <c r="DS216" s="48" t="s">
        <v>1710</v>
      </c>
      <c r="DT216" s="48" t="s">
        <v>1710</v>
      </c>
      <c r="DU216" s="48" t="s">
        <v>2547</v>
      </c>
      <c r="DV216" s="48" t="s">
        <v>1710</v>
      </c>
      <c r="DW216" s="48" t="s">
        <v>1710</v>
      </c>
      <c r="DX216" s="48" t="s">
        <v>1710</v>
      </c>
      <c r="DY216" s="48" t="s">
        <v>1710</v>
      </c>
      <c r="DZ216" s="48" t="s">
        <v>2562</v>
      </c>
      <c r="EA216" s="48" t="s">
        <v>2546</v>
      </c>
      <c r="EB216">
        <v>0</v>
      </c>
      <c r="EC216" s="48" t="s">
        <v>2547</v>
      </c>
      <c r="ED216" s="48" t="s">
        <v>4512</v>
      </c>
      <c r="EE216" s="48" t="s">
        <v>1814</v>
      </c>
      <c r="EF216" s="48" t="s">
        <v>1852</v>
      </c>
      <c r="EG216" s="48" t="s">
        <v>4519</v>
      </c>
      <c r="EH216">
        <v>0.36</v>
      </c>
      <c r="EI216" s="48" t="s">
        <v>1888</v>
      </c>
      <c r="EJ216">
        <v>0</v>
      </c>
      <c r="EK216" s="48" t="s">
        <v>1710</v>
      </c>
      <c r="EL216">
        <v>1</v>
      </c>
      <c r="EM216" s="48" t="s">
        <v>1886</v>
      </c>
      <c r="EN216">
        <v>0.36</v>
      </c>
      <c r="EO216" s="48" t="s">
        <v>2521</v>
      </c>
      <c r="EP216" s="48" t="s">
        <v>4521</v>
      </c>
      <c r="EQ216">
        <v>247.94</v>
      </c>
      <c r="ER216">
        <v>247.94</v>
      </c>
      <c r="ES216">
        <v>325630</v>
      </c>
      <c r="ET216">
        <v>221</v>
      </c>
      <c r="EU216" s="48" t="s">
        <v>1710</v>
      </c>
      <c r="EV216" s="48" t="s">
        <v>1710</v>
      </c>
      <c r="EW216" s="48" t="s">
        <v>1712</v>
      </c>
      <c r="EX216" s="48" t="s">
        <v>1710</v>
      </c>
      <c r="EY216" s="48" t="s">
        <v>1853</v>
      </c>
      <c r="EZ216" s="48" t="s">
        <v>1710</v>
      </c>
      <c r="FA216" s="48" t="s">
        <v>1710</v>
      </c>
      <c r="FB216" s="48" t="s">
        <v>1712</v>
      </c>
      <c r="FC216" s="48" t="s">
        <v>1710</v>
      </c>
      <c r="FD216" s="48" t="s">
        <v>1710</v>
      </c>
      <c r="FE216" s="48" t="s">
        <v>1814</v>
      </c>
      <c r="FF216" s="48" t="s">
        <v>1815</v>
      </c>
      <c r="FG216" s="48" t="s">
        <v>1710</v>
      </c>
      <c r="FH216">
        <v>1</v>
      </c>
      <c r="FI216" s="48" t="s">
        <v>1846</v>
      </c>
      <c r="FJ216">
        <v>247.94</v>
      </c>
      <c r="FK216">
        <v>247.94</v>
      </c>
      <c r="FL216" s="48" t="s">
        <v>4522</v>
      </c>
      <c r="FM216" s="48" t="s">
        <v>4521</v>
      </c>
      <c r="FN216" s="48" t="s">
        <v>1710</v>
      </c>
      <c r="FO216" s="48" t="s">
        <v>1710</v>
      </c>
      <c r="FP216" s="48" t="s">
        <v>1710</v>
      </c>
      <c r="FQ216" s="48" t="s">
        <v>1710</v>
      </c>
      <c r="FR216" s="48" t="s">
        <v>1710</v>
      </c>
      <c r="FS216" s="48" t="s">
        <v>1710</v>
      </c>
      <c r="FT216" s="48" t="s">
        <v>1710</v>
      </c>
      <c r="FU216" s="48" t="s">
        <v>1710</v>
      </c>
      <c r="FV216" s="48"/>
      <c r="FW216" s="56"/>
      <c r="FX216" s="56"/>
      <c r="FY216" s="56"/>
      <c r="FZ216" s="56"/>
      <c r="GA216" s="55" t="str">
        <f t="shared" si="11"/>
        <v>4388426300514X</v>
      </c>
      <c r="GB216" t="str">
        <f>VLOOKUP(B216,수출코드!$C$2:$D$4,2,FALSE)</f>
        <v>Suwon</v>
      </c>
      <c r="GC216" t="str">
        <f>VLOOKUP(L216,수출코드!$A$2:$B$6,2,FALSE)</f>
        <v/>
      </c>
      <c r="GD216" t="str">
        <f>VLOOKUP(M216,수출코드!$E$2:$F$5,2,FALSE)</f>
        <v>일반</v>
      </c>
      <c r="GE216" s="61">
        <f t="shared" si="9"/>
        <v>45973.645833333336</v>
      </c>
      <c r="GF216" s="62">
        <f t="shared" si="10"/>
        <v>46052.732638888891</v>
      </c>
      <c r="GI216" s="48" t="s">
        <v>2764</v>
      </c>
    </row>
    <row r="217" spans="1:191">
      <c r="A217" s="48" t="s">
        <v>4523</v>
      </c>
      <c r="B217" s="48" t="s">
        <v>1821</v>
      </c>
      <c r="C217" s="48" t="s">
        <v>2048</v>
      </c>
      <c r="D217" s="48" t="s">
        <v>2813</v>
      </c>
      <c r="E217" s="48" t="s">
        <v>4523</v>
      </c>
      <c r="F217" s="48" t="s">
        <v>1710</v>
      </c>
      <c r="G217" s="48" t="s">
        <v>2814</v>
      </c>
      <c r="H217" s="48" t="s">
        <v>4524</v>
      </c>
      <c r="I217" s="48" t="s">
        <v>1884</v>
      </c>
      <c r="J217" s="48" t="s">
        <v>2825</v>
      </c>
      <c r="K217" s="48" t="s">
        <v>1877</v>
      </c>
      <c r="L217" s="48" t="s">
        <v>1842</v>
      </c>
      <c r="M217" s="48" t="s">
        <v>1810</v>
      </c>
      <c r="N217" s="48" t="s">
        <v>1842</v>
      </c>
      <c r="O217" s="48" t="s">
        <v>1811</v>
      </c>
      <c r="P217" s="48" t="s">
        <v>2549</v>
      </c>
      <c r="Q217" s="48" t="s">
        <v>2049</v>
      </c>
      <c r="R217" s="48" t="s">
        <v>1838</v>
      </c>
      <c r="S217" s="48" t="s">
        <v>2050</v>
      </c>
      <c r="T217" s="48" t="s">
        <v>1845</v>
      </c>
      <c r="U217" s="48" t="s">
        <v>2049</v>
      </c>
      <c r="V217" s="48" t="s">
        <v>1838</v>
      </c>
      <c r="W217" s="48" t="s">
        <v>2051</v>
      </c>
      <c r="X217" s="48" t="s">
        <v>2052</v>
      </c>
      <c r="Y217" s="48" t="s">
        <v>2050</v>
      </c>
      <c r="Z217" s="48" t="s">
        <v>2053</v>
      </c>
      <c r="AA217" s="48" t="s">
        <v>2054</v>
      </c>
      <c r="AB217" s="48" t="s">
        <v>2817</v>
      </c>
      <c r="AC217" s="48" t="s">
        <v>2055</v>
      </c>
      <c r="AD217" s="48" t="s">
        <v>2056</v>
      </c>
      <c r="AE217" s="48" t="s">
        <v>1710</v>
      </c>
      <c r="AF217" s="48" t="s">
        <v>1710</v>
      </c>
      <c r="AG217" s="48" t="s">
        <v>2057</v>
      </c>
      <c r="AH217" s="48" t="s">
        <v>1815</v>
      </c>
      <c r="AI217" s="48" t="s">
        <v>2058</v>
      </c>
      <c r="AJ217" s="48" t="s">
        <v>1710</v>
      </c>
      <c r="AK217" s="48" t="s">
        <v>2059</v>
      </c>
      <c r="AL217" s="48" t="s">
        <v>1858</v>
      </c>
      <c r="AM217" s="48" t="s">
        <v>1816</v>
      </c>
      <c r="AN217" s="48" t="s">
        <v>2054</v>
      </c>
      <c r="AO217" s="48" t="s">
        <v>1710</v>
      </c>
      <c r="AP217" s="48" t="s">
        <v>1848</v>
      </c>
      <c r="AQ217" s="48" t="s">
        <v>2060</v>
      </c>
      <c r="AR217" s="48" t="s">
        <v>1812</v>
      </c>
      <c r="AS217" s="48" t="s">
        <v>1813</v>
      </c>
      <c r="AT217" s="48" t="s">
        <v>1826</v>
      </c>
      <c r="AU217" s="48" t="s">
        <v>2061</v>
      </c>
      <c r="AV217" s="48" t="s">
        <v>2825</v>
      </c>
      <c r="AW217" s="48" t="s">
        <v>2062</v>
      </c>
      <c r="AX217" s="48" t="s">
        <v>2063</v>
      </c>
      <c r="AY217" s="48" t="s">
        <v>1710</v>
      </c>
      <c r="AZ217" s="48" t="s">
        <v>4525</v>
      </c>
      <c r="BA217" s="48" t="s">
        <v>1710</v>
      </c>
      <c r="BB217" s="48" t="s">
        <v>1709</v>
      </c>
      <c r="BC217" s="48" t="s">
        <v>1710</v>
      </c>
      <c r="BD217" s="48" t="s">
        <v>2097</v>
      </c>
      <c r="BE217" s="52" t="s">
        <v>4438</v>
      </c>
      <c r="BF217" s="48" t="s">
        <v>1710</v>
      </c>
      <c r="BG217" s="48" t="s">
        <v>1814</v>
      </c>
      <c r="BH217">
        <v>10</v>
      </c>
      <c r="BI217" s="48" t="s">
        <v>1888</v>
      </c>
      <c r="BJ217">
        <v>1</v>
      </c>
      <c r="BK217">
        <v>1473.06</v>
      </c>
      <c r="BL217">
        <v>41319005</v>
      </c>
      <c r="BM217">
        <v>28050</v>
      </c>
      <c r="BN217" s="48" t="s">
        <v>2064</v>
      </c>
      <c r="BO217" s="48" t="s">
        <v>2065</v>
      </c>
      <c r="BP217">
        <v>1473.06</v>
      </c>
      <c r="BQ217">
        <v>28155.68</v>
      </c>
      <c r="BR217" s="48" t="s">
        <v>1885</v>
      </c>
      <c r="BS217" s="48" t="s">
        <v>2066</v>
      </c>
      <c r="BT217">
        <v>1</v>
      </c>
      <c r="BU217">
        <v>156000</v>
      </c>
      <c r="BV217">
        <v>156000</v>
      </c>
      <c r="BW217" s="48" t="s">
        <v>2065</v>
      </c>
      <c r="BX217">
        <v>1473.06</v>
      </c>
      <c r="BY217">
        <v>0</v>
      </c>
      <c r="BZ217">
        <v>0</v>
      </c>
      <c r="CA217" s="48" t="s">
        <v>2065</v>
      </c>
      <c r="CB217">
        <v>1473.06</v>
      </c>
      <c r="CC217">
        <v>0</v>
      </c>
      <c r="CD217">
        <v>0</v>
      </c>
      <c r="CE217" s="48" t="s">
        <v>1710</v>
      </c>
      <c r="CF217" s="48" t="s">
        <v>1710</v>
      </c>
      <c r="CG217" s="48" t="s">
        <v>1710</v>
      </c>
      <c r="CH217" s="48" t="s">
        <v>1710</v>
      </c>
      <c r="CI217" s="48" t="s">
        <v>2067</v>
      </c>
      <c r="CJ217" s="48" t="s">
        <v>1710</v>
      </c>
      <c r="CL217" s="48" t="s">
        <v>2825</v>
      </c>
      <c r="CM217" s="48" t="s">
        <v>1710</v>
      </c>
      <c r="CN217" s="48" t="s">
        <v>2068</v>
      </c>
      <c r="CO217" s="48" t="s">
        <v>2069</v>
      </c>
      <c r="CP217" s="48" t="s">
        <v>1710</v>
      </c>
      <c r="CQ217" s="48" t="s">
        <v>1710</v>
      </c>
      <c r="CR217" s="48" t="s">
        <v>1710</v>
      </c>
      <c r="CS217" s="48" t="s">
        <v>1710</v>
      </c>
      <c r="CT217" s="48" t="s">
        <v>1710</v>
      </c>
      <c r="CU217" s="48" t="s">
        <v>1712</v>
      </c>
      <c r="CV217" s="48" t="s">
        <v>1710</v>
      </c>
      <c r="CW217" s="48" t="s">
        <v>1710</v>
      </c>
      <c r="CX217" s="48" t="s">
        <v>3167</v>
      </c>
      <c r="CY217" s="48" t="s">
        <v>1710</v>
      </c>
      <c r="CZ217" s="48" t="s">
        <v>1712</v>
      </c>
      <c r="DA217" s="48" t="s">
        <v>1710</v>
      </c>
      <c r="DB217" s="48" t="s">
        <v>1878</v>
      </c>
      <c r="DC217" s="48" t="s">
        <v>2070</v>
      </c>
      <c r="DD217" s="48" t="s">
        <v>1842</v>
      </c>
      <c r="DE217" s="48" t="s">
        <v>1886</v>
      </c>
      <c r="DF217" s="48" t="s">
        <v>4526</v>
      </c>
      <c r="DG217" s="48" t="s">
        <v>2071</v>
      </c>
      <c r="DH217" s="48" t="s">
        <v>1712</v>
      </c>
      <c r="DI217" s="48" t="s">
        <v>1710</v>
      </c>
      <c r="DJ217" s="48" t="s">
        <v>1710</v>
      </c>
      <c r="DK217" s="48" t="s">
        <v>1710</v>
      </c>
      <c r="DL217" s="48" t="s">
        <v>1710</v>
      </c>
      <c r="DM217" s="48" t="s">
        <v>1710</v>
      </c>
      <c r="DN217" s="48" t="s">
        <v>1710</v>
      </c>
      <c r="DO217" s="48" t="s">
        <v>1710</v>
      </c>
      <c r="DP217" s="48" t="s">
        <v>1710</v>
      </c>
      <c r="DQ217" s="48" t="s">
        <v>1710</v>
      </c>
      <c r="DR217" s="48" t="s">
        <v>2072</v>
      </c>
      <c r="DS217" s="48" t="s">
        <v>1710</v>
      </c>
      <c r="DT217" s="48" t="s">
        <v>1710</v>
      </c>
      <c r="DU217" s="48" t="s">
        <v>2547</v>
      </c>
      <c r="DV217" s="48" t="s">
        <v>1710</v>
      </c>
      <c r="DW217" s="48" t="s">
        <v>1710</v>
      </c>
      <c r="DX217" s="48" t="s">
        <v>1710</v>
      </c>
      <c r="DY217" s="48" t="s">
        <v>1710</v>
      </c>
      <c r="DZ217" s="48" t="s">
        <v>2562</v>
      </c>
      <c r="EA217" s="48" t="s">
        <v>2546</v>
      </c>
      <c r="EB217">
        <v>0</v>
      </c>
      <c r="EC217" s="48" t="s">
        <v>2547</v>
      </c>
      <c r="ED217" s="48" t="s">
        <v>4527</v>
      </c>
      <c r="EE217" s="48" t="s">
        <v>1814</v>
      </c>
      <c r="EF217" s="48" t="s">
        <v>1852</v>
      </c>
      <c r="EG217" s="48" t="s">
        <v>4525</v>
      </c>
      <c r="EH217">
        <v>9</v>
      </c>
      <c r="EI217" s="48" t="s">
        <v>1888</v>
      </c>
      <c r="EJ217">
        <v>0</v>
      </c>
      <c r="EK217" s="48" t="s">
        <v>1710</v>
      </c>
      <c r="EL217">
        <v>1</v>
      </c>
      <c r="EM217" s="48" t="s">
        <v>1886</v>
      </c>
      <c r="EN217">
        <v>9</v>
      </c>
      <c r="EO217" s="48" t="s">
        <v>2521</v>
      </c>
      <c r="EP217" s="48" t="s">
        <v>2596</v>
      </c>
      <c r="EQ217">
        <v>28155.68</v>
      </c>
      <c r="ER217">
        <v>28155.68</v>
      </c>
      <c r="ES217">
        <v>41319005</v>
      </c>
      <c r="ET217">
        <v>28050</v>
      </c>
      <c r="EU217" s="48" t="s">
        <v>1710</v>
      </c>
      <c r="EV217" s="48" t="s">
        <v>1710</v>
      </c>
      <c r="EW217" s="48" t="s">
        <v>1712</v>
      </c>
      <c r="EX217" s="48" t="s">
        <v>1710</v>
      </c>
      <c r="EY217" s="48" t="s">
        <v>1843</v>
      </c>
      <c r="EZ217" s="48" t="s">
        <v>1710</v>
      </c>
      <c r="FA217" s="48" t="s">
        <v>1710</v>
      </c>
      <c r="FB217" s="48" t="s">
        <v>1712</v>
      </c>
      <c r="FC217" s="48" t="s">
        <v>1710</v>
      </c>
      <c r="FD217" s="48" t="s">
        <v>1710</v>
      </c>
      <c r="FE217" s="48" t="s">
        <v>1814</v>
      </c>
      <c r="FF217" s="48" t="s">
        <v>1815</v>
      </c>
      <c r="FG217" s="48" t="s">
        <v>1710</v>
      </c>
      <c r="FH217">
        <v>1</v>
      </c>
      <c r="FI217" s="48" t="s">
        <v>1846</v>
      </c>
      <c r="FJ217">
        <v>28155.68</v>
      </c>
      <c r="FK217">
        <v>28155.68</v>
      </c>
      <c r="FL217" s="48" t="s">
        <v>4528</v>
      </c>
      <c r="FM217" s="48" t="s">
        <v>2596</v>
      </c>
      <c r="FN217" s="48" t="s">
        <v>1710</v>
      </c>
      <c r="FO217" s="48" t="s">
        <v>1710</v>
      </c>
      <c r="FP217" s="48" t="s">
        <v>1710</v>
      </c>
      <c r="FQ217" s="48" t="s">
        <v>1710</v>
      </c>
      <c r="FR217" s="48" t="s">
        <v>1710</v>
      </c>
      <c r="FS217" s="48" t="s">
        <v>1710</v>
      </c>
      <c r="FT217" s="48" t="s">
        <v>1710</v>
      </c>
      <c r="FU217" s="48" t="s">
        <v>1710</v>
      </c>
      <c r="FV217" s="48"/>
      <c r="FW217" s="56"/>
      <c r="FX217" s="56"/>
      <c r="FY217" s="56"/>
      <c r="FZ217" s="56"/>
      <c r="GA217" s="55" t="str">
        <f t="shared" si="11"/>
        <v>4388426300515X</v>
      </c>
      <c r="GB217" t="str">
        <f>VLOOKUP(B217,수출코드!$C$2:$D$4,2,FALSE)</f>
        <v>Suwon</v>
      </c>
      <c r="GC217" t="str">
        <f>VLOOKUP(L217,수출코드!$A$2:$B$6,2,FALSE)</f>
        <v/>
      </c>
      <c r="GD217" t="str">
        <f>VLOOKUP(M217,수출코드!$E$2:$F$5,2,FALSE)</f>
        <v>일반</v>
      </c>
      <c r="GE217" s="61">
        <f t="shared" si="9"/>
        <v>45973.645833333336</v>
      </c>
      <c r="GF217" s="62">
        <f t="shared" si="10"/>
        <v>46052.738194444442</v>
      </c>
      <c r="GI217" s="48" t="s">
        <v>2764</v>
      </c>
    </row>
    <row r="218" spans="1:191">
      <c r="A218" s="48" t="s">
        <v>4529</v>
      </c>
      <c r="B218" s="48" t="s">
        <v>1821</v>
      </c>
      <c r="C218" s="48" t="s">
        <v>2048</v>
      </c>
      <c r="D218" s="48" t="s">
        <v>2813</v>
      </c>
      <c r="E218" s="48" t="s">
        <v>4529</v>
      </c>
      <c r="F218" s="48" t="s">
        <v>1710</v>
      </c>
      <c r="G218" s="48" t="s">
        <v>2814</v>
      </c>
      <c r="H218" s="48" t="s">
        <v>4530</v>
      </c>
      <c r="I218" s="48" t="s">
        <v>1884</v>
      </c>
      <c r="J218" s="48" t="s">
        <v>2825</v>
      </c>
      <c r="K218" s="48" t="s">
        <v>1877</v>
      </c>
      <c r="L218" s="48" t="s">
        <v>1842</v>
      </c>
      <c r="M218" s="48" t="s">
        <v>1810</v>
      </c>
      <c r="N218" s="48" t="s">
        <v>1842</v>
      </c>
      <c r="O218" s="48" t="s">
        <v>1811</v>
      </c>
      <c r="P218" s="48" t="s">
        <v>2549</v>
      </c>
      <c r="Q218" s="48" t="s">
        <v>2049</v>
      </c>
      <c r="R218" s="48" t="s">
        <v>1838</v>
      </c>
      <c r="S218" s="48" t="s">
        <v>2050</v>
      </c>
      <c r="T218" s="48" t="s">
        <v>1845</v>
      </c>
      <c r="U218" s="48" t="s">
        <v>2049</v>
      </c>
      <c r="V218" s="48" t="s">
        <v>1838</v>
      </c>
      <c r="W218" s="48" t="s">
        <v>2051</v>
      </c>
      <c r="X218" s="48" t="s">
        <v>2052</v>
      </c>
      <c r="Y218" s="48" t="s">
        <v>2050</v>
      </c>
      <c r="Z218" s="48" t="s">
        <v>2053</v>
      </c>
      <c r="AA218" s="48" t="s">
        <v>2054</v>
      </c>
      <c r="AB218" s="48" t="s">
        <v>2817</v>
      </c>
      <c r="AC218" s="48" t="s">
        <v>2055</v>
      </c>
      <c r="AD218" s="48" t="s">
        <v>2056</v>
      </c>
      <c r="AE218" s="48" t="s">
        <v>1710</v>
      </c>
      <c r="AF218" s="48" t="s">
        <v>1710</v>
      </c>
      <c r="AG218" s="48" t="s">
        <v>2057</v>
      </c>
      <c r="AH218" s="48" t="s">
        <v>1815</v>
      </c>
      <c r="AI218" s="48" t="s">
        <v>2058</v>
      </c>
      <c r="AJ218" s="48" t="s">
        <v>1710</v>
      </c>
      <c r="AK218" s="48" t="s">
        <v>2059</v>
      </c>
      <c r="AL218" s="48" t="s">
        <v>1858</v>
      </c>
      <c r="AM218" s="48" t="s">
        <v>1816</v>
      </c>
      <c r="AN218" s="48" t="s">
        <v>2054</v>
      </c>
      <c r="AO218" s="48" t="s">
        <v>1710</v>
      </c>
      <c r="AP218" s="48" t="s">
        <v>1848</v>
      </c>
      <c r="AQ218" s="48" t="s">
        <v>2060</v>
      </c>
      <c r="AR218" s="48" t="s">
        <v>1812</v>
      </c>
      <c r="AS218" s="48" t="s">
        <v>1813</v>
      </c>
      <c r="AT218" s="48" t="s">
        <v>1826</v>
      </c>
      <c r="AU218" s="48" t="s">
        <v>2061</v>
      </c>
      <c r="AV218" s="48" t="s">
        <v>2825</v>
      </c>
      <c r="AW218" s="48" t="s">
        <v>2062</v>
      </c>
      <c r="AX218" s="48" t="s">
        <v>2063</v>
      </c>
      <c r="AY218" s="48" t="s">
        <v>1710</v>
      </c>
      <c r="AZ218" s="48" t="s">
        <v>4531</v>
      </c>
      <c r="BA218" s="48" t="s">
        <v>1710</v>
      </c>
      <c r="BB218" s="48" t="s">
        <v>1709</v>
      </c>
      <c r="BC218" s="48" t="s">
        <v>1710</v>
      </c>
      <c r="BD218" s="48" t="s">
        <v>2097</v>
      </c>
      <c r="BE218" s="52" t="s">
        <v>4438</v>
      </c>
      <c r="BF218" s="48" t="s">
        <v>1710</v>
      </c>
      <c r="BG218" s="48" t="s">
        <v>1814</v>
      </c>
      <c r="BH218">
        <v>1</v>
      </c>
      <c r="BI218" s="48" t="s">
        <v>1888</v>
      </c>
      <c r="BJ218">
        <v>1</v>
      </c>
      <c r="BK218">
        <v>1473.06</v>
      </c>
      <c r="BL218">
        <v>637729</v>
      </c>
      <c r="BM218">
        <v>433</v>
      </c>
      <c r="BN218" s="48" t="s">
        <v>2064</v>
      </c>
      <c r="BO218" s="48" t="s">
        <v>2065</v>
      </c>
      <c r="BP218">
        <v>1473.06</v>
      </c>
      <c r="BQ218">
        <v>455.67</v>
      </c>
      <c r="BR218" s="48" t="s">
        <v>1885</v>
      </c>
      <c r="BS218" s="48" t="s">
        <v>2066</v>
      </c>
      <c r="BT218">
        <v>1</v>
      </c>
      <c r="BU218">
        <v>33500</v>
      </c>
      <c r="BV218">
        <v>33500</v>
      </c>
      <c r="BW218" s="48" t="s">
        <v>2065</v>
      </c>
      <c r="BX218">
        <v>1473.06</v>
      </c>
      <c r="BY218">
        <v>0</v>
      </c>
      <c r="BZ218">
        <v>0</v>
      </c>
      <c r="CA218" s="48" t="s">
        <v>2065</v>
      </c>
      <c r="CB218">
        <v>1473.06</v>
      </c>
      <c r="CC218">
        <v>0</v>
      </c>
      <c r="CD218">
        <v>0</v>
      </c>
      <c r="CE218" s="48" t="s">
        <v>1710</v>
      </c>
      <c r="CF218" s="48" t="s">
        <v>1710</v>
      </c>
      <c r="CG218" s="48" t="s">
        <v>1710</v>
      </c>
      <c r="CH218" s="48" t="s">
        <v>1710</v>
      </c>
      <c r="CI218" s="48" t="s">
        <v>2067</v>
      </c>
      <c r="CJ218" s="48" t="s">
        <v>1710</v>
      </c>
      <c r="CL218" s="48" t="s">
        <v>2825</v>
      </c>
      <c r="CM218" s="48" t="s">
        <v>1710</v>
      </c>
      <c r="CN218" s="48" t="s">
        <v>2068</v>
      </c>
      <c r="CO218" s="48" t="s">
        <v>2069</v>
      </c>
      <c r="CP218" s="48" t="s">
        <v>1710</v>
      </c>
      <c r="CQ218" s="48" t="s">
        <v>1710</v>
      </c>
      <c r="CR218" s="48" t="s">
        <v>1710</v>
      </c>
      <c r="CS218" s="48" t="s">
        <v>1710</v>
      </c>
      <c r="CT218" s="48" t="s">
        <v>1710</v>
      </c>
      <c r="CU218" s="48" t="s">
        <v>1712</v>
      </c>
      <c r="CV218" s="48" t="s">
        <v>1710</v>
      </c>
      <c r="CW218" s="48" t="s">
        <v>1710</v>
      </c>
      <c r="CX218" s="48" t="s">
        <v>3167</v>
      </c>
      <c r="CY218" s="48" t="s">
        <v>1710</v>
      </c>
      <c r="CZ218" s="48" t="s">
        <v>1712</v>
      </c>
      <c r="DA218" s="48" t="s">
        <v>1710</v>
      </c>
      <c r="DB218" s="48" t="s">
        <v>1878</v>
      </c>
      <c r="DC218" s="48" t="s">
        <v>2070</v>
      </c>
      <c r="DD218" s="48" t="s">
        <v>1842</v>
      </c>
      <c r="DE218" s="48" t="s">
        <v>1886</v>
      </c>
      <c r="DF218" s="48" t="s">
        <v>4532</v>
      </c>
      <c r="DG218" s="48" t="s">
        <v>2071</v>
      </c>
      <c r="DH218" s="48" t="s">
        <v>1712</v>
      </c>
      <c r="DI218" s="48" t="s">
        <v>1710</v>
      </c>
      <c r="DJ218" s="48" t="s">
        <v>1710</v>
      </c>
      <c r="DK218" s="48" t="s">
        <v>1710</v>
      </c>
      <c r="DL218" s="48" t="s">
        <v>1710</v>
      </c>
      <c r="DM218" s="48" t="s">
        <v>1710</v>
      </c>
      <c r="DN218" s="48" t="s">
        <v>1710</v>
      </c>
      <c r="DO218" s="48" t="s">
        <v>1710</v>
      </c>
      <c r="DP218" s="48" t="s">
        <v>1710</v>
      </c>
      <c r="DQ218" s="48" t="s">
        <v>1710</v>
      </c>
      <c r="DR218" s="48" t="s">
        <v>2072</v>
      </c>
      <c r="DS218" s="48" t="s">
        <v>1710</v>
      </c>
      <c r="DT218" s="48" t="s">
        <v>1710</v>
      </c>
      <c r="DU218" s="48" t="s">
        <v>2547</v>
      </c>
      <c r="DV218" s="48" t="s">
        <v>1710</v>
      </c>
      <c r="DW218" s="48" t="s">
        <v>1710</v>
      </c>
      <c r="DX218" s="48" t="s">
        <v>1710</v>
      </c>
      <c r="DY218" s="48" t="s">
        <v>1710</v>
      </c>
      <c r="DZ218" s="48" t="s">
        <v>2562</v>
      </c>
      <c r="EA218" s="48" t="s">
        <v>2546</v>
      </c>
      <c r="EB218">
        <v>0</v>
      </c>
      <c r="EC218" s="48" t="s">
        <v>2547</v>
      </c>
      <c r="ED218" s="48" t="s">
        <v>4527</v>
      </c>
      <c r="EE218" s="48" t="s">
        <v>1814</v>
      </c>
      <c r="EF218" s="48" t="s">
        <v>1861</v>
      </c>
      <c r="EG218" s="48" t="s">
        <v>4531</v>
      </c>
      <c r="EH218">
        <v>0.438</v>
      </c>
      <c r="EI218" s="48" t="s">
        <v>1888</v>
      </c>
      <c r="EJ218">
        <v>0</v>
      </c>
      <c r="EK218" s="48" t="s">
        <v>1710</v>
      </c>
      <c r="EL218">
        <v>1</v>
      </c>
      <c r="EM218" s="48" t="s">
        <v>1886</v>
      </c>
      <c r="EN218">
        <v>0.438</v>
      </c>
      <c r="EO218" s="48" t="s">
        <v>2518</v>
      </c>
      <c r="EP218" s="48" t="s">
        <v>4533</v>
      </c>
      <c r="EQ218">
        <v>455.67</v>
      </c>
      <c r="ER218">
        <v>455.67</v>
      </c>
      <c r="ES218">
        <v>637729</v>
      </c>
      <c r="ET218">
        <v>433</v>
      </c>
      <c r="EU218" s="48" t="s">
        <v>1710</v>
      </c>
      <c r="EV218" s="48" t="s">
        <v>1710</v>
      </c>
      <c r="EW218" s="48" t="s">
        <v>1712</v>
      </c>
      <c r="EX218" s="48" t="s">
        <v>1710</v>
      </c>
      <c r="EY218" s="48" t="s">
        <v>1848</v>
      </c>
      <c r="EZ218" s="48" t="s">
        <v>1710</v>
      </c>
      <c r="FA218" s="48" t="s">
        <v>1710</v>
      </c>
      <c r="FB218" s="48" t="s">
        <v>1712</v>
      </c>
      <c r="FC218" s="48" t="s">
        <v>1710</v>
      </c>
      <c r="FD218" s="48" t="s">
        <v>1710</v>
      </c>
      <c r="FE218" s="48" t="s">
        <v>1814</v>
      </c>
      <c r="FF218" s="48" t="s">
        <v>1815</v>
      </c>
      <c r="FG218" s="48" t="s">
        <v>1710</v>
      </c>
      <c r="FH218">
        <v>1</v>
      </c>
      <c r="FI218" s="48" t="s">
        <v>1846</v>
      </c>
      <c r="FJ218">
        <v>455.67</v>
      </c>
      <c r="FK218">
        <v>455.67</v>
      </c>
      <c r="FL218" s="48" t="s">
        <v>4534</v>
      </c>
      <c r="FM218" s="48" t="s">
        <v>4533</v>
      </c>
      <c r="FN218" s="48" t="s">
        <v>1710</v>
      </c>
      <c r="FO218" s="48" t="s">
        <v>1710</v>
      </c>
      <c r="FP218" s="48" t="s">
        <v>1710</v>
      </c>
      <c r="FQ218" s="48" t="s">
        <v>1710</v>
      </c>
      <c r="FR218" s="48" t="s">
        <v>1710</v>
      </c>
      <c r="FS218" s="48" t="s">
        <v>1710</v>
      </c>
      <c r="FT218" s="48" t="s">
        <v>1710</v>
      </c>
      <c r="FU218" s="48" t="s">
        <v>1710</v>
      </c>
      <c r="FV218" s="48"/>
      <c r="FW218" s="56"/>
      <c r="FX218" s="56"/>
      <c r="FY218" s="56"/>
      <c r="FZ218" s="56"/>
      <c r="GA218" s="55" t="str">
        <f t="shared" si="11"/>
        <v>4388426300516X</v>
      </c>
      <c r="GB218" t="str">
        <f>VLOOKUP(B218,수출코드!$C$2:$D$4,2,FALSE)</f>
        <v>Suwon</v>
      </c>
      <c r="GC218" t="str">
        <f>VLOOKUP(L218,수출코드!$A$2:$B$6,2,FALSE)</f>
        <v/>
      </c>
      <c r="GD218" t="str">
        <f>VLOOKUP(M218,수출코드!$E$2:$F$5,2,FALSE)</f>
        <v>일반</v>
      </c>
      <c r="GE218" s="61">
        <f t="shared" si="9"/>
        <v>45974.383333333331</v>
      </c>
      <c r="GF218" s="62">
        <f t="shared" si="10"/>
        <v>46052.738194444442</v>
      </c>
      <c r="GI218" s="48" t="s">
        <v>2777</v>
      </c>
    </row>
    <row r="219" spans="1:191">
      <c r="A219" s="48" t="s">
        <v>4535</v>
      </c>
      <c r="B219" s="48" t="s">
        <v>1821</v>
      </c>
      <c r="C219" s="48" t="s">
        <v>2048</v>
      </c>
      <c r="D219" s="48" t="s">
        <v>2813</v>
      </c>
      <c r="E219" s="48" t="s">
        <v>4535</v>
      </c>
      <c r="F219" s="48" t="s">
        <v>1710</v>
      </c>
      <c r="G219" s="48" t="s">
        <v>2814</v>
      </c>
      <c r="H219" s="48" t="s">
        <v>4536</v>
      </c>
      <c r="I219" s="48" t="s">
        <v>1884</v>
      </c>
      <c r="J219" s="48" t="s">
        <v>2825</v>
      </c>
      <c r="K219" s="48" t="s">
        <v>1877</v>
      </c>
      <c r="L219" s="48" t="s">
        <v>1842</v>
      </c>
      <c r="M219" s="48" t="s">
        <v>1810</v>
      </c>
      <c r="N219" s="48" t="s">
        <v>1842</v>
      </c>
      <c r="O219" s="48" t="s">
        <v>1811</v>
      </c>
      <c r="P219" s="48" t="s">
        <v>2549</v>
      </c>
      <c r="Q219" s="48" t="s">
        <v>2049</v>
      </c>
      <c r="R219" s="48" t="s">
        <v>1838</v>
      </c>
      <c r="S219" s="48" t="s">
        <v>2050</v>
      </c>
      <c r="T219" s="48" t="s">
        <v>1845</v>
      </c>
      <c r="U219" s="48" t="s">
        <v>2049</v>
      </c>
      <c r="V219" s="48" t="s">
        <v>1838</v>
      </c>
      <c r="W219" s="48" t="s">
        <v>2051</v>
      </c>
      <c r="X219" s="48" t="s">
        <v>2052</v>
      </c>
      <c r="Y219" s="48" t="s">
        <v>2050</v>
      </c>
      <c r="Z219" s="48" t="s">
        <v>2053</v>
      </c>
      <c r="AA219" s="48" t="s">
        <v>2054</v>
      </c>
      <c r="AB219" s="48" t="s">
        <v>2817</v>
      </c>
      <c r="AC219" s="48" t="s">
        <v>2055</v>
      </c>
      <c r="AD219" s="48" t="s">
        <v>2056</v>
      </c>
      <c r="AE219" s="48" t="s">
        <v>1710</v>
      </c>
      <c r="AF219" s="48" t="s">
        <v>1710</v>
      </c>
      <c r="AG219" s="48" t="s">
        <v>2057</v>
      </c>
      <c r="AH219" s="48" t="s">
        <v>1815</v>
      </c>
      <c r="AI219" s="48" t="s">
        <v>2058</v>
      </c>
      <c r="AJ219" s="48" t="s">
        <v>1710</v>
      </c>
      <c r="AK219" s="48" t="s">
        <v>2059</v>
      </c>
      <c r="AL219" s="48" t="s">
        <v>1858</v>
      </c>
      <c r="AM219" s="48" t="s">
        <v>1816</v>
      </c>
      <c r="AN219" s="48" t="s">
        <v>2054</v>
      </c>
      <c r="AO219" s="48" t="s">
        <v>1710</v>
      </c>
      <c r="AP219" s="48" t="s">
        <v>1848</v>
      </c>
      <c r="AQ219" s="48" t="s">
        <v>2060</v>
      </c>
      <c r="AR219" s="48" t="s">
        <v>1812</v>
      </c>
      <c r="AS219" s="48" t="s">
        <v>1813</v>
      </c>
      <c r="AT219" s="48" t="s">
        <v>1826</v>
      </c>
      <c r="AU219" s="48" t="s">
        <v>2061</v>
      </c>
      <c r="AV219" s="48" t="s">
        <v>2825</v>
      </c>
      <c r="AW219" s="48" t="s">
        <v>2062</v>
      </c>
      <c r="AX219" s="48" t="s">
        <v>2063</v>
      </c>
      <c r="AY219" s="48" t="s">
        <v>1710</v>
      </c>
      <c r="AZ219" s="48" t="s">
        <v>4537</v>
      </c>
      <c r="BA219" s="48" t="s">
        <v>1710</v>
      </c>
      <c r="BB219" s="48" t="s">
        <v>1709</v>
      </c>
      <c r="BC219" s="48" t="s">
        <v>1710</v>
      </c>
      <c r="BD219" s="48" t="s">
        <v>2097</v>
      </c>
      <c r="BE219" s="52" t="s">
        <v>4438</v>
      </c>
      <c r="BF219" s="48" t="s">
        <v>1710</v>
      </c>
      <c r="BG219" s="48" t="s">
        <v>1814</v>
      </c>
      <c r="BH219">
        <v>3</v>
      </c>
      <c r="BI219" s="48" t="s">
        <v>1888</v>
      </c>
      <c r="BJ219">
        <v>1</v>
      </c>
      <c r="BK219">
        <v>1473.06</v>
      </c>
      <c r="BL219">
        <v>3325682</v>
      </c>
      <c r="BM219">
        <v>2258</v>
      </c>
      <c r="BN219" s="48" t="s">
        <v>2064</v>
      </c>
      <c r="BO219" s="48" t="s">
        <v>2065</v>
      </c>
      <c r="BP219">
        <v>1473.06</v>
      </c>
      <c r="BQ219">
        <v>2299.08</v>
      </c>
      <c r="BR219" s="48" t="s">
        <v>1885</v>
      </c>
      <c r="BS219" s="48" t="s">
        <v>2066</v>
      </c>
      <c r="BT219">
        <v>1</v>
      </c>
      <c r="BU219">
        <v>61000</v>
      </c>
      <c r="BV219">
        <v>61000</v>
      </c>
      <c r="BW219" s="48" t="s">
        <v>2065</v>
      </c>
      <c r="BX219">
        <v>1473.06</v>
      </c>
      <c r="BY219">
        <v>0</v>
      </c>
      <c r="BZ219">
        <v>0</v>
      </c>
      <c r="CA219" s="48" t="s">
        <v>2065</v>
      </c>
      <c r="CB219">
        <v>1473.06</v>
      </c>
      <c r="CC219">
        <v>0</v>
      </c>
      <c r="CD219">
        <v>0</v>
      </c>
      <c r="CE219" s="48" t="s">
        <v>1710</v>
      </c>
      <c r="CF219" s="48" t="s">
        <v>1710</v>
      </c>
      <c r="CG219" s="48" t="s">
        <v>1710</v>
      </c>
      <c r="CH219" s="48" t="s">
        <v>1710</v>
      </c>
      <c r="CI219" s="48" t="s">
        <v>2067</v>
      </c>
      <c r="CJ219" s="48" t="s">
        <v>1710</v>
      </c>
      <c r="CL219" s="48" t="s">
        <v>2825</v>
      </c>
      <c r="CM219" s="48" t="s">
        <v>1710</v>
      </c>
      <c r="CN219" s="48" t="s">
        <v>2068</v>
      </c>
      <c r="CO219" s="48" t="s">
        <v>2069</v>
      </c>
      <c r="CP219" s="48" t="s">
        <v>1710</v>
      </c>
      <c r="CQ219" s="48" t="s">
        <v>1710</v>
      </c>
      <c r="CR219" s="48" t="s">
        <v>1710</v>
      </c>
      <c r="CS219" s="48" t="s">
        <v>1710</v>
      </c>
      <c r="CT219" s="48" t="s">
        <v>1710</v>
      </c>
      <c r="CU219" s="48" t="s">
        <v>1712</v>
      </c>
      <c r="CV219" s="48" t="s">
        <v>1710</v>
      </c>
      <c r="CW219" s="48" t="s">
        <v>1710</v>
      </c>
      <c r="CX219" s="48" t="s">
        <v>3167</v>
      </c>
      <c r="CY219" s="48" t="s">
        <v>1710</v>
      </c>
      <c r="CZ219" s="48" t="s">
        <v>1712</v>
      </c>
      <c r="DA219" s="48" t="s">
        <v>1710</v>
      </c>
      <c r="DB219" s="48" t="s">
        <v>1878</v>
      </c>
      <c r="DC219" s="48" t="s">
        <v>2070</v>
      </c>
      <c r="DD219" s="48" t="s">
        <v>1842</v>
      </c>
      <c r="DE219" s="48" t="s">
        <v>1886</v>
      </c>
      <c r="DF219" s="48" t="s">
        <v>4538</v>
      </c>
      <c r="DG219" s="48" t="s">
        <v>2071</v>
      </c>
      <c r="DH219" s="48" t="s">
        <v>1712</v>
      </c>
      <c r="DI219" s="48" t="s">
        <v>1710</v>
      </c>
      <c r="DJ219" s="48" t="s">
        <v>1710</v>
      </c>
      <c r="DK219" s="48" t="s">
        <v>1710</v>
      </c>
      <c r="DL219" s="48" t="s">
        <v>1710</v>
      </c>
      <c r="DM219" s="48" t="s">
        <v>1710</v>
      </c>
      <c r="DN219" s="48" t="s">
        <v>1710</v>
      </c>
      <c r="DO219" s="48" t="s">
        <v>1710</v>
      </c>
      <c r="DP219" s="48" t="s">
        <v>1710</v>
      </c>
      <c r="DQ219" s="48" t="s">
        <v>1710</v>
      </c>
      <c r="DR219" s="48" t="s">
        <v>2072</v>
      </c>
      <c r="DS219" s="48" t="s">
        <v>1710</v>
      </c>
      <c r="DT219" s="48" t="s">
        <v>1710</v>
      </c>
      <c r="DU219" s="48" t="s">
        <v>2547</v>
      </c>
      <c r="DV219" s="48" t="s">
        <v>1710</v>
      </c>
      <c r="DW219" s="48" t="s">
        <v>1710</v>
      </c>
      <c r="DX219" s="48" t="s">
        <v>1710</v>
      </c>
      <c r="DY219" s="48" t="s">
        <v>1710</v>
      </c>
      <c r="DZ219" s="48" t="s">
        <v>2562</v>
      </c>
      <c r="EA219" s="48" t="s">
        <v>2546</v>
      </c>
      <c r="EB219">
        <v>0</v>
      </c>
      <c r="EC219" s="48" t="s">
        <v>2547</v>
      </c>
      <c r="ED219" s="48" t="s">
        <v>4527</v>
      </c>
      <c r="EE219" s="48" t="s">
        <v>1814</v>
      </c>
      <c r="EF219" s="48" t="s">
        <v>4539</v>
      </c>
      <c r="EG219" s="48" t="s">
        <v>4537</v>
      </c>
      <c r="EH219">
        <v>3</v>
      </c>
      <c r="EI219" s="48" t="s">
        <v>1888</v>
      </c>
      <c r="EJ219">
        <v>1</v>
      </c>
      <c r="EK219" s="48" t="s">
        <v>1887</v>
      </c>
      <c r="EL219">
        <v>1</v>
      </c>
      <c r="EM219" s="48" t="s">
        <v>1886</v>
      </c>
      <c r="EN219">
        <v>3</v>
      </c>
      <c r="EO219" s="48" t="s">
        <v>4540</v>
      </c>
      <c r="EP219" s="48" t="s">
        <v>4541</v>
      </c>
      <c r="EQ219">
        <v>2299.08</v>
      </c>
      <c r="ER219">
        <v>2299.08</v>
      </c>
      <c r="ES219">
        <v>3325682</v>
      </c>
      <c r="ET219">
        <v>2258</v>
      </c>
      <c r="EU219" s="48" t="s">
        <v>1710</v>
      </c>
      <c r="EV219" s="48" t="s">
        <v>1710</v>
      </c>
      <c r="EW219" s="48" t="s">
        <v>1712</v>
      </c>
      <c r="EX219" s="48" t="s">
        <v>1710</v>
      </c>
      <c r="EY219" s="48" t="s">
        <v>1848</v>
      </c>
      <c r="EZ219" s="48" t="s">
        <v>1710</v>
      </c>
      <c r="FA219" s="48" t="s">
        <v>1710</v>
      </c>
      <c r="FB219" s="48" t="s">
        <v>1712</v>
      </c>
      <c r="FC219" s="48" t="s">
        <v>1710</v>
      </c>
      <c r="FD219" s="48" t="s">
        <v>1710</v>
      </c>
      <c r="FE219" s="48" t="s">
        <v>1814</v>
      </c>
      <c r="FF219" s="48" t="s">
        <v>1815</v>
      </c>
      <c r="FG219" s="48" t="s">
        <v>1710</v>
      </c>
      <c r="FH219">
        <v>1</v>
      </c>
      <c r="FI219" s="48" t="s">
        <v>1846</v>
      </c>
      <c r="FJ219">
        <v>2299.08</v>
      </c>
      <c r="FK219">
        <v>2299.08</v>
      </c>
      <c r="FL219" s="48" t="s">
        <v>4542</v>
      </c>
      <c r="FM219" s="48" t="s">
        <v>4541</v>
      </c>
      <c r="FN219" s="48" t="s">
        <v>1710</v>
      </c>
      <c r="FO219" s="48" t="s">
        <v>1710</v>
      </c>
      <c r="FP219" s="48" t="s">
        <v>1710</v>
      </c>
      <c r="FQ219" s="48" t="s">
        <v>1710</v>
      </c>
      <c r="FR219" s="48" t="s">
        <v>1710</v>
      </c>
      <c r="FS219" s="48" t="s">
        <v>1710</v>
      </c>
      <c r="FT219" s="48" t="s">
        <v>1710</v>
      </c>
      <c r="FU219" s="48" t="s">
        <v>1710</v>
      </c>
      <c r="FV219" s="48"/>
      <c r="FW219" s="56"/>
      <c r="FX219" s="56"/>
      <c r="FY219" s="56"/>
      <c r="FZ219" s="56"/>
      <c r="GA219" s="55" t="str">
        <f t="shared" si="11"/>
        <v>4388426300517X</v>
      </c>
      <c r="GB219" t="str">
        <f>VLOOKUP(B219,수출코드!$C$2:$D$4,2,FALSE)</f>
        <v>Suwon</v>
      </c>
      <c r="GC219" t="str">
        <f>VLOOKUP(L219,수출코드!$A$2:$B$6,2,FALSE)</f>
        <v/>
      </c>
      <c r="GD219" t="str">
        <f>VLOOKUP(M219,수출코드!$E$2:$F$5,2,FALSE)</f>
        <v>일반</v>
      </c>
      <c r="GE219" s="61">
        <f t="shared" si="9"/>
        <v>45974.383333333331</v>
      </c>
      <c r="GF219" s="62">
        <f t="shared" si="10"/>
        <v>46052.738194444442</v>
      </c>
      <c r="GI219" s="48" t="s">
        <v>2777</v>
      </c>
    </row>
    <row r="220" spans="1:191">
      <c r="A220" s="48" t="s">
        <v>4543</v>
      </c>
      <c r="B220" s="48" t="s">
        <v>1821</v>
      </c>
      <c r="C220" s="48" t="s">
        <v>2048</v>
      </c>
      <c r="D220" s="48" t="s">
        <v>2813</v>
      </c>
      <c r="E220" s="48" t="s">
        <v>4543</v>
      </c>
      <c r="F220" s="48" t="s">
        <v>1710</v>
      </c>
      <c r="G220" s="48" t="s">
        <v>2814</v>
      </c>
      <c r="H220" s="48" t="s">
        <v>4544</v>
      </c>
      <c r="I220" s="48" t="s">
        <v>1884</v>
      </c>
      <c r="J220" s="48" t="s">
        <v>2825</v>
      </c>
      <c r="K220" s="48" t="s">
        <v>1877</v>
      </c>
      <c r="L220" s="48" t="s">
        <v>1844</v>
      </c>
      <c r="M220" s="48" t="s">
        <v>1810</v>
      </c>
      <c r="N220" s="48" t="s">
        <v>1842</v>
      </c>
      <c r="O220" s="48" t="s">
        <v>1811</v>
      </c>
      <c r="P220" s="48" t="s">
        <v>2549</v>
      </c>
      <c r="Q220" s="48" t="s">
        <v>2049</v>
      </c>
      <c r="R220" s="48" t="s">
        <v>1838</v>
      </c>
      <c r="S220" s="48" t="s">
        <v>2050</v>
      </c>
      <c r="T220" s="48" t="s">
        <v>1845</v>
      </c>
      <c r="U220" s="48" t="s">
        <v>2049</v>
      </c>
      <c r="V220" s="48" t="s">
        <v>1838</v>
      </c>
      <c r="W220" s="48" t="s">
        <v>2051</v>
      </c>
      <c r="X220" s="48" t="s">
        <v>2052</v>
      </c>
      <c r="Y220" s="48" t="s">
        <v>2050</v>
      </c>
      <c r="Z220" s="48" t="s">
        <v>2053</v>
      </c>
      <c r="AA220" s="48" t="s">
        <v>2054</v>
      </c>
      <c r="AB220" s="48" t="s">
        <v>2817</v>
      </c>
      <c r="AC220" s="48" t="s">
        <v>2055</v>
      </c>
      <c r="AD220" s="48" t="s">
        <v>2056</v>
      </c>
      <c r="AE220" s="48" t="s">
        <v>1710</v>
      </c>
      <c r="AF220" s="48" t="s">
        <v>1710</v>
      </c>
      <c r="AG220" s="48" t="s">
        <v>2057</v>
      </c>
      <c r="AH220" s="48" t="s">
        <v>1815</v>
      </c>
      <c r="AI220" s="48" t="s">
        <v>2058</v>
      </c>
      <c r="AJ220" s="48" t="s">
        <v>1710</v>
      </c>
      <c r="AK220" s="48" t="s">
        <v>2563</v>
      </c>
      <c r="AL220" s="48" t="s">
        <v>2564</v>
      </c>
      <c r="AM220" s="48" t="s">
        <v>1816</v>
      </c>
      <c r="AN220" s="48" t="s">
        <v>2054</v>
      </c>
      <c r="AO220" s="48" t="s">
        <v>1710</v>
      </c>
      <c r="AP220" s="48" t="s">
        <v>1855</v>
      </c>
      <c r="AQ220" s="48" t="s">
        <v>2076</v>
      </c>
      <c r="AR220" s="48" t="s">
        <v>1812</v>
      </c>
      <c r="AS220" s="48" t="s">
        <v>1813</v>
      </c>
      <c r="AT220" s="48" t="s">
        <v>1826</v>
      </c>
      <c r="AU220" s="48" t="s">
        <v>2061</v>
      </c>
      <c r="AV220" s="48" t="s">
        <v>2825</v>
      </c>
      <c r="AW220" s="48" t="s">
        <v>2062</v>
      </c>
      <c r="AX220" s="48" t="s">
        <v>2063</v>
      </c>
      <c r="AY220" s="48" t="s">
        <v>1710</v>
      </c>
      <c r="AZ220" s="48" t="s">
        <v>4545</v>
      </c>
      <c r="BA220" s="48" t="s">
        <v>1710</v>
      </c>
      <c r="BB220" s="48" t="s">
        <v>1709</v>
      </c>
      <c r="BC220" s="48" t="s">
        <v>1710</v>
      </c>
      <c r="BD220" s="48" t="s">
        <v>2097</v>
      </c>
      <c r="BE220" s="52" t="s">
        <v>4438</v>
      </c>
      <c r="BF220" s="48" t="s">
        <v>1710</v>
      </c>
      <c r="BG220" s="48" t="s">
        <v>1819</v>
      </c>
      <c r="BH220">
        <v>19</v>
      </c>
      <c r="BI220" s="48" t="s">
        <v>1888</v>
      </c>
      <c r="BJ220">
        <v>1</v>
      </c>
      <c r="BK220">
        <v>1473.06</v>
      </c>
      <c r="BL220">
        <v>20434310</v>
      </c>
      <c r="BM220">
        <v>13872</v>
      </c>
      <c r="BN220" s="48" t="s">
        <v>2064</v>
      </c>
      <c r="BO220" s="48" t="s">
        <v>2065</v>
      </c>
      <c r="BP220">
        <v>1473.06</v>
      </c>
      <c r="BQ220">
        <v>13939.63</v>
      </c>
      <c r="BR220" s="48" t="s">
        <v>1885</v>
      </c>
      <c r="BS220" s="48" t="s">
        <v>2066</v>
      </c>
      <c r="BT220">
        <v>1</v>
      </c>
      <c r="BU220">
        <v>99600</v>
      </c>
      <c r="BV220">
        <v>99600</v>
      </c>
      <c r="BW220" s="48" t="s">
        <v>2065</v>
      </c>
      <c r="BX220">
        <v>1473.06</v>
      </c>
      <c r="BY220">
        <v>0</v>
      </c>
      <c r="BZ220">
        <v>0</v>
      </c>
      <c r="CA220" s="48" t="s">
        <v>2065</v>
      </c>
      <c r="CB220">
        <v>1473.06</v>
      </c>
      <c r="CC220">
        <v>0</v>
      </c>
      <c r="CD220">
        <v>0</v>
      </c>
      <c r="CE220" s="48" t="s">
        <v>1710</v>
      </c>
      <c r="CF220" s="48" t="s">
        <v>1710</v>
      </c>
      <c r="CG220" s="48" t="s">
        <v>1710</v>
      </c>
      <c r="CH220" s="48" t="s">
        <v>1710</v>
      </c>
      <c r="CI220" s="48" t="s">
        <v>2067</v>
      </c>
      <c r="CJ220" s="48" t="s">
        <v>1710</v>
      </c>
      <c r="CL220" s="48" t="s">
        <v>2825</v>
      </c>
      <c r="CM220" s="48" t="s">
        <v>1710</v>
      </c>
      <c r="CN220" s="48" t="s">
        <v>2068</v>
      </c>
      <c r="CO220" s="48" t="s">
        <v>2069</v>
      </c>
      <c r="CP220" s="48" t="s">
        <v>1710</v>
      </c>
      <c r="CQ220" s="48" t="s">
        <v>1710</v>
      </c>
      <c r="CR220" s="48" t="s">
        <v>1710</v>
      </c>
      <c r="CS220" s="48" t="s">
        <v>1710</v>
      </c>
      <c r="CT220" s="48" t="s">
        <v>1710</v>
      </c>
      <c r="CU220" s="48" t="s">
        <v>1712</v>
      </c>
      <c r="CV220" s="48" t="s">
        <v>1710</v>
      </c>
      <c r="CW220" s="48" t="s">
        <v>1710</v>
      </c>
      <c r="CX220" s="48" t="s">
        <v>3167</v>
      </c>
      <c r="CY220" s="48" t="s">
        <v>1710</v>
      </c>
      <c r="CZ220" s="48" t="s">
        <v>1712</v>
      </c>
      <c r="DA220" s="48" t="s">
        <v>1710</v>
      </c>
      <c r="DB220" s="48" t="s">
        <v>1878</v>
      </c>
      <c r="DC220" s="48" t="s">
        <v>2070</v>
      </c>
      <c r="DD220" s="48" t="s">
        <v>1842</v>
      </c>
      <c r="DE220" s="48" t="s">
        <v>1886</v>
      </c>
      <c r="DF220" s="48" t="s">
        <v>4546</v>
      </c>
      <c r="DG220" s="48" t="s">
        <v>2071</v>
      </c>
      <c r="DH220" s="48" t="s">
        <v>1712</v>
      </c>
      <c r="DI220" s="48" t="s">
        <v>1710</v>
      </c>
      <c r="DJ220" s="48" t="s">
        <v>1710</v>
      </c>
      <c r="DK220" s="48" t="s">
        <v>1710</v>
      </c>
      <c r="DL220" s="48" t="s">
        <v>1710</v>
      </c>
      <c r="DM220" s="48" t="s">
        <v>1710</v>
      </c>
      <c r="DN220" s="48" t="s">
        <v>1710</v>
      </c>
      <c r="DO220" s="48" t="s">
        <v>1710</v>
      </c>
      <c r="DP220" s="48" t="s">
        <v>1710</v>
      </c>
      <c r="DQ220" s="48" t="s">
        <v>1710</v>
      </c>
      <c r="DR220" s="48" t="s">
        <v>2072</v>
      </c>
      <c r="DS220" s="48" t="s">
        <v>1710</v>
      </c>
      <c r="DT220" s="48" t="s">
        <v>1710</v>
      </c>
      <c r="DU220" s="48" t="s">
        <v>2547</v>
      </c>
      <c r="DV220" s="48" t="s">
        <v>1710</v>
      </c>
      <c r="DW220" s="48" t="s">
        <v>1710</v>
      </c>
      <c r="DX220" s="48" t="s">
        <v>1710</v>
      </c>
      <c r="DY220" s="48" t="s">
        <v>1710</v>
      </c>
      <c r="DZ220" s="48" t="s">
        <v>2084</v>
      </c>
      <c r="EA220" s="48" t="s">
        <v>2546</v>
      </c>
      <c r="EB220">
        <v>0</v>
      </c>
      <c r="EC220" s="48" t="s">
        <v>2547</v>
      </c>
      <c r="ED220" s="48" t="s">
        <v>4547</v>
      </c>
      <c r="EE220" s="48" t="s">
        <v>1814</v>
      </c>
      <c r="EF220" s="48" t="s">
        <v>1864</v>
      </c>
      <c r="EG220" s="48" t="s">
        <v>4545</v>
      </c>
      <c r="EH220">
        <v>1</v>
      </c>
      <c r="EI220" s="48" t="s">
        <v>1888</v>
      </c>
      <c r="EJ220">
        <v>1</v>
      </c>
      <c r="EK220" s="48" t="s">
        <v>1887</v>
      </c>
      <c r="EL220">
        <v>1</v>
      </c>
      <c r="EM220" s="48" t="s">
        <v>1886</v>
      </c>
      <c r="EN220">
        <v>1</v>
      </c>
      <c r="EO220" s="48" t="s">
        <v>1865</v>
      </c>
      <c r="EP220" s="48" t="s">
        <v>4548</v>
      </c>
      <c r="EQ220">
        <v>766.46</v>
      </c>
      <c r="ER220">
        <v>766.46</v>
      </c>
      <c r="ES220">
        <v>1123565</v>
      </c>
      <c r="ET220">
        <v>763</v>
      </c>
      <c r="EU220" s="48" t="s">
        <v>1710</v>
      </c>
      <c r="EV220" s="48" t="s">
        <v>1710</v>
      </c>
      <c r="EW220" s="48" t="s">
        <v>1712</v>
      </c>
      <c r="EX220" s="48" t="s">
        <v>1710</v>
      </c>
      <c r="EY220" s="48" t="s">
        <v>1860</v>
      </c>
      <c r="EZ220" s="48" t="s">
        <v>1710</v>
      </c>
      <c r="FA220" s="48" t="s">
        <v>1710</v>
      </c>
      <c r="FB220" s="48" t="s">
        <v>1712</v>
      </c>
      <c r="FC220" s="48" t="s">
        <v>1710</v>
      </c>
      <c r="FD220" s="48" t="s">
        <v>1710</v>
      </c>
      <c r="FE220" s="48" t="s">
        <v>1814</v>
      </c>
      <c r="FF220" s="48" t="s">
        <v>1815</v>
      </c>
      <c r="FG220" s="48" t="s">
        <v>1710</v>
      </c>
      <c r="FH220">
        <v>1</v>
      </c>
      <c r="FI220" s="48" t="s">
        <v>1846</v>
      </c>
      <c r="FJ220">
        <v>766.46</v>
      </c>
      <c r="FK220">
        <v>766.46</v>
      </c>
      <c r="FL220" s="48" t="s">
        <v>4549</v>
      </c>
      <c r="FM220" s="48" t="s">
        <v>4548</v>
      </c>
      <c r="FN220" s="48" t="s">
        <v>1710</v>
      </c>
      <c r="FO220" s="48" t="s">
        <v>1710</v>
      </c>
      <c r="FP220" s="48" t="s">
        <v>1710</v>
      </c>
      <c r="FQ220" s="48" t="s">
        <v>1710</v>
      </c>
      <c r="FR220" s="48" t="s">
        <v>1710</v>
      </c>
      <c r="FS220" s="48" t="s">
        <v>1710</v>
      </c>
      <c r="FT220" s="48" t="s">
        <v>1710</v>
      </c>
      <c r="FU220" s="48" t="s">
        <v>1710</v>
      </c>
      <c r="FV220" s="48"/>
      <c r="FW220" s="56"/>
      <c r="FX220" s="56"/>
      <c r="FY220" s="56"/>
      <c r="FZ220" s="56"/>
      <c r="GA220" s="55" t="str">
        <f t="shared" si="11"/>
        <v>4388426300518X</v>
      </c>
      <c r="GB220" t="str">
        <f>VLOOKUP(B220,수출코드!$C$2:$D$4,2,FALSE)</f>
        <v>Suwon</v>
      </c>
      <c r="GC220" t="str">
        <f>VLOOKUP(L220,수출코드!$A$2:$B$6,2,FALSE)</f>
        <v>화면심사</v>
      </c>
      <c r="GD220" t="str">
        <f>VLOOKUP(M220,수출코드!$E$2:$F$5,2,FALSE)</f>
        <v>일반</v>
      </c>
      <c r="GE220" s="61">
        <f t="shared" si="9"/>
        <v>45974.384027777778</v>
      </c>
      <c r="GF220" s="62">
        <f t="shared" si="10"/>
        <v>46052.747916666667</v>
      </c>
      <c r="GI220" s="48" t="s">
        <v>2778</v>
      </c>
    </row>
    <row r="221" spans="1:191">
      <c r="A221" s="48" t="s">
        <v>4550</v>
      </c>
      <c r="B221" s="48" t="s">
        <v>1821</v>
      </c>
      <c r="C221" s="48" t="s">
        <v>2048</v>
      </c>
      <c r="D221" s="48" t="s">
        <v>2813</v>
      </c>
      <c r="E221" s="48" t="s">
        <v>4550</v>
      </c>
      <c r="F221" s="48" t="s">
        <v>1710</v>
      </c>
      <c r="G221" s="48" t="s">
        <v>2814</v>
      </c>
      <c r="H221" s="48" t="s">
        <v>4551</v>
      </c>
      <c r="I221" s="48" t="s">
        <v>1884</v>
      </c>
      <c r="J221" s="48" t="s">
        <v>2825</v>
      </c>
      <c r="K221" s="48" t="s">
        <v>1877</v>
      </c>
      <c r="L221" s="48" t="s">
        <v>1844</v>
      </c>
      <c r="M221" s="48" t="s">
        <v>1810</v>
      </c>
      <c r="N221" s="48" t="s">
        <v>1842</v>
      </c>
      <c r="O221" s="48" t="s">
        <v>1811</v>
      </c>
      <c r="P221" s="48" t="s">
        <v>2549</v>
      </c>
      <c r="Q221" s="48" t="s">
        <v>2049</v>
      </c>
      <c r="R221" s="48" t="s">
        <v>1838</v>
      </c>
      <c r="S221" s="48" t="s">
        <v>2050</v>
      </c>
      <c r="T221" s="48" t="s">
        <v>1845</v>
      </c>
      <c r="U221" s="48" t="s">
        <v>2049</v>
      </c>
      <c r="V221" s="48" t="s">
        <v>1838</v>
      </c>
      <c r="W221" s="48" t="s">
        <v>2051</v>
      </c>
      <c r="X221" s="48" t="s">
        <v>2052</v>
      </c>
      <c r="Y221" s="48" t="s">
        <v>2050</v>
      </c>
      <c r="Z221" s="48" t="s">
        <v>2053</v>
      </c>
      <c r="AA221" s="48" t="s">
        <v>2054</v>
      </c>
      <c r="AB221" s="48" t="s">
        <v>2817</v>
      </c>
      <c r="AC221" s="48" t="s">
        <v>2055</v>
      </c>
      <c r="AD221" s="48" t="s">
        <v>2056</v>
      </c>
      <c r="AE221" s="48" t="s">
        <v>1710</v>
      </c>
      <c r="AF221" s="48" t="s">
        <v>1710</v>
      </c>
      <c r="AG221" s="48" t="s">
        <v>2057</v>
      </c>
      <c r="AH221" s="48" t="s">
        <v>1815</v>
      </c>
      <c r="AI221" s="48" t="s">
        <v>2058</v>
      </c>
      <c r="AJ221" s="48" t="s">
        <v>1710</v>
      </c>
      <c r="AK221" s="48" t="s">
        <v>2087</v>
      </c>
      <c r="AL221" s="48" t="s">
        <v>2088</v>
      </c>
      <c r="AM221" s="48" t="s">
        <v>1816</v>
      </c>
      <c r="AN221" s="48" t="s">
        <v>2054</v>
      </c>
      <c r="AO221" s="48" t="s">
        <v>1710</v>
      </c>
      <c r="AP221" s="48" t="s">
        <v>1853</v>
      </c>
      <c r="AQ221" s="48" t="s">
        <v>2086</v>
      </c>
      <c r="AR221" s="48" t="s">
        <v>1812</v>
      </c>
      <c r="AS221" s="48" t="s">
        <v>1813</v>
      </c>
      <c r="AT221" s="48" t="s">
        <v>1826</v>
      </c>
      <c r="AU221" s="48" t="s">
        <v>2061</v>
      </c>
      <c r="AV221" s="48" t="s">
        <v>2825</v>
      </c>
      <c r="AW221" s="48" t="s">
        <v>2062</v>
      </c>
      <c r="AX221" s="48" t="s">
        <v>2063</v>
      </c>
      <c r="AY221" s="48" t="s">
        <v>1710</v>
      </c>
      <c r="AZ221" s="48" t="s">
        <v>4552</v>
      </c>
      <c r="BA221" s="48" t="s">
        <v>1710</v>
      </c>
      <c r="BB221" s="48" t="s">
        <v>1709</v>
      </c>
      <c r="BC221" s="48" t="s">
        <v>1710</v>
      </c>
      <c r="BD221" s="48" t="s">
        <v>2097</v>
      </c>
      <c r="BE221" s="52" t="s">
        <v>4438</v>
      </c>
      <c r="BF221" s="48" t="s">
        <v>1710</v>
      </c>
      <c r="BG221" s="48" t="s">
        <v>1817</v>
      </c>
      <c r="BH221">
        <v>3</v>
      </c>
      <c r="BI221" s="48" t="s">
        <v>1888</v>
      </c>
      <c r="BJ221">
        <v>1</v>
      </c>
      <c r="BK221">
        <v>1473.06</v>
      </c>
      <c r="BL221">
        <v>4401558</v>
      </c>
      <c r="BM221">
        <v>2988</v>
      </c>
      <c r="BN221" s="48" t="s">
        <v>2064</v>
      </c>
      <c r="BO221" s="48" t="s">
        <v>2065</v>
      </c>
      <c r="BP221">
        <v>1473.06</v>
      </c>
      <c r="BQ221">
        <v>3013.97</v>
      </c>
      <c r="BR221" s="48" t="s">
        <v>1885</v>
      </c>
      <c r="BS221" s="48" t="s">
        <v>2066</v>
      </c>
      <c r="BT221">
        <v>1</v>
      </c>
      <c r="BU221">
        <v>38200</v>
      </c>
      <c r="BV221">
        <v>38200</v>
      </c>
      <c r="BW221" s="48" t="s">
        <v>2065</v>
      </c>
      <c r="BX221">
        <v>1473.06</v>
      </c>
      <c r="BY221">
        <v>0</v>
      </c>
      <c r="BZ221">
        <v>0</v>
      </c>
      <c r="CA221" s="48" t="s">
        <v>2065</v>
      </c>
      <c r="CB221">
        <v>1473.06</v>
      </c>
      <c r="CC221">
        <v>0</v>
      </c>
      <c r="CD221">
        <v>0</v>
      </c>
      <c r="CE221" s="48" t="s">
        <v>1710</v>
      </c>
      <c r="CF221" s="48" t="s">
        <v>1710</v>
      </c>
      <c r="CG221" s="48" t="s">
        <v>1710</v>
      </c>
      <c r="CH221" s="48" t="s">
        <v>1710</v>
      </c>
      <c r="CI221" s="48" t="s">
        <v>2067</v>
      </c>
      <c r="CJ221" s="48" t="s">
        <v>1710</v>
      </c>
      <c r="CL221" s="48" t="s">
        <v>2825</v>
      </c>
      <c r="CM221" s="48" t="s">
        <v>1710</v>
      </c>
      <c r="CN221" s="48" t="s">
        <v>2068</v>
      </c>
      <c r="CO221" s="48" t="s">
        <v>2069</v>
      </c>
      <c r="CP221" s="48" t="s">
        <v>1710</v>
      </c>
      <c r="CQ221" s="48" t="s">
        <v>1710</v>
      </c>
      <c r="CR221" s="48" t="s">
        <v>1710</v>
      </c>
      <c r="CS221" s="48" t="s">
        <v>1710</v>
      </c>
      <c r="CT221" s="48" t="s">
        <v>1710</v>
      </c>
      <c r="CU221" s="48" t="s">
        <v>1712</v>
      </c>
      <c r="CV221" s="48" t="s">
        <v>1710</v>
      </c>
      <c r="CW221" s="48" t="s">
        <v>1710</v>
      </c>
      <c r="CX221" s="48" t="s">
        <v>3167</v>
      </c>
      <c r="CY221" s="48" t="s">
        <v>1710</v>
      </c>
      <c r="CZ221" s="48" t="s">
        <v>1712</v>
      </c>
      <c r="DA221" s="48" t="s">
        <v>1710</v>
      </c>
      <c r="DB221" s="48" t="s">
        <v>1878</v>
      </c>
      <c r="DC221" s="48" t="s">
        <v>2070</v>
      </c>
      <c r="DD221" s="48" t="s">
        <v>1842</v>
      </c>
      <c r="DE221" s="48" t="s">
        <v>1886</v>
      </c>
      <c r="DF221" s="48" t="s">
        <v>4553</v>
      </c>
      <c r="DG221" s="48" t="s">
        <v>2071</v>
      </c>
      <c r="DH221" s="48" t="s">
        <v>1712</v>
      </c>
      <c r="DI221" s="48" t="s">
        <v>1710</v>
      </c>
      <c r="DJ221" s="48" t="s">
        <v>1710</v>
      </c>
      <c r="DK221" s="48" t="s">
        <v>1710</v>
      </c>
      <c r="DL221" s="48" t="s">
        <v>1710</v>
      </c>
      <c r="DM221" s="48" t="s">
        <v>1710</v>
      </c>
      <c r="DN221" s="48" t="s">
        <v>1710</v>
      </c>
      <c r="DO221" s="48" t="s">
        <v>1710</v>
      </c>
      <c r="DP221" s="48" t="s">
        <v>1710</v>
      </c>
      <c r="DQ221" s="48" t="s">
        <v>1710</v>
      </c>
      <c r="DR221" s="48" t="s">
        <v>2072</v>
      </c>
      <c r="DS221" s="48" t="s">
        <v>1710</v>
      </c>
      <c r="DT221" s="48" t="s">
        <v>1710</v>
      </c>
      <c r="DU221" s="48" t="s">
        <v>2547</v>
      </c>
      <c r="DV221" s="48" t="s">
        <v>1710</v>
      </c>
      <c r="DW221" s="48" t="s">
        <v>1710</v>
      </c>
      <c r="DX221" s="48" t="s">
        <v>1710</v>
      </c>
      <c r="DY221" s="48" t="s">
        <v>1710</v>
      </c>
      <c r="DZ221" s="48" t="s">
        <v>2084</v>
      </c>
      <c r="EA221" s="48" t="s">
        <v>2546</v>
      </c>
      <c r="EB221">
        <v>0</v>
      </c>
      <c r="EC221" s="48" t="s">
        <v>2547</v>
      </c>
      <c r="ED221" s="48" t="s">
        <v>4554</v>
      </c>
      <c r="EE221" s="48" t="s">
        <v>1814</v>
      </c>
      <c r="EF221" s="48" t="s">
        <v>1849</v>
      </c>
      <c r="EG221" s="48" t="s">
        <v>4552</v>
      </c>
      <c r="EH221">
        <v>0.04</v>
      </c>
      <c r="EI221" s="48" t="s">
        <v>1888</v>
      </c>
      <c r="EJ221">
        <v>1</v>
      </c>
      <c r="EK221" s="48" t="s">
        <v>1887</v>
      </c>
      <c r="EL221">
        <v>1</v>
      </c>
      <c r="EM221" s="48" t="s">
        <v>1886</v>
      </c>
      <c r="EN221">
        <v>0.04</v>
      </c>
      <c r="EO221" s="48" t="s">
        <v>2526</v>
      </c>
      <c r="EP221" s="48" t="s">
        <v>4555</v>
      </c>
      <c r="EQ221">
        <v>322.13</v>
      </c>
      <c r="ER221">
        <v>322.13</v>
      </c>
      <c r="ES221">
        <v>470434</v>
      </c>
      <c r="ET221">
        <v>319</v>
      </c>
      <c r="EU221" s="48" t="s">
        <v>1710</v>
      </c>
      <c r="EV221" s="48" t="s">
        <v>1710</v>
      </c>
      <c r="EW221" s="48" t="s">
        <v>1712</v>
      </c>
      <c r="EX221" s="48" t="s">
        <v>1710</v>
      </c>
      <c r="EY221" s="48" t="s">
        <v>1848</v>
      </c>
      <c r="EZ221" s="48" t="s">
        <v>1710</v>
      </c>
      <c r="FA221" s="48" t="s">
        <v>1710</v>
      </c>
      <c r="FB221" s="48" t="s">
        <v>1712</v>
      </c>
      <c r="FC221" s="48" t="s">
        <v>1710</v>
      </c>
      <c r="FD221" s="48" t="s">
        <v>1710</v>
      </c>
      <c r="FE221" s="48" t="s">
        <v>1814</v>
      </c>
      <c r="FF221" s="48" t="s">
        <v>1815</v>
      </c>
      <c r="FG221" s="48" t="s">
        <v>1710</v>
      </c>
      <c r="FH221">
        <v>1</v>
      </c>
      <c r="FI221" s="48" t="s">
        <v>1846</v>
      </c>
      <c r="FJ221">
        <v>322.13</v>
      </c>
      <c r="FK221">
        <v>322.13</v>
      </c>
      <c r="FL221" s="48" t="s">
        <v>4556</v>
      </c>
      <c r="FM221" s="48" t="s">
        <v>4555</v>
      </c>
      <c r="FN221" s="48" t="s">
        <v>1710</v>
      </c>
      <c r="FO221" s="48" t="s">
        <v>1710</v>
      </c>
      <c r="FP221" s="48" t="s">
        <v>1710</v>
      </c>
      <c r="FQ221" s="48" t="s">
        <v>1710</v>
      </c>
      <c r="FR221" s="48" t="s">
        <v>1710</v>
      </c>
      <c r="FS221" s="48" t="s">
        <v>1710</v>
      </c>
      <c r="FT221" s="48" t="s">
        <v>1710</v>
      </c>
      <c r="FU221" s="48" t="s">
        <v>1710</v>
      </c>
      <c r="FV221" s="48"/>
      <c r="FW221" s="56"/>
      <c r="FX221" s="56"/>
      <c r="FY221" s="56"/>
      <c r="FZ221" s="56"/>
      <c r="GA221" s="55" t="str">
        <f t="shared" si="11"/>
        <v>4388426300519X</v>
      </c>
      <c r="GB221" t="str">
        <f>VLOOKUP(B221,수출코드!$C$2:$D$4,2,FALSE)</f>
        <v>Suwon</v>
      </c>
      <c r="GC221" t="str">
        <f>VLOOKUP(L221,수출코드!$A$2:$B$6,2,FALSE)</f>
        <v>화면심사</v>
      </c>
      <c r="GD221" t="str">
        <f>VLOOKUP(M221,수출코드!$E$2:$F$5,2,FALSE)</f>
        <v>일반</v>
      </c>
      <c r="GE221" s="61">
        <f t="shared" si="9"/>
        <v>45974.446527777778</v>
      </c>
      <c r="GF221" s="62">
        <f t="shared" si="10"/>
        <v>46052.74722222222</v>
      </c>
      <c r="GI221" s="48" t="s">
        <v>2779</v>
      </c>
    </row>
    <row r="222" spans="1:191">
      <c r="A222" s="48" t="s">
        <v>4557</v>
      </c>
      <c r="B222" s="48" t="s">
        <v>1821</v>
      </c>
      <c r="C222" s="48" t="s">
        <v>2048</v>
      </c>
      <c r="D222" s="48" t="s">
        <v>2813</v>
      </c>
      <c r="E222" s="48" t="s">
        <v>4557</v>
      </c>
      <c r="F222" s="48" t="s">
        <v>1710</v>
      </c>
      <c r="G222" s="48" t="s">
        <v>2814</v>
      </c>
      <c r="H222" s="48" t="s">
        <v>4558</v>
      </c>
      <c r="I222" s="48" t="s">
        <v>1884</v>
      </c>
      <c r="J222" s="48" t="s">
        <v>2825</v>
      </c>
      <c r="K222" s="48" t="s">
        <v>1877</v>
      </c>
      <c r="L222" s="48" t="s">
        <v>1842</v>
      </c>
      <c r="M222" s="48" t="s">
        <v>1810</v>
      </c>
      <c r="N222" s="48" t="s">
        <v>1842</v>
      </c>
      <c r="O222" s="48" t="s">
        <v>1811</v>
      </c>
      <c r="P222" s="48" t="s">
        <v>2549</v>
      </c>
      <c r="Q222" s="48" t="s">
        <v>2049</v>
      </c>
      <c r="R222" s="48" t="s">
        <v>1838</v>
      </c>
      <c r="S222" s="48" t="s">
        <v>2050</v>
      </c>
      <c r="T222" s="48" t="s">
        <v>1845</v>
      </c>
      <c r="U222" s="48" t="s">
        <v>2049</v>
      </c>
      <c r="V222" s="48" t="s">
        <v>1838</v>
      </c>
      <c r="W222" s="48" t="s">
        <v>2051</v>
      </c>
      <c r="X222" s="48" t="s">
        <v>2052</v>
      </c>
      <c r="Y222" s="48" t="s">
        <v>2050</v>
      </c>
      <c r="Z222" s="48" t="s">
        <v>2053</v>
      </c>
      <c r="AA222" s="48" t="s">
        <v>2054</v>
      </c>
      <c r="AB222" s="48" t="s">
        <v>2817</v>
      </c>
      <c r="AC222" s="48" t="s">
        <v>2055</v>
      </c>
      <c r="AD222" s="48" t="s">
        <v>2056</v>
      </c>
      <c r="AE222" s="48" t="s">
        <v>1710</v>
      </c>
      <c r="AF222" s="48" t="s">
        <v>1710</v>
      </c>
      <c r="AG222" s="48" t="s">
        <v>2057</v>
      </c>
      <c r="AH222" s="48" t="s">
        <v>1815</v>
      </c>
      <c r="AI222" s="48" t="s">
        <v>2058</v>
      </c>
      <c r="AJ222" s="48" t="s">
        <v>1710</v>
      </c>
      <c r="AK222" s="48" t="s">
        <v>2553</v>
      </c>
      <c r="AL222" s="48" t="s">
        <v>2554</v>
      </c>
      <c r="AM222" s="48" t="s">
        <v>1816</v>
      </c>
      <c r="AN222" s="48" t="s">
        <v>2054</v>
      </c>
      <c r="AO222" s="48" t="s">
        <v>1710</v>
      </c>
      <c r="AP222" s="48" t="s">
        <v>1853</v>
      </c>
      <c r="AQ222" s="48" t="s">
        <v>2086</v>
      </c>
      <c r="AR222" s="48" t="s">
        <v>1812</v>
      </c>
      <c r="AS222" s="48" t="s">
        <v>1813</v>
      </c>
      <c r="AT222" s="48" t="s">
        <v>1826</v>
      </c>
      <c r="AU222" s="48" t="s">
        <v>2061</v>
      </c>
      <c r="AV222" s="48" t="s">
        <v>2825</v>
      </c>
      <c r="AW222" s="48" t="s">
        <v>2062</v>
      </c>
      <c r="AX222" s="48" t="s">
        <v>2063</v>
      </c>
      <c r="AY222" s="48" t="s">
        <v>1710</v>
      </c>
      <c r="AZ222" s="48" t="s">
        <v>4559</v>
      </c>
      <c r="BA222" s="48" t="s">
        <v>1710</v>
      </c>
      <c r="BB222" s="48" t="s">
        <v>1709</v>
      </c>
      <c r="BC222" s="48" t="s">
        <v>1710</v>
      </c>
      <c r="BD222" s="48" t="s">
        <v>2097</v>
      </c>
      <c r="BE222" s="52" t="s">
        <v>4438</v>
      </c>
      <c r="BF222" s="48" t="s">
        <v>1710</v>
      </c>
      <c r="BG222" s="48" t="s">
        <v>1814</v>
      </c>
      <c r="BH222">
        <v>3</v>
      </c>
      <c r="BI222" s="48" t="s">
        <v>1888</v>
      </c>
      <c r="BJ222">
        <v>1</v>
      </c>
      <c r="BK222">
        <v>1473.06</v>
      </c>
      <c r="BL222">
        <v>1475059</v>
      </c>
      <c r="BM222">
        <v>1001</v>
      </c>
      <c r="BN222" s="48" t="s">
        <v>2064</v>
      </c>
      <c r="BO222" s="48" t="s">
        <v>2065</v>
      </c>
      <c r="BP222">
        <v>1473.06</v>
      </c>
      <c r="BQ222">
        <v>1027.29</v>
      </c>
      <c r="BR222" s="48" t="s">
        <v>1885</v>
      </c>
      <c r="BS222" s="48" t="s">
        <v>2066</v>
      </c>
      <c r="BT222">
        <v>1</v>
      </c>
      <c r="BU222">
        <v>38200</v>
      </c>
      <c r="BV222">
        <v>38200</v>
      </c>
      <c r="BW222" s="48" t="s">
        <v>2065</v>
      </c>
      <c r="BX222">
        <v>1473.06</v>
      </c>
      <c r="BY222">
        <v>0</v>
      </c>
      <c r="BZ222">
        <v>0</v>
      </c>
      <c r="CA222" s="48" t="s">
        <v>2065</v>
      </c>
      <c r="CB222">
        <v>1473.06</v>
      </c>
      <c r="CC222">
        <v>0</v>
      </c>
      <c r="CD222">
        <v>0</v>
      </c>
      <c r="CE222" s="48" t="s">
        <v>1710</v>
      </c>
      <c r="CF222" s="48" t="s">
        <v>1710</v>
      </c>
      <c r="CG222" s="48" t="s">
        <v>1710</v>
      </c>
      <c r="CH222" s="48" t="s">
        <v>1710</v>
      </c>
      <c r="CI222" s="48" t="s">
        <v>2067</v>
      </c>
      <c r="CJ222" s="48" t="s">
        <v>1710</v>
      </c>
      <c r="CL222" s="48" t="s">
        <v>2825</v>
      </c>
      <c r="CM222" s="48" t="s">
        <v>1710</v>
      </c>
      <c r="CN222" s="48" t="s">
        <v>2068</v>
      </c>
      <c r="CO222" s="48" t="s">
        <v>2069</v>
      </c>
      <c r="CP222" s="48" t="s">
        <v>1710</v>
      </c>
      <c r="CQ222" s="48" t="s">
        <v>1710</v>
      </c>
      <c r="CR222" s="48" t="s">
        <v>1710</v>
      </c>
      <c r="CS222" s="48" t="s">
        <v>1710</v>
      </c>
      <c r="CT222" s="48" t="s">
        <v>1710</v>
      </c>
      <c r="CU222" s="48" t="s">
        <v>1712</v>
      </c>
      <c r="CV222" s="48" t="s">
        <v>1710</v>
      </c>
      <c r="CW222" s="48" t="s">
        <v>1710</v>
      </c>
      <c r="CX222" s="48" t="s">
        <v>3167</v>
      </c>
      <c r="CY222" s="48" t="s">
        <v>1710</v>
      </c>
      <c r="CZ222" s="48" t="s">
        <v>1712</v>
      </c>
      <c r="DA222" s="48" t="s">
        <v>1710</v>
      </c>
      <c r="DB222" s="48" t="s">
        <v>1878</v>
      </c>
      <c r="DC222" s="48" t="s">
        <v>2070</v>
      </c>
      <c r="DD222" s="48" t="s">
        <v>1842</v>
      </c>
      <c r="DE222" s="48" t="s">
        <v>1886</v>
      </c>
      <c r="DF222" s="48" t="s">
        <v>4560</v>
      </c>
      <c r="DG222" s="48" t="s">
        <v>2071</v>
      </c>
      <c r="DH222" s="48" t="s">
        <v>1712</v>
      </c>
      <c r="DI222" s="48" t="s">
        <v>1710</v>
      </c>
      <c r="DJ222" s="48" t="s">
        <v>1710</v>
      </c>
      <c r="DK222" s="48" t="s">
        <v>1710</v>
      </c>
      <c r="DL222" s="48" t="s">
        <v>1710</v>
      </c>
      <c r="DM222" s="48" t="s">
        <v>1710</v>
      </c>
      <c r="DN222" s="48" t="s">
        <v>1710</v>
      </c>
      <c r="DO222" s="48" t="s">
        <v>1710</v>
      </c>
      <c r="DP222" s="48" t="s">
        <v>1710</v>
      </c>
      <c r="DQ222" s="48" t="s">
        <v>1710</v>
      </c>
      <c r="DR222" s="48" t="s">
        <v>2072</v>
      </c>
      <c r="DS222" s="48" t="s">
        <v>1710</v>
      </c>
      <c r="DT222" s="48" t="s">
        <v>1710</v>
      </c>
      <c r="DU222" s="48" t="s">
        <v>2547</v>
      </c>
      <c r="DV222" s="48" t="s">
        <v>1710</v>
      </c>
      <c r="DW222" s="48" t="s">
        <v>1710</v>
      </c>
      <c r="DX222" s="48" t="s">
        <v>1710</v>
      </c>
      <c r="DY222" s="48" t="s">
        <v>1710</v>
      </c>
      <c r="DZ222" s="48" t="s">
        <v>2562</v>
      </c>
      <c r="EA222" s="48" t="s">
        <v>2546</v>
      </c>
      <c r="EB222">
        <v>0</v>
      </c>
      <c r="EC222" s="48" t="s">
        <v>2547</v>
      </c>
      <c r="ED222" s="48" t="s">
        <v>4561</v>
      </c>
      <c r="EE222" s="48" t="s">
        <v>1814</v>
      </c>
      <c r="EF222" s="48" t="s">
        <v>3521</v>
      </c>
      <c r="EG222" s="48" t="s">
        <v>4559</v>
      </c>
      <c r="EH222">
        <v>1.4</v>
      </c>
      <c r="EI222" s="48" t="s">
        <v>1888</v>
      </c>
      <c r="EJ222">
        <v>0</v>
      </c>
      <c r="EK222" s="48" t="s">
        <v>1710</v>
      </c>
      <c r="EL222">
        <v>1</v>
      </c>
      <c r="EM222" s="48" t="s">
        <v>1886</v>
      </c>
      <c r="EN222">
        <v>1.4</v>
      </c>
      <c r="EO222" s="48" t="s">
        <v>3522</v>
      </c>
      <c r="EP222" s="48" t="s">
        <v>4562</v>
      </c>
      <c r="EQ222">
        <v>1027.29</v>
      </c>
      <c r="ER222">
        <v>1027.29</v>
      </c>
      <c r="ES222">
        <v>1475059</v>
      </c>
      <c r="ET222">
        <v>1001</v>
      </c>
      <c r="EU222" s="48" t="s">
        <v>1710</v>
      </c>
      <c r="EV222" s="48" t="s">
        <v>1710</v>
      </c>
      <c r="EW222" s="48" t="s">
        <v>1712</v>
      </c>
      <c r="EX222" s="48" t="s">
        <v>1710</v>
      </c>
      <c r="EY222" s="48" t="s">
        <v>1873</v>
      </c>
      <c r="EZ222" s="48" t="s">
        <v>1710</v>
      </c>
      <c r="FA222" s="48" t="s">
        <v>1710</v>
      </c>
      <c r="FB222" s="48" t="s">
        <v>1712</v>
      </c>
      <c r="FC222" s="48" t="s">
        <v>1710</v>
      </c>
      <c r="FD222" s="48" t="s">
        <v>1710</v>
      </c>
      <c r="FE222" s="48" t="s">
        <v>1814</v>
      </c>
      <c r="FF222" s="48" t="s">
        <v>1815</v>
      </c>
      <c r="FG222" s="48" t="s">
        <v>1710</v>
      </c>
      <c r="FH222">
        <v>1</v>
      </c>
      <c r="FI222" s="48" t="s">
        <v>1846</v>
      </c>
      <c r="FJ222">
        <v>1027.29</v>
      </c>
      <c r="FK222">
        <v>1027.29</v>
      </c>
      <c r="FL222" s="48" t="s">
        <v>4563</v>
      </c>
      <c r="FM222" s="48" t="s">
        <v>4562</v>
      </c>
      <c r="FN222" s="48" t="s">
        <v>1710</v>
      </c>
      <c r="FO222" s="48" t="s">
        <v>1710</v>
      </c>
      <c r="FP222" s="48" t="s">
        <v>1710</v>
      </c>
      <c r="FQ222" s="48" t="s">
        <v>1710</v>
      </c>
      <c r="FR222" s="48" t="s">
        <v>1710</v>
      </c>
      <c r="FS222" s="48" t="s">
        <v>1710</v>
      </c>
      <c r="FT222" s="48" t="s">
        <v>1710</v>
      </c>
      <c r="FU222" s="48" t="s">
        <v>1710</v>
      </c>
      <c r="FV222" s="48"/>
      <c r="FW222" s="56"/>
      <c r="FX222" s="56"/>
      <c r="FY222" s="56"/>
      <c r="FZ222" s="56"/>
      <c r="GA222" s="55" t="str">
        <f t="shared" si="11"/>
        <v>4388426300520X</v>
      </c>
      <c r="GB222" t="str">
        <f>VLOOKUP(B222,수출코드!$C$2:$D$4,2,FALSE)</f>
        <v>Suwon</v>
      </c>
      <c r="GC222" t="str">
        <f>VLOOKUP(L222,수출코드!$A$2:$B$6,2,FALSE)</f>
        <v/>
      </c>
      <c r="GD222" t="str">
        <f>VLOOKUP(M222,수출코드!$E$2:$F$5,2,FALSE)</f>
        <v>일반</v>
      </c>
      <c r="GE222" s="61">
        <f t="shared" si="9"/>
        <v>45974.446527777778</v>
      </c>
      <c r="GF222" s="62">
        <f t="shared" si="10"/>
        <v>46052.740277777775</v>
      </c>
      <c r="GI222" s="48" t="s">
        <v>2779</v>
      </c>
    </row>
    <row r="223" spans="1:191">
      <c r="A223" s="48" t="s">
        <v>4564</v>
      </c>
      <c r="B223" s="48" t="s">
        <v>1821</v>
      </c>
      <c r="C223" s="48" t="s">
        <v>2048</v>
      </c>
      <c r="D223" s="48" t="s">
        <v>2813</v>
      </c>
      <c r="E223" s="48" t="s">
        <v>4564</v>
      </c>
      <c r="F223" s="48" t="s">
        <v>1710</v>
      </c>
      <c r="G223" s="48" t="s">
        <v>2814</v>
      </c>
      <c r="H223" s="48" t="s">
        <v>4565</v>
      </c>
      <c r="I223" s="48" t="s">
        <v>1884</v>
      </c>
      <c r="J223" s="48" t="s">
        <v>2825</v>
      </c>
      <c r="K223" s="48" t="s">
        <v>1877</v>
      </c>
      <c r="L223" s="48" t="s">
        <v>1842</v>
      </c>
      <c r="M223" s="48" t="s">
        <v>1810</v>
      </c>
      <c r="N223" s="48" t="s">
        <v>1842</v>
      </c>
      <c r="O223" s="48" t="s">
        <v>1811</v>
      </c>
      <c r="P223" s="48" t="s">
        <v>2549</v>
      </c>
      <c r="Q223" s="48" t="s">
        <v>2049</v>
      </c>
      <c r="R223" s="48" t="s">
        <v>1838</v>
      </c>
      <c r="S223" s="48" t="s">
        <v>2050</v>
      </c>
      <c r="T223" s="48" t="s">
        <v>1845</v>
      </c>
      <c r="U223" s="48" t="s">
        <v>2049</v>
      </c>
      <c r="V223" s="48" t="s">
        <v>1838</v>
      </c>
      <c r="W223" s="48" t="s">
        <v>2051</v>
      </c>
      <c r="X223" s="48" t="s">
        <v>2052</v>
      </c>
      <c r="Y223" s="48" t="s">
        <v>2050</v>
      </c>
      <c r="Z223" s="48" t="s">
        <v>2053</v>
      </c>
      <c r="AA223" s="48" t="s">
        <v>2054</v>
      </c>
      <c r="AB223" s="48" t="s">
        <v>2817</v>
      </c>
      <c r="AC223" s="48" t="s">
        <v>2055</v>
      </c>
      <c r="AD223" s="48" t="s">
        <v>2056</v>
      </c>
      <c r="AE223" s="48" t="s">
        <v>1710</v>
      </c>
      <c r="AF223" s="48" t="s">
        <v>1710</v>
      </c>
      <c r="AG223" s="48" t="s">
        <v>2057</v>
      </c>
      <c r="AH223" s="48" t="s">
        <v>1815</v>
      </c>
      <c r="AI223" s="48" t="s">
        <v>2058</v>
      </c>
      <c r="AJ223" s="48" t="s">
        <v>1710</v>
      </c>
      <c r="AK223" s="48" t="s">
        <v>2560</v>
      </c>
      <c r="AL223" s="48" t="s">
        <v>2561</v>
      </c>
      <c r="AM223" s="48" t="s">
        <v>1816</v>
      </c>
      <c r="AN223" s="48" t="s">
        <v>2054</v>
      </c>
      <c r="AO223" s="48" t="s">
        <v>1710</v>
      </c>
      <c r="AP223" s="48" t="s">
        <v>1855</v>
      </c>
      <c r="AQ223" s="48" t="s">
        <v>2076</v>
      </c>
      <c r="AR223" s="48" t="s">
        <v>1812</v>
      </c>
      <c r="AS223" s="48" t="s">
        <v>1813</v>
      </c>
      <c r="AT223" s="48" t="s">
        <v>1826</v>
      </c>
      <c r="AU223" s="48" t="s">
        <v>2061</v>
      </c>
      <c r="AV223" s="48" t="s">
        <v>2825</v>
      </c>
      <c r="AW223" s="48" t="s">
        <v>2062</v>
      </c>
      <c r="AX223" s="48" t="s">
        <v>2063</v>
      </c>
      <c r="AY223" s="48" t="s">
        <v>1710</v>
      </c>
      <c r="AZ223" s="48" t="s">
        <v>4566</v>
      </c>
      <c r="BA223" s="48" t="s">
        <v>1710</v>
      </c>
      <c r="BB223" s="48" t="s">
        <v>1709</v>
      </c>
      <c r="BC223" s="48" t="s">
        <v>1710</v>
      </c>
      <c r="BD223" s="48" t="s">
        <v>2097</v>
      </c>
      <c r="BE223" s="52" t="s">
        <v>4438</v>
      </c>
      <c r="BF223" s="48" t="s">
        <v>1710</v>
      </c>
      <c r="BG223" s="48" t="s">
        <v>1814</v>
      </c>
      <c r="BH223">
        <v>1</v>
      </c>
      <c r="BI223" s="48" t="s">
        <v>1888</v>
      </c>
      <c r="BJ223">
        <v>1</v>
      </c>
      <c r="BK223">
        <v>1473.06</v>
      </c>
      <c r="BL223">
        <v>837057</v>
      </c>
      <c r="BM223">
        <v>568</v>
      </c>
      <c r="BN223" s="48" t="s">
        <v>2064</v>
      </c>
      <c r="BO223" s="48" t="s">
        <v>2065</v>
      </c>
      <c r="BP223">
        <v>1473.06</v>
      </c>
      <c r="BQ223">
        <v>582.5</v>
      </c>
      <c r="BR223" s="48" t="s">
        <v>1885</v>
      </c>
      <c r="BS223" s="48" t="s">
        <v>2066</v>
      </c>
      <c r="BT223">
        <v>1</v>
      </c>
      <c r="BU223">
        <v>21000</v>
      </c>
      <c r="BV223">
        <v>21000</v>
      </c>
      <c r="BW223" s="48" t="s">
        <v>2065</v>
      </c>
      <c r="BX223">
        <v>1473.06</v>
      </c>
      <c r="BY223">
        <v>0</v>
      </c>
      <c r="BZ223">
        <v>0</v>
      </c>
      <c r="CA223" s="48" t="s">
        <v>2065</v>
      </c>
      <c r="CB223">
        <v>1473.06</v>
      </c>
      <c r="CC223">
        <v>0</v>
      </c>
      <c r="CD223">
        <v>0</v>
      </c>
      <c r="CE223" s="48" t="s">
        <v>1710</v>
      </c>
      <c r="CF223" s="48" t="s">
        <v>1710</v>
      </c>
      <c r="CG223" s="48" t="s">
        <v>1710</v>
      </c>
      <c r="CH223" s="48" t="s">
        <v>1710</v>
      </c>
      <c r="CI223" s="48" t="s">
        <v>2067</v>
      </c>
      <c r="CJ223" s="48" t="s">
        <v>1710</v>
      </c>
      <c r="CL223" s="48" t="s">
        <v>2825</v>
      </c>
      <c r="CM223" s="48" t="s">
        <v>1710</v>
      </c>
      <c r="CN223" s="48" t="s">
        <v>2068</v>
      </c>
      <c r="CO223" s="48" t="s">
        <v>2069</v>
      </c>
      <c r="CP223" s="48" t="s">
        <v>1710</v>
      </c>
      <c r="CQ223" s="48" t="s">
        <v>1710</v>
      </c>
      <c r="CR223" s="48" t="s">
        <v>1710</v>
      </c>
      <c r="CS223" s="48" t="s">
        <v>1710</v>
      </c>
      <c r="CT223" s="48" t="s">
        <v>1710</v>
      </c>
      <c r="CU223" s="48" t="s">
        <v>1712</v>
      </c>
      <c r="CV223" s="48" t="s">
        <v>1710</v>
      </c>
      <c r="CW223" s="48" t="s">
        <v>1710</v>
      </c>
      <c r="CX223" s="48" t="s">
        <v>3167</v>
      </c>
      <c r="CY223" s="48" t="s">
        <v>1710</v>
      </c>
      <c r="CZ223" s="48" t="s">
        <v>1712</v>
      </c>
      <c r="DA223" s="48" t="s">
        <v>1710</v>
      </c>
      <c r="DB223" s="48" t="s">
        <v>1878</v>
      </c>
      <c r="DC223" s="48" t="s">
        <v>2070</v>
      </c>
      <c r="DD223" s="48" t="s">
        <v>1842</v>
      </c>
      <c r="DE223" s="48" t="s">
        <v>1886</v>
      </c>
      <c r="DF223" s="48" t="s">
        <v>4567</v>
      </c>
      <c r="DG223" s="48" t="s">
        <v>2071</v>
      </c>
      <c r="DH223" s="48" t="s">
        <v>1712</v>
      </c>
      <c r="DI223" s="48" t="s">
        <v>1710</v>
      </c>
      <c r="DJ223" s="48" t="s">
        <v>1710</v>
      </c>
      <c r="DK223" s="48" t="s">
        <v>1710</v>
      </c>
      <c r="DL223" s="48" t="s">
        <v>1710</v>
      </c>
      <c r="DM223" s="48" t="s">
        <v>1710</v>
      </c>
      <c r="DN223" s="48" t="s">
        <v>1710</v>
      </c>
      <c r="DO223" s="48" t="s">
        <v>1710</v>
      </c>
      <c r="DP223" s="48" t="s">
        <v>1710</v>
      </c>
      <c r="DQ223" s="48" t="s">
        <v>1710</v>
      </c>
      <c r="DR223" s="48" t="s">
        <v>2072</v>
      </c>
      <c r="DS223" s="48" t="s">
        <v>1710</v>
      </c>
      <c r="DT223" s="48" t="s">
        <v>1710</v>
      </c>
      <c r="DU223" s="48" t="s">
        <v>2547</v>
      </c>
      <c r="DV223" s="48" t="s">
        <v>1710</v>
      </c>
      <c r="DW223" s="48" t="s">
        <v>1710</v>
      </c>
      <c r="DX223" s="48" t="s">
        <v>1710</v>
      </c>
      <c r="DY223" s="48" t="s">
        <v>1710</v>
      </c>
      <c r="DZ223" s="48" t="s">
        <v>2562</v>
      </c>
      <c r="EA223" s="48" t="s">
        <v>2546</v>
      </c>
      <c r="EB223">
        <v>0</v>
      </c>
      <c r="EC223" s="48" t="s">
        <v>2547</v>
      </c>
      <c r="ED223" s="48" t="s">
        <v>4561</v>
      </c>
      <c r="EE223" s="48" t="s">
        <v>1814</v>
      </c>
      <c r="EF223" s="48" t="s">
        <v>4568</v>
      </c>
      <c r="EG223" s="48" t="s">
        <v>4566</v>
      </c>
      <c r="EH223">
        <v>0.20699999999999999</v>
      </c>
      <c r="EI223" s="48" t="s">
        <v>1888</v>
      </c>
      <c r="EJ223">
        <v>3</v>
      </c>
      <c r="EK223" s="48" t="s">
        <v>1887</v>
      </c>
      <c r="EL223">
        <v>1</v>
      </c>
      <c r="EM223" s="48" t="s">
        <v>1886</v>
      </c>
      <c r="EN223">
        <v>0.20699999999999999</v>
      </c>
      <c r="EO223" s="48" t="s">
        <v>4569</v>
      </c>
      <c r="EP223" s="48" t="s">
        <v>4570</v>
      </c>
      <c r="EQ223">
        <v>582.5</v>
      </c>
      <c r="ER223">
        <v>582.5</v>
      </c>
      <c r="ES223">
        <v>837057</v>
      </c>
      <c r="ET223">
        <v>568</v>
      </c>
      <c r="EU223" s="48" t="s">
        <v>1710</v>
      </c>
      <c r="EV223" s="48" t="s">
        <v>1710</v>
      </c>
      <c r="EW223" s="48" t="s">
        <v>1712</v>
      </c>
      <c r="EX223" s="48" t="s">
        <v>1710</v>
      </c>
      <c r="EY223" s="48" t="s">
        <v>1848</v>
      </c>
      <c r="EZ223" s="48" t="s">
        <v>1710</v>
      </c>
      <c r="FA223" s="48" t="s">
        <v>1710</v>
      </c>
      <c r="FB223" s="48" t="s">
        <v>1712</v>
      </c>
      <c r="FC223" s="48" t="s">
        <v>1710</v>
      </c>
      <c r="FD223" s="48" t="s">
        <v>1710</v>
      </c>
      <c r="FE223" s="48" t="s">
        <v>1814</v>
      </c>
      <c r="FF223" s="48" t="s">
        <v>1815</v>
      </c>
      <c r="FG223" s="48" t="s">
        <v>1710</v>
      </c>
      <c r="FH223">
        <v>3</v>
      </c>
      <c r="FI223" s="48" t="s">
        <v>1846</v>
      </c>
      <c r="FJ223">
        <v>582.5</v>
      </c>
      <c r="FK223">
        <v>194.167</v>
      </c>
      <c r="FL223" s="48" t="s">
        <v>4571</v>
      </c>
      <c r="FM223" s="48" t="s">
        <v>4570</v>
      </c>
      <c r="FN223" s="48" t="s">
        <v>1710</v>
      </c>
      <c r="FO223" s="48" t="s">
        <v>1710</v>
      </c>
      <c r="FP223" s="48" t="s">
        <v>1710</v>
      </c>
      <c r="FQ223" s="48" t="s">
        <v>1710</v>
      </c>
      <c r="FR223" s="48" t="s">
        <v>1710</v>
      </c>
      <c r="FS223" s="48" t="s">
        <v>1710</v>
      </c>
      <c r="FT223" s="48" t="s">
        <v>1710</v>
      </c>
      <c r="FU223" s="48" t="s">
        <v>1710</v>
      </c>
      <c r="FV223" s="48"/>
      <c r="FW223" s="56"/>
      <c r="FX223" s="56"/>
      <c r="FY223" s="56"/>
      <c r="FZ223" s="56"/>
      <c r="GA223" s="55" t="str">
        <f t="shared" si="11"/>
        <v>4388426300521X</v>
      </c>
      <c r="GB223" t="str">
        <f>VLOOKUP(B223,수출코드!$C$2:$D$4,2,FALSE)</f>
        <v>Suwon</v>
      </c>
      <c r="GC223" t="str">
        <f>VLOOKUP(L223,수출코드!$A$2:$B$6,2,FALSE)</f>
        <v/>
      </c>
      <c r="GD223" t="str">
        <f>VLOOKUP(M223,수출코드!$E$2:$F$5,2,FALSE)</f>
        <v>일반</v>
      </c>
      <c r="GE223" s="61">
        <f t="shared" si="9"/>
        <v>45974.446527777778</v>
      </c>
      <c r="GF223" s="62">
        <f t="shared" si="10"/>
        <v>46052.740277777775</v>
      </c>
      <c r="GI223" s="48" t="s">
        <v>2779</v>
      </c>
    </row>
    <row r="224" spans="1:191">
      <c r="A224" s="48" t="s">
        <v>4572</v>
      </c>
      <c r="B224" s="48" t="s">
        <v>1821</v>
      </c>
      <c r="C224" s="48" t="s">
        <v>2048</v>
      </c>
      <c r="D224" s="48" t="s">
        <v>2813</v>
      </c>
      <c r="E224" s="48" t="s">
        <v>4572</v>
      </c>
      <c r="F224" s="48" t="s">
        <v>1710</v>
      </c>
      <c r="G224" s="48" t="s">
        <v>2814</v>
      </c>
      <c r="H224" s="48" t="s">
        <v>4573</v>
      </c>
      <c r="I224" s="48" t="s">
        <v>1884</v>
      </c>
      <c r="J224" s="48" t="s">
        <v>2825</v>
      </c>
      <c r="K224" s="48" t="s">
        <v>1877</v>
      </c>
      <c r="L224" s="48" t="s">
        <v>1842</v>
      </c>
      <c r="M224" s="48" t="s">
        <v>1810</v>
      </c>
      <c r="N224" s="48" t="s">
        <v>1842</v>
      </c>
      <c r="O224" s="48" t="s">
        <v>1811</v>
      </c>
      <c r="P224" s="48" t="s">
        <v>2549</v>
      </c>
      <c r="Q224" s="48" t="s">
        <v>2049</v>
      </c>
      <c r="R224" s="48" t="s">
        <v>1838</v>
      </c>
      <c r="S224" s="48" t="s">
        <v>2050</v>
      </c>
      <c r="T224" s="48" t="s">
        <v>1845</v>
      </c>
      <c r="U224" s="48" t="s">
        <v>2049</v>
      </c>
      <c r="V224" s="48" t="s">
        <v>1838</v>
      </c>
      <c r="W224" s="48" t="s">
        <v>2051</v>
      </c>
      <c r="X224" s="48" t="s">
        <v>2052</v>
      </c>
      <c r="Y224" s="48" t="s">
        <v>2050</v>
      </c>
      <c r="Z224" s="48" t="s">
        <v>2053</v>
      </c>
      <c r="AA224" s="48" t="s">
        <v>2054</v>
      </c>
      <c r="AB224" s="48" t="s">
        <v>2817</v>
      </c>
      <c r="AC224" s="48" t="s">
        <v>2055</v>
      </c>
      <c r="AD224" s="48" t="s">
        <v>2056</v>
      </c>
      <c r="AE224" s="48" t="s">
        <v>1710</v>
      </c>
      <c r="AF224" s="48" t="s">
        <v>1710</v>
      </c>
      <c r="AG224" s="48" t="s">
        <v>2057</v>
      </c>
      <c r="AH224" s="48" t="s">
        <v>1815</v>
      </c>
      <c r="AI224" s="48" t="s">
        <v>2058</v>
      </c>
      <c r="AJ224" s="48" t="s">
        <v>1710</v>
      </c>
      <c r="AK224" s="48" t="s">
        <v>2059</v>
      </c>
      <c r="AL224" s="48" t="s">
        <v>1858</v>
      </c>
      <c r="AM224" s="48" t="s">
        <v>1816</v>
      </c>
      <c r="AN224" s="48" t="s">
        <v>2054</v>
      </c>
      <c r="AO224" s="48" t="s">
        <v>1710</v>
      </c>
      <c r="AP224" s="48" t="s">
        <v>1848</v>
      </c>
      <c r="AQ224" s="48" t="s">
        <v>2060</v>
      </c>
      <c r="AR224" s="48" t="s">
        <v>1812</v>
      </c>
      <c r="AS224" s="48" t="s">
        <v>1813</v>
      </c>
      <c r="AT224" s="48" t="s">
        <v>1826</v>
      </c>
      <c r="AU224" s="48" t="s">
        <v>2061</v>
      </c>
      <c r="AV224" s="48" t="s">
        <v>2825</v>
      </c>
      <c r="AW224" s="48" t="s">
        <v>2062</v>
      </c>
      <c r="AX224" s="48" t="s">
        <v>2063</v>
      </c>
      <c r="AY224" s="48" t="s">
        <v>1710</v>
      </c>
      <c r="AZ224" s="48" t="s">
        <v>4574</v>
      </c>
      <c r="BA224" s="48" t="s">
        <v>1710</v>
      </c>
      <c r="BB224" s="48" t="s">
        <v>1709</v>
      </c>
      <c r="BC224" s="48" t="s">
        <v>1710</v>
      </c>
      <c r="BD224" s="48" t="s">
        <v>2097</v>
      </c>
      <c r="BE224" s="52" t="s">
        <v>4438</v>
      </c>
      <c r="BF224" s="48" t="s">
        <v>1710</v>
      </c>
      <c r="BG224" s="48" t="s">
        <v>1814</v>
      </c>
      <c r="BH224">
        <v>1</v>
      </c>
      <c r="BI224" s="48" t="s">
        <v>1888</v>
      </c>
      <c r="BJ224">
        <v>1</v>
      </c>
      <c r="BK224">
        <v>1473.06</v>
      </c>
      <c r="BL224">
        <v>656702</v>
      </c>
      <c r="BM224">
        <v>446</v>
      </c>
      <c r="BN224" s="48" t="s">
        <v>2064</v>
      </c>
      <c r="BO224" s="48" t="s">
        <v>2065</v>
      </c>
      <c r="BP224">
        <v>1473.06</v>
      </c>
      <c r="BQ224">
        <v>468.55</v>
      </c>
      <c r="BR224" s="48" t="s">
        <v>1885</v>
      </c>
      <c r="BS224" s="48" t="s">
        <v>2066</v>
      </c>
      <c r="BT224">
        <v>1</v>
      </c>
      <c r="BU224">
        <v>33500</v>
      </c>
      <c r="BV224">
        <v>33500</v>
      </c>
      <c r="BW224" s="48" t="s">
        <v>2065</v>
      </c>
      <c r="BX224">
        <v>1473.06</v>
      </c>
      <c r="BY224">
        <v>0</v>
      </c>
      <c r="BZ224">
        <v>0</v>
      </c>
      <c r="CA224" s="48" t="s">
        <v>2065</v>
      </c>
      <c r="CB224">
        <v>1473.06</v>
      </c>
      <c r="CC224">
        <v>0</v>
      </c>
      <c r="CD224">
        <v>0</v>
      </c>
      <c r="CE224" s="48" t="s">
        <v>1710</v>
      </c>
      <c r="CF224" s="48" t="s">
        <v>1710</v>
      </c>
      <c r="CG224" s="48" t="s">
        <v>1710</v>
      </c>
      <c r="CH224" s="48" t="s">
        <v>1710</v>
      </c>
      <c r="CI224" s="48" t="s">
        <v>2067</v>
      </c>
      <c r="CJ224" s="48" t="s">
        <v>1710</v>
      </c>
      <c r="CL224" s="48" t="s">
        <v>2825</v>
      </c>
      <c r="CM224" s="48" t="s">
        <v>1710</v>
      </c>
      <c r="CN224" s="48" t="s">
        <v>2068</v>
      </c>
      <c r="CO224" s="48" t="s">
        <v>2069</v>
      </c>
      <c r="CP224" s="48" t="s">
        <v>1710</v>
      </c>
      <c r="CQ224" s="48" t="s">
        <v>1710</v>
      </c>
      <c r="CR224" s="48" t="s">
        <v>1710</v>
      </c>
      <c r="CS224" s="48" t="s">
        <v>1710</v>
      </c>
      <c r="CT224" s="48" t="s">
        <v>1710</v>
      </c>
      <c r="CU224" s="48" t="s">
        <v>1712</v>
      </c>
      <c r="CV224" s="48" t="s">
        <v>1710</v>
      </c>
      <c r="CW224" s="48" t="s">
        <v>1710</v>
      </c>
      <c r="CX224" s="48" t="s">
        <v>3167</v>
      </c>
      <c r="CY224" s="48" t="s">
        <v>1710</v>
      </c>
      <c r="CZ224" s="48" t="s">
        <v>1712</v>
      </c>
      <c r="DA224" s="48" t="s">
        <v>1710</v>
      </c>
      <c r="DB224" s="48" t="s">
        <v>1878</v>
      </c>
      <c r="DC224" s="48" t="s">
        <v>2070</v>
      </c>
      <c r="DD224" s="48" t="s">
        <v>1842</v>
      </c>
      <c r="DE224" s="48" t="s">
        <v>1886</v>
      </c>
      <c r="DF224" s="48" t="s">
        <v>4575</v>
      </c>
      <c r="DG224" s="48" t="s">
        <v>2071</v>
      </c>
      <c r="DH224" s="48" t="s">
        <v>1712</v>
      </c>
      <c r="DI224" s="48" t="s">
        <v>1710</v>
      </c>
      <c r="DJ224" s="48" t="s">
        <v>1710</v>
      </c>
      <c r="DK224" s="48" t="s">
        <v>1710</v>
      </c>
      <c r="DL224" s="48" t="s">
        <v>1710</v>
      </c>
      <c r="DM224" s="48" t="s">
        <v>1710</v>
      </c>
      <c r="DN224" s="48" t="s">
        <v>1710</v>
      </c>
      <c r="DO224" s="48" t="s">
        <v>1710</v>
      </c>
      <c r="DP224" s="48" t="s">
        <v>1710</v>
      </c>
      <c r="DQ224" s="48" t="s">
        <v>1710</v>
      </c>
      <c r="DR224" s="48" t="s">
        <v>2072</v>
      </c>
      <c r="DS224" s="48" t="s">
        <v>1710</v>
      </c>
      <c r="DT224" s="48" t="s">
        <v>1710</v>
      </c>
      <c r="DU224" s="48" t="s">
        <v>2547</v>
      </c>
      <c r="DV224" s="48" t="s">
        <v>1710</v>
      </c>
      <c r="DW224" s="48" t="s">
        <v>1710</v>
      </c>
      <c r="DX224" s="48" t="s">
        <v>1710</v>
      </c>
      <c r="DY224" s="48" t="s">
        <v>1710</v>
      </c>
      <c r="DZ224" s="48" t="s">
        <v>2562</v>
      </c>
      <c r="EA224" s="48" t="s">
        <v>2546</v>
      </c>
      <c r="EB224">
        <v>0</v>
      </c>
      <c r="EC224" s="48" t="s">
        <v>2547</v>
      </c>
      <c r="ED224" s="48" t="s">
        <v>4561</v>
      </c>
      <c r="EE224" s="48" t="s">
        <v>1814</v>
      </c>
      <c r="EF224" s="48" t="s">
        <v>1862</v>
      </c>
      <c r="EG224" s="48" t="s">
        <v>4574</v>
      </c>
      <c r="EH224">
        <v>0.13800000000000001</v>
      </c>
      <c r="EI224" s="48" t="s">
        <v>1888</v>
      </c>
      <c r="EJ224">
        <v>0</v>
      </c>
      <c r="EK224" s="48" t="s">
        <v>1710</v>
      </c>
      <c r="EL224">
        <v>1</v>
      </c>
      <c r="EM224" s="48" t="s">
        <v>1886</v>
      </c>
      <c r="EN224">
        <v>0.13800000000000001</v>
      </c>
      <c r="EO224" s="48" t="s">
        <v>2522</v>
      </c>
      <c r="EP224" s="48" t="s">
        <v>4576</v>
      </c>
      <c r="EQ224">
        <v>468.55</v>
      </c>
      <c r="ER224">
        <v>468.55</v>
      </c>
      <c r="ES224">
        <v>656702</v>
      </c>
      <c r="ET224">
        <v>446</v>
      </c>
      <c r="EU224" s="48" t="s">
        <v>1710</v>
      </c>
      <c r="EV224" s="48" t="s">
        <v>1710</v>
      </c>
      <c r="EW224" s="48" t="s">
        <v>1712</v>
      </c>
      <c r="EX224" s="48" t="s">
        <v>1710</v>
      </c>
      <c r="EY224" s="48" t="s">
        <v>1855</v>
      </c>
      <c r="EZ224" s="48" t="s">
        <v>1710</v>
      </c>
      <c r="FA224" s="48" t="s">
        <v>1710</v>
      </c>
      <c r="FB224" s="48" t="s">
        <v>1712</v>
      </c>
      <c r="FC224" s="48" t="s">
        <v>1710</v>
      </c>
      <c r="FD224" s="48" t="s">
        <v>1710</v>
      </c>
      <c r="FE224" s="48" t="s">
        <v>1814</v>
      </c>
      <c r="FF224" s="48" t="s">
        <v>1815</v>
      </c>
      <c r="FG224" s="48" t="s">
        <v>1710</v>
      </c>
      <c r="FH224">
        <v>6</v>
      </c>
      <c r="FI224" s="48" t="s">
        <v>1846</v>
      </c>
      <c r="FJ224">
        <v>468.55</v>
      </c>
      <c r="FK224">
        <v>78.091999999999999</v>
      </c>
      <c r="FL224" s="48" t="s">
        <v>4577</v>
      </c>
      <c r="FM224" s="48" t="s">
        <v>4576</v>
      </c>
      <c r="FN224" s="48" t="s">
        <v>1710</v>
      </c>
      <c r="FO224" s="48" t="s">
        <v>1710</v>
      </c>
      <c r="FP224" s="48" t="s">
        <v>1710</v>
      </c>
      <c r="FQ224" s="48" t="s">
        <v>1710</v>
      </c>
      <c r="FR224" s="48" t="s">
        <v>1710</v>
      </c>
      <c r="FS224" s="48" t="s">
        <v>1710</v>
      </c>
      <c r="FT224" s="48" t="s">
        <v>1710</v>
      </c>
      <c r="FU224" s="48" t="s">
        <v>1710</v>
      </c>
      <c r="FV224" s="48"/>
      <c r="FW224" s="56"/>
      <c r="FX224" s="56"/>
      <c r="FY224" s="56"/>
      <c r="FZ224" s="56"/>
      <c r="GA224" s="55" t="str">
        <f t="shared" si="11"/>
        <v>4388426300522X</v>
      </c>
      <c r="GB224" t="str">
        <f>VLOOKUP(B224,수출코드!$C$2:$D$4,2,FALSE)</f>
        <v>Suwon</v>
      </c>
      <c r="GC224" t="str">
        <f>VLOOKUP(L224,수출코드!$A$2:$B$6,2,FALSE)</f>
        <v/>
      </c>
      <c r="GD224" t="str">
        <f>VLOOKUP(M224,수출코드!$E$2:$F$5,2,FALSE)</f>
        <v>일반</v>
      </c>
      <c r="GE224" s="61">
        <f t="shared" si="9"/>
        <v>45974.556250000001</v>
      </c>
      <c r="GF224" s="62">
        <f t="shared" si="10"/>
        <v>46052.740277777775</v>
      </c>
      <c r="GI224" s="48" t="s">
        <v>2780</v>
      </c>
    </row>
    <row r="225" spans="1:191">
      <c r="A225" s="48" t="s">
        <v>4578</v>
      </c>
      <c r="B225" s="48" t="s">
        <v>1821</v>
      </c>
      <c r="C225" s="48" t="s">
        <v>2048</v>
      </c>
      <c r="D225" s="48" t="s">
        <v>2813</v>
      </c>
      <c r="E225" s="48" t="s">
        <v>4578</v>
      </c>
      <c r="F225" s="48" t="s">
        <v>1710</v>
      </c>
      <c r="G225" s="48" t="s">
        <v>2814</v>
      </c>
      <c r="H225" s="48" t="s">
        <v>4579</v>
      </c>
      <c r="I225" s="48" t="s">
        <v>1884</v>
      </c>
      <c r="J225" s="48" t="s">
        <v>2835</v>
      </c>
      <c r="K225" s="48" t="s">
        <v>1877</v>
      </c>
      <c r="L225" s="48" t="s">
        <v>1844</v>
      </c>
      <c r="M225" s="48" t="s">
        <v>1810</v>
      </c>
      <c r="N225" s="48" t="s">
        <v>1842</v>
      </c>
      <c r="O225" s="48" t="s">
        <v>1811</v>
      </c>
      <c r="P225" s="48" t="s">
        <v>2549</v>
      </c>
      <c r="Q225" s="48" t="s">
        <v>2049</v>
      </c>
      <c r="R225" s="48" t="s">
        <v>1838</v>
      </c>
      <c r="S225" s="48" t="s">
        <v>2050</v>
      </c>
      <c r="T225" s="48" t="s">
        <v>1845</v>
      </c>
      <c r="U225" s="48" t="s">
        <v>2049</v>
      </c>
      <c r="V225" s="48" t="s">
        <v>1838</v>
      </c>
      <c r="W225" s="48" t="s">
        <v>2051</v>
      </c>
      <c r="X225" s="48" t="s">
        <v>2052</v>
      </c>
      <c r="Y225" s="48" t="s">
        <v>2050</v>
      </c>
      <c r="Z225" s="48" t="s">
        <v>2053</v>
      </c>
      <c r="AA225" s="48" t="s">
        <v>2054</v>
      </c>
      <c r="AB225" s="48" t="s">
        <v>1710</v>
      </c>
      <c r="AC225" s="48" t="s">
        <v>2055</v>
      </c>
      <c r="AD225" s="48" t="s">
        <v>2056</v>
      </c>
      <c r="AE225" s="48" t="s">
        <v>1710</v>
      </c>
      <c r="AF225" s="48" t="s">
        <v>1710</v>
      </c>
      <c r="AG225" s="48" t="s">
        <v>2057</v>
      </c>
      <c r="AH225" s="48" t="s">
        <v>1815</v>
      </c>
      <c r="AI225" s="48" t="s">
        <v>2058</v>
      </c>
      <c r="AJ225" s="48" t="s">
        <v>1710</v>
      </c>
      <c r="AK225" s="48" t="s">
        <v>2563</v>
      </c>
      <c r="AL225" s="48" t="s">
        <v>2564</v>
      </c>
      <c r="AM225" s="48" t="s">
        <v>1816</v>
      </c>
      <c r="AN225" s="48" t="s">
        <v>2054</v>
      </c>
      <c r="AO225" s="48" t="s">
        <v>1710</v>
      </c>
      <c r="AP225" s="48" t="s">
        <v>1855</v>
      </c>
      <c r="AQ225" s="48" t="s">
        <v>2076</v>
      </c>
      <c r="AR225" s="48" t="s">
        <v>1812</v>
      </c>
      <c r="AS225" s="48" t="s">
        <v>1813</v>
      </c>
      <c r="AT225" s="48" t="s">
        <v>1826</v>
      </c>
      <c r="AU225" s="48" t="s">
        <v>2061</v>
      </c>
      <c r="AV225" s="48" t="s">
        <v>2835</v>
      </c>
      <c r="AW225" s="48" t="s">
        <v>2062</v>
      </c>
      <c r="AX225" s="48" t="s">
        <v>2063</v>
      </c>
      <c r="AY225" s="48" t="s">
        <v>1710</v>
      </c>
      <c r="AZ225" s="48" t="s">
        <v>4580</v>
      </c>
      <c r="BA225" s="48" t="s">
        <v>1710</v>
      </c>
      <c r="BB225" s="48" t="s">
        <v>1709</v>
      </c>
      <c r="BC225" s="48" t="s">
        <v>1710</v>
      </c>
      <c r="BD225" s="48" t="s">
        <v>3137</v>
      </c>
      <c r="BE225" s="52" t="s">
        <v>4581</v>
      </c>
      <c r="BF225" s="48" t="s">
        <v>1710</v>
      </c>
      <c r="BG225" s="48" t="s">
        <v>2543</v>
      </c>
      <c r="BH225">
        <v>74</v>
      </c>
      <c r="BI225" s="48" t="s">
        <v>1888</v>
      </c>
      <c r="BJ225">
        <v>2</v>
      </c>
      <c r="BK225">
        <v>1473.06</v>
      </c>
      <c r="BL225">
        <v>33595818</v>
      </c>
      <c r="BM225">
        <v>22807</v>
      </c>
      <c r="BN225" s="48" t="s">
        <v>2064</v>
      </c>
      <c r="BO225" s="48" t="s">
        <v>2065</v>
      </c>
      <c r="BP225">
        <v>1473.06</v>
      </c>
      <c r="BQ225">
        <v>23052.03</v>
      </c>
      <c r="BR225" s="48" t="s">
        <v>1885</v>
      </c>
      <c r="BS225" s="48" t="s">
        <v>2066</v>
      </c>
      <c r="BT225">
        <v>1</v>
      </c>
      <c r="BU225">
        <v>361200</v>
      </c>
      <c r="BV225">
        <v>361200</v>
      </c>
      <c r="BW225" s="48" t="s">
        <v>2065</v>
      </c>
      <c r="BX225">
        <v>1473.06</v>
      </c>
      <c r="BY225">
        <v>0</v>
      </c>
      <c r="BZ225">
        <v>0</v>
      </c>
      <c r="CA225" s="48" t="s">
        <v>2065</v>
      </c>
      <c r="CB225">
        <v>1473.06</v>
      </c>
      <c r="CC225">
        <v>0</v>
      </c>
      <c r="CD225">
        <v>0</v>
      </c>
      <c r="CE225" s="48" t="s">
        <v>1710</v>
      </c>
      <c r="CF225" s="48" t="s">
        <v>1710</v>
      </c>
      <c r="CG225" s="48" t="s">
        <v>1710</v>
      </c>
      <c r="CH225" s="48" t="s">
        <v>1710</v>
      </c>
      <c r="CI225" s="48" t="s">
        <v>2067</v>
      </c>
      <c r="CJ225" s="48" t="s">
        <v>1710</v>
      </c>
      <c r="CL225" s="48" t="s">
        <v>2835</v>
      </c>
      <c r="CM225" s="48" t="s">
        <v>1710</v>
      </c>
      <c r="CN225" s="48" t="s">
        <v>2068</v>
      </c>
      <c r="CO225" s="48" t="s">
        <v>2069</v>
      </c>
      <c r="CP225" s="48" t="s">
        <v>1710</v>
      </c>
      <c r="CQ225" s="48" t="s">
        <v>1710</v>
      </c>
      <c r="CR225" s="48" t="s">
        <v>1710</v>
      </c>
      <c r="CS225" s="48" t="s">
        <v>1710</v>
      </c>
      <c r="CT225" s="48" t="s">
        <v>1710</v>
      </c>
      <c r="CU225" s="48" t="s">
        <v>1712</v>
      </c>
      <c r="CV225" s="48" t="s">
        <v>1710</v>
      </c>
      <c r="CW225" s="48" t="s">
        <v>1710</v>
      </c>
      <c r="CX225" s="48" t="s">
        <v>2839</v>
      </c>
      <c r="CY225" s="48" t="s">
        <v>1710</v>
      </c>
      <c r="CZ225" s="48" t="s">
        <v>1712</v>
      </c>
      <c r="DA225" s="48" t="s">
        <v>1710</v>
      </c>
      <c r="DB225" s="48" t="s">
        <v>1878</v>
      </c>
      <c r="DC225" s="48" t="s">
        <v>2070</v>
      </c>
      <c r="DD225" s="48" t="s">
        <v>1842</v>
      </c>
      <c r="DE225" s="48" t="s">
        <v>1886</v>
      </c>
      <c r="DF225" s="48" t="s">
        <v>4582</v>
      </c>
      <c r="DG225" s="48" t="s">
        <v>2071</v>
      </c>
      <c r="DH225" s="48" t="s">
        <v>1712</v>
      </c>
      <c r="DI225" s="48" t="s">
        <v>1710</v>
      </c>
      <c r="DJ225" s="48" t="s">
        <v>1710</v>
      </c>
      <c r="DK225" s="48" t="s">
        <v>1710</v>
      </c>
      <c r="DL225" s="48" t="s">
        <v>1710</v>
      </c>
      <c r="DM225" s="48" t="s">
        <v>1710</v>
      </c>
      <c r="DN225" s="48" t="s">
        <v>1710</v>
      </c>
      <c r="DO225" s="48" t="s">
        <v>1710</v>
      </c>
      <c r="DP225" s="48" t="s">
        <v>1710</v>
      </c>
      <c r="DQ225" s="48" t="s">
        <v>1710</v>
      </c>
      <c r="DR225" s="48" t="s">
        <v>2072</v>
      </c>
      <c r="DS225" s="48" t="s">
        <v>1710</v>
      </c>
      <c r="DT225" s="48" t="s">
        <v>1710</v>
      </c>
      <c r="DU225" s="48" t="s">
        <v>2575</v>
      </c>
      <c r="DV225" s="48" t="s">
        <v>2850</v>
      </c>
      <c r="DW225" s="48" t="s">
        <v>1710</v>
      </c>
      <c r="DX225" s="48" t="s">
        <v>4583</v>
      </c>
      <c r="DY225" s="48" t="s">
        <v>1709</v>
      </c>
      <c r="DZ225" s="48" t="s">
        <v>2084</v>
      </c>
      <c r="EA225" s="48" t="s">
        <v>2546</v>
      </c>
      <c r="EB225">
        <v>0</v>
      </c>
      <c r="EC225" s="48" t="s">
        <v>2575</v>
      </c>
      <c r="ED225" s="48" t="s">
        <v>4584</v>
      </c>
      <c r="EE225" s="48" t="s">
        <v>1814</v>
      </c>
      <c r="EF225" s="48" t="s">
        <v>1864</v>
      </c>
      <c r="EG225" s="48" t="s">
        <v>4580</v>
      </c>
      <c r="EH225">
        <v>2.214</v>
      </c>
      <c r="EI225" s="48" t="s">
        <v>1888</v>
      </c>
      <c r="EJ225">
        <v>3</v>
      </c>
      <c r="EK225" s="48" t="s">
        <v>1887</v>
      </c>
      <c r="EL225">
        <v>2</v>
      </c>
      <c r="EM225" s="48" t="s">
        <v>1886</v>
      </c>
      <c r="EN225">
        <v>2.214</v>
      </c>
      <c r="EO225" s="48" t="s">
        <v>1865</v>
      </c>
      <c r="EP225" s="48" t="s">
        <v>4548</v>
      </c>
      <c r="EQ225">
        <v>2299.37</v>
      </c>
      <c r="ER225">
        <v>2299.37</v>
      </c>
      <c r="ES225">
        <v>3351081</v>
      </c>
      <c r="ET225">
        <v>2275</v>
      </c>
      <c r="EU225" s="48" t="s">
        <v>1710</v>
      </c>
      <c r="EV225" s="48" t="s">
        <v>1710</v>
      </c>
      <c r="EW225" s="48" t="s">
        <v>1712</v>
      </c>
      <c r="EX225" s="48" t="s">
        <v>1710</v>
      </c>
      <c r="EY225" s="48" t="s">
        <v>1860</v>
      </c>
      <c r="EZ225" s="48" t="s">
        <v>1710</v>
      </c>
      <c r="FA225" s="48" t="s">
        <v>1710</v>
      </c>
      <c r="FB225" s="48" t="s">
        <v>1712</v>
      </c>
      <c r="FC225" s="48" t="s">
        <v>1710</v>
      </c>
      <c r="FD225" s="48" t="s">
        <v>1710</v>
      </c>
      <c r="FE225" s="48" t="s">
        <v>1814</v>
      </c>
      <c r="FF225" s="48" t="s">
        <v>1815</v>
      </c>
      <c r="FG225" s="48" t="s">
        <v>1710</v>
      </c>
      <c r="FH225">
        <v>3</v>
      </c>
      <c r="FI225" s="48" t="s">
        <v>1846</v>
      </c>
      <c r="FJ225">
        <v>2299.37</v>
      </c>
      <c r="FK225">
        <v>766.45699999999999</v>
      </c>
      <c r="FL225" s="48" t="s">
        <v>4549</v>
      </c>
      <c r="FM225" s="48" t="s">
        <v>4548</v>
      </c>
      <c r="FN225" s="48" t="s">
        <v>1710</v>
      </c>
      <c r="FO225" s="48" t="s">
        <v>1710</v>
      </c>
      <c r="FP225" s="48" t="s">
        <v>1710</v>
      </c>
      <c r="FQ225" s="48" t="s">
        <v>1710</v>
      </c>
      <c r="FR225" s="48" t="s">
        <v>1710</v>
      </c>
      <c r="FS225" s="48" t="s">
        <v>1710</v>
      </c>
      <c r="FT225" s="48" t="s">
        <v>1710</v>
      </c>
      <c r="FU225" s="48" t="s">
        <v>1710</v>
      </c>
      <c r="FV225" s="48"/>
      <c r="FW225" s="56"/>
      <c r="FX225" s="56"/>
      <c r="FY225" s="56"/>
      <c r="FZ225" s="56"/>
      <c r="GA225" s="55" t="str">
        <f t="shared" si="11"/>
        <v>4388426900387X</v>
      </c>
      <c r="GB225" t="str">
        <f>VLOOKUP(B225,수출코드!$C$2:$D$4,2,FALSE)</f>
        <v>Suwon</v>
      </c>
      <c r="GC225" t="str">
        <f>VLOOKUP(L225,수출코드!$A$2:$B$6,2,FALSE)</f>
        <v>화면심사</v>
      </c>
      <c r="GD225" t="str">
        <f>VLOOKUP(M225,수출코드!$E$2:$F$5,2,FALSE)</f>
        <v>일반</v>
      </c>
      <c r="GE225" s="61">
        <f t="shared" si="9"/>
        <v>45974.613888888889</v>
      </c>
      <c r="GF225" s="62">
        <f t="shared" si="10"/>
        <v>46048.396527777775</v>
      </c>
      <c r="GI225" s="48" t="s">
        <v>2781</v>
      </c>
    </row>
    <row r="226" spans="1:191">
      <c r="A226" s="48" t="s">
        <v>4585</v>
      </c>
      <c r="B226" s="48" t="s">
        <v>1821</v>
      </c>
      <c r="C226" s="48" t="s">
        <v>2048</v>
      </c>
      <c r="D226" s="48" t="s">
        <v>2813</v>
      </c>
      <c r="E226" s="48" t="s">
        <v>4585</v>
      </c>
      <c r="F226" s="48" t="s">
        <v>1710</v>
      </c>
      <c r="G226" s="48" t="s">
        <v>2814</v>
      </c>
      <c r="H226" s="48" t="s">
        <v>4586</v>
      </c>
      <c r="I226" s="48" t="s">
        <v>1884</v>
      </c>
      <c r="J226" s="48" t="s">
        <v>2835</v>
      </c>
      <c r="K226" s="48" t="s">
        <v>1885</v>
      </c>
      <c r="L226" s="48" t="s">
        <v>1883</v>
      </c>
      <c r="M226" s="48" t="s">
        <v>2085</v>
      </c>
      <c r="N226" s="48" t="s">
        <v>1842</v>
      </c>
      <c r="O226" s="48" t="s">
        <v>1811</v>
      </c>
      <c r="P226" s="48" t="s">
        <v>2549</v>
      </c>
      <c r="Q226" s="48" t="s">
        <v>2049</v>
      </c>
      <c r="R226" s="48" t="s">
        <v>1838</v>
      </c>
      <c r="S226" s="48" t="s">
        <v>2050</v>
      </c>
      <c r="T226" s="48" t="s">
        <v>1845</v>
      </c>
      <c r="U226" s="48" t="s">
        <v>2049</v>
      </c>
      <c r="V226" s="48" t="s">
        <v>1838</v>
      </c>
      <c r="W226" s="48" t="s">
        <v>2051</v>
      </c>
      <c r="X226" s="48" t="s">
        <v>2052</v>
      </c>
      <c r="Y226" s="48" t="s">
        <v>2050</v>
      </c>
      <c r="Z226" s="48" t="s">
        <v>2053</v>
      </c>
      <c r="AA226" s="48" t="s">
        <v>2054</v>
      </c>
      <c r="AB226" s="48" t="s">
        <v>1710</v>
      </c>
      <c r="AC226" s="48" t="s">
        <v>2055</v>
      </c>
      <c r="AD226" s="48" t="s">
        <v>2056</v>
      </c>
      <c r="AE226" s="48" t="s">
        <v>1710</v>
      </c>
      <c r="AF226" s="48" t="s">
        <v>1710</v>
      </c>
      <c r="AG226" s="48" t="s">
        <v>2057</v>
      </c>
      <c r="AH226" s="48" t="s">
        <v>1815</v>
      </c>
      <c r="AI226" s="48" t="s">
        <v>2058</v>
      </c>
      <c r="AJ226" s="48" t="s">
        <v>1710</v>
      </c>
      <c r="AK226" s="48" t="s">
        <v>2563</v>
      </c>
      <c r="AL226" s="48" t="s">
        <v>2564</v>
      </c>
      <c r="AM226" s="48" t="s">
        <v>1816</v>
      </c>
      <c r="AN226" s="48" t="s">
        <v>2054</v>
      </c>
      <c r="AO226" s="48" t="s">
        <v>1710</v>
      </c>
      <c r="AP226" s="48" t="s">
        <v>1855</v>
      </c>
      <c r="AQ226" s="48" t="s">
        <v>2076</v>
      </c>
      <c r="AR226" s="48" t="s">
        <v>1812</v>
      </c>
      <c r="AS226" s="48" t="s">
        <v>1813</v>
      </c>
      <c r="AT226" s="48" t="s">
        <v>1826</v>
      </c>
      <c r="AU226" s="48" t="s">
        <v>2061</v>
      </c>
      <c r="AV226" s="48" t="s">
        <v>2835</v>
      </c>
      <c r="AW226" s="48" t="s">
        <v>2062</v>
      </c>
      <c r="AX226" s="48" t="s">
        <v>2063</v>
      </c>
      <c r="AY226" s="48" t="s">
        <v>1710</v>
      </c>
      <c r="AZ226" s="48" t="s">
        <v>4580</v>
      </c>
      <c r="BA226" s="48" t="s">
        <v>1710</v>
      </c>
      <c r="BB226" s="48" t="s">
        <v>1709</v>
      </c>
      <c r="BC226" s="48" t="s">
        <v>1710</v>
      </c>
      <c r="BD226" s="48" t="s">
        <v>3137</v>
      </c>
      <c r="BE226" s="52" t="s">
        <v>4581</v>
      </c>
      <c r="BF226" s="48" t="s">
        <v>1710</v>
      </c>
      <c r="BG226" s="48" t="s">
        <v>1819</v>
      </c>
      <c r="BH226">
        <v>47</v>
      </c>
      <c r="BI226" s="48" t="s">
        <v>1888</v>
      </c>
      <c r="BJ226">
        <v>2</v>
      </c>
      <c r="BK226">
        <v>1473.06</v>
      </c>
      <c r="BL226">
        <v>62016703</v>
      </c>
      <c r="BM226">
        <v>42101</v>
      </c>
      <c r="BN226" s="48" t="s">
        <v>2064</v>
      </c>
      <c r="BO226" s="48" t="s">
        <v>2065</v>
      </c>
      <c r="BP226">
        <v>1473.06</v>
      </c>
      <c r="BQ226">
        <v>42257.82</v>
      </c>
      <c r="BR226" s="48" t="s">
        <v>1885</v>
      </c>
      <c r="BS226" s="48" t="s">
        <v>2066</v>
      </c>
      <c r="BT226">
        <v>1</v>
      </c>
      <c r="BU226">
        <v>231600</v>
      </c>
      <c r="BV226">
        <v>231600</v>
      </c>
      <c r="BW226" s="48" t="s">
        <v>2065</v>
      </c>
      <c r="BX226">
        <v>1473.06</v>
      </c>
      <c r="BY226">
        <v>0</v>
      </c>
      <c r="BZ226">
        <v>0</v>
      </c>
      <c r="CA226" s="48" t="s">
        <v>2065</v>
      </c>
      <c r="CB226">
        <v>1473.06</v>
      </c>
      <c r="CC226">
        <v>0</v>
      </c>
      <c r="CD226">
        <v>0</v>
      </c>
      <c r="CE226" s="48" t="s">
        <v>1710</v>
      </c>
      <c r="CF226" s="48" t="s">
        <v>1710</v>
      </c>
      <c r="CG226" s="48" t="s">
        <v>1710</v>
      </c>
      <c r="CH226" s="48" t="s">
        <v>1710</v>
      </c>
      <c r="CI226" s="48" t="s">
        <v>2067</v>
      </c>
      <c r="CJ226" s="48" t="s">
        <v>1710</v>
      </c>
      <c r="CL226" s="48" t="s">
        <v>2835</v>
      </c>
      <c r="CM226" s="48" t="s">
        <v>1710</v>
      </c>
      <c r="CN226" s="48" t="s">
        <v>2068</v>
      </c>
      <c r="CO226" s="48" t="s">
        <v>2069</v>
      </c>
      <c r="CP226" s="48" t="s">
        <v>1710</v>
      </c>
      <c r="CQ226" s="48" t="s">
        <v>1710</v>
      </c>
      <c r="CR226" s="48" t="s">
        <v>1710</v>
      </c>
      <c r="CS226" s="48" t="s">
        <v>1710</v>
      </c>
      <c r="CT226" s="48" t="s">
        <v>1710</v>
      </c>
      <c r="CU226" s="48" t="s">
        <v>1712</v>
      </c>
      <c r="CV226" s="48" t="s">
        <v>1710</v>
      </c>
      <c r="CW226" s="48" t="s">
        <v>1710</v>
      </c>
      <c r="CX226" s="48" t="s">
        <v>2839</v>
      </c>
      <c r="CY226" s="48" t="s">
        <v>1710</v>
      </c>
      <c r="CZ226" s="48" t="s">
        <v>1712</v>
      </c>
      <c r="DA226" s="48" t="s">
        <v>1710</v>
      </c>
      <c r="DB226" s="48" t="s">
        <v>1878</v>
      </c>
      <c r="DC226" s="48" t="s">
        <v>2070</v>
      </c>
      <c r="DD226" s="48" t="s">
        <v>1842</v>
      </c>
      <c r="DE226" s="48" t="s">
        <v>1886</v>
      </c>
      <c r="DF226" s="48" t="s">
        <v>4587</v>
      </c>
      <c r="DG226" s="48" t="s">
        <v>2071</v>
      </c>
      <c r="DH226" s="48" t="s">
        <v>1712</v>
      </c>
      <c r="DI226" s="48" t="s">
        <v>1710</v>
      </c>
      <c r="DJ226" s="48" t="s">
        <v>1710</v>
      </c>
      <c r="DK226" s="48" t="s">
        <v>1710</v>
      </c>
      <c r="DL226" s="48" t="s">
        <v>1710</v>
      </c>
      <c r="DM226" s="48" t="s">
        <v>1710</v>
      </c>
      <c r="DN226" s="48" t="s">
        <v>1710</v>
      </c>
      <c r="DO226" s="48" t="s">
        <v>1710</v>
      </c>
      <c r="DP226" s="48" t="s">
        <v>1710</v>
      </c>
      <c r="DQ226" s="48" t="s">
        <v>1710</v>
      </c>
      <c r="DR226" s="48" t="s">
        <v>2072</v>
      </c>
      <c r="DS226" s="48" t="s">
        <v>1710</v>
      </c>
      <c r="DT226" s="48" t="s">
        <v>1710</v>
      </c>
      <c r="DU226" s="48" t="s">
        <v>2575</v>
      </c>
      <c r="DV226" s="48" t="s">
        <v>2850</v>
      </c>
      <c r="DW226" s="48" t="s">
        <v>1710</v>
      </c>
      <c r="DX226" s="48" t="s">
        <v>4583</v>
      </c>
      <c r="DY226" s="48" t="s">
        <v>1709</v>
      </c>
      <c r="DZ226" s="48" t="s">
        <v>2073</v>
      </c>
      <c r="EA226" s="48" t="s">
        <v>2546</v>
      </c>
      <c r="EB226">
        <v>0</v>
      </c>
      <c r="EC226" s="48" t="s">
        <v>2575</v>
      </c>
      <c r="ED226" s="48" t="s">
        <v>4588</v>
      </c>
      <c r="EE226" s="48" t="s">
        <v>1814</v>
      </c>
      <c r="EF226" s="48" t="s">
        <v>1872</v>
      </c>
      <c r="EG226" s="48" t="s">
        <v>4580</v>
      </c>
      <c r="EH226">
        <v>0.84</v>
      </c>
      <c r="EI226" s="48" t="s">
        <v>1888</v>
      </c>
      <c r="EJ226">
        <v>2</v>
      </c>
      <c r="EK226" s="48" t="s">
        <v>1887</v>
      </c>
      <c r="EL226">
        <v>2</v>
      </c>
      <c r="EM226" s="48" t="s">
        <v>1886</v>
      </c>
      <c r="EN226">
        <v>0.84</v>
      </c>
      <c r="EO226" s="48" t="s">
        <v>2527</v>
      </c>
      <c r="EP226" s="48" t="s">
        <v>4589</v>
      </c>
      <c r="EQ226">
        <v>13361.04</v>
      </c>
      <c r="ER226">
        <v>13361.04</v>
      </c>
      <c r="ES226">
        <v>19608386</v>
      </c>
      <c r="ET226">
        <v>13311</v>
      </c>
      <c r="EU226" s="48" t="s">
        <v>4590</v>
      </c>
      <c r="EV226" s="48" t="s">
        <v>1817</v>
      </c>
      <c r="EW226" s="48" t="s">
        <v>1712</v>
      </c>
      <c r="EX226" s="48" t="s">
        <v>1710</v>
      </c>
      <c r="EY226" s="48" t="s">
        <v>1848</v>
      </c>
      <c r="EZ226" s="48" t="s">
        <v>1710</v>
      </c>
      <c r="FA226" s="48" t="s">
        <v>1710</v>
      </c>
      <c r="FB226" s="48" t="s">
        <v>1712</v>
      </c>
      <c r="FC226" s="48" t="s">
        <v>1710</v>
      </c>
      <c r="FD226" s="48" t="s">
        <v>1710</v>
      </c>
      <c r="FE226" s="48" t="s">
        <v>1814</v>
      </c>
      <c r="FF226" s="48" t="s">
        <v>1815</v>
      </c>
      <c r="FG226" s="48" t="s">
        <v>1710</v>
      </c>
      <c r="FH226">
        <v>2</v>
      </c>
      <c r="FI226" s="48" t="s">
        <v>1846</v>
      </c>
      <c r="FJ226">
        <v>13361.04</v>
      </c>
      <c r="FK226">
        <v>6680.52</v>
      </c>
      <c r="FL226" s="48" t="s">
        <v>4591</v>
      </c>
      <c r="FM226" s="48" t="s">
        <v>4589</v>
      </c>
      <c r="FN226" s="48" t="s">
        <v>1710</v>
      </c>
      <c r="FO226" s="48" t="s">
        <v>1710</v>
      </c>
      <c r="FP226" s="48" t="s">
        <v>1710</v>
      </c>
      <c r="FQ226" s="48" t="s">
        <v>1710</v>
      </c>
      <c r="FR226" s="48" t="s">
        <v>1710</v>
      </c>
      <c r="FS226" s="48" t="s">
        <v>1710</v>
      </c>
      <c r="FT226" s="48" t="s">
        <v>1710</v>
      </c>
      <c r="FU226" s="48" t="s">
        <v>1710</v>
      </c>
      <c r="FV226" s="48"/>
      <c r="FW226" s="56"/>
      <c r="FX226" s="56"/>
      <c r="FY226" s="56"/>
      <c r="FZ226" s="56"/>
      <c r="GA226" s="55" t="str">
        <f t="shared" si="11"/>
        <v>4388426900388X</v>
      </c>
      <c r="GB226" t="str">
        <f>VLOOKUP(B226,수출코드!$C$2:$D$4,2,FALSE)</f>
        <v>Suwon</v>
      </c>
      <c r="GC226" t="str">
        <f>VLOOKUP(L226,수출코드!$A$2:$B$6,2,FALSE)</f>
        <v>서류제출</v>
      </c>
      <c r="GD226" t="str">
        <f>VLOOKUP(M226,수출코드!$E$2:$F$5,2,FALSE)</f>
        <v>원상태</v>
      </c>
      <c r="GE226" s="61">
        <f t="shared" si="9"/>
        <v>45974.613888888889</v>
      </c>
      <c r="GF226" s="62">
        <f t="shared" si="10"/>
        <v>46048.393750000003</v>
      </c>
      <c r="GI226" s="48" t="s">
        <v>2781</v>
      </c>
    </row>
    <row r="227" spans="1:191">
      <c r="A227" s="48" t="s">
        <v>4592</v>
      </c>
      <c r="B227" s="48" t="s">
        <v>1821</v>
      </c>
      <c r="C227" s="48" t="s">
        <v>2048</v>
      </c>
      <c r="D227" s="48" t="s">
        <v>2813</v>
      </c>
      <c r="E227" s="48" t="s">
        <v>4592</v>
      </c>
      <c r="F227" s="48" t="s">
        <v>1710</v>
      </c>
      <c r="G227" s="48" t="s">
        <v>2814</v>
      </c>
      <c r="H227" s="48" t="s">
        <v>4593</v>
      </c>
      <c r="I227" s="48" t="s">
        <v>1884</v>
      </c>
      <c r="J227" s="48" t="s">
        <v>2835</v>
      </c>
      <c r="K227" s="48" t="s">
        <v>1877</v>
      </c>
      <c r="L227" s="48" t="s">
        <v>1842</v>
      </c>
      <c r="M227" s="48" t="s">
        <v>1810</v>
      </c>
      <c r="N227" s="48" t="s">
        <v>1842</v>
      </c>
      <c r="O227" s="48" t="s">
        <v>1811</v>
      </c>
      <c r="P227" s="48" t="s">
        <v>2549</v>
      </c>
      <c r="Q227" s="48" t="s">
        <v>2049</v>
      </c>
      <c r="R227" s="48" t="s">
        <v>1838</v>
      </c>
      <c r="S227" s="48" t="s">
        <v>2050</v>
      </c>
      <c r="T227" s="48" t="s">
        <v>1845</v>
      </c>
      <c r="U227" s="48" t="s">
        <v>2049</v>
      </c>
      <c r="V227" s="48" t="s">
        <v>1838</v>
      </c>
      <c r="W227" s="48" t="s">
        <v>2051</v>
      </c>
      <c r="X227" s="48" t="s">
        <v>2052</v>
      </c>
      <c r="Y227" s="48" t="s">
        <v>2050</v>
      </c>
      <c r="Z227" s="48" t="s">
        <v>2053</v>
      </c>
      <c r="AA227" s="48" t="s">
        <v>2054</v>
      </c>
      <c r="AB227" s="48" t="s">
        <v>2817</v>
      </c>
      <c r="AC227" s="48" t="s">
        <v>2055</v>
      </c>
      <c r="AD227" s="48" t="s">
        <v>2056</v>
      </c>
      <c r="AE227" s="48" t="s">
        <v>1710</v>
      </c>
      <c r="AF227" s="48" t="s">
        <v>1710</v>
      </c>
      <c r="AG227" s="48" t="s">
        <v>2057</v>
      </c>
      <c r="AH227" s="48" t="s">
        <v>1815</v>
      </c>
      <c r="AI227" s="48" t="s">
        <v>2058</v>
      </c>
      <c r="AJ227" s="48" t="s">
        <v>1710</v>
      </c>
      <c r="AK227" s="48" t="s">
        <v>2560</v>
      </c>
      <c r="AL227" s="48" t="s">
        <v>2561</v>
      </c>
      <c r="AM227" s="48" t="s">
        <v>1816</v>
      </c>
      <c r="AN227" s="48" t="s">
        <v>2054</v>
      </c>
      <c r="AO227" s="48" t="s">
        <v>1710</v>
      </c>
      <c r="AP227" s="48" t="s">
        <v>1855</v>
      </c>
      <c r="AQ227" s="48" t="s">
        <v>2076</v>
      </c>
      <c r="AR227" s="48" t="s">
        <v>1812</v>
      </c>
      <c r="AS227" s="48" t="s">
        <v>1813</v>
      </c>
      <c r="AT227" s="48" t="s">
        <v>1826</v>
      </c>
      <c r="AU227" s="48" t="s">
        <v>2061</v>
      </c>
      <c r="AV227" s="48" t="s">
        <v>2835</v>
      </c>
      <c r="AW227" s="48" t="s">
        <v>2062</v>
      </c>
      <c r="AX227" s="48" t="s">
        <v>2063</v>
      </c>
      <c r="AY227" s="48" t="s">
        <v>1710</v>
      </c>
      <c r="AZ227" s="48" t="s">
        <v>4594</v>
      </c>
      <c r="BA227" s="48" t="s">
        <v>1710</v>
      </c>
      <c r="BB227" s="48" t="s">
        <v>1709</v>
      </c>
      <c r="BC227" s="48" t="s">
        <v>1710</v>
      </c>
      <c r="BD227" s="48" t="s">
        <v>2864</v>
      </c>
      <c r="BE227" s="52" t="s">
        <v>4595</v>
      </c>
      <c r="BF227" s="48" t="s">
        <v>1710</v>
      </c>
      <c r="BG227" s="48" t="s">
        <v>1819</v>
      </c>
      <c r="BH227">
        <v>8</v>
      </c>
      <c r="BI227" s="48" t="s">
        <v>1888</v>
      </c>
      <c r="BJ227">
        <v>2</v>
      </c>
      <c r="BK227">
        <v>1473.06</v>
      </c>
      <c r="BL227">
        <v>7932061</v>
      </c>
      <c r="BM227">
        <v>5385</v>
      </c>
      <c r="BN227" s="48" t="s">
        <v>2064</v>
      </c>
      <c r="BO227" s="48" t="s">
        <v>2065</v>
      </c>
      <c r="BP227">
        <v>1473.06</v>
      </c>
      <c r="BQ227">
        <v>5418.56</v>
      </c>
      <c r="BR227" s="48" t="s">
        <v>1885</v>
      </c>
      <c r="BS227" s="48" t="s">
        <v>2066</v>
      </c>
      <c r="BT227">
        <v>1</v>
      </c>
      <c r="BU227">
        <v>49800</v>
      </c>
      <c r="BV227">
        <v>49800</v>
      </c>
      <c r="BW227" s="48" t="s">
        <v>2065</v>
      </c>
      <c r="BX227">
        <v>1473.06</v>
      </c>
      <c r="BY227">
        <v>0</v>
      </c>
      <c r="BZ227">
        <v>0</v>
      </c>
      <c r="CA227" s="48" t="s">
        <v>2065</v>
      </c>
      <c r="CB227">
        <v>1473.06</v>
      </c>
      <c r="CC227">
        <v>0</v>
      </c>
      <c r="CD227">
        <v>0</v>
      </c>
      <c r="CE227" s="48" t="s">
        <v>1710</v>
      </c>
      <c r="CF227" s="48" t="s">
        <v>1710</v>
      </c>
      <c r="CG227" s="48" t="s">
        <v>1710</v>
      </c>
      <c r="CH227" s="48" t="s">
        <v>1710</v>
      </c>
      <c r="CI227" s="48" t="s">
        <v>2067</v>
      </c>
      <c r="CJ227" s="48" t="s">
        <v>1710</v>
      </c>
      <c r="CL227" s="48" t="s">
        <v>2835</v>
      </c>
      <c r="CM227" s="48" t="s">
        <v>1710</v>
      </c>
      <c r="CN227" s="48" t="s">
        <v>2068</v>
      </c>
      <c r="CO227" s="48" t="s">
        <v>2069</v>
      </c>
      <c r="CP227" s="48" t="s">
        <v>1710</v>
      </c>
      <c r="CQ227" s="48" t="s">
        <v>1710</v>
      </c>
      <c r="CR227" s="48" t="s">
        <v>1710</v>
      </c>
      <c r="CS227" s="48" t="s">
        <v>1710</v>
      </c>
      <c r="CT227" s="48" t="s">
        <v>1710</v>
      </c>
      <c r="CU227" s="48" t="s">
        <v>1712</v>
      </c>
      <c r="CV227" s="48" t="s">
        <v>1710</v>
      </c>
      <c r="CW227" s="48" t="s">
        <v>1710</v>
      </c>
      <c r="CX227" s="48" t="s">
        <v>2839</v>
      </c>
      <c r="CY227" s="48" t="s">
        <v>1710</v>
      </c>
      <c r="CZ227" s="48" t="s">
        <v>1712</v>
      </c>
      <c r="DA227" s="48" t="s">
        <v>1710</v>
      </c>
      <c r="DB227" s="48" t="s">
        <v>1878</v>
      </c>
      <c r="DC227" s="48" t="s">
        <v>2070</v>
      </c>
      <c r="DD227" s="48" t="s">
        <v>1842</v>
      </c>
      <c r="DE227" s="48" t="s">
        <v>1886</v>
      </c>
      <c r="DF227" s="48" t="s">
        <v>4596</v>
      </c>
      <c r="DG227" s="48" t="s">
        <v>2071</v>
      </c>
      <c r="DH227" s="48" t="s">
        <v>1712</v>
      </c>
      <c r="DI227" s="48" t="s">
        <v>1710</v>
      </c>
      <c r="DJ227" s="48" t="s">
        <v>1710</v>
      </c>
      <c r="DK227" s="48" t="s">
        <v>1710</v>
      </c>
      <c r="DL227" s="48" t="s">
        <v>1710</v>
      </c>
      <c r="DM227" s="48" t="s">
        <v>1710</v>
      </c>
      <c r="DN227" s="48" t="s">
        <v>1710</v>
      </c>
      <c r="DO227" s="48" t="s">
        <v>1710</v>
      </c>
      <c r="DP227" s="48" t="s">
        <v>1710</v>
      </c>
      <c r="DQ227" s="48" t="s">
        <v>1710</v>
      </c>
      <c r="DR227" s="48" t="s">
        <v>2072</v>
      </c>
      <c r="DS227" s="48" t="s">
        <v>1710</v>
      </c>
      <c r="DT227" s="48" t="s">
        <v>1710</v>
      </c>
      <c r="DU227" s="48" t="s">
        <v>2575</v>
      </c>
      <c r="DV227" s="48" t="s">
        <v>2850</v>
      </c>
      <c r="DW227" s="48" t="s">
        <v>1710</v>
      </c>
      <c r="DX227" s="48" t="s">
        <v>4597</v>
      </c>
      <c r="DY227" s="48" t="s">
        <v>1709</v>
      </c>
      <c r="DZ227" s="48" t="s">
        <v>2562</v>
      </c>
      <c r="EA227" s="48" t="s">
        <v>2546</v>
      </c>
      <c r="EB227">
        <v>0</v>
      </c>
      <c r="EC227" s="48" t="s">
        <v>2575</v>
      </c>
      <c r="ED227" s="48" t="s">
        <v>4598</v>
      </c>
      <c r="EE227" s="48" t="s">
        <v>1814</v>
      </c>
      <c r="EF227" s="48" t="s">
        <v>2585</v>
      </c>
      <c r="EG227" s="48" t="s">
        <v>4599</v>
      </c>
      <c r="EH227">
        <v>3</v>
      </c>
      <c r="EI227" s="48" t="s">
        <v>1888</v>
      </c>
      <c r="EJ227">
        <v>1</v>
      </c>
      <c r="EK227" s="48" t="s">
        <v>1887</v>
      </c>
      <c r="EL227">
        <v>2</v>
      </c>
      <c r="EM227" s="48" t="s">
        <v>1886</v>
      </c>
      <c r="EN227">
        <v>3</v>
      </c>
      <c r="EO227" s="48" t="s">
        <v>2586</v>
      </c>
      <c r="EP227" s="48" t="s">
        <v>4600</v>
      </c>
      <c r="EQ227">
        <v>3113.43</v>
      </c>
      <c r="ER227">
        <v>3113.43</v>
      </c>
      <c r="ES227">
        <v>4557654</v>
      </c>
      <c r="ET227">
        <v>3094</v>
      </c>
      <c r="EU227" s="48" t="s">
        <v>1710</v>
      </c>
      <c r="EV227" s="48" t="s">
        <v>1710</v>
      </c>
      <c r="EW227" s="48" t="s">
        <v>1712</v>
      </c>
      <c r="EX227" s="48" t="s">
        <v>1710</v>
      </c>
      <c r="EY227" s="48" t="s">
        <v>1848</v>
      </c>
      <c r="EZ227" s="48" t="s">
        <v>1710</v>
      </c>
      <c r="FA227" s="48" t="s">
        <v>1710</v>
      </c>
      <c r="FB227" s="48" t="s">
        <v>1712</v>
      </c>
      <c r="FC227" s="48" t="s">
        <v>1710</v>
      </c>
      <c r="FD227" s="48" t="s">
        <v>1710</v>
      </c>
      <c r="FE227" s="48" t="s">
        <v>1814</v>
      </c>
      <c r="FF227" s="48" t="s">
        <v>1815</v>
      </c>
      <c r="FG227" s="48" t="s">
        <v>1710</v>
      </c>
      <c r="FH227">
        <v>1</v>
      </c>
      <c r="FI227" s="48" t="s">
        <v>1846</v>
      </c>
      <c r="FJ227">
        <v>3113.43</v>
      </c>
      <c r="FK227">
        <v>3113.43</v>
      </c>
      <c r="FL227" s="48" t="s">
        <v>4601</v>
      </c>
      <c r="FM227" s="48" t="s">
        <v>4600</v>
      </c>
      <c r="FN227" s="48" t="s">
        <v>1710</v>
      </c>
      <c r="FO227" s="48" t="s">
        <v>1710</v>
      </c>
      <c r="FP227" s="48" t="s">
        <v>1710</v>
      </c>
      <c r="FQ227" s="48" t="s">
        <v>1710</v>
      </c>
      <c r="FR227" s="48" t="s">
        <v>1710</v>
      </c>
      <c r="FS227" s="48" t="s">
        <v>1710</v>
      </c>
      <c r="FT227" s="48" t="s">
        <v>1710</v>
      </c>
      <c r="FU227" s="48" t="s">
        <v>1710</v>
      </c>
      <c r="FV227" s="48"/>
      <c r="FW227" s="56"/>
      <c r="FX227" s="56"/>
      <c r="FY227" s="56"/>
      <c r="FZ227" s="56"/>
      <c r="GA227" s="55" t="str">
        <f t="shared" si="11"/>
        <v>4388426900389X</v>
      </c>
      <c r="GB227" t="str">
        <f>VLOOKUP(B227,수출코드!$C$2:$D$4,2,FALSE)</f>
        <v>Suwon</v>
      </c>
      <c r="GC227" t="str">
        <f>VLOOKUP(L227,수출코드!$A$2:$B$6,2,FALSE)</f>
        <v/>
      </c>
      <c r="GD227" t="str">
        <f>VLOOKUP(M227,수출코드!$E$2:$F$5,2,FALSE)</f>
        <v>일반</v>
      </c>
      <c r="GE227" s="61">
        <f t="shared" si="9"/>
        <v>45974.631944444445</v>
      </c>
      <c r="GF227" s="62">
        <f t="shared" si="10"/>
        <v>46048.388888888891</v>
      </c>
      <c r="GI227" s="48" t="s">
        <v>2782</v>
      </c>
    </row>
    <row r="228" spans="1:191">
      <c r="A228" s="48" t="s">
        <v>4602</v>
      </c>
      <c r="B228" s="48" t="s">
        <v>1821</v>
      </c>
      <c r="C228" s="48" t="s">
        <v>2048</v>
      </c>
      <c r="D228" s="48" t="s">
        <v>2813</v>
      </c>
      <c r="E228" s="48" t="s">
        <v>4602</v>
      </c>
      <c r="F228" s="48" t="s">
        <v>1710</v>
      </c>
      <c r="G228" s="48" t="s">
        <v>2814</v>
      </c>
      <c r="H228" s="48" t="s">
        <v>4603</v>
      </c>
      <c r="I228" s="48" t="s">
        <v>1884</v>
      </c>
      <c r="J228" s="48" t="s">
        <v>2835</v>
      </c>
      <c r="K228" s="48" t="s">
        <v>1877</v>
      </c>
      <c r="L228" s="48" t="s">
        <v>1842</v>
      </c>
      <c r="M228" s="48" t="s">
        <v>1810</v>
      </c>
      <c r="N228" s="48" t="s">
        <v>1842</v>
      </c>
      <c r="O228" s="48" t="s">
        <v>1811</v>
      </c>
      <c r="P228" s="48" t="s">
        <v>2549</v>
      </c>
      <c r="Q228" s="48" t="s">
        <v>2049</v>
      </c>
      <c r="R228" s="48" t="s">
        <v>1838</v>
      </c>
      <c r="S228" s="48" t="s">
        <v>2050</v>
      </c>
      <c r="T228" s="48" t="s">
        <v>1845</v>
      </c>
      <c r="U228" s="48" t="s">
        <v>2049</v>
      </c>
      <c r="V228" s="48" t="s">
        <v>1838</v>
      </c>
      <c r="W228" s="48" t="s">
        <v>2051</v>
      </c>
      <c r="X228" s="48" t="s">
        <v>2052</v>
      </c>
      <c r="Y228" s="48" t="s">
        <v>2050</v>
      </c>
      <c r="Z228" s="48" t="s">
        <v>2053</v>
      </c>
      <c r="AA228" s="48" t="s">
        <v>2054</v>
      </c>
      <c r="AB228" s="48" t="s">
        <v>2817</v>
      </c>
      <c r="AC228" s="48" t="s">
        <v>2055</v>
      </c>
      <c r="AD228" s="48" t="s">
        <v>2056</v>
      </c>
      <c r="AE228" s="48" t="s">
        <v>1710</v>
      </c>
      <c r="AF228" s="48" t="s">
        <v>1710</v>
      </c>
      <c r="AG228" s="48" t="s">
        <v>2057</v>
      </c>
      <c r="AH228" s="48" t="s">
        <v>1815</v>
      </c>
      <c r="AI228" s="48" t="s">
        <v>2058</v>
      </c>
      <c r="AJ228" s="48" t="s">
        <v>1710</v>
      </c>
      <c r="AK228" s="48" t="s">
        <v>2098</v>
      </c>
      <c r="AL228" s="48" t="s">
        <v>1856</v>
      </c>
      <c r="AM228" s="48" t="s">
        <v>1816</v>
      </c>
      <c r="AN228" s="48" t="s">
        <v>2054</v>
      </c>
      <c r="AO228" s="48" t="s">
        <v>1710</v>
      </c>
      <c r="AP228" s="48" t="s">
        <v>1855</v>
      </c>
      <c r="AQ228" s="48" t="s">
        <v>2076</v>
      </c>
      <c r="AR228" s="48" t="s">
        <v>1812</v>
      </c>
      <c r="AS228" s="48" t="s">
        <v>1813</v>
      </c>
      <c r="AT228" s="48" t="s">
        <v>1826</v>
      </c>
      <c r="AU228" s="48" t="s">
        <v>2061</v>
      </c>
      <c r="AV228" s="48" t="s">
        <v>2835</v>
      </c>
      <c r="AW228" s="48" t="s">
        <v>2062</v>
      </c>
      <c r="AX228" s="48" t="s">
        <v>2063</v>
      </c>
      <c r="AY228" s="48" t="s">
        <v>1710</v>
      </c>
      <c r="AZ228" s="48" t="s">
        <v>4604</v>
      </c>
      <c r="BA228" s="48" t="s">
        <v>1710</v>
      </c>
      <c r="BB228" s="48" t="s">
        <v>1709</v>
      </c>
      <c r="BC228" s="48" t="s">
        <v>1710</v>
      </c>
      <c r="BD228" s="48" t="s">
        <v>2864</v>
      </c>
      <c r="BE228" s="52" t="s">
        <v>4595</v>
      </c>
      <c r="BF228" s="48" t="s">
        <v>1710</v>
      </c>
      <c r="BG228" s="48" t="s">
        <v>1814</v>
      </c>
      <c r="BH228">
        <v>1</v>
      </c>
      <c r="BI228" s="48" t="s">
        <v>1888</v>
      </c>
      <c r="BJ228">
        <v>1</v>
      </c>
      <c r="BK228">
        <v>1473.06</v>
      </c>
      <c r="BL228">
        <v>489606</v>
      </c>
      <c r="BM228">
        <v>332</v>
      </c>
      <c r="BN228" s="48" t="s">
        <v>2064</v>
      </c>
      <c r="BO228" s="48" t="s">
        <v>2065</v>
      </c>
      <c r="BP228">
        <v>1473.06</v>
      </c>
      <c r="BQ228">
        <v>346.63</v>
      </c>
      <c r="BR228" s="48" t="s">
        <v>1885</v>
      </c>
      <c r="BS228" s="48" t="s">
        <v>2066</v>
      </c>
      <c r="BT228">
        <v>1</v>
      </c>
      <c r="BU228">
        <v>21000</v>
      </c>
      <c r="BV228">
        <v>21000</v>
      </c>
      <c r="BW228" s="48" t="s">
        <v>2065</v>
      </c>
      <c r="BX228">
        <v>1473.06</v>
      </c>
      <c r="BY228">
        <v>0</v>
      </c>
      <c r="BZ228">
        <v>0</v>
      </c>
      <c r="CA228" s="48" t="s">
        <v>2065</v>
      </c>
      <c r="CB228">
        <v>1473.06</v>
      </c>
      <c r="CC228">
        <v>0</v>
      </c>
      <c r="CD228">
        <v>0</v>
      </c>
      <c r="CE228" s="48" t="s">
        <v>1710</v>
      </c>
      <c r="CF228" s="48" t="s">
        <v>1710</v>
      </c>
      <c r="CG228" s="48" t="s">
        <v>1710</v>
      </c>
      <c r="CH228" s="48" t="s">
        <v>1710</v>
      </c>
      <c r="CI228" s="48" t="s">
        <v>2067</v>
      </c>
      <c r="CJ228" s="48" t="s">
        <v>1710</v>
      </c>
      <c r="CL228" s="48" t="s">
        <v>2835</v>
      </c>
      <c r="CM228" s="48" t="s">
        <v>1710</v>
      </c>
      <c r="CN228" s="48" t="s">
        <v>2068</v>
      </c>
      <c r="CO228" s="48" t="s">
        <v>2069</v>
      </c>
      <c r="CP228" s="48" t="s">
        <v>1710</v>
      </c>
      <c r="CQ228" s="48" t="s">
        <v>1710</v>
      </c>
      <c r="CR228" s="48" t="s">
        <v>1710</v>
      </c>
      <c r="CS228" s="48" t="s">
        <v>1710</v>
      </c>
      <c r="CT228" s="48" t="s">
        <v>1710</v>
      </c>
      <c r="CU228" s="48" t="s">
        <v>1712</v>
      </c>
      <c r="CV228" s="48" t="s">
        <v>1710</v>
      </c>
      <c r="CW228" s="48" t="s">
        <v>1710</v>
      </c>
      <c r="CX228" s="48" t="s">
        <v>2839</v>
      </c>
      <c r="CY228" s="48" t="s">
        <v>1710</v>
      </c>
      <c r="CZ228" s="48" t="s">
        <v>1712</v>
      </c>
      <c r="DA228" s="48" t="s">
        <v>1710</v>
      </c>
      <c r="DB228" s="48" t="s">
        <v>1878</v>
      </c>
      <c r="DC228" s="48" t="s">
        <v>2070</v>
      </c>
      <c r="DD228" s="48" t="s">
        <v>1842</v>
      </c>
      <c r="DE228" s="48" t="s">
        <v>1886</v>
      </c>
      <c r="DF228" s="48" t="s">
        <v>4605</v>
      </c>
      <c r="DG228" s="48" t="s">
        <v>2071</v>
      </c>
      <c r="DH228" s="48" t="s">
        <v>1712</v>
      </c>
      <c r="DI228" s="48" t="s">
        <v>1710</v>
      </c>
      <c r="DJ228" s="48" t="s">
        <v>1710</v>
      </c>
      <c r="DK228" s="48" t="s">
        <v>1710</v>
      </c>
      <c r="DL228" s="48" t="s">
        <v>1710</v>
      </c>
      <c r="DM228" s="48" t="s">
        <v>1710</v>
      </c>
      <c r="DN228" s="48" t="s">
        <v>1710</v>
      </c>
      <c r="DO228" s="48" t="s">
        <v>1710</v>
      </c>
      <c r="DP228" s="48" t="s">
        <v>1710</v>
      </c>
      <c r="DQ228" s="48" t="s">
        <v>1710</v>
      </c>
      <c r="DR228" s="48" t="s">
        <v>2072</v>
      </c>
      <c r="DS228" s="48" t="s">
        <v>1710</v>
      </c>
      <c r="DT228" s="48" t="s">
        <v>1710</v>
      </c>
      <c r="DU228" s="48" t="s">
        <v>2575</v>
      </c>
      <c r="DV228" s="48" t="s">
        <v>2850</v>
      </c>
      <c r="DW228" s="48" t="s">
        <v>1710</v>
      </c>
      <c r="DX228" s="48" t="s">
        <v>4606</v>
      </c>
      <c r="DY228" s="48" t="s">
        <v>1709</v>
      </c>
      <c r="DZ228" s="48" t="s">
        <v>2562</v>
      </c>
      <c r="EA228" s="48" t="s">
        <v>2546</v>
      </c>
      <c r="EB228">
        <v>0</v>
      </c>
      <c r="EC228" s="48" t="s">
        <v>2575</v>
      </c>
      <c r="ED228" s="48" t="s">
        <v>4607</v>
      </c>
      <c r="EE228" s="48" t="s">
        <v>1814</v>
      </c>
      <c r="EF228" s="48" t="s">
        <v>1859</v>
      </c>
      <c r="EG228" s="48" t="s">
        <v>4604</v>
      </c>
      <c r="EH228">
        <v>7.1999999999999995E-2</v>
      </c>
      <c r="EI228" s="48" t="s">
        <v>1888</v>
      </c>
      <c r="EJ228">
        <v>0</v>
      </c>
      <c r="EK228" s="48" t="s">
        <v>1710</v>
      </c>
      <c r="EL228">
        <v>1</v>
      </c>
      <c r="EM228" s="48" t="s">
        <v>1886</v>
      </c>
      <c r="EN228">
        <v>7.1999999999999995E-2</v>
      </c>
      <c r="EO228" s="48" t="s">
        <v>2602</v>
      </c>
      <c r="EP228" s="48" t="s">
        <v>2584</v>
      </c>
      <c r="EQ228">
        <v>346.63</v>
      </c>
      <c r="ER228">
        <v>346.63</v>
      </c>
      <c r="ES228">
        <v>489606</v>
      </c>
      <c r="ET228">
        <v>332</v>
      </c>
      <c r="EU228" s="48" t="s">
        <v>1710</v>
      </c>
      <c r="EV228" s="48" t="s">
        <v>1710</v>
      </c>
      <c r="EW228" s="48" t="s">
        <v>1712</v>
      </c>
      <c r="EX228" s="48" t="s">
        <v>1710</v>
      </c>
      <c r="EY228" s="48" t="s">
        <v>1848</v>
      </c>
      <c r="EZ228" s="48" t="s">
        <v>1710</v>
      </c>
      <c r="FA228" s="48" t="s">
        <v>1710</v>
      </c>
      <c r="FB228" s="48" t="s">
        <v>1712</v>
      </c>
      <c r="FC228" s="48" t="s">
        <v>1710</v>
      </c>
      <c r="FD228" s="48" t="s">
        <v>1710</v>
      </c>
      <c r="FE228" s="48" t="s">
        <v>1814</v>
      </c>
      <c r="FF228" s="48" t="s">
        <v>1815</v>
      </c>
      <c r="FG228" s="48" t="s">
        <v>1710</v>
      </c>
      <c r="FH228">
        <v>9</v>
      </c>
      <c r="FI228" s="48" t="s">
        <v>1846</v>
      </c>
      <c r="FJ228">
        <v>346.63</v>
      </c>
      <c r="FK228">
        <v>38.514000000000003</v>
      </c>
      <c r="FL228" s="48" t="s">
        <v>4608</v>
      </c>
      <c r="FM228" s="48" t="s">
        <v>2584</v>
      </c>
      <c r="FN228" s="48" t="s">
        <v>1710</v>
      </c>
      <c r="FO228" s="48" t="s">
        <v>1710</v>
      </c>
      <c r="FP228" s="48" t="s">
        <v>1710</v>
      </c>
      <c r="FQ228" s="48" t="s">
        <v>1710</v>
      </c>
      <c r="FR228" s="48" t="s">
        <v>1710</v>
      </c>
      <c r="FS228" s="48" t="s">
        <v>1710</v>
      </c>
      <c r="FT228" s="48" t="s">
        <v>1710</v>
      </c>
      <c r="FU228" s="48" t="s">
        <v>1710</v>
      </c>
      <c r="FV228" s="48"/>
      <c r="FW228" s="56"/>
      <c r="FX228" s="56"/>
      <c r="FY228" s="56"/>
      <c r="FZ228" s="56"/>
      <c r="GA228" s="55" t="str">
        <f t="shared" si="11"/>
        <v>4388426900390X</v>
      </c>
      <c r="GB228" t="str">
        <f>VLOOKUP(B228,수출코드!$C$2:$D$4,2,FALSE)</f>
        <v>Suwon</v>
      </c>
      <c r="GC228" t="str">
        <f>VLOOKUP(L228,수출코드!$A$2:$B$6,2,FALSE)</f>
        <v/>
      </c>
      <c r="GD228" t="str">
        <f>VLOOKUP(M228,수출코드!$E$2:$F$5,2,FALSE)</f>
        <v>일반</v>
      </c>
      <c r="GE228" s="61">
        <f t="shared" si="9"/>
        <v>45974.631944444445</v>
      </c>
      <c r="GF228" s="62">
        <f t="shared" si="10"/>
        <v>46048.390277777777</v>
      </c>
      <c r="GI228" s="48" t="s">
        <v>2782</v>
      </c>
    </row>
    <row r="229" spans="1:191">
      <c r="A229" s="48" t="s">
        <v>4609</v>
      </c>
      <c r="B229" s="48" t="s">
        <v>1821</v>
      </c>
      <c r="C229" s="48" t="s">
        <v>2048</v>
      </c>
      <c r="D229" s="48" t="s">
        <v>2813</v>
      </c>
      <c r="E229" s="48" t="s">
        <v>4609</v>
      </c>
      <c r="F229" s="48" t="s">
        <v>1710</v>
      </c>
      <c r="G229" s="48" t="s">
        <v>2814</v>
      </c>
      <c r="H229" s="48" t="s">
        <v>4610</v>
      </c>
      <c r="I229" s="48" t="s">
        <v>1884</v>
      </c>
      <c r="J229" s="48" t="s">
        <v>2835</v>
      </c>
      <c r="K229" s="48" t="s">
        <v>1877</v>
      </c>
      <c r="L229" s="48" t="s">
        <v>1842</v>
      </c>
      <c r="M229" s="48" t="s">
        <v>1810</v>
      </c>
      <c r="N229" s="48" t="s">
        <v>1842</v>
      </c>
      <c r="O229" s="48" t="s">
        <v>1811</v>
      </c>
      <c r="P229" s="48" t="s">
        <v>2549</v>
      </c>
      <c r="Q229" s="48" t="s">
        <v>2049</v>
      </c>
      <c r="R229" s="48" t="s">
        <v>1838</v>
      </c>
      <c r="S229" s="48" t="s">
        <v>2050</v>
      </c>
      <c r="T229" s="48" t="s">
        <v>1845</v>
      </c>
      <c r="U229" s="48" t="s">
        <v>2049</v>
      </c>
      <c r="V229" s="48" t="s">
        <v>1838</v>
      </c>
      <c r="W229" s="48" t="s">
        <v>2051</v>
      </c>
      <c r="X229" s="48" t="s">
        <v>2052</v>
      </c>
      <c r="Y229" s="48" t="s">
        <v>2050</v>
      </c>
      <c r="Z229" s="48" t="s">
        <v>2053</v>
      </c>
      <c r="AA229" s="48" t="s">
        <v>2054</v>
      </c>
      <c r="AB229" s="48" t="s">
        <v>2817</v>
      </c>
      <c r="AC229" s="48" t="s">
        <v>2055</v>
      </c>
      <c r="AD229" s="48" t="s">
        <v>2056</v>
      </c>
      <c r="AE229" s="48" t="s">
        <v>1710</v>
      </c>
      <c r="AF229" s="48" t="s">
        <v>1710</v>
      </c>
      <c r="AG229" s="48" t="s">
        <v>2057</v>
      </c>
      <c r="AH229" s="48" t="s">
        <v>1815</v>
      </c>
      <c r="AI229" s="48" t="s">
        <v>2058</v>
      </c>
      <c r="AJ229" s="48" t="s">
        <v>1710</v>
      </c>
      <c r="AK229" s="48" t="s">
        <v>2552</v>
      </c>
      <c r="AL229" s="48" t="s">
        <v>1858</v>
      </c>
      <c r="AM229" s="48" t="s">
        <v>1816</v>
      </c>
      <c r="AN229" s="48" t="s">
        <v>2054</v>
      </c>
      <c r="AO229" s="48" t="s">
        <v>1710</v>
      </c>
      <c r="AP229" s="48" t="s">
        <v>1848</v>
      </c>
      <c r="AQ229" s="48" t="s">
        <v>2060</v>
      </c>
      <c r="AR229" s="48" t="s">
        <v>1812</v>
      </c>
      <c r="AS229" s="48" t="s">
        <v>1813</v>
      </c>
      <c r="AT229" s="48" t="s">
        <v>1826</v>
      </c>
      <c r="AU229" s="48" t="s">
        <v>2061</v>
      </c>
      <c r="AV229" s="48" t="s">
        <v>2835</v>
      </c>
      <c r="AW229" s="48" t="s">
        <v>2062</v>
      </c>
      <c r="AX229" s="48" t="s">
        <v>2063</v>
      </c>
      <c r="AY229" s="48" t="s">
        <v>1710</v>
      </c>
      <c r="AZ229" s="48" t="s">
        <v>4611</v>
      </c>
      <c r="BA229" s="48" t="s">
        <v>1710</v>
      </c>
      <c r="BB229" s="48" t="s">
        <v>1709</v>
      </c>
      <c r="BC229" s="48" t="s">
        <v>1710</v>
      </c>
      <c r="BD229" s="48" t="s">
        <v>2089</v>
      </c>
      <c r="BE229" s="52" t="s">
        <v>4612</v>
      </c>
      <c r="BF229" s="48" t="s">
        <v>1710</v>
      </c>
      <c r="BG229" s="48" t="s">
        <v>1814</v>
      </c>
      <c r="BH229">
        <v>2</v>
      </c>
      <c r="BI229" s="48" t="s">
        <v>1888</v>
      </c>
      <c r="BJ229">
        <v>1</v>
      </c>
      <c r="BK229">
        <v>1473.06</v>
      </c>
      <c r="BL229">
        <v>160216</v>
      </c>
      <c r="BM229">
        <v>109</v>
      </c>
      <c r="BN229" s="48" t="s">
        <v>2064</v>
      </c>
      <c r="BO229" s="48" t="s">
        <v>2065</v>
      </c>
      <c r="BP229">
        <v>1473.06</v>
      </c>
      <c r="BQ229">
        <v>141.01</v>
      </c>
      <c r="BR229" s="48" t="s">
        <v>1885</v>
      </c>
      <c r="BS229" s="48" t="s">
        <v>2066</v>
      </c>
      <c r="BT229">
        <v>1</v>
      </c>
      <c r="BU229">
        <v>47500</v>
      </c>
      <c r="BV229">
        <v>47500</v>
      </c>
      <c r="BW229" s="48" t="s">
        <v>2065</v>
      </c>
      <c r="BX229">
        <v>1473.06</v>
      </c>
      <c r="BY229">
        <v>0</v>
      </c>
      <c r="BZ229">
        <v>0</v>
      </c>
      <c r="CA229" s="48" t="s">
        <v>2065</v>
      </c>
      <c r="CB229">
        <v>1473.06</v>
      </c>
      <c r="CC229">
        <v>0</v>
      </c>
      <c r="CD229">
        <v>0</v>
      </c>
      <c r="CE229" s="48" t="s">
        <v>1710</v>
      </c>
      <c r="CF229" s="48" t="s">
        <v>1710</v>
      </c>
      <c r="CG229" s="48" t="s">
        <v>1710</v>
      </c>
      <c r="CH229" s="48" t="s">
        <v>1710</v>
      </c>
      <c r="CI229" s="48" t="s">
        <v>2067</v>
      </c>
      <c r="CJ229" s="48" t="s">
        <v>1710</v>
      </c>
      <c r="CL229" s="48" t="s">
        <v>2835</v>
      </c>
      <c r="CM229" s="48" t="s">
        <v>1710</v>
      </c>
      <c r="CN229" s="48" t="s">
        <v>2068</v>
      </c>
      <c r="CO229" s="48" t="s">
        <v>2069</v>
      </c>
      <c r="CP229" s="48" t="s">
        <v>1710</v>
      </c>
      <c r="CQ229" s="48" t="s">
        <v>1710</v>
      </c>
      <c r="CR229" s="48" t="s">
        <v>1710</v>
      </c>
      <c r="CS229" s="48" t="s">
        <v>1710</v>
      </c>
      <c r="CT229" s="48" t="s">
        <v>1710</v>
      </c>
      <c r="CU229" s="48" t="s">
        <v>1712</v>
      </c>
      <c r="CV229" s="48" t="s">
        <v>1710</v>
      </c>
      <c r="CW229" s="48" t="s">
        <v>1710</v>
      </c>
      <c r="CX229" s="48" t="s">
        <v>2839</v>
      </c>
      <c r="CY229" s="48" t="s">
        <v>1710</v>
      </c>
      <c r="CZ229" s="48" t="s">
        <v>1712</v>
      </c>
      <c r="DA229" s="48" t="s">
        <v>1710</v>
      </c>
      <c r="DB229" s="48" t="s">
        <v>1878</v>
      </c>
      <c r="DC229" s="48" t="s">
        <v>2070</v>
      </c>
      <c r="DD229" s="48" t="s">
        <v>1842</v>
      </c>
      <c r="DE229" s="48" t="s">
        <v>1886</v>
      </c>
      <c r="DF229" s="48" t="s">
        <v>4613</v>
      </c>
      <c r="DG229" s="48" t="s">
        <v>2071</v>
      </c>
      <c r="DH229" s="48" t="s">
        <v>1712</v>
      </c>
      <c r="DI229" s="48" t="s">
        <v>1710</v>
      </c>
      <c r="DJ229" s="48" t="s">
        <v>1710</v>
      </c>
      <c r="DK229" s="48" t="s">
        <v>1710</v>
      </c>
      <c r="DL229" s="48" t="s">
        <v>1710</v>
      </c>
      <c r="DM229" s="48" t="s">
        <v>1710</v>
      </c>
      <c r="DN229" s="48" t="s">
        <v>1710</v>
      </c>
      <c r="DO229" s="48" t="s">
        <v>1710</v>
      </c>
      <c r="DP229" s="48" t="s">
        <v>1710</v>
      </c>
      <c r="DQ229" s="48" t="s">
        <v>1710</v>
      </c>
      <c r="DR229" s="48" t="s">
        <v>2072</v>
      </c>
      <c r="DS229" s="48" t="s">
        <v>1710</v>
      </c>
      <c r="DT229" s="48" t="s">
        <v>1710</v>
      </c>
      <c r="DU229" s="48" t="s">
        <v>2575</v>
      </c>
      <c r="DV229" s="48" t="s">
        <v>2835</v>
      </c>
      <c r="DW229" s="48" t="s">
        <v>1710</v>
      </c>
      <c r="DX229" s="48" t="s">
        <v>4614</v>
      </c>
      <c r="DY229" s="48" t="s">
        <v>1709</v>
      </c>
      <c r="DZ229" s="48" t="s">
        <v>2562</v>
      </c>
      <c r="EA229" s="48" t="s">
        <v>2546</v>
      </c>
      <c r="EB229">
        <v>0</v>
      </c>
      <c r="EC229" s="48" t="s">
        <v>2575</v>
      </c>
      <c r="ED229" s="48" t="s">
        <v>4615</v>
      </c>
      <c r="EE229" s="48" t="s">
        <v>1814</v>
      </c>
      <c r="EF229" s="48" t="s">
        <v>1847</v>
      </c>
      <c r="EG229" s="48" t="s">
        <v>4611</v>
      </c>
      <c r="EH229">
        <v>0.29799999999999999</v>
      </c>
      <c r="EI229" s="48" t="s">
        <v>1888</v>
      </c>
      <c r="EJ229">
        <v>0</v>
      </c>
      <c r="EK229" s="48" t="s">
        <v>1710</v>
      </c>
      <c r="EL229">
        <v>1</v>
      </c>
      <c r="EM229" s="48" t="s">
        <v>1886</v>
      </c>
      <c r="EN229">
        <v>0.29799999999999999</v>
      </c>
      <c r="EO229" s="48" t="s">
        <v>2529</v>
      </c>
      <c r="EP229" s="48" t="s">
        <v>4616</v>
      </c>
      <c r="EQ229">
        <v>141.01</v>
      </c>
      <c r="ER229">
        <v>141.01</v>
      </c>
      <c r="ES229">
        <v>160216</v>
      </c>
      <c r="ET229">
        <v>109</v>
      </c>
      <c r="EU229" s="48" t="s">
        <v>1710</v>
      </c>
      <c r="EV229" s="48" t="s">
        <v>1710</v>
      </c>
      <c r="EW229" s="48" t="s">
        <v>1712</v>
      </c>
      <c r="EX229" s="48" t="s">
        <v>1710</v>
      </c>
      <c r="EY229" s="48" t="s">
        <v>1850</v>
      </c>
      <c r="EZ229" s="48" t="s">
        <v>1710</v>
      </c>
      <c r="FA229" s="48" t="s">
        <v>1710</v>
      </c>
      <c r="FB229" s="48" t="s">
        <v>1712</v>
      </c>
      <c r="FC229" s="48" t="s">
        <v>1710</v>
      </c>
      <c r="FD229" s="48" t="s">
        <v>1710</v>
      </c>
      <c r="FE229" s="48" t="s">
        <v>1814</v>
      </c>
      <c r="FF229" s="48" t="s">
        <v>1815</v>
      </c>
      <c r="FG229" s="48" t="s">
        <v>1710</v>
      </c>
      <c r="FH229">
        <v>1</v>
      </c>
      <c r="FI229" s="48" t="s">
        <v>1846</v>
      </c>
      <c r="FJ229">
        <v>141.01</v>
      </c>
      <c r="FK229">
        <v>141.01</v>
      </c>
      <c r="FL229" s="48" t="s">
        <v>4617</v>
      </c>
      <c r="FM229" s="48" t="s">
        <v>4616</v>
      </c>
      <c r="FN229" s="48" t="s">
        <v>1710</v>
      </c>
      <c r="FO229" s="48" t="s">
        <v>1710</v>
      </c>
      <c r="FP229" s="48" t="s">
        <v>1710</v>
      </c>
      <c r="FQ229" s="48" t="s">
        <v>1710</v>
      </c>
      <c r="FR229" s="48" t="s">
        <v>1710</v>
      </c>
      <c r="FS229" s="48" t="s">
        <v>1710</v>
      </c>
      <c r="FT229" s="48" t="s">
        <v>1710</v>
      </c>
      <c r="FU229" s="48" t="s">
        <v>1710</v>
      </c>
      <c r="FV229" s="48"/>
      <c r="FW229" s="56"/>
      <c r="FX229" s="56"/>
      <c r="FY229" s="56"/>
      <c r="FZ229" s="56"/>
      <c r="GA229" s="55" t="str">
        <f t="shared" si="11"/>
        <v>4388426900391X</v>
      </c>
      <c r="GB229" t="str">
        <f>VLOOKUP(B229,수출코드!$C$2:$D$4,2,FALSE)</f>
        <v>Suwon</v>
      </c>
      <c r="GC229" t="str">
        <f>VLOOKUP(L229,수출코드!$A$2:$B$6,2,FALSE)</f>
        <v/>
      </c>
      <c r="GD229" t="str">
        <f>VLOOKUP(M229,수출코드!$E$2:$F$5,2,FALSE)</f>
        <v>일반</v>
      </c>
      <c r="GE229" s="61">
        <f t="shared" si="9"/>
        <v>45974.631944444445</v>
      </c>
      <c r="GF229" s="62">
        <f t="shared" si="10"/>
        <v>46048.390972222223</v>
      </c>
      <c r="GI229" s="48" t="s">
        <v>2782</v>
      </c>
    </row>
    <row r="230" spans="1:191">
      <c r="A230" s="48" t="s">
        <v>4618</v>
      </c>
      <c r="B230" s="48" t="s">
        <v>1821</v>
      </c>
      <c r="C230" s="48" t="s">
        <v>2048</v>
      </c>
      <c r="D230" s="48" t="s">
        <v>2813</v>
      </c>
      <c r="E230" s="48" t="s">
        <v>4618</v>
      </c>
      <c r="F230" s="48" t="s">
        <v>1710</v>
      </c>
      <c r="G230" s="48" t="s">
        <v>2814</v>
      </c>
      <c r="H230" s="48" t="s">
        <v>4619</v>
      </c>
      <c r="I230" s="48" t="s">
        <v>1884</v>
      </c>
      <c r="J230" s="48" t="s">
        <v>2835</v>
      </c>
      <c r="K230" s="48" t="s">
        <v>1877</v>
      </c>
      <c r="L230" s="48" t="s">
        <v>1842</v>
      </c>
      <c r="M230" s="48" t="s">
        <v>1810</v>
      </c>
      <c r="N230" s="48" t="s">
        <v>1842</v>
      </c>
      <c r="O230" s="48" t="s">
        <v>1811</v>
      </c>
      <c r="P230" s="48" t="s">
        <v>2549</v>
      </c>
      <c r="Q230" s="48" t="s">
        <v>2049</v>
      </c>
      <c r="R230" s="48" t="s">
        <v>1838</v>
      </c>
      <c r="S230" s="48" t="s">
        <v>2050</v>
      </c>
      <c r="T230" s="48" t="s">
        <v>1845</v>
      </c>
      <c r="U230" s="48" t="s">
        <v>2049</v>
      </c>
      <c r="V230" s="48" t="s">
        <v>1838</v>
      </c>
      <c r="W230" s="48" t="s">
        <v>2051</v>
      </c>
      <c r="X230" s="48" t="s">
        <v>2052</v>
      </c>
      <c r="Y230" s="48" t="s">
        <v>2050</v>
      </c>
      <c r="Z230" s="48" t="s">
        <v>2053</v>
      </c>
      <c r="AA230" s="48" t="s">
        <v>2054</v>
      </c>
      <c r="AB230" s="48" t="s">
        <v>2817</v>
      </c>
      <c r="AC230" s="48" t="s">
        <v>2055</v>
      </c>
      <c r="AD230" s="48" t="s">
        <v>2056</v>
      </c>
      <c r="AE230" s="48" t="s">
        <v>1710</v>
      </c>
      <c r="AF230" s="48" t="s">
        <v>1710</v>
      </c>
      <c r="AG230" s="48" t="s">
        <v>2057</v>
      </c>
      <c r="AH230" s="48" t="s">
        <v>1815</v>
      </c>
      <c r="AI230" s="48" t="s">
        <v>2058</v>
      </c>
      <c r="AJ230" s="48" t="s">
        <v>1710</v>
      </c>
      <c r="AK230" s="48" t="s">
        <v>2563</v>
      </c>
      <c r="AL230" s="48" t="s">
        <v>2564</v>
      </c>
      <c r="AM230" s="48" t="s">
        <v>1816</v>
      </c>
      <c r="AN230" s="48" t="s">
        <v>2054</v>
      </c>
      <c r="AO230" s="48" t="s">
        <v>1710</v>
      </c>
      <c r="AP230" s="48" t="s">
        <v>1855</v>
      </c>
      <c r="AQ230" s="48" t="s">
        <v>2076</v>
      </c>
      <c r="AR230" s="48" t="s">
        <v>1812</v>
      </c>
      <c r="AS230" s="48" t="s">
        <v>1813</v>
      </c>
      <c r="AT230" s="48" t="s">
        <v>1826</v>
      </c>
      <c r="AU230" s="48" t="s">
        <v>2061</v>
      </c>
      <c r="AV230" s="48" t="s">
        <v>2835</v>
      </c>
      <c r="AW230" s="48" t="s">
        <v>2062</v>
      </c>
      <c r="AX230" s="48" t="s">
        <v>2063</v>
      </c>
      <c r="AY230" s="48" t="s">
        <v>1710</v>
      </c>
      <c r="AZ230" s="48" t="s">
        <v>4620</v>
      </c>
      <c r="BA230" s="48" t="s">
        <v>1710</v>
      </c>
      <c r="BB230" s="48" t="s">
        <v>1709</v>
      </c>
      <c r="BC230" s="48" t="s">
        <v>1710</v>
      </c>
      <c r="BD230" s="48" t="s">
        <v>2864</v>
      </c>
      <c r="BE230" s="52" t="s">
        <v>4621</v>
      </c>
      <c r="BF230" s="48" t="s">
        <v>1710</v>
      </c>
      <c r="BG230" s="48" t="s">
        <v>1814</v>
      </c>
      <c r="BH230">
        <v>126</v>
      </c>
      <c r="BI230" s="48" t="s">
        <v>1888</v>
      </c>
      <c r="BJ230">
        <v>1</v>
      </c>
      <c r="BK230">
        <v>1473.06</v>
      </c>
      <c r="BL230">
        <v>209923531</v>
      </c>
      <c r="BM230">
        <v>142508</v>
      </c>
      <c r="BN230" s="48" t="s">
        <v>2064</v>
      </c>
      <c r="BO230" s="48" t="s">
        <v>2065</v>
      </c>
      <c r="BP230">
        <v>1473.06</v>
      </c>
      <c r="BQ230">
        <v>142923.12</v>
      </c>
      <c r="BR230" s="48" t="s">
        <v>1885</v>
      </c>
      <c r="BS230" s="48" t="s">
        <v>2066</v>
      </c>
      <c r="BT230">
        <v>1</v>
      </c>
      <c r="BU230">
        <v>610800</v>
      </c>
      <c r="BV230">
        <v>610800</v>
      </c>
      <c r="BW230" s="48" t="s">
        <v>2065</v>
      </c>
      <c r="BX230">
        <v>1473.06</v>
      </c>
      <c r="BY230">
        <v>0</v>
      </c>
      <c r="BZ230">
        <v>0</v>
      </c>
      <c r="CA230" s="48" t="s">
        <v>2065</v>
      </c>
      <c r="CB230">
        <v>1473.06</v>
      </c>
      <c r="CC230">
        <v>0</v>
      </c>
      <c r="CD230">
        <v>0</v>
      </c>
      <c r="CE230" s="48" t="s">
        <v>1710</v>
      </c>
      <c r="CF230" s="48" t="s">
        <v>1710</v>
      </c>
      <c r="CG230" s="48" t="s">
        <v>1710</v>
      </c>
      <c r="CH230" s="48" t="s">
        <v>1710</v>
      </c>
      <c r="CI230" s="48" t="s">
        <v>2067</v>
      </c>
      <c r="CJ230" s="48" t="s">
        <v>1710</v>
      </c>
      <c r="CL230" s="48" t="s">
        <v>2835</v>
      </c>
      <c r="CM230" s="48" t="s">
        <v>1710</v>
      </c>
      <c r="CN230" s="48" t="s">
        <v>2068</v>
      </c>
      <c r="CO230" s="48" t="s">
        <v>2069</v>
      </c>
      <c r="CP230" s="48" t="s">
        <v>1710</v>
      </c>
      <c r="CQ230" s="48" t="s">
        <v>1710</v>
      </c>
      <c r="CR230" s="48" t="s">
        <v>1710</v>
      </c>
      <c r="CS230" s="48" t="s">
        <v>1710</v>
      </c>
      <c r="CT230" s="48" t="s">
        <v>1710</v>
      </c>
      <c r="CU230" s="48" t="s">
        <v>1712</v>
      </c>
      <c r="CV230" s="48" t="s">
        <v>1710</v>
      </c>
      <c r="CW230" s="48" t="s">
        <v>1710</v>
      </c>
      <c r="CX230" s="48" t="s">
        <v>2839</v>
      </c>
      <c r="CY230" s="48" t="s">
        <v>1710</v>
      </c>
      <c r="CZ230" s="48" t="s">
        <v>1712</v>
      </c>
      <c r="DA230" s="48" t="s">
        <v>1710</v>
      </c>
      <c r="DB230" s="48" t="s">
        <v>1878</v>
      </c>
      <c r="DC230" s="48" t="s">
        <v>2070</v>
      </c>
      <c r="DD230" s="48" t="s">
        <v>1842</v>
      </c>
      <c r="DE230" s="48" t="s">
        <v>1886</v>
      </c>
      <c r="DF230" s="48" t="s">
        <v>4622</v>
      </c>
      <c r="DG230" s="48" t="s">
        <v>2071</v>
      </c>
      <c r="DH230" s="48" t="s">
        <v>1712</v>
      </c>
      <c r="DI230" s="48" t="s">
        <v>1710</v>
      </c>
      <c r="DJ230" s="48" t="s">
        <v>1710</v>
      </c>
      <c r="DK230" s="48" t="s">
        <v>1710</v>
      </c>
      <c r="DL230" s="48" t="s">
        <v>1710</v>
      </c>
      <c r="DM230" s="48" t="s">
        <v>1710</v>
      </c>
      <c r="DN230" s="48" t="s">
        <v>1710</v>
      </c>
      <c r="DO230" s="48" t="s">
        <v>1710</v>
      </c>
      <c r="DP230" s="48" t="s">
        <v>1710</v>
      </c>
      <c r="DQ230" s="48" t="s">
        <v>1710</v>
      </c>
      <c r="DR230" s="48" t="s">
        <v>2072</v>
      </c>
      <c r="DS230" s="48" t="s">
        <v>1710</v>
      </c>
      <c r="DT230" s="48" t="s">
        <v>1710</v>
      </c>
      <c r="DU230" s="48" t="s">
        <v>2575</v>
      </c>
      <c r="DV230" s="48" t="s">
        <v>2850</v>
      </c>
      <c r="DW230" s="48" t="s">
        <v>1710</v>
      </c>
      <c r="DX230" s="48" t="s">
        <v>4623</v>
      </c>
      <c r="DY230" s="48" t="s">
        <v>1709</v>
      </c>
      <c r="DZ230" s="48" t="s">
        <v>2562</v>
      </c>
      <c r="EA230" s="48" t="s">
        <v>2546</v>
      </c>
      <c r="EB230">
        <v>0</v>
      </c>
      <c r="EC230" s="48" t="s">
        <v>2575</v>
      </c>
      <c r="ED230" s="48" t="s">
        <v>4624</v>
      </c>
      <c r="EE230" s="48" t="s">
        <v>1814</v>
      </c>
      <c r="EF230" s="48" t="s">
        <v>2620</v>
      </c>
      <c r="EG230" s="48" t="s">
        <v>4620</v>
      </c>
      <c r="EH230">
        <v>90</v>
      </c>
      <c r="EI230" s="48" t="s">
        <v>1888</v>
      </c>
      <c r="EJ230">
        <v>1</v>
      </c>
      <c r="EK230" s="48" t="s">
        <v>1887</v>
      </c>
      <c r="EL230">
        <v>1</v>
      </c>
      <c r="EM230" s="48" t="s">
        <v>1886</v>
      </c>
      <c r="EN230">
        <v>90</v>
      </c>
      <c r="EO230" s="48" t="s">
        <v>2621</v>
      </c>
      <c r="EP230" s="48" t="s">
        <v>2624</v>
      </c>
      <c r="EQ230">
        <v>142923.12</v>
      </c>
      <c r="ER230">
        <v>142923.12</v>
      </c>
      <c r="ES230">
        <v>209923531</v>
      </c>
      <c r="ET230">
        <v>142508</v>
      </c>
      <c r="EU230" s="48" t="s">
        <v>1710</v>
      </c>
      <c r="EV230" s="48" t="s">
        <v>1710</v>
      </c>
      <c r="EW230" s="48" t="s">
        <v>1712</v>
      </c>
      <c r="EX230" s="48" t="s">
        <v>1710</v>
      </c>
      <c r="EY230" s="48" t="s">
        <v>2622</v>
      </c>
      <c r="EZ230" s="48" t="s">
        <v>1710</v>
      </c>
      <c r="FA230" s="48" t="s">
        <v>1710</v>
      </c>
      <c r="FB230" s="48" t="s">
        <v>1712</v>
      </c>
      <c r="FC230" s="48" t="s">
        <v>1710</v>
      </c>
      <c r="FD230" s="48" t="s">
        <v>1710</v>
      </c>
      <c r="FE230" s="48" t="s">
        <v>1814</v>
      </c>
      <c r="FF230" s="48" t="s">
        <v>1815</v>
      </c>
      <c r="FG230" s="48" t="s">
        <v>1710</v>
      </c>
      <c r="FH230">
        <v>1</v>
      </c>
      <c r="FI230" s="48" t="s">
        <v>1846</v>
      </c>
      <c r="FJ230">
        <v>142923.12</v>
      </c>
      <c r="FK230">
        <v>142923.12</v>
      </c>
      <c r="FL230" s="48" t="s">
        <v>2625</v>
      </c>
      <c r="FM230" s="48" t="s">
        <v>2624</v>
      </c>
      <c r="FN230" s="48" t="s">
        <v>1710</v>
      </c>
      <c r="FO230" s="48" t="s">
        <v>1710</v>
      </c>
      <c r="FP230" s="48" t="s">
        <v>1710</v>
      </c>
      <c r="FQ230" s="48" t="s">
        <v>1710</v>
      </c>
      <c r="FR230" s="48" t="s">
        <v>1710</v>
      </c>
      <c r="FS230" s="48" t="s">
        <v>1710</v>
      </c>
      <c r="FT230" s="48" t="s">
        <v>1710</v>
      </c>
      <c r="FU230" s="48" t="s">
        <v>1710</v>
      </c>
      <c r="FV230" s="48"/>
      <c r="FW230" s="56"/>
      <c r="FX230" s="56"/>
      <c r="FY230" s="56"/>
      <c r="FZ230" s="56"/>
      <c r="GA230" s="55" t="str">
        <f t="shared" si="11"/>
        <v>4388426900392X</v>
      </c>
      <c r="GB230" t="str">
        <f>VLOOKUP(B230,수출코드!$C$2:$D$4,2,FALSE)</f>
        <v>Suwon</v>
      </c>
      <c r="GC230" t="str">
        <f>VLOOKUP(L230,수출코드!$A$2:$B$6,2,FALSE)</f>
        <v/>
      </c>
      <c r="GD230" t="str">
        <f>VLOOKUP(M230,수출코드!$E$2:$F$5,2,FALSE)</f>
        <v>일반</v>
      </c>
      <c r="GE230" s="61">
        <f t="shared" si="9"/>
        <v>45974.631944444445</v>
      </c>
      <c r="GF230" s="62">
        <f t="shared" si="10"/>
        <v>46048.398611111108</v>
      </c>
      <c r="GI230" s="48" t="s">
        <v>2782</v>
      </c>
    </row>
    <row r="231" spans="1:191">
      <c r="A231" s="48" t="s">
        <v>4625</v>
      </c>
      <c r="B231" s="48" t="s">
        <v>1821</v>
      </c>
      <c r="C231" s="48" t="s">
        <v>2048</v>
      </c>
      <c r="D231" s="48" t="s">
        <v>2813</v>
      </c>
      <c r="E231" s="48" t="s">
        <v>4625</v>
      </c>
      <c r="F231" s="48" t="s">
        <v>1710</v>
      </c>
      <c r="G231" s="48" t="s">
        <v>2814</v>
      </c>
      <c r="H231" s="48" t="s">
        <v>4626</v>
      </c>
      <c r="I231" s="48" t="s">
        <v>1884</v>
      </c>
      <c r="J231" s="48" t="s">
        <v>2835</v>
      </c>
      <c r="K231" s="48" t="s">
        <v>1885</v>
      </c>
      <c r="L231" s="48" t="s">
        <v>1883</v>
      </c>
      <c r="M231" s="48" t="s">
        <v>2085</v>
      </c>
      <c r="N231" s="48" t="s">
        <v>1842</v>
      </c>
      <c r="O231" s="48" t="s">
        <v>1811</v>
      </c>
      <c r="P231" s="48" t="s">
        <v>2549</v>
      </c>
      <c r="Q231" s="48" t="s">
        <v>2049</v>
      </c>
      <c r="R231" s="48" t="s">
        <v>1838</v>
      </c>
      <c r="S231" s="48" t="s">
        <v>2050</v>
      </c>
      <c r="T231" s="48" t="s">
        <v>1845</v>
      </c>
      <c r="U231" s="48" t="s">
        <v>2049</v>
      </c>
      <c r="V231" s="48" t="s">
        <v>1838</v>
      </c>
      <c r="W231" s="48" t="s">
        <v>2051</v>
      </c>
      <c r="X231" s="48" t="s">
        <v>2052</v>
      </c>
      <c r="Y231" s="48" t="s">
        <v>2050</v>
      </c>
      <c r="Z231" s="48" t="s">
        <v>2053</v>
      </c>
      <c r="AA231" s="48" t="s">
        <v>2054</v>
      </c>
      <c r="AB231" s="48" t="s">
        <v>1710</v>
      </c>
      <c r="AC231" s="48" t="s">
        <v>2055</v>
      </c>
      <c r="AD231" s="48" t="s">
        <v>2056</v>
      </c>
      <c r="AE231" s="48" t="s">
        <v>1710</v>
      </c>
      <c r="AF231" s="48" t="s">
        <v>1710</v>
      </c>
      <c r="AG231" s="48" t="s">
        <v>2057</v>
      </c>
      <c r="AH231" s="48" t="s">
        <v>1815</v>
      </c>
      <c r="AI231" s="48" t="s">
        <v>2058</v>
      </c>
      <c r="AJ231" s="48" t="s">
        <v>1710</v>
      </c>
      <c r="AK231" s="48" t="s">
        <v>2099</v>
      </c>
      <c r="AL231" s="48" t="s">
        <v>1866</v>
      </c>
      <c r="AM231" s="48" t="s">
        <v>1816</v>
      </c>
      <c r="AN231" s="48" t="s">
        <v>2054</v>
      </c>
      <c r="AO231" s="48" t="s">
        <v>1710</v>
      </c>
      <c r="AP231" s="48" t="s">
        <v>1854</v>
      </c>
      <c r="AQ231" s="48" t="s">
        <v>2081</v>
      </c>
      <c r="AR231" s="48" t="s">
        <v>1812</v>
      </c>
      <c r="AS231" s="48" t="s">
        <v>1813</v>
      </c>
      <c r="AT231" s="48" t="s">
        <v>1826</v>
      </c>
      <c r="AU231" s="48" t="s">
        <v>2061</v>
      </c>
      <c r="AV231" s="48" t="s">
        <v>2835</v>
      </c>
      <c r="AW231" s="48" t="s">
        <v>2062</v>
      </c>
      <c r="AX231" s="48" t="s">
        <v>2063</v>
      </c>
      <c r="AY231" s="48" t="s">
        <v>1710</v>
      </c>
      <c r="AZ231" s="48" t="s">
        <v>4627</v>
      </c>
      <c r="BA231" s="48" t="s">
        <v>1710</v>
      </c>
      <c r="BB231" s="48" t="s">
        <v>1709</v>
      </c>
      <c r="BC231" s="48" t="s">
        <v>1710</v>
      </c>
      <c r="BD231" s="48" t="s">
        <v>2089</v>
      </c>
      <c r="BE231" s="52" t="s">
        <v>4628</v>
      </c>
      <c r="BF231" s="48" t="s">
        <v>1710</v>
      </c>
      <c r="BG231" s="48" t="s">
        <v>1814</v>
      </c>
      <c r="BH231">
        <v>2</v>
      </c>
      <c r="BI231" s="48" t="s">
        <v>1888</v>
      </c>
      <c r="BJ231">
        <v>1</v>
      </c>
      <c r="BK231">
        <v>1473.06</v>
      </c>
      <c r="BL231">
        <v>3154076</v>
      </c>
      <c r="BM231">
        <v>2141</v>
      </c>
      <c r="BN231" s="48" t="s">
        <v>2064</v>
      </c>
      <c r="BO231" s="48" t="s">
        <v>2065</v>
      </c>
      <c r="BP231">
        <v>1473.06</v>
      </c>
      <c r="BQ231">
        <v>2174.0300000000002</v>
      </c>
      <c r="BR231" s="48" t="s">
        <v>1885</v>
      </c>
      <c r="BS231" s="48" t="s">
        <v>2066</v>
      </c>
      <c r="BT231">
        <v>1</v>
      </c>
      <c r="BU231">
        <v>48400</v>
      </c>
      <c r="BV231">
        <v>48400</v>
      </c>
      <c r="BW231" s="48" t="s">
        <v>2065</v>
      </c>
      <c r="BX231">
        <v>1473.06</v>
      </c>
      <c r="BY231">
        <v>0</v>
      </c>
      <c r="BZ231">
        <v>0</v>
      </c>
      <c r="CA231" s="48" t="s">
        <v>2065</v>
      </c>
      <c r="CB231">
        <v>1473.06</v>
      </c>
      <c r="CC231">
        <v>0</v>
      </c>
      <c r="CD231">
        <v>0</v>
      </c>
      <c r="CE231" s="48" t="s">
        <v>1710</v>
      </c>
      <c r="CF231" s="48" t="s">
        <v>1710</v>
      </c>
      <c r="CG231" s="48" t="s">
        <v>1710</v>
      </c>
      <c r="CH231" s="48" t="s">
        <v>1710</v>
      </c>
      <c r="CI231" s="48" t="s">
        <v>2067</v>
      </c>
      <c r="CJ231" s="48" t="s">
        <v>1710</v>
      </c>
      <c r="CL231" s="48" t="s">
        <v>2835</v>
      </c>
      <c r="CM231" s="48" t="s">
        <v>1710</v>
      </c>
      <c r="CN231" s="48" t="s">
        <v>2068</v>
      </c>
      <c r="CO231" s="48" t="s">
        <v>2069</v>
      </c>
      <c r="CP231" s="48" t="s">
        <v>1710</v>
      </c>
      <c r="CQ231" s="48" t="s">
        <v>1710</v>
      </c>
      <c r="CR231" s="48" t="s">
        <v>1710</v>
      </c>
      <c r="CS231" s="48" t="s">
        <v>1710</v>
      </c>
      <c r="CT231" s="48" t="s">
        <v>1710</v>
      </c>
      <c r="CU231" s="48" t="s">
        <v>1712</v>
      </c>
      <c r="CV231" s="48" t="s">
        <v>1710</v>
      </c>
      <c r="CW231" s="48" t="s">
        <v>1710</v>
      </c>
      <c r="CX231" s="48" t="s">
        <v>2839</v>
      </c>
      <c r="CY231" s="48" t="s">
        <v>1710</v>
      </c>
      <c r="CZ231" s="48" t="s">
        <v>1712</v>
      </c>
      <c r="DA231" s="48" t="s">
        <v>1710</v>
      </c>
      <c r="DB231" s="48" t="s">
        <v>1878</v>
      </c>
      <c r="DC231" s="48" t="s">
        <v>2070</v>
      </c>
      <c r="DD231" s="48" t="s">
        <v>1842</v>
      </c>
      <c r="DE231" s="48" t="s">
        <v>1886</v>
      </c>
      <c r="DF231" s="48" t="s">
        <v>4629</v>
      </c>
      <c r="DG231" s="48" t="s">
        <v>2071</v>
      </c>
      <c r="DH231" s="48" t="s">
        <v>1712</v>
      </c>
      <c r="DI231" s="48" t="s">
        <v>1710</v>
      </c>
      <c r="DJ231" s="48" t="s">
        <v>1710</v>
      </c>
      <c r="DK231" s="48" t="s">
        <v>1710</v>
      </c>
      <c r="DL231" s="48" t="s">
        <v>1710</v>
      </c>
      <c r="DM231" s="48" t="s">
        <v>1710</v>
      </c>
      <c r="DN231" s="48" t="s">
        <v>1710</v>
      </c>
      <c r="DO231" s="48" t="s">
        <v>1710</v>
      </c>
      <c r="DP231" s="48" t="s">
        <v>1710</v>
      </c>
      <c r="DQ231" s="48" t="s">
        <v>1710</v>
      </c>
      <c r="DR231" s="48" t="s">
        <v>2072</v>
      </c>
      <c r="DS231" s="48" t="s">
        <v>1710</v>
      </c>
      <c r="DT231" s="48" t="s">
        <v>1710</v>
      </c>
      <c r="DU231" s="48" t="s">
        <v>2575</v>
      </c>
      <c r="DV231" s="48" t="s">
        <v>2850</v>
      </c>
      <c r="DW231" s="48" t="s">
        <v>1710</v>
      </c>
      <c r="DX231" s="48" t="s">
        <v>4630</v>
      </c>
      <c r="DY231" s="48" t="s">
        <v>1709</v>
      </c>
      <c r="DZ231" s="48" t="s">
        <v>2073</v>
      </c>
      <c r="EA231" s="48" t="s">
        <v>2546</v>
      </c>
      <c r="EB231">
        <v>0</v>
      </c>
      <c r="EC231" s="48" t="s">
        <v>2575</v>
      </c>
      <c r="ED231" s="48" t="s">
        <v>4631</v>
      </c>
      <c r="EE231" s="48" t="s">
        <v>1814</v>
      </c>
      <c r="EF231" s="48" t="s">
        <v>1875</v>
      </c>
      <c r="EG231" s="48" t="s">
        <v>4627</v>
      </c>
      <c r="EH231">
        <v>0.82</v>
      </c>
      <c r="EI231" s="48" t="s">
        <v>1888</v>
      </c>
      <c r="EJ231">
        <v>0</v>
      </c>
      <c r="EK231" s="48" t="s">
        <v>1710</v>
      </c>
      <c r="EL231">
        <v>1</v>
      </c>
      <c r="EM231" s="48" t="s">
        <v>1886</v>
      </c>
      <c r="EN231">
        <v>0.82</v>
      </c>
      <c r="EO231" s="48" t="s">
        <v>2577</v>
      </c>
      <c r="EP231" s="48" t="s">
        <v>4632</v>
      </c>
      <c r="EQ231">
        <v>2174.0300000000002</v>
      </c>
      <c r="ER231">
        <v>2174.0300000000002</v>
      </c>
      <c r="ES231">
        <v>3154076</v>
      </c>
      <c r="ET231">
        <v>2141</v>
      </c>
      <c r="EU231" s="48" t="s">
        <v>4633</v>
      </c>
      <c r="EV231" s="48" t="s">
        <v>1814</v>
      </c>
      <c r="EW231" s="48" t="s">
        <v>1712</v>
      </c>
      <c r="EX231" s="48" t="s">
        <v>1710</v>
      </c>
      <c r="EY231" s="48" t="s">
        <v>1848</v>
      </c>
      <c r="EZ231" s="48" t="s">
        <v>1710</v>
      </c>
      <c r="FA231" s="48" t="s">
        <v>1710</v>
      </c>
      <c r="FB231" s="48" t="s">
        <v>1712</v>
      </c>
      <c r="FC231" s="48" t="s">
        <v>1710</v>
      </c>
      <c r="FD231" s="48" t="s">
        <v>1710</v>
      </c>
      <c r="FE231" s="48" t="s">
        <v>1814</v>
      </c>
      <c r="FF231" s="48" t="s">
        <v>1815</v>
      </c>
      <c r="FG231" s="48" t="s">
        <v>1710</v>
      </c>
      <c r="FH231">
        <v>1</v>
      </c>
      <c r="FI231" s="48" t="s">
        <v>1846</v>
      </c>
      <c r="FJ231">
        <v>2174.0300000000002</v>
      </c>
      <c r="FK231">
        <v>2174.0300000000002</v>
      </c>
      <c r="FL231" s="48" t="s">
        <v>4634</v>
      </c>
      <c r="FM231" s="48" t="s">
        <v>4632</v>
      </c>
      <c r="FN231" s="48" t="s">
        <v>1710</v>
      </c>
      <c r="FO231" s="48" t="s">
        <v>1710</v>
      </c>
      <c r="FP231" s="48" t="s">
        <v>1710</v>
      </c>
      <c r="FQ231" s="48" t="s">
        <v>1710</v>
      </c>
      <c r="FR231" s="48" t="s">
        <v>1710</v>
      </c>
      <c r="FS231" s="48" t="s">
        <v>1710</v>
      </c>
      <c r="FT231" s="48" t="s">
        <v>1710</v>
      </c>
      <c r="FU231" s="48" t="s">
        <v>1710</v>
      </c>
      <c r="FV231" s="48"/>
      <c r="FW231" s="56"/>
      <c r="FX231" s="56"/>
      <c r="FY231" s="56"/>
      <c r="FZ231" s="56"/>
      <c r="GA231" s="55" t="str">
        <f t="shared" si="11"/>
        <v>4388426900393X</v>
      </c>
      <c r="GB231" t="str">
        <f>VLOOKUP(B231,수출코드!$C$2:$D$4,2,FALSE)</f>
        <v>Suwon</v>
      </c>
      <c r="GC231" t="str">
        <f>VLOOKUP(L231,수출코드!$A$2:$B$6,2,FALSE)</f>
        <v>서류제출</v>
      </c>
      <c r="GD231" t="str">
        <f>VLOOKUP(M231,수출코드!$E$2:$F$5,2,FALSE)</f>
        <v>원상태</v>
      </c>
      <c r="GE231" s="61">
        <f t="shared" si="9"/>
        <v>45974.669444444444</v>
      </c>
      <c r="GF231" s="62">
        <f t="shared" si="10"/>
        <v>46048.595138888886</v>
      </c>
      <c r="GI231" s="48" t="s">
        <v>2783</v>
      </c>
    </row>
    <row r="232" spans="1:191">
      <c r="A232" s="48" t="s">
        <v>4635</v>
      </c>
      <c r="B232" s="48" t="s">
        <v>1821</v>
      </c>
      <c r="C232" s="48" t="s">
        <v>2048</v>
      </c>
      <c r="D232" s="48" t="s">
        <v>2813</v>
      </c>
      <c r="E232" s="48" t="s">
        <v>4635</v>
      </c>
      <c r="F232" s="48" t="s">
        <v>1710</v>
      </c>
      <c r="G232" s="48" t="s">
        <v>2814</v>
      </c>
      <c r="H232" s="48" t="s">
        <v>4636</v>
      </c>
      <c r="I232" s="48" t="s">
        <v>1884</v>
      </c>
      <c r="J232" s="48" t="s">
        <v>2835</v>
      </c>
      <c r="K232" s="48" t="s">
        <v>1877</v>
      </c>
      <c r="L232" s="48" t="s">
        <v>1842</v>
      </c>
      <c r="M232" s="48" t="s">
        <v>1810</v>
      </c>
      <c r="N232" s="48" t="s">
        <v>1842</v>
      </c>
      <c r="O232" s="48" t="s">
        <v>1811</v>
      </c>
      <c r="P232" s="48" t="s">
        <v>2549</v>
      </c>
      <c r="Q232" s="48" t="s">
        <v>2049</v>
      </c>
      <c r="R232" s="48" t="s">
        <v>1838</v>
      </c>
      <c r="S232" s="48" t="s">
        <v>2050</v>
      </c>
      <c r="T232" s="48" t="s">
        <v>1845</v>
      </c>
      <c r="U232" s="48" t="s">
        <v>2049</v>
      </c>
      <c r="V232" s="48" t="s">
        <v>1838</v>
      </c>
      <c r="W232" s="48" t="s">
        <v>2051</v>
      </c>
      <c r="X232" s="48" t="s">
        <v>2052</v>
      </c>
      <c r="Y232" s="48" t="s">
        <v>2050</v>
      </c>
      <c r="Z232" s="48" t="s">
        <v>2053</v>
      </c>
      <c r="AA232" s="48" t="s">
        <v>2054</v>
      </c>
      <c r="AB232" s="48" t="s">
        <v>2817</v>
      </c>
      <c r="AC232" s="48" t="s">
        <v>2055</v>
      </c>
      <c r="AD232" s="48" t="s">
        <v>2056</v>
      </c>
      <c r="AE232" s="48" t="s">
        <v>1710</v>
      </c>
      <c r="AF232" s="48" t="s">
        <v>1710</v>
      </c>
      <c r="AG232" s="48" t="s">
        <v>2057</v>
      </c>
      <c r="AH232" s="48" t="s">
        <v>1815</v>
      </c>
      <c r="AI232" s="48" t="s">
        <v>2058</v>
      </c>
      <c r="AJ232" s="48" t="s">
        <v>1710</v>
      </c>
      <c r="AK232" s="48" t="s">
        <v>1839</v>
      </c>
      <c r="AL232" s="48" t="s">
        <v>1840</v>
      </c>
      <c r="AM232" s="48" t="s">
        <v>1816</v>
      </c>
      <c r="AN232" s="48" t="s">
        <v>2054</v>
      </c>
      <c r="AO232" s="48" t="s">
        <v>1710</v>
      </c>
      <c r="AP232" s="48" t="s">
        <v>1874</v>
      </c>
      <c r="AQ232" s="48" t="s">
        <v>2078</v>
      </c>
      <c r="AR232" s="48" t="s">
        <v>1812</v>
      </c>
      <c r="AS232" s="48" t="s">
        <v>1813</v>
      </c>
      <c r="AT232" s="48" t="s">
        <v>1826</v>
      </c>
      <c r="AU232" s="48" t="s">
        <v>2061</v>
      </c>
      <c r="AV232" s="48" t="s">
        <v>2835</v>
      </c>
      <c r="AW232" s="48" t="s">
        <v>2062</v>
      </c>
      <c r="AX232" s="48" t="s">
        <v>2063</v>
      </c>
      <c r="AY232" s="48" t="s">
        <v>1710</v>
      </c>
      <c r="AZ232" s="48" t="s">
        <v>4637</v>
      </c>
      <c r="BA232" s="48" t="s">
        <v>1710</v>
      </c>
      <c r="BB232" s="48" t="s">
        <v>1709</v>
      </c>
      <c r="BC232" s="48" t="s">
        <v>1710</v>
      </c>
      <c r="BD232" s="48" t="s">
        <v>2089</v>
      </c>
      <c r="BE232" s="52" t="s">
        <v>4628</v>
      </c>
      <c r="BF232" s="48" t="s">
        <v>1710</v>
      </c>
      <c r="BG232" s="48" t="s">
        <v>1814</v>
      </c>
      <c r="BH232">
        <v>5</v>
      </c>
      <c r="BI232" s="48" t="s">
        <v>1888</v>
      </c>
      <c r="BJ232">
        <v>1</v>
      </c>
      <c r="BK232">
        <v>1473.06</v>
      </c>
      <c r="BL232">
        <v>1337658</v>
      </c>
      <c r="BM232">
        <v>908</v>
      </c>
      <c r="BN232" s="48" t="s">
        <v>2064</v>
      </c>
      <c r="BO232" s="48" t="s">
        <v>2065</v>
      </c>
      <c r="BP232">
        <v>1473.06</v>
      </c>
      <c r="BQ232">
        <v>938.63</v>
      </c>
      <c r="BR232" s="48" t="s">
        <v>1885</v>
      </c>
      <c r="BS232" s="48" t="s">
        <v>2066</v>
      </c>
      <c r="BT232">
        <v>1</v>
      </c>
      <c r="BU232">
        <v>45000</v>
      </c>
      <c r="BV232">
        <v>45000</v>
      </c>
      <c r="BW232" s="48" t="s">
        <v>2065</v>
      </c>
      <c r="BX232">
        <v>1473.06</v>
      </c>
      <c r="BY232">
        <v>0</v>
      </c>
      <c r="BZ232">
        <v>0</v>
      </c>
      <c r="CA232" s="48" t="s">
        <v>2065</v>
      </c>
      <c r="CB232">
        <v>1473.06</v>
      </c>
      <c r="CC232">
        <v>0</v>
      </c>
      <c r="CD232">
        <v>0</v>
      </c>
      <c r="CE232" s="48" t="s">
        <v>1710</v>
      </c>
      <c r="CF232" s="48" t="s">
        <v>1710</v>
      </c>
      <c r="CG232" s="48" t="s">
        <v>1710</v>
      </c>
      <c r="CH232" s="48" t="s">
        <v>1710</v>
      </c>
      <c r="CI232" s="48" t="s">
        <v>2067</v>
      </c>
      <c r="CJ232" s="48" t="s">
        <v>1710</v>
      </c>
      <c r="CL232" s="48" t="s">
        <v>2835</v>
      </c>
      <c r="CM232" s="48" t="s">
        <v>1710</v>
      </c>
      <c r="CN232" s="48" t="s">
        <v>2068</v>
      </c>
      <c r="CO232" s="48" t="s">
        <v>2069</v>
      </c>
      <c r="CP232" s="48" t="s">
        <v>1710</v>
      </c>
      <c r="CQ232" s="48" t="s">
        <v>1710</v>
      </c>
      <c r="CR232" s="48" t="s">
        <v>1710</v>
      </c>
      <c r="CS232" s="48" t="s">
        <v>1710</v>
      </c>
      <c r="CT232" s="48" t="s">
        <v>1710</v>
      </c>
      <c r="CU232" s="48" t="s">
        <v>1712</v>
      </c>
      <c r="CV232" s="48" t="s">
        <v>1710</v>
      </c>
      <c r="CW232" s="48" t="s">
        <v>1710</v>
      </c>
      <c r="CX232" s="48" t="s">
        <v>2839</v>
      </c>
      <c r="CY232" s="48" t="s">
        <v>1710</v>
      </c>
      <c r="CZ232" s="48" t="s">
        <v>1712</v>
      </c>
      <c r="DA232" s="48" t="s">
        <v>1710</v>
      </c>
      <c r="DB232" s="48" t="s">
        <v>1878</v>
      </c>
      <c r="DC232" s="48" t="s">
        <v>2070</v>
      </c>
      <c r="DD232" s="48" t="s">
        <v>1842</v>
      </c>
      <c r="DE232" s="48" t="s">
        <v>1886</v>
      </c>
      <c r="DF232" s="48" t="s">
        <v>4638</v>
      </c>
      <c r="DG232" s="48" t="s">
        <v>2071</v>
      </c>
      <c r="DH232" s="48" t="s">
        <v>1712</v>
      </c>
      <c r="DI232" s="48" t="s">
        <v>1710</v>
      </c>
      <c r="DJ232" s="48" t="s">
        <v>1710</v>
      </c>
      <c r="DK232" s="48" t="s">
        <v>1710</v>
      </c>
      <c r="DL232" s="48" t="s">
        <v>1710</v>
      </c>
      <c r="DM232" s="48" t="s">
        <v>1710</v>
      </c>
      <c r="DN232" s="48" t="s">
        <v>1710</v>
      </c>
      <c r="DO232" s="48" t="s">
        <v>1710</v>
      </c>
      <c r="DP232" s="48" t="s">
        <v>1710</v>
      </c>
      <c r="DQ232" s="48" t="s">
        <v>1710</v>
      </c>
      <c r="DR232" s="48" t="s">
        <v>2072</v>
      </c>
      <c r="DS232" s="48" t="s">
        <v>1710</v>
      </c>
      <c r="DT232" s="48" t="s">
        <v>1710</v>
      </c>
      <c r="DU232" s="48" t="s">
        <v>2575</v>
      </c>
      <c r="DV232" s="48" t="s">
        <v>2835</v>
      </c>
      <c r="DW232" s="48" t="s">
        <v>1710</v>
      </c>
      <c r="DX232" s="48" t="s">
        <v>4639</v>
      </c>
      <c r="DY232" s="48" t="s">
        <v>1709</v>
      </c>
      <c r="DZ232" s="48" t="s">
        <v>2562</v>
      </c>
      <c r="EA232" s="48" t="s">
        <v>2546</v>
      </c>
      <c r="EB232">
        <v>0</v>
      </c>
      <c r="EC232" s="48" t="s">
        <v>2575</v>
      </c>
      <c r="ED232" s="48" t="s">
        <v>4640</v>
      </c>
      <c r="EE232" s="48" t="s">
        <v>1814</v>
      </c>
      <c r="EF232" s="48" t="s">
        <v>1881</v>
      </c>
      <c r="EG232" s="48" t="s">
        <v>4637</v>
      </c>
      <c r="EH232">
        <v>2</v>
      </c>
      <c r="EI232" s="48" t="s">
        <v>1888</v>
      </c>
      <c r="EJ232">
        <v>0</v>
      </c>
      <c r="EK232" s="48" t="s">
        <v>1710</v>
      </c>
      <c r="EL232">
        <v>1</v>
      </c>
      <c r="EM232" s="48" t="s">
        <v>1886</v>
      </c>
      <c r="EN232">
        <v>2</v>
      </c>
      <c r="EO232" s="48" t="s">
        <v>2601</v>
      </c>
      <c r="EP232" s="48" t="s">
        <v>4641</v>
      </c>
      <c r="EQ232">
        <v>938.63</v>
      </c>
      <c r="ER232">
        <v>938.63</v>
      </c>
      <c r="ES232">
        <v>1337658</v>
      </c>
      <c r="ET232">
        <v>908</v>
      </c>
      <c r="EU232" s="48" t="s">
        <v>1710</v>
      </c>
      <c r="EV232" s="48" t="s">
        <v>1710</v>
      </c>
      <c r="EW232" s="48" t="s">
        <v>1712</v>
      </c>
      <c r="EX232" s="48" t="s">
        <v>1710</v>
      </c>
      <c r="EY232" s="48" t="s">
        <v>1848</v>
      </c>
      <c r="EZ232" s="48" t="s">
        <v>1710</v>
      </c>
      <c r="FA232" s="48" t="s">
        <v>1710</v>
      </c>
      <c r="FB232" s="48" t="s">
        <v>1712</v>
      </c>
      <c r="FC232" s="48" t="s">
        <v>1710</v>
      </c>
      <c r="FD232" s="48" t="s">
        <v>1710</v>
      </c>
      <c r="FE232" s="48" t="s">
        <v>1814</v>
      </c>
      <c r="FF232" s="48" t="s">
        <v>1815</v>
      </c>
      <c r="FG232" s="48" t="s">
        <v>1710</v>
      </c>
      <c r="FH232">
        <v>1</v>
      </c>
      <c r="FI232" s="48" t="s">
        <v>1846</v>
      </c>
      <c r="FJ232">
        <v>938.63</v>
      </c>
      <c r="FK232">
        <v>938.63</v>
      </c>
      <c r="FL232" s="48" t="s">
        <v>4642</v>
      </c>
      <c r="FM232" s="48" t="s">
        <v>4641</v>
      </c>
      <c r="FN232" s="48" t="s">
        <v>1710</v>
      </c>
      <c r="FO232" s="48" t="s">
        <v>1710</v>
      </c>
      <c r="FP232" s="48" t="s">
        <v>1710</v>
      </c>
      <c r="FQ232" s="48" t="s">
        <v>1710</v>
      </c>
      <c r="FR232" s="48" t="s">
        <v>1710</v>
      </c>
      <c r="FS232" s="48" t="s">
        <v>1710</v>
      </c>
      <c r="FT232" s="48" t="s">
        <v>1710</v>
      </c>
      <c r="FU232" s="48" t="s">
        <v>1710</v>
      </c>
      <c r="FV232" s="48"/>
      <c r="FW232" s="56"/>
      <c r="FX232" s="56"/>
      <c r="FY232" s="56"/>
      <c r="FZ232" s="56"/>
      <c r="GA232" s="55" t="str">
        <f t="shared" si="11"/>
        <v>4388426900394X</v>
      </c>
      <c r="GB232" t="str">
        <f>VLOOKUP(B232,수출코드!$C$2:$D$4,2,FALSE)</f>
        <v>Suwon</v>
      </c>
      <c r="GC232" t="str">
        <f>VLOOKUP(L232,수출코드!$A$2:$B$6,2,FALSE)</f>
        <v/>
      </c>
      <c r="GD232" t="str">
        <f>VLOOKUP(M232,수출코드!$E$2:$F$5,2,FALSE)</f>
        <v>일반</v>
      </c>
      <c r="GE232" s="61">
        <f t="shared" si="9"/>
        <v>45974.695833333331</v>
      </c>
      <c r="GF232" s="62">
        <f t="shared" si="10"/>
        <v>46048.48333333333</v>
      </c>
      <c r="GI232" s="48" t="s">
        <v>2784</v>
      </c>
    </row>
    <row r="233" spans="1:191">
      <c r="A233" s="48" t="s">
        <v>4643</v>
      </c>
      <c r="B233" s="48" t="s">
        <v>1821</v>
      </c>
      <c r="C233" s="48" t="s">
        <v>2048</v>
      </c>
      <c r="D233" s="48" t="s">
        <v>2813</v>
      </c>
      <c r="E233" s="48" t="s">
        <v>4643</v>
      </c>
      <c r="F233" s="48" t="s">
        <v>1710</v>
      </c>
      <c r="G233" s="48" t="s">
        <v>2814</v>
      </c>
      <c r="H233" s="48" t="s">
        <v>4644</v>
      </c>
      <c r="I233" s="48" t="s">
        <v>1884</v>
      </c>
      <c r="J233" s="48" t="s">
        <v>2835</v>
      </c>
      <c r="K233" s="48" t="s">
        <v>1877</v>
      </c>
      <c r="L233" s="48" t="s">
        <v>1842</v>
      </c>
      <c r="M233" s="48" t="s">
        <v>1810</v>
      </c>
      <c r="N233" s="48" t="s">
        <v>1842</v>
      </c>
      <c r="O233" s="48" t="s">
        <v>1811</v>
      </c>
      <c r="P233" s="48" t="s">
        <v>2549</v>
      </c>
      <c r="Q233" s="48" t="s">
        <v>2049</v>
      </c>
      <c r="R233" s="48" t="s">
        <v>1838</v>
      </c>
      <c r="S233" s="48" t="s">
        <v>2050</v>
      </c>
      <c r="T233" s="48" t="s">
        <v>1845</v>
      </c>
      <c r="U233" s="48" t="s">
        <v>2049</v>
      </c>
      <c r="V233" s="48" t="s">
        <v>1838</v>
      </c>
      <c r="W233" s="48" t="s">
        <v>2051</v>
      </c>
      <c r="X233" s="48" t="s">
        <v>2052</v>
      </c>
      <c r="Y233" s="48" t="s">
        <v>2050</v>
      </c>
      <c r="Z233" s="48" t="s">
        <v>2053</v>
      </c>
      <c r="AA233" s="48" t="s">
        <v>2054</v>
      </c>
      <c r="AB233" s="48" t="s">
        <v>2817</v>
      </c>
      <c r="AC233" s="48" t="s">
        <v>2055</v>
      </c>
      <c r="AD233" s="48" t="s">
        <v>2056</v>
      </c>
      <c r="AE233" s="48" t="s">
        <v>1710</v>
      </c>
      <c r="AF233" s="48" t="s">
        <v>1710</v>
      </c>
      <c r="AG233" s="48" t="s">
        <v>2057</v>
      </c>
      <c r="AH233" s="48" t="s">
        <v>1815</v>
      </c>
      <c r="AI233" s="48" t="s">
        <v>2058</v>
      </c>
      <c r="AJ233" s="48" t="s">
        <v>1710</v>
      </c>
      <c r="AK233" s="48" t="s">
        <v>1839</v>
      </c>
      <c r="AL233" s="48" t="s">
        <v>1840</v>
      </c>
      <c r="AM233" s="48" t="s">
        <v>1816</v>
      </c>
      <c r="AN233" s="48" t="s">
        <v>2054</v>
      </c>
      <c r="AO233" s="48" t="s">
        <v>1710</v>
      </c>
      <c r="AP233" s="48" t="s">
        <v>1874</v>
      </c>
      <c r="AQ233" s="48" t="s">
        <v>2078</v>
      </c>
      <c r="AR233" s="48" t="s">
        <v>1812</v>
      </c>
      <c r="AS233" s="48" t="s">
        <v>1813</v>
      </c>
      <c r="AT233" s="48" t="s">
        <v>1826</v>
      </c>
      <c r="AU233" s="48" t="s">
        <v>2061</v>
      </c>
      <c r="AV233" s="48" t="s">
        <v>2835</v>
      </c>
      <c r="AW233" s="48" t="s">
        <v>2062</v>
      </c>
      <c r="AX233" s="48" t="s">
        <v>2063</v>
      </c>
      <c r="AY233" s="48" t="s">
        <v>1710</v>
      </c>
      <c r="AZ233" s="48" t="s">
        <v>4645</v>
      </c>
      <c r="BA233" s="48" t="s">
        <v>1710</v>
      </c>
      <c r="BB233" s="48" t="s">
        <v>1709</v>
      </c>
      <c r="BC233" s="48" t="s">
        <v>1710</v>
      </c>
      <c r="BD233" s="48" t="s">
        <v>2089</v>
      </c>
      <c r="BE233" s="52" t="s">
        <v>4628</v>
      </c>
      <c r="BF233" s="48" t="s">
        <v>1710</v>
      </c>
      <c r="BG233" s="48" t="s">
        <v>1814</v>
      </c>
      <c r="BH233">
        <v>1</v>
      </c>
      <c r="BI233" s="48" t="s">
        <v>1888</v>
      </c>
      <c r="BJ233">
        <v>1</v>
      </c>
      <c r="BK233">
        <v>1473.06</v>
      </c>
      <c r="BL233">
        <v>3</v>
      </c>
      <c r="BM233">
        <v>0</v>
      </c>
      <c r="BN233" s="48" t="s">
        <v>2064</v>
      </c>
      <c r="BO233" s="48" t="s">
        <v>2065</v>
      </c>
      <c r="BP233">
        <v>1473.06</v>
      </c>
      <c r="BQ233">
        <v>0.41</v>
      </c>
      <c r="BR233" s="48" t="s">
        <v>1885</v>
      </c>
      <c r="BS233" s="48" t="s">
        <v>2066</v>
      </c>
      <c r="BT233">
        <v>1</v>
      </c>
      <c r="BU233">
        <v>600</v>
      </c>
      <c r="BV233">
        <v>600</v>
      </c>
      <c r="BW233" s="48" t="s">
        <v>2065</v>
      </c>
      <c r="BX233">
        <v>1473.06</v>
      </c>
      <c r="BY233">
        <v>0</v>
      </c>
      <c r="BZ233">
        <v>0</v>
      </c>
      <c r="CA233" s="48" t="s">
        <v>2065</v>
      </c>
      <c r="CB233">
        <v>1473.06</v>
      </c>
      <c r="CC233">
        <v>0</v>
      </c>
      <c r="CD233">
        <v>0</v>
      </c>
      <c r="CE233" s="48" t="s">
        <v>1710</v>
      </c>
      <c r="CF233" s="48" t="s">
        <v>1710</v>
      </c>
      <c r="CG233" s="48" t="s">
        <v>1710</v>
      </c>
      <c r="CH233" s="48" t="s">
        <v>1710</v>
      </c>
      <c r="CI233" s="48" t="s">
        <v>2067</v>
      </c>
      <c r="CJ233" s="48" t="s">
        <v>1710</v>
      </c>
      <c r="CL233" s="48" t="s">
        <v>2835</v>
      </c>
      <c r="CM233" s="48" t="s">
        <v>1710</v>
      </c>
      <c r="CN233" s="48" t="s">
        <v>2068</v>
      </c>
      <c r="CO233" s="48" t="s">
        <v>2069</v>
      </c>
      <c r="CP233" s="48" t="s">
        <v>1710</v>
      </c>
      <c r="CQ233" s="48" t="s">
        <v>1710</v>
      </c>
      <c r="CR233" s="48" t="s">
        <v>1710</v>
      </c>
      <c r="CS233" s="48" t="s">
        <v>1710</v>
      </c>
      <c r="CT233" s="48" t="s">
        <v>1710</v>
      </c>
      <c r="CU233" s="48" t="s">
        <v>1712</v>
      </c>
      <c r="CV233" s="48" t="s">
        <v>1710</v>
      </c>
      <c r="CW233" s="48" t="s">
        <v>1710</v>
      </c>
      <c r="CX233" s="48" t="s">
        <v>2839</v>
      </c>
      <c r="CY233" s="48" t="s">
        <v>1710</v>
      </c>
      <c r="CZ233" s="48" t="s">
        <v>1712</v>
      </c>
      <c r="DA233" s="48" t="s">
        <v>1710</v>
      </c>
      <c r="DB233" s="48" t="s">
        <v>1878</v>
      </c>
      <c r="DC233" s="48" t="s">
        <v>2070</v>
      </c>
      <c r="DD233" s="48" t="s">
        <v>1842</v>
      </c>
      <c r="DE233" s="48" t="s">
        <v>1886</v>
      </c>
      <c r="DF233" s="48" t="s">
        <v>4646</v>
      </c>
      <c r="DG233" s="48" t="s">
        <v>2071</v>
      </c>
      <c r="DH233" s="48" t="s">
        <v>1712</v>
      </c>
      <c r="DI233" s="48" t="s">
        <v>1710</v>
      </c>
      <c r="DJ233" s="48" t="s">
        <v>1710</v>
      </c>
      <c r="DK233" s="48" t="s">
        <v>1710</v>
      </c>
      <c r="DL233" s="48" t="s">
        <v>1710</v>
      </c>
      <c r="DM233" s="48" t="s">
        <v>1710</v>
      </c>
      <c r="DN233" s="48" t="s">
        <v>1710</v>
      </c>
      <c r="DO233" s="48" t="s">
        <v>1710</v>
      </c>
      <c r="DP233" s="48" t="s">
        <v>1710</v>
      </c>
      <c r="DQ233" s="48" t="s">
        <v>1710</v>
      </c>
      <c r="DR233" s="48" t="s">
        <v>2072</v>
      </c>
      <c r="DS233" s="48" t="s">
        <v>1710</v>
      </c>
      <c r="DT233" s="48" t="s">
        <v>1710</v>
      </c>
      <c r="DU233" s="48" t="s">
        <v>2575</v>
      </c>
      <c r="DV233" s="48" t="s">
        <v>2835</v>
      </c>
      <c r="DW233" s="48" t="s">
        <v>1710</v>
      </c>
      <c r="DX233" s="48" t="s">
        <v>4647</v>
      </c>
      <c r="DY233" s="48" t="s">
        <v>1709</v>
      </c>
      <c r="DZ233" s="48" t="s">
        <v>2562</v>
      </c>
      <c r="EA233" s="48" t="s">
        <v>2546</v>
      </c>
      <c r="EB233">
        <v>0</v>
      </c>
      <c r="EC233" s="48" t="s">
        <v>2575</v>
      </c>
      <c r="ED233" s="48" t="s">
        <v>4640</v>
      </c>
      <c r="EE233" s="48" t="s">
        <v>1814</v>
      </c>
      <c r="EF233" s="48" t="s">
        <v>2679</v>
      </c>
      <c r="EG233" s="48" t="s">
        <v>4645</v>
      </c>
      <c r="EH233">
        <v>1E-3</v>
      </c>
      <c r="EI233" s="48" t="s">
        <v>1888</v>
      </c>
      <c r="EJ233">
        <v>0</v>
      </c>
      <c r="EK233" s="48" t="s">
        <v>1710</v>
      </c>
      <c r="EL233">
        <v>1</v>
      </c>
      <c r="EM233" s="48" t="s">
        <v>1886</v>
      </c>
      <c r="EN233">
        <v>1E-3</v>
      </c>
      <c r="EO233" s="48" t="s">
        <v>2680</v>
      </c>
      <c r="EP233" s="48" t="s">
        <v>4648</v>
      </c>
      <c r="EQ233">
        <v>0.41</v>
      </c>
      <c r="ER233">
        <v>0.41</v>
      </c>
      <c r="ES233">
        <v>3</v>
      </c>
      <c r="ET233">
        <v>0</v>
      </c>
      <c r="EU233" s="48" t="s">
        <v>1710</v>
      </c>
      <c r="EV233" s="48" t="s">
        <v>1710</v>
      </c>
      <c r="EW233" s="48" t="s">
        <v>1712</v>
      </c>
      <c r="EX233" s="48" t="s">
        <v>1710</v>
      </c>
      <c r="EY233" s="48" t="s">
        <v>1848</v>
      </c>
      <c r="EZ233" s="48" t="s">
        <v>1710</v>
      </c>
      <c r="FA233" s="48" t="s">
        <v>1710</v>
      </c>
      <c r="FB233" s="48" t="s">
        <v>1712</v>
      </c>
      <c r="FC233" s="48" t="s">
        <v>1710</v>
      </c>
      <c r="FD233" s="48" t="s">
        <v>1710</v>
      </c>
      <c r="FE233" s="48" t="s">
        <v>1814</v>
      </c>
      <c r="FF233" s="48" t="s">
        <v>1815</v>
      </c>
      <c r="FG233" s="48" t="s">
        <v>1710</v>
      </c>
      <c r="FH233">
        <v>1</v>
      </c>
      <c r="FI233" s="48" t="s">
        <v>1846</v>
      </c>
      <c r="FJ233">
        <v>0.41</v>
      </c>
      <c r="FK233">
        <v>0.41</v>
      </c>
      <c r="FL233" s="48" t="s">
        <v>4649</v>
      </c>
      <c r="FM233" s="48" t="s">
        <v>4648</v>
      </c>
      <c r="FN233" s="48" t="s">
        <v>1710</v>
      </c>
      <c r="FO233" s="48" t="s">
        <v>1710</v>
      </c>
      <c r="FP233" s="48" t="s">
        <v>1710</v>
      </c>
      <c r="FQ233" s="48" t="s">
        <v>1710</v>
      </c>
      <c r="FR233" s="48" t="s">
        <v>1710</v>
      </c>
      <c r="FS233" s="48" t="s">
        <v>1710</v>
      </c>
      <c r="FT233" s="48" t="s">
        <v>1710</v>
      </c>
      <c r="FU233" s="48" t="s">
        <v>1710</v>
      </c>
      <c r="FV233" s="48"/>
      <c r="FW233" s="56"/>
      <c r="FX233" s="56"/>
      <c r="FY233" s="56"/>
      <c r="FZ233" s="56"/>
      <c r="GA233" s="55" t="str">
        <f t="shared" si="11"/>
        <v>4388426900395X</v>
      </c>
      <c r="GB233" t="str">
        <f>VLOOKUP(B233,수출코드!$C$2:$D$4,2,FALSE)</f>
        <v>Suwon</v>
      </c>
      <c r="GC233" t="str">
        <f>VLOOKUP(L233,수출코드!$A$2:$B$6,2,FALSE)</f>
        <v/>
      </c>
      <c r="GD233" t="str">
        <f>VLOOKUP(M233,수출코드!$E$2:$F$5,2,FALSE)</f>
        <v>일반</v>
      </c>
      <c r="GE233" s="61">
        <f t="shared" si="9"/>
        <v>45974.695833333331</v>
      </c>
      <c r="GF233" s="62">
        <f t="shared" si="10"/>
        <v>46048.48333333333</v>
      </c>
      <c r="GI233" s="48" t="s">
        <v>2784</v>
      </c>
    </row>
    <row r="234" spans="1:191">
      <c r="A234" s="48" t="s">
        <v>4650</v>
      </c>
      <c r="B234" s="48" t="s">
        <v>1821</v>
      </c>
      <c r="C234" s="48" t="s">
        <v>2048</v>
      </c>
      <c r="D234" s="48" t="s">
        <v>2813</v>
      </c>
      <c r="E234" s="48" t="s">
        <v>4650</v>
      </c>
      <c r="F234" s="48" t="s">
        <v>1710</v>
      </c>
      <c r="G234" s="48" t="s">
        <v>2814</v>
      </c>
      <c r="H234" s="48" t="s">
        <v>4651</v>
      </c>
      <c r="I234" s="48" t="s">
        <v>1884</v>
      </c>
      <c r="J234" s="48" t="s">
        <v>2835</v>
      </c>
      <c r="K234" s="48" t="s">
        <v>1877</v>
      </c>
      <c r="L234" s="48" t="s">
        <v>1842</v>
      </c>
      <c r="M234" s="48" t="s">
        <v>1810</v>
      </c>
      <c r="N234" s="48" t="s">
        <v>1842</v>
      </c>
      <c r="O234" s="48" t="s">
        <v>1811</v>
      </c>
      <c r="P234" s="48" t="s">
        <v>2549</v>
      </c>
      <c r="Q234" s="48" t="s">
        <v>2049</v>
      </c>
      <c r="R234" s="48" t="s">
        <v>1838</v>
      </c>
      <c r="S234" s="48" t="s">
        <v>2050</v>
      </c>
      <c r="T234" s="48" t="s">
        <v>1845</v>
      </c>
      <c r="U234" s="48" t="s">
        <v>2049</v>
      </c>
      <c r="V234" s="48" t="s">
        <v>1838</v>
      </c>
      <c r="W234" s="48" t="s">
        <v>2051</v>
      </c>
      <c r="X234" s="48" t="s">
        <v>2052</v>
      </c>
      <c r="Y234" s="48" t="s">
        <v>2050</v>
      </c>
      <c r="Z234" s="48" t="s">
        <v>2053</v>
      </c>
      <c r="AA234" s="48" t="s">
        <v>2054</v>
      </c>
      <c r="AB234" s="48" t="s">
        <v>2817</v>
      </c>
      <c r="AC234" s="48" t="s">
        <v>2055</v>
      </c>
      <c r="AD234" s="48" t="s">
        <v>2056</v>
      </c>
      <c r="AE234" s="48" t="s">
        <v>1710</v>
      </c>
      <c r="AF234" s="48" t="s">
        <v>1710</v>
      </c>
      <c r="AG234" s="48" t="s">
        <v>2057</v>
      </c>
      <c r="AH234" s="48" t="s">
        <v>1815</v>
      </c>
      <c r="AI234" s="48" t="s">
        <v>2058</v>
      </c>
      <c r="AJ234" s="48" t="s">
        <v>1710</v>
      </c>
      <c r="AK234" s="48" t="s">
        <v>2102</v>
      </c>
      <c r="AL234" s="48" t="s">
        <v>1858</v>
      </c>
      <c r="AM234" s="48" t="s">
        <v>1816</v>
      </c>
      <c r="AN234" s="48" t="s">
        <v>2054</v>
      </c>
      <c r="AO234" s="48" t="s">
        <v>1710</v>
      </c>
      <c r="AP234" s="48" t="s">
        <v>1848</v>
      </c>
      <c r="AQ234" s="48" t="s">
        <v>2060</v>
      </c>
      <c r="AR234" s="48" t="s">
        <v>1812</v>
      </c>
      <c r="AS234" s="48" t="s">
        <v>1813</v>
      </c>
      <c r="AT234" s="48" t="s">
        <v>1826</v>
      </c>
      <c r="AU234" s="48" t="s">
        <v>2061</v>
      </c>
      <c r="AV234" s="48" t="s">
        <v>2835</v>
      </c>
      <c r="AW234" s="48" t="s">
        <v>2062</v>
      </c>
      <c r="AX234" s="48" t="s">
        <v>2063</v>
      </c>
      <c r="AY234" s="48" t="s">
        <v>1710</v>
      </c>
      <c r="AZ234" s="48" t="s">
        <v>4652</v>
      </c>
      <c r="BA234" s="48" t="s">
        <v>1710</v>
      </c>
      <c r="BB234" s="48" t="s">
        <v>1709</v>
      </c>
      <c r="BC234" s="48" t="s">
        <v>1710</v>
      </c>
      <c r="BD234" s="48" t="s">
        <v>2089</v>
      </c>
      <c r="BE234" s="52" t="s">
        <v>4628</v>
      </c>
      <c r="BF234" s="48" t="s">
        <v>1710</v>
      </c>
      <c r="BG234" s="48" t="s">
        <v>1818</v>
      </c>
      <c r="BH234">
        <v>2</v>
      </c>
      <c r="BI234" s="48" t="s">
        <v>1888</v>
      </c>
      <c r="BJ234">
        <v>1</v>
      </c>
      <c r="BK234">
        <v>1473.06</v>
      </c>
      <c r="BL234">
        <v>5391949</v>
      </c>
      <c r="BM234">
        <v>3660</v>
      </c>
      <c r="BN234" s="48" t="s">
        <v>2064</v>
      </c>
      <c r="BO234" s="48" t="s">
        <v>2065</v>
      </c>
      <c r="BP234">
        <v>1473.06</v>
      </c>
      <c r="BQ234">
        <v>3692.62</v>
      </c>
      <c r="BR234" s="48" t="s">
        <v>1885</v>
      </c>
      <c r="BS234" s="48" t="s">
        <v>2066</v>
      </c>
      <c r="BT234">
        <v>1</v>
      </c>
      <c r="BU234">
        <v>47500</v>
      </c>
      <c r="BV234">
        <v>47500</v>
      </c>
      <c r="BW234" s="48" t="s">
        <v>2065</v>
      </c>
      <c r="BX234">
        <v>1473.06</v>
      </c>
      <c r="BY234">
        <v>0</v>
      </c>
      <c r="BZ234">
        <v>0</v>
      </c>
      <c r="CA234" s="48" t="s">
        <v>2065</v>
      </c>
      <c r="CB234">
        <v>1473.06</v>
      </c>
      <c r="CC234">
        <v>0</v>
      </c>
      <c r="CD234">
        <v>0</v>
      </c>
      <c r="CE234" s="48" t="s">
        <v>1710</v>
      </c>
      <c r="CF234" s="48" t="s">
        <v>1710</v>
      </c>
      <c r="CG234" s="48" t="s">
        <v>1710</v>
      </c>
      <c r="CH234" s="48" t="s">
        <v>1710</v>
      </c>
      <c r="CI234" s="48" t="s">
        <v>2067</v>
      </c>
      <c r="CJ234" s="48" t="s">
        <v>1710</v>
      </c>
      <c r="CL234" s="48" t="s">
        <v>2835</v>
      </c>
      <c r="CM234" s="48" t="s">
        <v>1710</v>
      </c>
      <c r="CN234" s="48" t="s">
        <v>2068</v>
      </c>
      <c r="CO234" s="48" t="s">
        <v>2069</v>
      </c>
      <c r="CP234" s="48" t="s">
        <v>1710</v>
      </c>
      <c r="CQ234" s="48" t="s">
        <v>1710</v>
      </c>
      <c r="CR234" s="48" t="s">
        <v>1710</v>
      </c>
      <c r="CS234" s="48" t="s">
        <v>1710</v>
      </c>
      <c r="CT234" s="48" t="s">
        <v>1710</v>
      </c>
      <c r="CU234" s="48" t="s">
        <v>1712</v>
      </c>
      <c r="CV234" s="48" t="s">
        <v>1710</v>
      </c>
      <c r="CW234" s="48" t="s">
        <v>1710</v>
      </c>
      <c r="CX234" s="48" t="s">
        <v>2839</v>
      </c>
      <c r="CY234" s="48" t="s">
        <v>1710</v>
      </c>
      <c r="CZ234" s="48" t="s">
        <v>1712</v>
      </c>
      <c r="DA234" s="48" t="s">
        <v>1710</v>
      </c>
      <c r="DB234" s="48" t="s">
        <v>1878</v>
      </c>
      <c r="DC234" s="48" t="s">
        <v>2070</v>
      </c>
      <c r="DD234" s="48" t="s">
        <v>1842</v>
      </c>
      <c r="DE234" s="48" t="s">
        <v>1886</v>
      </c>
      <c r="DF234" s="48" t="s">
        <v>4653</v>
      </c>
      <c r="DG234" s="48" t="s">
        <v>2071</v>
      </c>
      <c r="DH234" s="48" t="s">
        <v>1712</v>
      </c>
      <c r="DI234" s="48" t="s">
        <v>1710</v>
      </c>
      <c r="DJ234" s="48" t="s">
        <v>1710</v>
      </c>
      <c r="DK234" s="48" t="s">
        <v>1710</v>
      </c>
      <c r="DL234" s="48" t="s">
        <v>1710</v>
      </c>
      <c r="DM234" s="48" t="s">
        <v>1710</v>
      </c>
      <c r="DN234" s="48" t="s">
        <v>1710</v>
      </c>
      <c r="DO234" s="48" t="s">
        <v>1710</v>
      </c>
      <c r="DP234" s="48" t="s">
        <v>1710</v>
      </c>
      <c r="DQ234" s="48" t="s">
        <v>1710</v>
      </c>
      <c r="DR234" s="48" t="s">
        <v>2072</v>
      </c>
      <c r="DS234" s="48" t="s">
        <v>1710</v>
      </c>
      <c r="DT234" s="48" t="s">
        <v>1710</v>
      </c>
      <c r="DU234" s="48" t="s">
        <v>2575</v>
      </c>
      <c r="DV234" s="48" t="s">
        <v>2850</v>
      </c>
      <c r="DW234" s="48" t="s">
        <v>1710</v>
      </c>
      <c r="DX234" s="48" t="s">
        <v>4654</v>
      </c>
      <c r="DY234" s="48" t="s">
        <v>1709</v>
      </c>
      <c r="DZ234" s="48" t="s">
        <v>2562</v>
      </c>
      <c r="EA234" s="48" t="s">
        <v>2546</v>
      </c>
      <c r="EB234">
        <v>0</v>
      </c>
      <c r="EC234" s="48" t="s">
        <v>2575</v>
      </c>
      <c r="ED234" s="48" t="s">
        <v>4655</v>
      </c>
      <c r="EE234" s="48" t="s">
        <v>1814</v>
      </c>
      <c r="EF234" s="48" t="s">
        <v>1862</v>
      </c>
      <c r="EG234" s="48" t="s">
        <v>4652</v>
      </c>
      <c r="EH234">
        <v>0.32</v>
      </c>
      <c r="EI234" s="48" t="s">
        <v>1888</v>
      </c>
      <c r="EJ234">
        <v>0</v>
      </c>
      <c r="EK234" s="48" t="s">
        <v>1710</v>
      </c>
      <c r="EL234">
        <v>1</v>
      </c>
      <c r="EM234" s="48" t="s">
        <v>1886</v>
      </c>
      <c r="EN234">
        <v>0.32</v>
      </c>
      <c r="EO234" s="48" t="s">
        <v>2522</v>
      </c>
      <c r="EP234" s="48" t="s">
        <v>4656</v>
      </c>
      <c r="EQ234">
        <v>2403.09</v>
      </c>
      <c r="ER234">
        <v>2403.09</v>
      </c>
      <c r="ES234">
        <v>3508983</v>
      </c>
      <c r="ET234">
        <v>2382</v>
      </c>
      <c r="EU234" s="48" t="s">
        <v>1710</v>
      </c>
      <c r="EV234" s="48" t="s">
        <v>1710</v>
      </c>
      <c r="EW234" s="48" t="s">
        <v>1712</v>
      </c>
      <c r="EX234" s="48" t="s">
        <v>1710</v>
      </c>
      <c r="EY234" s="48" t="s">
        <v>1848</v>
      </c>
      <c r="EZ234" s="48" t="s">
        <v>1710</v>
      </c>
      <c r="FA234" s="48" t="s">
        <v>1710</v>
      </c>
      <c r="FB234" s="48" t="s">
        <v>1712</v>
      </c>
      <c r="FC234" s="48" t="s">
        <v>1710</v>
      </c>
      <c r="FD234" s="48" t="s">
        <v>1710</v>
      </c>
      <c r="FE234" s="48" t="s">
        <v>1814</v>
      </c>
      <c r="FF234" s="48" t="s">
        <v>1815</v>
      </c>
      <c r="FG234" s="48" t="s">
        <v>1710</v>
      </c>
      <c r="FH234">
        <v>1</v>
      </c>
      <c r="FI234" s="48" t="s">
        <v>1846</v>
      </c>
      <c r="FJ234">
        <v>2403.09</v>
      </c>
      <c r="FK234">
        <v>2403.09</v>
      </c>
      <c r="FL234" s="48" t="s">
        <v>4657</v>
      </c>
      <c r="FM234" s="48" t="s">
        <v>4656</v>
      </c>
      <c r="FN234" s="48" t="s">
        <v>1710</v>
      </c>
      <c r="FO234" s="48" t="s">
        <v>1710</v>
      </c>
      <c r="FP234" s="48" t="s">
        <v>1710</v>
      </c>
      <c r="FQ234" s="48" t="s">
        <v>1710</v>
      </c>
      <c r="FR234" s="48" t="s">
        <v>1710</v>
      </c>
      <c r="FS234" s="48" t="s">
        <v>1710</v>
      </c>
      <c r="FT234" s="48" t="s">
        <v>1710</v>
      </c>
      <c r="FU234" s="48" t="s">
        <v>1710</v>
      </c>
      <c r="FV234" s="48"/>
      <c r="FW234" s="56"/>
      <c r="FX234" s="56"/>
      <c r="FY234" s="56"/>
      <c r="FZ234" s="56"/>
      <c r="GA234" s="55" t="str">
        <f t="shared" si="11"/>
        <v>4388426900396X</v>
      </c>
      <c r="GB234" t="str">
        <f>VLOOKUP(B234,수출코드!$C$2:$D$4,2,FALSE)</f>
        <v>Suwon</v>
      </c>
      <c r="GC234" t="str">
        <f>VLOOKUP(L234,수출코드!$A$2:$B$6,2,FALSE)</f>
        <v/>
      </c>
      <c r="GD234" t="str">
        <f>VLOOKUP(M234,수출코드!$E$2:$F$5,2,FALSE)</f>
        <v>일반</v>
      </c>
      <c r="GE234" s="61">
        <f t="shared" si="9"/>
        <v>45974.71597222222</v>
      </c>
      <c r="GF234" s="62">
        <f t="shared" si="10"/>
        <v>46048.488194444442</v>
      </c>
      <c r="GI234" s="48" t="s">
        <v>2785</v>
      </c>
    </row>
    <row r="235" spans="1:191">
      <c r="A235" s="48" t="s">
        <v>4658</v>
      </c>
      <c r="B235" s="48" t="s">
        <v>1821</v>
      </c>
      <c r="C235" s="48" t="s">
        <v>2048</v>
      </c>
      <c r="D235" s="48" t="s">
        <v>2813</v>
      </c>
      <c r="E235" s="48" t="s">
        <v>4658</v>
      </c>
      <c r="F235" s="48" t="s">
        <v>1710</v>
      </c>
      <c r="G235" s="48" t="s">
        <v>2814</v>
      </c>
      <c r="H235" s="48" t="s">
        <v>4659</v>
      </c>
      <c r="I235" s="48" t="s">
        <v>1884</v>
      </c>
      <c r="J235" s="48" t="s">
        <v>2835</v>
      </c>
      <c r="K235" s="48" t="s">
        <v>1877</v>
      </c>
      <c r="L235" s="48" t="s">
        <v>1842</v>
      </c>
      <c r="M235" s="48" t="s">
        <v>1810</v>
      </c>
      <c r="N235" s="48" t="s">
        <v>1842</v>
      </c>
      <c r="O235" s="48" t="s">
        <v>1811</v>
      </c>
      <c r="P235" s="48" t="s">
        <v>2549</v>
      </c>
      <c r="Q235" s="48" t="s">
        <v>2049</v>
      </c>
      <c r="R235" s="48" t="s">
        <v>1838</v>
      </c>
      <c r="S235" s="48" t="s">
        <v>2050</v>
      </c>
      <c r="T235" s="48" t="s">
        <v>1845</v>
      </c>
      <c r="U235" s="48" t="s">
        <v>2049</v>
      </c>
      <c r="V235" s="48" t="s">
        <v>1838</v>
      </c>
      <c r="W235" s="48" t="s">
        <v>2051</v>
      </c>
      <c r="X235" s="48" t="s">
        <v>2052</v>
      </c>
      <c r="Y235" s="48" t="s">
        <v>2050</v>
      </c>
      <c r="Z235" s="48" t="s">
        <v>2053</v>
      </c>
      <c r="AA235" s="48" t="s">
        <v>2054</v>
      </c>
      <c r="AB235" s="48" t="s">
        <v>2817</v>
      </c>
      <c r="AC235" s="48" t="s">
        <v>2055</v>
      </c>
      <c r="AD235" s="48" t="s">
        <v>2056</v>
      </c>
      <c r="AE235" s="48" t="s">
        <v>1710</v>
      </c>
      <c r="AF235" s="48" t="s">
        <v>1710</v>
      </c>
      <c r="AG235" s="48" t="s">
        <v>2057</v>
      </c>
      <c r="AH235" s="48" t="s">
        <v>1815</v>
      </c>
      <c r="AI235" s="48" t="s">
        <v>2058</v>
      </c>
      <c r="AJ235" s="48" t="s">
        <v>1710</v>
      </c>
      <c r="AK235" s="48" t="s">
        <v>2541</v>
      </c>
      <c r="AL235" s="48" t="s">
        <v>1858</v>
      </c>
      <c r="AM235" s="48" t="s">
        <v>1816</v>
      </c>
      <c r="AN235" s="48" t="s">
        <v>2054</v>
      </c>
      <c r="AO235" s="48" t="s">
        <v>1710</v>
      </c>
      <c r="AP235" s="48" t="s">
        <v>1848</v>
      </c>
      <c r="AQ235" s="48" t="s">
        <v>2060</v>
      </c>
      <c r="AR235" s="48" t="s">
        <v>1812</v>
      </c>
      <c r="AS235" s="48" t="s">
        <v>1813</v>
      </c>
      <c r="AT235" s="48" t="s">
        <v>1826</v>
      </c>
      <c r="AU235" s="48" t="s">
        <v>2061</v>
      </c>
      <c r="AV235" s="48" t="s">
        <v>2835</v>
      </c>
      <c r="AW235" s="48" t="s">
        <v>2062</v>
      </c>
      <c r="AX235" s="48" t="s">
        <v>2063</v>
      </c>
      <c r="AY235" s="48" t="s">
        <v>1710</v>
      </c>
      <c r="AZ235" s="48" t="s">
        <v>4660</v>
      </c>
      <c r="BA235" s="48" t="s">
        <v>1710</v>
      </c>
      <c r="BB235" s="48" t="s">
        <v>1709</v>
      </c>
      <c r="BC235" s="48" t="s">
        <v>1710</v>
      </c>
      <c r="BD235" s="48" t="s">
        <v>2089</v>
      </c>
      <c r="BE235" s="52" t="s">
        <v>4628</v>
      </c>
      <c r="BF235" s="48" t="s">
        <v>1710</v>
      </c>
      <c r="BG235" s="48" t="s">
        <v>1814</v>
      </c>
      <c r="BH235">
        <v>4</v>
      </c>
      <c r="BI235" s="48" t="s">
        <v>1888</v>
      </c>
      <c r="BJ235">
        <v>1</v>
      </c>
      <c r="BK235">
        <v>1473.06</v>
      </c>
      <c r="BL235">
        <v>3184203</v>
      </c>
      <c r="BM235">
        <v>2162</v>
      </c>
      <c r="BN235" s="48" t="s">
        <v>2064</v>
      </c>
      <c r="BO235" s="48" t="s">
        <v>2065</v>
      </c>
      <c r="BP235">
        <v>1473.06</v>
      </c>
      <c r="BQ235">
        <v>2212.1999999999998</v>
      </c>
      <c r="BR235" s="48" t="s">
        <v>1885</v>
      </c>
      <c r="BS235" s="48" t="s">
        <v>2066</v>
      </c>
      <c r="BT235">
        <v>1</v>
      </c>
      <c r="BU235">
        <v>74500</v>
      </c>
      <c r="BV235">
        <v>74500</v>
      </c>
      <c r="BW235" s="48" t="s">
        <v>2065</v>
      </c>
      <c r="BX235">
        <v>1473.06</v>
      </c>
      <c r="BY235">
        <v>0</v>
      </c>
      <c r="BZ235">
        <v>0</v>
      </c>
      <c r="CA235" s="48" t="s">
        <v>2065</v>
      </c>
      <c r="CB235">
        <v>1473.06</v>
      </c>
      <c r="CC235">
        <v>0</v>
      </c>
      <c r="CD235">
        <v>0</v>
      </c>
      <c r="CE235" s="48" t="s">
        <v>1710</v>
      </c>
      <c r="CF235" s="48" t="s">
        <v>1710</v>
      </c>
      <c r="CG235" s="48" t="s">
        <v>1710</v>
      </c>
      <c r="CH235" s="48" t="s">
        <v>1710</v>
      </c>
      <c r="CI235" s="48" t="s">
        <v>2067</v>
      </c>
      <c r="CJ235" s="48" t="s">
        <v>1710</v>
      </c>
      <c r="CL235" s="48" t="s">
        <v>2835</v>
      </c>
      <c r="CM235" s="48" t="s">
        <v>1710</v>
      </c>
      <c r="CN235" s="48" t="s">
        <v>2068</v>
      </c>
      <c r="CO235" s="48" t="s">
        <v>2069</v>
      </c>
      <c r="CP235" s="48" t="s">
        <v>1710</v>
      </c>
      <c r="CQ235" s="48" t="s">
        <v>1710</v>
      </c>
      <c r="CR235" s="48" t="s">
        <v>1710</v>
      </c>
      <c r="CS235" s="48" t="s">
        <v>1710</v>
      </c>
      <c r="CT235" s="48" t="s">
        <v>1710</v>
      </c>
      <c r="CU235" s="48" t="s">
        <v>1712</v>
      </c>
      <c r="CV235" s="48" t="s">
        <v>1710</v>
      </c>
      <c r="CW235" s="48" t="s">
        <v>1710</v>
      </c>
      <c r="CX235" s="48" t="s">
        <v>2839</v>
      </c>
      <c r="CY235" s="48" t="s">
        <v>1710</v>
      </c>
      <c r="CZ235" s="48" t="s">
        <v>1712</v>
      </c>
      <c r="DA235" s="48" t="s">
        <v>1710</v>
      </c>
      <c r="DB235" s="48" t="s">
        <v>1878</v>
      </c>
      <c r="DC235" s="48" t="s">
        <v>2070</v>
      </c>
      <c r="DD235" s="48" t="s">
        <v>1842</v>
      </c>
      <c r="DE235" s="48" t="s">
        <v>1886</v>
      </c>
      <c r="DF235" s="48" t="s">
        <v>4661</v>
      </c>
      <c r="DG235" s="48" t="s">
        <v>2071</v>
      </c>
      <c r="DH235" s="48" t="s">
        <v>1712</v>
      </c>
      <c r="DI235" s="48" t="s">
        <v>1710</v>
      </c>
      <c r="DJ235" s="48" t="s">
        <v>1710</v>
      </c>
      <c r="DK235" s="48" t="s">
        <v>1710</v>
      </c>
      <c r="DL235" s="48" t="s">
        <v>1710</v>
      </c>
      <c r="DM235" s="48" t="s">
        <v>1710</v>
      </c>
      <c r="DN235" s="48" t="s">
        <v>1710</v>
      </c>
      <c r="DO235" s="48" t="s">
        <v>1710</v>
      </c>
      <c r="DP235" s="48" t="s">
        <v>1710</v>
      </c>
      <c r="DQ235" s="48" t="s">
        <v>1710</v>
      </c>
      <c r="DR235" s="48" t="s">
        <v>2072</v>
      </c>
      <c r="DS235" s="48" t="s">
        <v>1710</v>
      </c>
      <c r="DT235" s="48" t="s">
        <v>1710</v>
      </c>
      <c r="DU235" s="48" t="s">
        <v>2575</v>
      </c>
      <c r="DV235" s="48" t="s">
        <v>2850</v>
      </c>
      <c r="DW235" s="48" t="s">
        <v>1710</v>
      </c>
      <c r="DX235" s="48" t="s">
        <v>4662</v>
      </c>
      <c r="DY235" s="48" t="s">
        <v>1709</v>
      </c>
      <c r="DZ235" s="48" t="s">
        <v>2562</v>
      </c>
      <c r="EA235" s="48" t="s">
        <v>2546</v>
      </c>
      <c r="EB235">
        <v>0</v>
      </c>
      <c r="EC235" s="48" t="s">
        <v>2575</v>
      </c>
      <c r="ED235" s="48" t="s">
        <v>4655</v>
      </c>
      <c r="EE235" s="48" t="s">
        <v>1814</v>
      </c>
      <c r="EF235" s="48" t="s">
        <v>1852</v>
      </c>
      <c r="EG235" s="48" t="s">
        <v>4660</v>
      </c>
      <c r="EH235">
        <v>3</v>
      </c>
      <c r="EI235" s="48" t="s">
        <v>1888</v>
      </c>
      <c r="EJ235">
        <v>0</v>
      </c>
      <c r="EK235" s="48" t="s">
        <v>1710</v>
      </c>
      <c r="EL235">
        <v>1</v>
      </c>
      <c r="EM235" s="48" t="s">
        <v>1886</v>
      </c>
      <c r="EN235">
        <v>3</v>
      </c>
      <c r="EO235" s="48" t="s">
        <v>2521</v>
      </c>
      <c r="EP235" s="48" t="s">
        <v>4663</v>
      </c>
      <c r="EQ235">
        <v>2212.1999999999998</v>
      </c>
      <c r="ER235">
        <v>2212.1999999999998</v>
      </c>
      <c r="ES235">
        <v>3184203</v>
      </c>
      <c r="ET235">
        <v>2162</v>
      </c>
      <c r="EU235" s="48" t="s">
        <v>1710</v>
      </c>
      <c r="EV235" s="48" t="s">
        <v>1710</v>
      </c>
      <c r="EW235" s="48" t="s">
        <v>1712</v>
      </c>
      <c r="EX235" s="48" t="s">
        <v>1710</v>
      </c>
      <c r="EY235" s="48" t="s">
        <v>1848</v>
      </c>
      <c r="EZ235" s="48" t="s">
        <v>1710</v>
      </c>
      <c r="FA235" s="48" t="s">
        <v>1710</v>
      </c>
      <c r="FB235" s="48" t="s">
        <v>1712</v>
      </c>
      <c r="FC235" s="48" t="s">
        <v>1710</v>
      </c>
      <c r="FD235" s="48" t="s">
        <v>1710</v>
      </c>
      <c r="FE235" s="48" t="s">
        <v>1814</v>
      </c>
      <c r="FF235" s="48" t="s">
        <v>1815</v>
      </c>
      <c r="FG235" s="48" t="s">
        <v>1710</v>
      </c>
      <c r="FH235">
        <v>2</v>
      </c>
      <c r="FI235" s="48" t="s">
        <v>1846</v>
      </c>
      <c r="FJ235">
        <v>2212.1999999999998</v>
      </c>
      <c r="FK235">
        <v>1106.0999999999999</v>
      </c>
      <c r="FL235" s="48" t="s">
        <v>4664</v>
      </c>
      <c r="FM235" s="48" t="s">
        <v>4663</v>
      </c>
      <c r="FN235" s="48" t="s">
        <v>1710</v>
      </c>
      <c r="FO235" s="48" t="s">
        <v>1710</v>
      </c>
      <c r="FP235" s="48" t="s">
        <v>1710</v>
      </c>
      <c r="FQ235" s="48" t="s">
        <v>1710</v>
      </c>
      <c r="FR235" s="48" t="s">
        <v>1710</v>
      </c>
      <c r="FS235" s="48" t="s">
        <v>1710</v>
      </c>
      <c r="FT235" s="48" t="s">
        <v>1710</v>
      </c>
      <c r="FU235" s="48" t="s">
        <v>1710</v>
      </c>
      <c r="FV235" s="48"/>
      <c r="FW235" s="56"/>
      <c r="FX235" s="56"/>
      <c r="FY235" s="56"/>
      <c r="FZ235" s="56"/>
      <c r="GA235" s="55" t="str">
        <f t="shared" si="11"/>
        <v>4388426900397X</v>
      </c>
      <c r="GB235" t="str">
        <f>VLOOKUP(B235,수출코드!$C$2:$D$4,2,FALSE)</f>
        <v>Suwon</v>
      </c>
      <c r="GC235" t="str">
        <f>VLOOKUP(L235,수출코드!$A$2:$B$6,2,FALSE)</f>
        <v/>
      </c>
      <c r="GD235" t="str">
        <f>VLOOKUP(M235,수출코드!$E$2:$F$5,2,FALSE)</f>
        <v>일반</v>
      </c>
      <c r="GE235" s="61">
        <f t="shared" si="9"/>
        <v>45974.71597222222</v>
      </c>
      <c r="GF235" s="62">
        <f t="shared" si="10"/>
        <v>46048.488194444442</v>
      </c>
      <c r="GI235" s="48" t="s">
        <v>2786</v>
      </c>
    </row>
    <row r="236" spans="1:191">
      <c r="A236" s="48" t="s">
        <v>4665</v>
      </c>
      <c r="B236" s="48" t="s">
        <v>1821</v>
      </c>
      <c r="C236" s="48" t="s">
        <v>2048</v>
      </c>
      <c r="D236" s="48" t="s">
        <v>2813</v>
      </c>
      <c r="E236" s="48" t="s">
        <v>4665</v>
      </c>
      <c r="F236" s="48" t="s">
        <v>1710</v>
      </c>
      <c r="G236" s="48" t="s">
        <v>2814</v>
      </c>
      <c r="H236" s="48" t="s">
        <v>4666</v>
      </c>
      <c r="I236" s="48" t="s">
        <v>1884</v>
      </c>
      <c r="J236" s="48" t="s">
        <v>2835</v>
      </c>
      <c r="K236" s="48" t="s">
        <v>1877</v>
      </c>
      <c r="L236" s="48" t="s">
        <v>1842</v>
      </c>
      <c r="M236" s="48" t="s">
        <v>1810</v>
      </c>
      <c r="N236" s="48" t="s">
        <v>1842</v>
      </c>
      <c r="O236" s="48" t="s">
        <v>1811</v>
      </c>
      <c r="P236" s="48" t="s">
        <v>2549</v>
      </c>
      <c r="Q236" s="48" t="s">
        <v>2049</v>
      </c>
      <c r="R236" s="48" t="s">
        <v>1838</v>
      </c>
      <c r="S236" s="48" t="s">
        <v>2050</v>
      </c>
      <c r="T236" s="48" t="s">
        <v>1845</v>
      </c>
      <c r="U236" s="48" t="s">
        <v>2049</v>
      </c>
      <c r="V236" s="48" t="s">
        <v>1838</v>
      </c>
      <c r="W236" s="48" t="s">
        <v>2051</v>
      </c>
      <c r="X236" s="48" t="s">
        <v>2052</v>
      </c>
      <c r="Y236" s="48" t="s">
        <v>2050</v>
      </c>
      <c r="Z236" s="48" t="s">
        <v>2053</v>
      </c>
      <c r="AA236" s="48" t="s">
        <v>2054</v>
      </c>
      <c r="AB236" s="48" t="s">
        <v>2817</v>
      </c>
      <c r="AC236" s="48" t="s">
        <v>2055</v>
      </c>
      <c r="AD236" s="48" t="s">
        <v>2056</v>
      </c>
      <c r="AE236" s="48" t="s">
        <v>1710</v>
      </c>
      <c r="AF236" s="48" t="s">
        <v>1710</v>
      </c>
      <c r="AG236" s="48" t="s">
        <v>2057</v>
      </c>
      <c r="AH236" s="48" t="s">
        <v>1815</v>
      </c>
      <c r="AI236" s="48" t="s">
        <v>2058</v>
      </c>
      <c r="AJ236" s="48" t="s">
        <v>1710</v>
      </c>
      <c r="AK236" s="48" t="s">
        <v>2059</v>
      </c>
      <c r="AL236" s="48" t="s">
        <v>1858</v>
      </c>
      <c r="AM236" s="48" t="s">
        <v>1816</v>
      </c>
      <c r="AN236" s="48" t="s">
        <v>2054</v>
      </c>
      <c r="AO236" s="48" t="s">
        <v>1710</v>
      </c>
      <c r="AP236" s="48" t="s">
        <v>1848</v>
      </c>
      <c r="AQ236" s="48" t="s">
        <v>2060</v>
      </c>
      <c r="AR236" s="48" t="s">
        <v>1812</v>
      </c>
      <c r="AS236" s="48" t="s">
        <v>1813</v>
      </c>
      <c r="AT236" s="48" t="s">
        <v>1826</v>
      </c>
      <c r="AU236" s="48" t="s">
        <v>2061</v>
      </c>
      <c r="AV236" s="48" t="s">
        <v>2835</v>
      </c>
      <c r="AW236" s="48" t="s">
        <v>2062</v>
      </c>
      <c r="AX236" s="48" t="s">
        <v>2063</v>
      </c>
      <c r="AY236" s="48" t="s">
        <v>1710</v>
      </c>
      <c r="AZ236" s="48" t="s">
        <v>4667</v>
      </c>
      <c r="BA236" s="48" t="s">
        <v>1710</v>
      </c>
      <c r="BB236" s="48" t="s">
        <v>1709</v>
      </c>
      <c r="BC236" s="48" t="s">
        <v>1710</v>
      </c>
      <c r="BD236" s="48" t="s">
        <v>2089</v>
      </c>
      <c r="BE236" s="52" t="s">
        <v>4628</v>
      </c>
      <c r="BF236" s="48" t="s">
        <v>1710</v>
      </c>
      <c r="BG236" s="48" t="s">
        <v>1814</v>
      </c>
      <c r="BH236">
        <v>1</v>
      </c>
      <c r="BI236" s="48" t="s">
        <v>1888</v>
      </c>
      <c r="BJ236">
        <v>1</v>
      </c>
      <c r="BK236">
        <v>1473.06</v>
      </c>
      <c r="BL236">
        <v>1031360</v>
      </c>
      <c r="BM236">
        <v>700</v>
      </c>
      <c r="BN236" s="48" t="s">
        <v>2064</v>
      </c>
      <c r="BO236" s="48" t="s">
        <v>2065</v>
      </c>
      <c r="BP236">
        <v>1473.06</v>
      </c>
      <c r="BQ236">
        <v>722.89</v>
      </c>
      <c r="BR236" s="48" t="s">
        <v>1885</v>
      </c>
      <c r="BS236" s="48" t="s">
        <v>2066</v>
      </c>
      <c r="BT236">
        <v>1</v>
      </c>
      <c r="BU236">
        <v>33500</v>
      </c>
      <c r="BV236">
        <v>33500</v>
      </c>
      <c r="BW236" s="48" t="s">
        <v>2065</v>
      </c>
      <c r="BX236">
        <v>1473.06</v>
      </c>
      <c r="BY236">
        <v>0</v>
      </c>
      <c r="BZ236">
        <v>0</v>
      </c>
      <c r="CA236" s="48" t="s">
        <v>2065</v>
      </c>
      <c r="CB236">
        <v>1473.06</v>
      </c>
      <c r="CC236">
        <v>0</v>
      </c>
      <c r="CD236">
        <v>0</v>
      </c>
      <c r="CE236" s="48" t="s">
        <v>1710</v>
      </c>
      <c r="CF236" s="48" t="s">
        <v>1710</v>
      </c>
      <c r="CG236" s="48" t="s">
        <v>1710</v>
      </c>
      <c r="CH236" s="48" t="s">
        <v>1710</v>
      </c>
      <c r="CI236" s="48" t="s">
        <v>2067</v>
      </c>
      <c r="CJ236" s="48" t="s">
        <v>1710</v>
      </c>
      <c r="CL236" s="48" t="s">
        <v>2835</v>
      </c>
      <c r="CM236" s="48" t="s">
        <v>1710</v>
      </c>
      <c r="CN236" s="48" t="s">
        <v>2068</v>
      </c>
      <c r="CO236" s="48" t="s">
        <v>2069</v>
      </c>
      <c r="CP236" s="48" t="s">
        <v>1710</v>
      </c>
      <c r="CQ236" s="48" t="s">
        <v>1710</v>
      </c>
      <c r="CR236" s="48" t="s">
        <v>1710</v>
      </c>
      <c r="CS236" s="48" t="s">
        <v>1710</v>
      </c>
      <c r="CT236" s="48" t="s">
        <v>1710</v>
      </c>
      <c r="CU236" s="48" t="s">
        <v>1712</v>
      </c>
      <c r="CV236" s="48" t="s">
        <v>1710</v>
      </c>
      <c r="CW236" s="48" t="s">
        <v>1710</v>
      </c>
      <c r="CX236" s="48" t="s">
        <v>2839</v>
      </c>
      <c r="CY236" s="48" t="s">
        <v>1710</v>
      </c>
      <c r="CZ236" s="48" t="s">
        <v>1712</v>
      </c>
      <c r="DA236" s="48" t="s">
        <v>1710</v>
      </c>
      <c r="DB236" s="48" t="s">
        <v>1878</v>
      </c>
      <c r="DC236" s="48" t="s">
        <v>2070</v>
      </c>
      <c r="DD236" s="48" t="s">
        <v>1842</v>
      </c>
      <c r="DE236" s="48" t="s">
        <v>1886</v>
      </c>
      <c r="DF236" s="48" t="s">
        <v>4668</v>
      </c>
      <c r="DG236" s="48" t="s">
        <v>2071</v>
      </c>
      <c r="DH236" s="48" t="s">
        <v>1712</v>
      </c>
      <c r="DI236" s="48" t="s">
        <v>1710</v>
      </c>
      <c r="DJ236" s="48" t="s">
        <v>1710</v>
      </c>
      <c r="DK236" s="48" t="s">
        <v>1710</v>
      </c>
      <c r="DL236" s="48" t="s">
        <v>1710</v>
      </c>
      <c r="DM236" s="48" t="s">
        <v>1710</v>
      </c>
      <c r="DN236" s="48" t="s">
        <v>1710</v>
      </c>
      <c r="DO236" s="48" t="s">
        <v>1710</v>
      </c>
      <c r="DP236" s="48" t="s">
        <v>1710</v>
      </c>
      <c r="DQ236" s="48" t="s">
        <v>1710</v>
      </c>
      <c r="DR236" s="48" t="s">
        <v>2072</v>
      </c>
      <c r="DS236" s="48" t="s">
        <v>1710</v>
      </c>
      <c r="DT236" s="48" t="s">
        <v>1710</v>
      </c>
      <c r="DU236" s="48" t="s">
        <v>2575</v>
      </c>
      <c r="DV236" s="48" t="s">
        <v>2835</v>
      </c>
      <c r="DW236" s="48" t="s">
        <v>1710</v>
      </c>
      <c r="DX236" s="48" t="s">
        <v>4669</v>
      </c>
      <c r="DY236" s="48" t="s">
        <v>1709</v>
      </c>
      <c r="DZ236" s="48" t="s">
        <v>2562</v>
      </c>
      <c r="EA236" s="48" t="s">
        <v>2546</v>
      </c>
      <c r="EB236">
        <v>0</v>
      </c>
      <c r="EC236" s="48" t="s">
        <v>2575</v>
      </c>
      <c r="ED236" s="48" t="s">
        <v>4655</v>
      </c>
      <c r="EE236" s="48" t="s">
        <v>1814</v>
      </c>
      <c r="EF236" s="48" t="s">
        <v>1852</v>
      </c>
      <c r="EG236" s="48" t="s">
        <v>4667</v>
      </c>
      <c r="EH236">
        <v>0.246</v>
      </c>
      <c r="EI236" s="48" t="s">
        <v>1888</v>
      </c>
      <c r="EJ236">
        <v>0</v>
      </c>
      <c r="EK236" s="48" t="s">
        <v>1710</v>
      </c>
      <c r="EL236">
        <v>1</v>
      </c>
      <c r="EM236" s="48" t="s">
        <v>1886</v>
      </c>
      <c r="EN236">
        <v>0.246</v>
      </c>
      <c r="EO236" s="48" t="s">
        <v>2521</v>
      </c>
      <c r="EP236" s="48" t="s">
        <v>4670</v>
      </c>
      <c r="EQ236">
        <v>722.89</v>
      </c>
      <c r="ER236">
        <v>722.89</v>
      </c>
      <c r="ES236">
        <v>1031360</v>
      </c>
      <c r="ET236">
        <v>700</v>
      </c>
      <c r="EU236" s="48" t="s">
        <v>1710</v>
      </c>
      <c r="EV236" s="48" t="s">
        <v>1710</v>
      </c>
      <c r="EW236" s="48" t="s">
        <v>1712</v>
      </c>
      <c r="EX236" s="48" t="s">
        <v>1710</v>
      </c>
      <c r="EY236" s="48" t="s">
        <v>1873</v>
      </c>
      <c r="EZ236" s="48" t="s">
        <v>1710</v>
      </c>
      <c r="FA236" s="48" t="s">
        <v>1710</v>
      </c>
      <c r="FB236" s="48" t="s">
        <v>1712</v>
      </c>
      <c r="FC236" s="48" t="s">
        <v>1710</v>
      </c>
      <c r="FD236" s="48" t="s">
        <v>1710</v>
      </c>
      <c r="FE236" s="48" t="s">
        <v>1814</v>
      </c>
      <c r="FF236" s="48" t="s">
        <v>1815</v>
      </c>
      <c r="FG236" s="48" t="s">
        <v>1710</v>
      </c>
      <c r="FH236">
        <v>1</v>
      </c>
      <c r="FI236" s="48" t="s">
        <v>1846</v>
      </c>
      <c r="FJ236">
        <v>722.89</v>
      </c>
      <c r="FK236">
        <v>722.89</v>
      </c>
      <c r="FL236" s="48" t="s">
        <v>4671</v>
      </c>
      <c r="FM236" s="48" t="s">
        <v>4670</v>
      </c>
      <c r="FN236" s="48" t="s">
        <v>1710</v>
      </c>
      <c r="FO236" s="48" t="s">
        <v>1710</v>
      </c>
      <c r="FP236" s="48" t="s">
        <v>1710</v>
      </c>
      <c r="FQ236" s="48" t="s">
        <v>1710</v>
      </c>
      <c r="FR236" s="48" t="s">
        <v>1710</v>
      </c>
      <c r="FS236" s="48" t="s">
        <v>1710</v>
      </c>
      <c r="FT236" s="48" t="s">
        <v>1710</v>
      </c>
      <c r="FU236" s="48" t="s">
        <v>1710</v>
      </c>
      <c r="FV236" s="48"/>
      <c r="FW236" s="56"/>
      <c r="FX236" s="56"/>
      <c r="FY236" s="56"/>
      <c r="FZ236" s="56"/>
      <c r="GA236" s="55" t="str">
        <f t="shared" si="11"/>
        <v>4388426900398X</v>
      </c>
      <c r="GB236" t="str">
        <f>VLOOKUP(B236,수출코드!$C$2:$D$4,2,FALSE)</f>
        <v>Suwon</v>
      </c>
      <c r="GC236" t="str">
        <f>VLOOKUP(L236,수출코드!$A$2:$B$6,2,FALSE)</f>
        <v/>
      </c>
      <c r="GD236" t="str">
        <f>VLOOKUP(M236,수출코드!$E$2:$F$5,2,FALSE)</f>
        <v>일반</v>
      </c>
      <c r="GE236" s="61">
        <f t="shared" si="9"/>
        <v>45974.71597222222</v>
      </c>
      <c r="GF236" s="62">
        <f t="shared" si="10"/>
        <v>46048.488194444442</v>
      </c>
      <c r="GI236" s="48" t="s">
        <v>2786</v>
      </c>
    </row>
    <row r="237" spans="1:191">
      <c r="A237" s="48" t="s">
        <v>4672</v>
      </c>
      <c r="B237" s="48" t="s">
        <v>1821</v>
      </c>
      <c r="C237" s="48" t="s">
        <v>2048</v>
      </c>
      <c r="D237" s="48" t="s">
        <v>2813</v>
      </c>
      <c r="E237" s="48" t="s">
        <v>4672</v>
      </c>
      <c r="F237" s="48" t="s">
        <v>1710</v>
      </c>
      <c r="G237" s="48" t="s">
        <v>2814</v>
      </c>
      <c r="H237" s="48" t="s">
        <v>4673</v>
      </c>
      <c r="I237" s="48" t="s">
        <v>1884</v>
      </c>
      <c r="J237" s="48" t="s">
        <v>2835</v>
      </c>
      <c r="K237" s="48" t="s">
        <v>1877</v>
      </c>
      <c r="L237" s="48" t="s">
        <v>1842</v>
      </c>
      <c r="M237" s="48" t="s">
        <v>1810</v>
      </c>
      <c r="N237" s="48" t="s">
        <v>1842</v>
      </c>
      <c r="O237" s="48" t="s">
        <v>1811</v>
      </c>
      <c r="P237" s="48" t="s">
        <v>2549</v>
      </c>
      <c r="Q237" s="48" t="s">
        <v>2049</v>
      </c>
      <c r="R237" s="48" t="s">
        <v>1838</v>
      </c>
      <c r="S237" s="48" t="s">
        <v>2050</v>
      </c>
      <c r="T237" s="48" t="s">
        <v>1845</v>
      </c>
      <c r="U237" s="48" t="s">
        <v>2049</v>
      </c>
      <c r="V237" s="48" t="s">
        <v>1838</v>
      </c>
      <c r="W237" s="48" t="s">
        <v>2051</v>
      </c>
      <c r="X237" s="48" t="s">
        <v>2052</v>
      </c>
      <c r="Y237" s="48" t="s">
        <v>2050</v>
      </c>
      <c r="Z237" s="48" t="s">
        <v>2053</v>
      </c>
      <c r="AA237" s="48" t="s">
        <v>2054</v>
      </c>
      <c r="AB237" s="48" t="s">
        <v>2817</v>
      </c>
      <c r="AC237" s="48" t="s">
        <v>2055</v>
      </c>
      <c r="AD237" s="48" t="s">
        <v>2056</v>
      </c>
      <c r="AE237" s="48" t="s">
        <v>1710</v>
      </c>
      <c r="AF237" s="48" t="s">
        <v>1710</v>
      </c>
      <c r="AG237" s="48" t="s">
        <v>2057</v>
      </c>
      <c r="AH237" s="48" t="s">
        <v>1815</v>
      </c>
      <c r="AI237" s="48" t="s">
        <v>2058</v>
      </c>
      <c r="AJ237" s="48" t="s">
        <v>1710</v>
      </c>
      <c r="AK237" s="48" t="s">
        <v>2535</v>
      </c>
      <c r="AL237" s="48" t="s">
        <v>2536</v>
      </c>
      <c r="AM237" s="48" t="s">
        <v>1816</v>
      </c>
      <c r="AN237" s="48" t="s">
        <v>2054</v>
      </c>
      <c r="AO237" s="48" t="s">
        <v>1710</v>
      </c>
      <c r="AP237" s="48" t="s">
        <v>1853</v>
      </c>
      <c r="AQ237" s="48" t="s">
        <v>2086</v>
      </c>
      <c r="AR237" s="48" t="s">
        <v>1812</v>
      </c>
      <c r="AS237" s="48" t="s">
        <v>1813</v>
      </c>
      <c r="AT237" s="48" t="s">
        <v>1826</v>
      </c>
      <c r="AU237" s="48" t="s">
        <v>2061</v>
      </c>
      <c r="AV237" s="48" t="s">
        <v>2835</v>
      </c>
      <c r="AW237" s="48" t="s">
        <v>2062</v>
      </c>
      <c r="AX237" s="48" t="s">
        <v>2063</v>
      </c>
      <c r="AY237" s="48" t="s">
        <v>1710</v>
      </c>
      <c r="AZ237" s="48" t="s">
        <v>4674</v>
      </c>
      <c r="BA237" s="48" t="s">
        <v>1710</v>
      </c>
      <c r="BB237" s="48" t="s">
        <v>1709</v>
      </c>
      <c r="BC237" s="48" t="s">
        <v>1710</v>
      </c>
      <c r="BD237" s="48" t="s">
        <v>2089</v>
      </c>
      <c r="BE237" s="52" t="s">
        <v>4628</v>
      </c>
      <c r="BF237" s="48" t="s">
        <v>1710</v>
      </c>
      <c r="BG237" s="48" t="s">
        <v>1814</v>
      </c>
      <c r="BH237">
        <v>49</v>
      </c>
      <c r="BI237" s="48" t="s">
        <v>1888</v>
      </c>
      <c r="BJ237">
        <v>1</v>
      </c>
      <c r="BK237">
        <v>1473.06</v>
      </c>
      <c r="BL237">
        <v>20742715</v>
      </c>
      <c r="BM237">
        <v>14081</v>
      </c>
      <c r="BN237" s="48" t="s">
        <v>2064</v>
      </c>
      <c r="BO237" s="48" t="s">
        <v>2065</v>
      </c>
      <c r="BP237">
        <v>1473.06</v>
      </c>
      <c r="BQ237">
        <v>14243.49</v>
      </c>
      <c r="BR237" s="48" t="s">
        <v>1885</v>
      </c>
      <c r="BS237" s="48" t="s">
        <v>2066</v>
      </c>
      <c r="BT237">
        <v>1</v>
      </c>
      <c r="BU237">
        <v>238800</v>
      </c>
      <c r="BV237">
        <v>238800</v>
      </c>
      <c r="BW237" s="48" t="s">
        <v>2065</v>
      </c>
      <c r="BX237">
        <v>1473.06</v>
      </c>
      <c r="BY237">
        <v>0</v>
      </c>
      <c r="BZ237">
        <v>0</v>
      </c>
      <c r="CA237" s="48" t="s">
        <v>2065</v>
      </c>
      <c r="CB237">
        <v>1473.06</v>
      </c>
      <c r="CC237">
        <v>0</v>
      </c>
      <c r="CD237">
        <v>0</v>
      </c>
      <c r="CE237" s="48" t="s">
        <v>1710</v>
      </c>
      <c r="CF237" s="48" t="s">
        <v>1710</v>
      </c>
      <c r="CG237" s="48" t="s">
        <v>1710</v>
      </c>
      <c r="CH237" s="48" t="s">
        <v>1710</v>
      </c>
      <c r="CI237" s="48" t="s">
        <v>2067</v>
      </c>
      <c r="CJ237" s="48" t="s">
        <v>1710</v>
      </c>
      <c r="CL237" s="48" t="s">
        <v>2835</v>
      </c>
      <c r="CM237" s="48" t="s">
        <v>1710</v>
      </c>
      <c r="CN237" s="48" t="s">
        <v>2068</v>
      </c>
      <c r="CO237" s="48" t="s">
        <v>2069</v>
      </c>
      <c r="CP237" s="48" t="s">
        <v>1710</v>
      </c>
      <c r="CQ237" s="48" t="s">
        <v>1710</v>
      </c>
      <c r="CR237" s="48" t="s">
        <v>1710</v>
      </c>
      <c r="CS237" s="48" t="s">
        <v>1710</v>
      </c>
      <c r="CT237" s="48" t="s">
        <v>1710</v>
      </c>
      <c r="CU237" s="48" t="s">
        <v>1712</v>
      </c>
      <c r="CV237" s="48" t="s">
        <v>1710</v>
      </c>
      <c r="CW237" s="48" t="s">
        <v>1710</v>
      </c>
      <c r="CX237" s="48" t="s">
        <v>2839</v>
      </c>
      <c r="CY237" s="48" t="s">
        <v>1710</v>
      </c>
      <c r="CZ237" s="48" t="s">
        <v>1712</v>
      </c>
      <c r="DA237" s="48" t="s">
        <v>1710</v>
      </c>
      <c r="DB237" s="48" t="s">
        <v>1878</v>
      </c>
      <c r="DC237" s="48" t="s">
        <v>2070</v>
      </c>
      <c r="DD237" s="48" t="s">
        <v>1842</v>
      </c>
      <c r="DE237" s="48" t="s">
        <v>1886</v>
      </c>
      <c r="DF237" s="48" t="s">
        <v>4675</v>
      </c>
      <c r="DG237" s="48" t="s">
        <v>2071</v>
      </c>
      <c r="DH237" s="48" t="s">
        <v>1712</v>
      </c>
      <c r="DI237" s="48" t="s">
        <v>1710</v>
      </c>
      <c r="DJ237" s="48" t="s">
        <v>1710</v>
      </c>
      <c r="DK237" s="48" t="s">
        <v>1710</v>
      </c>
      <c r="DL237" s="48" t="s">
        <v>1710</v>
      </c>
      <c r="DM237" s="48" t="s">
        <v>1710</v>
      </c>
      <c r="DN237" s="48" t="s">
        <v>1710</v>
      </c>
      <c r="DO237" s="48" t="s">
        <v>1710</v>
      </c>
      <c r="DP237" s="48" t="s">
        <v>1710</v>
      </c>
      <c r="DQ237" s="48" t="s">
        <v>1710</v>
      </c>
      <c r="DR237" s="48" t="s">
        <v>2072</v>
      </c>
      <c r="DS237" s="48" t="s">
        <v>1710</v>
      </c>
      <c r="DT237" s="48" t="s">
        <v>1710</v>
      </c>
      <c r="DU237" s="48" t="s">
        <v>2575</v>
      </c>
      <c r="DV237" s="48" t="s">
        <v>2835</v>
      </c>
      <c r="DW237" s="48" t="s">
        <v>1710</v>
      </c>
      <c r="DX237" s="48" t="s">
        <v>4676</v>
      </c>
      <c r="DY237" s="48" t="s">
        <v>1709</v>
      </c>
      <c r="DZ237" s="48" t="s">
        <v>2562</v>
      </c>
      <c r="EA237" s="48" t="s">
        <v>2546</v>
      </c>
      <c r="EB237">
        <v>0</v>
      </c>
      <c r="EC237" s="48" t="s">
        <v>2575</v>
      </c>
      <c r="ED237" s="48" t="s">
        <v>4677</v>
      </c>
      <c r="EE237" s="48" t="s">
        <v>1814</v>
      </c>
      <c r="EF237" s="48" t="s">
        <v>1868</v>
      </c>
      <c r="EG237" s="48" t="s">
        <v>4674</v>
      </c>
      <c r="EH237">
        <v>44</v>
      </c>
      <c r="EI237" s="48" t="s">
        <v>1888</v>
      </c>
      <c r="EJ237">
        <v>1</v>
      </c>
      <c r="EK237" s="48" t="s">
        <v>1887</v>
      </c>
      <c r="EL237">
        <v>1</v>
      </c>
      <c r="EM237" s="48" t="s">
        <v>1886</v>
      </c>
      <c r="EN237">
        <v>44</v>
      </c>
      <c r="EO237" s="48" t="s">
        <v>2528</v>
      </c>
      <c r="EP237" s="48" t="s">
        <v>2676</v>
      </c>
      <c r="EQ237">
        <v>14243.49</v>
      </c>
      <c r="ER237">
        <v>14243.49</v>
      </c>
      <c r="ES237">
        <v>20742715</v>
      </c>
      <c r="ET237">
        <v>14081</v>
      </c>
      <c r="EU237" s="48" t="s">
        <v>1710</v>
      </c>
      <c r="EV237" s="48" t="s">
        <v>1710</v>
      </c>
      <c r="EW237" s="48" t="s">
        <v>1712</v>
      </c>
      <c r="EX237" s="48" t="s">
        <v>1710</v>
      </c>
      <c r="EY237" s="48" t="s">
        <v>1853</v>
      </c>
      <c r="EZ237" s="48" t="s">
        <v>1710</v>
      </c>
      <c r="FA237" s="48" t="s">
        <v>1710</v>
      </c>
      <c r="FB237" s="48" t="s">
        <v>1712</v>
      </c>
      <c r="FC237" s="48" t="s">
        <v>1710</v>
      </c>
      <c r="FD237" s="48" t="s">
        <v>1710</v>
      </c>
      <c r="FE237" s="48" t="s">
        <v>1814</v>
      </c>
      <c r="FF237" s="48" t="s">
        <v>1815</v>
      </c>
      <c r="FG237" s="48" t="s">
        <v>1710</v>
      </c>
      <c r="FH237">
        <v>1</v>
      </c>
      <c r="FI237" s="48" t="s">
        <v>1846</v>
      </c>
      <c r="FJ237">
        <v>14243.49</v>
      </c>
      <c r="FK237">
        <v>14243.49</v>
      </c>
      <c r="FL237" s="48" t="s">
        <v>4678</v>
      </c>
      <c r="FM237" s="48" t="s">
        <v>2676</v>
      </c>
      <c r="FN237" s="48" t="s">
        <v>1710</v>
      </c>
      <c r="FO237" s="48" t="s">
        <v>1710</v>
      </c>
      <c r="FP237" s="48" t="s">
        <v>1710</v>
      </c>
      <c r="FQ237" s="48" t="s">
        <v>1710</v>
      </c>
      <c r="FR237" s="48" t="s">
        <v>1710</v>
      </c>
      <c r="FS237" s="48" t="s">
        <v>1710</v>
      </c>
      <c r="FT237" s="48" t="s">
        <v>1710</v>
      </c>
      <c r="FU237" s="48" t="s">
        <v>1710</v>
      </c>
      <c r="FV237" s="48"/>
      <c r="FW237" s="56"/>
      <c r="FX237" s="56"/>
      <c r="FY237" s="56"/>
      <c r="FZ237" s="56"/>
      <c r="GA237" s="55" t="str">
        <f t="shared" si="11"/>
        <v>4388426900399X</v>
      </c>
      <c r="GB237" t="str">
        <f>VLOOKUP(B237,수출코드!$C$2:$D$4,2,FALSE)</f>
        <v>Suwon</v>
      </c>
      <c r="GC237" t="str">
        <f>VLOOKUP(L237,수출코드!$A$2:$B$6,2,FALSE)</f>
        <v/>
      </c>
      <c r="GD237" t="str">
        <f>VLOOKUP(M237,수출코드!$E$2:$F$5,2,FALSE)</f>
        <v>일반</v>
      </c>
      <c r="GE237" s="61">
        <f t="shared" si="9"/>
        <v>45975.377083333333</v>
      </c>
      <c r="GF237" s="62">
        <f t="shared" si="10"/>
        <v>46048.492361111108</v>
      </c>
      <c r="GI237" s="48" t="s">
        <v>2787</v>
      </c>
    </row>
    <row r="238" spans="1:191">
      <c r="A238" s="48" t="s">
        <v>4679</v>
      </c>
      <c r="B238" s="48" t="s">
        <v>1821</v>
      </c>
      <c r="C238" s="48" t="s">
        <v>2048</v>
      </c>
      <c r="D238" s="48" t="s">
        <v>2813</v>
      </c>
      <c r="E238" s="48" t="s">
        <v>4679</v>
      </c>
      <c r="F238" s="48" t="s">
        <v>1710</v>
      </c>
      <c r="G238" s="48" t="s">
        <v>2814</v>
      </c>
      <c r="H238" s="48" t="s">
        <v>4680</v>
      </c>
      <c r="I238" s="48" t="s">
        <v>1884</v>
      </c>
      <c r="J238" s="48" t="s">
        <v>2835</v>
      </c>
      <c r="K238" s="48" t="s">
        <v>1877</v>
      </c>
      <c r="L238" s="48" t="s">
        <v>1842</v>
      </c>
      <c r="M238" s="48" t="s">
        <v>1810</v>
      </c>
      <c r="N238" s="48" t="s">
        <v>1842</v>
      </c>
      <c r="O238" s="48" t="s">
        <v>1811</v>
      </c>
      <c r="P238" s="48" t="s">
        <v>2549</v>
      </c>
      <c r="Q238" s="48" t="s">
        <v>2049</v>
      </c>
      <c r="R238" s="48" t="s">
        <v>1838</v>
      </c>
      <c r="S238" s="48" t="s">
        <v>2050</v>
      </c>
      <c r="T238" s="48" t="s">
        <v>1845</v>
      </c>
      <c r="U238" s="48" t="s">
        <v>2049</v>
      </c>
      <c r="V238" s="48" t="s">
        <v>1838</v>
      </c>
      <c r="W238" s="48" t="s">
        <v>2051</v>
      </c>
      <c r="X238" s="48" t="s">
        <v>2052</v>
      </c>
      <c r="Y238" s="48" t="s">
        <v>2050</v>
      </c>
      <c r="Z238" s="48" t="s">
        <v>2053</v>
      </c>
      <c r="AA238" s="48" t="s">
        <v>2054</v>
      </c>
      <c r="AB238" s="48" t="s">
        <v>2817</v>
      </c>
      <c r="AC238" s="48" t="s">
        <v>2055</v>
      </c>
      <c r="AD238" s="48" t="s">
        <v>2056</v>
      </c>
      <c r="AE238" s="48" t="s">
        <v>1710</v>
      </c>
      <c r="AF238" s="48" t="s">
        <v>1710</v>
      </c>
      <c r="AG238" s="48" t="s">
        <v>2057</v>
      </c>
      <c r="AH238" s="48" t="s">
        <v>1815</v>
      </c>
      <c r="AI238" s="48" t="s">
        <v>2058</v>
      </c>
      <c r="AJ238" s="48" t="s">
        <v>1710</v>
      </c>
      <c r="AK238" s="48" t="s">
        <v>2988</v>
      </c>
      <c r="AL238" s="48" t="s">
        <v>2989</v>
      </c>
      <c r="AM238" s="48" t="s">
        <v>1816</v>
      </c>
      <c r="AN238" s="48" t="s">
        <v>2054</v>
      </c>
      <c r="AO238" s="48" t="s">
        <v>1710</v>
      </c>
      <c r="AP238" s="48" t="s">
        <v>1853</v>
      </c>
      <c r="AQ238" s="48" t="s">
        <v>2086</v>
      </c>
      <c r="AR238" s="48" t="s">
        <v>1812</v>
      </c>
      <c r="AS238" s="48" t="s">
        <v>1813</v>
      </c>
      <c r="AT238" s="48" t="s">
        <v>1826</v>
      </c>
      <c r="AU238" s="48" t="s">
        <v>2061</v>
      </c>
      <c r="AV238" s="48" t="s">
        <v>2835</v>
      </c>
      <c r="AW238" s="48" t="s">
        <v>2062</v>
      </c>
      <c r="AX238" s="48" t="s">
        <v>2063</v>
      </c>
      <c r="AY238" s="48" t="s">
        <v>1710</v>
      </c>
      <c r="AZ238" s="48" t="s">
        <v>4681</v>
      </c>
      <c r="BA238" s="48" t="s">
        <v>1710</v>
      </c>
      <c r="BB238" s="48" t="s">
        <v>1709</v>
      </c>
      <c r="BC238" s="48" t="s">
        <v>1710</v>
      </c>
      <c r="BD238" s="48" t="s">
        <v>2089</v>
      </c>
      <c r="BE238" s="52" t="s">
        <v>4628</v>
      </c>
      <c r="BF238" s="48" t="s">
        <v>1710</v>
      </c>
      <c r="BG238" s="48" t="s">
        <v>1814</v>
      </c>
      <c r="BH238">
        <v>1</v>
      </c>
      <c r="BI238" s="48" t="s">
        <v>1888</v>
      </c>
      <c r="BJ238">
        <v>1</v>
      </c>
      <c r="BK238">
        <v>1473.06</v>
      </c>
      <c r="BL238">
        <v>7104191</v>
      </c>
      <c r="BM238">
        <v>4823</v>
      </c>
      <c r="BN238" s="48" t="s">
        <v>2064</v>
      </c>
      <c r="BO238" s="48" t="s">
        <v>2065</v>
      </c>
      <c r="BP238">
        <v>1473.06</v>
      </c>
      <c r="BQ238">
        <v>4837</v>
      </c>
      <c r="BR238" s="48" t="s">
        <v>1885</v>
      </c>
      <c r="BS238" s="48" t="s">
        <v>2066</v>
      </c>
      <c r="BT238">
        <v>1</v>
      </c>
      <c r="BU238">
        <v>21000</v>
      </c>
      <c r="BV238">
        <v>21000</v>
      </c>
      <c r="BW238" s="48" t="s">
        <v>2065</v>
      </c>
      <c r="BX238">
        <v>1473.06</v>
      </c>
      <c r="BY238">
        <v>0</v>
      </c>
      <c r="BZ238">
        <v>0</v>
      </c>
      <c r="CA238" s="48" t="s">
        <v>2065</v>
      </c>
      <c r="CB238">
        <v>1473.06</v>
      </c>
      <c r="CC238">
        <v>0</v>
      </c>
      <c r="CD238">
        <v>0</v>
      </c>
      <c r="CE238" s="48" t="s">
        <v>1710</v>
      </c>
      <c r="CF238" s="48" t="s">
        <v>1710</v>
      </c>
      <c r="CG238" s="48" t="s">
        <v>1710</v>
      </c>
      <c r="CH238" s="48" t="s">
        <v>1710</v>
      </c>
      <c r="CI238" s="48" t="s">
        <v>2067</v>
      </c>
      <c r="CJ238" s="48" t="s">
        <v>1710</v>
      </c>
      <c r="CL238" s="48" t="s">
        <v>2835</v>
      </c>
      <c r="CM238" s="48" t="s">
        <v>1710</v>
      </c>
      <c r="CN238" s="48" t="s">
        <v>2068</v>
      </c>
      <c r="CO238" s="48" t="s">
        <v>2069</v>
      </c>
      <c r="CP238" s="48" t="s">
        <v>1710</v>
      </c>
      <c r="CQ238" s="48" t="s">
        <v>1710</v>
      </c>
      <c r="CR238" s="48" t="s">
        <v>1710</v>
      </c>
      <c r="CS238" s="48" t="s">
        <v>1710</v>
      </c>
      <c r="CT238" s="48" t="s">
        <v>1710</v>
      </c>
      <c r="CU238" s="48" t="s">
        <v>1712</v>
      </c>
      <c r="CV238" s="48" t="s">
        <v>1710</v>
      </c>
      <c r="CW238" s="48" t="s">
        <v>1710</v>
      </c>
      <c r="CX238" s="48" t="s">
        <v>2839</v>
      </c>
      <c r="CY238" s="48" t="s">
        <v>1710</v>
      </c>
      <c r="CZ238" s="48" t="s">
        <v>1712</v>
      </c>
      <c r="DA238" s="48" t="s">
        <v>1710</v>
      </c>
      <c r="DB238" s="48" t="s">
        <v>1878</v>
      </c>
      <c r="DC238" s="48" t="s">
        <v>2070</v>
      </c>
      <c r="DD238" s="48" t="s">
        <v>1842</v>
      </c>
      <c r="DE238" s="48" t="s">
        <v>1886</v>
      </c>
      <c r="DF238" s="48" t="s">
        <v>4682</v>
      </c>
      <c r="DG238" s="48" t="s">
        <v>2071</v>
      </c>
      <c r="DH238" s="48" t="s">
        <v>1712</v>
      </c>
      <c r="DI238" s="48" t="s">
        <v>1710</v>
      </c>
      <c r="DJ238" s="48" t="s">
        <v>1710</v>
      </c>
      <c r="DK238" s="48" t="s">
        <v>1710</v>
      </c>
      <c r="DL238" s="48" t="s">
        <v>1710</v>
      </c>
      <c r="DM238" s="48" t="s">
        <v>1710</v>
      </c>
      <c r="DN238" s="48" t="s">
        <v>1710</v>
      </c>
      <c r="DO238" s="48" t="s">
        <v>1710</v>
      </c>
      <c r="DP238" s="48" t="s">
        <v>1710</v>
      </c>
      <c r="DQ238" s="48" t="s">
        <v>1710</v>
      </c>
      <c r="DR238" s="48" t="s">
        <v>2072</v>
      </c>
      <c r="DS238" s="48" t="s">
        <v>1710</v>
      </c>
      <c r="DT238" s="48" t="s">
        <v>1710</v>
      </c>
      <c r="DU238" s="48" t="s">
        <v>2575</v>
      </c>
      <c r="DV238" s="48" t="s">
        <v>2835</v>
      </c>
      <c r="DW238" s="48" t="s">
        <v>1710</v>
      </c>
      <c r="DX238" s="48" t="s">
        <v>4683</v>
      </c>
      <c r="DY238" s="48" t="s">
        <v>1709</v>
      </c>
      <c r="DZ238" s="48" t="s">
        <v>2562</v>
      </c>
      <c r="EA238" s="48" t="s">
        <v>2546</v>
      </c>
      <c r="EB238">
        <v>0</v>
      </c>
      <c r="EC238" s="48" t="s">
        <v>2575</v>
      </c>
      <c r="ED238" s="48" t="s">
        <v>4677</v>
      </c>
      <c r="EE238" s="48" t="s">
        <v>1814</v>
      </c>
      <c r="EF238" s="48" t="s">
        <v>4684</v>
      </c>
      <c r="EG238" s="48" t="s">
        <v>4681</v>
      </c>
      <c r="EH238">
        <v>0.01</v>
      </c>
      <c r="EI238" s="48" t="s">
        <v>1888</v>
      </c>
      <c r="EJ238">
        <v>0</v>
      </c>
      <c r="EK238" s="48" t="s">
        <v>1710</v>
      </c>
      <c r="EL238">
        <v>1</v>
      </c>
      <c r="EM238" s="48" t="s">
        <v>1886</v>
      </c>
      <c r="EN238">
        <v>0.01</v>
      </c>
      <c r="EO238" s="48" t="s">
        <v>4685</v>
      </c>
      <c r="EP238" s="48" t="s">
        <v>4686</v>
      </c>
      <c r="EQ238">
        <v>4837</v>
      </c>
      <c r="ER238">
        <v>4837</v>
      </c>
      <c r="ES238">
        <v>7104191</v>
      </c>
      <c r="ET238">
        <v>4823</v>
      </c>
      <c r="EU238" s="48" t="s">
        <v>1710</v>
      </c>
      <c r="EV238" s="48" t="s">
        <v>1710</v>
      </c>
      <c r="EW238" s="48" t="s">
        <v>1712</v>
      </c>
      <c r="EX238" s="48" t="s">
        <v>1710</v>
      </c>
      <c r="EY238" s="48" t="s">
        <v>1873</v>
      </c>
      <c r="EZ238" s="48" t="s">
        <v>1710</v>
      </c>
      <c r="FA238" s="48" t="s">
        <v>1710</v>
      </c>
      <c r="FB238" s="48" t="s">
        <v>1712</v>
      </c>
      <c r="FC238" s="48" t="s">
        <v>1710</v>
      </c>
      <c r="FD238" s="48" t="s">
        <v>1710</v>
      </c>
      <c r="FE238" s="48" t="s">
        <v>1814</v>
      </c>
      <c r="FF238" s="48" t="s">
        <v>1815</v>
      </c>
      <c r="FG238" s="48" t="s">
        <v>1710</v>
      </c>
      <c r="FH238">
        <v>1</v>
      </c>
      <c r="FI238" s="48" t="s">
        <v>1846</v>
      </c>
      <c r="FJ238">
        <v>4837</v>
      </c>
      <c r="FK238">
        <v>4837</v>
      </c>
      <c r="FL238" s="48" t="s">
        <v>4687</v>
      </c>
      <c r="FM238" s="48" t="s">
        <v>4686</v>
      </c>
      <c r="FN238" s="48" t="s">
        <v>1710</v>
      </c>
      <c r="FO238" s="48" t="s">
        <v>1710</v>
      </c>
      <c r="FP238" s="48" t="s">
        <v>1710</v>
      </c>
      <c r="FQ238" s="48" t="s">
        <v>1710</v>
      </c>
      <c r="FR238" s="48" t="s">
        <v>1710</v>
      </c>
      <c r="FS238" s="48" t="s">
        <v>1710</v>
      </c>
      <c r="FT238" s="48" t="s">
        <v>1710</v>
      </c>
      <c r="FU238" s="48" t="s">
        <v>1710</v>
      </c>
      <c r="FV238" s="48"/>
      <c r="FW238" s="56"/>
      <c r="FX238" s="56"/>
      <c r="FY238" s="56"/>
      <c r="FZ238" s="56"/>
      <c r="GA238" s="55" t="str">
        <f t="shared" si="11"/>
        <v>4388426900400X</v>
      </c>
      <c r="GB238" t="str">
        <f>VLOOKUP(B238,수출코드!$C$2:$D$4,2,FALSE)</f>
        <v>Suwon</v>
      </c>
      <c r="GC238" t="str">
        <f>VLOOKUP(L238,수출코드!$A$2:$B$6,2,FALSE)</f>
        <v/>
      </c>
      <c r="GD238" t="str">
        <f>VLOOKUP(M238,수출코드!$E$2:$F$5,2,FALSE)</f>
        <v>일반</v>
      </c>
      <c r="GE238" s="61">
        <f t="shared" si="9"/>
        <v>45975.390972222223</v>
      </c>
      <c r="GF238" s="62">
        <f t="shared" si="10"/>
        <v>46048.492361111108</v>
      </c>
      <c r="GI238" s="48" t="s">
        <v>2788</v>
      </c>
    </row>
    <row r="239" spans="1:191">
      <c r="A239" s="48" t="s">
        <v>4688</v>
      </c>
      <c r="B239" s="48" t="s">
        <v>1821</v>
      </c>
      <c r="C239" s="48" t="s">
        <v>2048</v>
      </c>
      <c r="D239" s="48" t="s">
        <v>2813</v>
      </c>
      <c r="E239" s="48" t="s">
        <v>4688</v>
      </c>
      <c r="F239" s="48" t="s">
        <v>1710</v>
      </c>
      <c r="G239" s="48" t="s">
        <v>2814</v>
      </c>
      <c r="H239" s="48" t="s">
        <v>4689</v>
      </c>
      <c r="I239" s="48" t="s">
        <v>1884</v>
      </c>
      <c r="J239" s="48" t="s">
        <v>2835</v>
      </c>
      <c r="K239" s="48" t="s">
        <v>1877</v>
      </c>
      <c r="L239" s="48" t="s">
        <v>1842</v>
      </c>
      <c r="M239" s="48" t="s">
        <v>1810</v>
      </c>
      <c r="N239" s="48" t="s">
        <v>1842</v>
      </c>
      <c r="O239" s="48" t="s">
        <v>1811</v>
      </c>
      <c r="P239" s="48" t="s">
        <v>2549</v>
      </c>
      <c r="Q239" s="48" t="s">
        <v>2049</v>
      </c>
      <c r="R239" s="48" t="s">
        <v>1838</v>
      </c>
      <c r="S239" s="48" t="s">
        <v>2050</v>
      </c>
      <c r="T239" s="48" t="s">
        <v>1845</v>
      </c>
      <c r="U239" s="48" t="s">
        <v>2049</v>
      </c>
      <c r="V239" s="48" t="s">
        <v>1838</v>
      </c>
      <c r="W239" s="48" t="s">
        <v>2051</v>
      </c>
      <c r="X239" s="48" t="s">
        <v>2052</v>
      </c>
      <c r="Y239" s="48" t="s">
        <v>2050</v>
      </c>
      <c r="Z239" s="48" t="s">
        <v>2053</v>
      </c>
      <c r="AA239" s="48" t="s">
        <v>2054</v>
      </c>
      <c r="AB239" s="48" t="s">
        <v>2817</v>
      </c>
      <c r="AC239" s="48" t="s">
        <v>2055</v>
      </c>
      <c r="AD239" s="48" t="s">
        <v>2056</v>
      </c>
      <c r="AE239" s="48" t="s">
        <v>1710</v>
      </c>
      <c r="AF239" s="48" t="s">
        <v>1710</v>
      </c>
      <c r="AG239" s="48" t="s">
        <v>2057</v>
      </c>
      <c r="AH239" s="48" t="s">
        <v>1815</v>
      </c>
      <c r="AI239" s="48" t="s">
        <v>2058</v>
      </c>
      <c r="AJ239" s="48" t="s">
        <v>1710</v>
      </c>
      <c r="AK239" s="48" t="s">
        <v>2560</v>
      </c>
      <c r="AL239" s="48" t="s">
        <v>2561</v>
      </c>
      <c r="AM239" s="48" t="s">
        <v>1816</v>
      </c>
      <c r="AN239" s="48" t="s">
        <v>2054</v>
      </c>
      <c r="AO239" s="48" t="s">
        <v>1710</v>
      </c>
      <c r="AP239" s="48" t="s">
        <v>1855</v>
      </c>
      <c r="AQ239" s="48" t="s">
        <v>2076</v>
      </c>
      <c r="AR239" s="48" t="s">
        <v>1812</v>
      </c>
      <c r="AS239" s="48" t="s">
        <v>1813</v>
      </c>
      <c r="AT239" s="48" t="s">
        <v>1826</v>
      </c>
      <c r="AU239" s="48" t="s">
        <v>2061</v>
      </c>
      <c r="AV239" s="48" t="s">
        <v>2835</v>
      </c>
      <c r="AW239" s="48" t="s">
        <v>2062</v>
      </c>
      <c r="AX239" s="48" t="s">
        <v>2063</v>
      </c>
      <c r="AY239" s="48" t="s">
        <v>1710</v>
      </c>
      <c r="AZ239" s="48" t="s">
        <v>4690</v>
      </c>
      <c r="BA239" s="48" t="s">
        <v>1710</v>
      </c>
      <c r="BB239" s="48" t="s">
        <v>1709</v>
      </c>
      <c r="BC239" s="48" t="s">
        <v>1710</v>
      </c>
      <c r="BD239" s="48" t="s">
        <v>2089</v>
      </c>
      <c r="BE239" s="52" t="s">
        <v>4628</v>
      </c>
      <c r="BF239" s="48" t="s">
        <v>1710</v>
      </c>
      <c r="BG239" s="48" t="s">
        <v>1814</v>
      </c>
      <c r="BH239">
        <v>6</v>
      </c>
      <c r="BI239" s="48" t="s">
        <v>1888</v>
      </c>
      <c r="BJ239">
        <v>1</v>
      </c>
      <c r="BK239">
        <v>1473.06</v>
      </c>
      <c r="BL239">
        <v>1655340</v>
      </c>
      <c r="BM239">
        <v>1124</v>
      </c>
      <c r="BN239" s="48" t="s">
        <v>2064</v>
      </c>
      <c r="BO239" s="48" t="s">
        <v>2065</v>
      </c>
      <c r="BP239">
        <v>1473.06</v>
      </c>
      <c r="BQ239">
        <v>1151.44</v>
      </c>
      <c r="BR239" s="48" t="s">
        <v>1885</v>
      </c>
      <c r="BS239" s="48" t="s">
        <v>2066</v>
      </c>
      <c r="BT239">
        <v>1</v>
      </c>
      <c r="BU239">
        <v>40800</v>
      </c>
      <c r="BV239">
        <v>40800</v>
      </c>
      <c r="BW239" s="48" t="s">
        <v>2065</v>
      </c>
      <c r="BX239">
        <v>1473.06</v>
      </c>
      <c r="BY239">
        <v>0</v>
      </c>
      <c r="BZ239">
        <v>0</v>
      </c>
      <c r="CA239" s="48" t="s">
        <v>2065</v>
      </c>
      <c r="CB239">
        <v>1473.06</v>
      </c>
      <c r="CC239">
        <v>0</v>
      </c>
      <c r="CD239">
        <v>0</v>
      </c>
      <c r="CE239" s="48" t="s">
        <v>1710</v>
      </c>
      <c r="CF239" s="48" t="s">
        <v>1710</v>
      </c>
      <c r="CG239" s="48" t="s">
        <v>1710</v>
      </c>
      <c r="CH239" s="48" t="s">
        <v>1710</v>
      </c>
      <c r="CI239" s="48" t="s">
        <v>2067</v>
      </c>
      <c r="CJ239" s="48" t="s">
        <v>1710</v>
      </c>
      <c r="CL239" s="48" t="s">
        <v>2835</v>
      </c>
      <c r="CM239" s="48" t="s">
        <v>1710</v>
      </c>
      <c r="CN239" s="48" t="s">
        <v>2068</v>
      </c>
      <c r="CO239" s="48" t="s">
        <v>2069</v>
      </c>
      <c r="CP239" s="48" t="s">
        <v>1710</v>
      </c>
      <c r="CQ239" s="48" t="s">
        <v>1710</v>
      </c>
      <c r="CR239" s="48" t="s">
        <v>1710</v>
      </c>
      <c r="CS239" s="48" t="s">
        <v>1710</v>
      </c>
      <c r="CT239" s="48" t="s">
        <v>1710</v>
      </c>
      <c r="CU239" s="48" t="s">
        <v>1712</v>
      </c>
      <c r="CV239" s="48" t="s">
        <v>1710</v>
      </c>
      <c r="CW239" s="48" t="s">
        <v>1710</v>
      </c>
      <c r="CX239" s="48" t="s">
        <v>2839</v>
      </c>
      <c r="CY239" s="48" t="s">
        <v>1710</v>
      </c>
      <c r="CZ239" s="48" t="s">
        <v>1712</v>
      </c>
      <c r="DA239" s="48" t="s">
        <v>1710</v>
      </c>
      <c r="DB239" s="48" t="s">
        <v>1878</v>
      </c>
      <c r="DC239" s="48" t="s">
        <v>2070</v>
      </c>
      <c r="DD239" s="48" t="s">
        <v>1842</v>
      </c>
      <c r="DE239" s="48" t="s">
        <v>1886</v>
      </c>
      <c r="DF239" s="48" t="s">
        <v>4691</v>
      </c>
      <c r="DG239" s="48" t="s">
        <v>2071</v>
      </c>
      <c r="DH239" s="48" t="s">
        <v>1712</v>
      </c>
      <c r="DI239" s="48" t="s">
        <v>1710</v>
      </c>
      <c r="DJ239" s="48" t="s">
        <v>1710</v>
      </c>
      <c r="DK239" s="48" t="s">
        <v>1710</v>
      </c>
      <c r="DL239" s="48" t="s">
        <v>1710</v>
      </c>
      <c r="DM239" s="48" t="s">
        <v>1710</v>
      </c>
      <c r="DN239" s="48" t="s">
        <v>1710</v>
      </c>
      <c r="DO239" s="48" t="s">
        <v>1710</v>
      </c>
      <c r="DP239" s="48" t="s">
        <v>1710</v>
      </c>
      <c r="DQ239" s="48" t="s">
        <v>1710</v>
      </c>
      <c r="DR239" s="48" t="s">
        <v>2072</v>
      </c>
      <c r="DS239" s="48" t="s">
        <v>1710</v>
      </c>
      <c r="DT239" s="48" t="s">
        <v>1710</v>
      </c>
      <c r="DU239" s="48" t="s">
        <v>2575</v>
      </c>
      <c r="DV239" s="48" t="s">
        <v>2835</v>
      </c>
      <c r="DW239" s="48" t="s">
        <v>1710</v>
      </c>
      <c r="DX239" s="48" t="s">
        <v>4692</v>
      </c>
      <c r="DY239" s="48" t="s">
        <v>1709</v>
      </c>
      <c r="DZ239" s="48" t="s">
        <v>2562</v>
      </c>
      <c r="EA239" s="48" t="s">
        <v>2546</v>
      </c>
      <c r="EB239">
        <v>0</v>
      </c>
      <c r="EC239" s="48" t="s">
        <v>2575</v>
      </c>
      <c r="ED239" s="48" t="s">
        <v>4677</v>
      </c>
      <c r="EE239" s="48" t="s">
        <v>1814</v>
      </c>
      <c r="EF239" s="48" t="s">
        <v>3154</v>
      </c>
      <c r="EG239" s="48" t="s">
        <v>4690</v>
      </c>
      <c r="EH239">
        <v>3.25</v>
      </c>
      <c r="EI239" s="48" t="s">
        <v>1888</v>
      </c>
      <c r="EJ239">
        <v>1</v>
      </c>
      <c r="EK239" s="48" t="s">
        <v>1887</v>
      </c>
      <c r="EL239">
        <v>1</v>
      </c>
      <c r="EM239" s="48" t="s">
        <v>1886</v>
      </c>
      <c r="EN239">
        <v>3.25</v>
      </c>
      <c r="EO239" s="48" t="s">
        <v>3155</v>
      </c>
      <c r="EP239" s="48" t="s">
        <v>4693</v>
      </c>
      <c r="EQ239">
        <v>1151.44</v>
      </c>
      <c r="ER239">
        <v>1151.44</v>
      </c>
      <c r="ES239">
        <v>1655340</v>
      </c>
      <c r="ET239">
        <v>1124</v>
      </c>
      <c r="EU239" s="48" t="s">
        <v>1710</v>
      </c>
      <c r="EV239" s="48" t="s">
        <v>1710</v>
      </c>
      <c r="EW239" s="48" t="s">
        <v>1712</v>
      </c>
      <c r="EX239" s="48" t="s">
        <v>1710</v>
      </c>
      <c r="EY239" s="48" t="s">
        <v>1855</v>
      </c>
      <c r="EZ239" s="48" t="s">
        <v>1710</v>
      </c>
      <c r="FA239" s="48" t="s">
        <v>1710</v>
      </c>
      <c r="FB239" s="48" t="s">
        <v>1712</v>
      </c>
      <c r="FC239" s="48" t="s">
        <v>1710</v>
      </c>
      <c r="FD239" s="48" t="s">
        <v>1710</v>
      </c>
      <c r="FE239" s="48" t="s">
        <v>1814</v>
      </c>
      <c r="FF239" s="48" t="s">
        <v>1815</v>
      </c>
      <c r="FG239" s="48" t="s">
        <v>1710</v>
      </c>
      <c r="FH239">
        <v>1</v>
      </c>
      <c r="FI239" s="48" t="s">
        <v>1846</v>
      </c>
      <c r="FJ239">
        <v>1151.44</v>
      </c>
      <c r="FK239">
        <v>1151.44</v>
      </c>
      <c r="FL239" s="48" t="s">
        <v>4694</v>
      </c>
      <c r="FM239" s="48" t="s">
        <v>4693</v>
      </c>
      <c r="FN239" s="48" t="s">
        <v>1710</v>
      </c>
      <c r="FO239" s="48" t="s">
        <v>1710</v>
      </c>
      <c r="FP239" s="48" t="s">
        <v>1710</v>
      </c>
      <c r="FQ239" s="48" t="s">
        <v>1710</v>
      </c>
      <c r="FR239" s="48" t="s">
        <v>1710</v>
      </c>
      <c r="FS239" s="48" t="s">
        <v>1710</v>
      </c>
      <c r="FT239" s="48" t="s">
        <v>1710</v>
      </c>
      <c r="FU239" s="48" t="s">
        <v>1710</v>
      </c>
      <c r="FV239" s="48"/>
      <c r="FW239" s="56"/>
      <c r="FX239" s="56"/>
      <c r="FY239" s="56"/>
      <c r="FZ239" s="56"/>
      <c r="GA239" s="55" t="str">
        <f t="shared" si="11"/>
        <v>4388426900401X</v>
      </c>
      <c r="GB239" t="str">
        <f>VLOOKUP(B239,수출코드!$C$2:$D$4,2,FALSE)</f>
        <v>Suwon</v>
      </c>
      <c r="GC239" t="str">
        <f>VLOOKUP(L239,수출코드!$A$2:$B$6,2,FALSE)</f>
        <v/>
      </c>
      <c r="GD239" t="str">
        <f>VLOOKUP(M239,수출코드!$E$2:$F$5,2,FALSE)</f>
        <v>일반</v>
      </c>
      <c r="GE239" s="61">
        <f t="shared" si="9"/>
        <v>45975.396527777775</v>
      </c>
      <c r="GF239" s="62">
        <f t="shared" si="10"/>
        <v>46048.492361111108</v>
      </c>
      <c r="GI239" s="48" t="s">
        <v>2789</v>
      </c>
    </row>
    <row r="240" spans="1:191">
      <c r="A240" s="48" t="s">
        <v>4695</v>
      </c>
      <c r="B240" s="48" t="s">
        <v>1821</v>
      </c>
      <c r="C240" s="48" t="s">
        <v>2048</v>
      </c>
      <c r="D240" s="48" t="s">
        <v>2813</v>
      </c>
      <c r="E240" s="48" t="s">
        <v>4695</v>
      </c>
      <c r="F240" s="48" t="s">
        <v>1710</v>
      </c>
      <c r="G240" s="48" t="s">
        <v>2814</v>
      </c>
      <c r="H240" s="48" t="s">
        <v>4696</v>
      </c>
      <c r="I240" s="48" t="s">
        <v>1884</v>
      </c>
      <c r="J240" s="48" t="s">
        <v>2835</v>
      </c>
      <c r="K240" s="48" t="s">
        <v>1877</v>
      </c>
      <c r="L240" s="48" t="s">
        <v>1842</v>
      </c>
      <c r="M240" s="48" t="s">
        <v>1810</v>
      </c>
      <c r="N240" s="48" t="s">
        <v>1842</v>
      </c>
      <c r="O240" s="48" t="s">
        <v>1811</v>
      </c>
      <c r="P240" s="48" t="s">
        <v>2549</v>
      </c>
      <c r="Q240" s="48" t="s">
        <v>2049</v>
      </c>
      <c r="R240" s="48" t="s">
        <v>1838</v>
      </c>
      <c r="S240" s="48" t="s">
        <v>2050</v>
      </c>
      <c r="T240" s="48" t="s">
        <v>1845</v>
      </c>
      <c r="U240" s="48" t="s">
        <v>2049</v>
      </c>
      <c r="V240" s="48" t="s">
        <v>1838</v>
      </c>
      <c r="W240" s="48" t="s">
        <v>2051</v>
      </c>
      <c r="X240" s="48" t="s">
        <v>2052</v>
      </c>
      <c r="Y240" s="48" t="s">
        <v>2050</v>
      </c>
      <c r="Z240" s="48" t="s">
        <v>2053</v>
      </c>
      <c r="AA240" s="48" t="s">
        <v>2054</v>
      </c>
      <c r="AB240" s="48" t="s">
        <v>2817</v>
      </c>
      <c r="AC240" s="48" t="s">
        <v>2055</v>
      </c>
      <c r="AD240" s="48" t="s">
        <v>2056</v>
      </c>
      <c r="AE240" s="48" t="s">
        <v>1710</v>
      </c>
      <c r="AF240" s="48" t="s">
        <v>1710</v>
      </c>
      <c r="AG240" s="48" t="s">
        <v>2057</v>
      </c>
      <c r="AH240" s="48" t="s">
        <v>1815</v>
      </c>
      <c r="AI240" s="48" t="s">
        <v>2058</v>
      </c>
      <c r="AJ240" s="48" t="s">
        <v>1710</v>
      </c>
      <c r="AK240" s="48" t="s">
        <v>2560</v>
      </c>
      <c r="AL240" s="48" t="s">
        <v>2561</v>
      </c>
      <c r="AM240" s="48" t="s">
        <v>1816</v>
      </c>
      <c r="AN240" s="48" t="s">
        <v>2054</v>
      </c>
      <c r="AO240" s="48" t="s">
        <v>1710</v>
      </c>
      <c r="AP240" s="48" t="s">
        <v>1855</v>
      </c>
      <c r="AQ240" s="48" t="s">
        <v>2076</v>
      </c>
      <c r="AR240" s="48" t="s">
        <v>1812</v>
      </c>
      <c r="AS240" s="48" t="s">
        <v>1813</v>
      </c>
      <c r="AT240" s="48" t="s">
        <v>1826</v>
      </c>
      <c r="AU240" s="48" t="s">
        <v>2061</v>
      </c>
      <c r="AV240" s="48" t="s">
        <v>2835</v>
      </c>
      <c r="AW240" s="48" t="s">
        <v>2062</v>
      </c>
      <c r="AX240" s="48" t="s">
        <v>2063</v>
      </c>
      <c r="AY240" s="48" t="s">
        <v>1710</v>
      </c>
      <c r="AZ240" s="48" t="s">
        <v>4697</v>
      </c>
      <c r="BA240" s="48" t="s">
        <v>1710</v>
      </c>
      <c r="BB240" s="48" t="s">
        <v>1709</v>
      </c>
      <c r="BC240" s="48" t="s">
        <v>1710</v>
      </c>
      <c r="BD240" s="48" t="s">
        <v>2089</v>
      </c>
      <c r="BE240" s="52" t="s">
        <v>4628</v>
      </c>
      <c r="BF240" s="48" t="s">
        <v>1710</v>
      </c>
      <c r="BG240" s="48" t="s">
        <v>1814</v>
      </c>
      <c r="BH240">
        <v>1</v>
      </c>
      <c r="BI240" s="48" t="s">
        <v>1888</v>
      </c>
      <c r="BJ240">
        <v>1</v>
      </c>
      <c r="BK240">
        <v>1473.06</v>
      </c>
      <c r="BL240">
        <v>1157698</v>
      </c>
      <c r="BM240">
        <v>786</v>
      </c>
      <c r="BN240" s="48" t="s">
        <v>2064</v>
      </c>
      <c r="BO240" s="48" t="s">
        <v>2065</v>
      </c>
      <c r="BP240">
        <v>1473.06</v>
      </c>
      <c r="BQ240">
        <v>800.17</v>
      </c>
      <c r="BR240" s="48" t="s">
        <v>1885</v>
      </c>
      <c r="BS240" s="48" t="s">
        <v>2066</v>
      </c>
      <c r="BT240">
        <v>1</v>
      </c>
      <c r="BU240">
        <v>21000</v>
      </c>
      <c r="BV240">
        <v>21000</v>
      </c>
      <c r="BW240" s="48" t="s">
        <v>2065</v>
      </c>
      <c r="BX240">
        <v>1473.06</v>
      </c>
      <c r="BY240">
        <v>0</v>
      </c>
      <c r="BZ240">
        <v>0</v>
      </c>
      <c r="CA240" s="48" t="s">
        <v>2065</v>
      </c>
      <c r="CB240">
        <v>1473.06</v>
      </c>
      <c r="CC240">
        <v>0</v>
      </c>
      <c r="CD240">
        <v>0</v>
      </c>
      <c r="CE240" s="48" t="s">
        <v>1710</v>
      </c>
      <c r="CF240" s="48" t="s">
        <v>1710</v>
      </c>
      <c r="CG240" s="48" t="s">
        <v>1710</v>
      </c>
      <c r="CH240" s="48" t="s">
        <v>1710</v>
      </c>
      <c r="CI240" s="48" t="s">
        <v>2067</v>
      </c>
      <c r="CJ240" s="48" t="s">
        <v>1710</v>
      </c>
      <c r="CL240" s="48" t="s">
        <v>2835</v>
      </c>
      <c r="CM240" s="48" t="s">
        <v>1710</v>
      </c>
      <c r="CN240" s="48" t="s">
        <v>2068</v>
      </c>
      <c r="CO240" s="48" t="s">
        <v>2069</v>
      </c>
      <c r="CP240" s="48" t="s">
        <v>1710</v>
      </c>
      <c r="CQ240" s="48" t="s">
        <v>1710</v>
      </c>
      <c r="CR240" s="48" t="s">
        <v>1710</v>
      </c>
      <c r="CS240" s="48" t="s">
        <v>1710</v>
      </c>
      <c r="CT240" s="48" t="s">
        <v>1710</v>
      </c>
      <c r="CU240" s="48" t="s">
        <v>1712</v>
      </c>
      <c r="CV240" s="48" t="s">
        <v>1710</v>
      </c>
      <c r="CW240" s="48" t="s">
        <v>1710</v>
      </c>
      <c r="CX240" s="48" t="s">
        <v>2839</v>
      </c>
      <c r="CY240" s="48" t="s">
        <v>1710</v>
      </c>
      <c r="CZ240" s="48" t="s">
        <v>1712</v>
      </c>
      <c r="DA240" s="48" t="s">
        <v>1710</v>
      </c>
      <c r="DB240" s="48" t="s">
        <v>1878</v>
      </c>
      <c r="DC240" s="48" t="s">
        <v>2070</v>
      </c>
      <c r="DD240" s="48" t="s">
        <v>1842</v>
      </c>
      <c r="DE240" s="48" t="s">
        <v>1886</v>
      </c>
      <c r="DF240" s="48" t="s">
        <v>4698</v>
      </c>
      <c r="DG240" s="48" t="s">
        <v>2071</v>
      </c>
      <c r="DH240" s="48" t="s">
        <v>1712</v>
      </c>
      <c r="DI240" s="48" t="s">
        <v>1710</v>
      </c>
      <c r="DJ240" s="48" t="s">
        <v>1710</v>
      </c>
      <c r="DK240" s="48" t="s">
        <v>1710</v>
      </c>
      <c r="DL240" s="48" t="s">
        <v>1710</v>
      </c>
      <c r="DM240" s="48" t="s">
        <v>1710</v>
      </c>
      <c r="DN240" s="48" t="s">
        <v>1710</v>
      </c>
      <c r="DO240" s="48" t="s">
        <v>1710</v>
      </c>
      <c r="DP240" s="48" t="s">
        <v>1710</v>
      </c>
      <c r="DQ240" s="48" t="s">
        <v>1710</v>
      </c>
      <c r="DR240" s="48" t="s">
        <v>2072</v>
      </c>
      <c r="DS240" s="48" t="s">
        <v>1710</v>
      </c>
      <c r="DT240" s="48" t="s">
        <v>1710</v>
      </c>
      <c r="DU240" s="48" t="s">
        <v>2575</v>
      </c>
      <c r="DV240" s="48" t="s">
        <v>2835</v>
      </c>
      <c r="DW240" s="48" t="s">
        <v>1710</v>
      </c>
      <c r="DX240" s="48" t="s">
        <v>4699</v>
      </c>
      <c r="DY240" s="48" t="s">
        <v>1709</v>
      </c>
      <c r="DZ240" s="48" t="s">
        <v>2562</v>
      </c>
      <c r="EA240" s="48" t="s">
        <v>2546</v>
      </c>
      <c r="EB240">
        <v>0</v>
      </c>
      <c r="EC240" s="48" t="s">
        <v>2575</v>
      </c>
      <c r="ED240" s="48" t="s">
        <v>4700</v>
      </c>
      <c r="EE240" s="48" t="s">
        <v>1814</v>
      </c>
      <c r="EF240" s="48" t="s">
        <v>4701</v>
      </c>
      <c r="EG240" s="48" t="s">
        <v>4697</v>
      </c>
      <c r="EH240">
        <v>1</v>
      </c>
      <c r="EI240" s="48" t="s">
        <v>1888</v>
      </c>
      <c r="EJ240">
        <v>0</v>
      </c>
      <c r="EK240" s="48" t="s">
        <v>1710</v>
      </c>
      <c r="EL240">
        <v>1</v>
      </c>
      <c r="EM240" s="48" t="s">
        <v>1886</v>
      </c>
      <c r="EN240">
        <v>1</v>
      </c>
      <c r="EO240" s="48" t="s">
        <v>2646</v>
      </c>
      <c r="EP240" s="48" t="s">
        <v>4702</v>
      </c>
      <c r="EQ240">
        <v>800.17</v>
      </c>
      <c r="ER240">
        <v>800.17</v>
      </c>
      <c r="ES240">
        <v>1157698</v>
      </c>
      <c r="ET240">
        <v>786</v>
      </c>
      <c r="EU240" s="48" t="s">
        <v>1710</v>
      </c>
      <c r="EV240" s="48" t="s">
        <v>1710</v>
      </c>
      <c r="EW240" s="48" t="s">
        <v>1712</v>
      </c>
      <c r="EX240" s="48" t="s">
        <v>1710</v>
      </c>
      <c r="EY240" s="48" t="s">
        <v>1848</v>
      </c>
      <c r="EZ240" s="48" t="s">
        <v>1710</v>
      </c>
      <c r="FA240" s="48" t="s">
        <v>1710</v>
      </c>
      <c r="FB240" s="48" t="s">
        <v>1712</v>
      </c>
      <c r="FC240" s="48" t="s">
        <v>1710</v>
      </c>
      <c r="FD240" s="48" t="s">
        <v>1710</v>
      </c>
      <c r="FE240" s="48" t="s">
        <v>1814</v>
      </c>
      <c r="FF240" s="48" t="s">
        <v>1815</v>
      </c>
      <c r="FG240" s="48" t="s">
        <v>1710</v>
      </c>
      <c r="FH240">
        <v>1</v>
      </c>
      <c r="FI240" s="48" t="s">
        <v>1846</v>
      </c>
      <c r="FJ240">
        <v>800.17</v>
      </c>
      <c r="FK240">
        <v>800.17</v>
      </c>
      <c r="FL240" s="48" t="s">
        <v>4703</v>
      </c>
      <c r="FM240" s="48" t="s">
        <v>4702</v>
      </c>
      <c r="FN240" s="48" t="s">
        <v>1710</v>
      </c>
      <c r="FO240" s="48" t="s">
        <v>1710</v>
      </c>
      <c r="FP240" s="48" t="s">
        <v>1710</v>
      </c>
      <c r="FQ240" s="48" t="s">
        <v>1710</v>
      </c>
      <c r="FR240" s="48" t="s">
        <v>1710</v>
      </c>
      <c r="FS240" s="48" t="s">
        <v>1710</v>
      </c>
      <c r="FT240" s="48" t="s">
        <v>1710</v>
      </c>
      <c r="FU240" s="48" t="s">
        <v>1710</v>
      </c>
      <c r="FV240" s="48"/>
      <c r="FW240" s="56"/>
      <c r="FX240" s="56"/>
      <c r="FY240" s="56"/>
      <c r="FZ240" s="56"/>
      <c r="GA240" s="55" t="str">
        <f t="shared" si="11"/>
        <v>4388426900402X</v>
      </c>
      <c r="GB240" t="str">
        <f>VLOOKUP(B240,수출코드!$C$2:$D$4,2,FALSE)</f>
        <v>Suwon</v>
      </c>
      <c r="GC240" t="str">
        <f>VLOOKUP(L240,수출코드!$A$2:$B$6,2,FALSE)</f>
        <v/>
      </c>
      <c r="GD240" t="str">
        <f>VLOOKUP(M240,수출코드!$E$2:$F$5,2,FALSE)</f>
        <v>일반</v>
      </c>
      <c r="GE240" s="61">
        <f t="shared" si="9"/>
        <v>45975.396527777775</v>
      </c>
      <c r="GF240" s="62">
        <f t="shared" si="10"/>
        <v>46048.495138888888</v>
      </c>
      <c r="GI240" s="48" t="s">
        <v>2789</v>
      </c>
    </row>
    <row r="241" spans="1:191">
      <c r="A241" s="48" t="s">
        <v>4704</v>
      </c>
      <c r="B241" s="48" t="s">
        <v>1821</v>
      </c>
      <c r="C241" s="48" t="s">
        <v>2048</v>
      </c>
      <c r="D241" s="48" t="s">
        <v>2813</v>
      </c>
      <c r="E241" s="48" t="s">
        <v>4704</v>
      </c>
      <c r="F241" s="48" t="s">
        <v>1710</v>
      </c>
      <c r="G241" s="48" t="s">
        <v>2814</v>
      </c>
      <c r="H241" s="48" t="s">
        <v>4705</v>
      </c>
      <c r="I241" s="48" t="s">
        <v>1884</v>
      </c>
      <c r="J241" s="48" t="s">
        <v>2835</v>
      </c>
      <c r="K241" s="48" t="s">
        <v>1877</v>
      </c>
      <c r="L241" s="48" t="s">
        <v>1842</v>
      </c>
      <c r="M241" s="48" t="s">
        <v>1810</v>
      </c>
      <c r="N241" s="48" t="s">
        <v>1842</v>
      </c>
      <c r="O241" s="48" t="s">
        <v>1811</v>
      </c>
      <c r="P241" s="48" t="s">
        <v>2549</v>
      </c>
      <c r="Q241" s="48" t="s">
        <v>2049</v>
      </c>
      <c r="R241" s="48" t="s">
        <v>1838</v>
      </c>
      <c r="S241" s="48" t="s">
        <v>2050</v>
      </c>
      <c r="T241" s="48" t="s">
        <v>1845</v>
      </c>
      <c r="U241" s="48" t="s">
        <v>2049</v>
      </c>
      <c r="V241" s="48" t="s">
        <v>1838</v>
      </c>
      <c r="W241" s="48" t="s">
        <v>2051</v>
      </c>
      <c r="X241" s="48" t="s">
        <v>2052</v>
      </c>
      <c r="Y241" s="48" t="s">
        <v>2050</v>
      </c>
      <c r="Z241" s="48" t="s">
        <v>2053</v>
      </c>
      <c r="AA241" s="48" t="s">
        <v>2054</v>
      </c>
      <c r="AB241" s="48" t="s">
        <v>2817</v>
      </c>
      <c r="AC241" s="48" t="s">
        <v>2055</v>
      </c>
      <c r="AD241" s="48" t="s">
        <v>2056</v>
      </c>
      <c r="AE241" s="48" t="s">
        <v>1710</v>
      </c>
      <c r="AF241" s="48" t="s">
        <v>1710</v>
      </c>
      <c r="AG241" s="48" t="s">
        <v>2057</v>
      </c>
      <c r="AH241" s="48" t="s">
        <v>1815</v>
      </c>
      <c r="AI241" s="48" t="s">
        <v>2058</v>
      </c>
      <c r="AJ241" s="48" t="s">
        <v>1710</v>
      </c>
      <c r="AK241" s="48" t="s">
        <v>1839</v>
      </c>
      <c r="AL241" s="48" t="s">
        <v>1840</v>
      </c>
      <c r="AM241" s="48" t="s">
        <v>1816</v>
      </c>
      <c r="AN241" s="48" t="s">
        <v>2054</v>
      </c>
      <c r="AO241" s="48" t="s">
        <v>1710</v>
      </c>
      <c r="AP241" s="48" t="s">
        <v>1874</v>
      </c>
      <c r="AQ241" s="48" t="s">
        <v>2078</v>
      </c>
      <c r="AR241" s="48" t="s">
        <v>1812</v>
      </c>
      <c r="AS241" s="48" t="s">
        <v>1813</v>
      </c>
      <c r="AT241" s="48" t="s">
        <v>1826</v>
      </c>
      <c r="AU241" s="48" t="s">
        <v>2061</v>
      </c>
      <c r="AV241" s="48" t="s">
        <v>2835</v>
      </c>
      <c r="AW241" s="48" t="s">
        <v>2062</v>
      </c>
      <c r="AX241" s="48" t="s">
        <v>2063</v>
      </c>
      <c r="AY241" s="48" t="s">
        <v>1710</v>
      </c>
      <c r="AZ241" s="48" t="s">
        <v>4706</v>
      </c>
      <c r="BA241" s="48" t="s">
        <v>1710</v>
      </c>
      <c r="BB241" s="48" t="s">
        <v>1709</v>
      </c>
      <c r="BC241" s="48" t="s">
        <v>1710</v>
      </c>
      <c r="BD241" s="48" t="s">
        <v>2089</v>
      </c>
      <c r="BE241" s="52" t="s">
        <v>4628</v>
      </c>
      <c r="BF241" s="48" t="s">
        <v>1710</v>
      </c>
      <c r="BG241" s="48" t="s">
        <v>1814</v>
      </c>
      <c r="BH241">
        <v>1</v>
      </c>
      <c r="BI241" s="48" t="s">
        <v>1888</v>
      </c>
      <c r="BJ241">
        <v>1</v>
      </c>
      <c r="BK241">
        <v>1473.06</v>
      </c>
      <c r="BL241">
        <v>392300</v>
      </c>
      <c r="BM241">
        <v>266</v>
      </c>
      <c r="BN241" s="48" t="s">
        <v>2064</v>
      </c>
      <c r="BO241" s="48" t="s">
        <v>2065</v>
      </c>
      <c r="BP241">
        <v>1473.06</v>
      </c>
      <c r="BQ241">
        <v>280.98</v>
      </c>
      <c r="BR241" s="48" t="s">
        <v>1885</v>
      </c>
      <c r="BS241" s="48" t="s">
        <v>2066</v>
      </c>
      <c r="BT241">
        <v>1</v>
      </c>
      <c r="BU241">
        <v>21600</v>
      </c>
      <c r="BV241">
        <v>21600</v>
      </c>
      <c r="BW241" s="48" t="s">
        <v>2065</v>
      </c>
      <c r="BX241">
        <v>1473.06</v>
      </c>
      <c r="BY241">
        <v>0</v>
      </c>
      <c r="BZ241">
        <v>0</v>
      </c>
      <c r="CA241" s="48" t="s">
        <v>2065</v>
      </c>
      <c r="CB241">
        <v>1473.06</v>
      </c>
      <c r="CC241">
        <v>0</v>
      </c>
      <c r="CD241">
        <v>0</v>
      </c>
      <c r="CE241" s="48" t="s">
        <v>1710</v>
      </c>
      <c r="CF241" s="48" t="s">
        <v>1710</v>
      </c>
      <c r="CG241" s="48" t="s">
        <v>1710</v>
      </c>
      <c r="CH241" s="48" t="s">
        <v>1710</v>
      </c>
      <c r="CI241" s="48" t="s">
        <v>2067</v>
      </c>
      <c r="CJ241" s="48" t="s">
        <v>1710</v>
      </c>
      <c r="CL241" s="48" t="s">
        <v>2835</v>
      </c>
      <c r="CM241" s="48" t="s">
        <v>1710</v>
      </c>
      <c r="CN241" s="48" t="s">
        <v>2068</v>
      </c>
      <c r="CO241" s="48" t="s">
        <v>2069</v>
      </c>
      <c r="CP241" s="48" t="s">
        <v>1710</v>
      </c>
      <c r="CQ241" s="48" t="s">
        <v>1710</v>
      </c>
      <c r="CR241" s="48" t="s">
        <v>1710</v>
      </c>
      <c r="CS241" s="48" t="s">
        <v>1710</v>
      </c>
      <c r="CT241" s="48" t="s">
        <v>1710</v>
      </c>
      <c r="CU241" s="48" t="s">
        <v>1712</v>
      </c>
      <c r="CV241" s="48" t="s">
        <v>1710</v>
      </c>
      <c r="CW241" s="48" t="s">
        <v>1710</v>
      </c>
      <c r="CX241" s="48" t="s">
        <v>2839</v>
      </c>
      <c r="CY241" s="48" t="s">
        <v>1710</v>
      </c>
      <c r="CZ241" s="48" t="s">
        <v>1712</v>
      </c>
      <c r="DA241" s="48" t="s">
        <v>1710</v>
      </c>
      <c r="DB241" s="48" t="s">
        <v>1878</v>
      </c>
      <c r="DC241" s="48" t="s">
        <v>2070</v>
      </c>
      <c r="DD241" s="48" t="s">
        <v>1842</v>
      </c>
      <c r="DE241" s="48" t="s">
        <v>1886</v>
      </c>
      <c r="DF241" s="48" t="s">
        <v>4707</v>
      </c>
      <c r="DG241" s="48" t="s">
        <v>2071</v>
      </c>
      <c r="DH241" s="48" t="s">
        <v>1712</v>
      </c>
      <c r="DI241" s="48" t="s">
        <v>1710</v>
      </c>
      <c r="DJ241" s="48" t="s">
        <v>1710</v>
      </c>
      <c r="DK241" s="48" t="s">
        <v>1710</v>
      </c>
      <c r="DL241" s="48" t="s">
        <v>1710</v>
      </c>
      <c r="DM241" s="48" t="s">
        <v>1710</v>
      </c>
      <c r="DN241" s="48" t="s">
        <v>1710</v>
      </c>
      <c r="DO241" s="48" t="s">
        <v>1710</v>
      </c>
      <c r="DP241" s="48" t="s">
        <v>1710</v>
      </c>
      <c r="DQ241" s="48" t="s">
        <v>1710</v>
      </c>
      <c r="DR241" s="48" t="s">
        <v>2072</v>
      </c>
      <c r="DS241" s="48" t="s">
        <v>1710</v>
      </c>
      <c r="DT241" s="48" t="s">
        <v>1710</v>
      </c>
      <c r="DU241" s="48" t="s">
        <v>2575</v>
      </c>
      <c r="DV241" s="48" t="s">
        <v>2835</v>
      </c>
      <c r="DW241" s="48" t="s">
        <v>1710</v>
      </c>
      <c r="DX241" s="48" t="s">
        <v>4708</v>
      </c>
      <c r="DY241" s="48" t="s">
        <v>1709</v>
      </c>
      <c r="DZ241" s="48" t="s">
        <v>2562</v>
      </c>
      <c r="EA241" s="48" t="s">
        <v>2546</v>
      </c>
      <c r="EB241">
        <v>0</v>
      </c>
      <c r="EC241" s="48" t="s">
        <v>2575</v>
      </c>
      <c r="ED241" s="48" t="s">
        <v>4700</v>
      </c>
      <c r="EE241" s="48" t="s">
        <v>1814</v>
      </c>
      <c r="EF241" s="48" t="s">
        <v>1859</v>
      </c>
      <c r="EG241" s="48" t="s">
        <v>4706</v>
      </c>
      <c r="EH241">
        <v>2.5000000000000001E-2</v>
      </c>
      <c r="EI241" s="48" t="s">
        <v>1888</v>
      </c>
      <c r="EJ241">
        <v>0</v>
      </c>
      <c r="EK241" s="48" t="s">
        <v>1710</v>
      </c>
      <c r="EL241">
        <v>1</v>
      </c>
      <c r="EM241" s="48" t="s">
        <v>1886</v>
      </c>
      <c r="EN241">
        <v>2.5000000000000001E-2</v>
      </c>
      <c r="EO241" s="48" t="s">
        <v>2524</v>
      </c>
      <c r="EP241" s="48" t="s">
        <v>2584</v>
      </c>
      <c r="EQ241">
        <v>280.98</v>
      </c>
      <c r="ER241">
        <v>280.98</v>
      </c>
      <c r="ES241">
        <v>392300</v>
      </c>
      <c r="ET241">
        <v>266</v>
      </c>
      <c r="EU241" s="48" t="s">
        <v>1710</v>
      </c>
      <c r="EV241" s="48" t="s">
        <v>1710</v>
      </c>
      <c r="EW241" s="48" t="s">
        <v>1712</v>
      </c>
      <c r="EX241" s="48" t="s">
        <v>1710</v>
      </c>
      <c r="EY241" s="48" t="s">
        <v>1848</v>
      </c>
      <c r="EZ241" s="48" t="s">
        <v>1710</v>
      </c>
      <c r="FA241" s="48" t="s">
        <v>1710</v>
      </c>
      <c r="FB241" s="48" t="s">
        <v>1712</v>
      </c>
      <c r="FC241" s="48" t="s">
        <v>1710</v>
      </c>
      <c r="FD241" s="48" t="s">
        <v>1710</v>
      </c>
      <c r="FE241" s="48" t="s">
        <v>1814</v>
      </c>
      <c r="FF241" s="48" t="s">
        <v>1815</v>
      </c>
      <c r="FG241" s="48" t="s">
        <v>1710</v>
      </c>
      <c r="FH241">
        <v>5</v>
      </c>
      <c r="FI241" s="48" t="s">
        <v>1846</v>
      </c>
      <c r="FJ241">
        <v>280.98</v>
      </c>
      <c r="FK241">
        <v>56.195999999999998</v>
      </c>
      <c r="FL241" s="48" t="s">
        <v>4709</v>
      </c>
      <c r="FM241" s="48" t="s">
        <v>2584</v>
      </c>
      <c r="FN241" s="48" t="s">
        <v>1710</v>
      </c>
      <c r="FO241" s="48" t="s">
        <v>1710</v>
      </c>
      <c r="FP241" s="48" t="s">
        <v>1710</v>
      </c>
      <c r="FQ241" s="48" t="s">
        <v>1710</v>
      </c>
      <c r="FR241" s="48" t="s">
        <v>1710</v>
      </c>
      <c r="FS241" s="48" t="s">
        <v>1710</v>
      </c>
      <c r="FT241" s="48" t="s">
        <v>1710</v>
      </c>
      <c r="FU241" s="48" t="s">
        <v>1710</v>
      </c>
      <c r="FV241" s="48"/>
      <c r="FW241" s="56"/>
      <c r="FX241" s="56"/>
      <c r="FY241" s="56"/>
      <c r="FZ241" s="56"/>
      <c r="GA241" s="55" t="str">
        <f t="shared" si="11"/>
        <v>4388426900403X</v>
      </c>
      <c r="GB241" t="str">
        <f>VLOOKUP(B241,수출코드!$C$2:$D$4,2,FALSE)</f>
        <v>Suwon</v>
      </c>
      <c r="GC241" t="str">
        <f>VLOOKUP(L241,수출코드!$A$2:$B$6,2,FALSE)</f>
        <v/>
      </c>
      <c r="GD241" t="str">
        <f>VLOOKUP(M241,수출코드!$E$2:$F$5,2,FALSE)</f>
        <v>일반</v>
      </c>
      <c r="GE241" s="61">
        <f t="shared" si="9"/>
        <v>45975.400694444441</v>
      </c>
      <c r="GF241" s="62">
        <f t="shared" si="10"/>
        <v>46048.495138888888</v>
      </c>
      <c r="GI241" s="48" t="s">
        <v>2790</v>
      </c>
    </row>
    <row r="242" spans="1:191">
      <c r="A242" s="48" t="s">
        <v>4710</v>
      </c>
      <c r="B242" s="48" t="s">
        <v>1821</v>
      </c>
      <c r="C242" s="48" t="s">
        <v>2048</v>
      </c>
      <c r="D242" s="48" t="s">
        <v>2813</v>
      </c>
      <c r="E242" s="48" t="s">
        <v>4710</v>
      </c>
      <c r="F242" s="48" t="s">
        <v>1710</v>
      </c>
      <c r="G242" s="48" t="s">
        <v>2814</v>
      </c>
      <c r="H242" s="48" t="s">
        <v>4711</v>
      </c>
      <c r="I242" s="48" t="s">
        <v>1884</v>
      </c>
      <c r="J242" s="48" t="s">
        <v>2835</v>
      </c>
      <c r="K242" s="48" t="s">
        <v>1877</v>
      </c>
      <c r="L242" s="48" t="s">
        <v>1842</v>
      </c>
      <c r="M242" s="48" t="s">
        <v>1810</v>
      </c>
      <c r="N242" s="48" t="s">
        <v>1842</v>
      </c>
      <c r="O242" s="48" t="s">
        <v>1811</v>
      </c>
      <c r="P242" s="48" t="s">
        <v>2549</v>
      </c>
      <c r="Q242" s="48" t="s">
        <v>2049</v>
      </c>
      <c r="R242" s="48" t="s">
        <v>1838</v>
      </c>
      <c r="S242" s="48" t="s">
        <v>2050</v>
      </c>
      <c r="T242" s="48" t="s">
        <v>1845</v>
      </c>
      <c r="U242" s="48" t="s">
        <v>2049</v>
      </c>
      <c r="V242" s="48" t="s">
        <v>1838</v>
      </c>
      <c r="W242" s="48" t="s">
        <v>2051</v>
      </c>
      <c r="X242" s="48" t="s">
        <v>2052</v>
      </c>
      <c r="Y242" s="48" t="s">
        <v>2050</v>
      </c>
      <c r="Z242" s="48" t="s">
        <v>2053</v>
      </c>
      <c r="AA242" s="48" t="s">
        <v>2054</v>
      </c>
      <c r="AB242" s="48" t="s">
        <v>2817</v>
      </c>
      <c r="AC242" s="48" t="s">
        <v>2055</v>
      </c>
      <c r="AD242" s="48" t="s">
        <v>2056</v>
      </c>
      <c r="AE242" s="48" t="s">
        <v>1710</v>
      </c>
      <c r="AF242" s="48" t="s">
        <v>1710</v>
      </c>
      <c r="AG242" s="48" t="s">
        <v>2057</v>
      </c>
      <c r="AH242" s="48" t="s">
        <v>1815</v>
      </c>
      <c r="AI242" s="48" t="s">
        <v>2058</v>
      </c>
      <c r="AJ242" s="48" t="s">
        <v>1710</v>
      </c>
      <c r="AK242" s="48" t="s">
        <v>2535</v>
      </c>
      <c r="AL242" s="48" t="s">
        <v>2536</v>
      </c>
      <c r="AM242" s="48" t="s">
        <v>1816</v>
      </c>
      <c r="AN242" s="48" t="s">
        <v>2054</v>
      </c>
      <c r="AO242" s="48" t="s">
        <v>1710</v>
      </c>
      <c r="AP242" s="48" t="s">
        <v>1853</v>
      </c>
      <c r="AQ242" s="48" t="s">
        <v>2086</v>
      </c>
      <c r="AR242" s="48" t="s">
        <v>1812</v>
      </c>
      <c r="AS242" s="48" t="s">
        <v>1813</v>
      </c>
      <c r="AT242" s="48" t="s">
        <v>1826</v>
      </c>
      <c r="AU242" s="48" t="s">
        <v>2061</v>
      </c>
      <c r="AV242" s="48" t="s">
        <v>2835</v>
      </c>
      <c r="AW242" s="48" t="s">
        <v>2062</v>
      </c>
      <c r="AX242" s="48" t="s">
        <v>2063</v>
      </c>
      <c r="AY242" s="48" t="s">
        <v>1710</v>
      </c>
      <c r="AZ242" s="48" t="s">
        <v>4712</v>
      </c>
      <c r="BA242" s="48" t="s">
        <v>1710</v>
      </c>
      <c r="BB242" s="48" t="s">
        <v>1709</v>
      </c>
      <c r="BC242" s="48" t="s">
        <v>1710</v>
      </c>
      <c r="BD242" s="48" t="s">
        <v>2089</v>
      </c>
      <c r="BE242" s="52" t="s">
        <v>4628</v>
      </c>
      <c r="BF242" s="48" t="s">
        <v>1710</v>
      </c>
      <c r="BG242" s="48" t="s">
        <v>1814</v>
      </c>
      <c r="BH242">
        <v>18</v>
      </c>
      <c r="BI242" s="48" t="s">
        <v>1888</v>
      </c>
      <c r="BJ242">
        <v>1</v>
      </c>
      <c r="BK242">
        <v>1473.06</v>
      </c>
      <c r="BL242">
        <v>9168169</v>
      </c>
      <c r="BM242">
        <v>6224</v>
      </c>
      <c r="BN242" s="48" t="s">
        <v>2064</v>
      </c>
      <c r="BO242" s="48" t="s">
        <v>2065</v>
      </c>
      <c r="BP242">
        <v>1473.06</v>
      </c>
      <c r="BQ242">
        <v>6294.36</v>
      </c>
      <c r="BR242" s="48" t="s">
        <v>1885</v>
      </c>
      <c r="BS242" s="48" t="s">
        <v>2066</v>
      </c>
      <c r="BT242">
        <v>1</v>
      </c>
      <c r="BU242">
        <v>103800</v>
      </c>
      <c r="BV242">
        <v>103800</v>
      </c>
      <c r="BW242" s="48" t="s">
        <v>2065</v>
      </c>
      <c r="BX242">
        <v>1473.06</v>
      </c>
      <c r="BY242">
        <v>0</v>
      </c>
      <c r="BZ242">
        <v>0</v>
      </c>
      <c r="CA242" s="48" t="s">
        <v>2065</v>
      </c>
      <c r="CB242">
        <v>1473.06</v>
      </c>
      <c r="CC242">
        <v>0</v>
      </c>
      <c r="CD242">
        <v>0</v>
      </c>
      <c r="CE242" s="48" t="s">
        <v>1710</v>
      </c>
      <c r="CF242" s="48" t="s">
        <v>1710</v>
      </c>
      <c r="CG242" s="48" t="s">
        <v>1710</v>
      </c>
      <c r="CH242" s="48" t="s">
        <v>1710</v>
      </c>
      <c r="CI242" s="48" t="s">
        <v>2067</v>
      </c>
      <c r="CJ242" s="48" t="s">
        <v>1710</v>
      </c>
      <c r="CL242" s="48" t="s">
        <v>2835</v>
      </c>
      <c r="CM242" s="48" t="s">
        <v>1710</v>
      </c>
      <c r="CN242" s="48" t="s">
        <v>2068</v>
      </c>
      <c r="CO242" s="48" t="s">
        <v>2069</v>
      </c>
      <c r="CP242" s="48" t="s">
        <v>1710</v>
      </c>
      <c r="CQ242" s="48" t="s">
        <v>1710</v>
      </c>
      <c r="CR242" s="48" t="s">
        <v>1710</v>
      </c>
      <c r="CS242" s="48" t="s">
        <v>1710</v>
      </c>
      <c r="CT242" s="48" t="s">
        <v>1710</v>
      </c>
      <c r="CU242" s="48" t="s">
        <v>1712</v>
      </c>
      <c r="CV242" s="48" t="s">
        <v>1710</v>
      </c>
      <c r="CW242" s="48" t="s">
        <v>1710</v>
      </c>
      <c r="CX242" s="48" t="s">
        <v>2839</v>
      </c>
      <c r="CY242" s="48" t="s">
        <v>1710</v>
      </c>
      <c r="CZ242" s="48" t="s">
        <v>1712</v>
      </c>
      <c r="DA242" s="48" t="s">
        <v>1710</v>
      </c>
      <c r="DB242" s="48" t="s">
        <v>1878</v>
      </c>
      <c r="DC242" s="48" t="s">
        <v>2070</v>
      </c>
      <c r="DD242" s="48" t="s">
        <v>1842</v>
      </c>
      <c r="DE242" s="48" t="s">
        <v>1886</v>
      </c>
      <c r="DF242" s="48" t="s">
        <v>4713</v>
      </c>
      <c r="DG242" s="48" t="s">
        <v>2071</v>
      </c>
      <c r="DH242" s="48" t="s">
        <v>1712</v>
      </c>
      <c r="DI242" s="48" t="s">
        <v>1710</v>
      </c>
      <c r="DJ242" s="48" t="s">
        <v>1710</v>
      </c>
      <c r="DK242" s="48" t="s">
        <v>1710</v>
      </c>
      <c r="DL242" s="48" t="s">
        <v>1710</v>
      </c>
      <c r="DM242" s="48" t="s">
        <v>1710</v>
      </c>
      <c r="DN242" s="48" t="s">
        <v>1710</v>
      </c>
      <c r="DO242" s="48" t="s">
        <v>1710</v>
      </c>
      <c r="DP242" s="48" t="s">
        <v>1710</v>
      </c>
      <c r="DQ242" s="48" t="s">
        <v>1710</v>
      </c>
      <c r="DR242" s="48" t="s">
        <v>2072</v>
      </c>
      <c r="DS242" s="48" t="s">
        <v>1710</v>
      </c>
      <c r="DT242" s="48" t="s">
        <v>1710</v>
      </c>
      <c r="DU242" s="48" t="s">
        <v>2575</v>
      </c>
      <c r="DV242" s="48" t="s">
        <v>2835</v>
      </c>
      <c r="DW242" s="48" t="s">
        <v>1710</v>
      </c>
      <c r="DX242" s="48" t="s">
        <v>4714</v>
      </c>
      <c r="DY242" s="48" t="s">
        <v>1709</v>
      </c>
      <c r="DZ242" s="48" t="s">
        <v>2562</v>
      </c>
      <c r="EA242" s="48" t="s">
        <v>2546</v>
      </c>
      <c r="EB242">
        <v>0</v>
      </c>
      <c r="EC242" s="48" t="s">
        <v>2575</v>
      </c>
      <c r="ED242" s="48" t="s">
        <v>4700</v>
      </c>
      <c r="EE242" s="48" t="s">
        <v>1814</v>
      </c>
      <c r="EF242" s="48" t="s">
        <v>1868</v>
      </c>
      <c r="EG242" s="48" t="s">
        <v>4712</v>
      </c>
      <c r="EH242">
        <v>10</v>
      </c>
      <c r="EI242" s="48" t="s">
        <v>1888</v>
      </c>
      <c r="EJ242">
        <v>1</v>
      </c>
      <c r="EK242" s="48" t="s">
        <v>1887</v>
      </c>
      <c r="EL242">
        <v>1</v>
      </c>
      <c r="EM242" s="48" t="s">
        <v>1886</v>
      </c>
      <c r="EN242">
        <v>10</v>
      </c>
      <c r="EO242" s="48" t="s">
        <v>2528</v>
      </c>
      <c r="EP242" s="48" t="s">
        <v>4715</v>
      </c>
      <c r="EQ242">
        <v>6294.36</v>
      </c>
      <c r="ER242">
        <v>6294.36</v>
      </c>
      <c r="ES242">
        <v>9168169</v>
      </c>
      <c r="ET242">
        <v>6224</v>
      </c>
      <c r="EU242" s="48" t="s">
        <v>1710</v>
      </c>
      <c r="EV242" s="48" t="s">
        <v>1710</v>
      </c>
      <c r="EW242" s="48" t="s">
        <v>1712</v>
      </c>
      <c r="EX242" s="48" t="s">
        <v>1710</v>
      </c>
      <c r="EY242" s="48" t="s">
        <v>1851</v>
      </c>
      <c r="EZ242" s="48" t="s">
        <v>1710</v>
      </c>
      <c r="FA242" s="48" t="s">
        <v>1710</v>
      </c>
      <c r="FB242" s="48" t="s">
        <v>1712</v>
      </c>
      <c r="FC242" s="48" t="s">
        <v>1710</v>
      </c>
      <c r="FD242" s="48" t="s">
        <v>1710</v>
      </c>
      <c r="FE242" s="48" t="s">
        <v>1814</v>
      </c>
      <c r="FF242" s="48" t="s">
        <v>1815</v>
      </c>
      <c r="FG242" s="48" t="s">
        <v>1710</v>
      </c>
      <c r="FH242">
        <v>1</v>
      </c>
      <c r="FI242" s="48" t="s">
        <v>1846</v>
      </c>
      <c r="FJ242">
        <v>6294.36</v>
      </c>
      <c r="FK242">
        <v>6294.36</v>
      </c>
      <c r="FL242" s="48" t="s">
        <v>4716</v>
      </c>
      <c r="FM242" s="48" t="s">
        <v>4715</v>
      </c>
      <c r="FN242" s="48" t="s">
        <v>1710</v>
      </c>
      <c r="FO242" s="48" t="s">
        <v>1710</v>
      </c>
      <c r="FP242" s="48" t="s">
        <v>1710</v>
      </c>
      <c r="FQ242" s="48" t="s">
        <v>1710</v>
      </c>
      <c r="FR242" s="48" t="s">
        <v>1710</v>
      </c>
      <c r="FS242" s="48" t="s">
        <v>1710</v>
      </c>
      <c r="FT242" s="48" t="s">
        <v>1710</v>
      </c>
      <c r="FU242" s="48" t="s">
        <v>1710</v>
      </c>
      <c r="FV242" s="48"/>
      <c r="FW242" s="56"/>
      <c r="FX242" s="56"/>
      <c r="FY242" s="56"/>
      <c r="FZ242" s="56"/>
      <c r="GA242" s="55" t="str">
        <f t="shared" si="11"/>
        <v>4388426900404X</v>
      </c>
      <c r="GB242" t="str">
        <f>VLOOKUP(B242,수출코드!$C$2:$D$4,2,FALSE)</f>
        <v>Suwon</v>
      </c>
      <c r="GC242" t="str">
        <f>VLOOKUP(L242,수출코드!$A$2:$B$6,2,FALSE)</f>
        <v/>
      </c>
      <c r="GD242" t="str">
        <f>VLOOKUP(M242,수출코드!$E$2:$F$5,2,FALSE)</f>
        <v>일반</v>
      </c>
      <c r="GE242" s="61">
        <f t="shared" si="9"/>
        <v>45975.400694444441</v>
      </c>
      <c r="GF242" s="62">
        <f t="shared" si="10"/>
        <v>46048.495138888888</v>
      </c>
      <c r="GI242" s="48" t="s">
        <v>2790</v>
      </c>
    </row>
    <row r="243" spans="1:191">
      <c r="A243" s="48" t="s">
        <v>4717</v>
      </c>
      <c r="B243" s="48" t="s">
        <v>1821</v>
      </c>
      <c r="C243" s="48" t="s">
        <v>2048</v>
      </c>
      <c r="D243" s="48" t="s">
        <v>2813</v>
      </c>
      <c r="E243" s="48" t="s">
        <v>4717</v>
      </c>
      <c r="F243" s="48" t="s">
        <v>1710</v>
      </c>
      <c r="G243" s="48" t="s">
        <v>2814</v>
      </c>
      <c r="H243" s="48" t="s">
        <v>4718</v>
      </c>
      <c r="I243" s="48" t="s">
        <v>1884</v>
      </c>
      <c r="J243" s="48" t="s">
        <v>2835</v>
      </c>
      <c r="K243" s="48" t="s">
        <v>1877</v>
      </c>
      <c r="L243" s="48" t="s">
        <v>1842</v>
      </c>
      <c r="M243" s="48" t="s">
        <v>1810</v>
      </c>
      <c r="N243" s="48" t="s">
        <v>1842</v>
      </c>
      <c r="O243" s="48" t="s">
        <v>1811</v>
      </c>
      <c r="P243" s="48" t="s">
        <v>2549</v>
      </c>
      <c r="Q243" s="48" t="s">
        <v>2049</v>
      </c>
      <c r="R243" s="48" t="s">
        <v>1838</v>
      </c>
      <c r="S243" s="48" t="s">
        <v>2050</v>
      </c>
      <c r="T243" s="48" t="s">
        <v>1845</v>
      </c>
      <c r="U243" s="48" t="s">
        <v>2049</v>
      </c>
      <c r="V243" s="48" t="s">
        <v>1838</v>
      </c>
      <c r="W243" s="48" t="s">
        <v>2051</v>
      </c>
      <c r="X243" s="48" t="s">
        <v>2052</v>
      </c>
      <c r="Y243" s="48" t="s">
        <v>2050</v>
      </c>
      <c r="Z243" s="48" t="s">
        <v>2053</v>
      </c>
      <c r="AA243" s="48" t="s">
        <v>2054</v>
      </c>
      <c r="AB243" s="48" t="s">
        <v>2817</v>
      </c>
      <c r="AC243" s="48" t="s">
        <v>2055</v>
      </c>
      <c r="AD243" s="48" t="s">
        <v>2056</v>
      </c>
      <c r="AE243" s="48" t="s">
        <v>1710</v>
      </c>
      <c r="AF243" s="48" t="s">
        <v>1710</v>
      </c>
      <c r="AG243" s="48" t="s">
        <v>2057</v>
      </c>
      <c r="AH243" s="48" t="s">
        <v>1815</v>
      </c>
      <c r="AI243" s="48" t="s">
        <v>2058</v>
      </c>
      <c r="AJ243" s="48" t="s">
        <v>1710</v>
      </c>
      <c r="AK243" s="48" t="s">
        <v>2096</v>
      </c>
      <c r="AL243" s="48" t="s">
        <v>1856</v>
      </c>
      <c r="AM243" s="48" t="s">
        <v>1816</v>
      </c>
      <c r="AN243" s="48" t="s">
        <v>2054</v>
      </c>
      <c r="AO243" s="48" t="s">
        <v>1710</v>
      </c>
      <c r="AP243" s="48" t="s">
        <v>1855</v>
      </c>
      <c r="AQ243" s="48" t="s">
        <v>2076</v>
      </c>
      <c r="AR243" s="48" t="s">
        <v>1812</v>
      </c>
      <c r="AS243" s="48" t="s">
        <v>1813</v>
      </c>
      <c r="AT243" s="48" t="s">
        <v>1826</v>
      </c>
      <c r="AU243" s="48" t="s">
        <v>2061</v>
      </c>
      <c r="AV243" s="48" t="s">
        <v>2835</v>
      </c>
      <c r="AW243" s="48" t="s">
        <v>2062</v>
      </c>
      <c r="AX243" s="48" t="s">
        <v>2063</v>
      </c>
      <c r="AY243" s="48" t="s">
        <v>1710</v>
      </c>
      <c r="AZ243" s="48" t="s">
        <v>4719</v>
      </c>
      <c r="BA243" s="48" t="s">
        <v>1710</v>
      </c>
      <c r="BB243" s="48" t="s">
        <v>1709</v>
      </c>
      <c r="BC243" s="48" t="s">
        <v>1710</v>
      </c>
      <c r="BD243" s="48" t="s">
        <v>2089</v>
      </c>
      <c r="BE243" s="52" t="s">
        <v>4628</v>
      </c>
      <c r="BF243" s="48" t="s">
        <v>1710</v>
      </c>
      <c r="BG243" s="48" t="s">
        <v>1814</v>
      </c>
      <c r="BH243">
        <v>13</v>
      </c>
      <c r="BI243" s="48" t="s">
        <v>1888</v>
      </c>
      <c r="BJ243">
        <v>1</v>
      </c>
      <c r="BK243">
        <v>1473.06</v>
      </c>
      <c r="BL243">
        <v>79604567</v>
      </c>
      <c r="BM243">
        <v>54040</v>
      </c>
      <c r="BN243" s="48" t="s">
        <v>2064</v>
      </c>
      <c r="BO243" s="48" t="s">
        <v>2065</v>
      </c>
      <c r="BP243">
        <v>1473.06</v>
      </c>
      <c r="BQ243">
        <v>54089.56</v>
      </c>
      <c r="BR243" s="48" t="s">
        <v>1885</v>
      </c>
      <c r="BS243" s="48" t="s">
        <v>2066</v>
      </c>
      <c r="BT243">
        <v>1</v>
      </c>
      <c r="BU243">
        <v>72600</v>
      </c>
      <c r="BV243">
        <v>72600</v>
      </c>
      <c r="BW243" s="48" t="s">
        <v>2065</v>
      </c>
      <c r="BX243">
        <v>1473.06</v>
      </c>
      <c r="BY243">
        <v>0</v>
      </c>
      <c r="BZ243">
        <v>0</v>
      </c>
      <c r="CA243" s="48" t="s">
        <v>2065</v>
      </c>
      <c r="CB243">
        <v>1473.06</v>
      </c>
      <c r="CC243">
        <v>0</v>
      </c>
      <c r="CD243">
        <v>0</v>
      </c>
      <c r="CE243" s="48" t="s">
        <v>1710</v>
      </c>
      <c r="CF243" s="48" t="s">
        <v>1710</v>
      </c>
      <c r="CG243" s="48" t="s">
        <v>1710</v>
      </c>
      <c r="CH243" s="48" t="s">
        <v>1710</v>
      </c>
      <c r="CI243" s="48" t="s">
        <v>2067</v>
      </c>
      <c r="CJ243" s="48" t="s">
        <v>1710</v>
      </c>
      <c r="CL243" s="48" t="s">
        <v>2835</v>
      </c>
      <c r="CM243" s="48" t="s">
        <v>1710</v>
      </c>
      <c r="CN243" s="48" t="s">
        <v>2068</v>
      </c>
      <c r="CO243" s="48" t="s">
        <v>2069</v>
      </c>
      <c r="CP243" s="48" t="s">
        <v>1710</v>
      </c>
      <c r="CQ243" s="48" t="s">
        <v>1710</v>
      </c>
      <c r="CR243" s="48" t="s">
        <v>1710</v>
      </c>
      <c r="CS243" s="48" t="s">
        <v>1710</v>
      </c>
      <c r="CT243" s="48" t="s">
        <v>1710</v>
      </c>
      <c r="CU243" s="48" t="s">
        <v>1712</v>
      </c>
      <c r="CV243" s="48" t="s">
        <v>1710</v>
      </c>
      <c r="CW243" s="48" t="s">
        <v>1710</v>
      </c>
      <c r="CX243" s="48" t="s">
        <v>2839</v>
      </c>
      <c r="CY243" s="48" t="s">
        <v>1710</v>
      </c>
      <c r="CZ243" s="48" t="s">
        <v>1712</v>
      </c>
      <c r="DA243" s="48" t="s">
        <v>1710</v>
      </c>
      <c r="DB243" s="48" t="s">
        <v>1878</v>
      </c>
      <c r="DC243" s="48" t="s">
        <v>2070</v>
      </c>
      <c r="DD243" s="48" t="s">
        <v>1842</v>
      </c>
      <c r="DE243" s="48" t="s">
        <v>1886</v>
      </c>
      <c r="DF243" s="48" t="s">
        <v>4720</v>
      </c>
      <c r="DG243" s="48" t="s">
        <v>2071</v>
      </c>
      <c r="DH243" s="48" t="s">
        <v>1712</v>
      </c>
      <c r="DI243" s="48" t="s">
        <v>1710</v>
      </c>
      <c r="DJ243" s="48" t="s">
        <v>1710</v>
      </c>
      <c r="DK243" s="48" t="s">
        <v>1710</v>
      </c>
      <c r="DL243" s="48" t="s">
        <v>1710</v>
      </c>
      <c r="DM243" s="48" t="s">
        <v>1710</v>
      </c>
      <c r="DN243" s="48" t="s">
        <v>1710</v>
      </c>
      <c r="DO243" s="48" t="s">
        <v>1710</v>
      </c>
      <c r="DP243" s="48" t="s">
        <v>1710</v>
      </c>
      <c r="DQ243" s="48" t="s">
        <v>1710</v>
      </c>
      <c r="DR243" s="48" t="s">
        <v>2072</v>
      </c>
      <c r="DS243" s="48" t="s">
        <v>1710</v>
      </c>
      <c r="DT243" s="48" t="s">
        <v>1710</v>
      </c>
      <c r="DU243" s="48" t="s">
        <v>2575</v>
      </c>
      <c r="DV243" s="48" t="s">
        <v>2835</v>
      </c>
      <c r="DW243" s="48" t="s">
        <v>1710</v>
      </c>
      <c r="DX243" s="48" t="s">
        <v>4721</v>
      </c>
      <c r="DY243" s="48" t="s">
        <v>1709</v>
      </c>
      <c r="DZ243" s="48" t="s">
        <v>2562</v>
      </c>
      <c r="EA243" s="48" t="s">
        <v>2546</v>
      </c>
      <c r="EB243">
        <v>0</v>
      </c>
      <c r="EC243" s="48" t="s">
        <v>2575</v>
      </c>
      <c r="ED243" s="48" t="s">
        <v>4722</v>
      </c>
      <c r="EE243" s="48" t="s">
        <v>1814</v>
      </c>
      <c r="EF243" s="48" t="s">
        <v>1862</v>
      </c>
      <c r="EG243" s="48" t="s">
        <v>4719</v>
      </c>
      <c r="EH243">
        <v>7</v>
      </c>
      <c r="EI243" s="48" t="s">
        <v>1888</v>
      </c>
      <c r="EJ243">
        <v>0</v>
      </c>
      <c r="EK243" s="48" t="s">
        <v>1710</v>
      </c>
      <c r="EL243">
        <v>1</v>
      </c>
      <c r="EM243" s="48" t="s">
        <v>1886</v>
      </c>
      <c r="EN243">
        <v>7</v>
      </c>
      <c r="EO243" s="48" t="s">
        <v>2522</v>
      </c>
      <c r="EP243" s="48" t="s">
        <v>4723</v>
      </c>
      <c r="EQ243">
        <v>54089.56</v>
      </c>
      <c r="ER243">
        <v>54089.56</v>
      </c>
      <c r="ES243">
        <v>79604567</v>
      </c>
      <c r="ET243">
        <v>54040</v>
      </c>
      <c r="EU243" s="48" t="s">
        <v>1710</v>
      </c>
      <c r="EV243" s="48" t="s">
        <v>1710</v>
      </c>
      <c r="EW243" s="48" t="s">
        <v>1712</v>
      </c>
      <c r="EX243" s="48" t="s">
        <v>1710</v>
      </c>
      <c r="EY243" s="48" t="s">
        <v>1848</v>
      </c>
      <c r="EZ243" s="48" t="s">
        <v>1710</v>
      </c>
      <c r="FA243" s="48" t="s">
        <v>1710</v>
      </c>
      <c r="FB243" s="48" t="s">
        <v>1712</v>
      </c>
      <c r="FC243" s="48" t="s">
        <v>1710</v>
      </c>
      <c r="FD243" s="48" t="s">
        <v>1710</v>
      </c>
      <c r="FE243" s="48" t="s">
        <v>1814</v>
      </c>
      <c r="FF243" s="48" t="s">
        <v>1815</v>
      </c>
      <c r="FG243" s="48" t="s">
        <v>1710</v>
      </c>
      <c r="FH243">
        <v>1</v>
      </c>
      <c r="FI243" s="48" t="s">
        <v>1846</v>
      </c>
      <c r="FJ243">
        <v>54089.56</v>
      </c>
      <c r="FK243">
        <v>54089.56</v>
      </c>
      <c r="FL243" s="48" t="s">
        <v>4724</v>
      </c>
      <c r="FM243" s="48" t="s">
        <v>4723</v>
      </c>
      <c r="FN243" s="48" t="s">
        <v>1710</v>
      </c>
      <c r="FO243" s="48" t="s">
        <v>1710</v>
      </c>
      <c r="FP243" s="48" t="s">
        <v>1710</v>
      </c>
      <c r="FQ243" s="48" t="s">
        <v>1710</v>
      </c>
      <c r="FR243" s="48" t="s">
        <v>1710</v>
      </c>
      <c r="FS243" s="48" t="s">
        <v>1710</v>
      </c>
      <c r="FT243" s="48" t="s">
        <v>1710</v>
      </c>
      <c r="FU243" s="48" t="s">
        <v>1710</v>
      </c>
      <c r="FV243" s="48"/>
      <c r="FW243" s="56"/>
      <c r="FX243" s="56"/>
      <c r="FY243" s="56"/>
      <c r="FZ243" s="56"/>
      <c r="GA243" s="55" t="str">
        <f t="shared" si="11"/>
        <v>4388426900405X</v>
      </c>
      <c r="GB243" t="str">
        <f>VLOOKUP(B243,수출코드!$C$2:$D$4,2,FALSE)</f>
        <v>Suwon</v>
      </c>
      <c r="GC243" t="str">
        <f>VLOOKUP(L243,수출코드!$A$2:$B$6,2,FALSE)</f>
        <v/>
      </c>
      <c r="GD243" t="str">
        <f>VLOOKUP(M243,수출코드!$E$2:$F$5,2,FALSE)</f>
        <v>일반</v>
      </c>
      <c r="GE243" s="61">
        <f t="shared" si="9"/>
        <v>45975.493055555555</v>
      </c>
      <c r="GF243" s="62">
        <f t="shared" si="10"/>
        <v>46048.49722222222</v>
      </c>
      <c r="GI243" s="48" t="s">
        <v>2791</v>
      </c>
    </row>
    <row r="244" spans="1:191">
      <c r="A244" s="48" t="s">
        <v>4725</v>
      </c>
      <c r="B244" s="48" t="s">
        <v>1821</v>
      </c>
      <c r="C244" s="48" t="s">
        <v>2048</v>
      </c>
      <c r="D244" s="48" t="s">
        <v>2813</v>
      </c>
      <c r="E244" s="48" t="s">
        <v>4725</v>
      </c>
      <c r="F244" s="48" t="s">
        <v>1710</v>
      </c>
      <c r="G244" s="48" t="s">
        <v>2814</v>
      </c>
      <c r="H244" s="48" t="s">
        <v>4726</v>
      </c>
      <c r="I244" s="48" t="s">
        <v>1884</v>
      </c>
      <c r="J244" s="48" t="s">
        <v>2835</v>
      </c>
      <c r="K244" s="48" t="s">
        <v>1877</v>
      </c>
      <c r="L244" s="48" t="s">
        <v>1842</v>
      </c>
      <c r="M244" s="48" t="s">
        <v>1810</v>
      </c>
      <c r="N244" s="48" t="s">
        <v>1842</v>
      </c>
      <c r="O244" s="48" t="s">
        <v>1811</v>
      </c>
      <c r="P244" s="48" t="s">
        <v>2549</v>
      </c>
      <c r="Q244" s="48" t="s">
        <v>2049</v>
      </c>
      <c r="R244" s="48" t="s">
        <v>1838</v>
      </c>
      <c r="S244" s="48" t="s">
        <v>2050</v>
      </c>
      <c r="T244" s="48" t="s">
        <v>1845</v>
      </c>
      <c r="U244" s="48" t="s">
        <v>2049</v>
      </c>
      <c r="V244" s="48" t="s">
        <v>1838</v>
      </c>
      <c r="W244" s="48" t="s">
        <v>2051</v>
      </c>
      <c r="X244" s="48" t="s">
        <v>2052</v>
      </c>
      <c r="Y244" s="48" t="s">
        <v>2050</v>
      </c>
      <c r="Z244" s="48" t="s">
        <v>2053</v>
      </c>
      <c r="AA244" s="48" t="s">
        <v>2054</v>
      </c>
      <c r="AB244" s="48" t="s">
        <v>2817</v>
      </c>
      <c r="AC244" s="48" t="s">
        <v>2055</v>
      </c>
      <c r="AD244" s="48" t="s">
        <v>2056</v>
      </c>
      <c r="AE244" s="48" t="s">
        <v>1710</v>
      </c>
      <c r="AF244" s="48" t="s">
        <v>1710</v>
      </c>
      <c r="AG244" s="48" t="s">
        <v>2057</v>
      </c>
      <c r="AH244" s="48" t="s">
        <v>1815</v>
      </c>
      <c r="AI244" s="48" t="s">
        <v>2058</v>
      </c>
      <c r="AJ244" s="48" t="s">
        <v>1710</v>
      </c>
      <c r="AK244" s="48" t="s">
        <v>2988</v>
      </c>
      <c r="AL244" s="48" t="s">
        <v>2989</v>
      </c>
      <c r="AM244" s="48" t="s">
        <v>1816</v>
      </c>
      <c r="AN244" s="48" t="s">
        <v>2054</v>
      </c>
      <c r="AO244" s="48" t="s">
        <v>1710</v>
      </c>
      <c r="AP244" s="48" t="s">
        <v>1853</v>
      </c>
      <c r="AQ244" s="48" t="s">
        <v>2086</v>
      </c>
      <c r="AR244" s="48" t="s">
        <v>1812</v>
      </c>
      <c r="AS244" s="48" t="s">
        <v>1813</v>
      </c>
      <c r="AT244" s="48" t="s">
        <v>1826</v>
      </c>
      <c r="AU244" s="48" t="s">
        <v>2061</v>
      </c>
      <c r="AV244" s="48" t="s">
        <v>2835</v>
      </c>
      <c r="AW244" s="48" t="s">
        <v>2062</v>
      </c>
      <c r="AX244" s="48" t="s">
        <v>2063</v>
      </c>
      <c r="AY244" s="48" t="s">
        <v>1710</v>
      </c>
      <c r="AZ244" s="48" t="s">
        <v>4727</v>
      </c>
      <c r="BA244" s="48" t="s">
        <v>1710</v>
      </c>
      <c r="BB244" s="48" t="s">
        <v>1709</v>
      </c>
      <c r="BC244" s="48" t="s">
        <v>1710</v>
      </c>
      <c r="BD244" s="48" t="s">
        <v>2864</v>
      </c>
      <c r="BE244" s="52" t="s">
        <v>4728</v>
      </c>
      <c r="BF244" s="48" t="s">
        <v>1710</v>
      </c>
      <c r="BG244" s="48" t="s">
        <v>1814</v>
      </c>
      <c r="BH244">
        <v>12</v>
      </c>
      <c r="BI244" s="48" t="s">
        <v>1888</v>
      </c>
      <c r="BJ244">
        <v>1</v>
      </c>
      <c r="BK244">
        <v>1473.06</v>
      </c>
      <c r="BL244">
        <v>4944987</v>
      </c>
      <c r="BM244">
        <v>3357</v>
      </c>
      <c r="BN244" s="48" t="s">
        <v>2064</v>
      </c>
      <c r="BO244" s="48" t="s">
        <v>2065</v>
      </c>
      <c r="BP244">
        <v>1473.06</v>
      </c>
      <c r="BQ244">
        <v>3409.9</v>
      </c>
      <c r="BR244" s="48" t="s">
        <v>1885</v>
      </c>
      <c r="BS244" s="48" t="s">
        <v>2066</v>
      </c>
      <c r="BT244">
        <v>1</v>
      </c>
      <c r="BU244">
        <v>78000</v>
      </c>
      <c r="BV244">
        <v>78000</v>
      </c>
      <c r="BW244" s="48" t="s">
        <v>2065</v>
      </c>
      <c r="BX244">
        <v>1473.06</v>
      </c>
      <c r="BY244">
        <v>0</v>
      </c>
      <c r="BZ244">
        <v>0</v>
      </c>
      <c r="CA244" s="48" t="s">
        <v>2065</v>
      </c>
      <c r="CB244">
        <v>1473.06</v>
      </c>
      <c r="CC244">
        <v>0</v>
      </c>
      <c r="CD244">
        <v>0</v>
      </c>
      <c r="CE244" s="48" t="s">
        <v>1710</v>
      </c>
      <c r="CF244" s="48" t="s">
        <v>1710</v>
      </c>
      <c r="CG244" s="48" t="s">
        <v>1710</v>
      </c>
      <c r="CH244" s="48" t="s">
        <v>1710</v>
      </c>
      <c r="CI244" s="48" t="s">
        <v>2067</v>
      </c>
      <c r="CJ244" s="48" t="s">
        <v>1710</v>
      </c>
      <c r="CL244" s="48" t="s">
        <v>2835</v>
      </c>
      <c r="CM244" s="48" t="s">
        <v>1710</v>
      </c>
      <c r="CN244" s="48" t="s">
        <v>2068</v>
      </c>
      <c r="CO244" s="48" t="s">
        <v>2069</v>
      </c>
      <c r="CP244" s="48" t="s">
        <v>1710</v>
      </c>
      <c r="CQ244" s="48" t="s">
        <v>1710</v>
      </c>
      <c r="CR244" s="48" t="s">
        <v>1710</v>
      </c>
      <c r="CS244" s="48" t="s">
        <v>1710</v>
      </c>
      <c r="CT244" s="48" t="s">
        <v>1710</v>
      </c>
      <c r="CU244" s="48" t="s">
        <v>1712</v>
      </c>
      <c r="CV244" s="48" t="s">
        <v>1710</v>
      </c>
      <c r="CW244" s="48" t="s">
        <v>1710</v>
      </c>
      <c r="CX244" s="48" t="s">
        <v>2839</v>
      </c>
      <c r="CY244" s="48" t="s">
        <v>1710</v>
      </c>
      <c r="CZ244" s="48" t="s">
        <v>1712</v>
      </c>
      <c r="DA244" s="48" t="s">
        <v>1710</v>
      </c>
      <c r="DB244" s="48" t="s">
        <v>1878</v>
      </c>
      <c r="DC244" s="48" t="s">
        <v>2070</v>
      </c>
      <c r="DD244" s="48" t="s">
        <v>1842</v>
      </c>
      <c r="DE244" s="48" t="s">
        <v>1886</v>
      </c>
      <c r="DF244" s="48" t="s">
        <v>4729</v>
      </c>
      <c r="DG244" s="48" t="s">
        <v>2071</v>
      </c>
      <c r="DH244" s="48" t="s">
        <v>1712</v>
      </c>
      <c r="DI244" s="48" t="s">
        <v>1710</v>
      </c>
      <c r="DJ244" s="48" t="s">
        <v>1710</v>
      </c>
      <c r="DK244" s="48" t="s">
        <v>1710</v>
      </c>
      <c r="DL244" s="48" t="s">
        <v>1710</v>
      </c>
      <c r="DM244" s="48" t="s">
        <v>1710</v>
      </c>
      <c r="DN244" s="48" t="s">
        <v>1710</v>
      </c>
      <c r="DO244" s="48" t="s">
        <v>1710</v>
      </c>
      <c r="DP244" s="48" t="s">
        <v>1710</v>
      </c>
      <c r="DQ244" s="48" t="s">
        <v>1710</v>
      </c>
      <c r="DR244" s="48" t="s">
        <v>2072</v>
      </c>
      <c r="DS244" s="48" t="s">
        <v>1710</v>
      </c>
      <c r="DT244" s="48" t="s">
        <v>1710</v>
      </c>
      <c r="DU244" s="48" t="s">
        <v>2575</v>
      </c>
      <c r="DV244" s="48" t="s">
        <v>2850</v>
      </c>
      <c r="DW244" s="48" t="s">
        <v>1710</v>
      </c>
      <c r="DX244" s="48" t="s">
        <v>4730</v>
      </c>
      <c r="DY244" s="48" t="s">
        <v>1709</v>
      </c>
      <c r="DZ244" s="48" t="s">
        <v>2562</v>
      </c>
      <c r="EA244" s="48" t="s">
        <v>2546</v>
      </c>
      <c r="EB244">
        <v>0</v>
      </c>
      <c r="EC244" s="48" t="s">
        <v>2575</v>
      </c>
      <c r="ED244" s="48" t="s">
        <v>4731</v>
      </c>
      <c r="EE244" s="48" t="s">
        <v>1814</v>
      </c>
      <c r="EF244" s="48" t="s">
        <v>1852</v>
      </c>
      <c r="EG244" s="48" t="s">
        <v>4727</v>
      </c>
      <c r="EH244">
        <v>9.4499999999999993</v>
      </c>
      <c r="EI244" s="48" t="s">
        <v>1888</v>
      </c>
      <c r="EJ244">
        <v>0</v>
      </c>
      <c r="EK244" s="48" t="s">
        <v>1710</v>
      </c>
      <c r="EL244">
        <v>1</v>
      </c>
      <c r="EM244" s="48" t="s">
        <v>1886</v>
      </c>
      <c r="EN244">
        <v>9.4499999999999993</v>
      </c>
      <c r="EO244" s="48" t="s">
        <v>2521</v>
      </c>
      <c r="EP244" s="48" t="s">
        <v>4732</v>
      </c>
      <c r="EQ244">
        <v>3409.9</v>
      </c>
      <c r="ER244">
        <v>3409.9</v>
      </c>
      <c r="ES244">
        <v>4944987</v>
      </c>
      <c r="ET244">
        <v>3357</v>
      </c>
      <c r="EU244" s="48" t="s">
        <v>1710</v>
      </c>
      <c r="EV244" s="48" t="s">
        <v>1710</v>
      </c>
      <c r="EW244" s="48" t="s">
        <v>1712</v>
      </c>
      <c r="EX244" s="48" t="s">
        <v>1710</v>
      </c>
      <c r="EY244" s="48" t="s">
        <v>1855</v>
      </c>
      <c r="EZ244" s="48" t="s">
        <v>1710</v>
      </c>
      <c r="FA244" s="48" t="s">
        <v>1710</v>
      </c>
      <c r="FB244" s="48" t="s">
        <v>1712</v>
      </c>
      <c r="FC244" s="48" t="s">
        <v>1710</v>
      </c>
      <c r="FD244" s="48" t="s">
        <v>1710</v>
      </c>
      <c r="FE244" s="48" t="s">
        <v>1814</v>
      </c>
      <c r="FF244" s="48" t="s">
        <v>1815</v>
      </c>
      <c r="FG244" s="48" t="s">
        <v>1710</v>
      </c>
      <c r="FH244">
        <v>1</v>
      </c>
      <c r="FI244" s="48" t="s">
        <v>1846</v>
      </c>
      <c r="FJ244">
        <v>3409.9</v>
      </c>
      <c r="FK244">
        <v>3409.9</v>
      </c>
      <c r="FL244" s="48" t="s">
        <v>4733</v>
      </c>
      <c r="FM244" s="48" t="s">
        <v>4732</v>
      </c>
      <c r="FN244" s="48" t="s">
        <v>1710</v>
      </c>
      <c r="FO244" s="48" t="s">
        <v>1710</v>
      </c>
      <c r="FP244" s="48" t="s">
        <v>1710</v>
      </c>
      <c r="FQ244" s="48" t="s">
        <v>1710</v>
      </c>
      <c r="FR244" s="48" t="s">
        <v>1710</v>
      </c>
      <c r="FS244" s="48" t="s">
        <v>1710</v>
      </c>
      <c r="FT244" s="48" t="s">
        <v>1710</v>
      </c>
      <c r="FU244" s="48" t="s">
        <v>1710</v>
      </c>
      <c r="FV244" s="48"/>
      <c r="FW244" s="56"/>
      <c r="FX244" s="56"/>
      <c r="FY244" s="56"/>
      <c r="FZ244" s="56"/>
      <c r="GA244" s="55" t="str">
        <f t="shared" si="11"/>
        <v>4388426900406X</v>
      </c>
      <c r="GB244" t="str">
        <f>VLOOKUP(B244,수출코드!$C$2:$D$4,2,FALSE)</f>
        <v>Suwon</v>
      </c>
      <c r="GC244" t="str">
        <f>VLOOKUP(L244,수출코드!$A$2:$B$6,2,FALSE)</f>
        <v/>
      </c>
      <c r="GD244" t="str">
        <f>VLOOKUP(M244,수출코드!$E$2:$F$5,2,FALSE)</f>
        <v>일반</v>
      </c>
      <c r="GE244" s="61">
        <f t="shared" si="9"/>
        <v>45975.493055555555</v>
      </c>
      <c r="GF244" s="62">
        <f t="shared" si="10"/>
        <v>46048.56527777778</v>
      </c>
      <c r="GI244" s="48" t="s">
        <v>2791</v>
      </c>
    </row>
    <row r="245" spans="1:191">
      <c r="A245" s="48" t="s">
        <v>4734</v>
      </c>
      <c r="B245" s="48" t="s">
        <v>1821</v>
      </c>
      <c r="C245" s="48" t="s">
        <v>2048</v>
      </c>
      <c r="D245" s="48" t="s">
        <v>2813</v>
      </c>
      <c r="E245" s="48" t="s">
        <v>4734</v>
      </c>
      <c r="F245" s="48" t="s">
        <v>1710</v>
      </c>
      <c r="G245" s="48" t="s">
        <v>2814</v>
      </c>
      <c r="H245" s="48" t="s">
        <v>4735</v>
      </c>
      <c r="I245" s="48" t="s">
        <v>1884</v>
      </c>
      <c r="J245" s="48" t="s">
        <v>2835</v>
      </c>
      <c r="K245" s="48" t="s">
        <v>1877</v>
      </c>
      <c r="L245" s="48" t="s">
        <v>1842</v>
      </c>
      <c r="M245" s="48" t="s">
        <v>1810</v>
      </c>
      <c r="N245" s="48" t="s">
        <v>1842</v>
      </c>
      <c r="O245" s="48" t="s">
        <v>1811</v>
      </c>
      <c r="P245" s="48" t="s">
        <v>2549</v>
      </c>
      <c r="Q245" s="48" t="s">
        <v>2049</v>
      </c>
      <c r="R245" s="48" t="s">
        <v>1838</v>
      </c>
      <c r="S245" s="48" t="s">
        <v>2050</v>
      </c>
      <c r="T245" s="48" t="s">
        <v>1845</v>
      </c>
      <c r="U245" s="48" t="s">
        <v>2049</v>
      </c>
      <c r="V245" s="48" t="s">
        <v>1838</v>
      </c>
      <c r="W245" s="48" t="s">
        <v>2051</v>
      </c>
      <c r="X245" s="48" t="s">
        <v>2052</v>
      </c>
      <c r="Y245" s="48" t="s">
        <v>2050</v>
      </c>
      <c r="Z245" s="48" t="s">
        <v>2053</v>
      </c>
      <c r="AA245" s="48" t="s">
        <v>2054</v>
      </c>
      <c r="AB245" s="48" t="s">
        <v>2817</v>
      </c>
      <c r="AC245" s="48" t="s">
        <v>2055</v>
      </c>
      <c r="AD245" s="48" t="s">
        <v>2056</v>
      </c>
      <c r="AE245" s="48" t="s">
        <v>1710</v>
      </c>
      <c r="AF245" s="48" t="s">
        <v>1710</v>
      </c>
      <c r="AG245" s="48" t="s">
        <v>2057</v>
      </c>
      <c r="AH245" s="48" t="s">
        <v>1815</v>
      </c>
      <c r="AI245" s="48" t="s">
        <v>2058</v>
      </c>
      <c r="AJ245" s="48" t="s">
        <v>1710</v>
      </c>
      <c r="AK245" s="48" t="s">
        <v>2988</v>
      </c>
      <c r="AL245" s="48" t="s">
        <v>2989</v>
      </c>
      <c r="AM245" s="48" t="s">
        <v>1816</v>
      </c>
      <c r="AN245" s="48" t="s">
        <v>2054</v>
      </c>
      <c r="AO245" s="48" t="s">
        <v>1710</v>
      </c>
      <c r="AP245" s="48" t="s">
        <v>1853</v>
      </c>
      <c r="AQ245" s="48" t="s">
        <v>2086</v>
      </c>
      <c r="AR245" s="48" t="s">
        <v>1812</v>
      </c>
      <c r="AS245" s="48" t="s">
        <v>1813</v>
      </c>
      <c r="AT245" s="48" t="s">
        <v>1826</v>
      </c>
      <c r="AU245" s="48" t="s">
        <v>2061</v>
      </c>
      <c r="AV245" s="48" t="s">
        <v>2835</v>
      </c>
      <c r="AW245" s="48" t="s">
        <v>2062</v>
      </c>
      <c r="AX245" s="48" t="s">
        <v>2063</v>
      </c>
      <c r="AY245" s="48" t="s">
        <v>1710</v>
      </c>
      <c r="AZ245" s="48" t="s">
        <v>4736</v>
      </c>
      <c r="BA245" s="48" t="s">
        <v>1710</v>
      </c>
      <c r="BB245" s="48" t="s">
        <v>1709</v>
      </c>
      <c r="BC245" s="48" t="s">
        <v>1710</v>
      </c>
      <c r="BD245" s="48" t="s">
        <v>2864</v>
      </c>
      <c r="BE245" s="52" t="s">
        <v>4737</v>
      </c>
      <c r="BF245" s="48" t="s">
        <v>1710</v>
      </c>
      <c r="BG245" s="48" t="s">
        <v>1814</v>
      </c>
      <c r="BH245">
        <v>9</v>
      </c>
      <c r="BI245" s="48" t="s">
        <v>1888</v>
      </c>
      <c r="BJ245">
        <v>1</v>
      </c>
      <c r="BK245">
        <v>1473.06</v>
      </c>
      <c r="BL245">
        <v>3727398</v>
      </c>
      <c r="BM245">
        <v>2530</v>
      </c>
      <c r="BN245" s="48" t="s">
        <v>2064</v>
      </c>
      <c r="BO245" s="48" t="s">
        <v>2065</v>
      </c>
      <c r="BP245">
        <v>1473.06</v>
      </c>
      <c r="BQ245">
        <v>2575.59</v>
      </c>
      <c r="BR245" s="48" t="s">
        <v>1885</v>
      </c>
      <c r="BS245" s="48" t="s">
        <v>2066</v>
      </c>
      <c r="BT245">
        <v>1</v>
      </c>
      <c r="BU245">
        <v>66600</v>
      </c>
      <c r="BV245">
        <v>66600</v>
      </c>
      <c r="BW245" s="48" t="s">
        <v>2065</v>
      </c>
      <c r="BX245">
        <v>1473.06</v>
      </c>
      <c r="BY245">
        <v>0</v>
      </c>
      <c r="BZ245">
        <v>0</v>
      </c>
      <c r="CA245" s="48" t="s">
        <v>2065</v>
      </c>
      <c r="CB245">
        <v>1473.06</v>
      </c>
      <c r="CC245">
        <v>0</v>
      </c>
      <c r="CD245">
        <v>0</v>
      </c>
      <c r="CE245" s="48" t="s">
        <v>1710</v>
      </c>
      <c r="CF245" s="48" t="s">
        <v>1710</v>
      </c>
      <c r="CG245" s="48" t="s">
        <v>1710</v>
      </c>
      <c r="CH245" s="48" t="s">
        <v>1710</v>
      </c>
      <c r="CI245" s="48" t="s">
        <v>2067</v>
      </c>
      <c r="CJ245" s="48" t="s">
        <v>1710</v>
      </c>
      <c r="CL245" s="48" t="s">
        <v>2835</v>
      </c>
      <c r="CM245" s="48" t="s">
        <v>1710</v>
      </c>
      <c r="CN245" s="48" t="s">
        <v>2068</v>
      </c>
      <c r="CO245" s="48" t="s">
        <v>2069</v>
      </c>
      <c r="CP245" s="48" t="s">
        <v>1710</v>
      </c>
      <c r="CQ245" s="48" t="s">
        <v>1710</v>
      </c>
      <c r="CR245" s="48" t="s">
        <v>1710</v>
      </c>
      <c r="CS245" s="48" t="s">
        <v>1710</v>
      </c>
      <c r="CT245" s="48" t="s">
        <v>1710</v>
      </c>
      <c r="CU245" s="48" t="s">
        <v>1712</v>
      </c>
      <c r="CV245" s="48" t="s">
        <v>1710</v>
      </c>
      <c r="CW245" s="48" t="s">
        <v>1710</v>
      </c>
      <c r="CX245" s="48" t="s">
        <v>2839</v>
      </c>
      <c r="CY245" s="48" t="s">
        <v>1710</v>
      </c>
      <c r="CZ245" s="48" t="s">
        <v>1712</v>
      </c>
      <c r="DA245" s="48" t="s">
        <v>1710</v>
      </c>
      <c r="DB245" s="48" t="s">
        <v>1878</v>
      </c>
      <c r="DC245" s="48" t="s">
        <v>2070</v>
      </c>
      <c r="DD245" s="48" t="s">
        <v>1842</v>
      </c>
      <c r="DE245" s="48" t="s">
        <v>1886</v>
      </c>
      <c r="DF245" s="48" t="s">
        <v>4738</v>
      </c>
      <c r="DG245" s="48" t="s">
        <v>2071</v>
      </c>
      <c r="DH245" s="48" t="s">
        <v>1712</v>
      </c>
      <c r="DI245" s="48" t="s">
        <v>1710</v>
      </c>
      <c r="DJ245" s="48" t="s">
        <v>1710</v>
      </c>
      <c r="DK245" s="48" t="s">
        <v>1710</v>
      </c>
      <c r="DL245" s="48" t="s">
        <v>1710</v>
      </c>
      <c r="DM245" s="48" t="s">
        <v>1710</v>
      </c>
      <c r="DN245" s="48" t="s">
        <v>1710</v>
      </c>
      <c r="DO245" s="48" t="s">
        <v>1710</v>
      </c>
      <c r="DP245" s="48" t="s">
        <v>1710</v>
      </c>
      <c r="DQ245" s="48" t="s">
        <v>1710</v>
      </c>
      <c r="DR245" s="48" t="s">
        <v>2072</v>
      </c>
      <c r="DS245" s="48" t="s">
        <v>1710</v>
      </c>
      <c r="DT245" s="48" t="s">
        <v>1710</v>
      </c>
      <c r="DU245" s="48" t="s">
        <v>2575</v>
      </c>
      <c r="DV245" s="48" t="s">
        <v>2850</v>
      </c>
      <c r="DW245" s="48" t="s">
        <v>1710</v>
      </c>
      <c r="DX245" s="48" t="s">
        <v>4739</v>
      </c>
      <c r="DY245" s="48" t="s">
        <v>1709</v>
      </c>
      <c r="DZ245" s="48" t="s">
        <v>2562</v>
      </c>
      <c r="EA245" s="48" t="s">
        <v>2546</v>
      </c>
      <c r="EB245">
        <v>0</v>
      </c>
      <c r="EC245" s="48" t="s">
        <v>2575</v>
      </c>
      <c r="ED245" s="48" t="s">
        <v>4740</v>
      </c>
      <c r="EE245" s="48" t="s">
        <v>1814</v>
      </c>
      <c r="EF245" s="48" t="s">
        <v>1852</v>
      </c>
      <c r="EG245" s="48" t="s">
        <v>4736</v>
      </c>
      <c r="EH245">
        <v>6</v>
      </c>
      <c r="EI245" s="48" t="s">
        <v>1888</v>
      </c>
      <c r="EJ245">
        <v>0</v>
      </c>
      <c r="EK245" s="48" t="s">
        <v>1710</v>
      </c>
      <c r="EL245">
        <v>1</v>
      </c>
      <c r="EM245" s="48" t="s">
        <v>1886</v>
      </c>
      <c r="EN245">
        <v>6</v>
      </c>
      <c r="EO245" s="48" t="s">
        <v>2521</v>
      </c>
      <c r="EP245" s="48" t="s">
        <v>4741</v>
      </c>
      <c r="EQ245">
        <v>2575.59</v>
      </c>
      <c r="ER245">
        <v>2575.59</v>
      </c>
      <c r="ES245">
        <v>3727398</v>
      </c>
      <c r="ET245">
        <v>2530</v>
      </c>
      <c r="EU245" s="48" t="s">
        <v>1710</v>
      </c>
      <c r="EV245" s="48" t="s">
        <v>1710</v>
      </c>
      <c r="EW245" s="48" t="s">
        <v>1712</v>
      </c>
      <c r="EX245" s="48" t="s">
        <v>1710</v>
      </c>
      <c r="EY245" s="48" t="s">
        <v>1855</v>
      </c>
      <c r="EZ245" s="48" t="s">
        <v>1710</v>
      </c>
      <c r="FA245" s="48" t="s">
        <v>1710</v>
      </c>
      <c r="FB245" s="48" t="s">
        <v>1712</v>
      </c>
      <c r="FC245" s="48" t="s">
        <v>1710</v>
      </c>
      <c r="FD245" s="48" t="s">
        <v>1710</v>
      </c>
      <c r="FE245" s="48" t="s">
        <v>1814</v>
      </c>
      <c r="FF245" s="48" t="s">
        <v>1815</v>
      </c>
      <c r="FG245" s="48" t="s">
        <v>1710</v>
      </c>
      <c r="FH245">
        <v>1</v>
      </c>
      <c r="FI245" s="48" t="s">
        <v>1846</v>
      </c>
      <c r="FJ245">
        <v>2575.59</v>
      </c>
      <c r="FK245">
        <v>2575.59</v>
      </c>
      <c r="FL245" s="48" t="s">
        <v>4742</v>
      </c>
      <c r="FM245" s="48" t="s">
        <v>4741</v>
      </c>
      <c r="FN245" s="48" t="s">
        <v>1710</v>
      </c>
      <c r="FO245" s="48" t="s">
        <v>1710</v>
      </c>
      <c r="FP245" s="48" t="s">
        <v>1710</v>
      </c>
      <c r="FQ245" s="48" t="s">
        <v>1710</v>
      </c>
      <c r="FR245" s="48" t="s">
        <v>1710</v>
      </c>
      <c r="FS245" s="48" t="s">
        <v>1710</v>
      </c>
      <c r="FT245" s="48" t="s">
        <v>1710</v>
      </c>
      <c r="FU245" s="48" t="s">
        <v>1710</v>
      </c>
      <c r="FV245" s="48"/>
      <c r="FW245" s="56"/>
      <c r="FX245" s="56"/>
      <c r="FY245" s="56"/>
      <c r="FZ245" s="56"/>
      <c r="GA245" s="55" t="str">
        <f t="shared" si="11"/>
        <v>4388426900408X</v>
      </c>
      <c r="GB245" t="str">
        <f>VLOOKUP(B245,수출코드!$C$2:$D$4,2,FALSE)</f>
        <v>Suwon</v>
      </c>
      <c r="GC245" t="str">
        <f>VLOOKUP(L245,수출코드!$A$2:$B$6,2,FALSE)</f>
        <v/>
      </c>
      <c r="GD245" t="str">
        <f>VLOOKUP(M245,수출코드!$E$2:$F$5,2,FALSE)</f>
        <v>일반</v>
      </c>
      <c r="GE245" s="61">
        <f t="shared" si="9"/>
        <v>45975.586805555555</v>
      </c>
      <c r="GF245" s="62">
        <f t="shared" si="10"/>
        <v>46048.62222222222</v>
      </c>
      <c r="GI245" s="48" t="s">
        <v>2792</v>
      </c>
    </row>
    <row r="246" spans="1:191">
      <c r="A246" s="48" t="s">
        <v>4743</v>
      </c>
      <c r="B246" s="48" t="s">
        <v>1821</v>
      </c>
      <c r="C246" s="48" t="s">
        <v>2048</v>
      </c>
      <c r="D246" s="48" t="s">
        <v>2813</v>
      </c>
      <c r="E246" s="48" t="s">
        <v>4743</v>
      </c>
      <c r="F246" s="48" t="s">
        <v>1710</v>
      </c>
      <c r="G246" s="48" t="s">
        <v>2814</v>
      </c>
      <c r="H246" s="48" t="s">
        <v>4744</v>
      </c>
      <c r="I246" s="48" t="s">
        <v>1884</v>
      </c>
      <c r="J246" s="48" t="s">
        <v>2835</v>
      </c>
      <c r="K246" s="48" t="s">
        <v>1877</v>
      </c>
      <c r="L246" s="48" t="s">
        <v>1842</v>
      </c>
      <c r="M246" s="48" t="s">
        <v>1810</v>
      </c>
      <c r="N246" s="48" t="s">
        <v>1842</v>
      </c>
      <c r="O246" s="48" t="s">
        <v>1811</v>
      </c>
      <c r="P246" s="48" t="s">
        <v>2549</v>
      </c>
      <c r="Q246" s="48" t="s">
        <v>2049</v>
      </c>
      <c r="R246" s="48" t="s">
        <v>1838</v>
      </c>
      <c r="S246" s="48" t="s">
        <v>2050</v>
      </c>
      <c r="T246" s="48" t="s">
        <v>1845</v>
      </c>
      <c r="U246" s="48" t="s">
        <v>2049</v>
      </c>
      <c r="V246" s="48" t="s">
        <v>1838</v>
      </c>
      <c r="W246" s="48" t="s">
        <v>2051</v>
      </c>
      <c r="X246" s="48" t="s">
        <v>2052</v>
      </c>
      <c r="Y246" s="48" t="s">
        <v>2050</v>
      </c>
      <c r="Z246" s="48" t="s">
        <v>2053</v>
      </c>
      <c r="AA246" s="48" t="s">
        <v>2054</v>
      </c>
      <c r="AB246" s="48" t="s">
        <v>1710</v>
      </c>
      <c r="AC246" s="48" t="s">
        <v>2055</v>
      </c>
      <c r="AD246" s="48" t="s">
        <v>2056</v>
      </c>
      <c r="AE246" s="48" t="s">
        <v>1710</v>
      </c>
      <c r="AF246" s="48" t="s">
        <v>1710</v>
      </c>
      <c r="AG246" s="48" t="s">
        <v>2057</v>
      </c>
      <c r="AH246" s="48" t="s">
        <v>1815</v>
      </c>
      <c r="AI246" s="48" t="s">
        <v>2058</v>
      </c>
      <c r="AJ246" s="48" t="s">
        <v>1710</v>
      </c>
      <c r="AK246" s="48" t="s">
        <v>2563</v>
      </c>
      <c r="AL246" s="48" t="s">
        <v>2564</v>
      </c>
      <c r="AM246" s="48" t="s">
        <v>1816</v>
      </c>
      <c r="AN246" s="48" t="s">
        <v>2054</v>
      </c>
      <c r="AO246" s="48" t="s">
        <v>1710</v>
      </c>
      <c r="AP246" s="48" t="s">
        <v>1855</v>
      </c>
      <c r="AQ246" s="48" t="s">
        <v>2076</v>
      </c>
      <c r="AR246" s="48" t="s">
        <v>1812</v>
      </c>
      <c r="AS246" s="48" t="s">
        <v>1813</v>
      </c>
      <c r="AT246" s="48" t="s">
        <v>1826</v>
      </c>
      <c r="AU246" s="48" t="s">
        <v>2061</v>
      </c>
      <c r="AV246" s="48" t="s">
        <v>2835</v>
      </c>
      <c r="AW246" s="48" t="s">
        <v>2062</v>
      </c>
      <c r="AX246" s="48" t="s">
        <v>2063</v>
      </c>
      <c r="AY246" s="48" t="s">
        <v>1710</v>
      </c>
      <c r="AZ246" s="48" t="s">
        <v>4745</v>
      </c>
      <c r="BA246" s="48" t="s">
        <v>1710</v>
      </c>
      <c r="BB246" s="48" t="s">
        <v>1709</v>
      </c>
      <c r="BC246" s="48" t="s">
        <v>1710</v>
      </c>
      <c r="BD246" s="48" t="s">
        <v>3137</v>
      </c>
      <c r="BE246" s="52" t="s">
        <v>4746</v>
      </c>
      <c r="BF246" s="48" t="s">
        <v>1710</v>
      </c>
      <c r="BG246" s="48" t="s">
        <v>3079</v>
      </c>
      <c r="BH246">
        <v>59</v>
      </c>
      <c r="BI246" s="48" t="s">
        <v>1888</v>
      </c>
      <c r="BJ246">
        <v>1</v>
      </c>
      <c r="BK246">
        <v>1473.06</v>
      </c>
      <c r="BL246">
        <v>75122377</v>
      </c>
      <c r="BM246">
        <v>50997</v>
      </c>
      <c r="BN246" s="48" t="s">
        <v>2064</v>
      </c>
      <c r="BO246" s="48" t="s">
        <v>2065</v>
      </c>
      <c r="BP246">
        <v>1473.06</v>
      </c>
      <c r="BQ246">
        <v>51193.83</v>
      </c>
      <c r="BR246" s="48" t="s">
        <v>1885</v>
      </c>
      <c r="BS246" s="48" t="s">
        <v>2066</v>
      </c>
      <c r="BT246">
        <v>1</v>
      </c>
      <c r="BU246">
        <v>289200</v>
      </c>
      <c r="BV246">
        <v>289200</v>
      </c>
      <c r="BW246" s="48" t="s">
        <v>2065</v>
      </c>
      <c r="BX246">
        <v>1473.06</v>
      </c>
      <c r="BY246">
        <v>0</v>
      </c>
      <c r="BZ246">
        <v>0</v>
      </c>
      <c r="CA246" s="48" t="s">
        <v>2065</v>
      </c>
      <c r="CB246">
        <v>1473.06</v>
      </c>
      <c r="CC246">
        <v>0</v>
      </c>
      <c r="CD246">
        <v>0</v>
      </c>
      <c r="CE246" s="48" t="s">
        <v>1710</v>
      </c>
      <c r="CF246" s="48" t="s">
        <v>1710</v>
      </c>
      <c r="CG246" s="48" t="s">
        <v>1710</v>
      </c>
      <c r="CH246" s="48" t="s">
        <v>1710</v>
      </c>
      <c r="CI246" s="48" t="s">
        <v>2067</v>
      </c>
      <c r="CJ246" s="48" t="s">
        <v>1710</v>
      </c>
      <c r="CL246" s="48" t="s">
        <v>2835</v>
      </c>
      <c r="CM246" s="48" t="s">
        <v>1710</v>
      </c>
      <c r="CN246" s="48" t="s">
        <v>2068</v>
      </c>
      <c r="CO246" s="48" t="s">
        <v>2069</v>
      </c>
      <c r="CP246" s="48" t="s">
        <v>1710</v>
      </c>
      <c r="CQ246" s="48" t="s">
        <v>1710</v>
      </c>
      <c r="CR246" s="48" t="s">
        <v>1710</v>
      </c>
      <c r="CS246" s="48" t="s">
        <v>1710</v>
      </c>
      <c r="CT246" s="48" t="s">
        <v>1710</v>
      </c>
      <c r="CU246" s="48" t="s">
        <v>1712</v>
      </c>
      <c r="CV246" s="48" t="s">
        <v>1710</v>
      </c>
      <c r="CW246" s="48" t="s">
        <v>1710</v>
      </c>
      <c r="CX246" s="48" t="s">
        <v>2839</v>
      </c>
      <c r="CY246" s="48" t="s">
        <v>1710</v>
      </c>
      <c r="CZ246" s="48" t="s">
        <v>1712</v>
      </c>
      <c r="DA246" s="48" t="s">
        <v>1710</v>
      </c>
      <c r="DB246" s="48" t="s">
        <v>1878</v>
      </c>
      <c r="DC246" s="48" t="s">
        <v>2070</v>
      </c>
      <c r="DD246" s="48" t="s">
        <v>1842</v>
      </c>
      <c r="DE246" s="48" t="s">
        <v>1886</v>
      </c>
      <c r="DF246" s="48" t="s">
        <v>4747</v>
      </c>
      <c r="DG246" s="48" t="s">
        <v>2071</v>
      </c>
      <c r="DH246" s="48" t="s">
        <v>1712</v>
      </c>
      <c r="DI246" s="48" t="s">
        <v>1710</v>
      </c>
      <c r="DJ246" s="48" t="s">
        <v>1710</v>
      </c>
      <c r="DK246" s="48" t="s">
        <v>1710</v>
      </c>
      <c r="DL246" s="48" t="s">
        <v>1710</v>
      </c>
      <c r="DM246" s="48" t="s">
        <v>1710</v>
      </c>
      <c r="DN246" s="48" t="s">
        <v>1710</v>
      </c>
      <c r="DO246" s="48" t="s">
        <v>1710</v>
      </c>
      <c r="DP246" s="48" t="s">
        <v>1710</v>
      </c>
      <c r="DQ246" s="48" t="s">
        <v>1710</v>
      </c>
      <c r="DR246" s="48" t="s">
        <v>2072</v>
      </c>
      <c r="DS246" s="48" t="s">
        <v>1710</v>
      </c>
      <c r="DT246" s="48" t="s">
        <v>1710</v>
      </c>
      <c r="DU246" s="48" t="s">
        <v>2575</v>
      </c>
      <c r="DV246" s="48" t="s">
        <v>2825</v>
      </c>
      <c r="DW246" s="48" t="s">
        <v>1710</v>
      </c>
      <c r="DX246" s="48" t="s">
        <v>4748</v>
      </c>
      <c r="DY246" s="48" t="s">
        <v>1709</v>
      </c>
      <c r="DZ246" s="48" t="s">
        <v>2562</v>
      </c>
      <c r="EA246" s="48" t="s">
        <v>2546</v>
      </c>
      <c r="EB246">
        <v>0</v>
      </c>
      <c r="EC246" s="48" t="s">
        <v>2575</v>
      </c>
      <c r="ED246" s="48" t="s">
        <v>4749</v>
      </c>
      <c r="EE246" s="48" t="s">
        <v>1814</v>
      </c>
      <c r="EF246" s="48" t="s">
        <v>1852</v>
      </c>
      <c r="EG246" s="48" t="s">
        <v>4745</v>
      </c>
      <c r="EH246">
        <v>0.03</v>
      </c>
      <c r="EI246" s="48" t="s">
        <v>1888</v>
      </c>
      <c r="EJ246">
        <v>0</v>
      </c>
      <c r="EK246" s="48" t="s">
        <v>1710</v>
      </c>
      <c r="EL246">
        <v>1</v>
      </c>
      <c r="EM246" s="48" t="s">
        <v>1886</v>
      </c>
      <c r="EN246">
        <v>0.03</v>
      </c>
      <c r="EO246" s="48" t="s">
        <v>2521</v>
      </c>
      <c r="EP246" s="48" t="s">
        <v>4750</v>
      </c>
      <c r="EQ246">
        <v>474.95</v>
      </c>
      <c r="ER246">
        <v>474.95</v>
      </c>
      <c r="ES246">
        <v>696946</v>
      </c>
      <c r="ET246">
        <v>473</v>
      </c>
      <c r="EU246" s="48" t="s">
        <v>1710</v>
      </c>
      <c r="EV246" s="48" t="s">
        <v>1710</v>
      </c>
      <c r="EW246" s="48" t="s">
        <v>1712</v>
      </c>
      <c r="EX246" s="48" t="s">
        <v>1710</v>
      </c>
      <c r="EY246" s="48" t="s">
        <v>1874</v>
      </c>
      <c r="EZ246" s="48" t="s">
        <v>1710</v>
      </c>
      <c r="FA246" s="48" t="s">
        <v>1710</v>
      </c>
      <c r="FB246" s="48" t="s">
        <v>1712</v>
      </c>
      <c r="FC246" s="48" t="s">
        <v>1710</v>
      </c>
      <c r="FD246" s="48" t="s">
        <v>1710</v>
      </c>
      <c r="FE246" s="48" t="s">
        <v>1814</v>
      </c>
      <c r="FF246" s="48" t="s">
        <v>1815</v>
      </c>
      <c r="FG246" s="48" t="s">
        <v>1710</v>
      </c>
      <c r="FH246">
        <v>1</v>
      </c>
      <c r="FI246" s="48" t="s">
        <v>1846</v>
      </c>
      <c r="FJ246">
        <v>474.95</v>
      </c>
      <c r="FK246">
        <v>474.95</v>
      </c>
      <c r="FL246" s="48" t="s">
        <v>4751</v>
      </c>
      <c r="FM246" s="48" t="s">
        <v>4750</v>
      </c>
      <c r="FN246" s="48" t="s">
        <v>1710</v>
      </c>
      <c r="FO246" s="48" t="s">
        <v>1710</v>
      </c>
      <c r="FP246" s="48" t="s">
        <v>1710</v>
      </c>
      <c r="FQ246" s="48" t="s">
        <v>1710</v>
      </c>
      <c r="FR246" s="48" t="s">
        <v>1710</v>
      </c>
      <c r="FS246" s="48" t="s">
        <v>1710</v>
      </c>
      <c r="FT246" s="48" t="s">
        <v>1710</v>
      </c>
      <c r="FU246" s="48" t="s">
        <v>1710</v>
      </c>
      <c r="FV246" s="48"/>
      <c r="FW246" s="56"/>
      <c r="FX246" s="56"/>
      <c r="FY246" s="56"/>
      <c r="FZ246" s="56"/>
      <c r="GA246" s="55" t="str">
        <f t="shared" si="11"/>
        <v>4388426900409X</v>
      </c>
      <c r="GB246" t="str">
        <f>VLOOKUP(B246,수출코드!$C$2:$D$4,2,FALSE)</f>
        <v>Suwon</v>
      </c>
      <c r="GC246" t="str">
        <f>VLOOKUP(L246,수출코드!$A$2:$B$6,2,FALSE)</f>
        <v/>
      </c>
      <c r="GD246" t="str">
        <f>VLOOKUP(M246,수출코드!$E$2:$F$5,2,FALSE)</f>
        <v>일반</v>
      </c>
      <c r="GE246" s="61">
        <f t="shared" si="9"/>
        <v>45975.493055555555</v>
      </c>
      <c r="GF246" s="62">
        <f t="shared" si="10"/>
        <v>46048.691666666666</v>
      </c>
      <c r="GI246" s="48" t="s">
        <v>2791</v>
      </c>
    </row>
    <row r="247" spans="1:191">
      <c r="A247" s="48" t="s">
        <v>4752</v>
      </c>
      <c r="B247" s="48" t="s">
        <v>1821</v>
      </c>
      <c r="C247" s="48" t="s">
        <v>2048</v>
      </c>
      <c r="D247" s="48" t="s">
        <v>2813</v>
      </c>
      <c r="E247" s="48" t="s">
        <v>4752</v>
      </c>
      <c r="F247" s="48" t="s">
        <v>1710</v>
      </c>
      <c r="G247" s="48" t="s">
        <v>2814</v>
      </c>
      <c r="H247" s="48" t="s">
        <v>4753</v>
      </c>
      <c r="I247" s="48" t="s">
        <v>1884</v>
      </c>
      <c r="J247" s="48" t="s">
        <v>2835</v>
      </c>
      <c r="K247" s="48" t="s">
        <v>1885</v>
      </c>
      <c r="L247" s="48" t="s">
        <v>1883</v>
      </c>
      <c r="M247" s="48" t="s">
        <v>2085</v>
      </c>
      <c r="N247" s="48" t="s">
        <v>1842</v>
      </c>
      <c r="O247" s="48" t="s">
        <v>1811</v>
      </c>
      <c r="P247" s="48" t="s">
        <v>2549</v>
      </c>
      <c r="Q247" s="48" t="s">
        <v>2049</v>
      </c>
      <c r="R247" s="48" t="s">
        <v>1838</v>
      </c>
      <c r="S247" s="48" t="s">
        <v>2050</v>
      </c>
      <c r="T247" s="48" t="s">
        <v>1845</v>
      </c>
      <c r="U247" s="48" t="s">
        <v>2049</v>
      </c>
      <c r="V247" s="48" t="s">
        <v>1838</v>
      </c>
      <c r="W247" s="48" t="s">
        <v>2051</v>
      </c>
      <c r="X247" s="48" t="s">
        <v>2052</v>
      </c>
      <c r="Y247" s="48" t="s">
        <v>2050</v>
      </c>
      <c r="Z247" s="48" t="s">
        <v>2053</v>
      </c>
      <c r="AA247" s="48" t="s">
        <v>2054</v>
      </c>
      <c r="AB247" s="48" t="s">
        <v>1710</v>
      </c>
      <c r="AC247" s="48" t="s">
        <v>2055</v>
      </c>
      <c r="AD247" s="48" t="s">
        <v>2056</v>
      </c>
      <c r="AE247" s="48" t="s">
        <v>1710</v>
      </c>
      <c r="AF247" s="48" t="s">
        <v>1710</v>
      </c>
      <c r="AG247" s="48" t="s">
        <v>2057</v>
      </c>
      <c r="AH247" s="48" t="s">
        <v>1815</v>
      </c>
      <c r="AI247" s="48" t="s">
        <v>2058</v>
      </c>
      <c r="AJ247" s="48" t="s">
        <v>1710</v>
      </c>
      <c r="AK247" s="48" t="s">
        <v>2563</v>
      </c>
      <c r="AL247" s="48" t="s">
        <v>2564</v>
      </c>
      <c r="AM247" s="48" t="s">
        <v>1816</v>
      </c>
      <c r="AN247" s="48" t="s">
        <v>2054</v>
      </c>
      <c r="AO247" s="48" t="s">
        <v>1710</v>
      </c>
      <c r="AP247" s="48" t="s">
        <v>1855</v>
      </c>
      <c r="AQ247" s="48" t="s">
        <v>2076</v>
      </c>
      <c r="AR247" s="48" t="s">
        <v>1812</v>
      </c>
      <c r="AS247" s="48" t="s">
        <v>1813</v>
      </c>
      <c r="AT247" s="48" t="s">
        <v>1826</v>
      </c>
      <c r="AU247" s="48" t="s">
        <v>2061</v>
      </c>
      <c r="AV247" s="48" t="s">
        <v>2835</v>
      </c>
      <c r="AW247" s="48" t="s">
        <v>2062</v>
      </c>
      <c r="AX247" s="48" t="s">
        <v>2063</v>
      </c>
      <c r="AY247" s="48" t="s">
        <v>1710</v>
      </c>
      <c r="AZ247" s="48" t="s">
        <v>4745</v>
      </c>
      <c r="BA247" s="48" t="s">
        <v>1710</v>
      </c>
      <c r="BB247" s="48" t="s">
        <v>1709</v>
      </c>
      <c r="BC247" s="48" t="s">
        <v>1710</v>
      </c>
      <c r="BD247" s="48" t="s">
        <v>3137</v>
      </c>
      <c r="BE247" s="52" t="s">
        <v>4746</v>
      </c>
      <c r="BF247" s="48" t="s">
        <v>1710</v>
      </c>
      <c r="BG247" s="48" t="s">
        <v>1814</v>
      </c>
      <c r="BH247">
        <v>2</v>
      </c>
      <c r="BI247" s="48" t="s">
        <v>1888</v>
      </c>
      <c r="BJ247">
        <v>1</v>
      </c>
      <c r="BK247">
        <v>1473.06</v>
      </c>
      <c r="BL247">
        <v>1375244</v>
      </c>
      <c r="BM247">
        <v>934</v>
      </c>
      <c r="BN247" s="48" t="s">
        <v>2064</v>
      </c>
      <c r="BO247" s="48" t="s">
        <v>2065</v>
      </c>
      <c r="BP247">
        <v>1473.06</v>
      </c>
      <c r="BQ247">
        <v>950.84</v>
      </c>
      <c r="BR247" s="48" t="s">
        <v>1885</v>
      </c>
      <c r="BS247" s="48" t="s">
        <v>2066</v>
      </c>
      <c r="BT247">
        <v>1</v>
      </c>
      <c r="BU247">
        <v>25400</v>
      </c>
      <c r="BV247">
        <v>25400</v>
      </c>
      <c r="BW247" s="48" t="s">
        <v>2065</v>
      </c>
      <c r="BX247">
        <v>1473.06</v>
      </c>
      <c r="BY247">
        <v>0</v>
      </c>
      <c r="BZ247">
        <v>0</v>
      </c>
      <c r="CA247" s="48" t="s">
        <v>2065</v>
      </c>
      <c r="CB247">
        <v>1473.06</v>
      </c>
      <c r="CC247">
        <v>0</v>
      </c>
      <c r="CD247">
        <v>0</v>
      </c>
      <c r="CE247" s="48" t="s">
        <v>1710</v>
      </c>
      <c r="CF247" s="48" t="s">
        <v>1710</v>
      </c>
      <c r="CG247" s="48" t="s">
        <v>1710</v>
      </c>
      <c r="CH247" s="48" t="s">
        <v>1710</v>
      </c>
      <c r="CI247" s="48" t="s">
        <v>2067</v>
      </c>
      <c r="CJ247" s="48" t="s">
        <v>1710</v>
      </c>
      <c r="CL247" s="48" t="s">
        <v>2835</v>
      </c>
      <c r="CM247" s="48" t="s">
        <v>1710</v>
      </c>
      <c r="CN247" s="48" t="s">
        <v>2068</v>
      </c>
      <c r="CO247" s="48" t="s">
        <v>2069</v>
      </c>
      <c r="CP247" s="48" t="s">
        <v>1710</v>
      </c>
      <c r="CQ247" s="48" t="s">
        <v>1710</v>
      </c>
      <c r="CR247" s="48" t="s">
        <v>1710</v>
      </c>
      <c r="CS247" s="48" t="s">
        <v>1710</v>
      </c>
      <c r="CT247" s="48" t="s">
        <v>1710</v>
      </c>
      <c r="CU247" s="48" t="s">
        <v>1712</v>
      </c>
      <c r="CV247" s="48" t="s">
        <v>1710</v>
      </c>
      <c r="CW247" s="48" t="s">
        <v>1710</v>
      </c>
      <c r="CX247" s="48" t="s">
        <v>2839</v>
      </c>
      <c r="CY247" s="48" t="s">
        <v>1710</v>
      </c>
      <c r="CZ247" s="48" t="s">
        <v>1712</v>
      </c>
      <c r="DA247" s="48" t="s">
        <v>1710</v>
      </c>
      <c r="DB247" s="48" t="s">
        <v>1878</v>
      </c>
      <c r="DC247" s="48" t="s">
        <v>2070</v>
      </c>
      <c r="DD247" s="48" t="s">
        <v>1842</v>
      </c>
      <c r="DE247" s="48" t="s">
        <v>1886</v>
      </c>
      <c r="DF247" s="48" t="s">
        <v>4754</v>
      </c>
      <c r="DG247" s="48" t="s">
        <v>2071</v>
      </c>
      <c r="DH247" s="48" t="s">
        <v>1712</v>
      </c>
      <c r="DI247" s="48" t="s">
        <v>1710</v>
      </c>
      <c r="DJ247" s="48" t="s">
        <v>1710</v>
      </c>
      <c r="DK247" s="48" t="s">
        <v>1710</v>
      </c>
      <c r="DL247" s="48" t="s">
        <v>1710</v>
      </c>
      <c r="DM247" s="48" t="s">
        <v>1710</v>
      </c>
      <c r="DN247" s="48" t="s">
        <v>1710</v>
      </c>
      <c r="DO247" s="48" t="s">
        <v>1710</v>
      </c>
      <c r="DP247" s="48" t="s">
        <v>1710</v>
      </c>
      <c r="DQ247" s="48" t="s">
        <v>1710</v>
      </c>
      <c r="DR247" s="48" t="s">
        <v>2072</v>
      </c>
      <c r="DS247" s="48" t="s">
        <v>1710</v>
      </c>
      <c r="DT247" s="48" t="s">
        <v>1710</v>
      </c>
      <c r="DU247" s="48" t="s">
        <v>2575</v>
      </c>
      <c r="DV247" s="48" t="s">
        <v>2825</v>
      </c>
      <c r="DW247" s="48" t="s">
        <v>1710</v>
      </c>
      <c r="DX247" s="48" t="s">
        <v>4748</v>
      </c>
      <c r="DY247" s="48" t="s">
        <v>1709</v>
      </c>
      <c r="DZ247" s="48" t="s">
        <v>2073</v>
      </c>
      <c r="EA247" s="48" t="s">
        <v>2546</v>
      </c>
      <c r="EB247">
        <v>0</v>
      </c>
      <c r="EC247" s="48" t="s">
        <v>2575</v>
      </c>
      <c r="ED247" s="48" t="s">
        <v>4755</v>
      </c>
      <c r="EE247" s="48" t="s">
        <v>1814</v>
      </c>
      <c r="EF247" s="48" t="s">
        <v>4756</v>
      </c>
      <c r="EG247" s="48" t="s">
        <v>4745</v>
      </c>
      <c r="EH247">
        <v>0.33</v>
      </c>
      <c r="EI247" s="48" t="s">
        <v>1888</v>
      </c>
      <c r="EJ247">
        <v>1</v>
      </c>
      <c r="EK247" s="48" t="s">
        <v>1887</v>
      </c>
      <c r="EL247">
        <v>1</v>
      </c>
      <c r="EM247" s="48" t="s">
        <v>1886</v>
      </c>
      <c r="EN247">
        <v>0.33</v>
      </c>
      <c r="EO247" s="48" t="s">
        <v>4757</v>
      </c>
      <c r="EP247" s="48" t="s">
        <v>4758</v>
      </c>
      <c r="EQ247">
        <v>950.84</v>
      </c>
      <c r="ER247">
        <v>950.84</v>
      </c>
      <c r="ES247">
        <v>1375244</v>
      </c>
      <c r="ET247">
        <v>934</v>
      </c>
      <c r="EU247" s="48" t="s">
        <v>4759</v>
      </c>
      <c r="EV247" s="48" t="s">
        <v>1814</v>
      </c>
      <c r="EW247" s="48" t="s">
        <v>1712</v>
      </c>
      <c r="EX247" s="48" t="s">
        <v>1710</v>
      </c>
      <c r="EY247" s="48" t="s">
        <v>1848</v>
      </c>
      <c r="EZ247" s="48" t="s">
        <v>1710</v>
      </c>
      <c r="FA247" s="48" t="s">
        <v>1710</v>
      </c>
      <c r="FB247" s="48" t="s">
        <v>1712</v>
      </c>
      <c r="FC247" s="48" t="s">
        <v>1710</v>
      </c>
      <c r="FD247" s="48" t="s">
        <v>1710</v>
      </c>
      <c r="FE247" s="48" t="s">
        <v>1814</v>
      </c>
      <c r="FF247" s="48" t="s">
        <v>1815</v>
      </c>
      <c r="FG247" s="48" t="s">
        <v>1710</v>
      </c>
      <c r="FH247">
        <v>1</v>
      </c>
      <c r="FI247" s="48" t="s">
        <v>1846</v>
      </c>
      <c r="FJ247">
        <v>950.84</v>
      </c>
      <c r="FK247">
        <v>950.84</v>
      </c>
      <c r="FL247" s="48" t="s">
        <v>4760</v>
      </c>
      <c r="FM247" s="48" t="s">
        <v>4758</v>
      </c>
      <c r="FN247" s="48" t="s">
        <v>1710</v>
      </c>
      <c r="FO247" s="48" t="s">
        <v>1710</v>
      </c>
      <c r="FP247" s="48" t="s">
        <v>1710</v>
      </c>
      <c r="FQ247" s="48" t="s">
        <v>1710</v>
      </c>
      <c r="FR247" s="48" t="s">
        <v>1710</v>
      </c>
      <c r="FS247" s="48" t="s">
        <v>1710</v>
      </c>
      <c r="FT247" s="48" t="s">
        <v>1710</v>
      </c>
      <c r="FU247" s="48" t="s">
        <v>1710</v>
      </c>
      <c r="FV247" s="48"/>
      <c r="FW247" s="56"/>
      <c r="FX247" s="56"/>
      <c r="FY247" s="56"/>
      <c r="FZ247" s="56"/>
      <c r="GA247" s="55" t="str">
        <f t="shared" si="11"/>
        <v>4388426900410X</v>
      </c>
      <c r="GB247" t="str">
        <f>VLOOKUP(B247,수출코드!$C$2:$D$4,2,FALSE)</f>
        <v>Suwon</v>
      </c>
      <c r="GC247" t="str">
        <f>VLOOKUP(L247,수출코드!$A$2:$B$6,2,FALSE)</f>
        <v>서류제출</v>
      </c>
      <c r="GD247" t="str">
        <f>VLOOKUP(M247,수출코드!$E$2:$F$5,2,FALSE)</f>
        <v>원상태</v>
      </c>
      <c r="GE247" s="61">
        <f t="shared" si="9"/>
        <v>45975.493055555555</v>
      </c>
      <c r="GF247" s="62">
        <f t="shared" si="10"/>
        <v>46048.697222222225</v>
      </c>
      <c r="GI247" s="48" t="s">
        <v>2791</v>
      </c>
    </row>
    <row r="248" spans="1:191">
      <c r="A248" s="48" t="s">
        <v>4761</v>
      </c>
      <c r="B248" s="48" t="s">
        <v>1821</v>
      </c>
      <c r="C248" s="48" t="s">
        <v>2048</v>
      </c>
      <c r="D248" s="48" t="s">
        <v>2813</v>
      </c>
      <c r="E248" s="48" t="s">
        <v>4761</v>
      </c>
      <c r="F248" s="48" t="s">
        <v>1710</v>
      </c>
      <c r="G248" s="48" t="s">
        <v>2814</v>
      </c>
      <c r="H248" s="48" t="s">
        <v>4762</v>
      </c>
      <c r="I248" s="48" t="s">
        <v>1884</v>
      </c>
      <c r="J248" s="48" t="s">
        <v>2835</v>
      </c>
      <c r="K248" s="48" t="s">
        <v>1877</v>
      </c>
      <c r="L248" s="48" t="s">
        <v>1844</v>
      </c>
      <c r="M248" s="48" t="s">
        <v>1810</v>
      </c>
      <c r="N248" s="48" t="s">
        <v>1842</v>
      </c>
      <c r="O248" s="48" t="s">
        <v>1811</v>
      </c>
      <c r="P248" s="48" t="s">
        <v>2549</v>
      </c>
      <c r="Q248" s="48" t="s">
        <v>2049</v>
      </c>
      <c r="R248" s="48" t="s">
        <v>1838</v>
      </c>
      <c r="S248" s="48" t="s">
        <v>2050</v>
      </c>
      <c r="T248" s="48" t="s">
        <v>1845</v>
      </c>
      <c r="U248" s="48" t="s">
        <v>2049</v>
      </c>
      <c r="V248" s="48" t="s">
        <v>1838</v>
      </c>
      <c r="W248" s="48" t="s">
        <v>2051</v>
      </c>
      <c r="X248" s="48" t="s">
        <v>2052</v>
      </c>
      <c r="Y248" s="48" t="s">
        <v>2050</v>
      </c>
      <c r="Z248" s="48" t="s">
        <v>2053</v>
      </c>
      <c r="AA248" s="48" t="s">
        <v>2054</v>
      </c>
      <c r="AB248" s="48" t="s">
        <v>1710</v>
      </c>
      <c r="AC248" s="48" t="s">
        <v>2055</v>
      </c>
      <c r="AD248" s="48" t="s">
        <v>2056</v>
      </c>
      <c r="AE248" s="48" t="s">
        <v>1710</v>
      </c>
      <c r="AF248" s="48" t="s">
        <v>1710</v>
      </c>
      <c r="AG248" s="48" t="s">
        <v>2057</v>
      </c>
      <c r="AH248" s="48" t="s">
        <v>1815</v>
      </c>
      <c r="AI248" s="48" t="s">
        <v>2058</v>
      </c>
      <c r="AJ248" s="48" t="s">
        <v>1710</v>
      </c>
      <c r="AK248" s="48" t="s">
        <v>2059</v>
      </c>
      <c r="AL248" s="48" t="s">
        <v>1858</v>
      </c>
      <c r="AM248" s="48" t="s">
        <v>1816</v>
      </c>
      <c r="AN248" s="48" t="s">
        <v>2054</v>
      </c>
      <c r="AO248" s="48" t="s">
        <v>1710</v>
      </c>
      <c r="AP248" s="48" t="s">
        <v>1848</v>
      </c>
      <c r="AQ248" s="48" t="s">
        <v>2060</v>
      </c>
      <c r="AR248" s="48" t="s">
        <v>1812</v>
      </c>
      <c r="AS248" s="48" t="s">
        <v>1813</v>
      </c>
      <c r="AT248" s="48" t="s">
        <v>1826</v>
      </c>
      <c r="AU248" s="48" t="s">
        <v>2061</v>
      </c>
      <c r="AV248" s="48" t="s">
        <v>2835</v>
      </c>
      <c r="AW248" s="48" t="s">
        <v>2062</v>
      </c>
      <c r="AX248" s="48" t="s">
        <v>2063</v>
      </c>
      <c r="AY248" s="48" t="s">
        <v>1710</v>
      </c>
      <c r="AZ248" s="48" t="s">
        <v>4763</v>
      </c>
      <c r="BA248" s="48" t="s">
        <v>1710</v>
      </c>
      <c r="BB248" s="48" t="s">
        <v>1709</v>
      </c>
      <c r="BC248" s="48" t="s">
        <v>1710</v>
      </c>
      <c r="BD248" s="48" t="s">
        <v>3137</v>
      </c>
      <c r="BE248" s="52" t="s">
        <v>4746</v>
      </c>
      <c r="BF248" s="48" t="s">
        <v>1710</v>
      </c>
      <c r="BG248" s="48" t="s">
        <v>1820</v>
      </c>
      <c r="BH248">
        <v>602</v>
      </c>
      <c r="BI248" s="48" t="s">
        <v>1888</v>
      </c>
      <c r="BJ248">
        <v>8</v>
      </c>
      <c r="BK248">
        <v>1473.06</v>
      </c>
      <c r="BL248">
        <v>224054204</v>
      </c>
      <c r="BM248">
        <v>152101</v>
      </c>
      <c r="BN248" s="48" t="s">
        <v>2064</v>
      </c>
      <c r="BO248" s="48" t="s">
        <v>2065</v>
      </c>
      <c r="BP248">
        <v>1473.06</v>
      </c>
      <c r="BQ248">
        <v>157633.57</v>
      </c>
      <c r="BR248" s="48" t="s">
        <v>1885</v>
      </c>
      <c r="BS248" s="48" t="s">
        <v>2066</v>
      </c>
      <c r="BT248">
        <v>1</v>
      </c>
      <c r="BU248">
        <v>8149500</v>
      </c>
      <c r="BV248">
        <v>8149500</v>
      </c>
      <c r="BW248" s="48" t="s">
        <v>2065</v>
      </c>
      <c r="BX248">
        <v>1473.06</v>
      </c>
      <c r="BY248">
        <v>0</v>
      </c>
      <c r="BZ248">
        <v>0</v>
      </c>
      <c r="CA248" s="48" t="s">
        <v>2065</v>
      </c>
      <c r="CB248">
        <v>1473.06</v>
      </c>
      <c r="CC248">
        <v>0</v>
      </c>
      <c r="CD248">
        <v>0</v>
      </c>
      <c r="CE248" s="48" t="s">
        <v>1710</v>
      </c>
      <c r="CF248" s="48" t="s">
        <v>1710</v>
      </c>
      <c r="CG248" s="48" t="s">
        <v>1710</v>
      </c>
      <c r="CH248" s="48" t="s">
        <v>1710</v>
      </c>
      <c r="CI248" s="48" t="s">
        <v>2067</v>
      </c>
      <c r="CJ248" s="48" t="s">
        <v>1710</v>
      </c>
      <c r="CL248" s="48" t="s">
        <v>2835</v>
      </c>
      <c r="CM248" s="48" t="s">
        <v>1710</v>
      </c>
      <c r="CN248" s="48" t="s">
        <v>2068</v>
      </c>
      <c r="CO248" s="48" t="s">
        <v>2069</v>
      </c>
      <c r="CP248" s="48" t="s">
        <v>1710</v>
      </c>
      <c r="CQ248" s="48" t="s">
        <v>1710</v>
      </c>
      <c r="CR248" s="48" t="s">
        <v>1710</v>
      </c>
      <c r="CS248" s="48" t="s">
        <v>1710</v>
      </c>
      <c r="CT248" s="48" t="s">
        <v>1710</v>
      </c>
      <c r="CU248" s="48" t="s">
        <v>1712</v>
      </c>
      <c r="CV248" s="48" t="s">
        <v>1710</v>
      </c>
      <c r="CW248" s="48" t="s">
        <v>1710</v>
      </c>
      <c r="CX248" s="48" t="s">
        <v>2839</v>
      </c>
      <c r="CY248" s="48" t="s">
        <v>1710</v>
      </c>
      <c r="CZ248" s="48" t="s">
        <v>1712</v>
      </c>
      <c r="DA248" s="48" t="s">
        <v>1710</v>
      </c>
      <c r="DB248" s="48" t="s">
        <v>1878</v>
      </c>
      <c r="DC248" s="48" t="s">
        <v>2070</v>
      </c>
      <c r="DD248" s="48" t="s">
        <v>1842</v>
      </c>
      <c r="DE248" s="48" t="s">
        <v>1886</v>
      </c>
      <c r="DF248" s="48" t="s">
        <v>4764</v>
      </c>
      <c r="DG248" s="48" t="s">
        <v>2071</v>
      </c>
      <c r="DH248" s="48" t="s">
        <v>1712</v>
      </c>
      <c r="DI248" s="48" t="s">
        <v>1710</v>
      </c>
      <c r="DJ248" s="48" t="s">
        <v>1710</v>
      </c>
      <c r="DK248" s="48" t="s">
        <v>1710</v>
      </c>
      <c r="DL248" s="48" t="s">
        <v>1710</v>
      </c>
      <c r="DM248" s="48" t="s">
        <v>1710</v>
      </c>
      <c r="DN248" s="48" t="s">
        <v>1710</v>
      </c>
      <c r="DO248" s="48" t="s">
        <v>1710</v>
      </c>
      <c r="DP248" s="48" t="s">
        <v>1710</v>
      </c>
      <c r="DQ248" s="48" t="s">
        <v>1710</v>
      </c>
      <c r="DR248" s="48" t="s">
        <v>2072</v>
      </c>
      <c r="DS248" s="48" t="s">
        <v>1710</v>
      </c>
      <c r="DT248" s="48" t="s">
        <v>1710</v>
      </c>
      <c r="DU248" s="48" t="s">
        <v>2575</v>
      </c>
      <c r="DV248" s="48" t="s">
        <v>2816</v>
      </c>
      <c r="DW248" s="48" t="s">
        <v>1710</v>
      </c>
      <c r="DX248" s="48" t="s">
        <v>4765</v>
      </c>
      <c r="DY248" s="48" t="s">
        <v>1709</v>
      </c>
      <c r="DZ248" s="48" t="s">
        <v>2084</v>
      </c>
      <c r="EA248" s="48" t="s">
        <v>2546</v>
      </c>
      <c r="EB248">
        <v>0</v>
      </c>
      <c r="EC248" s="48" t="s">
        <v>2575</v>
      </c>
      <c r="ED248" s="48" t="s">
        <v>4766</v>
      </c>
      <c r="EE248" s="48" t="s">
        <v>1814</v>
      </c>
      <c r="EF248" s="48" t="s">
        <v>3633</v>
      </c>
      <c r="EG248" s="48" t="s">
        <v>4763</v>
      </c>
      <c r="EH248">
        <v>2</v>
      </c>
      <c r="EI248" s="48" t="s">
        <v>1888</v>
      </c>
      <c r="EJ248">
        <v>1</v>
      </c>
      <c r="EK248" s="48" t="s">
        <v>1887</v>
      </c>
      <c r="EL248">
        <v>8</v>
      </c>
      <c r="EM248" s="48" t="s">
        <v>1886</v>
      </c>
      <c r="EN248">
        <v>2</v>
      </c>
      <c r="EO248" s="48" t="s">
        <v>3634</v>
      </c>
      <c r="EP248" s="48" t="s">
        <v>4767</v>
      </c>
      <c r="EQ248">
        <v>1634.15</v>
      </c>
      <c r="ER248">
        <v>1634.15</v>
      </c>
      <c r="ES248">
        <v>2322717</v>
      </c>
      <c r="ET248">
        <v>1577</v>
      </c>
      <c r="EU248" s="48" t="s">
        <v>1710</v>
      </c>
      <c r="EV248" s="48" t="s">
        <v>1710</v>
      </c>
      <c r="EW248" s="48" t="s">
        <v>1712</v>
      </c>
      <c r="EX248" s="48" t="s">
        <v>1710</v>
      </c>
      <c r="EY248" s="48" t="s">
        <v>1848</v>
      </c>
      <c r="EZ248" s="48" t="s">
        <v>1710</v>
      </c>
      <c r="FA248" s="48" t="s">
        <v>1710</v>
      </c>
      <c r="FB248" s="48" t="s">
        <v>1712</v>
      </c>
      <c r="FC248" s="48" t="s">
        <v>1710</v>
      </c>
      <c r="FD248" s="48" t="s">
        <v>1710</v>
      </c>
      <c r="FE248" s="48" t="s">
        <v>1814</v>
      </c>
      <c r="FF248" s="48" t="s">
        <v>1815</v>
      </c>
      <c r="FG248" s="48" t="s">
        <v>1710</v>
      </c>
      <c r="FH248">
        <v>1</v>
      </c>
      <c r="FI248" s="48" t="s">
        <v>1846</v>
      </c>
      <c r="FJ248">
        <v>1634.15</v>
      </c>
      <c r="FK248">
        <v>1634.15</v>
      </c>
      <c r="FL248" s="48" t="s">
        <v>4768</v>
      </c>
      <c r="FM248" s="48" t="s">
        <v>4767</v>
      </c>
      <c r="FN248" s="48" t="s">
        <v>1710</v>
      </c>
      <c r="FO248" s="48" t="s">
        <v>1710</v>
      </c>
      <c r="FP248" s="48" t="s">
        <v>1710</v>
      </c>
      <c r="FQ248" s="48" t="s">
        <v>1710</v>
      </c>
      <c r="FR248" s="48" t="s">
        <v>1710</v>
      </c>
      <c r="FS248" s="48" t="s">
        <v>1710</v>
      </c>
      <c r="FT248" s="48" t="s">
        <v>1710</v>
      </c>
      <c r="FU248" s="48" t="s">
        <v>1710</v>
      </c>
      <c r="FV248" s="48"/>
      <c r="FW248" s="56"/>
      <c r="FX248" s="56"/>
      <c r="FY248" s="56"/>
      <c r="FZ248" s="56"/>
      <c r="GA248" s="55" t="str">
        <f t="shared" si="11"/>
        <v>4388426900411X</v>
      </c>
      <c r="GB248" t="str">
        <f>VLOOKUP(B248,수출코드!$C$2:$D$4,2,FALSE)</f>
        <v>Suwon</v>
      </c>
      <c r="GC248" t="str">
        <f>VLOOKUP(L248,수출코드!$A$2:$B$6,2,FALSE)</f>
        <v>화면심사</v>
      </c>
      <c r="GD248" t="str">
        <f>VLOOKUP(M248,수출코드!$E$2:$F$5,2,FALSE)</f>
        <v>일반</v>
      </c>
      <c r="GE248" s="61">
        <f t="shared" si="9"/>
        <v>45975.493055555555</v>
      </c>
      <c r="GF248" s="62">
        <f t="shared" si="10"/>
        <v>46048.710416666669</v>
      </c>
      <c r="GI248" s="48" t="s">
        <v>2791</v>
      </c>
    </row>
    <row r="249" spans="1:191">
      <c r="A249" s="48" t="s">
        <v>4769</v>
      </c>
      <c r="B249" s="48" t="s">
        <v>1821</v>
      </c>
      <c r="C249" s="48" t="s">
        <v>2048</v>
      </c>
      <c r="D249" s="48" t="s">
        <v>2813</v>
      </c>
      <c r="E249" s="48" t="s">
        <v>4769</v>
      </c>
      <c r="F249" s="48" t="s">
        <v>1710</v>
      </c>
      <c r="G249" s="48" t="s">
        <v>2814</v>
      </c>
      <c r="H249" s="48" t="s">
        <v>4770</v>
      </c>
      <c r="I249" s="48" t="s">
        <v>1884</v>
      </c>
      <c r="J249" s="48" t="s">
        <v>2835</v>
      </c>
      <c r="K249" s="48" t="s">
        <v>1877</v>
      </c>
      <c r="L249" s="48" t="s">
        <v>1883</v>
      </c>
      <c r="M249" s="48" t="s">
        <v>1810</v>
      </c>
      <c r="N249" s="48" t="s">
        <v>1842</v>
      </c>
      <c r="O249" s="48" t="s">
        <v>1811</v>
      </c>
      <c r="P249" s="48" t="s">
        <v>2549</v>
      </c>
      <c r="Q249" s="48" t="s">
        <v>2049</v>
      </c>
      <c r="R249" s="48" t="s">
        <v>1838</v>
      </c>
      <c r="S249" s="48" t="s">
        <v>2050</v>
      </c>
      <c r="T249" s="48" t="s">
        <v>1845</v>
      </c>
      <c r="U249" s="48" t="s">
        <v>2049</v>
      </c>
      <c r="V249" s="48" t="s">
        <v>1838</v>
      </c>
      <c r="W249" s="48" t="s">
        <v>2051</v>
      </c>
      <c r="X249" s="48" t="s">
        <v>2052</v>
      </c>
      <c r="Y249" s="48" t="s">
        <v>2050</v>
      </c>
      <c r="Z249" s="48" t="s">
        <v>2053</v>
      </c>
      <c r="AA249" s="48" t="s">
        <v>2054</v>
      </c>
      <c r="AB249" s="48" t="s">
        <v>1710</v>
      </c>
      <c r="AC249" s="48" t="s">
        <v>2055</v>
      </c>
      <c r="AD249" s="48" t="s">
        <v>2056</v>
      </c>
      <c r="AE249" s="48" t="s">
        <v>1710</v>
      </c>
      <c r="AF249" s="48" t="s">
        <v>1710</v>
      </c>
      <c r="AG249" s="48" t="s">
        <v>2057</v>
      </c>
      <c r="AH249" s="48" t="s">
        <v>1815</v>
      </c>
      <c r="AI249" s="48" t="s">
        <v>2058</v>
      </c>
      <c r="AJ249" s="48" t="s">
        <v>1710</v>
      </c>
      <c r="AK249" s="48" t="s">
        <v>2563</v>
      </c>
      <c r="AL249" s="48" t="s">
        <v>2564</v>
      </c>
      <c r="AM249" s="48" t="s">
        <v>1816</v>
      </c>
      <c r="AN249" s="48" t="s">
        <v>2054</v>
      </c>
      <c r="AO249" s="48" t="s">
        <v>1710</v>
      </c>
      <c r="AP249" s="48" t="s">
        <v>1855</v>
      </c>
      <c r="AQ249" s="48" t="s">
        <v>2076</v>
      </c>
      <c r="AR249" s="48" t="s">
        <v>1812</v>
      </c>
      <c r="AS249" s="48" t="s">
        <v>1813</v>
      </c>
      <c r="AT249" s="48" t="s">
        <v>1826</v>
      </c>
      <c r="AU249" s="48" t="s">
        <v>2061</v>
      </c>
      <c r="AV249" s="48" t="s">
        <v>2835</v>
      </c>
      <c r="AW249" s="48" t="s">
        <v>2062</v>
      </c>
      <c r="AX249" s="48" t="s">
        <v>2063</v>
      </c>
      <c r="AY249" s="48" t="s">
        <v>1710</v>
      </c>
      <c r="AZ249" s="48" t="s">
        <v>4771</v>
      </c>
      <c r="BA249" s="48" t="s">
        <v>1710</v>
      </c>
      <c r="BB249" s="48" t="s">
        <v>1709</v>
      </c>
      <c r="BC249" s="48" t="s">
        <v>1710</v>
      </c>
      <c r="BD249" s="48" t="s">
        <v>3137</v>
      </c>
      <c r="BE249" s="52" t="s">
        <v>4746</v>
      </c>
      <c r="BF249" s="48" t="s">
        <v>1710</v>
      </c>
      <c r="BG249" s="48" t="s">
        <v>2543</v>
      </c>
      <c r="BH249">
        <v>530</v>
      </c>
      <c r="BI249" s="48" t="s">
        <v>1888</v>
      </c>
      <c r="BJ249">
        <v>5</v>
      </c>
      <c r="BK249">
        <v>1473.06</v>
      </c>
      <c r="BL249">
        <v>479835706</v>
      </c>
      <c r="BM249">
        <v>325741</v>
      </c>
      <c r="BN249" s="48" t="s">
        <v>2064</v>
      </c>
      <c r="BO249" s="48" t="s">
        <v>2065</v>
      </c>
      <c r="BP249">
        <v>1473.06</v>
      </c>
      <c r="BQ249">
        <v>327471.87</v>
      </c>
      <c r="BR249" s="48" t="s">
        <v>1885</v>
      </c>
      <c r="BS249" s="48" t="s">
        <v>2066</v>
      </c>
      <c r="BT249">
        <v>1</v>
      </c>
      <c r="BU249">
        <v>2550000</v>
      </c>
      <c r="BV249">
        <v>2550000</v>
      </c>
      <c r="BW249" s="48" t="s">
        <v>2065</v>
      </c>
      <c r="BX249">
        <v>1473.06</v>
      </c>
      <c r="BY249">
        <v>0</v>
      </c>
      <c r="BZ249">
        <v>0</v>
      </c>
      <c r="CA249" s="48" t="s">
        <v>2065</v>
      </c>
      <c r="CB249">
        <v>1473.06</v>
      </c>
      <c r="CC249">
        <v>0</v>
      </c>
      <c r="CD249">
        <v>0</v>
      </c>
      <c r="CE249" s="48" t="s">
        <v>1710</v>
      </c>
      <c r="CF249" s="48" t="s">
        <v>1710</v>
      </c>
      <c r="CG249" s="48" t="s">
        <v>1710</v>
      </c>
      <c r="CH249" s="48" t="s">
        <v>1710</v>
      </c>
      <c r="CI249" s="48" t="s">
        <v>2067</v>
      </c>
      <c r="CJ249" s="48" t="s">
        <v>1710</v>
      </c>
      <c r="CL249" s="48" t="s">
        <v>3111</v>
      </c>
      <c r="CM249" s="48" t="s">
        <v>1710</v>
      </c>
      <c r="CN249" s="48" t="s">
        <v>2068</v>
      </c>
      <c r="CO249" s="48" t="s">
        <v>2069</v>
      </c>
      <c r="CP249" s="48" t="s">
        <v>1710</v>
      </c>
      <c r="CQ249" s="48" t="s">
        <v>1710</v>
      </c>
      <c r="CR249" s="48" t="s">
        <v>1710</v>
      </c>
      <c r="CS249" s="48" t="s">
        <v>1710</v>
      </c>
      <c r="CT249" s="48" t="s">
        <v>1710</v>
      </c>
      <c r="CU249" s="48" t="s">
        <v>1712</v>
      </c>
      <c r="CV249" s="48" t="s">
        <v>1710</v>
      </c>
      <c r="CW249" s="48" t="s">
        <v>1710</v>
      </c>
      <c r="CX249" s="48" t="s">
        <v>3167</v>
      </c>
      <c r="CY249" s="48" t="s">
        <v>1710</v>
      </c>
      <c r="CZ249" s="48" t="s">
        <v>1712</v>
      </c>
      <c r="DA249" s="48" t="s">
        <v>1710</v>
      </c>
      <c r="DB249" s="48" t="s">
        <v>1878</v>
      </c>
      <c r="DC249" s="48" t="s">
        <v>2070</v>
      </c>
      <c r="DD249" s="48" t="s">
        <v>1842</v>
      </c>
      <c r="DE249" s="48" t="s">
        <v>1886</v>
      </c>
      <c r="DF249" s="48" t="s">
        <v>4772</v>
      </c>
      <c r="DG249" s="48" t="s">
        <v>2071</v>
      </c>
      <c r="DH249" s="48" t="s">
        <v>1712</v>
      </c>
      <c r="DI249" s="48" t="s">
        <v>1710</v>
      </c>
      <c r="DJ249" s="48" t="s">
        <v>1710</v>
      </c>
      <c r="DK249" s="48" t="s">
        <v>1710</v>
      </c>
      <c r="DL249" s="48" t="s">
        <v>1710</v>
      </c>
      <c r="DM249" s="48" t="s">
        <v>1710</v>
      </c>
      <c r="DN249" s="48" t="s">
        <v>1710</v>
      </c>
      <c r="DO249" s="48" t="s">
        <v>1710</v>
      </c>
      <c r="DP249" s="48" t="s">
        <v>1710</v>
      </c>
      <c r="DQ249" s="48" t="s">
        <v>1710</v>
      </c>
      <c r="DR249" s="48" t="s">
        <v>2072</v>
      </c>
      <c r="DS249" s="48" t="s">
        <v>1710</v>
      </c>
      <c r="DT249" s="48" t="s">
        <v>1710</v>
      </c>
      <c r="DU249" s="48" t="s">
        <v>2575</v>
      </c>
      <c r="DV249" s="48" t="s">
        <v>3206</v>
      </c>
      <c r="DW249" s="48" t="s">
        <v>1710</v>
      </c>
      <c r="DX249" s="48" t="s">
        <v>4773</v>
      </c>
      <c r="DY249" s="48" t="s">
        <v>1709</v>
      </c>
      <c r="DZ249" s="48" t="s">
        <v>2073</v>
      </c>
      <c r="EA249" s="48" t="s">
        <v>2546</v>
      </c>
      <c r="EB249">
        <v>0</v>
      </c>
      <c r="EC249" s="48" t="s">
        <v>2575</v>
      </c>
      <c r="ED249" s="48" t="s">
        <v>4774</v>
      </c>
      <c r="EE249" s="48" t="s">
        <v>1814</v>
      </c>
      <c r="EF249" s="48" t="s">
        <v>1881</v>
      </c>
      <c r="EG249" s="48" t="s">
        <v>4771</v>
      </c>
      <c r="EH249">
        <v>7</v>
      </c>
      <c r="EI249" s="48" t="s">
        <v>1888</v>
      </c>
      <c r="EJ249">
        <v>0</v>
      </c>
      <c r="EK249" s="48" t="s">
        <v>1710</v>
      </c>
      <c r="EL249">
        <v>5</v>
      </c>
      <c r="EM249" s="48" t="s">
        <v>1886</v>
      </c>
      <c r="EN249">
        <v>7</v>
      </c>
      <c r="EO249" s="48" t="s">
        <v>2601</v>
      </c>
      <c r="EP249" s="48" t="s">
        <v>4775</v>
      </c>
      <c r="EQ249">
        <v>3195.85</v>
      </c>
      <c r="ER249">
        <v>3195.85</v>
      </c>
      <c r="ES249">
        <v>4682792</v>
      </c>
      <c r="ET249">
        <v>3179</v>
      </c>
      <c r="EU249" s="48" t="s">
        <v>1710</v>
      </c>
      <c r="EV249" s="48" t="s">
        <v>1710</v>
      </c>
      <c r="EW249" s="48" t="s">
        <v>1712</v>
      </c>
      <c r="EX249" s="48" t="s">
        <v>1710</v>
      </c>
      <c r="EY249" s="48" t="s">
        <v>1853</v>
      </c>
      <c r="EZ249" s="48" t="s">
        <v>1710</v>
      </c>
      <c r="FA249" s="48" t="s">
        <v>1710</v>
      </c>
      <c r="FB249" s="48" t="s">
        <v>1712</v>
      </c>
      <c r="FC249" s="48" t="s">
        <v>1710</v>
      </c>
      <c r="FD249" s="48" t="s">
        <v>1710</v>
      </c>
      <c r="FE249" s="48" t="s">
        <v>1814</v>
      </c>
      <c r="FF249" s="48" t="s">
        <v>1815</v>
      </c>
      <c r="FG249" s="48" t="s">
        <v>1710</v>
      </c>
      <c r="FH249">
        <v>1</v>
      </c>
      <c r="FI249" s="48" t="s">
        <v>1846</v>
      </c>
      <c r="FJ249">
        <v>3195.85</v>
      </c>
      <c r="FK249">
        <v>3195.85</v>
      </c>
      <c r="FL249" s="48" t="s">
        <v>4776</v>
      </c>
      <c r="FM249" s="48" t="s">
        <v>4775</v>
      </c>
      <c r="FN249" s="48" t="s">
        <v>1710</v>
      </c>
      <c r="FO249" s="48" t="s">
        <v>1710</v>
      </c>
      <c r="FP249" s="48" t="s">
        <v>1710</v>
      </c>
      <c r="FQ249" s="48" t="s">
        <v>1710</v>
      </c>
      <c r="FR249" s="48" t="s">
        <v>1710</v>
      </c>
      <c r="FS249" s="48" t="s">
        <v>1710</v>
      </c>
      <c r="FT249" s="48" t="s">
        <v>1710</v>
      </c>
      <c r="FU249" s="48" t="s">
        <v>1710</v>
      </c>
      <c r="FV249" s="48"/>
      <c r="FW249" s="56"/>
      <c r="FX249" s="56"/>
      <c r="FY249" s="56"/>
      <c r="FZ249" s="56"/>
      <c r="GA249" s="55" t="str">
        <f t="shared" si="11"/>
        <v>4388426900412X</v>
      </c>
      <c r="GB249" t="str">
        <f>VLOOKUP(B249,수출코드!$C$2:$D$4,2,FALSE)</f>
        <v>Suwon</v>
      </c>
      <c r="GC249" t="str">
        <f>VLOOKUP(L249,수출코드!$A$2:$B$6,2,FALSE)</f>
        <v>서류제출</v>
      </c>
      <c r="GD249" t="str">
        <f>VLOOKUP(M249,수출코드!$E$2:$F$5,2,FALSE)</f>
        <v>일반</v>
      </c>
      <c r="GE249" s="61">
        <f t="shared" si="9"/>
        <v>45975.493055555555</v>
      </c>
      <c r="GF249" s="62">
        <f t="shared" si="10"/>
        <v>46051.738194444442</v>
      </c>
      <c r="GI249" s="48" t="s">
        <v>2791</v>
      </c>
    </row>
    <row r="250" spans="1:191">
      <c r="A250" s="48" t="s">
        <v>4777</v>
      </c>
      <c r="B250" s="48" t="s">
        <v>1821</v>
      </c>
      <c r="C250" s="48" t="s">
        <v>2048</v>
      </c>
      <c r="D250" s="48" t="s">
        <v>2813</v>
      </c>
      <c r="E250" s="48" t="s">
        <v>4777</v>
      </c>
      <c r="F250" s="48" t="s">
        <v>1710</v>
      </c>
      <c r="G250" s="48" t="s">
        <v>2814</v>
      </c>
      <c r="H250" s="48" t="s">
        <v>4778</v>
      </c>
      <c r="I250" s="48" t="s">
        <v>1884</v>
      </c>
      <c r="J250" s="48" t="s">
        <v>2835</v>
      </c>
      <c r="K250" s="48" t="s">
        <v>1877</v>
      </c>
      <c r="L250" s="48" t="s">
        <v>1842</v>
      </c>
      <c r="M250" s="48" t="s">
        <v>1810</v>
      </c>
      <c r="N250" s="48" t="s">
        <v>1842</v>
      </c>
      <c r="O250" s="48" t="s">
        <v>1811</v>
      </c>
      <c r="P250" s="48" t="s">
        <v>2549</v>
      </c>
      <c r="Q250" s="48" t="s">
        <v>2049</v>
      </c>
      <c r="R250" s="48" t="s">
        <v>1838</v>
      </c>
      <c r="S250" s="48" t="s">
        <v>2050</v>
      </c>
      <c r="T250" s="48" t="s">
        <v>1845</v>
      </c>
      <c r="U250" s="48" t="s">
        <v>2049</v>
      </c>
      <c r="V250" s="48" t="s">
        <v>1838</v>
      </c>
      <c r="W250" s="48" t="s">
        <v>2051</v>
      </c>
      <c r="X250" s="48" t="s">
        <v>2052</v>
      </c>
      <c r="Y250" s="48" t="s">
        <v>2050</v>
      </c>
      <c r="Z250" s="48" t="s">
        <v>2053</v>
      </c>
      <c r="AA250" s="48" t="s">
        <v>2054</v>
      </c>
      <c r="AB250" s="48" t="s">
        <v>1710</v>
      </c>
      <c r="AC250" s="48" t="s">
        <v>2055</v>
      </c>
      <c r="AD250" s="48" t="s">
        <v>2056</v>
      </c>
      <c r="AE250" s="48" t="s">
        <v>1710</v>
      </c>
      <c r="AF250" s="48" t="s">
        <v>1710</v>
      </c>
      <c r="AG250" s="48" t="s">
        <v>2057</v>
      </c>
      <c r="AH250" s="48" t="s">
        <v>1815</v>
      </c>
      <c r="AI250" s="48" t="s">
        <v>2058</v>
      </c>
      <c r="AJ250" s="48" t="s">
        <v>1710</v>
      </c>
      <c r="AK250" s="48" t="s">
        <v>2535</v>
      </c>
      <c r="AL250" s="48" t="s">
        <v>2536</v>
      </c>
      <c r="AM250" s="48" t="s">
        <v>1816</v>
      </c>
      <c r="AN250" s="48" t="s">
        <v>2054</v>
      </c>
      <c r="AO250" s="48" t="s">
        <v>1710</v>
      </c>
      <c r="AP250" s="48" t="s">
        <v>1853</v>
      </c>
      <c r="AQ250" s="48" t="s">
        <v>2086</v>
      </c>
      <c r="AR250" s="48" t="s">
        <v>1812</v>
      </c>
      <c r="AS250" s="48" t="s">
        <v>1813</v>
      </c>
      <c r="AT250" s="48" t="s">
        <v>1826</v>
      </c>
      <c r="AU250" s="48" t="s">
        <v>2061</v>
      </c>
      <c r="AV250" s="48" t="s">
        <v>2835</v>
      </c>
      <c r="AW250" s="48" t="s">
        <v>2062</v>
      </c>
      <c r="AX250" s="48" t="s">
        <v>2063</v>
      </c>
      <c r="AY250" s="48" t="s">
        <v>1710</v>
      </c>
      <c r="AZ250" s="48" t="s">
        <v>4779</v>
      </c>
      <c r="BA250" s="48" t="s">
        <v>1710</v>
      </c>
      <c r="BB250" s="48" t="s">
        <v>1709</v>
      </c>
      <c r="BC250" s="48" t="s">
        <v>1710</v>
      </c>
      <c r="BD250" s="48" t="s">
        <v>3137</v>
      </c>
      <c r="BE250" s="52" t="s">
        <v>4746</v>
      </c>
      <c r="BF250" s="48" t="s">
        <v>1710</v>
      </c>
      <c r="BG250" s="48" t="s">
        <v>1818</v>
      </c>
      <c r="BH250">
        <v>53</v>
      </c>
      <c r="BI250" s="48" t="s">
        <v>1888</v>
      </c>
      <c r="BJ250">
        <v>2</v>
      </c>
      <c r="BK250">
        <v>1473.06</v>
      </c>
      <c r="BL250">
        <v>36233612</v>
      </c>
      <c r="BM250">
        <v>24598</v>
      </c>
      <c r="BN250" s="48" t="s">
        <v>2064</v>
      </c>
      <c r="BO250" s="48" t="s">
        <v>2065</v>
      </c>
      <c r="BP250">
        <v>1473.06</v>
      </c>
      <c r="BQ250">
        <v>24771.03</v>
      </c>
      <c r="BR250" s="48" t="s">
        <v>1885</v>
      </c>
      <c r="BS250" s="48" t="s">
        <v>2066</v>
      </c>
      <c r="BT250">
        <v>1</v>
      </c>
      <c r="BU250">
        <v>255600</v>
      </c>
      <c r="BV250">
        <v>255600</v>
      </c>
      <c r="BW250" s="48" t="s">
        <v>2065</v>
      </c>
      <c r="BX250">
        <v>1473.06</v>
      </c>
      <c r="BY250">
        <v>0</v>
      </c>
      <c r="BZ250">
        <v>0</v>
      </c>
      <c r="CA250" s="48" t="s">
        <v>2065</v>
      </c>
      <c r="CB250">
        <v>1473.06</v>
      </c>
      <c r="CC250">
        <v>0</v>
      </c>
      <c r="CD250">
        <v>0</v>
      </c>
      <c r="CE250" s="48" t="s">
        <v>1710</v>
      </c>
      <c r="CF250" s="48" t="s">
        <v>1710</v>
      </c>
      <c r="CG250" s="48" t="s">
        <v>1710</v>
      </c>
      <c r="CH250" s="48" t="s">
        <v>1710</v>
      </c>
      <c r="CI250" s="48" t="s">
        <v>2067</v>
      </c>
      <c r="CJ250" s="48" t="s">
        <v>1710</v>
      </c>
      <c r="CL250" s="48" t="s">
        <v>2835</v>
      </c>
      <c r="CM250" s="48" t="s">
        <v>1710</v>
      </c>
      <c r="CN250" s="48" t="s">
        <v>2068</v>
      </c>
      <c r="CO250" s="48" t="s">
        <v>2069</v>
      </c>
      <c r="CP250" s="48" t="s">
        <v>1710</v>
      </c>
      <c r="CQ250" s="48" t="s">
        <v>1710</v>
      </c>
      <c r="CR250" s="48" t="s">
        <v>1710</v>
      </c>
      <c r="CS250" s="48" t="s">
        <v>1710</v>
      </c>
      <c r="CT250" s="48" t="s">
        <v>1710</v>
      </c>
      <c r="CU250" s="48" t="s">
        <v>1712</v>
      </c>
      <c r="CV250" s="48" t="s">
        <v>1710</v>
      </c>
      <c r="CW250" s="48" t="s">
        <v>1710</v>
      </c>
      <c r="CX250" s="48" t="s">
        <v>2839</v>
      </c>
      <c r="CY250" s="48" t="s">
        <v>1710</v>
      </c>
      <c r="CZ250" s="48" t="s">
        <v>1712</v>
      </c>
      <c r="DA250" s="48" t="s">
        <v>1710</v>
      </c>
      <c r="DB250" s="48" t="s">
        <v>1878</v>
      </c>
      <c r="DC250" s="48" t="s">
        <v>2070</v>
      </c>
      <c r="DD250" s="48" t="s">
        <v>1842</v>
      </c>
      <c r="DE250" s="48" t="s">
        <v>1886</v>
      </c>
      <c r="DF250" s="48" t="s">
        <v>4780</v>
      </c>
      <c r="DG250" s="48" t="s">
        <v>2071</v>
      </c>
      <c r="DH250" s="48" t="s">
        <v>1712</v>
      </c>
      <c r="DI250" s="48" t="s">
        <v>1710</v>
      </c>
      <c r="DJ250" s="48" t="s">
        <v>1710</v>
      </c>
      <c r="DK250" s="48" t="s">
        <v>1710</v>
      </c>
      <c r="DL250" s="48" t="s">
        <v>1710</v>
      </c>
      <c r="DM250" s="48" t="s">
        <v>1710</v>
      </c>
      <c r="DN250" s="48" t="s">
        <v>1710</v>
      </c>
      <c r="DO250" s="48" t="s">
        <v>1710</v>
      </c>
      <c r="DP250" s="48" t="s">
        <v>1710</v>
      </c>
      <c r="DQ250" s="48" t="s">
        <v>1710</v>
      </c>
      <c r="DR250" s="48" t="s">
        <v>2072</v>
      </c>
      <c r="DS250" s="48" t="s">
        <v>1710</v>
      </c>
      <c r="DT250" s="48" t="s">
        <v>1710</v>
      </c>
      <c r="DU250" s="48" t="s">
        <v>2575</v>
      </c>
      <c r="DV250" s="48" t="s">
        <v>2816</v>
      </c>
      <c r="DW250" s="48" t="s">
        <v>1710</v>
      </c>
      <c r="DX250" s="48" t="s">
        <v>4781</v>
      </c>
      <c r="DY250" s="48" t="s">
        <v>1709</v>
      </c>
      <c r="DZ250" s="48" t="s">
        <v>2562</v>
      </c>
      <c r="EA250" s="48" t="s">
        <v>2546</v>
      </c>
      <c r="EB250">
        <v>0</v>
      </c>
      <c r="EC250" s="48" t="s">
        <v>2575</v>
      </c>
      <c r="ED250" s="48" t="s">
        <v>4782</v>
      </c>
      <c r="EE250" s="48" t="s">
        <v>1814</v>
      </c>
      <c r="EF250" s="48" t="s">
        <v>1861</v>
      </c>
      <c r="EG250" s="48" t="s">
        <v>4779</v>
      </c>
      <c r="EH250">
        <v>10.35</v>
      </c>
      <c r="EI250" s="48" t="s">
        <v>1888</v>
      </c>
      <c r="EJ250">
        <v>0</v>
      </c>
      <c r="EK250" s="48" t="s">
        <v>1710</v>
      </c>
      <c r="EL250">
        <v>2</v>
      </c>
      <c r="EM250" s="48" t="s">
        <v>1886</v>
      </c>
      <c r="EN250">
        <v>10.35</v>
      </c>
      <c r="EO250" s="48" t="s">
        <v>2518</v>
      </c>
      <c r="EP250" s="48" t="s">
        <v>2891</v>
      </c>
      <c r="EQ250">
        <v>4950.75</v>
      </c>
      <c r="ER250">
        <v>4950.75</v>
      </c>
      <c r="ES250">
        <v>7241667</v>
      </c>
      <c r="ET250">
        <v>4916</v>
      </c>
      <c r="EU250" s="48" t="s">
        <v>1710</v>
      </c>
      <c r="EV250" s="48" t="s">
        <v>1710</v>
      </c>
      <c r="EW250" s="48" t="s">
        <v>1712</v>
      </c>
      <c r="EX250" s="48" t="s">
        <v>1710</v>
      </c>
      <c r="EY250" s="48" t="s">
        <v>1848</v>
      </c>
      <c r="EZ250" s="48" t="s">
        <v>1710</v>
      </c>
      <c r="FA250" s="48" t="s">
        <v>1710</v>
      </c>
      <c r="FB250" s="48" t="s">
        <v>1712</v>
      </c>
      <c r="FC250" s="48" t="s">
        <v>1710</v>
      </c>
      <c r="FD250" s="48" t="s">
        <v>1710</v>
      </c>
      <c r="FE250" s="48" t="s">
        <v>1814</v>
      </c>
      <c r="FF250" s="48" t="s">
        <v>1815</v>
      </c>
      <c r="FG250" s="48" t="s">
        <v>1710</v>
      </c>
      <c r="FH250">
        <v>1</v>
      </c>
      <c r="FI250" s="48" t="s">
        <v>1846</v>
      </c>
      <c r="FJ250">
        <v>4950.75</v>
      </c>
      <c r="FK250">
        <v>4950.75</v>
      </c>
      <c r="FL250" s="48" t="s">
        <v>2892</v>
      </c>
      <c r="FM250" s="48" t="s">
        <v>2891</v>
      </c>
      <c r="FN250" s="48" t="s">
        <v>1710</v>
      </c>
      <c r="FO250" s="48" t="s">
        <v>1710</v>
      </c>
      <c r="FP250" s="48" t="s">
        <v>1710</v>
      </c>
      <c r="FQ250" s="48" t="s">
        <v>1710</v>
      </c>
      <c r="FR250" s="48" t="s">
        <v>1710</v>
      </c>
      <c r="FS250" s="48" t="s">
        <v>1710</v>
      </c>
      <c r="FT250" s="48" t="s">
        <v>1710</v>
      </c>
      <c r="FU250" s="48" t="s">
        <v>1710</v>
      </c>
      <c r="FV250" s="48"/>
      <c r="FW250" s="56"/>
      <c r="FX250" s="56"/>
      <c r="FY250" s="56"/>
      <c r="FZ250" s="56"/>
      <c r="GA250" s="55" t="str">
        <f t="shared" si="11"/>
        <v>4388426900413X</v>
      </c>
      <c r="GB250" t="str">
        <f>VLOOKUP(B250,수출코드!$C$2:$D$4,2,FALSE)</f>
        <v>Suwon</v>
      </c>
      <c r="GC250" t="str">
        <f>VLOOKUP(L250,수출코드!$A$2:$B$6,2,FALSE)</f>
        <v/>
      </c>
      <c r="GD250" t="str">
        <f>VLOOKUP(M250,수출코드!$E$2:$F$5,2,FALSE)</f>
        <v>일반</v>
      </c>
      <c r="GE250" s="61">
        <f t="shared" si="9"/>
        <v>45975.493055555555</v>
      </c>
      <c r="GF250" s="62">
        <f t="shared" si="10"/>
        <v>46048.706250000003</v>
      </c>
      <c r="GI250" s="48" t="s">
        <v>2791</v>
      </c>
    </row>
    <row r="251" spans="1:191">
      <c r="A251" s="48" t="s">
        <v>4783</v>
      </c>
      <c r="B251" s="48" t="s">
        <v>1821</v>
      </c>
      <c r="C251" s="48" t="s">
        <v>2048</v>
      </c>
      <c r="D251" s="48" t="s">
        <v>2813</v>
      </c>
      <c r="E251" s="48" t="s">
        <v>4783</v>
      </c>
      <c r="F251" s="48" t="s">
        <v>1710</v>
      </c>
      <c r="G251" s="48" t="s">
        <v>2814</v>
      </c>
      <c r="H251" s="48" t="s">
        <v>4784</v>
      </c>
      <c r="I251" s="48" t="s">
        <v>1884</v>
      </c>
      <c r="J251" s="48" t="s">
        <v>2835</v>
      </c>
      <c r="K251" s="48" t="s">
        <v>1877</v>
      </c>
      <c r="L251" s="48" t="s">
        <v>1842</v>
      </c>
      <c r="M251" s="48" t="s">
        <v>1810</v>
      </c>
      <c r="N251" s="48" t="s">
        <v>1842</v>
      </c>
      <c r="O251" s="48" t="s">
        <v>1811</v>
      </c>
      <c r="P251" s="48" t="s">
        <v>2549</v>
      </c>
      <c r="Q251" s="48" t="s">
        <v>2049</v>
      </c>
      <c r="R251" s="48" t="s">
        <v>1838</v>
      </c>
      <c r="S251" s="48" t="s">
        <v>2050</v>
      </c>
      <c r="T251" s="48" t="s">
        <v>1845</v>
      </c>
      <c r="U251" s="48" t="s">
        <v>2049</v>
      </c>
      <c r="V251" s="48" t="s">
        <v>1838</v>
      </c>
      <c r="W251" s="48" t="s">
        <v>2051</v>
      </c>
      <c r="X251" s="48" t="s">
        <v>2052</v>
      </c>
      <c r="Y251" s="48" t="s">
        <v>2050</v>
      </c>
      <c r="Z251" s="48" t="s">
        <v>2053</v>
      </c>
      <c r="AA251" s="48" t="s">
        <v>2054</v>
      </c>
      <c r="AB251" s="48" t="s">
        <v>1710</v>
      </c>
      <c r="AC251" s="48" t="s">
        <v>2055</v>
      </c>
      <c r="AD251" s="48" t="s">
        <v>2056</v>
      </c>
      <c r="AE251" s="48" t="s">
        <v>1710</v>
      </c>
      <c r="AF251" s="48" t="s">
        <v>1710</v>
      </c>
      <c r="AG251" s="48" t="s">
        <v>2057</v>
      </c>
      <c r="AH251" s="48" t="s">
        <v>1815</v>
      </c>
      <c r="AI251" s="48" t="s">
        <v>2058</v>
      </c>
      <c r="AJ251" s="48" t="s">
        <v>1710</v>
      </c>
      <c r="AK251" s="48" t="s">
        <v>2553</v>
      </c>
      <c r="AL251" s="48" t="s">
        <v>2554</v>
      </c>
      <c r="AM251" s="48" t="s">
        <v>1816</v>
      </c>
      <c r="AN251" s="48" t="s">
        <v>2054</v>
      </c>
      <c r="AO251" s="48" t="s">
        <v>1710</v>
      </c>
      <c r="AP251" s="48" t="s">
        <v>1853</v>
      </c>
      <c r="AQ251" s="48" t="s">
        <v>2086</v>
      </c>
      <c r="AR251" s="48" t="s">
        <v>1812</v>
      </c>
      <c r="AS251" s="48" t="s">
        <v>1813</v>
      </c>
      <c r="AT251" s="48" t="s">
        <v>1826</v>
      </c>
      <c r="AU251" s="48" t="s">
        <v>2061</v>
      </c>
      <c r="AV251" s="48" t="s">
        <v>2835</v>
      </c>
      <c r="AW251" s="48" t="s">
        <v>2062</v>
      </c>
      <c r="AX251" s="48" t="s">
        <v>2063</v>
      </c>
      <c r="AY251" s="48" t="s">
        <v>1710</v>
      </c>
      <c r="AZ251" s="48" t="s">
        <v>4785</v>
      </c>
      <c r="BA251" s="48" t="s">
        <v>1710</v>
      </c>
      <c r="BB251" s="48" t="s">
        <v>1709</v>
      </c>
      <c r="BC251" s="48" t="s">
        <v>1710</v>
      </c>
      <c r="BD251" s="48" t="s">
        <v>3137</v>
      </c>
      <c r="BE251" s="52" t="s">
        <v>4746</v>
      </c>
      <c r="BF251" s="48" t="s">
        <v>1710</v>
      </c>
      <c r="BG251" s="48" t="s">
        <v>2544</v>
      </c>
      <c r="BH251">
        <v>107</v>
      </c>
      <c r="BI251" s="48" t="s">
        <v>1888</v>
      </c>
      <c r="BJ251">
        <v>2</v>
      </c>
      <c r="BK251">
        <v>1473.06</v>
      </c>
      <c r="BL251">
        <v>82547299</v>
      </c>
      <c r="BM251">
        <v>56038</v>
      </c>
      <c r="BN251" s="48" t="s">
        <v>2064</v>
      </c>
      <c r="BO251" s="48" t="s">
        <v>2065</v>
      </c>
      <c r="BP251">
        <v>1473.06</v>
      </c>
      <c r="BQ251">
        <v>56365.46</v>
      </c>
      <c r="BR251" s="48" t="s">
        <v>1885</v>
      </c>
      <c r="BS251" s="48" t="s">
        <v>2066</v>
      </c>
      <c r="BT251">
        <v>1</v>
      </c>
      <c r="BU251">
        <v>482400</v>
      </c>
      <c r="BV251">
        <v>482400</v>
      </c>
      <c r="BW251" s="48" t="s">
        <v>2065</v>
      </c>
      <c r="BX251">
        <v>1473.06</v>
      </c>
      <c r="BY251">
        <v>0</v>
      </c>
      <c r="BZ251">
        <v>0</v>
      </c>
      <c r="CA251" s="48" t="s">
        <v>2065</v>
      </c>
      <c r="CB251">
        <v>1473.06</v>
      </c>
      <c r="CC251">
        <v>0</v>
      </c>
      <c r="CD251">
        <v>0</v>
      </c>
      <c r="CE251" s="48" t="s">
        <v>1710</v>
      </c>
      <c r="CF251" s="48" t="s">
        <v>1710</v>
      </c>
      <c r="CG251" s="48" t="s">
        <v>1710</v>
      </c>
      <c r="CH251" s="48" t="s">
        <v>1710</v>
      </c>
      <c r="CI251" s="48" t="s">
        <v>2067</v>
      </c>
      <c r="CJ251" s="48" t="s">
        <v>1710</v>
      </c>
      <c r="CL251" s="48" t="s">
        <v>2835</v>
      </c>
      <c r="CM251" s="48" t="s">
        <v>1710</v>
      </c>
      <c r="CN251" s="48" t="s">
        <v>2068</v>
      </c>
      <c r="CO251" s="48" t="s">
        <v>2069</v>
      </c>
      <c r="CP251" s="48" t="s">
        <v>1710</v>
      </c>
      <c r="CQ251" s="48" t="s">
        <v>1710</v>
      </c>
      <c r="CR251" s="48" t="s">
        <v>1710</v>
      </c>
      <c r="CS251" s="48" t="s">
        <v>1710</v>
      </c>
      <c r="CT251" s="48" t="s">
        <v>1710</v>
      </c>
      <c r="CU251" s="48" t="s">
        <v>1712</v>
      </c>
      <c r="CV251" s="48" t="s">
        <v>1710</v>
      </c>
      <c r="CW251" s="48" t="s">
        <v>1710</v>
      </c>
      <c r="CX251" s="48" t="s">
        <v>2839</v>
      </c>
      <c r="CY251" s="48" t="s">
        <v>1710</v>
      </c>
      <c r="CZ251" s="48" t="s">
        <v>1712</v>
      </c>
      <c r="DA251" s="48" t="s">
        <v>1710</v>
      </c>
      <c r="DB251" s="48" t="s">
        <v>1878</v>
      </c>
      <c r="DC251" s="48" t="s">
        <v>2070</v>
      </c>
      <c r="DD251" s="48" t="s">
        <v>1842</v>
      </c>
      <c r="DE251" s="48" t="s">
        <v>1886</v>
      </c>
      <c r="DF251" s="48" t="s">
        <v>4786</v>
      </c>
      <c r="DG251" s="48" t="s">
        <v>2071</v>
      </c>
      <c r="DH251" s="48" t="s">
        <v>1712</v>
      </c>
      <c r="DI251" s="48" t="s">
        <v>1710</v>
      </c>
      <c r="DJ251" s="48" t="s">
        <v>1710</v>
      </c>
      <c r="DK251" s="48" t="s">
        <v>1710</v>
      </c>
      <c r="DL251" s="48" t="s">
        <v>1710</v>
      </c>
      <c r="DM251" s="48" t="s">
        <v>1710</v>
      </c>
      <c r="DN251" s="48" t="s">
        <v>1710</v>
      </c>
      <c r="DO251" s="48" t="s">
        <v>1710</v>
      </c>
      <c r="DP251" s="48" t="s">
        <v>1710</v>
      </c>
      <c r="DQ251" s="48" t="s">
        <v>1710</v>
      </c>
      <c r="DR251" s="48" t="s">
        <v>2072</v>
      </c>
      <c r="DS251" s="48" t="s">
        <v>1710</v>
      </c>
      <c r="DT251" s="48" t="s">
        <v>1710</v>
      </c>
      <c r="DU251" s="48" t="s">
        <v>2575</v>
      </c>
      <c r="DV251" s="48" t="s">
        <v>2816</v>
      </c>
      <c r="DW251" s="48" t="s">
        <v>1710</v>
      </c>
      <c r="DX251" s="48" t="s">
        <v>4787</v>
      </c>
      <c r="DY251" s="48" t="s">
        <v>1709</v>
      </c>
      <c r="DZ251" s="48" t="s">
        <v>2562</v>
      </c>
      <c r="EA251" s="48" t="s">
        <v>2546</v>
      </c>
      <c r="EB251">
        <v>0</v>
      </c>
      <c r="EC251" s="48" t="s">
        <v>2575</v>
      </c>
      <c r="ED251" s="48" t="s">
        <v>4782</v>
      </c>
      <c r="EE251" s="48" t="s">
        <v>1814</v>
      </c>
      <c r="EF251" s="48" t="s">
        <v>1879</v>
      </c>
      <c r="EG251" s="48" t="s">
        <v>4785</v>
      </c>
      <c r="EH251">
        <v>7.8E-2</v>
      </c>
      <c r="EI251" s="48" t="s">
        <v>1888</v>
      </c>
      <c r="EJ251">
        <v>1</v>
      </c>
      <c r="EK251" s="48" t="s">
        <v>1887</v>
      </c>
      <c r="EL251">
        <v>2</v>
      </c>
      <c r="EM251" s="48" t="s">
        <v>1886</v>
      </c>
      <c r="EN251">
        <v>7.8E-2</v>
      </c>
      <c r="EO251" s="48" t="s">
        <v>2519</v>
      </c>
      <c r="EP251" s="48" t="s">
        <v>4788</v>
      </c>
      <c r="EQ251">
        <v>2737</v>
      </c>
      <c r="ER251">
        <v>2737</v>
      </c>
      <c r="ES251">
        <v>4008340</v>
      </c>
      <c r="ET251">
        <v>2721</v>
      </c>
      <c r="EU251" s="48" t="s">
        <v>1710</v>
      </c>
      <c r="EV251" s="48" t="s">
        <v>1710</v>
      </c>
      <c r="EW251" s="48" t="s">
        <v>1712</v>
      </c>
      <c r="EX251" s="48" t="s">
        <v>1710</v>
      </c>
      <c r="EY251" s="48" t="s">
        <v>1853</v>
      </c>
      <c r="EZ251" s="48" t="s">
        <v>1710</v>
      </c>
      <c r="FA251" s="48" t="s">
        <v>1710</v>
      </c>
      <c r="FB251" s="48" t="s">
        <v>1712</v>
      </c>
      <c r="FC251" s="48" t="s">
        <v>1710</v>
      </c>
      <c r="FD251" s="48" t="s">
        <v>1710</v>
      </c>
      <c r="FE251" s="48" t="s">
        <v>1814</v>
      </c>
      <c r="FF251" s="48" t="s">
        <v>1815</v>
      </c>
      <c r="FG251" s="48" t="s">
        <v>1710</v>
      </c>
      <c r="FH251">
        <v>1</v>
      </c>
      <c r="FI251" s="48" t="s">
        <v>1846</v>
      </c>
      <c r="FJ251">
        <v>2737</v>
      </c>
      <c r="FK251">
        <v>2737</v>
      </c>
      <c r="FL251" s="48" t="s">
        <v>4789</v>
      </c>
      <c r="FM251" s="48" t="s">
        <v>4788</v>
      </c>
      <c r="FN251" s="48" t="s">
        <v>1710</v>
      </c>
      <c r="FO251" s="48" t="s">
        <v>1710</v>
      </c>
      <c r="FP251" s="48" t="s">
        <v>1710</v>
      </c>
      <c r="FQ251" s="48" t="s">
        <v>1710</v>
      </c>
      <c r="FR251" s="48" t="s">
        <v>1710</v>
      </c>
      <c r="FS251" s="48" t="s">
        <v>1710</v>
      </c>
      <c r="FT251" s="48" t="s">
        <v>1710</v>
      </c>
      <c r="FU251" s="48" t="s">
        <v>1710</v>
      </c>
      <c r="FV251" s="48"/>
      <c r="FW251" s="56"/>
      <c r="FX251" s="56"/>
      <c r="FY251" s="56"/>
      <c r="FZ251" s="56"/>
      <c r="GA251" s="55" t="str">
        <f t="shared" si="11"/>
        <v>4388426900414X</v>
      </c>
      <c r="GB251" t="str">
        <f>VLOOKUP(B251,수출코드!$C$2:$D$4,2,FALSE)</f>
        <v>Suwon</v>
      </c>
      <c r="GC251" t="str">
        <f>VLOOKUP(L251,수출코드!$A$2:$B$6,2,FALSE)</f>
        <v/>
      </c>
      <c r="GD251" t="str">
        <f>VLOOKUP(M251,수출코드!$E$2:$F$5,2,FALSE)</f>
        <v>일반</v>
      </c>
      <c r="GE251" s="61">
        <f t="shared" si="9"/>
        <v>45975.493055555555</v>
      </c>
      <c r="GF251" s="62">
        <f t="shared" si="10"/>
        <v>46048.706250000003</v>
      </c>
      <c r="GI251" s="48" t="s">
        <v>2791</v>
      </c>
    </row>
    <row r="252" spans="1:191">
      <c r="A252" s="48" t="s">
        <v>4790</v>
      </c>
      <c r="B252" s="48" t="s">
        <v>1821</v>
      </c>
      <c r="C252" s="48" t="s">
        <v>2048</v>
      </c>
      <c r="D252" s="48" t="s">
        <v>2813</v>
      </c>
      <c r="E252" s="48" t="s">
        <v>4790</v>
      </c>
      <c r="F252" s="48" t="s">
        <v>1710</v>
      </c>
      <c r="G252" s="48" t="s">
        <v>2814</v>
      </c>
      <c r="H252" s="48" t="s">
        <v>4791</v>
      </c>
      <c r="I252" s="48" t="s">
        <v>1884</v>
      </c>
      <c r="J252" s="48" t="s">
        <v>2835</v>
      </c>
      <c r="K252" s="48" t="s">
        <v>1877</v>
      </c>
      <c r="L252" s="48" t="s">
        <v>1842</v>
      </c>
      <c r="M252" s="48" t="s">
        <v>1810</v>
      </c>
      <c r="N252" s="48" t="s">
        <v>1842</v>
      </c>
      <c r="O252" s="48" t="s">
        <v>1811</v>
      </c>
      <c r="P252" s="48" t="s">
        <v>2549</v>
      </c>
      <c r="Q252" s="48" t="s">
        <v>2049</v>
      </c>
      <c r="R252" s="48" t="s">
        <v>1838</v>
      </c>
      <c r="S252" s="48" t="s">
        <v>2050</v>
      </c>
      <c r="T252" s="48" t="s">
        <v>1845</v>
      </c>
      <c r="U252" s="48" t="s">
        <v>2049</v>
      </c>
      <c r="V252" s="48" t="s">
        <v>1838</v>
      </c>
      <c r="W252" s="48" t="s">
        <v>2051</v>
      </c>
      <c r="X252" s="48" t="s">
        <v>2052</v>
      </c>
      <c r="Y252" s="48" t="s">
        <v>2050</v>
      </c>
      <c r="Z252" s="48" t="s">
        <v>2053</v>
      </c>
      <c r="AA252" s="48" t="s">
        <v>2054</v>
      </c>
      <c r="AB252" s="48" t="s">
        <v>1710</v>
      </c>
      <c r="AC252" s="48" t="s">
        <v>2055</v>
      </c>
      <c r="AD252" s="48" t="s">
        <v>2056</v>
      </c>
      <c r="AE252" s="48" t="s">
        <v>1710</v>
      </c>
      <c r="AF252" s="48" t="s">
        <v>1710</v>
      </c>
      <c r="AG252" s="48" t="s">
        <v>2057</v>
      </c>
      <c r="AH252" s="48" t="s">
        <v>1815</v>
      </c>
      <c r="AI252" s="48" t="s">
        <v>2058</v>
      </c>
      <c r="AJ252" s="48" t="s">
        <v>1710</v>
      </c>
      <c r="AK252" s="48" t="s">
        <v>2100</v>
      </c>
      <c r="AL252" s="48" t="s">
        <v>2101</v>
      </c>
      <c r="AM252" s="48" t="s">
        <v>1816</v>
      </c>
      <c r="AN252" s="48" t="s">
        <v>2054</v>
      </c>
      <c r="AO252" s="48" t="s">
        <v>1710</v>
      </c>
      <c r="AP252" s="48" t="s">
        <v>1874</v>
      </c>
      <c r="AQ252" s="48" t="s">
        <v>2078</v>
      </c>
      <c r="AR252" s="48" t="s">
        <v>1812</v>
      </c>
      <c r="AS252" s="48" t="s">
        <v>1813</v>
      </c>
      <c r="AT252" s="48" t="s">
        <v>1826</v>
      </c>
      <c r="AU252" s="48" t="s">
        <v>2061</v>
      </c>
      <c r="AV252" s="48" t="s">
        <v>2835</v>
      </c>
      <c r="AW252" s="48" t="s">
        <v>2062</v>
      </c>
      <c r="AX252" s="48" t="s">
        <v>2063</v>
      </c>
      <c r="AY252" s="48" t="s">
        <v>1710</v>
      </c>
      <c r="AZ252" s="48" t="s">
        <v>4792</v>
      </c>
      <c r="BA252" s="48" t="s">
        <v>1710</v>
      </c>
      <c r="BB252" s="48" t="s">
        <v>1709</v>
      </c>
      <c r="BC252" s="48" t="s">
        <v>1710</v>
      </c>
      <c r="BD252" s="48" t="s">
        <v>3137</v>
      </c>
      <c r="BE252" s="52" t="s">
        <v>4746</v>
      </c>
      <c r="BF252" s="48" t="s">
        <v>1710</v>
      </c>
      <c r="BG252" s="48" t="s">
        <v>1818</v>
      </c>
      <c r="BH252">
        <v>99</v>
      </c>
      <c r="BI252" s="48" t="s">
        <v>1888</v>
      </c>
      <c r="BJ252">
        <v>1</v>
      </c>
      <c r="BK252">
        <v>1473.06</v>
      </c>
      <c r="BL252">
        <v>111932296</v>
      </c>
      <c r="BM252">
        <v>75986</v>
      </c>
      <c r="BN252" s="48" t="s">
        <v>2064</v>
      </c>
      <c r="BO252" s="48" t="s">
        <v>2065</v>
      </c>
      <c r="BP252">
        <v>1473.06</v>
      </c>
      <c r="BQ252">
        <v>76364.639999999999</v>
      </c>
      <c r="BR252" s="48" t="s">
        <v>1885</v>
      </c>
      <c r="BS252" s="48" t="s">
        <v>2066</v>
      </c>
      <c r="BT252">
        <v>1</v>
      </c>
      <c r="BU252">
        <v>557400</v>
      </c>
      <c r="BV252">
        <v>557400</v>
      </c>
      <c r="BW252" s="48" t="s">
        <v>2065</v>
      </c>
      <c r="BX252">
        <v>1473.06</v>
      </c>
      <c r="BY252">
        <v>0</v>
      </c>
      <c r="BZ252">
        <v>0</v>
      </c>
      <c r="CA252" s="48" t="s">
        <v>2065</v>
      </c>
      <c r="CB252">
        <v>1473.06</v>
      </c>
      <c r="CC252">
        <v>0</v>
      </c>
      <c r="CD252">
        <v>0</v>
      </c>
      <c r="CE252" s="48" t="s">
        <v>1710</v>
      </c>
      <c r="CF252" s="48" t="s">
        <v>1710</v>
      </c>
      <c r="CG252" s="48" t="s">
        <v>1710</v>
      </c>
      <c r="CH252" s="48" t="s">
        <v>1710</v>
      </c>
      <c r="CI252" s="48" t="s">
        <v>2067</v>
      </c>
      <c r="CJ252" s="48" t="s">
        <v>1710</v>
      </c>
      <c r="CL252" s="48" t="s">
        <v>2835</v>
      </c>
      <c r="CM252" s="48" t="s">
        <v>1710</v>
      </c>
      <c r="CN252" s="48" t="s">
        <v>2068</v>
      </c>
      <c r="CO252" s="48" t="s">
        <v>2069</v>
      </c>
      <c r="CP252" s="48" t="s">
        <v>1710</v>
      </c>
      <c r="CQ252" s="48" t="s">
        <v>1710</v>
      </c>
      <c r="CR252" s="48" t="s">
        <v>1710</v>
      </c>
      <c r="CS252" s="48" t="s">
        <v>1710</v>
      </c>
      <c r="CT252" s="48" t="s">
        <v>1710</v>
      </c>
      <c r="CU252" s="48" t="s">
        <v>1712</v>
      </c>
      <c r="CV252" s="48" t="s">
        <v>1710</v>
      </c>
      <c r="CW252" s="48" t="s">
        <v>1710</v>
      </c>
      <c r="CX252" s="48" t="s">
        <v>2839</v>
      </c>
      <c r="CY252" s="48" t="s">
        <v>1710</v>
      </c>
      <c r="CZ252" s="48" t="s">
        <v>1712</v>
      </c>
      <c r="DA252" s="48" t="s">
        <v>1710</v>
      </c>
      <c r="DB252" s="48" t="s">
        <v>1878</v>
      </c>
      <c r="DC252" s="48" t="s">
        <v>2070</v>
      </c>
      <c r="DD252" s="48" t="s">
        <v>1842</v>
      </c>
      <c r="DE252" s="48" t="s">
        <v>1886</v>
      </c>
      <c r="DF252" s="48" t="s">
        <v>4793</v>
      </c>
      <c r="DG252" s="48" t="s">
        <v>2071</v>
      </c>
      <c r="DH252" s="48" t="s">
        <v>1712</v>
      </c>
      <c r="DI252" s="48" t="s">
        <v>1710</v>
      </c>
      <c r="DJ252" s="48" t="s">
        <v>1710</v>
      </c>
      <c r="DK252" s="48" t="s">
        <v>1710</v>
      </c>
      <c r="DL252" s="48" t="s">
        <v>1710</v>
      </c>
      <c r="DM252" s="48" t="s">
        <v>1710</v>
      </c>
      <c r="DN252" s="48" t="s">
        <v>1710</v>
      </c>
      <c r="DO252" s="48" t="s">
        <v>1710</v>
      </c>
      <c r="DP252" s="48" t="s">
        <v>1710</v>
      </c>
      <c r="DQ252" s="48" t="s">
        <v>1710</v>
      </c>
      <c r="DR252" s="48" t="s">
        <v>2072</v>
      </c>
      <c r="DS252" s="48" t="s">
        <v>1710</v>
      </c>
      <c r="DT252" s="48" t="s">
        <v>1710</v>
      </c>
      <c r="DU252" s="48" t="s">
        <v>2575</v>
      </c>
      <c r="DV252" s="48" t="s">
        <v>2816</v>
      </c>
      <c r="DW252" s="48" t="s">
        <v>1710</v>
      </c>
      <c r="DX252" s="48" t="s">
        <v>4794</v>
      </c>
      <c r="DY252" s="48" t="s">
        <v>1709</v>
      </c>
      <c r="DZ252" s="48" t="s">
        <v>2562</v>
      </c>
      <c r="EA252" s="48" t="s">
        <v>2546</v>
      </c>
      <c r="EB252">
        <v>0</v>
      </c>
      <c r="EC252" s="48" t="s">
        <v>2575</v>
      </c>
      <c r="ED252" s="48" t="s">
        <v>4795</v>
      </c>
      <c r="EE252" s="48" t="s">
        <v>1814</v>
      </c>
      <c r="EF252" s="48" t="s">
        <v>3687</v>
      </c>
      <c r="EG252" s="48" t="s">
        <v>4792</v>
      </c>
      <c r="EH252">
        <v>4</v>
      </c>
      <c r="EI252" s="48" t="s">
        <v>1888</v>
      </c>
      <c r="EJ252">
        <v>1</v>
      </c>
      <c r="EK252" s="48" t="s">
        <v>1887</v>
      </c>
      <c r="EL252">
        <v>1</v>
      </c>
      <c r="EM252" s="48" t="s">
        <v>1886</v>
      </c>
      <c r="EN252">
        <v>4</v>
      </c>
      <c r="EO252" s="48" t="s">
        <v>3688</v>
      </c>
      <c r="EP252" s="48" t="s">
        <v>4796</v>
      </c>
      <c r="EQ252">
        <v>1671.18</v>
      </c>
      <c r="ER252">
        <v>1671.18</v>
      </c>
      <c r="ES252">
        <v>2449550</v>
      </c>
      <c r="ET252">
        <v>1663</v>
      </c>
      <c r="EU252" s="48" t="s">
        <v>1710</v>
      </c>
      <c r="EV252" s="48" t="s">
        <v>1710</v>
      </c>
      <c r="EW252" s="48" t="s">
        <v>1712</v>
      </c>
      <c r="EX252" s="48" t="s">
        <v>1710</v>
      </c>
      <c r="EY252" s="48" t="s">
        <v>4797</v>
      </c>
      <c r="EZ252" s="48" t="s">
        <v>1710</v>
      </c>
      <c r="FA252" s="48" t="s">
        <v>1710</v>
      </c>
      <c r="FB252" s="48" t="s">
        <v>1712</v>
      </c>
      <c r="FC252" s="48" t="s">
        <v>1710</v>
      </c>
      <c r="FD252" s="48" t="s">
        <v>1710</v>
      </c>
      <c r="FE252" s="48" t="s">
        <v>1814</v>
      </c>
      <c r="FF252" s="48" t="s">
        <v>1815</v>
      </c>
      <c r="FG252" s="48" t="s">
        <v>1710</v>
      </c>
      <c r="FH252">
        <v>1</v>
      </c>
      <c r="FI252" s="48" t="s">
        <v>1846</v>
      </c>
      <c r="FJ252">
        <v>1671.18</v>
      </c>
      <c r="FK252">
        <v>1671.18</v>
      </c>
      <c r="FL252" s="48" t="s">
        <v>4798</v>
      </c>
      <c r="FM252" s="48" t="s">
        <v>4796</v>
      </c>
      <c r="FN252" s="48" t="s">
        <v>1710</v>
      </c>
      <c r="FO252" s="48" t="s">
        <v>1710</v>
      </c>
      <c r="FP252" s="48" t="s">
        <v>1710</v>
      </c>
      <c r="FQ252" s="48" t="s">
        <v>1710</v>
      </c>
      <c r="FR252" s="48" t="s">
        <v>1710</v>
      </c>
      <c r="FS252" s="48" t="s">
        <v>1710</v>
      </c>
      <c r="FT252" s="48" t="s">
        <v>1710</v>
      </c>
      <c r="FU252" s="48" t="s">
        <v>1710</v>
      </c>
      <c r="FV252" s="48"/>
      <c r="FW252" s="56"/>
      <c r="FX252" s="56"/>
      <c r="FY252" s="56"/>
      <c r="FZ252" s="56"/>
      <c r="GA252" s="55" t="str">
        <f t="shared" si="11"/>
        <v>4388426900415X</v>
      </c>
      <c r="GB252" t="str">
        <f>VLOOKUP(B252,수출코드!$C$2:$D$4,2,FALSE)</f>
        <v>Suwon</v>
      </c>
      <c r="GC252" t="str">
        <f>VLOOKUP(L252,수출코드!$A$2:$B$6,2,FALSE)</f>
        <v/>
      </c>
      <c r="GD252" t="str">
        <f>VLOOKUP(M252,수출코드!$E$2:$F$5,2,FALSE)</f>
        <v>일반</v>
      </c>
      <c r="GE252" s="61">
        <f t="shared" si="9"/>
        <v>45975.493055555555</v>
      </c>
      <c r="GF252" s="62">
        <f t="shared" si="10"/>
        <v>46048.708333333336</v>
      </c>
      <c r="GI252" s="48" t="s">
        <v>2793</v>
      </c>
    </row>
    <row r="253" spans="1:191">
      <c r="A253" s="48" t="s">
        <v>4799</v>
      </c>
      <c r="B253" s="48" t="s">
        <v>1821</v>
      </c>
      <c r="C253" s="48" t="s">
        <v>2048</v>
      </c>
      <c r="D253" s="48" t="s">
        <v>2813</v>
      </c>
      <c r="E253" s="48" t="s">
        <v>4799</v>
      </c>
      <c r="F253" s="48" t="s">
        <v>1710</v>
      </c>
      <c r="G253" s="48" t="s">
        <v>2814</v>
      </c>
      <c r="H253" s="48" t="s">
        <v>4800</v>
      </c>
      <c r="I253" s="48" t="s">
        <v>1884</v>
      </c>
      <c r="J253" s="48" t="s">
        <v>2835</v>
      </c>
      <c r="K253" s="48" t="s">
        <v>1877</v>
      </c>
      <c r="L253" s="48" t="s">
        <v>1842</v>
      </c>
      <c r="M253" s="48" t="s">
        <v>1810</v>
      </c>
      <c r="N253" s="48" t="s">
        <v>1842</v>
      </c>
      <c r="O253" s="48" t="s">
        <v>1811</v>
      </c>
      <c r="P253" s="48" t="s">
        <v>2549</v>
      </c>
      <c r="Q253" s="48" t="s">
        <v>2049</v>
      </c>
      <c r="R253" s="48" t="s">
        <v>1838</v>
      </c>
      <c r="S253" s="48" t="s">
        <v>2050</v>
      </c>
      <c r="T253" s="48" t="s">
        <v>1845</v>
      </c>
      <c r="U253" s="48" t="s">
        <v>2049</v>
      </c>
      <c r="V253" s="48" t="s">
        <v>1838</v>
      </c>
      <c r="W253" s="48" t="s">
        <v>2051</v>
      </c>
      <c r="X253" s="48" t="s">
        <v>2052</v>
      </c>
      <c r="Y253" s="48" t="s">
        <v>2050</v>
      </c>
      <c r="Z253" s="48" t="s">
        <v>2053</v>
      </c>
      <c r="AA253" s="48" t="s">
        <v>2054</v>
      </c>
      <c r="AB253" s="48" t="s">
        <v>1710</v>
      </c>
      <c r="AC253" s="48" t="s">
        <v>2055</v>
      </c>
      <c r="AD253" s="48" t="s">
        <v>2056</v>
      </c>
      <c r="AE253" s="48" t="s">
        <v>1710</v>
      </c>
      <c r="AF253" s="48" t="s">
        <v>1710</v>
      </c>
      <c r="AG253" s="48" t="s">
        <v>2057</v>
      </c>
      <c r="AH253" s="48" t="s">
        <v>1815</v>
      </c>
      <c r="AI253" s="48" t="s">
        <v>2058</v>
      </c>
      <c r="AJ253" s="48" t="s">
        <v>1710</v>
      </c>
      <c r="AK253" s="48" t="s">
        <v>2560</v>
      </c>
      <c r="AL253" s="48" t="s">
        <v>2561</v>
      </c>
      <c r="AM253" s="48" t="s">
        <v>1816</v>
      </c>
      <c r="AN253" s="48" t="s">
        <v>2054</v>
      </c>
      <c r="AO253" s="48" t="s">
        <v>1710</v>
      </c>
      <c r="AP253" s="48" t="s">
        <v>1855</v>
      </c>
      <c r="AQ253" s="48" t="s">
        <v>2076</v>
      </c>
      <c r="AR253" s="48" t="s">
        <v>1812</v>
      </c>
      <c r="AS253" s="48" t="s">
        <v>1813</v>
      </c>
      <c r="AT253" s="48" t="s">
        <v>1826</v>
      </c>
      <c r="AU253" s="48" t="s">
        <v>2061</v>
      </c>
      <c r="AV253" s="48" t="s">
        <v>2835</v>
      </c>
      <c r="AW253" s="48" t="s">
        <v>2062</v>
      </c>
      <c r="AX253" s="48" t="s">
        <v>2063</v>
      </c>
      <c r="AY253" s="48" t="s">
        <v>1710</v>
      </c>
      <c r="AZ253" s="48" t="s">
        <v>4801</v>
      </c>
      <c r="BA253" s="48" t="s">
        <v>1710</v>
      </c>
      <c r="BB253" s="48" t="s">
        <v>1709</v>
      </c>
      <c r="BC253" s="48" t="s">
        <v>1710</v>
      </c>
      <c r="BD253" s="48" t="s">
        <v>3137</v>
      </c>
      <c r="BE253" s="52" t="s">
        <v>4746</v>
      </c>
      <c r="BF253" s="48" t="s">
        <v>1710</v>
      </c>
      <c r="BG253" s="48" t="s">
        <v>1820</v>
      </c>
      <c r="BH253">
        <v>261</v>
      </c>
      <c r="BI253" s="48" t="s">
        <v>1888</v>
      </c>
      <c r="BJ253">
        <v>3</v>
      </c>
      <c r="BK253">
        <v>1473.06</v>
      </c>
      <c r="BL253">
        <v>192253598</v>
      </c>
      <c r="BM253">
        <v>130513</v>
      </c>
      <c r="BN253" s="48" t="s">
        <v>2064</v>
      </c>
      <c r="BO253" s="48" t="s">
        <v>2065</v>
      </c>
      <c r="BP253">
        <v>1473.06</v>
      </c>
      <c r="BQ253">
        <v>131367.63</v>
      </c>
      <c r="BR253" s="48" t="s">
        <v>1885</v>
      </c>
      <c r="BS253" s="48" t="s">
        <v>2066</v>
      </c>
      <c r="BT253">
        <v>1</v>
      </c>
      <c r="BU253">
        <v>1258800</v>
      </c>
      <c r="BV253">
        <v>1258800</v>
      </c>
      <c r="BW253" s="48" t="s">
        <v>2065</v>
      </c>
      <c r="BX253">
        <v>1473.06</v>
      </c>
      <c r="BY253">
        <v>0</v>
      </c>
      <c r="BZ253">
        <v>0</v>
      </c>
      <c r="CA253" s="48" t="s">
        <v>2065</v>
      </c>
      <c r="CB253">
        <v>1473.06</v>
      </c>
      <c r="CC253">
        <v>0</v>
      </c>
      <c r="CD253">
        <v>0</v>
      </c>
      <c r="CE253" s="48" t="s">
        <v>1710</v>
      </c>
      <c r="CF253" s="48" t="s">
        <v>1710</v>
      </c>
      <c r="CG253" s="48" t="s">
        <v>1710</v>
      </c>
      <c r="CH253" s="48" t="s">
        <v>1710</v>
      </c>
      <c r="CI253" s="48" t="s">
        <v>2067</v>
      </c>
      <c r="CJ253" s="48" t="s">
        <v>1710</v>
      </c>
      <c r="CL253" s="48" t="s">
        <v>2835</v>
      </c>
      <c r="CM253" s="48" t="s">
        <v>1710</v>
      </c>
      <c r="CN253" s="48" t="s">
        <v>2068</v>
      </c>
      <c r="CO253" s="48" t="s">
        <v>2069</v>
      </c>
      <c r="CP253" s="48" t="s">
        <v>1710</v>
      </c>
      <c r="CQ253" s="48" t="s">
        <v>1710</v>
      </c>
      <c r="CR253" s="48" t="s">
        <v>1710</v>
      </c>
      <c r="CS253" s="48" t="s">
        <v>1710</v>
      </c>
      <c r="CT253" s="48" t="s">
        <v>1710</v>
      </c>
      <c r="CU253" s="48" t="s">
        <v>1712</v>
      </c>
      <c r="CV253" s="48" t="s">
        <v>1710</v>
      </c>
      <c r="CW253" s="48" t="s">
        <v>1710</v>
      </c>
      <c r="CX253" s="48" t="s">
        <v>2839</v>
      </c>
      <c r="CY253" s="48" t="s">
        <v>1710</v>
      </c>
      <c r="CZ253" s="48" t="s">
        <v>1712</v>
      </c>
      <c r="DA253" s="48" t="s">
        <v>1710</v>
      </c>
      <c r="DB253" s="48" t="s">
        <v>1878</v>
      </c>
      <c r="DC253" s="48" t="s">
        <v>2070</v>
      </c>
      <c r="DD253" s="48" t="s">
        <v>1842</v>
      </c>
      <c r="DE253" s="48" t="s">
        <v>1886</v>
      </c>
      <c r="DF253" s="48" t="s">
        <v>4802</v>
      </c>
      <c r="DG253" s="48" t="s">
        <v>2071</v>
      </c>
      <c r="DH253" s="48" t="s">
        <v>1712</v>
      </c>
      <c r="DI253" s="48" t="s">
        <v>1710</v>
      </c>
      <c r="DJ253" s="48" t="s">
        <v>1710</v>
      </c>
      <c r="DK253" s="48" t="s">
        <v>1710</v>
      </c>
      <c r="DL253" s="48" t="s">
        <v>1710</v>
      </c>
      <c r="DM253" s="48" t="s">
        <v>1710</v>
      </c>
      <c r="DN253" s="48" t="s">
        <v>1710</v>
      </c>
      <c r="DO253" s="48" t="s">
        <v>1710</v>
      </c>
      <c r="DP253" s="48" t="s">
        <v>1710</v>
      </c>
      <c r="DQ253" s="48" t="s">
        <v>1710</v>
      </c>
      <c r="DR253" s="48" t="s">
        <v>2072</v>
      </c>
      <c r="DS253" s="48" t="s">
        <v>1710</v>
      </c>
      <c r="DT253" s="48" t="s">
        <v>1710</v>
      </c>
      <c r="DU253" s="48" t="s">
        <v>2575</v>
      </c>
      <c r="DV253" s="48" t="s">
        <v>2825</v>
      </c>
      <c r="DW253" s="48" t="s">
        <v>1710</v>
      </c>
      <c r="DX253" s="48" t="s">
        <v>4803</v>
      </c>
      <c r="DY253" s="48" t="s">
        <v>1709</v>
      </c>
      <c r="DZ253" s="48" t="s">
        <v>2562</v>
      </c>
      <c r="EA253" s="48" t="s">
        <v>2546</v>
      </c>
      <c r="EB253">
        <v>0</v>
      </c>
      <c r="EC253" s="48" t="s">
        <v>2575</v>
      </c>
      <c r="ED253" s="48" t="s">
        <v>4804</v>
      </c>
      <c r="EE253" s="48" t="s">
        <v>1814</v>
      </c>
      <c r="EF253" s="48" t="s">
        <v>3687</v>
      </c>
      <c r="EG253" s="48" t="s">
        <v>4805</v>
      </c>
      <c r="EH253">
        <v>4</v>
      </c>
      <c r="EI253" s="48" t="s">
        <v>1888</v>
      </c>
      <c r="EJ253">
        <v>1</v>
      </c>
      <c r="EK253" s="48" t="s">
        <v>1887</v>
      </c>
      <c r="EL253">
        <v>3</v>
      </c>
      <c r="EM253" s="48" t="s">
        <v>1886</v>
      </c>
      <c r="EN253">
        <v>4</v>
      </c>
      <c r="EO253" s="48" t="s">
        <v>3688</v>
      </c>
      <c r="EP253" s="48" t="s">
        <v>4796</v>
      </c>
      <c r="EQ253">
        <v>1671.18</v>
      </c>
      <c r="ER253">
        <v>1671.18</v>
      </c>
      <c r="ES253">
        <v>2445734</v>
      </c>
      <c r="ET253">
        <v>1660</v>
      </c>
      <c r="EU253" s="48" t="s">
        <v>1710</v>
      </c>
      <c r="EV253" s="48" t="s">
        <v>1710</v>
      </c>
      <c r="EW253" s="48" t="s">
        <v>1712</v>
      </c>
      <c r="EX253" s="48" t="s">
        <v>1710</v>
      </c>
      <c r="EY253" s="48" t="s">
        <v>4797</v>
      </c>
      <c r="EZ253" s="48" t="s">
        <v>1710</v>
      </c>
      <c r="FA253" s="48" t="s">
        <v>1710</v>
      </c>
      <c r="FB253" s="48" t="s">
        <v>1712</v>
      </c>
      <c r="FC253" s="48" t="s">
        <v>1710</v>
      </c>
      <c r="FD253" s="48" t="s">
        <v>1710</v>
      </c>
      <c r="FE253" s="48" t="s">
        <v>1814</v>
      </c>
      <c r="FF253" s="48" t="s">
        <v>1815</v>
      </c>
      <c r="FG253" s="48" t="s">
        <v>1710</v>
      </c>
      <c r="FH253">
        <v>1</v>
      </c>
      <c r="FI253" s="48" t="s">
        <v>1846</v>
      </c>
      <c r="FJ253">
        <v>1671.18</v>
      </c>
      <c r="FK253">
        <v>1671.18</v>
      </c>
      <c r="FL253" s="48" t="s">
        <v>4798</v>
      </c>
      <c r="FM253" s="48" t="s">
        <v>4796</v>
      </c>
      <c r="FN253" s="48" t="s">
        <v>1710</v>
      </c>
      <c r="FO253" s="48" t="s">
        <v>1710</v>
      </c>
      <c r="FP253" s="48" t="s">
        <v>1710</v>
      </c>
      <c r="FQ253" s="48" t="s">
        <v>1710</v>
      </c>
      <c r="FR253" s="48" t="s">
        <v>1710</v>
      </c>
      <c r="FS253" s="48" t="s">
        <v>1710</v>
      </c>
      <c r="FT253" s="48" t="s">
        <v>1710</v>
      </c>
      <c r="FU253" s="48" t="s">
        <v>1710</v>
      </c>
      <c r="FV253" s="48"/>
      <c r="FW253" s="56"/>
      <c r="FX253" s="56"/>
      <c r="FY253" s="56"/>
      <c r="FZ253" s="56"/>
      <c r="GA253" s="55" t="str">
        <f t="shared" si="11"/>
        <v>4388426900416X</v>
      </c>
      <c r="GB253" t="str">
        <f>VLOOKUP(B253,수출코드!$C$2:$D$4,2,FALSE)</f>
        <v>Suwon</v>
      </c>
      <c r="GC253" t="str">
        <f>VLOOKUP(L253,수출코드!$A$2:$B$6,2,FALSE)</f>
        <v/>
      </c>
      <c r="GD253" t="str">
        <f>VLOOKUP(M253,수출코드!$E$2:$F$5,2,FALSE)</f>
        <v>일반</v>
      </c>
      <c r="GE253" s="61">
        <f t="shared" si="9"/>
        <v>45975.493055555555</v>
      </c>
      <c r="GF253" s="62">
        <f t="shared" si="10"/>
        <v>46048.713888888888</v>
      </c>
      <c r="GI253" s="48" t="s">
        <v>2793</v>
      </c>
    </row>
    <row r="254" spans="1:191">
      <c r="A254" s="48" t="s">
        <v>4806</v>
      </c>
      <c r="B254" s="48" t="s">
        <v>1821</v>
      </c>
      <c r="C254" s="48" t="s">
        <v>2048</v>
      </c>
      <c r="D254" s="48" t="s">
        <v>2813</v>
      </c>
      <c r="E254" s="48" t="s">
        <v>4806</v>
      </c>
      <c r="F254" s="48" t="s">
        <v>1710</v>
      </c>
      <c r="G254" s="48" t="s">
        <v>2814</v>
      </c>
      <c r="H254" s="48" t="s">
        <v>4807</v>
      </c>
      <c r="I254" s="48" t="s">
        <v>1884</v>
      </c>
      <c r="J254" s="48" t="s">
        <v>2835</v>
      </c>
      <c r="K254" s="48" t="s">
        <v>1877</v>
      </c>
      <c r="L254" s="48" t="s">
        <v>1842</v>
      </c>
      <c r="M254" s="48" t="s">
        <v>1810</v>
      </c>
      <c r="N254" s="48" t="s">
        <v>1842</v>
      </c>
      <c r="O254" s="48" t="s">
        <v>1811</v>
      </c>
      <c r="P254" s="48" t="s">
        <v>2549</v>
      </c>
      <c r="Q254" s="48" t="s">
        <v>2049</v>
      </c>
      <c r="R254" s="48" t="s">
        <v>1838</v>
      </c>
      <c r="S254" s="48" t="s">
        <v>2050</v>
      </c>
      <c r="T254" s="48" t="s">
        <v>1845</v>
      </c>
      <c r="U254" s="48" t="s">
        <v>2049</v>
      </c>
      <c r="V254" s="48" t="s">
        <v>1838</v>
      </c>
      <c r="W254" s="48" t="s">
        <v>2051</v>
      </c>
      <c r="X254" s="48" t="s">
        <v>2052</v>
      </c>
      <c r="Y254" s="48" t="s">
        <v>2050</v>
      </c>
      <c r="Z254" s="48" t="s">
        <v>2053</v>
      </c>
      <c r="AA254" s="48" t="s">
        <v>2054</v>
      </c>
      <c r="AB254" s="48" t="s">
        <v>1710</v>
      </c>
      <c r="AC254" s="48" t="s">
        <v>2055</v>
      </c>
      <c r="AD254" s="48" t="s">
        <v>2056</v>
      </c>
      <c r="AE254" s="48" t="s">
        <v>1710</v>
      </c>
      <c r="AF254" s="48" t="s">
        <v>1710</v>
      </c>
      <c r="AG254" s="48" t="s">
        <v>2057</v>
      </c>
      <c r="AH254" s="48" t="s">
        <v>1815</v>
      </c>
      <c r="AI254" s="48" t="s">
        <v>2058</v>
      </c>
      <c r="AJ254" s="48" t="s">
        <v>1710</v>
      </c>
      <c r="AK254" s="48" t="s">
        <v>2096</v>
      </c>
      <c r="AL254" s="48" t="s">
        <v>1856</v>
      </c>
      <c r="AM254" s="48" t="s">
        <v>1816</v>
      </c>
      <c r="AN254" s="48" t="s">
        <v>2054</v>
      </c>
      <c r="AO254" s="48" t="s">
        <v>1710</v>
      </c>
      <c r="AP254" s="48" t="s">
        <v>1855</v>
      </c>
      <c r="AQ254" s="48" t="s">
        <v>2076</v>
      </c>
      <c r="AR254" s="48" t="s">
        <v>1812</v>
      </c>
      <c r="AS254" s="48" t="s">
        <v>1813</v>
      </c>
      <c r="AT254" s="48" t="s">
        <v>1826</v>
      </c>
      <c r="AU254" s="48" t="s">
        <v>2061</v>
      </c>
      <c r="AV254" s="48" t="s">
        <v>2835</v>
      </c>
      <c r="AW254" s="48" t="s">
        <v>2062</v>
      </c>
      <c r="AX254" s="48" t="s">
        <v>2063</v>
      </c>
      <c r="AY254" s="48" t="s">
        <v>1710</v>
      </c>
      <c r="AZ254" s="48" t="s">
        <v>4808</v>
      </c>
      <c r="BA254" s="48" t="s">
        <v>1710</v>
      </c>
      <c r="BB254" s="48" t="s">
        <v>1709</v>
      </c>
      <c r="BC254" s="48" t="s">
        <v>1710</v>
      </c>
      <c r="BD254" s="48" t="s">
        <v>3137</v>
      </c>
      <c r="BE254" s="52" t="s">
        <v>4746</v>
      </c>
      <c r="BF254" s="48" t="s">
        <v>1710</v>
      </c>
      <c r="BG254" s="48" t="s">
        <v>1819</v>
      </c>
      <c r="BH254">
        <v>74</v>
      </c>
      <c r="BI254" s="48" t="s">
        <v>1888</v>
      </c>
      <c r="BJ254">
        <v>1</v>
      </c>
      <c r="BK254">
        <v>1473.06</v>
      </c>
      <c r="BL254">
        <v>97442307</v>
      </c>
      <c r="BM254">
        <v>66150</v>
      </c>
      <c r="BN254" s="48" t="s">
        <v>2064</v>
      </c>
      <c r="BO254" s="48" t="s">
        <v>2065</v>
      </c>
      <c r="BP254">
        <v>1473.06</v>
      </c>
      <c r="BQ254">
        <v>66394.789999999994</v>
      </c>
      <c r="BR254" s="48" t="s">
        <v>1885</v>
      </c>
      <c r="BS254" s="48" t="s">
        <v>2066</v>
      </c>
      <c r="BT254">
        <v>1</v>
      </c>
      <c r="BU254">
        <v>361200</v>
      </c>
      <c r="BV254">
        <v>361200</v>
      </c>
      <c r="BW254" s="48" t="s">
        <v>2065</v>
      </c>
      <c r="BX254">
        <v>1473.06</v>
      </c>
      <c r="BY254">
        <v>0</v>
      </c>
      <c r="BZ254">
        <v>0</v>
      </c>
      <c r="CA254" s="48" t="s">
        <v>2065</v>
      </c>
      <c r="CB254">
        <v>1473.06</v>
      </c>
      <c r="CC254">
        <v>0</v>
      </c>
      <c r="CD254">
        <v>0</v>
      </c>
      <c r="CE254" s="48" t="s">
        <v>1710</v>
      </c>
      <c r="CF254" s="48" t="s">
        <v>1710</v>
      </c>
      <c r="CG254" s="48" t="s">
        <v>1710</v>
      </c>
      <c r="CH254" s="48" t="s">
        <v>1710</v>
      </c>
      <c r="CI254" s="48" t="s">
        <v>2067</v>
      </c>
      <c r="CJ254" s="48" t="s">
        <v>1710</v>
      </c>
      <c r="CL254" s="48" t="s">
        <v>2835</v>
      </c>
      <c r="CM254" s="48" t="s">
        <v>1710</v>
      </c>
      <c r="CN254" s="48" t="s">
        <v>2068</v>
      </c>
      <c r="CO254" s="48" t="s">
        <v>2069</v>
      </c>
      <c r="CP254" s="48" t="s">
        <v>1710</v>
      </c>
      <c r="CQ254" s="48" t="s">
        <v>1710</v>
      </c>
      <c r="CR254" s="48" t="s">
        <v>1710</v>
      </c>
      <c r="CS254" s="48" t="s">
        <v>1710</v>
      </c>
      <c r="CT254" s="48" t="s">
        <v>1710</v>
      </c>
      <c r="CU254" s="48" t="s">
        <v>1712</v>
      </c>
      <c r="CV254" s="48" t="s">
        <v>1710</v>
      </c>
      <c r="CW254" s="48" t="s">
        <v>1710</v>
      </c>
      <c r="CX254" s="48" t="s">
        <v>2839</v>
      </c>
      <c r="CY254" s="48" t="s">
        <v>1710</v>
      </c>
      <c r="CZ254" s="48" t="s">
        <v>1712</v>
      </c>
      <c r="DA254" s="48" t="s">
        <v>1710</v>
      </c>
      <c r="DB254" s="48" t="s">
        <v>1878</v>
      </c>
      <c r="DC254" s="48" t="s">
        <v>2070</v>
      </c>
      <c r="DD254" s="48" t="s">
        <v>1842</v>
      </c>
      <c r="DE254" s="48" t="s">
        <v>1886</v>
      </c>
      <c r="DF254" s="48" t="s">
        <v>4809</v>
      </c>
      <c r="DG254" s="48" t="s">
        <v>2071</v>
      </c>
      <c r="DH254" s="48" t="s">
        <v>1712</v>
      </c>
      <c r="DI254" s="48" t="s">
        <v>1710</v>
      </c>
      <c r="DJ254" s="48" t="s">
        <v>1710</v>
      </c>
      <c r="DK254" s="48" t="s">
        <v>1710</v>
      </c>
      <c r="DL254" s="48" t="s">
        <v>1710</v>
      </c>
      <c r="DM254" s="48" t="s">
        <v>1710</v>
      </c>
      <c r="DN254" s="48" t="s">
        <v>1710</v>
      </c>
      <c r="DO254" s="48" t="s">
        <v>1710</v>
      </c>
      <c r="DP254" s="48" t="s">
        <v>1710</v>
      </c>
      <c r="DQ254" s="48" t="s">
        <v>1710</v>
      </c>
      <c r="DR254" s="48" t="s">
        <v>2072</v>
      </c>
      <c r="DS254" s="48" t="s">
        <v>1710</v>
      </c>
      <c r="DT254" s="48" t="s">
        <v>1710</v>
      </c>
      <c r="DU254" s="48" t="s">
        <v>2575</v>
      </c>
      <c r="DV254" s="48" t="s">
        <v>2825</v>
      </c>
      <c r="DW254" s="48" t="s">
        <v>1710</v>
      </c>
      <c r="DX254" s="48" t="s">
        <v>4810</v>
      </c>
      <c r="DY254" s="48" t="s">
        <v>1709</v>
      </c>
      <c r="DZ254" s="48" t="s">
        <v>2562</v>
      </c>
      <c r="EA254" s="48" t="s">
        <v>2546</v>
      </c>
      <c r="EB254">
        <v>0</v>
      </c>
      <c r="EC254" s="48" t="s">
        <v>2575</v>
      </c>
      <c r="ED254" s="48" t="s">
        <v>4766</v>
      </c>
      <c r="EE254" s="48" t="s">
        <v>1814</v>
      </c>
      <c r="EF254" s="48" t="s">
        <v>1881</v>
      </c>
      <c r="EG254" s="48" t="s">
        <v>4808</v>
      </c>
      <c r="EH254">
        <v>9</v>
      </c>
      <c r="EI254" s="48" t="s">
        <v>1888</v>
      </c>
      <c r="EJ254">
        <v>0</v>
      </c>
      <c r="EK254" s="48" t="s">
        <v>1710</v>
      </c>
      <c r="EL254">
        <v>1</v>
      </c>
      <c r="EM254" s="48" t="s">
        <v>1886</v>
      </c>
      <c r="EN254">
        <v>9</v>
      </c>
      <c r="EO254" s="48" t="s">
        <v>2601</v>
      </c>
      <c r="EP254" s="48" t="s">
        <v>4811</v>
      </c>
      <c r="EQ254">
        <v>34035.4</v>
      </c>
      <c r="ER254">
        <v>34035.4</v>
      </c>
      <c r="ES254">
        <v>49951027</v>
      </c>
      <c r="ET254">
        <v>33910</v>
      </c>
      <c r="EU254" s="48" t="s">
        <v>1710</v>
      </c>
      <c r="EV254" s="48" t="s">
        <v>1710</v>
      </c>
      <c r="EW254" s="48" t="s">
        <v>1712</v>
      </c>
      <c r="EX254" s="48" t="s">
        <v>1710</v>
      </c>
      <c r="EY254" s="48" t="s">
        <v>1848</v>
      </c>
      <c r="EZ254" s="48" t="s">
        <v>1710</v>
      </c>
      <c r="FA254" s="48" t="s">
        <v>1710</v>
      </c>
      <c r="FB254" s="48" t="s">
        <v>1712</v>
      </c>
      <c r="FC254" s="48" t="s">
        <v>1710</v>
      </c>
      <c r="FD254" s="48" t="s">
        <v>1710</v>
      </c>
      <c r="FE254" s="48" t="s">
        <v>1814</v>
      </c>
      <c r="FF254" s="48" t="s">
        <v>1815</v>
      </c>
      <c r="FG254" s="48" t="s">
        <v>1710</v>
      </c>
      <c r="FH254">
        <v>1</v>
      </c>
      <c r="FI254" s="48" t="s">
        <v>1846</v>
      </c>
      <c r="FJ254">
        <v>34035.4</v>
      </c>
      <c r="FK254">
        <v>34035.4</v>
      </c>
      <c r="FL254" s="48" t="s">
        <v>4812</v>
      </c>
      <c r="FM254" s="48" t="s">
        <v>4811</v>
      </c>
      <c r="FN254" s="48" t="s">
        <v>1710</v>
      </c>
      <c r="FO254" s="48" t="s">
        <v>1710</v>
      </c>
      <c r="FP254" s="48" t="s">
        <v>1710</v>
      </c>
      <c r="FQ254" s="48" t="s">
        <v>1710</v>
      </c>
      <c r="FR254" s="48" t="s">
        <v>1710</v>
      </c>
      <c r="FS254" s="48" t="s">
        <v>1710</v>
      </c>
      <c r="FT254" s="48" t="s">
        <v>1710</v>
      </c>
      <c r="FU254" s="48" t="s">
        <v>1710</v>
      </c>
      <c r="FV254" s="48"/>
      <c r="FW254" s="56"/>
      <c r="FX254" s="56"/>
      <c r="FY254" s="56"/>
      <c r="FZ254" s="56"/>
      <c r="GA254" s="55" t="str">
        <f t="shared" si="11"/>
        <v>4388426900417X</v>
      </c>
      <c r="GB254" t="str">
        <f>VLOOKUP(B254,수출코드!$C$2:$D$4,2,FALSE)</f>
        <v>Suwon</v>
      </c>
      <c r="GC254" t="str">
        <f>VLOOKUP(L254,수출코드!$A$2:$B$6,2,FALSE)</f>
        <v/>
      </c>
      <c r="GD254" t="str">
        <f>VLOOKUP(M254,수출코드!$E$2:$F$5,2,FALSE)</f>
        <v>일반</v>
      </c>
      <c r="GE254" s="61">
        <f t="shared" si="9"/>
        <v>45975.493055555555</v>
      </c>
      <c r="GF254" s="62">
        <f t="shared" si="10"/>
        <v>46048.710416666669</v>
      </c>
      <c r="GI254" s="48" t="s">
        <v>2793</v>
      </c>
    </row>
    <row r="255" spans="1:191">
      <c r="A255" s="48" t="s">
        <v>4813</v>
      </c>
      <c r="B255" s="48" t="s">
        <v>1821</v>
      </c>
      <c r="C255" s="48" t="s">
        <v>2048</v>
      </c>
      <c r="D255" s="48" t="s">
        <v>2813</v>
      </c>
      <c r="E255" s="48" t="s">
        <v>4813</v>
      </c>
      <c r="F255" s="48" t="s">
        <v>1710</v>
      </c>
      <c r="G255" s="48" t="s">
        <v>2814</v>
      </c>
      <c r="H255" s="48" t="s">
        <v>4814</v>
      </c>
      <c r="I255" s="48" t="s">
        <v>1884</v>
      </c>
      <c r="J255" s="48" t="s">
        <v>2835</v>
      </c>
      <c r="K255" s="48" t="s">
        <v>1877</v>
      </c>
      <c r="L255" s="48" t="s">
        <v>1844</v>
      </c>
      <c r="M255" s="48" t="s">
        <v>1810</v>
      </c>
      <c r="N255" s="48" t="s">
        <v>1842</v>
      </c>
      <c r="O255" s="48" t="s">
        <v>1811</v>
      </c>
      <c r="P255" s="48" t="s">
        <v>2549</v>
      </c>
      <c r="Q255" s="48" t="s">
        <v>2049</v>
      </c>
      <c r="R255" s="48" t="s">
        <v>1838</v>
      </c>
      <c r="S255" s="48" t="s">
        <v>2050</v>
      </c>
      <c r="T255" s="48" t="s">
        <v>1845</v>
      </c>
      <c r="U255" s="48" t="s">
        <v>2049</v>
      </c>
      <c r="V255" s="48" t="s">
        <v>1838</v>
      </c>
      <c r="W255" s="48" t="s">
        <v>2051</v>
      </c>
      <c r="X255" s="48" t="s">
        <v>2052</v>
      </c>
      <c r="Y255" s="48" t="s">
        <v>2050</v>
      </c>
      <c r="Z255" s="48" t="s">
        <v>2053</v>
      </c>
      <c r="AA255" s="48" t="s">
        <v>2054</v>
      </c>
      <c r="AB255" s="48" t="s">
        <v>1710</v>
      </c>
      <c r="AC255" s="48" t="s">
        <v>2055</v>
      </c>
      <c r="AD255" s="48" t="s">
        <v>2056</v>
      </c>
      <c r="AE255" s="48" t="s">
        <v>1710</v>
      </c>
      <c r="AF255" s="48" t="s">
        <v>1710</v>
      </c>
      <c r="AG255" s="48" t="s">
        <v>2057</v>
      </c>
      <c r="AH255" s="48" t="s">
        <v>1815</v>
      </c>
      <c r="AI255" s="48" t="s">
        <v>2058</v>
      </c>
      <c r="AJ255" s="48" t="s">
        <v>1710</v>
      </c>
      <c r="AK255" s="48" t="s">
        <v>2563</v>
      </c>
      <c r="AL255" s="48" t="s">
        <v>2564</v>
      </c>
      <c r="AM255" s="48" t="s">
        <v>1816</v>
      </c>
      <c r="AN255" s="48" t="s">
        <v>2054</v>
      </c>
      <c r="AO255" s="48" t="s">
        <v>1710</v>
      </c>
      <c r="AP255" s="48" t="s">
        <v>1855</v>
      </c>
      <c r="AQ255" s="48" t="s">
        <v>2076</v>
      </c>
      <c r="AR255" s="48" t="s">
        <v>1812</v>
      </c>
      <c r="AS255" s="48" t="s">
        <v>1813</v>
      </c>
      <c r="AT255" s="48" t="s">
        <v>1826</v>
      </c>
      <c r="AU255" s="48" t="s">
        <v>2061</v>
      </c>
      <c r="AV255" s="48" t="s">
        <v>2835</v>
      </c>
      <c r="AW255" s="48" t="s">
        <v>2062</v>
      </c>
      <c r="AX255" s="48" t="s">
        <v>2063</v>
      </c>
      <c r="AY255" s="48" t="s">
        <v>1710</v>
      </c>
      <c r="AZ255" s="48" t="s">
        <v>4815</v>
      </c>
      <c r="BA255" s="48" t="s">
        <v>1710</v>
      </c>
      <c r="BB255" s="48" t="s">
        <v>1709</v>
      </c>
      <c r="BC255" s="48" t="s">
        <v>1710</v>
      </c>
      <c r="BD255" s="48" t="s">
        <v>3137</v>
      </c>
      <c r="BE255" s="52" t="s">
        <v>4816</v>
      </c>
      <c r="BF255" s="48" t="s">
        <v>1710</v>
      </c>
      <c r="BG255" s="48" t="s">
        <v>1820</v>
      </c>
      <c r="BH255">
        <v>12</v>
      </c>
      <c r="BI255" s="48" t="s">
        <v>1888</v>
      </c>
      <c r="BJ255">
        <v>2</v>
      </c>
      <c r="BK255">
        <v>1473.06</v>
      </c>
      <c r="BL255">
        <v>7763869</v>
      </c>
      <c r="BM255">
        <v>5271</v>
      </c>
      <c r="BN255" s="48" t="s">
        <v>2064</v>
      </c>
      <c r="BO255" s="48" t="s">
        <v>2065</v>
      </c>
      <c r="BP255">
        <v>1473.06</v>
      </c>
      <c r="BQ255">
        <v>5316.6</v>
      </c>
      <c r="BR255" s="48" t="s">
        <v>1885</v>
      </c>
      <c r="BS255" s="48" t="s">
        <v>2066</v>
      </c>
      <c r="BT255">
        <v>1</v>
      </c>
      <c r="BU255">
        <v>67800</v>
      </c>
      <c r="BV255">
        <v>67800</v>
      </c>
      <c r="BW255" s="48" t="s">
        <v>2065</v>
      </c>
      <c r="BX255">
        <v>1473.06</v>
      </c>
      <c r="BY255">
        <v>0</v>
      </c>
      <c r="BZ255">
        <v>0</v>
      </c>
      <c r="CA255" s="48" t="s">
        <v>2065</v>
      </c>
      <c r="CB255">
        <v>1473.06</v>
      </c>
      <c r="CC255">
        <v>0</v>
      </c>
      <c r="CD255">
        <v>0</v>
      </c>
      <c r="CE255" s="48" t="s">
        <v>1710</v>
      </c>
      <c r="CF255" s="48" t="s">
        <v>1710</v>
      </c>
      <c r="CG255" s="48" t="s">
        <v>1710</v>
      </c>
      <c r="CH255" s="48" t="s">
        <v>1710</v>
      </c>
      <c r="CI255" s="48" t="s">
        <v>2067</v>
      </c>
      <c r="CJ255" s="48" t="s">
        <v>1710</v>
      </c>
      <c r="CL255" s="48" t="s">
        <v>2850</v>
      </c>
      <c r="CM255" s="48" t="s">
        <v>1710</v>
      </c>
      <c r="CN255" s="48" t="s">
        <v>2068</v>
      </c>
      <c r="CO255" s="48" t="s">
        <v>2069</v>
      </c>
      <c r="CP255" s="48" t="s">
        <v>1710</v>
      </c>
      <c r="CQ255" s="48" t="s">
        <v>1710</v>
      </c>
      <c r="CR255" s="48" t="s">
        <v>1710</v>
      </c>
      <c r="CS255" s="48" t="s">
        <v>1710</v>
      </c>
      <c r="CT255" s="48" t="s">
        <v>1710</v>
      </c>
      <c r="CU255" s="48" t="s">
        <v>1712</v>
      </c>
      <c r="CV255" s="48" t="s">
        <v>1710</v>
      </c>
      <c r="CW255" s="48" t="s">
        <v>1710</v>
      </c>
      <c r="CX255" s="48" t="s">
        <v>3014</v>
      </c>
      <c r="CY255" s="48" t="s">
        <v>1710</v>
      </c>
      <c r="CZ255" s="48" t="s">
        <v>1712</v>
      </c>
      <c r="DA255" s="48" t="s">
        <v>1710</v>
      </c>
      <c r="DB255" s="48" t="s">
        <v>1878</v>
      </c>
      <c r="DC255" s="48" t="s">
        <v>2070</v>
      </c>
      <c r="DD255" s="48" t="s">
        <v>1842</v>
      </c>
      <c r="DE255" s="48" t="s">
        <v>1886</v>
      </c>
      <c r="DF255" s="48" t="s">
        <v>4817</v>
      </c>
      <c r="DG255" s="48" t="s">
        <v>2071</v>
      </c>
      <c r="DH255" s="48" t="s">
        <v>1712</v>
      </c>
      <c r="DI255" s="48" t="s">
        <v>1710</v>
      </c>
      <c r="DJ255" s="48" t="s">
        <v>1710</v>
      </c>
      <c r="DK255" s="48" t="s">
        <v>1710</v>
      </c>
      <c r="DL255" s="48" t="s">
        <v>1710</v>
      </c>
      <c r="DM255" s="48" t="s">
        <v>1710</v>
      </c>
      <c r="DN255" s="48" t="s">
        <v>1710</v>
      </c>
      <c r="DO255" s="48" t="s">
        <v>1710</v>
      </c>
      <c r="DP255" s="48" t="s">
        <v>1710</v>
      </c>
      <c r="DQ255" s="48" t="s">
        <v>1710</v>
      </c>
      <c r="DR255" s="48" t="s">
        <v>2072</v>
      </c>
      <c r="DS255" s="48" t="s">
        <v>1710</v>
      </c>
      <c r="DT255" s="48" t="s">
        <v>1710</v>
      </c>
      <c r="DU255" s="48" t="s">
        <v>2575</v>
      </c>
      <c r="DV255" s="48" t="s">
        <v>2825</v>
      </c>
      <c r="DW255" s="48" t="s">
        <v>1710</v>
      </c>
      <c r="DX255" s="48" t="s">
        <v>4818</v>
      </c>
      <c r="DY255" s="48" t="s">
        <v>1709</v>
      </c>
      <c r="DZ255" s="48" t="s">
        <v>2084</v>
      </c>
      <c r="EA255" s="48" t="s">
        <v>2546</v>
      </c>
      <c r="EB255">
        <v>0</v>
      </c>
      <c r="EC255" s="48" t="s">
        <v>2575</v>
      </c>
      <c r="ED255" s="48" t="s">
        <v>4819</v>
      </c>
      <c r="EE255" s="48" t="s">
        <v>1814</v>
      </c>
      <c r="EF255" s="48" t="s">
        <v>1852</v>
      </c>
      <c r="EG255" s="48" t="s">
        <v>4815</v>
      </c>
      <c r="EH255">
        <v>0.49199999999999999</v>
      </c>
      <c r="EI255" s="48" t="s">
        <v>1888</v>
      </c>
      <c r="EJ255">
        <v>0</v>
      </c>
      <c r="EK255" s="48" t="s">
        <v>1710</v>
      </c>
      <c r="EL255">
        <v>2</v>
      </c>
      <c r="EM255" s="48" t="s">
        <v>1886</v>
      </c>
      <c r="EN255">
        <v>0.49199999999999999</v>
      </c>
      <c r="EO255" s="48" t="s">
        <v>2521</v>
      </c>
      <c r="EP255" s="48" t="s">
        <v>4820</v>
      </c>
      <c r="EQ255">
        <v>1555.6</v>
      </c>
      <c r="ER255">
        <v>1555.6</v>
      </c>
      <c r="ES255">
        <v>2271654</v>
      </c>
      <c r="ET255">
        <v>1542</v>
      </c>
      <c r="EU255" s="48" t="s">
        <v>1710</v>
      </c>
      <c r="EV255" s="48" t="s">
        <v>1710</v>
      </c>
      <c r="EW255" s="48" t="s">
        <v>1712</v>
      </c>
      <c r="EX255" s="48" t="s">
        <v>1710</v>
      </c>
      <c r="EY255" s="48" t="s">
        <v>1848</v>
      </c>
      <c r="EZ255" s="48" t="s">
        <v>1710</v>
      </c>
      <c r="FA255" s="48" t="s">
        <v>1710</v>
      </c>
      <c r="FB255" s="48" t="s">
        <v>1712</v>
      </c>
      <c r="FC255" s="48" t="s">
        <v>1710</v>
      </c>
      <c r="FD255" s="48" t="s">
        <v>1710</v>
      </c>
      <c r="FE255" s="48" t="s">
        <v>1814</v>
      </c>
      <c r="FF255" s="48" t="s">
        <v>1815</v>
      </c>
      <c r="FG255" s="48" t="s">
        <v>1710</v>
      </c>
      <c r="FH255">
        <v>3</v>
      </c>
      <c r="FI255" s="48" t="s">
        <v>1846</v>
      </c>
      <c r="FJ255">
        <v>1555.6</v>
      </c>
      <c r="FK255">
        <v>518.53300000000002</v>
      </c>
      <c r="FL255" s="48" t="s">
        <v>4821</v>
      </c>
      <c r="FM255" s="48" t="s">
        <v>4820</v>
      </c>
      <c r="FN255" s="48" t="s">
        <v>1710</v>
      </c>
      <c r="FO255" s="48" t="s">
        <v>1710</v>
      </c>
      <c r="FP255" s="48" t="s">
        <v>1710</v>
      </c>
      <c r="FQ255" s="48" t="s">
        <v>1710</v>
      </c>
      <c r="FR255" s="48" t="s">
        <v>1710</v>
      </c>
      <c r="FS255" s="48" t="s">
        <v>1710</v>
      </c>
      <c r="FT255" s="48" t="s">
        <v>1710</v>
      </c>
      <c r="FU255" s="48" t="s">
        <v>1710</v>
      </c>
      <c r="FV255" s="48"/>
      <c r="FW255" s="56"/>
      <c r="FX255" s="56"/>
      <c r="FY255" s="56"/>
      <c r="FZ255" s="56"/>
      <c r="GA255" s="55" t="str">
        <f t="shared" si="11"/>
        <v>4388426900418X</v>
      </c>
      <c r="GB255" t="str">
        <f>VLOOKUP(B255,수출코드!$C$2:$D$4,2,FALSE)</f>
        <v>Suwon</v>
      </c>
      <c r="GC255" t="str">
        <f>VLOOKUP(L255,수출코드!$A$2:$B$6,2,FALSE)</f>
        <v>화면심사</v>
      </c>
      <c r="GD255" t="str">
        <f>VLOOKUP(M255,수출코드!$E$2:$F$5,2,FALSE)</f>
        <v>일반</v>
      </c>
      <c r="GE255" s="61">
        <f t="shared" si="9"/>
        <v>45975.564583333333</v>
      </c>
      <c r="GF255" s="62">
        <f t="shared" si="10"/>
        <v>46049.386111111111</v>
      </c>
      <c r="GI255" s="48" t="s">
        <v>2794</v>
      </c>
    </row>
    <row r="256" spans="1:191">
      <c r="A256" s="48" t="s">
        <v>4822</v>
      </c>
      <c r="B256" s="48" t="s">
        <v>1821</v>
      </c>
      <c r="C256" s="48" t="s">
        <v>2048</v>
      </c>
      <c r="D256" s="48" t="s">
        <v>2813</v>
      </c>
      <c r="E256" s="48" t="s">
        <v>4822</v>
      </c>
      <c r="F256" s="48" t="s">
        <v>1710</v>
      </c>
      <c r="G256" s="48" t="s">
        <v>2814</v>
      </c>
      <c r="H256" s="48" t="s">
        <v>4823</v>
      </c>
      <c r="I256" s="48" t="s">
        <v>1884</v>
      </c>
      <c r="J256" s="48" t="s">
        <v>2835</v>
      </c>
      <c r="K256" s="48" t="s">
        <v>1885</v>
      </c>
      <c r="L256" s="48" t="s">
        <v>1883</v>
      </c>
      <c r="M256" s="48" t="s">
        <v>2085</v>
      </c>
      <c r="N256" s="48" t="s">
        <v>1842</v>
      </c>
      <c r="O256" s="48" t="s">
        <v>1811</v>
      </c>
      <c r="P256" s="48" t="s">
        <v>2549</v>
      </c>
      <c r="Q256" s="48" t="s">
        <v>2049</v>
      </c>
      <c r="R256" s="48" t="s">
        <v>1838</v>
      </c>
      <c r="S256" s="48" t="s">
        <v>2050</v>
      </c>
      <c r="T256" s="48" t="s">
        <v>1845</v>
      </c>
      <c r="U256" s="48" t="s">
        <v>2049</v>
      </c>
      <c r="V256" s="48" t="s">
        <v>1838</v>
      </c>
      <c r="W256" s="48" t="s">
        <v>2051</v>
      </c>
      <c r="X256" s="48" t="s">
        <v>2052</v>
      </c>
      <c r="Y256" s="48" t="s">
        <v>2050</v>
      </c>
      <c r="Z256" s="48" t="s">
        <v>2053</v>
      </c>
      <c r="AA256" s="48" t="s">
        <v>2054</v>
      </c>
      <c r="AB256" s="48" t="s">
        <v>1710</v>
      </c>
      <c r="AC256" s="48" t="s">
        <v>2055</v>
      </c>
      <c r="AD256" s="48" t="s">
        <v>2056</v>
      </c>
      <c r="AE256" s="48" t="s">
        <v>1710</v>
      </c>
      <c r="AF256" s="48" t="s">
        <v>1710</v>
      </c>
      <c r="AG256" s="48" t="s">
        <v>2057</v>
      </c>
      <c r="AH256" s="48" t="s">
        <v>1815</v>
      </c>
      <c r="AI256" s="48" t="s">
        <v>2058</v>
      </c>
      <c r="AJ256" s="48" t="s">
        <v>1710</v>
      </c>
      <c r="AK256" s="48" t="s">
        <v>2563</v>
      </c>
      <c r="AL256" s="48" t="s">
        <v>2564</v>
      </c>
      <c r="AM256" s="48" t="s">
        <v>1816</v>
      </c>
      <c r="AN256" s="48" t="s">
        <v>2054</v>
      </c>
      <c r="AO256" s="48" t="s">
        <v>1710</v>
      </c>
      <c r="AP256" s="48" t="s">
        <v>1855</v>
      </c>
      <c r="AQ256" s="48" t="s">
        <v>2076</v>
      </c>
      <c r="AR256" s="48" t="s">
        <v>1812</v>
      </c>
      <c r="AS256" s="48" t="s">
        <v>1813</v>
      </c>
      <c r="AT256" s="48" t="s">
        <v>1826</v>
      </c>
      <c r="AU256" s="48" t="s">
        <v>2061</v>
      </c>
      <c r="AV256" s="48" t="s">
        <v>2835</v>
      </c>
      <c r="AW256" s="48" t="s">
        <v>2062</v>
      </c>
      <c r="AX256" s="48" t="s">
        <v>2063</v>
      </c>
      <c r="AY256" s="48" t="s">
        <v>1710</v>
      </c>
      <c r="AZ256" s="48" t="s">
        <v>4815</v>
      </c>
      <c r="BA256" s="48" t="s">
        <v>1710</v>
      </c>
      <c r="BB256" s="48" t="s">
        <v>1709</v>
      </c>
      <c r="BC256" s="48" t="s">
        <v>1710</v>
      </c>
      <c r="BD256" s="48" t="s">
        <v>3137</v>
      </c>
      <c r="BE256" s="52" t="s">
        <v>4816</v>
      </c>
      <c r="BF256" s="48" t="s">
        <v>1710</v>
      </c>
      <c r="BG256" s="48" t="s">
        <v>1817</v>
      </c>
      <c r="BH256">
        <v>63</v>
      </c>
      <c r="BI256" s="48" t="s">
        <v>1888</v>
      </c>
      <c r="BJ256">
        <v>2</v>
      </c>
      <c r="BK256">
        <v>1473.06</v>
      </c>
      <c r="BL256">
        <v>37450207</v>
      </c>
      <c r="BM256">
        <v>25423</v>
      </c>
      <c r="BN256" s="48" t="s">
        <v>2064</v>
      </c>
      <c r="BO256" s="48" t="s">
        <v>2065</v>
      </c>
      <c r="BP256">
        <v>1473.06</v>
      </c>
      <c r="BQ256">
        <v>25632.77</v>
      </c>
      <c r="BR256" s="48" t="s">
        <v>1885</v>
      </c>
      <c r="BS256" s="48" t="s">
        <v>2066</v>
      </c>
      <c r="BT256">
        <v>1</v>
      </c>
      <c r="BU256">
        <v>308400</v>
      </c>
      <c r="BV256">
        <v>308400</v>
      </c>
      <c r="BW256" s="48" t="s">
        <v>2065</v>
      </c>
      <c r="BX256">
        <v>1473.06</v>
      </c>
      <c r="BY256">
        <v>0</v>
      </c>
      <c r="BZ256">
        <v>0</v>
      </c>
      <c r="CA256" s="48" t="s">
        <v>2065</v>
      </c>
      <c r="CB256">
        <v>1473.06</v>
      </c>
      <c r="CC256">
        <v>0</v>
      </c>
      <c r="CD256">
        <v>0</v>
      </c>
      <c r="CE256" s="48" t="s">
        <v>1710</v>
      </c>
      <c r="CF256" s="48" t="s">
        <v>1710</v>
      </c>
      <c r="CG256" s="48" t="s">
        <v>1710</v>
      </c>
      <c r="CH256" s="48" t="s">
        <v>1710</v>
      </c>
      <c r="CI256" s="48" t="s">
        <v>2067</v>
      </c>
      <c r="CJ256" s="48" t="s">
        <v>1710</v>
      </c>
      <c r="CL256" s="48" t="s">
        <v>2850</v>
      </c>
      <c r="CM256" s="48" t="s">
        <v>1710</v>
      </c>
      <c r="CN256" s="48" t="s">
        <v>2068</v>
      </c>
      <c r="CO256" s="48" t="s">
        <v>2069</v>
      </c>
      <c r="CP256" s="48" t="s">
        <v>1710</v>
      </c>
      <c r="CQ256" s="48" t="s">
        <v>1710</v>
      </c>
      <c r="CR256" s="48" t="s">
        <v>1710</v>
      </c>
      <c r="CS256" s="48" t="s">
        <v>1710</v>
      </c>
      <c r="CT256" s="48" t="s">
        <v>1710</v>
      </c>
      <c r="CU256" s="48" t="s">
        <v>1712</v>
      </c>
      <c r="CV256" s="48" t="s">
        <v>1710</v>
      </c>
      <c r="CW256" s="48" t="s">
        <v>1710</v>
      </c>
      <c r="CX256" s="48" t="s">
        <v>3014</v>
      </c>
      <c r="CY256" s="48" t="s">
        <v>1710</v>
      </c>
      <c r="CZ256" s="48" t="s">
        <v>1712</v>
      </c>
      <c r="DA256" s="48" t="s">
        <v>1710</v>
      </c>
      <c r="DB256" s="48" t="s">
        <v>1878</v>
      </c>
      <c r="DC256" s="48" t="s">
        <v>2070</v>
      </c>
      <c r="DD256" s="48" t="s">
        <v>1842</v>
      </c>
      <c r="DE256" s="48" t="s">
        <v>1886</v>
      </c>
      <c r="DF256" s="48" t="s">
        <v>4824</v>
      </c>
      <c r="DG256" s="48" t="s">
        <v>2071</v>
      </c>
      <c r="DH256" s="48" t="s">
        <v>1712</v>
      </c>
      <c r="DI256" s="48" t="s">
        <v>1710</v>
      </c>
      <c r="DJ256" s="48" t="s">
        <v>1710</v>
      </c>
      <c r="DK256" s="48" t="s">
        <v>1710</v>
      </c>
      <c r="DL256" s="48" t="s">
        <v>1710</v>
      </c>
      <c r="DM256" s="48" t="s">
        <v>1710</v>
      </c>
      <c r="DN256" s="48" t="s">
        <v>1710</v>
      </c>
      <c r="DO256" s="48" t="s">
        <v>1710</v>
      </c>
      <c r="DP256" s="48" t="s">
        <v>1710</v>
      </c>
      <c r="DQ256" s="48" t="s">
        <v>1710</v>
      </c>
      <c r="DR256" s="48" t="s">
        <v>2072</v>
      </c>
      <c r="DS256" s="48" t="s">
        <v>1710</v>
      </c>
      <c r="DT256" s="48" t="s">
        <v>1710</v>
      </c>
      <c r="DU256" s="48" t="s">
        <v>2575</v>
      </c>
      <c r="DV256" s="48" t="s">
        <v>2825</v>
      </c>
      <c r="DW256" s="48" t="s">
        <v>1710</v>
      </c>
      <c r="DX256" s="48" t="s">
        <v>4818</v>
      </c>
      <c r="DY256" s="48" t="s">
        <v>1709</v>
      </c>
      <c r="DZ256" s="48" t="s">
        <v>2073</v>
      </c>
      <c r="EA256" s="48" t="s">
        <v>2546</v>
      </c>
      <c r="EB256">
        <v>0</v>
      </c>
      <c r="EC256" s="48" t="s">
        <v>2575</v>
      </c>
      <c r="ED256" s="48" t="s">
        <v>3017</v>
      </c>
      <c r="EE256" s="48" t="s">
        <v>1814</v>
      </c>
      <c r="EF256" s="48" t="s">
        <v>2594</v>
      </c>
      <c r="EG256" s="48" t="s">
        <v>4815</v>
      </c>
      <c r="EH256">
        <v>2.67</v>
      </c>
      <c r="EI256" s="48" t="s">
        <v>1888</v>
      </c>
      <c r="EJ256">
        <v>0</v>
      </c>
      <c r="EK256" s="48" t="s">
        <v>1710</v>
      </c>
      <c r="EL256">
        <v>2</v>
      </c>
      <c r="EM256" s="48" t="s">
        <v>1886</v>
      </c>
      <c r="EN256">
        <v>2.67</v>
      </c>
      <c r="EO256" s="48" t="s">
        <v>2595</v>
      </c>
      <c r="EP256" s="48" t="s">
        <v>4825</v>
      </c>
      <c r="EQ256">
        <v>1482.77</v>
      </c>
      <c r="ER256">
        <v>1482.77</v>
      </c>
      <c r="ES256">
        <v>2166369</v>
      </c>
      <c r="ET256">
        <v>1471</v>
      </c>
      <c r="EU256" s="48" t="s">
        <v>4826</v>
      </c>
      <c r="EV256" s="48" t="s">
        <v>2608</v>
      </c>
      <c r="EW256" s="48" t="s">
        <v>1712</v>
      </c>
      <c r="EX256" s="48" t="s">
        <v>1710</v>
      </c>
      <c r="EY256" s="48" t="s">
        <v>1843</v>
      </c>
      <c r="EZ256" s="48" t="s">
        <v>1710</v>
      </c>
      <c r="FA256" s="48" t="s">
        <v>1710</v>
      </c>
      <c r="FB256" s="48" t="s">
        <v>1712</v>
      </c>
      <c r="FC256" s="48" t="s">
        <v>1710</v>
      </c>
      <c r="FD256" s="48" t="s">
        <v>1710</v>
      </c>
      <c r="FE256" s="48" t="s">
        <v>1814</v>
      </c>
      <c r="FF256" s="48" t="s">
        <v>1815</v>
      </c>
      <c r="FG256" s="48" t="s">
        <v>1710</v>
      </c>
      <c r="FH256">
        <v>1</v>
      </c>
      <c r="FI256" s="48" t="s">
        <v>1846</v>
      </c>
      <c r="FJ256">
        <v>1482.77</v>
      </c>
      <c r="FK256">
        <v>1482.77</v>
      </c>
      <c r="FL256" s="48" t="s">
        <v>4827</v>
      </c>
      <c r="FM256" s="48" t="s">
        <v>4825</v>
      </c>
      <c r="FN256" s="48" t="s">
        <v>1710</v>
      </c>
      <c r="FO256" s="48" t="s">
        <v>1710</v>
      </c>
      <c r="FP256" s="48" t="s">
        <v>1710</v>
      </c>
      <c r="FQ256" s="48" t="s">
        <v>1710</v>
      </c>
      <c r="FR256" s="48" t="s">
        <v>1710</v>
      </c>
      <c r="FS256" s="48" t="s">
        <v>1710</v>
      </c>
      <c r="FT256" s="48" t="s">
        <v>1710</v>
      </c>
      <c r="FU256" s="48" t="s">
        <v>1710</v>
      </c>
      <c r="FV256" s="48"/>
      <c r="FW256" s="56"/>
      <c r="FX256" s="56"/>
      <c r="FY256" s="56"/>
      <c r="FZ256" s="56"/>
      <c r="GA256" s="55" t="str">
        <f t="shared" si="11"/>
        <v>4388426900419X</v>
      </c>
      <c r="GB256" t="str">
        <f>VLOOKUP(B256,수출코드!$C$2:$D$4,2,FALSE)</f>
        <v>Suwon</v>
      </c>
      <c r="GC256" t="str">
        <f>VLOOKUP(L256,수출코드!$A$2:$B$6,2,FALSE)</f>
        <v>서류제출</v>
      </c>
      <c r="GD256" t="str">
        <f>VLOOKUP(M256,수출코드!$E$2:$F$5,2,FALSE)</f>
        <v>원상태</v>
      </c>
      <c r="GE256" s="61">
        <f t="shared" si="9"/>
        <v>45975.564583333333</v>
      </c>
      <c r="GF256" s="62">
        <f t="shared" si="10"/>
        <v>46049.538888888892</v>
      </c>
      <c r="GI256" s="48" t="s">
        <v>2794</v>
      </c>
    </row>
    <row r="257" spans="1:191">
      <c r="A257" s="48" t="s">
        <v>4828</v>
      </c>
      <c r="B257" s="48" t="s">
        <v>1821</v>
      </c>
      <c r="C257" s="48" t="s">
        <v>2048</v>
      </c>
      <c r="D257" s="48" t="s">
        <v>2813</v>
      </c>
      <c r="E257" s="48" t="s">
        <v>4828</v>
      </c>
      <c r="F257" s="48" t="s">
        <v>1710</v>
      </c>
      <c r="G257" s="48" t="s">
        <v>2814</v>
      </c>
      <c r="H257" s="48" t="s">
        <v>4829</v>
      </c>
      <c r="I257" s="48" t="s">
        <v>1884</v>
      </c>
      <c r="J257" s="48" t="s">
        <v>2850</v>
      </c>
      <c r="K257" s="48" t="s">
        <v>1877</v>
      </c>
      <c r="L257" s="48" t="s">
        <v>1842</v>
      </c>
      <c r="M257" s="48" t="s">
        <v>1810</v>
      </c>
      <c r="N257" s="48" t="s">
        <v>1842</v>
      </c>
      <c r="O257" s="48" t="s">
        <v>1811</v>
      </c>
      <c r="P257" s="48" t="s">
        <v>2549</v>
      </c>
      <c r="Q257" s="48" t="s">
        <v>2049</v>
      </c>
      <c r="R257" s="48" t="s">
        <v>1838</v>
      </c>
      <c r="S257" s="48" t="s">
        <v>2050</v>
      </c>
      <c r="T257" s="48" t="s">
        <v>1845</v>
      </c>
      <c r="U257" s="48" t="s">
        <v>2049</v>
      </c>
      <c r="V257" s="48" t="s">
        <v>1838</v>
      </c>
      <c r="W257" s="48" t="s">
        <v>2051</v>
      </c>
      <c r="X257" s="48" t="s">
        <v>2052</v>
      </c>
      <c r="Y257" s="48" t="s">
        <v>2050</v>
      </c>
      <c r="Z257" s="48" t="s">
        <v>2053</v>
      </c>
      <c r="AA257" s="48" t="s">
        <v>2054</v>
      </c>
      <c r="AB257" s="48" t="s">
        <v>1710</v>
      </c>
      <c r="AC257" s="48" t="s">
        <v>2055</v>
      </c>
      <c r="AD257" s="48" t="s">
        <v>2056</v>
      </c>
      <c r="AE257" s="48" t="s">
        <v>1710</v>
      </c>
      <c r="AF257" s="48" t="s">
        <v>1710</v>
      </c>
      <c r="AG257" s="48" t="s">
        <v>2057</v>
      </c>
      <c r="AH257" s="48" t="s">
        <v>1815</v>
      </c>
      <c r="AI257" s="48" t="s">
        <v>2058</v>
      </c>
      <c r="AJ257" s="48" t="s">
        <v>1710</v>
      </c>
      <c r="AK257" s="48" t="s">
        <v>2077</v>
      </c>
      <c r="AL257" s="48" t="s">
        <v>1858</v>
      </c>
      <c r="AM257" s="48" t="s">
        <v>1816</v>
      </c>
      <c r="AN257" s="48" t="s">
        <v>2054</v>
      </c>
      <c r="AO257" s="48" t="s">
        <v>1710</v>
      </c>
      <c r="AP257" s="48" t="s">
        <v>1848</v>
      </c>
      <c r="AQ257" s="48" t="s">
        <v>2060</v>
      </c>
      <c r="AR257" s="48" t="s">
        <v>1812</v>
      </c>
      <c r="AS257" s="48" t="s">
        <v>1813</v>
      </c>
      <c r="AT257" s="48" t="s">
        <v>1826</v>
      </c>
      <c r="AU257" s="48" t="s">
        <v>2061</v>
      </c>
      <c r="AV257" s="48" t="s">
        <v>2850</v>
      </c>
      <c r="AW257" s="48" t="s">
        <v>2062</v>
      </c>
      <c r="AX257" s="48" t="s">
        <v>2063</v>
      </c>
      <c r="AY257" s="48" t="s">
        <v>1710</v>
      </c>
      <c r="AZ257" s="48" t="s">
        <v>4830</v>
      </c>
      <c r="BA257" s="48" t="s">
        <v>1710</v>
      </c>
      <c r="BB257" s="48" t="s">
        <v>1709</v>
      </c>
      <c r="BC257" s="48" t="s">
        <v>1710</v>
      </c>
      <c r="BD257" s="48" t="s">
        <v>3956</v>
      </c>
      <c r="BE257" s="52" t="s">
        <v>4831</v>
      </c>
      <c r="BF257" s="48" t="s">
        <v>1710</v>
      </c>
      <c r="BG257" s="48" t="s">
        <v>1820</v>
      </c>
      <c r="BH257">
        <v>87</v>
      </c>
      <c r="BI257" s="48" t="s">
        <v>1888</v>
      </c>
      <c r="BJ257">
        <v>5</v>
      </c>
      <c r="BK257">
        <v>1473.06</v>
      </c>
      <c r="BL257">
        <v>107591425</v>
      </c>
      <c r="BM257">
        <v>73039</v>
      </c>
      <c r="BN257" s="48" t="s">
        <v>2064</v>
      </c>
      <c r="BO257" s="48" t="s">
        <v>2065</v>
      </c>
      <c r="BP257">
        <v>1473.06</v>
      </c>
      <c r="BQ257">
        <v>73852</v>
      </c>
      <c r="BR257" s="48" t="s">
        <v>1885</v>
      </c>
      <c r="BS257" s="48" t="s">
        <v>2066</v>
      </c>
      <c r="BT257">
        <v>1</v>
      </c>
      <c r="BU257">
        <v>1197000</v>
      </c>
      <c r="BV257">
        <v>1197000</v>
      </c>
      <c r="BW257" s="48" t="s">
        <v>2065</v>
      </c>
      <c r="BX257">
        <v>1473.06</v>
      </c>
      <c r="BY257">
        <v>0</v>
      </c>
      <c r="BZ257">
        <v>0</v>
      </c>
      <c r="CA257" s="48" t="s">
        <v>2065</v>
      </c>
      <c r="CB257">
        <v>1473.06</v>
      </c>
      <c r="CC257">
        <v>0</v>
      </c>
      <c r="CD257">
        <v>0</v>
      </c>
      <c r="CE257" s="48" t="s">
        <v>1710</v>
      </c>
      <c r="CF257" s="48" t="s">
        <v>1710</v>
      </c>
      <c r="CG257" s="48" t="s">
        <v>1710</v>
      </c>
      <c r="CH257" s="48" t="s">
        <v>1710</v>
      </c>
      <c r="CI257" s="48" t="s">
        <v>2067</v>
      </c>
      <c r="CJ257" s="48" t="s">
        <v>1710</v>
      </c>
      <c r="CL257" s="48" t="s">
        <v>2850</v>
      </c>
      <c r="CM257" s="48" t="s">
        <v>1710</v>
      </c>
      <c r="CN257" s="48" t="s">
        <v>2068</v>
      </c>
      <c r="CO257" s="48" t="s">
        <v>2069</v>
      </c>
      <c r="CP257" s="48" t="s">
        <v>1710</v>
      </c>
      <c r="CQ257" s="48" t="s">
        <v>1710</v>
      </c>
      <c r="CR257" s="48" t="s">
        <v>1710</v>
      </c>
      <c r="CS257" s="48" t="s">
        <v>1710</v>
      </c>
      <c r="CT257" s="48" t="s">
        <v>1710</v>
      </c>
      <c r="CU257" s="48" t="s">
        <v>1712</v>
      </c>
      <c r="CV257" s="48" t="s">
        <v>1710</v>
      </c>
      <c r="CW257" s="48" t="s">
        <v>1710</v>
      </c>
      <c r="CX257" s="48" t="s">
        <v>3014</v>
      </c>
      <c r="CY257" s="48" t="s">
        <v>1710</v>
      </c>
      <c r="CZ257" s="48" t="s">
        <v>1712</v>
      </c>
      <c r="DA257" s="48" t="s">
        <v>1710</v>
      </c>
      <c r="DB257" s="48" t="s">
        <v>1878</v>
      </c>
      <c r="DC257" s="48" t="s">
        <v>2070</v>
      </c>
      <c r="DD257" s="48" t="s">
        <v>1842</v>
      </c>
      <c r="DE257" s="48" t="s">
        <v>1886</v>
      </c>
      <c r="DF257" s="48" t="s">
        <v>4832</v>
      </c>
      <c r="DG257" s="48" t="s">
        <v>2071</v>
      </c>
      <c r="DH257" s="48" t="s">
        <v>1712</v>
      </c>
      <c r="DI257" s="48" t="s">
        <v>1710</v>
      </c>
      <c r="DJ257" s="48" t="s">
        <v>1710</v>
      </c>
      <c r="DK257" s="48" t="s">
        <v>1710</v>
      </c>
      <c r="DL257" s="48" t="s">
        <v>1710</v>
      </c>
      <c r="DM257" s="48" t="s">
        <v>1710</v>
      </c>
      <c r="DN257" s="48" t="s">
        <v>1710</v>
      </c>
      <c r="DO257" s="48" t="s">
        <v>1710</v>
      </c>
      <c r="DP257" s="48" t="s">
        <v>1710</v>
      </c>
      <c r="DQ257" s="48" t="s">
        <v>1710</v>
      </c>
      <c r="DR257" s="48" t="s">
        <v>2072</v>
      </c>
      <c r="DS257" s="48" t="s">
        <v>1710</v>
      </c>
      <c r="DT257" s="48" t="s">
        <v>1710</v>
      </c>
      <c r="DU257" s="48" t="s">
        <v>2575</v>
      </c>
      <c r="DV257" s="48" t="s">
        <v>2816</v>
      </c>
      <c r="DW257" s="48" t="s">
        <v>1710</v>
      </c>
      <c r="DX257" s="48" t="s">
        <v>4833</v>
      </c>
      <c r="DY257" s="48" t="s">
        <v>1709</v>
      </c>
      <c r="DZ257" s="48" t="s">
        <v>2562</v>
      </c>
      <c r="EA257" s="48" t="s">
        <v>2546</v>
      </c>
      <c r="EB257">
        <v>0</v>
      </c>
      <c r="EC257" s="48" t="s">
        <v>2575</v>
      </c>
      <c r="ED257" s="48" t="s">
        <v>4834</v>
      </c>
      <c r="EE257" s="48" t="s">
        <v>1814</v>
      </c>
      <c r="EF257" s="48" t="s">
        <v>1849</v>
      </c>
      <c r="EG257" s="48" t="s">
        <v>4830</v>
      </c>
      <c r="EH257">
        <v>8.01</v>
      </c>
      <c r="EI257" s="48" t="s">
        <v>1888</v>
      </c>
      <c r="EJ257">
        <v>1</v>
      </c>
      <c r="EK257" s="48" t="s">
        <v>1887</v>
      </c>
      <c r="EL257">
        <v>5</v>
      </c>
      <c r="EM257" s="48" t="s">
        <v>1886</v>
      </c>
      <c r="EN257">
        <v>8.01</v>
      </c>
      <c r="EO257" s="48" t="s">
        <v>2526</v>
      </c>
      <c r="EP257" s="48" t="s">
        <v>2690</v>
      </c>
      <c r="EQ257">
        <v>4720.04</v>
      </c>
      <c r="ER257">
        <v>4720.04</v>
      </c>
      <c r="ES257">
        <v>6876399</v>
      </c>
      <c r="ET257">
        <v>4668</v>
      </c>
      <c r="EU257" s="48" t="s">
        <v>1710</v>
      </c>
      <c r="EV257" s="48" t="s">
        <v>1710</v>
      </c>
      <c r="EW257" s="48" t="s">
        <v>1712</v>
      </c>
      <c r="EX257" s="48" t="s">
        <v>1710</v>
      </c>
      <c r="EY257" s="48" t="s">
        <v>1848</v>
      </c>
      <c r="EZ257" s="48" t="s">
        <v>1710</v>
      </c>
      <c r="FA257" s="48" t="s">
        <v>1710</v>
      </c>
      <c r="FB257" s="48" t="s">
        <v>1712</v>
      </c>
      <c r="FC257" s="48" t="s">
        <v>1710</v>
      </c>
      <c r="FD257" s="48" t="s">
        <v>1710</v>
      </c>
      <c r="FE257" s="48" t="s">
        <v>1814</v>
      </c>
      <c r="FF257" s="48" t="s">
        <v>1815</v>
      </c>
      <c r="FG257" s="48" t="s">
        <v>1710</v>
      </c>
      <c r="FH257">
        <v>1</v>
      </c>
      <c r="FI257" s="48" t="s">
        <v>1846</v>
      </c>
      <c r="FJ257">
        <v>4720.04</v>
      </c>
      <c r="FK257">
        <v>4720.04</v>
      </c>
      <c r="FL257" s="48" t="s">
        <v>4835</v>
      </c>
      <c r="FM257" s="48" t="s">
        <v>2690</v>
      </c>
      <c r="FN257" s="48" t="s">
        <v>1710</v>
      </c>
      <c r="FO257" s="48" t="s">
        <v>1710</v>
      </c>
      <c r="FP257" s="48" t="s">
        <v>1710</v>
      </c>
      <c r="FQ257" s="48" t="s">
        <v>1710</v>
      </c>
      <c r="FR257" s="48" t="s">
        <v>1710</v>
      </c>
      <c r="FS257" s="48" t="s">
        <v>1710</v>
      </c>
      <c r="FT257" s="48" t="s">
        <v>1710</v>
      </c>
      <c r="FU257" s="48" t="s">
        <v>1710</v>
      </c>
      <c r="FV257" s="48"/>
      <c r="FW257" s="56"/>
      <c r="FX257" s="56"/>
      <c r="FY257" s="56"/>
      <c r="FZ257" s="56"/>
      <c r="GA257" s="55" t="str">
        <f t="shared" si="11"/>
        <v>4388426900420X</v>
      </c>
      <c r="GB257" t="str">
        <f>VLOOKUP(B257,수출코드!$C$2:$D$4,2,FALSE)</f>
        <v>Suwon</v>
      </c>
      <c r="GC257" t="str">
        <f>VLOOKUP(L257,수출코드!$A$2:$B$6,2,FALSE)</f>
        <v/>
      </c>
      <c r="GD257" t="str">
        <f>VLOOKUP(M257,수출코드!$E$2:$F$5,2,FALSE)</f>
        <v>일반</v>
      </c>
      <c r="GE257" s="61">
        <f t="shared" si="9"/>
        <v>45975.569444444445</v>
      </c>
      <c r="GF257" s="62">
        <f t="shared" si="10"/>
        <v>46049.379861111112</v>
      </c>
      <c r="GI257" s="48" t="s">
        <v>2795</v>
      </c>
    </row>
    <row r="258" spans="1:191">
      <c r="A258" s="48" t="s">
        <v>4836</v>
      </c>
      <c r="B258" s="48" t="s">
        <v>1821</v>
      </c>
      <c r="C258" s="48" t="s">
        <v>2048</v>
      </c>
      <c r="D258" s="48" t="s">
        <v>2813</v>
      </c>
      <c r="E258" s="48" t="s">
        <v>4836</v>
      </c>
      <c r="F258" s="48" t="s">
        <v>1710</v>
      </c>
      <c r="G258" s="48" t="s">
        <v>2814</v>
      </c>
      <c r="H258" s="48" t="s">
        <v>4837</v>
      </c>
      <c r="I258" s="48" t="s">
        <v>1884</v>
      </c>
      <c r="J258" s="48" t="s">
        <v>2850</v>
      </c>
      <c r="K258" s="48" t="s">
        <v>1877</v>
      </c>
      <c r="L258" s="48" t="s">
        <v>1842</v>
      </c>
      <c r="M258" s="48" t="s">
        <v>1810</v>
      </c>
      <c r="N258" s="48" t="s">
        <v>1842</v>
      </c>
      <c r="O258" s="48" t="s">
        <v>1811</v>
      </c>
      <c r="P258" s="48" t="s">
        <v>2549</v>
      </c>
      <c r="Q258" s="48" t="s">
        <v>2049</v>
      </c>
      <c r="R258" s="48" t="s">
        <v>1838</v>
      </c>
      <c r="S258" s="48" t="s">
        <v>2050</v>
      </c>
      <c r="T258" s="48" t="s">
        <v>1845</v>
      </c>
      <c r="U258" s="48" t="s">
        <v>2049</v>
      </c>
      <c r="V258" s="48" t="s">
        <v>1838</v>
      </c>
      <c r="W258" s="48" t="s">
        <v>2051</v>
      </c>
      <c r="X258" s="48" t="s">
        <v>2052</v>
      </c>
      <c r="Y258" s="48" t="s">
        <v>2050</v>
      </c>
      <c r="Z258" s="48" t="s">
        <v>2053</v>
      </c>
      <c r="AA258" s="48" t="s">
        <v>2054</v>
      </c>
      <c r="AB258" s="48" t="s">
        <v>1710</v>
      </c>
      <c r="AC258" s="48" t="s">
        <v>2055</v>
      </c>
      <c r="AD258" s="48" t="s">
        <v>2056</v>
      </c>
      <c r="AE258" s="48" t="s">
        <v>1710</v>
      </c>
      <c r="AF258" s="48" t="s">
        <v>1710</v>
      </c>
      <c r="AG258" s="48" t="s">
        <v>2057</v>
      </c>
      <c r="AH258" s="48" t="s">
        <v>1815</v>
      </c>
      <c r="AI258" s="48" t="s">
        <v>2058</v>
      </c>
      <c r="AJ258" s="48" t="s">
        <v>1710</v>
      </c>
      <c r="AK258" s="48" t="s">
        <v>2077</v>
      </c>
      <c r="AL258" s="48" t="s">
        <v>1858</v>
      </c>
      <c r="AM258" s="48" t="s">
        <v>1816</v>
      </c>
      <c r="AN258" s="48" t="s">
        <v>2054</v>
      </c>
      <c r="AO258" s="48" t="s">
        <v>1710</v>
      </c>
      <c r="AP258" s="48" t="s">
        <v>1848</v>
      </c>
      <c r="AQ258" s="48" t="s">
        <v>2060</v>
      </c>
      <c r="AR258" s="48" t="s">
        <v>1812</v>
      </c>
      <c r="AS258" s="48" t="s">
        <v>1813</v>
      </c>
      <c r="AT258" s="48" t="s">
        <v>1826</v>
      </c>
      <c r="AU258" s="48" t="s">
        <v>2061</v>
      </c>
      <c r="AV258" s="48" t="s">
        <v>2850</v>
      </c>
      <c r="AW258" s="48" t="s">
        <v>2062</v>
      </c>
      <c r="AX258" s="48" t="s">
        <v>2063</v>
      </c>
      <c r="AY258" s="48" t="s">
        <v>1710</v>
      </c>
      <c r="AZ258" s="48" t="s">
        <v>4838</v>
      </c>
      <c r="BA258" s="48" t="s">
        <v>1710</v>
      </c>
      <c r="BB258" s="48" t="s">
        <v>1709</v>
      </c>
      <c r="BC258" s="48" t="s">
        <v>1710</v>
      </c>
      <c r="BD258" s="48" t="s">
        <v>2837</v>
      </c>
      <c r="BE258" s="52" t="s">
        <v>4831</v>
      </c>
      <c r="BF258" s="48" t="s">
        <v>1710</v>
      </c>
      <c r="BG258" s="48" t="s">
        <v>3139</v>
      </c>
      <c r="BH258">
        <v>173</v>
      </c>
      <c r="BI258" s="48" t="s">
        <v>1888</v>
      </c>
      <c r="BJ258">
        <v>16</v>
      </c>
      <c r="BK258">
        <v>1473.06</v>
      </c>
      <c r="BL258">
        <v>110060853</v>
      </c>
      <c r="BM258">
        <v>74716</v>
      </c>
      <c r="BN258" s="48" t="s">
        <v>2064</v>
      </c>
      <c r="BO258" s="48" t="s">
        <v>2065</v>
      </c>
      <c r="BP258">
        <v>1473.06</v>
      </c>
      <c r="BQ258">
        <v>76316.55</v>
      </c>
      <c r="BR258" s="48" t="s">
        <v>1885</v>
      </c>
      <c r="BS258" s="48" t="s">
        <v>2066</v>
      </c>
      <c r="BT258">
        <v>1</v>
      </c>
      <c r="BU258">
        <v>2358000</v>
      </c>
      <c r="BV258">
        <v>2358000</v>
      </c>
      <c r="BW258" s="48" t="s">
        <v>2065</v>
      </c>
      <c r="BX258">
        <v>1473.06</v>
      </c>
      <c r="BY258">
        <v>0</v>
      </c>
      <c r="BZ258">
        <v>0</v>
      </c>
      <c r="CA258" s="48" t="s">
        <v>2065</v>
      </c>
      <c r="CB258">
        <v>1473.06</v>
      </c>
      <c r="CC258">
        <v>0</v>
      </c>
      <c r="CD258">
        <v>0</v>
      </c>
      <c r="CE258" s="48" t="s">
        <v>1710</v>
      </c>
      <c r="CF258" s="48" t="s">
        <v>1710</v>
      </c>
      <c r="CG258" s="48" t="s">
        <v>1710</v>
      </c>
      <c r="CH258" s="48" t="s">
        <v>1710</v>
      </c>
      <c r="CI258" s="48" t="s">
        <v>2067</v>
      </c>
      <c r="CJ258" s="48" t="s">
        <v>1710</v>
      </c>
      <c r="CL258" s="48" t="s">
        <v>2850</v>
      </c>
      <c r="CM258" s="48" t="s">
        <v>1710</v>
      </c>
      <c r="CN258" s="48" t="s">
        <v>2068</v>
      </c>
      <c r="CO258" s="48" t="s">
        <v>2069</v>
      </c>
      <c r="CP258" s="48" t="s">
        <v>1710</v>
      </c>
      <c r="CQ258" s="48" t="s">
        <v>1710</v>
      </c>
      <c r="CR258" s="48" t="s">
        <v>1710</v>
      </c>
      <c r="CS258" s="48" t="s">
        <v>1710</v>
      </c>
      <c r="CT258" s="48" t="s">
        <v>1710</v>
      </c>
      <c r="CU258" s="48" t="s">
        <v>1712</v>
      </c>
      <c r="CV258" s="48" t="s">
        <v>1710</v>
      </c>
      <c r="CW258" s="48" t="s">
        <v>1710</v>
      </c>
      <c r="CX258" s="48" t="s">
        <v>3014</v>
      </c>
      <c r="CY258" s="48" t="s">
        <v>1710</v>
      </c>
      <c r="CZ258" s="48" t="s">
        <v>1712</v>
      </c>
      <c r="DA258" s="48" t="s">
        <v>1710</v>
      </c>
      <c r="DB258" s="48" t="s">
        <v>1878</v>
      </c>
      <c r="DC258" s="48" t="s">
        <v>2070</v>
      </c>
      <c r="DD258" s="48" t="s">
        <v>1842</v>
      </c>
      <c r="DE258" s="48" t="s">
        <v>1886</v>
      </c>
      <c r="DF258" s="48" t="s">
        <v>4839</v>
      </c>
      <c r="DG258" s="48" t="s">
        <v>2071</v>
      </c>
      <c r="DH258" s="48" t="s">
        <v>1712</v>
      </c>
      <c r="DI258" s="48" t="s">
        <v>1710</v>
      </c>
      <c r="DJ258" s="48" t="s">
        <v>1710</v>
      </c>
      <c r="DK258" s="48" t="s">
        <v>1710</v>
      </c>
      <c r="DL258" s="48" t="s">
        <v>1710</v>
      </c>
      <c r="DM258" s="48" t="s">
        <v>1710</v>
      </c>
      <c r="DN258" s="48" t="s">
        <v>1710</v>
      </c>
      <c r="DO258" s="48" t="s">
        <v>1710</v>
      </c>
      <c r="DP258" s="48" t="s">
        <v>1710</v>
      </c>
      <c r="DQ258" s="48" t="s">
        <v>1710</v>
      </c>
      <c r="DR258" s="48" t="s">
        <v>2072</v>
      </c>
      <c r="DS258" s="48" t="s">
        <v>1710</v>
      </c>
      <c r="DT258" s="48" t="s">
        <v>1710</v>
      </c>
      <c r="DU258" s="48" t="s">
        <v>2575</v>
      </c>
      <c r="DV258" s="48" t="s">
        <v>2816</v>
      </c>
      <c r="DW258" s="48" t="s">
        <v>1710</v>
      </c>
      <c r="DX258" s="48" t="s">
        <v>4840</v>
      </c>
      <c r="DY258" s="48" t="s">
        <v>1709</v>
      </c>
      <c r="DZ258" s="48" t="s">
        <v>2562</v>
      </c>
      <c r="EA258" s="48" t="s">
        <v>2546</v>
      </c>
      <c r="EB258">
        <v>0</v>
      </c>
      <c r="EC258" s="48" t="s">
        <v>2575</v>
      </c>
      <c r="ED258" s="48" t="s">
        <v>4841</v>
      </c>
      <c r="EE258" s="48" t="s">
        <v>1814</v>
      </c>
      <c r="EF258" s="48" t="s">
        <v>2585</v>
      </c>
      <c r="EG258" s="48" t="s">
        <v>4838</v>
      </c>
      <c r="EH258">
        <v>3</v>
      </c>
      <c r="EI258" s="48" t="s">
        <v>1888</v>
      </c>
      <c r="EJ258">
        <v>1</v>
      </c>
      <c r="EK258" s="48" t="s">
        <v>1887</v>
      </c>
      <c r="EL258">
        <v>16</v>
      </c>
      <c r="EM258" s="48" t="s">
        <v>1886</v>
      </c>
      <c r="EN258">
        <v>3</v>
      </c>
      <c r="EO258" s="48" t="s">
        <v>2586</v>
      </c>
      <c r="EP258" s="48" t="s">
        <v>4842</v>
      </c>
      <c r="EQ258">
        <v>1547.21</v>
      </c>
      <c r="ER258">
        <v>1547.21</v>
      </c>
      <c r="ES258">
        <v>2231328</v>
      </c>
      <c r="ET258">
        <v>1515</v>
      </c>
      <c r="EU258" s="48" t="s">
        <v>1710</v>
      </c>
      <c r="EV258" s="48" t="s">
        <v>1710</v>
      </c>
      <c r="EW258" s="48" t="s">
        <v>1712</v>
      </c>
      <c r="EX258" s="48" t="s">
        <v>1710</v>
      </c>
      <c r="EY258" s="48" t="s">
        <v>1848</v>
      </c>
      <c r="EZ258" s="48" t="s">
        <v>1710</v>
      </c>
      <c r="FA258" s="48" t="s">
        <v>1710</v>
      </c>
      <c r="FB258" s="48" t="s">
        <v>1712</v>
      </c>
      <c r="FC258" s="48" t="s">
        <v>1710</v>
      </c>
      <c r="FD258" s="48" t="s">
        <v>1710</v>
      </c>
      <c r="FE258" s="48" t="s">
        <v>1814</v>
      </c>
      <c r="FF258" s="48" t="s">
        <v>1815</v>
      </c>
      <c r="FG258" s="48" t="s">
        <v>1710</v>
      </c>
      <c r="FH258">
        <v>1</v>
      </c>
      <c r="FI258" s="48" t="s">
        <v>1846</v>
      </c>
      <c r="FJ258">
        <v>1547.21</v>
      </c>
      <c r="FK258">
        <v>1547.21</v>
      </c>
      <c r="FL258" s="48" t="s">
        <v>3083</v>
      </c>
      <c r="FM258" s="48" t="s">
        <v>4842</v>
      </c>
      <c r="FN258" s="48" t="s">
        <v>1710</v>
      </c>
      <c r="FO258" s="48" t="s">
        <v>1710</v>
      </c>
      <c r="FP258" s="48" t="s">
        <v>1710</v>
      </c>
      <c r="FQ258" s="48" t="s">
        <v>1710</v>
      </c>
      <c r="FR258" s="48" t="s">
        <v>1710</v>
      </c>
      <c r="FS258" s="48" t="s">
        <v>1710</v>
      </c>
      <c r="FT258" s="48" t="s">
        <v>1710</v>
      </c>
      <c r="FU258" s="48" t="s">
        <v>1710</v>
      </c>
      <c r="FV258" s="48"/>
      <c r="FW258" s="56"/>
      <c r="FX258" s="56"/>
      <c r="FY258" s="56"/>
      <c r="FZ258" s="56"/>
      <c r="GA258" s="55" t="str">
        <f t="shared" si="11"/>
        <v>4388426900421X</v>
      </c>
      <c r="GB258" t="str">
        <f>VLOOKUP(B258,수출코드!$C$2:$D$4,2,FALSE)</f>
        <v>Suwon</v>
      </c>
      <c r="GC258" t="str">
        <f>VLOOKUP(L258,수출코드!$A$2:$B$6,2,FALSE)</f>
        <v/>
      </c>
      <c r="GD258" t="str">
        <f>VLOOKUP(M258,수출코드!$E$2:$F$5,2,FALSE)</f>
        <v>일반</v>
      </c>
      <c r="GE258" s="61">
        <f t="shared" si="9"/>
        <v>45975.59375</v>
      </c>
      <c r="GF258" s="62">
        <f t="shared" si="10"/>
        <v>46049.380555555559</v>
      </c>
      <c r="GI258" s="48" t="s">
        <v>2796</v>
      </c>
    </row>
    <row r="259" spans="1:191">
      <c r="A259" s="48" t="s">
        <v>4843</v>
      </c>
      <c r="B259" s="48" t="s">
        <v>1821</v>
      </c>
      <c r="C259" s="48" t="s">
        <v>2048</v>
      </c>
      <c r="D259" s="48" t="s">
        <v>2813</v>
      </c>
      <c r="E259" s="48" t="s">
        <v>4843</v>
      </c>
      <c r="F259" s="48" t="s">
        <v>1710</v>
      </c>
      <c r="G259" s="48" t="s">
        <v>2814</v>
      </c>
      <c r="H259" s="48" t="s">
        <v>4844</v>
      </c>
      <c r="I259" s="48" t="s">
        <v>1884</v>
      </c>
      <c r="J259" s="48" t="s">
        <v>2850</v>
      </c>
      <c r="K259" s="48" t="s">
        <v>1877</v>
      </c>
      <c r="L259" s="48" t="s">
        <v>1842</v>
      </c>
      <c r="M259" s="48" t="s">
        <v>1824</v>
      </c>
      <c r="N259" s="48" t="s">
        <v>1842</v>
      </c>
      <c r="O259" s="48" t="s">
        <v>1823</v>
      </c>
      <c r="P259" s="48" t="s">
        <v>2549</v>
      </c>
      <c r="Q259" s="48" t="s">
        <v>2049</v>
      </c>
      <c r="R259" s="48" t="s">
        <v>1838</v>
      </c>
      <c r="S259" s="48" t="s">
        <v>2050</v>
      </c>
      <c r="T259" s="48" t="s">
        <v>1845</v>
      </c>
      <c r="U259" s="48" t="s">
        <v>2049</v>
      </c>
      <c r="V259" s="48" t="s">
        <v>1838</v>
      </c>
      <c r="W259" s="48" t="s">
        <v>2051</v>
      </c>
      <c r="X259" s="48" t="s">
        <v>2052</v>
      </c>
      <c r="Y259" s="48" t="s">
        <v>2050</v>
      </c>
      <c r="Z259" s="48" t="s">
        <v>2053</v>
      </c>
      <c r="AA259" s="48" t="s">
        <v>2054</v>
      </c>
      <c r="AB259" s="48" t="s">
        <v>2817</v>
      </c>
      <c r="AC259" s="48" t="s">
        <v>2055</v>
      </c>
      <c r="AD259" s="48" t="s">
        <v>2056</v>
      </c>
      <c r="AE259" s="48" t="s">
        <v>1710</v>
      </c>
      <c r="AF259" s="48" t="s">
        <v>1710</v>
      </c>
      <c r="AG259" s="48" t="s">
        <v>2057</v>
      </c>
      <c r="AH259" s="48" t="s">
        <v>1815</v>
      </c>
      <c r="AI259" s="48" t="s">
        <v>2058</v>
      </c>
      <c r="AJ259" s="48" t="s">
        <v>1710</v>
      </c>
      <c r="AK259" s="48" t="s">
        <v>2548</v>
      </c>
      <c r="AL259" s="48" t="s">
        <v>1858</v>
      </c>
      <c r="AM259" s="48" t="s">
        <v>1816</v>
      </c>
      <c r="AN259" s="48" t="s">
        <v>2054</v>
      </c>
      <c r="AO259" s="48" t="s">
        <v>1710</v>
      </c>
      <c r="AP259" s="48" t="s">
        <v>1848</v>
      </c>
      <c r="AQ259" s="48" t="s">
        <v>2060</v>
      </c>
      <c r="AR259" s="48" t="s">
        <v>1812</v>
      </c>
      <c r="AS259" s="48" t="s">
        <v>1813</v>
      </c>
      <c r="AT259" s="48" t="s">
        <v>1826</v>
      </c>
      <c r="AU259" s="48" t="s">
        <v>2061</v>
      </c>
      <c r="AV259" s="48" t="s">
        <v>2850</v>
      </c>
      <c r="AW259" s="48" t="s">
        <v>2062</v>
      </c>
      <c r="AX259" s="48" t="s">
        <v>2063</v>
      </c>
      <c r="AY259" s="48" t="s">
        <v>1710</v>
      </c>
      <c r="AZ259" s="48" t="s">
        <v>4845</v>
      </c>
      <c r="BA259" s="48" t="s">
        <v>1710</v>
      </c>
      <c r="BB259" s="48" t="s">
        <v>1709</v>
      </c>
      <c r="BC259" s="48" t="s">
        <v>1710</v>
      </c>
      <c r="BD259" s="48" t="s">
        <v>2600</v>
      </c>
      <c r="BE259" s="52" t="s">
        <v>4846</v>
      </c>
      <c r="BF259" s="48" t="s">
        <v>1710</v>
      </c>
      <c r="BG259" s="48" t="s">
        <v>1814</v>
      </c>
      <c r="BH259">
        <v>12</v>
      </c>
      <c r="BI259" s="48" t="s">
        <v>1888</v>
      </c>
      <c r="BJ259">
        <v>1</v>
      </c>
      <c r="BK259">
        <v>1473.06</v>
      </c>
      <c r="BL259">
        <v>41844272</v>
      </c>
      <c r="BM259">
        <v>28406</v>
      </c>
      <c r="BN259" s="48" t="s">
        <v>2530</v>
      </c>
      <c r="BO259" s="48" t="s">
        <v>2065</v>
      </c>
      <c r="BP259">
        <v>1473.06</v>
      </c>
      <c r="BQ259">
        <v>28406.36</v>
      </c>
      <c r="BR259" s="48" t="s">
        <v>1885</v>
      </c>
      <c r="BS259" s="48" t="s">
        <v>2066</v>
      </c>
      <c r="BT259">
        <v>1</v>
      </c>
      <c r="BU259">
        <v>0</v>
      </c>
      <c r="BV259">
        <v>0</v>
      </c>
      <c r="BW259" s="48" t="s">
        <v>2065</v>
      </c>
      <c r="BX259">
        <v>1473.06</v>
      </c>
      <c r="BY259">
        <v>0</v>
      </c>
      <c r="BZ259">
        <v>0</v>
      </c>
      <c r="CA259" s="48" t="s">
        <v>2065</v>
      </c>
      <c r="CB259">
        <v>1473.06</v>
      </c>
      <c r="CC259">
        <v>0</v>
      </c>
      <c r="CD259">
        <v>0</v>
      </c>
      <c r="CE259" s="48" t="s">
        <v>1710</v>
      </c>
      <c r="CF259" s="48" t="s">
        <v>1710</v>
      </c>
      <c r="CG259" s="48" t="s">
        <v>1710</v>
      </c>
      <c r="CH259" s="48" t="s">
        <v>1710</v>
      </c>
      <c r="CI259" s="48" t="s">
        <v>2067</v>
      </c>
      <c r="CJ259" s="48" t="s">
        <v>1710</v>
      </c>
      <c r="CL259" s="48" t="s">
        <v>2850</v>
      </c>
      <c r="CM259" s="48" t="s">
        <v>1710</v>
      </c>
      <c r="CN259" s="48" t="s">
        <v>2068</v>
      </c>
      <c r="CO259" s="48" t="s">
        <v>2069</v>
      </c>
      <c r="CP259" s="48" t="s">
        <v>1710</v>
      </c>
      <c r="CQ259" s="48" t="s">
        <v>1710</v>
      </c>
      <c r="CR259" s="48" t="s">
        <v>1710</v>
      </c>
      <c r="CS259" s="48" t="s">
        <v>1710</v>
      </c>
      <c r="CT259" s="48" t="s">
        <v>1710</v>
      </c>
      <c r="CU259" s="48" t="s">
        <v>1712</v>
      </c>
      <c r="CV259" s="48" t="s">
        <v>1710</v>
      </c>
      <c r="CW259" s="48" t="s">
        <v>1710</v>
      </c>
      <c r="CX259" s="48" t="s">
        <v>3014</v>
      </c>
      <c r="CY259" s="48" t="s">
        <v>1710</v>
      </c>
      <c r="CZ259" s="48" t="s">
        <v>1712</v>
      </c>
      <c r="DA259" s="48" t="s">
        <v>1710</v>
      </c>
      <c r="DB259" s="48" t="s">
        <v>1878</v>
      </c>
      <c r="DC259" s="48" t="s">
        <v>2070</v>
      </c>
      <c r="DD259" s="48" t="s">
        <v>1842</v>
      </c>
      <c r="DE259" s="48" t="s">
        <v>1886</v>
      </c>
      <c r="DF259" s="48" t="s">
        <v>4847</v>
      </c>
      <c r="DG259" s="48" t="s">
        <v>2071</v>
      </c>
      <c r="DH259" s="48" t="s">
        <v>1712</v>
      </c>
      <c r="DI259" s="48" t="s">
        <v>1710</v>
      </c>
      <c r="DJ259" s="48" t="s">
        <v>1710</v>
      </c>
      <c r="DK259" s="48" t="s">
        <v>1710</v>
      </c>
      <c r="DL259" s="48" t="s">
        <v>1710</v>
      </c>
      <c r="DM259" s="48" t="s">
        <v>1710</v>
      </c>
      <c r="DN259" s="48" t="s">
        <v>1710</v>
      </c>
      <c r="DO259" s="48" t="s">
        <v>1710</v>
      </c>
      <c r="DP259" s="48" t="s">
        <v>1710</v>
      </c>
      <c r="DQ259" s="48" t="s">
        <v>1710</v>
      </c>
      <c r="DR259" s="48" t="s">
        <v>2072</v>
      </c>
      <c r="DS259" s="48" t="s">
        <v>1710</v>
      </c>
      <c r="DT259" s="48" t="s">
        <v>1710</v>
      </c>
      <c r="DU259" s="48" t="s">
        <v>2575</v>
      </c>
      <c r="DV259" s="48" t="s">
        <v>2850</v>
      </c>
      <c r="DW259" s="48" t="s">
        <v>1710</v>
      </c>
      <c r="DX259" s="48" t="s">
        <v>4848</v>
      </c>
      <c r="DY259" s="48" t="s">
        <v>1709</v>
      </c>
      <c r="DZ259" s="48" t="s">
        <v>2562</v>
      </c>
      <c r="EA259" s="48" t="s">
        <v>2546</v>
      </c>
      <c r="EB259">
        <v>0</v>
      </c>
      <c r="EC259" s="48" t="s">
        <v>2575</v>
      </c>
      <c r="ED259" s="48" t="s">
        <v>4849</v>
      </c>
      <c r="EE259" s="48" t="s">
        <v>1814</v>
      </c>
      <c r="EF259" s="48" t="s">
        <v>1852</v>
      </c>
      <c r="EG259" s="48" t="s">
        <v>4845</v>
      </c>
      <c r="EH259">
        <v>6</v>
      </c>
      <c r="EI259" s="48" t="s">
        <v>1888</v>
      </c>
      <c r="EJ259">
        <v>0</v>
      </c>
      <c r="EK259" s="48" t="s">
        <v>1710</v>
      </c>
      <c r="EL259">
        <v>1</v>
      </c>
      <c r="EM259" s="48" t="s">
        <v>1886</v>
      </c>
      <c r="EN259">
        <v>6</v>
      </c>
      <c r="EO259" s="48" t="s">
        <v>2521</v>
      </c>
      <c r="EP259" s="48" t="s">
        <v>4850</v>
      </c>
      <c r="EQ259">
        <v>28406.36</v>
      </c>
      <c r="ER259">
        <v>28406.36</v>
      </c>
      <c r="ES259">
        <v>41844272</v>
      </c>
      <c r="ET259">
        <v>28406</v>
      </c>
      <c r="EU259" s="48" t="s">
        <v>1710</v>
      </c>
      <c r="EV259" s="48" t="s">
        <v>1710</v>
      </c>
      <c r="EW259" s="48" t="s">
        <v>1712</v>
      </c>
      <c r="EX259" s="48" t="s">
        <v>1710</v>
      </c>
      <c r="EY259" s="48" t="s">
        <v>1848</v>
      </c>
      <c r="EZ259" s="48" t="s">
        <v>1710</v>
      </c>
      <c r="FA259" s="48" t="s">
        <v>1710</v>
      </c>
      <c r="FB259" s="48" t="s">
        <v>1712</v>
      </c>
      <c r="FC259" s="48" t="s">
        <v>1710</v>
      </c>
      <c r="FD259" s="48" t="s">
        <v>1710</v>
      </c>
      <c r="FE259" s="48" t="s">
        <v>1814</v>
      </c>
      <c r="FF259" s="48" t="s">
        <v>1815</v>
      </c>
      <c r="FG259" s="48" t="s">
        <v>1710</v>
      </c>
      <c r="FH259">
        <v>1</v>
      </c>
      <c r="FI259" s="48" t="s">
        <v>1846</v>
      </c>
      <c r="FJ259">
        <v>28406.36</v>
      </c>
      <c r="FK259">
        <v>28406.36</v>
      </c>
      <c r="FL259" s="48" t="s">
        <v>4851</v>
      </c>
      <c r="FM259" s="48" t="s">
        <v>4850</v>
      </c>
      <c r="FN259" s="48" t="s">
        <v>4852</v>
      </c>
      <c r="FO259" s="48" t="s">
        <v>1710</v>
      </c>
      <c r="FP259" s="48" t="s">
        <v>1710</v>
      </c>
      <c r="FQ259" s="48" t="s">
        <v>1710</v>
      </c>
      <c r="FR259" s="48" t="s">
        <v>1710</v>
      </c>
      <c r="FS259" s="48" t="s">
        <v>1710</v>
      </c>
      <c r="FT259" s="48" t="s">
        <v>1710</v>
      </c>
      <c r="FU259" s="48" t="s">
        <v>1710</v>
      </c>
      <c r="FV259" s="48"/>
      <c r="FW259" s="56"/>
      <c r="FX259" s="56"/>
      <c r="FY259" s="56"/>
      <c r="FZ259" s="56"/>
      <c r="GA259" s="55" t="str">
        <f t="shared" si="11"/>
        <v>4388426900424X</v>
      </c>
      <c r="GB259" t="str">
        <f>VLOOKUP(B259,수출코드!$C$2:$D$4,2,FALSE)</f>
        <v>Suwon</v>
      </c>
      <c r="GC259" t="str">
        <f>VLOOKUP(L259,수출코드!$A$2:$B$6,2,FALSE)</f>
        <v/>
      </c>
      <c r="GD259" t="str">
        <f>VLOOKUP(M259,수출코드!$E$2:$F$5,2,FALSE)</f>
        <v>재수출</v>
      </c>
      <c r="GE259" s="61">
        <f t="shared" ref="GE259:GE295" si="12">DATE(LEFT(GI259,4),MID(GI259,5,2),MID(GI259,7,2))+TIME(MID(GI259,10,2),MID(GI259,12,2),"00")</f>
        <v>45975.617361111108</v>
      </c>
      <c r="GF259" s="62">
        <f t="shared" ref="GF259:GF295" si="13">DATE(LEFT(ED259,4),MID(ED259,5,2),MID(ED259,7,2))+TIME(MID(ED259,9,2),MID(ED259,11,2),"00")</f>
        <v>46049.438888888886</v>
      </c>
      <c r="GI259" s="48" t="s">
        <v>2797</v>
      </c>
    </row>
    <row r="260" spans="1:191">
      <c r="A260" s="48" t="s">
        <v>4853</v>
      </c>
      <c r="B260" s="48" t="s">
        <v>1821</v>
      </c>
      <c r="C260" s="48" t="s">
        <v>2048</v>
      </c>
      <c r="D260" s="48" t="s">
        <v>2813</v>
      </c>
      <c r="E260" s="48" t="s">
        <v>4853</v>
      </c>
      <c r="F260" s="48" t="s">
        <v>1710</v>
      </c>
      <c r="G260" s="48" t="s">
        <v>2814</v>
      </c>
      <c r="H260" s="48" t="s">
        <v>4854</v>
      </c>
      <c r="I260" s="48" t="s">
        <v>1884</v>
      </c>
      <c r="J260" s="48" t="s">
        <v>2850</v>
      </c>
      <c r="K260" s="48" t="s">
        <v>1877</v>
      </c>
      <c r="L260" s="48" t="s">
        <v>1842</v>
      </c>
      <c r="M260" s="48" t="s">
        <v>1824</v>
      </c>
      <c r="N260" s="48" t="s">
        <v>1842</v>
      </c>
      <c r="O260" s="48" t="s">
        <v>1823</v>
      </c>
      <c r="P260" s="48" t="s">
        <v>2549</v>
      </c>
      <c r="Q260" s="48" t="s">
        <v>2049</v>
      </c>
      <c r="R260" s="48" t="s">
        <v>1838</v>
      </c>
      <c r="S260" s="48" t="s">
        <v>2050</v>
      </c>
      <c r="T260" s="48" t="s">
        <v>1845</v>
      </c>
      <c r="U260" s="48" t="s">
        <v>2049</v>
      </c>
      <c r="V260" s="48" t="s">
        <v>1838</v>
      </c>
      <c r="W260" s="48" t="s">
        <v>2051</v>
      </c>
      <c r="X260" s="48" t="s">
        <v>2052</v>
      </c>
      <c r="Y260" s="48" t="s">
        <v>2050</v>
      </c>
      <c r="Z260" s="48" t="s">
        <v>2053</v>
      </c>
      <c r="AA260" s="48" t="s">
        <v>2054</v>
      </c>
      <c r="AB260" s="48" t="s">
        <v>2817</v>
      </c>
      <c r="AC260" s="48" t="s">
        <v>2055</v>
      </c>
      <c r="AD260" s="48" t="s">
        <v>2056</v>
      </c>
      <c r="AE260" s="48" t="s">
        <v>1710</v>
      </c>
      <c r="AF260" s="48" t="s">
        <v>1710</v>
      </c>
      <c r="AG260" s="48" t="s">
        <v>2057</v>
      </c>
      <c r="AH260" s="48" t="s">
        <v>1815</v>
      </c>
      <c r="AI260" s="48" t="s">
        <v>2058</v>
      </c>
      <c r="AJ260" s="48" t="s">
        <v>1710</v>
      </c>
      <c r="AK260" s="48" t="s">
        <v>2548</v>
      </c>
      <c r="AL260" s="48" t="s">
        <v>1858</v>
      </c>
      <c r="AM260" s="48" t="s">
        <v>1816</v>
      </c>
      <c r="AN260" s="48" t="s">
        <v>2054</v>
      </c>
      <c r="AO260" s="48" t="s">
        <v>1710</v>
      </c>
      <c r="AP260" s="48" t="s">
        <v>1848</v>
      </c>
      <c r="AQ260" s="48" t="s">
        <v>2060</v>
      </c>
      <c r="AR260" s="48" t="s">
        <v>1812</v>
      </c>
      <c r="AS260" s="48" t="s">
        <v>1813</v>
      </c>
      <c r="AT260" s="48" t="s">
        <v>1826</v>
      </c>
      <c r="AU260" s="48" t="s">
        <v>2061</v>
      </c>
      <c r="AV260" s="48" t="s">
        <v>2850</v>
      </c>
      <c r="AW260" s="48" t="s">
        <v>2062</v>
      </c>
      <c r="AX260" s="48" t="s">
        <v>2063</v>
      </c>
      <c r="AY260" s="48" t="s">
        <v>1710</v>
      </c>
      <c r="AZ260" s="48" t="s">
        <v>4855</v>
      </c>
      <c r="BA260" s="48" t="s">
        <v>1710</v>
      </c>
      <c r="BB260" s="48" t="s">
        <v>1709</v>
      </c>
      <c r="BC260" s="48" t="s">
        <v>1710</v>
      </c>
      <c r="BD260" s="48" t="s">
        <v>4856</v>
      </c>
      <c r="BE260" s="52" t="s">
        <v>4846</v>
      </c>
      <c r="BF260" s="48" t="s">
        <v>1710</v>
      </c>
      <c r="BG260" s="48" t="s">
        <v>1814</v>
      </c>
      <c r="BH260">
        <v>16</v>
      </c>
      <c r="BI260" s="48" t="s">
        <v>1888</v>
      </c>
      <c r="BJ260">
        <v>1</v>
      </c>
      <c r="BK260">
        <v>1473.06</v>
      </c>
      <c r="BL260">
        <v>5316818</v>
      </c>
      <c r="BM260">
        <v>3609</v>
      </c>
      <c r="BN260" s="48" t="s">
        <v>2530</v>
      </c>
      <c r="BO260" s="48" t="s">
        <v>2065</v>
      </c>
      <c r="BP260">
        <v>1473.06</v>
      </c>
      <c r="BQ260">
        <v>3609.37</v>
      </c>
      <c r="BR260" s="48" t="s">
        <v>1885</v>
      </c>
      <c r="BS260" s="48" t="s">
        <v>2066</v>
      </c>
      <c r="BT260">
        <v>1</v>
      </c>
      <c r="BU260">
        <v>0</v>
      </c>
      <c r="BV260">
        <v>0</v>
      </c>
      <c r="BW260" s="48" t="s">
        <v>2065</v>
      </c>
      <c r="BX260">
        <v>1473.06</v>
      </c>
      <c r="BY260">
        <v>0</v>
      </c>
      <c r="BZ260">
        <v>0</v>
      </c>
      <c r="CA260" s="48" t="s">
        <v>2065</v>
      </c>
      <c r="CB260">
        <v>1473.06</v>
      </c>
      <c r="CC260">
        <v>0</v>
      </c>
      <c r="CD260">
        <v>0</v>
      </c>
      <c r="CE260" s="48" t="s">
        <v>1710</v>
      </c>
      <c r="CF260" s="48" t="s">
        <v>1710</v>
      </c>
      <c r="CG260" s="48" t="s">
        <v>1710</v>
      </c>
      <c r="CH260" s="48" t="s">
        <v>1710</v>
      </c>
      <c r="CI260" s="48" t="s">
        <v>2067</v>
      </c>
      <c r="CJ260" s="48" t="s">
        <v>1710</v>
      </c>
      <c r="CL260" s="48" t="s">
        <v>2850</v>
      </c>
      <c r="CM260" s="48" t="s">
        <v>1710</v>
      </c>
      <c r="CN260" s="48" t="s">
        <v>2068</v>
      </c>
      <c r="CO260" s="48" t="s">
        <v>2069</v>
      </c>
      <c r="CP260" s="48" t="s">
        <v>1710</v>
      </c>
      <c r="CQ260" s="48" t="s">
        <v>1710</v>
      </c>
      <c r="CR260" s="48" t="s">
        <v>1710</v>
      </c>
      <c r="CS260" s="48" t="s">
        <v>1710</v>
      </c>
      <c r="CT260" s="48" t="s">
        <v>1710</v>
      </c>
      <c r="CU260" s="48" t="s">
        <v>1712</v>
      </c>
      <c r="CV260" s="48" t="s">
        <v>1710</v>
      </c>
      <c r="CW260" s="48" t="s">
        <v>1710</v>
      </c>
      <c r="CX260" s="48" t="s">
        <v>3014</v>
      </c>
      <c r="CY260" s="48" t="s">
        <v>1710</v>
      </c>
      <c r="CZ260" s="48" t="s">
        <v>1885</v>
      </c>
      <c r="DA260" s="48" t="s">
        <v>1710</v>
      </c>
      <c r="DB260" s="48" t="s">
        <v>1878</v>
      </c>
      <c r="DC260" s="48" t="s">
        <v>2070</v>
      </c>
      <c r="DD260" s="48" t="s">
        <v>1842</v>
      </c>
      <c r="DE260" s="48" t="s">
        <v>1886</v>
      </c>
      <c r="DF260" s="48" t="s">
        <v>4857</v>
      </c>
      <c r="DG260" s="48" t="s">
        <v>2071</v>
      </c>
      <c r="DH260" s="48" t="s">
        <v>1712</v>
      </c>
      <c r="DI260" s="48" t="s">
        <v>1710</v>
      </c>
      <c r="DJ260" s="48" t="s">
        <v>1710</v>
      </c>
      <c r="DK260" s="48" t="s">
        <v>1710</v>
      </c>
      <c r="DL260" s="48" t="s">
        <v>1710</v>
      </c>
      <c r="DM260" s="48" t="s">
        <v>1710</v>
      </c>
      <c r="DN260" s="48" t="s">
        <v>1710</v>
      </c>
      <c r="DO260" s="48" t="s">
        <v>1710</v>
      </c>
      <c r="DP260" s="48" t="s">
        <v>1710</v>
      </c>
      <c r="DQ260" s="48" t="s">
        <v>1710</v>
      </c>
      <c r="DR260" s="48" t="s">
        <v>2072</v>
      </c>
      <c r="DS260" s="48" t="s">
        <v>1710</v>
      </c>
      <c r="DT260" s="48" t="s">
        <v>1710</v>
      </c>
      <c r="DU260" s="48" t="s">
        <v>2575</v>
      </c>
      <c r="DV260" s="48" t="s">
        <v>2850</v>
      </c>
      <c r="DW260" s="48" t="s">
        <v>1710</v>
      </c>
      <c r="DX260" s="48" t="s">
        <v>4858</v>
      </c>
      <c r="DY260" s="48" t="s">
        <v>1709</v>
      </c>
      <c r="DZ260" s="48" t="s">
        <v>2562</v>
      </c>
      <c r="EA260" s="48" t="s">
        <v>2546</v>
      </c>
      <c r="EB260">
        <v>0</v>
      </c>
      <c r="EC260" s="48" t="s">
        <v>2575</v>
      </c>
      <c r="ED260" s="48" t="s">
        <v>4849</v>
      </c>
      <c r="EE260" s="48" t="s">
        <v>1814</v>
      </c>
      <c r="EF260" s="48" t="s">
        <v>1852</v>
      </c>
      <c r="EG260" s="48" t="s">
        <v>4855</v>
      </c>
      <c r="EH260">
        <v>11</v>
      </c>
      <c r="EI260" s="48" t="s">
        <v>1888</v>
      </c>
      <c r="EJ260">
        <v>0</v>
      </c>
      <c r="EK260" s="48" t="s">
        <v>1710</v>
      </c>
      <c r="EL260">
        <v>1</v>
      </c>
      <c r="EM260" s="48" t="s">
        <v>1886</v>
      </c>
      <c r="EN260">
        <v>11</v>
      </c>
      <c r="EO260" s="48" t="s">
        <v>2525</v>
      </c>
      <c r="EP260" s="48" t="s">
        <v>4859</v>
      </c>
      <c r="EQ260">
        <v>3609.37</v>
      </c>
      <c r="ER260">
        <v>3609.37</v>
      </c>
      <c r="ES260">
        <v>5316818</v>
      </c>
      <c r="ET260">
        <v>3609</v>
      </c>
      <c r="EU260" s="48" t="s">
        <v>1710</v>
      </c>
      <c r="EV260" s="48" t="s">
        <v>1710</v>
      </c>
      <c r="EW260" s="48" t="s">
        <v>1712</v>
      </c>
      <c r="EX260" s="48" t="s">
        <v>1710</v>
      </c>
      <c r="EY260" s="48" t="s">
        <v>1848</v>
      </c>
      <c r="EZ260" s="48" t="s">
        <v>1710</v>
      </c>
      <c r="FA260" s="48" t="s">
        <v>1710</v>
      </c>
      <c r="FB260" s="48" t="s">
        <v>1712</v>
      </c>
      <c r="FC260" s="48" t="s">
        <v>1710</v>
      </c>
      <c r="FD260" s="48" t="s">
        <v>1710</v>
      </c>
      <c r="FE260" s="48" t="s">
        <v>1814</v>
      </c>
      <c r="FF260" s="48" t="s">
        <v>1815</v>
      </c>
      <c r="FG260" s="48" t="s">
        <v>1710</v>
      </c>
      <c r="FH260">
        <v>1</v>
      </c>
      <c r="FI260" s="48" t="s">
        <v>1846</v>
      </c>
      <c r="FJ260">
        <v>3609.37</v>
      </c>
      <c r="FK260">
        <v>3609.37</v>
      </c>
      <c r="FL260" s="48" t="s">
        <v>4860</v>
      </c>
      <c r="FM260" s="48" t="s">
        <v>4859</v>
      </c>
      <c r="FN260" s="48" t="s">
        <v>1710</v>
      </c>
      <c r="FO260" s="48" t="s">
        <v>1710</v>
      </c>
      <c r="FP260" s="48" t="s">
        <v>1710</v>
      </c>
      <c r="FQ260" s="48" t="s">
        <v>1710</v>
      </c>
      <c r="FR260" s="48" t="s">
        <v>1710</v>
      </c>
      <c r="FS260" s="48" t="s">
        <v>1710</v>
      </c>
      <c r="FT260" s="48" t="s">
        <v>1710</v>
      </c>
      <c r="FU260" s="48" t="s">
        <v>1710</v>
      </c>
      <c r="FV260" s="48"/>
      <c r="FW260" s="56"/>
      <c r="FX260" s="56"/>
      <c r="FY260" s="56"/>
      <c r="FZ260" s="56"/>
      <c r="GA260" s="55" t="str">
        <f t="shared" ref="GA260:GA280" si="14">A260</f>
        <v>4388426900425X</v>
      </c>
      <c r="GB260" t="str">
        <f>VLOOKUP(B260,수출코드!$C$2:$D$4,2,FALSE)</f>
        <v>Suwon</v>
      </c>
      <c r="GC260" t="str">
        <f>VLOOKUP(L260,수출코드!$A$2:$B$6,2,FALSE)</f>
        <v/>
      </c>
      <c r="GD260" t="str">
        <f>VLOOKUP(M260,수출코드!$E$2:$F$5,2,FALSE)</f>
        <v>재수출</v>
      </c>
      <c r="GE260" s="61">
        <f t="shared" si="12"/>
        <v>45975.616666666669</v>
      </c>
      <c r="GF260" s="62">
        <f t="shared" si="13"/>
        <v>46049.438888888886</v>
      </c>
      <c r="GI260" s="48" t="s">
        <v>2798</v>
      </c>
    </row>
    <row r="261" spans="1:191">
      <c r="A261" s="48" t="s">
        <v>4861</v>
      </c>
      <c r="B261" s="48" t="s">
        <v>1821</v>
      </c>
      <c r="C261" s="48" t="s">
        <v>2048</v>
      </c>
      <c r="D261" s="48" t="s">
        <v>2813</v>
      </c>
      <c r="E261" s="48" t="s">
        <v>4861</v>
      </c>
      <c r="F261" s="48" t="s">
        <v>1710</v>
      </c>
      <c r="G261" s="48" t="s">
        <v>2814</v>
      </c>
      <c r="H261" s="48" t="s">
        <v>4862</v>
      </c>
      <c r="I261" s="48" t="s">
        <v>1884</v>
      </c>
      <c r="J261" s="48" t="s">
        <v>2850</v>
      </c>
      <c r="K261" s="48" t="s">
        <v>1877</v>
      </c>
      <c r="L261" s="48" t="s">
        <v>1842</v>
      </c>
      <c r="M261" s="48" t="s">
        <v>1824</v>
      </c>
      <c r="N261" s="48" t="s">
        <v>1842</v>
      </c>
      <c r="O261" s="48" t="s">
        <v>1823</v>
      </c>
      <c r="P261" s="48" t="s">
        <v>2549</v>
      </c>
      <c r="Q261" s="48" t="s">
        <v>2049</v>
      </c>
      <c r="R261" s="48" t="s">
        <v>1838</v>
      </c>
      <c r="S261" s="48" t="s">
        <v>2050</v>
      </c>
      <c r="T261" s="48" t="s">
        <v>1845</v>
      </c>
      <c r="U261" s="48" t="s">
        <v>2049</v>
      </c>
      <c r="V261" s="48" t="s">
        <v>1838</v>
      </c>
      <c r="W261" s="48" t="s">
        <v>2051</v>
      </c>
      <c r="X261" s="48" t="s">
        <v>2052</v>
      </c>
      <c r="Y261" s="48" t="s">
        <v>2050</v>
      </c>
      <c r="Z261" s="48" t="s">
        <v>2053</v>
      </c>
      <c r="AA261" s="48" t="s">
        <v>2054</v>
      </c>
      <c r="AB261" s="48" t="s">
        <v>2817</v>
      </c>
      <c r="AC261" s="48" t="s">
        <v>2055</v>
      </c>
      <c r="AD261" s="48" t="s">
        <v>2056</v>
      </c>
      <c r="AE261" s="48" t="s">
        <v>1710</v>
      </c>
      <c r="AF261" s="48" t="s">
        <v>1710</v>
      </c>
      <c r="AG261" s="48" t="s">
        <v>2057</v>
      </c>
      <c r="AH261" s="48" t="s">
        <v>1815</v>
      </c>
      <c r="AI261" s="48" t="s">
        <v>2058</v>
      </c>
      <c r="AJ261" s="48" t="s">
        <v>1710</v>
      </c>
      <c r="AK261" s="48" t="s">
        <v>2548</v>
      </c>
      <c r="AL261" s="48" t="s">
        <v>1858</v>
      </c>
      <c r="AM261" s="48" t="s">
        <v>1816</v>
      </c>
      <c r="AN261" s="48" t="s">
        <v>2054</v>
      </c>
      <c r="AO261" s="48" t="s">
        <v>1710</v>
      </c>
      <c r="AP261" s="48" t="s">
        <v>1848</v>
      </c>
      <c r="AQ261" s="48" t="s">
        <v>2060</v>
      </c>
      <c r="AR261" s="48" t="s">
        <v>1812</v>
      </c>
      <c r="AS261" s="48" t="s">
        <v>1813</v>
      </c>
      <c r="AT261" s="48" t="s">
        <v>1826</v>
      </c>
      <c r="AU261" s="48" t="s">
        <v>2061</v>
      </c>
      <c r="AV261" s="48" t="s">
        <v>2850</v>
      </c>
      <c r="AW261" s="48" t="s">
        <v>2062</v>
      </c>
      <c r="AX261" s="48" t="s">
        <v>2063</v>
      </c>
      <c r="AY261" s="48" t="s">
        <v>1710</v>
      </c>
      <c r="AZ261" s="48" t="s">
        <v>4863</v>
      </c>
      <c r="BA261" s="48" t="s">
        <v>1710</v>
      </c>
      <c r="BB261" s="48" t="s">
        <v>1709</v>
      </c>
      <c r="BC261" s="48" t="s">
        <v>1710</v>
      </c>
      <c r="BD261" s="48" t="s">
        <v>4856</v>
      </c>
      <c r="BE261" s="52" t="s">
        <v>4846</v>
      </c>
      <c r="BF261" s="48" t="s">
        <v>1710</v>
      </c>
      <c r="BG261" s="48" t="s">
        <v>1814</v>
      </c>
      <c r="BH261">
        <v>12</v>
      </c>
      <c r="BI261" s="48" t="s">
        <v>1888</v>
      </c>
      <c r="BJ261">
        <v>1</v>
      </c>
      <c r="BK261">
        <v>1473.06</v>
      </c>
      <c r="BL261">
        <v>2562770</v>
      </c>
      <c r="BM261">
        <v>1740</v>
      </c>
      <c r="BN261" s="48" t="s">
        <v>2530</v>
      </c>
      <c r="BO261" s="48" t="s">
        <v>2065</v>
      </c>
      <c r="BP261">
        <v>1473.06</v>
      </c>
      <c r="BQ261">
        <v>1739.76</v>
      </c>
      <c r="BR261" s="48" t="s">
        <v>1885</v>
      </c>
      <c r="BS261" s="48" t="s">
        <v>2066</v>
      </c>
      <c r="BT261">
        <v>1</v>
      </c>
      <c r="BU261">
        <v>0</v>
      </c>
      <c r="BV261">
        <v>0</v>
      </c>
      <c r="BW261" s="48" t="s">
        <v>2065</v>
      </c>
      <c r="BX261">
        <v>1473.06</v>
      </c>
      <c r="BY261">
        <v>0</v>
      </c>
      <c r="BZ261">
        <v>0</v>
      </c>
      <c r="CA261" s="48" t="s">
        <v>2065</v>
      </c>
      <c r="CB261">
        <v>1473.06</v>
      </c>
      <c r="CC261">
        <v>0</v>
      </c>
      <c r="CD261">
        <v>0</v>
      </c>
      <c r="CE261" s="48" t="s">
        <v>1710</v>
      </c>
      <c r="CF261" s="48" t="s">
        <v>1710</v>
      </c>
      <c r="CG261" s="48" t="s">
        <v>1710</v>
      </c>
      <c r="CH261" s="48" t="s">
        <v>1710</v>
      </c>
      <c r="CI261" s="48" t="s">
        <v>2067</v>
      </c>
      <c r="CJ261" s="48" t="s">
        <v>1710</v>
      </c>
      <c r="CL261" s="48" t="s">
        <v>2850</v>
      </c>
      <c r="CM261" s="48" t="s">
        <v>1710</v>
      </c>
      <c r="CN261" s="48" t="s">
        <v>2068</v>
      </c>
      <c r="CO261" s="48" t="s">
        <v>2069</v>
      </c>
      <c r="CP261" s="48" t="s">
        <v>1710</v>
      </c>
      <c r="CQ261" s="48" t="s">
        <v>1710</v>
      </c>
      <c r="CR261" s="48" t="s">
        <v>1710</v>
      </c>
      <c r="CS261" s="48" t="s">
        <v>1710</v>
      </c>
      <c r="CT261" s="48" t="s">
        <v>1710</v>
      </c>
      <c r="CU261" s="48" t="s">
        <v>1712</v>
      </c>
      <c r="CV261" s="48" t="s">
        <v>1710</v>
      </c>
      <c r="CW261" s="48" t="s">
        <v>1710</v>
      </c>
      <c r="CX261" s="48" t="s">
        <v>3014</v>
      </c>
      <c r="CY261" s="48" t="s">
        <v>1710</v>
      </c>
      <c r="CZ261" s="48" t="s">
        <v>1885</v>
      </c>
      <c r="DA261" s="48" t="s">
        <v>1710</v>
      </c>
      <c r="DB261" s="48" t="s">
        <v>1878</v>
      </c>
      <c r="DC261" s="48" t="s">
        <v>2070</v>
      </c>
      <c r="DD261" s="48" t="s">
        <v>1842</v>
      </c>
      <c r="DE261" s="48" t="s">
        <v>1886</v>
      </c>
      <c r="DF261" s="48" t="s">
        <v>4864</v>
      </c>
      <c r="DG261" s="48" t="s">
        <v>2071</v>
      </c>
      <c r="DH261" s="48" t="s">
        <v>1712</v>
      </c>
      <c r="DI261" s="48" t="s">
        <v>1710</v>
      </c>
      <c r="DJ261" s="48" t="s">
        <v>1710</v>
      </c>
      <c r="DK261" s="48" t="s">
        <v>1710</v>
      </c>
      <c r="DL261" s="48" t="s">
        <v>1710</v>
      </c>
      <c r="DM261" s="48" t="s">
        <v>1710</v>
      </c>
      <c r="DN261" s="48" t="s">
        <v>1710</v>
      </c>
      <c r="DO261" s="48" t="s">
        <v>1710</v>
      </c>
      <c r="DP261" s="48" t="s">
        <v>1710</v>
      </c>
      <c r="DQ261" s="48" t="s">
        <v>1710</v>
      </c>
      <c r="DR261" s="48" t="s">
        <v>2072</v>
      </c>
      <c r="DS261" s="48" t="s">
        <v>1710</v>
      </c>
      <c r="DT261" s="48" t="s">
        <v>1710</v>
      </c>
      <c r="DU261" s="48" t="s">
        <v>2575</v>
      </c>
      <c r="DV261" s="48" t="s">
        <v>2850</v>
      </c>
      <c r="DW261" s="48" t="s">
        <v>1710</v>
      </c>
      <c r="DX261" s="48" t="s">
        <v>4865</v>
      </c>
      <c r="DY261" s="48" t="s">
        <v>1709</v>
      </c>
      <c r="DZ261" s="48" t="s">
        <v>2562</v>
      </c>
      <c r="EA261" s="48" t="s">
        <v>2546</v>
      </c>
      <c r="EB261">
        <v>0</v>
      </c>
      <c r="EC261" s="48" t="s">
        <v>2575</v>
      </c>
      <c r="ED261" s="48" t="s">
        <v>4849</v>
      </c>
      <c r="EE261" s="48" t="s">
        <v>1814</v>
      </c>
      <c r="EF261" s="48" t="s">
        <v>1852</v>
      </c>
      <c r="EG261" s="48" t="s">
        <v>4863</v>
      </c>
      <c r="EH261">
        <v>8.23</v>
      </c>
      <c r="EI261" s="48" t="s">
        <v>1888</v>
      </c>
      <c r="EJ261">
        <v>0</v>
      </c>
      <c r="EK261" s="48" t="s">
        <v>1710</v>
      </c>
      <c r="EL261">
        <v>1</v>
      </c>
      <c r="EM261" s="48" t="s">
        <v>1886</v>
      </c>
      <c r="EN261">
        <v>8.23</v>
      </c>
      <c r="EO261" s="48" t="s">
        <v>2525</v>
      </c>
      <c r="EP261" s="48" t="s">
        <v>4866</v>
      </c>
      <c r="EQ261">
        <v>1739.76</v>
      </c>
      <c r="ER261">
        <v>1739.76</v>
      </c>
      <c r="ES261">
        <v>2562770</v>
      </c>
      <c r="ET261">
        <v>1740</v>
      </c>
      <c r="EU261" s="48" t="s">
        <v>1710</v>
      </c>
      <c r="EV261" s="48" t="s">
        <v>1710</v>
      </c>
      <c r="EW261" s="48" t="s">
        <v>1712</v>
      </c>
      <c r="EX261" s="48" t="s">
        <v>1710</v>
      </c>
      <c r="EY261" s="48" t="s">
        <v>1848</v>
      </c>
      <c r="EZ261" s="48" t="s">
        <v>1710</v>
      </c>
      <c r="FA261" s="48" t="s">
        <v>1710</v>
      </c>
      <c r="FB261" s="48" t="s">
        <v>1712</v>
      </c>
      <c r="FC261" s="48" t="s">
        <v>1710</v>
      </c>
      <c r="FD261" s="48" t="s">
        <v>1710</v>
      </c>
      <c r="FE261" s="48" t="s">
        <v>1814</v>
      </c>
      <c r="FF261" s="48" t="s">
        <v>1815</v>
      </c>
      <c r="FG261" s="48" t="s">
        <v>1710</v>
      </c>
      <c r="FH261">
        <v>1</v>
      </c>
      <c r="FI261" s="48" t="s">
        <v>1846</v>
      </c>
      <c r="FJ261">
        <v>1739.76</v>
      </c>
      <c r="FK261">
        <v>1739.76</v>
      </c>
      <c r="FL261" s="48" t="s">
        <v>4867</v>
      </c>
      <c r="FM261" s="48" t="s">
        <v>4866</v>
      </c>
      <c r="FN261" s="48" t="s">
        <v>1710</v>
      </c>
      <c r="FO261" s="48" t="s">
        <v>1710</v>
      </c>
      <c r="FP261" s="48" t="s">
        <v>1710</v>
      </c>
      <c r="FQ261" s="48" t="s">
        <v>1710</v>
      </c>
      <c r="FR261" s="48" t="s">
        <v>1710</v>
      </c>
      <c r="FS261" s="48" t="s">
        <v>1710</v>
      </c>
      <c r="FT261" s="48" t="s">
        <v>1710</v>
      </c>
      <c r="FU261" s="48" t="s">
        <v>1710</v>
      </c>
      <c r="FV261" s="48"/>
      <c r="FW261" s="56"/>
      <c r="FX261" s="56"/>
      <c r="FY261" s="56"/>
      <c r="FZ261" s="56"/>
      <c r="GA261" s="55" t="str">
        <f t="shared" si="14"/>
        <v>4388426900426X</v>
      </c>
      <c r="GB261" t="str">
        <f>VLOOKUP(B261,수출코드!$C$2:$D$4,2,FALSE)</f>
        <v>Suwon</v>
      </c>
      <c r="GC261" t="str">
        <f>VLOOKUP(L261,수출코드!$A$2:$B$6,2,FALSE)</f>
        <v/>
      </c>
      <c r="GD261" t="str">
        <f>VLOOKUP(M261,수출코드!$E$2:$F$5,2,FALSE)</f>
        <v>재수출</v>
      </c>
      <c r="GE261" s="61">
        <f t="shared" si="12"/>
        <v>45975.630555555559</v>
      </c>
      <c r="GF261" s="62">
        <f t="shared" si="13"/>
        <v>46049.438888888886</v>
      </c>
      <c r="GI261" s="48" t="s">
        <v>2799</v>
      </c>
    </row>
    <row r="262" spans="1:191">
      <c r="A262" s="48" t="s">
        <v>4868</v>
      </c>
      <c r="B262" s="48" t="s">
        <v>1821</v>
      </c>
      <c r="C262" s="48" t="s">
        <v>2048</v>
      </c>
      <c r="D262" s="48" t="s">
        <v>2813</v>
      </c>
      <c r="E262" s="48" t="s">
        <v>4868</v>
      </c>
      <c r="F262" s="48" t="s">
        <v>1710</v>
      </c>
      <c r="G262" s="48" t="s">
        <v>2814</v>
      </c>
      <c r="H262" s="48" t="s">
        <v>4869</v>
      </c>
      <c r="I262" s="48" t="s">
        <v>1884</v>
      </c>
      <c r="J262" s="48" t="s">
        <v>2850</v>
      </c>
      <c r="K262" s="48" t="s">
        <v>1877</v>
      </c>
      <c r="L262" s="48" t="s">
        <v>1844</v>
      </c>
      <c r="M262" s="48" t="s">
        <v>1824</v>
      </c>
      <c r="N262" s="48" t="s">
        <v>1842</v>
      </c>
      <c r="O262" s="48" t="s">
        <v>1823</v>
      </c>
      <c r="P262" s="48" t="s">
        <v>2549</v>
      </c>
      <c r="Q262" s="48" t="s">
        <v>2049</v>
      </c>
      <c r="R262" s="48" t="s">
        <v>1838</v>
      </c>
      <c r="S262" s="48" t="s">
        <v>2050</v>
      </c>
      <c r="T262" s="48" t="s">
        <v>1845</v>
      </c>
      <c r="U262" s="48" t="s">
        <v>2049</v>
      </c>
      <c r="V262" s="48" t="s">
        <v>1838</v>
      </c>
      <c r="W262" s="48" t="s">
        <v>2051</v>
      </c>
      <c r="X262" s="48" t="s">
        <v>2052</v>
      </c>
      <c r="Y262" s="48" t="s">
        <v>2050</v>
      </c>
      <c r="Z262" s="48" t="s">
        <v>2053</v>
      </c>
      <c r="AA262" s="48" t="s">
        <v>2054</v>
      </c>
      <c r="AB262" s="48" t="s">
        <v>2817</v>
      </c>
      <c r="AC262" s="48" t="s">
        <v>2055</v>
      </c>
      <c r="AD262" s="48" t="s">
        <v>2056</v>
      </c>
      <c r="AE262" s="48" t="s">
        <v>1710</v>
      </c>
      <c r="AF262" s="48" t="s">
        <v>1710</v>
      </c>
      <c r="AG262" s="48" t="s">
        <v>2057</v>
      </c>
      <c r="AH262" s="48" t="s">
        <v>1815</v>
      </c>
      <c r="AI262" s="48" t="s">
        <v>2058</v>
      </c>
      <c r="AJ262" s="48" t="s">
        <v>1710</v>
      </c>
      <c r="AK262" s="48" t="s">
        <v>2647</v>
      </c>
      <c r="AL262" s="48" t="s">
        <v>1858</v>
      </c>
      <c r="AM262" s="48" t="s">
        <v>1816</v>
      </c>
      <c r="AN262" s="48" t="s">
        <v>2054</v>
      </c>
      <c r="AO262" s="48" t="s">
        <v>1710</v>
      </c>
      <c r="AP262" s="48" t="s">
        <v>1848</v>
      </c>
      <c r="AQ262" s="48" t="s">
        <v>2060</v>
      </c>
      <c r="AR262" s="48" t="s">
        <v>1812</v>
      </c>
      <c r="AS262" s="48" t="s">
        <v>1813</v>
      </c>
      <c r="AT262" s="48" t="s">
        <v>1826</v>
      </c>
      <c r="AU262" s="48" t="s">
        <v>2061</v>
      </c>
      <c r="AV262" s="48" t="s">
        <v>2850</v>
      </c>
      <c r="AW262" s="48" t="s">
        <v>2062</v>
      </c>
      <c r="AX262" s="48" t="s">
        <v>2063</v>
      </c>
      <c r="AY262" s="48" t="s">
        <v>1710</v>
      </c>
      <c r="AZ262" s="48" t="s">
        <v>4870</v>
      </c>
      <c r="BA262" s="48" t="s">
        <v>1710</v>
      </c>
      <c r="BB262" s="48" t="s">
        <v>1709</v>
      </c>
      <c r="BC262" s="48" t="s">
        <v>1710</v>
      </c>
      <c r="BD262" s="48" t="s">
        <v>2600</v>
      </c>
      <c r="BE262" s="52" t="s">
        <v>4846</v>
      </c>
      <c r="BF262" s="48" t="s">
        <v>1710</v>
      </c>
      <c r="BG262" s="48" t="s">
        <v>1814</v>
      </c>
      <c r="BH262">
        <v>2</v>
      </c>
      <c r="BI262" s="48" t="s">
        <v>1888</v>
      </c>
      <c r="BJ262">
        <v>1</v>
      </c>
      <c r="BK262">
        <v>1473.06</v>
      </c>
      <c r="BL262">
        <v>2197075</v>
      </c>
      <c r="BM262">
        <v>1492</v>
      </c>
      <c r="BN262" s="48" t="s">
        <v>2064</v>
      </c>
      <c r="BO262" s="48" t="s">
        <v>2065</v>
      </c>
      <c r="BP262">
        <v>1473.06</v>
      </c>
      <c r="BQ262">
        <v>1523.75</v>
      </c>
      <c r="BR262" s="48" t="s">
        <v>1885</v>
      </c>
      <c r="BS262" s="48" t="s">
        <v>2066</v>
      </c>
      <c r="BT262">
        <v>1</v>
      </c>
      <c r="BU262">
        <v>47500</v>
      </c>
      <c r="BV262">
        <v>47500</v>
      </c>
      <c r="BW262" s="48" t="s">
        <v>2065</v>
      </c>
      <c r="BX262">
        <v>1473.06</v>
      </c>
      <c r="BY262">
        <v>0</v>
      </c>
      <c r="BZ262">
        <v>0</v>
      </c>
      <c r="CA262" s="48" t="s">
        <v>2065</v>
      </c>
      <c r="CB262">
        <v>1473.06</v>
      </c>
      <c r="CC262">
        <v>0</v>
      </c>
      <c r="CD262">
        <v>0</v>
      </c>
      <c r="CE262" s="48" t="s">
        <v>1710</v>
      </c>
      <c r="CF262" s="48" t="s">
        <v>1710</v>
      </c>
      <c r="CG262" s="48" t="s">
        <v>1710</v>
      </c>
      <c r="CH262" s="48" t="s">
        <v>1710</v>
      </c>
      <c r="CI262" s="48" t="s">
        <v>2067</v>
      </c>
      <c r="CJ262" s="48" t="s">
        <v>1710</v>
      </c>
      <c r="CL262" s="48" t="s">
        <v>2850</v>
      </c>
      <c r="CM262" s="48" t="s">
        <v>1710</v>
      </c>
      <c r="CN262" s="48" t="s">
        <v>2068</v>
      </c>
      <c r="CO262" s="48" t="s">
        <v>2069</v>
      </c>
      <c r="CP262" s="48" t="s">
        <v>1710</v>
      </c>
      <c r="CQ262" s="48" t="s">
        <v>1710</v>
      </c>
      <c r="CR262" s="48" t="s">
        <v>1710</v>
      </c>
      <c r="CS262" s="48" t="s">
        <v>1710</v>
      </c>
      <c r="CT262" s="48" t="s">
        <v>1710</v>
      </c>
      <c r="CU262" s="48" t="s">
        <v>1712</v>
      </c>
      <c r="CV262" s="48" t="s">
        <v>1710</v>
      </c>
      <c r="CW262" s="48" t="s">
        <v>1710</v>
      </c>
      <c r="CX262" s="48" t="s">
        <v>3014</v>
      </c>
      <c r="CY262" s="48" t="s">
        <v>1710</v>
      </c>
      <c r="CZ262" s="48" t="s">
        <v>1712</v>
      </c>
      <c r="DA262" s="48" t="s">
        <v>1710</v>
      </c>
      <c r="DB262" s="48" t="s">
        <v>1878</v>
      </c>
      <c r="DC262" s="48" t="s">
        <v>2070</v>
      </c>
      <c r="DD262" s="48" t="s">
        <v>1842</v>
      </c>
      <c r="DE262" s="48" t="s">
        <v>1886</v>
      </c>
      <c r="DF262" s="48" t="s">
        <v>4871</v>
      </c>
      <c r="DG262" s="48" t="s">
        <v>2071</v>
      </c>
      <c r="DH262" s="48" t="s">
        <v>1712</v>
      </c>
      <c r="DI262" s="48" t="s">
        <v>1710</v>
      </c>
      <c r="DJ262" s="48" t="s">
        <v>1710</v>
      </c>
      <c r="DK262" s="48" t="s">
        <v>1710</v>
      </c>
      <c r="DL262" s="48" t="s">
        <v>1710</v>
      </c>
      <c r="DM262" s="48" t="s">
        <v>1710</v>
      </c>
      <c r="DN262" s="48" t="s">
        <v>1710</v>
      </c>
      <c r="DO262" s="48" t="s">
        <v>1710</v>
      </c>
      <c r="DP262" s="48" t="s">
        <v>1710</v>
      </c>
      <c r="DQ262" s="48" t="s">
        <v>1710</v>
      </c>
      <c r="DR262" s="48" t="s">
        <v>2072</v>
      </c>
      <c r="DS262" s="48" t="s">
        <v>1710</v>
      </c>
      <c r="DT262" s="48" t="s">
        <v>1710</v>
      </c>
      <c r="DU262" s="48" t="s">
        <v>2575</v>
      </c>
      <c r="DV262" s="48" t="s">
        <v>2850</v>
      </c>
      <c r="DW262" s="48" t="s">
        <v>1710</v>
      </c>
      <c r="DX262" s="48" t="s">
        <v>4872</v>
      </c>
      <c r="DY262" s="48" t="s">
        <v>1709</v>
      </c>
      <c r="DZ262" s="48" t="s">
        <v>2084</v>
      </c>
      <c r="EA262" s="48" t="s">
        <v>2546</v>
      </c>
      <c r="EB262">
        <v>0</v>
      </c>
      <c r="EC262" s="48" t="s">
        <v>2575</v>
      </c>
      <c r="ED262" s="48" t="s">
        <v>4873</v>
      </c>
      <c r="EE262" s="48" t="s">
        <v>1814</v>
      </c>
      <c r="EF262" s="48" t="s">
        <v>1867</v>
      </c>
      <c r="EG262" s="48" t="s">
        <v>4870</v>
      </c>
      <c r="EH262">
        <v>0.9</v>
      </c>
      <c r="EI262" s="48" t="s">
        <v>1888</v>
      </c>
      <c r="EJ262">
        <v>1</v>
      </c>
      <c r="EK262" s="48" t="s">
        <v>1887</v>
      </c>
      <c r="EL262">
        <v>1</v>
      </c>
      <c r="EM262" s="48" t="s">
        <v>1886</v>
      </c>
      <c r="EN262">
        <v>0.9</v>
      </c>
      <c r="EO262" s="48" t="s">
        <v>2520</v>
      </c>
      <c r="EP262" s="48" t="s">
        <v>4874</v>
      </c>
      <c r="EQ262">
        <v>1523.75</v>
      </c>
      <c r="ER262">
        <v>1523.75</v>
      </c>
      <c r="ES262">
        <v>2197075</v>
      </c>
      <c r="ET262">
        <v>1492</v>
      </c>
      <c r="EU262" s="48" t="s">
        <v>1710</v>
      </c>
      <c r="EV262" s="48" t="s">
        <v>1710</v>
      </c>
      <c r="EW262" s="48" t="s">
        <v>1712</v>
      </c>
      <c r="EX262" s="48" t="s">
        <v>1710</v>
      </c>
      <c r="EY262" s="48" t="s">
        <v>2540</v>
      </c>
      <c r="EZ262" s="48" t="s">
        <v>1710</v>
      </c>
      <c r="FA262" s="48" t="s">
        <v>1710</v>
      </c>
      <c r="FB262" s="48" t="s">
        <v>1712</v>
      </c>
      <c r="FC262" s="48" t="s">
        <v>1710</v>
      </c>
      <c r="FD262" s="48" t="s">
        <v>1710</v>
      </c>
      <c r="FE262" s="48" t="s">
        <v>1814</v>
      </c>
      <c r="FF262" s="48" t="s">
        <v>1815</v>
      </c>
      <c r="FG262" s="48" t="s">
        <v>1710</v>
      </c>
      <c r="FH262">
        <v>1</v>
      </c>
      <c r="FI262" s="48" t="s">
        <v>1846</v>
      </c>
      <c r="FJ262">
        <v>1523.75</v>
      </c>
      <c r="FK262">
        <v>1523.75</v>
      </c>
      <c r="FL262" s="48" t="s">
        <v>4875</v>
      </c>
      <c r="FM262" s="48" t="s">
        <v>4874</v>
      </c>
      <c r="FN262" s="48" t="s">
        <v>4876</v>
      </c>
      <c r="FO262" s="48" t="s">
        <v>1710</v>
      </c>
      <c r="FP262" s="48" t="s">
        <v>1710</v>
      </c>
      <c r="FQ262" s="48" t="s">
        <v>1710</v>
      </c>
      <c r="FR262" s="48" t="s">
        <v>1710</v>
      </c>
      <c r="FS262" s="48" t="s">
        <v>1710</v>
      </c>
      <c r="FT262" s="48" t="s">
        <v>1710</v>
      </c>
      <c r="FU262" s="48" t="s">
        <v>1710</v>
      </c>
      <c r="FV262" s="48"/>
      <c r="FW262" s="56"/>
      <c r="FX262" s="56"/>
      <c r="FY262" s="56"/>
      <c r="FZ262" s="56"/>
      <c r="GA262" s="55" t="str">
        <f t="shared" si="14"/>
        <v>4388426900427X</v>
      </c>
      <c r="GB262" t="str">
        <f>VLOOKUP(B262,수출코드!$C$2:$D$4,2,FALSE)</f>
        <v>Suwon</v>
      </c>
      <c r="GC262" t="str">
        <f>VLOOKUP(L262,수출코드!$A$2:$B$6,2,FALSE)</f>
        <v>화면심사</v>
      </c>
      <c r="GD262" t="str">
        <f>VLOOKUP(M262,수출코드!$E$2:$F$5,2,FALSE)</f>
        <v>재수출</v>
      </c>
      <c r="GE262" s="61">
        <f t="shared" si="12"/>
        <v>45975.656944444447</v>
      </c>
      <c r="GF262" s="62">
        <f t="shared" si="13"/>
        <v>46049.461805555555</v>
      </c>
      <c r="GI262" s="48" t="s">
        <v>2800</v>
      </c>
    </row>
    <row r="263" spans="1:191">
      <c r="A263" s="48" t="s">
        <v>4877</v>
      </c>
      <c r="B263" s="48" t="s">
        <v>1821</v>
      </c>
      <c r="C263" s="48" t="s">
        <v>2048</v>
      </c>
      <c r="D263" s="48" t="s">
        <v>2813</v>
      </c>
      <c r="E263" s="48" t="s">
        <v>4877</v>
      </c>
      <c r="F263" s="48" t="s">
        <v>1710</v>
      </c>
      <c r="G263" s="48" t="s">
        <v>2814</v>
      </c>
      <c r="H263" s="48" t="s">
        <v>4878</v>
      </c>
      <c r="I263" s="48" t="s">
        <v>1884</v>
      </c>
      <c r="J263" s="48" t="s">
        <v>2850</v>
      </c>
      <c r="K263" s="48" t="s">
        <v>1877</v>
      </c>
      <c r="L263" s="48" t="s">
        <v>1842</v>
      </c>
      <c r="M263" s="48" t="s">
        <v>1810</v>
      </c>
      <c r="N263" s="48" t="s">
        <v>1842</v>
      </c>
      <c r="O263" s="48" t="s">
        <v>1811</v>
      </c>
      <c r="P263" s="48" t="s">
        <v>2549</v>
      </c>
      <c r="Q263" s="48" t="s">
        <v>2049</v>
      </c>
      <c r="R263" s="48" t="s">
        <v>1838</v>
      </c>
      <c r="S263" s="48" t="s">
        <v>2050</v>
      </c>
      <c r="T263" s="48" t="s">
        <v>1845</v>
      </c>
      <c r="U263" s="48" t="s">
        <v>2049</v>
      </c>
      <c r="V263" s="48" t="s">
        <v>1838</v>
      </c>
      <c r="W263" s="48" t="s">
        <v>2051</v>
      </c>
      <c r="X263" s="48" t="s">
        <v>2052</v>
      </c>
      <c r="Y263" s="48" t="s">
        <v>2050</v>
      </c>
      <c r="Z263" s="48" t="s">
        <v>2053</v>
      </c>
      <c r="AA263" s="48" t="s">
        <v>2054</v>
      </c>
      <c r="AB263" s="48" t="s">
        <v>1710</v>
      </c>
      <c r="AC263" s="48" t="s">
        <v>2055</v>
      </c>
      <c r="AD263" s="48" t="s">
        <v>2056</v>
      </c>
      <c r="AE263" s="48" t="s">
        <v>1710</v>
      </c>
      <c r="AF263" s="48" t="s">
        <v>1710</v>
      </c>
      <c r="AG263" s="48" t="s">
        <v>2057</v>
      </c>
      <c r="AH263" s="48" t="s">
        <v>1815</v>
      </c>
      <c r="AI263" s="48" t="s">
        <v>2058</v>
      </c>
      <c r="AJ263" s="48" t="s">
        <v>1710</v>
      </c>
      <c r="AK263" s="48" t="s">
        <v>2087</v>
      </c>
      <c r="AL263" s="48" t="s">
        <v>2088</v>
      </c>
      <c r="AM263" s="48" t="s">
        <v>1816</v>
      </c>
      <c r="AN263" s="48" t="s">
        <v>2054</v>
      </c>
      <c r="AO263" s="48" t="s">
        <v>1710</v>
      </c>
      <c r="AP263" s="48" t="s">
        <v>1853</v>
      </c>
      <c r="AQ263" s="48" t="s">
        <v>2086</v>
      </c>
      <c r="AR263" s="48" t="s">
        <v>1812</v>
      </c>
      <c r="AS263" s="48" t="s">
        <v>1813</v>
      </c>
      <c r="AT263" s="48" t="s">
        <v>1826</v>
      </c>
      <c r="AU263" s="48" t="s">
        <v>2061</v>
      </c>
      <c r="AV263" s="48" t="s">
        <v>2850</v>
      </c>
      <c r="AW263" s="48" t="s">
        <v>2062</v>
      </c>
      <c r="AX263" s="48" t="s">
        <v>2063</v>
      </c>
      <c r="AY263" s="48" t="s">
        <v>1710</v>
      </c>
      <c r="AZ263" s="48" t="s">
        <v>4879</v>
      </c>
      <c r="BA263" s="48" t="s">
        <v>1710</v>
      </c>
      <c r="BB263" s="48" t="s">
        <v>1709</v>
      </c>
      <c r="BC263" s="48" t="s">
        <v>1710</v>
      </c>
      <c r="BD263" s="48" t="s">
        <v>3137</v>
      </c>
      <c r="BE263" s="52" t="s">
        <v>4880</v>
      </c>
      <c r="BF263" s="48" t="s">
        <v>1710</v>
      </c>
      <c r="BG263" s="48" t="s">
        <v>1814</v>
      </c>
      <c r="BH263">
        <v>16</v>
      </c>
      <c r="BI263" s="48" t="s">
        <v>1888</v>
      </c>
      <c r="BJ263">
        <v>1</v>
      </c>
      <c r="BK263">
        <v>1473.06</v>
      </c>
      <c r="BL263">
        <v>234852</v>
      </c>
      <c r="BM263">
        <v>159</v>
      </c>
      <c r="BN263" s="48" t="s">
        <v>2064</v>
      </c>
      <c r="BO263" s="48" t="s">
        <v>2065</v>
      </c>
      <c r="BP263">
        <v>1473.06</v>
      </c>
      <c r="BQ263">
        <v>223.38</v>
      </c>
      <c r="BR263" s="48" t="s">
        <v>1885</v>
      </c>
      <c r="BS263" s="48" t="s">
        <v>2066</v>
      </c>
      <c r="BT263">
        <v>1</v>
      </c>
      <c r="BU263">
        <v>94200</v>
      </c>
      <c r="BV263">
        <v>94200</v>
      </c>
      <c r="BW263" s="48" t="s">
        <v>2065</v>
      </c>
      <c r="BX263">
        <v>1473.06</v>
      </c>
      <c r="BY263">
        <v>0</v>
      </c>
      <c r="BZ263">
        <v>0</v>
      </c>
      <c r="CA263" s="48" t="s">
        <v>2065</v>
      </c>
      <c r="CB263">
        <v>1473.06</v>
      </c>
      <c r="CC263">
        <v>0</v>
      </c>
      <c r="CD263">
        <v>0</v>
      </c>
      <c r="CE263" s="48" t="s">
        <v>1710</v>
      </c>
      <c r="CF263" s="48" t="s">
        <v>1710</v>
      </c>
      <c r="CG263" s="48" t="s">
        <v>1710</v>
      </c>
      <c r="CH263" s="48" t="s">
        <v>1710</v>
      </c>
      <c r="CI263" s="48" t="s">
        <v>2067</v>
      </c>
      <c r="CJ263" s="48" t="s">
        <v>1710</v>
      </c>
      <c r="CL263" s="48" t="s">
        <v>2850</v>
      </c>
      <c r="CM263" s="48" t="s">
        <v>1710</v>
      </c>
      <c r="CN263" s="48" t="s">
        <v>2068</v>
      </c>
      <c r="CO263" s="48" t="s">
        <v>2069</v>
      </c>
      <c r="CP263" s="48" t="s">
        <v>1710</v>
      </c>
      <c r="CQ263" s="48" t="s">
        <v>1710</v>
      </c>
      <c r="CR263" s="48" t="s">
        <v>1710</v>
      </c>
      <c r="CS263" s="48" t="s">
        <v>1710</v>
      </c>
      <c r="CT263" s="48" t="s">
        <v>1710</v>
      </c>
      <c r="CU263" s="48" t="s">
        <v>1712</v>
      </c>
      <c r="CV263" s="48" t="s">
        <v>1710</v>
      </c>
      <c r="CW263" s="48" t="s">
        <v>1710</v>
      </c>
      <c r="CX263" s="48" t="s">
        <v>3014</v>
      </c>
      <c r="CY263" s="48" t="s">
        <v>1710</v>
      </c>
      <c r="CZ263" s="48" t="s">
        <v>1712</v>
      </c>
      <c r="DA263" s="48" t="s">
        <v>1710</v>
      </c>
      <c r="DB263" s="48" t="s">
        <v>1878</v>
      </c>
      <c r="DC263" s="48" t="s">
        <v>2070</v>
      </c>
      <c r="DD263" s="48" t="s">
        <v>1842</v>
      </c>
      <c r="DE263" s="48" t="s">
        <v>1886</v>
      </c>
      <c r="DF263" s="48" t="s">
        <v>4881</v>
      </c>
      <c r="DG263" s="48" t="s">
        <v>2071</v>
      </c>
      <c r="DH263" s="48" t="s">
        <v>1712</v>
      </c>
      <c r="DI263" s="48" t="s">
        <v>1710</v>
      </c>
      <c r="DJ263" s="48" t="s">
        <v>1710</v>
      </c>
      <c r="DK263" s="48" t="s">
        <v>1710</v>
      </c>
      <c r="DL263" s="48" t="s">
        <v>1710</v>
      </c>
      <c r="DM263" s="48" t="s">
        <v>1710</v>
      </c>
      <c r="DN263" s="48" t="s">
        <v>1710</v>
      </c>
      <c r="DO263" s="48" t="s">
        <v>1710</v>
      </c>
      <c r="DP263" s="48" t="s">
        <v>1710</v>
      </c>
      <c r="DQ263" s="48" t="s">
        <v>1710</v>
      </c>
      <c r="DR263" s="48" t="s">
        <v>2072</v>
      </c>
      <c r="DS263" s="48" t="s">
        <v>1710</v>
      </c>
      <c r="DT263" s="48" t="s">
        <v>1710</v>
      </c>
      <c r="DU263" s="48" t="s">
        <v>2575</v>
      </c>
      <c r="DV263" s="48" t="s">
        <v>2816</v>
      </c>
      <c r="DW263" s="48" t="s">
        <v>1710</v>
      </c>
      <c r="DX263" s="48" t="s">
        <v>4882</v>
      </c>
      <c r="DY263" s="48" t="s">
        <v>1709</v>
      </c>
      <c r="DZ263" s="48" t="s">
        <v>2562</v>
      </c>
      <c r="EA263" s="48" t="s">
        <v>2546</v>
      </c>
      <c r="EB263">
        <v>0</v>
      </c>
      <c r="EC263" s="48" t="s">
        <v>2575</v>
      </c>
      <c r="ED263" s="48" t="s">
        <v>4883</v>
      </c>
      <c r="EE263" s="48" t="s">
        <v>1814</v>
      </c>
      <c r="EF263" s="48" t="s">
        <v>3949</v>
      </c>
      <c r="EG263" s="48" t="s">
        <v>4879</v>
      </c>
      <c r="EH263">
        <v>15.2</v>
      </c>
      <c r="EI263" s="48" t="s">
        <v>1888</v>
      </c>
      <c r="EJ263">
        <v>4</v>
      </c>
      <c r="EK263" s="48" t="s">
        <v>1887</v>
      </c>
      <c r="EL263">
        <v>1</v>
      </c>
      <c r="EM263" s="48" t="s">
        <v>1886</v>
      </c>
      <c r="EN263">
        <v>15.2</v>
      </c>
      <c r="EO263" s="48" t="s">
        <v>3950</v>
      </c>
      <c r="EP263" s="48" t="s">
        <v>3951</v>
      </c>
      <c r="EQ263">
        <v>223.38</v>
      </c>
      <c r="ER263">
        <v>223.38</v>
      </c>
      <c r="ES263">
        <v>234852</v>
      </c>
      <c r="ET263">
        <v>159</v>
      </c>
      <c r="EU263" s="48" t="s">
        <v>1710</v>
      </c>
      <c r="EV263" s="48" t="s">
        <v>1710</v>
      </c>
      <c r="EW263" s="48" t="s">
        <v>1712</v>
      </c>
      <c r="EX263" s="48" t="s">
        <v>1710</v>
      </c>
      <c r="EY263" s="48" t="s">
        <v>2539</v>
      </c>
      <c r="EZ263" s="48" t="s">
        <v>1710</v>
      </c>
      <c r="FA263" s="48" t="s">
        <v>1710</v>
      </c>
      <c r="FB263" s="48" t="s">
        <v>1712</v>
      </c>
      <c r="FC263" s="48" t="s">
        <v>1710</v>
      </c>
      <c r="FD263" s="48" t="s">
        <v>1710</v>
      </c>
      <c r="FE263" s="48" t="s">
        <v>1814</v>
      </c>
      <c r="FF263" s="48" t="s">
        <v>1815</v>
      </c>
      <c r="FG263" s="48" t="s">
        <v>1710</v>
      </c>
      <c r="FH263">
        <v>4</v>
      </c>
      <c r="FI263" s="48" t="s">
        <v>1846</v>
      </c>
      <c r="FJ263">
        <v>223.38</v>
      </c>
      <c r="FK263">
        <v>55.844999999999999</v>
      </c>
      <c r="FL263" s="48" t="s">
        <v>3952</v>
      </c>
      <c r="FM263" s="48" t="s">
        <v>3951</v>
      </c>
      <c r="FN263" s="48" t="s">
        <v>1710</v>
      </c>
      <c r="FO263" s="48" t="s">
        <v>1710</v>
      </c>
      <c r="FP263" s="48" t="s">
        <v>1710</v>
      </c>
      <c r="FQ263" s="48" t="s">
        <v>1710</v>
      </c>
      <c r="FR263" s="48" t="s">
        <v>1710</v>
      </c>
      <c r="FS263" s="48" t="s">
        <v>1710</v>
      </c>
      <c r="FT263" s="48" t="s">
        <v>1710</v>
      </c>
      <c r="FU263" s="48" t="s">
        <v>1710</v>
      </c>
      <c r="FV263" s="48"/>
      <c r="FW263" s="56"/>
      <c r="FX263" s="56"/>
      <c r="FY263" s="56"/>
      <c r="FZ263" s="56"/>
      <c r="GA263" s="55" t="str">
        <f t="shared" si="14"/>
        <v>4388426900428X</v>
      </c>
      <c r="GB263" t="str">
        <f>VLOOKUP(B263,수출코드!$C$2:$D$4,2,FALSE)</f>
        <v>Suwon</v>
      </c>
      <c r="GC263" t="str">
        <f>VLOOKUP(L263,수출코드!$A$2:$B$6,2,FALSE)</f>
        <v/>
      </c>
      <c r="GD263" t="str">
        <f>VLOOKUP(M263,수출코드!$E$2:$F$5,2,FALSE)</f>
        <v>일반</v>
      </c>
      <c r="GE263" s="61">
        <f t="shared" si="12"/>
        <v>45975.656944444447</v>
      </c>
      <c r="GF263" s="62">
        <f t="shared" si="13"/>
        <v>46049.46597222222</v>
      </c>
      <c r="GI263" s="48" t="s">
        <v>2800</v>
      </c>
    </row>
    <row r="264" spans="1:191">
      <c r="A264" s="48" t="s">
        <v>4884</v>
      </c>
      <c r="B264" s="48" t="s">
        <v>1821</v>
      </c>
      <c r="C264" s="48" t="s">
        <v>2048</v>
      </c>
      <c r="D264" s="48" t="s">
        <v>2813</v>
      </c>
      <c r="E264" s="48" t="s">
        <v>4884</v>
      </c>
      <c r="F264" s="48" t="s">
        <v>1710</v>
      </c>
      <c r="G264" s="48" t="s">
        <v>2814</v>
      </c>
      <c r="H264" s="48" t="s">
        <v>4885</v>
      </c>
      <c r="I264" s="48" t="s">
        <v>1884</v>
      </c>
      <c r="J264" s="48" t="s">
        <v>2850</v>
      </c>
      <c r="K264" s="48" t="s">
        <v>1877</v>
      </c>
      <c r="L264" s="48" t="s">
        <v>1842</v>
      </c>
      <c r="M264" s="48" t="s">
        <v>1822</v>
      </c>
      <c r="N264" s="48" t="s">
        <v>1842</v>
      </c>
      <c r="O264" s="48" t="s">
        <v>1823</v>
      </c>
      <c r="P264" s="48" t="s">
        <v>2549</v>
      </c>
      <c r="Q264" s="48" t="s">
        <v>2049</v>
      </c>
      <c r="R264" s="48" t="s">
        <v>1838</v>
      </c>
      <c r="S264" s="48" t="s">
        <v>2050</v>
      </c>
      <c r="T264" s="48" t="s">
        <v>1845</v>
      </c>
      <c r="U264" s="48" t="s">
        <v>2049</v>
      </c>
      <c r="V264" s="48" t="s">
        <v>1838</v>
      </c>
      <c r="W264" s="48" t="s">
        <v>2051</v>
      </c>
      <c r="X264" s="48" t="s">
        <v>2052</v>
      </c>
      <c r="Y264" s="48" t="s">
        <v>2050</v>
      </c>
      <c r="Z264" s="48" t="s">
        <v>2053</v>
      </c>
      <c r="AA264" s="48" t="s">
        <v>2054</v>
      </c>
      <c r="AB264" s="48" t="s">
        <v>1710</v>
      </c>
      <c r="AC264" s="48" t="s">
        <v>2055</v>
      </c>
      <c r="AD264" s="48" t="s">
        <v>2056</v>
      </c>
      <c r="AE264" s="48" t="s">
        <v>1710</v>
      </c>
      <c r="AF264" s="48" t="s">
        <v>1710</v>
      </c>
      <c r="AG264" s="48" t="s">
        <v>2057</v>
      </c>
      <c r="AH264" s="48" t="s">
        <v>1815</v>
      </c>
      <c r="AI264" s="48" t="s">
        <v>2058</v>
      </c>
      <c r="AJ264" s="48" t="s">
        <v>1710</v>
      </c>
      <c r="AK264" s="48" t="s">
        <v>4886</v>
      </c>
      <c r="AL264" s="48" t="s">
        <v>4887</v>
      </c>
      <c r="AM264" s="48" t="s">
        <v>1816</v>
      </c>
      <c r="AN264" s="48" t="s">
        <v>2054</v>
      </c>
      <c r="AO264" s="48" t="s">
        <v>1710</v>
      </c>
      <c r="AP264" s="48" t="s">
        <v>1843</v>
      </c>
      <c r="AQ264" s="48" t="s">
        <v>2079</v>
      </c>
      <c r="AR264" s="48" t="s">
        <v>1812</v>
      </c>
      <c r="AS264" s="48" t="s">
        <v>1813</v>
      </c>
      <c r="AT264" s="48" t="s">
        <v>1826</v>
      </c>
      <c r="AU264" s="48" t="s">
        <v>2061</v>
      </c>
      <c r="AV264" s="48" t="s">
        <v>2850</v>
      </c>
      <c r="AW264" s="48" t="s">
        <v>2062</v>
      </c>
      <c r="AX264" s="48" t="s">
        <v>2063</v>
      </c>
      <c r="AY264" s="48" t="s">
        <v>1710</v>
      </c>
      <c r="AZ264" s="48" t="s">
        <v>4888</v>
      </c>
      <c r="BA264" s="48" t="s">
        <v>1710</v>
      </c>
      <c r="BB264" s="48" t="s">
        <v>1709</v>
      </c>
      <c r="BC264" s="48" t="s">
        <v>1710</v>
      </c>
      <c r="BD264" s="48" t="s">
        <v>2094</v>
      </c>
      <c r="BE264" s="52" t="s">
        <v>4889</v>
      </c>
      <c r="BF264" s="48" t="s">
        <v>1710</v>
      </c>
      <c r="BG264" s="48" t="s">
        <v>1814</v>
      </c>
      <c r="BH264">
        <v>2</v>
      </c>
      <c r="BI264" s="48" t="s">
        <v>1888</v>
      </c>
      <c r="BJ264">
        <v>1</v>
      </c>
      <c r="BK264">
        <v>1473.06</v>
      </c>
      <c r="BL264">
        <v>2066783</v>
      </c>
      <c r="BM264">
        <v>1403</v>
      </c>
      <c r="BN264" s="48" t="s">
        <v>2064</v>
      </c>
      <c r="BO264" s="48" t="s">
        <v>2065</v>
      </c>
      <c r="BP264">
        <v>1473.06</v>
      </c>
      <c r="BQ264">
        <v>1423.42</v>
      </c>
      <c r="BR264" s="48" t="s">
        <v>1885</v>
      </c>
      <c r="BS264" s="48" t="s">
        <v>2066</v>
      </c>
      <c r="BT264">
        <v>1</v>
      </c>
      <c r="BU264">
        <v>30000</v>
      </c>
      <c r="BV264">
        <v>30000</v>
      </c>
      <c r="BW264" s="48" t="s">
        <v>2065</v>
      </c>
      <c r="BX264">
        <v>1473.06</v>
      </c>
      <c r="BY264">
        <v>0</v>
      </c>
      <c r="BZ264">
        <v>0</v>
      </c>
      <c r="CA264" s="48" t="s">
        <v>2065</v>
      </c>
      <c r="CB264">
        <v>1473.06</v>
      </c>
      <c r="CC264">
        <v>0</v>
      </c>
      <c r="CD264">
        <v>0</v>
      </c>
      <c r="CE264" s="48" t="s">
        <v>1710</v>
      </c>
      <c r="CF264" s="48" t="s">
        <v>1710</v>
      </c>
      <c r="CG264" s="48" t="s">
        <v>1710</v>
      </c>
      <c r="CH264" s="48" t="s">
        <v>1710</v>
      </c>
      <c r="CI264" s="48" t="s">
        <v>2067</v>
      </c>
      <c r="CJ264" s="48" t="s">
        <v>1710</v>
      </c>
      <c r="CL264" s="48" t="s">
        <v>2850</v>
      </c>
      <c r="CM264" s="48" t="s">
        <v>1710</v>
      </c>
      <c r="CN264" s="48" t="s">
        <v>2068</v>
      </c>
      <c r="CO264" s="48" t="s">
        <v>2069</v>
      </c>
      <c r="CP264" s="48" t="s">
        <v>1710</v>
      </c>
      <c r="CQ264" s="48" t="s">
        <v>1710</v>
      </c>
      <c r="CR264" s="48" t="s">
        <v>1710</v>
      </c>
      <c r="CS264" s="48" t="s">
        <v>1710</v>
      </c>
      <c r="CT264" s="48" t="s">
        <v>1710</v>
      </c>
      <c r="CU264" s="48" t="s">
        <v>1712</v>
      </c>
      <c r="CV264" s="48" t="s">
        <v>1710</v>
      </c>
      <c r="CW264" s="48" t="s">
        <v>1710</v>
      </c>
      <c r="CX264" s="48" t="s">
        <v>3014</v>
      </c>
      <c r="CY264" s="48" t="s">
        <v>1710</v>
      </c>
      <c r="CZ264" s="48" t="s">
        <v>1885</v>
      </c>
      <c r="DA264" s="48" t="s">
        <v>1710</v>
      </c>
      <c r="DB264" s="48" t="s">
        <v>1878</v>
      </c>
      <c r="DC264" s="48" t="s">
        <v>2070</v>
      </c>
      <c r="DD264" s="48" t="s">
        <v>1842</v>
      </c>
      <c r="DE264" s="48" t="s">
        <v>1886</v>
      </c>
      <c r="DF264" s="48" t="s">
        <v>4890</v>
      </c>
      <c r="DG264" s="48" t="s">
        <v>2071</v>
      </c>
      <c r="DH264" s="48" t="s">
        <v>1712</v>
      </c>
      <c r="DI264" s="48" t="s">
        <v>1710</v>
      </c>
      <c r="DJ264" s="48" t="s">
        <v>1710</v>
      </c>
      <c r="DK264" s="48" t="s">
        <v>1710</v>
      </c>
      <c r="DL264" s="48" t="s">
        <v>1710</v>
      </c>
      <c r="DM264" s="48" t="s">
        <v>1710</v>
      </c>
      <c r="DN264" s="48" t="s">
        <v>1710</v>
      </c>
      <c r="DO264" s="48" t="s">
        <v>1710</v>
      </c>
      <c r="DP264" s="48" t="s">
        <v>1710</v>
      </c>
      <c r="DQ264" s="48" t="s">
        <v>1710</v>
      </c>
      <c r="DR264" s="48" t="s">
        <v>2072</v>
      </c>
      <c r="DS264" s="48" t="s">
        <v>1710</v>
      </c>
      <c r="DT264" s="48" t="s">
        <v>1710</v>
      </c>
      <c r="DU264" s="48" t="s">
        <v>2575</v>
      </c>
      <c r="DV264" s="48" t="s">
        <v>2850</v>
      </c>
      <c r="DW264" s="48" t="s">
        <v>1710</v>
      </c>
      <c r="DX264" s="48" t="s">
        <v>4891</v>
      </c>
      <c r="DY264" s="48" t="s">
        <v>1709</v>
      </c>
      <c r="DZ264" s="48" t="s">
        <v>2562</v>
      </c>
      <c r="EA264" s="48" t="s">
        <v>2546</v>
      </c>
      <c r="EB264">
        <v>0</v>
      </c>
      <c r="EC264" s="48" t="s">
        <v>2575</v>
      </c>
      <c r="ED264" s="48" t="s">
        <v>4892</v>
      </c>
      <c r="EE264" s="48" t="s">
        <v>1814</v>
      </c>
      <c r="EF264" s="48" t="s">
        <v>1852</v>
      </c>
      <c r="EG264" s="48" t="s">
        <v>4888</v>
      </c>
      <c r="EH264">
        <v>1</v>
      </c>
      <c r="EI264" s="48" t="s">
        <v>1888</v>
      </c>
      <c r="EJ264">
        <v>0</v>
      </c>
      <c r="EK264" s="48" t="s">
        <v>1710</v>
      </c>
      <c r="EL264">
        <v>1</v>
      </c>
      <c r="EM264" s="48" t="s">
        <v>1886</v>
      </c>
      <c r="EN264">
        <v>1</v>
      </c>
      <c r="EO264" s="48" t="s">
        <v>2525</v>
      </c>
      <c r="EP264" s="48" t="s">
        <v>4893</v>
      </c>
      <c r="EQ264">
        <v>1423.42</v>
      </c>
      <c r="ER264">
        <v>1423.42</v>
      </c>
      <c r="ES264">
        <v>2066783</v>
      </c>
      <c r="ET264">
        <v>1403</v>
      </c>
      <c r="EU264" s="48" t="s">
        <v>1710</v>
      </c>
      <c r="EV264" s="48" t="s">
        <v>1710</v>
      </c>
      <c r="EW264" s="48" t="s">
        <v>1712</v>
      </c>
      <c r="EX264" s="48" t="s">
        <v>1710</v>
      </c>
      <c r="EY264" s="48" t="s">
        <v>1843</v>
      </c>
      <c r="EZ264" s="48" t="s">
        <v>1710</v>
      </c>
      <c r="FA264" s="48" t="s">
        <v>1710</v>
      </c>
      <c r="FB264" s="48" t="s">
        <v>1712</v>
      </c>
      <c r="FC264" s="48" t="s">
        <v>1710</v>
      </c>
      <c r="FD264" s="48" t="s">
        <v>1710</v>
      </c>
      <c r="FE264" s="48" t="s">
        <v>1814</v>
      </c>
      <c r="FF264" s="48" t="s">
        <v>1815</v>
      </c>
      <c r="FG264" s="48" t="s">
        <v>1710</v>
      </c>
      <c r="FH264">
        <v>1</v>
      </c>
      <c r="FI264" s="48" t="s">
        <v>1846</v>
      </c>
      <c r="FJ264">
        <v>1423.42</v>
      </c>
      <c r="FK264">
        <v>1423.42</v>
      </c>
      <c r="FL264" s="48" t="s">
        <v>4894</v>
      </c>
      <c r="FM264" s="48" t="s">
        <v>4893</v>
      </c>
      <c r="FN264" s="48" t="s">
        <v>1710</v>
      </c>
      <c r="FO264" s="48" t="s">
        <v>1710</v>
      </c>
      <c r="FP264" s="48" t="s">
        <v>1710</v>
      </c>
      <c r="FQ264" s="48" t="s">
        <v>1710</v>
      </c>
      <c r="FR264" s="48" t="s">
        <v>1710</v>
      </c>
      <c r="FS264" s="48" t="s">
        <v>1710</v>
      </c>
      <c r="FT264" s="48" t="s">
        <v>4895</v>
      </c>
      <c r="FU264" s="48" t="s">
        <v>1710</v>
      </c>
      <c r="FV264" s="48"/>
      <c r="FW264" s="56"/>
      <c r="FX264" s="56"/>
      <c r="FY264" s="56"/>
      <c r="FZ264" s="56"/>
      <c r="GA264" s="55" t="str">
        <f t="shared" si="14"/>
        <v>4388426900429X</v>
      </c>
      <c r="GB264" t="str">
        <f>VLOOKUP(B264,수출코드!$C$2:$D$4,2,FALSE)</f>
        <v>Suwon</v>
      </c>
      <c r="GC264" t="str">
        <f>VLOOKUP(L264,수출코드!$A$2:$B$6,2,FALSE)</f>
        <v/>
      </c>
      <c r="GD264" t="str">
        <f>VLOOKUP(M264,수출코드!$E$2:$F$5,2,FALSE)</f>
        <v>재수입</v>
      </c>
      <c r="GE264" s="61">
        <f t="shared" si="12"/>
        <v>45975.656944444447</v>
      </c>
      <c r="GF264" s="62">
        <f t="shared" si="13"/>
        <v>46049.537499999999</v>
      </c>
      <c r="GI264" s="48" t="s">
        <v>2800</v>
      </c>
    </row>
    <row r="265" spans="1:191">
      <c r="A265" s="48" t="s">
        <v>4896</v>
      </c>
      <c r="B265" s="48" t="s">
        <v>1821</v>
      </c>
      <c r="C265" s="48" t="s">
        <v>2048</v>
      </c>
      <c r="D265" s="48" t="s">
        <v>2813</v>
      </c>
      <c r="E265" s="48" t="s">
        <v>4896</v>
      </c>
      <c r="F265" s="48" t="s">
        <v>1710</v>
      </c>
      <c r="G265" s="48" t="s">
        <v>2814</v>
      </c>
      <c r="H265" s="48" t="s">
        <v>4897</v>
      </c>
      <c r="I265" s="48" t="s">
        <v>1884</v>
      </c>
      <c r="J265" s="48" t="s">
        <v>2850</v>
      </c>
      <c r="K265" s="48" t="s">
        <v>1877</v>
      </c>
      <c r="L265" s="48" t="s">
        <v>1842</v>
      </c>
      <c r="M265" s="48" t="s">
        <v>1810</v>
      </c>
      <c r="N265" s="48" t="s">
        <v>1842</v>
      </c>
      <c r="O265" s="48" t="s">
        <v>1811</v>
      </c>
      <c r="P265" s="48" t="s">
        <v>2549</v>
      </c>
      <c r="Q265" s="48" t="s">
        <v>2049</v>
      </c>
      <c r="R265" s="48" t="s">
        <v>1838</v>
      </c>
      <c r="S265" s="48" t="s">
        <v>2050</v>
      </c>
      <c r="T265" s="48" t="s">
        <v>1845</v>
      </c>
      <c r="U265" s="48" t="s">
        <v>2049</v>
      </c>
      <c r="V265" s="48" t="s">
        <v>1838</v>
      </c>
      <c r="W265" s="48" t="s">
        <v>2051</v>
      </c>
      <c r="X265" s="48" t="s">
        <v>2052</v>
      </c>
      <c r="Y265" s="48" t="s">
        <v>2050</v>
      </c>
      <c r="Z265" s="48" t="s">
        <v>2053</v>
      </c>
      <c r="AA265" s="48" t="s">
        <v>2054</v>
      </c>
      <c r="AB265" s="48" t="s">
        <v>1710</v>
      </c>
      <c r="AC265" s="48" t="s">
        <v>2055</v>
      </c>
      <c r="AD265" s="48" t="s">
        <v>2056</v>
      </c>
      <c r="AE265" s="48" t="s">
        <v>1710</v>
      </c>
      <c r="AF265" s="48" t="s">
        <v>1710</v>
      </c>
      <c r="AG265" s="48" t="s">
        <v>2057</v>
      </c>
      <c r="AH265" s="48" t="s">
        <v>1815</v>
      </c>
      <c r="AI265" s="48" t="s">
        <v>2058</v>
      </c>
      <c r="AJ265" s="48" t="s">
        <v>1710</v>
      </c>
      <c r="AK265" s="48" t="s">
        <v>1839</v>
      </c>
      <c r="AL265" s="48" t="s">
        <v>1840</v>
      </c>
      <c r="AM265" s="48" t="s">
        <v>1816</v>
      </c>
      <c r="AN265" s="48" t="s">
        <v>2054</v>
      </c>
      <c r="AO265" s="48" t="s">
        <v>1710</v>
      </c>
      <c r="AP265" s="48" t="s">
        <v>1874</v>
      </c>
      <c r="AQ265" s="48" t="s">
        <v>2078</v>
      </c>
      <c r="AR265" s="48" t="s">
        <v>1812</v>
      </c>
      <c r="AS265" s="48" t="s">
        <v>1813</v>
      </c>
      <c r="AT265" s="48" t="s">
        <v>1826</v>
      </c>
      <c r="AU265" s="48" t="s">
        <v>2061</v>
      </c>
      <c r="AV265" s="48" t="s">
        <v>2850</v>
      </c>
      <c r="AW265" s="48" t="s">
        <v>2062</v>
      </c>
      <c r="AX265" s="48" t="s">
        <v>2063</v>
      </c>
      <c r="AY265" s="48" t="s">
        <v>1710</v>
      </c>
      <c r="AZ265" s="48" t="s">
        <v>4898</v>
      </c>
      <c r="BA265" s="48" t="s">
        <v>1710</v>
      </c>
      <c r="BB265" s="48" t="s">
        <v>1709</v>
      </c>
      <c r="BC265" s="48" t="s">
        <v>1710</v>
      </c>
      <c r="BD265" s="48" t="s">
        <v>3137</v>
      </c>
      <c r="BE265" s="52" t="s">
        <v>4899</v>
      </c>
      <c r="BF265" s="48" t="s">
        <v>1710</v>
      </c>
      <c r="BG265" s="48" t="s">
        <v>1818</v>
      </c>
      <c r="BH265">
        <v>142</v>
      </c>
      <c r="BI265" s="48" t="s">
        <v>1888</v>
      </c>
      <c r="BJ265">
        <v>2</v>
      </c>
      <c r="BK265">
        <v>1473.06</v>
      </c>
      <c r="BL265">
        <v>22822903</v>
      </c>
      <c r="BM265">
        <v>15494</v>
      </c>
      <c r="BN265" s="48" t="s">
        <v>2064</v>
      </c>
      <c r="BO265" s="48" t="s">
        <v>2065</v>
      </c>
      <c r="BP265">
        <v>1473.06</v>
      </c>
      <c r="BQ265">
        <v>16029.56</v>
      </c>
      <c r="BR265" s="48" t="s">
        <v>1885</v>
      </c>
      <c r="BS265" s="48" t="s">
        <v>2066</v>
      </c>
      <c r="BT265">
        <v>1</v>
      </c>
      <c r="BU265">
        <v>789600</v>
      </c>
      <c r="BV265">
        <v>789600</v>
      </c>
      <c r="BW265" s="48" t="s">
        <v>2065</v>
      </c>
      <c r="BX265">
        <v>1473.06</v>
      </c>
      <c r="BY265">
        <v>0</v>
      </c>
      <c r="BZ265">
        <v>0</v>
      </c>
      <c r="CA265" s="48" t="s">
        <v>2065</v>
      </c>
      <c r="CB265">
        <v>1473.06</v>
      </c>
      <c r="CC265">
        <v>0</v>
      </c>
      <c r="CD265">
        <v>0</v>
      </c>
      <c r="CE265" s="48" t="s">
        <v>1710</v>
      </c>
      <c r="CF265" s="48" t="s">
        <v>1710</v>
      </c>
      <c r="CG265" s="48" t="s">
        <v>1710</v>
      </c>
      <c r="CH265" s="48" t="s">
        <v>1710</v>
      </c>
      <c r="CI265" s="48" t="s">
        <v>2067</v>
      </c>
      <c r="CJ265" s="48" t="s">
        <v>1710</v>
      </c>
      <c r="CL265" s="48" t="s">
        <v>2850</v>
      </c>
      <c r="CM265" s="48" t="s">
        <v>1710</v>
      </c>
      <c r="CN265" s="48" t="s">
        <v>2068</v>
      </c>
      <c r="CO265" s="48" t="s">
        <v>2069</v>
      </c>
      <c r="CP265" s="48" t="s">
        <v>1710</v>
      </c>
      <c r="CQ265" s="48" t="s">
        <v>1710</v>
      </c>
      <c r="CR265" s="48" t="s">
        <v>1710</v>
      </c>
      <c r="CS265" s="48" t="s">
        <v>1710</v>
      </c>
      <c r="CT265" s="48" t="s">
        <v>1710</v>
      </c>
      <c r="CU265" s="48" t="s">
        <v>1712</v>
      </c>
      <c r="CV265" s="48" t="s">
        <v>1710</v>
      </c>
      <c r="CW265" s="48" t="s">
        <v>1710</v>
      </c>
      <c r="CX265" s="48" t="s">
        <v>3014</v>
      </c>
      <c r="CY265" s="48" t="s">
        <v>1710</v>
      </c>
      <c r="CZ265" s="48" t="s">
        <v>1712</v>
      </c>
      <c r="DA265" s="48" t="s">
        <v>1710</v>
      </c>
      <c r="DB265" s="48" t="s">
        <v>1878</v>
      </c>
      <c r="DC265" s="48" t="s">
        <v>2070</v>
      </c>
      <c r="DD265" s="48" t="s">
        <v>1842</v>
      </c>
      <c r="DE265" s="48" t="s">
        <v>1886</v>
      </c>
      <c r="DF265" s="48" t="s">
        <v>4900</v>
      </c>
      <c r="DG265" s="48" t="s">
        <v>2071</v>
      </c>
      <c r="DH265" s="48" t="s">
        <v>1712</v>
      </c>
      <c r="DI265" s="48" t="s">
        <v>1710</v>
      </c>
      <c r="DJ265" s="48" t="s">
        <v>1710</v>
      </c>
      <c r="DK265" s="48" t="s">
        <v>1710</v>
      </c>
      <c r="DL265" s="48" t="s">
        <v>1710</v>
      </c>
      <c r="DM265" s="48" t="s">
        <v>1710</v>
      </c>
      <c r="DN265" s="48" t="s">
        <v>1710</v>
      </c>
      <c r="DO265" s="48" t="s">
        <v>1710</v>
      </c>
      <c r="DP265" s="48" t="s">
        <v>1710</v>
      </c>
      <c r="DQ265" s="48" t="s">
        <v>1710</v>
      </c>
      <c r="DR265" s="48" t="s">
        <v>2072</v>
      </c>
      <c r="DS265" s="48" t="s">
        <v>1710</v>
      </c>
      <c r="DT265" s="48" t="s">
        <v>1710</v>
      </c>
      <c r="DU265" s="48" t="s">
        <v>2575</v>
      </c>
      <c r="DV265" s="48" t="s">
        <v>3111</v>
      </c>
      <c r="DW265" s="48" t="s">
        <v>1710</v>
      </c>
      <c r="DX265" s="48" t="s">
        <v>4901</v>
      </c>
      <c r="DY265" s="48" t="s">
        <v>1709</v>
      </c>
      <c r="DZ265" s="48" t="s">
        <v>2562</v>
      </c>
      <c r="EA265" s="48" t="s">
        <v>2546</v>
      </c>
      <c r="EB265">
        <v>0</v>
      </c>
      <c r="EC265" s="48" t="s">
        <v>2575</v>
      </c>
      <c r="ED265" s="48" t="s">
        <v>4902</v>
      </c>
      <c r="EE265" s="48" t="s">
        <v>1814</v>
      </c>
      <c r="EF265" s="48" t="s">
        <v>1852</v>
      </c>
      <c r="EG265" s="48" t="s">
        <v>4898</v>
      </c>
      <c r="EH265">
        <v>3</v>
      </c>
      <c r="EI265" s="48" t="s">
        <v>1888</v>
      </c>
      <c r="EJ265">
        <v>0</v>
      </c>
      <c r="EK265" s="48" t="s">
        <v>1710</v>
      </c>
      <c r="EL265">
        <v>2</v>
      </c>
      <c r="EM265" s="48" t="s">
        <v>1886</v>
      </c>
      <c r="EN265">
        <v>3</v>
      </c>
      <c r="EO265" s="48" t="s">
        <v>2521</v>
      </c>
      <c r="EP265" s="48" t="s">
        <v>4903</v>
      </c>
      <c r="EQ265">
        <v>1495.54</v>
      </c>
      <c r="ER265">
        <v>1495.54</v>
      </c>
      <c r="ES265">
        <v>2129351</v>
      </c>
      <c r="ET265">
        <v>1446</v>
      </c>
      <c r="EU265" s="48" t="s">
        <v>1710</v>
      </c>
      <c r="EV265" s="48" t="s">
        <v>1710</v>
      </c>
      <c r="EW265" s="48" t="s">
        <v>1712</v>
      </c>
      <c r="EX265" s="48" t="s">
        <v>1710</v>
      </c>
      <c r="EY265" s="48" t="s">
        <v>1860</v>
      </c>
      <c r="EZ265" s="48" t="s">
        <v>1710</v>
      </c>
      <c r="FA265" s="48" t="s">
        <v>1710</v>
      </c>
      <c r="FB265" s="48" t="s">
        <v>1712</v>
      </c>
      <c r="FC265" s="48" t="s">
        <v>1710</v>
      </c>
      <c r="FD265" s="48" t="s">
        <v>1710</v>
      </c>
      <c r="FE265" s="48" t="s">
        <v>1814</v>
      </c>
      <c r="FF265" s="48" t="s">
        <v>1815</v>
      </c>
      <c r="FG265" s="48" t="s">
        <v>1710</v>
      </c>
      <c r="FH265">
        <v>8</v>
      </c>
      <c r="FI265" s="48" t="s">
        <v>1846</v>
      </c>
      <c r="FJ265">
        <v>1495.54</v>
      </c>
      <c r="FK265">
        <v>186.94300000000001</v>
      </c>
      <c r="FL265" s="48" t="s">
        <v>4904</v>
      </c>
      <c r="FM265" s="48" t="s">
        <v>4903</v>
      </c>
      <c r="FN265" s="48" t="s">
        <v>1710</v>
      </c>
      <c r="FO265" s="48" t="s">
        <v>1710</v>
      </c>
      <c r="FP265" s="48" t="s">
        <v>1710</v>
      </c>
      <c r="FQ265" s="48" t="s">
        <v>1710</v>
      </c>
      <c r="FR265" s="48" t="s">
        <v>1710</v>
      </c>
      <c r="FS265" s="48" t="s">
        <v>1710</v>
      </c>
      <c r="FT265" s="48" t="s">
        <v>1710</v>
      </c>
      <c r="FU265" s="48" t="s">
        <v>1710</v>
      </c>
      <c r="FV265" s="48"/>
      <c r="FW265" s="56"/>
      <c r="FX265" s="56"/>
      <c r="FY265" s="56"/>
      <c r="FZ265" s="56"/>
      <c r="GA265" s="55" t="str">
        <f t="shared" si="14"/>
        <v>4388426900433X</v>
      </c>
      <c r="GB265" t="str">
        <f>VLOOKUP(B265,수출코드!$C$2:$D$4,2,FALSE)</f>
        <v>Suwon</v>
      </c>
      <c r="GC265" t="str">
        <f>VLOOKUP(L265,수출코드!$A$2:$B$6,2,FALSE)</f>
        <v/>
      </c>
      <c r="GD265" t="str">
        <f>VLOOKUP(M265,수출코드!$E$2:$F$5,2,FALSE)</f>
        <v>일반</v>
      </c>
      <c r="GE265" s="61">
        <f t="shared" si="12"/>
        <v>45975.656944444447</v>
      </c>
      <c r="GF265" s="62">
        <f t="shared" si="13"/>
        <v>46049.706250000003</v>
      </c>
      <c r="GI265" s="48" t="s">
        <v>2801</v>
      </c>
    </row>
    <row r="266" spans="1:191">
      <c r="A266" s="48" t="s">
        <v>4905</v>
      </c>
      <c r="B266" s="48" t="s">
        <v>1821</v>
      </c>
      <c r="C266" s="48" t="s">
        <v>2048</v>
      </c>
      <c r="D266" s="48" t="s">
        <v>2813</v>
      </c>
      <c r="E266" s="48" t="s">
        <v>4905</v>
      </c>
      <c r="F266" s="48" t="s">
        <v>1710</v>
      </c>
      <c r="G266" s="48" t="s">
        <v>2814</v>
      </c>
      <c r="H266" s="48" t="s">
        <v>4906</v>
      </c>
      <c r="I266" s="48" t="s">
        <v>1884</v>
      </c>
      <c r="J266" s="48" t="s">
        <v>2850</v>
      </c>
      <c r="K266" s="48" t="s">
        <v>1885</v>
      </c>
      <c r="L266" s="48" t="s">
        <v>1883</v>
      </c>
      <c r="M266" s="48" t="s">
        <v>2085</v>
      </c>
      <c r="N266" s="48" t="s">
        <v>1842</v>
      </c>
      <c r="O266" s="48" t="s">
        <v>1811</v>
      </c>
      <c r="P266" s="48" t="s">
        <v>2549</v>
      </c>
      <c r="Q266" s="48" t="s">
        <v>2049</v>
      </c>
      <c r="R266" s="48" t="s">
        <v>1838</v>
      </c>
      <c r="S266" s="48" t="s">
        <v>2050</v>
      </c>
      <c r="T266" s="48" t="s">
        <v>1845</v>
      </c>
      <c r="U266" s="48" t="s">
        <v>2049</v>
      </c>
      <c r="V266" s="48" t="s">
        <v>1838</v>
      </c>
      <c r="W266" s="48" t="s">
        <v>2051</v>
      </c>
      <c r="X266" s="48" t="s">
        <v>2052</v>
      </c>
      <c r="Y266" s="48" t="s">
        <v>2050</v>
      </c>
      <c r="Z266" s="48" t="s">
        <v>2053</v>
      </c>
      <c r="AA266" s="48" t="s">
        <v>2054</v>
      </c>
      <c r="AB266" s="48" t="s">
        <v>1710</v>
      </c>
      <c r="AC266" s="48" t="s">
        <v>2055</v>
      </c>
      <c r="AD266" s="48" t="s">
        <v>2056</v>
      </c>
      <c r="AE266" s="48" t="s">
        <v>1710</v>
      </c>
      <c r="AF266" s="48" t="s">
        <v>1710</v>
      </c>
      <c r="AG266" s="48" t="s">
        <v>2057</v>
      </c>
      <c r="AH266" s="48" t="s">
        <v>1815</v>
      </c>
      <c r="AI266" s="48" t="s">
        <v>2058</v>
      </c>
      <c r="AJ266" s="48" t="s">
        <v>1710</v>
      </c>
      <c r="AK266" s="48" t="s">
        <v>1839</v>
      </c>
      <c r="AL266" s="48" t="s">
        <v>1840</v>
      </c>
      <c r="AM266" s="48" t="s">
        <v>1816</v>
      </c>
      <c r="AN266" s="48" t="s">
        <v>2054</v>
      </c>
      <c r="AO266" s="48" t="s">
        <v>1710</v>
      </c>
      <c r="AP266" s="48" t="s">
        <v>1874</v>
      </c>
      <c r="AQ266" s="48" t="s">
        <v>2078</v>
      </c>
      <c r="AR266" s="48" t="s">
        <v>1812</v>
      </c>
      <c r="AS266" s="48" t="s">
        <v>1813</v>
      </c>
      <c r="AT266" s="48" t="s">
        <v>1826</v>
      </c>
      <c r="AU266" s="48" t="s">
        <v>2061</v>
      </c>
      <c r="AV266" s="48" t="s">
        <v>2850</v>
      </c>
      <c r="AW266" s="48" t="s">
        <v>2062</v>
      </c>
      <c r="AX266" s="48" t="s">
        <v>2063</v>
      </c>
      <c r="AY266" s="48" t="s">
        <v>1710</v>
      </c>
      <c r="AZ266" s="48" t="s">
        <v>4898</v>
      </c>
      <c r="BA266" s="48" t="s">
        <v>1710</v>
      </c>
      <c r="BB266" s="48" t="s">
        <v>1709</v>
      </c>
      <c r="BC266" s="48" t="s">
        <v>1710</v>
      </c>
      <c r="BD266" s="48" t="s">
        <v>3137</v>
      </c>
      <c r="BE266" s="52" t="s">
        <v>4899</v>
      </c>
      <c r="BF266" s="48" t="s">
        <v>1710</v>
      </c>
      <c r="BG266" s="48" t="s">
        <v>1819</v>
      </c>
      <c r="BH266">
        <v>264</v>
      </c>
      <c r="BI266" s="48" t="s">
        <v>1888</v>
      </c>
      <c r="BJ266">
        <v>2</v>
      </c>
      <c r="BK266">
        <v>1473.06</v>
      </c>
      <c r="BL266">
        <v>57834117</v>
      </c>
      <c r="BM266">
        <v>39261</v>
      </c>
      <c r="BN266" s="48" t="s">
        <v>2064</v>
      </c>
      <c r="BO266" s="48" t="s">
        <v>2065</v>
      </c>
      <c r="BP266">
        <v>1473.06</v>
      </c>
      <c r="BQ266">
        <v>40244.47</v>
      </c>
      <c r="BR266" s="48" t="s">
        <v>1885</v>
      </c>
      <c r="BS266" s="48" t="s">
        <v>2066</v>
      </c>
      <c r="BT266">
        <v>1</v>
      </c>
      <c r="BU266">
        <v>1448400</v>
      </c>
      <c r="BV266">
        <v>1448400</v>
      </c>
      <c r="BW266" s="48" t="s">
        <v>2065</v>
      </c>
      <c r="BX266">
        <v>1473.06</v>
      </c>
      <c r="BY266">
        <v>0</v>
      </c>
      <c r="BZ266">
        <v>0</v>
      </c>
      <c r="CA266" s="48" t="s">
        <v>2065</v>
      </c>
      <c r="CB266">
        <v>1473.06</v>
      </c>
      <c r="CC266">
        <v>0</v>
      </c>
      <c r="CD266">
        <v>0</v>
      </c>
      <c r="CE266" s="48" t="s">
        <v>1710</v>
      </c>
      <c r="CF266" s="48" t="s">
        <v>1710</v>
      </c>
      <c r="CG266" s="48" t="s">
        <v>1710</v>
      </c>
      <c r="CH266" s="48" t="s">
        <v>1710</v>
      </c>
      <c r="CI266" s="48" t="s">
        <v>2067</v>
      </c>
      <c r="CJ266" s="48" t="s">
        <v>1710</v>
      </c>
      <c r="CL266" s="48" t="s">
        <v>2850</v>
      </c>
      <c r="CM266" s="48" t="s">
        <v>1710</v>
      </c>
      <c r="CN266" s="48" t="s">
        <v>2068</v>
      </c>
      <c r="CO266" s="48" t="s">
        <v>2069</v>
      </c>
      <c r="CP266" s="48" t="s">
        <v>1710</v>
      </c>
      <c r="CQ266" s="48" t="s">
        <v>1710</v>
      </c>
      <c r="CR266" s="48" t="s">
        <v>1710</v>
      </c>
      <c r="CS266" s="48" t="s">
        <v>1710</v>
      </c>
      <c r="CT266" s="48" t="s">
        <v>1710</v>
      </c>
      <c r="CU266" s="48" t="s">
        <v>1712</v>
      </c>
      <c r="CV266" s="48" t="s">
        <v>1710</v>
      </c>
      <c r="CW266" s="48" t="s">
        <v>1710</v>
      </c>
      <c r="CX266" s="48" t="s">
        <v>3014</v>
      </c>
      <c r="CY266" s="48" t="s">
        <v>1710</v>
      </c>
      <c r="CZ266" s="48" t="s">
        <v>1712</v>
      </c>
      <c r="DA266" s="48" t="s">
        <v>1710</v>
      </c>
      <c r="DB266" s="48" t="s">
        <v>1878</v>
      </c>
      <c r="DC266" s="48" t="s">
        <v>2070</v>
      </c>
      <c r="DD266" s="48" t="s">
        <v>1842</v>
      </c>
      <c r="DE266" s="48" t="s">
        <v>1886</v>
      </c>
      <c r="DF266" s="48" t="s">
        <v>4907</v>
      </c>
      <c r="DG266" s="48" t="s">
        <v>2071</v>
      </c>
      <c r="DH266" s="48" t="s">
        <v>1712</v>
      </c>
      <c r="DI266" s="48" t="s">
        <v>1710</v>
      </c>
      <c r="DJ266" s="48" t="s">
        <v>1710</v>
      </c>
      <c r="DK266" s="48" t="s">
        <v>1710</v>
      </c>
      <c r="DL266" s="48" t="s">
        <v>1710</v>
      </c>
      <c r="DM266" s="48" t="s">
        <v>1710</v>
      </c>
      <c r="DN266" s="48" t="s">
        <v>1710</v>
      </c>
      <c r="DO266" s="48" t="s">
        <v>1710</v>
      </c>
      <c r="DP266" s="48" t="s">
        <v>1710</v>
      </c>
      <c r="DQ266" s="48" t="s">
        <v>1710</v>
      </c>
      <c r="DR266" s="48" t="s">
        <v>2072</v>
      </c>
      <c r="DS266" s="48" t="s">
        <v>1710</v>
      </c>
      <c r="DT266" s="48" t="s">
        <v>1710</v>
      </c>
      <c r="DU266" s="48" t="s">
        <v>2575</v>
      </c>
      <c r="DV266" s="48" t="s">
        <v>3111</v>
      </c>
      <c r="DW266" s="48" t="s">
        <v>1710</v>
      </c>
      <c r="DX266" s="48" t="s">
        <v>4901</v>
      </c>
      <c r="DY266" s="48" t="s">
        <v>1709</v>
      </c>
      <c r="DZ266" s="48" t="s">
        <v>2073</v>
      </c>
      <c r="EA266" s="48" t="s">
        <v>2546</v>
      </c>
      <c r="EB266">
        <v>0</v>
      </c>
      <c r="EC266" s="48" t="s">
        <v>2575</v>
      </c>
      <c r="ED266" s="48" t="s">
        <v>3130</v>
      </c>
      <c r="EE266" s="48" t="s">
        <v>1814</v>
      </c>
      <c r="EF266" s="48" t="s">
        <v>4272</v>
      </c>
      <c r="EG266" s="48" t="s">
        <v>4898</v>
      </c>
      <c r="EH266">
        <v>2.2120000000000002</v>
      </c>
      <c r="EI266" s="48" t="s">
        <v>1888</v>
      </c>
      <c r="EJ266">
        <v>0</v>
      </c>
      <c r="EK266" s="48" t="s">
        <v>1710</v>
      </c>
      <c r="EL266">
        <v>2</v>
      </c>
      <c r="EM266" s="48" t="s">
        <v>1886</v>
      </c>
      <c r="EN266">
        <v>2.2120000000000002</v>
      </c>
      <c r="EO266" s="48" t="s">
        <v>4273</v>
      </c>
      <c r="EP266" s="48" t="s">
        <v>4908</v>
      </c>
      <c r="EQ266">
        <v>1943.02</v>
      </c>
      <c r="ER266">
        <v>1943.02</v>
      </c>
      <c r="ES266">
        <v>2792255</v>
      </c>
      <c r="ET266">
        <v>1896</v>
      </c>
      <c r="EU266" s="48" t="s">
        <v>4909</v>
      </c>
      <c r="EV266" s="48" t="s">
        <v>1820</v>
      </c>
      <c r="EW266" s="48" t="s">
        <v>1712</v>
      </c>
      <c r="EX266" s="48" t="s">
        <v>1710</v>
      </c>
      <c r="EY266" s="48" t="s">
        <v>1848</v>
      </c>
      <c r="EZ266" s="48" t="s">
        <v>1710</v>
      </c>
      <c r="FA266" s="48" t="s">
        <v>1710</v>
      </c>
      <c r="FB266" s="48" t="s">
        <v>1712</v>
      </c>
      <c r="FC266" s="48" t="s">
        <v>1710</v>
      </c>
      <c r="FD266" s="48" t="s">
        <v>1710</v>
      </c>
      <c r="FE266" s="48" t="s">
        <v>1814</v>
      </c>
      <c r="FF266" s="48" t="s">
        <v>1815</v>
      </c>
      <c r="FG266" s="48" t="s">
        <v>1710</v>
      </c>
      <c r="FH266">
        <v>1</v>
      </c>
      <c r="FI266" s="48" t="s">
        <v>1846</v>
      </c>
      <c r="FJ266">
        <v>1943.02</v>
      </c>
      <c r="FK266">
        <v>1943.02</v>
      </c>
      <c r="FL266" s="48" t="s">
        <v>4910</v>
      </c>
      <c r="FM266" s="48" t="s">
        <v>4908</v>
      </c>
      <c r="FN266" s="48" t="s">
        <v>1710</v>
      </c>
      <c r="FO266" s="48" t="s">
        <v>1710</v>
      </c>
      <c r="FP266" s="48" t="s">
        <v>1710</v>
      </c>
      <c r="FQ266" s="48" t="s">
        <v>1710</v>
      </c>
      <c r="FR266" s="48" t="s">
        <v>1710</v>
      </c>
      <c r="FS266" s="48" t="s">
        <v>1710</v>
      </c>
      <c r="FT266" s="48" t="s">
        <v>1710</v>
      </c>
      <c r="FU266" s="48" t="s">
        <v>1710</v>
      </c>
      <c r="FV266" s="48"/>
      <c r="FW266" s="56"/>
      <c r="FX266" s="56"/>
      <c r="FY266" s="56"/>
      <c r="FZ266" s="56"/>
      <c r="GA266" s="55" t="str">
        <f t="shared" si="14"/>
        <v>4388426900434X</v>
      </c>
      <c r="GB266" t="str">
        <f>VLOOKUP(B266,수출코드!$C$2:$D$4,2,FALSE)</f>
        <v>Suwon</v>
      </c>
      <c r="GC266" t="str">
        <f>VLOOKUP(L266,수출코드!$A$2:$B$6,2,FALSE)</f>
        <v>서류제출</v>
      </c>
      <c r="GD266" t="str">
        <f>VLOOKUP(M266,수출코드!$E$2:$F$5,2,FALSE)</f>
        <v>원상태</v>
      </c>
      <c r="GE266" s="61">
        <f t="shared" si="12"/>
        <v>45975.656944444447</v>
      </c>
      <c r="GF266" s="62">
        <f t="shared" si="13"/>
        <v>46049.727083333331</v>
      </c>
      <c r="GI266" s="48" t="s">
        <v>2801</v>
      </c>
    </row>
    <row r="267" spans="1:191">
      <c r="A267" s="48" t="s">
        <v>4911</v>
      </c>
      <c r="B267" s="48" t="s">
        <v>1821</v>
      </c>
      <c r="C267" s="48" t="s">
        <v>2048</v>
      </c>
      <c r="D267" s="48" t="s">
        <v>2813</v>
      </c>
      <c r="E267" s="48" t="s">
        <v>4911</v>
      </c>
      <c r="F267" s="48" t="s">
        <v>1710</v>
      </c>
      <c r="G267" s="48" t="s">
        <v>2814</v>
      </c>
      <c r="H267" s="48" t="s">
        <v>4912</v>
      </c>
      <c r="I267" s="48" t="s">
        <v>1884</v>
      </c>
      <c r="J267" s="48" t="s">
        <v>2850</v>
      </c>
      <c r="K267" s="48" t="s">
        <v>1877</v>
      </c>
      <c r="L267" s="48" t="s">
        <v>1844</v>
      </c>
      <c r="M267" s="48" t="s">
        <v>1810</v>
      </c>
      <c r="N267" s="48" t="s">
        <v>1842</v>
      </c>
      <c r="O267" s="48" t="s">
        <v>1811</v>
      </c>
      <c r="P267" s="48" t="s">
        <v>2549</v>
      </c>
      <c r="Q267" s="48" t="s">
        <v>2049</v>
      </c>
      <c r="R267" s="48" t="s">
        <v>1838</v>
      </c>
      <c r="S267" s="48" t="s">
        <v>2050</v>
      </c>
      <c r="T267" s="48" t="s">
        <v>1845</v>
      </c>
      <c r="U267" s="48" t="s">
        <v>2049</v>
      </c>
      <c r="V267" s="48" t="s">
        <v>1838</v>
      </c>
      <c r="W267" s="48" t="s">
        <v>2051</v>
      </c>
      <c r="X267" s="48" t="s">
        <v>2052</v>
      </c>
      <c r="Y267" s="48" t="s">
        <v>2050</v>
      </c>
      <c r="Z267" s="48" t="s">
        <v>2053</v>
      </c>
      <c r="AA267" s="48" t="s">
        <v>2054</v>
      </c>
      <c r="AB267" s="48" t="s">
        <v>1710</v>
      </c>
      <c r="AC267" s="48" t="s">
        <v>2055</v>
      </c>
      <c r="AD267" s="48" t="s">
        <v>2056</v>
      </c>
      <c r="AE267" s="48" t="s">
        <v>1710</v>
      </c>
      <c r="AF267" s="48" t="s">
        <v>1710</v>
      </c>
      <c r="AG267" s="48" t="s">
        <v>2057</v>
      </c>
      <c r="AH267" s="48" t="s">
        <v>1815</v>
      </c>
      <c r="AI267" s="48" t="s">
        <v>2058</v>
      </c>
      <c r="AJ267" s="48" t="s">
        <v>1710</v>
      </c>
      <c r="AK267" s="48" t="s">
        <v>2563</v>
      </c>
      <c r="AL267" s="48" t="s">
        <v>2564</v>
      </c>
      <c r="AM267" s="48" t="s">
        <v>1816</v>
      </c>
      <c r="AN267" s="48" t="s">
        <v>2054</v>
      </c>
      <c r="AO267" s="48" t="s">
        <v>1710</v>
      </c>
      <c r="AP267" s="48" t="s">
        <v>1855</v>
      </c>
      <c r="AQ267" s="48" t="s">
        <v>2076</v>
      </c>
      <c r="AR267" s="48" t="s">
        <v>1812</v>
      </c>
      <c r="AS267" s="48" t="s">
        <v>1813</v>
      </c>
      <c r="AT267" s="48" t="s">
        <v>1826</v>
      </c>
      <c r="AU267" s="48" t="s">
        <v>2061</v>
      </c>
      <c r="AV267" s="48" t="s">
        <v>2850</v>
      </c>
      <c r="AW267" s="48" t="s">
        <v>2062</v>
      </c>
      <c r="AX267" s="48" t="s">
        <v>2063</v>
      </c>
      <c r="AY267" s="48" t="s">
        <v>1710</v>
      </c>
      <c r="AZ267" s="48" t="s">
        <v>4913</v>
      </c>
      <c r="BA267" s="48" t="s">
        <v>1710</v>
      </c>
      <c r="BB267" s="48" t="s">
        <v>1709</v>
      </c>
      <c r="BC267" s="48" t="s">
        <v>1710</v>
      </c>
      <c r="BD267" s="48" t="s">
        <v>3137</v>
      </c>
      <c r="BE267" s="52" t="s">
        <v>4899</v>
      </c>
      <c r="BF267" s="48" t="s">
        <v>1710</v>
      </c>
      <c r="BG267" s="48" t="s">
        <v>3139</v>
      </c>
      <c r="BH267">
        <v>34</v>
      </c>
      <c r="BI267" s="48" t="s">
        <v>1888</v>
      </c>
      <c r="BJ267">
        <v>1</v>
      </c>
      <c r="BK267">
        <v>1473.06</v>
      </c>
      <c r="BL267">
        <v>18663898</v>
      </c>
      <c r="BM267">
        <v>12670</v>
      </c>
      <c r="BN267" s="48" t="s">
        <v>2064</v>
      </c>
      <c r="BO267" s="48" t="s">
        <v>2065</v>
      </c>
      <c r="BP267">
        <v>1473.06</v>
      </c>
      <c r="BQ267">
        <v>12785.02</v>
      </c>
      <c r="BR267" s="48" t="s">
        <v>1885</v>
      </c>
      <c r="BS267" s="48" t="s">
        <v>2066</v>
      </c>
      <c r="BT267">
        <v>1</v>
      </c>
      <c r="BU267">
        <v>169200</v>
      </c>
      <c r="BV267">
        <v>169200</v>
      </c>
      <c r="BW267" s="48" t="s">
        <v>2065</v>
      </c>
      <c r="BX267">
        <v>1473.06</v>
      </c>
      <c r="BY267">
        <v>0</v>
      </c>
      <c r="BZ267">
        <v>0</v>
      </c>
      <c r="CA267" s="48" t="s">
        <v>2065</v>
      </c>
      <c r="CB267">
        <v>1473.06</v>
      </c>
      <c r="CC267">
        <v>0</v>
      </c>
      <c r="CD267">
        <v>0</v>
      </c>
      <c r="CE267" s="48" t="s">
        <v>1710</v>
      </c>
      <c r="CF267" s="48" t="s">
        <v>1710</v>
      </c>
      <c r="CG267" s="48" t="s">
        <v>1710</v>
      </c>
      <c r="CH267" s="48" t="s">
        <v>1710</v>
      </c>
      <c r="CI267" s="48" t="s">
        <v>2067</v>
      </c>
      <c r="CJ267" s="48" t="s">
        <v>1710</v>
      </c>
      <c r="CL267" s="48" t="s">
        <v>2850</v>
      </c>
      <c r="CM267" s="48" t="s">
        <v>1710</v>
      </c>
      <c r="CN267" s="48" t="s">
        <v>2068</v>
      </c>
      <c r="CO267" s="48" t="s">
        <v>2069</v>
      </c>
      <c r="CP267" s="48" t="s">
        <v>1710</v>
      </c>
      <c r="CQ267" s="48" t="s">
        <v>1710</v>
      </c>
      <c r="CR267" s="48" t="s">
        <v>1710</v>
      </c>
      <c r="CS267" s="48" t="s">
        <v>1710</v>
      </c>
      <c r="CT267" s="48" t="s">
        <v>1710</v>
      </c>
      <c r="CU267" s="48" t="s">
        <v>1712</v>
      </c>
      <c r="CV267" s="48" t="s">
        <v>1710</v>
      </c>
      <c r="CW267" s="48" t="s">
        <v>1710</v>
      </c>
      <c r="CX267" s="48" t="s">
        <v>3014</v>
      </c>
      <c r="CY267" s="48" t="s">
        <v>1710</v>
      </c>
      <c r="CZ267" s="48" t="s">
        <v>1712</v>
      </c>
      <c r="DA267" s="48" t="s">
        <v>1710</v>
      </c>
      <c r="DB267" s="48" t="s">
        <v>1878</v>
      </c>
      <c r="DC267" s="48" t="s">
        <v>2070</v>
      </c>
      <c r="DD267" s="48" t="s">
        <v>1842</v>
      </c>
      <c r="DE267" s="48" t="s">
        <v>1886</v>
      </c>
      <c r="DF267" s="48" t="s">
        <v>4914</v>
      </c>
      <c r="DG267" s="48" t="s">
        <v>2071</v>
      </c>
      <c r="DH267" s="48" t="s">
        <v>1712</v>
      </c>
      <c r="DI267" s="48" t="s">
        <v>1710</v>
      </c>
      <c r="DJ267" s="48" t="s">
        <v>1710</v>
      </c>
      <c r="DK267" s="48" t="s">
        <v>1710</v>
      </c>
      <c r="DL267" s="48" t="s">
        <v>1710</v>
      </c>
      <c r="DM267" s="48" t="s">
        <v>1710</v>
      </c>
      <c r="DN267" s="48" t="s">
        <v>1710</v>
      </c>
      <c r="DO267" s="48" t="s">
        <v>1710</v>
      </c>
      <c r="DP267" s="48" t="s">
        <v>1710</v>
      </c>
      <c r="DQ267" s="48" t="s">
        <v>1710</v>
      </c>
      <c r="DR267" s="48" t="s">
        <v>2072</v>
      </c>
      <c r="DS267" s="48" t="s">
        <v>1710</v>
      </c>
      <c r="DT267" s="48" t="s">
        <v>1710</v>
      </c>
      <c r="DU267" s="48" t="s">
        <v>2575</v>
      </c>
      <c r="DV267" s="48" t="s">
        <v>3111</v>
      </c>
      <c r="DW267" s="48" t="s">
        <v>1710</v>
      </c>
      <c r="DX267" s="48" t="s">
        <v>4915</v>
      </c>
      <c r="DY267" s="48" t="s">
        <v>1709</v>
      </c>
      <c r="DZ267" s="48" t="s">
        <v>2084</v>
      </c>
      <c r="EA267" s="48" t="s">
        <v>2546</v>
      </c>
      <c r="EB267">
        <v>0</v>
      </c>
      <c r="EC267" s="48" t="s">
        <v>2575</v>
      </c>
      <c r="ED267" s="48" t="s">
        <v>4916</v>
      </c>
      <c r="EE267" s="48" t="s">
        <v>1814</v>
      </c>
      <c r="EF267" s="48" t="s">
        <v>1859</v>
      </c>
      <c r="EG267" s="48" t="s">
        <v>4913</v>
      </c>
      <c r="EH267">
        <v>0.02</v>
      </c>
      <c r="EI267" s="48" t="s">
        <v>1888</v>
      </c>
      <c r="EJ267">
        <v>0</v>
      </c>
      <c r="EK267" s="48" t="s">
        <v>1710</v>
      </c>
      <c r="EL267">
        <v>1</v>
      </c>
      <c r="EM267" s="48" t="s">
        <v>1886</v>
      </c>
      <c r="EN267">
        <v>0.02</v>
      </c>
      <c r="EO267" s="48" t="s">
        <v>2602</v>
      </c>
      <c r="EP267" s="48" t="s">
        <v>2584</v>
      </c>
      <c r="EQ267">
        <v>33.17</v>
      </c>
      <c r="ER267">
        <v>33.17</v>
      </c>
      <c r="ES267">
        <v>48422</v>
      </c>
      <c r="ET267">
        <v>33</v>
      </c>
      <c r="EU267" s="48" t="s">
        <v>1710</v>
      </c>
      <c r="EV267" s="48" t="s">
        <v>1710</v>
      </c>
      <c r="EW267" s="48" t="s">
        <v>1712</v>
      </c>
      <c r="EX267" s="48" t="s">
        <v>1710</v>
      </c>
      <c r="EY267" s="48" t="s">
        <v>1848</v>
      </c>
      <c r="EZ267" s="48" t="s">
        <v>1710</v>
      </c>
      <c r="FA267" s="48" t="s">
        <v>1710</v>
      </c>
      <c r="FB267" s="48" t="s">
        <v>1712</v>
      </c>
      <c r="FC267" s="48" t="s">
        <v>1710</v>
      </c>
      <c r="FD267" s="48" t="s">
        <v>1710</v>
      </c>
      <c r="FE267" s="48" t="s">
        <v>1814</v>
      </c>
      <c r="FF267" s="48" t="s">
        <v>1815</v>
      </c>
      <c r="FG267" s="48" t="s">
        <v>1710</v>
      </c>
      <c r="FH267">
        <v>1</v>
      </c>
      <c r="FI267" s="48" t="s">
        <v>1846</v>
      </c>
      <c r="FJ267">
        <v>33.17</v>
      </c>
      <c r="FK267">
        <v>33.17</v>
      </c>
      <c r="FL267" s="48" t="s">
        <v>4917</v>
      </c>
      <c r="FM267" s="48" t="s">
        <v>2584</v>
      </c>
      <c r="FN267" s="48" t="s">
        <v>1710</v>
      </c>
      <c r="FO267" s="48" t="s">
        <v>1710</v>
      </c>
      <c r="FP267" s="48" t="s">
        <v>1710</v>
      </c>
      <c r="FQ267" s="48" t="s">
        <v>1710</v>
      </c>
      <c r="FR267" s="48" t="s">
        <v>1710</v>
      </c>
      <c r="FS267" s="48" t="s">
        <v>1710</v>
      </c>
      <c r="FT267" s="48" t="s">
        <v>1710</v>
      </c>
      <c r="FU267" s="48" t="s">
        <v>1710</v>
      </c>
      <c r="FV267" s="48"/>
      <c r="FW267" s="56"/>
      <c r="FX267" s="56"/>
      <c r="FY267" s="56"/>
      <c r="FZ267" s="56"/>
      <c r="GA267" s="55" t="str">
        <f t="shared" si="14"/>
        <v>4388426900435X</v>
      </c>
      <c r="GB267" t="str">
        <f>VLOOKUP(B267,수출코드!$C$2:$D$4,2,FALSE)</f>
        <v>Suwon</v>
      </c>
      <c r="GC267" t="str">
        <f>VLOOKUP(L267,수출코드!$A$2:$B$6,2,FALSE)</f>
        <v>화면심사</v>
      </c>
      <c r="GD267" t="str">
        <f>VLOOKUP(M267,수출코드!$E$2:$F$5,2,FALSE)</f>
        <v>일반</v>
      </c>
      <c r="GE267" s="61">
        <f t="shared" si="12"/>
        <v>45975.656944444447</v>
      </c>
      <c r="GF267" s="62">
        <f t="shared" si="13"/>
        <v>46049.72152777778</v>
      </c>
      <c r="GI267" s="48" t="s">
        <v>2801</v>
      </c>
    </row>
    <row r="268" spans="1:191">
      <c r="A268" s="48" t="s">
        <v>4918</v>
      </c>
      <c r="B268" s="48" t="s">
        <v>1821</v>
      </c>
      <c r="C268" s="48" t="s">
        <v>2048</v>
      </c>
      <c r="D268" s="48" t="s">
        <v>2813</v>
      </c>
      <c r="E268" s="48" t="s">
        <v>4918</v>
      </c>
      <c r="F268" s="48" t="s">
        <v>1710</v>
      </c>
      <c r="G268" s="48" t="s">
        <v>2814</v>
      </c>
      <c r="H268" s="48" t="s">
        <v>4919</v>
      </c>
      <c r="I268" s="48" t="s">
        <v>1884</v>
      </c>
      <c r="J268" s="48" t="s">
        <v>2850</v>
      </c>
      <c r="K268" s="48" t="s">
        <v>1885</v>
      </c>
      <c r="L268" s="48" t="s">
        <v>1883</v>
      </c>
      <c r="M268" s="48" t="s">
        <v>2085</v>
      </c>
      <c r="N268" s="48" t="s">
        <v>1842</v>
      </c>
      <c r="O268" s="48" t="s">
        <v>1811</v>
      </c>
      <c r="P268" s="48" t="s">
        <v>2549</v>
      </c>
      <c r="Q268" s="48" t="s">
        <v>2049</v>
      </c>
      <c r="R268" s="48" t="s">
        <v>1838</v>
      </c>
      <c r="S268" s="48" t="s">
        <v>2050</v>
      </c>
      <c r="T268" s="48" t="s">
        <v>1845</v>
      </c>
      <c r="U268" s="48" t="s">
        <v>2049</v>
      </c>
      <c r="V268" s="48" t="s">
        <v>1838</v>
      </c>
      <c r="W268" s="48" t="s">
        <v>2051</v>
      </c>
      <c r="X268" s="48" t="s">
        <v>2052</v>
      </c>
      <c r="Y268" s="48" t="s">
        <v>2050</v>
      </c>
      <c r="Z268" s="48" t="s">
        <v>2053</v>
      </c>
      <c r="AA268" s="48" t="s">
        <v>2054</v>
      </c>
      <c r="AB268" s="48" t="s">
        <v>1710</v>
      </c>
      <c r="AC268" s="48" t="s">
        <v>2055</v>
      </c>
      <c r="AD268" s="48" t="s">
        <v>2056</v>
      </c>
      <c r="AE268" s="48" t="s">
        <v>1710</v>
      </c>
      <c r="AF268" s="48" t="s">
        <v>1710</v>
      </c>
      <c r="AG268" s="48" t="s">
        <v>2057</v>
      </c>
      <c r="AH268" s="48" t="s">
        <v>1815</v>
      </c>
      <c r="AI268" s="48" t="s">
        <v>2058</v>
      </c>
      <c r="AJ268" s="48" t="s">
        <v>1710</v>
      </c>
      <c r="AK268" s="48" t="s">
        <v>2563</v>
      </c>
      <c r="AL268" s="48" t="s">
        <v>2564</v>
      </c>
      <c r="AM268" s="48" t="s">
        <v>1816</v>
      </c>
      <c r="AN268" s="48" t="s">
        <v>2054</v>
      </c>
      <c r="AO268" s="48" t="s">
        <v>1710</v>
      </c>
      <c r="AP268" s="48" t="s">
        <v>1855</v>
      </c>
      <c r="AQ268" s="48" t="s">
        <v>2076</v>
      </c>
      <c r="AR268" s="48" t="s">
        <v>1812</v>
      </c>
      <c r="AS268" s="48" t="s">
        <v>1813</v>
      </c>
      <c r="AT268" s="48" t="s">
        <v>1826</v>
      </c>
      <c r="AU268" s="48" t="s">
        <v>2061</v>
      </c>
      <c r="AV268" s="48" t="s">
        <v>2850</v>
      </c>
      <c r="AW268" s="48" t="s">
        <v>2062</v>
      </c>
      <c r="AX268" s="48" t="s">
        <v>2063</v>
      </c>
      <c r="AY268" s="48" t="s">
        <v>1710</v>
      </c>
      <c r="AZ268" s="48" t="s">
        <v>4913</v>
      </c>
      <c r="BA268" s="48" t="s">
        <v>1710</v>
      </c>
      <c r="BB268" s="48" t="s">
        <v>1709</v>
      </c>
      <c r="BC268" s="48" t="s">
        <v>1710</v>
      </c>
      <c r="BD268" s="48" t="s">
        <v>3137</v>
      </c>
      <c r="BE268" s="52" t="s">
        <v>4899</v>
      </c>
      <c r="BF268" s="48" t="s">
        <v>1710</v>
      </c>
      <c r="BG268" s="48" t="s">
        <v>1819</v>
      </c>
      <c r="BH268">
        <v>60</v>
      </c>
      <c r="BI268" s="48" t="s">
        <v>1888</v>
      </c>
      <c r="BJ268">
        <v>1</v>
      </c>
      <c r="BK268">
        <v>1473.06</v>
      </c>
      <c r="BL268">
        <v>26917542</v>
      </c>
      <c r="BM268">
        <v>18273</v>
      </c>
      <c r="BN268" s="48" t="s">
        <v>2064</v>
      </c>
      <c r="BO268" s="48" t="s">
        <v>2065</v>
      </c>
      <c r="BP268">
        <v>1473.06</v>
      </c>
      <c r="BQ268">
        <v>18472.8</v>
      </c>
      <c r="BR268" s="48" t="s">
        <v>1885</v>
      </c>
      <c r="BS268" s="48" t="s">
        <v>2066</v>
      </c>
      <c r="BT268">
        <v>1</v>
      </c>
      <c r="BU268">
        <v>294000</v>
      </c>
      <c r="BV268">
        <v>294000</v>
      </c>
      <c r="BW268" s="48" t="s">
        <v>2065</v>
      </c>
      <c r="BX268">
        <v>1473.06</v>
      </c>
      <c r="BY268">
        <v>0</v>
      </c>
      <c r="BZ268">
        <v>0</v>
      </c>
      <c r="CA268" s="48" t="s">
        <v>2065</v>
      </c>
      <c r="CB268">
        <v>1473.06</v>
      </c>
      <c r="CC268">
        <v>0</v>
      </c>
      <c r="CD268">
        <v>0</v>
      </c>
      <c r="CE268" s="48" t="s">
        <v>1710</v>
      </c>
      <c r="CF268" s="48" t="s">
        <v>1710</v>
      </c>
      <c r="CG268" s="48" t="s">
        <v>1710</v>
      </c>
      <c r="CH268" s="48" t="s">
        <v>1710</v>
      </c>
      <c r="CI268" s="48" t="s">
        <v>2067</v>
      </c>
      <c r="CJ268" s="48" t="s">
        <v>1710</v>
      </c>
      <c r="CL268" s="48" t="s">
        <v>2850</v>
      </c>
      <c r="CM268" s="48" t="s">
        <v>1710</v>
      </c>
      <c r="CN268" s="48" t="s">
        <v>2068</v>
      </c>
      <c r="CO268" s="48" t="s">
        <v>2069</v>
      </c>
      <c r="CP268" s="48" t="s">
        <v>1710</v>
      </c>
      <c r="CQ268" s="48" t="s">
        <v>1710</v>
      </c>
      <c r="CR268" s="48" t="s">
        <v>1710</v>
      </c>
      <c r="CS268" s="48" t="s">
        <v>1710</v>
      </c>
      <c r="CT268" s="48" t="s">
        <v>1710</v>
      </c>
      <c r="CU268" s="48" t="s">
        <v>1712</v>
      </c>
      <c r="CV268" s="48" t="s">
        <v>1710</v>
      </c>
      <c r="CW268" s="48" t="s">
        <v>1710</v>
      </c>
      <c r="CX268" s="48" t="s">
        <v>3014</v>
      </c>
      <c r="CY268" s="48" t="s">
        <v>1710</v>
      </c>
      <c r="CZ268" s="48" t="s">
        <v>1712</v>
      </c>
      <c r="DA268" s="48" t="s">
        <v>1710</v>
      </c>
      <c r="DB268" s="48" t="s">
        <v>1878</v>
      </c>
      <c r="DC268" s="48" t="s">
        <v>2070</v>
      </c>
      <c r="DD268" s="48" t="s">
        <v>1842</v>
      </c>
      <c r="DE268" s="48" t="s">
        <v>1886</v>
      </c>
      <c r="DF268" s="48" t="s">
        <v>4920</v>
      </c>
      <c r="DG268" s="48" t="s">
        <v>2071</v>
      </c>
      <c r="DH268" s="48" t="s">
        <v>1712</v>
      </c>
      <c r="DI268" s="48" t="s">
        <v>1710</v>
      </c>
      <c r="DJ268" s="48" t="s">
        <v>1710</v>
      </c>
      <c r="DK268" s="48" t="s">
        <v>1710</v>
      </c>
      <c r="DL268" s="48" t="s">
        <v>1710</v>
      </c>
      <c r="DM268" s="48" t="s">
        <v>1710</v>
      </c>
      <c r="DN268" s="48" t="s">
        <v>1710</v>
      </c>
      <c r="DO268" s="48" t="s">
        <v>1710</v>
      </c>
      <c r="DP268" s="48" t="s">
        <v>1710</v>
      </c>
      <c r="DQ268" s="48" t="s">
        <v>1710</v>
      </c>
      <c r="DR268" s="48" t="s">
        <v>2072</v>
      </c>
      <c r="DS268" s="48" t="s">
        <v>1710</v>
      </c>
      <c r="DT268" s="48" t="s">
        <v>1710</v>
      </c>
      <c r="DU268" s="48" t="s">
        <v>2575</v>
      </c>
      <c r="DV268" s="48" t="s">
        <v>3111</v>
      </c>
      <c r="DW268" s="48" t="s">
        <v>1710</v>
      </c>
      <c r="DX268" s="48" t="s">
        <v>4915</v>
      </c>
      <c r="DY268" s="48" t="s">
        <v>1709</v>
      </c>
      <c r="DZ268" s="48" t="s">
        <v>2073</v>
      </c>
      <c r="EA268" s="48" t="s">
        <v>2546</v>
      </c>
      <c r="EB268">
        <v>0</v>
      </c>
      <c r="EC268" s="48" t="s">
        <v>2575</v>
      </c>
      <c r="ED268" s="48" t="s">
        <v>3506</v>
      </c>
      <c r="EE268" s="48" t="s">
        <v>1814</v>
      </c>
      <c r="EF268" s="48" t="s">
        <v>2670</v>
      </c>
      <c r="EG268" s="48" t="s">
        <v>4913</v>
      </c>
      <c r="EH268">
        <v>9.6</v>
      </c>
      <c r="EI268" s="48" t="s">
        <v>1888</v>
      </c>
      <c r="EJ268">
        <v>0</v>
      </c>
      <c r="EK268" s="48" t="s">
        <v>1710</v>
      </c>
      <c r="EL268">
        <v>1</v>
      </c>
      <c r="EM268" s="48" t="s">
        <v>1886</v>
      </c>
      <c r="EN268">
        <v>9.6</v>
      </c>
      <c r="EO268" s="48" t="s">
        <v>2671</v>
      </c>
      <c r="EP268" s="48" t="s">
        <v>4921</v>
      </c>
      <c r="EQ268">
        <v>5293.37</v>
      </c>
      <c r="ER268">
        <v>5293.37</v>
      </c>
      <c r="ES268">
        <v>7713206</v>
      </c>
      <c r="ET268">
        <v>5236</v>
      </c>
      <c r="EU268" s="48" t="s">
        <v>4922</v>
      </c>
      <c r="EV268" s="48" t="s">
        <v>1817</v>
      </c>
      <c r="EW268" s="48" t="s">
        <v>1712</v>
      </c>
      <c r="EX268" s="48" t="s">
        <v>1710</v>
      </c>
      <c r="EY268" s="48" t="s">
        <v>1848</v>
      </c>
      <c r="EZ268" s="48" t="s">
        <v>1710</v>
      </c>
      <c r="FA268" s="48" t="s">
        <v>1710</v>
      </c>
      <c r="FB268" s="48" t="s">
        <v>1712</v>
      </c>
      <c r="FC268" s="48" t="s">
        <v>1710</v>
      </c>
      <c r="FD268" s="48" t="s">
        <v>1710</v>
      </c>
      <c r="FE268" s="48" t="s">
        <v>1814</v>
      </c>
      <c r="FF268" s="48" t="s">
        <v>1815</v>
      </c>
      <c r="FG268" s="48" t="s">
        <v>1710</v>
      </c>
      <c r="FH268">
        <v>2</v>
      </c>
      <c r="FI268" s="48" t="s">
        <v>1846</v>
      </c>
      <c r="FJ268">
        <v>5293.37</v>
      </c>
      <c r="FK268">
        <v>2646.6849999999999</v>
      </c>
      <c r="FL268" s="48" t="s">
        <v>4923</v>
      </c>
      <c r="FM268" s="48" t="s">
        <v>4921</v>
      </c>
      <c r="FN268" s="48" t="s">
        <v>1710</v>
      </c>
      <c r="FO268" s="48" t="s">
        <v>1710</v>
      </c>
      <c r="FP268" s="48" t="s">
        <v>1710</v>
      </c>
      <c r="FQ268" s="48" t="s">
        <v>1710</v>
      </c>
      <c r="FR268" s="48" t="s">
        <v>1710</v>
      </c>
      <c r="FS268" s="48" t="s">
        <v>1710</v>
      </c>
      <c r="FT268" s="48" t="s">
        <v>1710</v>
      </c>
      <c r="FU268" s="48" t="s">
        <v>1710</v>
      </c>
      <c r="FV268" s="48"/>
      <c r="FW268" s="56"/>
      <c r="FX268" s="56"/>
      <c r="FY268" s="56"/>
      <c r="FZ268" s="56"/>
      <c r="GA268" s="55" t="str">
        <f t="shared" si="14"/>
        <v>4388426900436X</v>
      </c>
      <c r="GB268" t="str">
        <f>VLOOKUP(B268,수출코드!$C$2:$D$4,2,FALSE)</f>
        <v>Suwon</v>
      </c>
      <c r="GC268" t="str">
        <f>VLOOKUP(L268,수출코드!$A$2:$B$6,2,FALSE)</f>
        <v>서류제출</v>
      </c>
      <c r="GD268" t="str">
        <f>VLOOKUP(M268,수출코드!$E$2:$F$5,2,FALSE)</f>
        <v>원상태</v>
      </c>
      <c r="GE268" s="61">
        <f t="shared" si="12"/>
        <v>45975.656944444447</v>
      </c>
      <c r="GF268" s="62">
        <f t="shared" si="13"/>
        <v>46049.724305555559</v>
      </c>
      <c r="GI268" s="48" t="s">
        <v>2801</v>
      </c>
    </row>
    <row r="269" spans="1:191">
      <c r="A269" s="48" t="s">
        <v>4924</v>
      </c>
      <c r="B269" s="48" t="s">
        <v>1821</v>
      </c>
      <c r="C269" s="48" t="s">
        <v>2048</v>
      </c>
      <c r="D269" s="48" t="s">
        <v>2813</v>
      </c>
      <c r="E269" s="48" t="s">
        <v>4924</v>
      </c>
      <c r="F269" s="48" t="s">
        <v>1710</v>
      </c>
      <c r="G269" s="48" t="s">
        <v>2814</v>
      </c>
      <c r="H269" s="48" t="s">
        <v>4925</v>
      </c>
      <c r="I269" s="48" t="s">
        <v>1884</v>
      </c>
      <c r="J269" s="48" t="s">
        <v>2850</v>
      </c>
      <c r="K269" s="48" t="s">
        <v>1877</v>
      </c>
      <c r="L269" s="48" t="s">
        <v>1842</v>
      </c>
      <c r="M269" s="48" t="s">
        <v>1810</v>
      </c>
      <c r="N269" s="48" t="s">
        <v>1842</v>
      </c>
      <c r="O269" s="48" t="s">
        <v>1811</v>
      </c>
      <c r="P269" s="48" t="s">
        <v>2549</v>
      </c>
      <c r="Q269" s="48" t="s">
        <v>2049</v>
      </c>
      <c r="R269" s="48" t="s">
        <v>1838</v>
      </c>
      <c r="S269" s="48" t="s">
        <v>2050</v>
      </c>
      <c r="T269" s="48" t="s">
        <v>1845</v>
      </c>
      <c r="U269" s="48" t="s">
        <v>2049</v>
      </c>
      <c r="V269" s="48" t="s">
        <v>1838</v>
      </c>
      <c r="W269" s="48" t="s">
        <v>2051</v>
      </c>
      <c r="X269" s="48" t="s">
        <v>2052</v>
      </c>
      <c r="Y269" s="48" t="s">
        <v>2050</v>
      </c>
      <c r="Z269" s="48" t="s">
        <v>2053</v>
      </c>
      <c r="AA269" s="48" t="s">
        <v>2054</v>
      </c>
      <c r="AB269" s="48" t="s">
        <v>1710</v>
      </c>
      <c r="AC269" s="48" t="s">
        <v>2055</v>
      </c>
      <c r="AD269" s="48" t="s">
        <v>2056</v>
      </c>
      <c r="AE269" s="48" t="s">
        <v>1710</v>
      </c>
      <c r="AF269" s="48" t="s">
        <v>1710</v>
      </c>
      <c r="AG269" s="48" t="s">
        <v>2057</v>
      </c>
      <c r="AH269" s="48" t="s">
        <v>1815</v>
      </c>
      <c r="AI269" s="48" t="s">
        <v>2058</v>
      </c>
      <c r="AJ269" s="48" t="s">
        <v>1710</v>
      </c>
      <c r="AK269" s="48" t="s">
        <v>2059</v>
      </c>
      <c r="AL269" s="48" t="s">
        <v>1858</v>
      </c>
      <c r="AM269" s="48" t="s">
        <v>1816</v>
      </c>
      <c r="AN269" s="48" t="s">
        <v>2054</v>
      </c>
      <c r="AO269" s="48" t="s">
        <v>1710</v>
      </c>
      <c r="AP269" s="48" t="s">
        <v>1848</v>
      </c>
      <c r="AQ269" s="48" t="s">
        <v>2060</v>
      </c>
      <c r="AR269" s="48" t="s">
        <v>1812</v>
      </c>
      <c r="AS269" s="48" t="s">
        <v>1813</v>
      </c>
      <c r="AT269" s="48" t="s">
        <v>1826</v>
      </c>
      <c r="AU269" s="48" t="s">
        <v>2061</v>
      </c>
      <c r="AV269" s="48" t="s">
        <v>2850</v>
      </c>
      <c r="AW269" s="48" t="s">
        <v>2062</v>
      </c>
      <c r="AX269" s="48" t="s">
        <v>2063</v>
      </c>
      <c r="AY269" s="48" t="s">
        <v>1710</v>
      </c>
      <c r="AZ269" s="48" t="s">
        <v>4926</v>
      </c>
      <c r="BA269" s="48" t="s">
        <v>1710</v>
      </c>
      <c r="BB269" s="48" t="s">
        <v>1709</v>
      </c>
      <c r="BC269" s="48" t="s">
        <v>1710</v>
      </c>
      <c r="BD269" s="48" t="s">
        <v>3137</v>
      </c>
      <c r="BE269" s="52" t="s">
        <v>4899</v>
      </c>
      <c r="BF269" s="48" t="s">
        <v>1710</v>
      </c>
      <c r="BG269" s="48" t="s">
        <v>1814</v>
      </c>
      <c r="BH269">
        <v>384</v>
      </c>
      <c r="BI269" s="48" t="s">
        <v>1888</v>
      </c>
      <c r="BJ269">
        <v>6</v>
      </c>
      <c r="BK269">
        <v>1473.06</v>
      </c>
      <c r="BL269">
        <v>86997864</v>
      </c>
      <c r="BM269">
        <v>59059</v>
      </c>
      <c r="BN269" s="48" t="s">
        <v>2064</v>
      </c>
      <c r="BO269" s="48" t="s">
        <v>2065</v>
      </c>
      <c r="BP269">
        <v>1473.06</v>
      </c>
      <c r="BQ269">
        <v>62593.760000000002</v>
      </c>
      <c r="BR269" s="48" t="s">
        <v>1885</v>
      </c>
      <c r="BS269" s="48" t="s">
        <v>2066</v>
      </c>
      <c r="BT269">
        <v>1</v>
      </c>
      <c r="BU269">
        <v>5206500</v>
      </c>
      <c r="BV269">
        <v>5206500</v>
      </c>
      <c r="BW269" s="48" t="s">
        <v>2065</v>
      </c>
      <c r="BX269">
        <v>1473.06</v>
      </c>
      <c r="BY269">
        <v>0</v>
      </c>
      <c r="BZ269">
        <v>0</v>
      </c>
      <c r="CA269" s="48" t="s">
        <v>2065</v>
      </c>
      <c r="CB269">
        <v>1473.06</v>
      </c>
      <c r="CC269">
        <v>0</v>
      </c>
      <c r="CD269">
        <v>0</v>
      </c>
      <c r="CE269" s="48" t="s">
        <v>1710</v>
      </c>
      <c r="CF269" s="48" t="s">
        <v>1710</v>
      </c>
      <c r="CG269" s="48" t="s">
        <v>1710</v>
      </c>
      <c r="CH269" s="48" t="s">
        <v>1710</v>
      </c>
      <c r="CI269" s="48" t="s">
        <v>2067</v>
      </c>
      <c r="CJ269" s="48" t="s">
        <v>1710</v>
      </c>
      <c r="CL269" s="48" t="s">
        <v>2850</v>
      </c>
      <c r="CM269" s="48" t="s">
        <v>1710</v>
      </c>
      <c r="CN269" s="48" t="s">
        <v>2068</v>
      </c>
      <c r="CO269" s="48" t="s">
        <v>2069</v>
      </c>
      <c r="CP269" s="48" t="s">
        <v>1710</v>
      </c>
      <c r="CQ269" s="48" t="s">
        <v>1710</v>
      </c>
      <c r="CR269" s="48" t="s">
        <v>1710</v>
      </c>
      <c r="CS269" s="48" t="s">
        <v>1710</v>
      </c>
      <c r="CT269" s="48" t="s">
        <v>1710</v>
      </c>
      <c r="CU269" s="48" t="s">
        <v>1712</v>
      </c>
      <c r="CV269" s="48" t="s">
        <v>1710</v>
      </c>
      <c r="CW269" s="48" t="s">
        <v>1710</v>
      </c>
      <c r="CX269" s="48" t="s">
        <v>3014</v>
      </c>
      <c r="CY269" s="48" t="s">
        <v>1710</v>
      </c>
      <c r="CZ269" s="48" t="s">
        <v>1712</v>
      </c>
      <c r="DA269" s="48" t="s">
        <v>1710</v>
      </c>
      <c r="DB269" s="48" t="s">
        <v>1878</v>
      </c>
      <c r="DC269" s="48" t="s">
        <v>2070</v>
      </c>
      <c r="DD269" s="48" t="s">
        <v>1842</v>
      </c>
      <c r="DE269" s="48" t="s">
        <v>1886</v>
      </c>
      <c r="DF269" s="48" t="s">
        <v>4927</v>
      </c>
      <c r="DG269" s="48" t="s">
        <v>2071</v>
      </c>
      <c r="DH269" s="48" t="s">
        <v>1712</v>
      </c>
      <c r="DI269" s="48" t="s">
        <v>1710</v>
      </c>
      <c r="DJ269" s="48" t="s">
        <v>1710</v>
      </c>
      <c r="DK269" s="48" t="s">
        <v>1710</v>
      </c>
      <c r="DL269" s="48" t="s">
        <v>1710</v>
      </c>
      <c r="DM269" s="48" t="s">
        <v>1710</v>
      </c>
      <c r="DN269" s="48" t="s">
        <v>1710</v>
      </c>
      <c r="DO269" s="48" t="s">
        <v>1710</v>
      </c>
      <c r="DP269" s="48" t="s">
        <v>1710</v>
      </c>
      <c r="DQ269" s="48" t="s">
        <v>1710</v>
      </c>
      <c r="DR269" s="48" t="s">
        <v>2072</v>
      </c>
      <c r="DS269" s="48" t="s">
        <v>1710</v>
      </c>
      <c r="DT269" s="48" t="s">
        <v>1710</v>
      </c>
      <c r="DU269" s="48" t="s">
        <v>2575</v>
      </c>
      <c r="DV269" s="48" t="s">
        <v>3111</v>
      </c>
      <c r="DW269" s="48" t="s">
        <v>1710</v>
      </c>
      <c r="DX269" s="48" t="s">
        <v>4928</v>
      </c>
      <c r="DY269" s="48" t="s">
        <v>1709</v>
      </c>
      <c r="DZ269" s="48" t="s">
        <v>2562</v>
      </c>
      <c r="EA269" s="48" t="s">
        <v>2546</v>
      </c>
      <c r="EB269">
        <v>0</v>
      </c>
      <c r="EC269" s="48" t="s">
        <v>2575</v>
      </c>
      <c r="ED269" s="48" t="s">
        <v>3506</v>
      </c>
      <c r="EE269" s="48" t="s">
        <v>1814</v>
      </c>
      <c r="EF269" s="48" t="s">
        <v>1852</v>
      </c>
      <c r="EG269" s="48" t="s">
        <v>4926</v>
      </c>
      <c r="EH269">
        <v>289</v>
      </c>
      <c r="EI269" s="48" t="s">
        <v>1888</v>
      </c>
      <c r="EJ269">
        <v>0</v>
      </c>
      <c r="EK269" s="48" t="s">
        <v>1710</v>
      </c>
      <c r="EL269">
        <v>6</v>
      </c>
      <c r="EM269" s="48" t="s">
        <v>1886</v>
      </c>
      <c r="EN269">
        <v>289</v>
      </c>
      <c r="EO269" s="48" t="s">
        <v>2521</v>
      </c>
      <c r="EP269" s="48" t="s">
        <v>3550</v>
      </c>
      <c r="EQ269">
        <v>62593.760000000002</v>
      </c>
      <c r="ER269">
        <v>62593.760000000002</v>
      </c>
      <c r="ES269">
        <v>86997864</v>
      </c>
      <c r="ET269">
        <v>59059</v>
      </c>
      <c r="EU269" s="48" t="s">
        <v>1710</v>
      </c>
      <c r="EV269" s="48" t="s">
        <v>1710</v>
      </c>
      <c r="EW269" s="48" t="s">
        <v>1712</v>
      </c>
      <c r="EX269" s="48" t="s">
        <v>1710</v>
      </c>
      <c r="EY269" s="48" t="s">
        <v>1873</v>
      </c>
      <c r="EZ269" s="48" t="s">
        <v>1710</v>
      </c>
      <c r="FA269" s="48" t="s">
        <v>1710</v>
      </c>
      <c r="FB269" s="48" t="s">
        <v>1712</v>
      </c>
      <c r="FC269" s="48" t="s">
        <v>1710</v>
      </c>
      <c r="FD269" s="48" t="s">
        <v>1710</v>
      </c>
      <c r="FE269" s="48" t="s">
        <v>1814</v>
      </c>
      <c r="FF269" s="48" t="s">
        <v>1815</v>
      </c>
      <c r="FG269" s="48" t="s">
        <v>1710</v>
      </c>
      <c r="FH269">
        <v>17</v>
      </c>
      <c r="FI269" s="48" t="s">
        <v>1846</v>
      </c>
      <c r="FJ269">
        <v>62593.760000000002</v>
      </c>
      <c r="FK269">
        <v>3681.9859999999999</v>
      </c>
      <c r="FL269" s="48" t="s">
        <v>3551</v>
      </c>
      <c r="FM269" s="48" t="s">
        <v>3550</v>
      </c>
      <c r="FN269" s="48" t="s">
        <v>1710</v>
      </c>
      <c r="FO269" s="48" t="s">
        <v>1710</v>
      </c>
      <c r="FP269" s="48" t="s">
        <v>1710</v>
      </c>
      <c r="FQ269" s="48" t="s">
        <v>1710</v>
      </c>
      <c r="FR269" s="48" t="s">
        <v>1710</v>
      </c>
      <c r="FS269" s="48" t="s">
        <v>1710</v>
      </c>
      <c r="FT269" s="48" t="s">
        <v>1710</v>
      </c>
      <c r="FU269" s="48" t="s">
        <v>1710</v>
      </c>
      <c r="FV269" s="48"/>
      <c r="FW269" s="56"/>
      <c r="FX269" s="56"/>
      <c r="FY269" s="56"/>
      <c r="FZ269" s="56"/>
      <c r="GA269" s="55" t="str">
        <f t="shared" si="14"/>
        <v>4388426900437X</v>
      </c>
      <c r="GB269" t="str">
        <f>VLOOKUP(B269,수출코드!$C$2:$D$4,2,FALSE)</f>
        <v>Suwon</v>
      </c>
      <c r="GC269" t="str">
        <f>VLOOKUP(L269,수출코드!$A$2:$B$6,2,FALSE)</f>
        <v/>
      </c>
      <c r="GD269" t="str">
        <f>VLOOKUP(M269,수출코드!$E$2:$F$5,2,FALSE)</f>
        <v>일반</v>
      </c>
      <c r="GE269" s="61">
        <f t="shared" si="12"/>
        <v>45975.656944444447</v>
      </c>
      <c r="GF269" s="62">
        <f t="shared" si="13"/>
        <v>46049.724305555559</v>
      </c>
      <c r="GI269" s="48" t="s">
        <v>2801</v>
      </c>
    </row>
    <row r="270" spans="1:191">
      <c r="A270" s="48" t="s">
        <v>4929</v>
      </c>
      <c r="B270" s="48" t="s">
        <v>1821</v>
      </c>
      <c r="C270" s="48" t="s">
        <v>2048</v>
      </c>
      <c r="D270" s="48" t="s">
        <v>2813</v>
      </c>
      <c r="E270" s="48" t="s">
        <v>4929</v>
      </c>
      <c r="F270" s="48" t="s">
        <v>1710</v>
      </c>
      <c r="G270" s="48" t="s">
        <v>2814</v>
      </c>
      <c r="H270" s="48" t="s">
        <v>4930</v>
      </c>
      <c r="I270" s="48" t="s">
        <v>1884</v>
      </c>
      <c r="J270" s="48" t="s">
        <v>2850</v>
      </c>
      <c r="K270" s="48" t="s">
        <v>1877</v>
      </c>
      <c r="L270" s="48" t="s">
        <v>1844</v>
      </c>
      <c r="M270" s="48" t="s">
        <v>1810</v>
      </c>
      <c r="N270" s="48" t="s">
        <v>1842</v>
      </c>
      <c r="O270" s="48" t="s">
        <v>1811</v>
      </c>
      <c r="P270" s="48" t="s">
        <v>2549</v>
      </c>
      <c r="Q270" s="48" t="s">
        <v>2049</v>
      </c>
      <c r="R270" s="48" t="s">
        <v>1838</v>
      </c>
      <c r="S270" s="48" t="s">
        <v>2050</v>
      </c>
      <c r="T270" s="48" t="s">
        <v>1845</v>
      </c>
      <c r="U270" s="48" t="s">
        <v>2049</v>
      </c>
      <c r="V270" s="48" t="s">
        <v>1838</v>
      </c>
      <c r="W270" s="48" t="s">
        <v>2051</v>
      </c>
      <c r="X270" s="48" t="s">
        <v>2052</v>
      </c>
      <c r="Y270" s="48" t="s">
        <v>2050</v>
      </c>
      <c r="Z270" s="48" t="s">
        <v>2053</v>
      </c>
      <c r="AA270" s="48" t="s">
        <v>2054</v>
      </c>
      <c r="AB270" s="48" t="s">
        <v>1710</v>
      </c>
      <c r="AC270" s="48" t="s">
        <v>2055</v>
      </c>
      <c r="AD270" s="48" t="s">
        <v>2056</v>
      </c>
      <c r="AE270" s="48" t="s">
        <v>1710</v>
      </c>
      <c r="AF270" s="48" t="s">
        <v>1710</v>
      </c>
      <c r="AG270" s="48" t="s">
        <v>2057</v>
      </c>
      <c r="AH270" s="48" t="s">
        <v>1815</v>
      </c>
      <c r="AI270" s="48" t="s">
        <v>2058</v>
      </c>
      <c r="AJ270" s="48" t="s">
        <v>1710</v>
      </c>
      <c r="AK270" s="48" t="s">
        <v>2087</v>
      </c>
      <c r="AL270" s="48" t="s">
        <v>2088</v>
      </c>
      <c r="AM270" s="48" t="s">
        <v>1816</v>
      </c>
      <c r="AN270" s="48" t="s">
        <v>2054</v>
      </c>
      <c r="AO270" s="48" t="s">
        <v>1710</v>
      </c>
      <c r="AP270" s="48" t="s">
        <v>1853</v>
      </c>
      <c r="AQ270" s="48" t="s">
        <v>2086</v>
      </c>
      <c r="AR270" s="48" t="s">
        <v>1812</v>
      </c>
      <c r="AS270" s="48" t="s">
        <v>1813</v>
      </c>
      <c r="AT270" s="48" t="s">
        <v>1826</v>
      </c>
      <c r="AU270" s="48" t="s">
        <v>2061</v>
      </c>
      <c r="AV270" s="48" t="s">
        <v>2850</v>
      </c>
      <c r="AW270" s="48" t="s">
        <v>2062</v>
      </c>
      <c r="AX270" s="48" t="s">
        <v>2063</v>
      </c>
      <c r="AY270" s="48" t="s">
        <v>1710</v>
      </c>
      <c r="AZ270" s="48" t="s">
        <v>4931</v>
      </c>
      <c r="BA270" s="48" t="s">
        <v>1710</v>
      </c>
      <c r="BB270" s="48" t="s">
        <v>1709</v>
      </c>
      <c r="BC270" s="48" t="s">
        <v>1710</v>
      </c>
      <c r="BD270" s="48" t="s">
        <v>3137</v>
      </c>
      <c r="BE270" s="52" t="s">
        <v>4899</v>
      </c>
      <c r="BF270" s="48" t="s">
        <v>1710</v>
      </c>
      <c r="BG270" s="48" t="s">
        <v>3079</v>
      </c>
      <c r="BH270">
        <v>64</v>
      </c>
      <c r="BI270" s="48" t="s">
        <v>1888</v>
      </c>
      <c r="BJ270">
        <v>1</v>
      </c>
      <c r="BK270">
        <v>1473.06</v>
      </c>
      <c r="BL270">
        <v>72447045</v>
      </c>
      <c r="BM270">
        <v>49181</v>
      </c>
      <c r="BN270" s="48" t="s">
        <v>2064</v>
      </c>
      <c r="BO270" s="48" t="s">
        <v>2065</v>
      </c>
      <c r="BP270">
        <v>1473.06</v>
      </c>
      <c r="BQ270">
        <v>49386.21</v>
      </c>
      <c r="BR270" s="48" t="s">
        <v>1885</v>
      </c>
      <c r="BS270" s="48" t="s">
        <v>2066</v>
      </c>
      <c r="BT270">
        <v>1</v>
      </c>
      <c r="BU270">
        <v>301800</v>
      </c>
      <c r="BV270">
        <v>301800</v>
      </c>
      <c r="BW270" s="48" t="s">
        <v>2065</v>
      </c>
      <c r="BX270">
        <v>1473.06</v>
      </c>
      <c r="BY270">
        <v>0</v>
      </c>
      <c r="BZ270">
        <v>0</v>
      </c>
      <c r="CA270" s="48" t="s">
        <v>2065</v>
      </c>
      <c r="CB270">
        <v>1473.06</v>
      </c>
      <c r="CC270">
        <v>0</v>
      </c>
      <c r="CD270">
        <v>0</v>
      </c>
      <c r="CE270" s="48" t="s">
        <v>1710</v>
      </c>
      <c r="CF270" s="48" t="s">
        <v>1710</v>
      </c>
      <c r="CG270" s="48" t="s">
        <v>1710</v>
      </c>
      <c r="CH270" s="48" t="s">
        <v>1710</v>
      </c>
      <c r="CI270" s="48" t="s">
        <v>2067</v>
      </c>
      <c r="CJ270" s="48" t="s">
        <v>1710</v>
      </c>
      <c r="CL270" s="48" t="s">
        <v>2850</v>
      </c>
      <c r="CM270" s="48" t="s">
        <v>1710</v>
      </c>
      <c r="CN270" s="48" t="s">
        <v>2068</v>
      </c>
      <c r="CO270" s="48" t="s">
        <v>2069</v>
      </c>
      <c r="CP270" s="48" t="s">
        <v>1710</v>
      </c>
      <c r="CQ270" s="48" t="s">
        <v>1710</v>
      </c>
      <c r="CR270" s="48" t="s">
        <v>1710</v>
      </c>
      <c r="CS270" s="48" t="s">
        <v>1710</v>
      </c>
      <c r="CT270" s="48" t="s">
        <v>1710</v>
      </c>
      <c r="CU270" s="48" t="s">
        <v>1712</v>
      </c>
      <c r="CV270" s="48" t="s">
        <v>1710</v>
      </c>
      <c r="CW270" s="48" t="s">
        <v>1710</v>
      </c>
      <c r="CX270" s="48" t="s">
        <v>3014</v>
      </c>
      <c r="CY270" s="48" t="s">
        <v>1710</v>
      </c>
      <c r="CZ270" s="48" t="s">
        <v>1712</v>
      </c>
      <c r="DA270" s="48" t="s">
        <v>1710</v>
      </c>
      <c r="DB270" s="48" t="s">
        <v>1878</v>
      </c>
      <c r="DC270" s="48" t="s">
        <v>2070</v>
      </c>
      <c r="DD270" s="48" t="s">
        <v>1842</v>
      </c>
      <c r="DE270" s="48" t="s">
        <v>1886</v>
      </c>
      <c r="DF270" s="48" t="s">
        <v>4932</v>
      </c>
      <c r="DG270" s="48" t="s">
        <v>2071</v>
      </c>
      <c r="DH270" s="48" t="s">
        <v>1712</v>
      </c>
      <c r="DI270" s="48" t="s">
        <v>1710</v>
      </c>
      <c r="DJ270" s="48" t="s">
        <v>1710</v>
      </c>
      <c r="DK270" s="48" t="s">
        <v>1710</v>
      </c>
      <c r="DL270" s="48" t="s">
        <v>1710</v>
      </c>
      <c r="DM270" s="48" t="s">
        <v>1710</v>
      </c>
      <c r="DN270" s="48" t="s">
        <v>1710</v>
      </c>
      <c r="DO270" s="48" t="s">
        <v>1710</v>
      </c>
      <c r="DP270" s="48" t="s">
        <v>1710</v>
      </c>
      <c r="DQ270" s="48" t="s">
        <v>1710</v>
      </c>
      <c r="DR270" s="48" t="s">
        <v>2072</v>
      </c>
      <c r="DS270" s="48" t="s">
        <v>1710</v>
      </c>
      <c r="DT270" s="48" t="s">
        <v>1710</v>
      </c>
      <c r="DU270" s="48" t="s">
        <v>2575</v>
      </c>
      <c r="DV270" s="48" t="s">
        <v>2825</v>
      </c>
      <c r="DW270" s="48" t="s">
        <v>1710</v>
      </c>
      <c r="DX270" s="48" t="s">
        <v>4933</v>
      </c>
      <c r="DY270" s="48" t="s">
        <v>1709</v>
      </c>
      <c r="DZ270" s="48" t="s">
        <v>2084</v>
      </c>
      <c r="EA270" s="48" t="s">
        <v>2546</v>
      </c>
      <c r="EB270">
        <v>0</v>
      </c>
      <c r="EC270" s="48" t="s">
        <v>2575</v>
      </c>
      <c r="ED270" s="48" t="s">
        <v>3632</v>
      </c>
      <c r="EE270" s="48" t="s">
        <v>1814</v>
      </c>
      <c r="EF270" s="48" t="s">
        <v>1867</v>
      </c>
      <c r="EG270" s="48" t="s">
        <v>4931</v>
      </c>
      <c r="EH270">
        <v>1</v>
      </c>
      <c r="EI270" s="48" t="s">
        <v>1888</v>
      </c>
      <c r="EJ270">
        <v>1</v>
      </c>
      <c r="EK270" s="48" t="s">
        <v>1887</v>
      </c>
      <c r="EL270">
        <v>1</v>
      </c>
      <c r="EM270" s="48" t="s">
        <v>1886</v>
      </c>
      <c r="EN270">
        <v>1</v>
      </c>
      <c r="EO270" s="48" t="s">
        <v>2520</v>
      </c>
      <c r="EP270" s="48" t="s">
        <v>4934</v>
      </c>
      <c r="EQ270">
        <v>1733.17</v>
      </c>
      <c r="ER270">
        <v>1733.17</v>
      </c>
      <c r="ES270">
        <v>2542471</v>
      </c>
      <c r="ET270">
        <v>1726</v>
      </c>
      <c r="EU270" s="48" t="s">
        <v>1710</v>
      </c>
      <c r="EV270" s="48" t="s">
        <v>1710</v>
      </c>
      <c r="EW270" s="48" t="s">
        <v>1712</v>
      </c>
      <c r="EX270" s="48" t="s">
        <v>1710</v>
      </c>
      <c r="EY270" s="48" t="s">
        <v>2540</v>
      </c>
      <c r="EZ270" s="48" t="s">
        <v>1710</v>
      </c>
      <c r="FA270" s="48" t="s">
        <v>1710</v>
      </c>
      <c r="FB270" s="48" t="s">
        <v>1712</v>
      </c>
      <c r="FC270" s="48" t="s">
        <v>1710</v>
      </c>
      <c r="FD270" s="48" t="s">
        <v>1710</v>
      </c>
      <c r="FE270" s="48" t="s">
        <v>1814</v>
      </c>
      <c r="FF270" s="48" t="s">
        <v>1815</v>
      </c>
      <c r="FG270" s="48" t="s">
        <v>1710</v>
      </c>
      <c r="FH270">
        <v>1</v>
      </c>
      <c r="FI270" s="48" t="s">
        <v>1846</v>
      </c>
      <c r="FJ270">
        <v>1733.17</v>
      </c>
      <c r="FK270">
        <v>1733.17</v>
      </c>
      <c r="FL270" s="48" t="s">
        <v>4935</v>
      </c>
      <c r="FM270" s="48" t="s">
        <v>4934</v>
      </c>
      <c r="FN270" s="48" t="s">
        <v>1710</v>
      </c>
      <c r="FO270" s="48" t="s">
        <v>1710</v>
      </c>
      <c r="FP270" s="48" t="s">
        <v>1710</v>
      </c>
      <c r="FQ270" s="48" t="s">
        <v>1710</v>
      </c>
      <c r="FR270" s="48" t="s">
        <v>1710</v>
      </c>
      <c r="FS270" s="48" t="s">
        <v>1710</v>
      </c>
      <c r="FT270" s="48" t="s">
        <v>1710</v>
      </c>
      <c r="FU270" s="48" t="s">
        <v>1710</v>
      </c>
      <c r="FV270" s="48"/>
      <c r="FW270" s="56"/>
      <c r="FX270" s="56"/>
      <c r="FY270" s="56"/>
      <c r="FZ270" s="56"/>
      <c r="GA270" s="55" t="str">
        <f t="shared" si="14"/>
        <v>4388426900438X</v>
      </c>
      <c r="GB270" t="str">
        <f>VLOOKUP(B270,수출코드!$C$2:$D$4,2,FALSE)</f>
        <v>Suwon</v>
      </c>
      <c r="GC270" t="str">
        <f>VLOOKUP(L270,수출코드!$A$2:$B$6,2,FALSE)</f>
        <v>화면심사</v>
      </c>
      <c r="GD270" t="str">
        <f>VLOOKUP(M270,수출코드!$E$2:$F$5,2,FALSE)</f>
        <v>일반</v>
      </c>
      <c r="GE270" s="61">
        <f t="shared" si="12"/>
        <v>45975.658333333333</v>
      </c>
      <c r="GF270" s="62">
        <f t="shared" si="13"/>
        <v>46049.740972222222</v>
      </c>
      <c r="GI270" s="48" t="s">
        <v>2729</v>
      </c>
    </row>
    <row r="271" spans="1:191">
      <c r="A271" s="48" t="s">
        <v>4936</v>
      </c>
      <c r="B271" s="48" t="s">
        <v>1821</v>
      </c>
      <c r="C271" s="48" t="s">
        <v>2048</v>
      </c>
      <c r="D271" s="48" t="s">
        <v>2813</v>
      </c>
      <c r="E271" s="48" t="s">
        <v>4936</v>
      </c>
      <c r="F271" s="48" t="s">
        <v>1710</v>
      </c>
      <c r="G271" s="48" t="s">
        <v>2814</v>
      </c>
      <c r="H271" s="48" t="s">
        <v>4937</v>
      </c>
      <c r="I271" s="48" t="s">
        <v>1884</v>
      </c>
      <c r="J271" s="48" t="s">
        <v>2816</v>
      </c>
      <c r="K271" s="48" t="s">
        <v>1877</v>
      </c>
      <c r="L271" s="48" t="s">
        <v>1842</v>
      </c>
      <c r="M271" s="48" t="s">
        <v>1810</v>
      </c>
      <c r="N271" s="48" t="s">
        <v>1842</v>
      </c>
      <c r="O271" s="48" t="s">
        <v>1811</v>
      </c>
      <c r="P271" s="48" t="s">
        <v>2549</v>
      </c>
      <c r="Q271" s="48" t="s">
        <v>2049</v>
      </c>
      <c r="R271" s="48" t="s">
        <v>1838</v>
      </c>
      <c r="S271" s="48" t="s">
        <v>2050</v>
      </c>
      <c r="T271" s="48" t="s">
        <v>1845</v>
      </c>
      <c r="U271" s="48" t="s">
        <v>2049</v>
      </c>
      <c r="V271" s="48" t="s">
        <v>1838</v>
      </c>
      <c r="W271" s="48" t="s">
        <v>2051</v>
      </c>
      <c r="X271" s="48" t="s">
        <v>2052</v>
      </c>
      <c r="Y271" s="48" t="s">
        <v>2050</v>
      </c>
      <c r="Z271" s="48" t="s">
        <v>2053</v>
      </c>
      <c r="AA271" s="48" t="s">
        <v>2054</v>
      </c>
      <c r="AB271" s="48" t="s">
        <v>2817</v>
      </c>
      <c r="AC271" s="48" t="s">
        <v>2055</v>
      </c>
      <c r="AD271" s="48" t="s">
        <v>2056</v>
      </c>
      <c r="AE271" s="48" t="s">
        <v>1710</v>
      </c>
      <c r="AF271" s="48" t="s">
        <v>1710</v>
      </c>
      <c r="AG271" s="48" t="s">
        <v>2057</v>
      </c>
      <c r="AH271" s="48" t="s">
        <v>1815</v>
      </c>
      <c r="AI271" s="48" t="s">
        <v>2058</v>
      </c>
      <c r="AJ271" s="48" t="s">
        <v>1710</v>
      </c>
      <c r="AK271" s="48" t="s">
        <v>2871</v>
      </c>
      <c r="AL271" s="48" t="s">
        <v>2534</v>
      </c>
      <c r="AM271" s="48" t="s">
        <v>1816</v>
      </c>
      <c r="AN271" s="48" t="s">
        <v>2054</v>
      </c>
      <c r="AO271" s="48" t="s">
        <v>1710</v>
      </c>
      <c r="AP271" s="48" t="s">
        <v>1848</v>
      </c>
      <c r="AQ271" s="48" t="s">
        <v>2060</v>
      </c>
      <c r="AR271" s="48" t="s">
        <v>1812</v>
      </c>
      <c r="AS271" s="48" t="s">
        <v>1813</v>
      </c>
      <c r="AT271" s="48" t="s">
        <v>1826</v>
      </c>
      <c r="AU271" s="48" t="s">
        <v>2061</v>
      </c>
      <c r="AV271" s="48" t="s">
        <v>2816</v>
      </c>
      <c r="AW271" s="48" t="s">
        <v>2062</v>
      </c>
      <c r="AX271" s="48" t="s">
        <v>2063</v>
      </c>
      <c r="AY271" s="48" t="s">
        <v>1710</v>
      </c>
      <c r="AZ271" s="48" t="s">
        <v>4938</v>
      </c>
      <c r="BA271" s="48" t="s">
        <v>1710</v>
      </c>
      <c r="BB271" s="48" t="s">
        <v>1709</v>
      </c>
      <c r="BC271" s="48" t="s">
        <v>1710</v>
      </c>
      <c r="BD271" s="48" t="s">
        <v>4939</v>
      </c>
      <c r="BE271" s="52" t="s">
        <v>4940</v>
      </c>
      <c r="BF271" s="48" t="s">
        <v>1710</v>
      </c>
      <c r="BG271" s="48" t="s">
        <v>1814</v>
      </c>
      <c r="BH271">
        <v>10</v>
      </c>
      <c r="BI271" s="48" t="s">
        <v>1888</v>
      </c>
      <c r="BJ271">
        <v>1</v>
      </c>
      <c r="BK271">
        <v>1473.06</v>
      </c>
      <c r="BL271">
        <v>75094003</v>
      </c>
      <c r="BM271">
        <v>50978</v>
      </c>
      <c r="BN271" s="48" t="s">
        <v>2064</v>
      </c>
      <c r="BO271" s="48" t="s">
        <v>2065</v>
      </c>
      <c r="BP271">
        <v>1473.06</v>
      </c>
      <c r="BQ271">
        <v>51084.14</v>
      </c>
      <c r="BR271" s="48" t="s">
        <v>1885</v>
      </c>
      <c r="BS271" s="48" t="s">
        <v>2066</v>
      </c>
      <c r="BT271">
        <v>1</v>
      </c>
      <c r="BU271">
        <v>156000</v>
      </c>
      <c r="BV271">
        <v>156000</v>
      </c>
      <c r="BW271" s="48" t="s">
        <v>2065</v>
      </c>
      <c r="BX271">
        <v>1473.06</v>
      </c>
      <c r="BY271">
        <v>0</v>
      </c>
      <c r="BZ271">
        <v>0</v>
      </c>
      <c r="CA271" s="48" t="s">
        <v>2065</v>
      </c>
      <c r="CB271">
        <v>1473.06</v>
      </c>
      <c r="CC271">
        <v>0</v>
      </c>
      <c r="CD271">
        <v>0</v>
      </c>
      <c r="CE271" s="48" t="s">
        <v>1710</v>
      </c>
      <c r="CF271" s="48" t="s">
        <v>1710</v>
      </c>
      <c r="CG271" s="48" t="s">
        <v>1710</v>
      </c>
      <c r="CH271" s="48" t="s">
        <v>1710</v>
      </c>
      <c r="CI271" s="48" t="s">
        <v>2067</v>
      </c>
      <c r="CJ271" s="48" t="s">
        <v>1710</v>
      </c>
      <c r="CL271" s="48" t="s">
        <v>2816</v>
      </c>
      <c r="CM271" s="48" t="s">
        <v>1710</v>
      </c>
      <c r="CN271" s="48" t="s">
        <v>2068</v>
      </c>
      <c r="CO271" s="48" t="s">
        <v>2069</v>
      </c>
      <c r="CP271" s="48" t="s">
        <v>1710</v>
      </c>
      <c r="CQ271" s="48" t="s">
        <v>1710</v>
      </c>
      <c r="CR271" s="48" t="s">
        <v>1710</v>
      </c>
      <c r="CS271" s="48" t="s">
        <v>1710</v>
      </c>
      <c r="CT271" s="48" t="s">
        <v>1710</v>
      </c>
      <c r="CU271" s="48" t="s">
        <v>1712</v>
      </c>
      <c r="CV271" s="48" t="s">
        <v>1710</v>
      </c>
      <c r="CW271" s="48" t="s">
        <v>1710</v>
      </c>
      <c r="CX271" s="48" t="s">
        <v>2823</v>
      </c>
      <c r="CY271" s="48" t="s">
        <v>1710</v>
      </c>
      <c r="CZ271" s="48" t="s">
        <v>1712</v>
      </c>
      <c r="DA271" s="48" t="s">
        <v>1710</v>
      </c>
      <c r="DB271" s="48" t="s">
        <v>1878</v>
      </c>
      <c r="DC271" s="48" t="s">
        <v>2070</v>
      </c>
      <c r="DD271" s="48" t="s">
        <v>1842</v>
      </c>
      <c r="DE271" s="48" t="s">
        <v>1886</v>
      </c>
      <c r="DF271" s="48" t="s">
        <v>4941</v>
      </c>
      <c r="DG271" s="48" t="s">
        <v>2071</v>
      </c>
      <c r="DH271" s="48" t="s">
        <v>1712</v>
      </c>
      <c r="DI271" s="48" t="s">
        <v>1710</v>
      </c>
      <c r="DJ271" s="48" t="s">
        <v>1710</v>
      </c>
      <c r="DK271" s="48" t="s">
        <v>1710</v>
      </c>
      <c r="DL271" s="48" t="s">
        <v>1710</v>
      </c>
      <c r="DM271" s="48" t="s">
        <v>1710</v>
      </c>
      <c r="DN271" s="48" t="s">
        <v>1710</v>
      </c>
      <c r="DO271" s="48" t="s">
        <v>1710</v>
      </c>
      <c r="DP271" s="48" t="s">
        <v>1710</v>
      </c>
      <c r="DQ271" s="48" t="s">
        <v>1710</v>
      </c>
      <c r="DR271" s="48" t="s">
        <v>2072</v>
      </c>
      <c r="DS271" s="48" t="s">
        <v>1710</v>
      </c>
      <c r="DT271" s="48" t="s">
        <v>1710</v>
      </c>
      <c r="DU271" s="48" t="s">
        <v>2575</v>
      </c>
      <c r="DV271" s="48" t="s">
        <v>2825</v>
      </c>
      <c r="DW271" s="48" t="s">
        <v>1710</v>
      </c>
      <c r="DX271" s="48" t="s">
        <v>4942</v>
      </c>
      <c r="DY271" s="48" t="s">
        <v>1709</v>
      </c>
      <c r="DZ271" s="48" t="s">
        <v>2562</v>
      </c>
      <c r="EA271" s="48" t="s">
        <v>2546</v>
      </c>
      <c r="EB271">
        <v>0</v>
      </c>
      <c r="EC271" s="48" t="s">
        <v>2575</v>
      </c>
      <c r="ED271" s="48" t="s">
        <v>4943</v>
      </c>
      <c r="EE271" s="48" t="s">
        <v>1814</v>
      </c>
      <c r="EF271" s="48" t="s">
        <v>1862</v>
      </c>
      <c r="EG271" s="48" t="s">
        <v>4938</v>
      </c>
      <c r="EH271">
        <v>4</v>
      </c>
      <c r="EI271" s="48" t="s">
        <v>1888</v>
      </c>
      <c r="EJ271">
        <v>0</v>
      </c>
      <c r="EK271" s="48" t="s">
        <v>1710</v>
      </c>
      <c r="EL271">
        <v>1</v>
      </c>
      <c r="EM271" s="48" t="s">
        <v>1886</v>
      </c>
      <c r="EN271">
        <v>4</v>
      </c>
      <c r="EO271" s="48" t="s">
        <v>2522</v>
      </c>
      <c r="EP271" s="48" t="s">
        <v>4944</v>
      </c>
      <c r="EQ271">
        <v>51084.14</v>
      </c>
      <c r="ER271">
        <v>51084.14</v>
      </c>
      <c r="ES271">
        <v>75094003</v>
      </c>
      <c r="ET271">
        <v>50978</v>
      </c>
      <c r="EU271" s="48" t="s">
        <v>1710</v>
      </c>
      <c r="EV271" s="48" t="s">
        <v>1710</v>
      </c>
      <c r="EW271" s="48" t="s">
        <v>1712</v>
      </c>
      <c r="EX271" s="48" t="s">
        <v>1710</v>
      </c>
      <c r="EY271" s="48" t="s">
        <v>2656</v>
      </c>
      <c r="EZ271" s="48" t="s">
        <v>1710</v>
      </c>
      <c r="FA271" s="48" t="s">
        <v>1710</v>
      </c>
      <c r="FB271" s="48" t="s">
        <v>1712</v>
      </c>
      <c r="FC271" s="48" t="s">
        <v>1710</v>
      </c>
      <c r="FD271" s="48" t="s">
        <v>1710</v>
      </c>
      <c r="FE271" s="48" t="s">
        <v>1814</v>
      </c>
      <c r="FF271" s="48" t="s">
        <v>1815</v>
      </c>
      <c r="FG271" s="48" t="s">
        <v>1710</v>
      </c>
      <c r="FH271">
        <v>1</v>
      </c>
      <c r="FI271" s="48" t="s">
        <v>1846</v>
      </c>
      <c r="FJ271">
        <v>51084.14</v>
      </c>
      <c r="FK271">
        <v>51084.14</v>
      </c>
      <c r="FL271" s="48" t="s">
        <v>4945</v>
      </c>
      <c r="FM271" s="48" t="s">
        <v>4944</v>
      </c>
      <c r="FN271" s="48" t="s">
        <v>1710</v>
      </c>
      <c r="FO271" s="48" t="s">
        <v>1710</v>
      </c>
      <c r="FP271" s="48" t="s">
        <v>1710</v>
      </c>
      <c r="FQ271" s="48" t="s">
        <v>1710</v>
      </c>
      <c r="FR271" s="48" t="s">
        <v>1710</v>
      </c>
      <c r="FS271" s="48" t="s">
        <v>1710</v>
      </c>
      <c r="FT271" s="48" t="s">
        <v>1710</v>
      </c>
      <c r="FU271" s="48" t="s">
        <v>1710</v>
      </c>
      <c r="FV271" s="48"/>
      <c r="FW271" s="56"/>
      <c r="FX271" s="56"/>
      <c r="FY271" s="56"/>
      <c r="FZ271" s="56"/>
      <c r="GA271" s="55" t="str">
        <f t="shared" si="14"/>
        <v>4388426900440X</v>
      </c>
      <c r="GB271" t="str">
        <f>VLOOKUP(B271,수출코드!$C$2:$D$4,2,FALSE)</f>
        <v>Suwon</v>
      </c>
      <c r="GC271" t="str">
        <f>VLOOKUP(L271,수출코드!$A$2:$B$6,2,FALSE)</f>
        <v/>
      </c>
      <c r="GD271" t="str">
        <f>VLOOKUP(M271,수출코드!$E$2:$F$5,2,FALSE)</f>
        <v>일반</v>
      </c>
      <c r="GE271" s="61">
        <f t="shared" si="12"/>
        <v>45975.670138888891</v>
      </c>
      <c r="GF271" s="62">
        <f t="shared" si="13"/>
        <v>46050.379166666666</v>
      </c>
      <c r="GI271" s="48" t="s">
        <v>2802</v>
      </c>
    </row>
    <row r="272" spans="1:191">
      <c r="A272" s="48" t="s">
        <v>4946</v>
      </c>
      <c r="B272" s="48" t="s">
        <v>1821</v>
      </c>
      <c r="C272" s="48" t="s">
        <v>2048</v>
      </c>
      <c r="D272" s="48" t="s">
        <v>2813</v>
      </c>
      <c r="E272" s="48" t="s">
        <v>4946</v>
      </c>
      <c r="F272" s="48" t="s">
        <v>1710</v>
      </c>
      <c r="G272" s="48" t="s">
        <v>2814</v>
      </c>
      <c r="H272" s="48" t="s">
        <v>4947</v>
      </c>
      <c r="I272" s="48" t="s">
        <v>1884</v>
      </c>
      <c r="J272" s="48" t="s">
        <v>2816</v>
      </c>
      <c r="K272" s="48" t="s">
        <v>1877</v>
      </c>
      <c r="L272" s="48" t="s">
        <v>1842</v>
      </c>
      <c r="M272" s="48" t="s">
        <v>1810</v>
      </c>
      <c r="N272" s="48" t="s">
        <v>1842</v>
      </c>
      <c r="O272" s="48" t="s">
        <v>1811</v>
      </c>
      <c r="P272" s="48" t="s">
        <v>2549</v>
      </c>
      <c r="Q272" s="48" t="s">
        <v>2049</v>
      </c>
      <c r="R272" s="48" t="s">
        <v>1838</v>
      </c>
      <c r="S272" s="48" t="s">
        <v>2050</v>
      </c>
      <c r="T272" s="48" t="s">
        <v>1845</v>
      </c>
      <c r="U272" s="48" t="s">
        <v>2049</v>
      </c>
      <c r="V272" s="48" t="s">
        <v>1838</v>
      </c>
      <c r="W272" s="48" t="s">
        <v>2051</v>
      </c>
      <c r="X272" s="48" t="s">
        <v>2052</v>
      </c>
      <c r="Y272" s="48" t="s">
        <v>2050</v>
      </c>
      <c r="Z272" s="48" t="s">
        <v>2053</v>
      </c>
      <c r="AA272" s="48" t="s">
        <v>2054</v>
      </c>
      <c r="AB272" s="48" t="s">
        <v>2817</v>
      </c>
      <c r="AC272" s="48" t="s">
        <v>2055</v>
      </c>
      <c r="AD272" s="48" t="s">
        <v>2056</v>
      </c>
      <c r="AE272" s="48" t="s">
        <v>1710</v>
      </c>
      <c r="AF272" s="48" t="s">
        <v>1710</v>
      </c>
      <c r="AG272" s="48" t="s">
        <v>2057</v>
      </c>
      <c r="AH272" s="48" t="s">
        <v>1815</v>
      </c>
      <c r="AI272" s="48" t="s">
        <v>2058</v>
      </c>
      <c r="AJ272" s="48" t="s">
        <v>1710</v>
      </c>
      <c r="AK272" s="48" t="s">
        <v>2102</v>
      </c>
      <c r="AL272" s="48" t="s">
        <v>1858</v>
      </c>
      <c r="AM272" s="48" t="s">
        <v>1816</v>
      </c>
      <c r="AN272" s="48" t="s">
        <v>2054</v>
      </c>
      <c r="AO272" s="48" t="s">
        <v>1710</v>
      </c>
      <c r="AP272" s="48" t="s">
        <v>1848</v>
      </c>
      <c r="AQ272" s="48" t="s">
        <v>2060</v>
      </c>
      <c r="AR272" s="48" t="s">
        <v>1812</v>
      </c>
      <c r="AS272" s="48" t="s">
        <v>1813</v>
      </c>
      <c r="AT272" s="48" t="s">
        <v>1826</v>
      </c>
      <c r="AU272" s="48" t="s">
        <v>2061</v>
      </c>
      <c r="AV272" s="48" t="s">
        <v>2816</v>
      </c>
      <c r="AW272" s="48" t="s">
        <v>2062</v>
      </c>
      <c r="AX272" s="48" t="s">
        <v>2063</v>
      </c>
      <c r="AY272" s="48" t="s">
        <v>1710</v>
      </c>
      <c r="AZ272" s="48" t="s">
        <v>4948</v>
      </c>
      <c r="BA272" s="48" t="s">
        <v>1710</v>
      </c>
      <c r="BB272" s="48" t="s">
        <v>1709</v>
      </c>
      <c r="BC272" s="48" t="s">
        <v>1710</v>
      </c>
      <c r="BD272" s="48" t="s">
        <v>4949</v>
      </c>
      <c r="BE272" s="52" t="s">
        <v>4940</v>
      </c>
      <c r="BF272" s="48" t="s">
        <v>1710</v>
      </c>
      <c r="BG272" s="48" t="s">
        <v>1814</v>
      </c>
      <c r="BH272">
        <v>217</v>
      </c>
      <c r="BI272" s="48" t="s">
        <v>1888</v>
      </c>
      <c r="BJ272">
        <v>1</v>
      </c>
      <c r="BK272">
        <v>1473.06</v>
      </c>
      <c r="BL272">
        <v>795562228</v>
      </c>
      <c r="BM272">
        <v>540075</v>
      </c>
      <c r="BN272" s="48" t="s">
        <v>2064</v>
      </c>
      <c r="BO272" s="48" t="s">
        <v>2065</v>
      </c>
      <c r="BP272">
        <v>1473.06</v>
      </c>
      <c r="BQ272">
        <v>542078.55000000005</v>
      </c>
      <c r="BR272" s="48" t="s">
        <v>1885</v>
      </c>
      <c r="BS272" s="48" t="s">
        <v>2066</v>
      </c>
      <c r="BT272">
        <v>1</v>
      </c>
      <c r="BU272">
        <v>2952000</v>
      </c>
      <c r="BV272">
        <v>2952000</v>
      </c>
      <c r="BW272" s="48" t="s">
        <v>2065</v>
      </c>
      <c r="BX272">
        <v>1473.06</v>
      </c>
      <c r="BY272">
        <v>0</v>
      </c>
      <c r="BZ272">
        <v>0</v>
      </c>
      <c r="CA272" s="48" t="s">
        <v>2065</v>
      </c>
      <c r="CB272">
        <v>1473.06</v>
      </c>
      <c r="CC272">
        <v>0</v>
      </c>
      <c r="CD272">
        <v>0</v>
      </c>
      <c r="CE272" s="48" t="s">
        <v>1710</v>
      </c>
      <c r="CF272" s="48" t="s">
        <v>1710</v>
      </c>
      <c r="CG272" s="48" t="s">
        <v>1710</v>
      </c>
      <c r="CH272" s="48" t="s">
        <v>1710</v>
      </c>
      <c r="CI272" s="48" t="s">
        <v>2067</v>
      </c>
      <c r="CJ272" s="48" t="s">
        <v>1710</v>
      </c>
      <c r="CL272" s="48" t="s">
        <v>2816</v>
      </c>
      <c r="CM272" s="48" t="s">
        <v>1710</v>
      </c>
      <c r="CN272" s="48" t="s">
        <v>2068</v>
      </c>
      <c r="CO272" s="48" t="s">
        <v>2069</v>
      </c>
      <c r="CP272" s="48" t="s">
        <v>1710</v>
      </c>
      <c r="CQ272" s="48" t="s">
        <v>1710</v>
      </c>
      <c r="CR272" s="48" t="s">
        <v>1710</v>
      </c>
      <c r="CS272" s="48" t="s">
        <v>1710</v>
      </c>
      <c r="CT272" s="48" t="s">
        <v>1710</v>
      </c>
      <c r="CU272" s="48" t="s">
        <v>1712</v>
      </c>
      <c r="CV272" s="48" t="s">
        <v>1710</v>
      </c>
      <c r="CW272" s="48" t="s">
        <v>1710</v>
      </c>
      <c r="CX272" s="48" t="s">
        <v>2823</v>
      </c>
      <c r="CY272" s="48" t="s">
        <v>1710</v>
      </c>
      <c r="CZ272" s="48" t="s">
        <v>1712</v>
      </c>
      <c r="DA272" s="48" t="s">
        <v>1710</v>
      </c>
      <c r="DB272" s="48" t="s">
        <v>1878</v>
      </c>
      <c r="DC272" s="48" t="s">
        <v>2070</v>
      </c>
      <c r="DD272" s="48" t="s">
        <v>1842</v>
      </c>
      <c r="DE272" s="48" t="s">
        <v>1886</v>
      </c>
      <c r="DF272" s="48" t="s">
        <v>4950</v>
      </c>
      <c r="DG272" s="48" t="s">
        <v>2071</v>
      </c>
      <c r="DH272" s="48" t="s">
        <v>1712</v>
      </c>
      <c r="DI272" s="48" t="s">
        <v>1710</v>
      </c>
      <c r="DJ272" s="48" t="s">
        <v>1710</v>
      </c>
      <c r="DK272" s="48" t="s">
        <v>1710</v>
      </c>
      <c r="DL272" s="48" t="s">
        <v>1710</v>
      </c>
      <c r="DM272" s="48" t="s">
        <v>1710</v>
      </c>
      <c r="DN272" s="48" t="s">
        <v>1710</v>
      </c>
      <c r="DO272" s="48" t="s">
        <v>1710</v>
      </c>
      <c r="DP272" s="48" t="s">
        <v>1710</v>
      </c>
      <c r="DQ272" s="48" t="s">
        <v>1710</v>
      </c>
      <c r="DR272" s="48" t="s">
        <v>2072</v>
      </c>
      <c r="DS272" s="48" t="s">
        <v>1710</v>
      </c>
      <c r="DT272" s="48" t="s">
        <v>1710</v>
      </c>
      <c r="DU272" s="48" t="s">
        <v>2575</v>
      </c>
      <c r="DV272" s="48" t="s">
        <v>2825</v>
      </c>
      <c r="DW272" s="48" t="s">
        <v>1710</v>
      </c>
      <c r="DX272" s="48" t="s">
        <v>4951</v>
      </c>
      <c r="DY272" s="48" t="s">
        <v>1709</v>
      </c>
      <c r="DZ272" s="48" t="s">
        <v>2562</v>
      </c>
      <c r="EA272" s="48" t="s">
        <v>2546</v>
      </c>
      <c r="EB272">
        <v>0</v>
      </c>
      <c r="EC272" s="48" t="s">
        <v>2575</v>
      </c>
      <c r="ED272" s="48" t="s">
        <v>4943</v>
      </c>
      <c r="EE272" s="48" t="s">
        <v>1814</v>
      </c>
      <c r="EF272" s="48" t="s">
        <v>1852</v>
      </c>
      <c r="EG272" s="48" t="s">
        <v>4948</v>
      </c>
      <c r="EH272">
        <v>180</v>
      </c>
      <c r="EI272" s="48" t="s">
        <v>1888</v>
      </c>
      <c r="EJ272">
        <v>0</v>
      </c>
      <c r="EK272" s="48" t="s">
        <v>1710</v>
      </c>
      <c r="EL272">
        <v>1</v>
      </c>
      <c r="EM272" s="48" t="s">
        <v>1886</v>
      </c>
      <c r="EN272">
        <v>180</v>
      </c>
      <c r="EO272" s="48" t="s">
        <v>2521</v>
      </c>
      <c r="EP272" s="48" t="s">
        <v>2710</v>
      </c>
      <c r="EQ272">
        <v>542078.55000000005</v>
      </c>
      <c r="ER272">
        <v>542078.55000000005</v>
      </c>
      <c r="ES272">
        <v>795562228</v>
      </c>
      <c r="ET272">
        <v>540075</v>
      </c>
      <c r="EU272" s="48" t="s">
        <v>1710</v>
      </c>
      <c r="EV272" s="48" t="s">
        <v>1710</v>
      </c>
      <c r="EW272" s="48" t="s">
        <v>1712</v>
      </c>
      <c r="EX272" s="48" t="s">
        <v>1710</v>
      </c>
      <c r="EY272" s="48" t="s">
        <v>1848</v>
      </c>
      <c r="EZ272" s="48" t="s">
        <v>1710</v>
      </c>
      <c r="FA272" s="48" t="s">
        <v>1710</v>
      </c>
      <c r="FB272" s="48" t="s">
        <v>1712</v>
      </c>
      <c r="FC272" s="48" t="s">
        <v>1710</v>
      </c>
      <c r="FD272" s="48" t="s">
        <v>1710</v>
      </c>
      <c r="FE272" s="48" t="s">
        <v>1814</v>
      </c>
      <c r="FF272" s="48" t="s">
        <v>1815</v>
      </c>
      <c r="FG272" s="48" t="s">
        <v>1710</v>
      </c>
      <c r="FH272">
        <v>1</v>
      </c>
      <c r="FI272" s="48" t="s">
        <v>1846</v>
      </c>
      <c r="FJ272">
        <v>60230.95</v>
      </c>
      <c r="FK272">
        <v>60230.95</v>
      </c>
      <c r="FL272" s="48" t="s">
        <v>4952</v>
      </c>
      <c r="FM272" s="48" t="s">
        <v>2710</v>
      </c>
      <c r="FN272" s="48" t="s">
        <v>1710</v>
      </c>
      <c r="FO272" s="48" t="s">
        <v>1710</v>
      </c>
      <c r="FP272" s="48" t="s">
        <v>1710</v>
      </c>
      <c r="FQ272" s="48" t="s">
        <v>1710</v>
      </c>
      <c r="FR272" s="48" t="s">
        <v>1710</v>
      </c>
      <c r="FS272" s="48" t="s">
        <v>1710</v>
      </c>
      <c r="FT272" s="48" t="s">
        <v>1710</v>
      </c>
      <c r="FU272" s="48" t="s">
        <v>1710</v>
      </c>
      <c r="FV272" s="48"/>
      <c r="FW272" s="56"/>
      <c r="FX272" s="56"/>
      <c r="FY272" s="56"/>
      <c r="FZ272" s="56"/>
      <c r="GA272" s="55" t="str">
        <f t="shared" si="14"/>
        <v>4388426900441X</v>
      </c>
      <c r="GB272" t="str">
        <f>VLOOKUP(B272,수출코드!$C$2:$D$4,2,FALSE)</f>
        <v>Suwon</v>
      </c>
      <c r="GC272" t="str">
        <f>VLOOKUP(L272,수출코드!$A$2:$B$6,2,FALSE)</f>
        <v/>
      </c>
      <c r="GD272" t="str">
        <f>VLOOKUP(M272,수출코드!$E$2:$F$5,2,FALSE)</f>
        <v>일반</v>
      </c>
      <c r="GE272" s="61">
        <f t="shared" si="12"/>
        <v>45975.658333333333</v>
      </c>
      <c r="GF272" s="62">
        <f t="shared" si="13"/>
        <v>46050.379166666666</v>
      </c>
      <c r="GI272" s="48" t="s">
        <v>2729</v>
      </c>
    </row>
    <row r="273" spans="1:191">
      <c r="A273" s="48" t="s">
        <v>4953</v>
      </c>
      <c r="B273" s="48" t="s">
        <v>1821</v>
      </c>
      <c r="C273" s="48" t="s">
        <v>2048</v>
      </c>
      <c r="D273" s="48" t="s">
        <v>2813</v>
      </c>
      <c r="E273" s="48" t="s">
        <v>4953</v>
      </c>
      <c r="F273" s="48" t="s">
        <v>1710</v>
      </c>
      <c r="G273" s="48" t="s">
        <v>2814</v>
      </c>
      <c r="H273" s="48" t="s">
        <v>4954</v>
      </c>
      <c r="I273" s="48" t="s">
        <v>1884</v>
      </c>
      <c r="J273" s="48" t="s">
        <v>2816</v>
      </c>
      <c r="K273" s="48" t="s">
        <v>1877</v>
      </c>
      <c r="L273" s="48" t="s">
        <v>1842</v>
      </c>
      <c r="M273" s="48" t="s">
        <v>1810</v>
      </c>
      <c r="N273" s="48" t="s">
        <v>1842</v>
      </c>
      <c r="O273" s="48" t="s">
        <v>1811</v>
      </c>
      <c r="P273" s="48" t="s">
        <v>2549</v>
      </c>
      <c r="Q273" s="48" t="s">
        <v>2049</v>
      </c>
      <c r="R273" s="48" t="s">
        <v>1838</v>
      </c>
      <c r="S273" s="48" t="s">
        <v>2050</v>
      </c>
      <c r="T273" s="48" t="s">
        <v>1845</v>
      </c>
      <c r="U273" s="48" t="s">
        <v>2049</v>
      </c>
      <c r="V273" s="48" t="s">
        <v>1838</v>
      </c>
      <c r="W273" s="48" t="s">
        <v>2051</v>
      </c>
      <c r="X273" s="48" t="s">
        <v>2052</v>
      </c>
      <c r="Y273" s="48" t="s">
        <v>2050</v>
      </c>
      <c r="Z273" s="48" t="s">
        <v>2053</v>
      </c>
      <c r="AA273" s="48" t="s">
        <v>2054</v>
      </c>
      <c r="AB273" s="48" t="s">
        <v>2817</v>
      </c>
      <c r="AC273" s="48" t="s">
        <v>2055</v>
      </c>
      <c r="AD273" s="48" t="s">
        <v>2056</v>
      </c>
      <c r="AE273" s="48" t="s">
        <v>1710</v>
      </c>
      <c r="AF273" s="48" t="s">
        <v>1710</v>
      </c>
      <c r="AG273" s="48" t="s">
        <v>2057</v>
      </c>
      <c r="AH273" s="48" t="s">
        <v>1815</v>
      </c>
      <c r="AI273" s="48" t="s">
        <v>2058</v>
      </c>
      <c r="AJ273" s="48" t="s">
        <v>1710</v>
      </c>
      <c r="AK273" s="48" t="s">
        <v>2077</v>
      </c>
      <c r="AL273" s="48" t="s">
        <v>1858</v>
      </c>
      <c r="AM273" s="48" t="s">
        <v>1816</v>
      </c>
      <c r="AN273" s="48" t="s">
        <v>2054</v>
      </c>
      <c r="AO273" s="48" t="s">
        <v>1710</v>
      </c>
      <c r="AP273" s="48" t="s">
        <v>1848</v>
      </c>
      <c r="AQ273" s="48" t="s">
        <v>2060</v>
      </c>
      <c r="AR273" s="48" t="s">
        <v>1812</v>
      </c>
      <c r="AS273" s="48" t="s">
        <v>1813</v>
      </c>
      <c r="AT273" s="48" t="s">
        <v>1826</v>
      </c>
      <c r="AU273" s="48" t="s">
        <v>2061</v>
      </c>
      <c r="AV273" s="48" t="s">
        <v>2816</v>
      </c>
      <c r="AW273" s="48" t="s">
        <v>2062</v>
      </c>
      <c r="AX273" s="48" t="s">
        <v>2063</v>
      </c>
      <c r="AY273" s="48" t="s">
        <v>1710</v>
      </c>
      <c r="AZ273" s="48" t="s">
        <v>4955</v>
      </c>
      <c r="BA273" s="48" t="s">
        <v>1710</v>
      </c>
      <c r="BB273" s="48" t="s">
        <v>1709</v>
      </c>
      <c r="BC273" s="48" t="s">
        <v>1710</v>
      </c>
      <c r="BD273" s="48" t="s">
        <v>4949</v>
      </c>
      <c r="BE273" s="52" t="s">
        <v>4940</v>
      </c>
      <c r="BF273" s="48" t="s">
        <v>1710</v>
      </c>
      <c r="BG273" s="48" t="s">
        <v>2566</v>
      </c>
      <c r="BH273">
        <v>256</v>
      </c>
      <c r="BI273" s="48" t="s">
        <v>1888</v>
      </c>
      <c r="BJ273">
        <v>19</v>
      </c>
      <c r="BK273">
        <v>1473.06</v>
      </c>
      <c r="BL273">
        <v>171085995</v>
      </c>
      <c r="BM273">
        <v>116143</v>
      </c>
      <c r="BN273" s="48" t="s">
        <v>2064</v>
      </c>
      <c r="BO273" s="48" t="s">
        <v>2065</v>
      </c>
      <c r="BP273">
        <v>1473.06</v>
      </c>
      <c r="BQ273">
        <v>118504.68</v>
      </c>
      <c r="BR273" s="48" t="s">
        <v>1885</v>
      </c>
      <c r="BS273" s="48" t="s">
        <v>2066</v>
      </c>
      <c r="BT273">
        <v>1</v>
      </c>
      <c r="BU273">
        <v>3478500</v>
      </c>
      <c r="BV273">
        <v>3478500</v>
      </c>
      <c r="BW273" s="48" t="s">
        <v>2065</v>
      </c>
      <c r="BX273">
        <v>1473.06</v>
      </c>
      <c r="BY273">
        <v>0</v>
      </c>
      <c r="BZ273">
        <v>0</v>
      </c>
      <c r="CA273" s="48" t="s">
        <v>2065</v>
      </c>
      <c r="CB273">
        <v>1473.06</v>
      </c>
      <c r="CC273">
        <v>0</v>
      </c>
      <c r="CD273">
        <v>0</v>
      </c>
      <c r="CE273" s="48" t="s">
        <v>1710</v>
      </c>
      <c r="CF273" s="48" t="s">
        <v>1710</v>
      </c>
      <c r="CG273" s="48" t="s">
        <v>1710</v>
      </c>
      <c r="CH273" s="48" t="s">
        <v>1710</v>
      </c>
      <c r="CI273" s="48" t="s">
        <v>2067</v>
      </c>
      <c r="CJ273" s="48" t="s">
        <v>1710</v>
      </c>
      <c r="CL273" s="48" t="s">
        <v>2816</v>
      </c>
      <c r="CM273" s="48" t="s">
        <v>1710</v>
      </c>
      <c r="CN273" s="48" t="s">
        <v>2068</v>
      </c>
      <c r="CO273" s="48" t="s">
        <v>2069</v>
      </c>
      <c r="CP273" s="48" t="s">
        <v>1710</v>
      </c>
      <c r="CQ273" s="48" t="s">
        <v>1710</v>
      </c>
      <c r="CR273" s="48" t="s">
        <v>1710</v>
      </c>
      <c r="CS273" s="48" t="s">
        <v>1710</v>
      </c>
      <c r="CT273" s="48" t="s">
        <v>1710</v>
      </c>
      <c r="CU273" s="48" t="s">
        <v>1712</v>
      </c>
      <c r="CV273" s="48" t="s">
        <v>1710</v>
      </c>
      <c r="CW273" s="48" t="s">
        <v>1710</v>
      </c>
      <c r="CX273" s="48" t="s">
        <v>2823</v>
      </c>
      <c r="CY273" s="48" t="s">
        <v>1710</v>
      </c>
      <c r="CZ273" s="48" t="s">
        <v>1712</v>
      </c>
      <c r="DA273" s="48" t="s">
        <v>1710</v>
      </c>
      <c r="DB273" s="48" t="s">
        <v>1878</v>
      </c>
      <c r="DC273" s="48" t="s">
        <v>2070</v>
      </c>
      <c r="DD273" s="48" t="s">
        <v>1842</v>
      </c>
      <c r="DE273" s="48" t="s">
        <v>1886</v>
      </c>
      <c r="DF273" s="48" t="s">
        <v>4956</v>
      </c>
      <c r="DG273" s="48" t="s">
        <v>2071</v>
      </c>
      <c r="DH273" s="48" t="s">
        <v>1712</v>
      </c>
      <c r="DI273" s="48" t="s">
        <v>1710</v>
      </c>
      <c r="DJ273" s="48" t="s">
        <v>1710</v>
      </c>
      <c r="DK273" s="48" t="s">
        <v>1710</v>
      </c>
      <c r="DL273" s="48" t="s">
        <v>1710</v>
      </c>
      <c r="DM273" s="48" t="s">
        <v>1710</v>
      </c>
      <c r="DN273" s="48" t="s">
        <v>1710</v>
      </c>
      <c r="DO273" s="48" t="s">
        <v>1710</v>
      </c>
      <c r="DP273" s="48" t="s">
        <v>1710</v>
      </c>
      <c r="DQ273" s="48" t="s">
        <v>1710</v>
      </c>
      <c r="DR273" s="48" t="s">
        <v>2072</v>
      </c>
      <c r="DS273" s="48" t="s">
        <v>1710</v>
      </c>
      <c r="DT273" s="48" t="s">
        <v>1710</v>
      </c>
      <c r="DU273" s="48" t="s">
        <v>2575</v>
      </c>
      <c r="DV273" s="48" t="s">
        <v>3111</v>
      </c>
      <c r="DW273" s="48" t="s">
        <v>1710</v>
      </c>
      <c r="DX273" s="48" t="s">
        <v>4957</v>
      </c>
      <c r="DY273" s="48" t="s">
        <v>1709</v>
      </c>
      <c r="DZ273" s="48" t="s">
        <v>2562</v>
      </c>
      <c r="EA273" s="48" t="s">
        <v>2546</v>
      </c>
      <c r="EB273">
        <v>0</v>
      </c>
      <c r="EC273" s="48" t="s">
        <v>2575</v>
      </c>
      <c r="ED273" s="48" t="s">
        <v>4958</v>
      </c>
      <c r="EE273" s="48" t="s">
        <v>1814</v>
      </c>
      <c r="EF273" s="48" t="s">
        <v>1862</v>
      </c>
      <c r="EG273" s="48" t="s">
        <v>4955</v>
      </c>
      <c r="EH273">
        <v>4.1500000000000004</v>
      </c>
      <c r="EI273" s="48" t="s">
        <v>1888</v>
      </c>
      <c r="EJ273">
        <v>0</v>
      </c>
      <c r="EK273" s="48" t="s">
        <v>1710</v>
      </c>
      <c r="EL273">
        <v>19</v>
      </c>
      <c r="EM273" s="48" t="s">
        <v>1886</v>
      </c>
      <c r="EN273">
        <v>4.1500000000000004</v>
      </c>
      <c r="EO273" s="48" t="s">
        <v>2522</v>
      </c>
      <c r="EP273" s="48" t="s">
        <v>4959</v>
      </c>
      <c r="EQ273">
        <v>4958.1099999999997</v>
      </c>
      <c r="ER273">
        <v>4958.1099999999997</v>
      </c>
      <c r="ES273">
        <v>7158056</v>
      </c>
      <c r="ET273">
        <v>4859</v>
      </c>
      <c r="EU273" s="48" t="s">
        <v>1710</v>
      </c>
      <c r="EV273" s="48" t="s">
        <v>1710</v>
      </c>
      <c r="EW273" s="48" t="s">
        <v>1712</v>
      </c>
      <c r="EX273" s="48" t="s">
        <v>1710</v>
      </c>
      <c r="EY273" s="48" t="s">
        <v>2654</v>
      </c>
      <c r="EZ273" s="48" t="s">
        <v>1710</v>
      </c>
      <c r="FA273" s="48" t="s">
        <v>1710</v>
      </c>
      <c r="FB273" s="48" t="s">
        <v>1712</v>
      </c>
      <c r="FC273" s="48" t="s">
        <v>1710</v>
      </c>
      <c r="FD273" s="48" t="s">
        <v>1710</v>
      </c>
      <c r="FE273" s="48" t="s">
        <v>1814</v>
      </c>
      <c r="FF273" s="48" t="s">
        <v>1815</v>
      </c>
      <c r="FG273" s="48" t="s">
        <v>1710</v>
      </c>
      <c r="FH273">
        <v>1</v>
      </c>
      <c r="FI273" s="48" t="s">
        <v>1846</v>
      </c>
      <c r="FJ273">
        <v>4958.1099999999997</v>
      </c>
      <c r="FK273">
        <v>4958.1099999999997</v>
      </c>
      <c r="FL273" s="48" t="s">
        <v>4960</v>
      </c>
      <c r="FM273" s="48" t="s">
        <v>4959</v>
      </c>
      <c r="FN273" s="48" t="s">
        <v>1710</v>
      </c>
      <c r="FO273" s="48" t="s">
        <v>1710</v>
      </c>
      <c r="FP273" s="48" t="s">
        <v>1710</v>
      </c>
      <c r="FQ273" s="48" t="s">
        <v>1710</v>
      </c>
      <c r="FR273" s="48" t="s">
        <v>1710</v>
      </c>
      <c r="FS273" s="48" t="s">
        <v>1710</v>
      </c>
      <c r="FT273" s="48" t="s">
        <v>1710</v>
      </c>
      <c r="FU273" s="48" t="s">
        <v>1710</v>
      </c>
      <c r="FV273" s="48"/>
      <c r="FW273" s="56"/>
      <c r="FX273" s="56"/>
      <c r="FY273" s="56"/>
      <c r="FZ273" s="56"/>
      <c r="GA273" s="55" t="str">
        <f t="shared" si="14"/>
        <v>4388426900442X</v>
      </c>
      <c r="GB273" t="str">
        <f>VLOOKUP(B273,수출코드!$C$2:$D$4,2,FALSE)</f>
        <v>Suwon</v>
      </c>
      <c r="GC273" t="str">
        <f>VLOOKUP(L273,수출코드!$A$2:$B$6,2,FALSE)</f>
        <v/>
      </c>
      <c r="GD273" t="str">
        <f>VLOOKUP(M273,수출코드!$E$2:$F$5,2,FALSE)</f>
        <v>일반</v>
      </c>
      <c r="GE273" s="61">
        <f t="shared" si="12"/>
        <v>45975.658333333333</v>
      </c>
      <c r="GF273" s="62">
        <f t="shared" si="13"/>
        <v>46050.393750000003</v>
      </c>
      <c r="GI273" s="48" t="s">
        <v>2729</v>
      </c>
    </row>
    <row r="274" spans="1:191">
      <c r="A274" s="48" t="s">
        <v>4961</v>
      </c>
      <c r="B274" s="48" t="s">
        <v>1821</v>
      </c>
      <c r="C274" s="48" t="s">
        <v>2048</v>
      </c>
      <c r="D274" s="48" t="s">
        <v>2813</v>
      </c>
      <c r="E274" s="48" t="s">
        <v>4961</v>
      </c>
      <c r="F274" s="48" t="s">
        <v>1710</v>
      </c>
      <c r="G274" s="48" t="s">
        <v>2814</v>
      </c>
      <c r="H274" s="48" t="s">
        <v>4962</v>
      </c>
      <c r="I274" s="48" t="s">
        <v>1884</v>
      </c>
      <c r="J274" s="48" t="s">
        <v>2816</v>
      </c>
      <c r="K274" s="48" t="s">
        <v>1877</v>
      </c>
      <c r="L274" s="48" t="s">
        <v>1842</v>
      </c>
      <c r="M274" s="48" t="s">
        <v>1810</v>
      </c>
      <c r="N274" s="48" t="s">
        <v>1842</v>
      </c>
      <c r="O274" s="48" t="s">
        <v>1811</v>
      </c>
      <c r="P274" s="48" t="s">
        <v>2549</v>
      </c>
      <c r="Q274" s="48" t="s">
        <v>2049</v>
      </c>
      <c r="R274" s="48" t="s">
        <v>1838</v>
      </c>
      <c r="S274" s="48" t="s">
        <v>2050</v>
      </c>
      <c r="T274" s="48" t="s">
        <v>1845</v>
      </c>
      <c r="U274" s="48" t="s">
        <v>2049</v>
      </c>
      <c r="V274" s="48" t="s">
        <v>1838</v>
      </c>
      <c r="W274" s="48" t="s">
        <v>2051</v>
      </c>
      <c r="X274" s="48" t="s">
        <v>2052</v>
      </c>
      <c r="Y274" s="48" t="s">
        <v>2050</v>
      </c>
      <c r="Z274" s="48" t="s">
        <v>2053</v>
      </c>
      <c r="AA274" s="48" t="s">
        <v>2054</v>
      </c>
      <c r="AB274" s="48" t="s">
        <v>2817</v>
      </c>
      <c r="AC274" s="48" t="s">
        <v>2055</v>
      </c>
      <c r="AD274" s="48" t="s">
        <v>2056</v>
      </c>
      <c r="AE274" s="48" t="s">
        <v>1710</v>
      </c>
      <c r="AF274" s="48" t="s">
        <v>1710</v>
      </c>
      <c r="AG274" s="48" t="s">
        <v>2057</v>
      </c>
      <c r="AH274" s="48" t="s">
        <v>1815</v>
      </c>
      <c r="AI274" s="48" t="s">
        <v>2058</v>
      </c>
      <c r="AJ274" s="48" t="s">
        <v>1710</v>
      </c>
      <c r="AK274" s="48" t="s">
        <v>2565</v>
      </c>
      <c r="AL274" s="48" t="s">
        <v>2557</v>
      </c>
      <c r="AM274" s="48" t="s">
        <v>1816</v>
      </c>
      <c r="AN274" s="48" t="s">
        <v>2054</v>
      </c>
      <c r="AO274" s="48" t="s">
        <v>1710</v>
      </c>
      <c r="AP274" s="48" t="s">
        <v>1855</v>
      </c>
      <c r="AQ274" s="48" t="s">
        <v>2076</v>
      </c>
      <c r="AR274" s="48" t="s">
        <v>1812</v>
      </c>
      <c r="AS274" s="48" t="s">
        <v>1813</v>
      </c>
      <c r="AT274" s="48" t="s">
        <v>1826</v>
      </c>
      <c r="AU274" s="48" t="s">
        <v>2061</v>
      </c>
      <c r="AV274" s="48" t="s">
        <v>2816</v>
      </c>
      <c r="AW274" s="48" t="s">
        <v>2062</v>
      </c>
      <c r="AX274" s="48" t="s">
        <v>2063</v>
      </c>
      <c r="AY274" s="48" t="s">
        <v>1710</v>
      </c>
      <c r="AZ274" s="48" t="s">
        <v>4963</v>
      </c>
      <c r="BA274" s="48" t="s">
        <v>1710</v>
      </c>
      <c r="BB274" s="48" t="s">
        <v>1709</v>
      </c>
      <c r="BC274" s="48" t="s">
        <v>1710</v>
      </c>
      <c r="BD274" s="48" t="s">
        <v>4949</v>
      </c>
      <c r="BE274" s="52" t="s">
        <v>4940</v>
      </c>
      <c r="BF274" s="48" t="s">
        <v>1710</v>
      </c>
      <c r="BG274" s="48" t="s">
        <v>3139</v>
      </c>
      <c r="BH274">
        <v>225</v>
      </c>
      <c r="BI274" s="48" t="s">
        <v>1888</v>
      </c>
      <c r="BJ274">
        <v>11</v>
      </c>
      <c r="BK274">
        <v>1473.06</v>
      </c>
      <c r="BL274">
        <v>118953537</v>
      </c>
      <c r="BM274">
        <v>80753</v>
      </c>
      <c r="BN274" s="48" t="s">
        <v>2064</v>
      </c>
      <c r="BO274" s="48" t="s">
        <v>2065</v>
      </c>
      <c r="BP274">
        <v>1473.06</v>
      </c>
      <c r="BQ274">
        <v>81489.919999999998</v>
      </c>
      <c r="BR274" s="48" t="s">
        <v>1885</v>
      </c>
      <c r="BS274" s="48" t="s">
        <v>2066</v>
      </c>
      <c r="BT274">
        <v>1</v>
      </c>
      <c r="BU274">
        <v>1086000</v>
      </c>
      <c r="BV274">
        <v>1086000</v>
      </c>
      <c r="BW274" s="48" t="s">
        <v>2065</v>
      </c>
      <c r="BX274">
        <v>1473.06</v>
      </c>
      <c r="BY274">
        <v>0</v>
      </c>
      <c r="BZ274">
        <v>0</v>
      </c>
      <c r="CA274" s="48" t="s">
        <v>2065</v>
      </c>
      <c r="CB274">
        <v>1473.06</v>
      </c>
      <c r="CC274">
        <v>0</v>
      </c>
      <c r="CD274">
        <v>0</v>
      </c>
      <c r="CE274" s="48" t="s">
        <v>1710</v>
      </c>
      <c r="CF274" s="48" t="s">
        <v>1710</v>
      </c>
      <c r="CG274" s="48" t="s">
        <v>1710</v>
      </c>
      <c r="CH274" s="48" t="s">
        <v>1710</v>
      </c>
      <c r="CI274" s="48" t="s">
        <v>2067</v>
      </c>
      <c r="CJ274" s="48" t="s">
        <v>1710</v>
      </c>
      <c r="CL274" s="48" t="s">
        <v>2816</v>
      </c>
      <c r="CM274" s="48" t="s">
        <v>1710</v>
      </c>
      <c r="CN274" s="48" t="s">
        <v>2068</v>
      </c>
      <c r="CO274" s="48" t="s">
        <v>2069</v>
      </c>
      <c r="CP274" s="48" t="s">
        <v>1710</v>
      </c>
      <c r="CQ274" s="48" t="s">
        <v>1710</v>
      </c>
      <c r="CR274" s="48" t="s">
        <v>1710</v>
      </c>
      <c r="CS274" s="48" t="s">
        <v>1710</v>
      </c>
      <c r="CT274" s="48" t="s">
        <v>1710</v>
      </c>
      <c r="CU274" s="48" t="s">
        <v>1712</v>
      </c>
      <c r="CV274" s="48" t="s">
        <v>1710</v>
      </c>
      <c r="CW274" s="48" t="s">
        <v>1710</v>
      </c>
      <c r="CX274" s="48" t="s">
        <v>2823</v>
      </c>
      <c r="CY274" s="48" t="s">
        <v>1710</v>
      </c>
      <c r="CZ274" s="48" t="s">
        <v>1712</v>
      </c>
      <c r="DA274" s="48" t="s">
        <v>1710</v>
      </c>
      <c r="DB274" s="48" t="s">
        <v>1878</v>
      </c>
      <c r="DC274" s="48" t="s">
        <v>2070</v>
      </c>
      <c r="DD274" s="48" t="s">
        <v>1842</v>
      </c>
      <c r="DE274" s="48" t="s">
        <v>1886</v>
      </c>
      <c r="DF274" s="48" t="s">
        <v>4964</v>
      </c>
      <c r="DG274" s="48" t="s">
        <v>2071</v>
      </c>
      <c r="DH274" s="48" t="s">
        <v>1712</v>
      </c>
      <c r="DI274" s="48" t="s">
        <v>1710</v>
      </c>
      <c r="DJ274" s="48" t="s">
        <v>1710</v>
      </c>
      <c r="DK274" s="48" t="s">
        <v>1710</v>
      </c>
      <c r="DL274" s="48" t="s">
        <v>1710</v>
      </c>
      <c r="DM274" s="48" t="s">
        <v>1710</v>
      </c>
      <c r="DN274" s="48" t="s">
        <v>1710</v>
      </c>
      <c r="DO274" s="48" t="s">
        <v>1710</v>
      </c>
      <c r="DP274" s="48" t="s">
        <v>1710</v>
      </c>
      <c r="DQ274" s="48" t="s">
        <v>1710</v>
      </c>
      <c r="DR274" s="48" t="s">
        <v>2072</v>
      </c>
      <c r="DS274" s="48" t="s">
        <v>1710</v>
      </c>
      <c r="DT274" s="48" t="s">
        <v>1710</v>
      </c>
      <c r="DU274" s="48" t="s">
        <v>2575</v>
      </c>
      <c r="DV274" s="48" t="s">
        <v>3111</v>
      </c>
      <c r="DW274" s="48" t="s">
        <v>1710</v>
      </c>
      <c r="DX274" s="48" t="s">
        <v>4965</v>
      </c>
      <c r="DY274" s="48" t="s">
        <v>1709</v>
      </c>
      <c r="DZ274" s="48" t="s">
        <v>2562</v>
      </c>
      <c r="EA274" s="48" t="s">
        <v>2546</v>
      </c>
      <c r="EB274">
        <v>0</v>
      </c>
      <c r="EC274" s="48" t="s">
        <v>2575</v>
      </c>
      <c r="ED274" s="48" t="s">
        <v>4966</v>
      </c>
      <c r="EE274" s="48" t="s">
        <v>1814</v>
      </c>
      <c r="EF274" s="48" t="s">
        <v>4967</v>
      </c>
      <c r="EG274" s="48" t="s">
        <v>4963</v>
      </c>
      <c r="EH274">
        <v>3</v>
      </c>
      <c r="EI274" s="48" t="s">
        <v>1888</v>
      </c>
      <c r="EJ274">
        <v>0</v>
      </c>
      <c r="EK274" s="48" t="s">
        <v>1710</v>
      </c>
      <c r="EL274">
        <v>11</v>
      </c>
      <c r="EM274" s="48" t="s">
        <v>1886</v>
      </c>
      <c r="EN274">
        <v>3</v>
      </c>
      <c r="EO274" s="48" t="s">
        <v>4968</v>
      </c>
      <c r="EP274" s="48" t="s">
        <v>4969</v>
      </c>
      <c r="EQ274">
        <v>616.25</v>
      </c>
      <c r="ER274">
        <v>616.25</v>
      </c>
      <c r="ES274">
        <v>899560</v>
      </c>
      <c r="ET274">
        <v>611</v>
      </c>
      <c r="EU274" s="48" t="s">
        <v>1710</v>
      </c>
      <c r="EV274" s="48" t="s">
        <v>1710</v>
      </c>
      <c r="EW274" s="48" t="s">
        <v>1712</v>
      </c>
      <c r="EX274" s="48" t="s">
        <v>1710</v>
      </c>
      <c r="EY274" s="48" t="s">
        <v>1843</v>
      </c>
      <c r="EZ274" s="48" t="s">
        <v>1710</v>
      </c>
      <c r="FA274" s="48" t="s">
        <v>1710</v>
      </c>
      <c r="FB274" s="48" t="s">
        <v>1712</v>
      </c>
      <c r="FC274" s="48" t="s">
        <v>1710</v>
      </c>
      <c r="FD274" s="48" t="s">
        <v>1710</v>
      </c>
      <c r="FE274" s="48" t="s">
        <v>1814</v>
      </c>
      <c r="FF274" s="48" t="s">
        <v>1815</v>
      </c>
      <c r="FG274" s="48" t="s">
        <v>1710</v>
      </c>
      <c r="FH274">
        <v>1</v>
      </c>
      <c r="FI274" s="48" t="s">
        <v>1846</v>
      </c>
      <c r="FJ274">
        <v>616.25</v>
      </c>
      <c r="FK274">
        <v>616.25</v>
      </c>
      <c r="FL274" s="48" t="s">
        <v>4970</v>
      </c>
      <c r="FM274" s="48" t="s">
        <v>4969</v>
      </c>
      <c r="FN274" s="48" t="s">
        <v>1710</v>
      </c>
      <c r="FO274" s="48" t="s">
        <v>1710</v>
      </c>
      <c r="FP274" s="48" t="s">
        <v>1710</v>
      </c>
      <c r="FQ274" s="48" t="s">
        <v>1710</v>
      </c>
      <c r="FR274" s="48" t="s">
        <v>1710</v>
      </c>
      <c r="FS274" s="48" t="s">
        <v>1710</v>
      </c>
      <c r="FT274" s="48" t="s">
        <v>1710</v>
      </c>
      <c r="FU274" s="48" t="s">
        <v>1710</v>
      </c>
      <c r="FV274" s="48"/>
      <c r="FW274" s="56"/>
      <c r="FX274" s="56"/>
      <c r="FY274" s="56"/>
      <c r="FZ274" s="56"/>
      <c r="GA274" s="55" t="str">
        <f t="shared" si="14"/>
        <v>4388426900443X</v>
      </c>
      <c r="GB274" t="str">
        <f>VLOOKUP(B274,수출코드!$C$2:$D$4,2,FALSE)</f>
        <v>Suwon</v>
      </c>
      <c r="GC274" t="str">
        <f>VLOOKUP(L274,수출코드!$A$2:$B$6,2,FALSE)</f>
        <v/>
      </c>
      <c r="GD274" t="str">
        <f>VLOOKUP(M274,수출코드!$E$2:$F$5,2,FALSE)</f>
        <v>일반</v>
      </c>
      <c r="GE274" s="61">
        <f t="shared" si="12"/>
        <v>45975.719444444447</v>
      </c>
      <c r="GF274" s="62">
        <f t="shared" si="13"/>
        <v>46050.385416666664</v>
      </c>
      <c r="GI274" s="48" t="s">
        <v>2803</v>
      </c>
    </row>
    <row r="275" spans="1:191">
      <c r="A275" s="48" t="s">
        <v>4971</v>
      </c>
      <c r="B275" s="48" t="s">
        <v>1821</v>
      </c>
      <c r="C275" s="48" t="s">
        <v>2048</v>
      </c>
      <c r="D275" s="48" t="s">
        <v>2813</v>
      </c>
      <c r="E275" s="48" t="s">
        <v>4971</v>
      </c>
      <c r="F275" s="48" t="s">
        <v>1710</v>
      </c>
      <c r="G275" s="48" t="s">
        <v>2814</v>
      </c>
      <c r="H275" s="48" t="s">
        <v>4972</v>
      </c>
      <c r="I275" s="48" t="s">
        <v>1884</v>
      </c>
      <c r="J275" s="48" t="s">
        <v>2816</v>
      </c>
      <c r="K275" s="48" t="s">
        <v>1877</v>
      </c>
      <c r="L275" s="48" t="s">
        <v>1842</v>
      </c>
      <c r="M275" s="48" t="s">
        <v>1810</v>
      </c>
      <c r="N275" s="48" t="s">
        <v>1842</v>
      </c>
      <c r="O275" s="48" t="s">
        <v>1811</v>
      </c>
      <c r="P275" s="48" t="s">
        <v>2549</v>
      </c>
      <c r="Q275" s="48" t="s">
        <v>2049</v>
      </c>
      <c r="R275" s="48" t="s">
        <v>1838</v>
      </c>
      <c r="S275" s="48" t="s">
        <v>2050</v>
      </c>
      <c r="T275" s="48" t="s">
        <v>1845</v>
      </c>
      <c r="U275" s="48" t="s">
        <v>2049</v>
      </c>
      <c r="V275" s="48" t="s">
        <v>1838</v>
      </c>
      <c r="W275" s="48" t="s">
        <v>2051</v>
      </c>
      <c r="X275" s="48" t="s">
        <v>2052</v>
      </c>
      <c r="Y275" s="48" t="s">
        <v>2050</v>
      </c>
      <c r="Z275" s="48" t="s">
        <v>2053</v>
      </c>
      <c r="AA275" s="48" t="s">
        <v>2054</v>
      </c>
      <c r="AB275" s="48" t="s">
        <v>2817</v>
      </c>
      <c r="AC275" s="48" t="s">
        <v>2055</v>
      </c>
      <c r="AD275" s="48" t="s">
        <v>2056</v>
      </c>
      <c r="AE275" s="48" t="s">
        <v>1710</v>
      </c>
      <c r="AF275" s="48" t="s">
        <v>1710</v>
      </c>
      <c r="AG275" s="48" t="s">
        <v>2057</v>
      </c>
      <c r="AH275" s="48" t="s">
        <v>1815</v>
      </c>
      <c r="AI275" s="48" t="s">
        <v>2058</v>
      </c>
      <c r="AJ275" s="48" t="s">
        <v>1710</v>
      </c>
      <c r="AK275" s="48" t="s">
        <v>2589</v>
      </c>
      <c r="AL275" s="48" t="s">
        <v>2590</v>
      </c>
      <c r="AM275" s="48" t="s">
        <v>1816</v>
      </c>
      <c r="AN275" s="48" t="s">
        <v>2054</v>
      </c>
      <c r="AO275" s="48" t="s">
        <v>1710</v>
      </c>
      <c r="AP275" s="48" t="s">
        <v>1843</v>
      </c>
      <c r="AQ275" s="48" t="s">
        <v>2079</v>
      </c>
      <c r="AR275" s="48" t="s">
        <v>1812</v>
      </c>
      <c r="AS275" s="48" t="s">
        <v>1813</v>
      </c>
      <c r="AT275" s="48" t="s">
        <v>1826</v>
      </c>
      <c r="AU275" s="48" t="s">
        <v>2061</v>
      </c>
      <c r="AV275" s="48" t="s">
        <v>2816</v>
      </c>
      <c r="AW275" s="48" t="s">
        <v>2062</v>
      </c>
      <c r="AX275" s="48" t="s">
        <v>2063</v>
      </c>
      <c r="AY275" s="48" t="s">
        <v>1710</v>
      </c>
      <c r="AZ275" s="48" t="s">
        <v>4973</v>
      </c>
      <c r="BA275" s="48" t="s">
        <v>1710</v>
      </c>
      <c r="BB275" s="48" t="s">
        <v>1709</v>
      </c>
      <c r="BC275" s="48" t="s">
        <v>1710</v>
      </c>
      <c r="BD275" s="48" t="s">
        <v>4949</v>
      </c>
      <c r="BE275" s="52" t="s">
        <v>4940</v>
      </c>
      <c r="BF275" s="48" t="s">
        <v>1710</v>
      </c>
      <c r="BG275" s="48" t="s">
        <v>1820</v>
      </c>
      <c r="BH275">
        <v>147</v>
      </c>
      <c r="BI275" s="48" t="s">
        <v>1888</v>
      </c>
      <c r="BJ275">
        <v>4</v>
      </c>
      <c r="BK275">
        <v>1473.06</v>
      </c>
      <c r="BL275">
        <v>115026639</v>
      </c>
      <c r="BM275">
        <v>78087</v>
      </c>
      <c r="BN275" s="48" t="s">
        <v>2064</v>
      </c>
      <c r="BO275" s="48" t="s">
        <v>2065</v>
      </c>
      <c r="BP275">
        <v>1473.06</v>
      </c>
      <c r="BQ275">
        <v>78471.78</v>
      </c>
      <c r="BR275" s="48" t="s">
        <v>1885</v>
      </c>
      <c r="BS275" s="48" t="s">
        <v>2066</v>
      </c>
      <c r="BT275">
        <v>1</v>
      </c>
      <c r="BU275">
        <v>567000</v>
      </c>
      <c r="BV275">
        <v>567000</v>
      </c>
      <c r="BW275" s="48" t="s">
        <v>2065</v>
      </c>
      <c r="BX275">
        <v>1473.06</v>
      </c>
      <c r="BY275">
        <v>0</v>
      </c>
      <c r="BZ275">
        <v>0</v>
      </c>
      <c r="CA275" s="48" t="s">
        <v>2065</v>
      </c>
      <c r="CB275">
        <v>1473.06</v>
      </c>
      <c r="CC275">
        <v>0</v>
      </c>
      <c r="CD275">
        <v>0</v>
      </c>
      <c r="CE275" s="48" t="s">
        <v>1710</v>
      </c>
      <c r="CF275" s="48" t="s">
        <v>1710</v>
      </c>
      <c r="CG275" s="48" t="s">
        <v>1710</v>
      </c>
      <c r="CH275" s="48" t="s">
        <v>1710</v>
      </c>
      <c r="CI275" s="48" t="s">
        <v>2067</v>
      </c>
      <c r="CJ275" s="48" t="s">
        <v>1710</v>
      </c>
      <c r="CL275" s="48" t="s">
        <v>2816</v>
      </c>
      <c r="CM275" s="48" t="s">
        <v>1710</v>
      </c>
      <c r="CN275" s="48" t="s">
        <v>2068</v>
      </c>
      <c r="CO275" s="48" t="s">
        <v>2069</v>
      </c>
      <c r="CP275" s="48" t="s">
        <v>1710</v>
      </c>
      <c r="CQ275" s="48" t="s">
        <v>1710</v>
      </c>
      <c r="CR275" s="48" t="s">
        <v>1710</v>
      </c>
      <c r="CS275" s="48" t="s">
        <v>1710</v>
      </c>
      <c r="CT275" s="48" t="s">
        <v>1710</v>
      </c>
      <c r="CU275" s="48" t="s">
        <v>1712</v>
      </c>
      <c r="CV275" s="48" t="s">
        <v>1710</v>
      </c>
      <c r="CW275" s="48" t="s">
        <v>1710</v>
      </c>
      <c r="CX275" s="48" t="s">
        <v>2823</v>
      </c>
      <c r="CY275" s="48" t="s">
        <v>1710</v>
      </c>
      <c r="CZ275" s="48" t="s">
        <v>1712</v>
      </c>
      <c r="DA275" s="48" t="s">
        <v>1710</v>
      </c>
      <c r="DB275" s="48" t="s">
        <v>1878</v>
      </c>
      <c r="DC275" s="48" t="s">
        <v>2070</v>
      </c>
      <c r="DD275" s="48" t="s">
        <v>1842</v>
      </c>
      <c r="DE275" s="48" t="s">
        <v>1886</v>
      </c>
      <c r="DF275" s="48" t="s">
        <v>4974</v>
      </c>
      <c r="DG275" s="48" t="s">
        <v>2071</v>
      </c>
      <c r="DH275" s="48" t="s">
        <v>1712</v>
      </c>
      <c r="DI275" s="48" t="s">
        <v>1710</v>
      </c>
      <c r="DJ275" s="48" t="s">
        <v>1710</v>
      </c>
      <c r="DK275" s="48" t="s">
        <v>1710</v>
      </c>
      <c r="DL275" s="48" t="s">
        <v>1710</v>
      </c>
      <c r="DM275" s="48" t="s">
        <v>1710</v>
      </c>
      <c r="DN275" s="48" t="s">
        <v>1710</v>
      </c>
      <c r="DO275" s="48" t="s">
        <v>1710</v>
      </c>
      <c r="DP275" s="48" t="s">
        <v>1710</v>
      </c>
      <c r="DQ275" s="48" t="s">
        <v>1710</v>
      </c>
      <c r="DR275" s="48" t="s">
        <v>2072</v>
      </c>
      <c r="DS275" s="48" t="s">
        <v>1710</v>
      </c>
      <c r="DT275" s="48" t="s">
        <v>1710</v>
      </c>
      <c r="DU275" s="48" t="s">
        <v>2575</v>
      </c>
      <c r="DV275" s="48" t="s">
        <v>3111</v>
      </c>
      <c r="DW275" s="48" t="s">
        <v>1710</v>
      </c>
      <c r="DX275" s="48" t="s">
        <v>4975</v>
      </c>
      <c r="DY275" s="48" t="s">
        <v>1709</v>
      </c>
      <c r="DZ275" s="48" t="s">
        <v>2562</v>
      </c>
      <c r="EA275" s="48" t="s">
        <v>2546</v>
      </c>
      <c r="EB275">
        <v>0</v>
      </c>
      <c r="EC275" s="48" t="s">
        <v>2575</v>
      </c>
      <c r="ED275" s="48" t="s">
        <v>4943</v>
      </c>
      <c r="EE275" s="48" t="s">
        <v>1814</v>
      </c>
      <c r="EF275" s="48" t="s">
        <v>1849</v>
      </c>
      <c r="EG275" s="48" t="s">
        <v>4973</v>
      </c>
      <c r="EH275">
        <v>50</v>
      </c>
      <c r="EI275" s="48" t="s">
        <v>1888</v>
      </c>
      <c r="EJ275">
        <v>2</v>
      </c>
      <c r="EK275" s="48" t="s">
        <v>1887</v>
      </c>
      <c r="EL275">
        <v>4</v>
      </c>
      <c r="EM275" s="48" t="s">
        <v>1886</v>
      </c>
      <c r="EN275">
        <v>50</v>
      </c>
      <c r="EO275" s="48" t="s">
        <v>2526</v>
      </c>
      <c r="EP275" s="48" t="s">
        <v>2688</v>
      </c>
      <c r="EQ275">
        <v>26380.82</v>
      </c>
      <c r="ER275">
        <v>26380.82</v>
      </c>
      <c r="ES275">
        <v>38669915</v>
      </c>
      <c r="ET275">
        <v>26251</v>
      </c>
      <c r="EU275" s="48" t="s">
        <v>1710</v>
      </c>
      <c r="EV275" s="48" t="s">
        <v>1710</v>
      </c>
      <c r="EW275" s="48" t="s">
        <v>1712</v>
      </c>
      <c r="EX275" s="48" t="s">
        <v>1710</v>
      </c>
      <c r="EY275" s="48" t="s">
        <v>1843</v>
      </c>
      <c r="EZ275" s="48" t="s">
        <v>1710</v>
      </c>
      <c r="FA275" s="48" t="s">
        <v>1710</v>
      </c>
      <c r="FB275" s="48" t="s">
        <v>1712</v>
      </c>
      <c r="FC275" s="48" t="s">
        <v>1710</v>
      </c>
      <c r="FD275" s="48" t="s">
        <v>1710</v>
      </c>
      <c r="FE275" s="48" t="s">
        <v>1814</v>
      </c>
      <c r="FF275" s="48" t="s">
        <v>1815</v>
      </c>
      <c r="FG275" s="48" t="s">
        <v>1710</v>
      </c>
      <c r="FH275">
        <v>1</v>
      </c>
      <c r="FI275" s="48" t="s">
        <v>1846</v>
      </c>
      <c r="FJ275">
        <v>13190.41</v>
      </c>
      <c r="FK275">
        <v>13190.41</v>
      </c>
      <c r="FL275" s="48" t="s">
        <v>2689</v>
      </c>
      <c r="FM275" s="48" t="s">
        <v>2688</v>
      </c>
      <c r="FN275" s="48" t="s">
        <v>1710</v>
      </c>
      <c r="FO275" s="48" t="s">
        <v>1710</v>
      </c>
      <c r="FP275" s="48" t="s">
        <v>1710</v>
      </c>
      <c r="FQ275" s="48" t="s">
        <v>1710</v>
      </c>
      <c r="FR275" s="48" t="s">
        <v>1710</v>
      </c>
      <c r="FS275" s="48" t="s">
        <v>1710</v>
      </c>
      <c r="FT275" s="48" t="s">
        <v>1710</v>
      </c>
      <c r="FU275" s="48" t="s">
        <v>1710</v>
      </c>
      <c r="FV275" s="48"/>
      <c r="FW275" s="56"/>
      <c r="FX275" s="56"/>
      <c r="FY275" s="56"/>
      <c r="FZ275" s="56"/>
      <c r="GA275" s="55" t="str">
        <f t="shared" si="14"/>
        <v>4388426900444X</v>
      </c>
      <c r="GB275" t="str">
        <f>VLOOKUP(B275,수출코드!$C$2:$D$4,2,FALSE)</f>
        <v>Suwon</v>
      </c>
      <c r="GC275" t="str">
        <f>VLOOKUP(L275,수출코드!$A$2:$B$6,2,FALSE)</f>
        <v/>
      </c>
      <c r="GD275" t="str">
        <f>VLOOKUP(M275,수출코드!$E$2:$F$5,2,FALSE)</f>
        <v>일반</v>
      </c>
      <c r="GE275" s="61">
        <f t="shared" si="12"/>
        <v>45975.719444444447</v>
      </c>
      <c r="GF275" s="62">
        <f t="shared" si="13"/>
        <v>46050.379166666666</v>
      </c>
      <c r="GI275" s="48" t="s">
        <v>2803</v>
      </c>
    </row>
    <row r="276" spans="1:191">
      <c r="A276" s="48" t="s">
        <v>4976</v>
      </c>
      <c r="B276" s="48" t="s">
        <v>1821</v>
      </c>
      <c r="C276" s="48" t="s">
        <v>2048</v>
      </c>
      <c r="D276" s="48" t="s">
        <v>2813</v>
      </c>
      <c r="E276" s="48" t="s">
        <v>4976</v>
      </c>
      <c r="F276" s="48" t="s">
        <v>1710</v>
      </c>
      <c r="G276" s="48" t="s">
        <v>2814</v>
      </c>
      <c r="H276" s="48" t="s">
        <v>4977</v>
      </c>
      <c r="I276" s="48" t="s">
        <v>1884</v>
      </c>
      <c r="J276" s="48" t="s">
        <v>2816</v>
      </c>
      <c r="K276" s="48" t="s">
        <v>1877</v>
      </c>
      <c r="L276" s="48" t="s">
        <v>1883</v>
      </c>
      <c r="M276" s="48" t="s">
        <v>1810</v>
      </c>
      <c r="N276" s="48" t="s">
        <v>1842</v>
      </c>
      <c r="O276" s="48" t="s">
        <v>1811</v>
      </c>
      <c r="P276" s="48" t="s">
        <v>2549</v>
      </c>
      <c r="Q276" s="48" t="s">
        <v>2049</v>
      </c>
      <c r="R276" s="48" t="s">
        <v>1838</v>
      </c>
      <c r="S276" s="48" t="s">
        <v>2050</v>
      </c>
      <c r="T276" s="48" t="s">
        <v>1845</v>
      </c>
      <c r="U276" s="48" t="s">
        <v>2049</v>
      </c>
      <c r="V276" s="48" t="s">
        <v>1838</v>
      </c>
      <c r="W276" s="48" t="s">
        <v>2051</v>
      </c>
      <c r="X276" s="48" t="s">
        <v>2052</v>
      </c>
      <c r="Y276" s="48" t="s">
        <v>2050</v>
      </c>
      <c r="Z276" s="48" t="s">
        <v>2053</v>
      </c>
      <c r="AA276" s="48" t="s">
        <v>2054</v>
      </c>
      <c r="AB276" s="48" t="s">
        <v>2817</v>
      </c>
      <c r="AC276" s="48" t="s">
        <v>2055</v>
      </c>
      <c r="AD276" s="48" t="s">
        <v>2056</v>
      </c>
      <c r="AE276" s="48" t="s">
        <v>1710</v>
      </c>
      <c r="AF276" s="48" t="s">
        <v>1710</v>
      </c>
      <c r="AG276" s="48" t="s">
        <v>2057</v>
      </c>
      <c r="AH276" s="48" t="s">
        <v>1815</v>
      </c>
      <c r="AI276" s="48" t="s">
        <v>2058</v>
      </c>
      <c r="AJ276" s="48" t="s">
        <v>1710</v>
      </c>
      <c r="AK276" s="48" t="s">
        <v>2077</v>
      </c>
      <c r="AL276" s="48" t="s">
        <v>1858</v>
      </c>
      <c r="AM276" s="48" t="s">
        <v>1816</v>
      </c>
      <c r="AN276" s="48" t="s">
        <v>2054</v>
      </c>
      <c r="AO276" s="48" t="s">
        <v>1710</v>
      </c>
      <c r="AP276" s="48" t="s">
        <v>1848</v>
      </c>
      <c r="AQ276" s="48" t="s">
        <v>2060</v>
      </c>
      <c r="AR276" s="48" t="s">
        <v>1812</v>
      </c>
      <c r="AS276" s="48" t="s">
        <v>1813</v>
      </c>
      <c r="AT276" s="48" t="s">
        <v>1826</v>
      </c>
      <c r="AU276" s="48" t="s">
        <v>2061</v>
      </c>
      <c r="AV276" s="48" t="s">
        <v>2816</v>
      </c>
      <c r="AW276" s="48" t="s">
        <v>2062</v>
      </c>
      <c r="AX276" s="48" t="s">
        <v>2063</v>
      </c>
      <c r="AY276" s="48" t="s">
        <v>1710</v>
      </c>
      <c r="AZ276" s="48" t="s">
        <v>4978</v>
      </c>
      <c r="BA276" s="48" t="s">
        <v>1710</v>
      </c>
      <c r="BB276" s="48" t="s">
        <v>1709</v>
      </c>
      <c r="BC276" s="48" t="s">
        <v>1710</v>
      </c>
      <c r="BD276" s="48" t="s">
        <v>4949</v>
      </c>
      <c r="BE276" s="52" t="s">
        <v>4940</v>
      </c>
      <c r="BF276" s="48" t="s">
        <v>1710</v>
      </c>
      <c r="BG276" s="48" t="s">
        <v>1817</v>
      </c>
      <c r="BH276">
        <v>19</v>
      </c>
      <c r="BI276" s="48" t="s">
        <v>1888</v>
      </c>
      <c r="BJ276">
        <v>2</v>
      </c>
      <c r="BK276">
        <v>1473.06</v>
      </c>
      <c r="BL276">
        <v>37617720</v>
      </c>
      <c r="BM276">
        <v>25537</v>
      </c>
      <c r="BN276" s="48" t="s">
        <v>2064</v>
      </c>
      <c r="BO276" s="48" t="s">
        <v>2065</v>
      </c>
      <c r="BP276">
        <v>1473.06</v>
      </c>
      <c r="BQ276">
        <v>25726.19</v>
      </c>
      <c r="BR276" s="48" t="s">
        <v>1885</v>
      </c>
      <c r="BS276" s="48" t="s">
        <v>2066</v>
      </c>
      <c r="BT276">
        <v>1</v>
      </c>
      <c r="BU276">
        <v>278500</v>
      </c>
      <c r="BV276">
        <v>278500</v>
      </c>
      <c r="BW276" s="48" t="s">
        <v>2065</v>
      </c>
      <c r="BX276">
        <v>1473.06</v>
      </c>
      <c r="BY276">
        <v>0</v>
      </c>
      <c r="BZ276">
        <v>0</v>
      </c>
      <c r="CA276" s="48" t="s">
        <v>2065</v>
      </c>
      <c r="CB276">
        <v>1473.06</v>
      </c>
      <c r="CC276">
        <v>0</v>
      </c>
      <c r="CD276">
        <v>0</v>
      </c>
      <c r="CE276" s="48" t="s">
        <v>1710</v>
      </c>
      <c r="CF276" s="48" t="s">
        <v>1710</v>
      </c>
      <c r="CG276" s="48" t="s">
        <v>1710</v>
      </c>
      <c r="CH276" s="48" t="s">
        <v>1710</v>
      </c>
      <c r="CI276" s="48" t="s">
        <v>2067</v>
      </c>
      <c r="CJ276" s="48" t="s">
        <v>1710</v>
      </c>
      <c r="CL276" s="48" t="s">
        <v>2816</v>
      </c>
      <c r="CM276" s="48" t="s">
        <v>1710</v>
      </c>
      <c r="CN276" s="48" t="s">
        <v>2068</v>
      </c>
      <c r="CO276" s="48" t="s">
        <v>2069</v>
      </c>
      <c r="CP276" s="48" t="s">
        <v>1710</v>
      </c>
      <c r="CQ276" s="48" t="s">
        <v>1710</v>
      </c>
      <c r="CR276" s="48" t="s">
        <v>1710</v>
      </c>
      <c r="CS276" s="48" t="s">
        <v>1710</v>
      </c>
      <c r="CT276" s="48" t="s">
        <v>1710</v>
      </c>
      <c r="CU276" s="48" t="s">
        <v>1712</v>
      </c>
      <c r="CV276" s="48" t="s">
        <v>1710</v>
      </c>
      <c r="CW276" s="48" t="s">
        <v>1710</v>
      </c>
      <c r="CX276" s="48" t="s">
        <v>2823</v>
      </c>
      <c r="CY276" s="48" t="s">
        <v>1710</v>
      </c>
      <c r="CZ276" s="48" t="s">
        <v>1712</v>
      </c>
      <c r="DA276" s="48" t="s">
        <v>1710</v>
      </c>
      <c r="DB276" s="48" t="s">
        <v>1878</v>
      </c>
      <c r="DC276" s="48" t="s">
        <v>2070</v>
      </c>
      <c r="DD276" s="48" t="s">
        <v>1842</v>
      </c>
      <c r="DE276" s="48" t="s">
        <v>1886</v>
      </c>
      <c r="DF276" s="48" t="s">
        <v>4979</v>
      </c>
      <c r="DG276" s="48" t="s">
        <v>2071</v>
      </c>
      <c r="DH276" s="48" t="s">
        <v>1712</v>
      </c>
      <c r="DI276" s="48" t="s">
        <v>1710</v>
      </c>
      <c r="DJ276" s="48" t="s">
        <v>1710</v>
      </c>
      <c r="DK276" s="48" t="s">
        <v>1710</v>
      </c>
      <c r="DL276" s="48" t="s">
        <v>1710</v>
      </c>
      <c r="DM276" s="48" t="s">
        <v>1710</v>
      </c>
      <c r="DN276" s="48" t="s">
        <v>1710</v>
      </c>
      <c r="DO276" s="48" t="s">
        <v>1710</v>
      </c>
      <c r="DP276" s="48" t="s">
        <v>1710</v>
      </c>
      <c r="DQ276" s="48" t="s">
        <v>1710</v>
      </c>
      <c r="DR276" s="48" t="s">
        <v>2072</v>
      </c>
      <c r="DS276" s="48" t="s">
        <v>1710</v>
      </c>
      <c r="DT276" s="48" t="s">
        <v>1710</v>
      </c>
      <c r="DU276" s="48" t="s">
        <v>2575</v>
      </c>
      <c r="DV276" s="48" t="s">
        <v>3141</v>
      </c>
      <c r="DW276" s="48" t="s">
        <v>1710</v>
      </c>
      <c r="DX276" s="48" t="s">
        <v>4980</v>
      </c>
      <c r="DY276" s="48" t="s">
        <v>1709</v>
      </c>
      <c r="DZ276" s="48" t="s">
        <v>2073</v>
      </c>
      <c r="EA276" s="48" t="s">
        <v>2546</v>
      </c>
      <c r="EB276">
        <v>0</v>
      </c>
      <c r="EC276" s="48" t="s">
        <v>2575</v>
      </c>
      <c r="ED276" s="48" t="s">
        <v>4981</v>
      </c>
      <c r="EE276" s="48" t="s">
        <v>1814</v>
      </c>
      <c r="EF276" s="48" t="s">
        <v>1849</v>
      </c>
      <c r="EG276" s="48" t="s">
        <v>4978</v>
      </c>
      <c r="EH276">
        <v>9.3219999999999992</v>
      </c>
      <c r="EI276" s="48" t="s">
        <v>1888</v>
      </c>
      <c r="EJ276">
        <v>1</v>
      </c>
      <c r="EK276" s="48" t="s">
        <v>1887</v>
      </c>
      <c r="EL276">
        <v>2</v>
      </c>
      <c r="EM276" s="48" t="s">
        <v>1886</v>
      </c>
      <c r="EN276">
        <v>9.3219999999999992</v>
      </c>
      <c r="EO276" s="48" t="s">
        <v>2526</v>
      </c>
      <c r="EP276" s="48" t="s">
        <v>4982</v>
      </c>
      <c r="EQ276">
        <v>23487.72</v>
      </c>
      <c r="ER276">
        <v>23487.72</v>
      </c>
      <c r="ES276">
        <v>34344553</v>
      </c>
      <c r="ET276">
        <v>23315</v>
      </c>
      <c r="EU276" s="48" t="s">
        <v>1710</v>
      </c>
      <c r="EV276" s="48" t="s">
        <v>1710</v>
      </c>
      <c r="EW276" s="48" t="s">
        <v>1712</v>
      </c>
      <c r="EX276" s="48" t="s">
        <v>1710</v>
      </c>
      <c r="EY276" s="48" t="s">
        <v>1853</v>
      </c>
      <c r="EZ276" s="48" t="s">
        <v>1710</v>
      </c>
      <c r="FA276" s="48" t="s">
        <v>1710</v>
      </c>
      <c r="FB276" s="48" t="s">
        <v>1712</v>
      </c>
      <c r="FC276" s="48" t="s">
        <v>1710</v>
      </c>
      <c r="FD276" s="48" t="s">
        <v>1710</v>
      </c>
      <c r="FE276" s="48" t="s">
        <v>1814</v>
      </c>
      <c r="FF276" s="48" t="s">
        <v>1815</v>
      </c>
      <c r="FG276" s="48" t="s">
        <v>1710</v>
      </c>
      <c r="FH276">
        <v>1</v>
      </c>
      <c r="FI276" s="48" t="s">
        <v>1846</v>
      </c>
      <c r="FJ276">
        <v>23487.72</v>
      </c>
      <c r="FK276">
        <v>23487.72</v>
      </c>
      <c r="FL276" s="48" t="s">
        <v>4983</v>
      </c>
      <c r="FM276" s="48" t="s">
        <v>4982</v>
      </c>
      <c r="FN276" s="48" t="s">
        <v>1710</v>
      </c>
      <c r="FO276" s="48" t="s">
        <v>1710</v>
      </c>
      <c r="FP276" s="48" t="s">
        <v>1710</v>
      </c>
      <c r="FQ276" s="48" t="s">
        <v>1710</v>
      </c>
      <c r="FR276" s="48" t="s">
        <v>1710</v>
      </c>
      <c r="FS276" s="48" t="s">
        <v>1710</v>
      </c>
      <c r="FT276" s="48" t="s">
        <v>1710</v>
      </c>
      <c r="FU276" s="48" t="s">
        <v>1710</v>
      </c>
      <c r="FV276" s="48"/>
      <c r="FW276" s="56"/>
      <c r="FX276" s="56"/>
      <c r="FY276" s="56"/>
      <c r="FZ276" s="56"/>
      <c r="GA276" s="55" t="str">
        <f t="shared" si="14"/>
        <v>4388426900445X</v>
      </c>
      <c r="GB276" t="str">
        <f>VLOOKUP(B276,수출코드!$C$2:$D$4,2,FALSE)</f>
        <v>Suwon</v>
      </c>
      <c r="GC276" t="str">
        <f>VLOOKUP(L276,수출코드!$A$2:$B$6,2,FALSE)</f>
        <v>서류제출</v>
      </c>
      <c r="GD276" t="str">
        <f>VLOOKUP(M276,수출코드!$E$2:$F$5,2,FALSE)</f>
        <v>일반</v>
      </c>
      <c r="GE276" s="61">
        <f t="shared" si="12"/>
        <v>45975.719444444447</v>
      </c>
      <c r="GF276" s="62">
        <f t="shared" si="13"/>
        <v>46050.713194444441</v>
      </c>
      <c r="GI276" s="48" t="s">
        <v>2803</v>
      </c>
    </row>
    <row r="277" spans="1:191">
      <c r="A277" s="48" t="s">
        <v>4984</v>
      </c>
      <c r="B277" s="48" t="s">
        <v>1821</v>
      </c>
      <c r="C277" s="48" t="s">
        <v>2048</v>
      </c>
      <c r="D277" s="48" t="s">
        <v>2813</v>
      </c>
      <c r="E277" s="48" t="s">
        <v>4984</v>
      </c>
      <c r="F277" s="48" t="s">
        <v>1710</v>
      </c>
      <c r="G277" s="48" t="s">
        <v>2814</v>
      </c>
      <c r="H277" s="48" t="s">
        <v>4985</v>
      </c>
      <c r="I277" s="48" t="s">
        <v>1884</v>
      </c>
      <c r="J277" s="48" t="s">
        <v>2816</v>
      </c>
      <c r="K277" s="48" t="s">
        <v>1877</v>
      </c>
      <c r="L277" s="48" t="s">
        <v>1842</v>
      </c>
      <c r="M277" s="48" t="s">
        <v>1810</v>
      </c>
      <c r="N277" s="48" t="s">
        <v>1842</v>
      </c>
      <c r="O277" s="48" t="s">
        <v>1811</v>
      </c>
      <c r="P277" s="48" t="s">
        <v>2549</v>
      </c>
      <c r="Q277" s="48" t="s">
        <v>2049</v>
      </c>
      <c r="R277" s="48" t="s">
        <v>1838</v>
      </c>
      <c r="S277" s="48" t="s">
        <v>2050</v>
      </c>
      <c r="T277" s="48" t="s">
        <v>1845</v>
      </c>
      <c r="U277" s="48" t="s">
        <v>2049</v>
      </c>
      <c r="V277" s="48" t="s">
        <v>1838</v>
      </c>
      <c r="W277" s="48" t="s">
        <v>2051</v>
      </c>
      <c r="X277" s="48" t="s">
        <v>2052</v>
      </c>
      <c r="Y277" s="48" t="s">
        <v>2050</v>
      </c>
      <c r="Z277" s="48" t="s">
        <v>2053</v>
      </c>
      <c r="AA277" s="48" t="s">
        <v>2054</v>
      </c>
      <c r="AB277" s="48" t="s">
        <v>1710</v>
      </c>
      <c r="AC277" s="48" t="s">
        <v>2055</v>
      </c>
      <c r="AD277" s="48" t="s">
        <v>2056</v>
      </c>
      <c r="AE277" s="48" t="s">
        <v>1710</v>
      </c>
      <c r="AF277" s="48" t="s">
        <v>1710</v>
      </c>
      <c r="AG277" s="48" t="s">
        <v>2057</v>
      </c>
      <c r="AH277" s="48" t="s">
        <v>1815</v>
      </c>
      <c r="AI277" s="48" t="s">
        <v>2058</v>
      </c>
      <c r="AJ277" s="48" t="s">
        <v>1710</v>
      </c>
      <c r="AK277" s="48" t="s">
        <v>2563</v>
      </c>
      <c r="AL277" s="48" t="s">
        <v>2564</v>
      </c>
      <c r="AM277" s="48" t="s">
        <v>1816</v>
      </c>
      <c r="AN277" s="48" t="s">
        <v>2054</v>
      </c>
      <c r="AO277" s="48" t="s">
        <v>1710</v>
      </c>
      <c r="AP277" s="48" t="s">
        <v>1855</v>
      </c>
      <c r="AQ277" s="48" t="s">
        <v>2076</v>
      </c>
      <c r="AR277" s="48" t="s">
        <v>1812</v>
      </c>
      <c r="AS277" s="48" t="s">
        <v>1813</v>
      </c>
      <c r="AT277" s="48" t="s">
        <v>1826</v>
      </c>
      <c r="AU277" s="48" t="s">
        <v>2061</v>
      </c>
      <c r="AV277" s="48" t="s">
        <v>2816</v>
      </c>
      <c r="AW277" s="48" t="s">
        <v>2062</v>
      </c>
      <c r="AX277" s="48" t="s">
        <v>2063</v>
      </c>
      <c r="AY277" s="48" t="s">
        <v>1710</v>
      </c>
      <c r="AZ277" s="48" t="s">
        <v>4986</v>
      </c>
      <c r="BA277" s="48" t="s">
        <v>1710</v>
      </c>
      <c r="BB277" s="48" t="s">
        <v>1709</v>
      </c>
      <c r="BC277" s="48" t="s">
        <v>1710</v>
      </c>
      <c r="BD277" s="48" t="s">
        <v>3137</v>
      </c>
      <c r="BE277" s="52" t="s">
        <v>4987</v>
      </c>
      <c r="BF277" s="48" t="s">
        <v>1710</v>
      </c>
      <c r="BG277" s="48" t="s">
        <v>1817</v>
      </c>
      <c r="BH277">
        <v>300</v>
      </c>
      <c r="BI277" s="48" t="s">
        <v>1888</v>
      </c>
      <c r="BJ277">
        <v>7</v>
      </c>
      <c r="BK277">
        <v>1473.06</v>
      </c>
      <c r="BL277">
        <v>72857827</v>
      </c>
      <c r="BM277">
        <v>49460</v>
      </c>
      <c r="BN277" s="48" t="s">
        <v>2064</v>
      </c>
      <c r="BO277" s="48" t="s">
        <v>2065</v>
      </c>
      <c r="BP277">
        <v>1473.06</v>
      </c>
      <c r="BQ277">
        <v>50441.82</v>
      </c>
      <c r="BR277" s="48" t="s">
        <v>1885</v>
      </c>
      <c r="BS277" s="48" t="s">
        <v>2066</v>
      </c>
      <c r="BT277">
        <v>1</v>
      </c>
      <c r="BU277">
        <v>1446000</v>
      </c>
      <c r="BV277">
        <v>1446000</v>
      </c>
      <c r="BW277" s="48" t="s">
        <v>2065</v>
      </c>
      <c r="BX277">
        <v>1473.06</v>
      </c>
      <c r="BY277">
        <v>0</v>
      </c>
      <c r="BZ277">
        <v>0</v>
      </c>
      <c r="CA277" s="48" t="s">
        <v>2065</v>
      </c>
      <c r="CB277">
        <v>1473.06</v>
      </c>
      <c r="CC277">
        <v>0</v>
      </c>
      <c r="CD277">
        <v>0</v>
      </c>
      <c r="CE277" s="48" t="s">
        <v>1710</v>
      </c>
      <c r="CF277" s="48" t="s">
        <v>1710</v>
      </c>
      <c r="CG277" s="48" t="s">
        <v>1710</v>
      </c>
      <c r="CH277" s="48" t="s">
        <v>1710</v>
      </c>
      <c r="CI277" s="48" t="s">
        <v>2067</v>
      </c>
      <c r="CJ277" s="48" t="s">
        <v>1710</v>
      </c>
      <c r="CL277" s="48" t="s">
        <v>2816</v>
      </c>
      <c r="CM277" s="48" t="s">
        <v>1710</v>
      </c>
      <c r="CN277" s="48" t="s">
        <v>2068</v>
      </c>
      <c r="CO277" s="48" t="s">
        <v>2069</v>
      </c>
      <c r="CP277" s="48" t="s">
        <v>1710</v>
      </c>
      <c r="CQ277" s="48" t="s">
        <v>1710</v>
      </c>
      <c r="CR277" s="48" t="s">
        <v>1710</v>
      </c>
      <c r="CS277" s="48" t="s">
        <v>1710</v>
      </c>
      <c r="CT277" s="48" t="s">
        <v>1710</v>
      </c>
      <c r="CU277" s="48" t="s">
        <v>1712</v>
      </c>
      <c r="CV277" s="48" t="s">
        <v>1710</v>
      </c>
      <c r="CW277" s="48" t="s">
        <v>1710</v>
      </c>
      <c r="CX277" s="48" t="s">
        <v>2823</v>
      </c>
      <c r="CY277" s="48" t="s">
        <v>1710</v>
      </c>
      <c r="CZ277" s="48" t="s">
        <v>1712</v>
      </c>
      <c r="DA277" s="48" t="s">
        <v>1710</v>
      </c>
      <c r="DB277" s="48" t="s">
        <v>1878</v>
      </c>
      <c r="DC277" s="48" t="s">
        <v>2070</v>
      </c>
      <c r="DD277" s="48" t="s">
        <v>1842</v>
      </c>
      <c r="DE277" s="48" t="s">
        <v>1886</v>
      </c>
      <c r="DF277" s="48" t="s">
        <v>4988</v>
      </c>
      <c r="DG277" s="48" t="s">
        <v>2071</v>
      </c>
      <c r="DH277" s="48" t="s">
        <v>1712</v>
      </c>
      <c r="DI277" s="48" t="s">
        <v>1710</v>
      </c>
      <c r="DJ277" s="48" t="s">
        <v>1710</v>
      </c>
      <c r="DK277" s="48" t="s">
        <v>1710</v>
      </c>
      <c r="DL277" s="48" t="s">
        <v>1710</v>
      </c>
      <c r="DM277" s="48" t="s">
        <v>1710</v>
      </c>
      <c r="DN277" s="48" t="s">
        <v>1710</v>
      </c>
      <c r="DO277" s="48" t="s">
        <v>1710</v>
      </c>
      <c r="DP277" s="48" t="s">
        <v>1710</v>
      </c>
      <c r="DQ277" s="48" t="s">
        <v>1710</v>
      </c>
      <c r="DR277" s="48" t="s">
        <v>2072</v>
      </c>
      <c r="DS277" s="48" t="s">
        <v>1710</v>
      </c>
      <c r="DT277" s="48" t="s">
        <v>1710</v>
      </c>
      <c r="DU277" s="48" t="s">
        <v>2575</v>
      </c>
      <c r="DV277" s="48" t="s">
        <v>3141</v>
      </c>
      <c r="DW277" s="48" t="s">
        <v>1710</v>
      </c>
      <c r="DX277" s="48" t="s">
        <v>4989</v>
      </c>
      <c r="DY277" s="48" t="s">
        <v>1709</v>
      </c>
      <c r="DZ277" s="48" t="s">
        <v>2562</v>
      </c>
      <c r="EA277" s="48" t="s">
        <v>2546</v>
      </c>
      <c r="EB277">
        <v>0</v>
      </c>
      <c r="EC277" s="48" t="s">
        <v>2575</v>
      </c>
      <c r="ED277" s="48" t="s">
        <v>4990</v>
      </c>
      <c r="EE277" s="48" t="s">
        <v>1814</v>
      </c>
      <c r="EF277" s="48" t="s">
        <v>1852</v>
      </c>
      <c r="EG277" s="48" t="s">
        <v>4986</v>
      </c>
      <c r="EH277">
        <v>11</v>
      </c>
      <c r="EI277" s="48" t="s">
        <v>1888</v>
      </c>
      <c r="EJ277">
        <v>0</v>
      </c>
      <c r="EK277" s="48" t="s">
        <v>1710</v>
      </c>
      <c r="EL277">
        <v>7</v>
      </c>
      <c r="EM277" s="48" t="s">
        <v>1886</v>
      </c>
      <c r="EN277">
        <v>11</v>
      </c>
      <c r="EO277" s="48" t="s">
        <v>2521</v>
      </c>
      <c r="EP277" s="48" t="s">
        <v>4991</v>
      </c>
      <c r="EQ277">
        <v>2576</v>
      </c>
      <c r="ER277">
        <v>2576</v>
      </c>
      <c r="ES277">
        <v>3720757</v>
      </c>
      <c r="ET277">
        <v>2526</v>
      </c>
      <c r="EU277" s="48" t="s">
        <v>1710</v>
      </c>
      <c r="EV277" s="48" t="s">
        <v>1710</v>
      </c>
      <c r="EW277" s="48" t="s">
        <v>1712</v>
      </c>
      <c r="EX277" s="48" t="s">
        <v>1710</v>
      </c>
      <c r="EY277" s="48" t="s">
        <v>1848</v>
      </c>
      <c r="EZ277" s="48" t="s">
        <v>1710</v>
      </c>
      <c r="FA277" s="48" t="s">
        <v>1710</v>
      </c>
      <c r="FB277" s="48" t="s">
        <v>1712</v>
      </c>
      <c r="FC277" s="48" t="s">
        <v>1710</v>
      </c>
      <c r="FD277" s="48" t="s">
        <v>1710</v>
      </c>
      <c r="FE277" s="48" t="s">
        <v>1814</v>
      </c>
      <c r="FF277" s="48" t="s">
        <v>1815</v>
      </c>
      <c r="FG277" s="48" t="s">
        <v>1710</v>
      </c>
      <c r="FH277">
        <v>1</v>
      </c>
      <c r="FI277" s="48" t="s">
        <v>1846</v>
      </c>
      <c r="FJ277">
        <v>2576</v>
      </c>
      <c r="FK277">
        <v>2576</v>
      </c>
      <c r="FL277" s="48" t="s">
        <v>4992</v>
      </c>
      <c r="FM277" s="48" t="s">
        <v>4991</v>
      </c>
      <c r="FN277" s="48" t="s">
        <v>1710</v>
      </c>
      <c r="FO277" s="48" t="s">
        <v>1710</v>
      </c>
      <c r="FP277" s="48" t="s">
        <v>1710</v>
      </c>
      <c r="FQ277" s="48" t="s">
        <v>1710</v>
      </c>
      <c r="FR277" s="48" t="s">
        <v>1710</v>
      </c>
      <c r="FS277" s="48" t="s">
        <v>1710</v>
      </c>
      <c r="FT277" s="48" t="s">
        <v>1710</v>
      </c>
      <c r="FU277" s="48" t="s">
        <v>1710</v>
      </c>
      <c r="FV277" s="48"/>
      <c r="FW277" s="56"/>
      <c r="FX277" s="56"/>
      <c r="FY277" s="56"/>
      <c r="FZ277" s="56"/>
      <c r="GA277" s="55" t="str">
        <f t="shared" si="14"/>
        <v>4388426900446X</v>
      </c>
      <c r="GB277" t="str">
        <f>VLOOKUP(B277,수출코드!$C$2:$D$4,2,FALSE)</f>
        <v>Suwon</v>
      </c>
      <c r="GC277" t="str">
        <f>VLOOKUP(L277,수출코드!$A$2:$B$6,2,FALSE)</f>
        <v/>
      </c>
      <c r="GD277" t="str">
        <f>VLOOKUP(M277,수출코드!$E$2:$F$5,2,FALSE)</f>
        <v>일반</v>
      </c>
      <c r="GE277" s="61">
        <f t="shared" si="12"/>
        <v>45975.720138888886</v>
      </c>
      <c r="GF277" s="62">
        <f t="shared" si="13"/>
        <v>46050.436111111114</v>
      </c>
      <c r="GI277" s="48" t="s">
        <v>2804</v>
      </c>
    </row>
    <row r="278" spans="1:191">
      <c r="A278" s="48" t="s">
        <v>4993</v>
      </c>
      <c r="B278" s="48" t="s">
        <v>1821</v>
      </c>
      <c r="C278" s="48" t="s">
        <v>2048</v>
      </c>
      <c r="D278" s="48" t="s">
        <v>2813</v>
      </c>
      <c r="E278" s="48" t="s">
        <v>4993</v>
      </c>
      <c r="F278" s="48" t="s">
        <v>1710</v>
      </c>
      <c r="G278" s="48" t="s">
        <v>2814</v>
      </c>
      <c r="H278" s="48" t="s">
        <v>4994</v>
      </c>
      <c r="I278" s="48" t="s">
        <v>1884</v>
      </c>
      <c r="J278" s="48" t="s">
        <v>2816</v>
      </c>
      <c r="K278" s="48" t="s">
        <v>1885</v>
      </c>
      <c r="L278" s="48" t="s">
        <v>1883</v>
      </c>
      <c r="M278" s="48" t="s">
        <v>2085</v>
      </c>
      <c r="N278" s="48" t="s">
        <v>1842</v>
      </c>
      <c r="O278" s="48" t="s">
        <v>1811</v>
      </c>
      <c r="P278" s="48" t="s">
        <v>2549</v>
      </c>
      <c r="Q278" s="48" t="s">
        <v>2049</v>
      </c>
      <c r="R278" s="48" t="s">
        <v>1838</v>
      </c>
      <c r="S278" s="48" t="s">
        <v>2050</v>
      </c>
      <c r="T278" s="48" t="s">
        <v>1845</v>
      </c>
      <c r="U278" s="48" t="s">
        <v>2049</v>
      </c>
      <c r="V278" s="48" t="s">
        <v>1838</v>
      </c>
      <c r="W278" s="48" t="s">
        <v>2051</v>
      </c>
      <c r="X278" s="48" t="s">
        <v>2052</v>
      </c>
      <c r="Y278" s="48" t="s">
        <v>2050</v>
      </c>
      <c r="Z278" s="48" t="s">
        <v>2053</v>
      </c>
      <c r="AA278" s="48" t="s">
        <v>2054</v>
      </c>
      <c r="AB278" s="48" t="s">
        <v>1710</v>
      </c>
      <c r="AC278" s="48" t="s">
        <v>2055</v>
      </c>
      <c r="AD278" s="48" t="s">
        <v>2056</v>
      </c>
      <c r="AE278" s="48" t="s">
        <v>1710</v>
      </c>
      <c r="AF278" s="48" t="s">
        <v>1710</v>
      </c>
      <c r="AG278" s="48" t="s">
        <v>2057</v>
      </c>
      <c r="AH278" s="48" t="s">
        <v>1815</v>
      </c>
      <c r="AI278" s="48" t="s">
        <v>2058</v>
      </c>
      <c r="AJ278" s="48" t="s">
        <v>1710</v>
      </c>
      <c r="AK278" s="48" t="s">
        <v>2563</v>
      </c>
      <c r="AL278" s="48" t="s">
        <v>2564</v>
      </c>
      <c r="AM278" s="48" t="s">
        <v>1816</v>
      </c>
      <c r="AN278" s="48" t="s">
        <v>2054</v>
      </c>
      <c r="AO278" s="48" t="s">
        <v>1710</v>
      </c>
      <c r="AP278" s="48" t="s">
        <v>1855</v>
      </c>
      <c r="AQ278" s="48" t="s">
        <v>2076</v>
      </c>
      <c r="AR278" s="48" t="s">
        <v>1812</v>
      </c>
      <c r="AS278" s="48" t="s">
        <v>1813</v>
      </c>
      <c r="AT278" s="48" t="s">
        <v>1826</v>
      </c>
      <c r="AU278" s="48" t="s">
        <v>2061</v>
      </c>
      <c r="AV278" s="48" t="s">
        <v>2816</v>
      </c>
      <c r="AW278" s="48" t="s">
        <v>2062</v>
      </c>
      <c r="AX278" s="48" t="s">
        <v>2063</v>
      </c>
      <c r="AY278" s="48" t="s">
        <v>1710</v>
      </c>
      <c r="AZ278" s="48" t="s">
        <v>4986</v>
      </c>
      <c r="BA278" s="48" t="s">
        <v>1710</v>
      </c>
      <c r="BB278" s="48" t="s">
        <v>1709</v>
      </c>
      <c r="BC278" s="48" t="s">
        <v>1710</v>
      </c>
      <c r="BD278" s="48" t="s">
        <v>3137</v>
      </c>
      <c r="BE278" s="52" t="s">
        <v>4987</v>
      </c>
      <c r="BF278" s="48" t="s">
        <v>1710</v>
      </c>
      <c r="BG278" s="48" t="s">
        <v>1814</v>
      </c>
      <c r="BH278">
        <v>13</v>
      </c>
      <c r="BI278" s="48" t="s">
        <v>1888</v>
      </c>
      <c r="BJ278">
        <v>7</v>
      </c>
      <c r="BK278">
        <v>1473.06</v>
      </c>
      <c r="BL278">
        <v>24853195</v>
      </c>
      <c r="BM278">
        <v>16872</v>
      </c>
      <c r="BN278" s="48" t="s">
        <v>2064</v>
      </c>
      <c r="BO278" s="48" t="s">
        <v>2065</v>
      </c>
      <c r="BP278">
        <v>1473.06</v>
      </c>
      <c r="BQ278">
        <v>16921.099999999999</v>
      </c>
      <c r="BR278" s="48" t="s">
        <v>1885</v>
      </c>
      <c r="BS278" s="48" t="s">
        <v>2066</v>
      </c>
      <c r="BT278">
        <v>1</v>
      </c>
      <c r="BU278">
        <v>72600</v>
      </c>
      <c r="BV278">
        <v>72600</v>
      </c>
      <c r="BW278" s="48" t="s">
        <v>2065</v>
      </c>
      <c r="BX278">
        <v>1473.06</v>
      </c>
      <c r="BY278">
        <v>0</v>
      </c>
      <c r="BZ278">
        <v>0</v>
      </c>
      <c r="CA278" s="48" t="s">
        <v>2065</v>
      </c>
      <c r="CB278">
        <v>1473.06</v>
      </c>
      <c r="CC278">
        <v>0</v>
      </c>
      <c r="CD278">
        <v>0</v>
      </c>
      <c r="CE278" s="48" t="s">
        <v>1710</v>
      </c>
      <c r="CF278" s="48" t="s">
        <v>1710</v>
      </c>
      <c r="CG278" s="48" t="s">
        <v>1710</v>
      </c>
      <c r="CH278" s="48" t="s">
        <v>1710</v>
      </c>
      <c r="CI278" s="48" t="s">
        <v>2067</v>
      </c>
      <c r="CJ278" s="48" t="s">
        <v>1710</v>
      </c>
      <c r="CL278" s="48" t="s">
        <v>2816</v>
      </c>
      <c r="CM278" s="48" t="s">
        <v>1710</v>
      </c>
      <c r="CN278" s="48" t="s">
        <v>2068</v>
      </c>
      <c r="CO278" s="48" t="s">
        <v>2069</v>
      </c>
      <c r="CP278" s="48" t="s">
        <v>1710</v>
      </c>
      <c r="CQ278" s="48" t="s">
        <v>1710</v>
      </c>
      <c r="CR278" s="48" t="s">
        <v>1710</v>
      </c>
      <c r="CS278" s="48" t="s">
        <v>1710</v>
      </c>
      <c r="CT278" s="48" t="s">
        <v>1710</v>
      </c>
      <c r="CU278" s="48" t="s">
        <v>1712</v>
      </c>
      <c r="CV278" s="48" t="s">
        <v>1710</v>
      </c>
      <c r="CW278" s="48" t="s">
        <v>1710</v>
      </c>
      <c r="CX278" s="48" t="s">
        <v>2823</v>
      </c>
      <c r="CY278" s="48" t="s">
        <v>1710</v>
      </c>
      <c r="CZ278" s="48" t="s">
        <v>1712</v>
      </c>
      <c r="DA278" s="48" t="s">
        <v>1710</v>
      </c>
      <c r="DB278" s="48" t="s">
        <v>1878</v>
      </c>
      <c r="DC278" s="48" t="s">
        <v>2070</v>
      </c>
      <c r="DD278" s="48" t="s">
        <v>1842</v>
      </c>
      <c r="DE278" s="48" t="s">
        <v>1886</v>
      </c>
      <c r="DF278" s="48" t="s">
        <v>4995</v>
      </c>
      <c r="DG278" s="48" t="s">
        <v>2071</v>
      </c>
      <c r="DH278" s="48" t="s">
        <v>1712</v>
      </c>
      <c r="DI278" s="48" t="s">
        <v>1710</v>
      </c>
      <c r="DJ278" s="48" t="s">
        <v>1710</v>
      </c>
      <c r="DK278" s="48" t="s">
        <v>1710</v>
      </c>
      <c r="DL278" s="48" t="s">
        <v>1710</v>
      </c>
      <c r="DM278" s="48" t="s">
        <v>1710</v>
      </c>
      <c r="DN278" s="48" t="s">
        <v>1710</v>
      </c>
      <c r="DO278" s="48" t="s">
        <v>1710</v>
      </c>
      <c r="DP278" s="48" t="s">
        <v>1710</v>
      </c>
      <c r="DQ278" s="48" t="s">
        <v>1710</v>
      </c>
      <c r="DR278" s="48" t="s">
        <v>2072</v>
      </c>
      <c r="DS278" s="48" t="s">
        <v>1710</v>
      </c>
      <c r="DT278" s="48" t="s">
        <v>1710</v>
      </c>
      <c r="DU278" s="48" t="s">
        <v>2575</v>
      </c>
      <c r="DV278" s="48" t="s">
        <v>3141</v>
      </c>
      <c r="DW278" s="48" t="s">
        <v>1710</v>
      </c>
      <c r="DX278" s="48" t="s">
        <v>4989</v>
      </c>
      <c r="DY278" s="48" t="s">
        <v>1709</v>
      </c>
      <c r="DZ278" s="48" t="s">
        <v>2073</v>
      </c>
      <c r="EA278" s="48" t="s">
        <v>2546</v>
      </c>
      <c r="EB278">
        <v>0</v>
      </c>
      <c r="EC278" s="48" t="s">
        <v>2575</v>
      </c>
      <c r="ED278" s="48" t="s">
        <v>4996</v>
      </c>
      <c r="EE278" s="48" t="s">
        <v>1814</v>
      </c>
      <c r="EF278" s="48" t="s">
        <v>1872</v>
      </c>
      <c r="EG278" s="48" t="s">
        <v>4986</v>
      </c>
      <c r="EH278">
        <v>11.4</v>
      </c>
      <c r="EI278" s="48" t="s">
        <v>1888</v>
      </c>
      <c r="EJ278">
        <v>2</v>
      </c>
      <c r="EK278" s="48" t="s">
        <v>1887</v>
      </c>
      <c r="EL278">
        <v>7</v>
      </c>
      <c r="EM278" s="48" t="s">
        <v>1886</v>
      </c>
      <c r="EN278">
        <v>11.4</v>
      </c>
      <c r="EO278" s="48" t="s">
        <v>2527</v>
      </c>
      <c r="EP278" s="48" t="s">
        <v>4997</v>
      </c>
      <c r="EQ278">
        <v>16921.099999999999</v>
      </c>
      <c r="ER278">
        <v>16921.099999999999</v>
      </c>
      <c r="ES278">
        <v>24853195</v>
      </c>
      <c r="ET278">
        <v>16872</v>
      </c>
      <c r="EU278" s="48" t="s">
        <v>4998</v>
      </c>
      <c r="EV278" s="48" t="s">
        <v>1814</v>
      </c>
      <c r="EW278" s="48" t="s">
        <v>1712</v>
      </c>
      <c r="EX278" s="48" t="s">
        <v>1710</v>
      </c>
      <c r="EY278" s="48" t="s">
        <v>1874</v>
      </c>
      <c r="EZ278" s="48" t="s">
        <v>1710</v>
      </c>
      <c r="FA278" s="48" t="s">
        <v>1710</v>
      </c>
      <c r="FB278" s="48" t="s">
        <v>1712</v>
      </c>
      <c r="FC278" s="48" t="s">
        <v>1710</v>
      </c>
      <c r="FD278" s="48" t="s">
        <v>1710</v>
      </c>
      <c r="FE278" s="48" t="s">
        <v>1814</v>
      </c>
      <c r="FF278" s="48" t="s">
        <v>1815</v>
      </c>
      <c r="FG278" s="48" t="s">
        <v>1710</v>
      </c>
      <c r="FH278">
        <v>1</v>
      </c>
      <c r="FI278" s="48" t="s">
        <v>1846</v>
      </c>
      <c r="FJ278">
        <v>8460.5499999999993</v>
      </c>
      <c r="FK278">
        <v>8460.5499999999993</v>
      </c>
      <c r="FL278" s="48" t="s">
        <v>4999</v>
      </c>
      <c r="FM278" s="48" t="s">
        <v>4997</v>
      </c>
      <c r="FN278" s="48" t="s">
        <v>1710</v>
      </c>
      <c r="FO278" s="48" t="s">
        <v>1710</v>
      </c>
      <c r="FP278" s="48" t="s">
        <v>1710</v>
      </c>
      <c r="FQ278" s="48" t="s">
        <v>1710</v>
      </c>
      <c r="FR278" s="48" t="s">
        <v>1710</v>
      </c>
      <c r="FS278" s="48" t="s">
        <v>1710</v>
      </c>
      <c r="FT278" s="48" t="s">
        <v>1710</v>
      </c>
      <c r="FU278" s="48" t="s">
        <v>1710</v>
      </c>
      <c r="FV278" s="48"/>
      <c r="FW278" s="56"/>
      <c r="FX278" s="56"/>
      <c r="FY278" s="56"/>
      <c r="FZ278" s="56"/>
      <c r="GA278" s="55" t="str">
        <f t="shared" si="14"/>
        <v>4388426900447X</v>
      </c>
      <c r="GB278" t="str">
        <f>VLOOKUP(B278,수출코드!$C$2:$D$4,2,FALSE)</f>
        <v>Suwon</v>
      </c>
      <c r="GC278" t="str">
        <f>VLOOKUP(L278,수출코드!$A$2:$B$6,2,FALSE)</f>
        <v>서류제출</v>
      </c>
      <c r="GD278" t="str">
        <f>VLOOKUP(M278,수출코드!$E$2:$F$5,2,FALSE)</f>
        <v>원상태</v>
      </c>
      <c r="GE278" s="61">
        <f t="shared" si="12"/>
        <v>45975.720138888886</v>
      </c>
      <c r="GF278" s="62">
        <f t="shared" si="13"/>
        <v>46050.479861111111</v>
      </c>
      <c r="GI278" s="48" t="s">
        <v>2804</v>
      </c>
    </row>
    <row r="279" spans="1:191">
      <c r="A279" s="48" t="s">
        <v>5000</v>
      </c>
      <c r="B279" s="48" t="s">
        <v>1821</v>
      </c>
      <c r="C279" s="48" t="s">
        <v>2048</v>
      </c>
      <c r="D279" s="48" t="s">
        <v>2813</v>
      </c>
      <c r="E279" s="48" t="s">
        <v>5000</v>
      </c>
      <c r="F279" s="48" t="s">
        <v>1710</v>
      </c>
      <c r="G279" s="48" t="s">
        <v>2814</v>
      </c>
      <c r="H279" s="48" t="s">
        <v>5001</v>
      </c>
      <c r="I279" s="48" t="s">
        <v>1884</v>
      </c>
      <c r="J279" s="48" t="s">
        <v>2816</v>
      </c>
      <c r="K279" s="48" t="s">
        <v>1877</v>
      </c>
      <c r="L279" s="48" t="s">
        <v>1842</v>
      </c>
      <c r="M279" s="48" t="s">
        <v>1824</v>
      </c>
      <c r="N279" s="48" t="s">
        <v>1842</v>
      </c>
      <c r="O279" s="48" t="s">
        <v>1823</v>
      </c>
      <c r="P279" s="48" t="s">
        <v>2549</v>
      </c>
      <c r="Q279" s="48" t="s">
        <v>2049</v>
      </c>
      <c r="R279" s="48" t="s">
        <v>1838</v>
      </c>
      <c r="S279" s="48" t="s">
        <v>2050</v>
      </c>
      <c r="T279" s="48" t="s">
        <v>1845</v>
      </c>
      <c r="U279" s="48" t="s">
        <v>2049</v>
      </c>
      <c r="V279" s="48" t="s">
        <v>1838</v>
      </c>
      <c r="W279" s="48" t="s">
        <v>2051</v>
      </c>
      <c r="X279" s="48" t="s">
        <v>2052</v>
      </c>
      <c r="Y279" s="48" t="s">
        <v>2050</v>
      </c>
      <c r="Z279" s="48" t="s">
        <v>2053</v>
      </c>
      <c r="AA279" s="48" t="s">
        <v>2054</v>
      </c>
      <c r="AB279" s="48" t="s">
        <v>2817</v>
      </c>
      <c r="AC279" s="48" t="s">
        <v>2055</v>
      </c>
      <c r="AD279" s="48" t="s">
        <v>2056</v>
      </c>
      <c r="AE279" s="48" t="s">
        <v>1710</v>
      </c>
      <c r="AF279" s="48" t="s">
        <v>1710</v>
      </c>
      <c r="AG279" s="48" t="s">
        <v>2057</v>
      </c>
      <c r="AH279" s="48" t="s">
        <v>1815</v>
      </c>
      <c r="AI279" s="48" t="s">
        <v>2058</v>
      </c>
      <c r="AJ279" s="48" t="s">
        <v>1710</v>
      </c>
      <c r="AK279" s="48" t="s">
        <v>2647</v>
      </c>
      <c r="AL279" s="48" t="s">
        <v>1858</v>
      </c>
      <c r="AM279" s="48" t="s">
        <v>1816</v>
      </c>
      <c r="AN279" s="48" t="s">
        <v>2054</v>
      </c>
      <c r="AO279" s="48" t="s">
        <v>1710</v>
      </c>
      <c r="AP279" s="48" t="s">
        <v>1848</v>
      </c>
      <c r="AQ279" s="48" t="s">
        <v>2060</v>
      </c>
      <c r="AR279" s="48" t="s">
        <v>1812</v>
      </c>
      <c r="AS279" s="48" t="s">
        <v>1813</v>
      </c>
      <c r="AT279" s="48" t="s">
        <v>1826</v>
      </c>
      <c r="AU279" s="48" t="s">
        <v>2061</v>
      </c>
      <c r="AV279" s="48" t="s">
        <v>2816</v>
      </c>
      <c r="AW279" s="48" t="s">
        <v>2062</v>
      </c>
      <c r="AX279" s="48" t="s">
        <v>2063</v>
      </c>
      <c r="AY279" s="48" t="s">
        <v>1710</v>
      </c>
      <c r="AZ279" s="48" t="s">
        <v>5002</v>
      </c>
      <c r="BA279" s="48" t="s">
        <v>1710</v>
      </c>
      <c r="BB279" s="48" t="s">
        <v>1709</v>
      </c>
      <c r="BC279" s="48" t="s">
        <v>1710</v>
      </c>
      <c r="BD279" s="48" t="s">
        <v>2700</v>
      </c>
      <c r="BE279" s="52" t="s">
        <v>5003</v>
      </c>
      <c r="BF279" s="48" t="s">
        <v>1710</v>
      </c>
      <c r="BG279" s="48" t="s">
        <v>1814</v>
      </c>
      <c r="BH279">
        <v>26</v>
      </c>
      <c r="BI279" s="48" t="s">
        <v>1888</v>
      </c>
      <c r="BJ279">
        <v>1</v>
      </c>
      <c r="BK279">
        <v>1473.06</v>
      </c>
      <c r="BL279">
        <v>8212937</v>
      </c>
      <c r="BM279">
        <v>5575</v>
      </c>
      <c r="BN279" s="48" t="s">
        <v>2064</v>
      </c>
      <c r="BO279" s="48" t="s">
        <v>2065</v>
      </c>
      <c r="BP279">
        <v>1473.06</v>
      </c>
      <c r="BQ279">
        <v>5828.98</v>
      </c>
      <c r="BR279" s="48" t="s">
        <v>1885</v>
      </c>
      <c r="BS279" s="48" t="s">
        <v>2066</v>
      </c>
      <c r="BT279">
        <v>1</v>
      </c>
      <c r="BU279">
        <v>373500</v>
      </c>
      <c r="BV279">
        <v>373500</v>
      </c>
      <c r="BW279" s="48" t="s">
        <v>2065</v>
      </c>
      <c r="BX279">
        <v>1473.06</v>
      </c>
      <c r="BY279">
        <v>0</v>
      </c>
      <c r="BZ279">
        <v>0</v>
      </c>
      <c r="CA279" s="48" t="s">
        <v>2065</v>
      </c>
      <c r="CB279">
        <v>1473.06</v>
      </c>
      <c r="CC279">
        <v>0</v>
      </c>
      <c r="CD279">
        <v>0</v>
      </c>
      <c r="CE279" s="48" t="s">
        <v>1710</v>
      </c>
      <c r="CF279" s="48" t="s">
        <v>1710</v>
      </c>
      <c r="CG279" s="48" t="s">
        <v>1710</v>
      </c>
      <c r="CH279" s="48" t="s">
        <v>1710</v>
      </c>
      <c r="CI279" s="48" t="s">
        <v>2067</v>
      </c>
      <c r="CJ279" s="48" t="s">
        <v>1710</v>
      </c>
      <c r="CL279" s="48" t="s">
        <v>2816</v>
      </c>
      <c r="CM279" s="48" t="s">
        <v>1710</v>
      </c>
      <c r="CN279" s="48" t="s">
        <v>2068</v>
      </c>
      <c r="CO279" s="48" t="s">
        <v>2069</v>
      </c>
      <c r="CP279" s="48" t="s">
        <v>1710</v>
      </c>
      <c r="CQ279" s="48" t="s">
        <v>1710</v>
      </c>
      <c r="CR279" s="48" t="s">
        <v>1710</v>
      </c>
      <c r="CS279" s="48" t="s">
        <v>1710</v>
      </c>
      <c r="CT279" s="48" t="s">
        <v>1710</v>
      </c>
      <c r="CU279" s="48" t="s">
        <v>1712</v>
      </c>
      <c r="CV279" s="48" t="s">
        <v>1710</v>
      </c>
      <c r="CW279" s="48" t="s">
        <v>1710</v>
      </c>
      <c r="CX279" s="48" t="s">
        <v>2823</v>
      </c>
      <c r="CY279" s="48" t="s">
        <v>1710</v>
      </c>
      <c r="CZ279" s="48" t="s">
        <v>1885</v>
      </c>
      <c r="DA279" s="48" t="s">
        <v>1710</v>
      </c>
      <c r="DB279" s="48" t="s">
        <v>1878</v>
      </c>
      <c r="DC279" s="48" t="s">
        <v>2070</v>
      </c>
      <c r="DD279" s="48" t="s">
        <v>1842</v>
      </c>
      <c r="DE279" s="48" t="s">
        <v>1886</v>
      </c>
      <c r="DF279" s="48" t="s">
        <v>5004</v>
      </c>
      <c r="DG279" s="48" t="s">
        <v>2071</v>
      </c>
      <c r="DH279" s="48" t="s">
        <v>1712</v>
      </c>
      <c r="DI279" s="48" t="s">
        <v>1710</v>
      </c>
      <c r="DJ279" s="48" t="s">
        <v>1710</v>
      </c>
      <c r="DK279" s="48" t="s">
        <v>1710</v>
      </c>
      <c r="DL279" s="48" t="s">
        <v>1710</v>
      </c>
      <c r="DM279" s="48" t="s">
        <v>1710</v>
      </c>
      <c r="DN279" s="48" t="s">
        <v>1710</v>
      </c>
      <c r="DO279" s="48" t="s">
        <v>1710</v>
      </c>
      <c r="DP279" s="48" t="s">
        <v>1710</v>
      </c>
      <c r="DQ279" s="48" t="s">
        <v>1710</v>
      </c>
      <c r="DR279" s="48" t="s">
        <v>2072</v>
      </c>
      <c r="DS279" s="48" t="s">
        <v>1710</v>
      </c>
      <c r="DT279" s="48" t="s">
        <v>1710</v>
      </c>
      <c r="DU279" s="48" t="s">
        <v>2575</v>
      </c>
      <c r="DV279" s="48" t="s">
        <v>3111</v>
      </c>
      <c r="DW279" s="48" t="s">
        <v>1710</v>
      </c>
      <c r="DX279" s="48" t="s">
        <v>5005</v>
      </c>
      <c r="DY279" s="48" t="s">
        <v>1709</v>
      </c>
      <c r="DZ279" s="48" t="s">
        <v>2562</v>
      </c>
      <c r="EA279" s="48" t="s">
        <v>2546</v>
      </c>
      <c r="EB279">
        <v>0</v>
      </c>
      <c r="EC279" s="48" t="s">
        <v>2575</v>
      </c>
      <c r="ED279" s="48" t="s">
        <v>5006</v>
      </c>
      <c r="EE279" s="48" t="s">
        <v>1814</v>
      </c>
      <c r="EF279" s="48" t="s">
        <v>1852</v>
      </c>
      <c r="EG279" s="48" t="s">
        <v>5002</v>
      </c>
      <c r="EH279">
        <v>20</v>
      </c>
      <c r="EI279" s="48" t="s">
        <v>1888</v>
      </c>
      <c r="EJ279">
        <v>0</v>
      </c>
      <c r="EK279" s="48" t="s">
        <v>1710</v>
      </c>
      <c r="EL279">
        <v>1</v>
      </c>
      <c r="EM279" s="48" t="s">
        <v>1886</v>
      </c>
      <c r="EN279">
        <v>20</v>
      </c>
      <c r="EO279" s="48" t="s">
        <v>2525</v>
      </c>
      <c r="EP279" s="48" t="s">
        <v>2710</v>
      </c>
      <c r="EQ279">
        <v>5828.98</v>
      </c>
      <c r="ER279">
        <v>5828.98</v>
      </c>
      <c r="ES279">
        <v>8212937</v>
      </c>
      <c r="ET279">
        <v>5575</v>
      </c>
      <c r="EU279" s="48" t="s">
        <v>1710</v>
      </c>
      <c r="EV279" s="48" t="s">
        <v>1710</v>
      </c>
      <c r="EW279" s="48" t="s">
        <v>1712</v>
      </c>
      <c r="EX279" s="48" t="s">
        <v>1710</v>
      </c>
      <c r="EY279" s="48" t="s">
        <v>1848</v>
      </c>
      <c r="EZ279" s="48" t="s">
        <v>1710</v>
      </c>
      <c r="FA279" s="48" t="s">
        <v>1710</v>
      </c>
      <c r="FB279" s="48" t="s">
        <v>1712</v>
      </c>
      <c r="FC279" s="48" t="s">
        <v>1710</v>
      </c>
      <c r="FD279" s="48" t="s">
        <v>1710</v>
      </c>
      <c r="FE279" s="48" t="s">
        <v>1814</v>
      </c>
      <c r="FF279" s="48" t="s">
        <v>1815</v>
      </c>
      <c r="FG279" s="48" t="s">
        <v>1710</v>
      </c>
      <c r="FH279">
        <v>1</v>
      </c>
      <c r="FI279" s="48" t="s">
        <v>1846</v>
      </c>
      <c r="FJ279">
        <v>5828.98</v>
      </c>
      <c r="FK279">
        <v>5828.98</v>
      </c>
      <c r="FL279" s="48" t="s">
        <v>5007</v>
      </c>
      <c r="FM279" s="48" t="s">
        <v>2710</v>
      </c>
      <c r="FN279" s="48" t="s">
        <v>1710</v>
      </c>
      <c r="FO279" s="48" t="s">
        <v>1710</v>
      </c>
      <c r="FP279" s="48" t="s">
        <v>1710</v>
      </c>
      <c r="FQ279" s="48" t="s">
        <v>1710</v>
      </c>
      <c r="FR279" s="48" t="s">
        <v>1710</v>
      </c>
      <c r="FS279" s="48" t="s">
        <v>1710</v>
      </c>
      <c r="FT279" s="48" t="s">
        <v>1710</v>
      </c>
      <c r="FU279" s="48" t="s">
        <v>1710</v>
      </c>
      <c r="FV279" s="48"/>
      <c r="FW279" s="56"/>
      <c r="FX279" s="56"/>
      <c r="FY279" s="56"/>
      <c r="FZ279" s="56"/>
      <c r="GA279" s="55" t="str">
        <f t="shared" si="14"/>
        <v>4388426900448X</v>
      </c>
      <c r="GB279" t="str">
        <f>VLOOKUP(B279,수출코드!$C$2:$D$4,2,FALSE)</f>
        <v>Suwon</v>
      </c>
      <c r="GC279" t="str">
        <f>VLOOKUP(L279,수출코드!$A$2:$B$6,2,FALSE)</f>
        <v/>
      </c>
      <c r="GD279" t="str">
        <f>VLOOKUP(M279,수출코드!$E$2:$F$5,2,FALSE)</f>
        <v>재수출</v>
      </c>
      <c r="GE279" s="61">
        <f t="shared" si="12"/>
        <v>45975.727777777778</v>
      </c>
      <c r="GF279" s="62">
        <f t="shared" si="13"/>
        <v>46050.46875</v>
      </c>
      <c r="GI279" s="48" t="s">
        <v>2805</v>
      </c>
    </row>
    <row r="280" spans="1:191">
      <c r="A280" s="48" t="s">
        <v>5008</v>
      </c>
      <c r="B280" s="48" t="s">
        <v>1821</v>
      </c>
      <c r="C280" s="48" t="s">
        <v>2048</v>
      </c>
      <c r="D280" s="48" t="s">
        <v>2813</v>
      </c>
      <c r="E280" s="48" t="s">
        <v>5008</v>
      </c>
      <c r="F280" s="48" t="s">
        <v>1710</v>
      </c>
      <c r="G280" s="48" t="s">
        <v>2814</v>
      </c>
      <c r="H280" s="48" t="s">
        <v>5009</v>
      </c>
      <c r="I280" s="48" t="s">
        <v>1884</v>
      </c>
      <c r="J280" s="48" t="s">
        <v>2816</v>
      </c>
      <c r="K280" s="48" t="s">
        <v>1877</v>
      </c>
      <c r="L280" s="48" t="s">
        <v>1842</v>
      </c>
      <c r="M280" s="48" t="s">
        <v>1810</v>
      </c>
      <c r="N280" s="48" t="s">
        <v>1842</v>
      </c>
      <c r="O280" s="48" t="s">
        <v>1811</v>
      </c>
      <c r="P280" s="48" t="s">
        <v>2549</v>
      </c>
      <c r="Q280" s="48" t="s">
        <v>2049</v>
      </c>
      <c r="R280" s="48" t="s">
        <v>1838</v>
      </c>
      <c r="S280" s="48" t="s">
        <v>2050</v>
      </c>
      <c r="T280" s="48" t="s">
        <v>1845</v>
      </c>
      <c r="U280" s="48" t="s">
        <v>2049</v>
      </c>
      <c r="V280" s="48" t="s">
        <v>1838</v>
      </c>
      <c r="W280" s="48" t="s">
        <v>2051</v>
      </c>
      <c r="X280" s="48" t="s">
        <v>2052</v>
      </c>
      <c r="Y280" s="48" t="s">
        <v>2050</v>
      </c>
      <c r="Z280" s="48" t="s">
        <v>2053</v>
      </c>
      <c r="AA280" s="48" t="s">
        <v>2054</v>
      </c>
      <c r="AB280" s="48" t="s">
        <v>2817</v>
      </c>
      <c r="AC280" s="48" t="s">
        <v>2055</v>
      </c>
      <c r="AD280" s="48" t="s">
        <v>2056</v>
      </c>
      <c r="AE280" s="48" t="s">
        <v>1710</v>
      </c>
      <c r="AF280" s="48" t="s">
        <v>1710</v>
      </c>
      <c r="AG280" s="48" t="s">
        <v>2057</v>
      </c>
      <c r="AH280" s="48" t="s">
        <v>1815</v>
      </c>
      <c r="AI280" s="48" t="s">
        <v>2058</v>
      </c>
      <c r="AJ280" s="48" t="s">
        <v>1710</v>
      </c>
      <c r="AK280" s="48" t="s">
        <v>2681</v>
      </c>
      <c r="AL280" s="48" t="s">
        <v>2682</v>
      </c>
      <c r="AM280" s="48" t="s">
        <v>1816</v>
      </c>
      <c r="AN280" s="48" t="s">
        <v>2054</v>
      </c>
      <c r="AO280" s="48" t="s">
        <v>1710</v>
      </c>
      <c r="AP280" s="48" t="s">
        <v>1855</v>
      </c>
      <c r="AQ280" s="48" t="s">
        <v>2076</v>
      </c>
      <c r="AR280" s="48" t="s">
        <v>1812</v>
      </c>
      <c r="AS280" s="48" t="s">
        <v>1813</v>
      </c>
      <c r="AT280" s="48" t="s">
        <v>1826</v>
      </c>
      <c r="AU280" s="48" t="s">
        <v>2061</v>
      </c>
      <c r="AV280" s="48" t="s">
        <v>2816</v>
      </c>
      <c r="AW280" s="48" t="s">
        <v>2062</v>
      </c>
      <c r="AX280" s="48" t="s">
        <v>2063</v>
      </c>
      <c r="AY280" s="48" t="s">
        <v>1710</v>
      </c>
      <c r="AZ280" s="48" t="s">
        <v>5010</v>
      </c>
      <c r="BA280" s="48" t="s">
        <v>1710</v>
      </c>
      <c r="BB280" s="48" t="s">
        <v>1709</v>
      </c>
      <c r="BC280" s="48" t="s">
        <v>1710</v>
      </c>
      <c r="BD280" s="48" t="s">
        <v>2089</v>
      </c>
      <c r="BE280" s="52" t="s">
        <v>5011</v>
      </c>
      <c r="BF280" s="48" t="s">
        <v>1710</v>
      </c>
      <c r="BG280" s="48" t="s">
        <v>1814</v>
      </c>
      <c r="BH280">
        <v>6</v>
      </c>
      <c r="BI280" s="48" t="s">
        <v>1888</v>
      </c>
      <c r="BJ280">
        <v>1</v>
      </c>
      <c r="BK280">
        <v>1473.06</v>
      </c>
      <c r="BL280">
        <v>4023225</v>
      </c>
      <c r="BM280">
        <v>2731</v>
      </c>
      <c r="BN280" s="48" t="s">
        <v>2064</v>
      </c>
      <c r="BO280" s="48" t="s">
        <v>2065</v>
      </c>
      <c r="BP280">
        <v>1473.06</v>
      </c>
      <c r="BQ280">
        <v>2758.9</v>
      </c>
      <c r="BR280" s="48" t="s">
        <v>1885</v>
      </c>
      <c r="BS280" s="48" t="s">
        <v>2066</v>
      </c>
      <c r="BT280">
        <v>1</v>
      </c>
      <c r="BU280">
        <v>40800</v>
      </c>
      <c r="BV280">
        <v>40800</v>
      </c>
      <c r="BW280" s="48" t="s">
        <v>2065</v>
      </c>
      <c r="BX280">
        <v>1473.06</v>
      </c>
      <c r="BY280">
        <v>0</v>
      </c>
      <c r="BZ280">
        <v>0</v>
      </c>
      <c r="CA280" s="48" t="s">
        <v>2065</v>
      </c>
      <c r="CB280">
        <v>1473.06</v>
      </c>
      <c r="CC280">
        <v>0</v>
      </c>
      <c r="CD280">
        <v>0</v>
      </c>
      <c r="CE280" s="48" t="s">
        <v>1710</v>
      </c>
      <c r="CF280" s="48" t="s">
        <v>1710</v>
      </c>
      <c r="CG280" s="48" t="s">
        <v>1710</v>
      </c>
      <c r="CH280" s="48" t="s">
        <v>1710</v>
      </c>
      <c r="CI280" s="48" t="s">
        <v>2067</v>
      </c>
      <c r="CJ280" s="48" t="s">
        <v>1710</v>
      </c>
      <c r="CL280" s="48" t="s">
        <v>2816</v>
      </c>
      <c r="CM280" s="48" t="s">
        <v>1710</v>
      </c>
      <c r="CN280" s="48" t="s">
        <v>2068</v>
      </c>
      <c r="CO280" s="48" t="s">
        <v>2069</v>
      </c>
      <c r="CP280" s="48" t="s">
        <v>1710</v>
      </c>
      <c r="CQ280" s="48" t="s">
        <v>1710</v>
      </c>
      <c r="CR280" s="48" t="s">
        <v>1710</v>
      </c>
      <c r="CS280" s="48" t="s">
        <v>1710</v>
      </c>
      <c r="CT280" s="48" t="s">
        <v>1710</v>
      </c>
      <c r="CU280" s="48" t="s">
        <v>1712</v>
      </c>
      <c r="CV280" s="48" t="s">
        <v>1710</v>
      </c>
      <c r="CW280" s="48" t="s">
        <v>1710</v>
      </c>
      <c r="CX280" s="48" t="s">
        <v>2823</v>
      </c>
      <c r="CY280" s="48" t="s">
        <v>1710</v>
      </c>
      <c r="CZ280" s="48" t="s">
        <v>1712</v>
      </c>
      <c r="DA280" s="48" t="s">
        <v>1710</v>
      </c>
      <c r="DB280" s="48" t="s">
        <v>1878</v>
      </c>
      <c r="DC280" s="48" t="s">
        <v>2070</v>
      </c>
      <c r="DD280" s="48" t="s">
        <v>1842</v>
      </c>
      <c r="DE280" s="48" t="s">
        <v>1886</v>
      </c>
      <c r="DF280" s="48" t="s">
        <v>5012</v>
      </c>
      <c r="DG280" s="48" t="s">
        <v>2071</v>
      </c>
      <c r="DH280" s="48" t="s">
        <v>1712</v>
      </c>
      <c r="DI280" s="48" t="s">
        <v>1710</v>
      </c>
      <c r="DJ280" s="48" t="s">
        <v>1710</v>
      </c>
      <c r="DK280" s="48" t="s">
        <v>1710</v>
      </c>
      <c r="DL280" s="48" t="s">
        <v>1710</v>
      </c>
      <c r="DM280" s="48" t="s">
        <v>1710</v>
      </c>
      <c r="DN280" s="48" t="s">
        <v>1710</v>
      </c>
      <c r="DO280" s="48" t="s">
        <v>1710</v>
      </c>
      <c r="DP280" s="48" t="s">
        <v>1710</v>
      </c>
      <c r="DQ280" s="48" t="s">
        <v>1710</v>
      </c>
      <c r="DR280" s="48" t="s">
        <v>2072</v>
      </c>
      <c r="DS280" s="48" t="s">
        <v>1710</v>
      </c>
      <c r="DT280" s="48" t="s">
        <v>1710</v>
      </c>
      <c r="DU280" s="48" t="s">
        <v>2575</v>
      </c>
      <c r="DV280" s="48" t="s">
        <v>2816</v>
      </c>
      <c r="DW280" s="48" t="s">
        <v>1710</v>
      </c>
      <c r="DX280" s="48" t="s">
        <v>5013</v>
      </c>
      <c r="DY280" s="48" t="s">
        <v>1709</v>
      </c>
      <c r="DZ280" s="48" t="s">
        <v>2562</v>
      </c>
      <c r="EA280" s="48" t="s">
        <v>2546</v>
      </c>
      <c r="EB280">
        <v>0</v>
      </c>
      <c r="EC280" s="48" t="s">
        <v>2575</v>
      </c>
      <c r="ED280" s="48" t="s">
        <v>5014</v>
      </c>
      <c r="EE280" s="48" t="s">
        <v>1814</v>
      </c>
      <c r="EF280" s="48" t="s">
        <v>1861</v>
      </c>
      <c r="EG280" s="48" t="s">
        <v>5010</v>
      </c>
      <c r="EH280">
        <v>2.46</v>
      </c>
      <c r="EI280" s="48" t="s">
        <v>1888</v>
      </c>
      <c r="EJ280">
        <v>0</v>
      </c>
      <c r="EK280" s="48" t="s">
        <v>1710</v>
      </c>
      <c r="EL280">
        <v>1</v>
      </c>
      <c r="EM280" s="48" t="s">
        <v>1886</v>
      </c>
      <c r="EN280">
        <v>2.46</v>
      </c>
      <c r="EO280" s="48" t="s">
        <v>2518</v>
      </c>
      <c r="EP280" s="48" t="s">
        <v>5015</v>
      </c>
      <c r="EQ280">
        <v>2758.9</v>
      </c>
      <c r="ER280">
        <v>2758.9</v>
      </c>
      <c r="ES280">
        <v>4023225</v>
      </c>
      <c r="ET280">
        <v>2731</v>
      </c>
      <c r="EU280" s="48" t="s">
        <v>1710</v>
      </c>
      <c r="EV280" s="48" t="s">
        <v>1710</v>
      </c>
      <c r="EW280" s="48" t="s">
        <v>1712</v>
      </c>
      <c r="EX280" s="48" t="s">
        <v>1710</v>
      </c>
      <c r="EY280" s="48" t="s">
        <v>1869</v>
      </c>
      <c r="EZ280" s="48" t="s">
        <v>1710</v>
      </c>
      <c r="FA280" s="48" t="s">
        <v>1710</v>
      </c>
      <c r="FB280" s="48" t="s">
        <v>1712</v>
      </c>
      <c r="FC280" s="48" t="s">
        <v>1710</v>
      </c>
      <c r="FD280" s="48" t="s">
        <v>1710</v>
      </c>
      <c r="FE280" s="48" t="s">
        <v>1814</v>
      </c>
      <c r="FF280" s="48" t="s">
        <v>1815</v>
      </c>
      <c r="FG280" s="48" t="s">
        <v>1710</v>
      </c>
      <c r="FH280">
        <v>1</v>
      </c>
      <c r="FI280" s="48" t="s">
        <v>1846</v>
      </c>
      <c r="FJ280">
        <v>2758.9</v>
      </c>
      <c r="FK280">
        <v>2758.9</v>
      </c>
      <c r="FL280" s="48" t="s">
        <v>5016</v>
      </c>
      <c r="FM280" s="48" t="s">
        <v>5015</v>
      </c>
      <c r="FN280" s="48" t="s">
        <v>1710</v>
      </c>
      <c r="FO280" s="48" t="s">
        <v>1710</v>
      </c>
      <c r="FP280" s="48" t="s">
        <v>1710</v>
      </c>
      <c r="FQ280" s="48" t="s">
        <v>1710</v>
      </c>
      <c r="FR280" s="48" t="s">
        <v>1710</v>
      </c>
      <c r="FS280" s="48" t="s">
        <v>1710</v>
      </c>
      <c r="FT280" s="48" t="s">
        <v>1710</v>
      </c>
      <c r="FU280" s="48" t="s">
        <v>1710</v>
      </c>
      <c r="FV280" s="48"/>
      <c r="FW280" s="56"/>
      <c r="FX280" s="56"/>
      <c r="FY280" s="56"/>
      <c r="FZ280" s="56"/>
      <c r="GA280" s="55" t="str">
        <f t="shared" si="14"/>
        <v>4388426900449X</v>
      </c>
      <c r="GB280" t="str">
        <f>VLOOKUP(B280,수출코드!$C$2:$D$4,2,FALSE)</f>
        <v>Suwon</v>
      </c>
      <c r="GC280" t="str">
        <f>VLOOKUP(L280,수출코드!$A$2:$B$6,2,FALSE)</f>
        <v/>
      </c>
      <c r="GD280" t="str">
        <f>VLOOKUP(M280,수출코드!$E$2:$F$5,2,FALSE)</f>
        <v>일반</v>
      </c>
      <c r="GE280" s="61">
        <f t="shared" si="12"/>
        <v>45975.727777777778</v>
      </c>
      <c r="GF280" s="62">
        <f t="shared" si="13"/>
        <v>46050.482638888891</v>
      </c>
      <c r="GI280" s="48" t="s">
        <v>2805</v>
      </c>
    </row>
    <row r="281" spans="1:191">
      <c r="A281" s="48" t="s">
        <v>5017</v>
      </c>
      <c r="B281" s="48" t="s">
        <v>1821</v>
      </c>
      <c r="C281" s="48" t="s">
        <v>2048</v>
      </c>
      <c r="D281" s="48" t="s">
        <v>2813</v>
      </c>
      <c r="E281" s="48" t="s">
        <v>5017</v>
      </c>
      <c r="F281" s="48" t="s">
        <v>1710</v>
      </c>
      <c r="G281" s="48" t="s">
        <v>2814</v>
      </c>
      <c r="H281" s="48" t="s">
        <v>5018</v>
      </c>
      <c r="I281" s="48" t="s">
        <v>1884</v>
      </c>
      <c r="J281" s="48" t="s">
        <v>2816</v>
      </c>
      <c r="K281" s="48" t="s">
        <v>1877</v>
      </c>
      <c r="L281" s="48" t="s">
        <v>1842</v>
      </c>
      <c r="M281" s="48" t="s">
        <v>1810</v>
      </c>
      <c r="N281" s="48" t="s">
        <v>1842</v>
      </c>
      <c r="O281" s="48" t="s">
        <v>1811</v>
      </c>
      <c r="P281" s="48" t="s">
        <v>2549</v>
      </c>
      <c r="Q281" s="48" t="s">
        <v>2049</v>
      </c>
      <c r="R281" s="48" t="s">
        <v>1838</v>
      </c>
      <c r="S281" s="48" t="s">
        <v>2050</v>
      </c>
      <c r="T281" s="48" t="s">
        <v>1845</v>
      </c>
      <c r="U281" s="48" t="s">
        <v>2049</v>
      </c>
      <c r="V281" s="48" t="s">
        <v>1838</v>
      </c>
      <c r="W281" s="48" t="s">
        <v>2051</v>
      </c>
      <c r="X281" s="48" t="s">
        <v>2052</v>
      </c>
      <c r="Y281" s="48" t="s">
        <v>2050</v>
      </c>
      <c r="Z281" s="48" t="s">
        <v>2053</v>
      </c>
      <c r="AA281" s="48" t="s">
        <v>2054</v>
      </c>
      <c r="AB281" s="48" t="s">
        <v>2817</v>
      </c>
      <c r="AC281" s="48" t="s">
        <v>2055</v>
      </c>
      <c r="AD281" s="48" t="s">
        <v>2056</v>
      </c>
      <c r="AE281" s="48" t="s">
        <v>1710</v>
      </c>
      <c r="AF281" s="48" t="s">
        <v>1710</v>
      </c>
      <c r="AG281" s="48" t="s">
        <v>2057</v>
      </c>
      <c r="AH281" s="48" t="s">
        <v>1815</v>
      </c>
      <c r="AI281" s="48" t="s">
        <v>2058</v>
      </c>
      <c r="AJ281" s="48" t="s">
        <v>1710</v>
      </c>
      <c r="AK281" s="48" t="s">
        <v>2102</v>
      </c>
      <c r="AL281" s="48" t="s">
        <v>1858</v>
      </c>
      <c r="AM281" s="48" t="s">
        <v>1816</v>
      </c>
      <c r="AN281" s="48" t="s">
        <v>2054</v>
      </c>
      <c r="AO281" s="48" t="s">
        <v>1710</v>
      </c>
      <c r="AP281" s="48" t="s">
        <v>1848</v>
      </c>
      <c r="AQ281" s="48" t="s">
        <v>2060</v>
      </c>
      <c r="AR281" s="48" t="s">
        <v>1812</v>
      </c>
      <c r="AS281" s="48" t="s">
        <v>1813</v>
      </c>
      <c r="AT281" s="48" t="s">
        <v>1826</v>
      </c>
      <c r="AU281" s="48" t="s">
        <v>2061</v>
      </c>
      <c r="AV281" s="48" t="s">
        <v>2816</v>
      </c>
      <c r="AW281" s="48" t="s">
        <v>2062</v>
      </c>
      <c r="AX281" s="48" t="s">
        <v>2063</v>
      </c>
      <c r="AY281" s="48" t="s">
        <v>1710</v>
      </c>
      <c r="AZ281" s="48" t="s">
        <v>5019</v>
      </c>
      <c r="BA281" s="48" t="s">
        <v>1710</v>
      </c>
      <c r="BB281" s="48" t="s">
        <v>1709</v>
      </c>
      <c r="BC281" s="48" t="s">
        <v>1710</v>
      </c>
      <c r="BD281" s="48" t="s">
        <v>2089</v>
      </c>
      <c r="BE281" s="52" t="s">
        <v>5011</v>
      </c>
      <c r="BF281" s="48" t="s">
        <v>1710</v>
      </c>
      <c r="BG281" s="48" t="s">
        <v>1814</v>
      </c>
      <c r="BH281">
        <v>1</v>
      </c>
      <c r="BI281" s="48" t="s">
        <v>1888</v>
      </c>
      <c r="BJ281">
        <v>1</v>
      </c>
      <c r="BK281">
        <v>1473.06</v>
      </c>
      <c r="BL281">
        <v>633236</v>
      </c>
      <c r="BM281">
        <v>430</v>
      </c>
      <c r="BN281" s="48" t="s">
        <v>2064</v>
      </c>
      <c r="BO281" s="48" t="s">
        <v>2065</v>
      </c>
      <c r="BP281">
        <v>1473.06</v>
      </c>
      <c r="BQ281">
        <v>452.62</v>
      </c>
      <c r="BR281" s="48" t="s">
        <v>1885</v>
      </c>
      <c r="BS281" s="48" t="s">
        <v>2066</v>
      </c>
      <c r="BT281">
        <v>1</v>
      </c>
      <c r="BU281">
        <v>33500</v>
      </c>
      <c r="BV281">
        <v>33500</v>
      </c>
      <c r="BW281" s="48" t="s">
        <v>2065</v>
      </c>
      <c r="BX281">
        <v>1473.06</v>
      </c>
      <c r="BY281">
        <v>0</v>
      </c>
      <c r="BZ281">
        <v>0</v>
      </c>
      <c r="CA281" s="48" t="s">
        <v>2065</v>
      </c>
      <c r="CB281">
        <v>1473.06</v>
      </c>
      <c r="CC281">
        <v>0</v>
      </c>
      <c r="CD281">
        <v>0</v>
      </c>
      <c r="CE281" s="48" t="s">
        <v>1710</v>
      </c>
      <c r="CF281" s="48" t="s">
        <v>1710</v>
      </c>
      <c r="CG281" s="48" t="s">
        <v>1710</v>
      </c>
      <c r="CH281" s="48" t="s">
        <v>1710</v>
      </c>
      <c r="CI281" s="48" t="s">
        <v>2067</v>
      </c>
      <c r="CJ281" s="48" t="s">
        <v>1710</v>
      </c>
      <c r="CL281" s="48" t="s">
        <v>2816</v>
      </c>
      <c r="CM281" s="48" t="s">
        <v>1710</v>
      </c>
      <c r="CN281" s="48" t="s">
        <v>2068</v>
      </c>
      <c r="CO281" s="48" t="s">
        <v>2069</v>
      </c>
      <c r="CP281" s="48" t="s">
        <v>1710</v>
      </c>
      <c r="CQ281" s="48" t="s">
        <v>1710</v>
      </c>
      <c r="CR281" s="48" t="s">
        <v>1710</v>
      </c>
      <c r="CS281" s="48" t="s">
        <v>1710</v>
      </c>
      <c r="CT281" s="48" t="s">
        <v>1710</v>
      </c>
      <c r="CU281" s="48" t="s">
        <v>1712</v>
      </c>
      <c r="CV281" s="48" t="s">
        <v>1710</v>
      </c>
      <c r="CW281" s="48" t="s">
        <v>1710</v>
      </c>
      <c r="CX281" s="48" t="s">
        <v>2823</v>
      </c>
      <c r="CY281" s="48" t="s">
        <v>1710</v>
      </c>
      <c r="CZ281" s="48" t="s">
        <v>1712</v>
      </c>
      <c r="DA281" s="48" t="s">
        <v>1710</v>
      </c>
      <c r="DB281" s="48" t="s">
        <v>1878</v>
      </c>
      <c r="DC281" s="48" t="s">
        <v>2070</v>
      </c>
      <c r="DD281" s="48" t="s">
        <v>1842</v>
      </c>
      <c r="DE281" s="48" t="s">
        <v>1886</v>
      </c>
      <c r="DF281" s="48" t="s">
        <v>5020</v>
      </c>
      <c r="DG281" s="48" t="s">
        <v>2071</v>
      </c>
      <c r="DH281" s="48" t="s">
        <v>1712</v>
      </c>
      <c r="DI281" s="48" t="s">
        <v>1710</v>
      </c>
      <c r="DJ281" s="48" t="s">
        <v>1710</v>
      </c>
      <c r="DK281" s="48" t="s">
        <v>1710</v>
      </c>
      <c r="DL281" s="48" t="s">
        <v>1710</v>
      </c>
      <c r="DM281" s="48" t="s">
        <v>1710</v>
      </c>
      <c r="DN281" s="48" t="s">
        <v>1710</v>
      </c>
      <c r="DO281" s="48" t="s">
        <v>1710</v>
      </c>
      <c r="DP281" s="48" t="s">
        <v>1710</v>
      </c>
      <c r="DQ281" s="48" t="s">
        <v>1710</v>
      </c>
      <c r="DR281" s="48" t="s">
        <v>2072</v>
      </c>
      <c r="DS281" s="48" t="s">
        <v>1710</v>
      </c>
      <c r="DT281" s="48" t="s">
        <v>1710</v>
      </c>
      <c r="DU281" s="48" t="s">
        <v>2575</v>
      </c>
      <c r="DV281" s="48" t="s">
        <v>2816</v>
      </c>
      <c r="DW281" s="48" t="s">
        <v>1710</v>
      </c>
      <c r="DX281" s="48" t="s">
        <v>5021</v>
      </c>
      <c r="DY281" s="48" t="s">
        <v>1709</v>
      </c>
      <c r="DZ281" s="48" t="s">
        <v>2562</v>
      </c>
      <c r="EA281" s="48" t="s">
        <v>2546</v>
      </c>
      <c r="EB281">
        <v>0</v>
      </c>
      <c r="EC281" s="48" t="s">
        <v>2575</v>
      </c>
      <c r="ED281" s="48" t="s">
        <v>5014</v>
      </c>
      <c r="EE281" s="48" t="s">
        <v>1814</v>
      </c>
      <c r="EF281" s="48" t="s">
        <v>1859</v>
      </c>
      <c r="EG281" s="48" t="s">
        <v>5019</v>
      </c>
      <c r="EH281">
        <v>0.1</v>
      </c>
      <c r="EI281" s="48" t="s">
        <v>1888</v>
      </c>
      <c r="EJ281">
        <v>0</v>
      </c>
      <c r="EK281" s="48" t="s">
        <v>1710</v>
      </c>
      <c r="EL281">
        <v>1</v>
      </c>
      <c r="EM281" s="48" t="s">
        <v>1886</v>
      </c>
      <c r="EN281">
        <v>0.1</v>
      </c>
      <c r="EO281" s="48" t="s">
        <v>2602</v>
      </c>
      <c r="EP281" s="48" t="s">
        <v>2584</v>
      </c>
      <c r="EQ281">
        <v>452.62</v>
      </c>
      <c r="ER281">
        <v>452.62</v>
      </c>
      <c r="ES281">
        <v>633236</v>
      </c>
      <c r="ET281">
        <v>430</v>
      </c>
      <c r="EU281" s="48" t="s">
        <v>1710</v>
      </c>
      <c r="EV281" s="48" t="s">
        <v>1710</v>
      </c>
      <c r="EW281" s="48" t="s">
        <v>1712</v>
      </c>
      <c r="EX281" s="48" t="s">
        <v>1710</v>
      </c>
      <c r="EY281" s="48" t="s">
        <v>1848</v>
      </c>
      <c r="EZ281" s="48" t="s">
        <v>1710</v>
      </c>
      <c r="FA281" s="48" t="s">
        <v>1710</v>
      </c>
      <c r="FB281" s="48" t="s">
        <v>1712</v>
      </c>
      <c r="FC281" s="48" t="s">
        <v>1710</v>
      </c>
      <c r="FD281" s="48" t="s">
        <v>1710</v>
      </c>
      <c r="FE281" s="48" t="s">
        <v>1814</v>
      </c>
      <c r="FF281" s="48" t="s">
        <v>1815</v>
      </c>
      <c r="FG281" s="48" t="s">
        <v>1710</v>
      </c>
      <c r="FH281">
        <v>1</v>
      </c>
      <c r="FI281" s="48" t="s">
        <v>1846</v>
      </c>
      <c r="FJ281">
        <v>452.62</v>
      </c>
      <c r="FK281">
        <v>452.62</v>
      </c>
      <c r="FL281" s="48" t="s">
        <v>5022</v>
      </c>
      <c r="FM281" s="48" t="s">
        <v>2584</v>
      </c>
      <c r="FN281" s="48" t="s">
        <v>1710</v>
      </c>
      <c r="FO281" s="48" t="s">
        <v>1710</v>
      </c>
      <c r="FP281" s="48" t="s">
        <v>1710</v>
      </c>
      <c r="FQ281" s="48" t="s">
        <v>1710</v>
      </c>
      <c r="FR281" s="48" t="s">
        <v>1710</v>
      </c>
      <c r="FS281" s="48" t="s">
        <v>1710</v>
      </c>
      <c r="FT281" s="48" t="s">
        <v>1710</v>
      </c>
      <c r="FU281" s="48" t="s">
        <v>1710</v>
      </c>
      <c r="FV281" s="48"/>
      <c r="FW281" s="56"/>
      <c r="FX281" s="56"/>
      <c r="FY281" s="56"/>
      <c r="FZ281" s="56"/>
      <c r="GA281" s="55" t="str">
        <f>A281</f>
        <v>4388426900450X</v>
      </c>
      <c r="GB281" t="str">
        <f>VLOOKUP(B281,수출코드!$C$2:$D$4,2,FALSE)</f>
        <v>Suwon</v>
      </c>
      <c r="GC281" t="str">
        <f>VLOOKUP(L281,수출코드!$A$2:$B$6,2,FALSE)</f>
        <v/>
      </c>
      <c r="GD281" t="str">
        <f>VLOOKUP(M281,수출코드!$E$2:$F$5,2,FALSE)</f>
        <v>일반</v>
      </c>
      <c r="GE281" s="61">
        <f t="shared" si="12"/>
        <v>45975.727777777778</v>
      </c>
      <c r="GF281" s="62">
        <f t="shared" si="13"/>
        <v>46050.482638888891</v>
      </c>
      <c r="GI281" s="48" t="s">
        <v>2805</v>
      </c>
    </row>
    <row r="282" spans="1:191">
      <c r="A282" s="48" t="s">
        <v>5023</v>
      </c>
      <c r="B282" s="48" t="s">
        <v>1821</v>
      </c>
      <c r="C282" s="48" t="s">
        <v>2048</v>
      </c>
      <c r="D282" s="48" t="s">
        <v>2813</v>
      </c>
      <c r="E282" s="48" t="s">
        <v>5023</v>
      </c>
      <c r="F282" s="48" t="s">
        <v>1710</v>
      </c>
      <c r="G282" s="48" t="s">
        <v>2814</v>
      </c>
      <c r="H282" s="48" t="s">
        <v>5024</v>
      </c>
      <c r="I282" s="48" t="s">
        <v>1884</v>
      </c>
      <c r="J282" s="48" t="s">
        <v>2816</v>
      </c>
      <c r="K282" s="48" t="s">
        <v>1877</v>
      </c>
      <c r="L282" s="48" t="s">
        <v>1842</v>
      </c>
      <c r="M282" s="48" t="s">
        <v>1810</v>
      </c>
      <c r="N282" s="48" t="s">
        <v>1842</v>
      </c>
      <c r="O282" s="48" t="s">
        <v>1811</v>
      </c>
      <c r="P282" s="48" t="s">
        <v>2549</v>
      </c>
      <c r="Q282" s="48" t="s">
        <v>2049</v>
      </c>
      <c r="R282" s="48" t="s">
        <v>1838</v>
      </c>
      <c r="S282" s="48" t="s">
        <v>2050</v>
      </c>
      <c r="T282" s="48" t="s">
        <v>1845</v>
      </c>
      <c r="U282" s="48" t="s">
        <v>2049</v>
      </c>
      <c r="V282" s="48" t="s">
        <v>1838</v>
      </c>
      <c r="W282" s="48" t="s">
        <v>2051</v>
      </c>
      <c r="X282" s="48" t="s">
        <v>2052</v>
      </c>
      <c r="Y282" s="48" t="s">
        <v>2050</v>
      </c>
      <c r="Z282" s="48" t="s">
        <v>2053</v>
      </c>
      <c r="AA282" s="48" t="s">
        <v>2054</v>
      </c>
      <c r="AB282" s="48" t="s">
        <v>2817</v>
      </c>
      <c r="AC282" s="48" t="s">
        <v>2055</v>
      </c>
      <c r="AD282" s="48" t="s">
        <v>2056</v>
      </c>
      <c r="AE282" s="48" t="s">
        <v>1710</v>
      </c>
      <c r="AF282" s="48" t="s">
        <v>1710</v>
      </c>
      <c r="AG282" s="48" t="s">
        <v>2057</v>
      </c>
      <c r="AH282" s="48" t="s">
        <v>1815</v>
      </c>
      <c r="AI282" s="48" t="s">
        <v>2058</v>
      </c>
      <c r="AJ282" s="48" t="s">
        <v>1710</v>
      </c>
      <c r="AK282" s="48" t="s">
        <v>2541</v>
      </c>
      <c r="AL282" s="48" t="s">
        <v>1858</v>
      </c>
      <c r="AM282" s="48" t="s">
        <v>1816</v>
      </c>
      <c r="AN282" s="48" t="s">
        <v>2054</v>
      </c>
      <c r="AO282" s="48" t="s">
        <v>1710</v>
      </c>
      <c r="AP282" s="48" t="s">
        <v>1848</v>
      </c>
      <c r="AQ282" s="48" t="s">
        <v>2060</v>
      </c>
      <c r="AR282" s="48" t="s">
        <v>1812</v>
      </c>
      <c r="AS282" s="48" t="s">
        <v>1813</v>
      </c>
      <c r="AT282" s="48" t="s">
        <v>1826</v>
      </c>
      <c r="AU282" s="48" t="s">
        <v>2061</v>
      </c>
      <c r="AV282" s="48" t="s">
        <v>2816</v>
      </c>
      <c r="AW282" s="48" t="s">
        <v>2062</v>
      </c>
      <c r="AX282" s="48" t="s">
        <v>2063</v>
      </c>
      <c r="AY282" s="48" t="s">
        <v>1710</v>
      </c>
      <c r="AZ282" s="48" t="s">
        <v>5025</v>
      </c>
      <c r="BA282" s="48" t="s">
        <v>1710</v>
      </c>
      <c r="BB282" s="48" t="s">
        <v>1709</v>
      </c>
      <c r="BC282" s="48" t="s">
        <v>1710</v>
      </c>
      <c r="BD282" s="48" t="s">
        <v>2089</v>
      </c>
      <c r="BE282" s="52" t="s">
        <v>5011</v>
      </c>
      <c r="BF282" s="48" t="s">
        <v>1710</v>
      </c>
      <c r="BG282" s="48" t="s">
        <v>1814</v>
      </c>
      <c r="BH282">
        <v>2</v>
      </c>
      <c r="BI282" s="48" t="s">
        <v>1888</v>
      </c>
      <c r="BJ282">
        <v>1</v>
      </c>
      <c r="BK282">
        <v>1473.06</v>
      </c>
      <c r="BL282">
        <v>654501</v>
      </c>
      <c r="BM282">
        <v>444</v>
      </c>
      <c r="BN282" s="48" t="s">
        <v>2064</v>
      </c>
      <c r="BO282" s="48" t="s">
        <v>2065</v>
      </c>
      <c r="BP282">
        <v>1473.06</v>
      </c>
      <c r="BQ282">
        <v>476.56</v>
      </c>
      <c r="BR282" s="48" t="s">
        <v>1885</v>
      </c>
      <c r="BS282" s="48" t="s">
        <v>2066</v>
      </c>
      <c r="BT282">
        <v>1</v>
      </c>
      <c r="BU282">
        <v>47500</v>
      </c>
      <c r="BV282">
        <v>47500</v>
      </c>
      <c r="BW282" s="48" t="s">
        <v>2065</v>
      </c>
      <c r="BX282">
        <v>1473.06</v>
      </c>
      <c r="BY282">
        <v>0</v>
      </c>
      <c r="BZ282">
        <v>0</v>
      </c>
      <c r="CA282" s="48" t="s">
        <v>2065</v>
      </c>
      <c r="CB282">
        <v>1473.06</v>
      </c>
      <c r="CC282">
        <v>0</v>
      </c>
      <c r="CD282">
        <v>0</v>
      </c>
      <c r="CE282" s="48" t="s">
        <v>1710</v>
      </c>
      <c r="CF282" s="48" t="s">
        <v>1710</v>
      </c>
      <c r="CG282" s="48" t="s">
        <v>1710</v>
      </c>
      <c r="CH282" s="48" t="s">
        <v>1710</v>
      </c>
      <c r="CI282" s="48" t="s">
        <v>2067</v>
      </c>
      <c r="CJ282" s="48" t="s">
        <v>1710</v>
      </c>
      <c r="CL282" s="48" t="s">
        <v>2816</v>
      </c>
      <c r="CM282" s="48" t="s">
        <v>1710</v>
      </c>
      <c r="CN282" s="48" t="s">
        <v>2068</v>
      </c>
      <c r="CO282" s="48" t="s">
        <v>2069</v>
      </c>
      <c r="CP282" s="48" t="s">
        <v>1710</v>
      </c>
      <c r="CQ282" s="48" t="s">
        <v>1710</v>
      </c>
      <c r="CR282" s="48" t="s">
        <v>1710</v>
      </c>
      <c r="CS282" s="48" t="s">
        <v>1710</v>
      </c>
      <c r="CT282" s="48" t="s">
        <v>1710</v>
      </c>
      <c r="CU282" s="48" t="s">
        <v>1712</v>
      </c>
      <c r="CV282" s="48" t="s">
        <v>1710</v>
      </c>
      <c r="CW282" s="48" t="s">
        <v>1710</v>
      </c>
      <c r="CX282" s="48" t="s">
        <v>2823</v>
      </c>
      <c r="CY282" s="48" t="s">
        <v>1710</v>
      </c>
      <c r="CZ282" s="48" t="s">
        <v>1712</v>
      </c>
      <c r="DA282" s="48" t="s">
        <v>1710</v>
      </c>
      <c r="DB282" s="48" t="s">
        <v>1878</v>
      </c>
      <c r="DC282" s="48" t="s">
        <v>2070</v>
      </c>
      <c r="DD282" s="48" t="s">
        <v>1842</v>
      </c>
      <c r="DE282" s="48" t="s">
        <v>1886</v>
      </c>
      <c r="DF282" s="48" t="s">
        <v>5026</v>
      </c>
      <c r="DG282" s="48" t="s">
        <v>2071</v>
      </c>
      <c r="DH282" s="48" t="s">
        <v>1712</v>
      </c>
      <c r="DI282" s="48" t="s">
        <v>1710</v>
      </c>
      <c r="DJ282" s="48" t="s">
        <v>1710</v>
      </c>
      <c r="DK282" s="48" t="s">
        <v>1710</v>
      </c>
      <c r="DL282" s="48" t="s">
        <v>1710</v>
      </c>
      <c r="DM282" s="48" t="s">
        <v>1710</v>
      </c>
      <c r="DN282" s="48" t="s">
        <v>1710</v>
      </c>
      <c r="DO282" s="48" t="s">
        <v>1710</v>
      </c>
      <c r="DP282" s="48" t="s">
        <v>1710</v>
      </c>
      <c r="DQ282" s="48" t="s">
        <v>1710</v>
      </c>
      <c r="DR282" s="48" t="s">
        <v>2072</v>
      </c>
      <c r="DS282" s="48" t="s">
        <v>1710</v>
      </c>
      <c r="DT282" s="48" t="s">
        <v>1710</v>
      </c>
      <c r="DU282" s="48" t="s">
        <v>2575</v>
      </c>
      <c r="DV282" s="48" t="s">
        <v>2816</v>
      </c>
      <c r="DW282" s="48" t="s">
        <v>1710</v>
      </c>
      <c r="DX282" s="48" t="s">
        <v>5027</v>
      </c>
      <c r="DY282" s="48" t="s">
        <v>1709</v>
      </c>
      <c r="DZ282" s="48" t="s">
        <v>2562</v>
      </c>
      <c r="EA282" s="48" t="s">
        <v>2546</v>
      </c>
      <c r="EB282">
        <v>0</v>
      </c>
      <c r="EC282" s="48" t="s">
        <v>2575</v>
      </c>
      <c r="ED282" s="48" t="s">
        <v>5014</v>
      </c>
      <c r="EE282" s="48" t="s">
        <v>1814</v>
      </c>
      <c r="EF282" s="48" t="s">
        <v>1861</v>
      </c>
      <c r="EG282" s="48" t="s">
        <v>5025</v>
      </c>
      <c r="EH282">
        <v>1</v>
      </c>
      <c r="EI282" s="48" t="s">
        <v>1888</v>
      </c>
      <c r="EJ282">
        <v>0</v>
      </c>
      <c r="EK282" s="48" t="s">
        <v>1710</v>
      </c>
      <c r="EL282">
        <v>1</v>
      </c>
      <c r="EM282" s="48" t="s">
        <v>1886</v>
      </c>
      <c r="EN282">
        <v>1</v>
      </c>
      <c r="EO282" s="48" t="s">
        <v>2518</v>
      </c>
      <c r="EP282" s="48" t="s">
        <v>5028</v>
      </c>
      <c r="EQ282">
        <v>476.56</v>
      </c>
      <c r="ER282">
        <v>476.56</v>
      </c>
      <c r="ES282">
        <v>654501</v>
      </c>
      <c r="ET282">
        <v>444</v>
      </c>
      <c r="EU282" s="48" t="s">
        <v>1710</v>
      </c>
      <c r="EV282" s="48" t="s">
        <v>1710</v>
      </c>
      <c r="EW282" s="48" t="s">
        <v>1712</v>
      </c>
      <c r="EX282" s="48" t="s">
        <v>1710</v>
      </c>
      <c r="EY282" s="48" t="s">
        <v>2539</v>
      </c>
      <c r="EZ282" s="48" t="s">
        <v>1710</v>
      </c>
      <c r="FA282" s="48" t="s">
        <v>1710</v>
      </c>
      <c r="FB282" s="48" t="s">
        <v>1712</v>
      </c>
      <c r="FC282" s="48" t="s">
        <v>1710</v>
      </c>
      <c r="FD282" s="48" t="s">
        <v>1710</v>
      </c>
      <c r="FE282" s="48" t="s">
        <v>1814</v>
      </c>
      <c r="FF282" s="48" t="s">
        <v>1815</v>
      </c>
      <c r="FG282" s="48" t="s">
        <v>1710</v>
      </c>
      <c r="FH282">
        <v>1</v>
      </c>
      <c r="FI282" s="48" t="s">
        <v>1846</v>
      </c>
      <c r="FJ282">
        <v>476.56</v>
      </c>
      <c r="FK282">
        <v>476.56</v>
      </c>
      <c r="FL282" s="48" t="s">
        <v>5029</v>
      </c>
      <c r="FM282" s="48" t="s">
        <v>5030</v>
      </c>
      <c r="FN282" s="48" t="s">
        <v>1710</v>
      </c>
      <c r="FO282" s="48" t="s">
        <v>1710</v>
      </c>
      <c r="FP282" s="48" t="s">
        <v>1710</v>
      </c>
      <c r="FQ282" s="48" t="s">
        <v>1710</v>
      </c>
      <c r="FR282" s="48" t="s">
        <v>1710</v>
      </c>
      <c r="FS282" s="48" t="s">
        <v>1710</v>
      </c>
      <c r="FT282" s="48" t="s">
        <v>1710</v>
      </c>
      <c r="FU282" s="48" t="s">
        <v>1710</v>
      </c>
      <c r="FV282" s="48"/>
      <c r="FW282" s="56"/>
      <c r="FX282" s="56"/>
      <c r="FY282" s="56"/>
      <c r="FZ282" s="56"/>
      <c r="GA282" s="55" t="str">
        <f t="shared" ref="GA282:GA295" si="15">A282</f>
        <v>4388426900451X</v>
      </c>
      <c r="GB282" t="str">
        <f>VLOOKUP(B282,수출코드!$C$2:$D$4,2,FALSE)</f>
        <v>Suwon</v>
      </c>
      <c r="GC282" t="str">
        <f>VLOOKUP(L282,수출코드!$A$2:$B$6,2,FALSE)</f>
        <v/>
      </c>
      <c r="GD282" t="str">
        <f>VLOOKUP(M282,수출코드!$E$2:$F$5,2,FALSE)</f>
        <v>일반</v>
      </c>
      <c r="GE282" s="61">
        <f t="shared" si="12"/>
        <v>45975.727777777778</v>
      </c>
      <c r="GF282" s="62">
        <f t="shared" si="13"/>
        <v>46050.482638888891</v>
      </c>
      <c r="GI282" s="48" t="s">
        <v>2805</v>
      </c>
    </row>
    <row r="283" spans="1:191">
      <c r="A283" s="48" t="s">
        <v>5031</v>
      </c>
      <c r="B283" s="48" t="s">
        <v>1821</v>
      </c>
      <c r="C283" s="48" t="s">
        <v>2048</v>
      </c>
      <c r="D283" s="48" t="s">
        <v>2813</v>
      </c>
      <c r="E283" s="48" t="s">
        <v>5031</v>
      </c>
      <c r="F283" s="48" t="s">
        <v>1710</v>
      </c>
      <c r="G283" s="48" t="s">
        <v>2814</v>
      </c>
      <c r="H283" s="48" t="s">
        <v>5032</v>
      </c>
      <c r="I283" s="48" t="s">
        <v>1884</v>
      </c>
      <c r="J283" s="48" t="s">
        <v>2816</v>
      </c>
      <c r="K283" s="48" t="s">
        <v>1877</v>
      </c>
      <c r="L283" s="48" t="s">
        <v>1842</v>
      </c>
      <c r="M283" s="48" t="s">
        <v>1810</v>
      </c>
      <c r="N283" s="48" t="s">
        <v>1842</v>
      </c>
      <c r="O283" s="48" t="s">
        <v>1811</v>
      </c>
      <c r="P283" s="48" t="s">
        <v>2549</v>
      </c>
      <c r="Q283" s="48" t="s">
        <v>2049</v>
      </c>
      <c r="R283" s="48" t="s">
        <v>1838</v>
      </c>
      <c r="S283" s="48" t="s">
        <v>2050</v>
      </c>
      <c r="T283" s="48" t="s">
        <v>1845</v>
      </c>
      <c r="U283" s="48" t="s">
        <v>2049</v>
      </c>
      <c r="V283" s="48" t="s">
        <v>1838</v>
      </c>
      <c r="W283" s="48" t="s">
        <v>2051</v>
      </c>
      <c r="X283" s="48" t="s">
        <v>2052</v>
      </c>
      <c r="Y283" s="48" t="s">
        <v>2050</v>
      </c>
      <c r="Z283" s="48" t="s">
        <v>2053</v>
      </c>
      <c r="AA283" s="48" t="s">
        <v>2054</v>
      </c>
      <c r="AB283" s="48" t="s">
        <v>2817</v>
      </c>
      <c r="AC283" s="48" t="s">
        <v>2055</v>
      </c>
      <c r="AD283" s="48" t="s">
        <v>2056</v>
      </c>
      <c r="AE283" s="48" t="s">
        <v>1710</v>
      </c>
      <c r="AF283" s="48" t="s">
        <v>1710</v>
      </c>
      <c r="AG283" s="48" t="s">
        <v>2057</v>
      </c>
      <c r="AH283" s="48" t="s">
        <v>1815</v>
      </c>
      <c r="AI283" s="48" t="s">
        <v>2058</v>
      </c>
      <c r="AJ283" s="48" t="s">
        <v>1710</v>
      </c>
      <c r="AK283" s="48" t="s">
        <v>2589</v>
      </c>
      <c r="AL283" s="48" t="s">
        <v>2590</v>
      </c>
      <c r="AM283" s="48" t="s">
        <v>1816</v>
      </c>
      <c r="AN283" s="48" t="s">
        <v>2054</v>
      </c>
      <c r="AO283" s="48" t="s">
        <v>1710</v>
      </c>
      <c r="AP283" s="48" t="s">
        <v>1843</v>
      </c>
      <c r="AQ283" s="48" t="s">
        <v>2079</v>
      </c>
      <c r="AR283" s="48" t="s">
        <v>1812</v>
      </c>
      <c r="AS283" s="48" t="s">
        <v>1813</v>
      </c>
      <c r="AT283" s="48" t="s">
        <v>1826</v>
      </c>
      <c r="AU283" s="48" t="s">
        <v>2061</v>
      </c>
      <c r="AV283" s="48" t="s">
        <v>2816</v>
      </c>
      <c r="AW283" s="48" t="s">
        <v>2062</v>
      </c>
      <c r="AX283" s="48" t="s">
        <v>2063</v>
      </c>
      <c r="AY283" s="48" t="s">
        <v>1710</v>
      </c>
      <c r="AZ283" s="48" t="s">
        <v>5033</v>
      </c>
      <c r="BA283" s="48" t="s">
        <v>1710</v>
      </c>
      <c r="BB283" s="48" t="s">
        <v>1709</v>
      </c>
      <c r="BC283" s="48" t="s">
        <v>1710</v>
      </c>
      <c r="BD283" s="48" t="s">
        <v>2089</v>
      </c>
      <c r="BE283" s="52" t="s">
        <v>5011</v>
      </c>
      <c r="BF283" s="48" t="s">
        <v>1710</v>
      </c>
      <c r="BG283" s="48" t="s">
        <v>1814</v>
      </c>
      <c r="BH283">
        <v>1</v>
      </c>
      <c r="BI283" s="48" t="s">
        <v>1888</v>
      </c>
      <c r="BJ283">
        <v>1</v>
      </c>
      <c r="BK283">
        <v>1473.06</v>
      </c>
      <c r="BL283">
        <v>120870</v>
      </c>
      <c r="BM283">
        <v>82</v>
      </c>
      <c r="BN283" s="48" t="s">
        <v>2064</v>
      </c>
      <c r="BO283" s="48" t="s">
        <v>2065</v>
      </c>
      <c r="BP283">
        <v>1473.06</v>
      </c>
      <c r="BQ283">
        <v>96.31</v>
      </c>
      <c r="BR283" s="48" t="s">
        <v>1885</v>
      </c>
      <c r="BS283" s="48" t="s">
        <v>2066</v>
      </c>
      <c r="BT283">
        <v>1</v>
      </c>
      <c r="BU283">
        <v>21000</v>
      </c>
      <c r="BV283">
        <v>21000</v>
      </c>
      <c r="BW283" s="48" t="s">
        <v>2065</v>
      </c>
      <c r="BX283">
        <v>1473.06</v>
      </c>
      <c r="BY283">
        <v>0</v>
      </c>
      <c r="BZ283">
        <v>0</v>
      </c>
      <c r="CA283" s="48" t="s">
        <v>2065</v>
      </c>
      <c r="CB283">
        <v>1473.06</v>
      </c>
      <c r="CC283">
        <v>0</v>
      </c>
      <c r="CD283">
        <v>0</v>
      </c>
      <c r="CE283" s="48" t="s">
        <v>1710</v>
      </c>
      <c r="CF283" s="48" t="s">
        <v>1710</v>
      </c>
      <c r="CG283" s="48" t="s">
        <v>1710</v>
      </c>
      <c r="CH283" s="48" t="s">
        <v>1710</v>
      </c>
      <c r="CI283" s="48" t="s">
        <v>2067</v>
      </c>
      <c r="CJ283" s="48" t="s">
        <v>1710</v>
      </c>
      <c r="CL283" s="48" t="s">
        <v>2816</v>
      </c>
      <c r="CM283" s="48" t="s">
        <v>1710</v>
      </c>
      <c r="CN283" s="48" t="s">
        <v>2068</v>
      </c>
      <c r="CO283" s="48" t="s">
        <v>2069</v>
      </c>
      <c r="CP283" s="48" t="s">
        <v>1710</v>
      </c>
      <c r="CQ283" s="48" t="s">
        <v>1710</v>
      </c>
      <c r="CR283" s="48" t="s">
        <v>1710</v>
      </c>
      <c r="CS283" s="48" t="s">
        <v>1710</v>
      </c>
      <c r="CT283" s="48" t="s">
        <v>1710</v>
      </c>
      <c r="CU283" s="48" t="s">
        <v>1712</v>
      </c>
      <c r="CV283" s="48" t="s">
        <v>1710</v>
      </c>
      <c r="CW283" s="48" t="s">
        <v>1710</v>
      </c>
      <c r="CX283" s="48" t="s">
        <v>2823</v>
      </c>
      <c r="CY283" s="48" t="s">
        <v>1710</v>
      </c>
      <c r="CZ283" s="48" t="s">
        <v>1712</v>
      </c>
      <c r="DA283" s="48" t="s">
        <v>1710</v>
      </c>
      <c r="DB283" s="48" t="s">
        <v>1878</v>
      </c>
      <c r="DC283" s="48" t="s">
        <v>2070</v>
      </c>
      <c r="DD283" s="48" t="s">
        <v>1842</v>
      </c>
      <c r="DE283" s="48" t="s">
        <v>1886</v>
      </c>
      <c r="DF283" s="48" t="s">
        <v>5034</v>
      </c>
      <c r="DG283" s="48" t="s">
        <v>2071</v>
      </c>
      <c r="DH283" s="48" t="s">
        <v>1712</v>
      </c>
      <c r="DI283" s="48" t="s">
        <v>1710</v>
      </c>
      <c r="DJ283" s="48" t="s">
        <v>1710</v>
      </c>
      <c r="DK283" s="48" t="s">
        <v>1710</v>
      </c>
      <c r="DL283" s="48" t="s">
        <v>1710</v>
      </c>
      <c r="DM283" s="48" t="s">
        <v>1710</v>
      </c>
      <c r="DN283" s="48" t="s">
        <v>1710</v>
      </c>
      <c r="DO283" s="48" t="s">
        <v>1710</v>
      </c>
      <c r="DP283" s="48" t="s">
        <v>1710</v>
      </c>
      <c r="DQ283" s="48" t="s">
        <v>1710</v>
      </c>
      <c r="DR283" s="48" t="s">
        <v>2072</v>
      </c>
      <c r="DS283" s="48" t="s">
        <v>1710</v>
      </c>
      <c r="DT283" s="48" t="s">
        <v>1710</v>
      </c>
      <c r="DU283" s="48" t="s">
        <v>2575</v>
      </c>
      <c r="DV283" s="48" t="s">
        <v>2816</v>
      </c>
      <c r="DW283" s="48" t="s">
        <v>1710</v>
      </c>
      <c r="DX283" s="48" t="s">
        <v>5035</v>
      </c>
      <c r="DY283" s="48" t="s">
        <v>1709</v>
      </c>
      <c r="DZ283" s="48" t="s">
        <v>2562</v>
      </c>
      <c r="EA283" s="48" t="s">
        <v>2546</v>
      </c>
      <c r="EB283">
        <v>0</v>
      </c>
      <c r="EC283" s="48" t="s">
        <v>2575</v>
      </c>
      <c r="ED283" s="48" t="s">
        <v>5036</v>
      </c>
      <c r="EE283" s="48" t="s">
        <v>1814</v>
      </c>
      <c r="EF283" s="48" t="s">
        <v>5037</v>
      </c>
      <c r="EG283" s="48" t="s">
        <v>5033</v>
      </c>
      <c r="EH283">
        <v>0.14499999999999999</v>
      </c>
      <c r="EI283" s="48" t="s">
        <v>1888</v>
      </c>
      <c r="EJ283">
        <v>1</v>
      </c>
      <c r="EK283" s="48" t="s">
        <v>1887</v>
      </c>
      <c r="EL283">
        <v>1</v>
      </c>
      <c r="EM283" s="48" t="s">
        <v>1886</v>
      </c>
      <c r="EN283">
        <v>0.14499999999999999</v>
      </c>
      <c r="EO283" s="48" t="s">
        <v>5038</v>
      </c>
      <c r="EP283" s="48" t="s">
        <v>5039</v>
      </c>
      <c r="EQ283">
        <v>96.31</v>
      </c>
      <c r="ER283">
        <v>96.31</v>
      </c>
      <c r="ES283">
        <v>120870</v>
      </c>
      <c r="ET283">
        <v>82</v>
      </c>
      <c r="EU283" s="48" t="s">
        <v>1710</v>
      </c>
      <c r="EV283" s="48" t="s">
        <v>1710</v>
      </c>
      <c r="EW283" s="48" t="s">
        <v>1712</v>
      </c>
      <c r="EX283" s="48" t="s">
        <v>1710</v>
      </c>
      <c r="EY283" s="48" t="s">
        <v>1848</v>
      </c>
      <c r="EZ283" s="48" t="s">
        <v>1710</v>
      </c>
      <c r="FA283" s="48" t="s">
        <v>1710</v>
      </c>
      <c r="FB283" s="48" t="s">
        <v>1712</v>
      </c>
      <c r="FC283" s="48" t="s">
        <v>1710</v>
      </c>
      <c r="FD283" s="48" t="s">
        <v>1710</v>
      </c>
      <c r="FE283" s="48" t="s">
        <v>1814</v>
      </c>
      <c r="FF283" s="48" t="s">
        <v>1815</v>
      </c>
      <c r="FG283" s="48" t="s">
        <v>1710</v>
      </c>
      <c r="FH283">
        <v>1</v>
      </c>
      <c r="FI283" s="48" t="s">
        <v>1846</v>
      </c>
      <c r="FJ283">
        <v>96.31</v>
      </c>
      <c r="FK283">
        <v>96.31</v>
      </c>
      <c r="FL283" s="48" t="s">
        <v>5040</v>
      </c>
      <c r="FM283" s="48" t="s">
        <v>5039</v>
      </c>
      <c r="FN283" s="48" t="s">
        <v>1710</v>
      </c>
      <c r="FO283" s="48" t="s">
        <v>1710</v>
      </c>
      <c r="FP283" s="48" t="s">
        <v>1710</v>
      </c>
      <c r="FQ283" s="48" t="s">
        <v>1710</v>
      </c>
      <c r="FR283" s="48" t="s">
        <v>1710</v>
      </c>
      <c r="FS283" s="48" t="s">
        <v>1710</v>
      </c>
      <c r="FT283" s="48" t="s">
        <v>1710</v>
      </c>
      <c r="FU283" s="48" t="s">
        <v>1710</v>
      </c>
      <c r="FV283" s="48"/>
      <c r="FW283" s="56"/>
      <c r="FX283" s="56"/>
      <c r="FY283" s="56"/>
      <c r="FZ283" s="56"/>
      <c r="GA283" s="55" t="str">
        <f t="shared" si="15"/>
        <v>4388426900452X</v>
      </c>
      <c r="GB283" t="str">
        <f>VLOOKUP(B283,수출코드!$C$2:$D$4,2,FALSE)</f>
        <v>Suwon</v>
      </c>
      <c r="GC283" t="str">
        <f>VLOOKUP(L283,수출코드!$A$2:$B$6,2,FALSE)</f>
        <v/>
      </c>
      <c r="GD283" t="str">
        <f>VLOOKUP(M283,수출코드!$E$2:$F$5,2,FALSE)</f>
        <v>일반</v>
      </c>
      <c r="GE283" s="61">
        <f t="shared" si="12"/>
        <v>45975.727777777778</v>
      </c>
      <c r="GF283" s="62">
        <f t="shared" si="13"/>
        <v>46050.486805555556</v>
      </c>
      <c r="GI283" s="48" t="s">
        <v>2805</v>
      </c>
    </row>
    <row r="284" spans="1:191">
      <c r="A284" s="48" t="s">
        <v>5041</v>
      </c>
      <c r="B284" s="48" t="s">
        <v>1821</v>
      </c>
      <c r="C284" s="48" t="s">
        <v>2048</v>
      </c>
      <c r="D284" s="48" t="s">
        <v>2813</v>
      </c>
      <c r="E284" s="48" t="s">
        <v>5041</v>
      </c>
      <c r="F284" s="48" t="s">
        <v>1710</v>
      </c>
      <c r="G284" s="48" t="s">
        <v>2814</v>
      </c>
      <c r="H284" s="48" t="s">
        <v>5042</v>
      </c>
      <c r="I284" s="48" t="s">
        <v>1884</v>
      </c>
      <c r="J284" s="48" t="s">
        <v>2816</v>
      </c>
      <c r="K284" s="48" t="s">
        <v>1877</v>
      </c>
      <c r="L284" s="48" t="s">
        <v>1842</v>
      </c>
      <c r="M284" s="48" t="s">
        <v>1810</v>
      </c>
      <c r="N284" s="48" t="s">
        <v>1842</v>
      </c>
      <c r="O284" s="48" t="s">
        <v>1811</v>
      </c>
      <c r="P284" s="48" t="s">
        <v>2549</v>
      </c>
      <c r="Q284" s="48" t="s">
        <v>2049</v>
      </c>
      <c r="R284" s="48" t="s">
        <v>1838</v>
      </c>
      <c r="S284" s="48" t="s">
        <v>2050</v>
      </c>
      <c r="T284" s="48" t="s">
        <v>1845</v>
      </c>
      <c r="U284" s="48" t="s">
        <v>2049</v>
      </c>
      <c r="V284" s="48" t="s">
        <v>1838</v>
      </c>
      <c r="W284" s="48" t="s">
        <v>2051</v>
      </c>
      <c r="X284" s="48" t="s">
        <v>2052</v>
      </c>
      <c r="Y284" s="48" t="s">
        <v>2050</v>
      </c>
      <c r="Z284" s="48" t="s">
        <v>2053</v>
      </c>
      <c r="AA284" s="48" t="s">
        <v>2054</v>
      </c>
      <c r="AB284" s="48" t="s">
        <v>2817</v>
      </c>
      <c r="AC284" s="48" t="s">
        <v>2055</v>
      </c>
      <c r="AD284" s="48" t="s">
        <v>2056</v>
      </c>
      <c r="AE284" s="48" t="s">
        <v>1710</v>
      </c>
      <c r="AF284" s="48" t="s">
        <v>1710</v>
      </c>
      <c r="AG284" s="48" t="s">
        <v>2057</v>
      </c>
      <c r="AH284" s="48" t="s">
        <v>1815</v>
      </c>
      <c r="AI284" s="48" t="s">
        <v>2058</v>
      </c>
      <c r="AJ284" s="48" t="s">
        <v>1710</v>
      </c>
      <c r="AK284" s="48" t="s">
        <v>2095</v>
      </c>
      <c r="AL284" s="48" t="s">
        <v>1880</v>
      </c>
      <c r="AM284" s="48" t="s">
        <v>1816</v>
      </c>
      <c r="AN284" s="48" t="s">
        <v>2054</v>
      </c>
      <c r="AO284" s="48" t="s">
        <v>1710</v>
      </c>
      <c r="AP284" s="48" t="s">
        <v>1843</v>
      </c>
      <c r="AQ284" s="48" t="s">
        <v>2079</v>
      </c>
      <c r="AR284" s="48" t="s">
        <v>1812</v>
      </c>
      <c r="AS284" s="48" t="s">
        <v>1813</v>
      </c>
      <c r="AT284" s="48" t="s">
        <v>1826</v>
      </c>
      <c r="AU284" s="48" t="s">
        <v>2061</v>
      </c>
      <c r="AV284" s="48" t="s">
        <v>2816</v>
      </c>
      <c r="AW284" s="48" t="s">
        <v>2062</v>
      </c>
      <c r="AX284" s="48" t="s">
        <v>2063</v>
      </c>
      <c r="AY284" s="48" t="s">
        <v>1710</v>
      </c>
      <c r="AZ284" s="48" t="s">
        <v>5043</v>
      </c>
      <c r="BA284" s="48" t="s">
        <v>1710</v>
      </c>
      <c r="BB284" s="48" t="s">
        <v>1709</v>
      </c>
      <c r="BC284" s="48" t="s">
        <v>1710</v>
      </c>
      <c r="BD284" s="48" t="s">
        <v>2089</v>
      </c>
      <c r="BE284" s="52" t="s">
        <v>5011</v>
      </c>
      <c r="BF284" s="48" t="s">
        <v>1710</v>
      </c>
      <c r="BG284" s="48" t="s">
        <v>1814</v>
      </c>
      <c r="BH284">
        <v>1</v>
      </c>
      <c r="BI284" s="48" t="s">
        <v>1888</v>
      </c>
      <c r="BJ284">
        <v>1</v>
      </c>
      <c r="BK284">
        <v>1473.06</v>
      </c>
      <c r="BL284">
        <v>113210</v>
      </c>
      <c r="BM284">
        <v>77</v>
      </c>
      <c r="BN284" s="48" t="s">
        <v>2064</v>
      </c>
      <c r="BO284" s="48" t="s">
        <v>2065</v>
      </c>
      <c r="BP284">
        <v>1473.06</v>
      </c>
      <c r="BQ284">
        <v>91.11</v>
      </c>
      <c r="BR284" s="48" t="s">
        <v>1885</v>
      </c>
      <c r="BS284" s="48" t="s">
        <v>2066</v>
      </c>
      <c r="BT284">
        <v>1</v>
      </c>
      <c r="BU284">
        <v>21000</v>
      </c>
      <c r="BV284">
        <v>21000</v>
      </c>
      <c r="BW284" s="48" t="s">
        <v>2065</v>
      </c>
      <c r="BX284">
        <v>1473.06</v>
      </c>
      <c r="BY284">
        <v>0</v>
      </c>
      <c r="BZ284">
        <v>0</v>
      </c>
      <c r="CA284" s="48" t="s">
        <v>2065</v>
      </c>
      <c r="CB284">
        <v>1473.06</v>
      </c>
      <c r="CC284">
        <v>0</v>
      </c>
      <c r="CD284">
        <v>0</v>
      </c>
      <c r="CE284" s="48" t="s">
        <v>1710</v>
      </c>
      <c r="CF284" s="48" t="s">
        <v>1710</v>
      </c>
      <c r="CG284" s="48" t="s">
        <v>1710</v>
      </c>
      <c r="CH284" s="48" t="s">
        <v>1710</v>
      </c>
      <c r="CI284" s="48" t="s">
        <v>2067</v>
      </c>
      <c r="CJ284" s="48" t="s">
        <v>1710</v>
      </c>
      <c r="CL284" s="48" t="s">
        <v>2816</v>
      </c>
      <c r="CM284" s="48" t="s">
        <v>1710</v>
      </c>
      <c r="CN284" s="48" t="s">
        <v>2068</v>
      </c>
      <c r="CO284" s="48" t="s">
        <v>2069</v>
      </c>
      <c r="CP284" s="48" t="s">
        <v>1710</v>
      </c>
      <c r="CQ284" s="48" t="s">
        <v>1710</v>
      </c>
      <c r="CR284" s="48" t="s">
        <v>1710</v>
      </c>
      <c r="CS284" s="48" t="s">
        <v>1710</v>
      </c>
      <c r="CT284" s="48" t="s">
        <v>1710</v>
      </c>
      <c r="CU284" s="48" t="s">
        <v>1712</v>
      </c>
      <c r="CV284" s="48" t="s">
        <v>1710</v>
      </c>
      <c r="CW284" s="48" t="s">
        <v>1710</v>
      </c>
      <c r="CX284" s="48" t="s">
        <v>2823</v>
      </c>
      <c r="CY284" s="48" t="s">
        <v>1710</v>
      </c>
      <c r="CZ284" s="48" t="s">
        <v>1712</v>
      </c>
      <c r="DA284" s="48" t="s">
        <v>1710</v>
      </c>
      <c r="DB284" s="48" t="s">
        <v>1878</v>
      </c>
      <c r="DC284" s="48" t="s">
        <v>2070</v>
      </c>
      <c r="DD284" s="48" t="s">
        <v>1842</v>
      </c>
      <c r="DE284" s="48" t="s">
        <v>1886</v>
      </c>
      <c r="DF284" s="48" t="s">
        <v>5044</v>
      </c>
      <c r="DG284" s="48" t="s">
        <v>2071</v>
      </c>
      <c r="DH284" s="48" t="s">
        <v>1712</v>
      </c>
      <c r="DI284" s="48" t="s">
        <v>1710</v>
      </c>
      <c r="DJ284" s="48" t="s">
        <v>1710</v>
      </c>
      <c r="DK284" s="48" t="s">
        <v>1710</v>
      </c>
      <c r="DL284" s="48" t="s">
        <v>1710</v>
      </c>
      <c r="DM284" s="48" t="s">
        <v>1710</v>
      </c>
      <c r="DN284" s="48" t="s">
        <v>1710</v>
      </c>
      <c r="DO284" s="48" t="s">
        <v>1710</v>
      </c>
      <c r="DP284" s="48" t="s">
        <v>1710</v>
      </c>
      <c r="DQ284" s="48" t="s">
        <v>1710</v>
      </c>
      <c r="DR284" s="48" t="s">
        <v>2072</v>
      </c>
      <c r="DS284" s="48" t="s">
        <v>1710</v>
      </c>
      <c r="DT284" s="48" t="s">
        <v>1710</v>
      </c>
      <c r="DU284" s="48" t="s">
        <v>2575</v>
      </c>
      <c r="DV284" s="48" t="s">
        <v>2816</v>
      </c>
      <c r="DW284" s="48" t="s">
        <v>1710</v>
      </c>
      <c r="DX284" s="48" t="s">
        <v>5045</v>
      </c>
      <c r="DY284" s="48" t="s">
        <v>1709</v>
      </c>
      <c r="DZ284" s="48" t="s">
        <v>2562</v>
      </c>
      <c r="EA284" s="48" t="s">
        <v>2546</v>
      </c>
      <c r="EB284">
        <v>0</v>
      </c>
      <c r="EC284" s="48" t="s">
        <v>2575</v>
      </c>
      <c r="ED284" s="48" t="s">
        <v>5036</v>
      </c>
      <c r="EE284" s="48" t="s">
        <v>1814</v>
      </c>
      <c r="EF284" s="48" t="s">
        <v>5046</v>
      </c>
      <c r="EG284" s="48" t="s">
        <v>5043</v>
      </c>
      <c r="EH284">
        <v>4.0000000000000001E-3</v>
      </c>
      <c r="EI284" s="48" t="s">
        <v>1888</v>
      </c>
      <c r="EJ284">
        <v>0</v>
      </c>
      <c r="EK284" s="48" t="s">
        <v>1710</v>
      </c>
      <c r="EL284">
        <v>1</v>
      </c>
      <c r="EM284" s="48" t="s">
        <v>1886</v>
      </c>
      <c r="EN284">
        <v>4.0000000000000001E-3</v>
      </c>
      <c r="EO284" s="48" t="s">
        <v>5047</v>
      </c>
      <c r="EP284" s="48" t="s">
        <v>5048</v>
      </c>
      <c r="EQ284">
        <v>91.11</v>
      </c>
      <c r="ER284">
        <v>91.11</v>
      </c>
      <c r="ES284">
        <v>113210</v>
      </c>
      <c r="ET284">
        <v>77</v>
      </c>
      <c r="EU284" s="48" t="s">
        <v>1710</v>
      </c>
      <c r="EV284" s="48" t="s">
        <v>1710</v>
      </c>
      <c r="EW284" s="48" t="s">
        <v>1712</v>
      </c>
      <c r="EX284" s="48" t="s">
        <v>1710</v>
      </c>
      <c r="EY284" s="48" t="s">
        <v>1848</v>
      </c>
      <c r="EZ284" s="48" t="s">
        <v>1710</v>
      </c>
      <c r="FA284" s="48" t="s">
        <v>1710</v>
      </c>
      <c r="FB284" s="48" t="s">
        <v>1712</v>
      </c>
      <c r="FC284" s="48" t="s">
        <v>1710</v>
      </c>
      <c r="FD284" s="48" t="s">
        <v>1710</v>
      </c>
      <c r="FE284" s="48" t="s">
        <v>1814</v>
      </c>
      <c r="FF284" s="48" t="s">
        <v>1815</v>
      </c>
      <c r="FG284" s="48" t="s">
        <v>1710</v>
      </c>
      <c r="FH284">
        <v>4</v>
      </c>
      <c r="FI284" s="48" t="s">
        <v>1846</v>
      </c>
      <c r="FJ284">
        <v>91.11</v>
      </c>
      <c r="FK284">
        <v>22.777999999999999</v>
      </c>
      <c r="FL284" s="48" t="s">
        <v>5049</v>
      </c>
      <c r="FM284" s="48" t="s">
        <v>5048</v>
      </c>
      <c r="FN284" s="48" t="s">
        <v>1710</v>
      </c>
      <c r="FO284" s="48" t="s">
        <v>1710</v>
      </c>
      <c r="FP284" s="48" t="s">
        <v>1710</v>
      </c>
      <c r="FQ284" s="48" t="s">
        <v>1710</v>
      </c>
      <c r="FR284" s="48" t="s">
        <v>1710</v>
      </c>
      <c r="FS284" s="48" t="s">
        <v>1710</v>
      </c>
      <c r="FT284" s="48" t="s">
        <v>1710</v>
      </c>
      <c r="FU284" s="48" t="s">
        <v>1710</v>
      </c>
      <c r="FV284" s="48"/>
      <c r="FW284" s="56"/>
      <c r="FX284" s="56"/>
      <c r="FY284" s="56"/>
      <c r="FZ284" s="56"/>
      <c r="GA284" s="55" t="str">
        <f t="shared" si="15"/>
        <v>4388426900453X</v>
      </c>
      <c r="GB284" t="str">
        <f>VLOOKUP(B284,수출코드!$C$2:$D$4,2,FALSE)</f>
        <v>Suwon</v>
      </c>
      <c r="GC284" t="str">
        <f>VLOOKUP(L284,수출코드!$A$2:$B$6,2,FALSE)</f>
        <v/>
      </c>
      <c r="GD284" t="str">
        <f>VLOOKUP(M284,수출코드!$E$2:$F$5,2,FALSE)</f>
        <v>일반</v>
      </c>
      <c r="GE284" s="61">
        <f t="shared" si="12"/>
        <v>45975.727777777778</v>
      </c>
      <c r="GF284" s="62">
        <f t="shared" si="13"/>
        <v>46050.486805555556</v>
      </c>
      <c r="GI284" s="48" t="s">
        <v>2805</v>
      </c>
    </row>
    <row r="285" spans="1:191">
      <c r="A285" s="48" t="s">
        <v>5050</v>
      </c>
      <c r="B285" s="48" t="s">
        <v>1821</v>
      </c>
      <c r="C285" s="48" t="s">
        <v>2048</v>
      </c>
      <c r="D285" s="48" t="s">
        <v>2813</v>
      </c>
      <c r="E285" s="48" t="s">
        <v>5050</v>
      </c>
      <c r="F285" s="48" t="s">
        <v>1710</v>
      </c>
      <c r="G285" s="48" t="s">
        <v>2814</v>
      </c>
      <c r="H285" s="48" t="s">
        <v>5051</v>
      </c>
      <c r="I285" s="48" t="s">
        <v>1884</v>
      </c>
      <c r="J285" s="48" t="s">
        <v>2816</v>
      </c>
      <c r="K285" s="48" t="s">
        <v>1877</v>
      </c>
      <c r="L285" s="48" t="s">
        <v>1842</v>
      </c>
      <c r="M285" s="48" t="s">
        <v>1810</v>
      </c>
      <c r="N285" s="48" t="s">
        <v>1842</v>
      </c>
      <c r="O285" s="48" t="s">
        <v>1811</v>
      </c>
      <c r="P285" s="48" t="s">
        <v>2549</v>
      </c>
      <c r="Q285" s="48" t="s">
        <v>2049</v>
      </c>
      <c r="R285" s="48" t="s">
        <v>1838</v>
      </c>
      <c r="S285" s="48" t="s">
        <v>2050</v>
      </c>
      <c r="T285" s="48" t="s">
        <v>1845</v>
      </c>
      <c r="U285" s="48" t="s">
        <v>2049</v>
      </c>
      <c r="V285" s="48" t="s">
        <v>1838</v>
      </c>
      <c r="W285" s="48" t="s">
        <v>2051</v>
      </c>
      <c r="X285" s="48" t="s">
        <v>2052</v>
      </c>
      <c r="Y285" s="48" t="s">
        <v>2050</v>
      </c>
      <c r="Z285" s="48" t="s">
        <v>2053</v>
      </c>
      <c r="AA285" s="48" t="s">
        <v>2054</v>
      </c>
      <c r="AB285" s="48" t="s">
        <v>2817</v>
      </c>
      <c r="AC285" s="48" t="s">
        <v>2055</v>
      </c>
      <c r="AD285" s="48" t="s">
        <v>2056</v>
      </c>
      <c r="AE285" s="48" t="s">
        <v>1710</v>
      </c>
      <c r="AF285" s="48" t="s">
        <v>1710</v>
      </c>
      <c r="AG285" s="48" t="s">
        <v>2057</v>
      </c>
      <c r="AH285" s="48" t="s">
        <v>1815</v>
      </c>
      <c r="AI285" s="48" t="s">
        <v>2058</v>
      </c>
      <c r="AJ285" s="48" t="s">
        <v>1710</v>
      </c>
      <c r="AK285" s="48" t="s">
        <v>2090</v>
      </c>
      <c r="AL285" s="48" t="s">
        <v>2091</v>
      </c>
      <c r="AM285" s="48" t="s">
        <v>1816</v>
      </c>
      <c r="AN285" s="48" t="s">
        <v>2054</v>
      </c>
      <c r="AO285" s="48" t="s">
        <v>1710</v>
      </c>
      <c r="AP285" s="48" t="s">
        <v>1853</v>
      </c>
      <c r="AQ285" s="48" t="s">
        <v>2086</v>
      </c>
      <c r="AR285" s="48" t="s">
        <v>1812</v>
      </c>
      <c r="AS285" s="48" t="s">
        <v>1813</v>
      </c>
      <c r="AT285" s="48" t="s">
        <v>1826</v>
      </c>
      <c r="AU285" s="48" t="s">
        <v>2061</v>
      </c>
      <c r="AV285" s="48" t="s">
        <v>2816</v>
      </c>
      <c r="AW285" s="48" t="s">
        <v>2062</v>
      </c>
      <c r="AX285" s="48" t="s">
        <v>2063</v>
      </c>
      <c r="AY285" s="48" t="s">
        <v>1710</v>
      </c>
      <c r="AZ285" s="48" t="s">
        <v>5052</v>
      </c>
      <c r="BA285" s="48" t="s">
        <v>1710</v>
      </c>
      <c r="BB285" s="48" t="s">
        <v>1709</v>
      </c>
      <c r="BC285" s="48" t="s">
        <v>1710</v>
      </c>
      <c r="BD285" s="48" t="s">
        <v>2089</v>
      </c>
      <c r="BE285" s="52" t="s">
        <v>5011</v>
      </c>
      <c r="BF285" s="48" t="s">
        <v>1710</v>
      </c>
      <c r="BG285" s="48" t="s">
        <v>1818</v>
      </c>
      <c r="BH285">
        <v>11</v>
      </c>
      <c r="BI285" s="48" t="s">
        <v>1888</v>
      </c>
      <c r="BJ285">
        <v>1</v>
      </c>
      <c r="BK285">
        <v>1473.06</v>
      </c>
      <c r="BL285">
        <v>23032725</v>
      </c>
      <c r="BM285">
        <v>15636</v>
      </c>
      <c r="BN285" s="48" t="s">
        <v>2064</v>
      </c>
      <c r="BO285" s="48" t="s">
        <v>2065</v>
      </c>
      <c r="BP285">
        <v>1473.06</v>
      </c>
      <c r="BQ285">
        <v>15686.48</v>
      </c>
      <c r="BR285" s="48" t="s">
        <v>1885</v>
      </c>
      <c r="BS285" s="48" t="s">
        <v>2066</v>
      </c>
      <c r="BT285">
        <v>1</v>
      </c>
      <c r="BU285">
        <v>74400</v>
      </c>
      <c r="BV285">
        <v>74400</v>
      </c>
      <c r="BW285" s="48" t="s">
        <v>2065</v>
      </c>
      <c r="BX285">
        <v>1473.06</v>
      </c>
      <c r="BY285">
        <v>0</v>
      </c>
      <c r="BZ285">
        <v>0</v>
      </c>
      <c r="CA285" s="48" t="s">
        <v>2065</v>
      </c>
      <c r="CB285">
        <v>1473.06</v>
      </c>
      <c r="CC285">
        <v>0</v>
      </c>
      <c r="CD285">
        <v>0</v>
      </c>
      <c r="CE285" s="48" t="s">
        <v>1710</v>
      </c>
      <c r="CF285" s="48" t="s">
        <v>1710</v>
      </c>
      <c r="CG285" s="48" t="s">
        <v>1710</v>
      </c>
      <c r="CH285" s="48" t="s">
        <v>1710</v>
      </c>
      <c r="CI285" s="48" t="s">
        <v>2067</v>
      </c>
      <c r="CJ285" s="48" t="s">
        <v>1710</v>
      </c>
      <c r="CL285" s="48" t="s">
        <v>2816</v>
      </c>
      <c r="CM285" s="48" t="s">
        <v>1710</v>
      </c>
      <c r="CN285" s="48" t="s">
        <v>2068</v>
      </c>
      <c r="CO285" s="48" t="s">
        <v>2069</v>
      </c>
      <c r="CP285" s="48" t="s">
        <v>1710</v>
      </c>
      <c r="CQ285" s="48" t="s">
        <v>1710</v>
      </c>
      <c r="CR285" s="48" t="s">
        <v>1710</v>
      </c>
      <c r="CS285" s="48" t="s">
        <v>1710</v>
      </c>
      <c r="CT285" s="48" t="s">
        <v>1710</v>
      </c>
      <c r="CU285" s="48" t="s">
        <v>1712</v>
      </c>
      <c r="CV285" s="48" t="s">
        <v>1710</v>
      </c>
      <c r="CW285" s="48" t="s">
        <v>1710</v>
      </c>
      <c r="CX285" s="48" t="s">
        <v>2823</v>
      </c>
      <c r="CY285" s="48" t="s">
        <v>1710</v>
      </c>
      <c r="CZ285" s="48" t="s">
        <v>1712</v>
      </c>
      <c r="DA285" s="48" t="s">
        <v>1710</v>
      </c>
      <c r="DB285" s="48" t="s">
        <v>1878</v>
      </c>
      <c r="DC285" s="48" t="s">
        <v>2070</v>
      </c>
      <c r="DD285" s="48" t="s">
        <v>1842</v>
      </c>
      <c r="DE285" s="48" t="s">
        <v>1886</v>
      </c>
      <c r="DF285" s="48" t="s">
        <v>5053</v>
      </c>
      <c r="DG285" s="48" t="s">
        <v>2071</v>
      </c>
      <c r="DH285" s="48" t="s">
        <v>1712</v>
      </c>
      <c r="DI285" s="48" t="s">
        <v>1710</v>
      </c>
      <c r="DJ285" s="48" t="s">
        <v>1710</v>
      </c>
      <c r="DK285" s="48" t="s">
        <v>1710</v>
      </c>
      <c r="DL285" s="48" t="s">
        <v>1710</v>
      </c>
      <c r="DM285" s="48" t="s">
        <v>1710</v>
      </c>
      <c r="DN285" s="48" t="s">
        <v>1710</v>
      </c>
      <c r="DO285" s="48" t="s">
        <v>1710</v>
      </c>
      <c r="DP285" s="48" t="s">
        <v>1710</v>
      </c>
      <c r="DQ285" s="48" t="s">
        <v>1710</v>
      </c>
      <c r="DR285" s="48" t="s">
        <v>2072</v>
      </c>
      <c r="DS285" s="48" t="s">
        <v>1710</v>
      </c>
      <c r="DT285" s="48" t="s">
        <v>1710</v>
      </c>
      <c r="DU285" s="48" t="s">
        <v>2575</v>
      </c>
      <c r="DV285" s="48" t="s">
        <v>2816</v>
      </c>
      <c r="DW285" s="48" t="s">
        <v>1710</v>
      </c>
      <c r="DX285" s="48" t="s">
        <v>5054</v>
      </c>
      <c r="DY285" s="48" t="s">
        <v>1709</v>
      </c>
      <c r="DZ285" s="48" t="s">
        <v>2562</v>
      </c>
      <c r="EA285" s="48" t="s">
        <v>2546</v>
      </c>
      <c r="EB285">
        <v>0</v>
      </c>
      <c r="EC285" s="48" t="s">
        <v>2575</v>
      </c>
      <c r="ED285" s="48" t="s">
        <v>5055</v>
      </c>
      <c r="EE285" s="48" t="s">
        <v>1814</v>
      </c>
      <c r="EF285" s="48" t="s">
        <v>1881</v>
      </c>
      <c r="EG285" s="48" t="s">
        <v>5052</v>
      </c>
      <c r="EH285">
        <v>1.6E-2</v>
      </c>
      <c r="EI285" s="48" t="s">
        <v>1888</v>
      </c>
      <c r="EJ285">
        <v>0</v>
      </c>
      <c r="EK285" s="48" t="s">
        <v>1710</v>
      </c>
      <c r="EL285">
        <v>1</v>
      </c>
      <c r="EM285" s="48" t="s">
        <v>1886</v>
      </c>
      <c r="EN285">
        <v>1.6E-2</v>
      </c>
      <c r="EO285" s="48" t="s">
        <v>2523</v>
      </c>
      <c r="EP285" s="48" t="s">
        <v>5056</v>
      </c>
      <c r="EQ285">
        <v>156.16999999999999</v>
      </c>
      <c r="ER285">
        <v>156.16999999999999</v>
      </c>
      <c r="ES285">
        <v>229307</v>
      </c>
      <c r="ET285">
        <v>156</v>
      </c>
      <c r="EU285" s="48" t="s">
        <v>1710</v>
      </c>
      <c r="EV285" s="48" t="s">
        <v>1710</v>
      </c>
      <c r="EW285" s="48" t="s">
        <v>1712</v>
      </c>
      <c r="EX285" s="48" t="s">
        <v>1710</v>
      </c>
      <c r="EY285" s="48" t="s">
        <v>1853</v>
      </c>
      <c r="EZ285" s="48" t="s">
        <v>1710</v>
      </c>
      <c r="FA285" s="48" t="s">
        <v>1710</v>
      </c>
      <c r="FB285" s="48" t="s">
        <v>1712</v>
      </c>
      <c r="FC285" s="48" t="s">
        <v>1710</v>
      </c>
      <c r="FD285" s="48" t="s">
        <v>1710</v>
      </c>
      <c r="FE285" s="48" t="s">
        <v>1814</v>
      </c>
      <c r="FF285" s="48" t="s">
        <v>1815</v>
      </c>
      <c r="FG285" s="48" t="s">
        <v>1710</v>
      </c>
      <c r="FH285">
        <v>1</v>
      </c>
      <c r="FI285" s="48" t="s">
        <v>1846</v>
      </c>
      <c r="FJ285">
        <v>156.16999999999999</v>
      </c>
      <c r="FK285">
        <v>156.16999999999999</v>
      </c>
      <c r="FL285" s="48" t="s">
        <v>5057</v>
      </c>
      <c r="FM285" s="48" t="s">
        <v>5056</v>
      </c>
      <c r="FN285" s="48" t="s">
        <v>1710</v>
      </c>
      <c r="FO285" s="48" t="s">
        <v>1710</v>
      </c>
      <c r="FP285" s="48" t="s">
        <v>1710</v>
      </c>
      <c r="FQ285" s="48" t="s">
        <v>1710</v>
      </c>
      <c r="FR285" s="48" t="s">
        <v>1710</v>
      </c>
      <c r="FS285" s="48" t="s">
        <v>1710</v>
      </c>
      <c r="FT285" s="48" t="s">
        <v>1710</v>
      </c>
      <c r="FU285" s="48" t="s">
        <v>1710</v>
      </c>
      <c r="FV285" s="48"/>
      <c r="FW285" s="56"/>
      <c r="FX285" s="56"/>
      <c r="FY285" s="56"/>
      <c r="FZ285" s="56"/>
      <c r="GA285" s="55" t="str">
        <f t="shared" si="15"/>
        <v>4388426900454X</v>
      </c>
      <c r="GB285" t="str">
        <f>VLOOKUP(B285,수출코드!$C$2:$D$4,2,FALSE)</f>
        <v>Suwon</v>
      </c>
      <c r="GC285" t="str">
        <f>VLOOKUP(L285,수출코드!$A$2:$B$6,2,FALSE)</f>
        <v/>
      </c>
      <c r="GD285" t="str">
        <f>VLOOKUP(M285,수출코드!$E$2:$F$5,2,FALSE)</f>
        <v>일반</v>
      </c>
      <c r="GE285" s="61">
        <f t="shared" si="12"/>
        <v>45976.558333333334</v>
      </c>
      <c r="GF285" s="62">
        <f t="shared" si="13"/>
        <v>46050.489583333336</v>
      </c>
      <c r="GI285" s="48" t="s">
        <v>2806</v>
      </c>
    </row>
    <row r="286" spans="1:191">
      <c r="A286" s="48" t="s">
        <v>5058</v>
      </c>
      <c r="B286" s="48" t="s">
        <v>1821</v>
      </c>
      <c r="C286" s="48" t="s">
        <v>2048</v>
      </c>
      <c r="D286" s="48" t="s">
        <v>2813</v>
      </c>
      <c r="E286" s="48" t="s">
        <v>5058</v>
      </c>
      <c r="F286" s="48" t="s">
        <v>1710</v>
      </c>
      <c r="G286" s="48" t="s">
        <v>2814</v>
      </c>
      <c r="H286" s="48" t="s">
        <v>5059</v>
      </c>
      <c r="I286" s="48" t="s">
        <v>1884</v>
      </c>
      <c r="J286" s="48" t="s">
        <v>2816</v>
      </c>
      <c r="K286" s="48" t="s">
        <v>1877</v>
      </c>
      <c r="L286" s="48" t="s">
        <v>1842</v>
      </c>
      <c r="M286" s="48" t="s">
        <v>1810</v>
      </c>
      <c r="N286" s="48" t="s">
        <v>1842</v>
      </c>
      <c r="O286" s="48" t="s">
        <v>1811</v>
      </c>
      <c r="P286" s="48" t="s">
        <v>2549</v>
      </c>
      <c r="Q286" s="48" t="s">
        <v>2049</v>
      </c>
      <c r="R286" s="48" t="s">
        <v>1838</v>
      </c>
      <c r="S286" s="48" t="s">
        <v>2050</v>
      </c>
      <c r="T286" s="48" t="s">
        <v>1845</v>
      </c>
      <c r="U286" s="48" t="s">
        <v>2049</v>
      </c>
      <c r="V286" s="48" t="s">
        <v>1838</v>
      </c>
      <c r="W286" s="48" t="s">
        <v>2051</v>
      </c>
      <c r="X286" s="48" t="s">
        <v>2052</v>
      </c>
      <c r="Y286" s="48" t="s">
        <v>2050</v>
      </c>
      <c r="Z286" s="48" t="s">
        <v>2053</v>
      </c>
      <c r="AA286" s="48" t="s">
        <v>2054</v>
      </c>
      <c r="AB286" s="48" t="s">
        <v>2817</v>
      </c>
      <c r="AC286" s="48" t="s">
        <v>2055</v>
      </c>
      <c r="AD286" s="48" t="s">
        <v>2056</v>
      </c>
      <c r="AE286" s="48" t="s">
        <v>1710</v>
      </c>
      <c r="AF286" s="48" t="s">
        <v>1710</v>
      </c>
      <c r="AG286" s="48" t="s">
        <v>2057</v>
      </c>
      <c r="AH286" s="48" t="s">
        <v>1815</v>
      </c>
      <c r="AI286" s="48" t="s">
        <v>2058</v>
      </c>
      <c r="AJ286" s="48" t="s">
        <v>1710</v>
      </c>
      <c r="AK286" s="48" t="s">
        <v>2563</v>
      </c>
      <c r="AL286" s="48" t="s">
        <v>2564</v>
      </c>
      <c r="AM286" s="48" t="s">
        <v>1816</v>
      </c>
      <c r="AN286" s="48" t="s">
        <v>2054</v>
      </c>
      <c r="AO286" s="48" t="s">
        <v>1710</v>
      </c>
      <c r="AP286" s="48" t="s">
        <v>1855</v>
      </c>
      <c r="AQ286" s="48" t="s">
        <v>2076</v>
      </c>
      <c r="AR286" s="48" t="s">
        <v>1812</v>
      </c>
      <c r="AS286" s="48" t="s">
        <v>1813</v>
      </c>
      <c r="AT286" s="48" t="s">
        <v>1826</v>
      </c>
      <c r="AU286" s="48" t="s">
        <v>2061</v>
      </c>
      <c r="AV286" s="48" t="s">
        <v>2816</v>
      </c>
      <c r="AW286" s="48" t="s">
        <v>2062</v>
      </c>
      <c r="AX286" s="48" t="s">
        <v>2063</v>
      </c>
      <c r="AY286" s="48" t="s">
        <v>1710</v>
      </c>
      <c r="AZ286" s="48" t="s">
        <v>5060</v>
      </c>
      <c r="BA286" s="48" t="s">
        <v>1710</v>
      </c>
      <c r="BB286" s="48" t="s">
        <v>1709</v>
      </c>
      <c r="BC286" s="48" t="s">
        <v>1710</v>
      </c>
      <c r="BD286" s="48" t="s">
        <v>2089</v>
      </c>
      <c r="BE286" s="52" t="s">
        <v>5011</v>
      </c>
      <c r="BF286" s="48" t="s">
        <v>1710</v>
      </c>
      <c r="BG286" s="48" t="s">
        <v>1814</v>
      </c>
      <c r="BH286">
        <v>1</v>
      </c>
      <c r="BI286" s="48" t="s">
        <v>1888</v>
      </c>
      <c r="BJ286">
        <v>1</v>
      </c>
      <c r="BK286">
        <v>1473.06</v>
      </c>
      <c r="BL286">
        <v>396303</v>
      </c>
      <c r="BM286">
        <v>269</v>
      </c>
      <c r="BN286" s="48" t="s">
        <v>2064</v>
      </c>
      <c r="BO286" s="48" t="s">
        <v>2065</v>
      </c>
      <c r="BP286">
        <v>1473.06</v>
      </c>
      <c r="BQ286">
        <v>283.29000000000002</v>
      </c>
      <c r="BR286" s="48" t="s">
        <v>1885</v>
      </c>
      <c r="BS286" s="48" t="s">
        <v>2066</v>
      </c>
      <c r="BT286">
        <v>1</v>
      </c>
      <c r="BU286">
        <v>21000</v>
      </c>
      <c r="BV286">
        <v>21000</v>
      </c>
      <c r="BW286" s="48" t="s">
        <v>2065</v>
      </c>
      <c r="BX286">
        <v>1473.06</v>
      </c>
      <c r="BY286">
        <v>0</v>
      </c>
      <c r="BZ286">
        <v>0</v>
      </c>
      <c r="CA286" s="48" t="s">
        <v>2065</v>
      </c>
      <c r="CB286">
        <v>1473.06</v>
      </c>
      <c r="CC286">
        <v>0</v>
      </c>
      <c r="CD286">
        <v>0</v>
      </c>
      <c r="CE286" s="48" t="s">
        <v>1710</v>
      </c>
      <c r="CF286" s="48" t="s">
        <v>1710</v>
      </c>
      <c r="CG286" s="48" t="s">
        <v>1710</v>
      </c>
      <c r="CH286" s="48" t="s">
        <v>1710</v>
      </c>
      <c r="CI286" s="48" t="s">
        <v>2067</v>
      </c>
      <c r="CJ286" s="48" t="s">
        <v>1710</v>
      </c>
      <c r="CL286" s="48" t="s">
        <v>2816</v>
      </c>
      <c r="CM286" s="48" t="s">
        <v>1710</v>
      </c>
      <c r="CN286" s="48" t="s">
        <v>2068</v>
      </c>
      <c r="CO286" s="48" t="s">
        <v>2069</v>
      </c>
      <c r="CP286" s="48" t="s">
        <v>1710</v>
      </c>
      <c r="CQ286" s="48" t="s">
        <v>1710</v>
      </c>
      <c r="CR286" s="48" t="s">
        <v>1710</v>
      </c>
      <c r="CS286" s="48" t="s">
        <v>1710</v>
      </c>
      <c r="CT286" s="48" t="s">
        <v>1710</v>
      </c>
      <c r="CU286" s="48" t="s">
        <v>1712</v>
      </c>
      <c r="CV286" s="48" t="s">
        <v>1710</v>
      </c>
      <c r="CW286" s="48" t="s">
        <v>1710</v>
      </c>
      <c r="CX286" s="48" t="s">
        <v>2823</v>
      </c>
      <c r="CY286" s="48" t="s">
        <v>1710</v>
      </c>
      <c r="CZ286" s="48" t="s">
        <v>1712</v>
      </c>
      <c r="DA286" s="48" t="s">
        <v>1710</v>
      </c>
      <c r="DB286" s="48" t="s">
        <v>1878</v>
      </c>
      <c r="DC286" s="48" t="s">
        <v>2070</v>
      </c>
      <c r="DD286" s="48" t="s">
        <v>1842</v>
      </c>
      <c r="DE286" s="48" t="s">
        <v>1886</v>
      </c>
      <c r="DF286" s="48" t="s">
        <v>5061</v>
      </c>
      <c r="DG286" s="48" t="s">
        <v>2071</v>
      </c>
      <c r="DH286" s="48" t="s">
        <v>1712</v>
      </c>
      <c r="DI286" s="48" t="s">
        <v>1710</v>
      </c>
      <c r="DJ286" s="48" t="s">
        <v>1710</v>
      </c>
      <c r="DK286" s="48" t="s">
        <v>1710</v>
      </c>
      <c r="DL286" s="48" t="s">
        <v>1710</v>
      </c>
      <c r="DM286" s="48" t="s">
        <v>1710</v>
      </c>
      <c r="DN286" s="48" t="s">
        <v>1710</v>
      </c>
      <c r="DO286" s="48" t="s">
        <v>1710</v>
      </c>
      <c r="DP286" s="48" t="s">
        <v>1710</v>
      </c>
      <c r="DQ286" s="48" t="s">
        <v>1710</v>
      </c>
      <c r="DR286" s="48" t="s">
        <v>2072</v>
      </c>
      <c r="DS286" s="48" t="s">
        <v>1710</v>
      </c>
      <c r="DT286" s="48" t="s">
        <v>1710</v>
      </c>
      <c r="DU286" s="48" t="s">
        <v>2575</v>
      </c>
      <c r="DV286" s="48" t="s">
        <v>2816</v>
      </c>
      <c r="DW286" s="48" t="s">
        <v>1710</v>
      </c>
      <c r="DX286" s="48" t="s">
        <v>5062</v>
      </c>
      <c r="DY286" s="48" t="s">
        <v>1709</v>
      </c>
      <c r="DZ286" s="48" t="s">
        <v>2562</v>
      </c>
      <c r="EA286" s="48" t="s">
        <v>2546</v>
      </c>
      <c r="EB286">
        <v>0</v>
      </c>
      <c r="EC286" s="48" t="s">
        <v>2575</v>
      </c>
      <c r="ED286" s="48" t="s">
        <v>5036</v>
      </c>
      <c r="EE286" s="48" t="s">
        <v>1814</v>
      </c>
      <c r="EF286" s="48" t="s">
        <v>1864</v>
      </c>
      <c r="EG286" s="48" t="s">
        <v>5060</v>
      </c>
      <c r="EH286">
        <v>7.8E-2</v>
      </c>
      <c r="EI286" s="48" t="s">
        <v>1888</v>
      </c>
      <c r="EJ286">
        <v>3</v>
      </c>
      <c r="EK286" s="48" t="s">
        <v>1887</v>
      </c>
      <c r="EL286">
        <v>1</v>
      </c>
      <c r="EM286" s="48" t="s">
        <v>1886</v>
      </c>
      <c r="EN286">
        <v>7.8E-2</v>
      </c>
      <c r="EO286" s="48" t="s">
        <v>1865</v>
      </c>
      <c r="EP286" s="48" t="s">
        <v>2686</v>
      </c>
      <c r="EQ286">
        <v>283.29000000000002</v>
      </c>
      <c r="ER286">
        <v>283.29000000000002</v>
      </c>
      <c r="ES286">
        <v>396303</v>
      </c>
      <c r="ET286">
        <v>269</v>
      </c>
      <c r="EU286" s="48" t="s">
        <v>1710</v>
      </c>
      <c r="EV286" s="48" t="s">
        <v>1710</v>
      </c>
      <c r="EW286" s="48" t="s">
        <v>1712</v>
      </c>
      <c r="EX286" s="48" t="s">
        <v>1710</v>
      </c>
      <c r="EY286" s="48" t="s">
        <v>1853</v>
      </c>
      <c r="EZ286" s="48" t="s">
        <v>1710</v>
      </c>
      <c r="FA286" s="48" t="s">
        <v>1710</v>
      </c>
      <c r="FB286" s="48" t="s">
        <v>1712</v>
      </c>
      <c r="FC286" s="48" t="s">
        <v>1710</v>
      </c>
      <c r="FD286" s="48" t="s">
        <v>1710</v>
      </c>
      <c r="FE286" s="48" t="s">
        <v>1814</v>
      </c>
      <c r="FF286" s="48" t="s">
        <v>1815</v>
      </c>
      <c r="FG286" s="48" t="s">
        <v>1710</v>
      </c>
      <c r="FH286">
        <v>3</v>
      </c>
      <c r="FI286" s="48" t="s">
        <v>1846</v>
      </c>
      <c r="FJ286">
        <v>283.29000000000002</v>
      </c>
      <c r="FK286">
        <v>94.43</v>
      </c>
      <c r="FL286" s="48" t="s">
        <v>2687</v>
      </c>
      <c r="FM286" s="48" t="s">
        <v>2686</v>
      </c>
      <c r="FN286" s="48" t="s">
        <v>1710</v>
      </c>
      <c r="FO286" s="48" t="s">
        <v>1710</v>
      </c>
      <c r="FP286" s="48" t="s">
        <v>1710</v>
      </c>
      <c r="FQ286" s="48" t="s">
        <v>1710</v>
      </c>
      <c r="FR286" s="48" t="s">
        <v>1710</v>
      </c>
      <c r="FS286" s="48" t="s">
        <v>1710</v>
      </c>
      <c r="FT286" s="48" t="s">
        <v>1710</v>
      </c>
      <c r="FU286" s="48" t="s">
        <v>1710</v>
      </c>
      <c r="FV286" s="48"/>
      <c r="FW286" s="56"/>
      <c r="FX286" s="56"/>
      <c r="FY286" s="56"/>
      <c r="FZ286" s="56"/>
      <c r="GA286" s="55" t="str">
        <f t="shared" si="15"/>
        <v>4388426900455X</v>
      </c>
      <c r="GB286" t="str">
        <f>VLOOKUP(B286,수출코드!$C$2:$D$4,2,FALSE)</f>
        <v>Suwon</v>
      </c>
      <c r="GC286" t="str">
        <f>VLOOKUP(L286,수출코드!$A$2:$B$6,2,FALSE)</f>
        <v/>
      </c>
      <c r="GD286" t="str">
        <f>VLOOKUP(M286,수출코드!$E$2:$F$5,2,FALSE)</f>
        <v>일반</v>
      </c>
      <c r="GE286" s="61">
        <f t="shared" si="12"/>
        <v>45976.558333333334</v>
      </c>
      <c r="GF286" s="62">
        <f t="shared" si="13"/>
        <v>46050.486805555556</v>
      </c>
      <c r="GI286" s="48" t="s">
        <v>2806</v>
      </c>
    </row>
    <row r="287" spans="1:191">
      <c r="A287" s="48" t="s">
        <v>5063</v>
      </c>
      <c r="B287" s="48" t="s">
        <v>1821</v>
      </c>
      <c r="C287" s="48" t="s">
        <v>2048</v>
      </c>
      <c r="D287" s="48" t="s">
        <v>2813</v>
      </c>
      <c r="E287" s="48" t="s">
        <v>5063</v>
      </c>
      <c r="F287" s="48" t="s">
        <v>1710</v>
      </c>
      <c r="G287" s="48" t="s">
        <v>2814</v>
      </c>
      <c r="H287" s="48" t="s">
        <v>5064</v>
      </c>
      <c r="I287" s="48" t="s">
        <v>1884</v>
      </c>
      <c r="J287" s="48" t="s">
        <v>2816</v>
      </c>
      <c r="K287" s="48" t="s">
        <v>1877</v>
      </c>
      <c r="L287" s="48" t="s">
        <v>1842</v>
      </c>
      <c r="M287" s="48" t="s">
        <v>1810</v>
      </c>
      <c r="N287" s="48" t="s">
        <v>1842</v>
      </c>
      <c r="O287" s="48" t="s">
        <v>1811</v>
      </c>
      <c r="P287" s="48" t="s">
        <v>2549</v>
      </c>
      <c r="Q287" s="48" t="s">
        <v>2049</v>
      </c>
      <c r="R287" s="48" t="s">
        <v>1838</v>
      </c>
      <c r="S287" s="48" t="s">
        <v>2050</v>
      </c>
      <c r="T287" s="48" t="s">
        <v>1845</v>
      </c>
      <c r="U287" s="48" t="s">
        <v>2049</v>
      </c>
      <c r="V287" s="48" t="s">
        <v>1838</v>
      </c>
      <c r="W287" s="48" t="s">
        <v>2051</v>
      </c>
      <c r="X287" s="48" t="s">
        <v>2052</v>
      </c>
      <c r="Y287" s="48" t="s">
        <v>2050</v>
      </c>
      <c r="Z287" s="48" t="s">
        <v>2053</v>
      </c>
      <c r="AA287" s="48" t="s">
        <v>2054</v>
      </c>
      <c r="AB287" s="48" t="s">
        <v>2817</v>
      </c>
      <c r="AC287" s="48" t="s">
        <v>2055</v>
      </c>
      <c r="AD287" s="48" t="s">
        <v>2056</v>
      </c>
      <c r="AE287" s="48" t="s">
        <v>1710</v>
      </c>
      <c r="AF287" s="48" t="s">
        <v>1710</v>
      </c>
      <c r="AG287" s="48" t="s">
        <v>2057</v>
      </c>
      <c r="AH287" s="48" t="s">
        <v>1815</v>
      </c>
      <c r="AI287" s="48" t="s">
        <v>2058</v>
      </c>
      <c r="AJ287" s="48" t="s">
        <v>1710</v>
      </c>
      <c r="AK287" s="48" t="s">
        <v>2535</v>
      </c>
      <c r="AL287" s="48" t="s">
        <v>2536</v>
      </c>
      <c r="AM287" s="48" t="s">
        <v>1816</v>
      </c>
      <c r="AN287" s="48" t="s">
        <v>2054</v>
      </c>
      <c r="AO287" s="48" t="s">
        <v>1710</v>
      </c>
      <c r="AP287" s="48" t="s">
        <v>1853</v>
      </c>
      <c r="AQ287" s="48" t="s">
        <v>2086</v>
      </c>
      <c r="AR287" s="48" t="s">
        <v>1812</v>
      </c>
      <c r="AS287" s="48" t="s">
        <v>1813</v>
      </c>
      <c r="AT287" s="48" t="s">
        <v>1826</v>
      </c>
      <c r="AU287" s="48" t="s">
        <v>2061</v>
      </c>
      <c r="AV287" s="48" t="s">
        <v>2816</v>
      </c>
      <c r="AW287" s="48" t="s">
        <v>2062</v>
      </c>
      <c r="AX287" s="48" t="s">
        <v>2063</v>
      </c>
      <c r="AY287" s="48" t="s">
        <v>1710</v>
      </c>
      <c r="AZ287" s="48" t="s">
        <v>5065</v>
      </c>
      <c r="BA287" s="48" t="s">
        <v>1710</v>
      </c>
      <c r="BB287" s="48" t="s">
        <v>1709</v>
      </c>
      <c r="BC287" s="48" t="s">
        <v>1710</v>
      </c>
      <c r="BD287" s="48" t="s">
        <v>2089</v>
      </c>
      <c r="BE287" s="52" t="s">
        <v>5011</v>
      </c>
      <c r="BF287" s="48" t="s">
        <v>1710</v>
      </c>
      <c r="BG287" s="48" t="s">
        <v>1814</v>
      </c>
      <c r="BH287">
        <v>2</v>
      </c>
      <c r="BI287" s="48" t="s">
        <v>1888</v>
      </c>
      <c r="BJ287">
        <v>1</v>
      </c>
      <c r="BK287">
        <v>1473.06</v>
      </c>
      <c r="BL287">
        <v>1386673</v>
      </c>
      <c r="BM287">
        <v>941</v>
      </c>
      <c r="BN287" s="48" t="s">
        <v>2064</v>
      </c>
      <c r="BO287" s="48" t="s">
        <v>2065</v>
      </c>
      <c r="BP287">
        <v>1473.06</v>
      </c>
      <c r="BQ287">
        <v>961.45</v>
      </c>
      <c r="BR287" s="48" t="s">
        <v>1885</v>
      </c>
      <c r="BS287" s="48" t="s">
        <v>2066</v>
      </c>
      <c r="BT287">
        <v>1</v>
      </c>
      <c r="BU287">
        <v>29600</v>
      </c>
      <c r="BV287">
        <v>29600</v>
      </c>
      <c r="BW287" s="48" t="s">
        <v>2065</v>
      </c>
      <c r="BX287">
        <v>1473.06</v>
      </c>
      <c r="BY287">
        <v>0</v>
      </c>
      <c r="BZ287">
        <v>0</v>
      </c>
      <c r="CA287" s="48" t="s">
        <v>2065</v>
      </c>
      <c r="CB287">
        <v>1473.06</v>
      </c>
      <c r="CC287">
        <v>0</v>
      </c>
      <c r="CD287">
        <v>0</v>
      </c>
      <c r="CE287" s="48" t="s">
        <v>1710</v>
      </c>
      <c r="CF287" s="48" t="s">
        <v>1710</v>
      </c>
      <c r="CG287" s="48" t="s">
        <v>1710</v>
      </c>
      <c r="CH287" s="48" t="s">
        <v>1710</v>
      </c>
      <c r="CI287" s="48" t="s">
        <v>2067</v>
      </c>
      <c r="CJ287" s="48" t="s">
        <v>1710</v>
      </c>
      <c r="CL287" s="48" t="s">
        <v>2816</v>
      </c>
      <c r="CM287" s="48" t="s">
        <v>1710</v>
      </c>
      <c r="CN287" s="48" t="s">
        <v>2068</v>
      </c>
      <c r="CO287" s="48" t="s">
        <v>2069</v>
      </c>
      <c r="CP287" s="48" t="s">
        <v>1710</v>
      </c>
      <c r="CQ287" s="48" t="s">
        <v>1710</v>
      </c>
      <c r="CR287" s="48" t="s">
        <v>1710</v>
      </c>
      <c r="CS287" s="48" t="s">
        <v>1710</v>
      </c>
      <c r="CT287" s="48" t="s">
        <v>1710</v>
      </c>
      <c r="CU287" s="48" t="s">
        <v>1712</v>
      </c>
      <c r="CV287" s="48" t="s">
        <v>1710</v>
      </c>
      <c r="CW287" s="48" t="s">
        <v>1710</v>
      </c>
      <c r="CX287" s="48" t="s">
        <v>2823</v>
      </c>
      <c r="CY287" s="48" t="s">
        <v>1710</v>
      </c>
      <c r="CZ287" s="48" t="s">
        <v>1712</v>
      </c>
      <c r="DA287" s="48" t="s">
        <v>1710</v>
      </c>
      <c r="DB287" s="48" t="s">
        <v>1878</v>
      </c>
      <c r="DC287" s="48" t="s">
        <v>2070</v>
      </c>
      <c r="DD287" s="48" t="s">
        <v>1842</v>
      </c>
      <c r="DE287" s="48" t="s">
        <v>1886</v>
      </c>
      <c r="DF287" s="48" t="s">
        <v>5066</v>
      </c>
      <c r="DG287" s="48" t="s">
        <v>2071</v>
      </c>
      <c r="DH287" s="48" t="s">
        <v>1712</v>
      </c>
      <c r="DI287" s="48" t="s">
        <v>1710</v>
      </c>
      <c r="DJ287" s="48" t="s">
        <v>1710</v>
      </c>
      <c r="DK287" s="48" t="s">
        <v>1710</v>
      </c>
      <c r="DL287" s="48" t="s">
        <v>1710</v>
      </c>
      <c r="DM287" s="48" t="s">
        <v>1710</v>
      </c>
      <c r="DN287" s="48" t="s">
        <v>1710</v>
      </c>
      <c r="DO287" s="48" t="s">
        <v>1710</v>
      </c>
      <c r="DP287" s="48" t="s">
        <v>1710</v>
      </c>
      <c r="DQ287" s="48" t="s">
        <v>1710</v>
      </c>
      <c r="DR287" s="48" t="s">
        <v>2072</v>
      </c>
      <c r="DS287" s="48" t="s">
        <v>1710</v>
      </c>
      <c r="DT287" s="48" t="s">
        <v>1710</v>
      </c>
      <c r="DU287" s="48" t="s">
        <v>2575</v>
      </c>
      <c r="DV287" s="48" t="s">
        <v>2816</v>
      </c>
      <c r="DW287" s="48" t="s">
        <v>1710</v>
      </c>
      <c r="DX287" s="48" t="s">
        <v>5067</v>
      </c>
      <c r="DY287" s="48" t="s">
        <v>1709</v>
      </c>
      <c r="DZ287" s="48" t="s">
        <v>2562</v>
      </c>
      <c r="EA287" s="48" t="s">
        <v>2546</v>
      </c>
      <c r="EB287">
        <v>0</v>
      </c>
      <c r="EC287" s="48" t="s">
        <v>2575</v>
      </c>
      <c r="ED287" s="48" t="s">
        <v>5068</v>
      </c>
      <c r="EE287" s="48" t="s">
        <v>1814</v>
      </c>
      <c r="EF287" s="48" t="s">
        <v>5069</v>
      </c>
      <c r="EG287" s="48" t="s">
        <v>5065</v>
      </c>
      <c r="EH287">
        <v>0.25</v>
      </c>
      <c r="EI287" s="48" t="s">
        <v>1888</v>
      </c>
      <c r="EJ287">
        <v>0</v>
      </c>
      <c r="EK287" s="48" t="s">
        <v>1710</v>
      </c>
      <c r="EL287">
        <v>1</v>
      </c>
      <c r="EM287" s="48" t="s">
        <v>1886</v>
      </c>
      <c r="EN287">
        <v>0.25</v>
      </c>
      <c r="EO287" s="48" t="s">
        <v>5070</v>
      </c>
      <c r="EP287" s="48" t="s">
        <v>5071</v>
      </c>
      <c r="EQ287">
        <v>961.45</v>
      </c>
      <c r="ER287">
        <v>961.45</v>
      </c>
      <c r="ES287">
        <v>1386673</v>
      </c>
      <c r="ET287">
        <v>941</v>
      </c>
      <c r="EU287" s="48" t="s">
        <v>1710</v>
      </c>
      <c r="EV287" s="48" t="s">
        <v>1710</v>
      </c>
      <c r="EW287" s="48" t="s">
        <v>1712</v>
      </c>
      <c r="EX287" s="48" t="s">
        <v>1710</v>
      </c>
      <c r="EY287" s="48" t="s">
        <v>1860</v>
      </c>
      <c r="EZ287" s="48" t="s">
        <v>1710</v>
      </c>
      <c r="FA287" s="48" t="s">
        <v>1710</v>
      </c>
      <c r="FB287" s="48" t="s">
        <v>1712</v>
      </c>
      <c r="FC287" s="48" t="s">
        <v>1710</v>
      </c>
      <c r="FD287" s="48" t="s">
        <v>1710</v>
      </c>
      <c r="FE287" s="48" t="s">
        <v>1814</v>
      </c>
      <c r="FF287" s="48" t="s">
        <v>1815</v>
      </c>
      <c r="FG287" s="48" t="s">
        <v>1710</v>
      </c>
      <c r="FH287">
        <v>1</v>
      </c>
      <c r="FI287" s="48" t="s">
        <v>1846</v>
      </c>
      <c r="FJ287">
        <v>961.45</v>
      </c>
      <c r="FK287">
        <v>961.45</v>
      </c>
      <c r="FL287" s="48" t="s">
        <v>5072</v>
      </c>
      <c r="FM287" s="48" t="s">
        <v>5071</v>
      </c>
      <c r="FN287" s="48" t="s">
        <v>1710</v>
      </c>
      <c r="FO287" s="48" t="s">
        <v>1710</v>
      </c>
      <c r="FP287" s="48" t="s">
        <v>1710</v>
      </c>
      <c r="FQ287" s="48" t="s">
        <v>1710</v>
      </c>
      <c r="FR287" s="48" t="s">
        <v>1710</v>
      </c>
      <c r="FS287" s="48" t="s">
        <v>1710</v>
      </c>
      <c r="FT287" s="48" t="s">
        <v>1710</v>
      </c>
      <c r="FU287" s="48" t="s">
        <v>1710</v>
      </c>
      <c r="FV287" s="48"/>
      <c r="FW287" s="56"/>
      <c r="FX287" s="56"/>
      <c r="FY287" s="56"/>
      <c r="FZ287" s="56"/>
      <c r="GA287" s="55" t="str">
        <f t="shared" si="15"/>
        <v>4388426900456X</v>
      </c>
      <c r="GB287" t="str">
        <f>VLOOKUP(B287,수출코드!$C$2:$D$4,2,FALSE)</f>
        <v>Suwon</v>
      </c>
      <c r="GC287" t="str">
        <f>VLOOKUP(L287,수출코드!$A$2:$B$6,2,FALSE)</f>
        <v/>
      </c>
      <c r="GD287" t="str">
        <f>VLOOKUP(M287,수출코드!$E$2:$F$5,2,FALSE)</f>
        <v>일반</v>
      </c>
      <c r="GE287" s="61">
        <f t="shared" si="12"/>
        <v>45976.558333333334</v>
      </c>
      <c r="GF287" s="62">
        <f t="shared" si="13"/>
        <v>46050.488888888889</v>
      </c>
      <c r="GI287" s="48" t="s">
        <v>2806</v>
      </c>
    </row>
    <row r="288" spans="1:191">
      <c r="A288" s="48" t="s">
        <v>5073</v>
      </c>
      <c r="B288" s="48" t="s">
        <v>1821</v>
      </c>
      <c r="C288" s="48" t="s">
        <v>2048</v>
      </c>
      <c r="D288" s="48" t="s">
        <v>2813</v>
      </c>
      <c r="E288" s="48" t="s">
        <v>5073</v>
      </c>
      <c r="F288" s="48" t="s">
        <v>1710</v>
      </c>
      <c r="G288" s="48" t="s">
        <v>2814</v>
      </c>
      <c r="H288" s="48" t="s">
        <v>5074</v>
      </c>
      <c r="I288" s="48" t="s">
        <v>1884</v>
      </c>
      <c r="J288" s="48" t="s">
        <v>2816</v>
      </c>
      <c r="K288" s="48" t="s">
        <v>1877</v>
      </c>
      <c r="L288" s="48" t="s">
        <v>1842</v>
      </c>
      <c r="M288" s="48" t="s">
        <v>1810</v>
      </c>
      <c r="N288" s="48" t="s">
        <v>1842</v>
      </c>
      <c r="O288" s="48" t="s">
        <v>1811</v>
      </c>
      <c r="P288" s="48" t="s">
        <v>2549</v>
      </c>
      <c r="Q288" s="48" t="s">
        <v>2049</v>
      </c>
      <c r="R288" s="48" t="s">
        <v>1838</v>
      </c>
      <c r="S288" s="48" t="s">
        <v>2050</v>
      </c>
      <c r="T288" s="48" t="s">
        <v>1845</v>
      </c>
      <c r="U288" s="48" t="s">
        <v>2049</v>
      </c>
      <c r="V288" s="48" t="s">
        <v>1838</v>
      </c>
      <c r="W288" s="48" t="s">
        <v>2051</v>
      </c>
      <c r="X288" s="48" t="s">
        <v>2052</v>
      </c>
      <c r="Y288" s="48" t="s">
        <v>2050</v>
      </c>
      <c r="Z288" s="48" t="s">
        <v>2053</v>
      </c>
      <c r="AA288" s="48" t="s">
        <v>2054</v>
      </c>
      <c r="AB288" s="48" t="s">
        <v>2817</v>
      </c>
      <c r="AC288" s="48" t="s">
        <v>2055</v>
      </c>
      <c r="AD288" s="48" t="s">
        <v>2056</v>
      </c>
      <c r="AE288" s="48" t="s">
        <v>1710</v>
      </c>
      <c r="AF288" s="48" t="s">
        <v>1710</v>
      </c>
      <c r="AG288" s="48" t="s">
        <v>2057</v>
      </c>
      <c r="AH288" s="48" t="s">
        <v>1815</v>
      </c>
      <c r="AI288" s="48" t="s">
        <v>2058</v>
      </c>
      <c r="AJ288" s="48" t="s">
        <v>1710</v>
      </c>
      <c r="AK288" s="48" t="s">
        <v>2560</v>
      </c>
      <c r="AL288" s="48" t="s">
        <v>2561</v>
      </c>
      <c r="AM288" s="48" t="s">
        <v>1816</v>
      </c>
      <c r="AN288" s="48" t="s">
        <v>2054</v>
      </c>
      <c r="AO288" s="48" t="s">
        <v>1710</v>
      </c>
      <c r="AP288" s="48" t="s">
        <v>1855</v>
      </c>
      <c r="AQ288" s="48" t="s">
        <v>2076</v>
      </c>
      <c r="AR288" s="48" t="s">
        <v>1812</v>
      </c>
      <c r="AS288" s="48" t="s">
        <v>1813</v>
      </c>
      <c r="AT288" s="48" t="s">
        <v>1826</v>
      </c>
      <c r="AU288" s="48" t="s">
        <v>2061</v>
      </c>
      <c r="AV288" s="48" t="s">
        <v>2816</v>
      </c>
      <c r="AW288" s="48" t="s">
        <v>2062</v>
      </c>
      <c r="AX288" s="48" t="s">
        <v>2063</v>
      </c>
      <c r="AY288" s="48" t="s">
        <v>1710</v>
      </c>
      <c r="AZ288" s="48" t="s">
        <v>5075</v>
      </c>
      <c r="BA288" s="48" t="s">
        <v>1710</v>
      </c>
      <c r="BB288" s="48" t="s">
        <v>1709</v>
      </c>
      <c r="BC288" s="48" t="s">
        <v>1710</v>
      </c>
      <c r="BD288" s="48" t="s">
        <v>2089</v>
      </c>
      <c r="BE288" s="52" t="s">
        <v>5011</v>
      </c>
      <c r="BF288" s="48" t="s">
        <v>1710</v>
      </c>
      <c r="BG288" s="48" t="s">
        <v>1814</v>
      </c>
      <c r="BH288">
        <v>4</v>
      </c>
      <c r="BI288" s="48" t="s">
        <v>1888</v>
      </c>
      <c r="BJ288">
        <v>1</v>
      </c>
      <c r="BK288">
        <v>1473.06</v>
      </c>
      <c r="BL288">
        <v>1666212</v>
      </c>
      <c r="BM288">
        <v>1131</v>
      </c>
      <c r="BN288" s="48" t="s">
        <v>2064</v>
      </c>
      <c r="BO288" s="48" t="s">
        <v>2065</v>
      </c>
      <c r="BP288">
        <v>1473.06</v>
      </c>
      <c r="BQ288">
        <v>1154.3399999999999</v>
      </c>
      <c r="BR288" s="48" t="s">
        <v>1885</v>
      </c>
      <c r="BS288" s="48" t="s">
        <v>2066</v>
      </c>
      <c r="BT288">
        <v>1</v>
      </c>
      <c r="BU288">
        <v>34200</v>
      </c>
      <c r="BV288">
        <v>34200</v>
      </c>
      <c r="BW288" s="48" t="s">
        <v>2065</v>
      </c>
      <c r="BX288">
        <v>1473.06</v>
      </c>
      <c r="BY288">
        <v>0</v>
      </c>
      <c r="BZ288">
        <v>0</v>
      </c>
      <c r="CA288" s="48" t="s">
        <v>2065</v>
      </c>
      <c r="CB288">
        <v>1473.06</v>
      </c>
      <c r="CC288">
        <v>0</v>
      </c>
      <c r="CD288">
        <v>0</v>
      </c>
      <c r="CE288" s="48" t="s">
        <v>1710</v>
      </c>
      <c r="CF288" s="48" t="s">
        <v>1710</v>
      </c>
      <c r="CG288" s="48" t="s">
        <v>1710</v>
      </c>
      <c r="CH288" s="48" t="s">
        <v>1710</v>
      </c>
      <c r="CI288" s="48" t="s">
        <v>2067</v>
      </c>
      <c r="CJ288" s="48" t="s">
        <v>1710</v>
      </c>
      <c r="CL288" s="48" t="s">
        <v>2816</v>
      </c>
      <c r="CM288" s="48" t="s">
        <v>1710</v>
      </c>
      <c r="CN288" s="48" t="s">
        <v>2068</v>
      </c>
      <c r="CO288" s="48" t="s">
        <v>2069</v>
      </c>
      <c r="CP288" s="48" t="s">
        <v>1710</v>
      </c>
      <c r="CQ288" s="48" t="s">
        <v>1710</v>
      </c>
      <c r="CR288" s="48" t="s">
        <v>1710</v>
      </c>
      <c r="CS288" s="48" t="s">
        <v>1710</v>
      </c>
      <c r="CT288" s="48" t="s">
        <v>1710</v>
      </c>
      <c r="CU288" s="48" t="s">
        <v>1712</v>
      </c>
      <c r="CV288" s="48" t="s">
        <v>1710</v>
      </c>
      <c r="CW288" s="48" t="s">
        <v>1710</v>
      </c>
      <c r="CX288" s="48" t="s">
        <v>2823</v>
      </c>
      <c r="CY288" s="48" t="s">
        <v>1710</v>
      </c>
      <c r="CZ288" s="48" t="s">
        <v>1712</v>
      </c>
      <c r="DA288" s="48" t="s">
        <v>1710</v>
      </c>
      <c r="DB288" s="48" t="s">
        <v>1878</v>
      </c>
      <c r="DC288" s="48" t="s">
        <v>2070</v>
      </c>
      <c r="DD288" s="48" t="s">
        <v>1842</v>
      </c>
      <c r="DE288" s="48" t="s">
        <v>1886</v>
      </c>
      <c r="DF288" s="48" t="s">
        <v>5076</v>
      </c>
      <c r="DG288" s="48" t="s">
        <v>2071</v>
      </c>
      <c r="DH288" s="48" t="s">
        <v>1712</v>
      </c>
      <c r="DI288" s="48" t="s">
        <v>1710</v>
      </c>
      <c r="DJ288" s="48" t="s">
        <v>1710</v>
      </c>
      <c r="DK288" s="48" t="s">
        <v>1710</v>
      </c>
      <c r="DL288" s="48" t="s">
        <v>1710</v>
      </c>
      <c r="DM288" s="48" t="s">
        <v>1710</v>
      </c>
      <c r="DN288" s="48" t="s">
        <v>1710</v>
      </c>
      <c r="DO288" s="48" t="s">
        <v>1710</v>
      </c>
      <c r="DP288" s="48" t="s">
        <v>1710</v>
      </c>
      <c r="DQ288" s="48" t="s">
        <v>1710</v>
      </c>
      <c r="DR288" s="48" t="s">
        <v>2072</v>
      </c>
      <c r="DS288" s="48" t="s">
        <v>1710</v>
      </c>
      <c r="DT288" s="48" t="s">
        <v>1710</v>
      </c>
      <c r="DU288" s="48" t="s">
        <v>2575</v>
      </c>
      <c r="DV288" s="48" t="s">
        <v>2816</v>
      </c>
      <c r="DW288" s="48" t="s">
        <v>1710</v>
      </c>
      <c r="DX288" s="48" t="s">
        <v>5077</v>
      </c>
      <c r="DY288" s="48" t="s">
        <v>1709</v>
      </c>
      <c r="DZ288" s="48" t="s">
        <v>2562</v>
      </c>
      <c r="EA288" s="48" t="s">
        <v>2546</v>
      </c>
      <c r="EB288">
        <v>0</v>
      </c>
      <c r="EC288" s="48" t="s">
        <v>2575</v>
      </c>
      <c r="ED288" s="48" t="s">
        <v>5068</v>
      </c>
      <c r="EE288" s="48" t="s">
        <v>1814</v>
      </c>
      <c r="EF288" s="48" t="s">
        <v>1881</v>
      </c>
      <c r="EG288" s="48" t="s">
        <v>5075</v>
      </c>
      <c r="EH288">
        <v>2</v>
      </c>
      <c r="EI288" s="48" t="s">
        <v>1888</v>
      </c>
      <c r="EJ288">
        <v>0</v>
      </c>
      <c r="EK288" s="48" t="s">
        <v>1710</v>
      </c>
      <c r="EL288">
        <v>1</v>
      </c>
      <c r="EM288" s="48" t="s">
        <v>1886</v>
      </c>
      <c r="EN288">
        <v>2</v>
      </c>
      <c r="EO288" s="48" t="s">
        <v>2601</v>
      </c>
      <c r="EP288" s="48" t="s">
        <v>3882</v>
      </c>
      <c r="EQ288">
        <v>1154.3399999999999</v>
      </c>
      <c r="ER288">
        <v>1154.3399999999999</v>
      </c>
      <c r="ES288">
        <v>1666212</v>
      </c>
      <c r="ET288">
        <v>1131</v>
      </c>
      <c r="EU288" s="48" t="s">
        <v>1710</v>
      </c>
      <c r="EV288" s="48" t="s">
        <v>1710</v>
      </c>
      <c r="EW288" s="48" t="s">
        <v>1712</v>
      </c>
      <c r="EX288" s="48" t="s">
        <v>1710</v>
      </c>
      <c r="EY288" s="48" t="s">
        <v>1848</v>
      </c>
      <c r="EZ288" s="48" t="s">
        <v>1710</v>
      </c>
      <c r="FA288" s="48" t="s">
        <v>1710</v>
      </c>
      <c r="FB288" s="48" t="s">
        <v>1712</v>
      </c>
      <c r="FC288" s="48" t="s">
        <v>1710</v>
      </c>
      <c r="FD288" s="48" t="s">
        <v>1710</v>
      </c>
      <c r="FE288" s="48" t="s">
        <v>1814</v>
      </c>
      <c r="FF288" s="48" t="s">
        <v>1815</v>
      </c>
      <c r="FG288" s="48" t="s">
        <v>1710</v>
      </c>
      <c r="FH288">
        <v>1</v>
      </c>
      <c r="FI288" s="48" t="s">
        <v>1846</v>
      </c>
      <c r="FJ288">
        <v>1154.3399999999999</v>
      </c>
      <c r="FK288">
        <v>1154.3399999999999</v>
      </c>
      <c r="FL288" s="48" t="s">
        <v>3883</v>
      </c>
      <c r="FM288" s="48" t="s">
        <v>3882</v>
      </c>
      <c r="FN288" s="48" t="s">
        <v>1710</v>
      </c>
      <c r="FO288" s="48" t="s">
        <v>1710</v>
      </c>
      <c r="FP288" s="48" t="s">
        <v>1710</v>
      </c>
      <c r="FQ288" s="48" t="s">
        <v>1710</v>
      </c>
      <c r="FR288" s="48" t="s">
        <v>1710</v>
      </c>
      <c r="FS288" s="48" t="s">
        <v>1710</v>
      </c>
      <c r="FT288" s="48" t="s">
        <v>1710</v>
      </c>
      <c r="FU288" s="48" t="s">
        <v>1710</v>
      </c>
      <c r="FV288" s="48"/>
      <c r="FW288" s="56"/>
      <c r="FX288" s="56"/>
      <c r="FY288" s="56"/>
      <c r="FZ288" s="56"/>
      <c r="GA288" s="55" t="str">
        <f t="shared" si="15"/>
        <v>4388426900457X</v>
      </c>
      <c r="GB288" t="str">
        <f>VLOOKUP(B288,수출코드!$C$2:$D$4,2,FALSE)</f>
        <v>Suwon</v>
      </c>
      <c r="GC288" t="str">
        <f>VLOOKUP(L288,수출코드!$A$2:$B$6,2,FALSE)</f>
        <v/>
      </c>
      <c r="GD288" t="str">
        <f>VLOOKUP(M288,수출코드!$E$2:$F$5,2,FALSE)</f>
        <v>일반</v>
      </c>
      <c r="GE288" s="61">
        <f t="shared" si="12"/>
        <v>45976.558333333334</v>
      </c>
      <c r="GF288" s="62">
        <f t="shared" si="13"/>
        <v>46050.488888888889</v>
      </c>
      <c r="GI288" s="48" t="s">
        <v>2806</v>
      </c>
    </row>
    <row r="289" spans="1:191">
      <c r="A289" s="48" t="s">
        <v>5078</v>
      </c>
      <c r="B289" s="48" t="s">
        <v>1821</v>
      </c>
      <c r="C289" s="48" t="s">
        <v>2048</v>
      </c>
      <c r="D289" s="48" t="s">
        <v>2813</v>
      </c>
      <c r="E289" s="48" t="s">
        <v>5078</v>
      </c>
      <c r="F289" s="48" t="s">
        <v>1710</v>
      </c>
      <c r="G289" s="48" t="s">
        <v>2814</v>
      </c>
      <c r="H289" s="48" t="s">
        <v>5079</v>
      </c>
      <c r="I289" s="48" t="s">
        <v>1884</v>
      </c>
      <c r="J289" s="48" t="s">
        <v>2816</v>
      </c>
      <c r="K289" s="48" t="s">
        <v>1877</v>
      </c>
      <c r="L289" s="48" t="s">
        <v>1842</v>
      </c>
      <c r="M289" s="48" t="s">
        <v>1810</v>
      </c>
      <c r="N289" s="48" t="s">
        <v>1842</v>
      </c>
      <c r="O289" s="48" t="s">
        <v>1811</v>
      </c>
      <c r="P289" s="48" t="s">
        <v>2549</v>
      </c>
      <c r="Q289" s="48" t="s">
        <v>2049</v>
      </c>
      <c r="R289" s="48" t="s">
        <v>1838</v>
      </c>
      <c r="S289" s="48" t="s">
        <v>2050</v>
      </c>
      <c r="T289" s="48" t="s">
        <v>1845</v>
      </c>
      <c r="U289" s="48" t="s">
        <v>2049</v>
      </c>
      <c r="V289" s="48" t="s">
        <v>1838</v>
      </c>
      <c r="W289" s="48" t="s">
        <v>2051</v>
      </c>
      <c r="X289" s="48" t="s">
        <v>2052</v>
      </c>
      <c r="Y289" s="48" t="s">
        <v>2050</v>
      </c>
      <c r="Z289" s="48" t="s">
        <v>2053</v>
      </c>
      <c r="AA289" s="48" t="s">
        <v>2054</v>
      </c>
      <c r="AB289" s="48" t="s">
        <v>2817</v>
      </c>
      <c r="AC289" s="48" t="s">
        <v>2055</v>
      </c>
      <c r="AD289" s="48" t="s">
        <v>2056</v>
      </c>
      <c r="AE289" s="48" t="s">
        <v>1710</v>
      </c>
      <c r="AF289" s="48" t="s">
        <v>1710</v>
      </c>
      <c r="AG289" s="48" t="s">
        <v>2057</v>
      </c>
      <c r="AH289" s="48" t="s">
        <v>1815</v>
      </c>
      <c r="AI289" s="48" t="s">
        <v>2058</v>
      </c>
      <c r="AJ289" s="48" t="s">
        <v>1710</v>
      </c>
      <c r="AK289" s="48" t="s">
        <v>2096</v>
      </c>
      <c r="AL289" s="48" t="s">
        <v>1856</v>
      </c>
      <c r="AM289" s="48" t="s">
        <v>1816</v>
      </c>
      <c r="AN289" s="48" t="s">
        <v>2054</v>
      </c>
      <c r="AO289" s="48" t="s">
        <v>1710</v>
      </c>
      <c r="AP289" s="48" t="s">
        <v>1855</v>
      </c>
      <c r="AQ289" s="48" t="s">
        <v>2076</v>
      </c>
      <c r="AR289" s="48" t="s">
        <v>1812</v>
      </c>
      <c r="AS289" s="48" t="s">
        <v>1813</v>
      </c>
      <c r="AT289" s="48" t="s">
        <v>1826</v>
      </c>
      <c r="AU289" s="48" t="s">
        <v>2061</v>
      </c>
      <c r="AV289" s="48" t="s">
        <v>2816</v>
      </c>
      <c r="AW289" s="48" t="s">
        <v>2062</v>
      </c>
      <c r="AX289" s="48" t="s">
        <v>2063</v>
      </c>
      <c r="AY289" s="48" t="s">
        <v>1710</v>
      </c>
      <c r="AZ289" s="48" t="s">
        <v>5080</v>
      </c>
      <c r="BA289" s="48" t="s">
        <v>1710</v>
      </c>
      <c r="BB289" s="48" t="s">
        <v>1709</v>
      </c>
      <c r="BC289" s="48" t="s">
        <v>1710</v>
      </c>
      <c r="BD289" s="48" t="s">
        <v>2089</v>
      </c>
      <c r="BE289" s="52" t="s">
        <v>5011</v>
      </c>
      <c r="BF289" s="48" t="s">
        <v>1710</v>
      </c>
      <c r="BG289" s="48" t="s">
        <v>1814</v>
      </c>
      <c r="BH289">
        <v>11</v>
      </c>
      <c r="BI289" s="48" t="s">
        <v>1888</v>
      </c>
      <c r="BJ289">
        <v>1</v>
      </c>
      <c r="BK289">
        <v>1473.06</v>
      </c>
      <c r="BL289">
        <v>6738063</v>
      </c>
      <c r="BM289">
        <v>4574</v>
      </c>
      <c r="BN289" s="48" t="s">
        <v>2064</v>
      </c>
      <c r="BO289" s="48" t="s">
        <v>2065</v>
      </c>
      <c r="BP289">
        <v>1473.06</v>
      </c>
      <c r="BQ289">
        <v>4617.37</v>
      </c>
      <c r="BR289" s="48" t="s">
        <v>1885</v>
      </c>
      <c r="BS289" s="48" t="s">
        <v>2066</v>
      </c>
      <c r="BT289">
        <v>1</v>
      </c>
      <c r="BU289">
        <v>63600</v>
      </c>
      <c r="BV289">
        <v>63600</v>
      </c>
      <c r="BW289" s="48" t="s">
        <v>2065</v>
      </c>
      <c r="BX289">
        <v>1473.06</v>
      </c>
      <c r="BY289">
        <v>0</v>
      </c>
      <c r="BZ289">
        <v>0</v>
      </c>
      <c r="CA289" s="48" t="s">
        <v>2065</v>
      </c>
      <c r="CB289">
        <v>1473.06</v>
      </c>
      <c r="CC289">
        <v>0</v>
      </c>
      <c r="CD289">
        <v>0</v>
      </c>
      <c r="CE289" s="48" t="s">
        <v>1710</v>
      </c>
      <c r="CF289" s="48" t="s">
        <v>1710</v>
      </c>
      <c r="CG289" s="48" t="s">
        <v>1710</v>
      </c>
      <c r="CH289" s="48" t="s">
        <v>1710</v>
      </c>
      <c r="CI289" s="48" t="s">
        <v>2067</v>
      </c>
      <c r="CJ289" s="48" t="s">
        <v>1710</v>
      </c>
      <c r="CL289" s="48" t="s">
        <v>2816</v>
      </c>
      <c r="CM289" s="48" t="s">
        <v>1710</v>
      </c>
      <c r="CN289" s="48" t="s">
        <v>2068</v>
      </c>
      <c r="CO289" s="48" t="s">
        <v>2069</v>
      </c>
      <c r="CP289" s="48" t="s">
        <v>1710</v>
      </c>
      <c r="CQ289" s="48" t="s">
        <v>1710</v>
      </c>
      <c r="CR289" s="48" t="s">
        <v>1710</v>
      </c>
      <c r="CS289" s="48" t="s">
        <v>1710</v>
      </c>
      <c r="CT289" s="48" t="s">
        <v>1710</v>
      </c>
      <c r="CU289" s="48" t="s">
        <v>1712</v>
      </c>
      <c r="CV289" s="48" t="s">
        <v>1710</v>
      </c>
      <c r="CW289" s="48" t="s">
        <v>1710</v>
      </c>
      <c r="CX289" s="48" t="s">
        <v>2823</v>
      </c>
      <c r="CY289" s="48" t="s">
        <v>1710</v>
      </c>
      <c r="CZ289" s="48" t="s">
        <v>1712</v>
      </c>
      <c r="DA289" s="48" t="s">
        <v>1710</v>
      </c>
      <c r="DB289" s="48" t="s">
        <v>1878</v>
      </c>
      <c r="DC289" s="48" t="s">
        <v>2070</v>
      </c>
      <c r="DD289" s="48" t="s">
        <v>1842</v>
      </c>
      <c r="DE289" s="48" t="s">
        <v>1886</v>
      </c>
      <c r="DF289" s="48" t="s">
        <v>5081</v>
      </c>
      <c r="DG289" s="48" t="s">
        <v>2071</v>
      </c>
      <c r="DH289" s="48" t="s">
        <v>1712</v>
      </c>
      <c r="DI289" s="48" t="s">
        <v>1710</v>
      </c>
      <c r="DJ289" s="48" t="s">
        <v>1710</v>
      </c>
      <c r="DK289" s="48" t="s">
        <v>1710</v>
      </c>
      <c r="DL289" s="48" t="s">
        <v>1710</v>
      </c>
      <c r="DM289" s="48" t="s">
        <v>1710</v>
      </c>
      <c r="DN289" s="48" t="s">
        <v>1710</v>
      </c>
      <c r="DO289" s="48" t="s">
        <v>1710</v>
      </c>
      <c r="DP289" s="48" t="s">
        <v>1710</v>
      </c>
      <c r="DQ289" s="48" t="s">
        <v>1710</v>
      </c>
      <c r="DR289" s="48" t="s">
        <v>2072</v>
      </c>
      <c r="DS289" s="48" t="s">
        <v>1710</v>
      </c>
      <c r="DT289" s="48" t="s">
        <v>1710</v>
      </c>
      <c r="DU289" s="48" t="s">
        <v>2575</v>
      </c>
      <c r="DV289" s="48" t="s">
        <v>2816</v>
      </c>
      <c r="DW289" s="48" t="s">
        <v>1710</v>
      </c>
      <c r="DX289" s="48" t="s">
        <v>5082</v>
      </c>
      <c r="DY289" s="48" t="s">
        <v>1709</v>
      </c>
      <c r="DZ289" s="48" t="s">
        <v>2562</v>
      </c>
      <c r="EA289" s="48" t="s">
        <v>2546</v>
      </c>
      <c r="EB289">
        <v>0</v>
      </c>
      <c r="EC289" s="48" t="s">
        <v>2575</v>
      </c>
      <c r="ED289" s="48" t="s">
        <v>5068</v>
      </c>
      <c r="EE289" s="48" t="s">
        <v>1814</v>
      </c>
      <c r="EF289" s="48" t="s">
        <v>1881</v>
      </c>
      <c r="EG289" s="48" t="s">
        <v>5080</v>
      </c>
      <c r="EH289">
        <v>8</v>
      </c>
      <c r="EI289" s="48" t="s">
        <v>1888</v>
      </c>
      <c r="EJ289">
        <v>0</v>
      </c>
      <c r="EK289" s="48" t="s">
        <v>1710</v>
      </c>
      <c r="EL289">
        <v>1</v>
      </c>
      <c r="EM289" s="48" t="s">
        <v>1886</v>
      </c>
      <c r="EN289">
        <v>8</v>
      </c>
      <c r="EO289" s="48" t="s">
        <v>2601</v>
      </c>
      <c r="EP289" s="48" t="s">
        <v>3882</v>
      </c>
      <c r="EQ289">
        <v>4617.37</v>
      </c>
      <c r="ER289">
        <v>4617.37</v>
      </c>
      <c r="ES289">
        <v>6738063</v>
      </c>
      <c r="ET289">
        <v>4574</v>
      </c>
      <c r="EU289" s="48" t="s">
        <v>1710</v>
      </c>
      <c r="EV289" s="48" t="s">
        <v>1710</v>
      </c>
      <c r="EW289" s="48" t="s">
        <v>1712</v>
      </c>
      <c r="EX289" s="48" t="s">
        <v>1710</v>
      </c>
      <c r="EY289" s="48" t="s">
        <v>1848</v>
      </c>
      <c r="EZ289" s="48" t="s">
        <v>1710</v>
      </c>
      <c r="FA289" s="48" t="s">
        <v>1710</v>
      </c>
      <c r="FB289" s="48" t="s">
        <v>1712</v>
      </c>
      <c r="FC289" s="48" t="s">
        <v>1710</v>
      </c>
      <c r="FD289" s="48" t="s">
        <v>1710</v>
      </c>
      <c r="FE289" s="48" t="s">
        <v>1814</v>
      </c>
      <c r="FF289" s="48" t="s">
        <v>1815</v>
      </c>
      <c r="FG289" s="48" t="s">
        <v>1710</v>
      </c>
      <c r="FH289">
        <v>4</v>
      </c>
      <c r="FI289" s="48" t="s">
        <v>1846</v>
      </c>
      <c r="FJ289">
        <v>4617.37</v>
      </c>
      <c r="FK289">
        <v>1154.3430000000001</v>
      </c>
      <c r="FL289" s="48" t="s">
        <v>3883</v>
      </c>
      <c r="FM289" s="48" t="s">
        <v>3882</v>
      </c>
      <c r="FN289" s="48" t="s">
        <v>1710</v>
      </c>
      <c r="FO289" s="48" t="s">
        <v>1710</v>
      </c>
      <c r="FP289" s="48" t="s">
        <v>1710</v>
      </c>
      <c r="FQ289" s="48" t="s">
        <v>1710</v>
      </c>
      <c r="FR289" s="48" t="s">
        <v>1710</v>
      </c>
      <c r="FS289" s="48" t="s">
        <v>1710</v>
      </c>
      <c r="FT289" s="48" t="s">
        <v>1710</v>
      </c>
      <c r="FU289" s="48" t="s">
        <v>1710</v>
      </c>
      <c r="FV289" s="48"/>
      <c r="FW289" s="56"/>
      <c r="FX289" s="56"/>
      <c r="FY289" s="56"/>
      <c r="FZ289" s="56"/>
      <c r="GA289" s="55" t="str">
        <f t="shared" si="15"/>
        <v>4388426900458X</v>
      </c>
      <c r="GB289" t="str">
        <f>VLOOKUP(B289,수출코드!$C$2:$D$4,2,FALSE)</f>
        <v>Suwon</v>
      </c>
      <c r="GC289" t="str">
        <f>VLOOKUP(L289,수출코드!$A$2:$B$6,2,FALSE)</f>
        <v/>
      </c>
      <c r="GD289" t="str">
        <f>VLOOKUP(M289,수출코드!$E$2:$F$5,2,FALSE)</f>
        <v>일반</v>
      </c>
      <c r="GE289" s="61">
        <f t="shared" si="12"/>
        <v>45976.676388888889</v>
      </c>
      <c r="GF289" s="62">
        <f t="shared" si="13"/>
        <v>46050.488888888889</v>
      </c>
      <c r="GI289" s="48" t="s">
        <v>2807</v>
      </c>
    </row>
    <row r="290" spans="1:191">
      <c r="A290" s="48" t="s">
        <v>5083</v>
      </c>
      <c r="B290" s="48" t="s">
        <v>1821</v>
      </c>
      <c r="C290" s="48" t="s">
        <v>2048</v>
      </c>
      <c r="D290" s="48" t="s">
        <v>2813</v>
      </c>
      <c r="E290" s="48" t="s">
        <v>5083</v>
      </c>
      <c r="F290" s="48" t="s">
        <v>1710</v>
      </c>
      <c r="G290" s="48" t="s">
        <v>2814</v>
      </c>
      <c r="H290" s="48" t="s">
        <v>5084</v>
      </c>
      <c r="I290" s="48" t="s">
        <v>1884</v>
      </c>
      <c r="J290" s="48" t="s">
        <v>2816</v>
      </c>
      <c r="K290" s="48" t="s">
        <v>1877</v>
      </c>
      <c r="L290" s="48" t="s">
        <v>1842</v>
      </c>
      <c r="M290" s="48" t="s">
        <v>1822</v>
      </c>
      <c r="N290" s="48" t="s">
        <v>1842</v>
      </c>
      <c r="O290" s="48" t="s">
        <v>1823</v>
      </c>
      <c r="P290" s="48" t="s">
        <v>2549</v>
      </c>
      <c r="Q290" s="48" t="s">
        <v>2049</v>
      </c>
      <c r="R290" s="48" t="s">
        <v>1838</v>
      </c>
      <c r="S290" s="48" t="s">
        <v>2050</v>
      </c>
      <c r="T290" s="48" t="s">
        <v>1845</v>
      </c>
      <c r="U290" s="48" t="s">
        <v>2049</v>
      </c>
      <c r="V290" s="48" t="s">
        <v>1838</v>
      </c>
      <c r="W290" s="48" t="s">
        <v>2051</v>
      </c>
      <c r="X290" s="48" t="s">
        <v>2052</v>
      </c>
      <c r="Y290" s="48" t="s">
        <v>2050</v>
      </c>
      <c r="Z290" s="48" t="s">
        <v>2053</v>
      </c>
      <c r="AA290" s="48" t="s">
        <v>2054</v>
      </c>
      <c r="AB290" s="48" t="s">
        <v>2817</v>
      </c>
      <c r="AC290" s="48" t="s">
        <v>2055</v>
      </c>
      <c r="AD290" s="48" t="s">
        <v>2056</v>
      </c>
      <c r="AE290" s="48" t="s">
        <v>1710</v>
      </c>
      <c r="AF290" s="48" t="s">
        <v>1710</v>
      </c>
      <c r="AG290" s="48" t="s">
        <v>2057</v>
      </c>
      <c r="AH290" s="48" t="s">
        <v>1815</v>
      </c>
      <c r="AI290" s="48" t="s">
        <v>2058</v>
      </c>
      <c r="AJ290" s="48" t="s">
        <v>1710</v>
      </c>
      <c r="AK290" s="48" t="s">
        <v>2563</v>
      </c>
      <c r="AL290" s="48" t="s">
        <v>2564</v>
      </c>
      <c r="AM290" s="48" t="s">
        <v>1816</v>
      </c>
      <c r="AN290" s="48" t="s">
        <v>2054</v>
      </c>
      <c r="AO290" s="48" t="s">
        <v>1710</v>
      </c>
      <c r="AP290" s="48" t="s">
        <v>1855</v>
      </c>
      <c r="AQ290" s="48" t="s">
        <v>2076</v>
      </c>
      <c r="AR290" s="48" t="s">
        <v>1812</v>
      </c>
      <c r="AS290" s="48" t="s">
        <v>1813</v>
      </c>
      <c r="AT290" s="48" t="s">
        <v>1826</v>
      </c>
      <c r="AU290" s="48" t="s">
        <v>2061</v>
      </c>
      <c r="AV290" s="48" t="s">
        <v>2816</v>
      </c>
      <c r="AW290" s="48" t="s">
        <v>2062</v>
      </c>
      <c r="AX290" s="48" t="s">
        <v>2063</v>
      </c>
      <c r="AY290" s="48" t="s">
        <v>1710</v>
      </c>
      <c r="AZ290" s="48" t="s">
        <v>5085</v>
      </c>
      <c r="BA290" s="48" t="s">
        <v>1710</v>
      </c>
      <c r="BB290" s="48" t="s">
        <v>1709</v>
      </c>
      <c r="BC290" s="48" t="s">
        <v>1710</v>
      </c>
      <c r="BD290" s="48" t="s">
        <v>2094</v>
      </c>
      <c r="BE290" s="52" t="s">
        <v>5086</v>
      </c>
      <c r="BF290" s="48" t="s">
        <v>1710</v>
      </c>
      <c r="BG290" s="48" t="s">
        <v>1814</v>
      </c>
      <c r="BH290">
        <v>2</v>
      </c>
      <c r="BI290" s="48" t="s">
        <v>1888</v>
      </c>
      <c r="BJ290">
        <v>1</v>
      </c>
      <c r="BK290">
        <v>1473.06</v>
      </c>
      <c r="BL290">
        <v>648952</v>
      </c>
      <c r="BM290">
        <v>441</v>
      </c>
      <c r="BN290" s="48" t="s">
        <v>2064</v>
      </c>
      <c r="BO290" s="48" t="s">
        <v>2065</v>
      </c>
      <c r="BP290">
        <v>1473.06</v>
      </c>
      <c r="BQ290">
        <v>457.79</v>
      </c>
      <c r="BR290" s="48" t="s">
        <v>1885</v>
      </c>
      <c r="BS290" s="48" t="s">
        <v>2066</v>
      </c>
      <c r="BT290">
        <v>1</v>
      </c>
      <c r="BU290">
        <v>25400</v>
      </c>
      <c r="BV290">
        <v>25400</v>
      </c>
      <c r="BW290" s="48" t="s">
        <v>2065</v>
      </c>
      <c r="BX290">
        <v>1473.06</v>
      </c>
      <c r="BY290">
        <v>0</v>
      </c>
      <c r="BZ290">
        <v>0</v>
      </c>
      <c r="CA290" s="48" t="s">
        <v>2065</v>
      </c>
      <c r="CB290">
        <v>1473.06</v>
      </c>
      <c r="CC290">
        <v>0</v>
      </c>
      <c r="CD290">
        <v>0</v>
      </c>
      <c r="CE290" s="48" t="s">
        <v>1710</v>
      </c>
      <c r="CF290" s="48" t="s">
        <v>1710</v>
      </c>
      <c r="CG290" s="48" t="s">
        <v>1710</v>
      </c>
      <c r="CH290" s="48" t="s">
        <v>1710</v>
      </c>
      <c r="CI290" s="48" t="s">
        <v>2067</v>
      </c>
      <c r="CJ290" s="48" t="s">
        <v>1710</v>
      </c>
      <c r="CL290" s="48" t="s">
        <v>2816</v>
      </c>
      <c r="CM290" s="48" t="s">
        <v>1710</v>
      </c>
      <c r="CN290" s="48" t="s">
        <v>2068</v>
      </c>
      <c r="CO290" s="48" t="s">
        <v>2069</v>
      </c>
      <c r="CP290" s="48" t="s">
        <v>1710</v>
      </c>
      <c r="CQ290" s="48" t="s">
        <v>1710</v>
      </c>
      <c r="CR290" s="48" t="s">
        <v>1710</v>
      </c>
      <c r="CS290" s="48" t="s">
        <v>1710</v>
      </c>
      <c r="CT290" s="48" t="s">
        <v>1710</v>
      </c>
      <c r="CU290" s="48" t="s">
        <v>1712</v>
      </c>
      <c r="CV290" s="48" t="s">
        <v>1710</v>
      </c>
      <c r="CW290" s="48" t="s">
        <v>1710</v>
      </c>
      <c r="CX290" s="48" t="s">
        <v>2823</v>
      </c>
      <c r="CY290" s="48" t="s">
        <v>1710</v>
      </c>
      <c r="CZ290" s="48" t="s">
        <v>1885</v>
      </c>
      <c r="DA290" s="48" t="s">
        <v>1710</v>
      </c>
      <c r="DB290" s="48" t="s">
        <v>1878</v>
      </c>
      <c r="DC290" s="48" t="s">
        <v>2070</v>
      </c>
      <c r="DD290" s="48" t="s">
        <v>1842</v>
      </c>
      <c r="DE290" s="48" t="s">
        <v>1886</v>
      </c>
      <c r="DF290" s="48" t="s">
        <v>5087</v>
      </c>
      <c r="DG290" s="48" t="s">
        <v>2071</v>
      </c>
      <c r="DH290" s="48" t="s">
        <v>1712</v>
      </c>
      <c r="DI290" s="48" t="s">
        <v>1710</v>
      </c>
      <c r="DJ290" s="48" t="s">
        <v>1710</v>
      </c>
      <c r="DK290" s="48" t="s">
        <v>1710</v>
      </c>
      <c r="DL290" s="48" t="s">
        <v>1710</v>
      </c>
      <c r="DM290" s="48" t="s">
        <v>1710</v>
      </c>
      <c r="DN290" s="48" t="s">
        <v>1710</v>
      </c>
      <c r="DO290" s="48" t="s">
        <v>1710</v>
      </c>
      <c r="DP290" s="48" t="s">
        <v>1710</v>
      </c>
      <c r="DQ290" s="48" t="s">
        <v>1710</v>
      </c>
      <c r="DR290" s="48" t="s">
        <v>2072</v>
      </c>
      <c r="DS290" s="48" t="s">
        <v>1710</v>
      </c>
      <c r="DT290" s="48" t="s">
        <v>1710</v>
      </c>
      <c r="DU290" s="48" t="s">
        <v>2575</v>
      </c>
      <c r="DV290" s="48" t="s">
        <v>2816</v>
      </c>
      <c r="DW290" s="48" t="s">
        <v>1710</v>
      </c>
      <c r="DX290" s="48" t="s">
        <v>5088</v>
      </c>
      <c r="DY290" s="48" t="s">
        <v>1709</v>
      </c>
      <c r="DZ290" s="48" t="s">
        <v>2562</v>
      </c>
      <c r="EA290" s="48" t="s">
        <v>2546</v>
      </c>
      <c r="EB290">
        <v>0</v>
      </c>
      <c r="EC290" s="48" t="s">
        <v>2575</v>
      </c>
      <c r="ED290" s="48" t="s">
        <v>5089</v>
      </c>
      <c r="EE290" s="48" t="s">
        <v>1814</v>
      </c>
      <c r="EF290" s="48" t="s">
        <v>1861</v>
      </c>
      <c r="EG290" s="48" t="s">
        <v>5085</v>
      </c>
      <c r="EH290">
        <v>1.46</v>
      </c>
      <c r="EI290" s="48" t="s">
        <v>1888</v>
      </c>
      <c r="EJ290">
        <v>0</v>
      </c>
      <c r="EK290" s="48" t="s">
        <v>1710</v>
      </c>
      <c r="EL290">
        <v>1</v>
      </c>
      <c r="EM290" s="48" t="s">
        <v>1886</v>
      </c>
      <c r="EN290">
        <v>1.46</v>
      </c>
      <c r="EO290" s="48" t="s">
        <v>5090</v>
      </c>
      <c r="EP290" s="48" t="s">
        <v>5091</v>
      </c>
      <c r="EQ290">
        <v>457.79</v>
      </c>
      <c r="ER290">
        <v>457.79</v>
      </c>
      <c r="ES290">
        <v>648952</v>
      </c>
      <c r="ET290">
        <v>441</v>
      </c>
      <c r="EU290" s="48" t="s">
        <v>1710</v>
      </c>
      <c r="EV290" s="48" t="s">
        <v>1710</v>
      </c>
      <c r="EW290" s="48" t="s">
        <v>1712</v>
      </c>
      <c r="EX290" s="48" t="s">
        <v>1710</v>
      </c>
      <c r="EY290" s="48" t="s">
        <v>1848</v>
      </c>
      <c r="EZ290" s="48" t="s">
        <v>1710</v>
      </c>
      <c r="FA290" s="48" t="s">
        <v>1710</v>
      </c>
      <c r="FB290" s="48" t="s">
        <v>1712</v>
      </c>
      <c r="FC290" s="48" t="s">
        <v>1710</v>
      </c>
      <c r="FD290" s="48" t="s">
        <v>1710</v>
      </c>
      <c r="FE290" s="48" t="s">
        <v>1814</v>
      </c>
      <c r="FF290" s="48" t="s">
        <v>1815</v>
      </c>
      <c r="FG290" s="48" t="s">
        <v>1710</v>
      </c>
      <c r="FH290">
        <v>1</v>
      </c>
      <c r="FI290" s="48" t="s">
        <v>1846</v>
      </c>
      <c r="FJ290">
        <v>457.79</v>
      </c>
      <c r="FK290">
        <v>457.79</v>
      </c>
      <c r="FL290" s="48" t="s">
        <v>5092</v>
      </c>
      <c r="FM290" s="48" t="s">
        <v>5091</v>
      </c>
      <c r="FN290" s="48" t="s">
        <v>1710</v>
      </c>
      <c r="FO290" s="48" t="s">
        <v>1710</v>
      </c>
      <c r="FP290" s="48" t="s">
        <v>1710</v>
      </c>
      <c r="FQ290" s="48" t="s">
        <v>1710</v>
      </c>
      <c r="FR290" s="48" t="s">
        <v>1710</v>
      </c>
      <c r="FS290" s="48" t="s">
        <v>1710</v>
      </c>
      <c r="FT290" s="48" t="s">
        <v>5093</v>
      </c>
      <c r="FU290" s="48" t="s">
        <v>1710</v>
      </c>
      <c r="FV290" s="48"/>
      <c r="FW290" s="56"/>
      <c r="FX290" s="56"/>
      <c r="FY290" s="56"/>
      <c r="FZ290" s="56"/>
      <c r="GA290" s="55" t="str">
        <f t="shared" si="15"/>
        <v>4388426900460X</v>
      </c>
      <c r="GB290" t="str">
        <f>VLOOKUP(B290,수출코드!$C$2:$D$4,2,FALSE)</f>
        <v>Suwon</v>
      </c>
      <c r="GC290" t="str">
        <f>VLOOKUP(L290,수출코드!$A$2:$B$6,2,FALSE)</f>
        <v/>
      </c>
      <c r="GD290" t="str">
        <f>VLOOKUP(M290,수출코드!$E$2:$F$5,2,FALSE)</f>
        <v>재수입</v>
      </c>
      <c r="GE290" s="61">
        <f t="shared" si="12"/>
        <v>45976.676388888889</v>
      </c>
      <c r="GF290" s="62">
        <f t="shared" si="13"/>
        <v>46050.537499999999</v>
      </c>
      <c r="GI290" s="48" t="s">
        <v>2807</v>
      </c>
    </row>
    <row r="291" spans="1:191">
      <c r="A291" s="48" t="s">
        <v>5094</v>
      </c>
      <c r="B291" s="48" t="s">
        <v>1821</v>
      </c>
      <c r="C291" s="48" t="s">
        <v>2048</v>
      </c>
      <c r="D291" s="48" t="s">
        <v>2813</v>
      </c>
      <c r="E291" s="48" t="s">
        <v>5094</v>
      </c>
      <c r="F291" s="48" t="s">
        <v>1710</v>
      </c>
      <c r="G291" s="48" t="s">
        <v>2814</v>
      </c>
      <c r="H291" s="48" t="s">
        <v>5095</v>
      </c>
      <c r="I291" s="48" t="s">
        <v>1884</v>
      </c>
      <c r="J291" s="48" t="s">
        <v>2816</v>
      </c>
      <c r="K291" s="48" t="s">
        <v>1877</v>
      </c>
      <c r="L291" s="48" t="s">
        <v>1883</v>
      </c>
      <c r="M291" s="48" t="s">
        <v>1822</v>
      </c>
      <c r="N291" s="48" t="s">
        <v>1842</v>
      </c>
      <c r="O291" s="48" t="s">
        <v>1823</v>
      </c>
      <c r="P291" s="48" t="s">
        <v>2549</v>
      </c>
      <c r="Q291" s="48" t="s">
        <v>2049</v>
      </c>
      <c r="R291" s="48" t="s">
        <v>1838</v>
      </c>
      <c r="S291" s="48" t="s">
        <v>2050</v>
      </c>
      <c r="T291" s="48" t="s">
        <v>1845</v>
      </c>
      <c r="U291" s="48" t="s">
        <v>2049</v>
      </c>
      <c r="V291" s="48" t="s">
        <v>1838</v>
      </c>
      <c r="W291" s="48" t="s">
        <v>2051</v>
      </c>
      <c r="X291" s="48" t="s">
        <v>2052</v>
      </c>
      <c r="Y291" s="48" t="s">
        <v>2050</v>
      </c>
      <c r="Z291" s="48" t="s">
        <v>2053</v>
      </c>
      <c r="AA291" s="48" t="s">
        <v>2054</v>
      </c>
      <c r="AB291" s="48" t="s">
        <v>2817</v>
      </c>
      <c r="AC291" s="48" t="s">
        <v>2055</v>
      </c>
      <c r="AD291" s="48" t="s">
        <v>2056</v>
      </c>
      <c r="AE291" s="48" t="s">
        <v>1710</v>
      </c>
      <c r="AF291" s="48" t="s">
        <v>1710</v>
      </c>
      <c r="AG291" s="48" t="s">
        <v>2057</v>
      </c>
      <c r="AH291" s="48" t="s">
        <v>1815</v>
      </c>
      <c r="AI291" s="48" t="s">
        <v>2058</v>
      </c>
      <c r="AJ291" s="48" t="s">
        <v>1710</v>
      </c>
      <c r="AK291" s="48" t="s">
        <v>2563</v>
      </c>
      <c r="AL291" s="48" t="s">
        <v>2564</v>
      </c>
      <c r="AM291" s="48" t="s">
        <v>1816</v>
      </c>
      <c r="AN291" s="48" t="s">
        <v>2054</v>
      </c>
      <c r="AO291" s="48" t="s">
        <v>1710</v>
      </c>
      <c r="AP291" s="48" t="s">
        <v>1855</v>
      </c>
      <c r="AQ291" s="48" t="s">
        <v>2076</v>
      </c>
      <c r="AR291" s="48" t="s">
        <v>1812</v>
      </c>
      <c r="AS291" s="48" t="s">
        <v>1813</v>
      </c>
      <c r="AT291" s="48" t="s">
        <v>1826</v>
      </c>
      <c r="AU291" s="48" t="s">
        <v>2061</v>
      </c>
      <c r="AV291" s="48" t="s">
        <v>2816</v>
      </c>
      <c r="AW291" s="48" t="s">
        <v>2062</v>
      </c>
      <c r="AX291" s="48" t="s">
        <v>2063</v>
      </c>
      <c r="AY291" s="48" t="s">
        <v>1710</v>
      </c>
      <c r="AZ291" s="48" t="s">
        <v>5096</v>
      </c>
      <c r="BA291" s="48" t="s">
        <v>1710</v>
      </c>
      <c r="BB291" s="48" t="s">
        <v>1709</v>
      </c>
      <c r="BC291" s="48" t="s">
        <v>1710</v>
      </c>
      <c r="BD291" s="48" t="s">
        <v>2094</v>
      </c>
      <c r="BE291" s="52" t="s">
        <v>5086</v>
      </c>
      <c r="BF291" s="48" t="s">
        <v>1710</v>
      </c>
      <c r="BG291" s="48" t="s">
        <v>1814</v>
      </c>
      <c r="BH291">
        <v>14</v>
      </c>
      <c r="BI291" s="48" t="s">
        <v>1888</v>
      </c>
      <c r="BJ291">
        <v>1</v>
      </c>
      <c r="BK291">
        <v>1473.06</v>
      </c>
      <c r="BL291">
        <v>12683906</v>
      </c>
      <c r="BM291">
        <v>8611</v>
      </c>
      <c r="BN291" s="48" t="s">
        <v>2064</v>
      </c>
      <c r="BO291" s="48" t="s">
        <v>2065</v>
      </c>
      <c r="BP291">
        <v>1473.06</v>
      </c>
      <c r="BQ291">
        <v>8662.7199999999993</v>
      </c>
      <c r="BR291" s="48" t="s">
        <v>1885</v>
      </c>
      <c r="BS291" s="48" t="s">
        <v>2066</v>
      </c>
      <c r="BT291">
        <v>1</v>
      </c>
      <c r="BU291">
        <v>76800</v>
      </c>
      <c r="BV291">
        <v>76800</v>
      </c>
      <c r="BW291" s="48" t="s">
        <v>2065</v>
      </c>
      <c r="BX291">
        <v>1473.06</v>
      </c>
      <c r="BY291">
        <v>0</v>
      </c>
      <c r="BZ291">
        <v>0</v>
      </c>
      <c r="CA291" s="48" t="s">
        <v>2065</v>
      </c>
      <c r="CB291">
        <v>1473.06</v>
      </c>
      <c r="CC291">
        <v>0</v>
      </c>
      <c r="CD291">
        <v>0</v>
      </c>
      <c r="CE291" s="48" t="s">
        <v>1710</v>
      </c>
      <c r="CF291" s="48" t="s">
        <v>1710</v>
      </c>
      <c r="CG291" s="48" t="s">
        <v>1710</v>
      </c>
      <c r="CH291" s="48" t="s">
        <v>1710</v>
      </c>
      <c r="CI291" s="48" t="s">
        <v>2067</v>
      </c>
      <c r="CJ291" s="48" t="s">
        <v>1710</v>
      </c>
      <c r="CL291" s="48" t="s">
        <v>2816</v>
      </c>
      <c r="CM291" s="48" t="s">
        <v>1710</v>
      </c>
      <c r="CN291" s="48" t="s">
        <v>2068</v>
      </c>
      <c r="CO291" s="48" t="s">
        <v>2069</v>
      </c>
      <c r="CP291" s="48" t="s">
        <v>1710</v>
      </c>
      <c r="CQ291" s="48" t="s">
        <v>1710</v>
      </c>
      <c r="CR291" s="48" t="s">
        <v>1710</v>
      </c>
      <c r="CS291" s="48" t="s">
        <v>1710</v>
      </c>
      <c r="CT291" s="48" t="s">
        <v>1710</v>
      </c>
      <c r="CU291" s="48" t="s">
        <v>1712</v>
      </c>
      <c r="CV291" s="48" t="s">
        <v>1710</v>
      </c>
      <c r="CW291" s="48" t="s">
        <v>1710</v>
      </c>
      <c r="CX291" s="48" t="s">
        <v>2823</v>
      </c>
      <c r="CY291" s="48" t="s">
        <v>1710</v>
      </c>
      <c r="CZ291" s="48" t="s">
        <v>1885</v>
      </c>
      <c r="DA291" s="48" t="s">
        <v>1710</v>
      </c>
      <c r="DB291" s="48" t="s">
        <v>1878</v>
      </c>
      <c r="DC291" s="48" t="s">
        <v>2070</v>
      </c>
      <c r="DD291" s="48" t="s">
        <v>1842</v>
      </c>
      <c r="DE291" s="48" t="s">
        <v>1886</v>
      </c>
      <c r="DF291" s="48" t="s">
        <v>5097</v>
      </c>
      <c r="DG291" s="48" t="s">
        <v>2071</v>
      </c>
      <c r="DH291" s="48" t="s">
        <v>1712</v>
      </c>
      <c r="DI291" s="48" t="s">
        <v>1710</v>
      </c>
      <c r="DJ291" s="48" t="s">
        <v>1710</v>
      </c>
      <c r="DK291" s="48" t="s">
        <v>1710</v>
      </c>
      <c r="DL291" s="48" t="s">
        <v>1710</v>
      </c>
      <c r="DM291" s="48" t="s">
        <v>1710</v>
      </c>
      <c r="DN291" s="48" t="s">
        <v>1710</v>
      </c>
      <c r="DO291" s="48" t="s">
        <v>1710</v>
      </c>
      <c r="DP291" s="48" t="s">
        <v>1710</v>
      </c>
      <c r="DQ291" s="48" t="s">
        <v>1710</v>
      </c>
      <c r="DR291" s="48" t="s">
        <v>2072</v>
      </c>
      <c r="DS291" s="48" t="s">
        <v>1710</v>
      </c>
      <c r="DT291" s="48" t="s">
        <v>1710</v>
      </c>
      <c r="DU291" s="48" t="s">
        <v>2575</v>
      </c>
      <c r="DV291" s="48" t="s">
        <v>2816</v>
      </c>
      <c r="DW291" s="48" t="s">
        <v>1710</v>
      </c>
      <c r="DX291" s="48" t="s">
        <v>5098</v>
      </c>
      <c r="DY291" s="48" t="s">
        <v>1709</v>
      </c>
      <c r="DZ291" s="48" t="s">
        <v>2073</v>
      </c>
      <c r="EA291" s="48" t="s">
        <v>2546</v>
      </c>
      <c r="EB291">
        <v>0</v>
      </c>
      <c r="EC291" s="48" t="s">
        <v>2575</v>
      </c>
      <c r="ED291" s="48" t="s">
        <v>5099</v>
      </c>
      <c r="EE291" s="48" t="s">
        <v>1814</v>
      </c>
      <c r="EF291" s="48" t="s">
        <v>1849</v>
      </c>
      <c r="EG291" s="48" t="s">
        <v>5096</v>
      </c>
      <c r="EH291">
        <v>12</v>
      </c>
      <c r="EI291" s="48" t="s">
        <v>1888</v>
      </c>
      <c r="EJ291">
        <v>1</v>
      </c>
      <c r="EK291" s="48" t="s">
        <v>1887</v>
      </c>
      <c r="EL291">
        <v>1</v>
      </c>
      <c r="EM291" s="48" t="s">
        <v>1886</v>
      </c>
      <c r="EN291">
        <v>12</v>
      </c>
      <c r="EO291" s="48" t="s">
        <v>2604</v>
      </c>
      <c r="EP291" s="48" t="s">
        <v>5100</v>
      </c>
      <c r="EQ291">
        <v>8662.7199999999993</v>
      </c>
      <c r="ER291">
        <v>8662.7199999999993</v>
      </c>
      <c r="ES291">
        <v>12683906</v>
      </c>
      <c r="ET291">
        <v>8611</v>
      </c>
      <c r="EU291" s="48" t="s">
        <v>1710</v>
      </c>
      <c r="EV291" s="48" t="s">
        <v>1710</v>
      </c>
      <c r="EW291" s="48" t="s">
        <v>1712</v>
      </c>
      <c r="EX291" s="48" t="s">
        <v>1710</v>
      </c>
      <c r="EY291" s="48" t="s">
        <v>1853</v>
      </c>
      <c r="EZ291" s="48" t="s">
        <v>1710</v>
      </c>
      <c r="FA291" s="48" t="s">
        <v>1710</v>
      </c>
      <c r="FB291" s="48" t="s">
        <v>1712</v>
      </c>
      <c r="FC291" s="48" t="s">
        <v>1710</v>
      </c>
      <c r="FD291" s="48" t="s">
        <v>1710</v>
      </c>
      <c r="FE291" s="48" t="s">
        <v>1814</v>
      </c>
      <c r="FF291" s="48" t="s">
        <v>1815</v>
      </c>
      <c r="FG291" s="48" t="s">
        <v>1710</v>
      </c>
      <c r="FH291">
        <v>1</v>
      </c>
      <c r="FI291" s="48" t="s">
        <v>1846</v>
      </c>
      <c r="FJ291">
        <v>8662.7199999999993</v>
      </c>
      <c r="FK291">
        <v>8662.7199999999993</v>
      </c>
      <c r="FL291" s="48" t="s">
        <v>5101</v>
      </c>
      <c r="FM291" s="48" t="s">
        <v>5100</v>
      </c>
      <c r="FN291" s="48" t="s">
        <v>1710</v>
      </c>
      <c r="FO291" s="48" t="s">
        <v>1710</v>
      </c>
      <c r="FP291" s="48" t="s">
        <v>1710</v>
      </c>
      <c r="FQ291" s="48" t="s">
        <v>1710</v>
      </c>
      <c r="FR291" s="48" t="s">
        <v>1710</v>
      </c>
      <c r="FS291" s="48" t="s">
        <v>1710</v>
      </c>
      <c r="FT291" s="48" t="s">
        <v>5102</v>
      </c>
      <c r="FU291" s="48" t="s">
        <v>1710</v>
      </c>
      <c r="FV291" s="48"/>
      <c r="FW291" s="56"/>
      <c r="FX291" s="56"/>
      <c r="FY291" s="56"/>
      <c r="FZ291" s="56"/>
      <c r="GA291" s="55" t="str">
        <f t="shared" si="15"/>
        <v>4388426900461X</v>
      </c>
      <c r="GB291" t="str">
        <f>VLOOKUP(B291,수출코드!$C$2:$D$4,2,FALSE)</f>
        <v>Suwon</v>
      </c>
      <c r="GC291" t="str">
        <f>VLOOKUP(L291,수출코드!$A$2:$B$6,2,FALSE)</f>
        <v>서류제출</v>
      </c>
      <c r="GD291" t="str">
        <f>VLOOKUP(M291,수출코드!$E$2:$F$5,2,FALSE)</f>
        <v>재수입</v>
      </c>
      <c r="GE291" s="61">
        <f t="shared" si="12"/>
        <v>45976.676388888889</v>
      </c>
      <c r="GF291" s="62">
        <f t="shared" si="13"/>
        <v>46050.563194444447</v>
      </c>
      <c r="GI291" s="48" t="s">
        <v>2807</v>
      </c>
    </row>
    <row r="292" spans="1:191">
      <c r="A292" s="48" t="s">
        <v>5103</v>
      </c>
      <c r="B292" s="48" t="s">
        <v>1821</v>
      </c>
      <c r="C292" s="48" t="s">
        <v>2048</v>
      </c>
      <c r="D292" s="48" t="s">
        <v>2813</v>
      </c>
      <c r="E292" s="48" t="s">
        <v>5103</v>
      </c>
      <c r="F292" s="48" t="s">
        <v>1710</v>
      </c>
      <c r="G292" s="48" t="s">
        <v>2814</v>
      </c>
      <c r="H292" s="48" t="s">
        <v>5104</v>
      </c>
      <c r="I292" s="48" t="s">
        <v>1884</v>
      </c>
      <c r="J292" s="48" t="s">
        <v>2816</v>
      </c>
      <c r="K292" s="48" t="s">
        <v>1877</v>
      </c>
      <c r="L292" s="48" t="s">
        <v>1842</v>
      </c>
      <c r="M292" s="48" t="s">
        <v>1822</v>
      </c>
      <c r="N292" s="48" t="s">
        <v>1842</v>
      </c>
      <c r="O292" s="48" t="s">
        <v>1823</v>
      </c>
      <c r="P292" s="48" t="s">
        <v>2549</v>
      </c>
      <c r="Q292" s="48" t="s">
        <v>2049</v>
      </c>
      <c r="R292" s="48" t="s">
        <v>1838</v>
      </c>
      <c r="S292" s="48" t="s">
        <v>2050</v>
      </c>
      <c r="T292" s="48" t="s">
        <v>1845</v>
      </c>
      <c r="U292" s="48" t="s">
        <v>2049</v>
      </c>
      <c r="V292" s="48" t="s">
        <v>1838</v>
      </c>
      <c r="W292" s="48" t="s">
        <v>2051</v>
      </c>
      <c r="X292" s="48" t="s">
        <v>2052</v>
      </c>
      <c r="Y292" s="48" t="s">
        <v>2050</v>
      </c>
      <c r="Z292" s="48" t="s">
        <v>2053</v>
      </c>
      <c r="AA292" s="48" t="s">
        <v>2054</v>
      </c>
      <c r="AB292" s="48" t="s">
        <v>2817</v>
      </c>
      <c r="AC292" s="48" t="s">
        <v>2055</v>
      </c>
      <c r="AD292" s="48" t="s">
        <v>2056</v>
      </c>
      <c r="AE292" s="48" t="s">
        <v>1710</v>
      </c>
      <c r="AF292" s="48" t="s">
        <v>1710</v>
      </c>
      <c r="AG292" s="48" t="s">
        <v>2057</v>
      </c>
      <c r="AH292" s="48" t="s">
        <v>1815</v>
      </c>
      <c r="AI292" s="48" t="s">
        <v>2058</v>
      </c>
      <c r="AJ292" s="48" t="s">
        <v>1710</v>
      </c>
      <c r="AK292" s="48" t="s">
        <v>2077</v>
      </c>
      <c r="AL292" s="48" t="s">
        <v>1858</v>
      </c>
      <c r="AM292" s="48" t="s">
        <v>1816</v>
      </c>
      <c r="AN292" s="48" t="s">
        <v>2054</v>
      </c>
      <c r="AO292" s="48" t="s">
        <v>1710</v>
      </c>
      <c r="AP292" s="48" t="s">
        <v>1848</v>
      </c>
      <c r="AQ292" s="48" t="s">
        <v>2060</v>
      </c>
      <c r="AR292" s="48" t="s">
        <v>1812</v>
      </c>
      <c r="AS292" s="48" t="s">
        <v>1813</v>
      </c>
      <c r="AT292" s="48" t="s">
        <v>1826</v>
      </c>
      <c r="AU292" s="48" t="s">
        <v>2061</v>
      </c>
      <c r="AV292" s="48" t="s">
        <v>2816</v>
      </c>
      <c r="AW292" s="48" t="s">
        <v>2062</v>
      </c>
      <c r="AX292" s="48" t="s">
        <v>2063</v>
      </c>
      <c r="AY292" s="48" t="s">
        <v>1710</v>
      </c>
      <c r="AZ292" s="48" t="s">
        <v>5105</v>
      </c>
      <c r="BA292" s="48" t="s">
        <v>1710</v>
      </c>
      <c r="BB292" s="48" t="s">
        <v>1709</v>
      </c>
      <c r="BC292" s="48" t="s">
        <v>1710</v>
      </c>
      <c r="BD292" s="48" t="s">
        <v>2094</v>
      </c>
      <c r="BE292" s="52" t="s">
        <v>5086</v>
      </c>
      <c r="BF292" s="48" t="s">
        <v>1710</v>
      </c>
      <c r="BG292" s="48" t="s">
        <v>1818</v>
      </c>
      <c r="BH292">
        <v>27</v>
      </c>
      <c r="BI292" s="48" t="s">
        <v>1888</v>
      </c>
      <c r="BJ292">
        <v>3</v>
      </c>
      <c r="BK292">
        <v>1473.06</v>
      </c>
      <c r="BL292">
        <v>40640887</v>
      </c>
      <c r="BM292">
        <v>27589</v>
      </c>
      <c r="BN292" s="48" t="s">
        <v>2064</v>
      </c>
      <c r="BO292" s="48" t="s">
        <v>2065</v>
      </c>
      <c r="BP292">
        <v>1473.06</v>
      </c>
      <c r="BQ292">
        <v>27852.15</v>
      </c>
      <c r="BR292" s="48" t="s">
        <v>1885</v>
      </c>
      <c r="BS292" s="48" t="s">
        <v>2066</v>
      </c>
      <c r="BT292">
        <v>1</v>
      </c>
      <c r="BU292">
        <v>387000</v>
      </c>
      <c r="BV292">
        <v>387000</v>
      </c>
      <c r="BW292" s="48" t="s">
        <v>2065</v>
      </c>
      <c r="BX292">
        <v>1473.06</v>
      </c>
      <c r="BY292">
        <v>0</v>
      </c>
      <c r="BZ292">
        <v>0</v>
      </c>
      <c r="CA292" s="48" t="s">
        <v>2065</v>
      </c>
      <c r="CB292">
        <v>1473.06</v>
      </c>
      <c r="CC292">
        <v>0</v>
      </c>
      <c r="CD292">
        <v>0</v>
      </c>
      <c r="CE292" s="48" t="s">
        <v>1710</v>
      </c>
      <c r="CF292" s="48" t="s">
        <v>1710</v>
      </c>
      <c r="CG292" s="48" t="s">
        <v>1710</v>
      </c>
      <c r="CH292" s="48" t="s">
        <v>1710</v>
      </c>
      <c r="CI292" s="48" t="s">
        <v>2067</v>
      </c>
      <c r="CJ292" s="48" t="s">
        <v>1710</v>
      </c>
      <c r="CL292" s="48" t="s">
        <v>2816</v>
      </c>
      <c r="CM292" s="48" t="s">
        <v>1710</v>
      </c>
      <c r="CN292" s="48" t="s">
        <v>2068</v>
      </c>
      <c r="CO292" s="48" t="s">
        <v>2069</v>
      </c>
      <c r="CP292" s="48" t="s">
        <v>1710</v>
      </c>
      <c r="CQ292" s="48" t="s">
        <v>1710</v>
      </c>
      <c r="CR292" s="48" t="s">
        <v>1710</v>
      </c>
      <c r="CS292" s="48" t="s">
        <v>1710</v>
      </c>
      <c r="CT292" s="48" t="s">
        <v>1710</v>
      </c>
      <c r="CU292" s="48" t="s">
        <v>1712</v>
      </c>
      <c r="CV292" s="48" t="s">
        <v>1710</v>
      </c>
      <c r="CW292" s="48" t="s">
        <v>1710</v>
      </c>
      <c r="CX292" s="48" t="s">
        <v>2823</v>
      </c>
      <c r="CY292" s="48" t="s">
        <v>1710</v>
      </c>
      <c r="CZ292" s="48" t="s">
        <v>1885</v>
      </c>
      <c r="DA292" s="48" t="s">
        <v>1710</v>
      </c>
      <c r="DB292" s="48" t="s">
        <v>1878</v>
      </c>
      <c r="DC292" s="48" t="s">
        <v>2070</v>
      </c>
      <c r="DD292" s="48" t="s">
        <v>1842</v>
      </c>
      <c r="DE292" s="48" t="s">
        <v>1886</v>
      </c>
      <c r="DF292" s="48" t="s">
        <v>5106</v>
      </c>
      <c r="DG292" s="48" t="s">
        <v>2071</v>
      </c>
      <c r="DH292" s="48" t="s">
        <v>1712</v>
      </c>
      <c r="DI292" s="48" t="s">
        <v>1710</v>
      </c>
      <c r="DJ292" s="48" t="s">
        <v>1710</v>
      </c>
      <c r="DK292" s="48" t="s">
        <v>1710</v>
      </c>
      <c r="DL292" s="48" t="s">
        <v>1710</v>
      </c>
      <c r="DM292" s="48" t="s">
        <v>1710</v>
      </c>
      <c r="DN292" s="48" t="s">
        <v>1710</v>
      </c>
      <c r="DO292" s="48" t="s">
        <v>1710</v>
      </c>
      <c r="DP292" s="48" t="s">
        <v>1710</v>
      </c>
      <c r="DQ292" s="48" t="s">
        <v>1710</v>
      </c>
      <c r="DR292" s="48" t="s">
        <v>2072</v>
      </c>
      <c r="DS292" s="48" t="s">
        <v>1710</v>
      </c>
      <c r="DT292" s="48" t="s">
        <v>1710</v>
      </c>
      <c r="DU292" s="48" t="s">
        <v>2575</v>
      </c>
      <c r="DV292" s="48" t="s">
        <v>2816</v>
      </c>
      <c r="DW292" s="48" t="s">
        <v>1710</v>
      </c>
      <c r="DX292" s="48" t="s">
        <v>5107</v>
      </c>
      <c r="DY292" s="48" t="s">
        <v>1709</v>
      </c>
      <c r="DZ292" s="48" t="s">
        <v>2562</v>
      </c>
      <c r="EA292" s="48" t="s">
        <v>2546</v>
      </c>
      <c r="EB292">
        <v>0</v>
      </c>
      <c r="EC292" s="48" t="s">
        <v>2575</v>
      </c>
      <c r="ED292" s="48" t="s">
        <v>5108</v>
      </c>
      <c r="EE292" s="48" t="s">
        <v>1814</v>
      </c>
      <c r="EF292" s="48" t="s">
        <v>1872</v>
      </c>
      <c r="EG292" s="48" t="s">
        <v>5105</v>
      </c>
      <c r="EH292">
        <v>5</v>
      </c>
      <c r="EI292" s="48" t="s">
        <v>1888</v>
      </c>
      <c r="EJ292">
        <v>1</v>
      </c>
      <c r="EK292" s="48" t="s">
        <v>1887</v>
      </c>
      <c r="EL292">
        <v>3</v>
      </c>
      <c r="EM292" s="48" t="s">
        <v>1886</v>
      </c>
      <c r="EN292">
        <v>5</v>
      </c>
      <c r="EO292" s="48" t="s">
        <v>2716</v>
      </c>
      <c r="EP292" s="48" t="s">
        <v>5109</v>
      </c>
      <c r="EQ292">
        <v>2611.0300000000002</v>
      </c>
      <c r="ER292">
        <v>2611.0300000000002</v>
      </c>
      <c r="ES292">
        <v>3809924</v>
      </c>
      <c r="ET292">
        <v>2586</v>
      </c>
      <c r="EU292" s="48" t="s">
        <v>1710</v>
      </c>
      <c r="EV292" s="48" t="s">
        <v>1710</v>
      </c>
      <c r="EW292" s="48" t="s">
        <v>1712</v>
      </c>
      <c r="EX292" s="48" t="s">
        <v>1710</v>
      </c>
      <c r="EY292" s="48" t="s">
        <v>1848</v>
      </c>
      <c r="EZ292" s="48" t="s">
        <v>1710</v>
      </c>
      <c r="FA292" s="48" t="s">
        <v>1710</v>
      </c>
      <c r="FB292" s="48" t="s">
        <v>1712</v>
      </c>
      <c r="FC292" s="48" t="s">
        <v>1710</v>
      </c>
      <c r="FD292" s="48" t="s">
        <v>1710</v>
      </c>
      <c r="FE292" s="48" t="s">
        <v>1814</v>
      </c>
      <c r="FF292" s="48" t="s">
        <v>1815</v>
      </c>
      <c r="FG292" s="48" t="s">
        <v>1710</v>
      </c>
      <c r="FH292">
        <v>1</v>
      </c>
      <c r="FI292" s="48" t="s">
        <v>1846</v>
      </c>
      <c r="FJ292">
        <v>2611.0300000000002</v>
      </c>
      <c r="FK292">
        <v>2611.0300000000002</v>
      </c>
      <c r="FL292" s="48" t="s">
        <v>5110</v>
      </c>
      <c r="FM292" s="48" t="s">
        <v>5109</v>
      </c>
      <c r="FN292" s="48" t="s">
        <v>1710</v>
      </c>
      <c r="FO292" s="48" t="s">
        <v>1710</v>
      </c>
      <c r="FP292" s="48" t="s">
        <v>1710</v>
      </c>
      <c r="FQ292" s="48" t="s">
        <v>1710</v>
      </c>
      <c r="FR292" s="48" t="s">
        <v>1710</v>
      </c>
      <c r="FS292" s="48" t="s">
        <v>1710</v>
      </c>
      <c r="FT292" s="48" t="s">
        <v>5111</v>
      </c>
      <c r="FU292" s="48" t="s">
        <v>1710</v>
      </c>
      <c r="FV292" s="48"/>
      <c r="FW292" s="56"/>
      <c r="FX292" s="56"/>
      <c r="FY292" s="56"/>
      <c r="FZ292" s="56"/>
      <c r="GA292" s="55" t="str">
        <f t="shared" si="15"/>
        <v>4388426900462X</v>
      </c>
      <c r="GB292" t="str">
        <f>VLOOKUP(B292,수출코드!$C$2:$D$4,2,FALSE)</f>
        <v>Suwon</v>
      </c>
      <c r="GC292" t="str">
        <f>VLOOKUP(L292,수출코드!$A$2:$B$6,2,FALSE)</f>
        <v/>
      </c>
      <c r="GD292" t="str">
        <f>VLOOKUP(M292,수출코드!$E$2:$F$5,2,FALSE)</f>
        <v>재수입</v>
      </c>
      <c r="GE292" s="61">
        <f t="shared" si="12"/>
        <v>45976.676388888889</v>
      </c>
      <c r="GF292" s="62">
        <f t="shared" si="13"/>
        <v>46050.540972222225</v>
      </c>
      <c r="GI292" s="48" t="s">
        <v>2807</v>
      </c>
    </row>
    <row r="293" spans="1:191">
      <c r="A293" s="48" t="s">
        <v>5112</v>
      </c>
      <c r="B293" s="48" t="s">
        <v>1821</v>
      </c>
      <c r="C293" s="48" t="s">
        <v>2048</v>
      </c>
      <c r="D293" s="48" t="s">
        <v>2813</v>
      </c>
      <c r="E293" s="48" t="s">
        <v>5112</v>
      </c>
      <c r="F293" s="48" t="s">
        <v>1710</v>
      </c>
      <c r="G293" s="48" t="s">
        <v>2814</v>
      </c>
      <c r="H293" s="48" t="s">
        <v>5113</v>
      </c>
      <c r="I293" s="48" t="s">
        <v>1884</v>
      </c>
      <c r="J293" s="48" t="s">
        <v>2816</v>
      </c>
      <c r="K293" s="48" t="s">
        <v>1877</v>
      </c>
      <c r="L293" s="48" t="s">
        <v>1842</v>
      </c>
      <c r="M293" s="48" t="s">
        <v>1810</v>
      </c>
      <c r="N293" s="48" t="s">
        <v>1842</v>
      </c>
      <c r="O293" s="48" t="s">
        <v>1811</v>
      </c>
      <c r="P293" s="48" t="s">
        <v>2549</v>
      </c>
      <c r="Q293" s="48" t="s">
        <v>2049</v>
      </c>
      <c r="R293" s="48" t="s">
        <v>1838</v>
      </c>
      <c r="S293" s="48" t="s">
        <v>2050</v>
      </c>
      <c r="T293" s="48" t="s">
        <v>1845</v>
      </c>
      <c r="U293" s="48" t="s">
        <v>2049</v>
      </c>
      <c r="V293" s="48" t="s">
        <v>1838</v>
      </c>
      <c r="W293" s="48" t="s">
        <v>2051</v>
      </c>
      <c r="X293" s="48" t="s">
        <v>2052</v>
      </c>
      <c r="Y293" s="48" t="s">
        <v>2050</v>
      </c>
      <c r="Z293" s="48" t="s">
        <v>2053</v>
      </c>
      <c r="AA293" s="48" t="s">
        <v>2054</v>
      </c>
      <c r="AB293" s="48" t="s">
        <v>2817</v>
      </c>
      <c r="AC293" s="48" t="s">
        <v>2055</v>
      </c>
      <c r="AD293" s="48" t="s">
        <v>2056</v>
      </c>
      <c r="AE293" s="48" t="s">
        <v>1710</v>
      </c>
      <c r="AF293" s="48" t="s">
        <v>1710</v>
      </c>
      <c r="AG293" s="48" t="s">
        <v>2057</v>
      </c>
      <c r="AH293" s="48" t="s">
        <v>1815</v>
      </c>
      <c r="AI293" s="48" t="s">
        <v>2058</v>
      </c>
      <c r="AJ293" s="48" t="s">
        <v>1710</v>
      </c>
      <c r="AK293" s="48" t="s">
        <v>2589</v>
      </c>
      <c r="AL293" s="48" t="s">
        <v>2590</v>
      </c>
      <c r="AM293" s="48" t="s">
        <v>1816</v>
      </c>
      <c r="AN293" s="48" t="s">
        <v>2054</v>
      </c>
      <c r="AO293" s="48" t="s">
        <v>1710</v>
      </c>
      <c r="AP293" s="48" t="s">
        <v>1843</v>
      </c>
      <c r="AQ293" s="48" t="s">
        <v>2079</v>
      </c>
      <c r="AR293" s="48" t="s">
        <v>1812</v>
      </c>
      <c r="AS293" s="48" t="s">
        <v>1813</v>
      </c>
      <c r="AT293" s="48" t="s">
        <v>1826</v>
      </c>
      <c r="AU293" s="48" t="s">
        <v>2061</v>
      </c>
      <c r="AV293" s="48" t="s">
        <v>2816</v>
      </c>
      <c r="AW293" s="48" t="s">
        <v>2062</v>
      </c>
      <c r="AX293" s="48" t="s">
        <v>2063</v>
      </c>
      <c r="AY293" s="48" t="s">
        <v>1710</v>
      </c>
      <c r="AZ293" s="48" t="s">
        <v>5114</v>
      </c>
      <c r="BA293" s="48" t="s">
        <v>1710</v>
      </c>
      <c r="BB293" s="48" t="s">
        <v>1709</v>
      </c>
      <c r="BC293" s="48" t="s">
        <v>1710</v>
      </c>
      <c r="BD293" s="48" t="s">
        <v>2864</v>
      </c>
      <c r="BE293" s="52" t="s">
        <v>5115</v>
      </c>
      <c r="BF293" s="48" t="s">
        <v>1710</v>
      </c>
      <c r="BG293" s="48" t="s">
        <v>1814</v>
      </c>
      <c r="BH293">
        <v>3</v>
      </c>
      <c r="BI293" s="48" t="s">
        <v>1888</v>
      </c>
      <c r="BJ293">
        <v>1</v>
      </c>
      <c r="BK293">
        <v>1473.06</v>
      </c>
      <c r="BL293">
        <v>1474259</v>
      </c>
      <c r="BM293">
        <v>1001</v>
      </c>
      <c r="BN293" s="48" t="s">
        <v>2064</v>
      </c>
      <c r="BO293" s="48" t="s">
        <v>2065</v>
      </c>
      <c r="BP293">
        <v>1473.06</v>
      </c>
      <c r="BQ293">
        <v>1027.29</v>
      </c>
      <c r="BR293" s="48" t="s">
        <v>1885</v>
      </c>
      <c r="BS293" s="48" t="s">
        <v>2066</v>
      </c>
      <c r="BT293">
        <v>1</v>
      </c>
      <c r="BU293">
        <v>39000</v>
      </c>
      <c r="BV293">
        <v>39000</v>
      </c>
      <c r="BW293" s="48" t="s">
        <v>2065</v>
      </c>
      <c r="BX293">
        <v>1473.06</v>
      </c>
      <c r="BY293">
        <v>0</v>
      </c>
      <c r="BZ293">
        <v>0</v>
      </c>
      <c r="CA293" s="48" t="s">
        <v>2065</v>
      </c>
      <c r="CB293">
        <v>1473.06</v>
      </c>
      <c r="CC293">
        <v>0</v>
      </c>
      <c r="CD293">
        <v>0</v>
      </c>
      <c r="CE293" s="48" t="s">
        <v>1710</v>
      </c>
      <c r="CF293" s="48" t="s">
        <v>1710</v>
      </c>
      <c r="CG293" s="48" t="s">
        <v>1710</v>
      </c>
      <c r="CH293" s="48" t="s">
        <v>1710</v>
      </c>
      <c r="CI293" s="48" t="s">
        <v>2067</v>
      </c>
      <c r="CJ293" s="48" t="s">
        <v>1710</v>
      </c>
      <c r="CL293" s="48" t="s">
        <v>2816</v>
      </c>
      <c r="CM293" s="48" t="s">
        <v>1710</v>
      </c>
      <c r="CN293" s="48" t="s">
        <v>2068</v>
      </c>
      <c r="CO293" s="48" t="s">
        <v>2069</v>
      </c>
      <c r="CP293" s="48" t="s">
        <v>1710</v>
      </c>
      <c r="CQ293" s="48" t="s">
        <v>1710</v>
      </c>
      <c r="CR293" s="48" t="s">
        <v>1710</v>
      </c>
      <c r="CS293" s="48" t="s">
        <v>1710</v>
      </c>
      <c r="CT293" s="48" t="s">
        <v>1710</v>
      </c>
      <c r="CU293" s="48" t="s">
        <v>1712</v>
      </c>
      <c r="CV293" s="48" t="s">
        <v>1710</v>
      </c>
      <c r="CW293" s="48" t="s">
        <v>1710</v>
      </c>
      <c r="CX293" s="48" t="s">
        <v>2823</v>
      </c>
      <c r="CY293" s="48" t="s">
        <v>1710</v>
      </c>
      <c r="CZ293" s="48" t="s">
        <v>1712</v>
      </c>
      <c r="DA293" s="48" t="s">
        <v>1710</v>
      </c>
      <c r="DB293" s="48" t="s">
        <v>1878</v>
      </c>
      <c r="DC293" s="48" t="s">
        <v>2070</v>
      </c>
      <c r="DD293" s="48" t="s">
        <v>1842</v>
      </c>
      <c r="DE293" s="48" t="s">
        <v>1886</v>
      </c>
      <c r="DF293" s="48" t="s">
        <v>5116</v>
      </c>
      <c r="DG293" s="48" t="s">
        <v>2071</v>
      </c>
      <c r="DH293" s="48" t="s">
        <v>1712</v>
      </c>
      <c r="DI293" s="48" t="s">
        <v>1710</v>
      </c>
      <c r="DJ293" s="48" t="s">
        <v>1710</v>
      </c>
      <c r="DK293" s="48" t="s">
        <v>1710</v>
      </c>
      <c r="DL293" s="48" t="s">
        <v>1710</v>
      </c>
      <c r="DM293" s="48" t="s">
        <v>1710</v>
      </c>
      <c r="DN293" s="48" t="s">
        <v>1710</v>
      </c>
      <c r="DO293" s="48" t="s">
        <v>1710</v>
      </c>
      <c r="DP293" s="48" t="s">
        <v>1710</v>
      </c>
      <c r="DQ293" s="48" t="s">
        <v>1710</v>
      </c>
      <c r="DR293" s="48" t="s">
        <v>2072</v>
      </c>
      <c r="DS293" s="48" t="s">
        <v>1710</v>
      </c>
      <c r="DT293" s="48" t="s">
        <v>1710</v>
      </c>
      <c r="DU293" s="48" t="s">
        <v>2575</v>
      </c>
      <c r="DV293" s="48" t="s">
        <v>3111</v>
      </c>
      <c r="DW293" s="48" t="s">
        <v>1710</v>
      </c>
      <c r="DX293" s="48" t="s">
        <v>5117</v>
      </c>
      <c r="DY293" s="48" t="s">
        <v>1709</v>
      </c>
      <c r="DZ293" s="48" t="s">
        <v>2562</v>
      </c>
      <c r="EA293" s="48" t="s">
        <v>2546</v>
      </c>
      <c r="EB293">
        <v>0</v>
      </c>
      <c r="EC293" s="48" t="s">
        <v>2575</v>
      </c>
      <c r="ED293" s="48" t="s">
        <v>5118</v>
      </c>
      <c r="EE293" s="48" t="s">
        <v>1814</v>
      </c>
      <c r="EF293" s="48" t="s">
        <v>3521</v>
      </c>
      <c r="EG293" s="48" t="s">
        <v>5114</v>
      </c>
      <c r="EH293">
        <v>1.4</v>
      </c>
      <c r="EI293" s="48" t="s">
        <v>1888</v>
      </c>
      <c r="EJ293">
        <v>0</v>
      </c>
      <c r="EK293" s="48" t="s">
        <v>1710</v>
      </c>
      <c r="EL293">
        <v>1</v>
      </c>
      <c r="EM293" s="48" t="s">
        <v>1886</v>
      </c>
      <c r="EN293">
        <v>1.4</v>
      </c>
      <c r="EO293" s="48" t="s">
        <v>3522</v>
      </c>
      <c r="EP293" s="48" t="s">
        <v>4562</v>
      </c>
      <c r="EQ293">
        <v>1027.29</v>
      </c>
      <c r="ER293">
        <v>1027.29</v>
      </c>
      <c r="ES293">
        <v>1474259</v>
      </c>
      <c r="ET293">
        <v>1001</v>
      </c>
      <c r="EU293" s="48" t="s">
        <v>1710</v>
      </c>
      <c r="EV293" s="48" t="s">
        <v>1710</v>
      </c>
      <c r="EW293" s="48" t="s">
        <v>1712</v>
      </c>
      <c r="EX293" s="48" t="s">
        <v>1710</v>
      </c>
      <c r="EY293" s="48" t="s">
        <v>1873</v>
      </c>
      <c r="EZ293" s="48" t="s">
        <v>1710</v>
      </c>
      <c r="FA293" s="48" t="s">
        <v>1710</v>
      </c>
      <c r="FB293" s="48" t="s">
        <v>1712</v>
      </c>
      <c r="FC293" s="48" t="s">
        <v>1710</v>
      </c>
      <c r="FD293" s="48" t="s">
        <v>1710</v>
      </c>
      <c r="FE293" s="48" t="s">
        <v>1814</v>
      </c>
      <c r="FF293" s="48" t="s">
        <v>1815</v>
      </c>
      <c r="FG293" s="48" t="s">
        <v>1710</v>
      </c>
      <c r="FH293">
        <v>1</v>
      </c>
      <c r="FI293" s="48" t="s">
        <v>1846</v>
      </c>
      <c r="FJ293">
        <v>1027.29</v>
      </c>
      <c r="FK293">
        <v>1027.29</v>
      </c>
      <c r="FL293" s="48" t="s">
        <v>4563</v>
      </c>
      <c r="FM293" s="48" t="s">
        <v>4562</v>
      </c>
      <c r="FN293" s="48" t="s">
        <v>1710</v>
      </c>
      <c r="FO293" s="48" t="s">
        <v>1710</v>
      </c>
      <c r="FP293" s="48" t="s">
        <v>1710</v>
      </c>
      <c r="FQ293" s="48" t="s">
        <v>1710</v>
      </c>
      <c r="FR293" s="48" t="s">
        <v>1710</v>
      </c>
      <c r="FS293" s="48" t="s">
        <v>1710</v>
      </c>
      <c r="FT293" s="48" t="s">
        <v>1710</v>
      </c>
      <c r="FU293" s="48" t="s">
        <v>1710</v>
      </c>
      <c r="FV293" s="48"/>
      <c r="FW293" s="56"/>
      <c r="FX293" s="56"/>
      <c r="FY293" s="56"/>
      <c r="FZ293" s="56"/>
      <c r="GA293" s="55" t="str">
        <f t="shared" si="15"/>
        <v>4388426900463X</v>
      </c>
      <c r="GB293" t="str">
        <f>VLOOKUP(B293,수출코드!$C$2:$D$4,2,FALSE)</f>
        <v>Suwon</v>
      </c>
      <c r="GC293" t="str">
        <f>VLOOKUP(L293,수출코드!$A$2:$B$6,2,FALSE)</f>
        <v/>
      </c>
      <c r="GD293" t="str">
        <f>VLOOKUP(M293,수출코드!$E$2:$F$5,2,FALSE)</f>
        <v>일반</v>
      </c>
      <c r="GE293" s="61">
        <f t="shared" si="12"/>
        <v>45976.676388888889</v>
      </c>
      <c r="GF293" s="62">
        <f t="shared" si="13"/>
        <v>46050.591666666667</v>
      </c>
      <c r="GI293" s="48" t="s">
        <v>2807</v>
      </c>
    </row>
    <row r="294" spans="1:191">
      <c r="A294" s="48" t="s">
        <v>5119</v>
      </c>
      <c r="B294" s="48" t="s">
        <v>1821</v>
      </c>
      <c r="C294" s="48" t="s">
        <v>2048</v>
      </c>
      <c r="D294" s="48" t="s">
        <v>2813</v>
      </c>
      <c r="E294" s="48" t="s">
        <v>5119</v>
      </c>
      <c r="F294" s="48" t="s">
        <v>1710</v>
      </c>
      <c r="G294" s="48" t="s">
        <v>2814</v>
      </c>
      <c r="H294" s="48" t="s">
        <v>5120</v>
      </c>
      <c r="I294" s="48" t="s">
        <v>1884</v>
      </c>
      <c r="J294" s="48" t="s">
        <v>2816</v>
      </c>
      <c r="K294" s="48" t="s">
        <v>1885</v>
      </c>
      <c r="L294" s="48" t="s">
        <v>1883</v>
      </c>
      <c r="M294" s="48" t="s">
        <v>2085</v>
      </c>
      <c r="N294" s="48" t="s">
        <v>1842</v>
      </c>
      <c r="O294" s="48" t="s">
        <v>1811</v>
      </c>
      <c r="P294" s="48" t="s">
        <v>2549</v>
      </c>
      <c r="Q294" s="48" t="s">
        <v>2049</v>
      </c>
      <c r="R294" s="48" t="s">
        <v>1838</v>
      </c>
      <c r="S294" s="48" t="s">
        <v>2050</v>
      </c>
      <c r="T294" s="48" t="s">
        <v>1845</v>
      </c>
      <c r="U294" s="48" t="s">
        <v>2049</v>
      </c>
      <c r="V294" s="48" t="s">
        <v>1838</v>
      </c>
      <c r="W294" s="48" t="s">
        <v>2051</v>
      </c>
      <c r="X294" s="48" t="s">
        <v>2052</v>
      </c>
      <c r="Y294" s="48" t="s">
        <v>2050</v>
      </c>
      <c r="Z294" s="48" t="s">
        <v>2053</v>
      </c>
      <c r="AA294" s="48" t="s">
        <v>2054</v>
      </c>
      <c r="AB294" s="48" t="s">
        <v>1710</v>
      </c>
      <c r="AC294" s="48" t="s">
        <v>2055</v>
      </c>
      <c r="AD294" s="48" t="s">
        <v>2056</v>
      </c>
      <c r="AE294" s="48" t="s">
        <v>1710</v>
      </c>
      <c r="AF294" s="48" t="s">
        <v>1710</v>
      </c>
      <c r="AG294" s="48" t="s">
        <v>2057</v>
      </c>
      <c r="AH294" s="48" t="s">
        <v>1815</v>
      </c>
      <c r="AI294" s="48" t="s">
        <v>2058</v>
      </c>
      <c r="AJ294" s="48" t="s">
        <v>1710</v>
      </c>
      <c r="AK294" s="48" t="s">
        <v>2090</v>
      </c>
      <c r="AL294" s="48" t="s">
        <v>2091</v>
      </c>
      <c r="AM294" s="48" t="s">
        <v>1816</v>
      </c>
      <c r="AN294" s="48" t="s">
        <v>2054</v>
      </c>
      <c r="AO294" s="48" t="s">
        <v>1710</v>
      </c>
      <c r="AP294" s="48" t="s">
        <v>1853</v>
      </c>
      <c r="AQ294" s="48" t="s">
        <v>2086</v>
      </c>
      <c r="AR294" s="48" t="s">
        <v>1812</v>
      </c>
      <c r="AS294" s="48" t="s">
        <v>1813</v>
      </c>
      <c r="AT294" s="48" t="s">
        <v>1826</v>
      </c>
      <c r="AU294" s="48" t="s">
        <v>2061</v>
      </c>
      <c r="AV294" s="48" t="s">
        <v>2816</v>
      </c>
      <c r="AW294" s="48" t="s">
        <v>2062</v>
      </c>
      <c r="AX294" s="48" t="s">
        <v>2063</v>
      </c>
      <c r="AY294" s="48" t="s">
        <v>1710</v>
      </c>
      <c r="AZ294" s="48" t="s">
        <v>5121</v>
      </c>
      <c r="BA294" s="48" t="s">
        <v>1710</v>
      </c>
      <c r="BB294" s="48" t="s">
        <v>1709</v>
      </c>
      <c r="BC294" s="48" t="s">
        <v>1710</v>
      </c>
      <c r="BD294" s="48" t="s">
        <v>2089</v>
      </c>
      <c r="BE294" s="52" t="s">
        <v>5122</v>
      </c>
      <c r="BF294" s="48" t="s">
        <v>1710</v>
      </c>
      <c r="BG294" s="48" t="s">
        <v>1814</v>
      </c>
      <c r="BH294">
        <v>5</v>
      </c>
      <c r="BI294" s="48" t="s">
        <v>1888</v>
      </c>
      <c r="BJ294">
        <v>1</v>
      </c>
      <c r="BK294">
        <v>1473.06</v>
      </c>
      <c r="BL294">
        <v>3285079</v>
      </c>
      <c r="BM294">
        <v>2230</v>
      </c>
      <c r="BN294" s="48" t="s">
        <v>2064</v>
      </c>
      <c r="BO294" s="48" t="s">
        <v>2065</v>
      </c>
      <c r="BP294">
        <v>1473.06</v>
      </c>
      <c r="BQ294">
        <v>2264.3200000000002</v>
      </c>
      <c r="BR294" s="48" t="s">
        <v>1885</v>
      </c>
      <c r="BS294" s="48" t="s">
        <v>2066</v>
      </c>
      <c r="BT294">
        <v>1</v>
      </c>
      <c r="BU294">
        <v>50400</v>
      </c>
      <c r="BV294">
        <v>50400</v>
      </c>
      <c r="BW294" s="48" t="s">
        <v>2065</v>
      </c>
      <c r="BX294">
        <v>1473.06</v>
      </c>
      <c r="BY294">
        <v>0</v>
      </c>
      <c r="BZ294">
        <v>0</v>
      </c>
      <c r="CA294" s="48" t="s">
        <v>2065</v>
      </c>
      <c r="CB294">
        <v>1473.06</v>
      </c>
      <c r="CC294">
        <v>0</v>
      </c>
      <c r="CD294">
        <v>0</v>
      </c>
      <c r="CE294" s="48" t="s">
        <v>1710</v>
      </c>
      <c r="CF294" s="48" t="s">
        <v>1710</v>
      </c>
      <c r="CG294" s="48" t="s">
        <v>1710</v>
      </c>
      <c r="CH294" s="48" t="s">
        <v>1710</v>
      </c>
      <c r="CI294" s="48" t="s">
        <v>2067</v>
      </c>
      <c r="CJ294" s="48" t="s">
        <v>1710</v>
      </c>
      <c r="CL294" s="48" t="s">
        <v>2816</v>
      </c>
      <c r="CM294" s="48" t="s">
        <v>1710</v>
      </c>
      <c r="CN294" s="48" t="s">
        <v>2068</v>
      </c>
      <c r="CO294" s="48" t="s">
        <v>2069</v>
      </c>
      <c r="CP294" s="48" t="s">
        <v>1710</v>
      </c>
      <c r="CQ294" s="48" t="s">
        <v>1710</v>
      </c>
      <c r="CR294" s="48" t="s">
        <v>1710</v>
      </c>
      <c r="CS294" s="48" t="s">
        <v>1710</v>
      </c>
      <c r="CT294" s="48" t="s">
        <v>1710</v>
      </c>
      <c r="CU294" s="48" t="s">
        <v>1712</v>
      </c>
      <c r="CV294" s="48" t="s">
        <v>1710</v>
      </c>
      <c r="CW294" s="48" t="s">
        <v>1710</v>
      </c>
      <c r="CX294" s="48" t="s">
        <v>2823</v>
      </c>
      <c r="CY294" s="48" t="s">
        <v>1710</v>
      </c>
      <c r="CZ294" s="48" t="s">
        <v>1712</v>
      </c>
      <c r="DA294" s="48" t="s">
        <v>1710</v>
      </c>
      <c r="DB294" s="48" t="s">
        <v>1878</v>
      </c>
      <c r="DC294" s="48" t="s">
        <v>2070</v>
      </c>
      <c r="DD294" s="48" t="s">
        <v>1842</v>
      </c>
      <c r="DE294" s="48" t="s">
        <v>1886</v>
      </c>
      <c r="DF294" s="48" t="s">
        <v>5123</v>
      </c>
      <c r="DG294" s="48" t="s">
        <v>2071</v>
      </c>
      <c r="DH294" s="48" t="s">
        <v>1712</v>
      </c>
      <c r="DI294" s="48" t="s">
        <v>1710</v>
      </c>
      <c r="DJ294" s="48" t="s">
        <v>1710</v>
      </c>
      <c r="DK294" s="48" t="s">
        <v>1710</v>
      </c>
      <c r="DL294" s="48" t="s">
        <v>1710</v>
      </c>
      <c r="DM294" s="48" t="s">
        <v>1710</v>
      </c>
      <c r="DN294" s="48" t="s">
        <v>1710</v>
      </c>
      <c r="DO294" s="48" t="s">
        <v>1710</v>
      </c>
      <c r="DP294" s="48" t="s">
        <v>1710</v>
      </c>
      <c r="DQ294" s="48" t="s">
        <v>1710</v>
      </c>
      <c r="DR294" s="48" t="s">
        <v>2072</v>
      </c>
      <c r="DS294" s="48" t="s">
        <v>1710</v>
      </c>
      <c r="DT294" s="48" t="s">
        <v>1710</v>
      </c>
      <c r="DU294" s="48" t="s">
        <v>2575</v>
      </c>
      <c r="DV294" s="48" t="s">
        <v>3111</v>
      </c>
      <c r="DW294" s="48" t="s">
        <v>1710</v>
      </c>
      <c r="DX294" s="48" t="s">
        <v>5124</v>
      </c>
      <c r="DY294" s="48" t="s">
        <v>1709</v>
      </c>
      <c r="DZ294" s="48" t="s">
        <v>2073</v>
      </c>
      <c r="EA294" s="48" t="s">
        <v>2546</v>
      </c>
      <c r="EB294">
        <v>0</v>
      </c>
      <c r="EC294" s="48" t="s">
        <v>2575</v>
      </c>
      <c r="ED294" s="48" t="s">
        <v>5125</v>
      </c>
      <c r="EE294" s="48" t="s">
        <v>1814</v>
      </c>
      <c r="EF294" s="48" t="s">
        <v>1861</v>
      </c>
      <c r="EG294" s="48" t="s">
        <v>5121</v>
      </c>
      <c r="EH294">
        <v>3.2</v>
      </c>
      <c r="EI294" s="48" t="s">
        <v>1888</v>
      </c>
      <c r="EJ294">
        <v>0</v>
      </c>
      <c r="EK294" s="48" t="s">
        <v>1710</v>
      </c>
      <c r="EL294">
        <v>1</v>
      </c>
      <c r="EM294" s="48" t="s">
        <v>1886</v>
      </c>
      <c r="EN294">
        <v>3.2</v>
      </c>
      <c r="EO294" s="48" t="s">
        <v>2518</v>
      </c>
      <c r="EP294" s="48" t="s">
        <v>5126</v>
      </c>
      <c r="EQ294">
        <v>2264.3200000000002</v>
      </c>
      <c r="ER294">
        <v>2264.3200000000002</v>
      </c>
      <c r="ES294">
        <v>3285079</v>
      </c>
      <c r="ET294">
        <v>2230</v>
      </c>
      <c r="EU294" s="48" t="s">
        <v>5127</v>
      </c>
      <c r="EV294" s="48" t="s">
        <v>5128</v>
      </c>
      <c r="EW294" s="48" t="s">
        <v>1712</v>
      </c>
      <c r="EX294" s="48" t="s">
        <v>1710</v>
      </c>
      <c r="EY294" s="48" t="s">
        <v>2540</v>
      </c>
      <c r="EZ294" s="48" t="s">
        <v>1710</v>
      </c>
      <c r="FA294" s="48" t="s">
        <v>1710</v>
      </c>
      <c r="FB294" s="48" t="s">
        <v>1712</v>
      </c>
      <c r="FC294" s="48" t="s">
        <v>1710</v>
      </c>
      <c r="FD294" s="48" t="s">
        <v>1710</v>
      </c>
      <c r="FE294" s="48" t="s">
        <v>1814</v>
      </c>
      <c r="FF294" s="48" t="s">
        <v>1815</v>
      </c>
      <c r="FG294" s="48" t="s">
        <v>1710</v>
      </c>
      <c r="FH294">
        <v>1</v>
      </c>
      <c r="FI294" s="48" t="s">
        <v>1846</v>
      </c>
      <c r="FJ294">
        <v>2264.3200000000002</v>
      </c>
      <c r="FK294">
        <v>2264.3200000000002</v>
      </c>
      <c r="FL294" s="48" t="s">
        <v>5129</v>
      </c>
      <c r="FM294" s="48" t="s">
        <v>5126</v>
      </c>
      <c r="FN294" s="48" t="s">
        <v>1710</v>
      </c>
      <c r="FO294" s="48" t="s">
        <v>1710</v>
      </c>
      <c r="FP294" s="48" t="s">
        <v>1710</v>
      </c>
      <c r="FQ294" s="48" t="s">
        <v>1710</v>
      </c>
      <c r="FR294" s="48" t="s">
        <v>1710</v>
      </c>
      <c r="FS294" s="48" t="s">
        <v>1710</v>
      </c>
      <c r="FT294" s="48" t="s">
        <v>1710</v>
      </c>
      <c r="FU294" s="48" t="s">
        <v>1710</v>
      </c>
      <c r="FV294" s="48"/>
      <c r="FW294" s="56"/>
      <c r="FX294" s="56"/>
      <c r="FY294" s="56"/>
      <c r="FZ294" s="56"/>
      <c r="GA294" s="55" t="str">
        <f t="shared" si="15"/>
        <v>4388426900468X</v>
      </c>
      <c r="GB294" t="str">
        <f>VLOOKUP(B294,수출코드!$C$2:$D$4,2,FALSE)</f>
        <v>Suwon</v>
      </c>
      <c r="GC294" t="str">
        <f>VLOOKUP(L294,수출코드!$A$2:$B$6,2,FALSE)</f>
        <v>서류제출</v>
      </c>
      <c r="GD294" t="str">
        <f>VLOOKUP(M294,수출코드!$E$2:$F$5,2,FALSE)</f>
        <v>원상태</v>
      </c>
      <c r="GE294" s="61">
        <f t="shared" si="12"/>
        <v>45974.429166666669</v>
      </c>
      <c r="GF294" s="62">
        <f t="shared" si="13"/>
        <v>46050.697916666664</v>
      </c>
      <c r="GI294" s="48" t="s">
        <v>2808</v>
      </c>
    </row>
    <row r="295" spans="1:191">
      <c r="A295" s="48" t="s">
        <v>5130</v>
      </c>
      <c r="B295" s="48" t="s">
        <v>1821</v>
      </c>
      <c r="C295" s="48" t="s">
        <v>2048</v>
      </c>
      <c r="D295" s="48" t="s">
        <v>2813</v>
      </c>
      <c r="E295" s="48" t="s">
        <v>5130</v>
      </c>
      <c r="F295" s="48" t="s">
        <v>1710</v>
      </c>
      <c r="G295" s="48" t="s">
        <v>2814</v>
      </c>
      <c r="H295" s="48" t="s">
        <v>5131</v>
      </c>
      <c r="I295" s="48" t="s">
        <v>1884</v>
      </c>
      <c r="J295" s="48" t="s">
        <v>2816</v>
      </c>
      <c r="K295" s="48" t="s">
        <v>1885</v>
      </c>
      <c r="L295" s="48" t="s">
        <v>1883</v>
      </c>
      <c r="M295" s="48" t="s">
        <v>2085</v>
      </c>
      <c r="N295" s="48" t="s">
        <v>1842</v>
      </c>
      <c r="O295" s="48" t="s">
        <v>1811</v>
      </c>
      <c r="P295" s="48" t="s">
        <v>2549</v>
      </c>
      <c r="Q295" s="48" t="s">
        <v>2049</v>
      </c>
      <c r="R295" s="48" t="s">
        <v>1838</v>
      </c>
      <c r="S295" s="48" t="s">
        <v>2050</v>
      </c>
      <c r="T295" s="48" t="s">
        <v>1845</v>
      </c>
      <c r="U295" s="48" t="s">
        <v>2049</v>
      </c>
      <c r="V295" s="48" t="s">
        <v>1838</v>
      </c>
      <c r="W295" s="48" t="s">
        <v>2051</v>
      </c>
      <c r="X295" s="48" t="s">
        <v>2052</v>
      </c>
      <c r="Y295" s="48" t="s">
        <v>2050</v>
      </c>
      <c r="Z295" s="48" t="s">
        <v>2053</v>
      </c>
      <c r="AA295" s="48" t="s">
        <v>2054</v>
      </c>
      <c r="AB295" s="48" t="s">
        <v>1710</v>
      </c>
      <c r="AC295" s="48" t="s">
        <v>2055</v>
      </c>
      <c r="AD295" s="48" t="s">
        <v>2056</v>
      </c>
      <c r="AE295" s="48" t="s">
        <v>1710</v>
      </c>
      <c r="AF295" s="48" t="s">
        <v>1710</v>
      </c>
      <c r="AG295" s="48" t="s">
        <v>2057</v>
      </c>
      <c r="AH295" s="48" t="s">
        <v>1815</v>
      </c>
      <c r="AI295" s="48" t="s">
        <v>2058</v>
      </c>
      <c r="AJ295" s="48" t="s">
        <v>1710</v>
      </c>
      <c r="AK295" s="48" t="s">
        <v>2059</v>
      </c>
      <c r="AL295" s="48" t="s">
        <v>1858</v>
      </c>
      <c r="AM295" s="48" t="s">
        <v>1816</v>
      </c>
      <c r="AN295" s="48" t="s">
        <v>2054</v>
      </c>
      <c r="AO295" s="48" t="s">
        <v>1710</v>
      </c>
      <c r="AP295" s="48" t="s">
        <v>1848</v>
      </c>
      <c r="AQ295" s="48" t="s">
        <v>2060</v>
      </c>
      <c r="AR295" s="48" t="s">
        <v>1812</v>
      </c>
      <c r="AS295" s="48" t="s">
        <v>1813</v>
      </c>
      <c r="AT295" s="48" t="s">
        <v>1826</v>
      </c>
      <c r="AU295" s="48" t="s">
        <v>2061</v>
      </c>
      <c r="AV295" s="48" t="s">
        <v>2816</v>
      </c>
      <c r="AW295" s="48" t="s">
        <v>2062</v>
      </c>
      <c r="AX295" s="48" t="s">
        <v>2063</v>
      </c>
      <c r="AY295" s="48" t="s">
        <v>1710</v>
      </c>
      <c r="AZ295" s="48" t="s">
        <v>5132</v>
      </c>
      <c r="BA295" s="48" t="s">
        <v>1710</v>
      </c>
      <c r="BB295" s="48" t="s">
        <v>1709</v>
      </c>
      <c r="BC295" s="48" t="s">
        <v>1710</v>
      </c>
      <c r="BD295" s="48" t="s">
        <v>2089</v>
      </c>
      <c r="BE295" s="52" t="s">
        <v>5122</v>
      </c>
      <c r="BF295" s="48" t="s">
        <v>1710</v>
      </c>
      <c r="BG295" s="48" t="s">
        <v>1814</v>
      </c>
      <c r="BH295">
        <v>4</v>
      </c>
      <c r="BI295" s="48" t="s">
        <v>1888</v>
      </c>
      <c r="BJ295">
        <v>1</v>
      </c>
      <c r="BK295">
        <v>1473.06</v>
      </c>
      <c r="BL295">
        <v>3230766</v>
      </c>
      <c r="BM295">
        <v>2193</v>
      </c>
      <c r="BN295" s="48" t="s">
        <v>2064</v>
      </c>
      <c r="BO295" s="48" t="s">
        <v>2065</v>
      </c>
      <c r="BP295">
        <v>1473.06</v>
      </c>
      <c r="BQ295">
        <v>2243.81</v>
      </c>
      <c r="BR295" s="48" t="s">
        <v>1885</v>
      </c>
      <c r="BS295" s="48" t="s">
        <v>2066</v>
      </c>
      <c r="BT295">
        <v>1</v>
      </c>
      <c r="BU295">
        <v>74500</v>
      </c>
      <c r="BV295">
        <v>74500</v>
      </c>
      <c r="BW295" s="48" t="s">
        <v>2065</v>
      </c>
      <c r="BX295">
        <v>1473.06</v>
      </c>
      <c r="BY295">
        <v>0</v>
      </c>
      <c r="BZ295">
        <v>0</v>
      </c>
      <c r="CA295" s="48" t="s">
        <v>2065</v>
      </c>
      <c r="CB295">
        <v>1473.06</v>
      </c>
      <c r="CC295">
        <v>0</v>
      </c>
      <c r="CD295">
        <v>0</v>
      </c>
      <c r="CE295" s="48" t="s">
        <v>1710</v>
      </c>
      <c r="CF295" s="48" t="s">
        <v>1710</v>
      </c>
      <c r="CG295" s="48" t="s">
        <v>1710</v>
      </c>
      <c r="CH295" s="48" t="s">
        <v>1710</v>
      </c>
      <c r="CI295" s="48" t="s">
        <v>2067</v>
      </c>
      <c r="CJ295" s="48" t="s">
        <v>1710</v>
      </c>
      <c r="CL295" s="48" t="s">
        <v>2816</v>
      </c>
      <c r="CM295" s="48" t="s">
        <v>1710</v>
      </c>
      <c r="CN295" s="48" t="s">
        <v>2068</v>
      </c>
      <c r="CO295" s="48" t="s">
        <v>2069</v>
      </c>
      <c r="CP295" s="48" t="s">
        <v>1710</v>
      </c>
      <c r="CQ295" s="48" t="s">
        <v>1710</v>
      </c>
      <c r="CR295" s="48" t="s">
        <v>1710</v>
      </c>
      <c r="CS295" s="48" t="s">
        <v>1710</v>
      </c>
      <c r="CT295" s="48" t="s">
        <v>1710</v>
      </c>
      <c r="CU295" s="48" t="s">
        <v>1712</v>
      </c>
      <c r="CV295" s="48" t="s">
        <v>1710</v>
      </c>
      <c r="CW295" s="48" t="s">
        <v>1710</v>
      </c>
      <c r="CX295" s="48" t="s">
        <v>2823</v>
      </c>
      <c r="CY295" s="48" t="s">
        <v>1710</v>
      </c>
      <c r="CZ295" s="48" t="s">
        <v>1712</v>
      </c>
      <c r="DA295" s="48" t="s">
        <v>1710</v>
      </c>
      <c r="DB295" s="48" t="s">
        <v>1878</v>
      </c>
      <c r="DC295" s="48" t="s">
        <v>2070</v>
      </c>
      <c r="DD295" s="48" t="s">
        <v>1842</v>
      </c>
      <c r="DE295" s="48" t="s">
        <v>1886</v>
      </c>
      <c r="DF295" s="48" t="s">
        <v>5133</v>
      </c>
      <c r="DG295" s="48" t="s">
        <v>2071</v>
      </c>
      <c r="DH295" s="48" t="s">
        <v>1712</v>
      </c>
      <c r="DI295" s="48" t="s">
        <v>1710</v>
      </c>
      <c r="DJ295" s="48" t="s">
        <v>1710</v>
      </c>
      <c r="DK295" s="48" t="s">
        <v>1710</v>
      </c>
      <c r="DL295" s="48" t="s">
        <v>1710</v>
      </c>
      <c r="DM295" s="48" t="s">
        <v>1710</v>
      </c>
      <c r="DN295" s="48" t="s">
        <v>1710</v>
      </c>
      <c r="DO295" s="48" t="s">
        <v>1710</v>
      </c>
      <c r="DP295" s="48" t="s">
        <v>1710</v>
      </c>
      <c r="DQ295" s="48" t="s">
        <v>1710</v>
      </c>
      <c r="DR295" s="48" t="s">
        <v>2072</v>
      </c>
      <c r="DS295" s="48" t="s">
        <v>1710</v>
      </c>
      <c r="DT295" s="48" t="s">
        <v>1710</v>
      </c>
      <c r="DU295" s="48" t="s">
        <v>2575</v>
      </c>
      <c r="DV295" s="48" t="s">
        <v>3111</v>
      </c>
      <c r="DW295" s="48" t="s">
        <v>1710</v>
      </c>
      <c r="DX295" s="48" t="s">
        <v>5134</v>
      </c>
      <c r="DY295" s="48" t="s">
        <v>1709</v>
      </c>
      <c r="DZ295" s="48" t="s">
        <v>2073</v>
      </c>
      <c r="EA295" s="48" t="s">
        <v>2546</v>
      </c>
      <c r="EB295">
        <v>0</v>
      </c>
      <c r="EC295" s="48" t="s">
        <v>2575</v>
      </c>
      <c r="ED295" s="48" t="s">
        <v>5125</v>
      </c>
      <c r="EE295" s="48" t="s">
        <v>1814</v>
      </c>
      <c r="EF295" s="48" t="s">
        <v>2594</v>
      </c>
      <c r="EG295" s="48" t="s">
        <v>5132</v>
      </c>
      <c r="EH295">
        <v>2</v>
      </c>
      <c r="EI295" s="48" t="s">
        <v>1888</v>
      </c>
      <c r="EJ295">
        <v>0</v>
      </c>
      <c r="EK295" s="48" t="s">
        <v>1710</v>
      </c>
      <c r="EL295">
        <v>1</v>
      </c>
      <c r="EM295" s="48" t="s">
        <v>1886</v>
      </c>
      <c r="EN295">
        <v>2</v>
      </c>
      <c r="EO295" s="48" t="s">
        <v>2595</v>
      </c>
      <c r="EP295" s="48" t="s">
        <v>5135</v>
      </c>
      <c r="EQ295">
        <v>2243.81</v>
      </c>
      <c r="ER295">
        <v>2243.81</v>
      </c>
      <c r="ES295">
        <v>3230766</v>
      </c>
      <c r="ET295">
        <v>2193</v>
      </c>
      <c r="EU295" s="48" t="s">
        <v>5136</v>
      </c>
      <c r="EV295" s="48" t="s">
        <v>1819</v>
      </c>
      <c r="EW295" s="48" t="s">
        <v>1712</v>
      </c>
      <c r="EX295" s="48" t="s">
        <v>1710</v>
      </c>
      <c r="EY295" s="48" t="s">
        <v>1843</v>
      </c>
      <c r="EZ295" s="48" t="s">
        <v>1710</v>
      </c>
      <c r="FA295" s="48" t="s">
        <v>1710</v>
      </c>
      <c r="FB295" s="48" t="s">
        <v>1712</v>
      </c>
      <c r="FC295" s="48" t="s">
        <v>1710</v>
      </c>
      <c r="FD295" s="48" t="s">
        <v>1710</v>
      </c>
      <c r="FE295" s="48" t="s">
        <v>1814</v>
      </c>
      <c r="FF295" s="48" t="s">
        <v>1815</v>
      </c>
      <c r="FG295" s="48" t="s">
        <v>1710</v>
      </c>
      <c r="FH295">
        <v>1</v>
      </c>
      <c r="FI295" s="48" t="s">
        <v>1846</v>
      </c>
      <c r="FJ295">
        <v>2243.81</v>
      </c>
      <c r="FK295">
        <v>2243.81</v>
      </c>
      <c r="FL295" s="48" t="s">
        <v>3500</v>
      </c>
      <c r="FM295" s="48" t="s">
        <v>5135</v>
      </c>
      <c r="FN295" s="48" t="s">
        <v>5137</v>
      </c>
      <c r="FO295" s="48" t="s">
        <v>1710</v>
      </c>
      <c r="FP295" s="48" t="s">
        <v>1710</v>
      </c>
      <c r="FQ295" s="48" t="s">
        <v>1710</v>
      </c>
      <c r="FR295" s="48" t="s">
        <v>1710</v>
      </c>
      <c r="FS295" s="48" t="s">
        <v>1710</v>
      </c>
      <c r="FT295" s="48" t="s">
        <v>1710</v>
      </c>
      <c r="FU295" s="48" t="s">
        <v>1710</v>
      </c>
      <c r="FV295" s="48"/>
      <c r="FW295" s="56"/>
      <c r="FX295" s="56"/>
      <c r="FY295" s="56"/>
      <c r="FZ295" s="56"/>
      <c r="GA295" s="55" t="str">
        <f t="shared" si="15"/>
        <v>4388426900469X</v>
      </c>
      <c r="GB295" t="str">
        <f>VLOOKUP(B295,수출코드!$C$2:$D$4,2,FALSE)</f>
        <v>Suwon</v>
      </c>
      <c r="GC295" t="str">
        <f>VLOOKUP(L295,수출코드!$A$2:$B$6,2,FALSE)</f>
        <v>서류제출</v>
      </c>
      <c r="GD295" t="str">
        <f>VLOOKUP(M295,수출코드!$E$2:$F$5,2,FALSE)</f>
        <v>원상태</v>
      </c>
      <c r="GE295" s="61">
        <f t="shared" si="12"/>
        <v>45977.675000000003</v>
      </c>
      <c r="GF295" s="62">
        <f t="shared" si="13"/>
        <v>46050.697916666664</v>
      </c>
      <c r="GI295" s="48" t="s">
        <v>2809</v>
      </c>
    </row>
    <row r="296" spans="1:191">
      <c r="A296" s="48" t="s">
        <v>5138</v>
      </c>
      <c r="B296" s="48" t="s">
        <v>1821</v>
      </c>
      <c r="C296" s="48" t="s">
        <v>2048</v>
      </c>
      <c r="D296" s="48" t="s">
        <v>2813</v>
      </c>
      <c r="E296" s="48" t="s">
        <v>5138</v>
      </c>
      <c r="F296" s="48" t="s">
        <v>1710</v>
      </c>
      <c r="G296" s="48" t="s">
        <v>2814</v>
      </c>
      <c r="H296" s="48" t="s">
        <v>5139</v>
      </c>
      <c r="I296" s="48" t="s">
        <v>1884</v>
      </c>
      <c r="J296" s="48" t="s">
        <v>2816</v>
      </c>
      <c r="K296" s="48" t="s">
        <v>1877</v>
      </c>
      <c r="L296" s="48" t="s">
        <v>1842</v>
      </c>
      <c r="M296" s="48" t="s">
        <v>1810</v>
      </c>
      <c r="N296" s="48" t="s">
        <v>1842</v>
      </c>
      <c r="O296" s="48" t="s">
        <v>1811</v>
      </c>
      <c r="P296" s="48" t="s">
        <v>2549</v>
      </c>
      <c r="Q296" s="48" t="s">
        <v>2049</v>
      </c>
      <c r="R296" s="48" t="s">
        <v>1838</v>
      </c>
      <c r="S296" s="48" t="s">
        <v>2050</v>
      </c>
      <c r="T296" s="48" t="s">
        <v>1845</v>
      </c>
      <c r="U296" s="48" t="s">
        <v>2049</v>
      </c>
      <c r="V296" s="48" t="s">
        <v>1838</v>
      </c>
      <c r="W296" s="48" t="s">
        <v>2051</v>
      </c>
      <c r="X296" s="48" t="s">
        <v>2052</v>
      </c>
      <c r="Y296" s="48" t="s">
        <v>2050</v>
      </c>
      <c r="Z296" s="48" t="s">
        <v>2053</v>
      </c>
      <c r="AA296" s="48" t="s">
        <v>2054</v>
      </c>
      <c r="AB296" s="48" t="s">
        <v>2817</v>
      </c>
      <c r="AC296" s="48" t="s">
        <v>2055</v>
      </c>
      <c r="AD296" s="48" t="s">
        <v>2056</v>
      </c>
      <c r="AE296" s="48" t="s">
        <v>1710</v>
      </c>
      <c r="AF296" s="48" t="s">
        <v>1710</v>
      </c>
      <c r="AG296" s="48" t="s">
        <v>2057</v>
      </c>
      <c r="AH296" s="48" t="s">
        <v>1815</v>
      </c>
      <c r="AI296" s="48" t="s">
        <v>2058</v>
      </c>
      <c r="AJ296" s="48" t="s">
        <v>1710</v>
      </c>
      <c r="AK296" s="48" t="s">
        <v>2606</v>
      </c>
      <c r="AL296" s="48" t="s">
        <v>1858</v>
      </c>
      <c r="AM296" s="48" t="s">
        <v>1816</v>
      </c>
      <c r="AN296" s="48" t="s">
        <v>2054</v>
      </c>
      <c r="AO296" s="48" t="s">
        <v>1710</v>
      </c>
      <c r="AP296" s="48" t="s">
        <v>1848</v>
      </c>
      <c r="AQ296" s="48" t="s">
        <v>2060</v>
      </c>
      <c r="AR296" s="48" t="s">
        <v>1812</v>
      </c>
      <c r="AS296" s="48" t="s">
        <v>1813</v>
      </c>
      <c r="AT296" s="48" t="s">
        <v>1826</v>
      </c>
      <c r="AU296" s="48" t="s">
        <v>2061</v>
      </c>
      <c r="AV296" s="48" t="s">
        <v>2816</v>
      </c>
      <c r="AW296" s="48" t="s">
        <v>2062</v>
      </c>
      <c r="AX296" s="48" t="s">
        <v>2063</v>
      </c>
      <c r="AY296" s="48" t="s">
        <v>1710</v>
      </c>
      <c r="AZ296" s="48" t="s">
        <v>5140</v>
      </c>
      <c r="BA296" s="48" t="s">
        <v>1710</v>
      </c>
      <c r="BB296" s="48" t="s">
        <v>1709</v>
      </c>
      <c r="BC296" s="48" t="s">
        <v>1710</v>
      </c>
      <c r="BD296" s="48" t="s">
        <v>2097</v>
      </c>
      <c r="BE296" s="52" t="s">
        <v>5122</v>
      </c>
      <c r="BF296" s="48" t="s">
        <v>1710</v>
      </c>
      <c r="BG296" s="48" t="s">
        <v>1814</v>
      </c>
      <c r="BH296">
        <v>1</v>
      </c>
      <c r="BI296" s="48" t="s">
        <v>1888</v>
      </c>
      <c r="BJ296">
        <v>1</v>
      </c>
      <c r="BK296">
        <v>1473.06</v>
      </c>
      <c r="BL296">
        <v>5886079</v>
      </c>
      <c r="BM296">
        <v>3996</v>
      </c>
      <c r="BN296" s="48" t="s">
        <v>2064</v>
      </c>
      <c r="BO296" s="48" t="s">
        <v>2065</v>
      </c>
      <c r="BP296">
        <v>1473.06</v>
      </c>
      <c r="BQ296">
        <v>4018.56</v>
      </c>
      <c r="BR296" s="48" t="s">
        <v>1885</v>
      </c>
      <c r="BS296" s="48" t="s">
        <v>2066</v>
      </c>
      <c r="BT296">
        <v>1</v>
      </c>
      <c r="BU296">
        <v>33500</v>
      </c>
      <c r="BV296">
        <v>33500</v>
      </c>
      <c r="BW296" s="48" t="s">
        <v>2065</v>
      </c>
      <c r="BX296">
        <v>1473.06</v>
      </c>
      <c r="BY296">
        <v>0</v>
      </c>
      <c r="BZ296">
        <v>0</v>
      </c>
      <c r="CA296" s="48" t="s">
        <v>2065</v>
      </c>
      <c r="CB296">
        <v>1473.06</v>
      </c>
      <c r="CC296">
        <v>0</v>
      </c>
      <c r="CD296">
        <v>0</v>
      </c>
      <c r="CE296" s="48" t="s">
        <v>1710</v>
      </c>
      <c r="CF296" s="48" t="s">
        <v>1710</v>
      </c>
      <c r="CG296" s="48" t="s">
        <v>1710</v>
      </c>
      <c r="CH296" s="48" t="s">
        <v>1710</v>
      </c>
      <c r="CI296" s="48" t="s">
        <v>2067</v>
      </c>
      <c r="CJ296" s="48" t="s">
        <v>1710</v>
      </c>
      <c r="CL296" s="48" t="s">
        <v>2816</v>
      </c>
      <c r="CM296" s="48" t="s">
        <v>1710</v>
      </c>
      <c r="CN296" s="48" t="s">
        <v>2068</v>
      </c>
      <c r="CO296" s="48" t="s">
        <v>2069</v>
      </c>
      <c r="CP296" s="48" t="s">
        <v>1710</v>
      </c>
      <c r="CQ296" s="48" t="s">
        <v>1710</v>
      </c>
      <c r="CR296" s="48" t="s">
        <v>1710</v>
      </c>
      <c r="CS296" s="48" t="s">
        <v>1710</v>
      </c>
      <c r="CT296" s="48" t="s">
        <v>1710</v>
      </c>
      <c r="CU296" s="48" t="s">
        <v>1712</v>
      </c>
      <c r="CV296" s="48" t="s">
        <v>1710</v>
      </c>
      <c r="CW296" s="48" t="s">
        <v>1710</v>
      </c>
      <c r="CX296" s="48" t="s">
        <v>2823</v>
      </c>
      <c r="CY296" s="48" t="s">
        <v>1710</v>
      </c>
      <c r="CZ296" s="48" t="s">
        <v>1712</v>
      </c>
      <c r="DA296" s="48" t="s">
        <v>1710</v>
      </c>
      <c r="DB296" s="48" t="s">
        <v>1878</v>
      </c>
      <c r="DC296" s="48" t="s">
        <v>2070</v>
      </c>
      <c r="DD296" s="48" t="s">
        <v>1842</v>
      </c>
      <c r="DE296" s="48" t="s">
        <v>1886</v>
      </c>
      <c r="DF296" s="48" t="s">
        <v>5141</v>
      </c>
      <c r="DG296" s="48" t="s">
        <v>2071</v>
      </c>
      <c r="DH296" s="48" t="s">
        <v>1712</v>
      </c>
      <c r="DI296" s="48" t="s">
        <v>1710</v>
      </c>
      <c r="DJ296" s="48" t="s">
        <v>1710</v>
      </c>
      <c r="DK296" s="48" t="s">
        <v>1710</v>
      </c>
      <c r="DL296" s="48" t="s">
        <v>1710</v>
      </c>
      <c r="DM296" s="48" t="s">
        <v>1710</v>
      </c>
      <c r="DN296" s="48" t="s">
        <v>1710</v>
      </c>
      <c r="DO296" s="48" t="s">
        <v>1710</v>
      </c>
      <c r="DP296" s="48" t="s">
        <v>1710</v>
      </c>
      <c r="DQ296" s="48" t="s">
        <v>1710</v>
      </c>
      <c r="DR296" s="48" t="s">
        <v>2072</v>
      </c>
      <c r="DS296" s="48" t="s">
        <v>1710</v>
      </c>
      <c r="DT296" s="48" t="s">
        <v>1710</v>
      </c>
      <c r="DU296" s="48" t="s">
        <v>2575</v>
      </c>
      <c r="DV296" s="48" t="s">
        <v>3111</v>
      </c>
      <c r="DW296" s="48" t="s">
        <v>1710</v>
      </c>
      <c r="DX296" s="48" t="s">
        <v>5142</v>
      </c>
      <c r="DY296" s="48" t="s">
        <v>1709</v>
      </c>
      <c r="DZ296" s="48" t="s">
        <v>2562</v>
      </c>
      <c r="EA296" s="48" t="s">
        <v>2546</v>
      </c>
      <c r="EB296">
        <v>0</v>
      </c>
      <c r="EC296" s="48" t="s">
        <v>2575</v>
      </c>
      <c r="ED296" s="48" t="s">
        <v>5143</v>
      </c>
      <c r="EE296" s="48" t="s">
        <v>1814</v>
      </c>
      <c r="EF296" s="48" t="s">
        <v>1852</v>
      </c>
      <c r="EG296" s="48" t="s">
        <v>5140</v>
      </c>
      <c r="EH296">
        <v>0.48</v>
      </c>
      <c r="EI296" s="48" t="s">
        <v>1888</v>
      </c>
      <c r="EJ296">
        <v>0</v>
      </c>
      <c r="EK296" s="48" t="s">
        <v>1710</v>
      </c>
      <c r="EL296">
        <v>1</v>
      </c>
      <c r="EM296" s="48" t="s">
        <v>1886</v>
      </c>
      <c r="EN296">
        <v>0.48</v>
      </c>
      <c r="EO296" s="48" t="s">
        <v>2521</v>
      </c>
      <c r="EP296" s="48" t="s">
        <v>5144</v>
      </c>
      <c r="EQ296">
        <v>4018.56</v>
      </c>
      <c r="ER296">
        <v>4018.56</v>
      </c>
      <c r="ES296">
        <v>5886079</v>
      </c>
      <c r="ET296">
        <v>3996</v>
      </c>
      <c r="EU296" s="48" t="s">
        <v>1710</v>
      </c>
      <c r="EV296" s="48" t="s">
        <v>1710</v>
      </c>
      <c r="EW296" s="48" t="s">
        <v>1712</v>
      </c>
      <c r="EX296" s="48" t="s">
        <v>1710</v>
      </c>
      <c r="EY296" s="48" t="s">
        <v>1853</v>
      </c>
      <c r="EZ296" s="48" t="s">
        <v>1710</v>
      </c>
      <c r="FA296" s="48" t="s">
        <v>1710</v>
      </c>
      <c r="FB296" s="48" t="s">
        <v>1712</v>
      </c>
      <c r="FC296" s="48" t="s">
        <v>1710</v>
      </c>
      <c r="FD296" s="48" t="s">
        <v>1710</v>
      </c>
      <c r="FE296" s="48" t="s">
        <v>1814</v>
      </c>
      <c r="FF296" s="48" t="s">
        <v>1815</v>
      </c>
      <c r="FG296" s="48" t="s">
        <v>1710</v>
      </c>
      <c r="FH296">
        <v>3</v>
      </c>
      <c r="FI296" s="48" t="s">
        <v>1846</v>
      </c>
      <c r="FJ296">
        <v>4018.56</v>
      </c>
      <c r="FK296">
        <v>1339.52</v>
      </c>
      <c r="FL296" s="48" t="s">
        <v>5145</v>
      </c>
      <c r="FM296" s="48" t="s">
        <v>5144</v>
      </c>
      <c r="FN296" s="48" t="s">
        <v>1710</v>
      </c>
      <c r="FO296" s="48" t="s">
        <v>1710</v>
      </c>
      <c r="FP296" s="48" t="s">
        <v>1710</v>
      </c>
      <c r="FQ296" s="48" t="s">
        <v>1710</v>
      </c>
      <c r="FR296" s="48" t="s">
        <v>1710</v>
      </c>
      <c r="FS296" s="48" t="s">
        <v>1710</v>
      </c>
      <c r="FT296" s="48" t="s">
        <v>1710</v>
      </c>
      <c r="FU296" s="48" t="s">
        <v>1710</v>
      </c>
      <c r="FV296" s="48"/>
      <c r="FW296" s="56"/>
      <c r="FX296" s="56"/>
      <c r="FY296" s="56"/>
      <c r="FZ296" s="56"/>
      <c r="GA296" s="55"/>
      <c r="GE296" s="61"/>
      <c r="GF296" s="62"/>
      <c r="GI296" s="48"/>
    </row>
    <row r="297" spans="1:191">
      <c r="A297" s="48" t="s">
        <v>5146</v>
      </c>
      <c r="B297" s="48" t="s">
        <v>1821</v>
      </c>
      <c r="C297" s="48" t="s">
        <v>2048</v>
      </c>
      <c r="D297" s="48" t="s">
        <v>2813</v>
      </c>
      <c r="E297" s="48" t="s">
        <v>5146</v>
      </c>
      <c r="F297" s="48" t="s">
        <v>1710</v>
      </c>
      <c r="G297" s="48" t="s">
        <v>2814</v>
      </c>
      <c r="H297" s="48" t="s">
        <v>5147</v>
      </c>
      <c r="I297" s="48" t="s">
        <v>1884</v>
      </c>
      <c r="J297" s="48" t="s">
        <v>2816</v>
      </c>
      <c r="K297" s="48" t="s">
        <v>1877</v>
      </c>
      <c r="L297" s="48" t="s">
        <v>1842</v>
      </c>
      <c r="M297" s="48" t="s">
        <v>1810</v>
      </c>
      <c r="N297" s="48" t="s">
        <v>1842</v>
      </c>
      <c r="O297" s="48" t="s">
        <v>1811</v>
      </c>
      <c r="P297" s="48" t="s">
        <v>2549</v>
      </c>
      <c r="Q297" s="48" t="s">
        <v>2049</v>
      </c>
      <c r="R297" s="48" t="s">
        <v>1838</v>
      </c>
      <c r="S297" s="48" t="s">
        <v>2050</v>
      </c>
      <c r="T297" s="48" t="s">
        <v>1845</v>
      </c>
      <c r="U297" s="48" t="s">
        <v>2049</v>
      </c>
      <c r="V297" s="48" t="s">
        <v>1838</v>
      </c>
      <c r="W297" s="48" t="s">
        <v>2051</v>
      </c>
      <c r="X297" s="48" t="s">
        <v>2052</v>
      </c>
      <c r="Y297" s="48" t="s">
        <v>2050</v>
      </c>
      <c r="Z297" s="48" t="s">
        <v>2053</v>
      </c>
      <c r="AA297" s="48" t="s">
        <v>2054</v>
      </c>
      <c r="AB297" s="48" t="s">
        <v>2817</v>
      </c>
      <c r="AC297" s="48" t="s">
        <v>2055</v>
      </c>
      <c r="AD297" s="48" t="s">
        <v>2056</v>
      </c>
      <c r="AE297" s="48" t="s">
        <v>1710</v>
      </c>
      <c r="AF297" s="48" t="s">
        <v>1710</v>
      </c>
      <c r="AG297" s="48" t="s">
        <v>2057</v>
      </c>
      <c r="AH297" s="48" t="s">
        <v>1815</v>
      </c>
      <c r="AI297" s="48" t="s">
        <v>2058</v>
      </c>
      <c r="AJ297" s="48" t="s">
        <v>1710</v>
      </c>
      <c r="AK297" s="48" t="s">
        <v>2059</v>
      </c>
      <c r="AL297" s="48" t="s">
        <v>1858</v>
      </c>
      <c r="AM297" s="48" t="s">
        <v>1816</v>
      </c>
      <c r="AN297" s="48" t="s">
        <v>2054</v>
      </c>
      <c r="AO297" s="48" t="s">
        <v>1710</v>
      </c>
      <c r="AP297" s="48" t="s">
        <v>1848</v>
      </c>
      <c r="AQ297" s="48" t="s">
        <v>2060</v>
      </c>
      <c r="AR297" s="48" t="s">
        <v>1812</v>
      </c>
      <c r="AS297" s="48" t="s">
        <v>1813</v>
      </c>
      <c r="AT297" s="48" t="s">
        <v>1826</v>
      </c>
      <c r="AU297" s="48" t="s">
        <v>2061</v>
      </c>
      <c r="AV297" s="48" t="s">
        <v>2816</v>
      </c>
      <c r="AW297" s="48" t="s">
        <v>2062</v>
      </c>
      <c r="AX297" s="48" t="s">
        <v>2063</v>
      </c>
      <c r="AY297" s="48" t="s">
        <v>1710</v>
      </c>
      <c r="AZ297" s="48" t="s">
        <v>5148</v>
      </c>
      <c r="BA297" s="48" t="s">
        <v>1710</v>
      </c>
      <c r="BB297" s="48" t="s">
        <v>1709</v>
      </c>
      <c r="BC297" s="48" t="s">
        <v>1710</v>
      </c>
      <c r="BD297" s="48" t="s">
        <v>2097</v>
      </c>
      <c r="BE297" s="52" t="s">
        <v>5122</v>
      </c>
      <c r="BF297" s="48" t="s">
        <v>1710</v>
      </c>
      <c r="BG297" s="48" t="s">
        <v>1818</v>
      </c>
      <c r="BH297">
        <v>17</v>
      </c>
      <c r="BI297" s="48" t="s">
        <v>1888</v>
      </c>
      <c r="BJ297">
        <v>1</v>
      </c>
      <c r="BK297">
        <v>1473.06</v>
      </c>
      <c r="BL297">
        <v>23634710</v>
      </c>
      <c r="BM297">
        <v>16045</v>
      </c>
      <c r="BN297" s="48" t="s">
        <v>2064</v>
      </c>
      <c r="BO297" s="48" t="s">
        <v>2065</v>
      </c>
      <c r="BP297">
        <v>1473.06</v>
      </c>
      <c r="BQ297">
        <v>16215.03</v>
      </c>
      <c r="BR297" s="48" t="s">
        <v>1885</v>
      </c>
      <c r="BS297" s="48" t="s">
        <v>2066</v>
      </c>
      <c r="BT297">
        <v>1</v>
      </c>
      <c r="BU297">
        <v>251000</v>
      </c>
      <c r="BV297">
        <v>251000</v>
      </c>
      <c r="BW297" s="48" t="s">
        <v>2065</v>
      </c>
      <c r="BX297">
        <v>1473.06</v>
      </c>
      <c r="BY297">
        <v>0</v>
      </c>
      <c r="BZ297">
        <v>0</v>
      </c>
      <c r="CA297" s="48" t="s">
        <v>2065</v>
      </c>
      <c r="CB297">
        <v>1473.06</v>
      </c>
      <c r="CC297">
        <v>0</v>
      </c>
      <c r="CD297">
        <v>0</v>
      </c>
      <c r="CE297" s="48" t="s">
        <v>1710</v>
      </c>
      <c r="CF297" s="48" t="s">
        <v>1710</v>
      </c>
      <c r="CG297" s="48" t="s">
        <v>1710</v>
      </c>
      <c r="CH297" s="48" t="s">
        <v>1710</v>
      </c>
      <c r="CI297" s="48" t="s">
        <v>2067</v>
      </c>
      <c r="CJ297" s="48" t="s">
        <v>1710</v>
      </c>
      <c r="CL297" s="48" t="s">
        <v>2816</v>
      </c>
      <c r="CM297" s="48" t="s">
        <v>1710</v>
      </c>
      <c r="CN297" s="48" t="s">
        <v>2068</v>
      </c>
      <c r="CO297" s="48" t="s">
        <v>2069</v>
      </c>
      <c r="CP297" s="48" t="s">
        <v>1710</v>
      </c>
      <c r="CQ297" s="48" t="s">
        <v>1710</v>
      </c>
      <c r="CR297" s="48" t="s">
        <v>1710</v>
      </c>
      <c r="CS297" s="48" t="s">
        <v>1710</v>
      </c>
      <c r="CT297" s="48" t="s">
        <v>1710</v>
      </c>
      <c r="CU297" s="48" t="s">
        <v>1712</v>
      </c>
      <c r="CV297" s="48" t="s">
        <v>1710</v>
      </c>
      <c r="CW297" s="48" t="s">
        <v>1710</v>
      </c>
      <c r="CX297" s="48" t="s">
        <v>2823</v>
      </c>
      <c r="CY297" s="48" t="s">
        <v>1710</v>
      </c>
      <c r="CZ297" s="48" t="s">
        <v>1712</v>
      </c>
      <c r="DA297" s="48" t="s">
        <v>1710</v>
      </c>
      <c r="DB297" s="48" t="s">
        <v>1878</v>
      </c>
      <c r="DC297" s="48" t="s">
        <v>2070</v>
      </c>
      <c r="DD297" s="48" t="s">
        <v>1842</v>
      </c>
      <c r="DE297" s="48" t="s">
        <v>1886</v>
      </c>
      <c r="DF297" s="48" t="s">
        <v>5149</v>
      </c>
      <c r="DG297" s="48" t="s">
        <v>2071</v>
      </c>
      <c r="DH297" s="48" t="s">
        <v>1712</v>
      </c>
      <c r="DI297" s="48" t="s">
        <v>1710</v>
      </c>
      <c r="DJ297" s="48" t="s">
        <v>1710</v>
      </c>
      <c r="DK297" s="48" t="s">
        <v>1710</v>
      </c>
      <c r="DL297" s="48" t="s">
        <v>1710</v>
      </c>
      <c r="DM297" s="48" t="s">
        <v>1710</v>
      </c>
      <c r="DN297" s="48" t="s">
        <v>1710</v>
      </c>
      <c r="DO297" s="48" t="s">
        <v>1710</v>
      </c>
      <c r="DP297" s="48" t="s">
        <v>1710</v>
      </c>
      <c r="DQ297" s="48" t="s">
        <v>1710</v>
      </c>
      <c r="DR297" s="48" t="s">
        <v>2072</v>
      </c>
      <c r="DS297" s="48" t="s">
        <v>1710</v>
      </c>
      <c r="DT297" s="48" t="s">
        <v>1710</v>
      </c>
      <c r="DU297" s="48" t="s">
        <v>2575</v>
      </c>
      <c r="DV297" s="48" t="s">
        <v>3111</v>
      </c>
      <c r="DW297" s="48" t="s">
        <v>1710</v>
      </c>
      <c r="DX297" s="48" t="s">
        <v>5150</v>
      </c>
      <c r="DY297" s="48" t="s">
        <v>1709</v>
      </c>
      <c r="DZ297" s="48" t="s">
        <v>2562</v>
      </c>
      <c r="EA297" s="48" t="s">
        <v>2546</v>
      </c>
      <c r="EB297">
        <v>0</v>
      </c>
      <c r="EC297" s="48" t="s">
        <v>2575</v>
      </c>
      <c r="ED297" s="48" t="s">
        <v>5143</v>
      </c>
      <c r="EE297" s="48" t="s">
        <v>1814</v>
      </c>
      <c r="EF297" s="48" t="s">
        <v>1862</v>
      </c>
      <c r="EG297" s="48" t="s">
        <v>5148</v>
      </c>
      <c r="EH297">
        <v>10</v>
      </c>
      <c r="EI297" s="48" t="s">
        <v>1888</v>
      </c>
      <c r="EJ297">
        <v>0</v>
      </c>
      <c r="EK297" s="48" t="s">
        <v>1710</v>
      </c>
      <c r="EL297">
        <v>1</v>
      </c>
      <c r="EM297" s="48" t="s">
        <v>1886</v>
      </c>
      <c r="EN297">
        <v>10</v>
      </c>
      <c r="EO297" s="48" t="s">
        <v>2522</v>
      </c>
      <c r="EP297" s="48" t="s">
        <v>5151</v>
      </c>
      <c r="EQ297">
        <v>15153</v>
      </c>
      <c r="ER297">
        <v>15153</v>
      </c>
      <c r="ES297">
        <v>22086717</v>
      </c>
      <c r="ET297">
        <v>14994</v>
      </c>
      <c r="EU297" s="48" t="s">
        <v>1710</v>
      </c>
      <c r="EV297" s="48" t="s">
        <v>1710</v>
      </c>
      <c r="EW297" s="48" t="s">
        <v>1712</v>
      </c>
      <c r="EX297" s="48" t="s">
        <v>1710</v>
      </c>
      <c r="EY297" s="48" t="s">
        <v>1855</v>
      </c>
      <c r="EZ297" s="48" t="s">
        <v>1710</v>
      </c>
      <c r="FA297" s="48" t="s">
        <v>1710</v>
      </c>
      <c r="FB297" s="48" t="s">
        <v>1712</v>
      </c>
      <c r="FC297" s="48" t="s">
        <v>1710</v>
      </c>
      <c r="FD297" s="48" t="s">
        <v>1710</v>
      </c>
      <c r="FE297" s="48" t="s">
        <v>1814</v>
      </c>
      <c r="FF297" s="48" t="s">
        <v>1815</v>
      </c>
      <c r="FG297" s="48" t="s">
        <v>1710</v>
      </c>
      <c r="FH297">
        <v>1</v>
      </c>
      <c r="FI297" s="48" t="s">
        <v>1846</v>
      </c>
      <c r="FJ297">
        <v>15153</v>
      </c>
      <c r="FK297">
        <v>15153</v>
      </c>
      <c r="FL297" s="48" t="s">
        <v>5152</v>
      </c>
      <c r="FM297" s="48" t="s">
        <v>5151</v>
      </c>
      <c r="FN297" s="48" t="s">
        <v>1710</v>
      </c>
      <c r="FO297" s="48" t="s">
        <v>1710</v>
      </c>
      <c r="FP297" s="48" t="s">
        <v>1710</v>
      </c>
      <c r="FQ297" s="48" t="s">
        <v>1710</v>
      </c>
      <c r="FR297" s="48" t="s">
        <v>1710</v>
      </c>
      <c r="FS297" s="48" t="s">
        <v>1710</v>
      </c>
      <c r="FT297" s="48" t="s">
        <v>1710</v>
      </c>
      <c r="FU297" s="48" t="s">
        <v>1710</v>
      </c>
      <c r="FV297" s="48"/>
      <c r="FW297" s="56"/>
      <c r="FX297" s="56"/>
      <c r="FY297" s="56"/>
      <c r="FZ297" s="56"/>
      <c r="GA297" s="55"/>
      <c r="GE297" s="61"/>
      <c r="GF297" s="62"/>
      <c r="GI297" s="48"/>
    </row>
    <row r="298" spans="1:191">
      <c r="A298" s="48" t="s">
        <v>5153</v>
      </c>
      <c r="B298" s="48" t="s">
        <v>1821</v>
      </c>
      <c r="C298" s="48" t="s">
        <v>2048</v>
      </c>
      <c r="D298" s="48" t="s">
        <v>2813</v>
      </c>
      <c r="E298" s="48" t="s">
        <v>5153</v>
      </c>
      <c r="F298" s="48" t="s">
        <v>1710</v>
      </c>
      <c r="G298" s="48" t="s">
        <v>2814</v>
      </c>
      <c r="H298" s="48" t="s">
        <v>5154</v>
      </c>
      <c r="I298" s="48" t="s">
        <v>1884</v>
      </c>
      <c r="J298" s="48" t="s">
        <v>2816</v>
      </c>
      <c r="K298" s="48" t="s">
        <v>1877</v>
      </c>
      <c r="L298" s="48" t="s">
        <v>1844</v>
      </c>
      <c r="M298" s="48" t="s">
        <v>1810</v>
      </c>
      <c r="N298" s="48" t="s">
        <v>1842</v>
      </c>
      <c r="O298" s="48" t="s">
        <v>1811</v>
      </c>
      <c r="P298" s="48" t="s">
        <v>2549</v>
      </c>
      <c r="Q298" s="48" t="s">
        <v>2049</v>
      </c>
      <c r="R298" s="48" t="s">
        <v>1838</v>
      </c>
      <c r="S298" s="48" t="s">
        <v>2050</v>
      </c>
      <c r="T298" s="48" t="s">
        <v>1845</v>
      </c>
      <c r="U298" s="48" t="s">
        <v>2049</v>
      </c>
      <c r="V298" s="48" t="s">
        <v>1838</v>
      </c>
      <c r="W298" s="48" t="s">
        <v>2051</v>
      </c>
      <c r="X298" s="48" t="s">
        <v>2052</v>
      </c>
      <c r="Y298" s="48" t="s">
        <v>2050</v>
      </c>
      <c r="Z298" s="48" t="s">
        <v>2053</v>
      </c>
      <c r="AA298" s="48" t="s">
        <v>2054</v>
      </c>
      <c r="AB298" s="48" t="s">
        <v>2817</v>
      </c>
      <c r="AC298" s="48" t="s">
        <v>2055</v>
      </c>
      <c r="AD298" s="48" t="s">
        <v>2056</v>
      </c>
      <c r="AE298" s="48" t="s">
        <v>1710</v>
      </c>
      <c r="AF298" s="48" t="s">
        <v>1710</v>
      </c>
      <c r="AG298" s="48" t="s">
        <v>2057</v>
      </c>
      <c r="AH298" s="48" t="s">
        <v>1815</v>
      </c>
      <c r="AI298" s="48" t="s">
        <v>2058</v>
      </c>
      <c r="AJ298" s="48" t="s">
        <v>1710</v>
      </c>
      <c r="AK298" s="48" t="s">
        <v>2099</v>
      </c>
      <c r="AL298" s="48" t="s">
        <v>1866</v>
      </c>
      <c r="AM298" s="48" t="s">
        <v>1816</v>
      </c>
      <c r="AN298" s="48" t="s">
        <v>2054</v>
      </c>
      <c r="AO298" s="48" t="s">
        <v>1710</v>
      </c>
      <c r="AP298" s="48" t="s">
        <v>1854</v>
      </c>
      <c r="AQ298" s="48" t="s">
        <v>2081</v>
      </c>
      <c r="AR298" s="48" t="s">
        <v>1812</v>
      </c>
      <c r="AS298" s="48" t="s">
        <v>1813</v>
      </c>
      <c r="AT298" s="48" t="s">
        <v>1826</v>
      </c>
      <c r="AU298" s="48" t="s">
        <v>2061</v>
      </c>
      <c r="AV298" s="48" t="s">
        <v>2816</v>
      </c>
      <c r="AW298" s="48" t="s">
        <v>2062</v>
      </c>
      <c r="AX298" s="48" t="s">
        <v>2063</v>
      </c>
      <c r="AY298" s="48" t="s">
        <v>1710</v>
      </c>
      <c r="AZ298" s="48" t="s">
        <v>5155</v>
      </c>
      <c r="BA298" s="48" t="s">
        <v>1710</v>
      </c>
      <c r="BB298" s="48" t="s">
        <v>1709</v>
      </c>
      <c r="BC298" s="48" t="s">
        <v>1710</v>
      </c>
      <c r="BD298" s="48" t="s">
        <v>2097</v>
      </c>
      <c r="BE298" s="52" t="s">
        <v>5122</v>
      </c>
      <c r="BF298" s="48" t="s">
        <v>1710</v>
      </c>
      <c r="BG298" s="48" t="s">
        <v>2607</v>
      </c>
      <c r="BH298">
        <v>8</v>
      </c>
      <c r="BI298" s="48" t="s">
        <v>1888</v>
      </c>
      <c r="BJ298">
        <v>1</v>
      </c>
      <c r="BK298">
        <v>1473.06</v>
      </c>
      <c r="BL298">
        <v>10809465</v>
      </c>
      <c r="BM298">
        <v>7338</v>
      </c>
      <c r="BN298" s="48" t="s">
        <v>2064</v>
      </c>
      <c r="BO298" s="48" t="s">
        <v>2065</v>
      </c>
      <c r="BP298">
        <v>1473.06</v>
      </c>
      <c r="BQ298">
        <v>7410.2</v>
      </c>
      <c r="BR298" s="48" t="s">
        <v>1885</v>
      </c>
      <c r="BS298" s="48" t="s">
        <v>2066</v>
      </c>
      <c r="BT298">
        <v>1</v>
      </c>
      <c r="BU298">
        <v>106200</v>
      </c>
      <c r="BV298">
        <v>106200</v>
      </c>
      <c r="BW298" s="48" t="s">
        <v>2065</v>
      </c>
      <c r="BX298">
        <v>1473.06</v>
      </c>
      <c r="BY298">
        <v>0</v>
      </c>
      <c r="BZ298">
        <v>0</v>
      </c>
      <c r="CA298" s="48" t="s">
        <v>2065</v>
      </c>
      <c r="CB298">
        <v>1473.06</v>
      </c>
      <c r="CC298">
        <v>0</v>
      </c>
      <c r="CD298">
        <v>0</v>
      </c>
      <c r="CE298" s="48" t="s">
        <v>1710</v>
      </c>
      <c r="CF298" s="48" t="s">
        <v>1710</v>
      </c>
      <c r="CG298" s="48" t="s">
        <v>1710</v>
      </c>
      <c r="CH298" s="48" t="s">
        <v>1710</v>
      </c>
      <c r="CI298" s="48" t="s">
        <v>2067</v>
      </c>
      <c r="CJ298" s="48" t="s">
        <v>1710</v>
      </c>
      <c r="CL298" s="48" t="s">
        <v>2816</v>
      </c>
      <c r="CM298" s="48" t="s">
        <v>1710</v>
      </c>
      <c r="CN298" s="48" t="s">
        <v>2068</v>
      </c>
      <c r="CO298" s="48" t="s">
        <v>2069</v>
      </c>
      <c r="CP298" s="48" t="s">
        <v>1710</v>
      </c>
      <c r="CQ298" s="48" t="s">
        <v>1710</v>
      </c>
      <c r="CR298" s="48" t="s">
        <v>1710</v>
      </c>
      <c r="CS298" s="48" t="s">
        <v>1710</v>
      </c>
      <c r="CT298" s="48" t="s">
        <v>1710</v>
      </c>
      <c r="CU298" s="48" t="s">
        <v>1712</v>
      </c>
      <c r="CV298" s="48" t="s">
        <v>1710</v>
      </c>
      <c r="CW298" s="48" t="s">
        <v>1710</v>
      </c>
      <c r="CX298" s="48" t="s">
        <v>2823</v>
      </c>
      <c r="CY298" s="48" t="s">
        <v>1710</v>
      </c>
      <c r="CZ298" s="48" t="s">
        <v>1712</v>
      </c>
      <c r="DA298" s="48" t="s">
        <v>1710</v>
      </c>
      <c r="DB298" s="48" t="s">
        <v>1878</v>
      </c>
      <c r="DC298" s="48" t="s">
        <v>2070</v>
      </c>
      <c r="DD298" s="48" t="s">
        <v>1842</v>
      </c>
      <c r="DE298" s="48" t="s">
        <v>1886</v>
      </c>
      <c r="DF298" s="48" t="s">
        <v>5156</v>
      </c>
      <c r="DG298" s="48" t="s">
        <v>2071</v>
      </c>
      <c r="DH298" s="48" t="s">
        <v>1712</v>
      </c>
      <c r="DI298" s="48" t="s">
        <v>1710</v>
      </c>
      <c r="DJ298" s="48" t="s">
        <v>1710</v>
      </c>
      <c r="DK298" s="48" t="s">
        <v>1710</v>
      </c>
      <c r="DL298" s="48" t="s">
        <v>1710</v>
      </c>
      <c r="DM298" s="48" t="s">
        <v>1710</v>
      </c>
      <c r="DN298" s="48" t="s">
        <v>1710</v>
      </c>
      <c r="DO298" s="48" t="s">
        <v>1710</v>
      </c>
      <c r="DP298" s="48" t="s">
        <v>1710</v>
      </c>
      <c r="DQ298" s="48" t="s">
        <v>1710</v>
      </c>
      <c r="DR298" s="48" t="s">
        <v>2072</v>
      </c>
      <c r="DS298" s="48" t="s">
        <v>1710</v>
      </c>
      <c r="DT298" s="48" t="s">
        <v>1710</v>
      </c>
      <c r="DU298" s="48" t="s">
        <v>2575</v>
      </c>
      <c r="DV298" s="48" t="s">
        <v>2825</v>
      </c>
      <c r="DW298" s="48" t="s">
        <v>1710</v>
      </c>
      <c r="DX298" s="48" t="s">
        <v>5157</v>
      </c>
      <c r="DY298" s="48" t="s">
        <v>1709</v>
      </c>
      <c r="DZ298" s="48" t="s">
        <v>2084</v>
      </c>
      <c r="EA298" s="48" t="s">
        <v>2546</v>
      </c>
      <c r="EB298">
        <v>0</v>
      </c>
      <c r="EC298" s="48" t="s">
        <v>2575</v>
      </c>
      <c r="ED298" s="48" t="s">
        <v>5158</v>
      </c>
      <c r="EE298" s="48" t="s">
        <v>1814</v>
      </c>
      <c r="EF298" s="48" t="s">
        <v>5159</v>
      </c>
      <c r="EG298" s="48" t="s">
        <v>5155</v>
      </c>
      <c r="EH298">
        <v>4.0000000000000001E-3</v>
      </c>
      <c r="EI298" s="48" t="s">
        <v>1888</v>
      </c>
      <c r="EJ298">
        <v>0</v>
      </c>
      <c r="EK298" s="48" t="s">
        <v>1710</v>
      </c>
      <c r="EL298">
        <v>1</v>
      </c>
      <c r="EM298" s="48" t="s">
        <v>1886</v>
      </c>
      <c r="EN298">
        <v>4.0000000000000001E-3</v>
      </c>
      <c r="EO298" s="48" t="s">
        <v>5160</v>
      </c>
      <c r="EP298" s="48" t="s">
        <v>5161</v>
      </c>
      <c r="EQ298">
        <v>450.8</v>
      </c>
      <c r="ER298">
        <v>450.8</v>
      </c>
      <c r="ES298">
        <v>657594</v>
      </c>
      <c r="ET298">
        <v>446</v>
      </c>
      <c r="EU298" s="48" t="s">
        <v>1710</v>
      </c>
      <c r="EV298" s="48" t="s">
        <v>1710</v>
      </c>
      <c r="EW298" s="48" t="s">
        <v>1712</v>
      </c>
      <c r="EX298" s="48" t="s">
        <v>1710</v>
      </c>
      <c r="EY298" s="48" t="s">
        <v>1851</v>
      </c>
      <c r="EZ298" s="48" t="s">
        <v>1710</v>
      </c>
      <c r="FA298" s="48" t="s">
        <v>1710</v>
      </c>
      <c r="FB298" s="48" t="s">
        <v>1712</v>
      </c>
      <c r="FC298" s="48" t="s">
        <v>1710</v>
      </c>
      <c r="FD298" s="48" t="s">
        <v>1710</v>
      </c>
      <c r="FE298" s="48" t="s">
        <v>1814</v>
      </c>
      <c r="FF298" s="48" t="s">
        <v>1815</v>
      </c>
      <c r="FG298" s="48" t="s">
        <v>1710</v>
      </c>
      <c r="FH298">
        <v>2</v>
      </c>
      <c r="FI298" s="48" t="s">
        <v>1846</v>
      </c>
      <c r="FJ298">
        <v>450.8</v>
      </c>
      <c r="FK298">
        <v>225.4</v>
      </c>
      <c r="FL298" s="48" t="s">
        <v>5162</v>
      </c>
      <c r="FM298" s="48" t="s">
        <v>5161</v>
      </c>
      <c r="FN298" s="48" t="s">
        <v>1710</v>
      </c>
      <c r="FO298" s="48" t="s">
        <v>1710</v>
      </c>
      <c r="FP298" s="48" t="s">
        <v>1710</v>
      </c>
      <c r="FQ298" s="48" t="s">
        <v>1710</v>
      </c>
      <c r="FR298" s="48" t="s">
        <v>1710</v>
      </c>
      <c r="FS298" s="48" t="s">
        <v>1710</v>
      </c>
      <c r="FT298" s="48" t="s">
        <v>1710</v>
      </c>
      <c r="FU298" s="48" t="s">
        <v>1710</v>
      </c>
      <c r="FV298" s="48"/>
      <c r="FW298" s="56"/>
      <c r="FX298" s="56"/>
      <c r="FY298" s="56"/>
      <c r="FZ298" s="56"/>
      <c r="GA298" s="55"/>
      <c r="GE298" s="61"/>
      <c r="GF298" s="62"/>
      <c r="GI298" s="48"/>
    </row>
    <row r="299" spans="1:191">
      <c r="A299" s="48" t="s">
        <v>5163</v>
      </c>
      <c r="B299" s="48" t="s">
        <v>1821</v>
      </c>
      <c r="C299" s="48" t="s">
        <v>2048</v>
      </c>
      <c r="D299" s="48" t="s">
        <v>2813</v>
      </c>
      <c r="E299" s="48" t="s">
        <v>5163</v>
      </c>
      <c r="F299" s="48" t="s">
        <v>1710</v>
      </c>
      <c r="G299" s="48" t="s">
        <v>2814</v>
      </c>
      <c r="H299" s="48" t="s">
        <v>5164</v>
      </c>
      <c r="I299" s="48" t="s">
        <v>1884</v>
      </c>
      <c r="J299" s="48" t="s">
        <v>2816</v>
      </c>
      <c r="K299" s="48" t="s">
        <v>1877</v>
      </c>
      <c r="L299" s="48" t="s">
        <v>1842</v>
      </c>
      <c r="M299" s="48" t="s">
        <v>1810</v>
      </c>
      <c r="N299" s="48" t="s">
        <v>1842</v>
      </c>
      <c r="O299" s="48" t="s">
        <v>1811</v>
      </c>
      <c r="P299" s="48" t="s">
        <v>2549</v>
      </c>
      <c r="Q299" s="48" t="s">
        <v>2049</v>
      </c>
      <c r="R299" s="48" t="s">
        <v>1838</v>
      </c>
      <c r="S299" s="48" t="s">
        <v>2050</v>
      </c>
      <c r="T299" s="48" t="s">
        <v>1845</v>
      </c>
      <c r="U299" s="48" t="s">
        <v>2049</v>
      </c>
      <c r="V299" s="48" t="s">
        <v>1838</v>
      </c>
      <c r="W299" s="48" t="s">
        <v>2051</v>
      </c>
      <c r="X299" s="48" t="s">
        <v>2052</v>
      </c>
      <c r="Y299" s="48" t="s">
        <v>2050</v>
      </c>
      <c r="Z299" s="48" t="s">
        <v>2053</v>
      </c>
      <c r="AA299" s="48" t="s">
        <v>2054</v>
      </c>
      <c r="AB299" s="48" t="s">
        <v>2817</v>
      </c>
      <c r="AC299" s="48" t="s">
        <v>2055</v>
      </c>
      <c r="AD299" s="48" t="s">
        <v>2056</v>
      </c>
      <c r="AE299" s="48" t="s">
        <v>1710</v>
      </c>
      <c r="AF299" s="48" t="s">
        <v>1710</v>
      </c>
      <c r="AG299" s="48" t="s">
        <v>2057</v>
      </c>
      <c r="AH299" s="48" t="s">
        <v>1815</v>
      </c>
      <c r="AI299" s="48" t="s">
        <v>2058</v>
      </c>
      <c r="AJ299" s="48" t="s">
        <v>1710</v>
      </c>
      <c r="AK299" s="48" t="s">
        <v>2059</v>
      </c>
      <c r="AL299" s="48" t="s">
        <v>1858</v>
      </c>
      <c r="AM299" s="48" t="s">
        <v>1816</v>
      </c>
      <c r="AN299" s="48" t="s">
        <v>2054</v>
      </c>
      <c r="AO299" s="48" t="s">
        <v>1710</v>
      </c>
      <c r="AP299" s="48" t="s">
        <v>1848</v>
      </c>
      <c r="AQ299" s="48" t="s">
        <v>2060</v>
      </c>
      <c r="AR299" s="48" t="s">
        <v>1812</v>
      </c>
      <c r="AS299" s="48" t="s">
        <v>1813</v>
      </c>
      <c r="AT299" s="48" t="s">
        <v>1826</v>
      </c>
      <c r="AU299" s="48" t="s">
        <v>2061</v>
      </c>
      <c r="AV299" s="48" t="s">
        <v>2816</v>
      </c>
      <c r="AW299" s="48" t="s">
        <v>2062</v>
      </c>
      <c r="AX299" s="48" t="s">
        <v>2063</v>
      </c>
      <c r="AY299" s="48" t="s">
        <v>1710</v>
      </c>
      <c r="AZ299" s="48" t="s">
        <v>5165</v>
      </c>
      <c r="BA299" s="48" t="s">
        <v>1710</v>
      </c>
      <c r="BB299" s="48" t="s">
        <v>1709</v>
      </c>
      <c r="BC299" s="48" t="s">
        <v>1710</v>
      </c>
      <c r="BD299" s="48" t="s">
        <v>2097</v>
      </c>
      <c r="BE299" s="52" t="s">
        <v>5122</v>
      </c>
      <c r="BF299" s="48" t="s">
        <v>1710</v>
      </c>
      <c r="BG299" s="48" t="s">
        <v>1814</v>
      </c>
      <c r="BH299">
        <v>53</v>
      </c>
      <c r="BI299" s="48" t="s">
        <v>1888</v>
      </c>
      <c r="BJ299">
        <v>1</v>
      </c>
      <c r="BK299">
        <v>1473.06</v>
      </c>
      <c r="BL299">
        <v>36134871</v>
      </c>
      <c r="BM299">
        <v>24530</v>
      </c>
      <c r="BN299" s="48" t="s">
        <v>2064</v>
      </c>
      <c r="BO299" s="48" t="s">
        <v>2065</v>
      </c>
      <c r="BP299">
        <v>1473.06</v>
      </c>
      <c r="BQ299">
        <v>25031.48</v>
      </c>
      <c r="BR299" s="48" t="s">
        <v>1885</v>
      </c>
      <c r="BS299" s="48" t="s">
        <v>2066</v>
      </c>
      <c r="BT299">
        <v>1</v>
      </c>
      <c r="BU299">
        <v>738000</v>
      </c>
      <c r="BV299">
        <v>738000</v>
      </c>
      <c r="BW299" s="48" t="s">
        <v>2065</v>
      </c>
      <c r="BX299">
        <v>1473.06</v>
      </c>
      <c r="BY299">
        <v>0</v>
      </c>
      <c r="BZ299">
        <v>0</v>
      </c>
      <c r="CA299" s="48" t="s">
        <v>2065</v>
      </c>
      <c r="CB299">
        <v>1473.06</v>
      </c>
      <c r="CC299">
        <v>0</v>
      </c>
      <c r="CD299">
        <v>0</v>
      </c>
      <c r="CE299" s="48" t="s">
        <v>1710</v>
      </c>
      <c r="CF299" s="48" t="s">
        <v>1710</v>
      </c>
      <c r="CG299" s="48" t="s">
        <v>1710</v>
      </c>
      <c r="CH299" s="48" t="s">
        <v>1710</v>
      </c>
      <c r="CI299" s="48" t="s">
        <v>2067</v>
      </c>
      <c r="CJ299" s="48" t="s">
        <v>1710</v>
      </c>
      <c r="CL299" s="48" t="s">
        <v>2816</v>
      </c>
      <c r="CM299" s="48" t="s">
        <v>1710</v>
      </c>
      <c r="CN299" s="48" t="s">
        <v>2068</v>
      </c>
      <c r="CO299" s="48" t="s">
        <v>2069</v>
      </c>
      <c r="CP299" s="48" t="s">
        <v>1710</v>
      </c>
      <c r="CQ299" s="48" t="s">
        <v>1710</v>
      </c>
      <c r="CR299" s="48" t="s">
        <v>1710</v>
      </c>
      <c r="CS299" s="48" t="s">
        <v>1710</v>
      </c>
      <c r="CT299" s="48" t="s">
        <v>1710</v>
      </c>
      <c r="CU299" s="48" t="s">
        <v>1712</v>
      </c>
      <c r="CV299" s="48" t="s">
        <v>1710</v>
      </c>
      <c r="CW299" s="48" t="s">
        <v>1710</v>
      </c>
      <c r="CX299" s="48" t="s">
        <v>2823</v>
      </c>
      <c r="CY299" s="48" t="s">
        <v>1710</v>
      </c>
      <c r="CZ299" s="48" t="s">
        <v>1712</v>
      </c>
      <c r="DA299" s="48" t="s">
        <v>1710</v>
      </c>
      <c r="DB299" s="48" t="s">
        <v>1878</v>
      </c>
      <c r="DC299" s="48" t="s">
        <v>2070</v>
      </c>
      <c r="DD299" s="48" t="s">
        <v>1842</v>
      </c>
      <c r="DE299" s="48" t="s">
        <v>1886</v>
      </c>
      <c r="DF299" s="48" t="s">
        <v>5166</v>
      </c>
      <c r="DG299" s="48" t="s">
        <v>2071</v>
      </c>
      <c r="DH299" s="48" t="s">
        <v>1712</v>
      </c>
      <c r="DI299" s="48" t="s">
        <v>1710</v>
      </c>
      <c r="DJ299" s="48" t="s">
        <v>1710</v>
      </c>
      <c r="DK299" s="48" t="s">
        <v>1710</v>
      </c>
      <c r="DL299" s="48" t="s">
        <v>1710</v>
      </c>
      <c r="DM299" s="48" t="s">
        <v>1710</v>
      </c>
      <c r="DN299" s="48" t="s">
        <v>1710</v>
      </c>
      <c r="DO299" s="48" t="s">
        <v>1710</v>
      </c>
      <c r="DP299" s="48" t="s">
        <v>1710</v>
      </c>
      <c r="DQ299" s="48" t="s">
        <v>1710</v>
      </c>
      <c r="DR299" s="48" t="s">
        <v>2072</v>
      </c>
      <c r="DS299" s="48" t="s">
        <v>1710</v>
      </c>
      <c r="DT299" s="48" t="s">
        <v>1710</v>
      </c>
      <c r="DU299" s="48" t="s">
        <v>2575</v>
      </c>
      <c r="DV299" s="48" t="s">
        <v>3111</v>
      </c>
      <c r="DW299" s="48" t="s">
        <v>1710</v>
      </c>
      <c r="DX299" s="48" t="s">
        <v>5167</v>
      </c>
      <c r="DY299" s="48" t="s">
        <v>1709</v>
      </c>
      <c r="DZ299" s="48" t="s">
        <v>2562</v>
      </c>
      <c r="EA299" s="48" t="s">
        <v>2546</v>
      </c>
      <c r="EB299">
        <v>0</v>
      </c>
      <c r="EC299" s="48" t="s">
        <v>2575</v>
      </c>
      <c r="ED299" s="48" t="s">
        <v>5168</v>
      </c>
      <c r="EE299" s="48" t="s">
        <v>1814</v>
      </c>
      <c r="EF299" s="48" t="s">
        <v>1849</v>
      </c>
      <c r="EG299" s="48" t="s">
        <v>5165</v>
      </c>
      <c r="EH299">
        <v>44</v>
      </c>
      <c r="EI299" s="48" t="s">
        <v>1888</v>
      </c>
      <c r="EJ299">
        <v>1</v>
      </c>
      <c r="EK299" s="48" t="s">
        <v>1887</v>
      </c>
      <c r="EL299">
        <v>1</v>
      </c>
      <c r="EM299" s="48" t="s">
        <v>1886</v>
      </c>
      <c r="EN299">
        <v>44</v>
      </c>
      <c r="EO299" s="48" t="s">
        <v>2526</v>
      </c>
      <c r="EP299" s="48" t="s">
        <v>5169</v>
      </c>
      <c r="EQ299">
        <v>25031.48</v>
      </c>
      <c r="ER299">
        <v>25031.48</v>
      </c>
      <c r="ES299">
        <v>36134871</v>
      </c>
      <c r="ET299">
        <v>24530</v>
      </c>
      <c r="EU299" s="48" t="s">
        <v>1710</v>
      </c>
      <c r="EV299" s="48" t="s">
        <v>1710</v>
      </c>
      <c r="EW299" s="48" t="s">
        <v>1712</v>
      </c>
      <c r="EX299" s="48" t="s">
        <v>1710</v>
      </c>
      <c r="EY299" s="48" t="s">
        <v>1854</v>
      </c>
      <c r="EZ299" s="48" t="s">
        <v>1710</v>
      </c>
      <c r="FA299" s="48" t="s">
        <v>1710</v>
      </c>
      <c r="FB299" s="48" t="s">
        <v>1712</v>
      </c>
      <c r="FC299" s="48" t="s">
        <v>1710</v>
      </c>
      <c r="FD299" s="48" t="s">
        <v>1710</v>
      </c>
      <c r="FE299" s="48" t="s">
        <v>1814</v>
      </c>
      <c r="FF299" s="48" t="s">
        <v>1815</v>
      </c>
      <c r="FG299" s="48" t="s">
        <v>1710</v>
      </c>
      <c r="FH299">
        <v>1</v>
      </c>
      <c r="FI299" s="48" t="s">
        <v>1846</v>
      </c>
      <c r="FJ299">
        <v>25031.48</v>
      </c>
      <c r="FK299">
        <v>25031.48</v>
      </c>
      <c r="FL299" s="48" t="s">
        <v>5170</v>
      </c>
      <c r="FM299" s="48" t="s">
        <v>5169</v>
      </c>
      <c r="FN299" s="48" t="s">
        <v>1710</v>
      </c>
      <c r="FO299" s="48" t="s">
        <v>1710</v>
      </c>
      <c r="FP299" s="48" t="s">
        <v>1710</v>
      </c>
      <c r="FQ299" s="48" t="s">
        <v>1710</v>
      </c>
      <c r="FR299" s="48" t="s">
        <v>1710</v>
      </c>
      <c r="FS299" s="48" t="s">
        <v>1710</v>
      </c>
      <c r="FT299" s="48" t="s">
        <v>1710</v>
      </c>
      <c r="FU299" s="48" t="s">
        <v>1710</v>
      </c>
      <c r="FV299" s="48"/>
      <c r="FW299" s="56"/>
      <c r="FX299" s="56"/>
      <c r="FY299" s="56"/>
      <c r="FZ299" s="56"/>
      <c r="GA299" s="55"/>
      <c r="GE299" s="61"/>
      <c r="GF299" s="62"/>
      <c r="GI299" s="48"/>
    </row>
    <row r="300" spans="1:191">
      <c r="A300" s="48" t="s">
        <v>5171</v>
      </c>
      <c r="B300" s="48" t="s">
        <v>1821</v>
      </c>
      <c r="C300" s="48" t="s">
        <v>2048</v>
      </c>
      <c r="D300" s="48" t="s">
        <v>2813</v>
      </c>
      <c r="E300" s="48" t="s">
        <v>5171</v>
      </c>
      <c r="F300" s="48" t="s">
        <v>1710</v>
      </c>
      <c r="G300" s="48" t="s">
        <v>2814</v>
      </c>
      <c r="H300" s="48" t="s">
        <v>5172</v>
      </c>
      <c r="I300" s="48" t="s">
        <v>1884</v>
      </c>
      <c r="J300" s="48" t="s">
        <v>2816</v>
      </c>
      <c r="K300" s="48" t="s">
        <v>1877</v>
      </c>
      <c r="L300" s="48" t="s">
        <v>1842</v>
      </c>
      <c r="M300" s="48" t="s">
        <v>1810</v>
      </c>
      <c r="N300" s="48" t="s">
        <v>1842</v>
      </c>
      <c r="O300" s="48" t="s">
        <v>1811</v>
      </c>
      <c r="P300" s="48" t="s">
        <v>2549</v>
      </c>
      <c r="Q300" s="48" t="s">
        <v>2049</v>
      </c>
      <c r="R300" s="48" t="s">
        <v>1838</v>
      </c>
      <c r="S300" s="48" t="s">
        <v>2050</v>
      </c>
      <c r="T300" s="48" t="s">
        <v>1845</v>
      </c>
      <c r="U300" s="48" t="s">
        <v>2049</v>
      </c>
      <c r="V300" s="48" t="s">
        <v>1838</v>
      </c>
      <c r="W300" s="48" t="s">
        <v>2051</v>
      </c>
      <c r="X300" s="48" t="s">
        <v>2052</v>
      </c>
      <c r="Y300" s="48" t="s">
        <v>2050</v>
      </c>
      <c r="Z300" s="48" t="s">
        <v>2053</v>
      </c>
      <c r="AA300" s="48" t="s">
        <v>2054</v>
      </c>
      <c r="AB300" s="48" t="s">
        <v>2817</v>
      </c>
      <c r="AC300" s="48" t="s">
        <v>2055</v>
      </c>
      <c r="AD300" s="48" t="s">
        <v>2056</v>
      </c>
      <c r="AE300" s="48" t="s">
        <v>1710</v>
      </c>
      <c r="AF300" s="48" t="s">
        <v>1710</v>
      </c>
      <c r="AG300" s="48" t="s">
        <v>2057</v>
      </c>
      <c r="AH300" s="48" t="s">
        <v>1815</v>
      </c>
      <c r="AI300" s="48" t="s">
        <v>2058</v>
      </c>
      <c r="AJ300" s="48" t="s">
        <v>1710</v>
      </c>
      <c r="AK300" s="48" t="s">
        <v>2059</v>
      </c>
      <c r="AL300" s="48" t="s">
        <v>1858</v>
      </c>
      <c r="AM300" s="48" t="s">
        <v>1816</v>
      </c>
      <c r="AN300" s="48" t="s">
        <v>2054</v>
      </c>
      <c r="AO300" s="48" t="s">
        <v>1710</v>
      </c>
      <c r="AP300" s="48" t="s">
        <v>1848</v>
      </c>
      <c r="AQ300" s="48" t="s">
        <v>2060</v>
      </c>
      <c r="AR300" s="48" t="s">
        <v>1812</v>
      </c>
      <c r="AS300" s="48" t="s">
        <v>1813</v>
      </c>
      <c r="AT300" s="48" t="s">
        <v>1826</v>
      </c>
      <c r="AU300" s="48" t="s">
        <v>2061</v>
      </c>
      <c r="AV300" s="48" t="s">
        <v>2816</v>
      </c>
      <c r="AW300" s="48" t="s">
        <v>2062</v>
      </c>
      <c r="AX300" s="48" t="s">
        <v>2063</v>
      </c>
      <c r="AY300" s="48" t="s">
        <v>1710</v>
      </c>
      <c r="AZ300" s="48" t="s">
        <v>5173</v>
      </c>
      <c r="BA300" s="48" t="s">
        <v>1710</v>
      </c>
      <c r="BB300" s="48" t="s">
        <v>1709</v>
      </c>
      <c r="BC300" s="48" t="s">
        <v>1710</v>
      </c>
      <c r="BD300" s="48" t="s">
        <v>2097</v>
      </c>
      <c r="BE300" s="52" t="s">
        <v>5122</v>
      </c>
      <c r="BF300" s="48" t="s">
        <v>1710</v>
      </c>
      <c r="BG300" s="48" t="s">
        <v>1814</v>
      </c>
      <c r="BH300">
        <v>6</v>
      </c>
      <c r="BI300" s="48" t="s">
        <v>1888</v>
      </c>
      <c r="BJ300">
        <v>1</v>
      </c>
      <c r="BK300">
        <v>1473.06</v>
      </c>
      <c r="BL300">
        <v>1222811</v>
      </c>
      <c r="BM300">
        <v>830</v>
      </c>
      <c r="BN300" s="48" t="s">
        <v>2064</v>
      </c>
      <c r="BO300" s="48" t="s">
        <v>2065</v>
      </c>
      <c r="BP300">
        <v>1473.06</v>
      </c>
      <c r="BQ300">
        <v>899.36</v>
      </c>
      <c r="BR300" s="48" t="s">
        <v>1885</v>
      </c>
      <c r="BS300" s="48" t="s">
        <v>2066</v>
      </c>
      <c r="BT300">
        <v>1</v>
      </c>
      <c r="BU300">
        <v>102000</v>
      </c>
      <c r="BV300">
        <v>102000</v>
      </c>
      <c r="BW300" s="48" t="s">
        <v>2065</v>
      </c>
      <c r="BX300">
        <v>1473.06</v>
      </c>
      <c r="BY300">
        <v>0</v>
      </c>
      <c r="BZ300">
        <v>0</v>
      </c>
      <c r="CA300" s="48" t="s">
        <v>2065</v>
      </c>
      <c r="CB300">
        <v>1473.06</v>
      </c>
      <c r="CC300">
        <v>0</v>
      </c>
      <c r="CD300">
        <v>0</v>
      </c>
      <c r="CE300" s="48" t="s">
        <v>1710</v>
      </c>
      <c r="CF300" s="48" t="s">
        <v>1710</v>
      </c>
      <c r="CG300" s="48" t="s">
        <v>1710</v>
      </c>
      <c r="CH300" s="48" t="s">
        <v>1710</v>
      </c>
      <c r="CI300" s="48" t="s">
        <v>2067</v>
      </c>
      <c r="CJ300" s="48" t="s">
        <v>1710</v>
      </c>
      <c r="CL300" s="48" t="s">
        <v>2816</v>
      </c>
      <c r="CM300" s="48" t="s">
        <v>1710</v>
      </c>
      <c r="CN300" s="48" t="s">
        <v>2068</v>
      </c>
      <c r="CO300" s="48" t="s">
        <v>2069</v>
      </c>
      <c r="CP300" s="48" t="s">
        <v>1710</v>
      </c>
      <c r="CQ300" s="48" t="s">
        <v>1710</v>
      </c>
      <c r="CR300" s="48" t="s">
        <v>1710</v>
      </c>
      <c r="CS300" s="48" t="s">
        <v>1710</v>
      </c>
      <c r="CT300" s="48" t="s">
        <v>1710</v>
      </c>
      <c r="CU300" s="48" t="s">
        <v>1712</v>
      </c>
      <c r="CV300" s="48" t="s">
        <v>1710</v>
      </c>
      <c r="CW300" s="48" t="s">
        <v>1710</v>
      </c>
      <c r="CX300" s="48" t="s">
        <v>2823</v>
      </c>
      <c r="CY300" s="48" t="s">
        <v>1710</v>
      </c>
      <c r="CZ300" s="48" t="s">
        <v>1712</v>
      </c>
      <c r="DA300" s="48" t="s">
        <v>1710</v>
      </c>
      <c r="DB300" s="48" t="s">
        <v>1878</v>
      </c>
      <c r="DC300" s="48" t="s">
        <v>2070</v>
      </c>
      <c r="DD300" s="48" t="s">
        <v>1842</v>
      </c>
      <c r="DE300" s="48" t="s">
        <v>1886</v>
      </c>
      <c r="DF300" s="48" t="s">
        <v>5174</v>
      </c>
      <c r="DG300" s="48" t="s">
        <v>2071</v>
      </c>
      <c r="DH300" s="48" t="s">
        <v>1712</v>
      </c>
      <c r="DI300" s="48" t="s">
        <v>1710</v>
      </c>
      <c r="DJ300" s="48" t="s">
        <v>1710</v>
      </c>
      <c r="DK300" s="48" t="s">
        <v>1710</v>
      </c>
      <c r="DL300" s="48" t="s">
        <v>1710</v>
      </c>
      <c r="DM300" s="48" t="s">
        <v>1710</v>
      </c>
      <c r="DN300" s="48" t="s">
        <v>1710</v>
      </c>
      <c r="DO300" s="48" t="s">
        <v>1710</v>
      </c>
      <c r="DP300" s="48" t="s">
        <v>1710</v>
      </c>
      <c r="DQ300" s="48" t="s">
        <v>1710</v>
      </c>
      <c r="DR300" s="48" t="s">
        <v>2072</v>
      </c>
      <c r="DS300" s="48" t="s">
        <v>1710</v>
      </c>
      <c r="DT300" s="48" t="s">
        <v>1710</v>
      </c>
      <c r="DU300" s="48" t="s">
        <v>2575</v>
      </c>
      <c r="DV300" s="48" t="s">
        <v>3111</v>
      </c>
      <c r="DW300" s="48" t="s">
        <v>1710</v>
      </c>
      <c r="DX300" s="48" t="s">
        <v>5175</v>
      </c>
      <c r="DY300" s="48" t="s">
        <v>1709</v>
      </c>
      <c r="DZ300" s="48" t="s">
        <v>2562</v>
      </c>
      <c r="EA300" s="48" t="s">
        <v>2546</v>
      </c>
      <c r="EB300">
        <v>0</v>
      </c>
      <c r="EC300" s="48" t="s">
        <v>2575</v>
      </c>
      <c r="ED300" s="48" t="s">
        <v>5168</v>
      </c>
      <c r="EE300" s="48" t="s">
        <v>1814</v>
      </c>
      <c r="EF300" s="48" t="s">
        <v>1862</v>
      </c>
      <c r="EG300" s="48" t="s">
        <v>5173</v>
      </c>
      <c r="EH300">
        <v>2</v>
      </c>
      <c r="EI300" s="48" t="s">
        <v>1888</v>
      </c>
      <c r="EJ300">
        <v>0</v>
      </c>
      <c r="EK300" s="48" t="s">
        <v>1710</v>
      </c>
      <c r="EL300">
        <v>1</v>
      </c>
      <c r="EM300" s="48" t="s">
        <v>1886</v>
      </c>
      <c r="EN300">
        <v>2</v>
      </c>
      <c r="EO300" s="48" t="s">
        <v>2522</v>
      </c>
      <c r="EP300" s="48" t="s">
        <v>5176</v>
      </c>
      <c r="EQ300">
        <v>899.36</v>
      </c>
      <c r="ER300">
        <v>899.36</v>
      </c>
      <c r="ES300">
        <v>1222811</v>
      </c>
      <c r="ET300">
        <v>830</v>
      </c>
      <c r="EU300" s="48" t="s">
        <v>1710</v>
      </c>
      <c r="EV300" s="48" t="s">
        <v>1710</v>
      </c>
      <c r="EW300" s="48" t="s">
        <v>1712</v>
      </c>
      <c r="EX300" s="48" t="s">
        <v>1710</v>
      </c>
      <c r="EY300" s="48" t="s">
        <v>1848</v>
      </c>
      <c r="EZ300" s="48" t="s">
        <v>1710</v>
      </c>
      <c r="FA300" s="48" t="s">
        <v>1710</v>
      </c>
      <c r="FB300" s="48" t="s">
        <v>1712</v>
      </c>
      <c r="FC300" s="48" t="s">
        <v>1710</v>
      </c>
      <c r="FD300" s="48" t="s">
        <v>1710</v>
      </c>
      <c r="FE300" s="48" t="s">
        <v>1814</v>
      </c>
      <c r="FF300" s="48" t="s">
        <v>1815</v>
      </c>
      <c r="FG300" s="48" t="s">
        <v>1710</v>
      </c>
      <c r="FH300">
        <v>1</v>
      </c>
      <c r="FI300" s="48" t="s">
        <v>1846</v>
      </c>
      <c r="FJ300">
        <v>899.36</v>
      </c>
      <c r="FK300">
        <v>899.36</v>
      </c>
      <c r="FL300" s="48" t="s">
        <v>5177</v>
      </c>
      <c r="FM300" s="48" t="s">
        <v>5176</v>
      </c>
      <c r="FN300" s="48" t="s">
        <v>1710</v>
      </c>
      <c r="FO300" s="48" t="s">
        <v>1710</v>
      </c>
      <c r="FP300" s="48" t="s">
        <v>1710</v>
      </c>
      <c r="FQ300" s="48" t="s">
        <v>1710</v>
      </c>
      <c r="FR300" s="48" t="s">
        <v>1710</v>
      </c>
      <c r="FS300" s="48" t="s">
        <v>1710</v>
      </c>
      <c r="FT300" s="48" t="s">
        <v>1710</v>
      </c>
      <c r="FU300" s="48" t="s">
        <v>1710</v>
      </c>
      <c r="FV300" s="48"/>
      <c r="FW300" s="56"/>
      <c r="FX300" s="56"/>
      <c r="FY300" s="56"/>
      <c r="FZ300" s="56"/>
      <c r="GA300" s="55"/>
      <c r="GE300" s="61"/>
      <c r="GF300" s="62"/>
      <c r="GI300" s="48"/>
    </row>
    <row r="301" spans="1:191">
      <c r="A301" s="48" t="s">
        <v>5178</v>
      </c>
      <c r="B301" s="48" t="s">
        <v>1821</v>
      </c>
      <c r="C301" s="48" t="s">
        <v>2048</v>
      </c>
      <c r="D301" s="48" t="s">
        <v>2813</v>
      </c>
      <c r="E301" s="48" t="s">
        <v>5178</v>
      </c>
      <c r="F301" s="48" t="s">
        <v>1710</v>
      </c>
      <c r="G301" s="48" t="s">
        <v>2814</v>
      </c>
      <c r="H301" s="48" t="s">
        <v>5179</v>
      </c>
      <c r="I301" s="48" t="s">
        <v>1884</v>
      </c>
      <c r="J301" s="48" t="s">
        <v>2816</v>
      </c>
      <c r="K301" s="48" t="s">
        <v>1877</v>
      </c>
      <c r="L301" s="48" t="s">
        <v>1842</v>
      </c>
      <c r="M301" s="48" t="s">
        <v>1810</v>
      </c>
      <c r="N301" s="48" t="s">
        <v>1842</v>
      </c>
      <c r="O301" s="48" t="s">
        <v>1811</v>
      </c>
      <c r="P301" s="48" t="s">
        <v>2549</v>
      </c>
      <c r="Q301" s="48" t="s">
        <v>2049</v>
      </c>
      <c r="R301" s="48" t="s">
        <v>1838</v>
      </c>
      <c r="S301" s="48" t="s">
        <v>2050</v>
      </c>
      <c r="T301" s="48" t="s">
        <v>1845</v>
      </c>
      <c r="U301" s="48" t="s">
        <v>2049</v>
      </c>
      <c r="V301" s="48" t="s">
        <v>1838</v>
      </c>
      <c r="W301" s="48" t="s">
        <v>2051</v>
      </c>
      <c r="X301" s="48" t="s">
        <v>2052</v>
      </c>
      <c r="Y301" s="48" t="s">
        <v>2050</v>
      </c>
      <c r="Z301" s="48" t="s">
        <v>2053</v>
      </c>
      <c r="AA301" s="48" t="s">
        <v>2054</v>
      </c>
      <c r="AB301" s="48" t="s">
        <v>2817</v>
      </c>
      <c r="AC301" s="48" t="s">
        <v>2055</v>
      </c>
      <c r="AD301" s="48" t="s">
        <v>2056</v>
      </c>
      <c r="AE301" s="48" t="s">
        <v>1710</v>
      </c>
      <c r="AF301" s="48" t="s">
        <v>1710</v>
      </c>
      <c r="AG301" s="48" t="s">
        <v>2057</v>
      </c>
      <c r="AH301" s="48" t="s">
        <v>1815</v>
      </c>
      <c r="AI301" s="48" t="s">
        <v>2058</v>
      </c>
      <c r="AJ301" s="48" t="s">
        <v>1710</v>
      </c>
      <c r="AK301" s="48" t="s">
        <v>2563</v>
      </c>
      <c r="AL301" s="48" t="s">
        <v>2564</v>
      </c>
      <c r="AM301" s="48" t="s">
        <v>1816</v>
      </c>
      <c r="AN301" s="48" t="s">
        <v>2054</v>
      </c>
      <c r="AO301" s="48" t="s">
        <v>1710</v>
      </c>
      <c r="AP301" s="48" t="s">
        <v>1855</v>
      </c>
      <c r="AQ301" s="48" t="s">
        <v>2076</v>
      </c>
      <c r="AR301" s="48" t="s">
        <v>1812</v>
      </c>
      <c r="AS301" s="48" t="s">
        <v>1813</v>
      </c>
      <c r="AT301" s="48" t="s">
        <v>1826</v>
      </c>
      <c r="AU301" s="48" t="s">
        <v>2061</v>
      </c>
      <c r="AV301" s="48" t="s">
        <v>2816</v>
      </c>
      <c r="AW301" s="48" t="s">
        <v>2062</v>
      </c>
      <c r="AX301" s="48" t="s">
        <v>2063</v>
      </c>
      <c r="AY301" s="48" t="s">
        <v>1710</v>
      </c>
      <c r="AZ301" s="48" t="s">
        <v>5180</v>
      </c>
      <c r="BA301" s="48" t="s">
        <v>1710</v>
      </c>
      <c r="BB301" s="48" t="s">
        <v>1709</v>
      </c>
      <c r="BC301" s="48" t="s">
        <v>1710</v>
      </c>
      <c r="BD301" s="48" t="s">
        <v>2097</v>
      </c>
      <c r="BE301" s="52" t="s">
        <v>5122</v>
      </c>
      <c r="BF301" s="48" t="s">
        <v>1710</v>
      </c>
      <c r="BG301" s="48" t="s">
        <v>1818</v>
      </c>
      <c r="BH301">
        <v>2</v>
      </c>
      <c r="BI301" s="48" t="s">
        <v>1888</v>
      </c>
      <c r="BJ301">
        <v>1</v>
      </c>
      <c r="BK301">
        <v>1473.06</v>
      </c>
      <c r="BL301">
        <v>12484075</v>
      </c>
      <c r="BM301">
        <v>8475</v>
      </c>
      <c r="BN301" s="48" t="s">
        <v>2064</v>
      </c>
      <c r="BO301" s="48" t="s">
        <v>2065</v>
      </c>
      <c r="BP301">
        <v>1473.06</v>
      </c>
      <c r="BQ301">
        <v>8492.17</v>
      </c>
      <c r="BR301" s="48" t="s">
        <v>1885</v>
      </c>
      <c r="BS301" s="48" t="s">
        <v>2066</v>
      </c>
      <c r="BT301">
        <v>1</v>
      </c>
      <c r="BU301">
        <v>25400</v>
      </c>
      <c r="BV301">
        <v>25400</v>
      </c>
      <c r="BW301" s="48" t="s">
        <v>2065</v>
      </c>
      <c r="BX301">
        <v>1473.06</v>
      </c>
      <c r="BY301">
        <v>0</v>
      </c>
      <c r="BZ301">
        <v>0</v>
      </c>
      <c r="CA301" s="48" t="s">
        <v>2065</v>
      </c>
      <c r="CB301">
        <v>1473.06</v>
      </c>
      <c r="CC301">
        <v>0</v>
      </c>
      <c r="CD301">
        <v>0</v>
      </c>
      <c r="CE301" s="48" t="s">
        <v>1710</v>
      </c>
      <c r="CF301" s="48" t="s">
        <v>1710</v>
      </c>
      <c r="CG301" s="48" t="s">
        <v>1710</v>
      </c>
      <c r="CH301" s="48" t="s">
        <v>1710</v>
      </c>
      <c r="CI301" s="48" t="s">
        <v>2067</v>
      </c>
      <c r="CJ301" s="48" t="s">
        <v>1710</v>
      </c>
      <c r="CL301" s="48" t="s">
        <v>2816</v>
      </c>
      <c r="CM301" s="48" t="s">
        <v>1710</v>
      </c>
      <c r="CN301" s="48" t="s">
        <v>2068</v>
      </c>
      <c r="CO301" s="48" t="s">
        <v>2069</v>
      </c>
      <c r="CP301" s="48" t="s">
        <v>1710</v>
      </c>
      <c r="CQ301" s="48" t="s">
        <v>1710</v>
      </c>
      <c r="CR301" s="48" t="s">
        <v>1710</v>
      </c>
      <c r="CS301" s="48" t="s">
        <v>1710</v>
      </c>
      <c r="CT301" s="48" t="s">
        <v>1710</v>
      </c>
      <c r="CU301" s="48" t="s">
        <v>1712</v>
      </c>
      <c r="CV301" s="48" t="s">
        <v>1710</v>
      </c>
      <c r="CW301" s="48" t="s">
        <v>1710</v>
      </c>
      <c r="CX301" s="48" t="s">
        <v>2823</v>
      </c>
      <c r="CY301" s="48" t="s">
        <v>1710</v>
      </c>
      <c r="CZ301" s="48" t="s">
        <v>1712</v>
      </c>
      <c r="DA301" s="48" t="s">
        <v>1710</v>
      </c>
      <c r="DB301" s="48" t="s">
        <v>1878</v>
      </c>
      <c r="DC301" s="48" t="s">
        <v>2070</v>
      </c>
      <c r="DD301" s="48" t="s">
        <v>1842</v>
      </c>
      <c r="DE301" s="48" t="s">
        <v>1886</v>
      </c>
      <c r="DF301" s="48" t="s">
        <v>5181</v>
      </c>
      <c r="DG301" s="48" t="s">
        <v>2071</v>
      </c>
      <c r="DH301" s="48" t="s">
        <v>1712</v>
      </c>
      <c r="DI301" s="48" t="s">
        <v>1710</v>
      </c>
      <c r="DJ301" s="48" t="s">
        <v>1710</v>
      </c>
      <c r="DK301" s="48" t="s">
        <v>1710</v>
      </c>
      <c r="DL301" s="48" t="s">
        <v>1710</v>
      </c>
      <c r="DM301" s="48" t="s">
        <v>1710</v>
      </c>
      <c r="DN301" s="48" t="s">
        <v>1710</v>
      </c>
      <c r="DO301" s="48" t="s">
        <v>1710</v>
      </c>
      <c r="DP301" s="48" t="s">
        <v>1710</v>
      </c>
      <c r="DQ301" s="48" t="s">
        <v>1710</v>
      </c>
      <c r="DR301" s="48" t="s">
        <v>2072</v>
      </c>
      <c r="DS301" s="48" t="s">
        <v>1710</v>
      </c>
      <c r="DT301" s="48" t="s">
        <v>1710</v>
      </c>
      <c r="DU301" s="48" t="s">
        <v>2575</v>
      </c>
      <c r="DV301" s="48" t="s">
        <v>3111</v>
      </c>
      <c r="DW301" s="48" t="s">
        <v>1710</v>
      </c>
      <c r="DX301" s="48" t="s">
        <v>5182</v>
      </c>
      <c r="DY301" s="48" t="s">
        <v>1709</v>
      </c>
      <c r="DZ301" s="48" t="s">
        <v>2562</v>
      </c>
      <c r="EA301" s="48" t="s">
        <v>2546</v>
      </c>
      <c r="EB301">
        <v>0</v>
      </c>
      <c r="EC301" s="48" t="s">
        <v>2575</v>
      </c>
      <c r="ED301" s="48" t="s">
        <v>5168</v>
      </c>
      <c r="EE301" s="48" t="s">
        <v>1814</v>
      </c>
      <c r="EF301" s="48" t="s">
        <v>1870</v>
      </c>
      <c r="EG301" s="48" t="s">
        <v>5180</v>
      </c>
      <c r="EH301">
        <v>0.38</v>
      </c>
      <c r="EI301" s="48" t="s">
        <v>1888</v>
      </c>
      <c r="EJ301">
        <v>0</v>
      </c>
      <c r="EK301" s="48" t="s">
        <v>1710</v>
      </c>
      <c r="EL301">
        <v>1</v>
      </c>
      <c r="EM301" s="48" t="s">
        <v>1886</v>
      </c>
      <c r="EN301">
        <v>0.38</v>
      </c>
      <c r="EO301" s="48" t="s">
        <v>2722</v>
      </c>
      <c r="EP301" s="48" t="s">
        <v>5183</v>
      </c>
      <c r="EQ301">
        <v>7406</v>
      </c>
      <c r="ER301">
        <v>7406</v>
      </c>
      <c r="ES301">
        <v>10887331</v>
      </c>
      <c r="ET301">
        <v>7391</v>
      </c>
      <c r="EU301" s="48" t="s">
        <v>1710</v>
      </c>
      <c r="EV301" s="48" t="s">
        <v>1710</v>
      </c>
      <c r="EW301" s="48" t="s">
        <v>1712</v>
      </c>
      <c r="EX301" s="48" t="s">
        <v>1710</v>
      </c>
      <c r="EY301" s="48" t="s">
        <v>1851</v>
      </c>
      <c r="EZ301" s="48" t="s">
        <v>1710</v>
      </c>
      <c r="FA301" s="48" t="s">
        <v>1710</v>
      </c>
      <c r="FB301" s="48" t="s">
        <v>1712</v>
      </c>
      <c r="FC301" s="48" t="s">
        <v>1710</v>
      </c>
      <c r="FD301" s="48" t="s">
        <v>1710</v>
      </c>
      <c r="FE301" s="48" t="s">
        <v>1814</v>
      </c>
      <c r="FF301" s="48" t="s">
        <v>1815</v>
      </c>
      <c r="FG301" s="48" t="s">
        <v>1710</v>
      </c>
      <c r="FH301">
        <v>1</v>
      </c>
      <c r="FI301" s="48" t="s">
        <v>1846</v>
      </c>
      <c r="FJ301">
        <v>7406</v>
      </c>
      <c r="FK301">
        <v>7406</v>
      </c>
      <c r="FL301" s="48" t="s">
        <v>5184</v>
      </c>
      <c r="FM301" s="48" t="s">
        <v>5183</v>
      </c>
      <c r="FN301" s="48" t="s">
        <v>1710</v>
      </c>
      <c r="FO301" s="48" t="s">
        <v>1710</v>
      </c>
      <c r="FP301" s="48" t="s">
        <v>1710</v>
      </c>
      <c r="FQ301" s="48" t="s">
        <v>1710</v>
      </c>
      <c r="FR301" s="48" t="s">
        <v>1710</v>
      </c>
      <c r="FS301" s="48" t="s">
        <v>1710</v>
      </c>
      <c r="FT301" s="48" t="s">
        <v>1710</v>
      </c>
      <c r="FU301" s="48" t="s">
        <v>1710</v>
      </c>
      <c r="FV301" s="48"/>
      <c r="FW301" s="56"/>
      <c r="FX301" s="56"/>
      <c r="FY301" s="56"/>
      <c r="FZ301" s="56"/>
      <c r="GA301" s="55"/>
      <c r="GE301" s="61"/>
      <c r="GF301" s="62"/>
      <c r="GI301" s="48"/>
    </row>
    <row r="302" spans="1:191">
      <c r="A302" s="48" t="s">
        <v>5185</v>
      </c>
      <c r="B302" s="48" t="s">
        <v>1821</v>
      </c>
      <c r="C302" s="48" t="s">
        <v>2048</v>
      </c>
      <c r="D302" s="48" t="s">
        <v>2813</v>
      </c>
      <c r="E302" s="48" t="s">
        <v>5185</v>
      </c>
      <c r="F302" s="48" t="s">
        <v>1710</v>
      </c>
      <c r="G302" s="48" t="s">
        <v>2814</v>
      </c>
      <c r="H302" s="48" t="s">
        <v>5186</v>
      </c>
      <c r="I302" s="48" t="s">
        <v>1884</v>
      </c>
      <c r="J302" s="48" t="s">
        <v>2816</v>
      </c>
      <c r="K302" s="48" t="s">
        <v>1877</v>
      </c>
      <c r="L302" s="48" t="s">
        <v>1842</v>
      </c>
      <c r="M302" s="48" t="s">
        <v>1810</v>
      </c>
      <c r="N302" s="48" t="s">
        <v>1842</v>
      </c>
      <c r="O302" s="48" t="s">
        <v>1811</v>
      </c>
      <c r="P302" s="48" t="s">
        <v>2549</v>
      </c>
      <c r="Q302" s="48" t="s">
        <v>2049</v>
      </c>
      <c r="R302" s="48" t="s">
        <v>1838</v>
      </c>
      <c r="S302" s="48" t="s">
        <v>2050</v>
      </c>
      <c r="T302" s="48" t="s">
        <v>1845</v>
      </c>
      <c r="U302" s="48" t="s">
        <v>2049</v>
      </c>
      <c r="V302" s="48" t="s">
        <v>1838</v>
      </c>
      <c r="W302" s="48" t="s">
        <v>2051</v>
      </c>
      <c r="X302" s="48" t="s">
        <v>2052</v>
      </c>
      <c r="Y302" s="48" t="s">
        <v>2050</v>
      </c>
      <c r="Z302" s="48" t="s">
        <v>2053</v>
      </c>
      <c r="AA302" s="48" t="s">
        <v>2054</v>
      </c>
      <c r="AB302" s="48" t="s">
        <v>2817</v>
      </c>
      <c r="AC302" s="48" t="s">
        <v>2055</v>
      </c>
      <c r="AD302" s="48" t="s">
        <v>2056</v>
      </c>
      <c r="AE302" s="48" t="s">
        <v>1710</v>
      </c>
      <c r="AF302" s="48" t="s">
        <v>1710</v>
      </c>
      <c r="AG302" s="48" t="s">
        <v>2057</v>
      </c>
      <c r="AH302" s="48" t="s">
        <v>1815</v>
      </c>
      <c r="AI302" s="48" t="s">
        <v>2058</v>
      </c>
      <c r="AJ302" s="48" t="s">
        <v>1710</v>
      </c>
      <c r="AK302" s="48" t="s">
        <v>5187</v>
      </c>
      <c r="AL302" s="48" t="s">
        <v>1866</v>
      </c>
      <c r="AM302" s="48" t="s">
        <v>1816</v>
      </c>
      <c r="AN302" s="48" t="s">
        <v>2054</v>
      </c>
      <c r="AO302" s="48" t="s">
        <v>1710</v>
      </c>
      <c r="AP302" s="48" t="s">
        <v>2656</v>
      </c>
      <c r="AQ302" s="48" t="s">
        <v>5188</v>
      </c>
      <c r="AR302" s="48" t="s">
        <v>1812</v>
      </c>
      <c r="AS302" s="48" t="s">
        <v>1813</v>
      </c>
      <c r="AT302" s="48" t="s">
        <v>1826</v>
      </c>
      <c r="AU302" s="48" t="s">
        <v>2061</v>
      </c>
      <c r="AV302" s="48" t="s">
        <v>2816</v>
      </c>
      <c r="AW302" s="48" t="s">
        <v>2062</v>
      </c>
      <c r="AX302" s="48" t="s">
        <v>2063</v>
      </c>
      <c r="AY302" s="48" t="s">
        <v>1710</v>
      </c>
      <c r="AZ302" s="48" t="s">
        <v>5189</v>
      </c>
      <c r="BA302" s="48" t="s">
        <v>1710</v>
      </c>
      <c r="BB302" s="48" t="s">
        <v>1709</v>
      </c>
      <c r="BC302" s="48" t="s">
        <v>1710</v>
      </c>
      <c r="BD302" s="48" t="s">
        <v>2097</v>
      </c>
      <c r="BE302" s="52" t="s">
        <v>5122</v>
      </c>
      <c r="BF302" s="48" t="s">
        <v>1710</v>
      </c>
      <c r="BG302" s="48" t="s">
        <v>1814</v>
      </c>
      <c r="BH302">
        <v>1</v>
      </c>
      <c r="BI302" s="48" t="s">
        <v>1888</v>
      </c>
      <c r="BJ302">
        <v>1</v>
      </c>
      <c r="BK302">
        <v>1473.06</v>
      </c>
      <c r="BL302">
        <v>877676</v>
      </c>
      <c r="BM302">
        <v>596</v>
      </c>
      <c r="BN302" s="48" t="s">
        <v>2064</v>
      </c>
      <c r="BO302" s="48" t="s">
        <v>2065</v>
      </c>
      <c r="BP302">
        <v>1473.06</v>
      </c>
      <c r="BQ302">
        <v>619.85</v>
      </c>
      <c r="BR302" s="48" t="s">
        <v>1885</v>
      </c>
      <c r="BS302" s="48" t="s">
        <v>2066</v>
      </c>
      <c r="BT302">
        <v>1</v>
      </c>
      <c r="BU302">
        <v>35400</v>
      </c>
      <c r="BV302">
        <v>35400</v>
      </c>
      <c r="BW302" s="48" t="s">
        <v>2065</v>
      </c>
      <c r="BX302">
        <v>1473.06</v>
      </c>
      <c r="BY302">
        <v>0</v>
      </c>
      <c r="BZ302">
        <v>0</v>
      </c>
      <c r="CA302" s="48" t="s">
        <v>2065</v>
      </c>
      <c r="CB302">
        <v>1473.06</v>
      </c>
      <c r="CC302">
        <v>0</v>
      </c>
      <c r="CD302">
        <v>0</v>
      </c>
      <c r="CE302" s="48" t="s">
        <v>1710</v>
      </c>
      <c r="CF302" s="48" t="s">
        <v>1710</v>
      </c>
      <c r="CG302" s="48" t="s">
        <v>1710</v>
      </c>
      <c r="CH302" s="48" t="s">
        <v>1710</v>
      </c>
      <c r="CI302" s="48" t="s">
        <v>2067</v>
      </c>
      <c r="CJ302" s="48" t="s">
        <v>1710</v>
      </c>
      <c r="CL302" s="48" t="s">
        <v>2816</v>
      </c>
      <c r="CM302" s="48" t="s">
        <v>1710</v>
      </c>
      <c r="CN302" s="48" t="s">
        <v>2068</v>
      </c>
      <c r="CO302" s="48" t="s">
        <v>2069</v>
      </c>
      <c r="CP302" s="48" t="s">
        <v>1710</v>
      </c>
      <c r="CQ302" s="48" t="s">
        <v>1710</v>
      </c>
      <c r="CR302" s="48" t="s">
        <v>1710</v>
      </c>
      <c r="CS302" s="48" t="s">
        <v>1710</v>
      </c>
      <c r="CT302" s="48" t="s">
        <v>1710</v>
      </c>
      <c r="CU302" s="48" t="s">
        <v>1712</v>
      </c>
      <c r="CV302" s="48" t="s">
        <v>1710</v>
      </c>
      <c r="CW302" s="48" t="s">
        <v>1710</v>
      </c>
      <c r="CX302" s="48" t="s">
        <v>2823</v>
      </c>
      <c r="CY302" s="48" t="s">
        <v>1710</v>
      </c>
      <c r="CZ302" s="48" t="s">
        <v>1712</v>
      </c>
      <c r="DA302" s="48" t="s">
        <v>1710</v>
      </c>
      <c r="DB302" s="48" t="s">
        <v>1878</v>
      </c>
      <c r="DC302" s="48" t="s">
        <v>2070</v>
      </c>
      <c r="DD302" s="48" t="s">
        <v>1842</v>
      </c>
      <c r="DE302" s="48" t="s">
        <v>1886</v>
      </c>
      <c r="DF302" s="48" t="s">
        <v>5190</v>
      </c>
      <c r="DG302" s="48" t="s">
        <v>2071</v>
      </c>
      <c r="DH302" s="48" t="s">
        <v>1712</v>
      </c>
      <c r="DI302" s="48" t="s">
        <v>1710</v>
      </c>
      <c r="DJ302" s="48" t="s">
        <v>1710</v>
      </c>
      <c r="DK302" s="48" t="s">
        <v>1710</v>
      </c>
      <c r="DL302" s="48" t="s">
        <v>1710</v>
      </c>
      <c r="DM302" s="48" t="s">
        <v>1710</v>
      </c>
      <c r="DN302" s="48" t="s">
        <v>1710</v>
      </c>
      <c r="DO302" s="48" t="s">
        <v>1710</v>
      </c>
      <c r="DP302" s="48" t="s">
        <v>1710</v>
      </c>
      <c r="DQ302" s="48" t="s">
        <v>1710</v>
      </c>
      <c r="DR302" s="48" t="s">
        <v>2072</v>
      </c>
      <c r="DS302" s="48" t="s">
        <v>1710</v>
      </c>
      <c r="DT302" s="48" t="s">
        <v>1710</v>
      </c>
      <c r="DU302" s="48" t="s">
        <v>2575</v>
      </c>
      <c r="DV302" s="48" t="s">
        <v>2825</v>
      </c>
      <c r="DW302" s="48" t="s">
        <v>1710</v>
      </c>
      <c r="DX302" s="48" t="s">
        <v>5191</v>
      </c>
      <c r="DY302" s="48" t="s">
        <v>1709</v>
      </c>
      <c r="DZ302" s="48" t="s">
        <v>2562</v>
      </c>
      <c r="EA302" s="48" t="s">
        <v>2546</v>
      </c>
      <c r="EB302">
        <v>0</v>
      </c>
      <c r="EC302" s="48" t="s">
        <v>2575</v>
      </c>
      <c r="ED302" s="48" t="s">
        <v>5192</v>
      </c>
      <c r="EE302" s="48" t="s">
        <v>1814</v>
      </c>
      <c r="EF302" s="48" t="s">
        <v>1862</v>
      </c>
      <c r="EG302" s="48" t="s">
        <v>5189</v>
      </c>
      <c r="EH302">
        <v>8.2000000000000003E-2</v>
      </c>
      <c r="EI302" s="48" t="s">
        <v>1888</v>
      </c>
      <c r="EJ302">
        <v>0</v>
      </c>
      <c r="EK302" s="48" t="s">
        <v>1710</v>
      </c>
      <c r="EL302">
        <v>1</v>
      </c>
      <c r="EM302" s="48" t="s">
        <v>1886</v>
      </c>
      <c r="EN302">
        <v>8.2000000000000003E-2</v>
      </c>
      <c r="EO302" s="48" t="s">
        <v>2522</v>
      </c>
      <c r="EP302" s="48" t="s">
        <v>5193</v>
      </c>
      <c r="EQ302">
        <v>619.85</v>
      </c>
      <c r="ER302">
        <v>619.85</v>
      </c>
      <c r="ES302">
        <v>877676</v>
      </c>
      <c r="ET302">
        <v>596</v>
      </c>
      <c r="EU302" s="48" t="s">
        <v>1710</v>
      </c>
      <c r="EV302" s="48" t="s">
        <v>1710</v>
      </c>
      <c r="EW302" s="48" t="s">
        <v>1712</v>
      </c>
      <c r="EX302" s="48" t="s">
        <v>1710</v>
      </c>
      <c r="EY302" s="48" t="s">
        <v>1848</v>
      </c>
      <c r="EZ302" s="48" t="s">
        <v>1710</v>
      </c>
      <c r="FA302" s="48" t="s">
        <v>1710</v>
      </c>
      <c r="FB302" s="48" t="s">
        <v>1712</v>
      </c>
      <c r="FC302" s="48" t="s">
        <v>1710</v>
      </c>
      <c r="FD302" s="48" t="s">
        <v>1710</v>
      </c>
      <c r="FE302" s="48" t="s">
        <v>1814</v>
      </c>
      <c r="FF302" s="48" t="s">
        <v>1815</v>
      </c>
      <c r="FG302" s="48" t="s">
        <v>1710</v>
      </c>
      <c r="FH302">
        <v>1</v>
      </c>
      <c r="FI302" s="48" t="s">
        <v>1846</v>
      </c>
      <c r="FJ302">
        <v>619.85</v>
      </c>
      <c r="FK302">
        <v>619.85</v>
      </c>
      <c r="FL302" s="48" t="s">
        <v>5194</v>
      </c>
      <c r="FM302" s="48" t="s">
        <v>5193</v>
      </c>
      <c r="FN302" s="48" t="s">
        <v>1710</v>
      </c>
      <c r="FO302" s="48" t="s">
        <v>1710</v>
      </c>
      <c r="FP302" s="48" t="s">
        <v>1710</v>
      </c>
      <c r="FQ302" s="48" t="s">
        <v>1710</v>
      </c>
      <c r="FR302" s="48" t="s">
        <v>1710</v>
      </c>
      <c r="FS302" s="48" t="s">
        <v>1710</v>
      </c>
      <c r="FT302" s="48" t="s">
        <v>1710</v>
      </c>
      <c r="FU302" s="48" t="s">
        <v>1710</v>
      </c>
      <c r="FV302" s="48"/>
      <c r="GA302" s="55"/>
      <c r="GE302" s="61"/>
      <c r="GF302" s="62"/>
      <c r="GI302" s="48"/>
    </row>
    <row r="303" spans="1:191">
      <c r="A303" s="48" t="s">
        <v>5195</v>
      </c>
      <c r="B303" s="48" t="s">
        <v>1821</v>
      </c>
      <c r="C303" s="48" t="s">
        <v>2048</v>
      </c>
      <c r="D303" s="48" t="s">
        <v>2813</v>
      </c>
      <c r="E303" s="48" t="s">
        <v>5195</v>
      </c>
      <c r="F303" s="48" t="s">
        <v>1710</v>
      </c>
      <c r="G303" s="48" t="s">
        <v>2814</v>
      </c>
      <c r="H303" s="48" t="s">
        <v>5196</v>
      </c>
      <c r="I303" s="48" t="s">
        <v>1884</v>
      </c>
      <c r="J303" s="48" t="s">
        <v>2816</v>
      </c>
      <c r="K303" s="48" t="s">
        <v>1877</v>
      </c>
      <c r="L303" s="48" t="s">
        <v>1842</v>
      </c>
      <c r="M303" s="48" t="s">
        <v>1810</v>
      </c>
      <c r="N303" s="48" t="s">
        <v>1842</v>
      </c>
      <c r="O303" s="48" t="s">
        <v>1811</v>
      </c>
      <c r="P303" s="48" t="s">
        <v>2549</v>
      </c>
      <c r="Q303" s="48" t="s">
        <v>2049</v>
      </c>
      <c r="R303" s="48" t="s">
        <v>1838</v>
      </c>
      <c r="S303" s="48" t="s">
        <v>2050</v>
      </c>
      <c r="T303" s="48" t="s">
        <v>1845</v>
      </c>
      <c r="U303" s="48" t="s">
        <v>2049</v>
      </c>
      <c r="V303" s="48" t="s">
        <v>1838</v>
      </c>
      <c r="W303" s="48" t="s">
        <v>2051</v>
      </c>
      <c r="X303" s="48" t="s">
        <v>2052</v>
      </c>
      <c r="Y303" s="48" t="s">
        <v>2050</v>
      </c>
      <c r="Z303" s="48" t="s">
        <v>2053</v>
      </c>
      <c r="AA303" s="48" t="s">
        <v>2054</v>
      </c>
      <c r="AB303" s="48" t="s">
        <v>2817</v>
      </c>
      <c r="AC303" s="48" t="s">
        <v>2055</v>
      </c>
      <c r="AD303" s="48" t="s">
        <v>2056</v>
      </c>
      <c r="AE303" s="48" t="s">
        <v>1710</v>
      </c>
      <c r="AF303" s="48" t="s">
        <v>1710</v>
      </c>
      <c r="AG303" s="48" t="s">
        <v>2057</v>
      </c>
      <c r="AH303" s="48" t="s">
        <v>1815</v>
      </c>
      <c r="AI303" s="48" t="s">
        <v>2058</v>
      </c>
      <c r="AJ303" s="48" t="s">
        <v>1710</v>
      </c>
      <c r="AK303" s="48" t="s">
        <v>2560</v>
      </c>
      <c r="AL303" s="48" t="s">
        <v>2561</v>
      </c>
      <c r="AM303" s="48" t="s">
        <v>1816</v>
      </c>
      <c r="AN303" s="48" t="s">
        <v>2054</v>
      </c>
      <c r="AO303" s="48" t="s">
        <v>1710</v>
      </c>
      <c r="AP303" s="48" t="s">
        <v>1855</v>
      </c>
      <c r="AQ303" s="48" t="s">
        <v>2076</v>
      </c>
      <c r="AR303" s="48" t="s">
        <v>1812</v>
      </c>
      <c r="AS303" s="48" t="s">
        <v>1813</v>
      </c>
      <c r="AT303" s="48" t="s">
        <v>1826</v>
      </c>
      <c r="AU303" s="48" t="s">
        <v>2061</v>
      </c>
      <c r="AV303" s="48" t="s">
        <v>2816</v>
      </c>
      <c r="AW303" s="48" t="s">
        <v>2062</v>
      </c>
      <c r="AX303" s="48" t="s">
        <v>2063</v>
      </c>
      <c r="AY303" s="48" t="s">
        <v>1710</v>
      </c>
      <c r="AZ303" s="48" t="s">
        <v>5197</v>
      </c>
      <c r="BA303" s="48" t="s">
        <v>1710</v>
      </c>
      <c r="BB303" s="48" t="s">
        <v>1709</v>
      </c>
      <c r="BC303" s="48" t="s">
        <v>1710</v>
      </c>
      <c r="BD303" s="48" t="s">
        <v>2097</v>
      </c>
      <c r="BE303" s="52" t="s">
        <v>5122</v>
      </c>
      <c r="BF303" s="48" t="s">
        <v>1710</v>
      </c>
      <c r="BG303" s="48" t="s">
        <v>1814</v>
      </c>
      <c r="BH303">
        <v>1</v>
      </c>
      <c r="BI303" s="48" t="s">
        <v>1888</v>
      </c>
      <c r="BJ303">
        <v>1</v>
      </c>
      <c r="BK303">
        <v>1473.06</v>
      </c>
      <c r="BL303">
        <v>28583</v>
      </c>
      <c r="BM303">
        <v>19</v>
      </c>
      <c r="BN303" s="48" t="s">
        <v>2064</v>
      </c>
      <c r="BO303" s="48" t="s">
        <v>2065</v>
      </c>
      <c r="BP303">
        <v>1473.06</v>
      </c>
      <c r="BQ303">
        <v>33.659999999999997</v>
      </c>
      <c r="BR303" s="48" t="s">
        <v>1885</v>
      </c>
      <c r="BS303" s="48" t="s">
        <v>2066</v>
      </c>
      <c r="BT303">
        <v>1</v>
      </c>
      <c r="BU303">
        <v>21000</v>
      </c>
      <c r="BV303">
        <v>21000</v>
      </c>
      <c r="BW303" s="48" t="s">
        <v>2065</v>
      </c>
      <c r="BX303">
        <v>1473.06</v>
      </c>
      <c r="BY303">
        <v>0</v>
      </c>
      <c r="BZ303">
        <v>0</v>
      </c>
      <c r="CA303" s="48" t="s">
        <v>2065</v>
      </c>
      <c r="CB303">
        <v>1473.06</v>
      </c>
      <c r="CC303">
        <v>0</v>
      </c>
      <c r="CD303">
        <v>0</v>
      </c>
      <c r="CE303" s="48" t="s">
        <v>1710</v>
      </c>
      <c r="CF303" s="48" t="s">
        <v>1710</v>
      </c>
      <c r="CG303" s="48" t="s">
        <v>1710</v>
      </c>
      <c r="CH303" s="48" t="s">
        <v>1710</v>
      </c>
      <c r="CI303" s="48" t="s">
        <v>2067</v>
      </c>
      <c r="CJ303" s="48" t="s">
        <v>1710</v>
      </c>
      <c r="CL303" s="48" t="s">
        <v>2816</v>
      </c>
      <c r="CM303" s="48" t="s">
        <v>1710</v>
      </c>
      <c r="CN303" s="48" t="s">
        <v>2068</v>
      </c>
      <c r="CO303" s="48" t="s">
        <v>2069</v>
      </c>
      <c r="CP303" s="48" t="s">
        <v>1710</v>
      </c>
      <c r="CQ303" s="48" t="s">
        <v>1710</v>
      </c>
      <c r="CR303" s="48" t="s">
        <v>1710</v>
      </c>
      <c r="CS303" s="48" t="s">
        <v>1710</v>
      </c>
      <c r="CT303" s="48" t="s">
        <v>1710</v>
      </c>
      <c r="CU303" s="48" t="s">
        <v>1712</v>
      </c>
      <c r="CV303" s="48" t="s">
        <v>1710</v>
      </c>
      <c r="CW303" s="48" t="s">
        <v>1710</v>
      </c>
      <c r="CX303" s="48" t="s">
        <v>2823</v>
      </c>
      <c r="CY303" s="48" t="s">
        <v>1710</v>
      </c>
      <c r="CZ303" s="48" t="s">
        <v>1712</v>
      </c>
      <c r="DA303" s="48" t="s">
        <v>1710</v>
      </c>
      <c r="DB303" s="48" t="s">
        <v>1878</v>
      </c>
      <c r="DC303" s="48" t="s">
        <v>2070</v>
      </c>
      <c r="DD303" s="48" t="s">
        <v>1842</v>
      </c>
      <c r="DE303" s="48" t="s">
        <v>1886</v>
      </c>
      <c r="DF303" s="48" t="s">
        <v>5198</v>
      </c>
      <c r="DG303" s="48" t="s">
        <v>2071</v>
      </c>
      <c r="DH303" s="48" t="s">
        <v>1712</v>
      </c>
      <c r="DI303" s="48" t="s">
        <v>1710</v>
      </c>
      <c r="DJ303" s="48" t="s">
        <v>1710</v>
      </c>
      <c r="DK303" s="48" t="s">
        <v>1710</v>
      </c>
      <c r="DL303" s="48" t="s">
        <v>1710</v>
      </c>
      <c r="DM303" s="48" t="s">
        <v>1710</v>
      </c>
      <c r="DN303" s="48" t="s">
        <v>1710</v>
      </c>
      <c r="DO303" s="48" t="s">
        <v>1710</v>
      </c>
      <c r="DP303" s="48" t="s">
        <v>1710</v>
      </c>
      <c r="DQ303" s="48" t="s">
        <v>1710</v>
      </c>
      <c r="DR303" s="48" t="s">
        <v>2072</v>
      </c>
      <c r="DS303" s="48" t="s">
        <v>1710</v>
      </c>
      <c r="DT303" s="48" t="s">
        <v>1710</v>
      </c>
      <c r="DU303" s="48" t="s">
        <v>2575</v>
      </c>
      <c r="DV303" s="48" t="s">
        <v>3111</v>
      </c>
      <c r="DW303" s="48" t="s">
        <v>1710</v>
      </c>
      <c r="DX303" s="48" t="s">
        <v>5199</v>
      </c>
      <c r="DY303" s="48" t="s">
        <v>1709</v>
      </c>
      <c r="DZ303" s="48" t="s">
        <v>2562</v>
      </c>
      <c r="EA303" s="48" t="s">
        <v>2546</v>
      </c>
      <c r="EB303">
        <v>0</v>
      </c>
      <c r="EC303" s="48" t="s">
        <v>2575</v>
      </c>
      <c r="ED303" s="48" t="s">
        <v>5192</v>
      </c>
      <c r="EE303" s="48" t="s">
        <v>1814</v>
      </c>
      <c r="EF303" s="48" t="s">
        <v>1841</v>
      </c>
      <c r="EG303" s="48" t="s">
        <v>5197</v>
      </c>
      <c r="EH303">
        <v>1.4999999999999999E-2</v>
      </c>
      <c r="EI303" s="48" t="s">
        <v>1888</v>
      </c>
      <c r="EJ303">
        <v>0</v>
      </c>
      <c r="EK303" s="48" t="s">
        <v>1710</v>
      </c>
      <c r="EL303">
        <v>1</v>
      </c>
      <c r="EM303" s="48" t="s">
        <v>1886</v>
      </c>
      <c r="EN303">
        <v>1.4999999999999999E-2</v>
      </c>
      <c r="EO303" s="48" t="s">
        <v>2603</v>
      </c>
      <c r="EP303" s="48" t="s">
        <v>5200</v>
      </c>
      <c r="EQ303">
        <v>33.659999999999997</v>
      </c>
      <c r="ER303">
        <v>33.659999999999997</v>
      </c>
      <c r="ES303">
        <v>28583</v>
      </c>
      <c r="ET303">
        <v>19</v>
      </c>
      <c r="EU303" s="48" t="s">
        <v>1710</v>
      </c>
      <c r="EV303" s="48" t="s">
        <v>1710</v>
      </c>
      <c r="EW303" s="48" t="s">
        <v>1712</v>
      </c>
      <c r="EX303" s="48" t="s">
        <v>1710</v>
      </c>
      <c r="EY303" s="48" t="s">
        <v>1843</v>
      </c>
      <c r="EZ303" s="48" t="s">
        <v>1710</v>
      </c>
      <c r="FA303" s="48" t="s">
        <v>1710</v>
      </c>
      <c r="FB303" s="48" t="s">
        <v>1712</v>
      </c>
      <c r="FC303" s="48" t="s">
        <v>1710</v>
      </c>
      <c r="FD303" s="48" t="s">
        <v>1710</v>
      </c>
      <c r="FE303" s="48" t="s">
        <v>1814</v>
      </c>
      <c r="FF303" s="48" t="s">
        <v>1815</v>
      </c>
      <c r="FG303" s="48" t="s">
        <v>1710</v>
      </c>
      <c r="FH303">
        <v>1</v>
      </c>
      <c r="FI303" s="48" t="s">
        <v>1846</v>
      </c>
      <c r="FJ303">
        <v>33.659999999999997</v>
      </c>
      <c r="FK303">
        <v>33.659999999999997</v>
      </c>
      <c r="FL303" s="48" t="s">
        <v>5201</v>
      </c>
      <c r="FM303" s="48" t="s">
        <v>5200</v>
      </c>
      <c r="FN303" s="48" t="s">
        <v>1710</v>
      </c>
      <c r="FO303" s="48" t="s">
        <v>1710</v>
      </c>
      <c r="FP303" s="48" t="s">
        <v>1710</v>
      </c>
      <c r="FQ303" s="48" t="s">
        <v>1710</v>
      </c>
      <c r="FR303" s="48" t="s">
        <v>1710</v>
      </c>
      <c r="FS303" s="48" t="s">
        <v>1710</v>
      </c>
      <c r="FT303" s="48" t="s">
        <v>1710</v>
      </c>
      <c r="FU303" s="48" t="s">
        <v>1710</v>
      </c>
      <c r="FV303" s="48"/>
      <c r="GA303" s="55"/>
      <c r="GE303" s="61"/>
      <c r="GF303" s="62"/>
      <c r="GI303" s="48"/>
    </row>
    <row r="304" spans="1:191">
      <c r="A304" s="48" t="s">
        <v>5202</v>
      </c>
      <c r="B304" s="48" t="s">
        <v>1821</v>
      </c>
      <c r="C304" s="48" t="s">
        <v>2048</v>
      </c>
      <c r="D304" s="48" t="s">
        <v>2813</v>
      </c>
      <c r="E304" s="48" t="s">
        <v>5202</v>
      </c>
      <c r="F304" s="48" t="s">
        <v>1710</v>
      </c>
      <c r="G304" s="48" t="s">
        <v>2814</v>
      </c>
      <c r="H304" s="48" t="s">
        <v>5203</v>
      </c>
      <c r="I304" s="48" t="s">
        <v>1884</v>
      </c>
      <c r="J304" s="48" t="s">
        <v>2816</v>
      </c>
      <c r="K304" s="48" t="s">
        <v>1877</v>
      </c>
      <c r="L304" s="48" t="s">
        <v>1844</v>
      </c>
      <c r="M304" s="48" t="s">
        <v>1810</v>
      </c>
      <c r="N304" s="48" t="s">
        <v>1842</v>
      </c>
      <c r="O304" s="48" t="s">
        <v>1811</v>
      </c>
      <c r="P304" s="48" t="s">
        <v>2549</v>
      </c>
      <c r="Q304" s="48" t="s">
        <v>2049</v>
      </c>
      <c r="R304" s="48" t="s">
        <v>1838</v>
      </c>
      <c r="S304" s="48" t="s">
        <v>2050</v>
      </c>
      <c r="T304" s="48" t="s">
        <v>1845</v>
      </c>
      <c r="U304" s="48" t="s">
        <v>2049</v>
      </c>
      <c r="V304" s="48" t="s">
        <v>1838</v>
      </c>
      <c r="W304" s="48" t="s">
        <v>2051</v>
      </c>
      <c r="X304" s="48" t="s">
        <v>2052</v>
      </c>
      <c r="Y304" s="48" t="s">
        <v>2050</v>
      </c>
      <c r="Z304" s="48" t="s">
        <v>2053</v>
      </c>
      <c r="AA304" s="48" t="s">
        <v>2054</v>
      </c>
      <c r="AB304" s="48" t="s">
        <v>2817</v>
      </c>
      <c r="AC304" s="48" t="s">
        <v>2055</v>
      </c>
      <c r="AD304" s="48" t="s">
        <v>2056</v>
      </c>
      <c r="AE304" s="48" t="s">
        <v>1710</v>
      </c>
      <c r="AF304" s="48" t="s">
        <v>1710</v>
      </c>
      <c r="AG304" s="48" t="s">
        <v>2057</v>
      </c>
      <c r="AH304" s="48" t="s">
        <v>1815</v>
      </c>
      <c r="AI304" s="48" t="s">
        <v>2058</v>
      </c>
      <c r="AJ304" s="48" t="s">
        <v>1710</v>
      </c>
      <c r="AK304" s="48" t="s">
        <v>2563</v>
      </c>
      <c r="AL304" s="48" t="s">
        <v>2564</v>
      </c>
      <c r="AM304" s="48" t="s">
        <v>1816</v>
      </c>
      <c r="AN304" s="48" t="s">
        <v>2054</v>
      </c>
      <c r="AO304" s="48" t="s">
        <v>1710</v>
      </c>
      <c r="AP304" s="48" t="s">
        <v>1855</v>
      </c>
      <c r="AQ304" s="48" t="s">
        <v>2076</v>
      </c>
      <c r="AR304" s="48" t="s">
        <v>1812</v>
      </c>
      <c r="AS304" s="48" t="s">
        <v>1813</v>
      </c>
      <c r="AT304" s="48" t="s">
        <v>1826</v>
      </c>
      <c r="AU304" s="48" t="s">
        <v>2061</v>
      </c>
      <c r="AV304" s="48" t="s">
        <v>2816</v>
      </c>
      <c r="AW304" s="48" t="s">
        <v>2062</v>
      </c>
      <c r="AX304" s="48" t="s">
        <v>2063</v>
      </c>
      <c r="AY304" s="48" t="s">
        <v>1710</v>
      </c>
      <c r="AZ304" s="48" t="s">
        <v>5204</v>
      </c>
      <c r="BA304" s="48" t="s">
        <v>1710</v>
      </c>
      <c r="BB304" s="48" t="s">
        <v>1709</v>
      </c>
      <c r="BC304" s="48" t="s">
        <v>1710</v>
      </c>
      <c r="BD304" s="48" t="s">
        <v>2097</v>
      </c>
      <c r="BE304" s="52" t="s">
        <v>5122</v>
      </c>
      <c r="BF304" s="48" t="s">
        <v>1710</v>
      </c>
      <c r="BG304" s="48" t="s">
        <v>1814</v>
      </c>
      <c r="BH304">
        <v>1</v>
      </c>
      <c r="BI304" s="48" t="s">
        <v>1888</v>
      </c>
      <c r="BJ304">
        <v>1</v>
      </c>
      <c r="BK304">
        <v>1473.06</v>
      </c>
      <c r="BL304">
        <v>1812326</v>
      </c>
      <c r="BM304">
        <v>1230</v>
      </c>
      <c r="BN304" s="48" t="s">
        <v>2064</v>
      </c>
      <c r="BO304" s="48" t="s">
        <v>2065</v>
      </c>
      <c r="BP304">
        <v>1473.06</v>
      </c>
      <c r="BQ304">
        <v>1244.57</v>
      </c>
      <c r="BR304" s="48" t="s">
        <v>1885</v>
      </c>
      <c r="BS304" s="48" t="s">
        <v>2066</v>
      </c>
      <c r="BT304">
        <v>1</v>
      </c>
      <c r="BU304">
        <v>21000</v>
      </c>
      <c r="BV304">
        <v>21000</v>
      </c>
      <c r="BW304" s="48" t="s">
        <v>2065</v>
      </c>
      <c r="BX304">
        <v>1473.06</v>
      </c>
      <c r="BY304">
        <v>0</v>
      </c>
      <c r="BZ304">
        <v>0</v>
      </c>
      <c r="CA304" s="48" t="s">
        <v>2065</v>
      </c>
      <c r="CB304">
        <v>1473.06</v>
      </c>
      <c r="CC304">
        <v>0</v>
      </c>
      <c r="CD304">
        <v>0</v>
      </c>
      <c r="CE304" s="48" t="s">
        <v>1710</v>
      </c>
      <c r="CF304" s="48" t="s">
        <v>1710</v>
      </c>
      <c r="CG304" s="48" t="s">
        <v>1710</v>
      </c>
      <c r="CH304" s="48" t="s">
        <v>1710</v>
      </c>
      <c r="CI304" s="48" t="s">
        <v>2067</v>
      </c>
      <c r="CJ304" s="48" t="s">
        <v>1710</v>
      </c>
      <c r="CL304" s="48" t="s">
        <v>2816</v>
      </c>
      <c r="CM304" s="48" t="s">
        <v>1710</v>
      </c>
      <c r="CN304" s="48" t="s">
        <v>2068</v>
      </c>
      <c r="CO304" s="48" t="s">
        <v>2069</v>
      </c>
      <c r="CP304" s="48" t="s">
        <v>1710</v>
      </c>
      <c r="CQ304" s="48" t="s">
        <v>1710</v>
      </c>
      <c r="CR304" s="48" t="s">
        <v>1710</v>
      </c>
      <c r="CS304" s="48" t="s">
        <v>1710</v>
      </c>
      <c r="CT304" s="48" t="s">
        <v>1710</v>
      </c>
      <c r="CU304" s="48" t="s">
        <v>1712</v>
      </c>
      <c r="CV304" s="48" t="s">
        <v>1710</v>
      </c>
      <c r="CW304" s="48" t="s">
        <v>1710</v>
      </c>
      <c r="CX304" s="48" t="s">
        <v>2823</v>
      </c>
      <c r="CY304" s="48" t="s">
        <v>1710</v>
      </c>
      <c r="CZ304" s="48" t="s">
        <v>1712</v>
      </c>
      <c r="DA304" s="48" t="s">
        <v>1710</v>
      </c>
      <c r="DB304" s="48" t="s">
        <v>1878</v>
      </c>
      <c r="DC304" s="48" t="s">
        <v>2070</v>
      </c>
      <c r="DD304" s="48" t="s">
        <v>1842</v>
      </c>
      <c r="DE304" s="48" t="s">
        <v>1886</v>
      </c>
      <c r="DF304" s="48" t="s">
        <v>5205</v>
      </c>
      <c r="DG304" s="48" t="s">
        <v>2071</v>
      </c>
      <c r="DH304" s="48" t="s">
        <v>1712</v>
      </c>
      <c r="DI304" s="48" t="s">
        <v>1710</v>
      </c>
      <c r="DJ304" s="48" t="s">
        <v>1710</v>
      </c>
      <c r="DK304" s="48" t="s">
        <v>1710</v>
      </c>
      <c r="DL304" s="48" t="s">
        <v>1710</v>
      </c>
      <c r="DM304" s="48" t="s">
        <v>1710</v>
      </c>
      <c r="DN304" s="48" t="s">
        <v>1710</v>
      </c>
      <c r="DO304" s="48" t="s">
        <v>1710</v>
      </c>
      <c r="DP304" s="48" t="s">
        <v>1710</v>
      </c>
      <c r="DQ304" s="48" t="s">
        <v>1710</v>
      </c>
      <c r="DR304" s="48" t="s">
        <v>2072</v>
      </c>
      <c r="DS304" s="48" t="s">
        <v>1710</v>
      </c>
      <c r="DT304" s="48" t="s">
        <v>1710</v>
      </c>
      <c r="DU304" s="48" t="s">
        <v>2575</v>
      </c>
      <c r="DV304" s="48" t="s">
        <v>3111</v>
      </c>
      <c r="DW304" s="48" t="s">
        <v>1710</v>
      </c>
      <c r="DX304" s="48" t="s">
        <v>5206</v>
      </c>
      <c r="DY304" s="48" t="s">
        <v>1709</v>
      </c>
      <c r="DZ304" s="48" t="s">
        <v>2084</v>
      </c>
      <c r="EA304" s="48" t="s">
        <v>2546</v>
      </c>
      <c r="EB304">
        <v>0</v>
      </c>
      <c r="EC304" s="48" t="s">
        <v>2575</v>
      </c>
      <c r="ED304" s="48" t="s">
        <v>5207</v>
      </c>
      <c r="EE304" s="48" t="s">
        <v>1814</v>
      </c>
      <c r="EF304" s="48" t="s">
        <v>3633</v>
      </c>
      <c r="EG304" s="48" t="s">
        <v>5204</v>
      </c>
      <c r="EH304">
        <v>1</v>
      </c>
      <c r="EI304" s="48" t="s">
        <v>1888</v>
      </c>
      <c r="EJ304">
        <v>1</v>
      </c>
      <c r="EK304" s="48" t="s">
        <v>1887</v>
      </c>
      <c r="EL304">
        <v>1</v>
      </c>
      <c r="EM304" s="48" t="s">
        <v>1886</v>
      </c>
      <c r="EN304">
        <v>1</v>
      </c>
      <c r="EO304" s="48" t="s">
        <v>3634</v>
      </c>
      <c r="EP304" s="48" t="s">
        <v>5208</v>
      </c>
      <c r="EQ304">
        <v>1244.57</v>
      </c>
      <c r="ER304">
        <v>1244.57</v>
      </c>
      <c r="ES304">
        <v>1812326</v>
      </c>
      <c r="ET304">
        <v>1230</v>
      </c>
      <c r="EU304" s="48" t="s">
        <v>1710</v>
      </c>
      <c r="EV304" s="48" t="s">
        <v>1710</v>
      </c>
      <c r="EW304" s="48" t="s">
        <v>1712</v>
      </c>
      <c r="EX304" s="48" t="s">
        <v>1710</v>
      </c>
      <c r="EY304" s="48" t="s">
        <v>1848</v>
      </c>
      <c r="EZ304" s="48" t="s">
        <v>1710</v>
      </c>
      <c r="FA304" s="48" t="s">
        <v>1710</v>
      </c>
      <c r="FB304" s="48" t="s">
        <v>1712</v>
      </c>
      <c r="FC304" s="48" t="s">
        <v>1710</v>
      </c>
      <c r="FD304" s="48" t="s">
        <v>1710</v>
      </c>
      <c r="FE304" s="48" t="s">
        <v>1814</v>
      </c>
      <c r="FF304" s="48" t="s">
        <v>1815</v>
      </c>
      <c r="FG304" s="48" t="s">
        <v>1710</v>
      </c>
      <c r="FH304">
        <v>1</v>
      </c>
      <c r="FI304" s="48" t="s">
        <v>1846</v>
      </c>
      <c r="FJ304">
        <v>1244.57</v>
      </c>
      <c r="FK304">
        <v>1244.57</v>
      </c>
      <c r="FL304" s="48" t="s">
        <v>5209</v>
      </c>
      <c r="FM304" s="48" t="s">
        <v>5208</v>
      </c>
      <c r="FN304" s="48" t="s">
        <v>1710</v>
      </c>
      <c r="FO304" s="48" t="s">
        <v>1710</v>
      </c>
      <c r="FP304" s="48" t="s">
        <v>1710</v>
      </c>
      <c r="FQ304" s="48" t="s">
        <v>1710</v>
      </c>
      <c r="FR304" s="48" t="s">
        <v>1710</v>
      </c>
      <c r="FS304" s="48" t="s">
        <v>1710</v>
      </c>
      <c r="FT304" s="48" t="s">
        <v>1710</v>
      </c>
      <c r="FU304" s="48" t="s">
        <v>1710</v>
      </c>
      <c r="FV304" s="48"/>
      <c r="GA304" s="55"/>
      <c r="GE304" s="61"/>
      <c r="GF304" s="62"/>
      <c r="GI304" s="48"/>
    </row>
    <row r="305" spans="1:191">
      <c r="A305" s="48" t="s">
        <v>5210</v>
      </c>
      <c r="B305" s="48" t="s">
        <v>1821</v>
      </c>
      <c r="C305" s="48" t="s">
        <v>2048</v>
      </c>
      <c r="D305" s="48" t="s">
        <v>2813</v>
      </c>
      <c r="E305" s="48" t="s">
        <v>5210</v>
      </c>
      <c r="F305" s="48" t="s">
        <v>1710</v>
      </c>
      <c r="G305" s="48" t="s">
        <v>2814</v>
      </c>
      <c r="H305" s="48" t="s">
        <v>5211</v>
      </c>
      <c r="I305" s="48" t="s">
        <v>1884</v>
      </c>
      <c r="J305" s="48" t="s">
        <v>2816</v>
      </c>
      <c r="K305" s="48" t="s">
        <v>1877</v>
      </c>
      <c r="L305" s="48" t="s">
        <v>1842</v>
      </c>
      <c r="M305" s="48" t="s">
        <v>1810</v>
      </c>
      <c r="N305" s="48" t="s">
        <v>1842</v>
      </c>
      <c r="O305" s="48" t="s">
        <v>1811</v>
      </c>
      <c r="P305" s="48" t="s">
        <v>2549</v>
      </c>
      <c r="Q305" s="48" t="s">
        <v>2049</v>
      </c>
      <c r="R305" s="48" t="s">
        <v>1838</v>
      </c>
      <c r="S305" s="48" t="s">
        <v>2050</v>
      </c>
      <c r="T305" s="48" t="s">
        <v>1845</v>
      </c>
      <c r="U305" s="48" t="s">
        <v>2049</v>
      </c>
      <c r="V305" s="48" t="s">
        <v>1838</v>
      </c>
      <c r="W305" s="48" t="s">
        <v>2051</v>
      </c>
      <c r="X305" s="48" t="s">
        <v>2052</v>
      </c>
      <c r="Y305" s="48" t="s">
        <v>2050</v>
      </c>
      <c r="Z305" s="48" t="s">
        <v>2053</v>
      </c>
      <c r="AA305" s="48" t="s">
        <v>2054</v>
      </c>
      <c r="AB305" s="48" t="s">
        <v>2817</v>
      </c>
      <c r="AC305" s="48" t="s">
        <v>2055</v>
      </c>
      <c r="AD305" s="48" t="s">
        <v>2056</v>
      </c>
      <c r="AE305" s="48" t="s">
        <v>1710</v>
      </c>
      <c r="AF305" s="48" t="s">
        <v>1710</v>
      </c>
      <c r="AG305" s="48" t="s">
        <v>2057</v>
      </c>
      <c r="AH305" s="48" t="s">
        <v>1815</v>
      </c>
      <c r="AI305" s="48" t="s">
        <v>2058</v>
      </c>
      <c r="AJ305" s="48" t="s">
        <v>1710</v>
      </c>
      <c r="AK305" s="48" t="s">
        <v>2606</v>
      </c>
      <c r="AL305" s="48" t="s">
        <v>1858</v>
      </c>
      <c r="AM305" s="48" t="s">
        <v>1816</v>
      </c>
      <c r="AN305" s="48" t="s">
        <v>2054</v>
      </c>
      <c r="AO305" s="48" t="s">
        <v>1710</v>
      </c>
      <c r="AP305" s="48" t="s">
        <v>1848</v>
      </c>
      <c r="AQ305" s="48" t="s">
        <v>2060</v>
      </c>
      <c r="AR305" s="48" t="s">
        <v>1812</v>
      </c>
      <c r="AS305" s="48" t="s">
        <v>1813</v>
      </c>
      <c r="AT305" s="48" t="s">
        <v>1826</v>
      </c>
      <c r="AU305" s="48" t="s">
        <v>2061</v>
      </c>
      <c r="AV305" s="48" t="s">
        <v>2816</v>
      </c>
      <c r="AW305" s="48" t="s">
        <v>2062</v>
      </c>
      <c r="AX305" s="48" t="s">
        <v>2063</v>
      </c>
      <c r="AY305" s="48" t="s">
        <v>1710</v>
      </c>
      <c r="AZ305" s="48" t="s">
        <v>5212</v>
      </c>
      <c r="BA305" s="48" t="s">
        <v>1710</v>
      </c>
      <c r="BB305" s="48" t="s">
        <v>1709</v>
      </c>
      <c r="BC305" s="48" t="s">
        <v>1710</v>
      </c>
      <c r="BD305" s="48" t="s">
        <v>2097</v>
      </c>
      <c r="BE305" s="52" t="s">
        <v>5122</v>
      </c>
      <c r="BF305" s="48" t="s">
        <v>1710</v>
      </c>
      <c r="BG305" s="48" t="s">
        <v>1814</v>
      </c>
      <c r="BH305">
        <v>1</v>
      </c>
      <c r="BI305" s="48" t="s">
        <v>1888</v>
      </c>
      <c r="BJ305">
        <v>1</v>
      </c>
      <c r="BK305">
        <v>1473.06</v>
      </c>
      <c r="BL305">
        <v>1770586</v>
      </c>
      <c r="BM305">
        <v>1202</v>
      </c>
      <c r="BN305" s="48" t="s">
        <v>2064</v>
      </c>
      <c r="BO305" s="48" t="s">
        <v>2065</v>
      </c>
      <c r="BP305">
        <v>1473.06</v>
      </c>
      <c r="BQ305">
        <v>1224.72</v>
      </c>
      <c r="BR305" s="48" t="s">
        <v>1885</v>
      </c>
      <c r="BS305" s="48" t="s">
        <v>2066</v>
      </c>
      <c r="BT305">
        <v>1</v>
      </c>
      <c r="BU305">
        <v>33500</v>
      </c>
      <c r="BV305">
        <v>33500</v>
      </c>
      <c r="BW305" s="48" t="s">
        <v>2065</v>
      </c>
      <c r="BX305">
        <v>1473.06</v>
      </c>
      <c r="BY305">
        <v>0</v>
      </c>
      <c r="BZ305">
        <v>0</v>
      </c>
      <c r="CA305" s="48" t="s">
        <v>2065</v>
      </c>
      <c r="CB305">
        <v>1473.06</v>
      </c>
      <c r="CC305">
        <v>0</v>
      </c>
      <c r="CD305">
        <v>0</v>
      </c>
      <c r="CE305" s="48" t="s">
        <v>1710</v>
      </c>
      <c r="CF305" s="48" t="s">
        <v>1710</v>
      </c>
      <c r="CG305" s="48" t="s">
        <v>1710</v>
      </c>
      <c r="CH305" s="48" t="s">
        <v>1710</v>
      </c>
      <c r="CI305" s="48" t="s">
        <v>2067</v>
      </c>
      <c r="CJ305" s="48" t="s">
        <v>1710</v>
      </c>
      <c r="CL305" s="48" t="s">
        <v>2816</v>
      </c>
      <c r="CM305" s="48" t="s">
        <v>1710</v>
      </c>
      <c r="CN305" s="48" t="s">
        <v>2068</v>
      </c>
      <c r="CO305" s="48" t="s">
        <v>2069</v>
      </c>
      <c r="CP305" s="48" t="s">
        <v>1710</v>
      </c>
      <c r="CQ305" s="48" t="s">
        <v>1710</v>
      </c>
      <c r="CR305" s="48" t="s">
        <v>1710</v>
      </c>
      <c r="CS305" s="48" t="s">
        <v>1710</v>
      </c>
      <c r="CT305" s="48" t="s">
        <v>1710</v>
      </c>
      <c r="CU305" s="48" t="s">
        <v>1712</v>
      </c>
      <c r="CV305" s="48" t="s">
        <v>1710</v>
      </c>
      <c r="CW305" s="48" t="s">
        <v>1710</v>
      </c>
      <c r="CX305" s="48" t="s">
        <v>2823</v>
      </c>
      <c r="CY305" s="48" t="s">
        <v>1710</v>
      </c>
      <c r="CZ305" s="48" t="s">
        <v>1712</v>
      </c>
      <c r="DA305" s="48" t="s">
        <v>1710</v>
      </c>
      <c r="DB305" s="48" t="s">
        <v>1878</v>
      </c>
      <c r="DC305" s="48" t="s">
        <v>2070</v>
      </c>
      <c r="DD305" s="48" t="s">
        <v>1842</v>
      </c>
      <c r="DE305" s="48" t="s">
        <v>1886</v>
      </c>
      <c r="DF305" s="48" t="s">
        <v>5213</v>
      </c>
      <c r="DG305" s="48" t="s">
        <v>2071</v>
      </c>
      <c r="DH305" s="48" t="s">
        <v>1712</v>
      </c>
      <c r="DI305" s="48" t="s">
        <v>1710</v>
      </c>
      <c r="DJ305" s="48" t="s">
        <v>1710</v>
      </c>
      <c r="DK305" s="48" t="s">
        <v>1710</v>
      </c>
      <c r="DL305" s="48" t="s">
        <v>1710</v>
      </c>
      <c r="DM305" s="48" t="s">
        <v>1710</v>
      </c>
      <c r="DN305" s="48" t="s">
        <v>1710</v>
      </c>
      <c r="DO305" s="48" t="s">
        <v>1710</v>
      </c>
      <c r="DP305" s="48" t="s">
        <v>1710</v>
      </c>
      <c r="DQ305" s="48" t="s">
        <v>1710</v>
      </c>
      <c r="DR305" s="48" t="s">
        <v>2072</v>
      </c>
      <c r="DS305" s="48" t="s">
        <v>1710</v>
      </c>
      <c r="DT305" s="48" t="s">
        <v>1710</v>
      </c>
      <c r="DU305" s="48" t="s">
        <v>2575</v>
      </c>
      <c r="DV305" s="48" t="s">
        <v>3111</v>
      </c>
      <c r="DW305" s="48" t="s">
        <v>1710</v>
      </c>
      <c r="DX305" s="48" t="s">
        <v>5214</v>
      </c>
      <c r="DY305" s="48" t="s">
        <v>1709</v>
      </c>
      <c r="DZ305" s="48" t="s">
        <v>2562</v>
      </c>
      <c r="EA305" s="48" t="s">
        <v>2546</v>
      </c>
      <c r="EB305">
        <v>0</v>
      </c>
      <c r="EC305" s="48" t="s">
        <v>2575</v>
      </c>
      <c r="ED305" s="48" t="s">
        <v>5215</v>
      </c>
      <c r="EE305" s="48" t="s">
        <v>1814</v>
      </c>
      <c r="EF305" s="48" t="s">
        <v>1859</v>
      </c>
      <c r="EG305" s="48" t="s">
        <v>5212</v>
      </c>
      <c r="EH305">
        <v>0.14399999999999999</v>
      </c>
      <c r="EI305" s="48" t="s">
        <v>1888</v>
      </c>
      <c r="EJ305">
        <v>0</v>
      </c>
      <c r="EK305" s="48" t="s">
        <v>1710</v>
      </c>
      <c r="EL305">
        <v>1</v>
      </c>
      <c r="EM305" s="48" t="s">
        <v>1886</v>
      </c>
      <c r="EN305">
        <v>0.14399999999999999</v>
      </c>
      <c r="EO305" s="48" t="s">
        <v>2602</v>
      </c>
      <c r="EP305" s="48" t="s">
        <v>2584</v>
      </c>
      <c r="EQ305">
        <v>1224.72</v>
      </c>
      <c r="ER305">
        <v>1224.72</v>
      </c>
      <c r="ES305">
        <v>1770586</v>
      </c>
      <c r="ET305">
        <v>1202</v>
      </c>
      <c r="EU305" s="48" t="s">
        <v>1710</v>
      </c>
      <c r="EV305" s="48" t="s">
        <v>1710</v>
      </c>
      <c r="EW305" s="48" t="s">
        <v>1712</v>
      </c>
      <c r="EX305" s="48" t="s">
        <v>1710</v>
      </c>
      <c r="EY305" s="48" t="s">
        <v>1848</v>
      </c>
      <c r="EZ305" s="48" t="s">
        <v>1710</v>
      </c>
      <c r="FA305" s="48" t="s">
        <v>1710</v>
      </c>
      <c r="FB305" s="48" t="s">
        <v>1712</v>
      </c>
      <c r="FC305" s="48" t="s">
        <v>1710</v>
      </c>
      <c r="FD305" s="48" t="s">
        <v>1710</v>
      </c>
      <c r="FE305" s="48" t="s">
        <v>1814</v>
      </c>
      <c r="FF305" s="48" t="s">
        <v>1815</v>
      </c>
      <c r="FG305" s="48" t="s">
        <v>1710</v>
      </c>
      <c r="FH305">
        <v>18</v>
      </c>
      <c r="FI305" s="48" t="s">
        <v>1846</v>
      </c>
      <c r="FJ305">
        <v>1224.72</v>
      </c>
      <c r="FK305">
        <v>68.040000000000006</v>
      </c>
      <c r="FL305" s="48" t="s">
        <v>5216</v>
      </c>
      <c r="FM305" s="48" t="s">
        <v>2584</v>
      </c>
      <c r="FN305" s="48" t="s">
        <v>1710</v>
      </c>
      <c r="FO305" s="48" t="s">
        <v>1710</v>
      </c>
      <c r="FP305" s="48" t="s">
        <v>1710</v>
      </c>
      <c r="FQ305" s="48" t="s">
        <v>1710</v>
      </c>
      <c r="FR305" s="48" t="s">
        <v>1710</v>
      </c>
      <c r="FS305" s="48" t="s">
        <v>1710</v>
      </c>
      <c r="FT305" s="48" t="s">
        <v>1710</v>
      </c>
      <c r="FU305" s="48" t="s">
        <v>1710</v>
      </c>
      <c r="FV305" s="48"/>
      <c r="GA305" s="55"/>
      <c r="GE305" s="61"/>
      <c r="GF305" s="62"/>
      <c r="GI305" s="48"/>
    </row>
    <row r="306" spans="1:191">
      <c r="A306" s="48" t="s">
        <v>5217</v>
      </c>
      <c r="B306" s="48" t="s">
        <v>1821</v>
      </c>
      <c r="C306" s="48" t="s">
        <v>2048</v>
      </c>
      <c r="D306" s="48" t="s">
        <v>2813</v>
      </c>
      <c r="E306" s="48" t="s">
        <v>5217</v>
      </c>
      <c r="F306" s="48" t="s">
        <v>1710</v>
      </c>
      <c r="G306" s="48" t="s">
        <v>2814</v>
      </c>
      <c r="H306" s="48" t="s">
        <v>5218</v>
      </c>
      <c r="I306" s="48" t="s">
        <v>1884</v>
      </c>
      <c r="J306" s="48" t="s">
        <v>2816</v>
      </c>
      <c r="K306" s="48" t="s">
        <v>1877</v>
      </c>
      <c r="L306" s="48" t="s">
        <v>1842</v>
      </c>
      <c r="M306" s="48" t="s">
        <v>1810</v>
      </c>
      <c r="N306" s="48" t="s">
        <v>1842</v>
      </c>
      <c r="O306" s="48" t="s">
        <v>1811</v>
      </c>
      <c r="P306" s="48" t="s">
        <v>2549</v>
      </c>
      <c r="Q306" s="48" t="s">
        <v>2049</v>
      </c>
      <c r="R306" s="48" t="s">
        <v>1838</v>
      </c>
      <c r="S306" s="48" t="s">
        <v>2050</v>
      </c>
      <c r="T306" s="48" t="s">
        <v>1845</v>
      </c>
      <c r="U306" s="48" t="s">
        <v>2049</v>
      </c>
      <c r="V306" s="48" t="s">
        <v>1838</v>
      </c>
      <c r="W306" s="48" t="s">
        <v>2051</v>
      </c>
      <c r="X306" s="48" t="s">
        <v>2052</v>
      </c>
      <c r="Y306" s="48" t="s">
        <v>2050</v>
      </c>
      <c r="Z306" s="48" t="s">
        <v>2053</v>
      </c>
      <c r="AA306" s="48" t="s">
        <v>2054</v>
      </c>
      <c r="AB306" s="48" t="s">
        <v>2817</v>
      </c>
      <c r="AC306" s="48" t="s">
        <v>2055</v>
      </c>
      <c r="AD306" s="48" t="s">
        <v>2056</v>
      </c>
      <c r="AE306" s="48" t="s">
        <v>1710</v>
      </c>
      <c r="AF306" s="48" t="s">
        <v>1710</v>
      </c>
      <c r="AG306" s="48" t="s">
        <v>2057</v>
      </c>
      <c r="AH306" s="48" t="s">
        <v>1815</v>
      </c>
      <c r="AI306" s="48" t="s">
        <v>2058</v>
      </c>
      <c r="AJ306" s="48" t="s">
        <v>1710</v>
      </c>
      <c r="AK306" s="48" t="s">
        <v>2059</v>
      </c>
      <c r="AL306" s="48" t="s">
        <v>1858</v>
      </c>
      <c r="AM306" s="48" t="s">
        <v>1816</v>
      </c>
      <c r="AN306" s="48" t="s">
        <v>2054</v>
      </c>
      <c r="AO306" s="48" t="s">
        <v>1710</v>
      </c>
      <c r="AP306" s="48" t="s">
        <v>1848</v>
      </c>
      <c r="AQ306" s="48" t="s">
        <v>2060</v>
      </c>
      <c r="AR306" s="48" t="s">
        <v>1812</v>
      </c>
      <c r="AS306" s="48" t="s">
        <v>1813</v>
      </c>
      <c r="AT306" s="48" t="s">
        <v>1826</v>
      </c>
      <c r="AU306" s="48" t="s">
        <v>2061</v>
      </c>
      <c r="AV306" s="48" t="s">
        <v>2816</v>
      </c>
      <c r="AW306" s="48" t="s">
        <v>2062</v>
      </c>
      <c r="AX306" s="48" t="s">
        <v>2063</v>
      </c>
      <c r="AY306" s="48" t="s">
        <v>1710</v>
      </c>
      <c r="AZ306" s="48" t="s">
        <v>5219</v>
      </c>
      <c r="BA306" s="48" t="s">
        <v>1710</v>
      </c>
      <c r="BB306" s="48" t="s">
        <v>1709</v>
      </c>
      <c r="BC306" s="48" t="s">
        <v>1710</v>
      </c>
      <c r="BD306" s="48" t="s">
        <v>2097</v>
      </c>
      <c r="BE306" s="52" t="s">
        <v>5122</v>
      </c>
      <c r="BF306" s="48" t="s">
        <v>1710</v>
      </c>
      <c r="BG306" s="48" t="s">
        <v>1814</v>
      </c>
      <c r="BH306">
        <v>16</v>
      </c>
      <c r="BI306" s="48" t="s">
        <v>1888</v>
      </c>
      <c r="BJ306">
        <v>1</v>
      </c>
      <c r="BK306">
        <v>1473.06</v>
      </c>
      <c r="BL306">
        <v>7043128</v>
      </c>
      <c r="BM306">
        <v>4781</v>
      </c>
      <c r="BN306" s="48" t="s">
        <v>2064</v>
      </c>
      <c r="BO306" s="48" t="s">
        <v>2065</v>
      </c>
      <c r="BP306">
        <v>1473.06</v>
      </c>
      <c r="BQ306">
        <v>4942.5200000000004</v>
      </c>
      <c r="BR306" s="48" t="s">
        <v>1885</v>
      </c>
      <c r="BS306" s="48" t="s">
        <v>2066</v>
      </c>
      <c r="BT306">
        <v>1</v>
      </c>
      <c r="BU306">
        <v>237500</v>
      </c>
      <c r="BV306">
        <v>237500</v>
      </c>
      <c r="BW306" s="48" t="s">
        <v>2065</v>
      </c>
      <c r="BX306">
        <v>1473.06</v>
      </c>
      <c r="BY306">
        <v>0</v>
      </c>
      <c r="BZ306">
        <v>0</v>
      </c>
      <c r="CA306" s="48" t="s">
        <v>2065</v>
      </c>
      <c r="CB306">
        <v>1473.06</v>
      </c>
      <c r="CC306">
        <v>0</v>
      </c>
      <c r="CD306">
        <v>0</v>
      </c>
      <c r="CE306" s="48" t="s">
        <v>1710</v>
      </c>
      <c r="CF306" s="48" t="s">
        <v>1710</v>
      </c>
      <c r="CG306" s="48" t="s">
        <v>1710</v>
      </c>
      <c r="CH306" s="48" t="s">
        <v>1710</v>
      </c>
      <c r="CI306" s="48" t="s">
        <v>2067</v>
      </c>
      <c r="CJ306" s="48" t="s">
        <v>1710</v>
      </c>
      <c r="CL306" s="48" t="s">
        <v>2816</v>
      </c>
      <c r="CM306" s="48" t="s">
        <v>1710</v>
      </c>
      <c r="CN306" s="48" t="s">
        <v>2068</v>
      </c>
      <c r="CO306" s="48" t="s">
        <v>2069</v>
      </c>
      <c r="CP306" s="48" t="s">
        <v>1710</v>
      </c>
      <c r="CQ306" s="48" t="s">
        <v>1710</v>
      </c>
      <c r="CR306" s="48" t="s">
        <v>1710</v>
      </c>
      <c r="CS306" s="48" t="s">
        <v>1710</v>
      </c>
      <c r="CT306" s="48" t="s">
        <v>1710</v>
      </c>
      <c r="CU306" s="48" t="s">
        <v>1712</v>
      </c>
      <c r="CV306" s="48" t="s">
        <v>1710</v>
      </c>
      <c r="CW306" s="48" t="s">
        <v>1710</v>
      </c>
      <c r="CX306" s="48" t="s">
        <v>2823</v>
      </c>
      <c r="CY306" s="48" t="s">
        <v>1710</v>
      </c>
      <c r="CZ306" s="48" t="s">
        <v>1712</v>
      </c>
      <c r="DA306" s="48" t="s">
        <v>1710</v>
      </c>
      <c r="DB306" s="48" t="s">
        <v>1878</v>
      </c>
      <c r="DC306" s="48" t="s">
        <v>2070</v>
      </c>
      <c r="DD306" s="48" t="s">
        <v>1842</v>
      </c>
      <c r="DE306" s="48" t="s">
        <v>1886</v>
      </c>
      <c r="DF306" s="48" t="s">
        <v>5220</v>
      </c>
      <c r="DG306" s="48" t="s">
        <v>2071</v>
      </c>
      <c r="DH306" s="48" t="s">
        <v>1712</v>
      </c>
      <c r="DI306" s="48" t="s">
        <v>1710</v>
      </c>
      <c r="DJ306" s="48" t="s">
        <v>1710</v>
      </c>
      <c r="DK306" s="48" t="s">
        <v>1710</v>
      </c>
      <c r="DL306" s="48" t="s">
        <v>1710</v>
      </c>
      <c r="DM306" s="48" t="s">
        <v>1710</v>
      </c>
      <c r="DN306" s="48" t="s">
        <v>1710</v>
      </c>
      <c r="DO306" s="48" t="s">
        <v>1710</v>
      </c>
      <c r="DP306" s="48" t="s">
        <v>1710</v>
      </c>
      <c r="DQ306" s="48" t="s">
        <v>1710</v>
      </c>
      <c r="DR306" s="48" t="s">
        <v>2072</v>
      </c>
      <c r="DS306" s="48" t="s">
        <v>1710</v>
      </c>
      <c r="DT306" s="48" t="s">
        <v>1710</v>
      </c>
      <c r="DU306" s="48" t="s">
        <v>2575</v>
      </c>
      <c r="DV306" s="48" t="s">
        <v>3111</v>
      </c>
      <c r="DW306" s="48" t="s">
        <v>1710</v>
      </c>
      <c r="DX306" s="48" t="s">
        <v>5221</v>
      </c>
      <c r="DY306" s="48" t="s">
        <v>1709</v>
      </c>
      <c r="DZ306" s="48" t="s">
        <v>2562</v>
      </c>
      <c r="EA306" s="48" t="s">
        <v>2546</v>
      </c>
      <c r="EB306">
        <v>0</v>
      </c>
      <c r="EC306" s="48" t="s">
        <v>2575</v>
      </c>
      <c r="ED306" s="48" t="s">
        <v>5215</v>
      </c>
      <c r="EE306" s="48" t="s">
        <v>1814</v>
      </c>
      <c r="EF306" s="48" t="s">
        <v>2555</v>
      </c>
      <c r="EG306" s="48" t="s">
        <v>5219</v>
      </c>
      <c r="EH306">
        <v>14</v>
      </c>
      <c r="EI306" s="48" t="s">
        <v>1888</v>
      </c>
      <c r="EJ306">
        <v>1</v>
      </c>
      <c r="EK306" s="48" t="s">
        <v>1887</v>
      </c>
      <c r="EL306">
        <v>1</v>
      </c>
      <c r="EM306" s="48" t="s">
        <v>1886</v>
      </c>
      <c r="EN306">
        <v>14</v>
      </c>
      <c r="EO306" s="48" t="s">
        <v>2556</v>
      </c>
      <c r="EP306" s="48" t="s">
        <v>5222</v>
      </c>
      <c r="EQ306">
        <v>4942.5200000000004</v>
      </c>
      <c r="ER306">
        <v>4942.5200000000004</v>
      </c>
      <c r="ES306">
        <v>7043128</v>
      </c>
      <c r="ET306">
        <v>4781</v>
      </c>
      <c r="EU306" s="48" t="s">
        <v>1710</v>
      </c>
      <c r="EV306" s="48" t="s">
        <v>1710</v>
      </c>
      <c r="EW306" s="48" t="s">
        <v>1712</v>
      </c>
      <c r="EX306" s="48" t="s">
        <v>1710</v>
      </c>
      <c r="EY306" s="48" t="s">
        <v>1848</v>
      </c>
      <c r="EZ306" s="48" t="s">
        <v>1710</v>
      </c>
      <c r="FA306" s="48" t="s">
        <v>1710</v>
      </c>
      <c r="FB306" s="48" t="s">
        <v>1712</v>
      </c>
      <c r="FC306" s="48" t="s">
        <v>1710</v>
      </c>
      <c r="FD306" s="48" t="s">
        <v>1710</v>
      </c>
      <c r="FE306" s="48" t="s">
        <v>1814</v>
      </c>
      <c r="FF306" s="48" t="s">
        <v>1815</v>
      </c>
      <c r="FG306" s="48" t="s">
        <v>1710</v>
      </c>
      <c r="FH306">
        <v>1</v>
      </c>
      <c r="FI306" s="48" t="s">
        <v>1846</v>
      </c>
      <c r="FJ306">
        <v>4942.5200000000004</v>
      </c>
      <c r="FK306">
        <v>4942.5200000000004</v>
      </c>
      <c r="FL306" s="48" t="s">
        <v>5223</v>
      </c>
      <c r="FM306" s="48" t="s">
        <v>5222</v>
      </c>
      <c r="FN306" s="48" t="s">
        <v>1710</v>
      </c>
      <c r="FO306" s="48" t="s">
        <v>1710</v>
      </c>
      <c r="FP306" s="48" t="s">
        <v>1710</v>
      </c>
      <c r="FQ306" s="48" t="s">
        <v>1710</v>
      </c>
      <c r="FR306" s="48" t="s">
        <v>1710</v>
      </c>
      <c r="FS306" s="48" t="s">
        <v>1710</v>
      </c>
      <c r="FT306" s="48" t="s">
        <v>1710</v>
      </c>
      <c r="FU306" s="48" t="s">
        <v>1710</v>
      </c>
      <c r="FV306" s="48"/>
      <c r="GA306" s="55"/>
      <c r="GE306" s="61"/>
      <c r="GF306" s="62"/>
      <c r="GI306" s="48"/>
    </row>
    <row r="307" spans="1:191">
      <c r="A307" s="48" t="s">
        <v>5224</v>
      </c>
      <c r="B307" s="48" t="s">
        <v>1821</v>
      </c>
      <c r="C307" s="48" t="s">
        <v>2048</v>
      </c>
      <c r="D307" s="48" t="s">
        <v>2813</v>
      </c>
      <c r="E307" s="48" t="s">
        <v>5224</v>
      </c>
      <c r="F307" s="48" t="s">
        <v>1710</v>
      </c>
      <c r="G307" s="48" t="s">
        <v>2814</v>
      </c>
      <c r="H307" s="48" t="s">
        <v>5225</v>
      </c>
      <c r="I307" s="48" t="s">
        <v>1884</v>
      </c>
      <c r="J307" s="48" t="s">
        <v>2816</v>
      </c>
      <c r="K307" s="48" t="s">
        <v>1877</v>
      </c>
      <c r="L307" s="48" t="s">
        <v>1842</v>
      </c>
      <c r="M307" s="48" t="s">
        <v>1810</v>
      </c>
      <c r="N307" s="48" t="s">
        <v>1842</v>
      </c>
      <c r="O307" s="48" t="s">
        <v>1811</v>
      </c>
      <c r="P307" s="48" t="s">
        <v>2549</v>
      </c>
      <c r="Q307" s="48" t="s">
        <v>2049</v>
      </c>
      <c r="R307" s="48" t="s">
        <v>1838</v>
      </c>
      <c r="S307" s="48" t="s">
        <v>2050</v>
      </c>
      <c r="T307" s="48" t="s">
        <v>1845</v>
      </c>
      <c r="U307" s="48" t="s">
        <v>2049</v>
      </c>
      <c r="V307" s="48" t="s">
        <v>1838</v>
      </c>
      <c r="W307" s="48" t="s">
        <v>2051</v>
      </c>
      <c r="X307" s="48" t="s">
        <v>2052</v>
      </c>
      <c r="Y307" s="48" t="s">
        <v>2050</v>
      </c>
      <c r="Z307" s="48" t="s">
        <v>2053</v>
      </c>
      <c r="AA307" s="48" t="s">
        <v>2054</v>
      </c>
      <c r="AB307" s="48" t="s">
        <v>2817</v>
      </c>
      <c r="AC307" s="48" t="s">
        <v>2055</v>
      </c>
      <c r="AD307" s="48" t="s">
        <v>2056</v>
      </c>
      <c r="AE307" s="48" t="s">
        <v>1710</v>
      </c>
      <c r="AF307" s="48" t="s">
        <v>1710</v>
      </c>
      <c r="AG307" s="48" t="s">
        <v>2057</v>
      </c>
      <c r="AH307" s="48" t="s">
        <v>1815</v>
      </c>
      <c r="AI307" s="48" t="s">
        <v>2058</v>
      </c>
      <c r="AJ307" s="48" t="s">
        <v>1710</v>
      </c>
      <c r="AK307" s="48" t="s">
        <v>2059</v>
      </c>
      <c r="AL307" s="48" t="s">
        <v>1858</v>
      </c>
      <c r="AM307" s="48" t="s">
        <v>1816</v>
      </c>
      <c r="AN307" s="48" t="s">
        <v>2054</v>
      </c>
      <c r="AO307" s="48" t="s">
        <v>1710</v>
      </c>
      <c r="AP307" s="48" t="s">
        <v>1848</v>
      </c>
      <c r="AQ307" s="48" t="s">
        <v>2060</v>
      </c>
      <c r="AR307" s="48" t="s">
        <v>1812</v>
      </c>
      <c r="AS307" s="48" t="s">
        <v>1813</v>
      </c>
      <c r="AT307" s="48" t="s">
        <v>1826</v>
      </c>
      <c r="AU307" s="48" t="s">
        <v>2061</v>
      </c>
      <c r="AV307" s="48" t="s">
        <v>2816</v>
      </c>
      <c r="AW307" s="48" t="s">
        <v>2062</v>
      </c>
      <c r="AX307" s="48" t="s">
        <v>2063</v>
      </c>
      <c r="AY307" s="48" t="s">
        <v>1710</v>
      </c>
      <c r="AZ307" s="48" t="s">
        <v>5226</v>
      </c>
      <c r="BA307" s="48" t="s">
        <v>1710</v>
      </c>
      <c r="BB307" s="48" t="s">
        <v>1709</v>
      </c>
      <c r="BC307" s="48" t="s">
        <v>1710</v>
      </c>
      <c r="BD307" s="48" t="s">
        <v>2097</v>
      </c>
      <c r="BE307" s="52" t="s">
        <v>5122</v>
      </c>
      <c r="BF307" s="48" t="s">
        <v>1710</v>
      </c>
      <c r="BG307" s="48" t="s">
        <v>1814</v>
      </c>
      <c r="BH307">
        <v>1</v>
      </c>
      <c r="BI307" s="48" t="s">
        <v>1888</v>
      </c>
      <c r="BJ307">
        <v>1</v>
      </c>
      <c r="BK307">
        <v>1473.06</v>
      </c>
      <c r="BL307">
        <v>970994</v>
      </c>
      <c r="BM307">
        <v>659</v>
      </c>
      <c r="BN307" s="48" t="s">
        <v>2064</v>
      </c>
      <c r="BO307" s="48" t="s">
        <v>2065</v>
      </c>
      <c r="BP307">
        <v>1473.06</v>
      </c>
      <c r="BQ307">
        <v>681.91</v>
      </c>
      <c r="BR307" s="48" t="s">
        <v>1885</v>
      </c>
      <c r="BS307" s="48" t="s">
        <v>2066</v>
      </c>
      <c r="BT307">
        <v>1</v>
      </c>
      <c r="BU307">
        <v>33500</v>
      </c>
      <c r="BV307">
        <v>33500</v>
      </c>
      <c r="BW307" s="48" t="s">
        <v>2065</v>
      </c>
      <c r="BX307">
        <v>1473.06</v>
      </c>
      <c r="BY307">
        <v>0</v>
      </c>
      <c r="BZ307">
        <v>0</v>
      </c>
      <c r="CA307" s="48" t="s">
        <v>2065</v>
      </c>
      <c r="CB307">
        <v>1473.06</v>
      </c>
      <c r="CC307">
        <v>0</v>
      </c>
      <c r="CD307">
        <v>0</v>
      </c>
      <c r="CE307" s="48" t="s">
        <v>1710</v>
      </c>
      <c r="CF307" s="48" t="s">
        <v>1710</v>
      </c>
      <c r="CG307" s="48" t="s">
        <v>1710</v>
      </c>
      <c r="CH307" s="48" t="s">
        <v>1710</v>
      </c>
      <c r="CI307" s="48" t="s">
        <v>2067</v>
      </c>
      <c r="CJ307" s="48" t="s">
        <v>1710</v>
      </c>
      <c r="CL307" s="48" t="s">
        <v>2816</v>
      </c>
      <c r="CM307" s="48" t="s">
        <v>1710</v>
      </c>
      <c r="CN307" s="48" t="s">
        <v>2068</v>
      </c>
      <c r="CO307" s="48" t="s">
        <v>2069</v>
      </c>
      <c r="CP307" s="48" t="s">
        <v>1710</v>
      </c>
      <c r="CQ307" s="48" t="s">
        <v>1710</v>
      </c>
      <c r="CR307" s="48" t="s">
        <v>1710</v>
      </c>
      <c r="CS307" s="48" t="s">
        <v>1710</v>
      </c>
      <c r="CT307" s="48" t="s">
        <v>1710</v>
      </c>
      <c r="CU307" s="48" t="s">
        <v>1712</v>
      </c>
      <c r="CV307" s="48" t="s">
        <v>1710</v>
      </c>
      <c r="CW307" s="48" t="s">
        <v>1710</v>
      </c>
      <c r="CX307" s="48" t="s">
        <v>2823</v>
      </c>
      <c r="CY307" s="48" t="s">
        <v>1710</v>
      </c>
      <c r="CZ307" s="48" t="s">
        <v>1712</v>
      </c>
      <c r="DA307" s="48" t="s">
        <v>1710</v>
      </c>
      <c r="DB307" s="48" t="s">
        <v>1878</v>
      </c>
      <c r="DC307" s="48" t="s">
        <v>2070</v>
      </c>
      <c r="DD307" s="48" t="s">
        <v>1842</v>
      </c>
      <c r="DE307" s="48" t="s">
        <v>1886</v>
      </c>
      <c r="DF307" s="48" t="s">
        <v>5227</v>
      </c>
      <c r="DG307" s="48" t="s">
        <v>2071</v>
      </c>
      <c r="DH307" s="48" t="s">
        <v>1712</v>
      </c>
      <c r="DI307" s="48" t="s">
        <v>1710</v>
      </c>
      <c r="DJ307" s="48" t="s">
        <v>1710</v>
      </c>
      <c r="DK307" s="48" t="s">
        <v>1710</v>
      </c>
      <c r="DL307" s="48" t="s">
        <v>1710</v>
      </c>
      <c r="DM307" s="48" t="s">
        <v>1710</v>
      </c>
      <c r="DN307" s="48" t="s">
        <v>1710</v>
      </c>
      <c r="DO307" s="48" t="s">
        <v>1710</v>
      </c>
      <c r="DP307" s="48" t="s">
        <v>1710</v>
      </c>
      <c r="DQ307" s="48" t="s">
        <v>1710</v>
      </c>
      <c r="DR307" s="48" t="s">
        <v>2072</v>
      </c>
      <c r="DS307" s="48" t="s">
        <v>1710</v>
      </c>
      <c r="DT307" s="48" t="s">
        <v>1710</v>
      </c>
      <c r="DU307" s="48" t="s">
        <v>2575</v>
      </c>
      <c r="DV307" s="48" t="s">
        <v>3111</v>
      </c>
      <c r="DW307" s="48" t="s">
        <v>1710</v>
      </c>
      <c r="DX307" s="48" t="s">
        <v>5228</v>
      </c>
      <c r="DY307" s="48" t="s">
        <v>1709</v>
      </c>
      <c r="DZ307" s="48" t="s">
        <v>2562</v>
      </c>
      <c r="EA307" s="48" t="s">
        <v>2546</v>
      </c>
      <c r="EB307">
        <v>0</v>
      </c>
      <c r="EC307" s="48" t="s">
        <v>2575</v>
      </c>
      <c r="ED307" s="48" t="s">
        <v>5215</v>
      </c>
      <c r="EE307" s="48" t="s">
        <v>1814</v>
      </c>
      <c r="EF307" s="48" t="s">
        <v>1862</v>
      </c>
      <c r="EG307" s="48" t="s">
        <v>5226</v>
      </c>
      <c r="EH307">
        <v>0.1</v>
      </c>
      <c r="EI307" s="48" t="s">
        <v>1888</v>
      </c>
      <c r="EJ307">
        <v>0</v>
      </c>
      <c r="EK307" s="48" t="s">
        <v>1710</v>
      </c>
      <c r="EL307">
        <v>1</v>
      </c>
      <c r="EM307" s="48" t="s">
        <v>1886</v>
      </c>
      <c r="EN307">
        <v>0.1</v>
      </c>
      <c r="EO307" s="48" t="s">
        <v>2522</v>
      </c>
      <c r="EP307" s="48" t="s">
        <v>5229</v>
      </c>
      <c r="EQ307">
        <v>681.91</v>
      </c>
      <c r="ER307">
        <v>681.91</v>
      </c>
      <c r="ES307">
        <v>970994</v>
      </c>
      <c r="ET307">
        <v>659</v>
      </c>
      <c r="EU307" s="48" t="s">
        <v>1710</v>
      </c>
      <c r="EV307" s="48" t="s">
        <v>1710</v>
      </c>
      <c r="EW307" s="48" t="s">
        <v>1712</v>
      </c>
      <c r="EX307" s="48" t="s">
        <v>1710</v>
      </c>
      <c r="EY307" s="48" t="s">
        <v>1848</v>
      </c>
      <c r="EZ307" s="48" t="s">
        <v>1710</v>
      </c>
      <c r="FA307" s="48" t="s">
        <v>1710</v>
      </c>
      <c r="FB307" s="48" t="s">
        <v>1712</v>
      </c>
      <c r="FC307" s="48" t="s">
        <v>1710</v>
      </c>
      <c r="FD307" s="48" t="s">
        <v>1710</v>
      </c>
      <c r="FE307" s="48" t="s">
        <v>1814</v>
      </c>
      <c r="FF307" s="48" t="s">
        <v>1815</v>
      </c>
      <c r="FG307" s="48" t="s">
        <v>1710</v>
      </c>
      <c r="FH307">
        <v>1</v>
      </c>
      <c r="FI307" s="48" t="s">
        <v>1846</v>
      </c>
      <c r="FJ307">
        <v>681.91</v>
      </c>
      <c r="FK307">
        <v>681.91</v>
      </c>
      <c r="FL307" s="48" t="s">
        <v>5230</v>
      </c>
      <c r="FM307" s="48" t="s">
        <v>5231</v>
      </c>
      <c r="FN307" s="48" t="s">
        <v>1710</v>
      </c>
      <c r="FO307" s="48" t="s">
        <v>1710</v>
      </c>
      <c r="FP307" s="48" t="s">
        <v>1710</v>
      </c>
      <c r="FQ307" s="48" t="s">
        <v>1710</v>
      </c>
      <c r="FR307" s="48" t="s">
        <v>1710</v>
      </c>
      <c r="FS307" s="48" t="s">
        <v>1710</v>
      </c>
      <c r="FT307" s="48" t="s">
        <v>1710</v>
      </c>
      <c r="FU307" s="48" t="s">
        <v>1710</v>
      </c>
      <c r="FV307" s="48"/>
      <c r="GA307" s="55"/>
      <c r="GE307" s="61"/>
      <c r="GF307" s="62"/>
      <c r="GI307" s="48"/>
    </row>
    <row r="308" spans="1:191">
      <c r="A308" s="48" t="s">
        <v>5232</v>
      </c>
      <c r="B308" s="48" t="s">
        <v>1821</v>
      </c>
      <c r="C308" s="48" t="s">
        <v>2048</v>
      </c>
      <c r="D308" s="48" t="s">
        <v>2813</v>
      </c>
      <c r="E308" s="48" t="s">
        <v>5232</v>
      </c>
      <c r="F308" s="48" t="s">
        <v>1710</v>
      </c>
      <c r="G308" s="48" t="s">
        <v>2814</v>
      </c>
      <c r="H308" s="48" t="s">
        <v>5233</v>
      </c>
      <c r="I308" s="48" t="s">
        <v>1884</v>
      </c>
      <c r="J308" s="48" t="s">
        <v>2816</v>
      </c>
      <c r="K308" s="48" t="s">
        <v>1877</v>
      </c>
      <c r="L308" s="48" t="s">
        <v>1842</v>
      </c>
      <c r="M308" s="48" t="s">
        <v>1810</v>
      </c>
      <c r="N308" s="48" t="s">
        <v>1842</v>
      </c>
      <c r="O308" s="48" t="s">
        <v>1811</v>
      </c>
      <c r="P308" s="48" t="s">
        <v>2549</v>
      </c>
      <c r="Q308" s="48" t="s">
        <v>2049</v>
      </c>
      <c r="R308" s="48" t="s">
        <v>1838</v>
      </c>
      <c r="S308" s="48" t="s">
        <v>2050</v>
      </c>
      <c r="T308" s="48" t="s">
        <v>1845</v>
      </c>
      <c r="U308" s="48" t="s">
        <v>2049</v>
      </c>
      <c r="V308" s="48" t="s">
        <v>1838</v>
      </c>
      <c r="W308" s="48" t="s">
        <v>2051</v>
      </c>
      <c r="X308" s="48" t="s">
        <v>2052</v>
      </c>
      <c r="Y308" s="48" t="s">
        <v>2050</v>
      </c>
      <c r="Z308" s="48" t="s">
        <v>2053</v>
      </c>
      <c r="AA308" s="48" t="s">
        <v>2054</v>
      </c>
      <c r="AB308" s="48" t="s">
        <v>2817</v>
      </c>
      <c r="AC308" s="48" t="s">
        <v>2055</v>
      </c>
      <c r="AD308" s="48" t="s">
        <v>2056</v>
      </c>
      <c r="AE308" s="48" t="s">
        <v>1710</v>
      </c>
      <c r="AF308" s="48" t="s">
        <v>1710</v>
      </c>
      <c r="AG308" s="48" t="s">
        <v>2057</v>
      </c>
      <c r="AH308" s="48" t="s">
        <v>1815</v>
      </c>
      <c r="AI308" s="48" t="s">
        <v>2058</v>
      </c>
      <c r="AJ308" s="48" t="s">
        <v>1710</v>
      </c>
      <c r="AK308" s="48" t="s">
        <v>2080</v>
      </c>
      <c r="AL308" s="48" t="s">
        <v>1866</v>
      </c>
      <c r="AM308" s="48" t="s">
        <v>1816</v>
      </c>
      <c r="AN308" s="48" t="s">
        <v>2054</v>
      </c>
      <c r="AO308" s="48" t="s">
        <v>1710</v>
      </c>
      <c r="AP308" s="48" t="s">
        <v>1854</v>
      </c>
      <c r="AQ308" s="48" t="s">
        <v>2081</v>
      </c>
      <c r="AR308" s="48" t="s">
        <v>1812</v>
      </c>
      <c r="AS308" s="48" t="s">
        <v>1813</v>
      </c>
      <c r="AT308" s="48" t="s">
        <v>1826</v>
      </c>
      <c r="AU308" s="48" t="s">
        <v>2061</v>
      </c>
      <c r="AV308" s="48" t="s">
        <v>2816</v>
      </c>
      <c r="AW308" s="48" t="s">
        <v>2062</v>
      </c>
      <c r="AX308" s="48" t="s">
        <v>2063</v>
      </c>
      <c r="AY308" s="48" t="s">
        <v>1710</v>
      </c>
      <c r="AZ308" s="48" t="s">
        <v>5234</v>
      </c>
      <c r="BA308" s="48" t="s">
        <v>1710</v>
      </c>
      <c r="BB308" s="48" t="s">
        <v>1709</v>
      </c>
      <c r="BC308" s="48" t="s">
        <v>1710</v>
      </c>
      <c r="BD308" s="48" t="s">
        <v>2097</v>
      </c>
      <c r="BE308" s="52" t="s">
        <v>5122</v>
      </c>
      <c r="BF308" s="48" t="s">
        <v>1710</v>
      </c>
      <c r="BG308" s="48" t="s">
        <v>1817</v>
      </c>
      <c r="BH308">
        <v>1</v>
      </c>
      <c r="BI308" s="48" t="s">
        <v>1888</v>
      </c>
      <c r="BJ308">
        <v>1</v>
      </c>
      <c r="BK308">
        <v>1473.06</v>
      </c>
      <c r="BL308">
        <v>1829936</v>
      </c>
      <c r="BM308">
        <v>1242</v>
      </c>
      <c r="BN308" s="48" t="s">
        <v>2064</v>
      </c>
      <c r="BO308" s="48" t="s">
        <v>2065</v>
      </c>
      <c r="BP308">
        <v>1473.06</v>
      </c>
      <c r="BQ308">
        <v>1267.93</v>
      </c>
      <c r="BR308" s="48" t="s">
        <v>1885</v>
      </c>
      <c r="BS308" s="48" t="s">
        <v>2066</v>
      </c>
      <c r="BT308">
        <v>1</v>
      </c>
      <c r="BU308">
        <v>37800</v>
      </c>
      <c r="BV308">
        <v>37800</v>
      </c>
      <c r="BW308" s="48" t="s">
        <v>2065</v>
      </c>
      <c r="BX308">
        <v>1473.06</v>
      </c>
      <c r="BY308">
        <v>0</v>
      </c>
      <c r="BZ308">
        <v>0</v>
      </c>
      <c r="CA308" s="48" t="s">
        <v>2065</v>
      </c>
      <c r="CB308">
        <v>1473.06</v>
      </c>
      <c r="CC308">
        <v>0</v>
      </c>
      <c r="CD308">
        <v>0</v>
      </c>
      <c r="CE308" s="48" t="s">
        <v>1710</v>
      </c>
      <c r="CF308" s="48" t="s">
        <v>1710</v>
      </c>
      <c r="CG308" s="48" t="s">
        <v>1710</v>
      </c>
      <c r="CH308" s="48" t="s">
        <v>1710</v>
      </c>
      <c r="CI308" s="48" t="s">
        <v>2067</v>
      </c>
      <c r="CJ308" s="48" t="s">
        <v>1710</v>
      </c>
      <c r="CL308" s="48" t="s">
        <v>2816</v>
      </c>
      <c r="CM308" s="48" t="s">
        <v>1710</v>
      </c>
      <c r="CN308" s="48" t="s">
        <v>2068</v>
      </c>
      <c r="CO308" s="48" t="s">
        <v>2069</v>
      </c>
      <c r="CP308" s="48" t="s">
        <v>1710</v>
      </c>
      <c r="CQ308" s="48" t="s">
        <v>1710</v>
      </c>
      <c r="CR308" s="48" t="s">
        <v>1710</v>
      </c>
      <c r="CS308" s="48" t="s">
        <v>1710</v>
      </c>
      <c r="CT308" s="48" t="s">
        <v>1710</v>
      </c>
      <c r="CU308" s="48" t="s">
        <v>1712</v>
      </c>
      <c r="CV308" s="48" t="s">
        <v>1710</v>
      </c>
      <c r="CW308" s="48" t="s">
        <v>1710</v>
      </c>
      <c r="CX308" s="48" t="s">
        <v>2823</v>
      </c>
      <c r="CY308" s="48" t="s">
        <v>1710</v>
      </c>
      <c r="CZ308" s="48" t="s">
        <v>1712</v>
      </c>
      <c r="DA308" s="48" t="s">
        <v>1710</v>
      </c>
      <c r="DB308" s="48" t="s">
        <v>1878</v>
      </c>
      <c r="DC308" s="48" t="s">
        <v>2070</v>
      </c>
      <c r="DD308" s="48" t="s">
        <v>1842</v>
      </c>
      <c r="DE308" s="48" t="s">
        <v>1886</v>
      </c>
      <c r="DF308" s="48" t="s">
        <v>5235</v>
      </c>
      <c r="DG308" s="48" t="s">
        <v>2071</v>
      </c>
      <c r="DH308" s="48" t="s">
        <v>1712</v>
      </c>
      <c r="DI308" s="48" t="s">
        <v>1710</v>
      </c>
      <c r="DJ308" s="48" t="s">
        <v>1710</v>
      </c>
      <c r="DK308" s="48" t="s">
        <v>1710</v>
      </c>
      <c r="DL308" s="48" t="s">
        <v>1710</v>
      </c>
      <c r="DM308" s="48" t="s">
        <v>1710</v>
      </c>
      <c r="DN308" s="48" t="s">
        <v>1710</v>
      </c>
      <c r="DO308" s="48" t="s">
        <v>1710</v>
      </c>
      <c r="DP308" s="48" t="s">
        <v>1710</v>
      </c>
      <c r="DQ308" s="48" t="s">
        <v>1710</v>
      </c>
      <c r="DR308" s="48" t="s">
        <v>2072</v>
      </c>
      <c r="DS308" s="48" t="s">
        <v>1710</v>
      </c>
      <c r="DT308" s="48" t="s">
        <v>1710</v>
      </c>
      <c r="DU308" s="48" t="s">
        <v>2575</v>
      </c>
      <c r="DV308" s="48" t="s">
        <v>2825</v>
      </c>
      <c r="DW308" s="48" t="s">
        <v>1710</v>
      </c>
      <c r="DX308" s="48" t="s">
        <v>5236</v>
      </c>
      <c r="DY308" s="48" t="s">
        <v>1709</v>
      </c>
      <c r="DZ308" s="48" t="s">
        <v>2562</v>
      </c>
      <c r="EA308" s="48" t="s">
        <v>2546</v>
      </c>
      <c r="EB308">
        <v>0</v>
      </c>
      <c r="EC308" s="48" t="s">
        <v>2575</v>
      </c>
      <c r="ED308" s="48" t="s">
        <v>5237</v>
      </c>
      <c r="EE308" s="48" t="s">
        <v>1814</v>
      </c>
      <c r="EF308" s="48" t="s">
        <v>1841</v>
      </c>
      <c r="EG308" s="48" t="s">
        <v>5234</v>
      </c>
      <c r="EH308">
        <v>0.108</v>
      </c>
      <c r="EI308" s="48" t="s">
        <v>1888</v>
      </c>
      <c r="EJ308">
        <v>0</v>
      </c>
      <c r="EK308" s="48" t="s">
        <v>1710</v>
      </c>
      <c r="EL308">
        <v>1</v>
      </c>
      <c r="EM308" s="48" t="s">
        <v>1886</v>
      </c>
      <c r="EN308">
        <v>0.108</v>
      </c>
      <c r="EO308" s="48" t="s">
        <v>2603</v>
      </c>
      <c r="EP308" s="48" t="s">
        <v>5238</v>
      </c>
      <c r="EQ308">
        <v>420.76</v>
      </c>
      <c r="ER308">
        <v>420.76</v>
      </c>
      <c r="ES308">
        <v>607260</v>
      </c>
      <c r="ET308">
        <v>412</v>
      </c>
      <c r="EU308" s="48" t="s">
        <v>1710</v>
      </c>
      <c r="EV308" s="48" t="s">
        <v>1710</v>
      </c>
      <c r="EW308" s="48" t="s">
        <v>1712</v>
      </c>
      <c r="EX308" s="48" t="s">
        <v>1710</v>
      </c>
      <c r="EY308" s="48" t="s">
        <v>1848</v>
      </c>
      <c r="EZ308" s="48" t="s">
        <v>1710</v>
      </c>
      <c r="FA308" s="48" t="s">
        <v>1710</v>
      </c>
      <c r="FB308" s="48" t="s">
        <v>1712</v>
      </c>
      <c r="FC308" s="48" t="s">
        <v>1710</v>
      </c>
      <c r="FD308" s="48" t="s">
        <v>1710</v>
      </c>
      <c r="FE308" s="48" t="s">
        <v>1814</v>
      </c>
      <c r="FF308" s="48" t="s">
        <v>1815</v>
      </c>
      <c r="FG308" s="48" t="s">
        <v>1710</v>
      </c>
      <c r="FH308">
        <v>6</v>
      </c>
      <c r="FI308" s="48" t="s">
        <v>1846</v>
      </c>
      <c r="FJ308">
        <v>420.76</v>
      </c>
      <c r="FK308">
        <v>70.126999999999995</v>
      </c>
      <c r="FL308" s="48" t="s">
        <v>5239</v>
      </c>
      <c r="FM308" s="48" t="s">
        <v>5238</v>
      </c>
      <c r="FN308" s="48" t="s">
        <v>1710</v>
      </c>
      <c r="FO308" s="48" t="s">
        <v>1710</v>
      </c>
      <c r="FP308" s="48" t="s">
        <v>1710</v>
      </c>
      <c r="FQ308" s="48" t="s">
        <v>1710</v>
      </c>
      <c r="FR308" s="48" t="s">
        <v>1710</v>
      </c>
      <c r="FS308" s="48" t="s">
        <v>1710</v>
      </c>
      <c r="FT308" s="48" t="s">
        <v>1710</v>
      </c>
      <c r="FU308" s="48" t="s">
        <v>1710</v>
      </c>
      <c r="FV308" s="48"/>
      <c r="GA308" s="55"/>
      <c r="GE308" s="61"/>
      <c r="GF308" s="62"/>
      <c r="GI308" s="48"/>
    </row>
    <row r="309" spans="1:191">
      <c r="A309" s="48" t="s">
        <v>5240</v>
      </c>
      <c r="B309" s="48" t="s">
        <v>1821</v>
      </c>
      <c r="C309" s="48" t="s">
        <v>2048</v>
      </c>
      <c r="D309" s="48" t="s">
        <v>2813</v>
      </c>
      <c r="E309" s="48" t="s">
        <v>5240</v>
      </c>
      <c r="F309" s="48" t="s">
        <v>1710</v>
      </c>
      <c r="G309" s="48" t="s">
        <v>2814</v>
      </c>
      <c r="H309" s="48" t="s">
        <v>5241</v>
      </c>
      <c r="I309" s="48" t="s">
        <v>1884</v>
      </c>
      <c r="J309" s="48" t="s">
        <v>2816</v>
      </c>
      <c r="K309" s="48" t="s">
        <v>1877</v>
      </c>
      <c r="L309" s="48" t="s">
        <v>1842</v>
      </c>
      <c r="M309" s="48" t="s">
        <v>1810</v>
      </c>
      <c r="N309" s="48" t="s">
        <v>1842</v>
      </c>
      <c r="O309" s="48" t="s">
        <v>1811</v>
      </c>
      <c r="P309" s="48" t="s">
        <v>2549</v>
      </c>
      <c r="Q309" s="48" t="s">
        <v>2049</v>
      </c>
      <c r="R309" s="48" t="s">
        <v>1838</v>
      </c>
      <c r="S309" s="48" t="s">
        <v>2050</v>
      </c>
      <c r="T309" s="48" t="s">
        <v>1845</v>
      </c>
      <c r="U309" s="48" t="s">
        <v>2049</v>
      </c>
      <c r="V309" s="48" t="s">
        <v>1838</v>
      </c>
      <c r="W309" s="48" t="s">
        <v>2051</v>
      </c>
      <c r="X309" s="48" t="s">
        <v>2052</v>
      </c>
      <c r="Y309" s="48" t="s">
        <v>2050</v>
      </c>
      <c r="Z309" s="48" t="s">
        <v>2053</v>
      </c>
      <c r="AA309" s="48" t="s">
        <v>2054</v>
      </c>
      <c r="AB309" s="48" t="s">
        <v>2817</v>
      </c>
      <c r="AC309" s="48" t="s">
        <v>2055</v>
      </c>
      <c r="AD309" s="48" t="s">
        <v>2056</v>
      </c>
      <c r="AE309" s="48" t="s">
        <v>1710</v>
      </c>
      <c r="AF309" s="48" t="s">
        <v>1710</v>
      </c>
      <c r="AG309" s="48" t="s">
        <v>2057</v>
      </c>
      <c r="AH309" s="48" t="s">
        <v>1815</v>
      </c>
      <c r="AI309" s="48" t="s">
        <v>2058</v>
      </c>
      <c r="AJ309" s="48" t="s">
        <v>1710</v>
      </c>
      <c r="AK309" s="48" t="s">
        <v>2560</v>
      </c>
      <c r="AL309" s="48" t="s">
        <v>2561</v>
      </c>
      <c r="AM309" s="48" t="s">
        <v>1816</v>
      </c>
      <c r="AN309" s="48" t="s">
        <v>2054</v>
      </c>
      <c r="AO309" s="48" t="s">
        <v>1710</v>
      </c>
      <c r="AP309" s="48" t="s">
        <v>1855</v>
      </c>
      <c r="AQ309" s="48" t="s">
        <v>2076</v>
      </c>
      <c r="AR309" s="48" t="s">
        <v>1812</v>
      </c>
      <c r="AS309" s="48" t="s">
        <v>1813</v>
      </c>
      <c r="AT309" s="48" t="s">
        <v>1826</v>
      </c>
      <c r="AU309" s="48" t="s">
        <v>2061</v>
      </c>
      <c r="AV309" s="48" t="s">
        <v>2816</v>
      </c>
      <c r="AW309" s="48" t="s">
        <v>2062</v>
      </c>
      <c r="AX309" s="48" t="s">
        <v>2063</v>
      </c>
      <c r="AY309" s="48" t="s">
        <v>1710</v>
      </c>
      <c r="AZ309" s="48" t="s">
        <v>5242</v>
      </c>
      <c r="BA309" s="48" t="s">
        <v>1710</v>
      </c>
      <c r="BB309" s="48" t="s">
        <v>1709</v>
      </c>
      <c r="BC309" s="48" t="s">
        <v>1710</v>
      </c>
      <c r="BD309" s="48" t="s">
        <v>2097</v>
      </c>
      <c r="BE309" s="52" t="s">
        <v>5122</v>
      </c>
      <c r="BF309" s="48" t="s">
        <v>1710</v>
      </c>
      <c r="BG309" s="48" t="s">
        <v>1814</v>
      </c>
      <c r="BH309">
        <v>4</v>
      </c>
      <c r="BI309" s="48" t="s">
        <v>1888</v>
      </c>
      <c r="BJ309">
        <v>1</v>
      </c>
      <c r="BK309">
        <v>1473.06</v>
      </c>
      <c r="BL309">
        <v>12772583</v>
      </c>
      <c r="BM309">
        <v>8671</v>
      </c>
      <c r="BN309" s="48" t="s">
        <v>2064</v>
      </c>
      <c r="BO309" s="48" t="s">
        <v>2065</v>
      </c>
      <c r="BP309">
        <v>1473.06</v>
      </c>
      <c r="BQ309">
        <v>8694</v>
      </c>
      <c r="BR309" s="48" t="s">
        <v>1885</v>
      </c>
      <c r="BS309" s="48" t="s">
        <v>2066</v>
      </c>
      <c r="BT309">
        <v>1</v>
      </c>
      <c r="BU309">
        <v>34200</v>
      </c>
      <c r="BV309">
        <v>34200</v>
      </c>
      <c r="BW309" s="48" t="s">
        <v>2065</v>
      </c>
      <c r="BX309">
        <v>1473.06</v>
      </c>
      <c r="BY309">
        <v>0</v>
      </c>
      <c r="BZ309">
        <v>0</v>
      </c>
      <c r="CA309" s="48" t="s">
        <v>2065</v>
      </c>
      <c r="CB309">
        <v>1473.06</v>
      </c>
      <c r="CC309">
        <v>0</v>
      </c>
      <c r="CD309">
        <v>0</v>
      </c>
      <c r="CE309" s="48" t="s">
        <v>1710</v>
      </c>
      <c r="CF309" s="48" t="s">
        <v>1710</v>
      </c>
      <c r="CG309" s="48" t="s">
        <v>1710</v>
      </c>
      <c r="CH309" s="48" t="s">
        <v>1710</v>
      </c>
      <c r="CI309" s="48" t="s">
        <v>2067</v>
      </c>
      <c r="CJ309" s="48" t="s">
        <v>1710</v>
      </c>
      <c r="CL309" s="48" t="s">
        <v>2816</v>
      </c>
      <c r="CM309" s="48" t="s">
        <v>1710</v>
      </c>
      <c r="CN309" s="48" t="s">
        <v>2068</v>
      </c>
      <c r="CO309" s="48" t="s">
        <v>2069</v>
      </c>
      <c r="CP309" s="48" t="s">
        <v>1710</v>
      </c>
      <c r="CQ309" s="48" t="s">
        <v>1710</v>
      </c>
      <c r="CR309" s="48" t="s">
        <v>1710</v>
      </c>
      <c r="CS309" s="48" t="s">
        <v>1710</v>
      </c>
      <c r="CT309" s="48" t="s">
        <v>1710</v>
      </c>
      <c r="CU309" s="48" t="s">
        <v>1712</v>
      </c>
      <c r="CV309" s="48" t="s">
        <v>1710</v>
      </c>
      <c r="CW309" s="48" t="s">
        <v>1710</v>
      </c>
      <c r="CX309" s="48" t="s">
        <v>2823</v>
      </c>
      <c r="CY309" s="48" t="s">
        <v>1710</v>
      </c>
      <c r="CZ309" s="48" t="s">
        <v>1712</v>
      </c>
      <c r="DA309" s="48" t="s">
        <v>1710</v>
      </c>
      <c r="DB309" s="48" t="s">
        <v>1878</v>
      </c>
      <c r="DC309" s="48" t="s">
        <v>2070</v>
      </c>
      <c r="DD309" s="48" t="s">
        <v>1842</v>
      </c>
      <c r="DE309" s="48" t="s">
        <v>1886</v>
      </c>
      <c r="DF309" s="48" t="s">
        <v>5243</v>
      </c>
      <c r="DG309" s="48" t="s">
        <v>2071</v>
      </c>
      <c r="DH309" s="48" t="s">
        <v>1712</v>
      </c>
      <c r="DI309" s="48" t="s">
        <v>1710</v>
      </c>
      <c r="DJ309" s="48" t="s">
        <v>1710</v>
      </c>
      <c r="DK309" s="48" t="s">
        <v>1710</v>
      </c>
      <c r="DL309" s="48" t="s">
        <v>1710</v>
      </c>
      <c r="DM309" s="48" t="s">
        <v>1710</v>
      </c>
      <c r="DN309" s="48" t="s">
        <v>1710</v>
      </c>
      <c r="DO309" s="48" t="s">
        <v>1710</v>
      </c>
      <c r="DP309" s="48" t="s">
        <v>1710</v>
      </c>
      <c r="DQ309" s="48" t="s">
        <v>1710</v>
      </c>
      <c r="DR309" s="48" t="s">
        <v>2072</v>
      </c>
      <c r="DS309" s="48" t="s">
        <v>1710</v>
      </c>
      <c r="DT309" s="48" t="s">
        <v>1710</v>
      </c>
      <c r="DU309" s="48" t="s">
        <v>2575</v>
      </c>
      <c r="DV309" s="48" t="s">
        <v>3111</v>
      </c>
      <c r="DW309" s="48" t="s">
        <v>1710</v>
      </c>
      <c r="DX309" s="48" t="s">
        <v>5244</v>
      </c>
      <c r="DY309" s="48" t="s">
        <v>1709</v>
      </c>
      <c r="DZ309" s="48" t="s">
        <v>2562</v>
      </c>
      <c r="EA309" s="48" t="s">
        <v>2546</v>
      </c>
      <c r="EB309">
        <v>0</v>
      </c>
      <c r="EC309" s="48" t="s">
        <v>2575</v>
      </c>
      <c r="ED309" s="48" t="s">
        <v>5237</v>
      </c>
      <c r="EE309" s="48" t="s">
        <v>1814</v>
      </c>
      <c r="EF309" s="48" t="s">
        <v>1852</v>
      </c>
      <c r="EG309" s="48" t="s">
        <v>5242</v>
      </c>
      <c r="EH309">
        <v>2.1</v>
      </c>
      <c r="EI309" s="48" t="s">
        <v>1888</v>
      </c>
      <c r="EJ309">
        <v>0</v>
      </c>
      <c r="EK309" s="48" t="s">
        <v>1710</v>
      </c>
      <c r="EL309">
        <v>1</v>
      </c>
      <c r="EM309" s="48" t="s">
        <v>1886</v>
      </c>
      <c r="EN309">
        <v>2.1</v>
      </c>
      <c r="EO309" s="48" t="s">
        <v>2521</v>
      </c>
      <c r="EP309" s="48" t="s">
        <v>2618</v>
      </c>
      <c r="EQ309">
        <v>8694</v>
      </c>
      <c r="ER309">
        <v>8694</v>
      </c>
      <c r="ES309">
        <v>12772583</v>
      </c>
      <c r="ET309">
        <v>8671</v>
      </c>
      <c r="EU309" s="48" t="s">
        <v>1710</v>
      </c>
      <c r="EV309" s="48" t="s">
        <v>1710</v>
      </c>
      <c r="EW309" s="48" t="s">
        <v>1712</v>
      </c>
      <c r="EX309" s="48" t="s">
        <v>1710</v>
      </c>
      <c r="EY309" s="48" t="s">
        <v>1873</v>
      </c>
      <c r="EZ309" s="48" t="s">
        <v>1710</v>
      </c>
      <c r="FA309" s="48" t="s">
        <v>1710</v>
      </c>
      <c r="FB309" s="48" t="s">
        <v>1712</v>
      </c>
      <c r="FC309" s="48" t="s">
        <v>1710</v>
      </c>
      <c r="FD309" s="48" t="s">
        <v>1710</v>
      </c>
      <c r="FE309" s="48" t="s">
        <v>1814</v>
      </c>
      <c r="FF309" s="48" t="s">
        <v>1815</v>
      </c>
      <c r="FG309" s="48" t="s">
        <v>1710</v>
      </c>
      <c r="FH309">
        <v>3</v>
      </c>
      <c r="FI309" s="48" t="s">
        <v>1846</v>
      </c>
      <c r="FJ309">
        <v>8694</v>
      </c>
      <c r="FK309">
        <v>2898</v>
      </c>
      <c r="FL309" s="48" t="s">
        <v>2619</v>
      </c>
      <c r="FM309" s="48" t="s">
        <v>2618</v>
      </c>
      <c r="FN309" s="48" t="s">
        <v>1710</v>
      </c>
      <c r="FO309" s="48" t="s">
        <v>1710</v>
      </c>
      <c r="FP309" s="48" t="s">
        <v>1710</v>
      </c>
      <c r="FQ309" s="48" t="s">
        <v>1710</v>
      </c>
      <c r="FR309" s="48" t="s">
        <v>1710</v>
      </c>
      <c r="FS309" s="48" t="s">
        <v>1710</v>
      </c>
      <c r="FT309" s="48" t="s">
        <v>1710</v>
      </c>
      <c r="FU309" s="48" t="s">
        <v>1710</v>
      </c>
      <c r="FV309" s="48"/>
      <c r="GA309" s="55"/>
      <c r="GE309" s="61"/>
      <c r="GF309" s="62"/>
      <c r="GI309" s="48"/>
    </row>
    <row r="310" spans="1:191">
      <c r="A310" s="48" t="s">
        <v>5245</v>
      </c>
      <c r="B310" s="48" t="s">
        <v>1821</v>
      </c>
      <c r="C310" s="48" t="s">
        <v>2048</v>
      </c>
      <c r="D310" s="48" t="s">
        <v>2813</v>
      </c>
      <c r="E310" s="48" t="s">
        <v>5245</v>
      </c>
      <c r="F310" s="48" t="s">
        <v>1710</v>
      </c>
      <c r="G310" s="48" t="s">
        <v>2814</v>
      </c>
      <c r="H310" s="48" t="s">
        <v>5246</v>
      </c>
      <c r="I310" s="48" t="s">
        <v>1884</v>
      </c>
      <c r="J310" s="48" t="s">
        <v>2816</v>
      </c>
      <c r="K310" s="48" t="s">
        <v>1877</v>
      </c>
      <c r="L310" s="48" t="s">
        <v>1842</v>
      </c>
      <c r="M310" s="48" t="s">
        <v>1810</v>
      </c>
      <c r="N310" s="48" t="s">
        <v>1842</v>
      </c>
      <c r="O310" s="48" t="s">
        <v>1811</v>
      </c>
      <c r="P310" s="48" t="s">
        <v>2549</v>
      </c>
      <c r="Q310" s="48" t="s">
        <v>2049</v>
      </c>
      <c r="R310" s="48" t="s">
        <v>1838</v>
      </c>
      <c r="S310" s="48" t="s">
        <v>2050</v>
      </c>
      <c r="T310" s="48" t="s">
        <v>1845</v>
      </c>
      <c r="U310" s="48" t="s">
        <v>2049</v>
      </c>
      <c r="V310" s="48" t="s">
        <v>1838</v>
      </c>
      <c r="W310" s="48" t="s">
        <v>2051</v>
      </c>
      <c r="X310" s="48" t="s">
        <v>2052</v>
      </c>
      <c r="Y310" s="48" t="s">
        <v>2050</v>
      </c>
      <c r="Z310" s="48" t="s">
        <v>2053</v>
      </c>
      <c r="AA310" s="48" t="s">
        <v>2054</v>
      </c>
      <c r="AB310" s="48" t="s">
        <v>2817</v>
      </c>
      <c r="AC310" s="48" t="s">
        <v>2055</v>
      </c>
      <c r="AD310" s="48" t="s">
        <v>2056</v>
      </c>
      <c r="AE310" s="48" t="s">
        <v>1710</v>
      </c>
      <c r="AF310" s="48" t="s">
        <v>1710</v>
      </c>
      <c r="AG310" s="48" t="s">
        <v>2057</v>
      </c>
      <c r="AH310" s="48" t="s">
        <v>1815</v>
      </c>
      <c r="AI310" s="48" t="s">
        <v>2058</v>
      </c>
      <c r="AJ310" s="48" t="s">
        <v>1710</v>
      </c>
      <c r="AK310" s="48" t="s">
        <v>2059</v>
      </c>
      <c r="AL310" s="48" t="s">
        <v>1858</v>
      </c>
      <c r="AM310" s="48" t="s">
        <v>1816</v>
      </c>
      <c r="AN310" s="48" t="s">
        <v>2054</v>
      </c>
      <c r="AO310" s="48" t="s">
        <v>1710</v>
      </c>
      <c r="AP310" s="48" t="s">
        <v>1848</v>
      </c>
      <c r="AQ310" s="48" t="s">
        <v>2060</v>
      </c>
      <c r="AR310" s="48" t="s">
        <v>1812</v>
      </c>
      <c r="AS310" s="48" t="s">
        <v>1813</v>
      </c>
      <c r="AT310" s="48" t="s">
        <v>1826</v>
      </c>
      <c r="AU310" s="48" t="s">
        <v>2061</v>
      </c>
      <c r="AV310" s="48" t="s">
        <v>2816</v>
      </c>
      <c r="AW310" s="48" t="s">
        <v>2062</v>
      </c>
      <c r="AX310" s="48" t="s">
        <v>2063</v>
      </c>
      <c r="AY310" s="48" t="s">
        <v>1710</v>
      </c>
      <c r="AZ310" s="48" t="s">
        <v>5247</v>
      </c>
      <c r="BA310" s="48" t="s">
        <v>1710</v>
      </c>
      <c r="BB310" s="48" t="s">
        <v>1709</v>
      </c>
      <c r="BC310" s="48" t="s">
        <v>1710</v>
      </c>
      <c r="BD310" s="48" t="s">
        <v>2097</v>
      </c>
      <c r="BE310" s="52" t="s">
        <v>5122</v>
      </c>
      <c r="BF310" s="48" t="s">
        <v>1710</v>
      </c>
      <c r="BG310" s="48" t="s">
        <v>1814</v>
      </c>
      <c r="BH310">
        <v>16</v>
      </c>
      <c r="BI310" s="48" t="s">
        <v>1888</v>
      </c>
      <c r="BJ310">
        <v>1</v>
      </c>
      <c r="BK310">
        <v>1473.06</v>
      </c>
      <c r="BL310">
        <v>9474502</v>
      </c>
      <c r="BM310">
        <v>6432</v>
      </c>
      <c r="BN310" s="48" t="s">
        <v>2064</v>
      </c>
      <c r="BO310" s="48" t="s">
        <v>2065</v>
      </c>
      <c r="BP310">
        <v>1473.06</v>
      </c>
      <c r="BQ310">
        <v>6593.08</v>
      </c>
      <c r="BR310" s="48" t="s">
        <v>1885</v>
      </c>
      <c r="BS310" s="48" t="s">
        <v>2066</v>
      </c>
      <c r="BT310">
        <v>1</v>
      </c>
      <c r="BU310">
        <v>237500</v>
      </c>
      <c r="BV310">
        <v>237500</v>
      </c>
      <c r="BW310" s="48" t="s">
        <v>2065</v>
      </c>
      <c r="BX310">
        <v>1473.06</v>
      </c>
      <c r="BY310">
        <v>0</v>
      </c>
      <c r="BZ310">
        <v>0</v>
      </c>
      <c r="CA310" s="48" t="s">
        <v>2065</v>
      </c>
      <c r="CB310">
        <v>1473.06</v>
      </c>
      <c r="CC310">
        <v>0</v>
      </c>
      <c r="CD310">
        <v>0</v>
      </c>
      <c r="CE310" s="48" t="s">
        <v>1710</v>
      </c>
      <c r="CF310" s="48" t="s">
        <v>1710</v>
      </c>
      <c r="CG310" s="48" t="s">
        <v>1710</v>
      </c>
      <c r="CH310" s="48" t="s">
        <v>1710</v>
      </c>
      <c r="CI310" s="48" t="s">
        <v>2067</v>
      </c>
      <c r="CJ310" s="48" t="s">
        <v>1710</v>
      </c>
      <c r="CL310" s="48" t="s">
        <v>2816</v>
      </c>
      <c r="CM310" s="48" t="s">
        <v>1710</v>
      </c>
      <c r="CN310" s="48" t="s">
        <v>2068</v>
      </c>
      <c r="CO310" s="48" t="s">
        <v>2069</v>
      </c>
      <c r="CP310" s="48" t="s">
        <v>1710</v>
      </c>
      <c r="CQ310" s="48" t="s">
        <v>1710</v>
      </c>
      <c r="CR310" s="48" t="s">
        <v>1710</v>
      </c>
      <c r="CS310" s="48" t="s">
        <v>1710</v>
      </c>
      <c r="CT310" s="48" t="s">
        <v>1710</v>
      </c>
      <c r="CU310" s="48" t="s">
        <v>1712</v>
      </c>
      <c r="CV310" s="48" t="s">
        <v>1710</v>
      </c>
      <c r="CW310" s="48" t="s">
        <v>1710</v>
      </c>
      <c r="CX310" s="48" t="s">
        <v>2823</v>
      </c>
      <c r="CY310" s="48" t="s">
        <v>1710</v>
      </c>
      <c r="CZ310" s="48" t="s">
        <v>1712</v>
      </c>
      <c r="DA310" s="48" t="s">
        <v>1710</v>
      </c>
      <c r="DB310" s="48" t="s">
        <v>1878</v>
      </c>
      <c r="DC310" s="48" t="s">
        <v>2070</v>
      </c>
      <c r="DD310" s="48" t="s">
        <v>1842</v>
      </c>
      <c r="DE310" s="48" t="s">
        <v>1886</v>
      </c>
      <c r="DF310" s="48" t="s">
        <v>5248</v>
      </c>
      <c r="DG310" s="48" t="s">
        <v>2071</v>
      </c>
      <c r="DH310" s="48" t="s">
        <v>1712</v>
      </c>
      <c r="DI310" s="48" t="s">
        <v>1710</v>
      </c>
      <c r="DJ310" s="48" t="s">
        <v>1710</v>
      </c>
      <c r="DK310" s="48" t="s">
        <v>1710</v>
      </c>
      <c r="DL310" s="48" t="s">
        <v>1710</v>
      </c>
      <c r="DM310" s="48" t="s">
        <v>1710</v>
      </c>
      <c r="DN310" s="48" t="s">
        <v>1710</v>
      </c>
      <c r="DO310" s="48" t="s">
        <v>1710</v>
      </c>
      <c r="DP310" s="48" t="s">
        <v>1710</v>
      </c>
      <c r="DQ310" s="48" t="s">
        <v>1710</v>
      </c>
      <c r="DR310" s="48" t="s">
        <v>2072</v>
      </c>
      <c r="DS310" s="48" t="s">
        <v>1710</v>
      </c>
      <c r="DT310" s="48" t="s">
        <v>1710</v>
      </c>
      <c r="DU310" s="48" t="s">
        <v>2575</v>
      </c>
      <c r="DV310" s="48" t="s">
        <v>3111</v>
      </c>
      <c r="DW310" s="48" t="s">
        <v>1710</v>
      </c>
      <c r="DX310" s="48" t="s">
        <v>5249</v>
      </c>
      <c r="DY310" s="48" t="s">
        <v>1709</v>
      </c>
      <c r="DZ310" s="48" t="s">
        <v>2562</v>
      </c>
      <c r="EA310" s="48" t="s">
        <v>2546</v>
      </c>
      <c r="EB310">
        <v>0</v>
      </c>
      <c r="EC310" s="48" t="s">
        <v>2575</v>
      </c>
      <c r="ED310" s="48" t="s">
        <v>5237</v>
      </c>
      <c r="EE310" s="48" t="s">
        <v>1814</v>
      </c>
      <c r="EF310" s="48" t="s">
        <v>1881</v>
      </c>
      <c r="EG310" s="48" t="s">
        <v>5247</v>
      </c>
      <c r="EH310">
        <v>13.2</v>
      </c>
      <c r="EI310" s="48" t="s">
        <v>1888</v>
      </c>
      <c r="EJ310">
        <v>0</v>
      </c>
      <c r="EK310" s="48" t="s">
        <v>1710</v>
      </c>
      <c r="EL310">
        <v>1</v>
      </c>
      <c r="EM310" s="48" t="s">
        <v>1886</v>
      </c>
      <c r="EN310">
        <v>13.2</v>
      </c>
      <c r="EO310" s="48" t="s">
        <v>2601</v>
      </c>
      <c r="EP310" s="48" t="s">
        <v>3882</v>
      </c>
      <c r="EQ310">
        <v>6593.08</v>
      </c>
      <c r="ER310">
        <v>6593.08</v>
      </c>
      <c r="ES310">
        <v>9474502</v>
      </c>
      <c r="ET310">
        <v>6432</v>
      </c>
      <c r="EU310" s="48" t="s">
        <v>1710</v>
      </c>
      <c r="EV310" s="48" t="s">
        <v>1710</v>
      </c>
      <c r="EW310" s="48" t="s">
        <v>1712</v>
      </c>
      <c r="EX310" s="48" t="s">
        <v>1710</v>
      </c>
      <c r="EY310" s="48" t="s">
        <v>1848</v>
      </c>
      <c r="EZ310" s="48" t="s">
        <v>1710</v>
      </c>
      <c r="FA310" s="48" t="s">
        <v>1710</v>
      </c>
      <c r="FB310" s="48" t="s">
        <v>1712</v>
      </c>
      <c r="FC310" s="48" t="s">
        <v>1710</v>
      </c>
      <c r="FD310" s="48" t="s">
        <v>1710</v>
      </c>
      <c r="FE310" s="48" t="s">
        <v>1814</v>
      </c>
      <c r="FF310" s="48" t="s">
        <v>1815</v>
      </c>
      <c r="FG310" s="48" t="s">
        <v>1710</v>
      </c>
      <c r="FH310">
        <v>6</v>
      </c>
      <c r="FI310" s="48" t="s">
        <v>1846</v>
      </c>
      <c r="FJ310">
        <v>6593.08</v>
      </c>
      <c r="FK310">
        <v>1098.847</v>
      </c>
      <c r="FL310" s="48" t="s">
        <v>3889</v>
      </c>
      <c r="FM310" s="48" t="s">
        <v>3890</v>
      </c>
      <c r="FN310" s="48" t="s">
        <v>1710</v>
      </c>
      <c r="FO310" s="48" t="s">
        <v>1710</v>
      </c>
      <c r="FP310" s="48" t="s">
        <v>1710</v>
      </c>
      <c r="FQ310" s="48" t="s">
        <v>1710</v>
      </c>
      <c r="FR310" s="48" t="s">
        <v>1710</v>
      </c>
      <c r="FS310" s="48" t="s">
        <v>1710</v>
      </c>
      <c r="FT310" s="48" t="s">
        <v>1710</v>
      </c>
      <c r="FU310" s="48" t="s">
        <v>1710</v>
      </c>
      <c r="FV310" s="48"/>
      <c r="GA310" s="55"/>
      <c r="GE310" s="61"/>
      <c r="GF310" s="62"/>
      <c r="GI310" s="48"/>
    </row>
    <row r="311" spans="1:191">
      <c r="A311" s="48" t="s">
        <v>5250</v>
      </c>
      <c r="B311" s="48" t="s">
        <v>1821</v>
      </c>
      <c r="C311" s="48" t="s">
        <v>2048</v>
      </c>
      <c r="D311" s="48" t="s">
        <v>2813</v>
      </c>
      <c r="E311" s="48" t="s">
        <v>5250</v>
      </c>
      <c r="F311" s="48" t="s">
        <v>1710</v>
      </c>
      <c r="G311" s="48" t="s">
        <v>2814</v>
      </c>
      <c r="H311" s="48" t="s">
        <v>5251</v>
      </c>
      <c r="I311" s="48" t="s">
        <v>1884</v>
      </c>
      <c r="J311" s="48" t="s">
        <v>2816</v>
      </c>
      <c r="K311" s="48" t="s">
        <v>1877</v>
      </c>
      <c r="L311" s="48" t="s">
        <v>1842</v>
      </c>
      <c r="M311" s="48" t="s">
        <v>1810</v>
      </c>
      <c r="N311" s="48" t="s">
        <v>1842</v>
      </c>
      <c r="O311" s="48" t="s">
        <v>1811</v>
      </c>
      <c r="P311" s="48" t="s">
        <v>2549</v>
      </c>
      <c r="Q311" s="48" t="s">
        <v>2049</v>
      </c>
      <c r="R311" s="48" t="s">
        <v>1838</v>
      </c>
      <c r="S311" s="48" t="s">
        <v>2050</v>
      </c>
      <c r="T311" s="48" t="s">
        <v>1845</v>
      </c>
      <c r="U311" s="48" t="s">
        <v>2049</v>
      </c>
      <c r="V311" s="48" t="s">
        <v>1838</v>
      </c>
      <c r="W311" s="48" t="s">
        <v>2051</v>
      </c>
      <c r="X311" s="48" t="s">
        <v>2052</v>
      </c>
      <c r="Y311" s="48" t="s">
        <v>2050</v>
      </c>
      <c r="Z311" s="48" t="s">
        <v>2053</v>
      </c>
      <c r="AA311" s="48" t="s">
        <v>2054</v>
      </c>
      <c r="AB311" s="48" t="s">
        <v>2817</v>
      </c>
      <c r="AC311" s="48" t="s">
        <v>2055</v>
      </c>
      <c r="AD311" s="48" t="s">
        <v>2056</v>
      </c>
      <c r="AE311" s="48" t="s">
        <v>1710</v>
      </c>
      <c r="AF311" s="48" t="s">
        <v>1710</v>
      </c>
      <c r="AG311" s="48" t="s">
        <v>2057</v>
      </c>
      <c r="AH311" s="48" t="s">
        <v>1815</v>
      </c>
      <c r="AI311" s="48" t="s">
        <v>2058</v>
      </c>
      <c r="AJ311" s="48" t="s">
        <v>1710</v>
      </c>
      <c r="AK311" s="48" t="s">
        <v>2552</v>
      </c>
      <c r="AL311" s="48" t="s">
        <v>1858</v>
      </c>
      <c r="AM311" s="48" t="s">
        <v>1816</v>
      </c>
      <c r="AN311" s="48" t="s">
        <v>2054</v>
      </c>
      <c r="AO311" s="48" t="s">
        <v>1710</v>
      </c>
      <c r="AP311" s="48" t="s">
        <v>1848</v>
      </c>
      <c r="AQ311" s="48" t="s">
        <v>2060</v>
      </c>
      <c r="AR311" s="48" t="s">
        <v>1812</v>
      </c>
      <c r="AS311" s="48" t="s">
        <v>1813</v>
      </c>
      <c r="AT311" s="48" t="s">
        <v>1826</v>
      </c>
      <c r="AU311" s="48" t="s">
        <v>2061</v>
      </c>
      <c r="AV311" s="48" t="s">
        <v>2816</v>
      </c>
      <c r="AW311" s="48" t="s">
        <v>2062</v>
      </c>
      <c r="AX311" s="48" t="s">
        <v>2063</v>
      </c>
      <c r="AY311" s="48" t="s">
        <v>1710</v>
      </c>
      <c r="AZ311" s="48" t="s">
        <v>5252</v>
      </c>
      <c r="BA311" s="48" t="s">
        <v>1710</v>
      </c>
      <c r="BB311" s="48" t="s">
        <v>1709</v>
      </c>
      <c r="BC311" s="48" t="s">
        <v>1710</v>
      </c>
      <c r="BD311" s="48" t="s">
        <v>2097</v>
      </c>
      <c r="BE311" s="52" t="s">
        <v>5122</v>
      </c>
      <c r="BF311" s="48" t="s">
        <v>1710</v>
      </c>
      <c r="BG311" s="48" t="s">
        <v>1814</v>
      </c>
      <c r="BH311">
        <v>6</v>
      </c>
      <c r="BI311" s="48" t="s">
        <v>1888</v>
      </c>
      <c r="BJ311">
        <v>1</v>
      </c>
      <c r="BK311">
        <v>1473.06</v>
      </c>
      <c r="BL311">
        <v>3298824</v>
      </c>
      <c r="BM311">
        <v>2239</v>
      </c>
      <c r="BN311" s="48" t="s">
        <v>2064</v>
      </c>
      <c r="BO311" s="48" t="s">
        <v>2065</v>
      </c>
      <c r="BP311">
        <v>1473.06</v>
      </c>
      <c r="BQ311">
        <v>2308.6799999999998</v>
      </c>
      <c r="BR311" s="48" t="s">
        <v>1885</v>
      </c>
      <c r="BS311" s="48" t="s">
        <v>2066</v>
      </c>
      <c r="BT311">
        <v>1</v>
      </c>
      <c r="BU311">
        <v>102000</v>
      </c>
      <c r="BV311">
        <v>102000</v>
      </c>
      <c r="BW311" s="48" t="s">
        <v>2065</v>
      </c>
      <c r="BX311">
        <v>1473.06</v>
      </c>
      <c r="BY311">
        <v>0</v>
      </c>
      <c r="BZ311">
        <v>0</v>
      </c>
      <c r="CA311" s="48" t="s">
        <v>2065</v>
      </c>
      <c r="CB311">
        <v>1473.06</v>
      </c>
      <c r="CC311">
        <v>0</v>
      </c>
      <c r="CD311">
        <v>0</v>
      </c>
      <c r="CE311" s="48" t="s">
        <v>1710</v>
      </c>
      <c r="CF311" s="48" t="s">
        <v>1710</v>
      </c>
      <c r="CG311" s="48" t="s">
        <v>1710</v>
      </c>
      <c r="CH311" s="48" t="s">
        <v>1710</v>
      </c>
      <c r="CI311" s="48" t="s">
        <v>2067</v>
      </c>
      <c r="CJ311" s="48" t="s">
        <v>1710</v>
      </c>
      <c r="CL311" s="48" t="s">
        <v>2816</v>
      </c>
      <c r="CM311" s="48" t="s">
        <v>1710</v>
      </c>
      <c r="CN311" s="48" t="s">
        <v>2068</v>
      </c>
      <c r="CO311" s="48" t="s">
        <v>2069</v>
      </c>
      <c r="CP311" s="48" t="s">
        <v>1710</v>
      </c>
      <c r="CQ311" s="48" t="s">
        <v>1710</v>
      </c>
      <c r="CR311" s="48" t="s">
        <v>1710</v>
      </c>
      <c r="CS311" s="48" t="s">
        <v>1710</v>
      </c>
      <c r="CT311" s="48" t="s">
        <v>1710</v>
      </c>
      <c r="CU311" s="48" t="s">
        <v>1712</v>
      </c>
      <c r="CV311" s="48" t="s">
        <v>1710</v>
      </c>
      <c r="CW311" s="48" t="s">
        <v>1710</v>
      </c>
      <c r="CX311" s="48" t="s">
        <v>2823</v>
      </c>
      <c r="CY311" s="48" t="s">
        <v>1710</v>
      </c>
      <c r="CZ311" s="48" t="s">
        <v>1712</v>
      </c>
      <c r="DA311" s="48" t="s">
        <v>1710</v>
      </c>
      <c r="DB311" s="48" t="s">
        <v>1878</v>
      </c>
      <c r="DC311" s="48" t="s">
        <v>2070</v>
      </c>
      <c r="DD311" s="48" t="s">
        <v>1842</v>
      </c>
      <c r="DE311" s="48" t="s">
        <v>1886</v>
      </c>
      <c r="DF311" s="48" t="s">
        <v>5253</v>
      </c>
      <c r="DG311" s="48" t="s">
        <v>2071</v>
      </c>
      <c r="DH311" s="48" t="s">
        <v>1712</v>
      </c>
      <c r="DI311" s="48" t="s">
        <v>1710</v>
      </c>
      <c r="DJ311" s="48" t="s">
        <v>1710</v>
      </c>
      <c r="DK311" s="48" t="s">
        <v>1710</v>
      </c>
      <c r="DL311" s="48" t="s">
        <v>1710</v>
      </c>
      <c r="DM311" s="48" t="s">
        <v>1710</v>
      </c>
      <c r="DN311" s="48" t="s">
        <v>1710</v>
      </c>
      <c r="DO311" s="48" t="s">
        <v>1710</v>
      </c>
      <c r="DP311" s="48" t="s">
        <v>1710</v>
      </c>
      <c r="DQ311" s="48" t="s">
        <v>1710</v>
      </c>
      <c r="DR311" s="48" t="s">
        <v>2072</v>
      </c>
      <c r="DS311" s="48" t="s">
        <v>1710</v>
      </c>
      <c r="DT311" s="48" t="s">
        <v>1710</v>
      </c>
      <c r="DU311" s="48" t="s">
        <v>2575</v>
      </c>
      <c r="DV311" s="48" t="s">
        <v>3111</v>
      </c>
      <c r="DW311" s="48" t="s">
        <v>1710</v>
      </c>
      <c r="DX311" s="48" t="s">
        <v>5254</v>
      </c>
      <c r="DY311" s="48" t="s">
        <v>1709</v>
      </c>
      <c r="DZ311" s="48" t="s">
        <v>2562</v>
      </c>
      <c r="EA311" s="48" t="s">
        <v>2546</v>
      </c>
      <c r="EB311">
        <v>0</v>
      </c>
      <c r="EC311" s="48" t="s">
        <v>2575</v>
      </c>
      <c r="ED311" s="48" t="s">
        <v>5255</v>
      </c>
      <c r="EE311" s="48" t="s">
        <v>1814</v>
      </c>
      <c r="EF311" s="48" t="s">
        <v>1881</v>
      </c>
      <c r="EG311" s="48" t="s">
        <v>5252</v>
      </c>
      <c r="EH311">
        <v>4</v>
      </c>
      <c r="EI311" s="48" t="s">
        <v>1888</v>
      </c>
      <c r="EJ311">
        <v>0</v>
      </c>
      <c r="EK311" s="48" t="s">
        <v>1710</v>
      </c>
      <c r="EL311">
        <v>1</v>
      </c>
      <c r="EM311" s="48" t="s">
        <v>1886</v>
      </c>
      <c r="EN311">
        <v>4</v>
      </c>
      <c r="EO311" s="48" t="s">
        <v>2601</v>
      </c>
      <c r="EP311" s="48" t="s">
        <v>3882</v>
      </c>
      <c r="EQ311">
        <v>2308.6799999999998</v>
      </c>
      <c r="ER311">
        <v>2308.6799999999998</v>
      </c>
      <c r="ES311">
        <v>3298824</v>
      </c>
      <c r="ET311">
        <v>2239</v>
      </c>
      <c r="EU311" s="48" t="s">
        <v>1710</v>
      </c>
      <c r="EV311" s="48" t="s">
        <v>1710</v>
      </c>
      <c r="EW311" s="48" t="s">
        <v>1712</v>
      </c>
      <c r="EX311" s="48" t="s">
        <v>1710</v>
      </c>
      <c r="EY311" s="48" t="s">
        <v>1848</v>
      </c>
      <c r="EZ311" s="48" t="s">
        <v>1710</v>
      </c>
      <c r="FA311" s="48" t="s">
        <v>1710</v>
      </c>
      <c r="FB311" s="48" t="s">
        <v>1712</v>
      </c>
      <c r="FC311" s="48" t="s">
        <v>1710</v>
      </c>
      <c r="FD311" s="48" t="s">
        <v>1710</v>
      </c>
      <c r="FE311" s="48" t="s">
        <v>1814</v>
      </c>
      <c r="FF311" s="48" t="s">
        <v>1815</v>
      </c>
      <c r="FG311" s="48" t="s">
        <v>1710</v>
      </c>
      <c r="FH311">
        <v>2</v>
      </c>
      <c r="FI311" s="48" t="s">
        <v>1846</v>
      </c>
      <c r="FJ311">
        <v>2308.6799999999998</v>
      </c>
      <c r="FK311">
        <v>1154.3399999999999</v>
      </c>
      <c r="FL311" s="48" t="s">
        <v>3883</v>
      </c>
      <c r="FM311" s="48" t="s">
        <v>3882</v>
      </c>
      <c r="FN311" s="48" t="s">
        <v>1710</v>
      </c>
      <c r="FO311" s="48" t="s">
        <v>1710</v>
      </c>
      <c r="FP311" s="48" t="s">
        <v>1710</v>
      </c>
      <c r="FQ311" s="48" t="s">
        <v>1710</v>
      </c>
      <c r="FR311" s="48" t="s">
        <v>1710</v>
      </c>
      <c r="FS311" s="48" t="s">
        <v>1710</v>
      </c>
      <c r="FT311" s="48" t="s">
        <v>1710</v>
      </c>
      <c r="FU311" s="48" t="s">
        <v>1710</v>
      </c>
      <c r="FV311" s="48"/>
      <c r="GA311" s="55"/>
      <c r="GE311" s="61"/>
      <c r="GF311" s="62"/>
      <c r="GI311" s="48"/>
    </row>
    <row r="312" spans="1:191">
      <c r="A312" s="48" t="s">
        <v>5256</v>
      </c>
      <c r="B312" s="48" t="s">
        <v>1821</v>
      </c>
      <c r="C312" s="48" t="s">
        <v>2048</v>
      </c>
      <c r="D312" s="48" t="s">
        <v>2813</v>
      </c>
      <c r="E312" s="48" t="s">
        <v>5256</v>
      </c>
      <c r="F312" s="48" t="s">
        <v>1710</v>
      </c>
      <c r="G312" s="48" t="s">
        <v>2814</v>
      </c>
      <c r="H312" s="48" t="s">
        <v>5257</v>
      </c>
      <c r="I312" s="48" t="s">
        <v>1884</v>
      </c>
      <c r="J312" s="48" t="s">
        <v>2816</v>
      </c>
      <c r="K312" s="48" t="s">
        <v>1877</v>
      </c>
      <c r="L312" s="48" t="s">
        <v>1842</v>
      </c>
      <c r="M312" s="48" t="s">
        <v>1810</v>
      </c>
      <c r="N312" s="48" t="s">
        <v>1842</v>
      </c>
      <c r="O312" s="48" t="s">
        <v>1811</v>
      </c>
      <c r="P312" s="48" t="s">
        <v>2549</v>
      </c>
      <c r="Q312" s="48" t="s">
        <v>2049</v>
      </c>
      <c r="R312" s="48" t="s">
        <v>1838</v>
      </c>
      <c r="S312" s="48" t="s">
        <v>2050</v>
      </c>
      <c r="T312" s="48" t="s">
        <v>1845</v>
      </c>
      <c r="U312" s="48" t="s">
        <v>2049</v>
      </c>
      <c r="V312" s="48" t="s">
        <v>1838</v>
      </c>
      <c r="W312" s="48" t="s">
        <v>2051</v>
      </c>
      <c r="X312" s="48" t="s">
        <v>2052</v>
      </c>
      <c r="Y312" s="48" t="s">
        <v>2050</v>
      </c>
      <c r="Z312" s="48" t="s">
        <v>2053</v>
      </c>
      <c r="AA312" s="48" t="s">
        <v>2054</v>
      </c>
      <c r="AB312" s="48" t="s">
        <v>2817</v>
      </c>
      <c r="AC312" s="48" t="s">
        <v>2055</v>
      </c>
      <c r="AD312" s="48" t="s">
        <v>2056</v>
      </c>
      <c r="AE312" s="48" t="s">
        <v>1710</v>
      </c>
      <c r="AF312" s="48" t="s">
        <v>1710</v>
      </c>
      <c r="AG312" s="48" t="s">
        <v>2057</v>
      </c>
      <c r="AH312" s="48" t="s">
        <v>1815</v>
      </c>
      <c r="AI312" s="48" t="s">
        <v>2058</v>
      </c>
      <c r="AJ312" s="48" t="s">
        <v>1710</v>
      </c>
      <c r="AK312" s="48" t="s">
        <v>2606</v>
      </c>
      <c r="AL312" s="48" t="s">
        <v>1858</v>
      </c>
      <c r="AM312" s="48" t="s">
        <v>1816</v>
      </c>
      <c r="AN312" s="48" t="s">
        <v>2054</v>
      </c>
      <c r="AO312" s="48" t="s">
        <v>1710</v>
      </c>
      <c r="AP312" s="48" t="s">
        <v>1848</v>
      </c>
      <c r="AQ312" s="48" t="s">
        <v>2060</v>
      </c>
      <c r="AR312" s="48" t="s">
        <v>1812</v>
      </c>
      <c r="AS312" s="48" t="s">
        <v>1813</v>
      </c>
      <c r="AT312" s="48" t="s">
        <v>1826</v>
      </c>
      <c r="AU312" s="48" t="s">
        <v>2061</v>
      </c>
      <c r="AV312" s="48" t="s">
        <v>2816</v>
      </c>
      <c r="AW312" s="48" t="s">
        <v>2062</v>
      </c>
      <c r="AX312" s="48" t="s">
        <v>2063</v>
      </c>
      <c r="AY312" s="48" t="s">
        <v>1710</v>
      </c>
      <c r="AZ312" s="48" t="s">
        <v>5258</v>
      </c>
      <c r="BA312" s="48" t="s">
        <v>1710</v>
      </c>
      <c r="BB312" s="48" t="s">
        <v>1709</v>
      </c>
      <c r="BC312" s="48" t="s">
        <v>1710</v>
      </c>
      <c r="BD312" s="48" t="s">
        <v>2097</v>
      </c>
      <c r="BE312" s="52" t="s">
        <v>5122</v>
      </c>
      <c r="BF312" s="48" t="s">
        <v>1710</v>
      </c>
      <c r="BG312" s="48" t="s">
        <v>1814</v>
      </c>
      <c r="BH312">
        <v>4</v>
      </c>
      <c r="BI312" s="48" t="s">
        <v>1888</v>
      </c>
      <c r="BJ312">
        <v>1</v>
      </c>
      <c r="BK312">
        <v>1473.06</v>
      </c>
      <c r="BL312">
        <v>1544171</v>
      </c>
      <c r="BM312">
        <v>1048</v>
      </c>
      <c r="BN312" s="48" t="s">
        <v>2064</v>
      </c>
      <c r="BO312" s="48" t="s">
        <v>2065</v>
      </c>
      <c r="BP312">
        <v>1473.06</v>
      </c>
      <c r="BQ312">
        <v>1098.8499999999999</v>
      </c>
      <c r="BR312" s="48" t="s">
        <v>1885</v>
      </c>
      <c r="BS312" s="48" t="s">
        <v>2066</v>
      </c>
      <c r="BT312">
        <v>1</v>
      </c>
      <c r="BU312">
        <v>74500</v>
      </c>
      <c r="BV312">
        <v>74500</v>
      </c>
      <c r="BW312" s="48" t="s">
        <v>2065</v>
      </c>
      <c r="BX312">
        <v>1473.06</v>
      </c>
      <c r="BY312">
        <v>0</v>
      </c>
      <c r="BZ312">
        <v>0</v>
      </c>
      <c r="CA312" s="48" t="s">
        <v>2065</v>
      </c>
      <c r="CB312">
        <v>1473.06</v>
      </c>
      <c r="CC312">
        <v>0</v>
      </c>
      <c r="CD312">
        <v>0</v>
      </c>
      <c r="CE312" s="48" t="s">
        <v>1710</v>
      </c>
      <c r="CF312" s="48" t="s">
        <v>1710</v>
      </c>
      <c r="CG312" s="48" t="s">
        <v>1710</v>
      </c>
      <c r="CH312" s="48" t="s">
        <v>1710</v>
      </c>
      <c r="CI312" s="48" t="s">
        <v>2067</v>
      </c>
      <c r="CJ312" s="48" t="s">
        <v>1710</v>
      </c>
      <c r="CL312" s="48" t="s">
        <v>2816</v>
      </c>
      <c r="CM312" s="48" t="s">
        <v>1710</v>
      </c>
      <c r="CN312" s="48" t="s">
        <v>2068</v>
      </c>
      <c r="CO312" s="48" t="s">
        <v>2069</v>
      </c>
      <c r="CP312" s="48" t="s">
        <v>1710</v>
      </c>
      <c r="CQ312" s="48" t="s">
        <v>1710</v>
      </c>
      <c r="CR312" s="48" t="s">
        <v>1710</v>
      </c>
      <c r="CS312" s="48" t="s">
        <v>1710</v>
      </c>
      <c r="CT312" s="48" t="s">
        <v>1710</v>
      </c>
      <c r="CU312" s="48" t="s">
        <v>1712</v>
      </c>
      <c r="CV312" s="48" t="s">
        <v>1710</v>
      </c>
      <c r="CW312" s="48" t="s">
        <v>1710</v>
      </c>
      <c r="CX312" s="48" t="s">
        <v>2823</v>
      </c>
      <c r="CY312" s="48" t="s">
        <v>1710</v>
      </c>
      <c r="CZ312" s="48" t="s">
        <v>1712</v>
      </c>
      <c r="DA312" s="48" t="s">
        <v>1710</v>
      </c>
      <c r="DB312" s="48" t="s">
        <v>1878</v>
      </c>
      <c r="DC312" s="48" t="s">
        <v>2070</v>
      </c>
      <c r="DD312" s="48" t="s">
        <v>1842</v>
      </c>
      <c r="DE312" s="48" t="s">
        <v>1886</v>
      </c>
      <c r="DF312" s="48" t="s">
        <v>5259</v>
      </c>
      <c r="DG312" s="48" t="s">
        <v>2071</v>
      </c>
      <c r="DH312" s="48" t="s">
        <v>1712</v>
      </c>
      <c r="DI312" s="48" t="s">
        <v>1710</v>
      </c>
      <c r="DJ312" s="48" t="s">
        <v>1710</v>
      </c>
      <c r="DK312" s="48" t="s">
        <v>1710</v>
      </c>
      <c r="DL312" s="48" t="s">
        <v>1710</v>
      </c>
      <c r="DM312" s="48" t="s">
        <v>1710</v>
      </c>
      <c r="DN312" s="48" t="s">
        <v>1710</v>
      </c>
      <c r="DO312" s="48" t="s">
        <v>1710</v>
      </c>
      <c r="DP312" s="48" t="s">
        <v>1710</v>
      </c>
      <c r="DQ312" s="48" t="s">
        <v>1710</v>
      </c>
      <c r="DR312" s="48" t="s">
        <v>2072</v>
      </c>
      <c r="DS312" s="48" t="s">
        <v>1710</v>
      </c>
      <c r="DT312" s="48" t="s">
        <v>1710</v>
      </c>
      <c r="DU312" s="48" t="s">
        <v>2575</v>
      </c>
      <c r="DV312" s="48" t="s">
        <v>3111</v>
      </c>
      <c r="DW312" s="48" t="s">
        <v>1710</v>
      </c>
      <c r="DX312" s="48" t="s">
        <v>5260</v>
      </c>
      <c r="DY312" s="48" t="s">
        <v>1709</v>
      </c>
      <c r="DZ312" s="48" t="s">
        <v>2562</v>
      </c>
      <c r="EA312" s="48" t="s">
        <v>2546</v>
      </c>
      <c r="EB312">
        <v>0</v>
      </c>
      <c r="EC312" s="48" t="s">
        <v>2575</v>
      </c>
      <c r="ED312" s="48" t="s">
        <v>5255</v>
      </c>
      <c r="EE312" s="48" t="s">
        <v>1814</v>
      </c>
      <c r="EF312" s="48" t="s">
        <v>1881</v>
      </c>
      <c r="EG312" s="48" t="s">
        <v>5258</v>
      </c>
      <c r="EH312">
        <v>2.2000000000000002</v>
      </c>
      <c r="EI312" s="48" t="s">
        <v>1888</v>
      </c>
      <c r="EJ312">
        <v>0</v>
      </c>
      <c r="EK312" s="48" t="s">
        <v>1710</v>
      </c>
      <c r="EL312">
        <v>1</v>
      </c>
      <c r="EM312" s="48" t="s">
        <v>1886</v>
      </c>
      <c r="EN312">
        <v>2.2000000000000002</v>
      </c>
      <c r="EO312" s="48" t="s">
        <v>2601</v>
      </c>
      <c r="EP312" s="48" t="s">
        <v>3882</v>
      </c>
      <c r="EQ312">
        <v>1098.8499999999999</v>
      </c>
      <c r="ER312">
        <v>1098.8499999999999</v>
      </c>
      <c r="ES312">
        <v>1544171</v>
      </c>
      <c r="ET312">
        <v>1048</v>
      </c>
      <c r="EU312" s="48" t="s">
        <v>1710</v>
      </c>
      <c r="EV312" s="48" t="s">
        <v>1710</v>
      </c>
      <c r="EW312" s="48" t="s">
        <v>1712</v>
      </c>
      <c r="EX312" s="48" t="s">
        <v>1710</v>
      </c>
      <c r="EY312" s="48" t="s">
        <v>1848</v>
      </c>
      <c r="EZ312" s="48" t="s">
        <v>1710</v>
      </c>
      <c r="FA312" s="48" t="s">
        <v>1710</v>
      </c>
      <c r="FB312" s="48" t="s">
        <v>1712</v>
      </c>
      <c r="FC312" s="48" t="s">
        <v>1710</v>
      </c>
      <c r="FD312" s="48" t="s">
        <v>1710</v>
      </c>
      <c r="FE312" s="48" t="s">
        <v>1814</v>
      </c>
      <c r="FF312" s="48" t="s">
        <v>1815</v>
      </c>
      <c r="FG312" s="48" t="s">
        <v>1710</v>
      </c>
      <c r="FH312">
        <v>1</v>
      </c>
      <c r="FI312" s="48" t="s">
        <v>1846</v>
      </c>
      <c r="FJ312">
        <v>1098.8499999999999</v>
      </c>
      <c r="FK312">
        <v>1098.8499999999999</v>
      </c>
      <c r="FL312" s="48" t="s">
        <v>3889</v>
      </c>
      <c r="FM312" s="48" t="s">
        <v>3890</v>
      </c>
      <c r="FN312" s="48" t="s">
        <v>1710</v>
      </c>
      <c r="FO312" s="48" t="s">
        <v>1710</v>
      </c>
      <c r="FP312" s="48" t="s">
        <v>1710</v>
      </c>
      <c r="FQ312" s="48" t="s">
        <v>1710</v>
      </c>
      <c r="FR312" s="48" t="s">
        <v>1710</v>
      </c>
      <c r="FS312" s="48" t="s">
        <v>1710</v>
      </c>
      <c r="FT312" s="48" t="s">
        <v>1710</v>
      </c>
      <c r="FU312" s="48" t="s">
        <v>1710</v>
      </c>
      <c r="FV312" s="48"/>
      <c r="GA312" s="55"/>
      <c r="GE312" s="61"/>
      <c r="GF312" s="62"/>
      <c r="GI312" s="48"/>
    </row>
    <row r="313" spans="1:191">
      <c r="A313" s="48" t="s">
        <v>5261</v>
      </c>
      <c r="B313" s="48" t="s">
        <v>1821</v>
      </c>
      <c r="C313" s="48" t="s">
        <v>2048</v>
      </c>
      <c r="D313" s="48" t="s">
        <v>2813</v>
      </c>
      <c r="E313" s="48" t="s">
        <v>5261</v>
      </c>
      <c r="F313" s="48" t="s">
        <v>1710</v>
      </c>
      <c r="G313" s="48" t="s">
        <v>2814</v>
      </c>
      <c r="H313" s="48" t="s">
        <v>5262</v>
      </c>
      <c r="I313" s="48" t="s">
        <v>1884</v>
      </c>
      <c r="J313" s="48" t="s">
        <v>2816</v>
      </c>
      <c r="K313" s="48" t="s">
        <v>1877</v>
      </c>
      <c r="L313" s="48" t="s">
        <v>1842</v>
      </c>
      <c r="M313" s="48" t="s">
        <v>1810</v>
      </c>
      <c r="N313" s="48" t="s">
        <v>1842</v>
      </c>
      <c r="O313" s="48" t="s">
        <v>1811</v>
      </c>
      <c r="P313" s="48" t="s">
        <v>2549</v>
      </c>
      <c r="Q313" s="48" t="s">
        <v>2049</v>
      </c>
      <c r="R313" s="48" t="s">
        <v>1838</v>
      </c>
      <c r="S313" s="48" t="s">
        <v>2050</v>
      </c>
      <c r="T313" s="48" t="s">
        <v>1845</v>
      </c>
      <c r="U313" s="48" t="s">
        <v>2049</v>
      </c>
      <c r="V313" s="48" t="s">
        <v>1838</v>
      </c>
      <c r="W313" s="48" t="s">
        <v>2051</v>
      </c>
      <c r="X313" s="48" t="s">
        <v>2052</v>
      </c>
      <c r="Y313" s="48" t="s">
        <v>2050</v>
      </c>
      <c r="Z313" s="48" t="s">
        <v>2053</v>
      </c>
      <c r="AA313" s="48" t="s">
        <v>2054</v>
      </c>
      <c r="AB313" s="48" t="s">
        <v>2817</v>
      </c>
      <c r="AC313" s="48" t="s">
        <v>2055</v>
      </c>
      <c r="AD313" s="48" t="s">
        <v>2056</v>
      </c>
      <c r="AE313" s="48" t="s">
        <v>1710</v>
      </c>
      <c r="AF313" s="48" t="s">
        <v>1710</v>
      </c>
      <c r="AG313" s="48" t="s">
        <v>2057</v>
      </c>
      <c r="AH313" s="48" t="s">
        <v>1815</v>
      </c>
      <c r="AI313" s="48" t="s">
        <v>2058</v>
      </c>
      <c r="AJ313" s="48" t="s">
        <v>1710</v>
      </c>
      <c r="AK313" s="48" t="s">
        <v>2563</v>
      </c>
      <c r="AL313" s="48" t="s">
        <v>2564</v>
      </c>
      <c r="AM313" s="48" t="s">
        <v>1816</v>
      </c>
      <c r="AN313" s="48" t="s">
        <v>2054</v>
      </c>
      <c r="AO313" s="48" t="s">
        <v>1710</v>
      </c>
      <c r="AP313" s="48" t="s">
        <v>1855</v>
      </c>
      <c r="AQ313" s="48" t="s">
        <v>2076</v>
      </c>
      <c r="AR313" s="48" t="s">
        <v>1812</v>
      </c>
      <c r="AS313" s="48" t="s">
        <v>1813</v>
      </c>
      <c r="AT313" s="48" t="s">
        <v>1826</v>
      </c>
      <c r="AU313" s="48" t="s">
        <v>2061</v>
      </c>
      <c r="AV313" s="48" t="s">
        <v>2816</v>
      </c>
      <c r="AW313" s="48" t="s">
        <v>2062</v>
      </c>
      <c r="AX313" s="48" t="s">
        <v>2063</v>
      </c>
      <c r="AY313" s="48" t="s">
        <v>1710</v>
      </c>
      <c r="AZ313" s="48" t="s">
        <v>5263</v>
      </c>
      <c r="BA313" s="48" t="s">
        <v>1710</v>
      </c>
      <c r="BB313" s="48" t="s">
        <v>1709</v>
      </c>
      <c r="BC313" s="48" t="s">
        <v>1710</v>
      </c>
      <c r="BD313" s="48" t="s">
        <v>2097</v>
      </c>
      <c r="BE313" s="52" t="s">
        <v>5122</v>
      </c>
      <c r="BF313" s="48" t="s">
        <v>1710</v>
      </c>
      <c r="BG313" s="48" t="s">
        <v>1814</v>
      </c>
      <c r="BH313">
        <v>6</v>
      </c>
      <c r="BI313" s="48" t="s">
        <v>1888</v>
      </c>
      <c r="BJ313">
        <v>1</v>
      </c>
      <c r="BK313">
        <v>1473.06</v>
      </c>
      <c r="BL313">
        <v>3360024</v>
      </c>
      <c r="BM313">
        <v>2281</v>
      </c>
      <c r="BN313" s="48" t="s">
        <v>2064</v>
      </c>
      <c r="BO313" s="48" t="s">
        <v>2065</v>
      </c>
      <c r="BP313">
        <v>1473.06</v>
      </c>
      <c r="BQ313">
        <v>2308.6799999999998</v>
      </c>
      <c r="BR313" s="48" t="s">
        <v>1885</v>
      </c>
      <c r="BS313" s="48" t="s">
        <v>2066</v>
      </c>
      <c r="BT313">
        <v>1</v>
      </c>
      <c r="BU313">
        <v>40800</v>
      </c>
      <c r="BV313">
        <v>40800</v>
      </c>
      <c r="BW313" s="48" t="s">
        <v>2065</v>
      </c>
      <c r="BX313">
        <v>1473.06</v>
      </c>
      <c r="BY313">
        <v>0</v>
      </c>
      <c r="BZ313">
        <v>0</v>
      </c>
      <c r="CA313" s="48" t="s">
        <v>2065</v>
      </c>
      <c r="CB313">
        <v>1473.06</v>
      </c>
      <c r="CC313">
        <v>0</v>
      </c>
      <c r="CD313">
        <v>0</v>
      </c>
      <c r="CE313" s="48" t="s">
        <v>1710</v>
      </c>
      <c r="CF313" s="48" t="s">
        <v>1710</v>
      </c>
      <c r="CG313" s="48" t="s">
        <v>1710</v>
      </c>
      <c r="CH313" s="48" t="s">
        <v>1710</v>
      </c>
      <c r="CI313" s="48" t="s">
        <v>2067</v>
      </c>
      <c r="CJ313" s="48" t="s">
        <v>1710</v>
      </c>
      <c r="CL313" s="48" t="s">
        <v>2816</v>
      </c>
      <c r="CM313" s="48" t="s">
        <v>1710</v>
      </c>
      <c r="CN313" s="48" t="s">
        <v>2068</v>
      </c>
      <c r="CO313" s="48" t="s">
        <v>2069</v>
      </c>
      <c r="CP313" s="48" t="s">
        <v>1710</v>
      </c>
      <c r="CQ313" s="48" t="s">
        <v>1710</v>
      </c>
      <c r="CR313" s="48" t="s">
        <v>1710</v>
      </c>
      <c r="CS313" s="48" t="s">
        <v>1710</v>
      </c>
      <c r="CT313" s="48" t="s">
        <v>1710</v>
      </c>
      <c r="CU313" s="48" t="s">
        <v>1712</v>
      </c>
      <c r="CV313" s="48" t="s">
        <v>1710</v>
      </c>
      <c r="CW313" s="48" t="s">
        <v>1710</v>
      </c>
      <c r="CX313" s="48" t="s">
        <v>2823</v>
      </c>
      <c r="CY313" s="48" t="s">
        <v>1710</v>
      </c>
      <c r="CZ313" s="48" t="s">
        <v>1712</v>
      </c>
      <c r="DA313" s="48" t="s">
        <v>1710</v>
      </c>
      <c r="DB313" s="48" t="s">
        <v>1878</v>
      </c>
      <c r="DC313" s="48" t="s">
        <v>2070</v>
      </c>
      <c r="DD313" s="48" t="s">
        <v>1842</v>
      </c>
      <c r="DE313" s="48" t="s">
        <v>1886</v>
      </c>
      <c r="DF313" s="48" t="s">
        <v>5264</v>
      </c>
      <c r="DG313" s="48" t="s">
        <v>2071</v>
      </c>
      <c r="DH313" s="48" t="s">
        <v>1712</v>
      </c>
      <c r="DI313" s="48" t="s">
        <v>1710</v>
      </c>
      <c r="DJ313" s="48" t="s">
        <v>1710</v>
      </c>
      <c r="DK313" s="48" t="s">
        <v>1710</v>
      </c>
      <c r="DL313" s="48" t="s">
        <v>1710</v>
      </c>
      <c r="DM313" s="48" t="s">
        <v>1710</v>
      </c>
      <c r="DN313" s="48" t="s">
        <v>1710</v>
      </c>
      <c r="DO313" s="48" t="s">
        <v>1710</v>
      </c>
      <c r="DP313" s="48" t="s">
        <v>1710</v>
      </c>
      <c r="DQ313" s="48" t="s">
        <v>1710</v>
      </c>
      <c r="DR313" s="48" t="s">
        <v>2072</v>
      </c>
      <c r="DS313" s="48" t="s">
        <v>1710</v>
      </c>
      <c r="DT313" s="48" t="s">
        <v>1710</v>
      </c>
      <c r="DU313" s="48" t="s">
        <v>2575</v>
      </c>
      <c r="DV313" s="48" t="s">
        <v>3111</v>
      </c>
      <c r="DW313" s="48" t="s">
        <v>1710</v>
      </c>
      <c r="DX313" s="48" t="s">
        <v>5265</v>
      </c>
      <c r="DY313" s="48" t="s">
        <v>1709</v>
      </c>
      <c r="DZ313" s="48" t="s">
        <v>2562</v>
      </c>
      <c r="EA313" s="48" t="s">
        <v>2546</v>
      </c>
      <c r="EB313">
        <v>0</v>
      </c>
      <c r="EC313" s="48" t="s">
        <v>2575</v>
      </c>
      <c r="ED313" s="48" t="s">
        <v>5255</v>
      </c>
      <c r="EE313" s="48" t="s">
        <v>1814</v>
      </c>
      <c r="EF313" s="48" t="s">
        <v>1881</v>
      </c>
      <c r="EG313" s="48" t="s">
        <v>5263</v>
      </c>
      <c r="EH313">
        <v>4</v>
      </c>
      <c r="EI313" s="48" t="s">
        <v>1888</v>
      </c>
      <c r="EJ313">
        <v>0</v>
      </c>
      <c r="EK313" s="48" t="s">
        <v>1710</v>
      </c>
      <c r="EL313">
        <v>1</v>
      </c>
      <c r="EM313" s="48" t="s">
        <v>1886</v>
      </c>
      <c r="EN313">
        <v>4</v>
      </c>
      <c r="EO313" s="48" t="s">
        <v>2601</v>
      </c>
      <c r="EP313" s="48" t="s">
        <v>3882</v>
      </c>
      <c r="EQ313">
        <v>2308.6799999999998</v>
      </c>
      <c r="ER313">
        <v>2308.6799999999998</v>
      </c>
      <c r="ES313">
        <v>3360024</v>
      </c>
      <c r="ET313">
        <v>2281</v>
      </c>
      <c r="EU313" s="48" t="s">
        <v>1710</v>
      </c>
      <c r="EV313" s="48" t="s">
        <v>1710</v>
      </c>
      <c r="EW313" s="48" t="s">
        <v>1712</v>
      </c>
      <c r="EX313" s="48" t="s">
        <v>1710</v>
      </c>
      <c r="EY313" s="48" t="s">
        <v>1848</v>
      </c>
      <c r="EZ313" s="48" t="s">
        <v>1710</v>
      </c>
      <c r="FA313" s="48" t="s">
        <v>1710</v>
      </c>
      <c r="FB313" s="48" t="s">
        <v>1712</v>
      </c>
      <c r="FC313" s="48" t="s">
        <v>1710</v>
      </c>
      <c r="FD313" s="48" t="s">
        <v>1710</v>
      </c>
      <c r="FE313" s="48" t="s">
        <v>1814</v>
      </c>
      <c r="FF313" s="48" t="s">
        <v>1815</v>
      </c>
      <c r="FG313" s="48" t="s">
        <v>1710</v>
      </c>
      <c r="FH313">
        <v>2</v>
      </c>
      <c r="FI313" s="48" t="s">
        <v>1846</v>
      </c>
      <c r="FJ313">
        <v>2308.6799999999998</v>
      </c>
      <c r="FK313">
        <v>1154.3399999999999</v>
      </c>
      <c r="FL313" s="48" t="s">
        <v>3883</v>
      </c>
      <c r="FM313" s="48" t="s">
        <v>3882</v>
      </c>
      <c r="FN313" s="48" t="s">
        <v>1710</v>
      </c>
      <c r="FO313" s="48" t="s">
        <v>1710</v>
      </c>
      <c r="FP313" s="48" t="s">
        <v>1710</v>
      </c>
      <c r="FQ313" s="48" t="s">
        <v>1710</v>
      </c>
      <c r="FR313" s="48" t="s">
        <v>1710</v>
      </c>
      <c r="FS313" s="48" t="s">
        <v>1710</v>
      </c>
      <c r="FT313" s="48" t="s">
        <v>1710</v>
      </c>
      <c r="FU313" s="48" t="s">
        <v>1710</v>
      </c>
      <c r="FV313" s="48"/>
      <c r="GA313" s="55"/>
      <c r="GE313" s="61"/>
      <c r="GF313" s="62"/>
      <c r="GI313" s="48"/>
    </row>
    <row r="314" spans="1:191">
      <c r="A314" s="48" t="s">
        <v>5266</v>
      </c>
      <c r="B314" s="48" t="s">
        <v>1821</v>
      </c>
      <c r="C314" s="48" t="s">
        <v>2048</v>
      </c>
      <c r="D314" s="48" t="s">
        <v>2813</v>
      </c>
      <c r="E314" s="48" t="s">
        <v>5266</v>
      </c>
      <c r="F314" s="48" t="s">
        <v>1710</v>
      </c>
      <c r="G314" s="48" t="s">
        <v>2814</v>
      </c>
      <c r="H314" s="48" t="s">
        <v>5267</v>
      </c>
      <c r="I314" s="48" t="s">
        <v>1884</v>
      </c>
      <c r="J314" s="48" t="s">
        <v>2816</v>
      </c>
      <c r="K314" s="48" t="s">
        <v>1877</v>
      </c>
      <c r="L314" s="48" t="s">
        <v>1842</v>
      </c>
      <c r="M314" s="48" t="s">
        <v>1810</v>
      </c>
      <c r="N314" s="48" t="s">
        <v>1842</v>
      </c>
      <c r="O314" s="48" t="s">
        <v>1811</v>
      </c>
      <c r="P314" s="48" t="s">
        <v>2549</v>
      </c>
      <c r="Q314" s="48" t="s">
        <v>2049</v>
      </c>
      <c r="R314" s="48" t="s">
        <v>1838</v>
      </c>
      <c r="S314" s="48" t="s">
        <v>2050</v>
      </c>
      <c r="T314" s="48" t="s">
        <v>1845</v>
      </c>
      <c r="U314" s="48" t="s">
        <v>2049</v>
      </c>
      <c r="V314" s="48" t="s">
        <v>1838</v>
      </c>
      <c r="W314" s="48" t="s">
        <v>2051</v>
      </c>
      <c r="X314" s="48" t="s">
        <v>2052</v>
      </c>
      <c r="Y314" s="48" t="s">
        <v>2050</v>
      </c>
      <c r="Z314" s="48" t="s">
        <v>2053</v>
      </c>
      <c r="AA314" s="48" t="s">
        <v>2054</v>
      </c>
      <c r="AB314" s="48" t="s">
        <v>2817</v>
      </c>
      <c r="AC314" s="48" t="s">
        <v>2055</v>
      </c>
      <c r="AD314" s="48" t="s">
        <v>2056</v>
      </c>
      <c r="AE314" s="48" t="s">
        <v>1710</v>
      </c>
      <c r="AF314" s="48" t="s">
        <v>1710</v>
      </c>
      <c r="AG314" s="48" t="s">
        <v>2057</v>
      </c>
      <c r="AH314" s="48" t="s">
        <v>1815</v>
      </c>
      <c r="AI314" s="48" t="s">
        <v>2058</v>
      </c>
      <c r="AJ314" s="48" t="s">
        <v>1710</v>
      </c>
      <c r="AK314" s="48" t="s">
        <v>2563</v>
      </c>
      <c r="AL314" s="48" t="s">
        <v>2564</v>
      </c>
      <c r="AM314" s="48" t="s">
        <v>1816</v>
      </c>
      <c r="AN314" s="48" t="s">
        <v>2054</v>
      </c>
      <c r="AO314" s="48" t="s">
        <v>1710</v>
      </c>
      <c r="AP314" s="48" t="s">
        <v>1855</v>
      </c>
      <c r="AQ314" s="48" t="s">
        <v>2076</v>
      </c>
      <c r="AR314" s="48" t="s">
        <v>1812</v>
      </c>
      <c r="AS314" s="48" t="s">
        <v>1813</v>
      </c>
      <c r="AT314" s="48" t="s">
        <v>1826</v>
      </c>
      <c r="AU314" s="48" t="s">
        <v>2061</v>
      </c>
      <c r="AV314" s="48" t="s">
        <v>2816</v>
      </c>
      <c r="AW314" s="48" t="s">
        <v>2062</v>
      </c>
      <c r="AX314" s="48" t="s">
        <v>2063</v>
      </c>
      <c r="AY314" s="48" t="s">
        <v>1710</v>
      </c>
      <c r="AZ314" s="48" t="s">
        <v>5268</v>
      </c>
      <c r="BA314" s="48" t="s">
        <v>1710</v>
      </c>
      <c r="BB314" s="48" t="s">
        <v>1709</v>
      </c>
      <c r="BC314" s="48" t="s">
        <v>1710</v>
      </c>
      <c r="BD314" s="48" t="s">
        <v>2097</v>
      </c>
      <c r="BE314" s="52" t="s">
        <v>5122</v>
      </c>
      <c r="BF314" s="48" t="s">
        <v>1710</v>
      </c>
      <c r="BG314" s="48" t="s">
        <v>1818</v>
      </c>
      <c r="BH314">
        <v>29</v>
      </c>
      <c r="BI314" s="48" t="s">
        <v>1888</v>
      </c>
      <c r="BJ314">
        <v>1</v>
      </c>
      <c r="BK314">
        <v>1473.06</v>
      </c>
      <c r="BL314">
        <v>19600476</v>
      </c>
      <c r="BM314">
        <v>13306</v>
      </c>
      <c r="BN314" s="48" t="s">
        <v>2064</v>
      </c>
      <c r="BO314" s="48" t="s">
        <v>2065</v>
      </c>
      <c r="BP314">
        <v>1473.06</v>
      </c>
      <c r="BQ314">
        <v>13404.53</v>
      </c>
      <c r="BR314" s="48" t="s">
        <v>1885</v>
      </c>
      <c r="BS314" s="48" t="s">
        <v>2066</v>
      </c>
      <c r="BT314">
        <v>1</v>
      </c>
      <c r="BU314">
        <v>145200</v>
      </c>
      <c r="BV314">
        <v>145200</v>
      </c>
      <c r="BW314" s="48" t="s">
        <v>2065</v>
      </c>
      <c r="BX314">
        <v>1473.06</v>
      </c>
      <c r="BY314">
        <v>0</v>
      </c>
      <c r="BZ314">
        <v>0</v>
      </c>
      <c r="CA314" s="48" t="s">
        <v>2065</v>
      </c>
      <c r="CB314">
        <v>1473.06</v>
      </c>
      <c r="CC314">
        <v>0</v>
      </c>
      <c r="CD314">
        <v>0</v>
      </c>
      <c r="CE314" s="48" t="s">
        <v>1710</v>
      </c>
      <c r="CF314" s="48" t="s">
        <v>1710</v>
      </c>
      <c r="CG314" s="48" t="s">
        <v>1710</v>
      </c>
      <c r="CH314" s="48" t="s">
        <v>1710</v>
      </c>
      <c r="CI314" s="48" t="s">
        <v>2067</v>
      </c>
      <c r="CJ314" s="48" t="s">
        <v>1710</v>
      </c>
      <c r="CL314" s="48" t="s">
        <v>2816</v>
      </c>
      <c r="CM314" s="48" t="s">
        <v>1710</v>
      </c>
      <c r="CN314" s="48" t="s">
        <v>2068</v>
      </c>
      <c r="CO314" s="48" t="s">
        <v>2069</v>
      </c>
      <c r="CP314" s="48" t="s">
        <v>1710</v>
      </c>
      <c r="CQ314" s="48" t="s">
        <v>1710</v>
      </c>
      <c r="CR314" s="48" t="s">
        <v>1710</v>
      </c>
      <c r="CS314" s="48" t="s">
        <v>1710</v>
      </c>
      <c r="CT314" s="48" t="s">
        <v>1710</v>
      </c>
      <c r="CU314" s="48" t="s">
        <v>1712</v>
      </c>
      <c r="CV314" s="48" t="s">
        <v>1710</v>
      </c>
      <c r="CW314" s="48" t="s">
        <v>1710</v>
      </c>
      <c r="CX314" s="48" t="s">
        <v>2823</v>
      </c>
      <c r="CY314" s="48" t="s">
        <v>1710</v>
      </c>
      <c r="CZ314" s="48" t="s">
        <v>1712</v>
      </c>
      <c r="DA314" s="48" t="s">
        <v>1710</v>
      </c>
      <c r="DB314" s="48" t="s">
        <v>1878</v>
      </c>
      <c r="DC314" s="48" t="s">
        <v>2070</v>
      </c>
      <c r="DD314" s="48" t="s">
        <v>1842</v>
      </c>
      <c r="DE314" s="48" t="s">
        <v>1886</v>
      </c>
      <c r="DF314" s="48" t="s">
        <v>5269</v>
      </c>
      <c r="DG314" s="48" t="s">
        <v>2071</v>
      </c>
      <c r="DH314" s="48" t="s">
        <v>1712</v>
      </c>
      <c r="DI314" s="48" t="s">
        <v>1710</v>
      </c>
      <c r="DJ314" s="48" t="s">
        <v>1710</v>
      </c>
      <c r="DK314" s="48" t="s">
        <v>1710</v>
      </c>
      <c r="DL314" s="48" t="s">
        <v>1710</v>
      </c>
      <c r="DM314" s="48" t="s">
        <v>1710</v>
      </c>
      <c r="DN314" s="48" t="s">
        <v>1710</v>
      </c>
      <c r="DO314" s="48" t="s">
        <v>1710</v>
      </c>
      <c r="DP314" s="48" t="s">
        <v>1710</v>
      </c>
      <c r="DQ314" s="48" t="s">
        <v>1710</v>
      </c>
      <c r="DR314" s="48" t="s">
        <v>2072</v>
      </c>
      <c r="DS314" s="48" t="s">
        <v>1710</v>
      </c>
      <c r="DT314" s="48" t="s">
        <v>1710</v>
      </c>
      <c r="DU314" s="48" t="s">
        <v>2575</v>
      </c>
      <c r="DV314" s="48" t="s">
        <v>3111</v>
      </c>
      <c r="DW314" s="48" t="s">
        <v>1710</v>
      </c>
      <c r="DX314" s="48" t="s">
        <v>5270</v>
      </c>
      <c r="DY314" s="48" t="s">
        <v>1709</v>
      </c>
      <c r="DZ314" s="48" t="s">
        <v>2562</v>
      </c>
      <c r="EA314" s="48" t="s">
        <v>2546</v>
      </c>
      <c r="EB314">
        <v>0</v>
      </c>
      <c r="EC314" s="48" t="s">
        <v>2575</v>
      </c>
      <c r="ED314" s="48" t="s">
        <v>5271</v>
      </c>
      <c r="EE314" s="48" t="s">
        <v>1814</v>
      </c>
      <c r="EF314" s="48" t="s">
        <v>5272</v>
      </c>
      <c r="EG314" s="48" t="s">
        <v>5268</v>
      </c>
      <c r="EH314">
        <v>1.05</v>
      </c>
      <c r="EI314" s="48" t="s">
        <v>1888</v>
      </c>
      <c r="EJ314">
        <v>7</v>
      </c>
      <c r="EK314" s="48" t="s">
        <v>1887</v>
      </c>
      <c r="EL314">
        <v>1</v>
      </c>
      <c r="EM314" s="48" t="s">
        <v>1886</v>
      </c>
      <c r="EN314">
        <v>1.05</v>
      </c>
      <c r="EO314" s="48" t="s">
        <v>5273</v>
      </c>
      <c r="EP314" s="48" t="s">
        <v>5274</v>
      </c>
      <c r="EQ314">
        <v>494.51</v>
      </c>
      <c r="ER314">
        <v>494.51</v>
      </c>
      <c r="ES314">
        <v>723086</v>
      </c>
      <c r="ET314">
        <v>491</v>
      </c>
      <c r="EU314" s="48" t="s">
        <v>1710</v>
      </c>
      <c r="EV314" s="48" t="s">
        <v>1710</v>
      </c>
      <c r="EW314" s="48" t="s">
        <v>1712</v>
      </c>
      <c r="EX314" s="48" t="s">
        <v>1710</v>
      </c>
      <c r="EY314" s="48" t="s">
        <v>1848</v>
      </c>
      <c r="EZ314" s="48" t="s">
        <v>1710</v>
      </c>
      <c r="FA314" s="48" t="s">
        <v>1710</v>
      </c>
      <c r="FB314" s="48" t="s">
        <v>1712</v>
      </c>
      <c r="FC314" s="48" t="s">
        <v>1710</v>
      </c>
      <c r="FD314" s="48" t="s">
        <v>1710</v>
      </c>
      <c r="FE314" s="48" t="s">
        <v>1814</v>
      </c>
      <c r="FF314" s="48" t="s">
        <v>1815</v>
      </c>
      <c r="FG314" s="48" t="s">
        <v>1710</v>
      </c>
      <c r="FH314">
        <v>7</v>
      </c>
      <c r="FI314" s="48" t="s">
        <v>1846</v>
      </c>
      <c r="FJ314">
        <v>494.51</v>
      </c>
      <c r="FK314">
        <v>70.644000000000005</v>
      </c>
      <c r="FL314" s="48" t="s">
        <v>5275</v>
      </c>
      <c r="FM314" s="48" t="s">
        <v>5274</v>
      </c>
      <c r="FN314" s="48" t="s">
        <v>1710</v>
      </c>
      <c r="FO314" s="48" t="s">
        <v>1710</v>
      </c>
      <c r="FP314" s="48" t="s">
        <v>1710</v>
      </c>
      <c r="FQ314" s="48" t="s">
        <v>1710</v>
      </c>
      <c r="FR314" s="48" t="s">
        <v>1710</v>
      </c>
      <c r="FS314" s="48" t="s">
        <v>1710</v>
      </c>
      <c r="FT314" s="48" t="s">
        <v>1710</v>
      </c>
      <c r="FU314" s="48" t="s">
        <v>1710</v>
      </c>
      <c r="FV314" s="48"/>
      <c r="GA314" s="55"/>
      <c r="GE314" s="61"/>
      <c r="GF314" s="62"/>
      <c r="GI314" s="48"/>
    </row>
    <row r="315" spans="1:191">
      <c r="A315" s="48" t="s">
        <v>5276</v>
      </c>
      <c r="B315" s="48" t="s">
        <v>1821</v>
      </c>
      <c r="C315" s="48" t="s">
        <v>2048</v>
      </c>
      <c r="D315" s="48" t="s">
        <v>2813</v>
      </c>
      <c r="E315" s="48" t="s">
        <v>5276</v>
      </c>
      <c r="F315" s="48" t="s">
        <v>1710</v>
      </c>
      <c r="G315" s="48" t="s">
        <v>2814</v>
      </c>
      <c r="H315" s="48" t="s">
        <v>5277</v>
      </c>
      <c r="I315" s="48" t="s">
        <v>1884</v>
      </c>
      <c r="J315" s="48" t="s">
        <v>2816</v>
      </c>
      <c r="K315" s="48" t="s">
        <v>1877</v>
      </c>
      <c r="L315" s="48" t="s">
        <v>1842</v>
      </c>
      <c r="M315" s="48" t="s">
        <v>1810</v>
      </c>
      <c r="N315" s="48" t="s">
        <v>1842</v>
      </c>
      <c r="O315" s="48" t="s">
        <v>1811</v>
      </c>
      <c r="P315" s="48" t="s">
        <v>2549</v>
      </c>
      <c r="Q315" s="48" t="s">
        <v>2049</v>
      </c>
      <c r="R315" s="48" t="s">
        <v>1838</v>
      </c>
      <c r="S315" s="48" t="s">
        <v>2050</v>
      </c>
      <c r="T315" s="48" t="s">
        <v>1845</v>
      </c>
      <c r="U315" s="48" t="s">
        <v>2049</v>
      </c>
      <c r="V315" s="48" t="s">
        <v>1838</v>
      </c>
      <c r="W315" s="48" t="s">
        <v>2051</v>
      </c>
      <c r="X315" s="48" t="s">
        <v>2052</v>
      </c>
      <c r="Y315" s="48" t="s">
        <v>2050</v>
      </c>
      <c r="Z315" s="48" t="s">
        <v>2053</v>
      </c>
      <c r="AA315" s="48" t="s">
        <v>2054</v>
      </c>
      <c r="AB315" s="48" t="s">
        <v>2817</v>
      </c>
      <c r="AC315" s="48" t="s">
        <v>2055</v>
      </c>
      <c r="AD315" s="48" t="s">
        <v>2056</v>
      </c>
      <c r="AE315" s="48" t="s">
        <v>1710</v>
      </c>
      <c r="AF315" s="48" t="s">
        <v>1710</v>
      </c>
      <c r="AG315" s="48" t="s">
        <v>2057</v>
      </c>
      <c r="AH315" s="48" t="s">
        <v>1815</v>
      </c>
      <c r="AI315" s="48" t="s">
        <v>2058</v>
      </c>
      <c r="AJ315" s="48" t="s">
        <v>1710</v>
      </c>
      <c r="AK315" s="48" t="s">
        <v>2080</v>
      </c>
      <c r="AL315" s="48" t="s">
        <v>1866</v>
      </c>
      <c r="AM315" s="48" t="s">
        <v>1816</v>
      </c>
      <c r="AN315" s="48" t="s">
        <v>2054</v>
      </c>
      <c r="AO315" s="48" t="s">
        <v>1710</v>
      </c>
      <c r="AP315" s="48" t="s">
        <v>1854</v>
      </c>
      <c r="AQ315" s="48" t="s">
        <v>2081</v>
      </c>
      <c r="AR315" s="48" t="s">
        <v>1812</v>
      </c>
      <c r="AS315" s="48" t="s">
        <v>1813</v>
      </c>
      <c r="AT315" s="48" t="s">
        <v>1826</v>
      </c>
      <c r="AU315" s="48" t="s">
        <v>2061</v>
      </c>
      <c r="AV315" s="48" t="s">
        <v>2816</v>
      </c>
      <c r="AW315" s="48" t="s">
        <v>2062</v>
      </c>
      <c r="AX315" s="48" t="s">
        <v>2063</v>
      </c>
      <c r="AY315" s="48" t="s">
        <v>1710</v>
      </c>
      <c r="AZ315" s="48" t="s">
        <v>5278</v>
      </c>
      <c r="BA315" s="48" t="s">
        <v>1710</v>
      </c>
      <c r="BB315" s="48" t="s">
        <v>1709</v>
      </c>
      <c r="BC315" s="48" t="s">
        <v>1710</v>
      </c>
      <c r="BD315" s="48" t="s">
        <v>2097</v>
      </c>
      <c r="BE315" s="52" t="s">
        <v>5122</v>
      </c>
      <c r="BF315" s="48" t="s">
        <v>1710</v>
      </c>
      <c r="BG315" s="48" t="s">
        <v>1817</v>
      </c>
      <c r="BH315">
        <v>6</v>
      </c>
      <c r="BI315" s="48" t="s">
        <v>1888</v>
      </c>
      <c r="BJ315">
        <v>1</v>
      </c>
      <c r="BK315">
        <v>1473.06</v>
      </c>
      <c r="BL315">
        <v>4021908</v>
      </c>
      <c r="BM315">
        <v>2730</v>
      </c>
      <c r="BN315" s="48" t="s">
        <v>2064</v>
      </c>
      <c r="BO315" s="48" t="s">
        <v>2065</v>
      </c>
      <c r="BP315">
        <v>1473.06</v>
      </c>
      <c r="BQ315">
        <v>2789.37</v>
      </c>
      <c r="BR315" s="48" t="s">
        <v>1885</v>
      </c>
      <c r="BS315" s="48" t="s">
        <v>2066</v>
      </c>
      <c r="BT315">
        <v>1</v>
      </c>
      <c r="BU315">
        <v>87000</v>
      </c>
      <c r="BV315">
        <v>87000</v>
      </c>
      <c r="BW315" s="48" t="s">
        <v>2065</v>
      </c>
      <c r="BX315">
        <v>1473.06</v>
      </c>
      <c r="BY315">
        <v>0</v>
      </c>
      <c r="BZ315">
        <v>0</v>
      </c>
      <c r="CA315" s="48" t="s">
        <v>2065</v>
      </c>
      <c r="CB315">
        <v>1473.06</v>
      </c>
      <c r="CC315">
        <v>0</v>
      </c>
      <c r="CD315">
        <v>0</v>
      </c>
      <c r="CE315" s="48" t="s">
        <v>1710</v>
      </c>
      <c r="CF315" s="48" t="s">
        <v>1710</v>
      </c>
      <c r="CG315" s="48" t="s">
        <v>1710</v>
      </c>
      <c r="CH315" s="48" t="s">
        <v>1710</v>
      </c>
      <c r="CI315" s="48" t="s">
        <v>2067</v>
      </c>
      <c r="CJ315" s="48" t="s">
        <v>1710</v>
      </c>
      <c r="CL315" s="48" t="s">
        <v>2816</v>
      </c>
      <c r="CM315" s="48" t="s">
        <v>1710</v>
      </c>
      <c r="CN315" s="48" t="s">
        <v>2068</v>
      </c>
      <c r="CO315" s="48" t="s">
        <v>2069</v>
      </c>
      <c r="CP315" s="48" t="s">
        <v>1710</v>
      </c>
      <c r="CQ315" s="48" t="s">
        <v>1710</v>
      </c>
      <c r="CR315" s="48" t="s">
        <v>1710</v>
      </c>
      <c r="CS315" s="48" t="s">
        <v>1710</v>
      </c>
      <c r="CT315" s="48" t="s">
        <v>1710</v>
      </c>
      <c r="CU315" s="48" t="s">
        <v>1712</v>
      </c>
      <c r="CV315" s="48" t="s">
        <v>1710</v>
      </c>
      <c r="CW315" s="48" t="s">
        <v>1710</v>
      </c>
      <c r="CX315" s="48" t="s">
        <v>2823</v>
      </c>
      <c r="CY315" s="48" t="s">
        <v>1710</v>
      </c>
      <c r="CZ315" s="48" t="s">
        <v>1712</v>
      </c>
      <c r="DA315" s="48" t="s">
        <v>1710</v>
      </c>
      <c r="DB315" s="48" t="s">
        <v>1878</v>
      </c>
      <c r="DC315" s="48" t="s">
        <v>2070</v>
      </c>
      <c r="DD315" s="48" t="s">
        <v>1842</v>
      </c>
      <c r="DE315" s="48" t="s">
        <v>1886</v>
      </c>
      <c r="DF315" s="48" t="s">
        <v>5279</v>
      </c>
      <c r="DG315" s="48" t="s">
        <v>2071</v>
      </c>
      <c r="DH315" s="48" t="s">
        <v>1712</v>
      </c>
      <c r="DI315" s="48" t="s">
        <v>1710</v>
      </c>
      <c r="DJ315" s="48" t="s">
        <v>1710</v>
      </c>
      <c r="DK315" s="48" t="s">
        <v>1710</v>
      </c>
      <c r="DL315" s="48" t="s">
        <v>1710</v>
      </c>
      <c r="DM315" s="48" t="s">
        <v>1710</v>
      </c>
      <c r="DN315" s="48" t="s">
        <v>1710</v>
      </c>
      <c r="DO315" s="48" t="s">
        <v>1710</v>
      </c>
      <c r="DP315" s="48" t="s">
        <v>1710</v>
      </c>
      <c r="DQ315" s="48" t="s">
        <v>1710</v>
      </c>
      <c r="DR315" s="48" t="s">
        <v>2072</v>
      </c>
      <c r="DS315" s="48" t="s">
        <v>1710</v>
      </c>
      <c r="DT315" s="48" t="s">
        <v>1710</v>
      </c>
      <c r="DU315" s="48" t="s">
        <v>2575</v>
      </c>
      <c r="DV315" s="48" t="s">
        <v>2825</v>
      </c>
      <c r="DW315" s="48" t="s">
        <v>1710</v>
      </c>
      <c r="DX315" s="48" t="s">
        <v>5280</v>
      </c>
      <c r="DY315" s="48" t="s">
        <v>1709</v>
      </c>
      <c r="DZ315" s="48" t="s">
        <v>2562</v>
      </c>
      <c r="EA315" s="48" t="s">
        <v>2546</v>
      </c>
      <c r="EB315">
        <v>0</v>
      </c>
      <c r="EC315" s="48" t="s">
        <v>2575</v>
      </c>
      <c r="ED315" s="48" t="s">
        <v>5271</v>
      </c>
      <c r="EE315" s="48" t="s">
        <v>1814</v>
      </c>
      <c r="EF315" s="48" t="s">
        <v>1849</v>
      </c>
      <c r="EG315" s="48" t="s">
        <v>5278</v>
      </c>
      <c r="EH315">
        <v>0.12</v>
      </c>
      <c r="EI315" s="48" t="s">
        <v>1888</v>
      </c>
      <c r="EJ315">
        <v>1</v>
      </c>
      <c r="EK315" s="48" t="s">
        <v>1887</v>
      </c>
      <c r="EL315">
        <v>1</v>
      </c>
      <c r="EM315" s="48" t="s">
        <v>1886</v>
      </c>
      <c r="EN315">
        <v>0.12</v>
      </c>
      <c r="EO315" s="48" t="s">
        <v>2526</v>
      </c>
      <c r="EP315" s="48" t="s">
        <v>5281</v>
      </c>
      <c r="EQ315">
        <v>591.67999999999995</v>
      </c>
      <c r="ER315">
        <v>591.67999999999995</v>
      </c>
      <c r="ES315">
        <v>853125</v>
      </c>
      <c r="ET315">
        <v>579</v>
      </c>
      <c r="EU315" s="48" t="s">
        <v>1710</v>
      </c>
      <c r="EV315" s="48" t="s">
        <v>1710</v>
      </c>
      <c r="EW315" s="48" t="s">
        <v>1712</v>
      </c>
      <c r="EX315" s="48" t="s">
        <v>1710</v>
      </c>
      <c r="EY315" s="48" t="s">
        <v>5282</v>
      </c>
      <c r="EZ315" s="48" t="s">
        <v>1710</v>
      </c>
      <c r="FA315" s="48" t="s">
        <v>1710</v>
      </c>
      <c r="FB315" s="48" t="s">
        <v>1712</v>
      </c>
      <c r="FC315" s="48" t="s">
        <v>1710</v>
      </c>
      <c r="FD315" s="48" t="s">
        <v>1710</v>
      </c>
      <c r="FE315" s="48" t="s">
        <v>1814</v>
      </c>
      <c r="FF315" s="48" t="s">
        <v>1815</v>
      </c>
      <c r="FG315" s="48" t="s">
        <v>1710</v>
      </c>
      <c r="FH315">
        <v>1</v>
      </c>
      <c r="FI315" s="48" t="s">
        <v>1846</v>
      </c>
      <c r="FJ315">
        <v>591.67999999999995</v>
      </c>
      <c r="FK315">
        <v>591.67999999999995</v>
      </c>
      <c r="FL315" s="48" t="s">
        <v>5283</v>
      </c>
      <c r="FM315" s="48" t="s">
        <v>5281</v>
      </c>
      <c r="FN315" s="48" t="s">
        <v>1710</v>
      </c>
      <c r="FO315" s="48" t="s">
        <v>1710</v>
      </c>
      <c r="FP315" s="48" t="s">
        <v>1710</v>
      </c>
      <c r="FQ315" s="48" t="s">
        <v>1710</v>
      </c>
      <c r="FR315" s="48" t="s">
        <v>1710</v>
      </c>
      <c r="FS315" s="48" t="s">
        <v>1710</v>
      </c>
      <c r="FT315" s="48" t="s">
        <v>1710</v>
      </c>
      <c r="FU315" s="48" t="s">
        <v>1710</v>
      </c>
      <c r="FV315" s="48"/>
      <c r="GA315" s="55"/>
      <c r="GE315" s="61"/>
      <c r="GF315" s="62"/>
      <c r="GI315" s="48"/>
    </row>
    <row r="316" spans="1:191">
      <c r="A316" s="48" t="s">
        <v>5284</v>
      </c>
      <c r="B316" s="48" t="s">
        <v>1821</v>
      </c>
      <c r="C316" s="48" t="s">
        <v>2048</v>
      </c>
      <c r="D316" s="48" t="s">
        <v>2813</v>
      </c>
      <c r="E316" s="48" t="s">
        <v>5284</v>
      </c>
      <c r="F316" s="48" t="s">
        <v>1710</v>
      </c>
      <c r="G316" s="48" t="s">
        <v>2814</v>
      </c>
      <c r="H316" s="48" t="s">
        <v>5285</v>
      </c>
      <c r="I316" s="48" t="s">
        <v>1884</v>
      </c>
      <c r="J316" s="48" t="s">
        <v>2816</v>
      </c>
      <c r="K316" s="48" t="s">
        <v>1877</v>
      </c>
      <c r="L316" s="48" t="s">
        <v>1844</v>
      </c>
      <c r="M316" s="48" t="s">
        <v>1810</v>
      </c>
      <c r="N316" s="48" t="s">
        <v>1842</v>
      </c>
      <c r="O316" s="48" t="s">
        <v>1811</v>
      </c>
      <c r="P316" s="48" t="s">
        <v>2549</v>
      </c>
      <c r="Q316" s="48" t="s">
        <v>2049</v>
      </c>
      <c r="R316" s="48" t="s">
        <v>1838</v>
      </c>
      <c r="S316" s="48" t="s">
        <v>2050</v>
      </c>
      <c r="T316" s="48" t="s">
        <v>1845</v>
      </c>
      <c r="U316" s="48" t="s">
        <v>2049</v>
      </c>
      <c r="V316" s="48" t="s">
        <v>1838</v>
      </c>
      <c r="W316" s="48" t="s">
        <v>2051</v>
      </c>
      <c r="X316" s="48" t="s">
        <v>2052</v>
      </c>
      <c r="Y316" s="48" t="s">
        <v>2050</v>
      </c>
      <c r="Z316" s="48" t="s">
        <v>2053</v>
      </c>
      <c r="AA316" s="48" t="s">
        <v>2054</v>
      </c>
      <c r="AB316" s="48" t="s">
        <v>2817</v>
      </c>
      <c r="AC316" s="48" t="s">
        <v>2055</v>
      </c>
      <c r="AD316" s="48" t="s">
        <v>2056</v>
      </c>
      <c r="AE316" s="48" t="s">
        <v>1710</v>
      </c>
      <c r="AF316" s="48" t="s">
        <v>1710</v>
      </c>
      <c r="AG316" s="48" t="s">
        <v>2057</v>
      </c>
      <c r="AH316" s="48" t="s">
        <v>1815</v>
      </c>
      <c r="AI316" s="48" t="s">
        <v>2058</v>
      </c>
      <c r="AJ316" s="48" t="s">
        <v>1710</v>
      </c>
      <c r="AK316" s="48" t="s">
        <v>2563</v>
      </c>
      <c r="AL316" s="48" t="s">
        <v>2564</v>
      </c>
      <c r="AM316" s="48" t="s">
        <v>1816</v>
      </c>
      <c r="AN316" s="48" t="s">
        <v>2054</v>
      </c>
      <c r="AO316" s="48" t="s">
        <v>1710</v>
      </c>
      <c r="AP316" s="48" t="s">
        <v>1855</v>
      </c>
      <c r="AQ316" s="48" t="s">
        <v>2076</v>
      </c>
      <c r="AR316" s="48" t="s">
        <v>1812</v>
      </c>
      <c r="AS316" s="48" t="s">
        <v>1813</v>
      </c>
      <c r="AT316" s="48" t="s">
        <v>1826</v>
      </c>
      <c r="AU316" s="48" t="s">
        <v>2061</v>
      </c>
      <c r="AV316" s="48" t="s">
        <v>2816</v>
      </c>
      <c r="AW316" s="48" t="s">
        <v>2062</v>
      </c>
      <c r="AX316" s="48" t="s">
        <v>2063</v>
      </c>
      <c r="AY316" s="48" t="s">
        <v>1710</v>
      </c>
      <c r="AZ316" s="48" t="s">
        <v>5286</v>
      </c>
      <c r="BA316" s="48" t="s">
        <v>1710</v>
      </c>
      <c r="BB316" s="48" t="s">
        <v>1709</v>
      </c>
      <c r="BC316" s="48" t="s">
        <v>1710</v>
      </c>
      <c r="BD316" s="48" t="s">
        <v>2097</v>
      </c>
      <c r="BE316" s="52" t="s">
        <v>5122</v>
      </c>
      <c r="BF316" s="48" t="s">
        <v>1710</v>
      </c>
      <c r="BG316" s="48" t="s">
        <v>1814</v>
      </c>
      <c r="BH316">
        <v>1</v>
      </c>
      <c r="BI316" s="48" t="s">
        <v>1888</v>
      </c>
      <c r="BJ316">
        <v>1</v>
      </c>
      <c r="BK316">
        <v>1473.06</v>
      </c>
      <c r="BL316">
        <v>1812326</v>
      </c>
      <c r="BM316">
        <v>1230</v>
      </c>
      <c r="BN316" s="48" t="s">
        <v>2064</v>
      </c>
      <c r="BO316" s="48" t="s">
        <v>2065</v>
      </c>
      <c r="BP316">
        <v>1473.06</v>
      </c>
      <c r="BQ316">
        <v>1244.57</v>
      </c>
      <c r="BR316" s="48" t="s">
        <v>1885</v>
      </c>
      <c r="BS316" s="48" t="s">
        <v>2066</v>
      </c>
      <c r="BT316">
        <v>1</v>
      </c>
      <c r="BU316">
        <v>21000</v>
      </c>
      <c r="BV316">
        <v>21000</v>
      </c>
      <c r="BW316" s="48" t="s">
        <v>2065</v>
      </c>
      <c r="BX316">
        <v>1473.06</v>
      </c>
      <c r="BY316">
        <v>0</v>
      </c>
      <c r="BZ316">
        <v>0</v>
      </c>
      <c r="CA316" s="48" t="s">
        <v>2065</v>
      </c>
      <c r="CB316">
        <v>1473.06</v>
      </c>
      <c r="CC316">
        <v>0</v>
      </c>
      <c r="CD316">
        <v>0</v>
      </c>
      <c r="CE316" s="48" t="s">
        <v>1710</v>
      </c>
      <c r="CF316" s="48" t="s">
        <v>1710</v>
      </c>
      <c r="CG316" s="48" t="s">
        <v>1710</v>
      </c>
      <c r="CH316" s="48" t="s">
        <v>1710</v>
      </c>
      <c r="CI316" s="48" t="s">
        <v>2067</v>
      </c>
      <c r="CJ316" s="48" t="s">
        <v>1710</v>
      </c>
      <c r="CL316" s="48" t="s">
        <v>2816</v>
      </c>
      <c r="CM316" s="48" t="s">
        <v>1710</v>
      </c>
      <c r="CN316" s="48" t="s">
        <v>2068</v>
      </c>
      <c r="CO316" s="48" t="s">
        <v>2069</v>
      </c>
      <c r="CP316" s="48" t="s">
        <v>1710</v>
      </c>
      <c r="CQ316" s="48" t="s">
        <v>1710</v>
      </c>
      <c r="CR316" s="48" t="s">
        <v>1710</v>
      </c>
      <c r="CS316" s="48" t="s">
        <v>1710</v>
      </c>
      <c r="CT316" s="48" t="s">
        <v>1710</v>
      </c>
      <c r="CU316" s="48" t="s">
        <v>1712</v>
      </c>
      <c r="CV316" s="48" t="s">
        <v>1710</v>
      </c>
      <c r="CW316" s="48" t="s">
        <v>1710</v>
      </c>
      <c r="CX316" s="48" t="s">
        <v>2823</v>
      </c>
      <c r="CY316" s="48" t="s">
        <v>1710</v>
      </c>
      <c r="CZ316" s="48" t="s">
        <v>1712</v>
      </c>
      <c r="DA316" s="48" t="s">
        <v>1710</v>
      </c>
      <c r="DB316" s="48" t="s">
        <v>1878</v>
      </c>
      <c r="DC316" s="48" t="s">
        <v>2070</v>
      </c>
      <c r="DD316" s="48" t="s">
        <v>1842</v>
      </c>
      <c r="DE316" s="48" t="s">
        <v>1886</v>
      </c>
      <c r="DF316" s="48" t="s">
        <v>5287</v>
      </c>
      <c r="DG316" s="48" t="s">
        <v>2071</v>
      </c>
      <c r="DH316" s="48" t="s">
        <v>1712</v>
      </c>
      <c r="DI316" s="48" t="s">
        <v>1710</v>
      </c>
      <c r="DJ316" s="48" t="s">
        <v>1710</v>
      </c>
      <c r="DK316" s="48" t="s">
        <v>1710</v>
      </c>
      <c r="DL316" s="48" t="s">
        <v>1710</v>
      </c>
      <c r="DM316" s="48" t="s">
        <v>1710</v>
      </c>
      <c r="DN316" s="48" t="s">
        <v>1710</v>
      </c>
      <c r="DO316" s="48" t="s">
        <v>1710</v>
      </c>
      <c r="DP316" s="48" t="s">
        <v>1710</v>
      </c>
      <c r="DQ316" s="48" t="s">
        <v>1710</v>
      </c>
      <c r="DR316" s="48" t="s">
        <v>2072</v>
      </c>
      <c r="DS316" s="48" t="s">
        <v>1710</v>
      </c>
      <c r="DT316" s="48" t="s">
        <v>1710</v>
      </c>
      <c r="DU316" s="48" t="s">
        <v>2575</v>
      </c>
      <c r="DV316" s="48" t="s">
        <v>3111</v>
      </c>
      <c r="DW316" s="48" t="s">
        <v>1710</v>
      </c>
      <c r="DX316" s="48" t="s">
        <v>5288</v>
      </c>
      <c r="DY316" s="48" t="s">
        <v>1709</v>
      </c>
      <c r="DZ316" s="48" t="s">
        <v>2084</v>
      </c>
      <c r="EA316" s="48" t="s">
        <v>2546</v>
      </c>
      <c r="EB316">
        <v>0</v>
      </c>
      <c r="EC316" s="48" t="s">
        <v>2575</v>
      </c>
      <c r="ED316" s="48" t="s">
        <v>3916</v>
      </c>
      <c r="EE316" s="48" t="s">
        <v>1814</v>
      </c>
      <c r="EF316" s="48" t="s">
        <v>3633</v>
      </c>
      <c r="EG316" s="48" t="s">
        <v>5286</v>
      </c>
      <c r="EH316">
        <v>1</v>
      </c>
      <c r="EI316" s="48" t="s">
        <v>1888</v>
      </c>
      <c r="EJ316">
        <v>1</v>
      </c>
      <c r="EK316" s="48" t="s">
        <v>1887</v>
      </c>
      <c r="EL316">
        <v>1</v>
      </c>
      <c r="EM316" s="48" t="s">
        <v>1886</v>
      </c>
      <c r="EN316">
        <v>1</v>
      </c>
      <c r="EO316" s="48" t="s">
        <v>3634</v>
      </c>
      <c r="EP316" s="48" t="s">
        <v>5208</v>
      </c>
      <c r="EQ316">
        <v>1244.57</v>
      </c>
      <c r="ER316">
        <v>1244.57</v>
      </c>
      <c r="ES316">
        <v>1812326</v>
      </c>
      <c r="ET316">
        <v>1230</v>
      </c>
      <c r="EU316" s="48" t="s">
        <v>1710</v>
      </c>
      <c r="EV316" s="48" t="s">
        <v>1710</v>
      </c>
      <c r="EW316" s="48" t="s">
        <v>1712</v>
      </c>
      <c r="EX316" s="48" t="s">
        <v>1710</v>
      </c>
      <c r="EY316" s="48" t="s">
        <v>1848</v>
      </c>
      <c r="EZ316" s="48" t="s">
        <v>1710</v>
      </c>
      <c r="FA316" s="48" t="s">
        <v>1710</v>
      </c>
      <c r="FB316" s="48" t="s">
        <v>1712</v>
      </c>
      <c r="FC316" s="48" t="s">
        <v>1710</v>
      </c>
      <c r="FD316" s="48" t="s">
        <v>1710</v>
      </c>
      <c r="FE316" s="48" t="s">
        <v>1814</v>
      </c>
      <c r="FF316" s="48" t="s">
        <v>1815</v>
      </c>
      <c r="FG316" s="48" t="s">
        <v>1710</v>
      </c>
      <c r="FH316">
        <v>1</v>
      </c>
      <c r="FI316" s="48" t="s">
        <v>1846</v>
      </c>
      <c r="FJ316">
        <v>1244.57</v>
      </c>
      <c r="FK316">
        <v>1244.57</v>
      </c>
      <c r="FL316" s="48" t="s">
        <v>5209</v>
      </c>
      <c r="FM316" s="48" t="s">
        <v>5208</v>
      </c>
      <c r="FN316" s="48" t="s">
        <v>1710</v>
      </c>
      <c r="FO316" s="48" t="s">
        <v>1710</v>
      </c>
      <c r="FP316" s="48" t="s">
        <v>1710</v>
      </c>
      <c r="FQ316" s="48" t="s">
        <v>1710</v>
      </c>
      <c r="FR316" s="48" t="s">
        <v>1710</v>
      </c>
      <c r="FS316" s="48" t="s">
        <v>1710</v>
      </c>
      <c r="FT316" s="48" t="s">
        <v>1710</v>
      </c>
      <c r="FU316" s="48" t="s">
        <v>1710</v>
      </c>
      <c r="FV316" s="48"/>
      <c r="GA316" s="55"/>
      <c r="GE316" s="61"/>
      <c r="GF316" s="62"/>
      <c r="GI316" s="48"/>
    </row>
    <row r="317" spans="1:191">
      <c r="A317" s="48" t="s">
        <v>5289</v>
      </c>
      <c r="B317" s="48" t="s">
        <v>1821</v>
      </c>
      <c r="C317" s="48" t="s">
        <v>2048</v>
      </c>
      <c r="D317" s="48" t="s">
        <v>2813</v>
      </c>
      <c r="E317" s="48" t="s">
        <v>5289</v>
      </c>
      <c r="F317" s="48" t="s">
        <v>1710</v>
      </c>
      <c r="G317" s="48" t="s">
        <v>2814</v>
      </c>
      <c r="H317" s="48" t="s">
        <v>5290</v>
      </c>
      <c r="I317" s="48" t="s">
        <v>1884</v>
      </c>
      <c r="J317" s="48" t="s">
        <v>3111</v>
      </c>
      <c r="K317" s="48" t="s">
        <v>1877</v>
      </c>
      <c r="L317" s="48" t="s">
        <v>1842</v>
      </c>
      <c r="M317" s="48" t="s">
        <v>1824</v>
      </c>
      <c r="N317" s="48" t="s">
        <v>1842</v>
      </c>
      <c r="O317" s="48" t="s">
        <v>1823</v>
      </c>
      <c r="P317" s="48" t="s">
        <v>2549</v>
      </c>
      <c r="Q317" s="48" t="s">
        <v>2049</v>
      </c>
      <c r="R317" s="48" t="s">
        <v>1838</v>
      </c>
      <c r="S317" s="48" t="s">
        <v>2050</v>
      </c>
      <c r="T317" s="48" t="s">
        <v>1845</v>
      </c>
      <c r="U317" s="48" t="s">
        <v>2049</v>
      </c>
      <c r="V317" s="48" t="s">
        <v>1838</v>
      </c>
      <c r="W317" s="48" t="s">
        <v>2051</v>
      </c>
      <c r="X317" s="48" t="s">
        <v>2052</v>
      </c>
      <c r="Y317" s="48" t="s">
        <v>2050</v>
      </c>
      <c r="Z317" s="48" t="s">
        <v>2053</v>
      </c>
      <c r="AA317" s="48" t="s">
        <v>2054</v>
      </c>
      <c r="AB317" s="48" t="s">
        <v>2817</v>
      </c>
      <c r="AC317" s="48" t="s">
        <v>2055</v>
      </c>
      <c r="AD317" s="48" t="s">
        <v>2056</v>
      </c>
      <c r="AE317" s="48" t="s">
        <v>1710</v>
      </c>
      <c r="AF317" s="48" t="s">
        <v>1710</v>
      </c>
      <c r="AG317" s="48" t="s">
        <v>2057</v>
      </c>
      <c r="AH317" s="48" t="s">
        <v>1815</v>
      </c>
      <c r="AI317" s="48" t="s">
        <v>2058</v>
      </c>
      <c r="AJ317" s="48" t="s">
        <v>1710</v>
      </c>
      <c r="AK317" s="48" t="s">
        <v>5291</v>
      </c>
      <c r="AL317" s="48" t="s">
        <v>5292</v>
      </c>
      <c r="AM317" s="48" t="s">
        <v>1816</v>
      </c>
      <c r="AN317" s="48" t="s">
        <v>2054</v>
      </c>
      <c r="AO317" s="48" t="s">
        <v>1710</v>
      </c>
      <c r="AP317" s="48" t="s">
        <v>1855</v>
      </c>
      <c r="AQ317" s="48" t="s">
        <v>2076</v>
      </c>
      <c r="AR317" s="48" t="s">
        <v>1812</v>
      </c>
      <c r="AS317" s="48" t="s">
        <v>1813</v>
      </c>
      <c r="AT317" s="48" t="s">
        <v>1826</v>
      </c>
      <c r="AU317" s="48" t="s">
        <v>2061</v>
      </c>
      <c r="AV317" s="48" t="s">
        <v>3111</v>
      </c>
      <c r="AW317" s="48" t="s">
        <v>2062</v>
      </c>
      <c r="AX317" s="48" t="s">
        <v>2063</v>
      </c>
      <c r="AY317" s="48" t="s">
        <v>1710</v>
      </c>
      <c r="AZ317" s="48" t="s">
        <v>5293</v>
      </c>
      <c r="BA317" s="48" t="s">
        <v>1710</v>
      </c>
      <c r="BB317" s="48" t="s">
        <v>1709</v>
      </c>
      <c r="BC317" s="48" t="s">
        <v>1710</v>
      </c>
      <c r="BD317" s="48" t="s">
        <v>2613</v>
      </c>
      <c r="BE317" s="52" t="s">
        <v>5294</v>
      </c>
      <c r="BF317" s="48" t="s">
        <v>1710</v>
      </c>
      <c r="BG317" s="48" t="s">
        <v>1814</v>
      </c>
      <c r="BH317">
        <v>4</v>
      </c>
      <c r="BI317" s="48" t="s">
        <v>1888</v>
      </c>
      <c r="BJ317">
        <v>1</v>
      </c>
      <c r="BK317">
        <v>1473.06</v>
      </c>
      <c r="BL317">
        <v>1324727</v>
      </c>
      <c r="BM317">
        <v>899</v>
      </c>
      <c r="BN317" s="48" t="s">
        <v>2064</v>
      </c>
      <c r="BO317" s="48" t="s">
        <v>2065</v>
      </c>
      <c r="BP317">
        <v>1473.06</v>
      </c>
      <c r="BQ317">
        <v>922.52</v>
      </c>
      <c r="BR317" s="48" t="s">
        <v>1885</v>
      </c>
      <c r="BS317" s="48" t="s">
        <v>2066</v>
      </c>
      <c r="BT317">
        <v>1</v>
      </c>
      <c r="BU317">
        <v>34200</v>
      </c>
      <c r="BV317">
        <v>34200</v>
      </c>
      <c r="BW317" s="48" t="s">
        <v>2065</v>
      </c>
      <c r="BX317">
        <v>1473.06</v>
      </c>
      <c r="BY317">
        <v>0</v>
      </c>
      <c r="BZ317">
        <v>0</v>
      </c>
      <c r="CA317" s="48" t="s">
        <v>2065</v>
      </c>
      <c r="CB317">
        <v>1473.06</v>
      </c>
      <c r="CC317">
        <v>0</v>
      </c>
      <c r="CD317">
        <v>0</v>
      </c>
      <c r="CE317" s="48" t="s">
        <v>1710</v>
      </c>
      <c r="CF317" s="48" t="s">
        <v>1710</v>
      </c>
      <c r="CG317" s="48" t="s">
        <v>1710</v>
      </c>
      <c r="CH317" s="48" t="s">
        <v>1710</v>
      </c>
      <c r="CI317" s="48" t="s">
        <v>2067</v>
      </c>
      <c r="CJ317" s="48" t="s">
        <v>1710</v>
      </c>
      <c r="CL317" s="48" t="s">
        <v>3111</v>
      </c>
      <c r="CM317" s="48" t="s">
        <v>1710</v>
      </c>
      <c r="CN317" s="48" t="s">
        <v>2068</v>
      </c>
      <c r="CO317" s="48" t="s">
        <v>2069</v>
      </c>
      <c r="CP317" s="48" t="s">
        <v>1710</v>
      </c>
      <c r="CQ317" s="48" t="s">
        <v>1710</v>
      </c>
      <c r="CR317" s="48" t="s">
        <v>1710</v>
      </c>
      <c r="CS317" s="48" t="s">
        <v>1710</v>
      </c>
      <c r="CT317" s="48" t="s">
        <v>1710</v>
      </c>
      <c r="CU317" s="48" t="s">
        <v>1712</v>
      </c>
      <c r="CV317" s="48" t="s">
        <v>1710</v>
      </c>
      <c r="CW317" s="48" t="s">
        <v>1710</v>
      </c>
      <c r="CX317" s="48" t="s">
        <v>3167</v>
      </c>
      <c r="CY317" s="48" t="s">
        <v>1710</v>
      </c>
      <c r="CZ317" s="48" t="s">
        <v>1712</v>
      </c>
      <c r="DA317" s="48" t="s">
        <v>1710</v>
      </c>
      <c r="DB317" s="48" t="s">
        <v>1878</v>
      </c>
      <c r="DC317" s="48" t="s">
        <v>2070</v>
      </c>
      <c r="DD317" s="48" t="s">
        <v>1842</v>
      </c>
      <c r="DE317" s="48" t="s">
        <v>1886</v>
      </c>
      <c r="DF317" s="48" t="s">
        <v>5295</v>
      </c>
      <c r="DG317" s="48" t="s">
        <v>2071</v>
      </c>
      <c r="DH317" s="48" t="s">
        <v>1712</v>
      </c>
      <c r="DI317" s="48" t="s">
        <v>1710</v>
      </c>
      <c r="DJ317" s="48" t="s">
        <v>1710</v>
      </c>
      <c r="DK317" s="48" t="s">
        <v>1710</v>
      </c>
      <c r="DL317" s="48" t="s">
        <v>1710</v>
      </c>
      <c r="DM317" s="48" t="s">
        <v>1710</v>
      </c>
      <c r="DN317" s="48" t="s">
        <v>1710</v>
      </c>
      <c r="DO317" s="48" t="s">
        <v>1710</v>
      </c>
      <c r="DP317" s="48" t="s">
        <v>1710</v>
      </c>
      <c r="DQ317" s="48" t="s">
        <v>1710</v>
      </c>
      <c r="DR317" s="48" t="s">
        <v>2072</v>
      </c>
      <c r="DS317" s="48" t="s">
        <v>1710</v>
      </c>
      <c r="DT317" s="48" t="s">
        <v>1710</v>
      </c>
      <c r="DU317" s="48" t="s">
        <v>2575</v>
      </c>
      <c r="DV317" s="48" t="s">
        <v>3111</v>
      </c>
      <c r="DW317" s="48" t="s">
        <v>1710</v>
      </c>
      <c r="DX317" s="48" t="s">
        <v>5296</v>
      </c>
      <c r="DY317" s="48" t="s">
        <v>1709</v>
      </c>
      <c r="DZ317" s="48" t="s">
        <v>2562</v>
      </c>
      <c r="EA317" s="48" t="s">
        <v>2546</v>
      </c>
      <c r="EB317">
        <v>0</v>
      </c>
      <c r="EC317" s="48" t="s">
        <v>2575</v>
      </c>
      <c r="ED317" s="48" t="s">
        <v>5297</v>
      </c>
      <c r="EE317" s="48" t="s">
        <v>1814</v>
      </c>
      <c r="EF317" s="48" t="s">
        <v>1862</v>
      </c>
      <c r="EG317" s="48" t="s">
        <v>5293</v>
      </c>
      <c r="EH317">
        <v>1.68</v>
      </c>
      <c r="EI317" s="48" t="s">
        <v>1888</v>
      </c>
      <c r="EJ317">
        <v>0</v>
      </c>
      <c r="EK317" s="48" t="s">
        <v>1710</v>
      </c>
      <c r="EL317">
        <v>1</v>
      </c>
      <c r="EM317" s="48" t="s">
        <v>1886</v>
      </c>
      <c r="EN317">
        <v>1.68</v>
      </c>
      <c r="EO317" s="48" t="s">
        <v>2522</v>
      </c>
      <c r="EP317" s="48" t="s">
        <v>5298</v>
      </c>
      <c r="EQ317">
        <v>922.52</v>
      </c>
      <c r="ER317">
        <v>922.52</v>
      </c>
      <c r="ES317">
        <v>1324727</v>
      </c>
      <c r="ET317">
        <v>899</v>
      </c>
      <c r="EU317" s="48" t="s">
        <v>1710</v>
      </c>
      <c r="EV317" s="48" t="s">
        <v>1710</v>
      </c>
      <c r="EW317" s="48" t="s">
        <v>1712</v>
      </c>
      <c r="EX317" s="48" t="s">
        <v>1710</v>
      </c>
      <c r="EY317" s="48" t="s">
        <v>1873</v>
      </c>
      <c r="EZ317" s="48" t="s">
        <v>1710</v>
      </c>
      <c r="FA317" s="48" t="s">
        <v>1710</v>
      </c>
      <c r="FB317" s="48" t="s">
        <v>1712</v>
      </c>
      <c r="FC317" s="48" t="s">
        <v>1710</v>
      </c>
      <c r="FD317" s="48" t="s">
        <v>1710</v>
      </c>
      <c r="FE317" s="48" t="s">
        <v>1814</v>
      </c>
      <c r="FF317" s="48" t="s">
        <v>1815</v>
      </c>
      <c r="FG317" s="48" t="s">
        <v>1710</v>
      </c>
      <c r="FH317">
        <v>1</v>
      </c>
      <c r="FI317" s="48" t="s">
        <v>1846</v>
      </c>
      <c r="FJ317">
        <v>230.63</v>
      </c>
      <c r="FK317">
        <v>230.63</v>
      </c>
      <c r="FL317" s="48" t="s">
        <v>5299</v>
      </c>
      <c r="FM317" s="48" t="s">
        <v>5298</v>
      </c>
      <c r="FN317" s="48" t="s">
        <v>1710</v>
      </c>
      <c r="FO317" s="48" t="s">
        <v>1710</v>
      </c>
      <c r="FP317" s="48" t="s">
        <v>1710</v>
      </c>
      <c r="FQ317" s="48" t="s">
        <v>1710</v>
      </c>
      <c r="FR317" s="48" t="s">
        <v>1710</v>
      </c>
      <c r="FS317" s="48" t="s">
        <v>1710</v>
      </c>
      <c r="FT317" s="48" t="s">
        <v>1710</v>
      </c>
      <c r="FU317" s="48" t="s">
        <v>1710</v>
      </c>
      <c r="FV317" s="48"/>
      <c r="GA317" s="55"/>
      <c r="GE317" s="61"/>
      <c r="GF317" s="62"/>
      <c r="GI317" s="48"/>
    </row>
    <row r="318" spans="1:191">
      <c r="A318" s="48" t="s">
        <v>5300</v>
      </c>
      <c r="B318" s="48" t="s">
        <v>1821</v>
      </c>
      <c r="C318" s="48" t="s">
        <v>2048</v>
      </c>
      <c r="D318" s="48" t="s">
        <v>2813</v>
      </c>
      <c r="E318" s="48" t="s">
        <v>5300</v>
      </c>
      <c r="F318" s="48" t="s">
        <v>1710</v>
      </c>
      <c r="G318" s="48" t="s">
        <v>2814</v>
      </c>
      <c r="H318" s="48" t="s">
        <v>5301</v>
      </c>
      <c r="I318" s="48" t="s">
        <v>1884</v>
      </c>
      <c r="J318" s="48" t="s">
        <v>3111</v>
      </c>
      <c r="K318" s="48" t="s">
        <v>1885</v>
      </c>
      <c r="L318" s="48" t="s">
        <v>1883</v>
      </c>
      <c r="M318" s="48" t="s">
        <v>2085</v>
      </c>
      <c r="N318" s="48" t="s">
        <v>1842</v>
      </c>
      <c r="O318" s="48" t="s">
        <v>1811</v>
      </c>
      <c r="P318" s="48" t="s">
        <v>2549</v>
      </c>
      <c r="Q318" s="48" t="s">
        <v>2049</v>
      </c>
      <c r="R318" s="48" t="s">
        <v>1838</v>
      </c>
      <c r="S318" s="48" t="s">
        <v>2050</v>
      </c>
      <c r="T318" s="48" t="s">
        <v>1845</v>
      </c>
      <c r="U318" s="48" t="s">
        <v>2049</v>
      </c>
      <c r="V318" s="48" t="s">
        <v>1838</v>
      </c>
      <c r="W318" s="48" t="s">
        <v>2051</v>
      </c>
      <c r="X318" s="48" t="s">
        <v>2052</v>
      </c>
      <c r="Y318" s="48" t="s">
        <v>2050</v>
      </c>
      <c r="Z318" s="48" t="s">
        <v>2053</v>
      </c>
      <c r="AA318" s="48" t="s">
        <v>2054</v>
      </c>
      <c r="AB318" s="48" t="s">
        <v>1710</v>
      </c>
      <c r="AC318" s="48" t="s">
        <v>2055</v>
      </c>
      <c r="AD318" s="48" t="s">
        <v>2056</v>
      </c>
      <c r="AE318" s="48" t="s">
        <v>1710</v>
      </c>
      <c r="AF318" s="48" t="s">
        <v>1710</v>
      </c>
      <c r="AG318" s="48" t="s">
        <v>2057</v>
      </c>
      <c r="AH318" s="48" t="s">
        <v>1815</v>
      </c>
      <c r="AI318" s="48" t="s">
        <v>2058</v>
      </c>
      <c r="AJ318" s="48" t="s">
        <v>1710</v>
      </c>
      <c r="AK318" s="48" t="s">
        <v>2560</v>
      </c>
      <c r="AL318" s="48" t="s">
        <v>2561</v>
      </c>
      <c r="AM318" s="48" t="s">
        <v>1816</v>
      </c>
      <c r="AN318" s="48" t="s">
        <v>2054</v>
      </c>
      <c r="AO318" s="48" t="s">
        <v>1710</v>
      </c>
      <c r="AP318" s="48" t="s">
        <v>1855</v>
      </c>
      <c r="AQ318" s="48" t="s">
        <v>2076</v>
      </c>
      <c r="AR318" s="48" t="s">
        <v>1812</v>
      </c>
      <c r="AS318" s="48" t="s">
        <v>1813</v>
      </c>
      <c r="AT318" s="48" t="s">
        <v>1826</v>
      </c>
      <c r="AU318" s="48" t="s">
        <v>2061</v>
      </c>
      <c r="AV318" s="48" t="s">
        <v>3111</v>
      </c>
      <c r="AW318" s="48" t="s">
        <v>2062</v>
      </c>
      <c r="AX318" s="48" t="s">
        <v>2063</v>
      </c>
      <c r="AY318" s="48" t="s">
        <v>1710</v>
      </c>
      <c r="AZ318" s="48" t="s">
        <v>5302</v>
      </c>
      <c r="BA318" s="48" t="s">
        <v>1710</v>
      </c>
      <c r="BB318" s="48" t="s">
        <v>1709</v>
      </c>
      <c r="BC318" s="48" t="s">
        <v>1710</v>
      </c>
      <c r="BD318" s="48" t="s">
        <v>2864</v>
      </c>
      <c r="BE318" s="52" t="s">
        <v>5303</v>
      </c>
      <c r="BF318" s="48" t="s">
        <v>1710</v>
      </c>
      <c r="BG318" s="48" t="s">
        <v>1814</v>
      </c>
      <c r="BH318">
        <v>11</v>
      </c>
      <c r="BI318" s="48" t="s">
        <v>1888</v>
      </c>
      <c r="BJ318">
        <v>1</v>
      </c>
      <c r="BK318">
        <v>1473.06</v>
      </c>
      <c r="BL318">
        <v>19611149</v>
      </c>
      <c r="BM318">
        <v>13313</v>
      </c>
      <c r="BN318" s="48" t="s">
        <v>2064</v>
      </c>
      <c r="BO318" s="48" t="s">
        <v>2065</v>
      </c>
      <c r="BP318">
        <v>1473.06</v>
      </c>
      <c r="BQ318">
        <v>13356.38</v>
      </c>
      <c r="BR318" s="48" t="s">
        <v>1885</v>
      </c>
      <c r="BS318" s="48" t="s">
        <v>2066</v>
      </c>
      <c r="BT318">
        <v>1</v>
      </c>
      <c r="BU318">
        <v>63600</v>
      </c>
      <c r="BV318">
        <v>63600</v>
      </c>
      <c r="BW318" s="48" t="s">
        <v>2065</v>
      </c>
      <c r="BX318">
        <v>1473.06</v>
      </c>
      <c r="BY318">
        <v>0</v>
      </c>
      <c r="BZ318">
        <v>0</v>
      </c>
      <c r="CA318" s="48" t="s">
        <v>2065</v>
      </c>
      <c r="CB318">
        <v>1473.06</v>
      </c>
      <c r="CC318">
        <v>0</v>
      </c>
      <c r="CD318">
        <v>0</v>
      </c>
      <c r="CE318" s="48" t="s">
        <v>1710</v>
      </c>
      <c r="CF318" s="48" t="s">
        <v>1710</v>
      </c>
      <c r="CG318" s="48" t="s">
        <v>1710</v>
      </c>
      <c r="CH318" s="48" t="s">
        <v>1710</v>
      </c>
      <c r="CI318" s="48" t="s">
        <v>2067</v>
      </c>
      <c r="CJ318" s="48" t="s">
        <v>1710</v>
      </c>
      <c r="CL318" s="48" t="s">
        <v>3111</v>
      </c>
      <c r="CM318" s="48" t="s">
        <v>1710</v>
      </c>
      <c r="CN318" s="48" t="s">
        <v>2068</v>
      </c>
      <c r="CO318" s="48" t="s">
        <v>2069</v>
      </c>
      <c r="CP318" s="48" t="s">
        <v>1710</v>
      </c>
      <c r="CQ318" s="48" t="s">
        <v>1710</v>
      </c>
      <c r="CR318" s="48" t="s">
        <v>1710</v>
      </c>
      <c r="CS318" s="48" t="s">
        <v>1710</v>
      </c>
      <c r="CT318" s="48" t="s">
        <v>1710</v>
      </c>
      <c r="CU318" s="48" t="s">
        <v>1712</v>
      </c>
      <c r="CV318" s="48" t="s">
        <v>1710</v>
      </c>
      <c r="CW318" s="48" t="s">
        <v>1710</v>
      </c>
      <c r="CX318" s="48" t="s">
        <v>3167</v>
      </c>
      <c r="CY318" s="48" t="s">
        <v>1710</v>
      </c>
      <c r="CZ318" s="48" t="s">
        <v>1712</v>
      </c>
      <c r="DA318" s="48" t="s">
        <v>1710</v>
      </c>
      <c r="DB318" s="48" t="s">
        <v>1878</v>
      </c>
      <c r="DC318" s="48" t="s">
        <v>2070</v>
      </c>
      <c r="DD318" s="48" t="s">
        <v>1842</v>
      </c>
      <c r="DE318" s="48" t="s">
        <v>1886</v>
      </c>
      <c r="DF318" s="48" t="s">
        <v>5304</v>
      </c>
      <c r="DG318" s="48" t="s">
        <v>2071</v>
      </c>
      <c r="DH318" s="48" t="s">
        <v>1712</v>
      </c>
      <c r="DI318" s="48" t="s">
        <v>1710</v>
      </c>
      <c r="DJ318" s="48" t="s">
        <v>1710</v>
      </c>
      <c r="DK318" s="48" t="s">
        <v>1710</v>
      </c>
      <c r="DL318" s="48" t="s">
        <v>1710</v>
      </c>
      <c r="DM318" s="48" t="s">
        <v>1710</v>
      </c>
      <c r="DN318" s="48" t="s">
        <v>1710</v>
      </c>
      <c r="DO318" s="48" t="s">
        <v>1710</v>
      </c>
      <c r="DP318" s="48" t="s">
        <v>1710</v>
      </c>
      <c r="DQ318" s="48" t="s">
        <v>1710</v>
      </c>
      <c r="DR318" s="48" t="s">
        <v>2072</v>
      </c>
      <c r="DS318" s="48" t="s">
        <v>1710</v>
      </c>
      <c r="DT318" s="48" t="s">
        <v>1710</v>
      </c>
      <c r="DU318" s="48" t="s">
        <v>2575</v>
      </c>
      <c r="DV318" s="48" t="s">
        <v>2825</v>
      </c>
      <c r="DW318" s="48" t="s">
        <v>1710</v>
      </c>
      <c r="DX318" s="48" t="s">
        <v>5305</v>
      </c>
      <c r="DY318" s="48" t="s">
        <v>1709</v>
      </c>
      <c r="DZ318" s="48" t="s">
        <v>2073</v>
      </c>
      <c r="EA318" s="48" t="s">
        <v>2546</v>
      </c>
      <c r="EB318">
        <v>0</v>
      </c>
      <c r="EC318" s="48" t="s">
        <v>2575</v>
      </c>
      <c r="ED318" s="48" t="s">
        <v>5306</v>
      </c>
      <c r="EE318" s="48" t="s">
        <v>1814</v>
      </c>
      <c r="EF318" s="48" t="s">
        <v>1870</v>
      </c>
      <c r="EG318" s="48" t="s">
        <v>5302</v>
      </c>
      <c r="EH318">
        <v>6</v>
      </c>
      <c r="EI318" s="48" t="s">
        <v>1888</v>
      </c>
      <c r="EJ318">
        <v>0</v>
      </c>
      <c r="EK318" s="48" t="s">
        <v>1710</v>
      </c>
      <c r="EL318">
        <v>1</v>
      </c>
      <c r="EM318" s="48" t="s">
        <v>1886</v>
      </c>
      <c r="EN318">
        <v>6</v>
      </c>
      <c r="EO318" s="48" t="s">
        <v>1871</v>
      </c>
      <c r="EP318" s="48" t="s">
        <v>5307</v>
      </c>
      <c r="EQ318">
        <v>13356.38</v>
      </c>
      <c r="ER318">
        <v>13356.38</v>
      </c>
      <c r="ES318">
        <v>19611149</v>
      </c>
      <c r="ET318">
        <v>13313</v>
      </c>
      <c r="EU318" s="48" t="s">
        <v>5308</v>
      </c>
      <c r="EV318" s="48" t="s">
        <v>1814</v>
      </c>
      <c r="EW318" s="48" t="s">
        <v>1712</v>
      </c>
      <c r="EX318" s="48" t="s">
        <v>1710</v>
      </c>
      <c r="EY318" s="48" t="s">
        <v>1851</v>
      </c>
      <c r="EZ318" s="48" t="s">
        <v>1710</v>
      </c>
      <c r="FA318" s="48" t="s">
        <v>1710</v>
      </c>
      <c r="FB318" s="48" t="s">
        <v>1712</v>
      </c>
      <c r="FC318" s="48" t="s">
        <v>1710</v>
      </c>
      <c r="FD318" s="48" t="s">
        <v>1710</v>
      </c>
      <c r="FE318" s="48" t="s">
        <v>1814</v>
      </c>
      <c r="FF318" s="48" t="s">
        <v>1815</v>
      </c>
      <c r="FG318" s="48" t="s">
        <v>1710</v>
      </c>
      <c r="FH318">
        <v>1</v>
      </c>
      <c r="FI318" s="48" t="s">
        <v>1846</v>
      </c>
      <c r="FJ318">
        <v>13356.38</v>
      </c>
      <c r="FK318">
        <v>13356.38</v>
      </c>
      <c r="FL318" s="48" t="s">
        <v>5309</v>
      </c>
      <c r="FM318" s="48" t="s">
        <v>5310</v>
      </c>
      <c r="FN318" s="48" t="s">
        <v>1710</v>
      </c>
      <c r="FO318" s="48" t="s">
        <v>1710</v>
      </c>
      <c r="FP318" s="48" t="s">
        <v>1710</v>
      </c>
      <c r="FQ318" s="48" t="s">
        <v>1710</v>
      </c>
      <c r="FR318" s="48" t="s">
        <v>1710</v>
      </c>
      <c r="FS318" s="48" t="s">
        <v>1710</v>
      </c>
      <c r="FT318" s="48" t="s">
        <v>1710</v>
      </c>
      <c r="FU318" s="48" t="s">
        <v>1710</v>
      </c>
      <c r="FV318" s="48"/>
      <c r="GA318" s="55"/>
      <c r="GE318" s="61"/>
      <c r="GF318" s="62"/>
      <c r="GI318" s="48"/>
    </row>
    <row r="319" spans="1:191">
      <c r="A319" s="48" t="s">
        <v>5311</v>
      </c>
      <c r="B319" s="48" t="s">
        <v>1821</v>
      </c>
      <c r="C319" s="48" t="s">
        <v>2048</v>
      </c>
      <c r="D319" s="48" t="s">
        <v>2813</v>
      </c>
      <c r="E319" s="48" t="s">
        <v>5311</v>
      </c>
      <c r="F319" s="48" t="s">
        <v>1710</v>
      </c>
      <c r="G319" s="48" t="s">
        <v>2814</v>
      </c>
      <c r="H319" s="48" t="s">
        <v>5312</v>
      </c>
      <c r="I319" s="48" t="s">
        <v>1884</v>
      </c>
      <c r="J319" s="48" t="s">
        <v>3111</v>
      </c>
      <c r="K319" s="48" t="s">
        <v>1885</v>
      </c>
      <c r="L319" s="48" t="s">
        <v>1883</v>
      </c>
      <c r="M319" s="48" t="s">
        <v>2085</v>
      </c>
      <c r="N319" s="48" t="s">
        <v>1842</v>
      </c>
      <c r="O319" s="48" t="s">
        <v>1811</v>
      </c>
      <c r="P319" s="48" t="s">
        <v>2549</v>
      </c>
      <c r="Q319" s="48" t="s">
        <v>2049</v>
      </c>
      <c r="R319" s="48" t="s">
        <v>1838</v>
      </c>
      <c r="S319" s="48" t="s">
        <v>2050</v>
      </c>
      <c r="T319" s="48" t="s">
        <v>1845</v>
      </c>
      <c r="U319" s="48" t="s">
        <v>2049</v>
      </c>
      <c r="V319" s="48" t="s">
        <v>1838</v>
      </c>
      <c r="W319" s="48" t="s">
        <v>2051</v>
      </c>
      <c r="X319" s="48" t="s">
        <v>2052</v>
      </c>
      <c r="Y319" s="48" t="s">
        <v>2050</v>
      </c>
      <c r="Z319" s="48" t="s">
        <v>2053</v>
      </c>
      <c r="AA319" s="48" t="s">
        <v>2054</v>
      </c>
      <c r="AB319" s="48" t="s">
        <v>1710</v>
      </c>
      <c r="AC319" s="48" t="s">
        <v>2055</v>
      </c>
      <c r="AD319" s="48" t="s">
        <v>2056</v>
      </c>
      <c r="AE319" s="48" t="s">
        <v>1710</v>
      </c>
      <c r="AF319" s="48" t="s">
        <v>1710</v>
      </c>
      <c r="AG319" s="48" t="s">
        <v>2057</v>
      </c>
      <c r="AH319" s="48" t="s">
        <v>1815</v>
      </c>
      <c r="AI319" s="48" t="s">
        <v>2058</v>
      </c>
      <c r="AJ319" s="48" t="s">
        <v>1710</v>
      </c>
      <c r="AK319" s="48" t="s">
        <v>2560</v>
      </c>
      <c r="AL319" s="48" t="s">
        <v>2561</v>
      </c>
      <c r="AM319" s="48" t="s">
        <v>1816</v>
      </c>
      <c r="AN319" s="48" t="s">
        <v>2054</v>
      </c>
      <c r="AO319" s="48" t="s">
        <v>1710</v>
      </c>
      <c r="AP319" s="48" t="s">
        <v>1855</v>
      </c>
      <c r="AQ319" s="48" t="s">
        <v>2076</v>
      </c>
      <c r="AR319" s="48" t="s">
        <v>1812</v>
      </c>
      <c r="AS319" s="48" t="s">
        <v>1813</v>
      </c>
      <c r="AT319" s="48" t="s">
        <v>1826</v>
      </c>
      <c r="AU319" s="48" t="s">
        <v>2061</v>
      </c>
      <c r="AV319" s="48" t="s">
        <v>3111</v>
      </c>
      <c r="AW319" s="48" t="s">
        <v>2062</v>
      </c>
      <c r="AX319" s="48" t="s">
        <v>2063</v>
      </c>
      <c r="AY319" s="48" t="s">
        <v>1710</v>
      </c>
      <c r="AZ319" s="48" t="s">
        <v>5313</v>
      </c>
      <c r="BA319" s="48" t="s">
        <v>1710</v>
      </c>
      <c r="BB319" s="48" t="s">
        <v>1709</v>
      </c>
      <c r="BC319" s="48" t="s">
        <v>1710</v>
      </c>
      <c r="BD319" s="48" t="s">
        <v>2864</v>
      </c>
      <c r="BE319" s="52" t="s">
        <v>5314</v>
      </c>
      <c r="BF319" s="48" t="s">
        <v>1710</v>
      </c>
      <c r="BG319" s="48" t="s">
        <v>1814</v>
      </c>
      <c r="BH319">
        <v>1087</v>
      </c>
      <c r="BI319" s="48" t="s">
        <v>1888</v>
      </c>
      <c r="BJ319">
        <v>1</v>
      </c>
      <c r="BK319">
        <v>1473.06</v>
      </c>
      <c r="BL319">
        <v>180234624</v>
      </c>
      <c r="BM319">
        <v>122354</v>
      </c>
      <c r="BN319" s="48" t="s">
        <v>2064</v>
      </c>
      <c r="BO319" s="48" t="s">
        <v>2065</v>
      </c>
      <c r="BP319">
        <v>1473.06</v>
      </c>
      <c r="BQ319">
        <v>125899.98</v>
      </c>
      <c r="BR319" s="48" t="s">
        <v>1885</v>
      </c>
      <c r="BS319" s="48" t="s">
        <v>2066</v>
      </c>
      <c r="BT319">
        <v>1</v>
      </c>
      <c r="BU319">
        <v>5223600</v>
      </c>
      <c r="BV319">
        <v>5223600</v>
      </c>
      <c r="BW319" s="48" t="s">
        <v>2065</v>
      </c>
      <c r="BX319">
        <v>1473.06</v>
      </c>
      <c r="BY319">
        <v>0</v>
      </c>
      <c r="BZ319">
        <v>0</v>
      </c>
      <c r="CA319" s="48" t="s">
        <v>2065</v>
      </c>
      <c r="CB319">
        <v>1473.06</v>
      </c>
      <c r="CC319">
        <v>0</v>
      </c>
      <c r="CD319">
        <v>0</v>
      </c>
      <c r="CE319" s="48" t="s">
        <v>1710</v>
      </c>
      <c r="CF319" s="48" t="s">
        <v>1710</v>
      </c>
      <c r="CG319" s="48" t="s">
        <v>1710</v>
      </c>
      <c r="CH319" s="48" t="s">
        <v>1710</v>
      </c>
      <c r="CI319" s="48" t="s">
        <v>2067</v>
      </c>
      <c r="CJ319" s="48" t="s">
        <v>1710</v>
      </c>
      <c r="CL319" s="48" t="s">
        <v>3111</v>
      </c>
      <c r="CM319" s="48" t="s">
        <v>1710</v>
      </c>
      <c r="CN319" s="48" t="s">
        <v>2068</v>
      </c>
      <c r="CO319" s="48" t="s">
        <v>2069</v>
      </c>
      <c r="CP319" s="48" t="s">
        <v>1710</v>
      </c>
      <c r="CQ319" s="48" t="s">
        <v>1710</v>
      </c>
      <c r="CR319" s="48" t="s">
        <v>1710</v>
      </c>
      <c r="CS319" s="48" t="s">
        <v>1710</v>
      </c>
      <c r="CT319" s="48" t="s">
        <v>1710</v>
      </c>
      <c r="CU319" s="48" t="s">
        <v>1712</v>
      </c>
      <c r="CV319" s="48" t="s">
        <v>1710</v>
      </c>
      <c r="CW319" s="48" t="s">
        <v>1710</v>
      </c>
      <c r="CX319" s="48" t="s">
        <v>3167</v>
      </c>
      <c r="CY319" s="48" t="s">
        <v>1710</v>
      </c>
      <c r="CZ319" s="48" t="s">
        <v>1712</v>
      </c>
      <c r="DA319" s="48" t="s">
        <v>1710</v>
      </c>
      <c r="DB319" s="48" t="s">
        <v>1878</v>
      </c>
      <c r="DC319" s="48" t="s">
        <v>2070</v>
      </c>
      <c r="DD319" s="48" t="s">
        <v>1842</v>
      </c>
      <c r="DE319" s="48" t="s">
        <v>1886</v>
      </c>
      <c r="DF319" s="48" t="s">
        <v>5315</v>
      </c>
      <c r="DG319" s="48" t="s">
        <v>2071</v>
      </c>
      <c r="DH319" s="48" t="s">
        <v>1712</v>
      </c>
      <c r="DI319" s="48" t="s">
        <v>1710</v>
      </c>
      <c r="DJ319" s="48" t="s">
        <v>1710</v>
      </c>
      <c r="DK319" s="48" t="s">
        <v>1710</v>
      </c>
      <c r="DL319" s="48" t="s">
        <v>1710</v>
      </c>
      <c r="DM319" s="48" t="s">
        <v>1710</v>
      </c>
      <c r="DN319" s="48" t="s">
        <v>1710</v>
      </c>
      <c r="DO319" s="48" t="s">
        <v>1710</v>
      </c>
      <c r="DP319" s="48" t="s">
        <v>1710</v>
      </c>
      <c r="DQ319" s="48" t="s">
        <v>1710</v>
      </c>
      <c r="DR319" s="48" t="s">
        <v>2072</v>
      </c>
      <c r="DS319" s="48" t="s">
        <v>1710</v>
      </c>
      <c r="DT319" s="48" t="s">
        <v>1710</v>
      </c>
      <c r="DU319" s="48" t="s">
        <v>2575</v>
      </c>
      <c r="DV319" s="48" t="s">
        <v>2825</v>
      </c>
      <c r="DW319" s="48" t="s">
        <v>1710</v>
      </c>
      <c r="DX319" s="48" t="s">
        <v>5316</v>
      </c>
      <c r="DY319" s="48" t="s">
        <v>1709</v>
      </c>
      <c r="DZ319" s="48" t="s">
        <v>2073</v>
      </c>
      <c r="EA319" s="48" t="s">
        <v>2546</v>
      </c>
      <c r="EB319">
        <v>0</v>
      </c>
      <c r="EC319" s="48" t="s">
        <v>2575</v>
      </c>
      <c r="ED319" s="48" t="s">
        <v>5317</v>
      </c>
      <c r="EE319" s="48" t="s">
        <v>1814</v>
      </c>
      <c r="EF319" s="48" t="s">
        <v>5318</v>
      </c>
      <c r="EG319" s="48" t="s">
        <v>5313</v>
      </c>
      <c r="EH319">
        <v>800</v>
      </c>
      <c r="EI319" s="48" t="s">
        <v>1888</v>
      </c>
      <c r="EJ319">
        <v>0</v>
      </c>
      <c r="EK319" s="48" t="s">
        <v>1710</v>
      </c>
      <c r="EL319">
        <v>1</v>
      </c>
      <c r="EM319" s="48" t="s">
        <v>1886</v>
      </c>
      <c r="EN319">
        <v>800</v>
      </c>
      <c r="EO319" s="48" t="s">
        <v>5319</v>
      </c>
      <c r="EP319" s="48" t="s">
        <v>5320</v>
      </c>
      <c r="EQ319">
        <v>125899.98</v>
      </c>
      <c r="ER319">
        <v>125899.98</v>
      </c>
      <c r="ES319">
        <v>180234624</v>
      </c>
      <c r="ET319">
        <v>122354</v>
      </c>
      <c r="EU319" s="48" t="s">
        <v>5321</v>
      </c>
      <c r="EV319" s="48" t="s">
        <v>1817</v>
      </c>
      <c r="EW319" s="48" t="s">
        <v>1712</v>
      </c>
      <c r="EX319" s="48" t="s">
        <v>1710</v>
      </c>
      <c r="EY319" s="48" t="s">
        <v>1848</v>
      </c>
      <c r="EZ319" s="48" t="s">
        <v>1710</v>
      </c>
      <c r="FA319" s="48" t="s">
        <v>1710</v>
      </c>
      <c r="FB319" s="48" t="s">
        <v>1712</v>
      </c>
      <c r="FC319" s="48" t="s">
        <v>1710</v>
      </c>
      <c r="FD319" s="48" t="s">
        <v>1710</v>
      </c>
      <c r="FE319" s="48" t="s">
        <v>1814</v>
      </c>
      <c r="FF319" s="48" t="s">
        <v>1815</v>
      </c>
      <c r="FG319" s="48" t="s">
        <v>1710</v>
      </c>
      <c r="FH319">
        <v>1</v>
      </c>
      <c r="FI319" s="48" t="s">
        <v>1846</v>
      </c>
      <c r="FJ319">
        <v>125899.98</v>
      </c>
      <c r="FK319">
        <v>125899.98</v>
      </c>
      <c r="FL319" s="48" t="s">
        <v>5322</v>
      </c>
      <c r="FM319" s="48" t="s">
        <v>5320</v>
      </c>
      <c r="FN319" s="48" t="s">
        <v>1710</v>
      </c>
      <c r="FO319" s="48" t="s">
        <v>1710</v>
      </c>
      <c r="FP319" s="48" t="s">
        <v>1710</v>
      </c>
      <c r="FQ319" s="48" t="s">
        <v>1710</v>
      </c>
      <c r="FR319" s="48" t="s">
        <v>1710</v>
      </c>
      <c r="FS319" s="48" t="s">
        <v>1710</v>
      </c>
      <c r="FT319" s="48" t="s">
        <v>1710</v>
      </c>
      <c r="FU319" s="48" t="s">
        <v>1710</v>
      </c>
      <c r="FV319" s="48"/>
      <c r="GA319" s="55"/>
      <c r="GE319" s="61"/>
      <c r="GF319" s="62"/>
      <c r="GI319" s="48"/>
    </row>
    <row r="320" spans="1:191">
      <c r="A320" s="48" t="s">
        <v>5323</v>
      </c>
      <c r="B320" s="48" t="s">
        <v>1821</v>
      </c>
      <c r="C320" s="48" t="s">
        <v>2048</v>
      </c>
      <c r="D320" s="48" t="s">
        <v>2813</v>
      </c>
      <c r="E320" s="48" t="s">
        <v>5323</v>
      </c>
      <c r="F320" s="48" t="s">
        <v>1710</v>
      </c>
      <c r="G320" s="48" t="s">
        <v>2814</v>
      </c>
      <c r="H320" s="48" t="s">
        <v>5324</v>
      </c>
      <c r="I320" s="48" t="s">
        <v>1884</v>
      </c>
      <c r="J320" s="48" t="s">
        <v>3111</v>
      </c>
      <c r="K320" s="48" t="s">
        <v>1877</v>
      </c>
      <c r="L320" s="48" t="s">
        <v>1842</v>
      </c>
      <c r="M320" s="48" t="s">
        <v>1822</v>
      </c>
      <c r="N320" s="48" t="s">
        <v>1842</v>
      </c>
      <c r="O320" s="48" t="s">
        <v>1823</v>
      </c>
      <c r="P320" s="48" t="s">
        <v>2549</v>
      </c>
      <c r="Q320" s="48" t="s">
        <v>2049</v>
      </c>
      <c r="R320" s="48" t="s">
        <v>1838</v>
      </c>
      <c r="S320" s="48" t="s">
        <v>2050</v>
      </c>
      <c r="T320" s="48" t="s">
        <v>1845</v>
      </c>
      <c r="U320" s="48" t="s">
        <v>2049</v>
      </c>
      <c r="V320" s="48" t="s">
        <v>1838</v>
      </c>
      <c r="W320" s="48" t="s">
        <v>2051</v>
      </c>
      <c r="X320" s="48" t="s">
        <v>2052</v>
      </c>
      <c r="Y320" s="48" t="s">
        <v>2050</v>
      </c>
      <c r="Z320" s="48" t="s">
        <v>2053</v>
      </c>
      <c r="AA320" s="48" t="s">
        <v>2054</v>
      </c>
      <c r="AB320" s="48" t="s">
        <v>2817</v>
      </c>
      <c r="AC320" s="48" t="s">
        <v>2055</v>
      </c>
      <c r="AD320" s="48" t="s">
        <v>2056</v>
      </c>
      <c r="AE320" s="48" t="s">
        <v>1710</v>
      </c>
      <c r="AF320" s="48" t="s">
        <v>1710</v>
      </c>
      <c r="AG320" s="48" t="s">
        <v>2057</v>
      </c>
      <c r="AH320" s="48" t="s">
        <v>1815</v>
      </c>
      <c r="AI320" s="48" t="s">
        <v>2058</v>
      </c>
      <c r="AJ320" s="48" t="s">
        <v>1710</v>
      </c>
      <c r="AK320" s="48" t="s">
        <v>2077</v>
      </c>
      <c r="AL320" s="48" t="s">
        <v>1858</v>
      </c>
      <c r="AM320" s="48" t="s">
        <v>1816</v>
      </c>
      <c r="AN320" s="48" t="s">
        <v>2054</v>
      </c>
      <c r="AO320" s="48" t="s">
        <v>1710</v>
      </c>
      <c r="AP320" s="48" t="s">
        <v>1848</v>
      </c>
      <c r="AQ320" s="48" t="s">
        <v>2060</v>
      </c>
      <c r="AR320" s="48" t="s">
        <v>1812</v>
      </c>
      <c r="AS320" s="48" t="s">
        <v>1813</v>
      </c>
      <c r="AT320" s="48" t="s">
        <v>1826</v>
      </c>
      <c r="AU320" s="48" t="s">
        <v>2061</v>
      </c>
      <c r="AV320" s="48" t="s">
        <v>3111</v>
      </c>
      <c r="AW320" s="48" t="s">
        <v>2062</v>
      </c>
      <c r="AX320" s="48" t="s">
        <v>2063</v>
      </c>
      <c r="AY320" s="48" t="s">
        <v>1710</v>
      </c>
      <c r="AZ320" s="48" t="s">
        <v>5325</v>
      </c>
      <c r="BA320" s="48" t="s">
        <v>1710</v>
      </c>
      <c r="BB320" s="48" t="s">
        <v>1709</v>
      </c>
      <c r="BC320" s="48" t="s">
        <v>1710</v>
      </c>
      <c r="BD320" s="48" t="s">
        <v>2094</v>
      </c>
      <c r="BE320" s="52" t="s">
        <v>5326</v>
      </c>
      <c r="BF320" s="48" t="s">
        <v>1710</v>
      </c>
      <c r="BG320" s="48" t="s">
        <v>1814</v>
      </c>
      <c r="BH320">
        <v>13</v>
      </c>
      <c r="BI320" s="48" t="s">
        <v>1888</v>
      </c>
      <c r="BJ320">
        <v>1</v>
      </c>
      <c r="BK320">
        <v>1473.06</v>
      </c>
      <c r="BL320">
        <v>11456775</v>
      </c>
      <c r="BM320">
        <v>7778</v>
      </c>
      <c r="BN320" s="48" t="s">
        <v>2064</v>
      </c>
      <c r="BO320" s="48" t="s">
        <v>2065</v>
      </c>
      <c r="BP320">
        <v>1473.06</v>
      </c>
      <c r="BQ320">
        <v>7911.27</v>
      </c>
      <c r="BR320" s="48" t="s">
        <v>1885</v>
      </c>
      <c r="BS320" s="48" t="s">
        <v>2066</v>
      </c>
      <c r="BT320">
        <v>1</v>
      </c>
      <c r="BU320">
        <v>197000</v>
      </c>
      <c r="BV320">
        <v>197000</v>
      </c>
      <c r="BW320" s="48" t="s">
        <v>2065</v>
      </c>
      <c r="BX320">
        <v>1473.06</v>
      </c>
      <c r="BY320">
        <v>0</v>
      </c>
      <c r="BZ320">
        <v>0</v>
      </c>
      <c r="CA320" s="48" t="s">
        <v>2065</v>
      </c>
      <c r="CB320">
        <v>1473.06</v>
      </c>
      <c r="CC320">
        <v>0</v>
      </c>
      <c r="CD320">
        <v>0</v>
      </c>
      <c r="CE320" s="48" t="s">
        <v>1710</v>
      </c>
      <c r="CF320" s="48" t="s">
        <v>1710</v>
      </c>
      <c r="CG320" s="48" t="s">
        <v>1710</v>
      </c>
      <c r="CH320" s="48" t="s">
        <v>1710</v>
      </c>
      <c r="CI320" s="48" t="s">
        <v>2067</v>
      </c>
      <c r="CJ320" s="48" t="s">
        <v>1710</v>
      </c>
      <c r="CL320" s="48" t="s">
        <v>3111</v>
      </c>
      <c r="CM320" s="48" t="s">
        <v>1710</v>
      </c>
      <c r="CN320" s="48" t="s">
        <v>2068</v>
      </c>
      <c r="CO320" s="48" t="s">
        <v>2069</v>
      </c>
      <c r="CP320" s="48" t="s">
        <v>1710</v>
      </c>
      <c r="CQ320" s="48" t="s">
        <v>1710</v>
      </c>
      <c r="CR320" s="48" t="s">
        <v>1710</v>
      </c>
      <c r="CS320" s="48" t="s">
        <v>1710</v>
      </c>
      <c r="CT320" s="48" t="s">
        <v>1710</v>
      </c>
      <c r="CU320" s="48" t="s">
        <v>1712</v>
      </c>
      <c r="CV320" s="48" t="s">
        <v>1710</v>
      </c>
      <c r="CW320" s="48" t="s">
        <v>1710</v>
      </c>
      <c r="CX320" s="48" t="s">
        <v>3167</v>
      </c>
      <c r="CY320" s="48" t="s">
        <v>1710</v>
      </c>
      <c r="CZ320" s="48" t="s">
        <v>1885</v>
      </c>
      <c r="DA320" s="48" t="s">
        <v>1710</v>
      </c>
      <c r="DB320" s="48" t="s">
        <v>1878</v>
      </c>
      <c r="DC320" s="48" t="s">
        <v>2070</v>
      </c>
      <c r="DD320" s="48" t="s">
        <v>1842</v>
      </c>
      <c r="DE320" s="48" t="s">
        <v>1886</v>
      </c>
      <c r="DF320" s="48" t="s">
        <v>5327</v>
      </c>
      <c r="DG320" s="48" t="s">
        <v>2071</v>
      </c>
      <c r="DH320" s="48" t="s">
        <v>1712</v>
      </c>
      <c r="DI320" s="48" t="s">
        <v>1710</v>
      </c>
      <c r="DJ320" s="48" t="s">
        <v>1710</v>
      </c>
      <c r="DK320" s="48" t="s">
        <v>1710</v>
      </c>
      <c r="DL320" s="48" t="s">
        <v>1710</v>
      </c>
      <c r="DM320" s="48" t="s">
        <v>1710</v>
      </c>
      <c r="DN320" s="48" t="s">
        <v>1710</v>
      </c>
      <c r="DO320" s="48" t="s">
        <v>1710</v>
      </c>
      <c r="DP320" s="48" t="s">
        <v>1710</v>
      </c>
      <c r="DQ320" s="48" t="s">
        <v>1710</v>
      </c>
      <c r="DR320" s="48" t="s">
        <v>2072</v>
      </c>
      <c r="DS320" s="48" t="s">
        <v>1710</v>
      </c>
      <c r="DT320" s="48" t="s">
        <v>1710</v>
      </c>
      <c r="DU320" s="48" t="s">
        <v>2575</v>
      </c>
      <c r="DV320" s="48" t="s">
        <v>3111</v>
      </c>
      <c r="DW320" s="48" t="s">
        <v>1710</v>
      </c>
      <c r="DX320" s="48" t="s">
        <v>5328</v>
      </c>
      <c r="DY320" s="48" t="s">
        <v>1709</v>
      </c>
      <c r="DZ320" s="48" t="s">
        <v>2562</v>
      </c>
      <c r="EA320" s="48" t="s">
        <v>2546</v>
      </c>
      <c r="EB320">
        <v>0</v>
      </c>
      <c r="EC320" s="48" t="s">
        <v>2575</v>
      </c>
      <c r="ED320" s="48" t="s">
        <v>4050</v>
      </c>
      <c r="EE320" s="48" t="s">
        <v>1814</v>
      </c>
      <c r="EF320" s="48" t="s">
        <v>2567</v>
      </c>
      <c r="EG320" s="48" t="s">
        <v>5325</v>
      </c>
      <c r="EH320">
        <v>12</v>
      </c>
      <c r="EI320" s="48" t="s">
        <v>1888</v>
      </c>
      <c r="EJ320">
        <v>3</v>
      </c>
      <c r="EK320" s="48" t="s">
        <v>1887</v>
      </c>
      <c r="EL320">
        <v>1</v>
      </c>
      <c r="EM320" s="48" t="s">
        <v>1886</v>
      </c>
      <c r="EN320">
        <v>12</v>
      </c>
      <c r="EO320" s="48" t="s">
        <v>5329</v>
      </c>
      <c r="EP320" s="48" t="s">
        <v>5330</v>
      </c>
      <c r="EQ320">
        <v>7911.27</v>
      </c>
      <c r="ER320">
        <v>7911.27</v>
      </c>
      <c r="ES320">
        <v>11456775</v>
      </c>
      <c r="ET320">
        <v>7778</v>
      </c>
      <c r="EU320" s="48" t="s">
        <v>1710</v>
      </c>
      <c r="EV320" s="48" t="s">
        <v>1710</v>
      </c>
      <c r="EW320" s="48" t="s">
        <v>1712</v>
      </c>
      <c r="EX320" s="48" t="s">
        <v>1710</v>
      </c>
      <c r="EY320" s="48" t="s">
        <v>1843</v>
      </c>
      <c r="EZ320" s="48" t="s">
        <v>1710</v>
      </c>
      <c r="FA320" s="48" t="s">
        <v>1710</v>
      </c>
      <c r="FB320" s="48" t="s">
        <v>1712</v>
      </c>
      <c r="FC320" s="48" t="s">
        <v>1710</v>
      </c>
      <c r="FD320" s="48" t="s">
        <v>1710</v>
      </c>
      <c r="FE320" s="48" t="s">
        <v>1814</v>
      </c>
      <c r="FF320" s="48" t="s">
        <v>1815</v>
      </c>
      <c r="FG320" s="48" t="s">
        <v>1710</v>
      </c>
      <c r="FH320">
        <v>1</v>
      </c>
      <c r="FI320" s="48" t="s">
        <v>1846</v>
      </c>
      <c r="FJ320">
        <v>2637.09</v>
      </c>
      <c r="FK320">
        <v>2637.09</v>
      </c>
      <c r="FL320" s="48" t="s">
        <v>5331</v>
      </c>
      <c r="FM320" s="48" t="s">
        <v>5330</v>
      </c>
      <c r="FN320" s="48" t="s">
        <v>1710</v>
      </c>
      <c r="FO320" s="48" t="s">
        <v>1710</v>
      </c>
      <c r="FP320" s="48" t="s">
        <v>1710</v>
      </c>
      <c r="FQ320" s="48" t="s">
        <v>1710</v>
      </c>
      <c r="FR320" s="48" t="s">
        <v>1710</v>
      </c>
      <c r="FS320" s="48" t="s">
        <v>1710</v>
      </c>
      <c r="FT320" s="48" t="s">
        <v>5332</v>
      </c>
      <c r="FU320" s="48" t="s">
        <v>1710</v>
      </c>
      <c r="FV320" s="48"/>
      <c r="GA320" s="55"/>
      <c r="GE320" s="61"/>
      <c r="GF320" s="62"/>
      <c r="GI320" s="48"/>
    </row>
    <row r="321" spans="1:191">
      <c r="A321" s="48" t="s">
        <v>5333</v>
      </c>
      <c r="B321" s="48" t="s">
        <v>1821</v>
      </c>
      <c r="C321" s="48" t="s">
        <v>2048</v>
      </c>
      <c r="D321" s="48" t="s">
        <v>2813</v>
      </c>
      <c r="E321" s="48" t="s">
        <v>5333</v>
      </c>
      <c r="F321" s="48" t="s">
        <v>1710</v>
      </c>
      <c r="G321" s="48" t="s">
        <v>2814</v>
      </c>
      <c r="H321" s="48" t="s">
        <v>5334</v>
      </c>
      <c r="I321" s="48" t="s">
        <v>1884</v>
      </c>
      <c r="J321" s="48" t="s">
        <v>3111</v>
      </c>
      <c r="K321" s="48" t="s">
        <v>1877</v>
      </c>
      <c r="L321" s="48" t="s">
        <v>1842</v>
      </c>
      <c r="M321" s="48" t="s">
        <v>1810</v>
      </c>
      <c r="N321" s="48" t="s">
        <v>1842</v>
      </c>
      <c r="O321" s="48" t="s">
        <v>1811</v>
      </c>
      <c r="P321" s="48" t="s">
        <v>2549</v>
      </c>
      <c r="Q321" s="48" t="s">
        <v>2049</v>
      </c>
      <c r="R321" s="48" t="s">
        <v>1838</v>
      </c>
      <c r="S321" s="48" t="s">
        <v>2050</v>
      </c>
      <c r="T321" s="48" t="s">
        <v>1845</v>
      </c>
      <c r="U321" s="48" t="s">
        <v>2049</v>
      </c>
      <c r="V321" s="48" t="s">
        <v>1838</v>
      </c>
      <c r="W321" s="48" t="s">
        <v>2051</v>
      </c>
      <c r="X321" s="48" t="s">
        <v>2052</v>
      </c>
      <c r="Y321" s="48" t="s">
        <v>2050</v>
      </c>
      <c r="Z321" s="48" t="s">
        <v>2053</v>
      </c>
      <c r="AA321" s="48" t="s">
        <v>2054</v>
      </c>
      <c r="AB321" s="48" t="s">
        <v>2817</v>
      </c>
      <c r="AC321" s="48" t="s">
        <v>2055</v>
      </c>
      <c r="AD321" s="48" t="s">
        <v>2056</v>
      </c>
      <c r="AE321" s="48" t="s">
        <v>1710</v>
      </c>
      <c r="AF321" s="48" t="s">
        <v>1710</v>
      </c>
      <c r="AG321" s="48" t="s">
        <v>2057</v>
      </c>
      <c r="AH321" s="48" t="s">
        <v>1815</v>
      </c>
      <c r="AI321" s="48" t="s">
        <v>2058</v>
      </c>
      <c r="AJ321" s="48" t="s">
        <v>1710</v>
      </c>
      <c r="AK321" s="48" t="s">
        <v>2563</v>
      </c>
      <c r="AL321" s="48" t="s">
        <v>2564</v>
      </c>
      <c r="AM321" s="48" t="s">
        <v>1816</v>
      </c>
      <c r="AN321" s="48" t="s">
        <v>2054</v>
      </c>
      <c r="AO321" s="48" t="s">
        <v>1710</v>
      </c>
      <c r="AP321" s="48" t="s">
        <v>1855</v>
      </c>
      <c r="AQ321" s="48" t="s">
        <v>2076</v>
      </c>
      <c r="AR321" s="48" t="s">
        <v>1812</v>
      </c>
      <c r="AS321" s="48" t="s">
        <v>1813</v>
      </c>
      <c r="AT321" s="48" t="s">
        <v>1826</v>
      </c>
      <c r="AU321" s="48" t="s">
        <v>2061</v>
      </c>
      <c r="AV321" s="48" t="s">
        <v>3111</v>
      </c>
      <c r="AW321" s="48" t="s">
        <v>2062</v>
      </c>
      <c r="AX321" s="48" t="s">
        <v>2063</v>
      </c>
      <c r="AY321" s="48" t="s">
        <v>1710</v>
      </c>
      <c r="AZ321" s="48" t="s">
        <v>5335</v>
      </c>
      <c r="BA321" s="48" t="s">
        <v>1710</v>
      </c>
      <c r="BB321" s="48" t="s">
        <v>1709</v>
      </c>
      <c r="BC321" s="48" t="s">
        <v>1710</v>
      </c>
      <c r="BD321" s="48" t="s">
        <v>3137</v>
      </c>
      <c r="BE321" s="52" t="s">
        <v>5336</v>
      </c>
      <c r="BF321" s="48" t="s">
        <v>1710</v>
      </c>
      <c r="BG321" s="48" t="s">
        <v>1820</v>
      </c>
      <c r="BH321">
        <v>60</v>
      </c>
      <c r="BI321" s="48" t="s">
        <v>1888</v>
      </c>
      <c r="BJ321">
        <v>2</v>
      </c>
      <c r="BK321">
        <v>1473.06</v>
      </c>
      <c r="BL321">
        <v>45670507</v>
      </c>
      <c r="BM321">
        <v>31004</v>
      </c>
      <c r="BN321" s="48" t="s">
        <v>2064</v>
      </c>
      <c r="BO321" s="48" t="s">
        <v>2065</v>
      </c>
      <c r="BP321">
        <v>1473.06</v>
      </c>
      <c r="BQ321">
        <v>31203.42</v>
      </c>
      <c r="BR321" s="48" t="s">
        <v>1885</v>
      </c>
      <c r="BS321" s="48" t="s">
        <v>2066</v>
      </c>
      <c r="BT321">
        <v>1</v>
      </c>
      <c r="BU321">
        <v>294000</v>
      </c>
      <c r="BV321">
        <v>294000</v>
      </c>
      <c r="BW321" s="48" t="s">
        <v>2065</v>
      </c>
      <c r="BX321">
        <v>1473.06</v>
      </c>
      <c r="BY321">
        <v>0</v>
      </c>
      <c r="BZ321">
        <v>0</v>
      </c>
      <c r="CA321" s="48" t="s">
        <v>2065</v>
      </c>
      <c r="CB321">
        <v>1473.06</v>
      </c>
      <c r="CC321">
        <v>0</v>
      </c>
      <c r="CD321">
        <v>0</v>
      </c>
      <c r="CE321" s="48" t="s">
        <v>1710</v>
      </c>
      <c r="CF321" s="48" t="s">
        <v>1710</v>
      </c>
      <c r="CG321" s="48" t="s">
        <v>1710</v>
      </c>
      <c r="CH321" s="48" t="s">
        <v>1710</v>
      </c>
      <c r="CI321" s="48" t="s">
        <v>2067</v>
      </c>
      <c r="CJ321" s="48" t="s">
        <v>1710</v>
      </c>
      <c r="CL321" s="48" t="s">
        <v>3111</v>
      </c>
      <c r="CM321" s="48" t="s">
        <v>1710</v>
      </c>
      <c r="CN321" s="48" t="s">
        <v>2068</v>
      </c>
      <c r="CO321" s="48" t="s">
        <v>2069</v>
      </c>
      <c r="CP321" s="48" t="s">
        <v>1710</v>
      </c>
      <c r="CQ321" s="48" t="s">
        <v>1710</v>
      </c>
      <c r="CR321" s="48" t="s">
        <v>1710</v>
      </c>
      <c r="CS321" s="48" t="s">
        <v>1710</v>
      </c>
      <c r="CT321" s="48" t="s">
        <v>1710</v>
      </c>
      <c r="CU321" s="48" t="s">
        <v>1712</v>
      </c>
      <c r="CV321" s="48" t="s">
        <v>1710</v>
      </c>
      <c r="CW321" s="48" t="s">
        <v>1710</v>
      </c>
      <c r="CX321" s="48" t="s">
        <v>3167</v>
      </c>
      <c r="CY321" s="48" t="s">
        <v>1710</v>
      </c>
      <c r="CZ321" s="48" t="s">
        <v>1712</v>
      </c>
      <c r="DA321" s="48" t="s">
        <v>1710</v>
      </c>
      <c r="DB321" s="48" t="s">
        <v>1878</v>
      </c>
      <c r="DC321" s="48" t="s">
        <v>2070</v>
      </c>
      <c r="DD321" s="48" t="s">
        <v>1842</v>
      </c>
      <c r="DE321" s="48" t="s">
        <v>1886</v>
      </c>
      <c r="DF321" s="48" t="s">
        <v>5337</v>
      </c>
      <c r="DG321" s="48" t="s">
        <v>2071</v>
      </c>
      <c r="DH321" s="48" t="s">
        <v>1712</v>
      </c>
      <c r="DI321" s="48" t="s">
        <v>1710</v>
      </c>
      <c r="DJ321" s="48" t="s">
        <v>1710</v>
      </c>
      <c r="DK321" s="48" t="s">
        <v>1710</v>
      </c>
      <c r="DL321" s="48" t="s">
        <v>1710</v>
      </c>
      <c r="DM321" s="48" t="s">
        <v>1710</v>
      </c>
      <c r="DN321" s="48" t="s">
        <v>1710</v>
      </c>
      <c r="DO321" s="48" t="s">
        <v>1710</v>
      </c>
      <c r="DP321" s="48" t="s">
        <v>1710</v>
      </c>
      <c r="DQ321" s="48" t="s">
        <v>1710</v>
      </c>
      <c r="DR321" s="48" t="s">
        <v>2072</v>
      </c>
      <c r="DS321" s="48" t="s">
        <v>1710</v>
      </c>
      <c r="DT321" s="48" t="s">
        <v>1710</v>
      </c>
      <c r="DU321" s="48" t="s">
        <v>2575</v>
      </c>
      <c r="DV321" s="48" t="s">
        <v>3206</v>
      </c>
      <c r="DW321" s="48" t="s">
        <v>1710</v>
      </c>
      <c r="DX321" s="48" t="s">
        <v>5338</v>
      </c>
      <c r="DY321" s="48" t="s">
        <v>1709</v>
      </c>
      <c r="DZ321" s="48" t="s">
        <v>2562</v>
      </c>
      <c r="EA321" s="48" t="s">
        <v>2546</v>
      </c>
      <c r="EB321">
        <v>0</v>
      </c>
      <c r="EC321" s="48" t="s">
        <v>2575</v>
      </c>
      <c r="ED321" s="48" t="s">
        <v>5339</v>
      </c>
      <c r="EE321" s="48" t="s">
        <v>1814</v>
      </c>
      <c r="EF321" s="48" t="s">
        <v>1881</v>
      </c>
      <c r="EG321" s="48" t="s">
        <v>5335</v>
      </c>
      <c r="EH321">
        <v>30</v>
      </c>
      <c r="EI321" s="48" t="s">
        <v>1888</v>
      </c>
      <c r="EJ321">
        <v>0</v>
      </c>
      <c r="EK321" s="48" t="s">
        <v>1710</v>
      </c>
      <c r="EL321">
        <v>2</v>
      </c>
      <c r="EM321" s="48" t="s">
        <v>1886</v>
      </c>
      <c r="EN321">
        <v>30</v>
      </c>
      <c r="EO321" s="48" t="s">
        <v>2601</v>
      </c>
      <c r="EP321" s="48" t="s">
        <v>5340</v>
      </c>
      <c r="EQ321">
        <v>12462.74</v>
      </c>
      <c r="ER321">
        <v>12462.74</v>
      </c>
      <c r="ES321">
        <v>18240939</v>
      </c>
      <c r="ET321">
        <v>12383</v>
      </c>
      <c r="EU321" s="48" t="s">
        <v>1710</v>
      </c>
      <c r="EV321" s="48" t="s">
        <v>1710</v>
      </c>
      <c r="EW321" s="48" t="s">
        <v>1712</v>
      </c>
      <c r="EX321" s="48" t="s">
        <v>1710</v>
      </c>
      <c r="EY321" s="48" t="s">
        <v>1850</v>
      </c>
      <c r="EZ321" s="48" t="s">
        <v>1710</v>
      </c>
      <c r="FA321" s="48" t="s">
        <v>1710</v>
      </c>
      <c r="FB321" s="48" t="s">
        <v>1712</v>
      </c>
      <c r="FC321" s="48" t="s">
        <v>1710</v>
      </c>
      <c r="FD321" s="48" t="s">
        <v>1710</v>
      </c>
      <c r="FE321" s="48" t="s">
        <v>1814</v>
      </c>
      <c r="FF321" s="48" t="s">
        <v>1815</v>
      </c>
      <c r="FG321" s="48" t="s">
        <v>1710</v>
      </c>
      <c r="FH321">
        <v>3</v>
      </c>
      <c r="FI321" s="48" t="s">
        <v>1846</v>
      </c>
      <c r="FJ321">
        <v>12462.74</v>
      </c>
      <c r="FK321">
        <v>4154.2470000000003</v>
      </c>
      <c r="FL321" s="48" t="s">
        <v>5341</v>
      </c>
      <c r="FM321" s="48" t="s">
        <v>5342</v>
      </c>
      <c r="FN321" s="48" t="s">
        <v>1710</v>
      </c>
      <c r="FO321" s="48" t="s">
        <v>1710</v>
      </c>
      <c r="FP321" s="48" t="s">
        <v>1710</v>
      </c>
      <c r="FQ321" s="48" t="s">
        <v>1710</v>
      </c>
      <c r="FR321" s="48" t="s">
        <v>1710</v>
      </c>
      <c r="FS321" s="48" t="s">
        <v>1710</v>
      </c>
      <c r="FT321" s="48" t="s">
        <v>1710</v>
      </c>
      <c r="FU321" s="48" t="s">
        <v>1710</v>
      </c>
      <c r="FV321" s="48"/>
      <c r="GA321" s="55"/>
      <c r="GE321" s="61"/>
      <c r="GF321" s="62"/>
      <c r="GI321" s="48"/>
    </row>
    <row r="322" spans="1:191">
      <c r="A322" s="48" t="s">
        <v>5343</v>
      </c>
      <c r="B322" s="48" t="s">
        <v>1821</v>
      </c>
      <c r="C322" s="48" t="s">
        <v>2048</v>
      </c>
      <c r="D322" s="48" t="s">
        <v>2813</v>
      </c>
      <c r="E322" s="48" t="s">
        <v>5343</v>
      </c>
      <c r="F322" s="48" t="s">
        <v>1710</v>
      </c>
      <c r="G322" s="48" t="s">
        <v>2814</v>
      </c>
      <c r="H322" s="48" t="s">
        <v>5344</v>
      </c>
      <c r="I322" s="48" t="s">
        <v>1884</v>
      </c>
      <c r="J322" s="48" t="s">
        <v>3111</v>
      </c>
      <c r="K322" s="48" t="s">
        <v>1877</v>
      </c>
      <c r="L322" s="48" t="s">
        <v>1842</v>
      </c>
      <c r="M322" s="48" t="s">
        <v>1810</v>
      </c>
      <c r="N322" s="48" t="s">
        <v>1842</v>
      </c>
      <c r="O322" s="48" t="s">
        <v>1811</v>
      </c>
      <c r="P322" s="48" t="s">
        <v>2549</v>
      </c>
      <c r="Q322" s="48" t="s">
        <v>2049</v>
      </c>
      <c r="R322" s="48" t="s">
        <v>1838</v>
      </c>
      <c r="S322" s="48" t="s">
        <v>2050</v>
      </c>
      <c r="T322" s="48" t="s">
        <v>1845</v>
      </c>
      <c r="U322" s="48" t="s">
        <v>2049</v>
      </c>
      <c r="V322" s="48" t="s">
        <v>1838</v>
      </c>
      <c r="W322" s="48" t="s">
        <v>2051</v>
      </c>
      <c r="X322" s="48" t="s">
        <v>2052</v>
      </c>
      <c r="Y322" s="48" t="s">
        <v>2050</v>
      </c>
      <c r="Z322" s="48" t="s">
        <v>2053</v>
      </c>
      <c r="AA322" s="48" t="s">
        <v>2054</v>
      </c>
      <c r="AB322" s="48" t="s">
        <v>2817</v>
      </c>
      <c r="AC322" s="48" t="s">
        <v>2055</v>
      </c>
      <c r="AD322" s="48" t="s">
        <v>2056</v>
      </c>
      <c r="AE322" s="48" t="s">
        <v>1710</v>
      </c>
      <c r="AF322" s="48" t="s">
        <v>1710</v>
      </c>
      <c r="AG322" s="48" t="s">
        <v>2057</v>
      </c>
      <c r="AH322" s="48" t="s">
        <v>1815</v>
      </c>
      <c r="AI322" s="48" t="s">
        <v>2058</v>
      </c>
      <c r="AJ322" s="48" t="s">
        <v>1710</v>
      </c>
      <c r="AK322" s="48" t="s">
        <v>2632</v>
      </c>
      <c r="AL322" s="48" t="s">
        <v>2633</v>
      </c>
      <c r="AM322" s="48" t="s">
        <v>1816</v>
      </c>
      <c r="AN322" s="48" t="s">
        <v>2054</v>
      </c>
      <c r="AO322" s="48" t="s">
        <v>1710</v>
      </c>
      <c r="AP322" s="48" t="s">
        <v>1853</v>
      </c>
      <c r="AQ322" s="48" t="s">
        <v>2086</v>
      </c>
      <c r="AR322" s="48" t="s">
        <v>1812</v>
      </c>
      <c r="AS322" s="48" t="s">
        <v>1813</v>
      </c>
      <c r="AT322" s="48" t="s">
        <v>1826</v>
      </c>
      <c r="AU322" s="48" t="s">
        <v>2061</v>
      </c>
      <c r="AV322" s="48" t="s">
        <v>3111</v>
      </c>
      <c r="AW322" s="48" t="s">
        <v>2062</v>
      </c>
      <c r="AX322" s="48" t="s">
        <v>2063</v>
      </c>
      <c r="AY322" s="48" t="s">
        <v>1710</v>
      </c>
      <c r="AZ322" s="48" t="s">
        <v>5345</v>
      </c>
      <c r="BA322" s="48" t="s">
        <v>1710</v>
      </c>
      <c r="BB322" s="48" t="s">
        <v>1709</v>
      </c>
      <c r="BC322" s="48" t="s">
        <v>1710</v>
      </c>
      <c r="BD322" s="48" t="s">
        <v>3137</v>
      </c>
      <c r="BE322" s="52" t="s">
        <v>5336</v>
      </c>
      <c r="BF322" s="48" t="s">
        <v>1710</v>
      </c>
      <c r="BG322" s="48" t="s">
        <v>1818</v>
      </c>
      <c r="BH322">
        <v>212</v>
      </c>
      <c r="BI322" s="48" t="s">
        <v>1888</v>
      </c>
      <c r="BJ322">
        <v>2</v>
      </c>
      <c r="BK322">
        <v>1473.06</v>
      </c>
      <c r="BL322">
        <v>117338687</v>
      </c>
      <c r="BM322">
        <v>79656</v>
      </c>
      <c r="BN322" s="48" t="s">
        <v>2064</v>
      </c>
      <c r="BO322" s="48" t="s">
        <v>2065</v>
      </c>
      <c r="BP322">
        <v>1473.06</v>
      </c>
      <c r="BQ322">
        <v>80283.28</v>
      </c>
      <c r="BR322" s="48" t="s">
        <v>1885</v>
      </c>
      <c r="BS322" s="48" t="s">
        <v>2066</v>
      </c>
      <c r="BT322">
        <v>1</v>
      </c>
      <c r="BU322">
        <v>923400</v>
      </c>
      <c r="BV322">
        <v>923400</v>
      </c>
      <c r="BW322" s="48" t="s">
        <v>2065</v>
      </c>
      <c r="BX322">
        <v>1473.06</v>
      </c>
      <c r="BY322">
        <v>0</v>
      </c>
      <c r="BZ322">
        <v>0</v>
      </c>
      <c r="CA322" s="48" t="s">
        <v>2065</v>
      </c>
      <c r="CB322">
        <v>1473.06</v>
      </c>
      <c r="CC322">
        <v>0</v>
      </c>
      <c r="CD322">
        <v>0</v>
      </c>
      <c r="CE322" s="48" t="s">
        <v>1710</v>
      </c>
      <c r="CF322" s="48" t="s">
        <v>1710</v>
      </c>
      <c r="CG322" s="48" t="s">
        <v>1710</v>
      </c>
      <c r="CH322" s="48" t="s">
        <v>1710</v>
      </c>
      <c r="CI322" s="48" t="s">
        <v>2067</v>
      </c>
      <c r="CJ322" s="48" t="s">
        <v>1710</v>
      </c>
      <c r="CL322" s="48" t="s">
        <v>3111</v>
      </c>
      <c r="CM322" s="48" t="s">
        <v>1710</v>
      </c>
      <c r="CN322" s="48" t="s">
        <v>2068</v>
      </c>
      <c r="CO322" s="48" t="s">
        <v>2069</v>
      </c>
      <c r="CP322" s="48" t="s">
        <v>1710</v>
      </c>
      <c r="CQ322" s="48" t="s">
        <v>1710</v>
      </c>
      <c r="CR322" s="48" t="s">
        <v>1710</v>
      </c>
      <c r="CS322" s="48" t="s">
        <v>1710</v>
      </c>
      <c r="CT322" s="48" t="s">
        <v>1710</v>
      </c>
      <c r="CU322" s="48" t="s">
        <v>1712</v>
      </c>
      <c r="CV322" s="48" t="s">
        <v>1710</v>
      </c>
      <c r="CW322" s="48" t="s">
        <v>1710</v>
      </c>
      <c r="CX322" s="48" t="s">
        <v>3167</v>
      </c>
      <c r="CY322" s="48" t="s">
        <v>1710</v>
      </c>
      <c r="CZ322" s="48" t="s">
        <v>1712</v>
      </c>
      <c r="DA322" s="48" t="s">
        <v>1710</v>
      </c>
      <c r="DB322" s="48" t="s">
        <v>1878</v>
      </c>
      <c r="DC322" s="48" t="s">
        <v>2070</v>
      </c>
      <c r="DD322" s="48" t="s">
        <v>1842</v>
      </c>
      <c r="DE322" s="48" t="s">
        <v>1886</v>
      </c>
      <c r="DF322" s="48" t="s">
        <v>5346</v>
      </c>
      <c r="DG322" s="48" t="s">
        <v>2071</v>
      </c>
      <c r="DH322" s="48" t="s">
        <v>1712</v>
      </c>
      <c r="DI322" s="48" t="s">
        <v>1710</v>
      </c>
      <c r="DJ322" s="48" t="s">
        <v>1710</v>
      </c>
      <c r="DK322" s="48" t="s">
        <v>1710</v>
      </c>
      <c r="DL322" s="48" t="s">
        <v>1710</v>
      </c>
      <c r="DM322" s="48" t="s">
        <v>1710</v>
      </c>
      <c r="DN322" s="48" t="s">
        <v>1710</v>
      </c>
      <c r="DO322" s="48" t="s">
        <v>1710</v>
      </c>
      <c r="DP322" s="48" t="s">
        <v>1710</v>
      </c>
      <c r="DQ322" s="48" t="s">
        <v>1710</v>
      </c>
      <c r="DR322" s="48" t="s">
        <v>2072</v>
      </c>
      <c r="DS322" s="48" t="s">
        <v>1710</v>
      </c>
      <c r="DT322" s="48" t="s">
        <v>1710</v>
      </c>
      <c r="DU322" s="48" t="s">
        <v>2575</v>
      </c>
      <c r="DV322" s="48" t="s">
        <v>3206</v>
      </c>
      <c r="DW322" s="48" t="s">
        <v>1710</v>
      </c>
      <c r="DX322" s="48" t="s">
        <v>5347</v>
      </c>
      <c r="DY322" s="48" t="s">
        <v>1709</v>
      </c>
      <c r="DZ322" s="48" t="s">
        <v>2562</v>
      </c>
      <c r="EA322" s="48" t="s">
        <v>2546</v>
      </c>
      <c r="EB322">
        <v>0</v>
      </c>
      <c r="EC322" s="48" t="s">
        <v>2575</v>
      </c>
      <c r="ED322" s="48" t="s">
        <v>5339</v>
      </c>
      <c r="EE322" s="48" t="s">
        <v>1814</v>
      </c>
      <c r="EF322" s="48" t="s">
        <v>5348</v>
      </c>
      <c r="EG322" s="48" t="s">
        <v>5349</v>
      </c>
      <c r="EH322">
        <v>0.42</v>
      </c>
      <c r="EI322" s="48" t="s">
        <v>1888</v>
      </c>
      <c r="EJ322">
        <v>1</v>
      </c>
      <c r="EK322" s="48" t="s">
        <v>1887</v>
      </c>
      <c r="EL322">
        <v>2</v>
      </c>
      <c r="EM322" s="48" t="s">
        <v>1886</v>
      </c>
      <c r="EN322">
        <v>0.42</v>
      </c>
      <c r="EO322" s="48" t="s">
        <v>5350</v>
      </c>
      <c r="EP322" s="48" t="s">
        <v>5351</v>
      </c>
      <c r="EQ322">
        <v>508.76</v>
      </c>
      <c r="ER322">
        <v>508.76</v>
      </c>
      <c r="ES322">
        <v>743582</v>
      </c>
      <c r="ET322">
        <v>505</v>
      </c>
      <c r="EU322" s="48" t="s">
        <v>1710</v>
      </c>
      <c r="EV322" s="48" t="s">
        <v>1710</v>
      </c>
      <c r="EW322" s="48" t="s">
        <v>1712</v>
      </c>
      <c r="EX322" s="48" t="s">
        <v>1710</v>
      </c>
      <c r="EY322" s="48" t="s">
        <v>1843</v>
      </c>
      <c r="EZ322" s="48" t="s">
        <v>1710</v>
      </c>
      <c r="FA322" s="48" t="s">
        <v>1710</v>
      </c>
      <c r="FB322" s="48" t="s">
        <v>1712</v>
      </c>
      <c r="FC322" s="48" t="s">
        <v>1710</v>
      </c>
      <c r="FD322" s="48" t="s">
        <v>1710</v>
      </c>
      <c r="FE322" s="48" t="s">
        <v>1814</v>
      </c>
      <c r="FF322" s="48" t="s">
        <v>1815</v>
      </c>
      <c r="FG322" s="48" t="s">
        <v>1710</v>
      </c>
      <c r="FH322">
        <v>1</v>
      </c>
      <c r="FI322" s="48" t="s">
        <v>1846</v>
      </c>
      <c r="FJ322">
        <v>508.76</v>
      </c>
      <c r="FK322">
        <v>508.76</v>
      </c>
      <c r="FL322" s="48" t="s">
        <v>5352</v>
      </c>
      <c r="FM322" s="48" t="s">
        <v>5351</v>
      </c>
      <c r="FN322" s="48" t="s">
        <v>1710</v>
      </c>
      <c r="FO322" s="48" t="s">
        <v>1710</v>
      </c>
      <c r="FP322" s="48" t="s">
        <v>1710</v>
      </c>
      <c r="FQ322" s="48" t="s">
        <v>1710</v>
      </c>
      <c r="FR322" s="48" t="s">
        <v>1710</v>
      </c>
      <c r="FS322" s="48" t="s">
        <v>1710</v>
      </c>
      <c r="FT322" s="48" t="s">
        <v>1710</v>
      </c>
      <c r="FU322" s="48" t="s">
        <v>1710</v>
      </c>
      <c r="FV322" s="48"/>
      <c r="GA322" s="55"/>
      <c r="GE322" s="61"/>
      <c r="GF322" s="62"/>
      <c r="GI322" s="48"/>
    </row>
    <row r="323" spans="1:191">
      <c r="A323" s="48" t="s">
        <v>5353</v>
      </c>
      <c r="B323" s="48" t="s">
        <v>1821</v>
      </c>
      <c r="C323" s="48" t="s">
        <v>2048</v>
      </c>
      <c r="D323" s="48" t="s">
        <v>2813</v>
      </c>
      <c r="E323" s="48" t="s">
        <v>5353</v>
      </c>
      <c r="F323" s="48" t="s">
        <v>1710</v>
      </c>
      <c r="G323" s="48" t="s">
        <v>2814</v>
      </c>
      <c r="H323" s="48" t="s">
        <v>5354</v>
      </c>
      <c r="I323" s="48" t="s">
        <v>1884</v>
      </c>
      <c r="J323" s="48" t="s">
        <v>3111</v>
      </c>
      <c r="K323" s="48" t="s">
        <v>1877</v>
      </c>
      <c r="L323" s="48" t="s">
        <v>1842</v>
      </c>
      <c r="M323" s="48" t="s">
        <v>1810</v>
      </c>
      <c r="N323" s="48" t="s">
        <v>1842</v>
      </c>
      <c r="O323" s="48" t="s">
        <v>1811</v>
      </c>
      <c r="P323" s="48" t="s">
        <v>2549</v>
      </c>
      <c r="Q323" s="48" t="s">
        <v>2049</v>
      </c>
      <c r="R323" s="48" t="s">
        <v>1838</v>
      </c>
      <c r="S323" s="48" t="s">
        <v>2050</v>
      </c>
      <c r="T323" s="48" t="s">
        <v>1845</v>
      </c>
      <c r="U323" s="48" t="s">
        <v>2049</v>
      </c>
      <c r="V323" s="48" t="s">
        <v>1838</v>
      </c>
      <c r="W323" s="48" t="s">
        <v>2051</v>
      </c>
      <c r="X323" s="48" t="s">
        <v>2052</v>
      </c>
      <c r="Y323" s="48" t="s">
        <v>2050</v>
      </c>
      <c r="Z323" s="48" t="s">
        <v>2053</v>
      </c>
      <c r="AA323" s="48" t="s">
        <v>2054</v>
      </c>
      <c r="AB323" s="48" t="s">
        <v>2817</v>
      </c>
      <c r="AC323" s="48" t="s">
        <v>2055</v>
      </c>
      <c r="AD323" s="48" t="s">
        <v>2056</v>
      </c>
      <c r="AE323" s="48" t="s">
        <v>1710</v>
      </c>
      <c r="AF323" s="48" t="s">
        <v>1710</v>
      </c>
      <c r="AG323" s="48" t="s">
        <v>2057</v>
      </c>
      <c r="AH323" s="48" t="s">
        <v>1815</v>
      </c>
      <c r="AI323" s="48" t="s">
        <v>2058</v>
      </c>
      <c r="AJ323" s="48" t="s">
        <v>1710</v>
      </c>
      <c r="AK323" s="48" t="s">
        <v>2090</v>
      </c>
      <c r="AL323" s="48" t="s">
        <v>2091</v>
      </c>
      <c r="AM323" s="48" t="s">
        <v>1816</v>
      </c>
      <c r="AN323" s="48" t="s">
        <v>2054</v>
      </c>
      <c r="AO323" s="48" t="s">
        <v>1710</v>
      </c>
      <c r="AP323" s="48" t="s">
        <v>1853</v>
      </c>
      <c r="AQ323" s="48" t="s">
        <v>2086</v>
      </c>
      <c r="AR323" s="48" t="s">
        <v>1812</v>
      </c>
      <c r="AS323" s="48" t="s">
        <v>1813</v>
      </c>
      <c r="AT323" s="48" t="s">
        <v>1826</v>
      </c>
      <c r="AU323" s="48" t="s">
        <v>2061</v>
      </c>
      <c r="AV323" s="48" t="s">
        <v>3111</v>
      </c>
      <c r="AW323" s="48" t="s">
        <v>2062</v>
      </c>
      <c r="AX323" s="48" t="s">
        <v>2063</v>
      </c>
      <c r="AY323" s="48" t="s">
        <v>1710</v>
      </c>
      <c r="AZ323" s="48" t="s">
        <v>5355</v>
      </c>
      <c r="BA323" s="48" t="s">
        <v>1710</v>
      </c>
      <c r="BB323" s="48" t="s">
        <v>1709</v>
      </c>
      <c r="BC323" s="48" t="s">
        <v>1710</v>
      </c>
      <c r="BD323" s="48" t="s">
        <v>3137</v>
      </c>
      <c r="BE323" s="52" t="s">
        <v>5336</v>
      </c>
      <c r="BF323" s="48" t="s">
        <v>1710</v>
      </c>
      <c r="BG323" s="48" t="s">
        <v>1814</v>
      </c>
      <c r="BH323">
        <v>78</v>
      </c>
      <c r="BI323" s="48" t="s">
        <v>1888</v>
      </c>
      <c r="BJ323">
        <v>3</v>
      </c>
      <c r="BK323">
        <v>1473.06</v>
      </c>
      <c r="BL323">
        <v>137995352</v>
      </c>
      <c r="BM323">
        <v>93679</v>
      </c>
      <c r="BN323" s="48" t="s">
        <v>2064</v>
      </c>
      <c r="BO323" s="48" t="s">
        <v>2065</v>
      </c>
      <c r="BP323">
        <v>1473.06</v>
      </c>
      <c r="BQ323">
        <v>93924.18</v>
      </c>
      <c r="BR323" s="48" t="s">
        <v>1885</v>
      </c>
      <c r="BS323" s="48" t="s">
        <v>2066</v>
      </c>
      <c r="BT323">
        <v>1</v>
      </c>
      <c r="BU323">
        <v>360600</v>
      </c>
      <c r="BV323">
        <v>360600</v>
      </c>
      <c r="BW323" s="48" t="s">
        <v>2065</v>
      </c>
      <c r="BX323">
        <v>1473.06</v>
      </c>
      <c r="BY323">
        <v>0</v>
      </c>
      <c r="BZ323">
        <v>0</v>
      </c>
      <c r="CA323" s="48" t="s">
        <v>2065</v>
      </c>
      <c r="CB323">
        <v>1473.06</v>
      </c>
      <c r="CC323">
        <v>0</v>
      </c>
      <c r="CD323">
        <v>0</v>
      </c>
      <c r="CE323" s="48" t="s">
        <v>1710</v>
      </c>
      <c r="CF323" s="48" t="s">
        <v>1710</v>
      </c>
      <c r="CG323" s="48" t="s">
        <v>1710</v>
      </c>
      <c r="CH323" s="48" t="s">
        <v>1710</v>
      </c>
      <c r="CI323" s="48" t="s">
        <v>2067</v>
      </c>
      <c r="CJ323" s="48" t="s">
        <v>1710</v>
      </c>
      <c r="CL323" s="48" t="s">
        <v>3111</v>
      </c>
      <c r="CM323" s="48" t="s">
        <v>1710</v>
      </c>
      <c r="CN323" s="48" t="s">
        <v>2068</v>
      </c>
      <c r="CO323" s="48" t="s">
        <v>2069</v>
      </c>
      <c r="CP323" s="48" t="s">
        <v>1710</v>
      </c>
      <c r="CQ323" s="48" t="s">
        <v>1710</v>
      </c>
      <c r="CR323" s="48" t="s">
        <v>1710</v>
      </c>
      <c r="CS323" s="48" t="s">
        <v>1710</v>
      </c>
      <c r="CT323" s="48" t="s">
        <v>1710</v>
      </c>
      <c r="CU323" s="48" t="s">
        <v>1712</v>
      </c>
      <c r="CV323" s="48" t="s">
        <v>1710</v>
      </c>
      <c r="CW323" s="48" t="s">
        <v>1710</v>
      </c>
      <c r="CX323" s="48" t="s">
        <v>3167</v>
      </c>
      <c r="CY323" s="48" t="s">
        <v>1710</v>
      </c>
      <c r="CZ323" s="48" t="s">
        <v>1712</v>
      </c>
      <c r="DA323" s="48" t="s">
        <v>1710</v>
      </c>
      <c r="DB323" s="48" t="s">
        <v>1878</v>
      </c>
      <c r="DC323" s="48" t="s">
        <v>2070</v>
      </c>
      <c r="DD323" s="48" t="s">
        <v>1842</v>
      </c>
      <c r="DE323" s="48" t="s">
        <v>1886</v>
      </c>
      <c r="DF323" s="48" t="s">
        <v>5356</v>
      </c>
      <c r="DG323" s="48" t="s">
        <v>2071</v>
      </c>
      <c r="DH323" s="48" t="s">
        <v>1712</v>
      </c>
      <c r="DI323" s="48" t="s">
        <v>1710</v>
      </c>
      <c r="DJ323" s="48" t="s">
        <v>1710</v>
      </c>
      <c r="DK323" s="48" t="s">
        <v>1710</v>
      </c>
      <c r="DL323" s="48" t="s">
        <v>1710</v>
      </c>
      <c r="DM323" s="48" t="s">
        <v>1710</v>
      </c>
      <c r="DN323" s="48" t="s">
        <v>1710</v>
      </c>
      <c r="DO323" s="48" t="s">
        <v>1710</v>
      </c>
      <c r="DP323" s="48" t="s">
        <v>1710</v>
      </c>
      <c r="DQ323" s="48" t="s">
        <v>1710</v>
      </c>
      <c r="DR323" s="48" t="s">
        <v>2072</v>
      </c>
      <c r="DS323" s="48" t="s">
        <v>1710</v>
      </c>
      <c r="DT323" s="48" t="s">
        <v>1710</v>
      </c>
      <c r="DU323" s="48" t="s">
        <v>2575</v>
      </c>
      <c r="DV323" s="48" t="s">
        <v>3141</v>
      </c>
      <c r="DW323" s="48" t="s">
        <v>1710</v>
      </c>
      <c r="DX323" s="48" t="s">
        <v>5357</v>
      </c>
      <c r="DY323" s="48" t="s">
        <v>1709</v>
      </c>
      <c r="DZ323" s="48" t="s">
        <v>2562</v>
      </c>
      <c r="EA323" s="48" t="s">
        <v>2546</v>
      </c>
      <c r="EB323">
        <v>0</v>
      </c>
      <c r="EC323" s="48" t="s">
        <v>2575</v>
      </c>
      <c r="ED323" s="48" t="s">
        <v>5358</v>
      </c>
      <c r="EE323" s="48" t="s">
        <v>1814</v>
      </c>
      <c r="EF323" s="48" t="s">
        <v>1849</v>
      </c>
      <c r="EG323" s="48" t="s">
        <v>5355</v>
      </c>
      <c r="EH323">
        <v>72</v>
      </c>
      <c r="EI323" s="48" t="s">
        <v>1888</v>
      </c>
      <c r="EJ323">
        <v>3</v>
      </c>
      <c r="EK323" s="48" t="s">
        <v>1887</v>
      </c>
      <c r="EL323">
        <v>3</v>
      </c>
      <c r="EM323" s="48" t="s">
        <v>1886</v>
      </c>
      <c r="EN323">
        <v>72</v>
      </c>
      <c r="EO323" s="48" t="s">
        <v>2526</v>
      </c>
      <c r="EP323" s="48" t="s">
        <v>2708</v>
      </c>
      <c r="EQ323">
        <v>93924.18</v>
      </c>
      <c r="ER323">
        <v>93924.18</v>
      </c>
      <c r="ES323">
        <v>137995352</v>
      </c>
      <c r="ET323">
        <v>93679</v>
      </c>
      <c r="EU323" s="48" t="s">
        <v>1710</v>
      </c>
      <c r="EV323" s="48" t="s">
        <v>1710</v>
      </c>
      <c r="EW323" s="48" t="s">
        <v>1712</v>
      </c>
      <c r="EX323" s="48" t="s">
        <v>1710</v>
      </c>
      <c r="EY323" s="48" t="s">
        <v>1850</v>
      </c>
      <c r="EZ323" s="48" t="s">
        <v>1710</v>
      </c>
      <c r="FA323" s="48" t="s">
        <v>1710</v>
      </c>
      <c r="FB323" s="48" t="s">
        <v>1712</v>
      </c>
      <c r="FC323" s="48" t="s">
        <v>1710</v>
      </c>
      <c r="FD323" s="48" t="s">
        <v>1710</v>
      </c>
      <c r="FE323" s="48" t="s">
        <v>1814</v>
      </c>
      <c r="FF323" s="48" t="s">
        <v>1815</v>
      </c>
      <c r="FG323" s="48" t="s">
        <v>1710</v>
      </c>
      <c r="FH323">
        <v>3</v>
      </c>
      <c r="FI323" s="48" t="s">
        <v>1846</v>
      </c>
      <c r="FJ323">
        <v>93924.18</v>
      </c>
      <c r="FK323">
        <v>31308.06</v>
      </c>
      <c r="FL323" s="48" t="s">
        <v>2709</v>
      </c>
      <c r="FM323" s="48" t="s">
        <v>2708</v>
      </c>
      <c r="FN323" s="48" t="s">
        <v>1710</v>
      </c>
      <c r="FO323" s="48" t="s">
        <v>1710</v>
      </c>
      <c r="FP323" s="48" t="s">
        <v>1710</v>
      </c>
      <c r="FQ323" s="48" t="s">
        <v>1710</v>
      </c>
      <c r="FR323" s="48" t="s">
        <v>1710</v>
      </c>
      <c r="FS323" s="48" t="s">
        <v>1710</v>
      </c>
      <c r="FT323" s="48" t="s">
        <v>1710</v>
      </c>
      <c r="FU323" s="48" t="s">
        <v>1710</v>
      </c>
      <c r="FV323" s="48"/>
      <c r="GA323" s="55"/>
      <c r="GE323" s="61"/>
      <c r="GF323" s="62"/>
      <c r="GI323" s="48"/>
    </row>
    <row r="324" spans="1:191">
      <c r="A324" s="48" t="s">
        <v>5359</v>
      </c>
      <c r="B324" s="48" t="s">
        <v>1821</v>
      </c>
      <c r="C324" s="48" t="s">
        <v>2048</v>
      </c>
      <c r="D324" s="48" t="s">
        <v>2813</v>
      </c>
      <c r="E324" s="48" t="s">
        <v>5359</v>
      </c>
      <c r="F324" s="48" t="s">
        <v>1710</v>
      </c>
      <c r="G324" s="48" t="s">
        <v>2814</v>
      </c>
      <c r="H324" s="48" t="s">
        <v>5360</v>
      </c>
      <c r="I324" s="48" t="s">
        <v>1884</v>
      </c>
      <c r="J324" s="48" t="s">
        <v>2825</v>
      </c>
      <c r="K324" s="48" t="s">
        <v>1877</v>
      </c>
      <c r="L324" s="48" t="s">
        <v>1842</v>
      </c>
      <c r="M324" s="48" t="s">
        <v>1810</v>
      </c>
      <c r="N324" s="48" t="s">
        <v>1842</v>
      </c>
      <c r="O324" s="48" t="s">
        <v>1811</v>
      </c>
      <c r="P324" s="48" t="s">
        <v>2549</v>
      </c>
      <c r="Q324" s="48" t="s">
        <v>2049</v>
      </c>
      <c r="R324" s="48" t="s">
        <v>1838</v>
      </c>
      <c r="S324" s="48" t="s">
        <v>2050</v>
      </c>
      <c r="T324" s="48" t="s">
        <v>1845</v>
      </c>
      <c r="U324" s="48" t="s">
        <v>2049</v>
      </c>
      <c r="V324" s="48" t="s">
        <v>1838</v>
      </c>
      <c r="W324" s="48" t="s">
        <v>2051</v>
      </c>
      <c r="X324" s="48" t="s">
        <v>2052</v>
      </c>
      <c r="Y324" s="48" t="s">
        <v>2050</v>
      </c>
      <c r="Z324" s="48" t="s">
        <v>2053</v>
      </c>
      <c r="AA324" s="48" t="s">
        <v>2054</v>
      </c>
      <c r="AB324" s="48" t="s">
        <v>2817</v>
      </c>
      <c r="AC324" s="48" t="s">
        <v>2055</v>
      </c>
      <c r="AD324" s="48" t="s">
        <v>2056</v>
      </c>
      <c r="AE324" s="48" t="s">
        <v>1710</v>
      </c>
      <c r="AF324" s="48" t="s">
        <v>1710</v>
      </c>
      <c r="AG324" s="48" t="s">
        <v>2057</v>
      </c>
      <c r="AH324" s="48" t="s">
        <v>1815</v>
      </c>
      <c r="AI324" s="48" t="s">
        <v>2058</v>
      </c>
      <c r="AJ324" s="48" t="s">
        <v>1710</v>
      </c>
      <c r="AK324" s="48" t="s">
        <v>2087</v>
      </c>
      <c r="AL324" s="48" t="s">
        <v>2088</v>
      </c>
      <c r="AM324" s="48" t="s">
        <v>1816</v>
      </c>
      <c r="AN324" s="48" t="s">
        <v>2054</v>
      </c>
      <c r="AO324" s="48" t="s">
        <v>1710</v>
      </c>
      <c r="AP324" s="48" t="s">
        <v>1853</v>
      </c>
      <c r="AQ324" s="48" t="s">
        <v>2086</v>
      </c>
      <c r="AR324" s="48" t="s">
        <v>1812</v>
      </c>
      <c r="AS324" s="48" t="s">
        <v>1813</v>
      </c>
      <c r="AT324" s="48" t="s">
        <v>1826</v>
      </c>
      <c r="AU324" s="48" t="s">
        <v>2061</v>
      </c>
      <c r="AV324" s="48" t="s">
        <v>2825</v>
      </c>
      <c r="AW324" s="48" t="s">
        <v>2062</v>
      </c>
      <c r="AX324" s="48" t="s">
        <v>2063</v>
      </c>
      <c r="AY324" s="48" t="s">
        <v>1710</v>
      </c>
      <c r="AZ324" s="48" t="s">
        <v>5361</v>
      </c>
      <c r="BA324" s="48" t="s">
        <v>1710</v>
      </c>
      <c r="BB324" s="48" t="s">
        <v>1709</v>
      </c>
      <c r="BC324" s="48" t="s">
        <v>1710</v>
      </c>
      <c r="BD324" s="48" t="s">
        <v>3137</v>
      </c>
      <c r="BE324" s="52" t="s">
        <v>5362</v>
      </c>
      <c r="BF324" s="48" t="s">
        <v>1710</v>
      </c>
      <c r="BG324" s="48" t="s">
        <v>1817</v>
      </c>
      <c r="BH324">
        <v>53</v>
      </c>
      <c r="BI324" s="48" t="s">
        <v>1888</v>
      </c>
      <c r="BJ324">
        <v>1</v>
      </c>
      <c r="BK324">
        <v>1473.06</v>
      </c>
      <c r="BL324">
        <v>32941441</v>
      </c>
      <c r="BM324">
        <v>22363</v>
      </c>
      <c r="BN324" s="48" t="s">
        <v>2064</v>
      </c>
      <c r="BO324" s="48" t="s">
        <v>2065</v>
      </c>
      <c r="BP324">
        <v>1473.06</v>
      </c>
      <c r="BQ324">
        <v>22536.11</v>
      </c>
      <c r="BR324" s="48" t="s">
        <v>1885</v>
      </c>
      <c r="BS324" s="48" t="s">
        <v>2066</v>
      </c>
      <c r="BT324">
        <v>1</v>
      </c>
      <c r="BU324">
        <v>255600</v>
      </c>
      <c r="BV324">
        <v>255600</v>
      </c>
      <c r="BW324" s="48" t="s">
        <v>2065</v>
      </c>
      <c r="BX324">
        <v>1473.06</v>
      </c>
      <c r="BY324">
        <v>0</v>
      </c>
      <c r="BZ324">
        <v>0</v>
      </c>
      <c r="CA324" s="48" t="s">
        <v>2065</v>
      </c>
      <c r="CB324">
        <v>1473.06</v>
      </c>
      <c r="CC324">
        <v>0</v>
      </c>
      <c r="CD324">
        <v>0</v>
      </c>
      <c r="CE324" s="48" t="s">
        <v>1710</v>
      </c>
      <c r="CF324" s="48" t="s">
        <v>1710</v>
      </c>
      <c r="CG324" s="48" t="s">
        <v>1710</v>
      </c>
      <c r="CH324" s="48" t="s">
        <v>1710</v>
      </c>
      <c r="CI324" s="48" t="s">
        <v>2067</v>
      </c>
      <c r="CJ324" s="48" t="s">
        <v>1710</v>
      </c>
      <c r="CL324" s="48" t="s">
        <v>2825</v>
      </c>
      <c r="CM324" s="48" t="s">
        <v>1710</v>
      </c>
      <c r="CN324" s="48" t="s">
        <v>2068</v>
      </c>
      <c r="CO324" s="48" t="s">
        <v>2069</v>
      </c>
      <c r="CP324" s="48" t="s">
        <v>1710</v>
      </c>
      <c r="CQ324" s="48" t="s">
        <v>1710</v>
      </c>
      <c r="CR324" s="48" t="s">
        <v>1710</v>
      </c>
      <c r="CS324" s="48" t="s">
        <v>1710</v>
      </c>
      <c r="CT324" s="48" t="s">
        <v>1710</v>
      </c>
      <c r="CU324" s="48" t="s">
        <v>1712</v>
      </c>
      <c r="CV324" s="48" t="s">
        <v>1710</v>
      </c>
      <c r="CW324" s="48" t="s">
        <v>1710</v>
      </c>
      <c r="CX324" s="48" t="s">
        <v>3167</v>
      </c>
      <c r="CY324" s="48" t="s">
        <v>1710</v>
      </c>
      <c r="CZ324" s="48" t="s">
        <v>1712</v>
      </c>
      <c r="DA324" s="48" t="s">
        <v>1710</v>
      </c>
      <c r="DB324" s="48" t="s">
        <v>1878</v>
      </c>
      <c r="DC324" s="48" t="s">
        <v>2070</v>
      </c>
      <c r="DD324" s="48" t="s">
        <v>1842</v>
      </c>
      <c r="DE324" s="48" t="s">
        <v>1886</v>
      </c>
      <c r="DF324" s="48" t="s">
        <v>5363</v>
      </c>
      <c r="DG324" s="48" t="s">
        <v>2071</v>
      </c>
      <c r="DH324" s="48" t="s">
        <v>1712</v>
      </c>
      <c r="DI324" s="48" t="s">
        <v>1710</v>
      </c>
      <c r="DJ324" s="48" t="s">
        <v>1710</v>
      </c>
      <c r="DK324" s="48" t="s">
        <v>1710</v>
      </c>
      <c r="DL324" s="48" t="s">
        <v>1710</v>
      </c>
      <c r="DM324" s="48" t="s">
        <v>1710</v>
      </c>
      <c r="DN324" s="48" t="s">
        <v>1710</v>
      </c>
      <c r="DO324" s="48" t="s">
        <v>1710</v>
      </c>
      <c r="DP324" s="48" t="s">
        <v>1710</v>
      </c>
      <c r="DQ324" s="48" t="s">
        <v>1710</v>
      </c>
      <c r="DR324" s="48" t="s">
        <v>2072</v>
      </c>
      <c r="DS324" s="48" t="s">
        <v>1710</v>
      </c>
      <c r="DT324" s="48" t="s">
        <v>1710</v>
      </c>
      <c r="DU324" s="48" t="s">
        <v>2575</v>
      </c>
      <c r="DV324" s="48" t="s">
        <v>3206</v>
      </c>
      <c r="DW324" s="48" t="s">
        <v>1710</v>
      </c>
      <c r="DX324" s="48" t="s">
        <v>5364</v>
      </c>
      <c r="DY324" s="48" t="s">
        <v>1709</v>
      </c>
      <c r="DZ324" s="48" t="s">
        <v>2562</v>
      </c>
      <c r="EA324" s="48" t="s">
        <v>2546</v>
      </c>
      <c r="EB324">
        <v>0</v>
      </c>
      <c r="EC324" s="48" t="s">
        <v>2575</v>
      </c>
      <c r="ED324" s="48" t="s">
        <v>5365</v>
      </c>
      <c r="EE324" s="48" t="s">
        <v>1814</v>
      </c>
      <c r="EF324" s="48" t="s">
        <v>4568</v>
      </c>
      <c r="EG324" s="48" t="s">
        <v>5361</v>
      </c>
      <c r="EH324">
        <v>0.14699999999999999</v>
      </c>
      <c r="EI324" s="48" t="s">
        <v>1888</v>
      </c>
      <c r="EJ324">
        <v>3</v>
      </c>
      <c r="EK324" s="48" t="s">
        <v>1887</v>
      </c>
      <c r="EL324">
        <v>1</v>
      </c>
      <c r="EM324" s="48" t="s">
        <v>1886</v>
      </c>
      <c r="EN324">
        <v>0.14699999999999999</v>
      </c>
      <c r="EO324" s="48" t="s">
        <v>4569</v>
      </c>
      <c r="EP324" s="48" t="s">
        <v>5366</v>
      </c>
      <c r="EQ324">
        <v>559.19000000000005</v>
      </c>
      <c r="ER324">
        <v>559.19000000000005</v>
      </c>
      <c r="ES324">
        <v>817378</v>
      </c>
      <c r="ET324">
        <v>555</v>
      </c>
      <c r="EU324" s="48" t="s">
        <v>1710</v>
      </c>
      <c r="EV324" s="48" t="s">
        <v>1710</v>
      </c>
      <c r="EW324" s="48" t="s">
        <v>1712</v>
      </c>
      <c r="EX324" s="48" t="s">
        <v>1710</v>
      </c>
      <c r="EY324" s="48" t="s">
        <v>1848</v>
      </c>
      <c r="EZ324" s="48" t="s">
        <v>1710</v>
      </c>
      <c r="FA324" s="48" t="s">
        <v>1710</v>
      </c>
      <c r="FB324" s="48" t="s">
        <v>1712</v>
      </c>
      <c r="FC324" s="48" t="s">
        <v>1710</v>
      </c>
      <c r="FD324" s="48" t="s">
        <v>1710</v>
      </c>
      <c r="FE324" s="48" t="s">
        <v>1814</v>
      </c>
      <c r="FF324" s="48" t="s">
        <v>1815</v>
      </c>
      <c r="FG324" s="48" t="s">
        <v>1710</v>
      </c>
      <c r="FH324">
        <v>3</v>
      </c>
      <c r="FI324" s="48" t="s">
        <v>1846</v>
      </c>
      <c r="FJ324">
        <v>559.19000000000005</v>
      </c>
      <c r="FK324">
        <v>186.39699999999999</v>
      </c>
      <c r="FL324" s="48" t="s">
        <v>5367</v>
      </c>
      <c r="FM324" s="48" t="s">
        <v>5366</v>
      </c>
      <c r="FN324" s="48" t="s">
        <v>1710</v>
      </c>
      <c r="FO324" s="48" t="s">
        <v>1710</v>
      </c>
      <c r="FP324" s="48" t="s">
        <v>1710</v>
      </c>
      <c r="FQ324" s="48" t="s">
        <v>1710</v>
      </c>
      <c r="FR324" s="48" t="s">
        <v>1710</v>
      </c>
      <c r="FS324" s="48" t="s">
        <v>1710</v>
      </c>
      <c r="FT324" s="48" t="s">
        <v>1710</v>
      </c>
      <c r="FU324" s="48" t="s">
        <v>1710</v>
      </c>
      <c r="FV324" s="48"/>
      <c r="GA324" s="55"/>
      <c r="GE324" s="61"/>
      <c r="GF324" s="62"/>
      <c r="GI324" s="48"/>
    </row>
    <row r="325" spans="1:191">
      <c r="A325" s="48" t="s">
        <v>5368</v>
      </c>
      <c r="B325" s="48" t="s">
        <v>1821</v>
      </c>
      <c r="C325" s="48" t="s">
        <v>2048</v>
      </c>
      <c r="D325" s="48" t="s">
        <v>2813</v>
      </c>
      <c r="E325" s="48" t="s">
        <v>5368</v>
      </c>
      <c r="F325" s="48" t="s">
        <v>1710</v>
      </c>
      <c r="G325" s="48" t="s">
        <v>2814</v>
      </c>
      <c r="H325" s="48" t="s">
        <v>5369</v>
      </c>
      <c r="I325" s="48" t="s">
        <v>1884</v>
      </c>
      <c r="J325" s="48" t="s">
        <v>3111</v>
      </c>
      <c r="K325" s="48" t="s">
        <v>1877</v>
      </c>
      <c r="L325" s="48" t="s">
        <v>1842</v>
      </c>
      <c r="M325" s="48" t="s">
        <v>1810</v>
      </c>
      <c r="N325" s="48" t="s">
        <v>1842</v>
      </c>
      <c r="O325" s="48" t="s">
        <v>1811</v>
      </c>
      <c r="P325" s="48" t="s">
        <v>2549</v>
      </c>
      <c r="Q325" s="48" t="s">
        <v>2049</v>
      </c>
      <c r="R325" s="48" t="s">
        <v>1838</v>
      </c>
      <c r="S325" s="48" t="s">
        <v>2050</v>
      </c>
      <c r="T325" s="48" t="s">
        <v>1845</v>
      </c>
      <c r="U325" s="48" t="s">
        <v>2049</v>
      </c>
      <c r="V325" s="48" t="s">
        <v>1838</v>
      </c>
      <c r="W325" s="48" t="s">
        <v>2051</v>
      </c>
      <c r="X325" s="48" t="s">
        <v>2052</v>
      </c>
      <c r="Y325" s="48" t="s">
        <v>2050</v>
      </c>
      <c r="Z325" s="48" t="s">
        <v>2053</v>
      </c>
      <c r="AA325" s="48" t="s">
        <v>2054</v>
      </c>
      <c r="AB325" s="48" t="s">
        <v>2817</v>
      </c>
      <c r="AC325" s="48" t="s">
        <v>2055</v>
      </c>
      <c r="AD325" s="48" t="s">
        <v>2056</v>
      </c>
      <c r="AE325" s="48" t="s">
        <v>1710</v>
      </c>
      <c r="AF325" s="48" t="s">
        <v>1710</v>
      </c>
      <c r="AG325" s="48" t="s">
        <v>2057</v>
      </c>
      <c r="AH325" s="48" t="s">
        <v>1815</v>
      </c>
      <c r="AI325" s="48" t="s">
        <v>2058</v>
      </c>
      <c r="AJ325" s="48" t="s">
        <v>1710</v>
      </c>
      <c r="AK325" s="48" t="s">
        <v>2563</v>
      </c>
      <c r="AL325" s="48" t="s">
        <v>2564</v>
      </c>
      <c r="AM325" s="48" t="s">
        <v>1816</v>
      </c>
      <c r="AN325" s="48" t="s">
        <v>2054</v>
      </c>
      <c r="AO325" s="48" t="s">
        <v>1710</v>
      </c>
      <c r="AP325" s="48" t="s">
        <v>1855</v>
      </c>
      <c r="AQ325" s="48" t="s">
        <v>2076</v>
      </c>
      <c r="AR325" s="48" t="s">
        <v>1812</v>
      </c>
      <c r="AS325" s="48" t="s">
        <v>1813</v>
      </c>
      <c r="AT325" s="48" t="s">
        <v>1826</v>
      </c>
      <c r="AU325" s="48" t="s">
        <v>2061</v>
      </c>
      <c r="AV325" s="48" t="s">
        <v>3111</v>
      </c>
      <c r="AW325" s="48" t="s">
        <v>2062</v>
      </c>
      <c r="AX325" s="48" t="s">
        <v>2063</v>
      </c>
      <c r="AY325" s="48" t="s">
        <v>1710</v>
      </c>
      <c r="AZ325" s="48" t="s">
        <v>5370</v>
      </c>
      <c r="BA325" s="48" t="s">
        <v>1710</v>
      </c>
      <c r="BB325" s="48" t="s">
        <v>1709</v>
      </c>
      <c r="BC325" s="48" t="s">
        <v>1710</v>
      </c>
      <c r="BD325" s="48" t="s">
        <v>2097</v>
      </c>
      <c r="BE325" s="52" t="s">
        <v>4129</v>
      </c>
      <c r="BF325" s="48" t="s">
        <v>1710</v>
      </c>
      <c r="BG325" s="48" t="s">
        <v>1820</v>
      </c>
      <c r="BH325">
        <v>7</v>
      </c>
      <c r="BI325" s="48" t="s">
        <v>1888</v>
      </c>
      <c r="BJ325">
        <v>1</v>
      </c>
      <c r="BK325">
        <v>1473.06</v>
      </c>
      <c r="BL325">
        <v>2676373</v>
      </c>
      <c r="BM325">
        <v>1817</v>
      </c>
      <c r="BN325" s="48" t="s">
        <v>2064</v>
      </c>
      <c r="BO325" s="48" t="s">
        <v>2065</v>
      </c>
      <c r="BP325">
        <v>1473.06</v>
      </c>
      <c r="BQ325">
        <v>1847.43</v>
      </c>
      <c r="BR325" s="48" t="s">
        <v>1885</v>
      </c>
      <c r="BS325" s="48" t="s">
        <v>2066</v>
      </c>
      <c r="BT325">
        <v>1</v>
      </c>
      <c r="BU325">
        <v>45000</v>
      </c>
      <c r="BV325">
        <v>45000</v>
      </c>
      <c r="BW325" s="48" t="s">
        <v>2065</v>
      </c>
      <c r="BX325">
        <v>1473.06</v>
      </c>
      <c r="BY325">
        <v>0</v>
      </c>
      <c r="BZ325">
        <v>0</v>
      </c>
      <c r="CA325" s="48" t="s">
        <v>2065</v>
      </c>
      <c r="CB325">
        <v>1473.06</v>
      </c>
      <c r="CC325">
        <v>0</v>
      </c>
      <c r="CD325">
        <v>0</v>
      </c>
      <c r="CE325" s="48" t="s">
        <v>1710</v>
      </c>
      <c r="CF325" s="48" t="s">
        <v>1710</v>
      </c>
      <c r="CG325" s="48" t="s">
        <v>1710</v>
      </c>
      <c r="CH325" s="48" t="s">
        <v>1710</v>
      </c>
      <c r="CI325" s="48" t="s">
        <v>2067</v>
      </c>
      <c r="CJ325" s="48" t="s">
        <v>1710</v>
      </c>
      <c r="CL325" s="48" t="s">
        <v>3111</v>
      </c>
      <c r="CM325" s="48" t="s">
        <v>1710</v>
      </c>
      <c r="CN325" s="48" t="s">
        <v>2068</v>
      </c>
      <c r="CO325" s="48" t="s">
        <v>2069</v>
      </c>
      <c r="CP325" s="48" t="s">
        <v>1710</v>
      </c>
      <c r="CQ325" s="48" t="s">
        <v>1710</v>
      </c>
      <c r="CR325" s="48" t="s">
        <v>1710</v>
      </c>
      <c r="CS325" s="48" t="s">
        <v>1710</v>
      </c>
      <c r="CT325" s="48" t="s">
        <v>1710</v>
      </c>
      <c r="CU325" s="48" t="s">
        <v>1712</v>
      </c>
      <c r="CV325" s="48" t="s">
        <v>1710</v>
      </c>
      <c r="CW325" s="48" t="s">
        <v>1710</v>
      </c>
      <c r="CX325" s="48" t="s">
        <v>3167</v>
      </c>
      <c r="CY325" s="48" t="s">
        <v>1710</v>
      </c>
      <c r="CZ325" s="48" t="s">
        <v>1712</v>
      </c>
      <c r="DA325" s="48" t="s">
        <v>1710</v>
      </c>
      <c r="DB325" s="48" t="s">
        <v>1878</v>
      </c>
      <c r="DC325" s="48" t="s">
        <v>2070</v>
      </c>
      <c r="DD325" s="48" t="s">
        <v>1842</v>
      </c>
      <c r="DE325" s="48" t="s">
        <v>1886</v>
      </c>
      <c r="DF325" s="48" t="s">
        <v>5371</v>
      </c>
      <c r="DG325" s="48" t="s">
        <v>2071</v>
      </c>
      <c r="DH325" s="48" t="s">
        <v>1712</v>
      </c>
      <c r="DI325" s="48" t="s">
        <v>1710</v>
      </c>
      <c r="DJ325" s="48" t="s">
        <v>1710</v>
      </c>
      <c r="DK325" s="48" t="s">
        <v>1710</v>
      </c>
      <c r="DL325" s="48" t="s">
        <v>1710</v>
      </c>
      <c r="DM325" s="48" t="s">
        <v>1710</v>
      </c>
      <c r="DN325" s="48" t="s">
        <v>1710</v>
      </c>
      <c r="DO325" s="48" t="s">
        <v>1710</v>
      </c>
      <c r="DP325" s="48" t="s">
        <v>1710</v>
      </c>
      <c r="DQ325" s="48" t="s">
        <v>1710</v>
      </c>
      <c r="DR325" s="48" t="s">
        <v>2072</v>
      </c>
      <c r="DS325" s="48" t="s">
        <v>1710</v>
      </c>
      <c r="DT325" s="48" t="s">
        <v>1710</v>
      </c>
      <c r="DU325" s="48" t="s">
        <v>2575</v>
      </c>
      <c r="DV325" s="48" t="s">
        <v>2825</v>
      </c>
      <c r="DW325" s="48" t="s">
        <v>1710</v>
      </c>
      <c r="DX325" s="48" t="s">
        <v>5372</v>
      </c>
      <c r="DY325" s="48" t="s">
        <v>1709</v>
      </c>
      <c r="DZ325" s="48" t="s">
        <v>2562</v>
      </c>
      <c r="EA325" s="48" t="s">
        <v>2546</v>
      </c>
      <c r="EB325">
        <v>0</v>
      </c>
      <c r="EC325" s="48" t="s">
        <v>2575</v>
      </c>
      <c r="ED325" s="48" t="s">
        <v>4281</v>
      </c>
      <c r="EE325" s="48" t="s">
        <v>1814</v>
      </c>
      <c r="EF325" s="48" t="s">
        <v>1859</v>
      </c>
      <c r="EG325" s="48" t="s">
        <v>5370</v>
      </c>
      <c r="EH325">
        <v>7.0000000000000007E-2</v>
      </c>
      <c r="EI325" s="48" t="s">
        <v>1888</v>
      </c>
      <c r="EJ325">
        <v>0</v>
      </c>
      <c r="EK325" s="48" t="s">
        <v>1710</v>
      </c>
      <c r="EL325">
        <v>1</v>
      </c>
      <c r="EM325" s="48" t="s">
        <v>1886</v>
      </c>
      <c r="EN325">
        <v>7.0000000000000007E-2</v>
      </c>
      <c r="EO325" s="48" t="s">
        <v>2602</v>
      </c>
      <c r="EP325" s="48" t="s">
        <v>2597</v>
      </c>
      <c r="EQ325">
        <v>6.76</v>
      </c>
      <c r="ER325">
        <v>6.76</v>
      </c>
      <c r="ES325">
        <v>9793</v>
      </c>
      <c r="ET325">
        <v>7</v>
      </c>
      <c r="EU325" s="48" t="s">
        <v>1710</v>
      </c>
      <c r="EV325" s="48" t="s">
        <v>1710</v>
      </c>
      <c r="EW325" s="48" t="s">
        <v>1712</v>
      </c>
      <c r="EX325" s="48" t="s">
        <v>1710</v>
      </c>
      <c r="EY325" s="48" t="s">
        <v>1848</v>
      </c>
      <c r="EZ325" s="48" t="s">
        <v>1710</v>
      </c>
      <c r="FA325" s="48" t="s">
        <v>1710</v>
      </c>
      <c r="FB325" s="48" t="s">
        <v>1712</v>
      </c>
      <c r="FC325" s="48" t="s">
        <v>1710</v>
      </c>
      <c r="FD325" s="48" t="s">
        <v>1710</v>
      </c>
      <c r="FE325" s="48" t="s">
        <v>1814</v>
      </c>
      <c r="FF325" s="48" t="s">
        <v>1815</v>
      </c>
      <c r="FG325" s="48" t="s">
        <v>1710</v>
      </c>
      <c r="FH325">
        <v>5</v>
      </c>
      <c r="FI325" s="48" t="s">
        <v>1846</v>
      </c>
      <c r="FJ325">
        <v>4.83</v>
      </c>
      <c r="FK325">
        <v>0.96599999999999997</v>
      </c>
      <c r="FL325" s="48" t="s">
        <v>5373</v>
      </c>
      <c r="FM325" s="48" t="s">
        <v>2597</v>
      </c>
      <c r="FN325" s="48" t="s">
        <v>1710</v>
      </c>
      <c r="FO325" s="48" t="s">
        <v>1710</v>
      </c>
      <c r="FP325" s="48" t="s">
        <v>1710</v>
      </c>
      <c r="FQ325" s="48" t="s">
        <v>1710</v>
      </c>
      <c r="FR325" s="48" t="s">
        <v>1710</v>
      </c>
      <c r="FS325" s="48" t="s">
        <v>1710</v>
      </c>
      <c r="FT325" s="48" t="s">
        <v>1710</v>
      </c>
      <c r="FU325" s="48" t="s">
        <v>1710</v>
      </c>
      <c r="FV325" s="48"/>
      <c r="GA325" s="55"/>
      <c r="GE325" s="61"/>
      <c r="GF325" s="62"/>
      <c r="GI325" s="48"/>
    </row>
    <row r="326" spans="1:191">
      <c r="A326" s="48" t="s">
        <v>5374</v>
      </c>
      <c r="B326" s="48" t="s">
        <v>1821</v>
      </c>
      <c r="C326" s="48" t="s">
        <v>2048</v>
      </c>
      <c r="D326" s="48" t="s">
        <v>2813</v>
      </c>
      <c r="E326" s="48" t="s">
        <v>5374</v>
      </c>
      <c r="F326" s="48" t="s">
        <v>1710</v>
      </c>
      <c r="G326" s="48" t="s">
        <v>2814</v>
      </c>
      <c r="H326" s="48" t="s">
        <v>5375</v>
      </c>
      <c r="I326" s="48" t="s">
        <v>1884</v>
      </c>
      <c r="J326" s="48" t="s">
        <v>3111</v>
      </c>
      <c r="K326" s="48" t="s">
        <v>1877</v>
      </c>
      <c r="L326" s="48" t="s">
        <v>1842</v>
      </c>
      <c r="M326" s="48" t="s">
        <v>1810</v>
      </c>
      <c r="N326" s="48" t="s">
        <v>1842</v>
      </c>
      <c r="O326" s="48" t="s">
        <v>1811</v>
      </c>
      <c r="P326" s="48" t="s">
        <v>2549</v>
      </c>
      <c r="Q326" s="48" t="s">
        <v>2049</v>
      </c>
      <c r="R326" s="48" t="s">
        <v>1838</v>
      </c>
      <c r="S326" s="48" t="s">
        <v>2050</v>
      </c>
      <c r="T326" s="48" t="s">
        <v>1845</v>
      </c>
      <c r="U326" s="48" t="s">
        <v>2049</v>
      </c>
      <c r="V326" s="48" t="s">
        <v>1838</v>
      </c>
      <c r="W326" s="48" t="s">
        <v>2051</v>
      </c>
      <c r="X326" s="48" t="s">
        <v>2052</v>
      </c>
      <c r="Y326" s="48" t="s">
        <v>2050</v>
      </c>
      <c r="Z326" s="48" t="s">
        <v>2053</v>
      </c>
      <c r="AA326" s="48" t="s">
        <v>2054</v>
      </c>
      <c r="AB326" s="48" t="s">
        <v>2817</v>
      </c>
      <c r="AC326" s="48" t="s">
        <v>2055</v>
      </c>
      <c r="AD326" s="48" t="s">
        <v>2056</v>
      </c>
      <c r="AE326" s="48" t="s">
        <v>1710</v>
      </c>
      <c r="AF326" s="48" t="s">
        <v>1710</v>
      </c>
      <c r="AG326" s="48" t="s">
        <v>2057</v>
      </c>
      <c r="AH326" s="48" t="s">
        <v>1815</v>
      </c>
      <c r="AI326" s="48" t="s">
        <v>2058</v>
      </c>
      <c r="AJ326" s="48" t="s">
        <v>1710</v>
      </c>
      <c r="AK326" s="48" t="s">
        <v>2100</v>
      </c>
      <c r="AL326" s="48" t="s">
        <v>2101</v>
      </c>
      <c r="AM326" s="48" t="s">
        <v>1816</v>
      </c>
      <c r="AN326" s="48" t="s">
        <v>2054</v>
      </c>
      <c r="AO326" s="48" t="s">
        <v>1710</v>
      </c>
      <c r="AP326" s="48" t="s">
        <v>1874</v>
      </c>
      <c r="AQ326" s="48" t="s">
        <v>2078</v>
      </c>
      <c r="AR326" s="48" t="s">
        <v>1812</v>
      </c>
      <c r="AS326" s="48" t="s">
        <v>1813</v>
      </c>
      <c r="AT326" s="48" t="s">
        <v>1826</v>
      </c>
      <c r="AU326" s="48" t="s">
        <v>2061</v>
      </c>
      <c r="AV326" s="48" t="s">
        <v>3111</v>
      </c>
      <c r="AW326" s="48" t="s">
        <v>2062</v>
      </c>
      <c r="AX326" s="48" t="s">
        <v>2063</v>
      </c>
      <c r="AY326" s="48" t="s">
        <v>1710</v>
      </c>
      <c r="AZ326" s="48" t="s">
        <v>5376</v>
      </c>
      <c r="BA326" s="48" t="s">
        <v>1710</v>
      </c>
      <c r="BB326" s="48" t="s">
        <v>1709</v>
      </c>
      <c r="BC326" s="48" t="s">
        <v>1710</v>
      </c>
      <c r="BD326" s="48" t="s">
        <v>2097</v>
      </c>
      <c r="BE326" s="52" t="s">
        <v>4129</v>
      </c>
      <c r="BF326" s="48" t="s">
        <v>1710</v>
      </c>
      <c r="BG326" s="48" t="s">
        <v>1817</v>
      </c>
      <c r="BH326">
        <v>3</v>
      </c>
      <c r="BI326" s="48" t="s">
        <v>1888</v>
      </c>
      <c r="BJ326">
        <v>1</v>
      </c>
      <c r="BK326">
        <v>1473.06</v>
      </c>
      <c r="BL326">
        <v>191000</v>
      </c>
      <c r="BM326">
        <v>130</v>
      </c>
      <c r="BN326" s="48" t="s">
        <v>2064</v>
      </c>
      <c r="BO326" s="48" t="s">
        <v>2065</v>
      </c>
      <c r="BP326">
        <v>1473.06</v>
      </c>
      <c r="BQ326">
        <v>152.88</v>
      </c>
      <c r="BR326" s="48" t="s">
        <v>1885</v>
      </c>
      <c r="BS326" s="48" t="s">
        <v>2066</v>
      </c>
      <c r="BT326">
        <v>1</v>
      </c>
      <c r="BU326">
        <v>34200</v>
      </c>
      <c r="BV326">
        <v>34200</v>
      </c>
      <c r="BW326" s="48" t="s">
        <v>2065</v>
      </c>
      <c r="BX326">
        <v>1473.06</v>
      </c>
      <c r="BY326">
        <v>0</v>
      </c>
      <c r="BZ326">
        <v>0</v>
      </c>
      <c r="CA326" s="48" t="s">
        <v>2065</v>
      </c>
      <c r="CB326">
        <v>1473.06</v>
      </c>
      <c r="CC326">
        <v>0</v>
      </c>
      <c r="CD326">
        <v>0</v>
      </c>
      <c r="CE326" s="48" t="s">
        <v>1710</v>
      </c>
      <c r="CF326" s="48" t="s">
        <v>1710</v>
      </c>
      <c r="CG326" s="48" t="s">
        <v>1710</v>
      </c>
      <c r="CH326" s="48" t="s">
        <v>1710</v>
      </c>
      <c r="CI326" s="48" t="s">
        <v>2067</v>
      </c>
      <c r="CJ326" s="48" t="s">
        <v>1710</v>
      </c>
      <c r="CL326" s="48" t="s">
        <v>3111</v>
      </c>
      <c r="CM326" s="48" t="s">
        <v>1710</v>
      </c>
      <c r="CN326" s="48" t="s">
        <v>2068</v>
      </c>
      <c r="CO326" s="48" t="s">
        <v>2069</v>
      </c>
      <c r="CP326" s="48" t="s">
        <v>1710</v>
      </c>
      <c r="CQ326" s="48" t="s">
        <v>1710</v>
      </c>
      <c r="CR326" s="48" t="s">
        <v>1710</v>
      </c>
      <c r="CS326" s="48" t="s">
        <v>1710</v>
      </c>
      <c r="CT326" s="48" t="s">
        <v>1710</v>
      </c>
      <c r="CU326" s="48" t="s">
        <v>1712</v>
      </c>
      <c r="CV326" s="48" t="s">
        <v>1710</v>
      </c>
      <c r="CW326" s="48" t="s">
        <v>1710</v>
      </c>
      <c r="CX326" s="48" t="s">
        <v>3167</v>
      </c>
      <c r="CY326" s="48" t="s">
        <v>1710</v>
      </c>
      <c r="CZ326" s="48" t="s">
        <v>1712</v>
      </c>
      <c r="DA326" s="48" t="s">
        <v>1710</v>
      </c>
      <c r="DB326" s="48" t="s">
        <v>1878</v>
      </c>
      <c r="DC326" s="48" t="s">
        <v>2070</v>
      </c>
      <c r="DD326" s="48" t="s">
        <v>1842</v>
      </c>
      <c r="DE326" s="48" t="s">
        <v>1886</v>
      </c>
      <c r="DF326" s="48" t="s">
        <v>5377</v>
      </c>
      <c r="DG326" s="48" t="s">
        <v>2071</v>
      </c>
      <c r="DH326" s="48" t="s">
        <v>1712</v>
      </c>
      <c r="DI326" s="48" t="s">
        <v>1710</v>
      </c>
      <c r="DJ326" s="48" t="s">
        <v>1710</v>
      </c>
      <c r="DK326" s="48" t="s">
        <v>1710</v>
      </c>
      <c r="DL326" s="48" t="s">
        <v>1710</v>
      </c>
      <c r="DM326" s="48" t="s">
        <v>1710</v>
      </c>
      <c r="DN326" s="48" t="s">
        <v>1710</v>
      </c>
      <c r="DO326" s="48" t="s">
        <v>1710</v>
      </c>
      <c r="DP326" s="48" t="s">
        <v>1710</v>
      </c>
      <c r="DQ326" s="48" t="s">
        <v>1710</v>
      </c>
      <c r="DR326" s="48" t="s">
        <v>2072</v>
      </c>
      <c r="DS326" s="48" t="s">
        <v>1710</v>
      </c>
      <c r="DT326" s="48" t="s">
        <v>1710</v>
      </c>
      <c r="DU326" s="48" t="s">
        <v>2575</v>
      </c>
      <c r="DV326" s="48" t="s">
        <v>3141</v>
      </c>
      <c r="DW326" s="48" t="s">
        <v>1710</v>
      </c>
      <c r="DX326" s="48" t="s">
        <v>5378</v>
      </c>
      <c r="DY326" s="48" t="s">
        <v>1709</v>
      </c>
      <c r="DZ326" s="48" t="s">
        <v>2562</v>
      </c>
      <c r="EA326" s="48" t="s">
        <v>2546</v>
      </c>
      <c r="EB326">
        <v>0</v>
      </c>
      <c r="EC326" s="48" t="s">
        <v>2575</v>
      </c>
      <c r="ED326" s="48" t="s">
        <v>4281</v>
      </c>
      <c r="EE326" s="48" t="s">
        <v>1814</v>
      </c>
      <c r="EF326" s="48" t="s">
        <v>2611</v>
      </c>
      <c r="EG326" s="48" t="s">
        <v>5376</v>
      </c>
      <c r="EH326">
        <v>1.218</v>
      </c>
      <c r="EI326" s="48" t="s">
        <v>1888</v>
      </c>
      <c r="EJ326">
        <v>0</v>
      </c>
      <c r="EK326" s="48" t="s">
        <v>1710</v>
      </c>
      <c r="EL326">
        <v>1</v>
      </c>
      <c r="EM326" s="48" t="s">
        <v>1886</v>
      </c>
      <c r="EN326">
        <v>1.218</v>
      </c>
      <c r="EO326" s="48" t="s">
        <v>2612</v>
      </c>
      <c r="EP326" s="48" t="s">
        <v>5379</v>
      </c>
      <c r="EQ326">
        <v>102.31</v>
      </c>
      <c r="ER326">
        <v>102.31</v>
      </c>
      <c r="ES326">
        <v>127821</v>
      </c>
      <c r="ET326">
        <v>87</v>
      </c>
      <c r="EU326" s="48" t="s">
        <v>1710</v>
      </c>
      <c r="EV326" s="48" t="s">
        <v>1710</v>
      </c>
      <c r="EW326" s="48" t="s">
        <v>1712</v>
      </c>
      <c r="EX326" s="48" t="s">
        <v>1710</v>
      </c>
      <c r="EY326" s="48" t="s">
        <v>1848</v>
      </c>
      <c r="EZ326" s="48" t="s">
        <v>1710</v>
      </c>
      <c r="FA326" s="48" t="s">
        <v>1710</v>
      </c>
      <c r="FB326" s="48" t="s">
        <v>1712</v>
      </c>
      <c r="FC326" s="48" t="s">
        <v>1710</v>
      </c>
      <c r="FD326" s="48" t="s">
        <v>1710</v>
      </c>
      <c r="FE326" s="48" t="s">
        <v>1814</v>
      </c>
      <c r="FF326" s="48" t="s">
        <v>1815</v>
      </c>
      <c r="FG326" s="48" t="s">
        <v>1710</v>
      </c>
      <c r="FH326">
        <v>1218</v>
      </c>
      <c r="FI326" s="48" t="s">
        <v>1846</v>
      </c>
      <c r="FJ326">
        <v>102.31</v>
      </c>
      <c r="FK326">
        <v>8.4000000000000005E-2</v>
      </c>
      <c r="FL326" s="48" t="s">
        <v>5380</v>
      </c>
      <c r="FM326" s="48" t="s">
        <v>5379</v>
      </c>
      <c r="FN326" s="48" t="s">
        <v>1710</v>
      </c>
      <c r="FO326" s="48" t="s">
        <v>1710</v>
      </c>
      <c r="FP326" s="48" t="s">
        <v>1710</v>
      </c>
      <c r="FQ326" s="48" t="s">
        <v>1710</v>
      </c>
      <c r="FR326" s="48" t="s">
        <v>1710</v>
      </c>
      <c r="FS326" s="48" t="s">
        <v>1710</v>
      </c>
      <c r="FT326" s="48" t="s">
        <v>1710</v>
      </c>
      <c r="FU326" s="48" t="s">
        <v>1710</v>
      </c>
      <c r="FV326" s="48"/>
      <c r="GA326" s="55"/>
      <c r="GE326" s="61"/>
      <c r="GF326" s="62"/>
      <c r="GI326" s="48"/>
    </row>
    <row r="327" spans="1:191">
      <c r="A327" s="48" t="s">
        <v>5381</v>
      </c>
      <c r="B327" s="48" t="s">
        <v>1821</v>
      </c>
      <c r="C327" s="48" t="s">
        <v>2048</v>
      </c>
      <c r="D327" s="48" t="s">
        <v>2813</v>
      </c>
      <c r="E327" s="48" t="s">
        <v>5381</v>
      </c>
      <c r="F327" s="48" t="s">
        <v>1710</v>
      </c>
      <c r="G327" s="48" t="s">
        <v>2814</v>
      </c>
      <c r="H327" s="48" t="s">
        <v>5382</v>
      </c>
      <c r="I327" s="48" t="s">
        <v>1884</v>
      </c>
      <c r="J327" s="48" t="s">
        <v>3111</v>
      </c>
      <c r="K327" s="48" t="s">
        <v>1877</v>
      </c>
      <c r="L327" s="48" t="s">
        <v>1842</v>
      </c>
      <c r="M327" s="48" t="s">
        <v>1810</v>
      </c>
      <c r="N327" s="48" t="s">
        <v>1842</v>
      </c>
      <c r="O327" s="48" t="s">
        <v>1811</v>
      </c>
      <c r="P327" s="48" t="s">
        <v>2549</v>
      </c>
      <c r="Q327" s="48" t="s">
        <v>2049</v>
      </c>
      <c r="R327" s="48" t="s">
        <v>1838</v>
      </c>
      <c r="S327" s="48" t="s">
        <v>2050</v>
      </c>
      <c r="T327" s="48" t="s">
        <v>1845</v>
      </c>
      <c r="U327" s="48" t="s">
        <v>2049</v>
      </c>
      <c r="V327" s="48" t="s">
        <v>1838</v>
      </c>
      <c r="W327" s="48" t="s">
        <v>2051</v>
      </c>
      <c r="X327" s="48" t="s">
        <v>2052</v>
      </c>
      <c r="Y327" s="48" t="s">
        <v>2050</v>
      </c>
      <c r="Z327" s="48" t="s">
        <v>2053</v>
      </c>
      <c r="AA327" s="48" t="s">
        <v>2054</v>
      </c>
      <c r="AB327" s="48" t="s">
        <v>2817</v>
      </c>
      <c r="AC327" s="48" t="s">
        <v>2055</v>
      </c>
      <c r="AD327" s="48" t="s">
        <v>2056</v>
      </c>
      <c r="AE327" s="48" t="s">
        <v>1710</v>
      </c>
      <c r="AF327" s="48" t="s">
        <v>1710</v>
      </c>
      <c r="AG327" s="48" t="s">
        <v>2057</v>
      </c>
      <c r="AH327" s="48" t="s">
        <v>1815</v>
      </c>
      <c r="AI327" s="48" t="s">
        <v>2058</v>
      </c>
      <c r="AJ327" s="48" t="s">
        <v>1710</v>
      </c>
      <c r="AK327" s="48" t="s">
        <v>2087</v>
      </c>
      <c r="AL327" s="48" t="s">
        <v>2088</v>
      </c>
      <c r="AM327" s="48" t="s">
        <v>1816</v>
      </c>
      <c r="AN327" s="48" t="s">
        <v>2054</v>
      </c>
      <c r="AO327" s="48" t="s">
        <v>1710</v>
      </c>
      <c r="AP327" s="48" t="s">
        <v>1853</v>
      </c>
      <c r="AQ327" s="48" t="s">
        <v>2086</v>
      </c>
      <c r="AR327" s="48" t="s">
        <v>1812</v>
      </c>
      <c r="AS327" s="48" t="s">
        <v>1813</v>
      </c>
      <c r="AT327" s="48" t="s">
        <v>1826</v>
      </c>
      <c r="AU327" s="48" t="s">
        <v>2061</v>
      </c>
      <c r="AV327" s="48" t="s">
        <v>3111</v>
      </c>
      <c r="AW327" s="48" t="s">
        <v>2062</v>
      </c>
      <c r="AX327" s="48" t="s">
        <v>2063</v>
      </c>
      <c r="AY327" s="48" t="s">
        <v>1710</v>
      </c>
      <c r="AZ327" s="48" t="s">
        <v>5383</v>
      </c>
      <c r="BA327" s="48" t="s">
        <v>1710</v>
      </c>
      <c r="BB327" s="48" t="s">
        <v>1709</v>
      </c>
      <c r="BC327" s="48" t="s">
        <v>1710</v>
      </c>
      <c r="BD327" s="48" t="s">
        <v>2097</v>
      </c>
      <c r="BE327" s="52" t="s">
        <v>4129</v>
      </c>
      <c r="BF327" s="48" t="s">
        <v>1710</v>
      </c>
      <c r="BG327" s="48" t="s">
        <v>1817</v>
      </c>
      <c r="BH327">
        <v>29</v>
      </c>
      <c r="BI327" s="48" t="s">
        <v>1888</v>
      </c>
      <c r="BJ327">
        <v>1</v>
      </c>
      <c r="BK327">
        <v>1473.06</v>
      </c>
      <c r="BL327">
        <v>30790227</v>
      </c>
      <c r="BM327">
        <v>20902</v>
      </c>
      <c r="BN327" s="48" t="s">
        <v>2064</v>
      </c>
      <c r="BO327" s="48" t="s">
        <v>2065</v>
      </c>
      <c r="BP327">
        <v>1473.06</v>
      </c>
      <c r="BQ327">
        <v>21007.31</v>
      </c>
      <c r="BR327" s="48" t="s">
        <v>1885</v>
      </c>
      <c r="BS327" s="48" t="s">
        <v>2066</v>
      </c>
      <c r="BT327">
        <v>1</v>
      </c>
      <c r="BU327">
        <v>154800</v>
      </c>
      <c r="BV327">
        <v>154800</v>
      </c>
      <c r="BW327" s="48" t="s">
        <v>2065</v>
      </c>
      <c r="BX327">
        <v>1473.06</v>
      </c>
      <c r="BY327">
        <v>0</v>
      </c>
      <c r="BZ327">
        <v>0</v>
      </c>
      <c r="CA327" s="48" t="s">
        <v>2065</v>
      </c>
      <c r="CB327">
        <v>1473.06</v>
      </c>
      <c r="CC327">
        <v>0</v>
      </c>
      <c r="CD327">
        <v>0</v>
      </c>
      <c r="CE327" s="48" t="s">
        <v>1710</v>
      </c>
      <c r="CF327" s="48" t="s">
        <v>1710</v>
      </c>
      <c r="CG327" s="48" t="s">
        <v>1710</v>
      </c>
      <c r="CH327" s="48" t="s">
        <v>1710</v>
      </c>
      <c r="CI327" s="48" t="s">
        <v>2067</v>
      </c>
      <c r="CJ327" s="48" t="s">
        <v>1710</v>
      </c>
      <c r="CL327" s="48" t="s">
        <v>3111</v>
      </c>
      <c r="CM327" s="48" t="s">
        <v>1710</v>
      </c>
      <c r="CN327" s="48" t="s">
        <v>2068</v>
      </c>
      <c r="CO327" s="48" t="s">
        <v>2069</v>
      </c>
      <c r="CP327" s="48" t="s">
        <v>1710</v>
      </c>
      <c r="CQ327" s="48" t="s">
        <v>1710</v>
      </c>
      <c r="CR327" s="48" t="s">
        <v>1710</v>
      </c>
      <c r="CS327" s="48" t="s">
        <v>1710</v>
      </c>
      <c r="CT327" s="48" t="s">
        <v>1710</v>
      </c>
      <c r="CU327" s="48" t="s">
        <v>1712</v>
      </c>
      <c r="CV327" s="48" t="s">
        <v>1710</v>
      </c>
      <c r="CW327" s="48" t="s">
        <v>1710</v>
      </c>
      <c r="CX327" s="48" t="s">
        <v>3167</v>
      </c>
      <c r="CY327" s="48" t="s">
        <v>1710</v>
      </c>
      <c r="CZ327" s="48" t="s">
        <v>1712</v>
      </c>
      <c r="DA327" s="48" t="s">
        <v>1710</v>
      </c>
      <c r="DB327" s="48" t="s">
        <v>1878</v>
      </c>
      <c r="DC327" s="48" t="s">
        <v>2070</v>
      </c>
      <c r="DD327" s="48" t="s">
        <v>1842</v>
      </c>
      <c r="DE327" s="48" t="s">
        <v>1886</v>
      </c>
      <c r="DF327" s="48" t="s">
        <v>5384</v>
      </c>
      <c r="DG327" s="48" t="s">
        <v>2071</v>
      </c>
      <c r="DH327" s="48" t="s">
        <v>1712</v>
      </c>
      <c r="DI327" s="48" t="s">
        <v>1710</v>
      </c>
      <c r="DJ327" s="48" t="s">
        <v>1710</v>
      </c>
      <c r="DK327" s="48" t="s">
        <v>1710</v>
      </c>
      <c r="DL327" s="48" t="s">
        <v>1710</v>
      </c>
      <c r="DM327" s="48" t="s">
        <v>1710</v>
      </c>
      <c r="DN327" s="48" t="s">
        <v>1710</v>
      </c>
      <c r="DO327" s="48" t="s">
        <v>1710</v>
      </c>
      <c r="DP327" s="48" t="s">
        <v>1710</v>
      </c>
      <c r="DQ327" s="48" t="s">
        <v>1710</v>
      </c>
      <c r="DR327" s="48" t="s">
        <v>2072</v>
      </c>
      <c r="DS327" s="48" t="s">
        <v>1710</v>
      </c>
      <c r="DT327" s="48" t="s">
        <v>1710</v>
      </c>
      <c r="DU327" s="48" t="s">
        <v>2575</v>
      </c>
      <c r="DV327" s="48" t="s">
        <v>3141</v>
      </c>
      <c r="DW327" s="48" t="s">
        <v>1710</v>
      </c>
      <c r="DX327" s="48" t="s">
        <v>5385</v>
      </c>
      <c r="DY327" s="48" t="s">
        <v>1709</v>
      </c>
      <c r="DZ327" s="48" t="s">
        <v>2562</v>
      </c>
      <c r="EA327" s="48" t="s">
        <v>2546</v>
      </c>
      <c r="EB327">
        <v>0</v>
      </c>
      <c r="EC327" s="48" t="s">
        <v>2575</v>
      </c>
      <c r="ED327" s="48" t="s">
        <v>4281</v>
      </c>
      <c r="EE327" s="48" t="s">
        <v>1814</v>
      </c>
      <c r="EF327" s="48" t="s">
        <v>2662</v>
      </c>
      <c r="EG327" s="48" t="s">
        <v>5383</v>
      </c>
      <c r="EH327">
        <v>26.2</v>
      </c>
      <c r="EI327" s="48" t="s">
        <v>1888</v>
      </c>
      <c r="EJ327">
        <v>1</v>
      </c>
      <c r="EK327" s="48" t="s">
        <v>1887</v>
      </c>
      <c r="EL327">
        <v>1</v>
      </c>
      <c r="EM327" s="48" t="s">
        <v>1886</v>
      </c>
      <c r="EN327">
        <v>26.2</v>
      </c>
      <c r="EO327" s="48" t="s">
        <v>5386</v>
      </c>
      <c r="EP327" s="48" t="s">
        <v>5387</v>
      </c>
      <c r="EQ327">
        <v>20612.509999999998</v>
      </c>
      <c r="ER327">
        <v>20612.509999999998</v>
      </c>
      <c r="ES327">
        <v>30211573</v>
      </c>
      <c r="ET327">
        <v>20509</v>
      </c>
      <c r="EU327" s="48" t="s">
        <v>1710</v>
      </c>
      <c r="EV327" s="48" t="s">
        <v>1710</v>
      </c>
      <c r="EW327" s="48" t="s">
        <v>1712</v>
      </c>
      <c r="EX327" s="48" t="s">
        <v>1710</v>
      </c>
      <c r="EY327" s="48" t="s">
        <v>1848</v>
      </c>
      <c r="EZ327" s="48" t="s">
        <v>1710</v>
      </c>
      <c r="FA327" s="48" t="s">
        <v>1710</v>
      </c>
      <c r="FB327" s="48" t="s">
        <v>1712</v>
      </c>
      <c r="FC327" s="48" t="s">
        <v>1710</v>
      </c>
      <c r="FD327" s="48" t="s">
        <v>1710</v>
      </c>
      <c r="FE327" s="48" t="s">
        <v>1814</v>
      </c>
      <c r="FF327" s="48" t="s">
        <v>1815</v>
      </c>
      <c r="FG327" s="48" t="s">
        <v>1710</v>
      </c>
      <c r="FH327">
        <v>1</v>
      </c>
      <c r="FI327" s="48" t="s">
        <v>1846</v>
      </c>
      <c r="FJ327">
        <v>20612.509999999998</v>
      </c>
      <c r="FK327">
        <v>20612.509999999998</v>
      </c>
      <c r="FL327" s="48" t="s">
        <v>5388</v>
      </c>
      <c r="FM327" s="48" t="s">
        <v>5389</v>
      </c>
      <c r="FN327" s="48" t="s">
        <v>1710</v>
      </c>
      <c r="FO327" s="48" t="s">
        <v>1710</v>
      </c>
      <c r="FP327" s="48" t="s">
        <v>1710</v>
      </c>
      <c r="FQ327" s="48" t="s">
        <v>1710</v>
      </c>
      <c r="FR327" s="48" t="s">
        <v>1710</v>
      </c>
      <c r="FS327" s="48" t="s">
        <v>1710</v>
      </c>
      <c r="FT327" s="48" t="s">
        <v>1710</v>
      </c>
      <c r="FU327" s="48" t="s">
        <v>1710</v>
      </c>
      <c r="FV327" s="48"/>
      <c r="GA327" s="55"/>
      <c r="GE327" s="61"/>
      <c r="GF327" s="62"/>
      <c r="GI327" s="48"/>
    </row>
    <row r="328" spans="1:191">
      <c r="A328" s="48" t="s">
        <v>5390</v>
      </c>
      <c r="B328" s="48" t="s">
        <v>1821</v>
      </c>
      <c r="C328" s="48" t="s">
        <v>2048</v>
      </c>
      <c r="D328" s="48" t="s">
        <v>2813</v>
      </c>
      <c r="E328" s="48" t="s">
        <v>5390</v>
      </c>
      <c r="F328" s="48" t="s">
        <v>1710</v>
      </c>
      <c r="G328" s="48" t="s">
        <v>2814</v>
      </c>
      <c r="H328" s="48" t="s">
        <v>5391</v>
      </c>
      <c r="I328" s="48" t="s">
        <v>1884</v>
      </c>
      <c r="J328" s="48" t="s">
        <v>2825</v>
      </c>
      <c r="K328" s="48" t="s">
        <v>1885</v>
      </c>
      <c r="L328" s="48" t="s">
        <v>1883</v>
      </c>
      <c r="M328" s="48" t="s">
        <v>1810</v>
      </c>
      <c r="N328" s="48" t="s">
        <v>1842</v>
      </c>
      <c r="O328" s="48" t="s">
        <v>1811</v>
      </c>
      <c r="P328" s="48" t="s">
        <v>2549</v>
      </c>
      <c r="Q328" s="48" t="s">
        <v>2049</v>
      </c>
      <c r="R328" s="48" t="s">
        <v>1838</v>
      </c>
      <c r="S328" s="48" t="s">
        <v>2050</v>
      </c>
      <c r="T328" s="48" t="s">
        <v>1845</v>
      </c>
      <c r="U328" s="48" t="s">
        <v>2049</v>
      </c>
      <c r="V328" s="48" t="s">
        <v>1838</v>
      </c>
      <c r="W328" s="48" t="s">
        <v>2051</v>
      </c>
      <c r="X328" s="48" t="s">
        <v>2052</v>
      </c>
      <c r="Y328" s="48" t="s">
        <v>2050</v>
      </c>
      <c r="Z328" s="48" t="s">
        <v>2053</v>
      </c>
      <c r="AA328" s="48" t="s">
        <v>2054</v>
      </c>
      <c r="AB328" s="48" t="s">
        <v>2817</v>
      </c>
      <c r="AC328" s="48" t="s">
        <v>2055</v>
      </c>
      <c r="AD328" s="48" t="s">
        <v>2056</v>
      </c>
      <c r="AE328" s="48" t="s">
        <v>1710</v>
      </c>
      <c r="AF328" s="48" t="s">
        <v>1710</v>
      </c>
      <c r="AG328" s="48" t="s">
        <v>2057</v>
      </c>
      <c r="AH328" s="48" t="s">
        <v>1815</v>
      </c>
      <c r="AI328" s="48" t="s">
        <v>2058</v>
      </c>
      <c r="AJ328" s="48" t="s">
        <v>1710</v>
      </c>
      <c r="AK328" s="48" t="s">
        <v>2077</v>
      </c>
      <c r="AL328" s="48" t="s">
        <v>1858</v>
      </c>
      <c r="AM328" s="48" t="s">
        <v>1816</v>
      </c>
      <c r="AN328" s="48" t="s">
        <v>2054</v>
      </c>
      <c r="AO328" s="48" t="s">
        <v>1710</v>
      </c>
      <c r="AP328" s="48" t="s">
        <v>1848</v>
      </c>
      <c r="AQ328" s="48" t="s">
        <v>2060</v>
      </c>
      <c r="AR328" s="48" t="s">
        <v>1812</v>
      </c>
      <c r="AS328" s="48" t="s">
        <v>1813</v>
      </c>
      <c r="AT328" s="48" t="s">
        <v>1826</v>
      </c>
      <c r="AU328" s="48" t="s">
        <v>2061</v>
      </c>
      <c r="AV328" s="48" t="s">
        <v>2825</v>
      </c>
      <c r="AW328" s="48" t="s">
        <v>2062</v>
      </c>
      <c r="AX328" s="48" t="s">
        <v>2063</v>
      </c>
      <c r="AY328" s="48" t="s">
        <v>1710</v>
      </c>
      <c r="AZ328" s="48" t="s">
        <v>5392</v>
      </c>
      <c r="BA328" s="48" t="s">
        <v>1710</v>
      </c>
      <c r="BB328" s="48" t="s">
        <v>1709</v>
      </c>
      <c r="BC328" s="48" t="s">
        <v>1710</v>
      </c>
      <c r="BD328" s="48" t="s">
        <v>2082</v>
      </c>
      <c r="BE328" s="52" t="s">
        <v>5393</v>
      </c>
      <c r="BF328" s="48" t="s">
        <v>1710</v>
      </c>
      <c r="BG328" s="48" t="s">
        <v>1814</v>
      </c>
      <c r="BH328">
        <v>12</v>
      </c>
      <c r="BI328" s="48" t="s">
        <v>1888</v>
      </c>
      <c r="BJ328">
        <v>1</v>
      </c>
      <c r="BK328">
        <v>1473.06</v>
      </c>
      <c r="BL328">
        <v>6527687</v>
      </c>
      <c r="BM328">
        <v>4431</v>
      </c>
      <c r="BN328" s="48" t="s">
        <v>2064</v>
      </c>
      <c r="BO328" s="48" t="s">
        <v>2065</v>
      </c>
      <c r="BP328">
        <v>1473.06</v>
      </c>
      <c r="BQ328">
        <v>4555.95</v>
      </c>
      <c r="BR328" s="48" t="s">
        <v>1885</v>
      </c>
      <c r="BS328" s="48" t="s">
        <v>2066</v>
      </c>
      <c r="BT328">
        <v>1</v>
      </c>
      <c r="BU328">
        <v>183500</v>
      </c>
      <c r="BV328">
        <v>183500</v>
      </c>
      <c r="BW328" s="48" t="s">
        <v>2065</v>
      </c>
      <c r="BX328">
        <v>1473.06</v>
      </c>
      <c r="BY328">
        <v>0</v>
      </c>
      <c r="BZ328">
        <v>0</v>
      </c>
      <c r="CA328" s="48" t="s">
        <v>2065</v>
      </c>
      <c r="CB328">
        <v>1473.06</v>
      </c>
      <c r="CC328">
        <v>0</v>
      </c>
      <c r="CD328">
        <v>0</v>
      </c>
      <c r="CE328" s="48" t="s">
        <v>1710</v>
      </c>
      <c r="CF328" s="48" t="s">
        <v>1710</v>
      </c>
      <c r="CG328" s="48" t="s">
        <v>1710</v>
      </c>
      <c r="CH328" s="48" t="s">
        <v>1710</v>
      </c>
      <c r="CI328" s="48" t="s">
        <v>2067</v>
      </c>
      <c r="CJ328" s="48" t="s">
        <v>1710</v>
      </c>
      <c r="CL328" s="48" t="s">
        <v>2825</v>
      </c>
      <c r="CM328" s="48" t="s">
        <v>1710</v>
      </c>
      <c r="CN328" s="48" t="s">
        <v>2068</v>
      </c>
      <c r="CO328" s="48" t="s">
        <v>2069</v>
      </c>
      <c r="CP328" s="48" t="s">
        <v>1710</v>
      </c>
      <c r="CQ328" s="48" t="s">
        <v>1710</v>
      </c>
      <c r="CR328" s="48" t="s">
        <v>1710</v>
      </c>
      <c r="CS328" s="48" t="s">
        <v>1710</v>
      </c>
      <c r="CT328" s="48" t="s">
        <v>1710</v>
      </c>
      <c r="CU328" s="48" t="s">
        <v>1712</v>
      </c>
      <c r="CV328" s="48" t="s">
        <v>1710</v>
      </c>
      <c r="CW328" s="48" t="s">
        <v>1710</v>
      </c>
      <c r="CX328" s="48" t="s">
        <v>3167</v>
      </c>
      <c r="CY328" s="48" t="s">
        <v>1710</v>
      </c>
      <c r="CZ328" s="48" t="s">
        <v>1712</v>
      </c>
      <c r="DA328" s="48" t="s">
        <v>1710</v>
      </c>
      <c r="DB328" s="48" t="s">
        <v>1878</v>
      </c>
      <c r="DC328" s="48" t="s">
        <v>2070</v>
      </c>
      <c r="DD328" s="48" t="s">
        <v>1842</v>
      </c>
      <c r="DE328" s="48" t="s">
        <v>1886</v>
      </c>
      <c r="DF328" s="48" t="s">
        <v>5394</v>
      </c>
      <c r="DG328" s="48" t="s">
        <v>2071</v>
      </c>
      <c r="DH328" s="48" t="s">
        <v>1712</v>
      </c>
      <c r="DI328" s="48" t="s">
        <v>1710</v>
      </c>
      <c r="DJ328" s="48" t="s">
        <v>1710</v>
      </c>
      <c r="DK328" s="48" t="s">
        <v>1710</v>
      </c>
      <c r="DL328" s="48" t="s">
        <v>1710</v>
      </c>
      <c r="DM328" s="48" t="s">
        <v>1710</v>
      </c>
      <c r="DN328" s="48" t="s">
        <v>1710</v>
      </c>
      <c r="DO328" s="48" t="s">
        <v>1710</v>
      </c>
      <c r="DP328" s="48" t="s">
        <v>1710</v>
      </c>
      <c r="DQ328" s="48" t="s">
        <v>1710</v>
      </c>
      <c r="DR328" s="48" t="s">
        <v>2072</v>
      </c>
      <c r="DS328" s="48" t="s">
        <v>1710</v>
      </c>
      <c r="DT328" s="48" t="s">
        <v>1710</v>
      </c>
      <c r="DU328" s="48" t="s">
        <v>2575</v>
      </c>
      <c r="DV328" s="48" t="s">
        <v>2825</v>
      </c>
      <c r="DW328" s="48" t="s">
        <v>1710</v>
      </c>
      <c r="DX328" s="48" t="s">
        <v>5395</v>
      </c>
      <c r="DY328" s="48" t="s">
        <v>1709</v>
      </c>
      <c r="DZ328" s="48" t="s">
        <v>2073</v>
      </c>
      <c r="EA328" s="48" t="s">
        <v>2546</v>
      </c>
      <c r="EB328">
        <v>0</v>
      </c>
      <c r="EC328" s="48" t="s">
        <v>2575</v>
      </c>
      <c r="ED328" s="48" t="s">
        <v>3208</v>
      </c>
      <c r="EE328" s="48" t="s">
        <v>1814</v>
      </c>
      <c r="EF328" s="48" t="s">
        <v>1867</v>
      </c>
      <c r="EG328" s="48" t="s">
        <v>5392</v>
      </c>
      <c r="EH328">
        <v>7.3920000000000003</v>
      </c>
      <c r="EI328" s="48" t="s">
        <v>1888</v>
      </c>
      <c r="EJ328">
        <v>7</v>
      </c>
      <c r="EK328" s="48" t="s">
        <v>1887</v>
      </c>
      <c r="EL328">
        <v>1</v>
      </c>
      <c r="EM328" s="48" t="s">
        <v>1886</v>
      </c>
      <c r="EN328">
        <v>7.3920000000000003</v>
      </c>
      <c r="EO328" s="48" t="s">
        <v>2520</v>
      </c>
      <c r="EP328" s="48" t="s">
        <v>2582</v>
      </c>
      <c r="EQ328">
        <v>4555.95</v>
      </c>
      <c r="ER328">
        <v>4555.95</v>
      </c>
      <c r="ES328">
        <v>6527687</v>
      </c>
      <c r="ET328">
        <v>4431</v>
      </c>
      <c r="EU328" s="48" t="s">
        <v>1710</v>
      </c>
      <c r="EV328" s="48" t="s">
        <v>1710</v>
      </c>
      <c r="EW328" s="48" t="s">
        <v>1712</v>
      </c>
      <c r="EX328" s="48" t="s">
        <v>1710</v>
      </c>
      <c r="EY328" s="48" t="s">
        <v>1848</v>
      </c>
      <c r="EZ328" s="48" t="s">
        <v>1710</v>
      </c>
      <c r="FA328" s="48" t="s">
        <v>1710</v>
      </c>
      <c r="FB328" s="48" t="s">
        <v>1712</v>
      </c>
      <c r="FC328" s="48" t="s">
        <v>1710</v>
      </c>
      <c r="FD328" s="48" t="s">
        <v>1710</v>
      </c>
      <c r="FE328" s="48" t="s">
        <v>1814</v>
      </c>
      <c r="FF328" s="48" t="s">
        <v>1815</v>
      </c>
      <c r="FG328" s="48" t="s">
        <v>1710</v>
      </c>
      <c r="FH328">
        <v>7</v>
      </c>
      <c r="FI328" s="48" t="s">
        <v>1846</v>
      </c>
      <c r="FJ328">
        <v>4555.95</v>
      </c>
      <c r="FK328">
        <v>650.85</v>
      </c>
      <c r="FL328" s="48" t="s">
        <v>2583</v>
      </c>
      <c r="FM328" s="48" t="s">
        <v>2582</v>
      </c>
      <c r="FN328" s="48" t="s">
        <v>1710</v>
      </c>
      <c r="FO328" s="48" t="s">
        <v>1710</v>
      </c>
      <c r="FP328" s="48" t="s">
        <v>1710</v>
      </c>
      <c r="FQ328" s="48" t="s">
        <v>1710</v>
      </c>
      <c r="FR328" s="48" t="s">
        <v>1710</v>
      </c>
      <c r="FS328" s="48" t="s">
        <v>1710</v>
      </c>
      <c r="FT328" s="48" t="s">
        <v>1710</v>
      </c>
      <c r="FU328" s="48" t="s">
        <v>1710</v>
      </c>
      <c r="FV328" s="48"/>
      <c r="GA328" s="55"/>
      <c r="GE328" s="61"/>
      <c r="GF328" s="62"/>
      <c r="GI328" s="48"/>
    </row>
    <row r="329" spans="1:191">
      <c r="A329" s="48" t="s">
        <v>5396</v>
      </c>
      <c r="B329" s="48" t="s">
        <v>1821</v>
      </c>
      <c r="C329" s="48" t="s">
        <v>2048</v>
      </c>
      <c r="D329" s="48" t="s">
        <v>2813</v>
      </c>
      <c r="E329" s="48" t="s">
        <v>5396</v>
      </c>
      <c r="F329" s="48" t="s">
        <v>1710</v>
      </c>
      <c r="G329" s="48" t="s">
        <v>2814</v>
      </c>
      <c r="H329" s="48" t="s">
        <v>5397</v>
      </c>
      <c r="I329" s="48" t="s">
        <v>1884</v>
      </c>
      <c r="J329" s="48" t="s">
        <v>2825</v>
      </c>
      <c r="K329" s="48" t="s">
        <v>1877</v>
      </c>
      <c r="L329" s="48" t="s">
        <v>1842</v>
      </c>
      <c r="M329" s="48" t="s">
        <v>1810</v>
      </c>
      <c r="N329" s="48" t="s">
        <v>1842</v>
      </c>
      <c r="O329" s="48" t="s">
        <v>1811</v>
      </c>
      <c r="P329" s="48" t="s">
        <v>2549</v>
      </c>
      <c r="Q329" s="48" t="s">
        <v>2049</v>
      </c>
      <c r="R329" s="48" t="s">
        <v>1838</v>
      </c>
      <c r="S329" s="48" t="s">
        <v>2050</v>
      </c>
      <c r="T329" s="48" t="s">
        <v>1845</v>
      </c>
      <c r="U329" s="48" t="s">
        <v>2049</v>
      </c>
      <c r="V329" s="48" t="s">
        <v>1838</v>
      </c>
      <c r="W329" s="48" t="s">
        <v>2051</v>
      </c>
      <c r="X329" s="48" t="s">
        <v>2052</v>
      </c>
      <c r="Y329" s="48" t="s">
        <v>2050</v>
      </c>
      <c r="Z329" s="48" t="s">
        <v>2053</v>
      </c>
      <c r="AA329" s="48" t="s">
        <v>2054</v>
      </c>
      <c r="AB329" s="48" t="s">
        <v>2817</v>
      </c>
      <c r="AC329" s="48" t="s">
        <v>2055</v>
      </c>
      <c r="AD329" s="48" t="s">
        <v>2056</v>
      </c>
      <c r="AE329" s="48" t="s">
        <v>1710</v>
      </c>
      <c r="AF329" s="48" t="s">
        <v>1710</v>
      </c>
      <c r="AG329" s="48" t="s">
        <v>2057</v>
      </c>
      <c r="AH329" s="48" t="s">
        <v>1815</v>
      </c>
      <c r="AI329" s="48" t="s">
        <v>2058</v>
      </c>
      <c r="AJ329" s="48" t="s">
        <v>1710</v>
      </c>
      <c r="AK329" s="48" t="s">
        <v>2589</v>
      </c>
      <c r="AL329" s="48" t="s">
        <v>2590</v>
      </c>
      <c r="AM329" s="48" t="s">
        <v>1816</v>
      </c>
      <c r="AN329" s="48" t="s">
        <v>2054</v>
      </c>
      <c r="AO329" s="48" t="s">
        <v>1710</v>
      </c>
      <c r="AP329" s="48" t="s">
        <v>1843</v>
      </c>
      <c r="AQ329" s="48" t="s">
        <v>2079</v>
      </c>
      <c r="AR329" s="48" t="s">
        <v>1812</v>
      </c>
      <c r="AS329" s="48" t="s">
        <v>1813</v>
      </c>
      <c r="AT329" s="48" t="s">
        <v>1826</v>
      </c>
      <c r="AU329" s="48" t="s">
        <v>2061</v>
      </c>
      <c r="AV329" s="48" t="s">
        <v>2825</v>
      </c>
      <c r="AW329" s="48" t="s">
        <v>2062</v>
      </c>
      <c r="AX329" s="48" t="s">
        <v>2063</v>
      </c>
      <c r="AY329" s="48" t="s">
        <v>1710</v>
      </c>
      <c r="AZ329" s="48" t="s">
        <v>5398</v>
      </c>
      <c r="BA329" s="48" t="s">
        <v>1710</v>
      </c>
      <c r="BB329" s="48" t="s">
        <v>1709</v>
      </c>
      <c r="BC329" s="48" t="s">
        <v>1710</v>
      </c>
      <c r="BD329" s="48" t="s">
        <v>2082</v>
      </c>
      <c r="BE329" s="52" t="s">
        <v>5393</v>
      </c>
      <c r="BF329" s="48" t="s">
        <v>1710</v>
      </c>
      <c r="BG329" s="48" t="s">
        <v>1814</v>
      </c>
      <c r="BH329">
        <v>24</v>
      </c>
      <c r="BI329" s="48" t="s">
        <v>1888</v>
      </c>
      <c r="BJ329">
        <v>2</v>
      </c>
      <c r="BK329">
        <v>1473.06</v>
      </c>
      <c r="BL329">
        <v>48091558</v>
      </c>
      <c r="BM329">
        <v>32647</v>
      </c>
      <c r="BN329" s="48" t="s">
        <v>2064</v>
      </c>
      <c r="BO329" s="48" t="s">
        <v>2065</v>
      </c>
      <c r="BP329">
        <v>1473.06</v>
      </c>
      <c r="BQ329">
        <v>32731.7</v>
      </c>
      <c r="BR329" s="48" t="s">
        <v>1885</v>
      </c>
      <c r="BS329" s="48" t="s">
        <v>2066</v>
      </c>
      <c r="BT329">
        <v>1</v>
      </c>
      <c r="BU329">
        <v>124200</v>
      </c>
      <c r="BV329">
        <v>124200</v>
      </c>
      <c r="BW329" s="48" t="s">
        <v>2065</v>
      </c>
      <c r="BX329">
        <v>1473.06</v>
      </c>
      <c r="BY329">
        <v>0</v>
      </c>
      <c r="BZ329">
        <v>0</v>
      </c>
      <c r="CA329" s="48" t="s">
        <v>2065</v>
      </c>
      <c r="CB329">
        <v>1473.06</v>
      </c>
      <c r="CC329">
        <v>0</v>
      </c>
      <c r="CD329">
        <v>0</v>
      </c>
      <c r="CE329" s="48" t="s">
        <v>1710</v>
      </c>
      <c r="CF329" s="48" t="s">
        <v>1710</v>
      </c>
      <c r="CG329" s="48" t="s">
        <v>1710</v>
      </c>
      <c r="CH329" s="48" t="s">
        <v>1710</v>
      </c>
      <c r="CI329" s="48" t="s">
        <v>2067</v>
      </c>
      <c r="CJ329" s="48" t="s">
        <v>1710</v>
      </c>
      <c r="CL329" s="48" t="s">
        <v>2825</v>
      </c>
      <c r="CM329" s="48" t="s">
        <v>1710</v>
      </c>
      <c r="CN329" s="48" t="s">
        <v>2068</v>
      </c>
      <c r="CO329" s="48" t="s">
        <v>2069</v>
      </c>
      <c r="CP329" s="48" t="s">
        <v>1710</v>
      </c>
      <c r="CQ329" s="48" t="s">
        <v>1710</v>
      </c>
      <c r="CR329" s="48" t="s">
        <v>1710</v>
      </c>
      <c r="CS329" s="48" t="s">
        <v>1710</v>
      </c>
      <c r="CT329" s="48" t="s">
        <v>1710</v>
      </c>
      <c r="CU329" s="48" t="s">
        <v>1712</v>
      </c>
      <c r="CV329" s="48" t="s">
        <v>1710</v>
      </c>
      <c r="CW329" s="48" t="s">
        <v>1710</v>
      </c>
      <c r="CX329" s="48" t="s">
        <v>3167</v>
      </c>
      <c r="CY329" s="48" t="s">
        <v>1710</v>
      </c>
      <c r="CZ329" s="48" t="s">
        <v>1712</v>
      </c>
      <c r="DA329" s="48" t="s">
        <v>1710</v>
      </c>
      <c r="DB329" s="48" t="s">
        <v>1878</v>
      </c>
      <c r="DC329" s="48" t="s">
        <v>2070</v>
      </c>
      <c r="DD329" s="48" t="s">
        <v>1842</v>
      </c>
      <c r="DE329" s="48" t="s">
        <v>1886</v>
      </c>
      <c r="DF329" s="48" t="s">
        <v>5399</v>
      </c>
      <c r="DG329" s="48" t="s">
        <v>2071</v>
      </c>
      <c r="DH329" s="48" t="s">
        <v>1712</v>
      </c>
      <c r="DI329" s="48" t="s">
        <v>1710</v>
      </c>
      <c r="DJ329" s="48" t="s">
        <v>1710</v>
      </c>
      <c r="DK329" s="48" t="s">
        <v>1710</v>
      </c>
      <c r="DL329" s="48" t="s">
        <v>1710</v>
      </c>
      <c r="DM329" s="48" t="s">
        <v>1710</v>
      </c>
      <c r="DN329" s="48" t="s">
        <v>1710</v>
      </c>
      <c r="DO329" s="48" t="s">
        <v>1710</v>
      </c>
      <c r="DP329" s="48" t="s">
        <v>1710</v>
      </c>
      <c r="DQ329" s="48" t="s">
        <v>1710</v>
      </c>
      <c r="DR329" s="48" t="s">
        <v>2072</v>
      </c>
      <c r="DS329" s="48" t="s">
        <v>1710</v>
      </c>
      <c r="DT329" s="48" t="s">
        <v>1710</v>
      </c>
      <c r="DU329" s="48" t="s">
        <v>2575</v>
      </c>
      <c r="DV329" s="48" t="s">
        <v>2825</v>
      </c>
      <c r="DW329" s="48" t="s">
        <v>1710</v>
      </c>
      <c r="DX329" s="48" t="s">
        <v>5400</v>
      </c>
      <c r="DY329" s="48" t="s">
        <v>1709</v>
      </c>
      <c r="DZ329" s="48" t="s">
        <v>2562</v>
      </c>
      <c r="EA329" s="48" t="s">
        <v>2546</v>
      </c>
      <c r="EB329">
        <v>0</v>
      </c>
      <c r="EC329" s="48" t="s">
        <v>2575</v>
      </c>
      <c r="ED329" s="48" t="s">
        <v>5401</v>
      </c>
      <c r="EE329" s="48" t="s">
        <v>1814</v>
      </c>
      <c r="EF329" s="48" t="s">
        <v>1852</v>
      </c>
      <c r="EG329" s="48" t="s">
        <v>5398</v>
      </c>
      <c r="EH329">
        <v>16</v>
      </c>
      <c r="EI329" s="48" t="s">
        <v>1888</v>
      </c>
      <c r="EJ329">
        <v>0</v>
      </c>
      <c r="EK329" s="48" t="s">
        <v>1710</v>
      </c>
      <c r="EL329">
        <v>2</v>
      </c>
      <c r="EM329" s="48" t="s">
        <v>1886</v>
      </c>
      <c r="EN329">
        <v>16</v>
      </c>
      <c r="EO329" s="48" t="s">
        <v>2521</v>
      </c>
      <c r="EP329" s="48" t="s">
        <v>2596</v>
      </c>
      <c r="EQ329">
        <v>32731.7</v>
      </c>
      <c r="ER329">
        <v>32731.7</v>
      </c>
      <c r="ES329">
        <v>48091558</v>
      </c>
      <c r="ET329">
        <v>32647</v>
      </c>
      <c r="EU329" s="48" t="s">
        <v>1710</v>
      </c>
      <c r="EV329" s="48" t="s">
        <v>1710</v>
      </c>
      <c r="EW329" s="48" t="s">
        <v>1712</v>
      </c>
      <c r="EX329" s="48" t="s">
        <v>1710</v>
      </c>
      <c r="EY329" s="48" t="s">
        <v>1843</v>
      </c>
      <c r="EZ329" s="48" t="s">
        <v>1710</v>
      </c>
      <c r="FA329" s="48" t="s">
        <v>1710</v>
      </c>
      <c r="FB329" s="48" t="s">
        <v>1712</v>
      </c>
      <c r="FC329" s="48" t="s">
        <v>1710</v>
      </c>
      <c r="FD329" s="48" t="s">
        <v>1710</v>
      </c>
      <c r="FE329" s="48" t="s">
        <v>1814</v>
      </c>
      <c r="FF329" s="48" t="s">
        <v>1815</v>
      </c>
      <c r="FG329" s="48" t="s">
        <v>1710</v>
      </c>
      <c r="FH329">
        <v>1</v>
      </c>
      <c r="FI329" s="48" t="s">
        <v>1846</v>
      </c>
      <c r="FJ329">
        <v>16365.85</v>
      </c>
      <c r="FK329">
        <v>16365.85</v>
      </c>
      <c r="FL329" s="48" t="s">
        <v>2623</v>
      </c>
      <c r="FM329" s="48" t="s">
        <v>2596</v>
      </c>
      <c r="FN329" s="48" t="s">
        <v>1710</v>
      </c>
      <c r="FO329" s="48" t="s">
        <v>1710</v>
      </c>
      <c r="FP329" s="48" t="s">
        <v>1710</v>
      </c>
      <c r="FQ329" s="48" t="s">
        <v>1710</v>
      </c>
      <c r="FR329" s="48" t="s">
        <v>1710</v>
      </c>
      <c r="FS329" s="48" t="s">
        <v>1710</v>
      </c>
      <c r="FT329" s="48" t="s">
        <v>1710</v>
      </c>
      <c r="FU329" s="48" t="s">
        <v>1710</v>
      </c>
      <c r="FV329" s="48"/>
      <c r="GA329" s="55"/>
      <c r="GE329" s="61"/>
      <c r="GF329" s="62"/>
      <c r="GI329" s="48"/>
    </row>
    <row r="330" spans="1:191">
      <c r="A330" s="48" t="s">
        <v>5402</v>
      </c>
      <c r="B330" s="48" t="s">
        <v>1821</v>
      </c>
      <c r="C330" s="48" t="s">
        <v>2048</v>
      </c>
      <c r="D330" s="48" t="s">
        <v>2813</v>
      </c>
      <c r="E330" s="48" t="s">
        <v>5402</v>
      </c>
      <c r="F330" s="48" t="s">
        <v>1710</v>
      </c>
      <c r="G330" s="48" t="s">
        <v>2814</v>
      </c>
      <c r="H330" s="48" t="s">
        <v>5403</v>
      </c>
      <c r="I330" s="48" t="s">
        <v>1884</v>
      </c>
      <c r="J330" s="48" t="s">
        <v>2825</v>
      </c>
      <c r="K330" s="48" t="s">
        <v>1877</v>
      </c>
      <c r="L330" s="48" t="s">
        <v>1842</v>
      </c>
      <c r="M330" s="48" t="s">
        <v>1810</v>
      </c>
      <c r="N330" s="48" t="s">
        <v>1842</v>
      </c>
      <c r="O330" s="48" t="s">
        <v>1811</v>
      </c>
      <c r="P330" s="48" t="s">
        <v>2549</v>
      </c>
      <c r="Q330" s="48" t="s">
        <v>2049</v>
      </c>
      <c r="R330" s="48" t="s">
        <v>1838</v>
      </c>
      <c r="S330" s="48" t="s">
        <v>2050</v>
      </c>
      <c r="T330" s="48" t="s">
        <v>1845</v>
      </c>
      <c r="U330" s="48" t="s">
        <v>2049</v>
      </c>
      <c r="V330" s="48" t="s">
        <v>1838</v>
      </c>
      <c r="W330" s="48" t="s">
        <v>2051</v>
      </c>
      <c r="X330" s="48" t="s">
        <v>2052</v>
      </c>
      <c r="Y330" s="48" t="s">
        <v>2050</v>
      </c>
      <c r="Z330" s="48" t="s">
        <v>2053</v>
      </c>
      <c r="AA330" s="48" t="s">
        <v>2054</v>
      </c>
      <c r="AB330" s="48" t="s">
        <v>2817</v>
      </c>
      <c r="AC330" s="48" t="s">
        <v>2055</v>
      </c>
      <c r="AD330" s="48" t="s">
        <v>2056</v>
      </c>
      <c r="AE330" s="48" t="s">
        <v>1710</v>
      </c>
      <c r="AF330" s="48" t="s">
        <v>1710</v>
      </c>
      <c r="AG330" s="48" t="s">
        <v>2057</v>
      </c>
      <c r="AH330" s="48" t="s">
        <v>1815</v>
      </c>
      <c r="AI330" s="48" t="s">
        <v>2058</v>
      </c>
      <c r="AJ330" s="48" t="s">
        <v>1710</v>
      </c>
      <c r="AK330" s="48" t="s">
        <v>2558</v>
      </c>
      <c r="AL330" s="48" t="s">
        <v>1882</v>
      </c>
      <c r="AM330" s="48" t="s">
        <v>1816</v>
      </c>
      <c r="AN330" s="48" t="s">
        <v>2054</v>
      </c>
      <c r="AO330" s="48" t="s">
        <v>1710</v>
      </c>
      <c r="AP330" s="48" t="s">
        <v>1851</v>
      </c>
      <c r="AQ330" s="48" t="s">
        <v>2083</v>
      </c>
      <c r="AR330" s="48" t="s">
        <v>1812</v>
      </c>
      <c r="AS330" s="48" t="s">
        <v>1813</v>
      </c>
      <c r="AT330" s="48" t="s">
        <v>1826</v>
      </c>
      <c r="AU330" s="48" t="s">
        <v>2061</v>
      </c>
      <c r="AV330" s="48" t="s">
        <v>2825</v>
      </c>
      <c r="AW330" s="48" t="s">
        <v>2062</v>
      </c>
      <c r="AX330" s="48" t="s">
        <v>2063</v>
      </c>
      <c r="AY330" s="48" t="s">
        <v>1710</v>
      </c>
      <c r="AZ330" s="48" t="s">
        <v>5404</v>
      </c>
      <c r="BA330" s="48" t="s">
        <v>1710</v>
      </c>
      <c r="BB330" s="48" t="s">
        <v>1709</v>
      </c>
      <c r="BC330" s="48" t="s">
        <v>1710</v>
      </c>
      <c r="BD330" s="48" t="s">
        <v>2082</v>
      </c>
      <c r="BE330" s="52" t="s">
        <v>5393</v>
      </c>
      <c r="BF330" s="48" t="s">
        <v>1710</v>
      </c>
      <c r="BG330" s="48" t="s">
        <v>2607</v>
      </c>
      <c r="BH330">
        <v>36</v>
      </c>
      <c r="BI330" s="48" t="s">
        <v>1888</v>
      </c>
      <c r="BJ330">
        <v>7</v>
      </c>
      <c r="BK330">
        <v>1473.06</v>
      </c>
      <c r="BL330">
        <v>45929097</v>
      </c>
      <c r="BM330">
        <v>31179</v>
      </c>
      <c r="BN330" s="48" t="s">
        <v>2064</v>
      </c>
      <c r="BO330" s="48" t="s">
        <v>2065</v>
      </c>
      <c r="BP330">
        <v>1473.06</v>
      </c>
      <c r="BQ330">
        <v>31481.61</v>
      </c>
      <c r="BR330" s="48" t="s">
        <v>1885</v>
      </c>
      <c r="BS330" s="48" t="s">
        <v>2066</v>
      </c>
      <c r="BT330">
        <v>1</v>
      </c>
      <c r="BU330">
        <v>445200</v>
      </c>
      <c r="BV330">
        <v>445200</v>
      </c>
      <c r="BW330" s="48" t="s">
        <v>2065</v>
      </c>
      <c r="BX330">
        <v>1473.06</v>
      </c>
      <c r="BY330">
        <v>0</v>
      </c>
      <c r="BZ330">
        <v>0</v>
      </c>
      <c r="CA330" s="48" t="s">
        <v>2065</v>
      </c>
      <c r="CB330">
        <v>1473.06</v>
      </c>
      <c r="CC330">
        <v>0</v>
      </c>
      <c r="CD330">
        <v>0</v>
      </c>
      <c r="CE330" s="48" t="s">
        <v>1710</v>
      </c>
      <c r="CF330" s="48" t="s">
        <v>1710</v>
      </c>
      <c r="CG330" s="48" t="s">
        <v>1710</v>
      </c>
      <c r="CH330" s="48" t="s">
        <v>1710</v>
      </c>
      <c r="CI330" s="48" t="s">
        <v>2067</v>
      </c>
      <c r="CJ330" s="48" t="s">
        <v>1710</v>
      </c>
      <c r="CL330" s="48" t="s">
        <v>2825</v>
      </c>
      <c r="CM330" s="48" t="s">
        <v>1710</v>
      </c>
      <c r="CN330" s="48" t="s">
        <v>2068</v>
      </c>
      <c r="CO330" s="48" t="s">
        <v>2069</v>
      </c>
      <c r="CP330" s="48" t="s">
        <v>1710</v>
      </c>
      <c r="CQ330" s="48" t="s">
        <v>1710</v>
      </c>
      <c r="CR330" s="48" t="s">
        <v>1710</v>
      </c>
      <c r="CS330" s="48" t="s">
        <v>1710</v>
      </c>
      <c r="CT330" s="48" t="s">
        <v>1710</v>
      </c>
      <c r="CU330" s="48" t="s">
        <v>1712</v>
      </c>
      <c r="CV330" s="48" t="s">
        <v>1710</v>
      </c>
      <c r="CW330" s="48" t="s">
        <v>1710</v>
      </c>
      <c r="CX330" s="48" t="s">
        <v>3167</v>
      </c>
      <c r="CY330" s="48" t="s">
        <v>1710</v>
      </c>
      <c r="CZ330" s="48" t="s">
        <v>1712</v>
      </c>
      <c r="DA330" s="48" t="s">
        <v>1710</v>
      </c>
      <c r="DB330" s="48" t="s">
        <v>1878</v>
      </c>
      <c r="DC330" s="48" t="s">
        <v>2070</v>
      </c>
      <c r="DD330" s="48" t="s">
        <v>1842</v>
      </c>
      <c r="DE330" s="48" t="s">
        <v>1886</v>
      </c>
      <c r="DF330" s="48" t="s">
        <v>5405</v>
      </c>
      <c r="DG330" s="48" t="s">
        <v>2071</v>
      </c>
      <c r="DH330" s="48" t="s">
        <v>1712</v>
      </c>
      <c r="DI330" s="48" t="s">
        <v>1710</v>
      </c>
      <c r="DJ330" s="48" t="s">
        <v>1710</v>
      </c>
      <c r="DK330" s="48" t="s">
        <v>1710</v>
      </c>
      <c r="DL330" s="48" t="s">
        <v>1710</v>
      </c>
      <c r="DM330" s="48" t="s">
        <v>1710</v>
      </c>
      <c r="DN330" s="48" t="s">
        <v>1710</v>
      </c>
      <c r="DO330" s="48" t="s">
        <v>1710</v>
      </c>
      <c r="DP330" s="48" t="s">
        <v>1710</v>
      </c>
      <c r="DQ330" s="48" t="s">
        <v>1710</v>
      </c>
      <c r="DR330" s="48" t="s">
        <v>2072</v>
      </c>
      <c r="DS330" s="48" t="s">
        <v>1710</v>
      </c>
      <c r="DT330" s="48" t="s">
        <v>1710</v>
      </c>
      <c r="DU330" s="48" t="s">
        <v>2575</v>
      </c>
      <c r="DV330" s="48" t="s">
        <v>3141</v>
      </c>
      <c r="DW330" s="48" t="s">
        <v>1710</v>
      </c>
      <c r="DX330" s="48" t="s">
        <v>5406</v>
      </c>
      <c r="DY330" s="48" t="s">
        <v>1709</v>
      </c>
      <c r="DZ330" s="48" t="s">
        <v>2562</v>
      </c>
      <c r="EA330" s="48" t="s">
        <v>2546</v>
      </c>
      <c r="EB330">
        <v>0</v>
      </c>
      <c r="EC330" s="48" t="s">
        <v>2575</v>
      </c>
      <c r="ED330" s="48" t="s">
        <v>5401</v>
      </c>
      <c r="EE330" s="48" t="s">
        <v>1814</v>
      </c>
      <c r="EF330" s="48" t="s">
        <v>2555</v>
      </c>
      <c r="EG330" s="48" t="s">
        <v>5404</v>
      </c>
      <c r="EH330">
        <v>14.48</v>
      </c>
      <c r="EI330" s="48" t="s">
        <v>1888</v>
      </c>
      <c r="EJ330">
        <v>2</v>
      </c>
      <c r="EK330" s="48" t="s">
        <v>1887</v>
      </c>
      <c r="EL330">
        <v>7</v>
      </c>
      <c r="EM330" s="48" t="s">
        <v>1886</v>
      </c>
      <c r="EN330">
        <v>14.48</v>
      </c>
      <c r="EO330" s="48" t="s">
        <v>2556</v>
      </c>
      <c r="EP330" s="48" t="s">
        <v>5407</v>
      </c>
      <c r="EQ330">
        <v>21946.38</v>
      </c>
      <c r="ER330">
        <v>21946.38</v>
      </c>
      <c r="ES330">
        <v>32017977</v>
      </c>
      <c r="ET330">
        <v>21736</v>
      </c>
      <c r="EU330" s="48" t="s">
        <v>1710</v>
      </c>
      <c r="EV330" s="48" t="s">
        <v>1710</v>
      </c>
      <c r="EW330" s="48" t="s">
        <v>1712</v>
      </c>
      <c r="EX330" s="48" t="s">
        <v>1710</v>
      </c>
      <c r="EY330" s="48" t="s">
        <v>1851</v>
      </c>
      <c r="EZ330" s="48" t="s">
        <v>1710</v>
      </c>
      <c r="FA330" s="48" t="s">
        <v>1710</v>
      </c>
      <c r="FB330" s="48" t="s">
        <v>1712</v>
      </c>
      <c r="FC330" s="48" t="s">
        <v>1710</v>
      </c>
      <c r="FD330" s="48" t="s">
        <v>1710</v>
      </c>
      <c r="FE330" s="48" t="s">
        <v>1814</v>
      </c>
      <c r="FF330" s="48" t="s">
        <v>1815</v>
      </c>
      <c r="FG330" s="48" t="s">
        <v>1710</v>
      </c>
      <c r="FH330">
        <v>1</v>
      </c>
      <c r="FI330" s="48" t="s">
        <v>1846</v>
      </c>
      <c r="FJ330">
        <v>10973.19</v>
      </c>
      <c r="FK330">
        <v>10973.19</v>
      </c>
      <c r="FL330" s="48" t="s">
        <v>5408</v>
      </c>
      <c r="FM330" s="48" t="s">
        <v>5409</v>
      </c>
      <c r="FN330" s="48" t="s">
        <v>1710</v>
      </c>
      <c r="FO330" s="48" t="s">
        <v>1710</v>
      </c>
      <c r="FP330" s="48" t="s">
        <v>1710</v>
      </c>
      <c r="FQ330" s="48" t="s">
        <v>1710</v>
      </c>
      <c r="FR330" s="48" t="s">
        <v>1710</v>
      </c>
      <c r="FS330" s="48" t="s">
        <v>1710</v>
      </c>
      <c r="FT330" s="48" t="s">
        <v>1710</v>
      </c>
      <c r="FU330" s="48" t="s">
        <v>1710</v>
      </c>
      <c r="FV330" s="48"/>
      <c r="GA330" s="55"/>
      <c r="GE330" s="61"/>
      <c r="GF330" s="62"/>
      <c r="GI330" s="48"/>
    </row>
    <row r="331" spans="1:191">
      <c r="A331" s="48" t="s">
        <v>5410</v>
      </c>
      <c r="B331" s="48" t="s">
        <v>1821</v>
      </c>
      <c r="C331" s="48" t="s">
        <v>2048</v>
      </c>
      <c r="D331" s="48" t="s">
        <v>2813</v>
      </c>
      <c r="E331" s="48" t="s">
        <v>5410</v>
      </c>
      <c r="F331" s="48" t="s">
        <v>1710</v>
      </c>
      <c r="G331" s="48" t="s">
        <v>2814</v>
      </c>
      <c r="H331" s="48" t="s">
        <v>5411</v>
      </c>
      <c r="I331" s="48" t="s">
        <v>1884</v>
      </c>
      <c r="J331" s="48" t="s">
        <v>2825</v>
      </c>
      <c r="K331" s="48" t="s">
        <v>1877</v>
      </c>
      <c r="L331" s="48" t="s">
        <v>1842</v>
      </c>
      <c r="M331" s="48" t="s">
        <v>1810</v>
      </c>
      <c r="N331" s="48" t="s">
        <v>1842</v>
      </c>
      <c r="O331" s="48" t="s">
        <v>1811</v>
      </c>
      <c r="P331" s="48" t="s">
        <v>2549</v>
      </c>
      <c r="Q331" s="48" t="s">
        <v>2049</v>
      </c>
      <c r="R331" s="48" t="s">
        <v>1838</v>
      </c>
      <c r="S331" s="48" t="s">
        <v>2050</v>
      </c>
      <c r="T331" s="48" t="s">
        <v>1845</v>
      </c>
      <c r="U331" s="48" t="s">
        <v>2049</v>
      </c>
      <c r="V331" s="48" t="s">
        <v>1838</v>
      </c>
      <c r="W331" s="48" t="s">
        <v>2051</v>
      </c>
      <c r="X331" s="48" t="s">
        <v>2052</v>
      </c>
      <c r="Y331" s="48" t="s">
        <v>2050</v>
      </c>
      <c r="Z331" s="48" t="s">
        <v>2053</v>
      </c>
      <c r="AA331" s="48" t="s">
        <v>2054</v>
      </c>
      <c r="AB331" s="48" t="s">
        <v>2817</v>
      </c>
      <c r="AC331" s="48" t="s">
        <v>2055</v>
      </c>
      <c r="AD331" s="48" t="s">
        <v>2056</v>
      </c>
      <c r="AE331" s="48" t="s">
        <v>1710</v>
      </c>
      <c r="AF331" s="48" t="s">
        <v>1710</v>
      </c>
      <c r="AG331" s="48" t="s">
        <v>2057</v>
      </c>
      <c r="AH331" s="48" t="s">
        <v>1815</v>
      </c>
      <c r="AI331" s="48" t="s">
        <v>2058</v>
      </c>
      <c r="AJ331" s="48" t="s">
        <v>1710</v>
      </c>
      <c r="AK331" s="48" t="s">
        <v>2100</v>
      </c>
      <c r="AL331" s="48" t="s">
        <v>2101</v>
      </c>
      <c r="AM331" s="48" t="s">
        <v>1816</v>
      </c>
      <c r="AN331" s="48" t="s">
        <v>2054</v>
      </c>
      <c r="AO331" s="48" t="s">
        <v>1710</v>
      </c>
      <c r="AP331" s="48" t="s">
        <v>1874</v>
      </c>
      <c r="AQ331" s="48" t="s">
        <v>2078</v>
      </c>
      <c r="AR331" s="48" t="s">
        <v>1812</v>
      </c>
      <c r="AS331" s="48" t="s">
        <v>1813</v>
      </c>
      <c r="AT331" s="48" t="s">
        <v>1826</v>
      </c>
      <c r="AU331" s="48" t="s">
        <v>2061</v>
      </c>
      <c r="AV331" s="48" t="s">
        <v>2825</v>
      </c>
      <c r="AW331" s="48" t="s">
        <v>2062</v>
      </c>
      <c r="AX331" s="48" t="s">
        <v>2063</v>
      </c>
      <c r="AY331" s="48" t="s">
        <v>1710</v>
      </c>
      <c r="AZ331" s="48" t="s">
        <v>5412</v>
      </c>
      <c r="BA331" s="48" t="s">
        <v>1710</v>
      </c>
      <c r="BB331" s="48" t="s">
        <v>1709</v>
      </c>
      <c r="BC331" s="48" t="s">
        <v>1710</v>
      </c>
      <c r="BD331" s="48" t="s">
        <v>2082</v>
      </c>
      <c r="BE331" s="52" t="s">
        <v>5393</v>
      </c>
      <c r="BF331" s="48" t="s">
        <v>1710</v>
      </c>
      <c r="BG331" s="48" t="s">
        <v>1814</v>
      </c>
      <c r="BH331">
        <v>2</v>
      </c>
      <c r="BI331" s="48" t="s">
        <v>1888</v>
      </c>
      <c r="BJ331">
        <v>1</v>
      </c>
      <c r="BK331">
        <v>1473.06</v>
      </c>
      <c r="BL331">
        <v>8047663</v>
      </c>
      <c r="BM331">
        <v>5463</v>
      </c>
      <c r="BN331" s="48" t="s">
        <v>2064</v>
      </c>
      <c r="BO331" s="48" t="s">
        <v>2065</v>
      </c>
      <c r="BP331">
        <v>1473.06</v>
      </c>
      <c r="BQ331">
        <v>5482.78</v>
      </c>
      <c r="BR331" s="48" t="s">
        <v>1885</v>
      </c>
      <c r="BS331" s="48" t="s">
        <v>2066</v>
      </c>
      <c r="BT331">
        <v>1</v>
      </c>
      <c r="BU331">
        <v>28800</v>
      </c>
      <c r="BV331">
        <v>28800</v>
      </c>
      <c r="BW331" s="48" t="s">
        <v>2065</v>
      </c>
      <c r="BX331">
        <v>1473.06</v>
      </c>
      <c r="BY331">
        <v>0</v>
      </c>
      <c r="BZ331">
        <v>0</v>
      </c>
      <c r="CA331" s="48" t="s">
        <v>2065</v>
      </c>
      <c r="CB331">
        <v>1473.06</v>
      </c>
      <c r="CC331">
        <v>0</v>
      </c>
      <c r="CD331">
        <v>0</v>
      </c>
      <c r="CE331" s="48" t="s">
        <v>1710</v>
      </c>
      <c r="CF331" s="48" t="s">
        <v>1710</v>
      </c>
      <c r="CG331" s="48" t="s">
        <v>1710</v>
      </c>
      <c r="CH331" s="48" t="s">
        <v>1710</v>
      </c>
      <c r="CI331" s="48" t="s">
        <v>2067</v>
      </c>
      <c r="CJ331" s="48" t="s">
        <v>1710</v>
      </c>
      <c r="CL331" s="48" t="s">
        <v>2825</v>
      </c>
      <c r="CM331" s="48" t="s">
        <v>1710</v>
      </c>
      <c r="CN331" s="48" t="s">
        <v>2068</v>
      </c>
      <c r="CO331" s="48" t="s">
        <v>2069</v>
      </c>
      <c r="CP331" s="48" t="s">
        <v>1710</v>
      </c>
      <c r="CQ331" s="48" t="s">
        <v>1710</v>
      </c>
      <c r="CR331" s="48" t="s">
        <v>1710</v>
      </c>
      <c r="CS331" s="48" t="s">
        <v>1710</v>
      </c>
      <c r="CT331" s="48" t="s">
        <v>1710</v>
      </c>
      <c r="CU331" s="48" t="s">
        <v>1712</v>
      </c>
      <c r="CV331" s="48" t="s">
        <v>1710</v>
      </c>
      <c r="CW331" s="48" t="s">
        <v>1710</v>
      </c>
      <c r="CX331" s="48" t="s">
        <v>3167</v>
      </c>
      <c r="CY331" s="48" t="s">
        <v>1710</v>
      </c>
      <c r="CZ331" s="48" t="s">
        <v>1712</v>
      </c>
      <c r="DA331" s="48" t="s">
        <v>1710</v>
      </c>
      <c r="DB331" s="48" t="s">
        <v>1878</v>
      </c>
      <c r="DC331" s="48" t="s">
        <v>2070</v>
      </c>
      <c r="DD331" s="48" t="s">
        <v>1842</v>
      </c>
      <c r="DE331" s="48" t="s">
        <v>1886</v>
      </c>
      <c r="DF331" s="48" t="s">
        <v>5413</v>
      </c>
      <c r="DG331" s="48" t="s">
        <v>2071</v>
      </c>
      <c r="DH331" s="48" t="s">
        <v>1712</v>
      </c>
      <c r="DI331" s="48" t="s">
        <v>1710</v>
      </c>
      <c r="DJ331" s="48" t="s">
        <v>1710</v>
      </c>
      <c r="DK331" s="48" t="s">
        <v>1710</v>
      </c>
      <c r="DL331" s="48" t="s">
        <v>1710</v>
      </c>
      <c r="DM331" s="48" t="s">
        <v>1710</v>
      </c>
      <c r="DN331" s="48" t="s">
        <v>1710</v>
      </c>
      <c r="DO331" s="48" t="s">
        <v>1710</v>
      </c>
      <c r="DP331" s="48" t="s">
        <v>1710</v>
      </c>
      <c r="DQ331" s="48" t="s">
        <v>1710</v>
      </c>
      <c r="DR331" s="48" t="s">
        <v>2072</v>
      </c>
      <c r="DS331" s="48" t="s">
        <v>1710</v>
      </c>
      <c r="DT331" s="48" t="s">
        <v>1710</v>
      </c>
      <c r="DU331" s="48" t="s">
        <v>2575</v>
      </c>
      <c r="DV331" s="48" t="s">
        <v>2825</v>
      </c>
      <c r="DW331" s="48" t="s">
        <v>1710</v>
      </c>
      <c r="DX331" s="48" t="s">
        <v>5414</v>
      </c>
      <c r="DY331" s="48" t="s">
        <v>1709</v>
      </c>
      <c r="DZ331" s="48" t="s">
        <v>2562</v>
      </c>
      <c r="EA331" s="48" t="s">
        <v>2546</v>
      </c>
      <c r="EB331">
        <v>0</v>
      </c>
      <c r="EC331" s="48" t="s">
        <v>2575</v>
      </c>
      <c r="ED331" s="48" t="s">
        <v>5401</v>
      </c>
      <c r="EE331" s="48" t="s">
        <v>1814</v>
      </c>
      <c r="EF331" s="48" t="s">
        <v>1852</v>
      </c>
      <c r="EG331" s="48" t="s">
        <v>5412</v>
      </c>
      <c r="EH331">
        <v>1</v>
      </c>
      <c r="EI331" s="48" t="s">
        <v>1888</v>
      </c>
      <c r="EJ331">
        <v>0</v>
      </c>
      <c r="EK331" s="48" t="s">
        <v>1710</v>
      </c>
      <c r="EL331">
        <v>1</v>
      </c>
      <c r="EM331" s="48" t="s">
        <v>1886</v>
      </c>
      <c r="EN331">
        <v>1</v>
      </c>
      <c r="EO331" s="48" t="s">
        <v>2521</v>
      </c>
      <c r="EP331" s="48" t="s">
        <v>5415</v>
      </c>
      <c r="EQ331">
        <v>5482.78</v>
      </c>
      <c r="ER331">
        <v>5482.78</v>
      </c>
      <c r="ES331">
        <v>8047663</v>
      </c>
      <c r="ET331">
        <v>5463</v>
      </c>
      <c r="EU331" s="48" t="s">
        <v>1710</v>
      </c>
      <c r="EV331" s="48" t="s">
        <v>1710</v>
      </c>
      <c r="EW331" s="48" t="s">
        <v>1712</v>
      </c>
      <c r="EX331" s="48" t="s">
        <v>1710</v>
      </c>
      <c r="EY331" s="48" t="s">
        <v>1874</v>
      </c>
      <c r="EZ331" s="48" t="s">
        <v>1710</v>
      </c>
      <c r="FA331" s="48" t="s">
        <v>1710</v>
      </c>
      <c r="FB331" s="48" t="s">
        <v>1712</v>
      </c>
      <c r="FC331" s="48" t="s">
        <v>1710</v>
      </c>
      <c r="FD331" s="48" t="s">
        <v>1710</v>
      </c>
      <c r="FE331" s="48" t="s">
        <v>1814</v>
      </c>
      <c r="FF331" s="48" t="s">
        <v>1815</v>
      </c>
      <c r="FG331" s="48" t="s">
        <v>1710</v>
      </c>
      <c r="FH331">
        <v>1</v>
      </c>
      <c r="FI331" s="48" t="s">
        <v>1846</v>
      </c>
      <c r="FJ331">
        <v>5482.78</v>
      </c>
      <c r="FK331">
        <v>5482.78</v>
      </c>
      <c r="FL331" s="48" t="s">
        <v>5416</v>
      </c>
      <c r="FM331" s="48" t="s">
        <v>5415</v>
      </c>
      <c r="FN331" s="48" t="s">
        <v>1710</v>
      </c>
      <c r="FO331" s="48" t="s">
        <v>1710</v>
      </c>
      <c r="FP331" s="48" t="s">
        <v>1710</v>
      </c>
      <c r="FQ331" s="48" t="s">
        <v>1710</v>
      </c>
      <c r="FR331" s="48" t="s">
        <v>1710</v>
      </c>
      <c r="FS331" s="48" t="s">
        <v>1710</v>
      </c>
      <c r="FT331" s="48" t="s">
        <v>1710</v>
      </c>
      <c r="FU331" s="48" t="s">
        <v>1710</v>
      </c>
      <c r="FV331" s="48"/>
      <c r="GA331" s="55"/>
      <c r="GE331" s="61"/>
      <c r="GF331" s="62"/>
      <c r="GI331" s="48"/>
    </row>
    <row r="332" spans="1:191">
      <c r="A332" s="48" t="s">
        <v>5417</v>
      </c>
      <c r="B332" s="48" t="s">
        <v>1821</v>
      </c>
      <c r="C332" s="48" t="s">
        <v>2048</v>
      </c>
      <c r="D332" s="48" t="s">
        <v>2813</v>
      </c>
      <c r="E332" s="48" t="s">
        <v>5417</v>
      </c>
      <c r="F332" s="48" t="s">
        <v>1710</v>
      </c>
      <c r="G332" s="48" t="s">
        <v>2814</v>
      </c>
      <c r="H332" s="48" t="s">
        <v>5418</v>
      </c>
      <c r="I332" s="48" t="s">
        <v>1884</v>
      </c>
      <c r="J332" s="48" t="s">
        <v>2825</v>
      </c>
      <c r="K332" s="48" t="s">
        <v>1877</v>
      </c>
      <c r="L332" s="48" t="s">
        <v>1842</v>
      </c>
      <c r="M332" s="48" t="s">
        <v>1810</v>
      </c>
      <c r="N332" s="48" t="s">
        <v>1842</v>
      </c>
      <c r="O332" s="48" t="s">
        <v>1811</v>
      </c>
      <c r="P332" s="48" t="s">
        <v>2549</v>
      </c>
      <c r="Q332" s="48" t="s">
        <v>2049</v>
      </c>
      <c r="R332" s="48" t="s">
        <v>1838</v>
      </c>
      <c r="S332" s="48" t="s">
        <v>2050</v>
      </c>
      <c r="T332" s="48" t="s">
        <v>1845</v>
      </c>
      <c r="U332" s="48" t="s">
        <v>2049</v>
      </c>
      <c r="V332" s="48" t="s">
        <v>1838</v>
      </c>
      <c r="W332" s="48" t="s">
        <v>2051</v>
      </c>
      <c r="X332" s="48" t="s">
        <v>2052</v>
      </c>
      <c r="Y332" s="48" t="s">
        <v>2050</v>
      </c>
      <c r="Z332" s="48" t="s">
        <v>2053</v>
      </c>
      <c r="AA332" s="48" t="s">
        <v>2054</v>
      </c>
      <c r="AB332" s="48" t="s">
        <v>2817</v>
      </c>
      <c r="AC332" s="48" t="s">
        <v>2055</v>
      </c>
      <c r="AD332" s="48" t="s">
        <v>2056</v>
      </c>
      <c r="AE332" s="48" t="s">
        <v>1710</v>
      </c>
      <c r="AF332" s="48" t="s">
        <v>1710</v>
      </c>
      <c r="AG332" s="48" t="s">
        <v>2057</v>
      </c>
      <c r="AH332" s="48" t="s">
        <v>1815</v>
      </c>
      <c r="AI332" s="48" t="s">
        <v>2058</v>
      </c>
      <c r="AJ332" s="48" t="s">
        <v>1710</v>
      </c>
      <c r="AK332" s="48" t="s">
        <v>2080</v>
      </c>
      <c r="AL332" s="48" t="s">
        <v>1866</v>
      </c>
      <c r="AM332" s="48" t="s">
        <v>1816</v>
      </c>
      <c r="AN332" s="48" t="s">
        <v>2054</v>
      </c>
      <c r="AO332" s="48" t="s">
        <v>1710</v>
      </c>
      <c r="AP332" s="48" t="s">
        <v>1854</v>
      </c>
      <c r="AQ332" s="48" t="s">
        <v>2081</v>
      </c>
      <c r="AR332" s="48" t="s">
        <v>1812</v>
      </c>
      <c r="AS332" s="48" t="s">
        <v>1813</v>
      </c>
      <c r="AT332" s="48" t="s">
        <v>1826</v>
      </c>
      <c r="AU332" s="48" t="s">
        <v>2061</v>
      </c>
      <c r="AV332" s="48" t="s">
        <v>2825</v>
      </c>
      <c r="AW332" s="48" t="s">
        <v>2062</v>
      </c>
      <c r="AX332" s="48" t="s">
        <v>2063</v>
      </c>
      <c r="AY332" s="48" t="s">
        <v>1710</v>
      </c>
      <c r="AZ332" s="48" t="s">
        <v>5419</v>
      </c>
      <c r="BA332" s="48" t="s">
        <v>1710</v>
      </c>
      <c r="BB332" s="48" t="s">
        <v>1709</v>
      </c>
      <c r="BC332" s="48" t="s">
        <v>1710</v>
      </c>
      <c r="BD332" s="48" t="s">
        <v>2082</v>
      </c>
      <c r="BE332" s="52" t="s">
        <v>5393</v>
      </c>
      <c r="BF332" s="48" t="s">
        <v>1710</v>
      </c>
      <c r="BG332" s="48" t="s">
        <v>1814</v>
      </c>
      <c r="BH332">
        <v>11</v>
      </c>
      <c r="BI332" s="48" t="s">
        <v>1888</v>
      </c>
      <c r="BJ332">
        <v>1</v>
      </c>
      <c r="BK332">
        <v>1473.06</v>
      </c>
      <c r="BL332">
        <v>4733946</v>
      </c>
      <c r="BM332">
        <v>3214</v>
      </c>
      <c r="BN332" s="48" t="s">
        <v>2064</v>
      </c>
      <c r="BO332" s="48" t="s">
        <v>2065</v>
      </c>
      <c r="BP332">
        <v>1473.06</v>
      </c>
      <c r="BQ332">
        <v>3306.55</v>
      </c>
      <c r="BR332" s="48" t="s">
        <v>1885</v>
      </c>
      <c r="BS332" s="48" t="s">
        <v>2066</v>
      </c>
      <c r="BT332">
        <v>1</v>
      </c>
      <c r="BU332">
        <v>136800</v>
      </c>
      <c r="BV332">
        <v>136800</v>
      </c>
      <c r="BW332" s="48" t="s">
        <v>2065</v>
      </c>
      <c r="BX332">
        <v>1473.06</v>
      </c>
      <c r="BY332">
        <v>0</v>
      </c>
      <c r="BZ332">
        <v>0</v>
      </c>
      <c r="CA332" s="48" t="s">
        <v>2065</v>
      </c>
      <c r="CB332">
        <v>1473.06</v>
      </c>
      <c r="CC332">
        <v>0</v>
      </c>
      <c r="CD332">
        <v>0</v>
      </c>
      <c r="CE332" s="48" t="s">
        <v>1710</v>
      </c>
      <c r="CF332" s="48" t="s">
        <v>1710</v>
      </c>
      <c r="CG332" s="48" t="s">
        <v>1710</v>
      </c>
      <c r="CH332" s="48" t="s">
        <v>1710</v>
      </c>
      <c r="CI332" s="48" t="s">
        <v>2067</v>
      </c>
      <c r="CJ332" s="48" t="s">
        <v>1710</v>
      </c>
      <c r="CL332" s="48" t="s">
        <v>2825</v>
      </c>
      <c r="CM332" s="48" t="s">
        <v>1710</v>
      </c>
      <c r="CN332" s="48" t="s">
        <v>2068</v>
      </c>
      <c r="CO332" s="48" t="s">
        <v>2069</v>
      </c>
      <c r="CP332" s="48" t="s">
        <v>1710</v>
      </c>
      <c r="CQ332" s="48" t="s">
        <v>1710</v>
      </c>
      <c r="CR332" s="48" t="s">
        <v>1710</v>
      </c>
      <c r="CS332" s="48" t="s">
        <v>1710</v>
      </c>
      <c r="CT332" s="48" t="s">
        <v>1710</v>
      </c>
      <c r="CU332" s="48" t="s">
        <v>1712</v>
      </c>
      <c r="CV332" s="48" t="s">
        <v>1710</v>
      </c>
      <c r="CW332" s="48" t="s">
        <v>1710</v>
      </c>
      <c r="CX332" s="48" t="s">
        <v>3167</v>
      </c>
      <c r="CY332" s="48" t="s">
        <v>1710</v>
      </c>
      <c r="CZ332" s="48" t="s">
        <v>1712</v>
      </c>
      <c r="DA332" s="48" t="s">
        <v>1710</v>
      </c>
      <c r="DB332" s="48" t="s">
        <v>1878</v>
      </c>
      <c r="DC332" s="48" t="s">
        <v>2070</v>
      </c>
      <c r="DD332" s="48" t="s">
        <v>1842</v>
      </c>
      <c r="DE332" s="48" t="s">
        <v>1886</v>
      </c>
      <c r="DF332" s="48" t="s">
        <v>5420</v>
      </c>
      <c r="DG332" s="48" t="s">
        <v>2071</v>
      </c>
      <c r="DH332" s="48" t="s">
        <v>1712</v>
      </c>
      <c r="DI332" s="48" t="s">
        <v>1710</v>
      </c>
      <c r="DJ332" s="48" t="s">
        <v>1710</v>
      </c>
      <c r="DK332" s="48" t="s">
        <v>1710</v>
      </c>
      <c r="DL332" s="48" t="s">
        <v>1710</v>
      </c>
      <c r="DM332" s="48" t="s">
        <v>1710</v>
      </c>
      <c r="DN332" s="48" t="s">
        <v>1710</v>
      </c>
      <c r="DO332" s="48" t="s">
        <v>1710</v>
      </c>
      <c r="DP332" s="48" t="s">
        <v>1710</v>
      </c>
      <c r="DQ332" s="48" t="s">
        <v>1710</v>
      </c>
      <c r="DR332" s="48" t="s">
        <v>2072</v>
      </c>
      <c r="DS332" s="48" t="s">
        <v>1710</v>
      </c>
      <c r="DT332" s="48" t="s">
        <v>1710</v>
      </c>
      <c r="DU332" s="48" t="s">
        <v>2575</v>
      </c>
      <c r="DV332" s="48" t="s">
        <v>3141</v>
      </c>
      <c r="DW332" s="48" t="s">
        <v>1710</v>
      </c>
      <c r="DX332" s="48" t="s">
        <v>5421</v>
      </c>
      <c r="DY332" s="48" t="s">
        <v>1709</v>
      </c>
      <c r="DZ332" s="48" t="s">
        <v>2562</v>
      </c>
      <c r="EA332" s="48" t="s">
        <v>2546</v>
      </c>
      <c r="EB332">
        <v>0</v>
      </c>
      <c r="EC332" s="48" t="s">
        <v>2575</v>
      </c>
      <c r="ED332" s="48" t="s">
        <v>5422</v>
      </c>
      <c r="EE332" s="48" t="s">
        <v>1814</v>
      </c>
      <c r="EF332" s="48" t="s">
        <v>1872</v>
      </c>
      <c r="EG332" s="48" t="s">
        <v>5419</v>
      </c>
      <c r="EH332">
        <v>8</v>
      </c>
      <c r="EI332" s="48" t="s">
        <v>1888</v>
      </c>
      <c r="EJ332">
        <v>1</v>
      </c>
      <c r="EK332" s="48" t="s">
        <v>1887</v>
      </c>
      <c r="EL332">
        <v>1</v>
      </c>
      <c r="EM332" s="48" t="s">
        <v>1886</v>
      </c>
      <c r="EN332">
        <v>8</v>
      </c>
      <c r="EO332" s="48" t="s">
        <v>2527</v>
      </c>
      <c r="EP332" s="48" t="s">
        <v>5423</v>
      </c>
      <c r="EQ332">
        <v>3306.55</v>
      </c>
      <c r="ER332">
        <v>3306.55</v>
      </c>
      <c r="ES332">
        <v>4733946</v>
      </c>
      <c r="ET332">
        <v>3214</v>
      </c>
      <c r="EU332" s="48" t="s">
        <v>1710</v>
      </c>
      <c r="EV332" s="48" t="s">
        <v>1710</v>
      </c>
      <c r="EW332" s="48" t="s">
        <v>1712</v>
      </c>
      <c r="EX332" s="48" t="s">
        <v>1710</v>
      </c>
      <c r="EY332" s="48" t="s">
        <v>1843</v>
      </c>
      <c r="EZ332" s="48" t="s">
        <v>1710</v>
      </c>
      <c r="FA332" s="48" t="s">
        <v>1710</v>
      </c>
      <c r="FB332" s="48" t="s">
        <v>1712</v>
      </c>
      <c r="FC332" s="48" t="s">
        <v>1710</v>
      </c>
      <c r="FD332" s="48" t="s">
        <v>1710</v>
      </c>
      <c r="FE332" s="48" t="s">
        <v>1814</v>
      </c>
      <c r="FF332" s="48" t="s">
        <v>1815</v>
      </c>
      <c r="FG332" s="48" t="s">
        <v>1710</v>
      </c>
      <c r="FH332">
        <v>1</v>
      </c>
      <c r="FI332" s="48" t="s">
        <v>1846</v>
      </c>
      <c r="FJ332">
        <v>3306.55</v>
      </c>
      <c r="FK332">
        <v>3306.55</v>
      </c>
      <c r="FL332" s="48" t="s">
        <v>5424</v>
      </c>
      <c r="FM332" s="48" t="s">
        <v>5423</v>
      </c>
      <c r="FN332" s="48" t="s">
        <v>1710</v>
      </c>
      <c r="FO332" s="48" t="s">
        <v>1710</v>
      </c>
      <c r="FP332" s="48" t="s">
        <v>1710</v>
      </c>
      <c r="FQ332" s="48" t="s">
        <v>1710</v>
      </c>
      <c r="FR332" s="48" t="s">
        <v>1710</v>
      </c>
      <c r="FS332" s="48" t="s">
        <v>1710</v>
      </c>
      <c r="FT332" s="48" t="s">
        <v>1710</v>
      </c>
      <c r="FU332" s="48" t="s">
        <v>1710</v>
      </c>
      <c r="FV332" s="48"/>
      <c r="GA332" s="55"/>
      <c r="GE332" s="61"/>
      <c r="GF332" s="62"/>
      <c r="GI332" s="48"/>
    </row>
    <row r="333" spans="1:191">
      <c r="A333" s="48" t="s">
        <v>5425</v>
      </c>
      <c r="B333" s="48" t="s">
        <v>1821</v>
      </c>
      <c r="C333" s="48" t="s">
        <v>2048</v>
      </c>
      <c r="D333" s="48" t="s">
        <v>2813</v>
      </c>
      <c r="E333" s="48" t="s">
        <v>5425</v>
      </c>
      <c r="F333" s="48" t="s">
        <v>1710</v>
      </c>
      <c r="G333" s="48" t="s">
        <v>2814</v>
      </c>
      <c r="H333" s="48" t="s">
        <v>5426</v>
      </c>
      <c r="I333" s="48" t="s">
        <v>1884</v>
      </c>
      <c r="J333" s="48" t="s">
        <v>2825</v>
      </c>
      <c r="K333" s="48" t="s">
        <v>1877</v>
      </c>
      <c r="L333" s="48" t="s">
        <v>1842</v>
      </c>
      <c r="M333" s="48" t="s">
        <v>1810</v>
      </c>
      <c r="N333" s="48" t="s">
        <v>1842</v>
      </c>
      <c r="O333" s="48" t="s">
        <v>1811</v>
      </c>
      <c r="P333" s="48" t="s">
        <v>2549</v>
      </c>
      <c r="Q333" s="48" t="s">
        <v>2049</v>
      </c>
      <c r="R333" s="48" t="s">
        <v>1838</v>
      </c>
      <c r="S333" s="48" t="s">
        <v>2050</v>
      </c>
      <c r="T333" s="48" t="s">
        <v>1845</v>
      </c>
      <c r="U333" s="48" t="s">
        <v>2049</v>
      </c>
      <c r="V333" s="48" t="s">
        <v>1838</v>
      </c>
      <c r="W333" s="48" t="s">
        <v>2051</v>
      </c>
      <c r="X333" s="48" t="s">
        <v>2052</v>
      </c>
      <c r="Y333" s="48" t="s">
        <v>2050</v>
      </c>
      <c r="Z333" s="48" t="s">
        <v>2053</v>
      </c>
      <c r="AA333" s="48" t="s">
        <v>2054</v>
      </c>
      <c r="AB333" s="48" t="s">
        <v>2817</v>
      </c>
      <c r="AC333" s="48" t="s">
        <v>2055</v>
      </c>
      <c r="AD333" s="48" t="s">
        <v>2056</v>
      </c>
      <c r="AE333" s="48" t="s">
        <v>1710</v>
      </c>
      <c r="AF333" s="48" t="s">
        <v>1710</v>
      </c>
      <c r="AG333" s="48" t="s">
        <v>2057</v>
      </c>
      <c r="AH333" s="48" t="s">
        <v>1815</v>
      </c>
      <c r="AI333" s="48" t="s">
        <v>2058</v>
      </c>
      <c r="AJ333" s="48" t="s">
        <v>1710</v>
      </c>
      <c r="AK333" s="48" t="s">
        <v>2077</v>
      </c>
      <c r="AL333" s="48" t="s">
        <v>1858</v>
      </c>
      <c r="AM333" s="48" t="s">
        <v>1816</v>
      </c>
      <c r="AN333" s="48" t="s">
        <v>2054</v>
      </c>
      <c r="AO333" s="48" t="s">
        <v>1710</v>
      </c>
      <c r="AP333" s="48" t="s">
        <v>1848</v>
      </c>
      <c r="AQ333" s="48" t="s">
        <v>2060</v>
      </c>
      <c r="AR333" s="48" t="s">
        <v>1812</v>
      </c>
      <c r="AS333" s="48" t="s">
        <v>1813</v>
      </c>
      <c r="AT333" s="48" t="s">
        <v>1826</v>
      </c>
      <c r="AU333" s="48" t="s">
        <v>2061</v>
      </c>
      <c r="AV333" s="48" t="s">
        <v>2825</v>
      </c>
      <c r="AW333" s="48" t="s">
        <v>2062</v>
      </c>
      <c r="AX333" s="48" t="s">
        <v>2063</v>
      </c>
      <c r="AY333" s="48" t="s">
        <v>1710</v>
      </c>
      <c r="AZ333" s="48" t="s">
        <v>5427</v>
      </c>
      <c r="BA333" s="48" t="s">
        <v>1710</v>
      </c>
      <c r="BB333" s="48" t="s">
        <v>1709</v>
      </c>
      <c r="BC333" s="48" t="s">
        <v>1710</v>
      </c>
      <c r="BD333" s="48" t="s">
        <v>2082</v>
      </c>
      <c r="BE333" s="52" t="s">
        <v>5393</v>
      </c>
      <c r="BF333" s="48" t="s">
        <v>1710</v>
      </c>
      <c r="BG333" s="48" t="s">
        <v>1819</v>
      </c>
      <c r="BH333">
        <v>19</v>
      </c>
      <c r="BI333" s="48" t="s">
        <v>1888</v>
      </c>
      <c r="BJ333">
        <v>4</v>
      </c>
      <c r="BK333">
        <v>1473.06</v>
      </c>
      <c r="BL333">
        <v>6046184</v>
      </c>
      <c r="BM333">
        <v>4105</v>
      </c>
      <c r="BN333" s="48" t="s">
        <v>2064</v>
      </c>
      <c r="BO333" s="48" t="s">
        <v>2065</v>
      </c>
      <c r="BP333">
        <v>1473.06</v>
      </c>
      <c r="BQ333">
        <v>4293.57</v>
      </c>
      <c r="BR333" s="48" t="s">
        <v>1885</v>
      </c>
      <c r="BS333" s="48" t="s">
        <v>2066</v>
      </c>
      <c r="BT333">
        <v>1</v>
      </c>
      <c r="BU333">
        <v>278500</v>
      </c>
      <c r="BV333">
        <v>278500</v>
      </c>
      <c r="BW333" s="48" t="s">
        <v>2065</v>
      </c>
      <c r="BX333">
        <v>1473.06</v>
      </c>
      <c r="BY333">
        <v>0</v>
      </c>
      <c r="BZ333">
        <v>0</v>
      </c>
      <c r="CA333" s="48" t="s">
        <v>2065</v>
      </c>
      <c r="CB333">
        <v>1473.06</v>
      </c>
      <c r="CC333">
        <v>0</v>
      </c>
      <c r="CD333">
        <v>0</v>
      </c>
      <c r="CE333" s="48" t="s">
        <v>1710</v>
      </c>
      <c r="CF333" s="48" t="s">
        <v>1710</v>
      </c>
      <c r="CG333" s="48" t="s">
        <v>1710</v>
      </c>
      <c r="CH333" s="48" t="s">
        <v>1710</v>
      </c>
      <c r="CI333" s="48" t="s">
        <v>2067</v>
      </c>
      <c r="CJ333" s="48" t="s">
        <v>1710</v>
      </c>
      <c r="CL333" s="48" t="s">
        <v>2825</v>
      </c>
      <c r="CM333" s="48" t="s">
        <v>1710</v>
      </c>
      <c r="CN333" s="48" t="s">
        <v>2068</v>
      </c>
      <c r="CO333" s="48" t="s">
        <v>2069</v>
      </c>
      <c r="CP333" s="48" t="s">
        <v>1710</v>
      </c>
      <c r="CQ333" s="48" t="s">
        <v>1710</v>
      </c>
      <c r="CR333" s="48" t="s">
        <v>1710</v>
      </c>
      <c r="CS333" s="48" t="s">
        <v>1710</v>
      </c>
      <c r="CT333" s="48" t="s">
        <v>1710</v>
      </c>
      <c r="CU333" s="48" t="s">
        <v>1712</v>
      </c>
      <c r="CV333" s="48" t="s">
        <v>1710</v>
      </c>
      <c r="CW333" s="48" t="s">
        <v>1710</v>
      </c>
      <c r="CX333" s="48" t="s">
        <v>3167</v>
      </c>
      <c r="CY333" s="48" t="s">
        <v>1710</v>
      </c>
      <c r="CZ333" s="48" t="s">
        <v>1712</v>
      </c>
      <c r="DA333" s="48" t="s">
        <v>1710</v>
      </c>
      <c r="DB333" s="48" t="s">
        <v>1878</v>
      </c>
      <c r="DC333" s="48" t="s">
        <v>2070</v>
      </c>
      <c r="DD333" s="48" t="s">
        <v>1842</v>
      </c>
      <c r="DE333" s="48" t="s">
        <v>1886</v>
      </c>
      <c r="DF333" s="48" t="s">
        <v>5428</v>
      </c>
      <c r="DG333" s="48" t="s">
        <v>2071</v>
      </c>
      <c r="DH333" s="48" t="s">
        <v>1712</v>
      </c>
      <c r="DI333" s="48" t="s">
        <v>1710</v>
      </c>
      <c r="DJ333" s="48" t="s">
        <v>1710</v>
      </c>
      <c r="DK333" s="48" t="s">
        <v>1710</v>
      </c>
      <c r="DL333" s="48" t="s">
        <v>1710</v>
      </c>
      <c r="DM333" s="48" t="s">
        <v>1710</v>
      </c>
      <c r="DN333" s="48" t="s">
        <v>1710</v>
      </c>
      <c r="DO333" s="48" t="s">
        <v>1710</v>
      </c>
      <c r="DP333" s="48" t="s">
        <v>1710</v>
      </c>
      <c r="DQ333" s="48" t="s">
        <v>1710</v>
      </c>
      <c r="DR333" s="48" t="s">
        <v>2072</v>
      </c>
      <c r="DS333" s="48" t="s">
        <v>1710</v>
      </c>
      <c r="DT333" s="48" t="s">
        <v>1710</v>
      </c>
      <c r="DU333" s="48" t="s">
        <v>2575</v>
      </c>
      <c r="DV333" s="48" t="s">
        <v>2825</v>
      </c>
      <c r="DW333" s="48" t="s">
        <v>1710</v>
      </c>
      <c r="DX333" s="48" t="s">
        <v>5429</v>
      </c>
      <c r="DY333" s="48" t="s">
        <v>1709</v>
      </c>
      <c r="DZ333" s="48" t="s">
        <v>2562</v>
      </c>
      <c r="EA333" s="48" t="s">
        <v>2546</v>
      </c>
      <c r="EB333">
        <v>0</v>
      </c>
      <c r="EC333" s="48" t="s">
        <v>2575</v>
      </c>
      <c r="ED333" s="48" t="s">
        <v>5430</v>
      </c>
      <c r="EE333" s="48" t="s">
        <v>1814</v>
      </c>
      <c r="EF333" s="48" t="s">
        <v>1868</v>
      </c>
      <c r="EG333" s="48" t="s">
        <v>5427</v>
      </c>
      <c r="EH333">
        <v>4</v>
      </c>
      <c r="EI333" s="48" t="s">
        <v>1888</v>
      </c>
      <c r="EJ333">
        <v>1</v>
      </c>
      <c r="EK333" s="48" t="s">
        <v>1887</v>
      </c>
      <c r="EL333">
        <v>4</v>
      </c>
      <c r="EM333" s="48" t="s">
        <v>1886</v>
      </c>
      <c r="EN333">
        <v>4</v>
      </c>
      <c r="EO333" s="48" t="s">
        <v>2528</v>
      </c>
      <c r="EP333" s="48" t="s">
        <v>5431</v>
      </c>
      <c r="EQ333">
        <v>900.91</v>
      </c>
      <c r="ER333">
        <v>900.91</v>
      </c>
      <c r="ES333">
        <v>1268657</v>
      </c>
      <c r="ET333">
        <v>861</v>
      </c>
      <c r="EU333" s="48" t="s">
        <v>1710</v>
      </c>
      <c r="EV333" s="48" t="s">
        <v>1710</v>
      </c>
      <c r="EW333" s="48" t="s">
        <v>1712</v>
      </c>
      <c r="EX333" s="48" t="s">
        <v>1710</v>
      </c>
      <c r="EY333" s="48" t="s">
        <v>1853</v>
      </c>
      <c r="EZ333" s="48" t="s">
        <v>1710</v>
      </c>
      <c r="FA333" s="48" t="s">
        <v>1710</v>
      </c>
      <c r="FB333" s="48" t="s">
        <v>1712</v>
      </c>
      <c r="FC333" s="48" t="s">
        <v>1710</v>
      </c>
      <c r="FD333" s="48" t="s">
        <v>1710</v>
      </c>
      <c r="FE333" s="48" t="s">
        <v>1814</v>
      </c>
      <c r="FF333" s="48" t="s">
        <v>1815</v>
      </c>
      <c r="FG333" s="48" t="s">
        <v>1710</v>
      </c>
      <c r="FH333">
        <v>1</v>
      </c>
      <c r="FI333" s="48" t="s">
        <v>1846</v>
      </c>
      <c r="FJ333">
        <v>900.91</v>
      </c>
      <c r="FK333">
        <v>900.91</v>
      </c>
      <c r="FL333" s="48" t="s">
        <v>5432</v>
      </c>
      <c r="FM333" s="48" t="s">
        <v>5431</v>
      </c>
      <c r="FN333" s="48" t="s">
        <v>1710</v>
      </c>
      <c r="FO333" s="48" t="s">
        <v>1710</v>
      </c>
      <c r="FP333" s="48" t="s">
        <v>1710</v>
      </c>
      <c r="FQ333" s="48" t="s">
        <v>1710</v>
      </c>
      <c r="FR333" s="48" t="s">
        <v>1710</v>
      </c>
      <c r="FS333" s="48" t="s">
        <v>1710</v>
      </c>
      <c r="FT333" s="48" t="s">
        <v>1710</v>
      </c>
      <c r="FU333" s="48" t="s">
        <v>1710</v>
      </c>
      <c r="FV333" s="48"/>
      <c r="GA333" s="55"/>
      <c r="GE333" s="61"/>
      <c r="GF333" s="62"/>
      <c r="GI333" s="48"/>
    </row>
    <row r="334" spans="1:191">
      <c r="A334" s="48" t="s">
        <v>5433</v>
      </c>
      <c r="B334" s="48" t="s">
        <v>1821</v>
      </c>
      <c r="C334" s="48" t="s">
        <v>2048</v>
      </c>
      <c r="D334" s="48" t="s">
        <v>2813</v>
      </c>
      <c r="E334" s="48" t="s">
        <v>5433</v>
      </c>
      <c r="F334" s="48" t="s">
        <v>1710</v>
      </c>
      <c r="G334" s="48" t="s">
        <v>2814</v>
      </c>
      <c r="H334" s="48" t="s">
        <v>5434</v>
      </c>
      <c r="I334" s="48" t="s">
        <v>1884</v>
      </c>
      <c r="J334" s="48" t="s">
        <v>2825</v>
      </c>
      <c r="K334" s="48" t="s">
        <v>1885</v>
      </c>
      <c r="L334" s="48" t="s">
        <v>1883</v>
      </c>
      <c r="M334" s="48" t="s">
        <v>2085</v>
      </c>
      <c r="N334" s="48" t="s">
        <v>1842</v>
      </c>
      <c r="O334" s="48" t="s">
        <v>1811</v>
      </c>
      <c r="P334" s="48" t="s">
        <v>2549</v>
      </c>
      <c r="Q334" s="48" t="s">
        <v>2049</v>
      </c>
      <c r="R334" s="48" t="s">
        <v>1838</v>
      </c>
      <c r="S334" s="48" t="s">
        <v>2050</v>
      </c>
      <c r="T334" s="48" t="s">
        <v>1845</v>
      </c>
      <c r="U334" s="48" t="s">
        <v>2049</v>
      </c>
      <c r="V334" s="48" t="s">
        <v>1838</v>
      </c>
      <c r="W334" s="48" t="s">
        <v>2051</v>
      </c>
      <c r="X334" s="48" t="s">
        <v>2052</v>
      </c>
      <c r="Y334" s="48" t="s">
        <v>2050</v>
      </c>
      <c r="Z334" s="48" t="s">
        <v>2053</v>
      </c>
      <c r="AA334" s="48" t="s">
        <v>2054</v>
      </c>
      <c r="AB334" s="48" t="s">
        <v>1710</v>
      </c>
      <c r="AC334" s="48" t="s">
        <v>2055</v>
      </c>
      <c r="AD334" s="48" t="s">
        <v>2056</v>
      </c>
      <c r="AE334" s="48" t="s">
        <v>1710</v>
      </c>
      <c r="AF334" s="48" t="s">
        <v>1710</v>
      </c>
      <c r="AG334" s="48" t="s">
        <v>2057</v>
      </c>
      <c r="AH334" s="48" t="s">
        <v>1815</v>
      </c>
      <c r="AI334" s="48" t="s">
        <v>2058</v>
      </c>
      <c r="AJ334" s="48" t="s">
        <v>1710</v>
      </c>
      <c r="AK334" s="48" t="s">
        <v>2553</v>
      </c>
      <c r="AL334" s="48" t="s">
        <v>2554</v>
      </c>
      <c r="AM334" s="48" t="s">
        <v>1816</v>
      </c>
      <c r="AN334" s="48" t="s">
        <v>2054</v>
      </c>
      <c r="AO334" s="48" t="s">
        <v>1710</v>
      </c>
      <c r="AP334" s="48" t="s">
        <v>1853</v>
      </c>
      <c r="AQ334" s="48" t="s">
        <v>2086</v>
      </c>
      <c r="AR334" s="48" t="s">
        <v>1812</v>
      </c>
      <c r="AS334" s="48" t="s">
        <v>1813</v>
      </c>
      <c r="AT334" s="48" t="s">
        <v>1826</v>
      </c>
      <c r="AU334" s="48" t="s">
        <v>2061</v>
      </c>
      <c r="AV334" s="48" t="s">
        <v>2825</v>
      </c>
      <c r="AW334" s="48" t="s">
        <v>2062</v>
      </c>
      <c r="AX334" s="48" t="s">
        <v>2063</v>
      </c>
      <c r="AY334" s="48" t="s">
        <v>1710</v>
      </c>
      <c r="AZ334" s="48" t="s">
        <v>5435</v>
      </c>
      <c r="BA334" s="48" t="s">
        <v>1710</v>
      </c>
      <c r="BB334" s="48" t="s">
        <v>1709</v>
      </c>
      <c r="BC334" s="48" t="s">
        <v>1710</v>
      </c>
      <c r="BD334" s="48" t="s">
        <v>2864</v>
      </c>
      <c r="BE334" s="52" t="s">
        <v>5436</v>
      </c>
      <c r="BF334" s="48" t="s">
        <v>1710</v>
      </c>
      <c r="BG334" s="48" t="s">
        <v>1814</v>
      </c>
      <c r="BH334">
        <v>11</v>
      </c>
      <c r="BI334" s="48" t="s">
        <v>1888</v>
      </c>
      <c r="BJ334">
        <v>1</v>
      </c>
      <c r="BK334">
        <v>1473.06</v>
      </c>
      <c r="BL334">
        <v>19420635</v>
      </c>
      <c r="BM334">
        <v>13184</v>
      </c>
      <c r="BN334" s="48" t="s">
        <v>2064</v>
      </c>
      <c r="BO334" s="48" t="s">
        <v>2065</v>
      </c>
      <c r="BP334">
        <v>1473.06</v>
      </c>
      <c r="BQ334">
        <v>13234.38</v>
      </c>
      <c r="BR334" s="48" t="s">
        <v>1885</v>
      </c>
      <c r="BS334" s="48" t="s">
        <v>2066</v>
      </c>
      <c r="BT334">
        <v>1</v>
      </c>
      <c r="BU334">
        <v>74400</v>
      </c>
      <c r="BV334">
        <v>74400</v>
      </c>
      <c r="BW334" s="48" t="s">
        <v>2065</v>
      </c>
      <c r="BX334">
        <v>1473.06</v>
      </c>
      <c r="BY334">
        <v>0</v>
      </c>
      <c r="BZ334">
        <v>0</v>
      </c>
      <c r="CA334" s="48" t="s">
        <v>2065</v>
      </c>
      <c r="CB334">
        <v>1473.06</v>
      </c>
      <c r="CC334">
        <v>0</v>
      </c>
      <c r="CD334">
        <v>0</v>
      </c>
      <c r="CE334" s="48" t="s">
        <v>1710</v>
      </c>
      <c r="CF334" s="48" t="s">
        <v>1710</v>
      </c>
      <c r="CG334" s="48" t="s">
        <v>1710</v>
      </c>
      <c r="CH334" s="48" t="s">
        <v>1710</v>
      </c>
      <c r="CI334" s="48" t="s">
        <v>2067</v>
      </c>
      <c r="CJ334" s="48" t="s">
        <v>1710</v>
      </c>
      <c r="CL334" s="48" t="s">
        <v>2825</v>
      </c>
      <c r="CM334" s="48" t="s">
        <v>1710</v>
      </c>
      <c r="CN334" s="48" t="s">
        <v>2068</v>
      </c>
      <c r="CO334" s="48" t="s">
        <v>2069</v>
      </c>
      <c r="CP334" s="48" t="s">
        <v>1710</v>
      </c>
      <c r="CQ334" s="48" t="s">
        <v>1710</v>
      </c>
      <c r="CR334" s="48" t="s">
        <v>1710</v>
      </c>
      <c r="CS334" s="48" t="s">
        <v>1710</v>
      </c>
      <c r="CT334" s="48" t="s">
        <v>1710</v>
      </c>
      <c r="CU334" s="48" t="s">
        <v>1712</v>
      </c>
      <c r="CV334" s="48" t="s">
        <v>1710</v>
      </c>
      <c r="CW334" s="48" t="s">
        <v>1710</v>
      </c>
      <c r="CX334" s="48" t="s">
        <v>3167</v>
      </c>
      <c r="CY334" s="48" t="s">
        <v>1710</v>
      </c>
      <c r="CZ334" s="48" t="s">
        <v>1712</v>
      </c>
      <c r="DA334" s="48" t="s">
        <v>1710</v>
      </c>
      <c r="DB334" s="48" t="s">
        <v>1878</v>
      </c>
      <c r="DC334" s="48" t="s">
        <v>2070</v>
      </c>
      <c r="DD334" s="48" t="s">
        <v>1842</v>
      </c>
      <c r="DE334" s="48" t="s">
        <v>1886</v>
      </c>
      <c r="DF334" s="48" t="s">
        <v>5437</v>
      </c>
      <c r="DG334" s="48" t="s">
        <v>2071</v>
      </c>
      <c r="DH334" s="48" t="s">
        <v>1712</v>
      </c>
      <c r="DI334" s="48" t="s">
        <v>1710</v>
      </c>
      <c r="DJ334" s="48" t="s">
        <v>1710</v>
      </c>
      <c r="DK334" s="48" t="s">
        <v>1710</v>
      </c>
      <c r="DL334" s="48" t="s">
        <v>1710</v>
      </c>
      <c r="DM334" s="48" t="s">
        <v>1710</v>
      </c>
      <c r="DN334" s="48" t="s">
        <v>1710</v>
      </c>
      <c r="DO334" s="48" t="s">
        <v>1710</v>
      </c>
      <c r="DP334" s="48" t="s">
        <v>1710</v>
      </c>
      <c r="DQ334" s="48" t="s">
        <v>1710</v>
      </c>
      <c r="DR334" s="48" t="s">
        <v>2072</v>
      </c>
      <c r="DS334" s="48" t="s">
        <v>1710</v>
      </c>
      <c r="DT334" s="48" t="s">
        <v>1710</v>
      </c>
      <c r="DU334" s="48" t="s">
        <v>2575</v>
      </c>
      <c r="DV334" s="48" t="s">
        <v>3141</v>
      </c>
      <c r="DW334" s="48" t="s">
        <v>1710</v>
      </c>
      <c r="DX334" s="48" t="s">
        <v>5438</v>
      </c>
      <c r="DY334" s="48" t="s">
        <v>1709</v>
      </c>
      <c r="DZ334" s="48" t="s">
        <v>2073</v>
      </c>
      <c r="EA334" s="48" t="s">
        <v>2546</v>
      </c>
      <c r="EB334">
        <v>0</v>
      </c>
      <c r="EC334" s="48" t="s">
        <v>2575</v>
      </c>
      <c r="ED334" s="48" t="s">
        <v>5439</v>
      </c>
      <c r="EE334" s="48" t="s">
        <v>1814</v>
      </c>
      <c r="EF334" s="48" t="s">
        <v>1872</v>
      </c>
      <c r="EG334" s="48" t="s">
        <v>5435</v>
      </c>
      <c r="EH334">
        <v>6.25</v>
      </c>
      <c r="EI334" s="48" t="s">
        <v>1888</v>
      </c>
      <c r="EJ334">
        <v>1</v>
      </c>
      <c r="EK334" s="48" t="s">
        <v>1887</v>
      </c>
      <c r="EL334">
        <v>1</v>
      </c>
      <c r="EM334" s="48" t="s">
        <v>1886</v>
      </c>
      <c r="EN334">
        <v>6.25</v>
      </c>
      <c r="EO334" s="48" t="s">
        <v>2527</v>
      </c>
      <c r="EP334" s="48" t="s">
        <v>5440</v>
      </c>
      <c r="EQ334">
        <v>13234.38</v>
      </c>
      <c r="ER334">
        <v>13234.38</v>
      </c>
      <c r="ES334">
        <v>19420635</v>
      </c>
      <c r="ET334">
        <v>13184</v>
      </c>
      <c r="EU334" s="48" t="s">
        <v>5441</v>
      </c>
      <c r="EV334" s="48" t="s">
        <v>2607</v>
      </c>
      <c r="EW334" s="48" t="s">
        <v>1712</v>
      </c>
      <c r="EX334" s="48" t="s">
        <v>1710</v>
      </c>
      <c r="EY334" s="48" t="s">
        <v>1848</v>
      </c>
      <c r="EZ334" s="48" t="s">
        <v>1710</v>
      </c>
      <c r="FA334" s="48" t="s">
        <v>1710</v>
      </c>
      <c r="FB334" s="48" t="s">
        <v>1712</v>
      </c>
      <c r="FC334" s="48" t="s">
        <v>1710</v>
      </c>
      <c r="FD334" s="48" t="s">
        <v>1710</v>
      </c>
      <c r="FE334" s="48" t="s">
        <v>1814</v>
      </c>
      <c r="FF334" s="48" t="s">
        <v>1815</v>
      </c>
      <c r="FG334" s="48" t="s">
        <v>1710</v>
      </c>
      <c r="FH334">
        <v>1</v>
      </c>
      <c r="FI334" s="48" t="s">
        <v>1846</v>
      </c>
      <c r="FJ334">
        <v>13234.38</v>
      </c>
      <c r="FK334">
        <v>13234.38</v>
      </c>
      <c r="FL334" s="48" t="s">
        <v>5442</v>
      </c>
      <c r="FM334" s="48" t="s">
        <v>5440</v>
      </c>
      <c r="FN334" s="48" t="s">
        <v>1710</v>
      </c>
      <c r="FO334" s="48" t="s">
        <v>1710</v>
      </c>
      <c r="FP334" s="48" t="s">
        <v>1710</v>
      </c>
      <c r="FQ334" s="48" t="s">
        <v>1710</v>
      </c>
      <c r="FR334" s="48" t="s">
        <v>1710</v>
      </c>
      <c r="FS334" s="48" t="s">
        <v>1710</v>
      </c>
      <c r="FT334" s="48" t="s">
        <v>1710</v>
      </c>
      <c r="FU334" s="48" t="s">
        <v>1710</v>
      </c>
      <c r="FV334" s="48"/>
      <c r="GA334" s="55"/>
      <c r="GE334" s="61"/>
      <c r="GF334" s="62"/>
      <c r="GI334" s="48"/>
    </row>
    <row r="335" spans="1:191">
      <c r="A335" s="48" t="s">
        <v>5443</v>
      </c>
      <c r="B335" s="48" t="s">
        <v>1821</v>
      </c>
      <c r="C335" s="48" t="s">
        <v>2048</v>
      </c>
      <c r="D335" s="48" t="s">
        <v>2813</v>
      </c>
      <c r="E335" s="48" t="s">
        <v>5443</v>
      </c>
      <c r="F335" s="48" t="s">
        <v>1710</v>
      </c>
      <c r="G335" s="48" t="s">
        <v>2814</v>
      </c>
      <c r="H335" s="48" t="s">
        <v>5444</v>
      </c>
      <c r="I335" s="48" t="s">
        <v>1884</v>
      </c>
      <c r="J335" s="48" t="s">
        <v>2825</v>
      </c>
      <c r="K335" s="48" t="s">
        <v>1877</v>
      </c>
      <c r="L335" s="48" t="s">
        <v>1842</v>
      </c>
      <c r="M335" s="48" t="s">
        <v>1810</v>
      </c>
      <c r="N335" s="48" t="s">
        <v>1842</v>
      </c>
      <c r="O335" s="48" t="s">
        <v>1811</v>
      </c>
      <c r="P335" s="48" t="s">
        <v>2549</v>
      </c>
      <c r="Q335" s="48" t="s">
        <v>2049</v>
      </c>
      <c r="R335" s="48" t="s">
        <v>1838</v>
      </c>
      <c r="S335" s="48" t="s">
        <v>2050</v>
      </c>
      <c r="T335" s="48" t="s">
        <v>1845</v>
      </c>
      <c r="U335" s="48" t="s">
        <v>2049</v>
      </c>
      <c r="V335" s="48" t="s">
        <v>1838</v>
      </c>
      <c r="W335" s="48" t="s">
        <v>2051</v>
      </c>
      <c r="X335" s="48" t="s">
        <v>2052</v>
      </c>
      <c r="Y335" s="48" t="s">
        <v>2050</v>
      </c>
      <c r="Z335" s="48" t="s">
        <v>2053</v>
      </c>
      <c r="AA335" s="48" t="s">
        <v>2054</v>
      </c>
      <c r="AB335" s="48" t="s">
        <v>2817</v>
      </c>
      <c r="AC335" s="48" t="s">
        <v>2055</v>
      </c>
      <c r="AD335" s="48" t="s">
        <v>2056</v>
      </c>
      <c r="AE335" s="48" t="s">
        <v>1710</v>
      </c>
      <c r="AF335" s="48" t="s">
        <v>1710</v>
      </c>
      <c r="AG335" s="48" t="s">
        <v>2057</v>
      </c>
      <c r="AH335" s="48" t="s">
        <v>1815</v>
      </c>
      <c r="AI335" s="48" t="s">
        <v>2058</v>
      </c>
      <c r="AJ335" s="48" t="s">
        <v>1710</v>
      </c>
      <c r="AK335" s="48" t="s">
        <v>2100</v>
      </c>
      <c r="AL335" s="48" t="s">
        <v>2101</v>
      </c>
      <c r="AM335" s="48" t="s">
        <v>1816</v>
      </c>
      <c r="AN335" s="48" t="s">
        <v>2054</v>
      </c>
      <c r="AO335" s="48" t="s">
        <v>1710</v>
      </c>
      <c r="AP335" s="48" t="s">
        <v>1874</v>
      </c>
      <c r="AQ335" s="48" t="s">
        <v>2078</v>
      </c>
      <c r="AR335" s="48" t="s">
        <v>1812</v>
      </c>
      <c r="AS335" s="48" t="s">
        <v>1813</v>
      </c>
      <c r="AT335" s="48" t="s">
        <v>1826</v>
      </c>
      <c r="AU335" s="48" t="s">
        <v>2061</v>
      </c>
      <c r="AV335" s="48" t="s">
        <v>2825</v>
      </c>
      <c r="AW335" s="48" t="s">
        <v>2062</v>
      </c>
      <c r="AX335" s="48" t="s">
        <v>2063</v>
      </c>
      <c r="AY335" s="48" t="s">
        <v>1710</v>
      </c>
      <c r="AZ335" s="48" t="s">
        <v>5445</v>
      </c>
      <c r="BA335" s="48" t="s">
        <v>1710</v>
      </c>
      <c r="BB335" s="48" t="s">
        <v>1709</v>
      </c>
      <c r="BC335" s="48" t="s">
        <v>1710</v>
      </c>
      <c r="BD335" s="48" t="s">
        <v>2864</v>
      </c>
      <c r="BE335" s="52" t="s">
        <v>5436</v>
      </c>
      <c r="BF335" s="48" t="s">
        <v>1710</v>
      </c>
      <c r="BG335" s="48" t="s">
        <v>1814</v>
      </c>
      <c r="BH335">
        <v>43</v>
      </c>
      <c r="BI335" s="48" t="s">
        <v>1888</v>
      </c>
      <c r="BJ335">
        <v>2</v>
      </c>
      <c r="BK335">
        <v>1473.06</v>
      </c>
      <c r="BL335">
        <v>47133089</v>
      </c>
      <c r="BM335">
        <v>31997</v>
      </c>
      <c r="BN335" s="48" t="s">
        <v>2064</v>
      </c>
      <c r="BO335" s="48" t="s">
        <v>2065</v>
      </c>
      <c r="BP335">
        <v>1473.06</v>
      </c>
      <c r="BQ335">
        <v>32169.83</v>
      </c>
      <c r="BR335" s="48" t="s">
        <v>1885</v>
      </c>
      <c r="BS335" s="48" t="s">
        <v>2066</v>
      </c>
      <c r="BT335">
        <v>1</v>
      </c>
      <c r="BU335">
        <v>255000</v>
      </c>
      <c r="BV335">
        <v>255000</v>
      </c>
      <c r="BW335" s="48" t="s">
        <v>2065</v>
      </c>
      <c r="BX335">
        <v>1473.06</v>
      </c>
      <c r="BY335">
        <v>0</v>
      </c>
      <c r="BZ335">
        <v>0</v>
      </c>
      <c r="CA335" s="48" t="s">
        <v>2065</v>
      </c>
      <c r="CB335">
        <v>1473.06</v>
      </c>
      <c r="CC335">
        <v>0</v>
      </c>
      <c r="CD335">
        <v>0</v>
      </c>
      <c r="CE335" s="48" t="s">
        <v>1710</v>
      </c>
      <c r="CF335" s="48" t="s">
        <v>1710</v>
      </c>
      <c r="CG335" s="48" t="s">
        <v>1710</v>
      </c>
      <c r="CH335" s="48" t="s">
        <v>1710</v>
      </c>
      <c r="CI335" s="48" t="s">
        <v>2067</v>
      </c>
      <c r="CJ335" s="48" t="s">
        <v>1710</v>
      </c>
      <c r="CL335" s="48" t="s">
        <v>2825</v>
      </c>
      <c r="CM335" s="48" t="s">
        <v>1710</v>
      </c>
      <c r="CN335" s="48" t="s">
        <v>2068</v>
      </c>
      <c r="CO335" s="48" t="s">
        <v>2069</v>
      </c>
      <c r="CP335" s="48" t="s">
        <v>1710</v>
      </c>
      <c r="CQ335" s="48" t="s">
        <v>1710</v>
      </c>
      <c r="CR335" s="48" t="s">
        <v>1710</v>
      </c>
      <c r="CS335" s="48" t="s">
        <v>1710</v>
      </c>
      <c r="CT335" s="48" t="s">
        <v>1710</v>
      </c>
      <c r="CU335" s="48" t="s">
        <v>1712</v>
      </c>
      <c r="CV335" s="48" t="s">
        <v>1710</v>
      </c>
      <c r="CW335" s="48" t="s">
        <v>1710</v>
      </c>
      <c r="CX335" s="48" t="s">
        <v>3167</v>
      </c>
      <c r="CY335" s="48" t="s">
        <v>1710</v>
      </c>
      <c r="CZ335" s="48" t="s">
        <v>1712</v>
      </c>
      <c r="DA335" s="48" t="s">
        <v>1710</v>
      </c>
      <c r="DB335" s="48" t="s">
        <v>1878</v>
      </c>
      <c r="DC335" s="48" t="s">
        <v>2070</v>
      </c>
      <c r="DD335" s="48" t="s">
        <v>1842</v>
      </c>
      <c r="DE335" s="48" t="s">
        <v>1886</v>
      </c>
      <c r="DF335" s="48" t="s">
        <v>5446</v>
      </c>
      <c r="DG335" s="48" t="s">
        <v>2071</v>
      </c>
      <c r="DH335" s="48" t="s">
        <v>1712</v>
      </c>
      <c r="DI335" s="48" t="s">
        <v>1710</v>
      </c>
      <c r="DJ335" s="48" t="s">
        <v>1710</v>
      </c>
      <c r="DK335" s="48" t="s">
        <v>1710</v>
      </c>
      <c r="DL335" s="48" t="s">
        <v>1710</v>
      </c>
      <c r="DM335" s="48" t="s">
        <v>1710</v>
      </c>
      <c r="DN335" s="48" t="s">
        <v>1710</v>
      </c>
      <c r="DO335" s="48" t="s">
        <v>1710</v>
      </c>
      <c r="DP335" s="48" t="s">
        <v>1710</v>
      </c>
      <c r="DQ335" s="48" t="s">
        <v>1710</v>
      </c>
      <c r="DR335" s="48" t="s">
        <v>2072</v>
      </c>
      <c r="DS335" s="48" t="s">
        <v>1710</v>
      </c>
      <c r="DT335" s="48" t="s">
        <v>1710</v>
      </c>
      <c r="DU335" s="48" t="s">
        <v>2575</v>
      </c>
      <c r="DV335" s="48" t="s">
        <v>3141</v>
      </c>
      <c r="DW335" s="48" t="s">
        <v>1710</v>
      </c>
      <c r="DX335" s="48" t="s">
        <v>5447</v>
      </c>
      <c r="DY335" s="48" t="s">
        <v>1709</v>
      </c>
      <c r="DZ335" s="48" t="s">
        <v>2562</v>
      </c>
      <c r="EA335" s="48" t="s">
        <v>2546</v>
      </c>
      <c r="EB335">
        <v>0</v>
      </c>
      <c r="EC335" s="48" t="s">
        <v>2575</v>
      </c>
      <c r="ED335" s="48" t="s">
        <v>5448</v>
      </c>
      <c r="EE335" s="48" t="s">
        <v>1814</v>
      </c>
      <c r="EF335" s="48" t="s">
        <v>2653</v>
      </c>
      <c r="EG335" s="48" t="s">
        <v>5445</v>
      </c>
      <c r="EH335">
        <v>29</v>
      </c>
      <c r="EI335" s="48" t="s">
        <v>1888</v>
      </c>
      <c r="EJ335">
        <v>0</v>
      </c>
      <c r="EK335" s="48" t="s">
        <v>1710</v>
      </c>
      <c r="EL335">
        <v>2</v>
      </c>
      <c r="EM335" s="48" t="s">
        <v>1886</v>
      </c>
      <c r="EN335">
        <v>29</v>
      </c>
      <c r="EO335" s="48" t="s">
        <v>2655</v>
      </c>
      <c r="EP335" s="48" t="s">
        <v>3144</v>
      </c>
      <c r="EQ335">
        <v>32169.83</v>
      </c>
      <c r="ER335">
        <v>32169.83</v>
      </c>
      <c r="ES335">
        <v>47133089</v>
      </c>
      <c r="ET335">
        <v>31997</v>
      </c>
      <c r="EU335" s="48" t="s">
        <v>1710</v>
      </c>
      <c r="EV335" s="48" t="s">
        <v>1710</v>
      </c>
      <c r="EW335" s="48" t="s">
        <v>1712</v>
      </c>
      <c r="EX335" s="48" t="s">
        <v>1710</v>
      </c>
      <c r="EY335" s="48" t="s">
        <v>1873</v>
      </c>
      <c r="EZ335" s="48" t="s">
        <v>1710</v>
      </c>
      <c r="FA335" s="48" t="s">
        <v>1710</v>
      </c>
      <c r="FB335" s="48" t="s">
        <v>1712</v>
      </c>
      <c r="FC335" s="48" t="s">
        <v>1710</v>
      </c>
      <c r="FD335" s="48" t="s">
        <v>1710</v>
      </c>
      <c r="FE335" s="48" t="s">
        <v>1814</v>
      </c>
      <c r="FF335" s="48" t="s">
        <v>1815</v>
      </c>
      <c r="FG335" s="48" t="s">
        <v>1710</v>
      </c>
      <c r="FH335">
        <v>41</v>
      </c>
      <c r="FI335" s="48" t="s">
        <v>1846</v>
      </c>
      <c r="FJ335">
        <v>32169.83</v>
      </c>
      <c r="FK335">
        <v>784.63</v>
      </c>
      <c r="FL335" s="48" t="s">
        <v>3145</v>
      </c>
      <c r="FM335" s="48" t="s">
        <v>3146</v>
      </c>
      <c r="FN335" s="48" t="s">
        <v>1710</v>
      </c>
      <c r="FO335" s="48" t="s">
        <v>1710</v>
      </c>
      <c r="FP335" s="48" t="s">
        <v>1710</v>
      </c>
      <c r="FQ335" s="48" t="s">
        <v>1710</v>
      </c>
      <c r="FR335" s="48" t="s">
        <v>1710</v>
      </c>
      <c r="FS335" s="48" t="s">
        <v>1710</v>
      </c>
      <c r="FT335" s="48" t="s">
        <v>1710</v>
      </c>
      <c r="FU335" s="48" t="s">
        <v>1710</v>
      </c>
      <c r="FV335" s="48"/>
      <c r="GA335" s="55"/>
      <c r="GE335" s="61"/>
      <c r="GF335" s="62"/>
      <c r="GI335" s="48"/>
    </row>
    <row r="336" spans="1:191">
      <c r="A336" s="48" t="s">
        <v>5449</v>
      </c>
      <c r="B336" s="48" t="s">
        <v>1821</v>
      </c>
      <c r="C336" s="48" t="s">
        <v>2048</v>
      </c>
      <c r="D336" s="48" t="s">
        <v>2813</v>
      </c>
      <c r="E336" s="48" t="s">
        <v>5449</v>
      </c>
      <c r="F336" s="48" t="s">
        <v>1710</v>
      </c>
      <c r="G336" s="48" t="s">
        <v>2814</v>
      </c>
      <c r="H336" s="48" t="s">
        <v>5450</v>
      </c>
      <c r="I336" s="48" t="s">
        <v>1884</v>
      </c>
      <c r="J336" s="48" t="s">
        <v>2825</v>
      </c>
      <c r="K336" s="48" t="s">
        <v>1877</v>
      </c>
      <c r="L336" s="48" t="s">
        <v>1842</v>
      </c>
      <c r="M336" s="48" t="s">
        <v>1822</v>
      </c>
      <c r="N336" s="48" t="s">
        <v>1842</v>
      </c>
      <c r="O336" s="48" t="s">
        <v>1823</v>
      </c>
      <c r="P336" s="48" t="s">
        <v>2549</v>
      </c>
      <c r="Q336" s="48" t="s">
        <v>2049</v>
      </c>
      <c r="R336" s="48" t="s">
        <v>1838</v>
      </c>
      <c r="S336" s="48" t="s">
        <v>2050</v>
      </c>
      <c r="T336" s="48" t="s">
        <v>1845</v>
      </c>
      <c r="U336" s="48" t="s">
        <v>2049</v>
      </c>
      <c r="V336" s="48" t="s">
        <v>1838</v>
      </c>
      <c r="W336" s="48" t="s">
        <v>2051</v>
      </c>
      <c r="X336" s="48" t="s">
        <v>2052</v>
      </c>
      <c r="Y336" s="48" t="s">
        <v>2050</v>
      </c>
      <c r="Z336" s="48" t="s">
        <v>2053</v>
      </c>
      <c r="AA336" s="48" t="s">
        <v>2054</v>
      </c>
      <c r="AB336" s="48" t="s">
        <v>2817</v>
      </c>
      <c r="AC336" s="48" t="s">
        <v>2055</v>
      </c>
      <c r="AD336" s="48" t="s">
        <v>2056</v>
      </c>
      <c r="AE336" s="48" t="s">
        <v>1710</v>
      </c>
      <c r="AF336" s="48" t="s">
        <v>1710</v>
      </c>
      <c r="AG336" s="48" t="s">
        <v>2057</v>
      </c>
      <c r="AH336" s="48" t="s">
        <v>1815</v>
      </c>
      <c r="AI336" s="48" t="s">
        <v>2058</v>
      </c>
      <c r="AJ336" s="48" t="s">
        <v>1710</v>
      </c>
      <c r="AK336" s="48" t="s">
        <v>4886</v>
      </c>
      <c r="AL336" s="48" t="s">
        <v>4887</v>
      </c>
      <c r="AM336" s="48" t="s">
        <v>1816</v>
      </c>
      <c r="AN336" s="48" t="s">
        <v>2054</v>
      </c>
      <c r="AO336" s="48" t="s">
        <v>1710</v>
      </c>
      <c r="AP336" s="48" t="s">
        <v>1843</v>
      </c>
      <c r="AQ336" s="48" t="s">
        <v>2079</v>
      </c>
      <c r="AR336" s="48" t="s">
        <v>1812</v>
      </c>
      <c r="AS336" s="48" t="s">
        <v>1813</v>
      </c>
      <c r="AT336" s="48" t="s">
        <v>1826</v>
      </c>
      <c r="AU336" s="48" t="s">
        <v>2061</v>
      </c>
      <c r="AV336" s="48" t="s">
        <v>2825</v>
      </c>
      <c r="AW336" s="48" t="s">
        <v>2062</v>
      </c>
      <c r="AX336" s="48" t="s">
        <v>2063</v>
      </c>
      <c r="AY336" s="48" t="s">
        <v>1710</v>
      </c>
      <c r="AZ336" s="48" t="s">
        <v>5451</v>
      </c>
      <c r="BA336" s="48" t="s">
        <v>1710</v>
      </c>
      <c r="BB336" s="48" t="s">
        <v>1709</v>
      </c>
      <c r="BC336" s="48" t="s">
        <v>1710</v>
      </c>
      <c r="BD336" s="48" t="s">
        <v>2094</v>
      </c>
      <c r="BE336" s="52" t="s">
        <v>5452</v>
      </c>
      <c r="BF336" s="48" t="s">
        <v>1710</v>
      </c>
      <c r="BG336" s="48" t="s">
        <v>1814</v>
      </c>
      <c r="BH336">
        <v>4</v>
      </c>
      <c r="BI336" s="48" t="s">
        <v>1888</v>
      </c>
      <c r="BJ336">
        <v>1</v>
      </c>
      <c r="BK336">
        <v>1473.06</v>
      </c>
      <c r="BL336">
        <v>2048783</v>
      </c>
      <c r="BM336">
        <v>1391</v>
      </c>
      <c r="BN336" s="48" t="s">
        <v>2064</v>
      </c>
      <c r="BO336" s="48" t="s">
        <v>2065</v>
      </c>
      <c r="BP336">
        <v>1473.06</v>
      </c>
      <c r="BQ336">
        <v>1423.42</v>
      </c>
      <c r="BR336" s="48" t="s">
        <v>1885</v>
      </c>
      <c r="BS336" s="48" t="s">
        <v>2066</v>
      </c>
      <c r="BT336">
        <v>1</v>
      </c>
      <c r="BU336">
        <v>48000</v>
      </c>
      <c r="BV336">
        <v>48000</v>
      </c>
      <c r="BW336" s="48" t="s">
        <v>2065</v>
      </c>
      <c r="BX336">
        <v>1473.06</v>
      </c>
      <c r="BY336">
        <v>0</v>
      </c>
      <c r="BZ336">
        <v>0</v>
      </c>
      <c r="CA336" s="48" t="s">
        <v>2065</v>
      </c>
      <c r="CB336">
        <v>1473.06</v>
      </c>
      <c r="CC336">
        <v>0</v>
      </c>
      <c r="CD336">
        <v>0</v>
      </c>
      <c r="CE336" s="48" t="s">
        <v>1710</v>
      </c>
      <c r="CF336" s="48" t="s">
        <v>1710</v>
      </c>
      <c r="CG336" s="48" t="s">
        <v>1710</v>
      </c>
      <c r="CH336" s="48" t="s">
        <v>1710</v>
      </c>
      <c r="CI336" s="48" t="s">
        <v>2067</v>
      </c>
      <c r="CJ336" s="48" t="s">
        <v>1710</v>
      </c>
      <c r="CL336" s="48" t="s">
        <v>2825</v>
      </c>
      <c r="CM336" s="48" t="s">
        <v>1710</v>
      </c>
      <c r="CN336" s="48" t="s">
        <v>2068</v>
      </c>
      <c r="CO336" s="48" t="s">
        <v>2069</v>
      </c>
      <c r="CP336" s="48" t="s">
        <v>1710</v>
      </c>
      <c r="CQ336" s="48" t="s">
        <v>1710</v>
      </c>
      <c r="CR336" s="48" t="s">
        <v>1710</v>
      </c>
      <c r="CS336" s="48" t="s">
        <v>1710</v>
      </c>
      <c r="CT336" s="48" t="s">
        <v>1710</v>
      </c>
      <c r="CU336" s="48" t="s">
        <v>1712</v>
      </c>
      <c r="CV336" s="48" t="s">
        <v>1710</v>
      </c>
      <c r="CW336" s="48" t="s">
        <v>1710</v>
      </c>
      <c r="CX336" s="48" t="s">
        <v>3167</v>
      </c>
      <c r="CY336" s="48" t="s">
        <v>1710</v>
      </c>
      <c r="CZ336" s="48" t="s">
        <v>1885</v>
      </c>
      <c r="DA336" s="48" t="s">
        <v>1710</v>
      </c>
      <c r="DB336" s="48" t="s">
        <v>1878</v>
      </c>
      <c r="DC336" s="48" t="s">
        <v>2070</v>
      </c>
      <c r="DD336" s="48" t="s">
        <v>1842</v>
      </c>
      <c r="DE336" s="48" t="s">
        <v>1886</v>
      </c>
      <c r="DF336" s="48" t="s">
        <v>5453</v>
      </c>
      <c r="DG336" s="48" t="s">
        <v>2071</v>
      </c>
      <c r="DH336" s="48" t="s">
        <v>1712</v>
      </c>
      <c r="DI336" s="48" t="s">
        <v>1710</v>
      </c>
      <c r="DJ336" s="48" t="s">
        <v>1710</v>
      </c>
      <c r="DK336" s="48" t="s">
        <v>1710</v>
      </c>
      <c r="DL336" s="48" t="s">
        <v>1710</v>
      </c>
      <c r="DM336" s="48" t="s">
        <v>1710</v>
      </c>
      <c r="DN336" s="48" t="s">
        <v>1710</v>
      </c>
      <c r="DO336" s="48" t="s">
        <v>1710</v>
      </c>
      <c r="DP336" s="48" t="s">
        <v>1710</v>
      </c>
      <c r="DQ336" s="48" t="s">
        <v>1710</v>
      </c>
      <c r="DR336" s="48" t="s">
        <v>2072</v>
      </c>
      <c r="DS336" s="48" t="s">
        <v>1710</v>
      </c>
      <c r="DT336" s="48" t="s">
        <v>1710</v>
      </c>
      <c r="DU336" s="48" t="s">
        <v>2575</v>
      </c>
      <c r="DV336" s="48" t="s">
        <v>2825</v>
      </c>
      <c r="DW336" s="48" t="s">
        <v>1710</v>
      </c>
      <c r="DX336" s="48" t="s">
        <v>5454</v>
      </c>
      <c r="DY336" s="48" t="s">
        <v>1709</v>
      </c>
      <c r="DZ336" s="48" t="s">
        <v>2562</v>
      </c>
      <c r="EA336" s="48" t="s">
        <v>2546</v>
      </c>
      <c r="EB336">
        <v>0</v>
      </c>
      <c r="EC336" s="48" t="s">
        <v>2575</v>
      </c>
      <c r="ED336" s="48" t="s">
        <v>5455</v>
      </c>
      <c r="EE336" s="48" t="s">
        <v>1814</v>
      </c>
      <c r="EF336" s="48" t="s">
        <v>1852</v>
      </c>
      <c r="EG336" s="48" t="s">
        <v>5451</v>
      </c>
      <c r="EH336">
        <v>1.08</v>
      </c>
      <c r="EI336" s="48" t="s">
        <v>1888</v>
      </c>
      <c r="EJ336">
        <v>0</v>
      </c>
      <c r="EK336" s="48" t="s">
        <v>1710</v>
      </c>
      <c r="EL336">
        <v>1</v>
      </c>
      <c r="EM336" s="48" t="s">
        <v>1886</v>
      </c>
      <c r="EN336">
        <v>1.08</v>
      </c>
      <c r="EO336" s="48" t="s">
        <v>2525</v>
      </c>
      <c r="EP336" s="48" t="s">
        <v>4893</v>
      </c>
      <c r="EQ336">
        <v>1423.42</v>
      </c>
      <c r="ER336">
        <v>1423.42</v>
      </c>
      <c r="ES336">
        <v>2048783</v>
      </c>
      <c r="ET336">
        <v>1391</v>
      </c>
      <c r="EU336" s="48" t="s">
        <v>1710</v>
      </c>
      <c r="EV336" s="48" t="s">
        <v>1710</v>
      </c>
      <c r="EW336" s="48" t="s">
        <v>1712</v>
      </c>
      <c r="EX336" s="48" t="s">
        <v>1710</v>
      </c>
      <c r="EY336" s="48" t="s">
        <v>1843</v>
      </c>
      <c r="EZ336" s="48" t="s">
        <v>1710</v>
      </c>
      <c r="FA336" s="48" t="s">
        <v>1710</v>
      </c>
      <c r="FB336" s="48" t="s">
        <v>1712</v>
      </c>
      <c r="FC336" s="48" t="s">
        <v>1710</v>
      </c>
      <c r="FD336" s="48" t="s">
        <v>1710</v>
      </c>
      <c r="FE336" s="48" t="s">
        <v>1814</v>
      </c>
      <c r="FF336" s="48" t="s">
        <v>1815</v>
      </c>
      <c r="FG336" s="48" t="s">
        <v>1710</v>
      </c>
      <c r="FH336">
        <v>1</v>
      </c>
      <c r="FI336" s="48" t="s">
        <v>1846</v>
      </c>
      <c r="FJ336">
        <v>1423.42</v>
      </c>
      <c r="FK336">
        <v>1423.42</v>
      </c>
      <c r="FL336" s="48" t="s">
        <v>4894</v>
      </c>
      <c r="FM336" s="48" t="s">
        <v>4893</v>
      </c>
      <c r="FN336" s="48" t="s">
        <v>1710</v>
      </c>
      <c r="FO336" s="48" t="s">
        <v>1710</v>
      </c>
      <c r="FP336" s="48" t="s">
        <v>1710</v>
      </c>
      <c r="FQ336" s="48" t="s">
        <v>1710</v>
      </c>
      <c r="FR336" s="48" t="s">
        <v>1710</v>
      </c>
      <c r="FS336" s="48" t="s">
        <v>1710</v>
      </c>
      <c r="FT336" s="48" t="s">
        <v>5456</v>
      </c>
      <c r="FU336" s="48" t="s">
        <v>1710</v>
      </c>
      <c r="FV336" s="48"/>
      <c r="GA336" s="55"/>
      <c r="GE336" s="61"/>
      <c r="GF336" s="62"/>
      <c r="GI336" s="48"/>
    </row>
    <row r="337" spans="1:191">
      <c r="A337" s="48" t="s">
        <v>5457</v>
      </c>
      <c r="B337" s="48" t="s">
        <v>1821</v>
      </c>
      <c r="C337" s="48" t="s">
        <v>2048</v>
      </c>
      <c r="D337" s="48" t="s">
        <v>2813</v>
      </c>
      <c r="E337" s="48" t="s">
        <v>5457</v>
      </c>
      <c r="F337" s="48" t="s">
        <v>1710</v>
      </c>
      <c r="G337" s="48" t="s">
        <v>2814</v>
      </c>
      <c r="H337" s="48" t="s">
        <v>5458</v>
      </c>
      <c r="I337" s="48" t="s">
        <v>1884</v>
      </c>
      <c r="J337" s="48" t="s">
        <v>2825</v>
      </c>
      <c r="K337" s="48" t="s">
        <v>1877</v>
      </c>
      <c r="L337" s="48" t="s">
        <v>1842</v>
      </c>
      <c r="M337" s="48" t="s">
        <v>1824</v>
      </c>
      <c r="N337" s="48" t="s">
        <v>1842</v>
      </c>
      <c r="O337" s="48" t="s">
        <v>1823</v>
      </c>
      <c r="P337" s="48" t="s">
        <v>2549</v>
      </c>
      <c r="Q337" s="48" t="s">
        <v>2049</v>
      </c>
      <c r="R337" s="48" t="s">
        <v>1838</v>
      </c>
      <c r="S337" s="48" t="s">
        <v>2050</v>
      </c>
      <c r="T337" s="48" t="s">
        <v>1845</v>
      </c>
      <c r="U337" s="48" t="s">
        <v>2049</v>
      </c>
      <c r="V337" s="48" t="s">
        <v>1838</v>
      </c>
      <c r="W337" s="48" t="s">
        <v>2051</v>
      </c>
      <c r="X337" s="48" t="s">
        <v>2052</v>
      </c>
      <c r="Y337" s="48" t="s">
        <v>2050</v>
      </c>
      <c r="Z337" s="48" t="s">
        <v>2053</v>
      </c>
      <c r="AA337" s="48" t="s">
        <v>2054</v>
      </c>
      <c r="AB337" s="48" t="s">
        <v>2817</v>
      </c>
      <c r="AC337" s="48" t="s">
        <v>2055</v>
      </c>
      <c r="AD337" s="48" t="s">
        <v>2056</v>
      </c>
      <c r="AE337" s="48" t="s">
        <v>1710</v>
      </c>
      <c r="AF337" s="48" t="s">
        <v>1710</v>
      </c>
      <c r="AG337" s="48" t="s">
        <v>2057</v>
      </c>
      <c r="AH337" s="48" t="s">
        <v>1815</v>
      </c>
      <c r="AI337" s="48" t="s">
        <v>2058</v>
      </c>
      <c r="AJ337" s="48" t="s">
        <v>1710</v>
      </c>
      <c r="AK337" s="48" t="s">
        <v>5459</v>
      </c>
      <c r="AL337" s="48" t="s">
        <v>5460</v>
      </c>
      <c r="AM337" s="48" t="s">
        <v>1816</v>
      </c>
      <c r="AN337" s="48" t="s">
        <v>2054</v>
      </c>
      <c r="AO337" s="48" t="s">
        <v>1710</v>
      </c>
      <c r="AP337" s="48" t="s">
        <v>5461</v>
      </c>
      <c r="AQ337" s="48" t="s">
        <v>5462</v>
      </c>
      <c r="AR337" s="48" t="s">
        <v>1812</v>
      </c>
      <c r="AS337" s="48" t="s">
        <v>1813</v>
      </c>
      <c r="AT337" s="48" t="s">
        <v>1826</v>
      </c>
      <c r="AU337" s="48" t="s">
        <v>2061</v>
      </c>
      <c r="AV337" s="48" t="s">
        <v>2825</v>
      </c>
      <c r="AW337" s="48" t="s">
        <v>2062</v>
      </c>
      <c r="AX337" s="48" t="s">
        <v>2063</v>
      </c>
      <c r="AY337" s="48" t="s">
        <v>1710</v>
      </c>
      <c r="AZ337" s="48" t="s">
        <v>5463</v>
      </c>
      <c r="BA337" s="48" t="s">
        <v>1710</v>
      </c>
      <c r="BB337" s="48" t="s">
        <v>1709</v>
      </c>
      <c r="BC337" s="48" t="s">
        <v>1710</v>
      </c>
      <c r="BD337" s="48" t="s">
        <v>2683</v>
      </c>
      <c r="BE337" s="52" t="s">
        <v>5464</v>
      </c>
      <c r="BF337" s="48" t="s">
        <v>1710</v>
      </c>
      <c r="BG337" s="48" t="s">
        <v>1814</v>
      </c>
      <c r="BH337">
        <v>12</v>
      </c>
      <c r="BI337" s="48" t="s">
        <v>1888</v>
      </c>
      <c r="BJ337">
        <v>1</v>
      </c>
      <c r="BK337">
        <v>1473.06</v>
      </c>
      <c r="BL337">
        <v>224231</v>
      </c>
      <c r="BM337">
        <v>152</v>
      </c>
      <c r="BN337" s="48" t="s">
        <v>2064</v>
      </c>
      <c r="BO337" s="48" t="s">
        <v>2065</v>
      </c>
      <c r="BP337">
        <v>1473.06</v>
      </c>
      <c r="BQ337">
        <v>260.16000000000003</v>
      </c>
      <c r="BR337" s="48" t="s">
        <v>1885</v>
      </c>
      <c r="BS337" s="48" t="s">
        <v>2066</v>
      </c>
      <c r="BT337">
        <v>1</v>
      </c>
      <c r="BU337">
        <v>159000</v>
      </c>
      <c r="BV337">
        <v>159000</v>
      </c>
      <c r="BW337" s="48" t="s">
        <v>2065</v>
      </c>
      <c r="BX337">
        <v>1473.06</v>
      </c>
      <c r="BY337">
        <v>0</v>
      </c>
      <c r="BZ337">
        <v>0</v>
      </c>
      <c r="CA337" s="48" t="s">
        <v>2065</v>
      </c>
      <c r="CB337">
        <v>1473.06</v>
      </c>
      <c r="CC337">
        <v>0</v>
      </c>
      <c r="CD337">
        <v>0</v>
      </c>
      <c r="CE337" s="48" t="s">
        <v>1710</v>
      </c>
      <c r="CF337" s="48" t="s">
        <v>1710</v>
      </c>
      <c r="CG337" s="48" t="s">
        <v>1710</v>
      </c>
      <c r="CH337" s="48" t="s">
        <v>1710</v>
      </c>
      <c r="CI337" s="48" t="s">
        <v>2067</v>
      </c>
      <c r="CJ337" s="48" t="s">
        <v>1710</v>
      </c>
      <c r="CL337" s="48" t="s">
        <v>2825</v>
      </c>
      <c r="CM337" s="48" t="s">
        <v>1710</v>
      </c>
      <c r="CN337" s="48" t="s">
        <v>2068</v>
      </c>
      <c r="CO337" s="48" t="s">
        <v>2069</v>
      </c>
      <c r="CP337" s="48" t="s">
        <v>1710</v>
      </c>
      <c r="CQ337" s="48" t="s">
        <v>1710</v>
      </c>
      <c r="CR337" s="48" t="s">
        <v>1710</v>
      </c>
      <c r="CS337" s="48" t="s">
        <v>1710</v>
      </c>
      <c r="CT337" s="48" t="s">
        <v>1710</v>
      </c>
      <c r="CU337" s="48" t="s">
        <v>1712</v>
      </c>
      <c r="CV337" s="48" t="s">
        <v>1710</v>
      </c>
      <c r="CW337" s="48" t="s">
        <v>1710</v>
      </c>
      <c r="CX337" s="48" t="s">
        <v>3167</v>
      </c>
      <c r="CY337" s="48" t="s">
        <v>1710</v>
      </c>
      <c r="CZ337" s="48" t="s">
        <v>1712</v>
      </c>
      <c r="DA337" s="48" t="s">
        <v>1710</v>
      </c>
      <c r="DB337" s="48" t="s">
        <v>1878</v>
      </c>
      <c r="DC337" s="48" t="s">
        <v>2070</v>
      </c>
      <c r="DD337" s="48" t="s">
        <v>1842</v>
      </c>
      <c r="DE337" s="48" t="s">
        <v>1886</v>
      </c>
      <c r="DF337" s="48" t="s">
        <v>5465</v>
      </c>
      <c r="DG337" s="48" t="s">
        <v>2071</v>
      </c>
      <c r="DH337" s="48" t="s">
        <v>1712</v>
      </c>
      <c r="DI337" s="48" t="s">
        <v>1710</v>
      </c>
      <c r="DJ337" s="48" t="s">
        <v>1710</v>
      </c>
      <c r="DK337" s="48" t="s">
        <v>1710</v>
      </c>
      <c r="DL337" s="48" t="s">
        <v>1710</v>
      </c>
      <c r="DM337" s="48" t="s">
        <v>1710</v>
      </c>
      <c r="DN337" s="48" t="s">
        <v>1710</v>
      </c>
      <c r="DO337" s="48" t="s">
        <v>1710</v>
      </c>
      <c r="DP337" s="48" t="s">
        <v>1710</v>
      </c>
      <c r="DQ337" s="48" t="s">
        <v>1710</v>
      </c>
      <c r="DR337" s="48" t="s">
        <v>2072</v>
      </c>
      <c r="DS337" s="48" t="s">
        <v>1710</v>
      </c>
      <c r="DT337" s="48" t="s">
        <v>1710</v>
      </c>
      <c r="DU337" s="48" t="s">
        <v>2575</v>
      </c>
      <c r="DV337" s="48" t="s">
        <v>3141</v>
      </c>
      <c r="DW337" s="48" t="s">
        <v>1710</v>
      </c>
      <c r="DX337" s="48" t="s">
        <v>5466</v>
      </c>
      <c r="DY337" s="48" t="s">
        <v>1709</v>
      </c>
      <c r="DZ337" s="48" t="s">
        <v>2562</v>
      </c>
      <c r="EA337" s="48" t="s">
        <v>2546</v>
      </c>
      <c r="EB337">
        <v>0</v>
      </c>
      <c r="EC337" s="48" t="s">
        <v>2575</v>
      </c>
      <c r="ED337" s="48" t="s">
        <v>5467</v>
      </c>
      <c r="EE337" s="48" t="s">
        <v>1814</v>
      </c>
      <c r="EF337" s="48" t="s">
        <v>5468</v>
      </c>
      <c r="EG337" s="48" t="s">
        <v>5463</v>
      </c>
      <c r="EH337">
        <v>1.2</v>
      </c>
      <c r="EI337" s="48" t="s">
        <v>1888</v>
      </c>
      <c r="EJ337">
        <v>6</v>
      </c>
      <c r="EK337" s="48" t="s">
        <v>1887</v>
      </c>
      <c r="EL337">
        <v>1</v>
      </c>
      <c r="EM337" s="48" t="s">
        <v>1886</v>
      </c>
      <c r="EN337">
        <v>1.2</v>
      </c>
      <c r="EO337" s="48" t="s">
        <v>5469</v>
      </c>
      <c r="EP337" s="48" t="s">
        <v>5470</v>
      </c>
      <c r="EQ337">
        <v>260.16000000000003</v>
      </c>
      <c r="ER337">
        <v>260.16000000000003</v>
      </c>
      <c r="ES337">
        <v>224231</v>
      </c>
      <c r="ET337">
        <v>152</v>
      </c>
      <c r="EU337" s="48" t="s">
        <v>1710</v>
      </c>
      <c r="EV337" s="48" t="s">
        <v>1710</v>
      </c>
      <c r="EW337" s="48" t="s">
        <v>1712</v>
      </c>
      <c r="EX337" s="48" t="s">
        <v>1710</v>
      </c>
      <c r="EY337" s="48" t="s">
        <v>1873</v>
      </c>
      <c r="EZ337" s="48" t="s">
        <v>1710</v>
      </c>
      <c r="FA337" s="48" t="s">
        <v>1710</v>
      </c>
      <c r="FB337" s="48" t="s">
        <v>1712</v>
      </c>
      <c r="FC337" s="48" t="s">
        <v>1710</v>
      </c>
      <c r="FD337" s="48" t="s">
        <v>1710</v>
      </c>
      <c r="FE337" s="48" t="s">
        <v>1814</v>
      </c>
      <c r="FF337" s="48" t="s">
        <v>1815</v>
      </c>
      <c r="FG337" s="48" t="s">
        <v>1710</v>
      </c>
      <c r="FH337">
        <v>6</v>
      </c>
      <c r="FI337" s="48" t="s">
        <v>1846</v>
      </c>
      <c r="FJ337">
        <v>260.16000000000003</v>
      </c>
      <c r="FK337">
        <v>43.36</v>
      </c>
      <c r="FL337" s="48" t="s">
        <v>5471</v>
      </c>
      <c r="FM337" s="48" t="s">
        <v>5472</v>
      </c>
      <c r="FN337" s="48" t="s">
        <v>1710</v>
      </c>
      <c r="FO337" s="48" t="s">
        <v>1710</v>
      </c>
      <c r="FP337" s="48" t="s">
        <v>1710</v>
      </c>
      <c r="FQ337" s="48" t="s">
        <v>1710</v>
      </c>
      <c r="FR337" s="48" t="s">
        <v>1710</v>
      </c>
      <c r="FS337" s="48" t="s">
        <v>1710</v>
      </c>
      <c r="FT337" s="48" t="s">
        <v>1710</v>
      </c>
      <c r="FU337" s="48" t="s">
        <v>1710</v>
      </c>
      <c r="FV337" s="48"/>
      <c r="GA337" s="55"/>
      <c r="GE337" s="61"/>
      <c r="GF337" s="62"/>
      <c r="GI337" s="63"/>
    </row>
    <row r="338" spans="1:191">
      <c r="A338" s="48" t="s">
        <v>5473</v>
      </c>
      <c r="B338" s="48" t="s">
        <v>1821</v>
      </c>
      <c r="C338" s="48" t="s">
        <v>2048</v>
      </c>
      <c r="D338" s="48" t="s">
        <v>2813</v>
      </c>
      <c r="E338" s="48" t="s">
        <v>5473</v>
      </c>
      <c r="F338" s="48" t="s">
        <v>1710</v>
      </c>
      <c r="G338" s="48" t="s">
        <v>2814</v>
      </c>
      <c r="H338" s="48" t="s">
        <v>5474</v>
      </c>
      <c r="I338" s="48" t="s">
        <v>1884</v>
      </c>
      <c r="J338" s="48" t="s">
        <v>2825</v>
      </c>
      <c r="K338" s="48" t="s">
        <v>1885</v>
      </c>
      <c r="L338" s="48" t="s">
        <v>1883</v>
      </c>
      <c r="M338" s="48" t="s">
        <v>2085</v>
      </c>
      <c r="N338" s="48" t="s">
        <v>1842</v>
      </c>
      <c r="O338" s="48" t="s">
        <v>1811</v>
      </c>
      <c r="P338" s="48" t="s">
        <v>2549</v>
      </c>
      <c r="Q338" s="48" t="s">
        <v>2049</v>
      </c>
      <c r="R338" s="48" t="s">
        <v>1838</v>
      </c>
      <c r="S338" s="48" t="s">
        <v>2050</v>
      </c>
      <c r="T338" s="48" t="s">
        <v>1845</v>
      </c>
      <c r="U338" s="48" t="s">
        <v>2049</v>
      </c>
      <c r="V338" s="48" t="s">
        <v>1838</v>
      </c>
      <c r="W338" s="48" t="s">
        <v>2051</v>
      </c>
      <c r="X338" s="48" t="s">
        <v>2052</v>
      </c>
      <c r="Y338" s="48" t="s">
        <v>2050</v>
      </c>
      <c r="Z338" s="48" t="s">
        <v>2053</v>
      </c>
      <c r="AA338" s="48" t="s">
        <v>2054</v>
      </c>
      <c r="AB338" s="48" t="s">
        <v>1710</v>
      </c>
      <c r="AC338" s="48" t="s">
        <v>2055</v>
      </c>
      <c r="AD338" s="48" t="s">
        <v>2056</v>
      </c>
      <c r="AE338" s="48" t="s">
        <v>1710</v>
      </c>
      <c r="AF338" s="48" t="s">
        <v>1710</v>
      </c>
      <c r="AG338" s="48" t="s">
        <v>2057</v>
      </c>
      <c r="AH338" s="48" t="s">
        <v>1815</v>
      </c>
      <c r="AI338" s="48" t="s">
        <v>2058</v>
      </c>
      <c r="AJ338" s="48" t="s">
        <v>1710</v>
      </c>
      <c r="AK338" s="48" t="s">
        <v>2560</v>
      </c>
      <c r="AL338" s="48" t="s">
        <v>2561</v>
      </c>
      <c r="AM338" s="48" t="s">
        <v>1816</v>
      </c>
      <c r="AN338" s="48" t="s">
        <v>2054</v>
      </c>
      <c r="AO338" s="48" t="s">
        <v>1710</v>
      </c>
      <c r="AP338" s="48" t="s">
        <v>1855</v>
      </c>
      <c r="AQ338" s="48" t="s">
        <v>2076</v>
      </c>
      <c r="AR338" s="48" t="s">
        <v>1812</v>
      </c>
      <c r="AS338" s="48" t="s">
        <v>1813</v>
      </c>
      <c r="AT338" s="48" t="s">
        <v>1826</v>
      </c>
      <c r="AU338" s="48" t="s">
        <v>2061</v>
      </c>
      <c r="AV338" s="48" t="s">
        <v>2825</v>
      </c>
      <c r="AW338" s="48" t="s">
        <v>2062</v>
      </c>
      <c r="AX338" s="48" t="s">
        <v>2063</v>
      </c>
      <c r="AY338" s="48" t="s">
        <v>1710</v>
      </c>
      <c r="AZ338" s="48" t="s">
        <v>5475</v>
      </c>
      <c r="BA338" s="48" t="s">
        <v>1710</v>
      </c>
      <c r="BB338" s="48" t="s">
        <v>1709</v>
      </c>
      <c r="BC338" s="48" t="s">
        <v>1710</v>
      </c>
      <c r="BD338" s="48" t="s">
        <v>2864</v>
      </c>
      <c r="BE338" s="52" t="s">
        <v>5476</v>
      </c>
      <c r="BF338" s="48" t="s">
        <v>1710</v>
      </c>
      <c r="BG338" s="48" t="s">
        <v>1814</v>
      </c>
      <c r="BH338">
        <v>7</v>
      </c>
      <c r="BI338" s="48" t="s">
        <v>1888</v>
      </c>
      <c r="BJ338">
        <v>1</v>
      </c>
      <c r="BK338">
        <v>1473.06</v>
      </c>
      <c r="BL338">
        <v>7801224</v>
      </c>
      <c r="BM338">
        <v>5296</v>
      </c>
      <c r="BN338" s="48" t="s">
        <v>2064</v>
      </c>
      <c r="BO338" s="48" t="s">
        <v>2065</v>
      </c>
      <c r="BP338">
        <v>1473.06</v>
      </c>
      <c r="BQ338">
        <v>5326.48</v>
      </c>
      <c r="BR338" s="48" t="s">
        <v>1885</v>
      </c>
      <c r="BS338" s="48" t="s">
        <v>2066</v>
      </c>
      <c r="BT338">
        <v>1</v>
      </c>
      <c r="BU338">
        <v>45000</v>
      </c>
      <c r="BV338">
        <v>45000</v>
      </c>
      <c r="BW338" s="48" t="s">
        <v>2065</v>
      </c>
      <c r="BX338">
        <v>1473.06</v>
      </c>
      <c r="BY338">
        <v>0</v>
      </c>
      <c r="BZ338">
        <v>0</v>
      </c>
      <c r="CA338" s="48" t="s">
        <v>2065</v>
      </c>
      <c r="CB338">
        <v>1473.06</v>
      </c>
      <c r="CC338">
        <v>0</v>
      </c>
      <c r="CD338">
        <v>0</v>
      </c>
      <c r="CE338" s="48" t="s">
        <v>1710</v>
      </c>
      <c r="CF338" s="48" t="s">
        <v>1710</v>
      </c>
      <c r="CG338" s="48" t="s">
        <v>1710</v>
      </c>
      <c r="CH338" s="48" t="s">
        <v>1710</v>
      </c>
      <c r="CI338" s="48" t="s">
        <v>2067</v>
      </c>
      <c r="CJ338" s="48" t="s">
        <v>1710</v>
      </c>
      <c r="CL338" s="48" t="s">
        <v>2825</v>
      </c>
      <c r="CM338" s="48" t="s">
        <v>1710</v>
      </c>
      <c r="CN338" s="48" t="s">
        <v>2068</v>
      </c>
      <c r="CO338" s="48" t="s">
        <v>2069</v>
      </c>
      <c r="CP338" s="48" t="s">
        <v>1710</v>
      </c>
      <c r="CQ338" s="48" t="s">
        <v>1710</v>
      </c>
      <c r="CR338" s="48" t="s">
        <v>1710</v>
      </c>
      <c r="CS338" s="48" t="s">
        <v>1710</v>
      </c>
      <c r="CT338" s="48" t="s">
        <v>1710</v>
      </c>
      <c r="CU338" s="48" t="s">
        <v>1712</v>
      </c>
      <c r="CV338" s="48" t="s">
        <v>1710</v>
      </c>
      <c r="CW338" s="48" t="s">
        <v>1710</v>
      </c>
      <c r="CX338" s="48" t="s">
        <v>3167</v>
      </c>
      <c r="CY338" s="48" t="s">
        <v>1710</v>
      </c>
      <c r="CZ338" s="48" t="s">
        <v>1712</v>
      </c>
      <c r="DA338" s="48" t="s">
        <v>1710</v>
      </c>
      <c r="DB338" s="48" t="s">
        <v>1878</v>
      </c>
      <c r="DC338" s="48" t="s">
        <v>2070</v>
      </c>
      <c r="DD338" s="48" t="s">
        <v>1842</v>
      </c>
      <c r="DE338" s="48" t="s">
        <v>1886</v>
      </c>
      <c r="DF338" s="48" t="s">
        <v>5477</v>
      </c>
      <c r="DG338" s="48" t="s">
        <v>2071</v>
      </c>
      <c r="DH338" s="48" t="s">
        <v>1712</v>
      </c>
      <c r="DI338" s="48" t="s">
        <v>1710</v>
      </c>
      <c r="DJ338" s="48" t="s">
        <v>1710</v>
      </c>
      <c r="DK338" s="48" t="s">
        <v>1710</v>
      </c>
      <c r="DL338" s="48" t="s">
        <v>1710</v>
      </c>
      <c r="DM338" s="48" t="s">
        <v>1710</v>
      </c>
      <c r="DN338" s="48" t="s">
        <v>1710</v>
      </c>
      <c r="DO338" s="48" t="s">
        <v>1710</v>
      </c>
      <c r="DP338" s="48" t="s">
        <v>1710</v>
      </c>
      <c r="DQ338" s="48" t="s">
        <v>1710</v>
      </c>
      <c r="DR338" s="48" t="s">
        <v>2072</v>
      </c>
      <c r="DS338" s="48" t="s">
        <v>1710</v>
      </c>
      <c r="DT338" s="48" t="s">
        <v>1710</v>
      </c>
      <c r="DU338" s="48" t="s">
        <v>2575</v>
      </c>
      <c r="DV338" s="48" t="s">
        <v>3141</v>
      </c>
      <c r="DW338" s="48" t="s">
        <v>1710</v>
      </c>
      <c r="DX338" s="48" t="s">
        <v>5478</v>
      </c>
      <c r="DY338" s="48" t="s">
        <v>1709</v>
      </c>
      <c r="DZ338" s="48" t="s">
        <v>2073</v>
      </c>
      <c r="EA338" s="48" t="s">
        <v>2546</v>
      </c>
      <c r="EB338">
        <v>0</v>
      </c>
      <c r="EC338" s="48" t="s">
        <v>2575</v>
      </c>
      <c r="ED338" s="48" t="s">
        <v>5479</v>
      </c>
      <c r="EE338" s="48" t="s">
        <v>1814</v>
      </c>
      <c r="EF338" s="48" t="s">
        <v>1876</v>
      </c>
      <c r="EG338" s="48" t="s">
        <v>5475</v>
      </c>
      <c r="EH338">
        <v>3.6</v>
      </c>
      <c r="EI338" s="48" t="s">
        <v>1888</v>
      </c>
      <c r="EJ338">
        <v>0</v>
      </c>
      <c r="EK338" s="48" t="s">
        <v>1710</v>
      </c>
      <c r="EL338">
        <v>1</v>
      </c>
      <c r="EM338" s="48" t="s">
        <v>1886</v>
      </c>
      <c r="EN338">
        <v>3.6</v>
      </c>
      <c r="EO338" s="48" t="s">
        <v>2722</v>
      </c>
      <c r="EP338" s="48" t="s">
        <v>5480</v>
      </c>
      <c r="EQ338">
        <v>5326.48</v>
      </c>
      <c r="ER338">
        <v>5326.48</v>
      </c>
      <c r="ES338">
        <v>7801224</v>
      </c>
      <c r="ET338">
        <v>5296</v>
      </c>
      <c r="EU338" s="48" t="s">
        <v>5481</v>
      </c>
      <c r="EV338" s="48" t="s">
        <v>1814</v>
      </c>
      <c r="EW338" s="48" t="s">
        <v>1712</v>
      </c>
      <c r="EX338" s="48" t="s">
        <v>1710</v>
      </c>
      <c r="EY338" s="48" t="s">
        <v>1851</v>
      </c>
      <c r="EZ338" s="48" t="s">
        <v>1710</v>
      </c>
      <c r="FA338" s="48" t="s">
        <v>1710</v>
      </c>
      <c r="FB338" s="48" t="s">
        <v>1712</v>
      </c>
      <c r="FC338" s="48" t="s">
        <v>1710</v>
      </c>
      <c r="FD338" s="48" t="s">
        <v>1710</v>
      </c>
      <c r="FE338" s="48" t="s">
        <v>1814</v>
      </c>
      <c r="FF338" s="48" t="s">
        <v>1815</v>
      </c>
      <c r="FG338" s="48" t="s">
        <v>1710</v>
      </c>
      <c r="FH338">
        <v>1</v>
      </c>
      <c r="FI338" s="48" t="s">
        <v>1846</v>
      </c>
      <c r="FJ338">
        <v>5326.48</v>
      </c>
      <c r="FK338">
        <v>5326.48</v>
      </c>
      <c r="FL338" s="48" t="s">
        <v>5482</v>
      </c>
      <c r="FM338" s="48" t="s">
        <v>5480</v>
      </c>
      <c r="FN338" s="48" t="s">
        <v>1710</v>
      </c>
      <c r="FO338" s="48" t="s">
        <v>1710</v>
      </c>
      <c r="FP338" s="48" t="s">
        <v>1710</v>
      </c>
      <c r="FQ338" s="48" t="s">
        <v>1710</v>
      </c>
      <c r="FR338" s="48" t="s">
        <v>1710</v>
      </c>
      <c r="FS338" s="48" t="s">
        <v>1710</v>
      </c>
      <c r="FT338" s="48" t="s">
        <v>1710</v>
      </c>
      <c r="FU338" s="48" t="s">
        <v>1710</v>
      </c>
      <c r="FV338" s="48"/>
      <c r="GA338" s="55"/>
      <c r="GE338" s="61"/>
      <c r="GF338" s="62"/>
      <c r="GI338" s="48"/>
    </row>
    <row r="339" spans="1:191">
      <c r="A339" s="48" t="s">
        <v>5483</v>
      </c>
      <c r="B339" s="48" t="s">
        <v>1821</v>
      </c>
      <c r="C339" s="48" t="s">
        <v>2048</v>
      </c>
      <c r="D339" s="48" t="s">
        <v>2813</v>
      </c>
      <c r="E339" s="48" t="s">
        <v>5483</v>
      </c>
      <c r="F339" s="48" t="s">
        <v>1710</v>
      </c>
      <c r="G339" s="48" t="s">
        <v>2814</v>
      </c>
      <c r="H339" s="48" t="s">
        <v>5484</v>
      </c>
      <c r="I339" s="48" t="s">
        <v>1884</v>
      </c>
      <c r="J339" s="48" t="s">
        <v>2825</v>
      </c>
      <c r="K339" s="48" t="s">
        <v>1877</v>
      </c>
      <c r="L339" s="48" t="s">
        <v>1842</v>
      </c>
      <c r="M339" s="48" t="s">
        <v>1810</v>
      </c>
      <c r="N339" s="48" t="s">
        <v>1842</v>
      </c>
      <c r="O339" s="48" t="s">
        <v>1811</v>
      </c>
      <c r="P339" s="48" t="s">
        <v>2549</v>
      </c>
      <c r="Q339" s="48" t="s">
        <v>2049</v>
      </c>
      <c r="R339" s="48" t="s">
        <v>1838</v>
      </c>
      <c r="S339" s="48" t="s">
        <v>2050</v>
      </c>
      <c r="T339" s="48" t="s">
        <v>1845</v>
      </c>
      <c r="U339" s="48" t="s">
        <v>2049</v>
      </c>
      <c r="V339" s="48" t="s">
        <v>1838</v>
      </c>
      <c r="W339" s="48" t="s">
        <v>2051</v>
      </c>
      <c r="X339" s="48" t="s">
        <v>2052</v>
      </c>
      <c r="Y339" s="48" t="s">
        <v>2050</v>
      </c>
      <c r="Z339" s="48" t="s">
        <v>2053</v>
      </c>
      <c r="AA339" s="48" t="s">
        <v>2054</v>
      </c>
      <c r="AB339" s="48" t="s">
        <v>1710</v>
      </c>
      <c r="AC339" s="48" t="s">
        <v>2055</v>
      </c>
      <c r="AD339" s="48" t="s">
        <v>2056</v>
      </c>
      <c r="AE339" s="48" t="s">
        <v>1710</v>
      </c>
      <c r="AF339" s="48" t="s">
        <v>1710</v>
      </c>
      <c r="AG339" s="48" t="s">
        <v>2057</v>
      </c>
      <c r="AH339" s="48" t="s">
        <v>1815</v>
      </c>
      <c r="AI339" s="48" t="s">
        <v>2058</v>
      </c>
      <c r="AJ339" s="48" t="s">
        <v>1710</v>
      </c>
      <c r="AK339" s="48" t="s">
        <v>2102</v>
      </c>
      <c r="AL339" s="48" t="s">
        <v>1858</v>
      </c>
      <c r="AM339" s="48" t="s">
        <v>1816</v>
      </c>
      <c r="AN339" s="48" t="s">
        <v>2054</v>
      </c>
      <c r="AO339" s="48" t="s">
        <v>1710</v>
      </c>
      <c r="AP339" s="48" t="s">
        <v>1848</v>
      </c>
      <c r="AQ339" s="48" t="s">
        <v>2060</v>
      </c>
      <c r="AR339" s="48" t="s">
        <v>1812</v>
      </c>
      <c r="AS339" s="48" t="s">
        <v>1813</v>
      </c>
      <c r="AT339" s="48" t="s">
        <v>1826</v>
      </c>
      <c r="AU339" s="48" t="s">
        <v>2061</v>
      </c>
      <c r="AV339" s="48" t="s">
        <v>2825</v>
      </c>
      <c r="AW339" s="48" t="s">
        <v>2062</v>
      </c>
      <c r="AX339" s="48" t="s">
        <v>2063</v>
      </c>
      <c r="AY339" s="48" t="s">
        <v>1710</v>
      </c>
      <c r="AZ339" s="48" t="s">
        <v>5485</v>
      </c>
      <c r="BA339" s="48" t="s">
        <v>1710</v>
      </c>
      <c r="BB339" s="48" t="s">
        <v>1709</v>
      </c>
      <c r="BC339" s="48" t="s">
        <v>1710</v>
      </c>
      <c r="BD339" s="48" t="s">
        <v>2864</v>
      </c>
      <c r="BE339" s="52" t="s">
        <v>5476</v>
      </c>
      <c r="BF339" s="48" t="s">
        <v>1710</v>
      </c>
      <c r="BG339" s="48" t="s">
        <v>1814</v>
      </c>
      <c r="BH339">
        <v>19</v>
      </c>
      <c r="BI339" s="48" t="s">
        <v>1888</v>
      </c>
      <c r="BJ339">
        <v>3</v>
      </c>
      <c r="BK339">
        <v>1473.06</v>
      </c>
      <c r="BL339">
        <v>2701353</v>
      </c>
      <c r="BM339">
        <v>1834</v>
      </c>
      <c r="BN339" s="48" t="s">
        <v>2064</v>
      </c>
      <c r="BO339" s="48" t="s">
        <v>2065</v>
      </c>
      <c r="BP339">
        <v>1473.06</v>
      </c>
      <c r="BQ339">
        <v>2022.9</v>
      </c>
      <c r="BR339" s="48" t="s">
        <v>1885</v>
      </c>
      <c r="BS339" s="48" t="s">
        <v>2066</v>
      </c>
      <c r="BT339">
        <v>1</v>
      </c>
      <c r="BU339">
        <v>278500</v>
      </c>
      <c r="BV339">
        <v>278500</v>
      </c>
      <c r="BW339" s="48" t="s">
        <v>2065</v>
      </c>
      <c r="BX339">
        <v>1473.06</v>
      </c>
      <c r="BY339">
        <v>0</v>
      </c>
      <c r="BZ339">
        <v>0</v>
      </c>
      <c r="CA339" s="48" t="s">
        <v>2065</v>
      </c>
      <c r="CB339">
        <v>1473.06</v>
      </c>
      <c r="CC339">
        <v>0</v>
      </c>
      <c r="CD339">
        <v>0</v>
      </c>
      <c r="CE339" s="48" t="s">
        <v>1710</v>
      </c>
      <c r="CF339" s="48" t="s">
        <v>1710</v>
      </c>
      <c r="CG339" s="48" t="s">
        <v>1710</v>
      </c>
      <c r="CH339" s="48" t="s">
        <v>1710</v>
      </c>
      <c r="CI339" s="48" t="s">
        <v>2067</v>
      </c>
      <c r="CJ339" s="48" t="s">
        <v>1710</v>
      </c>
      <c r="CL339" s="48" t="s">
        <v>2825</v>
      </c>
      <c r="CM339" s="48" t="s">
        <v>1710</v>
      </c>
      <c r="CN339" s="48" t="s">
        <v>2068</v>
      </c>
      <c r="CO339" s="48" t="s">
        <v>2069</v>
      </c>
      <c r="CP339" s="48" t="s">
        <v>1710</v>
      </c>
      <c r="CQ339" s="48" t="s">
        <v>1710</v>
      </c>
      <c r="CR339" s="48" t="s">
        <v>1710</v>
      </c>
      <c r="CS339" s="48" t="s">
        <v>1710</v>
      </c>
      <c r="CT339" s="48" t="s">
        <v>1710</v>
      </c>
      <c r="CU339" s="48" t="s">
        <v>1712</v>
      </c>
      <c r="CV339" s="48" t="s">
        <v>1710</v>
      </c>
      <c r="CW339" s="48" t="s">
        <v>1710</v>
      </c>
      <c r="CX339" s="48" t="s">
        <v>3167</v>
      </c>
      <c r="CY339" s="48" t="s">
        <v>1710</v>
      </c>
      <c r="CZ339" s="48" t="s">
        <v>1712</v>
      </c>
      <c r="DA339" s="48" t="s">
        <v>1710</v>
      </c>
      <c r="DB339" s="48" t="s">
        <v>1878</v>
      </c>
      <c r="DC339" s="48" t="s">
        <v>2070</v>
      </c>
      <c r="DD339" s="48" t="s">
        <v>1842</v>
      </c>
      <c r="DE339" s="48" t="s">
        <v>1886</v>
      </c>
      <c r="DF339" s="48" t="s">
        <v>5486</v>
      </c>
      <c r="DG339" s="48" t="s">
        <v>2071</v>
      </c>
      <c r="DH339" s="48" t="s">
        <v>1712</v>
      </c>
      <c r="DI339" s="48" t="s">
        <v>1710</v>
      </c>
      <c r="DJ339" s="48" t="s">
        <v>1710</v>
      </c>
      <c r="DK339" s="48" t="s">
        <v>1710</v>
      </c>
      <c r="DL339" s="48" t="s">
        <v>1710</v>
      </c>
      <c r="DM339" s="48" t="s">
        <v>1710</v>
      </c>
      <c r="DN339" s="48" t="s">
        <v>1710</v>
      </c>
      <c r="DO339" s="48" t="s">
        <v>1710</v>
      </c>
      <c r="DP339" s="48" t="s">
        <v>1710</v>
      </c>
      <c r="DQ339" s="48" t="s">
        <v>1710</v>
      </c>
      <c r="DR339" s="48" t="s">
        <v>2072</v>
      </c>
      <c r="DS339" s="48" t="s">
        <v>1710</v>
      </c>
      <c r="DT339" s="48" t="s">
        <v>1710</v>
      </c>
      <c r="DU339" s="48" t="s">
        <v>2575</v>
      </c>
      <c r="DV339" s="48" t="s">
        <v>3141</v>
      </c>
      <c r="DW339" s="48" t="s">
        <v>1710</v>
      </c>
      <c r="DX339" s="48" t="s">
        <v>5487</v>
      </c>
      <c r="DY339" s="48" t="s">
        <v>1709</v>
      </c>
      <c r="DZ339" s="48" t="s">
        <v>2562</v>
      </c>
      <c r="EA339" s="48" t="s">
        <v>2546</v>
      </c>
      <c r="EB339">
        <v>0</v>
      </c>
      <c r="EC339" s="48" t="s">
        <v>2575</v>
      </c>
      <c r="ED339" s="48" t="s">
        <v>4417</v>
      </c>
      <c r="EE339" s="48" t="s">
        <v>1814</v>
      </c>
      <c r="EF339" s="48" t="s">
        <v>1852</v>
      </c>
      <c r="EG339" s="48" t="s">
        <v>5485</v>
      </c>
      <c r="EH339">
        <v>0.23</v>
      </c>
      <c r="EI339" s="48" t="s">
        <v>1888</v>
      </c>
      <c r="EJ339">
        <v>0</v>
      </c>
      <c r="EK339" s="48" t="s">
        <v>1710</v>
      </c>
      <c r="EL339">
        <v>3</v>
      </c>
      <c r="EM339" s="48" t="s">
        <v>1886</v>
      </c>
      <c r="EN339">
        <v>0.23</v>
      </c>
      <c r="EO339" s="48" t="s">
        <v>2521</v>
      </c>
      <c r="EP339" s="48" t="s">
        <v>5488</v>
      </c>
      <c r="EQ339">
        <v>2022.9</v>
      </c>
      <c r="ER339">
        <v>2022.9</v>
      </c>
      <c r="ES339">
        <v>2701353</v>
      </c>
      <c r="ET339">
        <v>1834</v>
      </c>
      <c r="EU339" s="48" t="s">
        <v>1710</v>
      </c>
      <c r="EV339" s="48" t="s">
        <v>1710</v>
      </c>
      <c r="EW339" s="48" t="s">
        <v>1712</v>
      </c>
      <c r="EX339" s="48" t="s">
        <v>1710</v>
      </c>
      <c r="EY339" s="48" t="s">
        <v>1848</v>
      </c>
      <c r="EZ339" s="48" t="s">
        <v>1710</v>
      </c>
      <c r="FA339" s="48" t="s">
        <v>1710</v>
      </c>
      <c r="FB339" s="48" t="s">
        <v>1712</v>
      </c>
      <c r="FC339" s="48" t="s">
        <v>1710</v>
      </c>
      <c r="FD339" s="48" t="s">
        <v>1710</v>
      </c>
      <c r="FE339" s="48" t="s">
        <v>1814</v>
      </c>
      <c r="FF339" s="48" t="s">
        <v>1815</v>
      </c>
      <c r="FG339" s="48" t="s">
        <v>1710</v>
      </c>
      <c r="FH339">
        <v>1</v>
      </c>
      <c r="FI339" s="48" t="s">
        <v>1846</v>
      </c>
      <c r="FJ339">
        <v>2022.9</v>
      </c>
      <c r="FK339">
        <v>2022.9</v>
      </c>
      <c r="FL339" s="48" t="s">
        <v>5489</v>
      </c>
      <c r="FM339" s="48" t="s">
        <v>5488</v>
      </c>
      <c r="FN339" s="48" t="s">
        <v>1710</v>
      </c>
      <c r="FO339" s="48" t="s">
        <v>1710</v>
      </c>
      <c r="FP339" s="48" t="s">
        <v>1710</v>
      </c>
      <c r="FQ339" s="48" t="s">
        <v>1710</v>
      </c>
      <c r="FR339" s="48" t="s">
        <v>1710</v>
      </c>
      <c r="FS339" s="48" t="s">
        <v>1710</v>
      </c>
      <c r="FT339" s="48" t="s">
        <v>1710</v>
      </c>
      <c r="FU339" s="48" t="s">
        <v>1710</v>
      </c>
      <c r="FV339" s="48"/>
      <c r="GA339" s="55"/>
      <c r="GE339" s="61"/>
      <c r="GF339" s="62"/>
      <c r="GI339" s="48"/>
    </row>
    <row r="340" spans="1:191">
      <c r="A340" s="48" t="s">
        <v>5490</v>
      </c>
      <c r="B340" s="48" t="s">
        <v>1821</v>
      </c>
      <c r="C340" s="48" t="s">
        <v>2048</v>
      </c>
      <c r="D340" s="48" t="s">
        <v>2813</v>
      </c>
      <c r="E340" s="48" t="s">
        <v>5490</v>
      </c>
      <c r="F340" s="48" t="s">
        <v>1710</v>
      </c>
      <c r="G340" s="48" t="s">
        <v>2814</v>
      </c>
      <c r="H340" s="48" t="s">
        <v>5491</v>
      </c>
      <c r="I340" s="48" t="s">
        <v>1884</v>
      </c>
      <c r="J340" s="48" t="s">
        <v>2825</v>
      </c>
      <c r="K340" s="48" t="s">
        <v>1885</v>
      </c>
      <c r="L340" s="48" t="s">
        <v>1883</v>
      </c>
      <c r="M340" s="48" t="s">
        <v>2085</v>
      </c>
      <c r="N340" s="48" t="s">
        <v>1842</v>
      </c>
      <c r="O340" s="48" t="s">
        <v>1811</v>
      </c>
      <c r="P340" s="48" t="s">
        <v>2549</v>
      </c>
      <c r="Q340" s="48" t="s">
        <v>2049</v>
      </c>
      <c r="R340" s="48" t="s">
        <v>1838</v>
      </c>
      <c r="S340" s="48" t="s">
        <v>2050</v>
      </c>
      <c r="T340" s="48" t="s">
        <v>1845</v>
      </c>
      <c r="U340" s="48" t="s">
        <v>2049</v>
      </c>
      <c r="V340" s="48" t="s">
        <v>1838</v>
      </c>
      <c r="W340" s="48" t="s">
        <v>2051</v>
      </c>
      <c r="X340" s="48" t="s">
        <v>2052</v>
      </c>
      <c r="Y340" s="48" t="s">
        <v>2050</v>
      </c>
      <c r="Z340" s="48" t="s">
        <v>2053</v>
      </c>
      <c r="AA340" s="48" t="s">
        <v>2054</v>
      </c>
      <c r="AB340" s="48" t="s">
        <v>1710</v>
      </c>
      <c r="AC340" s="48" t="s">
        <v>2055</v>
      </c>
      <c r="AD340" s="48" t="s">
        <v>2056</v>
      </c>
      <c r="AE340" s="48" t="s">
        <v>1710</v>
      </c>
      <c r="AF340" s="48" t="s">
        <v>1710</v>
      </c>
      <c r="AG340" s="48" t="s">
        <v>2057</v>
      </c>
      <c r="AH340" s="48" t="s">
        <v>1815</v>
      </c>
      <c r="AI340" s="48" t="s">
        <v>2058</v>
      </c>
      <c r="AJ340" s="48" t="s">
        <v>1710</v>
      </c>
      <c r="AK340" s="48" t="s">
        <v>2102</v>
      </c>
      <c r="AL340" s="48" t="s">
        <v>1858</v>
      </c>
      <c r="AM340" s="48" t="s">
        <v>1816</v>
      </c>
      <c r="AN340" s="48" t="s">
        <v>2054</v>
      </c>
      <c r="AO340" s="48" t="s">
        <v>1710</v>
      </c>
      <c r="AP340" s="48" t="s">
        <v>1848</v>
      </c>
      <c r="AQ340" s="48" t="s">
        <v>2060</v>
      </c>
      <c r="AR340" s="48" t="s">
        <v>1812</v>
      </c>
      <c r="AS340" s="48" t="s">
        <v>1813</v>
      </c>
      <c r="AT340" s="48" t="s">
        <v>1826</v>
      </c>
      <c r="AU340" s="48" t="s">
        <v>2061</v>
      </c>
      <c r="AV340" s="48" t="s">
        <v>2825</v>
      </c>
      <c r="AW340" s="48" t="s">
        <v>2062</v>
      </c>
      <c r="AX340" s="48" t="s">
        <v>2063</v>
      </c>
      <c r="AY340" s="48" t="s">
        <v>1710</v>
      </c>
      <c r="AZ340" s="48" t="s">
        <v>5485</v>
      </c>
      <c r="BA340" s="48" t="s">
        <v>1710</v>
      </c>
      <c r="BB340" s="48" t="s">
        <v>1709</v>
      </c>
      <c r="BC340" s="48" t="s">
        <v>1710</v>
      </c>
      <c r="BD340" s="48" t="s">
        <v>2864</v>
      </c>
      <c r="BE340" s="52" t="s">
        <v>5476</v>
      </c>
      <c r="BF340" s="48" t="s">
        <v>1710</v>
      </c>
      <c r="BG340" s="48" t="s">
        <v>1817</v>
      </c>
      <c r="BH340">
        <v>71</v>
      </c>
      <c r="BI340" s="48" t="s">
        <v>1888</v>
      </c>
      <c r="BJ340">
        <v>3</v>
      </c>
      <c r="BK340">
        <v>1473.06</v>
      </c>
      <c r="BL340">
        <v>71590772</v>
      </c>
      <c r="BM340">
        <v>48600</v>
      </c>
      <c r="BN340" s="48" t="s">
        <v>2064</v>
      </c>
      <c r="BO340" s="48" t="s">
        <v>2065</v>
      </c>
      <c r="BP340">
        <v>1473.06</v>
      </c>
      <c r="BQ340">
        <v>49266</v>
      </c>
      <c r="BR340" s="48" t="s">
        <v>1885</v>
      </c>
      <c r="BS340" s="48" t="s">
        <v>2066</v>
      </c>
      <c r="BT340">
        <v>1</v>
      </c>
      <c r="BU340">
        <v>981000</v>
      </c>
      <c r="BV340">
        <v>981000</v>
      </c>
      <c r="BW340" s="48" t="s">
        <v>2065</v>
      </c>
      <c r="BX340">
        <v>1473.06</v>
      </c>
      <c r="BY340">
        <v>0</v>
      </c>
      <c r="BZ340">
        <v>0</v>
      </c>
      <c r="CA340" s="48" t="s">
        <v>2065</v>
      </c>
      <c r="CB340">
        <v>1473.06</v>
      </c>
      <c r="CC340">
        <v>0</v>
      </c>
      <c r="CD340">
        <v>0</v>
      </c>
      <c r="CE340" s="48" t="s">
        <v>1710</v>
      </c>
      <c r="CF340" s="48" t="s">
        <v>1710</v>
      </c>
      <c r="CG340" s="48" t="s">
        <v>1710</v>
      </c>
      <c r="CH340" s="48" t="s">
        <v>1710</v>
      </c>
      <c r="CI340" s="48" t="s">
        <v>2067</v>
      </c>
      <c r="CJ340" s="48" t="s">
        <v>1710</v>
      </c>
      <c r="CL340" s="48" t="s">
        <v>2825</v>
      </c>
      <c r="CM340" s="48" t="s">
        <v>1710</v>
      </c>
      <c r="CN340" s="48" t="s">
        <v>2068</v>
      </c>
      <c r="CO340" s="48" t="s">
        <v>2069</v>
      </c>
      <c r="CP340" s="48" t="s">
        <v>1710</v>
      </c>
      <c r="CQ340" s="48" t="s">
        <v>1710</v>
      </c>
      <c r="CR340" s="48" t="s">
        <v>1710</v>
      </c>
      <c r="CS340" s="48" t="s">
        <v>1710</v>
      </c>
      <c r="CT340" s="48" t="s">
        <v>1710</v>
      </c>
      <c r="CU340" s="48" t="s">
        <v>1712</v>
      </c>
      <c r="CV340" s="48" t="s">
        <v>1710</v>
      </c>
      <c r="CW340" s="48" t="s">
        <v>1710</v>
      </c>
      <c r="CX340" s="48" t="s">
        <v>3167</v>
      </c>
      <c r="CY340" s="48" t="s">
        <v>1710</v>
      </c>
      <c r="CZ340" s="48" t="s">
        <v>1712</v>
      </c>
      <c r="DA340" s="48" t="s">
        <v>1710</v>
      </c>
      <c r="DB340" s="48" t="s">
        <v>1878</v>
      </c>
      <c r="DC340" s="48" t="s">
        <v>2070</v>
      </c>
      <c r="DD340" s="48" t="s">
        <v>1842</v>
      </c>
      <c r="DE340" s="48" t="s">
        <v>1886</v>
      </c>
      <c r="DF340" s="48" t="s">
        <v>5492</v>
      </c>
      <c r="DG340" s="48" t="s">
        <v>2071</v>
      </c>
      <c r="DH340" s="48" t="s">
        <v>1712</v>
      </c>
      <c r="DI340" s="48" t="s">
        <v>1710</v>
      </c>
      <c r="DJ340" s="48" t="s">
        <v>1710</v>
      </c>
      <c r="DK340" s="48" t="s">
        <v>1710</v>
      </c>
      <c r="DL340" s="48" t="s">
        <v>1710</v>
      </c>
      <c r="DM340" s="48" t="s">
        <v>1710</v>
      </c>
      <c r="DN340" s="48" t="s">
        <v>1710</v>
      </c>
      <c r="DO340" s="48" t="s">
        <v>1710</v>
      </c>
      <c r="DP340" s="48" t="s">
        <v>1710</v>
      </c>
      <c r="DQ340" s="48" t="s">
        <v>1710</v>
      </c>
      <c r="DR340" s="48" t="s">
        <v>2072</v>
      </c>
      <c r="DS340" s="48" t="s">
        <v>1710</v>
      </c>
      <c r="DT340" s="48" t="s">
        <v>1710</v>
      </c>
      <c r="DU340" s="48" t="s">
        <v>2575</v>
      </c>
      <c r="DV340" s="48" t="s">
        <v>3141</v>
      </c>
      <c r="DW340" s="48" t="s">
        <v>1710</v>
      </c>
      <c r="DX340" s="48" t="s">
        <v>5487</v>
      </c>
      <c r="DY340" s="48" t="s">
        <v>1709</v>
      </c>
      <c r="DZ340" s="48" t="s">
        <v>2073</v>
      </c>
      <c r="EA340" s="48" t="s">
        <v>2546</v>
      </c>
      <c r="EB340">
        <v>0</v>
      </c>
      <c r="EC340" s="48" t="s">
        <v>2575</v>
      </c>
      <c r="ED340" s="48" t="s">
        <v>5493</v>
      </c>
      <c r="EE340" s="48" t="s">
        <v>1814</v>
      </c>
      <c r="EF340" s="48" t="s">
        <v>1849</v>
      </c>
      <c r="EG340" s="48" t="s">
        <v>5485</v>
      </c>
      <c r="EH340">
        <v>35</v>
      </c>
      <c r="EI340" s="48" t="s">
        <v>1888</v>
      </c>
      <c r="EJ340">
        <v>1</v>
      </c>
      <c r="EK340" s="48" t="s">
        <v>1887</v>
      </c>
      <c r="EL340">
        <v>3</v>
      </c>
      <c r="EM340" s="48" t="s">
        <v>1886</v>
      </c>
      <c r="EN340">
        <v>35</v>
      </c>
      <c r="EO340" s="48" t="s">
        <v>2526</v>
      </c>
      <c r="EP340" s="48" t="s">
        <v>5494</v>
      </c>
      <c r="EQ340">
        <v>24633</v>
      </c>
      <c r="ER340">
        <v>24633</v>
      </c>
      <c r="ES340">
        <v>35795386</v>
      </c>
      <c r="ET340">
        <v>24300</v>
      </c>
      <c r="EU340" s="48" t="s">
        <v>5495</v>
      </c>
      <c r="EV340" s="48" t="s">
        <v>2657</v>
      </c>
      <c r="EW340" s="48" t="s">
        <v>1712</v>
      </c>
      <c r="EX340" s="48" t="s">
        <v>1710</v>
      </c>
      <c r="EY340" s="48" t="s">
        <v>1843</v>
      </c>
      <c r="EZ340" s="48" t="s">
        <v>1710</v>
      </c>
      <c r="FA340" s="48" t="s">
        <v>1710</v>
      </c>
      <c r="FB340" s="48" t="s">
        <v>1712</v>
      </c>
      <c r="FC340" s="48" t="s">
        <v>1710</v>
      </c>
      <c r="FD340" s="48" t="s">
        <v>1710</v>
      </c>
      <c r="FE340" s="48" t="s">
        <v>1814</v>
      </c>
      <c r="FF340" s="48" t="s">
        <v>1815</v>
      </c>
      <c r="FG340" s="48" t="s">
        <v>1710</v>
      </c>
      <c r="FH340">
        <v>1</v>
      </c>
      <c r="FI340" s="48" t="s">
        <v>1846</v>
      </c>
      <c r="FJ340">
        <v>24633</v>
      </c>
      <c r="FK340">
        <v>24633</v>
      </c>
      <c r="FL340" s="48" t="s">
        <v>5496</v>
      </c>
      <c r="FM340" s="48" t="s">
        <v>5497</v>
      </c>
      <c r="FN340" s="48" t="s">
        <v>5498</v>
      </c>
      <c r="FO340" s="48" t="s">
        <v>1710</v>
      </c>
      <c r="FP340" s="48" t="s">
        <v>1710</v>
      </c>
      <c r="FQ340" s="48" t="s">
        <v>1710</v>
      </c>
      <c r="FR340" s="48" t="s">
        <v>1710</v>
      </c>
      <c r="FS340" s="48" t="s">
        <v>1710</v>
      </c>
      <c r="FT340" s="48" t="s">
        <v>1710</v>
      </c>
      <c r="FU340" s="48" t="s">
        <v>1710</v>
      </c>
      <c r="FV340" s="48"/>
      <c r="GA340" s="55"/>
      <c r="GE340" s="61"/>
      <c r="GF340" s="62"/>
      <c r="GI340" s="48"/>
    </row>
    <row r="341" spans="1:191">
      <c r="A341" s="48" t="s">
        <v>5499</v>
      </c>
      <c r="B341" s="48" t="s">
        <v>1821</v>
      </c>
      <c r="C341" s="48" t="s">
        <v>2048</v>
      </c>
      <c r="D341" s="48" t="s">
        <v>2813</v>
      </c>
      <c r="E341" s="48" t="s">
        <v>5499</v>
      </c>
      <c r="F341" s="48" t="s">
        <v>1710</v>
      </c>
      <c r="G341" s="48" t="s">
        <v>2814</v>
      </c>
      <c r="H341" s="48" t="s">
        <v>5500</v>
      </c>
      <c r="I341" s="48" t="s">
        <v>1884</v>
      </c>
      <c r="J341" s="48" t="s">
        <v>2825</v>
      </c>
      <c r="K341" s="48" t="s">
        <v>1877</v>
      </c>
      <c r="L341" s="48" t="s">
        <v>1842</v>
      </c>
      <c r="M341" s="48" t="s">
        <v>1810</v>
      </c>
      <c r="N341" s="48" t="s">
        <v>1842</v>
      </c>
      <c r="O341" s="48" t="s">
        <v>1811</v>
      </c>
      <c r="P341" s="48" t="s">
        <v>2549</v>
      </c>
      <c r="Q341" s="48" t="s">
        <v>2049</v>
      </c>
      <c r="R341" s="48" t="s">
        <v>1838</v>
      </c>
      <c r="S341" s="48" t="s">
        <v>2050</v>
      </c>
      <c r="T341" s="48" t="s">
        <v>1845</v>
      </c>
      <c r="U341" s="48" t="s">
        <v>2049</v>
      </c>
      <c r="V341" s="48" t="s">
        <v>1838</v>
      </c>
      <c r="W341" s="48" t="s">
        <v>2051</v>
      </c>
      <c r="X341" s="48" t="s">
        <v>2052</v>
      </c>
      <c r="Y341" s="48" t="s">
        <v>2050</v>
      </c>
      <c r="Z341" s="48" t="s">
        <v>2053</v>
      </c>
      <c r="AA341" s="48" t="s">
        <v>2054</v>
      </c>
      <c r="AB341" s="48" t="s">
        <v>1710</v>
      </c>
      <c r="AC341" s="48" t="s">
        <v>2055</v>
      </c>
      <c r="AD341" s="48" t="s">
        <v>2056</v>
      </c>
      <c r="AE341" s="48" t="s">
        <v>1710</v>
      </c>
      <c r="AF341" s="48" t="s">
        <v>1710</v>
      </c>
      <c r="AG341" s="48" t="s">
        <v>2057</v>
      </c>
      <c r="AH341" s="48" t="s">
        <v>1815</v>
      </c>
      <c r="AI341" s="48" t="s">
        <v>2058</v>
      </c>
      <c r="AJ341" s="48" t="s">
        <v>1710</v>
      </c>
      <c r="AK341" s="48" t="s">
        <v>2568</v>
      </c>
      <c r="AL341" s="48" t="s">
        <v>1880</v>
      </c>
      <c r="AM341" s="48" t="s">
        <v>1816</v>
      </c>
      <c r="AN341" s="48" t="s">
        <v>2054</v>
      </c>
      <c r="AO341" s="48" t="s">
        <v>1710</v>
      </c>
      <c r="AP341" s="48" t="s">
        <v>1843</v>
      </c>
      <c r="AQ341" s="48" t="s">
        <v>2079</v>
      </c>
      <c r="AR341" s="48" t="s">
        <v>1812</v>
      </c>
      <c r="AS341" s="48" t="s">
        <v>1813</v>
      </c>
      <c r="AT341" s="48" t="s">
        <v>1826</v>
      </c>
      <c r="AU341" s="48" t="s">
        <v>2061</v>
      </c>
      <c r="AV341" s="48" t="s">
        <v>2825</v>
      </c>
      <c r="AW341" s="48" t="s">
        <v>2062</v>
      </c>
      <c r="AX341" s="48" t="s">
        <v>2063</v>
      </c>
      <c r="AY341" s="48" t="s">
        <v>1710</v>
      </c>
      <c r="AZ341" s="48" t="s">
        <v>5501</v>
      </c>
      <c r="BA341" s="48" t="s">
        <v>1710</v>
      </c>
      <c r="BB341" s="48" t="s">
        <v>1709</v>
      </c>
      <c r="BC341" s="48" t="s">
        <v>1710</v>
      </c>
      <c r="BD341" s="48" t="s">
        <v>2864</v>
      </c>
      <c r="BE341" s="52" t="s">
        <v>5476</v>
      </c>
      <c r="BF341" s="48" t="s">
        <v>1710</v>
      </c>
      <c r="BG341" s="48" t="s">
        <v>1814</v>
      </c>
      <c r="BH341">
        <v>1</v>
      </c>
      <c r="BI341" s="48" t="s">
        <v>1888</v>
      </c>
      <c r="BJ341">
        <v>1</v>
      </c>
      <c r="BK341">
        <v>1473.06</v>
      </c>
      <c r="BL341">
        <v>304988</v>
      </c>
      <c r="BM341">
        <v>207</v>
      </c>
      <c r="BN341" s="48" t="s">
        <v>2064</v>
      </c>
      <c r="BO341" s="48" t="s">
        <v>2065</v>
      </c>
      <c r="BP341">
        <v>1473.06</v>
      </c>
      <c r="BQ341">
        <v>221.3</v>
      </c>
      <c r="BR341" s="48" t="s">
        <v>1885</v>
      </c>
      <c r="BS341" s="48" t="s">
        <v>2066</v>
      </c>
      <c r="BT341">
        <v>1</v>
      </c>
      <c r="BU341">
        <v>21000</v>
      </c>
      <c r="BV341">
        <v>21000</v>
      </c>
      <c r="BW341" s="48" t="s">
        <v>2065</v>
      </c>
      <c r="BX341">
        <v>1473.06</v>
      </c>
      <c r="BY341">
        <v>0</v>
      </c>
      <c r="BZ341">
        <v>0</v>
      </c>
      <c r="CA341" s="48" t="s">
        <v>2065</v>
      </c>
      <c r="CB341">
        <v>1473.06</v>
      </c>
      <c r="CC341">
        <v>0</v>
      </c>
      <c r="CD341">
        <v>0</v>
      </c>
      <c r="CE341" s="48" t="s">
        <v>1710</v>
      </c>
      <c r="CF341" s="48" t="s">
        <v>1710</v>
      </c>
      <c r="CG341" s="48" t="s">
        <v>1710</v>
      </c>
      <c r="CH341" s="48" t="s">
        <v>1710</v>
      </c>
      <c r="CI341" s="48" t="s">
        <v>2067</v>
      </c>
      <c r="CJ341" s="48" t="s">
        <v>1710</v>
      </c>
      <c r="CL341" s="48" t="s">
        <v>2825</v>
      </c>
      <c r="CM341" s="48" t="s">
        <v>1710</v>
      </c>
      <c r="CN341" s="48" t="s">
        <v>2068</v>
      </c>
      <c r="CO341" s="48" t="s">
        <v>2069</v>
      </c>
      <c r="CP341" s="48" t="s">
        <v>1710</v>
      </c>
      <c r="CQ341" s="48" t="s">
        <v>1710</v>
      </c>
      <c r="CR341" s="48" t="s">
        <v>1710</v>
      </c>
      <c r="CS341" s="48" t="s">
        <v>1710</v>
      </c>
      <c r="CT341" s="48" t="s">
        <v>1710</v>
      </c>
      <c r="CU341" s="48" t="s">
        <v>1712</v>
      </c>
      <c r="CV341" s="48" t="s">
        <v>1710</v>
      </c>
      <c r="CW341" s="48" t="s">
        <v>1710</v>
      </c>
      <c r="CX341" s="48" t="s">
        <v>3167</v>
      </c>
      <c r="CY341" s="48" t="s">
        <v>1710</v>
      </c>
      <c r="CZ341" s="48" t="s">
        <v>1712</v>
      </c>
      <c r="DA341" s="48" t="s">
        <v>1710</v>
      </c>
      <c r="DB341" s="48" t="s">
        <v>1878</v>
      </c>
      <c r="DC341" s="48" t="s">
        <v>2070</v>
      </c>
      <c r="DD341" s="48" t="s">
        <v>1842</v>
      </c>
      <c r="DE341" s="48" t="s">
        <v>1886</v>
      </c>
      <c r="DF341" s="48" t="s">
        <v>5502</v>
      </c>
      <c r="DG341" s="48" t="s">
        <v>2071</v>
      </c>
      <c r="DH341" s="48" t="s">
        <v>1712</v>
      </c>
      <c r="DI341" s="48" t="s">
        <v>1710</v>
      </c>
      <c r="DJ341" s="48" t="s">
        <v>1710</v>
      </c>
      <c r="DK341" s="48" t="s">
        <v>1710</v>
      </c>
      <c r="DL341" s="48" t="s">
        <v>1710</v>
      </c>
      <c r="DM341" s="48" t="s">
        <v>1710</v>
      </c>
      <c r="DN341" s="48" t="s">
        <v>1710</v>
      </c>
      <c r="DO341" s="48" t="s">
        <v>1710</v>
      </c>
      <c r="DP341" s="48" t="s">
        <v>1710</v>
      </c>
      <c r="DQ341" s="48" t="s">
        <v>1710</v>
      </c>
      <c r="DR341" s="48" t="s">
        <v>2072</v>
      </c>
      <c r="DS341" s="48" t="s">
        <v>1710</v>
      </c>
      <c r="DT341" s="48" t="s">
        <v>1710</v>
      </c>
      <c r="DU341" s="48" t="s">
        <v>2575</v>
      </c>
      <c r="DV341" s="48" t="s">
        <v>2825</v>
      </c>
      <c r="DW341" s="48" t="s">
        <v>1710</v>
      </c>
      <c r="DX341" s="48" t="s">
        <v>5503</v>
      </c>
      <c r="DY341" s="48" t="s">
        <v>1709</v>
      </c>
      <c r="DZ341" s="48" t="s">
        <v>2562</v>
      </c>
      <c r="EA341" s="48" t="s">
        <v>2546</v>
      </c>
      <c r="EB341">
        <v>0</v>
      </c>
      <c r="EC341" s="48" t="s">
        <v>2575</v>
      </c>
      <c r="ED341" s="48" t="s">
        <v>5504</v>
      </c>
      <c r="EE341" s="48" t="s">
        <v>1814</v>
      </c>
      <c r="EF341" s="48" t="s">
        <v>3898</v>
      </c>
      <c r="EG341" s="48" t="s">
        <v>5501</v>
      </c>
      <c r="EH341">
        <v>0.24299999999999999</v>
      </c>
      <c r="EI341" s="48" t="s">
        <v>1888</v>
      </c>
      <c r="EJ341">
        <v>1</v>
      </c>
      <c r="EK341" s="48" t="s">
        <v>1887</v>
      </c>
      <c r="EL341">
        <v>1</v>
      </c>
      <c r="EM341" s="48" t="s">
        <v>1886</v>
      </c>
      <c r="EN341">
        <v>0.24299999999999999</v>
      </c>
      <c r="EO341" s="48" t="s">
        <v>3899</v>
      </c>
      <c r="EP341" s="48" t="s">
        <v>5505</v>
      </c>
      <c r="EQ341">
        <v>221.3</v>
      </c>
      <c r="ER341">
        <v>221.3</v>
      </c>
      <c r="ES341">
        <v>304988</v>
      </c>
      <c r="ET341">
        <v>207</v>
      </c>
      <c r="EU341" s="48" t="s">
        <v>1710</v>
      </c>
      <c r="EV341" s="48" t="s">
        <v>1710</v>
      </c>
      <c r="EW341" s="48" t="s">
        <v>1712</v>
      </c>
      <c r="EX341" s="48" t="s">
        <v>1710</v>
      </c>
      <c r="EY341" s="48" t="s">
        <v>1848</v>
      </c>
      <c r="EZ341" s="48" t="s">
        <v>1710</v>
      </c>
      <c r="FA341" s="48" t="s">
        <v>1710</v>
      </c>
      <c r="FB341" s="48" t="s">
        <v>1712</v>
      </c>
      <c r="FC341" s="48" t="s">
        <v>1710</v>
      </c>
      <c r="FD341" s="48" t="s">
        <v>1710</v>
      </c>
      <c r="FE341" s="48" t="s">
        <v>1814</v>
      </c>
      <c r="FF341" s="48" t="s">
        <v>1815</v>
      </c>
      <c r="FG341" s="48" t="s">
        <v>1710</v>
      </c>
      <c r="FH341">
        <v>1</v>
      </c>
      <c r="FI341" s="48" t="s">
        <v>1846</v>
      </c>
      <c r="FJ341">
        <v>221.3</v>
      </c>
      <c r="FK341">
        <v>221.3</v>
      </c>
      <c r="FL341" s="48" t="s">
        <v>5506</v>
      </c>
      <c r="FM341" s="48" t="s">
        <v>5505</v>
      </c>
      <c r="FN341" s="48" t="s">
        <v>1710</v>
      </c>
      <c r="FO341" s="48" t="s">
        <v>1710</v>
      </c>
      <c r="FP341" s="48" t="s">
        <v>1710</v>
      </c>
      <c r="FQ341" s="48" t="s">
        <v>1710</v>
      </c>
      <c r="FR341" s="48" t="s">
        <v>1710</v>
      </c>
      <c r="FS341" s="48" t="s">
        <v>1710</v>
      </c>
      <c r="FT341" s="48" t="s">
        <v>1710</v>
      </c>
      <c r="FU341" s="48" t="s">
        <v>1710</v>
      </c>
      <c r="FV341" s="48"/>
      <c r="GA341" s="55"/>
      <c r="GE341" s="61"/>
      <c r="GF341" s="62"/>
      <c r="GI341" s="48"/>
    </row>
    <row r="342" spans="1:191">
      <c r="A342" s="48" t="s">
        <v>5507</v>
      </c>
      <c r="B342" s="48" t="s">
        <v>1821</v>
      </c>
      <c r="C342" s="48" t="s">
        <v>2048</v>
      </c>
      <c r="D342" s="48" t="s">
        <v>2813</v>
      </c>
      <c r="E342" s="48" t="s">
        <v>5507</v>
      </c>
      <c r="F342" s="48" t="s">
        <v>1710</v>
      </c>
      <c r="G342" s="48" t="s">
        <v>2814</v>
      </c>
      <c r="H342" s="48" t="s">
        <v>5508</v>
      </c>
      <c r="I342" s="48" t="s">
        <v>1884</v>
      </c>
      <c r="J342" s="48" t="s">
        <v>2825</v>
      </c>
      <c r="K342" s="48" t="s">
        <v>1877</v>
      </c>
      <c r="L342" s="48" t="s">
        <v>1842</v>
      </c>
      <c r="M342" s="48" t="s">
        <v>1810</v>
      </c>
      <c r="N342" s="48" t="s">
        <v>1842</v>
      </c>
      <c r="O342" s="48" t="s">
        <v>1811</v>
      </c>
      <c r="P342" s="48" t="s">
        <v>2549</v>
      </c>
      <c r="Q342" s="48" t="s">
        <v>2049</v>
      </c>
      <c r="R342" s="48" t="s">
        <v>1838</v>
      </c>
      <c r="S342" s="48" t="s">
        <v>2050</v>
      </c>
      <c r="T342" s="48" t="s">
        <v>1845</v>
      </c>
      <c r="U342" s="48" t="s">
        <v>2049</v>
      </c>
      <c r="V342" s="48" t="s">
        <v>1838</v>
      </c>
      <c r="W342" s="48" t="s">
        <v>2051</v>
      </c>
      <c r="X342" s="48" t="s">
        <v>2052</v>
      </c>
      <c r="Y342" s="48" t="s">
        <v>2050</v>
      </c>
      <c r="Z342" s="48" t="s">
        <v>2053</v>
      </c>
      <c r="AA342" s="48" t="s">
        <v>2054</v>
      </c>
      <c r="AB342" s="48" t="s">
        <v>1710</v>
      </c>
      <c r="AC342" s="48" t="s">
        <v>2055</v>
      </c>
      <c r="AD342" s="48" t="s">
        <v>2056</v>
      </c>
      <c r="AE342" s="48" t="s">
        <v>1710</v>
      </c>
      <c r="AF342" s="48" t="s">
        <v>1710</v>
      </c>
      <c r="AG342" s="48" t="s">
        <v>2057</v>
      </c>
      <c r="AH342" s="48" t="s">
        <v>1815</v>
      </c>
      <c r="AI342" s="48" t="s">
        <v>2058</v>
      </c>
      <c r="AJ342" s="48" t="s">
        <v>1710</v>
      </c>
      <c r="AK342" s="48" t="s">
        <v>2095</v>
      </c>
      <c r="AL342" s="48" t="s">
        <v>1880</v>
      </c>
      <c r="AM342" s="48" t="s">
        <v>1816</v>
      </c>
      <c r="AN342" s="48" t="s">
        <v>2054</v>
      </c>
      <c r="AO342" s="48" t="s">
        <v>1710</v>
      </c>
      <c r="AP342" s="48" t="s">
        <v>1843</v>
      </c>
      <c r="AQ342" s="48" t="s">
        <v>2079</v>
      </c>
      <c r="AR342" s="48" t="s">
        <v>1812</v>
      </c>
      <c r="AS342" s="48" t="s">
        <v>1813</v>
      </c>
      <c r="AT342" s="48" t="s">
        <v>1826</v>
      </c>
      <c r="AU342" s="48" t="s">
        <v>2061</v>
      </c>
      <c r="AV342" s="48" t="s">
        <v>2825</v>
      </c>
      <c r="AW342" s="48" t="s">
        <v>2062</v>
      </c>
      <c r="AX342" s="48" t="s">
        <v>2063</v>
      </c>
      <c r="AY342" s="48" t="s">
        <v>1710</v>
      </c>
      <c r="AZ342" s="48" t="s">
        <v>5509</v>
      </c>
      <c r="BA342" s="48" t="s">
        <v>1710</v>
      </c>
      <c r="BB342" s="48" t="s">
        <v>1709</v>
      </c>
      <c r="BC342" s="48" t="s">
        <v>1710</v>
      </c>
      <c r="BD342" s="48" t="s">
        <v>2864</v>
      </c>
      <c r="BE342" s="52" t="s">
        <v>5476</v>
      </c>
      <c r="BF342" s="48" t="s">
        <v>1710</v>
      </c>
      <c r="BG342" s="48" t="s">
        <v>1817</v>
      </c>
      <c r="BH342">
        <v>29</v>
      </c>
      <c r="BI342" s="48" t="s">
        <v>1888</v>
      </c>
      <c r="BJ342">
        <v>2</v>
      </c>
      <c r="BK342">
        <v>1473.06</v>
      </c>
      <c r="BL342">
        <v>18156489</v>
      </c>
      <c r="BM342">
        <v>12326</v>
      </c>
      <c r="BN342" s="48" t="s">
        <v>2064</v>
      </c>
      <c r="BO342" s="48" t="s">
        <v>2065</v>
      </c>
      <c r="BP342">
        <v>1473.06</v>
      </c>
      <c r="BQ342">
        <v>12422.23</v>
      </c>
      <c r="BR342" s="48" t="s">
        <v>1885</v>
      </c>
      <c r="BS342" s="48" t="s">
        <v>2066</v>
      </c>
      <c r="BT342">
        <v>1</v>
      </c>
      <c r="BU342">
        <v>142200</v>
      </c>
      <c r="BV342">
        <v>142200</v>
      </c>
      <c r="BW342" s="48" t="s">
        <v>2065</v>
      </c>
      <c r="BX342">
        <v>1473.06</v>
      </c>
      <c r="BY342">
        <v>0</v>
      </c>
      <c r="BZ342">
        <v>0</v>
      </c>
      <c r="CA342" s="48" t="s">
        <v>2065</v>
      </c>
      <c r="CB342">
        <v>1473.06</v>
      </c>
      <c r="CC342">
        <v>0</v>
      </c>
      <c r="CD342">
        <v>0</v>
      </c>
      <c r="CE342" s="48" t="s">
        <v>1710</v>
      </c>
      <c r="CF342" s="48" t="s">
        <v>1710</v>
      </c>
      <c r="CG342" s="48" t="s">
        <v>1710</v>
      </c>
      <c r="CH342" s="48" t="s">
        <v>1710</v>
      </c>
      <c r="CI342" s="48" t="s">
        <v>2067</v>
      </c>
      <c r="CJ342" s="48" t="s">
        <v>1710</v>
      </c>
      <c r="CL342" s="48" t="s">
        <v>2825</v>
      </c>
      <c r="CM342" s="48" t="s">
        <v>1710</v>
      </c>
      <c r="CN342" s="48" t="s">
        <v>2068</v>
      </c>
      <c r="CO342" s="48" t="s">
        <v>2069</v>
      </c>
      <c r="CP342" s="48" t="s">
        <v>1710</v>
      </c>
      <c r="CQ342" s="48" t="s">
        <v>1710</v>
      </c>
      <c r="CR342" s="48" t="s">
        <v>1710</v>
      </c>
      <c r="CS342" s="48" t="s">
        <v>1710</v>
      </c>
      <c r="CT342" s="48" t="s">
        <v>1710</v>
      </c>
      <c r="CU342" s="48" t="s">
        <v>1712</v>
      </c>
      <c r="CV342" s="48" t="s">
        <v>1710</v>
      </c>
      <c r="CW342" s="48" t="s">
        <v>1710</v>
      </c>
      <c r="CX342" s="48" t="s">
        <v>3167</v>
      </c>
      <c r="CY342" s="48" t="s">
        <v>1710</v>
      </c>
      <c r="CZ342" s="48" t="s">
        <v>1712</v>
      </c>
      <c r="DA342" s="48" t="s">
        <v>1710</v>
      </c>
      <c r="DB342" s="48" t="s">
        <v>1878</v>
      </c>
      <c r="DC342" s="48" t="s">
        <v>2070</v>
      </c>
      <c r="DD342" s="48" t="s">
        <v>1842</v>
      </c>
      <c r="DE342" s="48" t="s">
        <v>1886</v>
      </c>
      <c r="DF342" s="48" t="s">
        <v>5510</v>
      </c>
      <c r="DG342" s="48" t="s">
        <v>2071</v>
      </c>
      <c r="DH342" s="48" t="s">
        <v>1712</v>
      </c>
      <c r="DI342" s="48" t="s">
        <v>1710</v>
      </c>
      <c r="DJ342" s="48" t="s">
        <v>1710</v>
      </c>
      <c r="DK342" s="48" t="s">
        <v>1710</v>
      </c>
      <c r="DL342" s="48" t="s">
        <v>1710</v>
      </c>
      <c r="DM342" s="48" t="s">
        <v>1710</v>
      </c>
      <c r="DN342" s="48" t="s">
        <v>1710</v>
      </c>
      <c r="DO342" s="48" t="s">
        <v>1710</v>
      </c>
      <c r="DP342" s="48" t="s">
        <v>1710</v>
      </c>
      <c r="DQ342" s="48" t="s">
        <v>1710</v>
      </c>
      <c r="DR342" s="48" t="s">
        <v>2072</v>
      </c>
      <c r="DS342" s="48" t="s">
        <v>1710</v>
      </c>
      <c r="DT342" s="48" t="s">
        <v>1710</v>
      </c>
      <c r="DU342" s="48" t="s">
        <v>2575</v>
      </c>
      <c r="DV342" s="48" t="s">
        <v>3141</v>
      </c>
      <c r="DW342" s="48" t="s">
        <v>1710</v>
      </c>
      <c r="DX342" s="48" t="s">
        <v>5511</v>
      </c>
      <c r="DY342" s="48" t="s">
        <v>1709</v>
      </c>
      <c r="DZ342" s="48" t="s">
        <v>2562</v>
      </c>
      <c r="EA342" s="48" t="s">
        <v>2546</v>
      </c>
      <c r="EB342">
        <v>0</v>
      </c>
      <c r="EC342" s="48" t="s">
        <v>2575</v>
      </c>
      <c r="ED342" s="48" t="s">
        <v>5504</v>
      </c>
      <c r="EE342" s="48" t="s">
        <v>1814</v>
      </c>
      <c r="EF342" s="48" t="s">
        <v>1852</v>
      </c>
      <c r="EG342" s="48" t="s">
        <v>5512</v>
      </c>
      <c r="EH342">
        <v>10</v>
      </c>
      <c r="EI342" s="48" t="s">
        <v>1888</v>
      </c>
      <c r="EJ342">
        <v>0</v>
      </c>
      <c r="EK342" s="48" t="s">
        <v>1710</v>
      </c>
      <c r="EL342">
        <v>2</v>
      </c>
      <c r="EM342" s="48" t="s">
        <v>1886</v>
      </c>
      <c r="EN342">
        <v>10</v>
      </c>
      <c r="EO342" s="48" t="s">
        <v>2521</v>
      </c>
      <c r="EP342" s="48" t="s">
        <v>5513</v>
      </c>
      <c r="EQ342">
        <v>2520.73</v>
      </c>
      <c r="ER342">
        <v>2520.73</v>
      </c>
      <c r="ES342">
        <v>3684331</v>
      </c>
      <c r="ET342">
        <v>2501</v>
      </c>
      <c r="EU342" s="48" t="s">
        <v>1710</v>
      </c>
      <c r="EV342" s="48" t="s">
        <v>1710</v>
      </c>
      <c r="EW342" s="48" t="s">
        <v>1712</v>
      </c>
      <c r="EX342" s="48" t="s">
        <v>1710</v>
      </c>
      <c r="EY342" s="48" t="s">
        <v>1848</v>
      </c>
      <c r="EZ342" s="48" t="s">
        <v>1710</v>
      </c>
      <c r="FA342" s="48" t="s">
        <v>1710</v>
      </c>
      <c r="FB342" s="48" t="s">
        <v>1712</v>
      </c>
      <c r="FC342" s="48" t="s">
        <v>1710</v>
      </c>
      <c r="FD342" s="48" t="s">
        <v>1710</v>
      </c>
      <c r="FE342" s="48" t="s">
        <v>1814</v>
      </c>
      <c r="FF342" s="48" t="s">
        <v>1815</v>
      </c>
      <c r="FG342" s="48" t="s">
        <v>1710</v>
      </c>
      <c r="FH342">
        <v>1</v>
      </c>
      <c r="FI342" s="48" t="s">
        <v>1846</v>
      </c>
      <c r="FJ342">
        <v>2520.73</v>
      </c>
      <c r="FK342">
        <v>2520.73</v>
      </c>
      <c r="FL342" s="48" t="s">
        <v>5514</v>
      </c>
      <c r="FM342" s="48" t="s">
        <v>5513</v>
      </c>
      <c r="FN342" s="48" t="s">
        <v>1710</v>
      </c>
      <c r="FO342" s="48" t="s">
        <v>1710</v>
      </c>
      <c r="FP342" s="48" t="s">
        <v>1710</v>
      </c>
      <c r="FQ342" s="48" t="s">
        <v>1710</v>
      </c>
      <c r="FR342" s="48" t="s">
        <v>1710</v>
      </c>
      <c r="FS342" s="48" t="s">
        <v>1710</v>
      </c>
      <c r="FT342" s="48" t="s">
        <v>1710</v>
      </c>
      <c r="FU342" s="48" t="s">
        <v>1710</v>
      </c>
      <c r="FV342" s="48"/>
      <c r="GA342" s="55"/>
      <c r="GE342" s="61"/>
      <c r="GF342" s="62"/>
      <c r="GI342" s="48"/>
    </row>
    <row r="343" spans="1:191">
      <c r="A343" s="48" t="s">
        <v>5515</v>
      </c>
      <c r="B343" s="48" t="s">
        <v>1821</v>
      </c>
      <c r="C343" s="48" t="s">
        <v>2048</v>
      </c>
      <c r="D343" s="48" t="s">
        <v>2813</v>
      </c>
      <c r="E343" s="48" t="s">
        <v>5515</v>
      </c>
      <c r="F343" s="48" t="s">
        <v>1710</v>
      </c>
      <c r="G343" s="48" t="s">
        <v>2814</v>
      </c>
      <c r="H343" s="48" t="s">
        <v>5516</v>
      </c>
      <c r="I343" s="48" t="s">
        <v>1884</v>
      </c>
      <c r="J343" s="48" t="s">
        <v>2825</v>
      </c>
      <c r="K343" s="48" t="s">
        <v>1877</v>
      </c>
      <c r="L343" s="48" t="s">
        <v>1842</v>
      </c>
      <c r="M343" s="48" t="s">
        <v>1810</v>
      </c>
      <c r="N343" s="48" t="s">
        <v>1842</v>
      </c>
      <c r="O343" s="48" t="s">
        <v>1811</v>
      </c>
      <c r="P343" s="48" t="s">
        <v>2549</v>
      </c>
      <c r="Q343" s="48" t="s">
        <v>2049</v>
      </c>
      <c r="R343" s="48" t="s">
        <v>1838</v>
      </c>
      <c r="S343" s="48" t="s">
        <v>2050</v>
      </c>
      <c r="T343" s="48" t="s">
        <v>1845</v>
      </c>
      <c r="U343" s="48" t="s">
        <v>2049</v>
      </c>
      <c r="V343" s="48" t="s">
        <v>1838</v>
      </c>
      <c r="W343" s="48" t="s">
        <v>2051</v>
      </c>
      <c r="X343" s="48" t="s">
        <v>2052</v>
      </c>
      <c r="Y343" s="48" t="s">
        <v>2050</v>
      </c>
      <c r="Z343" s="48" t="s">
        <v>2053</v>
      </c>
      <c r="AA343" s="48" t="s">
        <v>2054</v>
      </c>
      <c r="AB343" s="48" t="s">
        <v>1710</v>
      </c>
      <c r="AC343" s="48" t="s">
        <v>2055</v>
      </c>
      <c r="AD343" s="48" t="s">
        <v>2056</v>
      </c>
      <c r="AE343" s="48" t="s">
        <v>1710</v>
      </c>
      <c r="AF343" s="48" t="s">
        <v>1710</v>
      </c>
      <c r="AG343" s="48" t="s">
        <v>2057</v>
      </c>
      <c r="AH343" s="48" t="s">
        <v>1815</v>
      </c>
      <c r="AI343" s="48" t="s">
        <v>2058</v>
      </c>
      <c r="AJ343" s="48" t="s">
        <v>1710</v>
      </c>
      <c r="AK343" s="48" t="s">
        <v>2087</v>
      </c>
      <c r="AL343" s="48" t="s">
        <v>2088</v>
      </c>
      <c r="AM343" s="48" t="s">
        <v>1816</v>
      </c>
      <c r="AN343" s="48" t="s">
        <v>2054</v>
      </c>
      <c r="AO343" s="48" t="s">
        <v>1710</v>
      </c>
      <c r="AP343" s="48" t="s">
        <v>1853</v>
      </c>
      <c r="AQ343" s="48" t="s">
        <v>2086</v>
      </c>
      <c r="AR343" s="48" t="s">
        <v>1812</v>
      </c>
      <c r="AS343" s="48" t="s">
        <v>1813</v>
      </c>
      <c r="AT343" s="48" t="s">
        <v>1826</v>
      </c>
      <c r="AU343" s="48" t="s">
        <v>2061</v>
      </c>
      <c r="AV343" s="48" t="s">
        <v>2825</v>
      </c>
      <c r="AW343" s="48" t="s">
        <v>2062</v>
      </c>
      <c r="AX343" s="48" t="s">
        <v>2063</v>
      </c>
      <c r="AY343" s="48" t="s">
        <v>1710</v>
      </c>
      <c r="AZ343" s="48" t="s">
        <v>5517</v>
      </c>
      <c r="BA343" s="48" t="s">
        <v>1710</v>
      </c>
      <c r="BB343" s="48" t="s">
        <v>1709</v>
      </c>
      <c r="BC343" s="48" t="s">
        <v>1710</v>
      </c>
      <c r="BD343" s="48" t="s">
        <v>2864</v>
      </c>
      <c r="BE343" s="52" t="s">
        <v>5476</v>
      </c>
      <c r="BF343" s="48" t="s">
        <v>1710</v>
      </c>
      <c r="BG343" s="48" t="s">
        <v>1814</v>
      </c>
      <c r="BH343">
        <v>204</v>
      </c>
      <c r="BI343" s="48" t="s">
        <v>1888</v>
      </c>
      <c r="BJ343">
        <v>1</v>
      </c>
      <c r="BK343">
        <v>1473.06</v>
      </c>
      <c r="BL343">
        <v>11127231</v>
      </c>
      <c r="BM343">
        <v>7554</v>
      </c>
      <c r="BN343" s="48" t="s">
        <v>2064</v>
      </c>
      <c r="BO343" s="48" t="s">
        <v>2065</v>
      </c>
      <c r="BP343">
        <v>1473.06</v>
      </c>
      <c r="BQ343">
        <v>8157.87</v>
      </c>
      <c r="BR343" s="48" t="s">
        <v>1885</v>
      </c>
      <c r="BS343" s="48" t="s">
        <v>2066</v>
      </c>
      <c r="BT343">
        <v>1</v>
      </c>
      <c r="BU343">
        <v>889800</v>
      </c>
      <c r="BV343">
        <v>889800</v>
      </c>
      <c r="BW343" s="48" t="s">
        <v>2065</v>
      </c>
      <c r="BX343">
        <v>1473.06</v>
      </c>
      <c r="BY343">
        <v>0</v>
      </c>
      <c r="BZ343">
        <v>0</v>
      </c>
      <c r="CA343" s="48" t="s">
        <v>2065</v>
      </c>
      <c r="CB343">
        <v>1473.06</v>
      </c>
      <c r="CC343">
        <v>0</v>
      </c>
      <c r="CD343">
        <v>0</v>
      </c>
      <c r="CE343" s="48" t="s">
        <v>1710</v>
      </c>
      <c r="CF343" s="48" t="s">
        <v>1710</v>
      </c>
      <c r="CG343" s="48" t="s">
        <v>1710</v>
      </c>
      <c r="CH343" s="48" t="s">
        <v>1710</v>
      </c>
      <c r="CI343" s="48" t="s">
        <v>2067</v>
      </c>
      <c r="CJ343" s="48" t="s">
        <v>1710</v>
      </c>
      <c r="CL343" s="48" t="s">
        <v>2825</v>
      </c>
      <c r="CM343" s="48" t="s">
        <v>1710</v>
      </c>
      <c r="CN343" s="48" t="s">
        <v>2068</v>
      </c>
      <c r="CO343" s="48" t="s">
        <v>2069</v>
      </c>
      <c r="CP343" s="48" t="s">
        <v>1710</v>
      </c>
      <c r="CQ343" s="48" t="s">
        <v>1710</v>
      </c>
      <c r="CR343" s="48" t="s">
        <v>1710</v>
      </c>
      <c r="CS343" s="48" t="s">
        <v>1710</v>
      </c>
      <c r="CT343" s="48" t="s">
        <v>1710</v>
      </c>
      <c r="CU343" s="48" t="s">
        <v>1712</v>
      </c>
      <c r="CV343" s="48" t="s">
        <v>1710</v>
      </c>
      <c r="CW343" s="48" t="s">
        <v>1710</v>
      </c>
      <c r="CX343" s="48" t="s">
        <v>3167</v>
      </c>
      <c r="CY343" s="48" t="s">
        <v>1710</v>
      </c>
      <c r="CZ343" s="48" t="s">
        <v>1712</v>
      </c>
      <c r="DA343" s="48" t="s">
        <v>1710</v>
      </c>
      <c r="DB343" s="48" t="s">
        <v>1878</v>
      </c>
      <c r="DC343" s="48" t="s">
        <v>2070</v>
      </c>
      <c r="DD343" s="48" t="s">
        <v>1842</v>
      </c>
      <c r="DE343" s="48" t="s">
        <v>1886</v>
      </c>
      <c r="DF343" s="48" t="s">
        <v>5518</v>
      </c>
      <c r="DG343" s="48" t="s">
        <v>2071</v>
      </c>
      <c r="DH343" s="48" t="s">
        <v>1712</v>
      </c>
      <c r="DI343" s="48" t="s">
        <v>1710</v>
      </c>
      <c r="DJ343" s="48" t="s">
        <v>1710</v>
      </c>
      <c r="DK343" s="48" t="s">
        <v>1710</v>
      </c>
      <c r="DL343" s="48" t="s">
        <v>1710</v>
      </c>
      <c r="DM343" s="48" t="s">
        <v>1710</v>
      </c>
      <c r="DN343" s="48" t="s">
        <v>1710</v>
      </c>
      <c r="DO343" s="48" t="s">
        <v>1710</v>
      </c>
      <c r="DP343" s="48" t="s">
        <v>1710</v>
      </c>
      <c r="DQ343" s="48" t="s">
        <v>1710</v>
      </c>
      <c r="DR343" s="48" t="s">
        <v>2072</v>
      </c>
      <c r="DS343" s="48" t="s">
        <v>1710</v>
      </c>
      <c r="DT343" s="48" t="s">
        <v>1710</v>
      </c>
      <c r="DU343" s="48" t="s">
        <v>2575</v>
      </c>
      <c r="DV343" s="48" t="s">
        <v>3141</v>
      </c>
      <c r="DW343" s="48" t="s">
        <v>1710</v>
      </c>
      <c r="DX343" s="48" t="s">
        <v>5519</v>
      </c>
      <c r="DY343" s="48" t="s">
        <v>1709</v>
      </c>
      <c r="DZ343" s="48" t="s">
        <v>2562</v>
      </c>
      <c r="EA343" s="48" t="s">
        <v>2546</v>
      </c>
      <c r="EB343">
        <v>0</v>
      </c>
      <c r="EC343" s="48" t="s">
        <v>2575</v>
      </c>
      <c r="ED343" s="48" t="s">
        <v>5504</v>
      </c>
      <c r="EE343" s="48" t="s">
        <v>1814</v>
      </c>
      <c r="EF343" s="48" t="s">
        <v>2662</v>
      </c>
      <c r="EG343" s="48" t="s">
        <v>5517</v>
      </c>
      <c r="EH343">
        <v>163</v>
      </c>
      <c r="EI343" s="48" t="s">
        <v>1888</v>
      </c>
      <c r="EJ343">
        <v>1</v>
      </c>
      <c r="EK343" s="48" t="s">
        <v>1887</v>
      </c>
      <c r="EL343">
        <v>1</v>
      </c>
      <c r="EM343" s="48" t="s">
        <v>1886</v>
      </c>
      <c r="EN343">
        <v>163</v>
      </c>
      <c r="EO343" s="48" t="s">
        <v>2663</v>
      </c>
      <c r="EP343" s="48" t="s">
        <v>5520</v>
      </c>
      <c r="EQ343">
        <v>8157.87</v>
      </c>
      <c r="ER343">
        <v>8157.87</v>
      </c>
      <c r="ES343">
        <v>11127231</v>
      </c>
      <c r="ET343">
        <v>7554</v>
      </c>
      <c r="EU343" s="48" t="s">
        <v>1710</v>
      </c>
      <c r="EV343" s="48" t="s">
        <v>1710</v>
      </c>
      <c r="EW343" s="48" t="s">
        <v>1712</v>
      </c>
      <c r="EX343" s="48" t="s">
        <v>1710</v>
      </c>
      <c r="EY343" s="48" t="s">
        <v>2539</v>
      </c>
      <c r="EZ343" s="48" t="s">
        <v>1710</v>
      </c>
      <c r="FA343" s="48" t="s">
        <v>1710</v>
      </c>
      <c r="FB343" s="48" t="s">
        <v>1712</v>
      </c>
      <c r="FC343" s="48" t="s">
        <v>1710</v>
      </c>
      <c r="FD343" s="48" t="s">
        <v>1710</v>
      </c>
      <c r="FE343" s="48" t="s">
        <v>1814</v>
      </c>
      <c r="FF343" s="48" t="s">
        <v>1815</v>
      </c>
      <c r="FG343" s="48" t="s">
        <v>1710</v>
      </c>
      <c r="FH343">
        <v>1</v>
      </c>
      <c r="FI343" s="48" t="s">
        <v>1846</v>
      </c>
      <c r="FJ343">
        <v>8157.87</v>
      </c>
      <c r="FK343">
        <v>8157.87</v>
      </c>
      <c r="FL343" s="48" t="s">
        <v>5521</v>
      </c>
      <c r="FM343" s="48" t="s">
        <v>5520</v>
      </c>
      <c r="FN343" s="48" t="s">
        <v>1710</v>
      </c>
      <c r="FO343" s="48" t="s">
        <v>1710</v>
      </c>
      <c r="FP343" s="48" t="s">
        <v>1710</v>
      </c>
      <c r="FQ343" s="48" t="s">
        <v>1710</v>
      </c>
      <c r="FR343" s="48" t="s">
        <v>1710</v>
      </c>
      <c r="FS343" s="48" t="s">
        <v>1710</v>
      </c>
      <c r="FT343" s="48" t="s">
        <v>1710</v>
      </c>
      <c r="FU343" s="48" t="s">
        <v>1710</v>
      </c>
      <c r="FV343" s="48"/>
      <c r="GA343" s="55"/>
      <c r="GE343" s="61"/>
      <c r="GF343" s="62"/>
      <c r="GI343" s="48"/>
    </row>
    <row r="344" spans="1:191">
      <c r="A344" s="48" t="s">
        <v>5522</v>
      </c>
      <c r="B344" s="48" t="s">
        <v>1821</v>
      </c>
      <c r="C344" s="48" t="s">
        <v>2048</v>
      </c>
      <c r="D344" s="48" t="s">
        <v>2813</v>
      </c>
      <c r="E344" s="48" t="s">
        <v>5522</v>
      </c>
      <c r="F344" s="48" t="s">
        <v>1710</v>
      </c>
      <c r="G344" s="48" t="s">
        <v>2814</v>
      </c>
      <c r="H344" s="48" t="s">
        <v>5523</v>
      </c>
      <c r="I344" s="48" t="s">
        <v>1884</v>
      </c>
      <c r="J344" s="48" t="s">
        <v>2825</v>
      </c>
      <c r="K344" s="48" t="s">
        <v>1877</v>
      </c>
      <c r="L344" s="48" t="s">
        <v>1842</v>
      </c>
      <c r="M344" s="48" t="s">
        <v>1810</v>
      </c>
      <c r="N344" s="48" t="s">
        <v>1842</v>
      </c>
      <c r="O344" s="48" t="s">
        <v>1811</v>
      </c>
      <c r="P344" s="48" t="s">
        <v>2549</v>
      </c>
      <c r="Q344" s="48" t="s">
        <v>2049</v>
      </c>
      <c r="R344" s="48" t="s">
        <v>1838</v>
      </c>
      <c r="S344" s="48" t="s">
        <v>2050</v>
      </c>
      <c r="T344" s="48" t="s">
        <v>1845</v>
      </c>
      <c r="U344" s="48" t="s">
        <v>2049</v>
      </c>
      <c r="V344" s="48" t="s">
        <v>1838</v>
      </c>
      <c r="W344" s="48" t="s">
        <v>2051</v>
      </c>
      <c r="X344" s="48" t="s">
        <v>2052</v>
      </c>
      <c r="Y344" s="48" t="s">
        <v>2050</v>
      </c>
      <c r="Z344" s="48" t="s">
        <v>2053</v>
      </c>
      <c r="AA344" s="48" t="s">
        <v>2054</v>
      </c>
      <c r="AB344" s="48" t="s">
        <v>1710</v>
      </c>
      <c r="AC344" s="48" t="s">
        <v>2055</v>
      </c>
      <c r="AD344" s="48" t="s">
        <v>2056</v>
      </c>
      <c r="AE344" s="48" t="s">
        <v>1710</v>
      </c>
      <c r="AF344" s="48" t="s">
        <v>1710</v>
      </c>
      <c r="AG344" s="48" t="s">
        <v>2057</v>
      </c>
      <c r="AH344" s="48" t="s">
        <v>1815</v>
      </c>
      <c r="AI344" s="48" t="s">
        <v>2058</v>
      </c>
      <c r="AJ344" s="48" t="s">
        <v>1710</v>
      </c>
      <c r="AK344" s="48" t="s">
        <v>2587</v>
      </c>
      <c r="AL344" s="48" t="s">
        <v>2591</v>
      </c>
      <c r="AM344" s="48" t="s">
        <v>1816</v>
      </c>
      <c r="AN344" s="48" t="s">
        <v>2054</v>
      </c>
      <c r="AO344" s="48" t="s">
        <v>1710</v>
      </c>
      <c r="AP344" s="48" t="s">
        <v>1853</v>
      </c>
      <c r="AQ344" s="48" t="s">
        <v>2086</v>
      </c>
      <c r="AR344" s="48" t="s">
        <v>1812</v>
      </c>
      <c r="AS344" s="48" t="s">
        <v>1813</v>
      </c>
      <c r="AT344" s="48" t="s">
        <v>1826</v>
      </c>
      <c r="AU344" s="48" t="s">
        <v>2061</v>
      </c>
      <c r="AV344" s="48" t="s">
        <v>2825</v>
      </c>
      <c r="AW344" s="48" t="s">
        <v>2062</v>
      </c>
      <c r="AX344" s="48" t="s">
        <v>2063</v>
      </c>
      <c r="AY344" s="48" t="s">
        <v>1710</v>
      </c>
      <c r="AZ344" s="48" t="s">
        <v>5524</v>
      </c>
      <c r="BA344" s="48" t="s">
        <v>1710</v>
      </c>
      <c r="BB344" s="48" t="s">
        <v>1709</v>
      </c>
      <c r="BC344" s="48" t="s">
        <v>1710</v>
      </c>
      <c r="BD344" s="48" t="s">
        <v>2864</v>
      </c>
      <c r="BE344" s="52" t="s">
        <v>5476</v>
      </c>
      <c r="BF344" s="48" t="s">
        <v>1710</v>
      </c>
      <c r="BG344" s="48" t="s">
        <v>1814</v>
      </c>
      <c r="BH344">
        <v>1</v>
      </c>
      <c r="BI344" s="48" t="s">
        <v>1888</v>
      </c>
      <c r="BJ344">
        <v>1</v>
      </c>
      <c r="BK344">
        <v>1473.06</v>
      </c>
      <c r="BL344">
        <v>140727</v>
      </c>
      <c r="BM344">
        <v>96</v>
      </c>
      <c r="BN344" s="48" t="s">
        <v>2064</v>
      </c>
      <c r="BO344" s="48" t="s">
        <v>2065</v>
      </c>
      <c r="BP344">
        <v>1473.06</v>
      </c>
      <c r="BQ344">
        <v>109.79</v>
      </c>
      <c r="BR344" s="48" t="s">
        <v>1885</v>
      </c>
      <c r="BS344" s="48" t="s">
        <v>2066</v>
      </c>
      <c r="BT344">
        <v>1</v>
      </c>
      <c r="BU344">
        <v>21000</v>
      </c>
      <c r="BV344">
        <v>21000</v>
      </c>
      <c r="BW344" s="48" t="s">
        <v>2065</v>
      </c>
      <c r="BX344">
        <v>1473.06</v>
      </c>
      <c r="BY344">
        <v>0</v>
      </c>
      <c r="BZ344">
        <v>0</v>
      </c>
      <c r="CA344" s="48" t="s">
        <v>2065</v>
      </c>
      <c r="CB344">
        <v>1473.06</v>
      </c>
      <c r="CC344">
        <v>0</v>
      </c>
      <c r="CD344">
        <v>0</v>
      </c>
      <c r="CE344" s="48" t="s">
        <v>1710</v>
      </c>
      <c r="CF344" s="48" t="s">
        <v>1710</v>
      </c>
      <c r="CG344" s="48" t="s">
        <v>1710</v>
      </c>
      <c r="CH344" s="48" t="s">
        <v>1710</v>
      </c>
      <c r="CI344" s="48" t="s">
        <v>2067</v>
      </c>
      <c r="CJ344" s="48" t="s">
        <v>1710</v>
      </c>
      <c r="CL344" s="48" t="s">
        <v>2825</v>
      </c>
      <c r="CM344" s="48" t="s">
        <v>1710</v>
      </c>
      <c r="CN344" s="48" t="s">
        <v>2068</v>
      </c>
      <c r="CO344" s="48" t="s">
        <v>2069</v>
      </c>
      <c r="CP344" s="48" t="s">
        <v>1710</v>
      </c>
      <c r="CQ344" s="48" t="s">
        <v>1710</v>
      </c>
      <c r="CR344" s="48" t="s">
        <v>1710</v>
      </c>
      <c r="CS344" s="48" t="s">
        <v>1710</v>
      </c>
      <c r="CT344" s="48" t="s">
        <v>1710</v>
      </c>
      <c r="CU344" s="48" t="s">
        <v>1712</v>
      </c>
      <c r="CV344" s="48" t="s">
        <v>1710</v>
      </c>
      <c r="CW344" s="48" t="s">
        <v>1710</v>
      </c>
      <c r="CX344" s="48" t="s">
        <v>3167</v>
      </c>
      <c r="CY344" s="48" t="s">
        <v>1710</v>
      </c>
      <c r="CZ344" s="48" t="s">
        <v>1712</v>
      </c>
      <c r="DA344" s="48" t="s">
        <v>1710</v>
      </c>
      <c r="DB344" s="48" t="s">
        <v>1878</v>
      </c>
      <c r="DC344" s="48" t="s">
        <v>2070</v>
      </c>
      <c r="DD344" s="48" t="s">
        <v>1842</v>
      </c>
      <c r="DE344" s="48" t="s">
        <v>1886</v>
      </c>
      <c r="DF344" s="48" t="s">
        <v>5525</v>
      </c>
      <c r="DG344" s="48" t="s">
        <v>2071</v>
      </c>
      <c r="DH344" s="48" t="s">
        <v>1712</v>
      </c>
      <c r="DI344" s="48" t="s">
        <v>1710</v>
      </c>
      <c r="DJ344" s="48" t="s">
        <v>1710</v>
      </c>
      <c r="DK344" s="48" t="s">
        <v>1710</v>
      </c>
      <c r="DL344" s="48" t="s">
        <v>1710</v>
      </c>
      <c r="DM344" s="48" t="s">
        <v>1710</v>
      </c>
      <c r="DN344" s="48" t="s">
        <v>1710</v>
      </c>
      <c r="DO344" s="48" t="s">
        <v>1710</v>
      </c>
      <c r="DP344" s="48" t="s">
        <v>1710</v>
      </c>
      <c r="DQ344" s="48" t="s">
        <v>1710</v>
      </c>
      <c r="DR344" s="48" t="s">
        <v>2072</v>
      </c>
      <c r="DS344" s="48" t="s">
        <v>1710</v>
      </c>
      <c r="DT344" s="48" t="s">
        <v>1710</v>
      </c>
      <c r="DU344" s="48" t="s">
        <v>2575</v>
      </c>
      <c r="DV344" s="48" t="s">
        <v>3206</v>
      </c>
      <c r="DW344" s="48" t="s">
        <v>1710</v>
      </c>
      <c r="DX344" s="48" t="s">
        <v>5526</v>
      </c>
      <c r="DY344" s="48" t="s">
        <v>1709</v>
      </c>
      <c r="DZ344" s="48" t="s">
        <v>2562</v>
      </c>
      <c r="EA344" s="48" t="s">
        <v>2546</v>
      </c>
      <c r="EB344">
        <v>0</v>
      </c>
      <c r="EC344" s="48" t="s">
        <v>2575</v>
      </c>
      <c r="ED344" s="48" t="s">
        <v>5527</v>
      </c>
      <c r="EE344" s="48" t="s">
        <v>1814</v>
      </c>
      <c r="EF344" s="48" t="s">
        <v>5528</v>
      </c>
      <c r="EG344" s="48" t="s">
        <v>5524</v>
      </c>
      <c r="EH344">
        <v>3.0000000000000001E-3</v>
      </c>
      <c r="EI344" s="48" t="s">
        <v>1888</v>
      </c>
      <c r="EJ344">
        <v>0</v>
      </c>
      <c r="EK344" s="48" t="s">
        <v>1710</v>
      </c>
      <c r="EL344">
        <v>1</v>
      </c>
      <c r="EM344" s="48" t="s">
        <v>1886</v>
      </c>
      <c r="EN344">
        <v>3.0000000000000001E-3</v>
      </c>
      <c r="EO344" s="48" t="s">
        <v>5529</v>
      </c>
      <c r="EP344" s="48" t="s">
        <v>5530</v>
      </c>
      <c r="EQ344">
        <v>109.79</v>
      </c>
      <c r="ER344">
        <v>109.79</v>
      </c>
      <c r="ES344">
        <v>140727</v>
      </c>
      <c r="ET344">
        <v>96</v>
      </c>
      <c r="EU344" s="48" t="s">
        <v>1710</v>
      </c>
      <c r="EV344" s="48" t="s">
        <v>1710</v>
      </c>
      <c r="EW344" s="48" t="s">
        <v>1712</v>
      </c>
      <c r="EX344" s="48" t="s">
        <v>1710</v>
      </c>
      <c r="EY344" s="48" t="s">
        <v>1848</v>
      </c>
      <c r="EZ344" s="48" t="s">
        <v>1710</v>
      </c>
      <c r="FA344" s="48" t="s">
        <v>1710</v>
      </c>
      <c r="FB344" s="48" t="s">
        <v>1712</v>
      </c>
      <c r="FC344" s="48" t="s">
        <v>1710</v>
      </c>
      <c r="FD344" s="48" t="s">
        <v>1710</v>
      </c>
      <c r="FE344" s="48" t="s">
        <v>1814</v>
      </c>
      <c r="FF344" s="48" t="s">
        <v>1815</v>
      </c>
      <c r="FG344" s="48" t="s">
        <v>1710</v>
      </c>
      <c r="FH344">
        <v>3</v>
      </c>
      <c r="FI344" s="48" t="s">
        <v>1846</v>
      </c>
      <c r="FJ344">
        <v>109.79</v>
      </c>
      <c r="FK344">
        <v>36.597000000000001</v>
      </c>
      <c r="FL344" s="48" t="s">
        <v>5531</v>
      </c>
      <c r="FM344" s="48" t="s">
        <v>5530</v>
      </c>
      <c r="FN344" s="48" t="s">
        <v>1710</v>
      </c>
      <c r="FO344" s="48" t="s">
        <v>1710</v>
      </c>
      <c r="FP344" s="48" t="s">
        <v>1710</v>
      </c>
      <c r="FQ344" s="48" t="s">
        <v>1710</v>
      </c>
      <c r="FR344" s="48" t="s">
        <v>1710</v>
      </c>
      <c r="FS344" s="48" t="s">
        <v>1710</v>
      </c>
      <c r="FT344" s="48" t="s">
        <v>1710</v>
      </c>
      <c r="FU344" s="48" t="s">
        <v>1710</v>
      </c>
      <c r="FV344" s="48"/>
      <c r="GA344" s="55"/>
      <c r="GE344" s="61"/>
      <c r="GF344" s="62"/>
      <c r="GI344" s="48"/>
    </row>
    <row r="345" spans="1:191">
      <c r="A345" s="48" t="s">
        <v>5532</v>
      </c>
      <c r="B345" s="48" t="s">
        <v>1821</v>
      </c>
      <c r="C345" s="48" t="s">
        <v>2048</v>
      </c>
      <c r="D345" s="48" t="s">
        <v>2813</v>
      </c>
      <c r="E345" s="48" t="s">
        <v>5532</v>
      </c>
      <c r="F345" s="48" t="s">
        <v>1710</v>
      </c>
      <c r="G345" s="48" t="s">
        <v>2814</v>
      </c>
      <c r="H345" s="48" t="s">
        <v>5533</v>
      </c>
      <c r="I345" s="48" t="s">
        <v>1884</v>
      </c>
      <c r="J345" s="48" t="s">
        <v>2825</v>
      </c>
      <c r="K345" s="48" t="s">
        <v>1877</v>
      </c>
      <c r="L345" s="48" t="s">
        <v>1842</v>
      </c>
      <c r="M345" s="48" t="s">
        <v>1810</v>
      </c>
      <c r="N345" s="48" t="s">
        <v>1842</v>
      </c>
      <c r="O345" s="48" t="s">
        <v>1811</v>
      </c>
      <c r="P345" s="48" t="s">
        <v>2549</v>
      </c>
      <c r="Q345" s="48" t="s">
        <v>2049</v>
      </c>
      <c r="R345" s="48" t="s">
        <v>1838</v>
      </c>
      <c r="S345" s="48" t="s">
        <v>2050</v>
      </c>
      <c r="T345" s="48" t="s">
        <v>1845</v>
      </c>
      <c r="U345" s="48" t="s">
        <v>2049</v>
      </c>
      <c r="V345" s="48" t="s">
        <v>1838</v>
      </c>
      <c r="W345" s="48" t="s">
        <v>2051</v>
      </c>
      <c r="X345" s="48" t="s">
        <v>2052</v>
      </c>
      <c r="Y345" s="48" t="s">
        <v>2050</v>
      </c>
      <c r="Z345" s="48" t="s">
        <v>2053</v>
      </c>
      <c r="AA345" s="48" t="s">
        <v>2054</v>
      </c>
      <c r="AB345" s="48" t="s">
        <v>1710</v>
      </c>
      <c r="AC345" s="48" t="s">
        <v>2055</v>
      </c>
      <c r="AD345" s="48" t="s">
        <v>2056</v>
      </c>
      <c r="AE345" s="48" t="s">
        <v>1710</v>
      </c>
      <c r="AF345" s="48" t="s">
        <v>1710</v>
      </c>
      <c r="AG345" s="48" t="s">
        <v>2057</v>
      </c>
      <c r="AH345" s="48" t="s">
        <v>1815</v>
      </c>
      <c r="AI345" s="48" t="s">
        <v>2058</v>
      </c>
      <c r="AJ345" s="48" t="s">
        <v>1710</v>
      </c>
      <c r="AK345" s="48" t="s">
        <v>2589</v>
      </c>
      <c r="AL345" s="48" t="s">
        <v>2590</v>
      </c>
      <c r="AM345" s="48" t="s">
        <v>1816</v>
      </c>
      <c r="AN345" s="48" t="s">
        <v>2054</v>
      </c>
      <c r="AO345" s="48" t="s">
        <v>1710</v>
      </c>
      <c r="AP345" s="48" t="s">
        <v>1843</v>
      </c>
      <c r="AQ345" s="48" t="s">
        <v>2079</v>
      </c>
      <c r="AR345" s="48" t="s">
        <v>1812</v>
      </c>
      <c r="AS345" s="48" t="s">
        <v>1813</v>
      </c>
      <c r="AT345" s="48" t="s">
        <v>1826</v>
      </c>
      <c r="AU345" s="48" t="s">
        <v>2061</v>
      </c>
      <c r="AV345" s="48" t="s">
        <v>2825</v>
      </c>
      <c r="AW345" s="48" t="s">
        <v>2062</v>
      </c>
      <c r="AX345" s="48" t="s">
        <v>2063</v>
      </c>
      <c r="AY345" s="48" t="s">
        <v>1710</v>
      </c>
      <c r="AZ345" s="48" t="s">
        <v>5534</v>
      </c>
      <c r="BA345" s="48" t="s">
        <v>1710</v>
      </c>
      <c r="BB345" s="48" t="s">
        <v>1709</v>
      </c>
      <c r="BC345" s="48" t="s">
        <v>1710</v>
      </c>
      <c r="BD345" s="48" t="s">
        <v>3852</v>
      </c>
      <c r="BE345" s="52" t="s">
        <v>5476</v>
      </c>
      <c r="BF345" s="48" t="s">
        <v>1710</v>
      </c>
      <c r="BG345" s="48" t="s">
        <v>1814</v>
      </c>
      <c r="BH345">
        <v>4</v>
      </c>
      <c r="BI345" s="48" t="s">
        <v>1888</v>
      </c>
      <c r="BJ345">
        <v>1</v>
      </c>
      <c r="BK345">
        <v>1473.06</v>
      </c>
      <c r="BL345">
        <v>596611</v>
      </c>
      <c r="BM345">
        <v>405</v>
      </c>
      <c r="BN345" s="48" t="s">
        <v>2064</v>
      </c>
      <c r="BO345" s="48" t="s">
        <v>2065</v>
      </c>
      <c r="BP345">
        <v>1473.06</v>
      </c>
      <c r="BQ345">
        <v>437.6</v>
      </c>
      <c r="BR345" s="48" t="s">
        <v>1885</v>
      </c>
      <c r="BS345" s="48" t="s">
        <v>2066</v>
      </c>
      <c r="BT345">
        <v>1</v>
      </c>
      <c r="BU345">
        <v>48000</v>
      </c>
      <c r="BV345">
        <v>48000</v>
      </c>
      <c r="BW345" s="48" t="s">
        <v>2065</v>
      </c>
      <c r="BX345">
        <v>1473.06</v>
      </c>
      <c r="BY345">
        <v>0</v>
      </c>
      <c r="BZ345">
        <v>0</v>
      </c>
      <c r="CA345" s="48" t="s">
        <v>2065</v>
      </c>
      <c r="CB345">
        <v>1473.06</v>
      </c>
      <c r="CC345">
        <v>0</v>
      </c>
      <c r="CD345">
        <v>0</v>
      </c>
      <c r="CE345" s="48" t="s">
        <v>1710</v>
      </c>
      <c r="CF345" s="48" t="s">
        <v>1710</v>
      </c>
      <c r="CG345" s="48" t="s">
        <v>1710</v>
      </c>
      <c r="CH345" s="48" t="s">
        <v>1710</v>
      </c>
      <c r="CI345" s="48" t="s">
        <v>2067</v>
      </c>
      <c r="CJ345" s="48" t="s">
        <v>1710</v>
      </c>
      <c r="CL345" s="48" t="s">
        <v>2825</v>
      </c>
      <c r="CM345" s="48" t="s">
        <v>1710</v>
      </c>
      <c r="CN345" s="48" t="s">
        <v>2068</v>
      </c>
      <c r="CO345" s="48" t="s">
        <v>2069</v>
      </c>
      <c r="CP345" s="48" t="s">
        <v>1710</v>
      </c>
      <c r="CQ345" s="48" t="s">
        <v>1710</v>
      </c>
      <c r="CR345" s="48" t="s">
        <v>1710</v>
      </c>
      <c r="CS345" s="48" t="s">
        <v>1710</v>
      </c>
      <c r="CT345" s="48" t="s">
        <v>1710</v>
      </c>
      <c r="CU345" s="48" t="s">
        <v>1712</v>
      </c>
      <c r="CV345" s="48" t="s">
        <v>1710</v>
      </c>
      <c r="CW345" s="48" t="s">
        <v>1710</v>
      </c>
      <c r="CX345" s="48" t="s">
        <v>3167</v>
      </c>
      <c r="CY345" s="48" t="s">
        <v>1710</v>
      </c>
      <c r="CZ345" s="48" t="s">
        <v>1712</v>
      </c>
      <c r="DA345" s="48" t="s">
        <v>1710</v>
      </c>
      <c r="DB345" s="48" t="s">
        <v>1878</v>
      </c>
      <c r="DC345" s="48" t="s">
        <v>2070</v>
      </c>
      <c r="DD345" s="48" t="s">
        <v>1842</v>
      </c>
      <c r="DE345" s="48" t="s">
        <v>1886</v>
      </c>
      <c r="DF345" s="48" t="s">
        <v>5535</v>
      </c>
      <c r="DG345" s="48" t="s">
        <v>2071</v>
      </c>
      <c r="DH345" s="48" t="s">
        <v>1712</v>
      </c>
      <c r="DI345" s="48" t="s">
        <v>1710</v>
      </c>
      <c r="DJ345" s="48" t="s">
        <v>1710</v>
      </c>
      <c r="DK345" s="48" t="s">
        <v>1710</v>
      </c>
      <c r="DL345" s="48" t="s">
        <v>1710</v>
      </c>
      <c r="DM345" s="48" t="s">
        <v>1710</v>
      </c>
      <c r="DN345" s="48" t="s">
        <v>1710</v>
      </c>
      <c r="DO345" s="48" t="s">
        <v>1710</v>
      </c>
      <c r="DP345" s="48" t="s">
        <v>1710</v>
      </c>
      <c r="DQ345" s="48" t="s">
        <v>1710</v>
      </c>
      <c r="DR345" s="48" t="s">
        <v>2072</v>
      </c>
      <c r="DS345" s="48" t="s">
        <v>1710</v>
      </c>
      <c r="DT345" s="48" t="s">
        <v>1710</v>
      </c>
      <c r="DU345" s="48" t="s">
        <v>2575</v>
      </c>
      <c r="DV345" s="48" t="s">
        <v>3141</v>
      </c>
      <c r="DW345" s="48" t="s">
        <v>1710</v>
      </c>
      <c r="DX345" s="48" t="s">
        <v>5536</v>
      </c>
      <c r="DY345" s="48" t="s">
        <v>1709</v>
      </c>
      <c r="DZ345" s="48" t="s">
        <v>2562</v>
      </c>
      <c r="EA345" s="48" t="s">
        <v>2546</v>
      </c>
      <c r="EB345">
        <v>0</v>
      </c>
      <c r="EC345" s="48" t="s">
        <v>2575</v>
      </c>
      <c r="ED345" s="48" t="s">
        <v>5527</v>
      </c>
      <c r="EE345" s="48" t="s">
        <v>1814</v>
      </c>
      <c r="EF345" s="48" t="s">
        <v>5537</v>
      </c>
      <c r="EG345" s="48" t="s">
        <v>5534</v>
      </c>
      <c r="EH345">
        <v>2E-3</v>
      </c>
      <c r="EI345" s="48" t="s">
        <v>1888</v>
      </c>
      <c r="EJ345">
        <v>0</v>
      </c>
      <c r="EK345" s="48" t="s">
        <v>1710</v>
      </c>
      <c r="EL345">
        <v>1</v>
      </c>
      <c r="EM345" s="48" t="s">
        <v>1886</v>
      </c>
      <c r="EN345">
        <v>2E-3</v>
      </c>
      <c r="EO345" s="48" t="s">
        <v>2593</v>
      </c>
      <c r="EP345" s="48" t="s">
        <v>5538</v>
      </c>
      <c r="EQ345">
        <v>437.6</v>
      </c>
      <c r="ER345">
        <v>437.6</v>
      </c>
      <c r="ES345">
        <v>596611</v>
      </c>
      <c r="ET345">
        <v>405</v>
      </c>
      <c r="EU345" s="48" t="s">
        <v>1710</v>
      </c>
      <c r="EV345" s="48" t="s">
        <v>1710</v>
      </c>
      <c r="EW345" s="48" t="s">
        <v>1712</v>
      </c>
      <c r="EX345" s="48" t="s">
        <v>1710</v>
      </c>
      <c r="EY345" s="48" t="s">
        <v>1848</v>
      </c>
      <c r="EZ345" s="48" t="s">
        <v>1710</v>
      </c>
      <c r="FA345" s="48" t="s">
        <v>1710</v>
      </c>
      <c r="FB345" s="48" t="s">
        <v>1712</v>
      </c>
      <c r="FC345" s="48" t="s">
        <v>1710</v>
      </c>
      <c r="FD345" s="48" t="s">
        <v>1710</v>
      </c>
      <c r="FE345" s="48" t="s">
        <v>1814</v>
      </c>
      <c r="FF345" s="48" t="s">
        <v>1815</v>
      </c>
      <c r="FG345" s="48" t="s">
        <v>1710</v>
      </c>
      <c r="FH345">
        <v>1</v>
      </c>
      <c r="FI345" s="48" t="s">
        <v>1846</v>
      </c>
      <c r="FJ345">
        <v>437.6</v>
      </c>
      <c r="FK345">
        <v>437.6</v>
      </c>
      <c r="FL345" s="48" t="s">
        <v>5539</v>
      </c>
      <c r="FM345" s="48" t="s">
        <v>5538</v>
      </c>
      <c r="FN345" s="48" t="s">
        <v>1710</v>
      </c>
      <c r="FO345" s="48" t="s">
        <v>1710</v>
      </c>
      <c r="FP345" s="48" t="s">
        <v>1710</v>
      </c>
      <c r="FQ345" s="48" t="s">
        <v>1710</v>
      </c>
      <c r="FR345" s="48" t="s">
        <v>1710</v>
      </c>
      <c r="FS345" s="48" t="s">
        <v>1710</v>
      </c>
      <c r="FT345" s="48" t="s">
        <v>1710</v>
      </c>
      <c r="FU345" s="48" t="s">
        <v>1710</v>
      </c>
      <c r="FV345" s="48"/>
      <c r="GA345" s="55"/>
      <c r="GE345" s="61"/>
      <c r="GF345" s="62"/>
      <c r="GI345" s="48"/>
    </row>
    <row r="346" spans="1:191">
      <c r="A346" s="48" t="s">
        <v>5540</v>
      </c>
      <c r="B346" s="48" t="s">
        <v>1821</v>
      </c>
      <c r="C346" s="48" t="s">
        <v>2048</v>
      </c>
      <c r="D346" s="48" t="s">
        <v>2813</v>
      </c>
      <c r="E346" s="48" t="s">
        <v>5540</v>
      </c>
      <c r="F346" s="48" t="s">
        <v>1710</v>
      </c>
      <c r="G346" s="48" t="s">
        <v>2814</v>
      </c>
      <c r="H346" s="48" t="s">
        <v>5541</v>
      </c>
      <c r="I346" s="48" t="s">
        <v>1884</v>
      </c>
      <c r="J346" s="48" t="s">
        <v>2825</v>
      </c>
      <c r="K346" s="48" t="s">
        <v>1877</v>
      </c>
      <c r="L346" s="48" t="s">
        <v>1842</v>
      </c>
      <c r="M346" s="48" t="s">
        <v>1810</v>
      </c>
      <c r="N346" s="48" t="s">
        <v>1842</v>
      </c>
      <c r="O346" s="48" t="s">
        <v>1811</v>
      </c>
      <c r="P346" s="48" t="s">
        <v>2549</v>
      </c>
      <c r="Q346" s="48" t="s">
        <v>2049</v>
      </c>
      <c r="R346" s="48" t="s">
        <v>1838</v>
      </c>
      <c r="S346" s="48" t="s">
        <v>2050</v>
      </c>
      <c r="T346" s="48" t="s">
        <v>1845</v>
      </c>
      <c r="U346" s="48" t="s">
        <v>2049</v>
      </c>
      <c r="V346" s="48" t="s">
        <v>1838</v>
      </c>
      <c r="W346" s="48" t="s">
        <v>2051</v>
      </c>
      <c r="X346" s="48" t="s">
        <v>2052</v>
      </c>
      <c r="Y346" s="48" t="s">
        <v>2050</v>
      </c>
      <c r="Z346" s="48" t="s">
        <v>2053</v>
      </c>
      <c r="AA346" s="48" t="s">
        <v>2054</v>
      </c>
      <c r="AB346" s="48" t="s">
        <v>1710</v>
      </c>
      <c r="AC346" s="48" t="s">
        <v>2055</v>
      </c>
      <c r="AD346" s="48" t="s">
        <v>2056</v>
      </c>
      <c r="AE346" s="48" t="s">
        <v>1710</v>
      </c>
      <c r="AF346" s="48" t="s">
        <v>1710</v>
      </c>
      <c r="AG346" s="48" t="s">
        <v>2057</v>
      </c>
      <c r="AH346" s="48" t="s">
        <v>1815</v>
      </c>
      <c r="AI346" s="48" t="s">
        <v>2058</v>
      </c>
      <c r="AJ346" s="48" t="s">
        <v>1710</v>
      </c>
      <c r="AK346" s="48" t="s">
        <v>2563</v>
      </c>
      <c r="AL346" s="48" t="s">
        <v>2564</v>
      </c>
      <c r="AM346" s="48" t="s">
        <v>1816</v>
      </c>
      <c r="AN346" s="48" t="s">
        <v>2054</v>
      </c>
      <c r="AO346" s="48" t="s">
        <v>1710</v>
      </c>
      <c r="AP346" s="48" t="s">
        <v>1855</v>
      </c>
      <c r="AQ346" s="48" t="s">
        <v>2076</v>
      </c>
      <c r="AR346" s="48" t="s">
        <v>1812</v>
      </c>
      <c r="AS346" s="48" t="s">
        <v>1813</v>
      </c>
      <c r="AT346" s="48" t="s">
        <v>1826</v>
      </c>
      <c r="AU346" s="48" t="s">
        <v>2061</v>
      </c>
      <c r="AV346" s="48" t="s">
        <v>2825</v>
      </c>
      <c r="AW346" s="48" t="s">
        <v>2062</v>
      </c>
      <c r="AX346" s="48" t="s">
        <v>2063</v>
      </c>
      <c r="AY346" s="48" t="s">
        <v>1710</v>
      </c>
      <c r="AZ346" s="48" t="s">
        <v>5542</v>
      </c>
      <c r="BA346" s="48" t="s">
        <v>1710</v>
      </c>
      <c r="BB346" s="48" t="s">
        <v>1709</v>
      </c>
      <c r="BC346" s="48" t="s">
        <v>1710</v>
      </c>
      <c r="BD346" s="48" t="s">
        <v>2864</v>
      </c>
      <c r="BE346" s="52" t="s">
        <v>5476</v>
      </c>
      <c r="BF346" s="48" t="s">
        <v>1710</v>
      </c>
      <c r="BG346" s="48" t="s">
        <v>1814</v>
      </c>
      <c r="BH346">
        <v>9</v>
      </c>
      <c r="BI346" s="48" t="s">
        <v>1888</v>
      </c>
      <c r="BJ346">
        <v>1</v>
      </c>
      <c r="BK346">
        <v>1473.06</v>
      </c>
      <c r="BL346">
        <v>1617823</v>
      </c>
      <c r="BM346">
        <v>1098</v>
      </c>
      <c r="BN346" s="48" t="s">
        <v>2064</v>
      </c>
      <c r="BO346" s="48" t="s">
        <v>2065</v>
      </c>
      <c r="BP346">
        <v>1473.06</v>
      </c>
      <c r="BQ346">
        <v>1135.3399999999999</v>
      </c>
      <c r="BR346" s="48" t="s">
        <v>1885</v>
      </c>
      <c r="BS346" s="48" t="s">
        <v>2066</v>
      </c>
      <c r="BT346">
        <v>1</v>
      </c>
      <c r="BU346">
        <v>54600</v>
      </c>
      <c r="BV346">
        <v>54600</v>
      </c>
      <c r="BW346" s="48" t="s">
        <v>2065</v>
      </c>
      <c r="BX346">
        <v>1473.06</v>
      </c>
      <c r="BY346">
        <v>0</v>
      </c>
      <c r="BZ346">
        <v>0</v>
      </c>
      <c r="CA346" s="48" t="s">
        <v>2065</v>
      </c>
      <c r="CB346">
        <v>1473.06</v>
      </c>
      <c r="CC346">
        <v>0</v>
      </c>
      <c r="CD346">
        <v>0</v>
      </c>
      <c r="CE346" s="48" t="s">
        <v>1710</v>
      </c>
      <c r="CF346" s="48" t="s">
        <v>1710</v>
      </c>
      <c r="CG346" s="48" t="s">
        <v>1710</v>
      </c>
      <c r="CH346" s="48" t="s">
        <v>1710</v>
      </c>
      <c r="CI346" s="48" t="s">
        <v>2067</v>
      </c>
      <c r="CJ346" s="48" t="s">
        <v>1710</v>
      </c>
      <c r="CL346" s="48" t="s">
        <v>2825</v>
      </c>
      <c r="CM346" s="48" t="s">
        <v>1710</v>
      </c>
      <c r="CN346" s="48" t="s">
        <v>2068</v>
      </c>
      <c r="CO346" s="48" t="s">
        <v>2069</v>
      </c>
      <c r="CP346" s="48" t="s">
        <v>1710</v>
      </c>
      <c r="CQ346" s="48" t="s">
        <v>1710</v>
      </c>
      <c r="CR346" s="48" t="s">
        <v>1710</v>
      </c>
      <c r="CS346" s="48" t="s">
        <v>1710</v>
      </c>
      <c r="CT346" s="48" t="s">
        <v>1710</v>
      </c>
      <c r="CU346" s="48" t="s">
        <v>1712</v>
      </c>
      <c r="CV346" s="48" t="s">
        <v>1710</v>
      </c>
      <c r="CW346" s="48" t="s">
        <v>1710</v>
      </c>
      <c r="CX346" s="48" t="s">
        <v>3167</v>
      </c>
      <c r="CY346" s="48" t="s">
        <v>1710</v>
      </c>
      <c r="CZ346" s="48" t="s">
        <v>1712</v>
      </c>
      <c r="DA346" s="48" t="s">
        <v>1710</v>
      </c>
      <c r="DB346" s="48" t="s">
        <v>1878</v>
      </c>
      <c r="DC346" s="48" t="s">
        <v>2070</v>
      </c>
      <c r="DD346" s="48" t="s">
        <v>1842</v>
      </c>
      <c r="DE346" s="48" t="s">
        <v>1886</v>
      </c>
      <c r="DF346" s="48" t="s">
        <v>5543</v>
      </c>
      <c r="DG346" s="48" t="s">
        <v>2071</v>
      </c>
      <c r="DH346" s="48" t="s">
        <v>1712</v>
      </c>
      <c r="DI346" s="48" t="s">
        <v>1710</v>
      </c>
      <c r="DJ346" s="48" t="s">
        <v>1710</v>
      </c>
      <c r="DK346" s="48" t="s">
        <v>1710</v>
      </c>
      <c r="DL346" s="48" t="s">
        <v>1710</v>
      </c>
      <c r="DM346" s="48" t="s">
        <v>1710</v>
      </c>
      <c r="DN346" s="48" t="s">
        <v>1710</v>
      </c>
      <c r="DO346" s="48" t="s">
        <v>1710</v>
      </c>
      <c r="DP346" s="48" t="s">
        <v>1710</v>
      </c>
      <c r="DQ346" s="48" t="s">
        <v>1710</v>
      </c>
      <c r="DR346" s="48" t="s">
        <v>2072</v>
      </c>
      <c r="DS346" s="48" t="s">
        <v>1710</v>
      </c>
      <c r="DT346" s="48" t="s">
        <v>1710</v>
      </c>
      <c r="DU346" s="48" t="s">
        <v>2575</v>
      </c>
      <c r="DV346" s="48" t="s">
        <v>3141</v>
      </c>
      <c r="DW346" s="48" t="s">
        <v>1710</v>
      </c>
      <c r="DX346" s="48" t="s">
        <v>5544</v>
      </c>
      <c r="DY346" s="48" t="s">
        <v>1709</v>
      </c>
      <c r="DZ346" s="48" t="s">
        <v>2562</v>
      </c>
      <c r="EA346" s="48" t="s">
        <v>2546</v>
      </c>
      <c r="EB346">
        <v>0</v>
      </c>
      <c r="EC346" s="48" t="s">
        <v>2575</v>
      </c>
      <c r="ED346" s="48" t="s">
        <v>5527</v>
      </c>
      <c r="EE346" s="48" t="s">
        <v>1814</v>
      </c>
      <c r="EF346" s="48" t="s">
        <v>1852</v>
      </c>
      <c r="EG346" s="48" t="s">
        <v>5542</v>
      </c>
      <c r="EH346">
        <v>1</v>
      </c>
      <c r="EI346" s="48" t="s">
        <v>1888</v>
      </c>
      <c r="EJ346">
        <v>0</v>
      </c>
      <c r="EK346" s="48" t="s">
        <v>1710</v>
      </c>
      <c r="EL346">
        <v>1</v>
      </c>
      <c r="EM346" s="48" t="s">
        <v>1886</v>
      </c>
      <c r="EN346">
        <v>1</v>
      </c>
      <c r="EO346" s="48" t="s">
        <v>2521</v>
      </c>
      <c r="EP346" s="48" t="s">
        <v>5545</v>
      </c>
      <c r="EQ346">
        <v>1135.3399999999999</v>
      </c>
      <c r="ER346">
        <v>1135.3399999999999</v>
      </c>
      <c r="ES346">
        <v>1617823</v>
      </c>
      <c r="ET346">
        <v>1098</v>
      </c>
      <c r="EU346" s="48" t="s">
        <v>1710</v>
      </c>
      <c r="EV346" s="48" t="s">
        <v>1710</v>
      </c>
      <c r="EW346" s="48" t="s">
        <v>1712</v>
      </c>
      <c r="EX346" s="48" t="s">
        <v>1710</v>
      </c>
      <c r="EY346" s="48" t="s">
        <v>1874</v>
      </c>
      <c r="EZ346" s="48" t="s">
        <v>1710</v>
      </c>
      <c r="FA346" s="48" t="s">
        <v>1710</v>
      </c>
      <c r="FB346" s="48" t="s">
        <v>1712</v>
      </c>
      <c r="FC346" s="48" t="s">
        <v>1710</v>
      </c>
      <c r="FD346" s="48" t="s">
        <v>1710</v>
      </c>
      <c r="FE346" s="48" t="s">
        <v>1814</v>
      </c>
      <c r="FF346" s="48" t="s">
        <v>1815</v>
      </c>
      <c r="FG346" s="48" t="s">
        <v>1710</v>
      </c>
      <c r="FH346">
        <v>6</v>
      </c>
      <c r="FI346" s="48" t="s">
        <v>1846</v>
      </c>
      <c r="FJ346">
        <v>1135.3399999999999</v>
      </c>
      <c r="FK346">
        <v>189.22300000000001</v>
      </c>
      <c r="FL346" s="48" t="s">
        <v>5546</v>
      </c>
      <c r="FM346" s="48" t="s">
        <v>5545</v>
      </c>
      <c r="FN346" s="48" t="s">
        <v>1710</v>
      </c>
      <c r="FO346" s="48" t="s">
        <v>1710</v>
      </c>
      <c r="FP346" s="48" t="s">
        <v>1710</v>
      </c>
      <c r="FQ346" s="48" t="s">
        <v>1710</v>
      </c>
      <c r="FR346" s="48" t="s">
        <v>1710</v>
      </c>
      <c r="FS346" s="48" t="s">
        <v>1710</v>
      </c>
      <c r="FT346" s="48" t="s">
        <v>1710</v>
      </c>
      <c r="FU346" s="48" t="s">
        <v>1710</v>
      </c>
      <c r="FV346" s="48"/>
      <c r="GA346" s="55"/>
      <c r="GE346" s="61"/>
      <c r="GF346" s="62"/>
      <c r="GI346" s="48"/>
    </row>
    <row r="347" spans="1:191">
      <c r="A347" s="48" t="s">
        <v>5547</v>
      </c>
      <c r="B347" s="48" t="s">
        <v>1821</v>
      </c>
      <c r="C347" s="48" t="s">
        <v>2048</v>
      </c>
      <c r="D347" s="48" t="s">
        <v>2813</v>
      </c>
      <c r="E347" s="48" t="s">
        <v>5547</v>
      </c>
      <c r="F347" s="48" t="s">
        <v>1710</v>
      </c>
      <c r="G347" s="48" t="s">
        <v>2814</v>
      </c>
      <c r="H347" s="48" t="s">
        <v>5548</v>
      </c>
      <c r="I347" s="48" t="s">
        <v>1884</v>
      </c>
      <c r="J347" s="48" t="s">
        <v>2825</v>
      </c>
      <c r="K347" s="48" t="s">
        <v>1877</v>
      </c>
      <c r="L347" s="48" t="s">
        <v>1842</v>
      </c>
      <c r="M347" s="48" t="s">
        <v>1810</v>
      </c>
      <c r="N347" s="48" t="s">
        <v>1842</v>
      </c>
      <c r="O347" s="48" t="s">
        <v>1811</v>
      </c>
      <c r="P347" s="48" t="s">
        <v>2549</v>
      </c>
      <c r="Q347" s="48" t="s">
        <v>2049</v>
      </c>
      <c r="R347" s="48" t="s">
        <v>1838</v>
      </c>
      <c r="S347" s="48" t="s">
        <v>2050</v>
      </c>
      <c r="T347" s="48" t="s">
        <v>1845</v>
      </c>
      <c r="U347" s="48" t="s">
        <v>2049</v>
      </c>
      <c r="V347" s="48" t="s">
        <v>1838</v>
      </c>
      <c r="W347" s="48" t="s">
        <v>2051</v>
      </c>
      <c r="X347" s="48" t="s">
        <v>2052</v>
      </c>
      <c r="Y347" s="48" t="s">
        <v>2050</v>
      </c>
      <c r="Z347" s="48" t="s">
        <v>2053</v>
      </c>
      <c r="AA347" s="48" t="s">
        <v>2054</v>
      </c>
      <c r="AB347" s="48" t="s">
        <v>1710</v>
      </c>
      <c r="AC347" s="48" t="s">
        <v>2055</v>
      </c>
      <c r="AD347" s="48" t="s">
        <v>2056</v>
      </c>
      <c r="AE347" s="48" t="s">
        <v>1710</v>
      </c>
      <c r="AF347" s="48" t="s">
        <v>1710</v>
      </c>
      <c r="AG347" s="48" t="s">
        <v>2057</v>
      </c>
      <c r="AH347" s="48" t="s">
        <v>1815</v>
      </c>
      <c r="AI347" s="48" t="s">
        <v>2058</v>
      </c>
      <c r="AJ347" s="48" t="s">
        <v>1710</v>
      </c>
      <c r="AK347" s="48" t="s">
        <v>2102</v>
      </c>
      <c r="AL347" s="48" t="s">
        <v>1858</v>
      </c>
      <c r="AM347" s="48" t="s">
        <v>1816</v>
      </c>
      <c r="AN347" s="48" t="s">
        <v>2054</v>
      </c>
      <c r="AO347" s="48" t="s">
        <v>1710</v>
      </c>
      <c r="AP347" s="48" t="s">
        <v>1848</v>
      </c>
      <c r="AQ347" s="48" t="s">
        <v>2060</v>
      </c>
      <c r="AR347" s="48" t="s">
        <v>1812</v>
      </c>
      <c r="AS347" s="48" t="s">
        <v>1813</v>
      </c>
      <c r="AT347" s="48" t="s">
        <v>1826</v>
      </c>
      <c r="AU347" s="48" t="s">
        <v>2061</v>
      </c>
      <c r="AV347" s="48" t="s">
        <v>2825</v>
      </c>
      <c r="AW347" s="48" t="s">
        <v>2062</v>
      </c>
      <c r="AX347" s="48" t="s">
        <v>2063</v>
      </c>
      <c r="AY347" s="48" t="s">
        <v>1710</v>
      </c>
      <c r="AZ347" s="48" t="s">
        <v>5549</v>
      </c>
      <c r="BA347" s="48" t="s">
        <v>1710</v>
      </c>
      <c r="BB347" s="48" t="s">
        <v>1709</v>
      </c>
      <c r="BC347" s="48" t="s">
        <v>1710</v>
      </c>
      <c r="BD347" s="48" t="s">
        <v>2089</v>
      </c>
      <c r="BE347" s="52" t="s">
        <v>5550</v>
      </c>
      <c r="BF347" s="48" t="s">
        <v>1710</v>
      </c>
      <c r="BG347" s="48" t="s">
        <v>1814</v>
      </c>
      <c r="BH347">
        <v>2</v>
      </c>
      <c r="BI347" s="48" t="s">
        <v>1888</v>
      </c>
      <c r="BJ347">
        <v>1</v>
      </c>
      <c r="BK347">
        <v>1473.06</v>
      </c>
      <c r="BL347">
        <v>1159657</v>
      </c>
      <c r="BM347">
        <v>787</v>
      </c>
      <c r="BN347" s="48" t="s">
        <v>2064</v>
      </c>
      <c r="BO347" s="48" t="s">
        <v>2065</v>
      </c>
      <c r="BP347">
        <v>1473.06</v>
      </c>
      <c r="BQ347">
        <v>819.49</v>
      </c>
      <c r="BR347" s="48" t="s">
        <v>1885</v>
      </c>
      <c r="BS347" s="48" t="s">
        <v>2066</v>
      </c>
      <c r="BT347">
        <v>1</v>
      </c>
      <c r="BU347">
        <v>47500</v>
      </c>
      <c r="BV347">
        <v>47500</v>
      </c>
      <c r="BW347" s="48" t="s">
        <v>2065</v>
      </c>
      <c r="BX347">
        <v>1473.06</v>
      </c>
      <c r="BY347">
        <v>0</v>
      </c>
      <c r="BZ347">
        <v>0</v>
      </c>
      <c r="CA347" s="48" t="s">
        <v>2065</v>
      </c>
      <c r="CB347">
        <v>1473.06</v>
      </c>
      <c r="CC347">
        <v>0</v>
      </c>
      <c r="CD347">
        <v>0</v>
      </c>
      <c r="CE347" s="48" t="s">
        <v>1710</v>
      </c>
      <c r="CF347" s="48" t="s">
        <v>1710</v>
      </c>
      <c r="CG347" s="48" t="s">
        <v>1710</v>
      </c>
      <c r="CH347" s="48" t="s">
        <v>1710</v>
      </c>
      <c r="CI347" s="48" t="s">
        <v>2067</v>
      </c>
      <c r="CJ347" s="48" t="s">
        <v>1710</v>
      </c>
      <c r="CL347" s="48" t="s">
        <v>2825</v>
      </c>
      <c r="CM347" s="48" t="s">
        <v>1710</v>
      </c>
      <c r="CN347" s="48" t="s">
        <v>2068</v>
      </c>
      <c r="CO347" s="48" t="s">
        <v>2069</v>
      </c>
      <c r="CP347" s="48" t="s">
        <v>1710</v>
      </c>
      <c r="CQ347" s="48" t="s">
        <v>1710</v>
      </c>
      <c r="CR347" s="48" t="s">
        <v>1710</v>
      </c>
      <c r="CS347" s="48" t="s">
        <v>1710</v>
      </c>
      <c r="CT347" s="48" t="s">
        <v>1710</v>
      </c>
      <c r="CU347" s="48" t="s">
        <v>1712</v>
      </c>
      <c r="CV347" s="48" t="s">
        <v>1710</v>
      </c>
      <c r="CW347" s="48" t="s">
        <v>1710</v>
      </c>
      <c r="CX347" s="48" t="s">
        <v>3167</v>
      </c>
      <c r="CY347" s="48" t="s">
        <v>1710</v>
      </c>
      <c r="CZ347" s="48" t="s">
        <v>1712</v>
      </c>
      <c r="DA347" s="48" t="s">
        <v>1710</v>
      </c>
      <c r="DB347" s="48" t="s">
        <v>1878</v>
      </c>
      <c r="DC347" s="48" t="s">
        <v>2070</v>
      </c>
      <c r="DD347" s="48" t="s">
        <v>1842</v>
      </c>
      <c r="DE347" s="48" t="s">
        <v>1886</v>
      </c>
      <c r="DF347" s="48" t="s">
        <v>5551</v>
      </c>
      <c r="DG347" s="48" t="s">
        <v>2071</v>
      </c>
      <c r="DH347" s="48" t="s">
        <v>1712</v>
      </c>
      <c r="DI347" s="48" t="s">
        <v>1710</v>
      </c>
      <c r="DJ347" s="48" t="s">
        <v>1710</v>
      </c>
      <c r="DK347" s="48" t="s">
        <v>1710</v>
      </c>
      <c r="DL347" s="48" t="s">
        <v>1710</v>
      </c>
      <c r="DM347" s="48" t="s">
        <v>1710</v>
      </c>
      <c r="DN347" s="48" t="s">
        <v>1710</v>
      </c>
      <c r="DO347" s="48" t="s">
        <v>1710</v>
      </c>
      <c r="DP347" s="48" t="s">
        <v>1710</v>
      </c>
      <c r="DQ347" s="48" t="s">
        <v>1710</v>
      </c>
      <c r="DR347" s="48" t="s">
        <v>2072</v>
      </c>
      <c r="DS347" s="48" t="s">
        <v>1710</v>
      </c>
      <c r="DT347" s="48" t="s">
        <v>1710</v>
      </c>
      <c r="DU347" s="48" t="s">
        <v>2575</v>
      </c>
      <c r="DV347" s="48" t="s">
        <v>3141</v>
      </c>
      <c r="DW347" s="48" t="s">
        <v>1710</v>
      </c>
      <c r="DX347" s="48" t="s">
        <v>5552</v>
      </c>
      <c r="DY347" s="48" t="s">
        <v>1709</v>
      </c>
      <c r="DZ347" s="48" t="s">
        <v>2562</v>
      </c>
      <c r="EA347" s="48" t="s">
        <v>2546</v>
      </c>
      <c r="EB347">
        <v>0</v>
      </c>
      <c r="EC347" s="48" t="s">
        <v>2575</v>
      </c>
      <c r="ED347" s="48" t="s">
        <v>5553</v>
      </c>
      <c r="EE347" s="48" t="s">
        <v>1814</v>
      </c>
      <c r="EF347" s="48" t="s">
        <v>1857</v>
      </c>
      <c r="EG347" s="48" t="s">
        <v>5549</v>
      </c>
      <c r="EH347">
        <v>1</v>
      </c>
      <c r="EI347" s="48" t="s">
        <v>1888</v>
      </c>
      <c r="EJ347">
        <v>1</v>
      </c>
      <c r="EK347" s="48" t="s">
        <v>1887</v>
      </c>
      <c r="EL347">
        <v>1</v>
      </c>
      <c r="EM347" s="48" t="s">
        <v>1886</v>
      </c>
      <c r="EN347">
        <v>1</v>
      </c>
      <c r="EO347" s="48" t="s">
        <v>2545</v>
      </c>
      <c r="EP347" s="48" t="s">
        <v>5554</v>
      </c>
      <c r="EQ347">
        <v>819.49</v>
      </c>
      <c r="ER347">
        <v>819.49</v>
      </c>
      <c r="ES347">
        <v>1159657</v>
      </c>
      <c r="ET347">
        <v>787</v>
      </c>
      <c r="EU347" s="48" t="s">
        <v>1710</v>
      </c>
      <c r="EV347" s="48" t="s">
        <v>1710</v>
      </c>
      <c r="EW347" s="48" t="s">
        <v>1712</v>
      </c>
      <c r="EX347" s="48" t="s">
        <v>1710</v>
      </c>
      <c r="EY347" s="48" t="s">
        <v>1853</v>
      </c>
      <c r="EZ347" s="48" t="s">
        <v>1710</v>
      </c>
      <c r="FA347" s="48" t="s">
        <v>1710</v>
      </c>
      <c r="FB347" s="48" t="s">
        <v>1712</v>
      </c>
      <c r="FC347" s="48" t="s">
        <v>1710</v>
      </c>
      <c r="FD347" s="48" t="s">
        <v>1710</v>
      </c>
      <c r="FE347" s="48" t="s">
        <v>1814</v>
      </c>
      <c r="FF347" s="48" t="s">
        <v>1815</v>
      </c>
      <c r="FG347" s="48" t="s">
        <v>1710</v>
      </c>
      <c r="FH347">
        <v>1</v>
      </c>
      <c r="FI347" s="48" t="s">
        <v>1846</v>
      </c>
      <c r="FJ347">
        <v>819.49</v>
      </c>
      <c r="FK347">
        <v>819.49</v>
      </c>
      <c r="FL347" s="48" t="s">
        <v>5555</v>
      </c>
      <c r="FM347" s="48" t="s">
        <v>5554</v>
      </c>
      <c r="FN347" s="48" t="s">
        <v>1710</v>
      </c>
      <c r="FO347" s="48" t="s">
        <v>1710</v>
      </c>
      <c r="FP347" s="48" t="s">
        <v>1710</v>
      </c>
      <c r="FQ347" s="48" t="s">
        <v>1710</v>
      </c>
      <c r="FR347" s="48" t="s">
        <v>1710</v>
      </c>
      <c r="FS347" s="48" t="s">
        <v>1710</v>
      </c>
      <c r="FT347" s="48" t="s">
        <v>1710</v>
      </c>
      <c r="FU347" s="48" t="s">
        <v>1710</v>
      </c>
      <c r="FV347" s="48"/>
      <c r="GA347" s="55"/>
      <c r="GE347" s="61"/>
      <c r="GF347" s="62"/>
      <c r="GI347" s="48"/>
    </row>
    <row r="348" spans="1:191">
      <c r="A348" s="48" t="s">
        <v>5556</v>
      </c>
      <c r="B348" s="48" t="s">
        <v>1821</v>
      </c>
      <c r="C348" s="48" t="s">
        <v>2048</v>
      </c>
      <c r="D348" s="48" t="s">
        <v>2813</v>
      </c>
      <c r="E348" s="48" t="s">
        <v>5556</v>
      </c>
      <c r="F348" s="48" t="s">
        <v>1710</v>
      </c>
      <c r="G348" s="48" t="s">
        <v>2814</v>
      </c>
      <c r="H348" s="48" t="s">
        <v>5557</v>
      </c>
      <c r="I348" s="48" t="s">
        <v>1884</v>
      </c>
      <c r="J348" s="48" t="s">
        <v>2825</v>
      </c>
      <c r="K348" s="48" t="s">
        <v>1877</v>
      </c>
      <c r="L348" s="48" t="s">
        <v>1842</v>
      </c>
      <c r="M348" s="48" t="s">
        <v>1810</v>
      </c>
      <c r="N348" s="48" t="s">
        <v>1842</v>
      </c>
      <c r="O348" s="48" t="s">
        <v>1811</v>
      </c>
      <c r="P348" s="48" t="s">
        <v>2549</v>
      </c>
      <c r="Q348" s="48" t="s">
        <v>2049</v>
      </c>
      <c r="R348" s="48" t="s">
        <v>1838</v>
      </c>
      <c r="S348" s="48" t="s">
        <v>2050</v>
      </c>
      <c r="T348" s="48" t="s">
        <v>1845</v>
      </c>
      <c r="U348" s="48" t="s">
        <v>2049</v>
      </c>
      <c r="V348" s="48" t="s">
        <v>1838</v>
      </c>
      <c r="W348" s="48" t="s">
        <v>2051</v>
      </c>
      <c r="X348" s="48" t="s">
        <v>2052</v>
      </c>
      <c r="Y348" s="48" t="s">
        <v>2050</v>
      </c>
      <c r="Z348" s="48" t="s">
        <v>2053</v>
      </c>
      <c r="AA348" s="48" t="s">
        <v>2054</v>
      </c>
      <c r="AB348" s="48" t="s">
        <v>1710</v>
      </c>
      <c r="AC348" s="48" t="s">
        <v>2055</v>
      </c>
      <c r="AD348" s="48" t="s">
        <v>2056</v>
      </c>
      <c r="AE348" s="48" t="s">
        <v>1710</v>
      </c>
      <c r="AF348" s="48" t="s">
        <v>1710</v>
      </c>
      <c r="AG348" s="48" t="s">
        <v>2057</v>
      </c>
      <c r="AH348" s="48" t="s">
        <v>1815</v>
      </c>
      <c r="AI348" s="48" t="s">
        <v>2058</v>
      </c>
      <c r="AJ348" s="48" t="s">
        <v>1710</v>
      </c>
      <c r="AK348" s="48" t="s">
        <v>2087</v>
      </c>
      <c r="AL348" s="48" t="s">
        <v>2088</v>
      </c>
      <c r="AM348" s="48" t="s">
        <v>1816</v>
      </c>
      <c r="AN348" s="48" t="s">
        <v>2054</v>
      </c>
      <c r="AO348" s="48" t="s">
        <v>1710</v>
      </c>
      <c r="AP348" s="48" t="s">
        <v>1853</v>
      </c>
      <c r="AQ348" s="48" t="s">
        <v>2086</v>
      </c>
      <c r="AR348" s="48" t="s">
        <v>1812</v>
      </c>
      <c r="AS348" s="48" t="s">
        <v>1813</v>
      </c>
      <c r="AT348" s="48" t="s">
        <v>1826</v>
      </c>
      <c r="AU348" s="48" t="s">
        <v>2061</v>
      </c>
      <c r="AV348" s="48" t="s">
        <v>2825</v>
      </c>
      <c r="AW348" s="48" t="s">
        <v>2062</v>
      </c>
      <c r="AX348" s="48" t="s">
        <v>2063</v>
      </c>
      <c r="AY348" s="48" t="s">
        <v>1710</v>
      </c>
      <c r="AZ348" s="48" t="s">
        <v>5558</v>
      </c>
      <c r="BA348" s="48" t="s">
        <v>1710</v>
      </c>
      <c r="BB348" s="48" t="s">
        <v>1709</v>
      </c>
      <c r="BC348" s="48" t="s">
        <v>1710</v>
      </c>
      <c r="BD348" s="48" t="s">
        <v>2089</v>
      </c>
      <c r="BE348" s="52" t="s">
        <v>5550</v>
      </c>
      <c r="BF348" s="48" t="s">
        <v>1710</v>
      </c>
      <c r="BG348" s="48" t="s">
        <v>1814</v>
      </c>
      <c r="BH348">
        <v>1</v>
      </c>
      <c r="BI348" s="48" t="s">
        <v>1888</v>
      </c>
      <c r="BJ348">
        <v>1</v>
      </c>
      <c r="BK348">
        <v>1473.06</v>
      </c>
      <c r="BL348">
        <v>36729</v>
      </c>
      <c r="BM348">
        <v>25</v>
      </c>
      <c r="BN348" s="48" t="s">
        <v>2064</v>
      </c>
      <c r="BO348" s="48" t="s">
        <v>2065</v>
      </c>
      <c r="BP348">
        <v>1473.06</v>
      </c>
      <c r="BQ348">
        <v>39.19</v>
      </c>
      <c r="BR348" s="48" t="s">
        <v>1885</v>
      </c>
      <c r="BS348" s="48" t="s">
        <v>2066</v>
      </c>
      <c r="BT348">
        <v>1</v>
      </c>
      <c r="BU348">
        <v>21000</v>
      </c>
      <c r="BV348">
        <v>21000</v>
      </c>
      <c r="BW348" s="48" t="s">
        <v>2065</v>
      </c>
      <c r="BX348">
        <v>1473.06</v>
      </c>
      <c r="BY348">
        <v>0</v>
      </c>
      <c r="BZ348">
        <v>0</v>
      </c>
      <c r="CA348" s="48" t="s">
        <v>2065</v>
      </c>
      <c r="CB348">
        <v>1473.06</v>
      </c>
      <c r="CC348">
        <v>0</v>
      </c>
      <c r="CD348">
        <v>0</v>
      </c>
      <c r="CE348" s="48" t="s">
        <v>1710</v>
      </c>
      <c r="CF348" s="48" t="s">
        <v>1710</v>
      </c>
      <c r="CG348" s="48" t="s">
        <v>1710</v>
      </c>
      <c r="CH348" s="48" t="s">
        <v>1710</v>
      </c>
      <c r="CI348" s="48" t="s">
        <v>2067</v>
      </c>
      <c r="CJ348" s="48" t="s">
        <v>1710</v>
      </c>
      <c r="CL348" s="48" t="s">
        <v>2825</v>
      </c>
      <c r="CM348" s="48" t="s">
        <v>1710</v>
      </c>
      <c r="CN348" s="48" t="s">
        <v>2068</v>
      </c>
      <c r="CO348" s="48" t="s">
        <v>2069</v>
      </c>
      <c r="CP348" s="48" t="s">
        <v>1710</v>
      </c>
      <c r="CQ348" s="48" t="s">
        <v>1710</v>
      </c>
      <c r="CR348" s="48" t="s">
        <v>1710</v>
      </c>
      <c r="CS348" s="48" t="s">
        <v>1710</v>
      </c>
      <c r="CT348" s="48" t="s">
        <v>1710</v>
      </c>
      <c r="CU348" s="48" t="s">
        <v>1712</v>
      </c>
      <c r="CV348" s="48" t="s">
        <v>1710</v>
      </c>
      <c r="CW348" s="48" t="s">
        <v>1710</v>
      </c>
      <c r="CX348" s="48" t="s">
        <v>3167</v>
      </c>
      <c r="CY348" s="48" t="s">
        <v>1710</v>
      </c>
      <c r="CZ348" s="48" t="s">
        <v>1712</v>
      </c>
      <c r="DA348" s="48" t="s">
        <v>1710</v>
      </c>
      <c r="DB348" s="48" t="s">
        <v>1878</v>
      </c>
      <c r="DC348" s="48" t="s">
        <v>2070</v>
      </c>
      <c r="DD348" s="48" t="s">
        <v>1842</v>
      </c>
      <c r="DE348" s="48" t="s">
        <v>1886</v>
      </c>
      <c r="DF348" s="48" t="s">
        <v>5559</v>
      </c>
      <c r="DG348" s="48" t="s">
        <v>2071</v>
      </c>
      <c r="DH348" s="48" t="s">
        <v>1712</v>
      </c>
      <c r="DI348" s="48" t="s">
        <v>1710</v>
      </c>
      <c r="DJ348" s="48" t="s">
        <v>1710</v>
      </c>
      <c r="DK348" s="48" t="s">
        <v>1710</v>
      </c>
      <c r="DL348" s="48" t="s">
        <v>1710</v>
      </c>
      <c r="DM348" s="48" t="s">
        <v>1710</v>
      </c>
      <c r="DN348" s="48" t="s">
        <v>1710</v>
      </c>
      <c r="DO348" s="48" t="s">
        <v>1710</v>
      </c>
      <c r="DP348" s="48" t="s">
        <v>1710</v>
      </c>
      <c r="DQ348" s="48" t="s">
        <v>1710</v>
      </c>
      <c r="DR348" s="48" t="s">
        <v>2072</v>
      </c>
      <c r="DS348" s="48" t="s">
        <v>1710</v>
      </c>
      <c r="DT348" s="48" t="s">
        <v>1710</v>
      </c>
      <c r="DU348" s="48" t="s">
        <v>2575</v>
      </c>
      <c r="DV348" s="48" t="s">
        <v>3141</v>
      </c>
      <c r="DW348" s="48" t="s">
        <v>1710</v>
      </c>
      <c r="DX348" s="48" t="s">
        <v>5560</v>
      </c>
      <c r="DY348" s="48" t="s">
        <v>1709</v>
      </c>
      <c r="DZ348" s="48" t="s">
        <v>2562</v>
      </c>
      <c r="EA348" s="48" t="s">
        <v>2546</v>
      </c>
      <c r="EB348">
        <v>0</v>
      </c>
      <c r="EC348" s="48" t="s">
        <v>2575</v>
      </c>
      <c r="ED348" s="48" t="s">
        <v>5553</v>
      </c>
      <c r="EE348" s="48" t="s">
        <v>1814</v>
      </c>
      <c r="EF348" s="48" t="s">
        <v>1847</v>
      </c>
      <c r="EG348" s="48" t="s">
        <v>5558</v>
      </c>
      <c r="EH348">
        <v>0.10199999999999999</v>
      </c>
      <c r="EI348" s="48" t="s">
        <v>1888</v>
      </c>
      <c r="EJ348">
        <v>0</v>
      </c>
      <c r="EK348" s="48" t="s">
        <v>1710</v>
      </c>
      <c r="EL348">
        <v>1</v>
      </c>
      <c r="EM348" s="48" t="s">
        <v>1886</v>
      </c>
      <c r="EN348">
        <v>0.10199999999999999</v>
      </c>
      <c r="EO348" s="48" t="s">
        <v>2529</v>
      </c>
      <c r="EP348" s="48" t="s">
        <v>5561</v>
      </c>
      <c r="EQ348">
        <v>39.19</v>
      </c>
      <c r="ER348">
        <v>39.19</v>
      </c>
      <c r="ES348">
        <v>36729</v>
      </c>
      <c r="ET348">
        <v>25</v>
      </c>
      <c r="EU348" s="48" t="s">
        <v>1710</v>
      </c>
      <c r="EV348" s="48" t="s">
        <v>1710</v>
      </c>
      <c r="EW348" s="48" t="s">
        <v>1712</v>
      </c>
      <c r="EX348" s="48" t="s">
        <v>1710</v>
      </c>
      <c r="EY348" s="48" t="s">
        <v>1853</v>
      </c>
      <c r="EZ348" s="48" t="s">
        <v>1710</v>
      </c>
      <c r="FA348" s="48" t="s">
        <v>1710</v>
      </c>
      <c r="FB348" s="48" t="s">
        <v>1712</v>
      </c>
      <c r="FC348" s="48" t="s">
        <v>1710</v>
      </c>
      <c r="FD348" s="48" t="s">
        <v>1710</v>
      </c>
      <c r="FE348" s="48" t="s">
        <v>1814</v>
      </c>
      <c r="FF348" s="48" t="s">
        <v>1815</v>
      </c>
      <c r="FG348" s="48" t="s">
        <v>1710</v>
      </c>
      <c r="FH348">
        <v>1</v>
      </c>
      <c r="FI348" s="48" t="s">
        <v>1846</v>
      </c>
      <c r="FJ348">
        <v>39.19</v>
      </c>
      <c r="FK348">
        <v>39.19</v>
      </c>
      <c r="FL348" s="48" t="s">
        <v>5562</v>
      </c>
      <c r="FM348" s="48" t="s">
        <v>5561</v>
      </c>
      <c r="FN348" s="48" t="s">
        <v>1710</v>
      </c>
      <c r="FO348" s="48" t="s">
        <v>1710</v>
      </c>
      <c r="FP348" s="48" t="s">
        <v>1710</v>
      </c>
      <c r="FQ348" s="48" t="s">
        <v>1710</v>
      </c>
      <c r="FR348" s="48" t="s">
        <v>1710</v>
      </c>
      <c r="FS348" s="48" t="s">
        <v>1710</v>
      </c>
      <c r="FT348" s="48" t="s">
        <v>1710</v>
      </c>
      <c r="FU348" s="48" t="s">
        <v>1710</v>
      </c>
      <c r="FV348" s="48"/>
      <c r="GA348" s="55"/>
      <c r="GE348" s="61"/>
      <c r="GF348" s="62"/>
      <c r="GI348" s="48"/>
    </row>
    <row r="349" spans="1:191">
      <c r="A349" s="48" t="s">
        <v>5563</v>
      </c>
      <c r="B349" s="48" t="s">
        <v>1821</v>
      </c>
      <c r="C349" s="48" t="s">
        <v>2048</v>
      </c>
      <c r="D349" s="48" t="s">
        <v>2813</v>
      </c>
      <c r="E349" s="48" t="s">
        <v>5563</v>
      </c>
      <c r="F349" s="48" t="s">
        <v>1710</v>
      </c>
      <c r="G349" s="48" t="s">
        <v>2814</v>
      </c>
      <c r="H349" s="48" t="s">
        <v>5564</v>
      </c>
      <c r="I349" s="48" t="s">
        <v>1884</v>
      </c>
      <c r="J349" s="48" t="s">
        <v>2825</v>
      </c>
      <c r="K349" s="48" t="s">
        <v>1877</v>
      </c>
      <c r="L349" s="48" t="s">
        <v>1842</v>
      </c>
      <c r="M349" s="48" t="s">
        <v>1810</v>
      </c>
      <c r="N349" s="48" t="s">
        <v>1842</v>
      </c>
      <c r="O349" s="48" t="s">
        <v>1811</v>
      </c>
      <c r="P349" s="48" t="s">
        <v>2549</v>
      </c>
      <c r="Q349" s="48" t="s">
        <v>2049</v>
      </c>
      <c r="R349" s="48" t="s">
        <v>1838</v>
      </c>
      <c r="S349" s="48" t="s">
        <v>2050</v>
      </c>
      <c r="T349" s="48" t="s">
        <v>1845</v>
      </c>
      <c r="U349" s="48" t="s">
        <v>2049</v>
      </c>
      <c r="V349" s="48" t="s">
        <v>1838</v>
      </c>
      <c r="W349" s="48" t="s">
        <v>2051</v>
      </c>
      <c r="X349" s="48" t="s">
        <v>2052</v>
      </c>
      <c r="Y349" s="48" t="s">
        <v>2050</v>
      </c>
      <c r="Z349" s="48" t="s">
        <v>2053</v>
      </c>
      <c r="AA349" s="48" t="s">
        <v>2054</v>
      </c>
      <c r="AB349" s="48" t="s">
        <v>1710</v>
      </c>
      <c r="AC349" s="48" t="s">
        <v>2055</v>
      </c>
      <c r="AD349" s="48" t="s">
        <v>2056</v>
      </c>
      <c r="AE349" s="48" t="s">
        <v>1710</v>
      </c>
      <c r="AF349" s="48" t="s">
        <v>1710</v>
      </c>
      <c r="AG349" s="48" t="s">
        <v>2057</v>
      </c>
      <c r="AH349" s="48" t="s">
        <v>1815</v>
      </c>
      <c r="AI349" s="48" t="s">
        <v>2058</v>
      </c>
      <c r="AJ349" s="48" t="s">
        <v>1710</v>
      </c>
      <c r="AK349" s="48" t="s">
        <v>2588</v>
      </c>
      <c r="AL349" s="48" t="s">
        <v>1858</v>
      </c>
      <c r="AM349" s="48" t="s">
        <v>1816</v>
      </c>
      <c r="AN349" s="48" t="s">
        <v>2054</v>
      </c>
      <c r="AO349" s="48" t="s">
        <v>1710</v>
      </c>
      <c r="AP349" s="48" t="s">
        <v>1848</v>
      </c>
      <c r="AQ349" s="48" t="s">
        <v>2060</v>
      </c>
      <c r="AR349" s="48" t="s">
        <v>1812</v>
      </c>
      <c r="AS349" s="48" t="s">
        <v>1813</v>
      </c>
      <c r="AT349" s="48" t="s">
        <v>1826</v>
      </c>
      <c r="AU349" s="48" t="s">
        <v>2061</v>
      </c>
      <c r="AV349" s="48" t="s">
        <v>2825</v>
      </c>
      <c r="AW349" s="48" t="s">
        <v>2062</v>
      </c>
      <c r="AX349" s="48" t="s">
        <v>2063</v>
      </c>
      <c r="AY349" s="48" t="s">
        <v>1710</v>
      </c>
      <c r="AZ349" s="48" t="s">
        <v>5565</v>
      </c>
      <c r="BA349" s="48" t="s">
        <v>1710</v>
      </c>
      <c r="BB349" s="48" t="s">
        <v>1709</v>
      </c>
      <c r="BC349" s="48" t="s">
        <v>1710</v>
      </c>
      <c r="BD349" s="48" t="s">
        <v>2089</v>
      </c>
      <c r="BE349" s="52" t="s">
        <v>5550</v>
      </c>
      <c r="BF349" s="48" t="s">
        <v>1710</v>
      </c>
      <c r="BG349" s="48" t="s">
        <v>1814</v>
      </c>
      <c r="BH349">
        <v>7</v>
      </c>
      <c r="BI349" s="48" t="s">
        <v>1888</v>
      </c>
      <c r="BJ349">
        <v>1</v>
      </c>
      <c r="BK349">
        <v>1473.06</v>
      </c>
      <c r="BL349">
        <v>5690241</v>
      </c>
      <c r="BM349">
        <v>3863</v>
      </c>
      <c r="BN349" s="48" t="s">
        <v>2064</v>
      </c>
      <c r="BO349" s="48" t="s">
        <v>2065</v>
      </c>
      <c r="BP349">
        <v>1473.06</v>
      </c>
      <c r="BQ349">
        <v>3941.28</v>
      </c>
      <c r="BR349" s="48" t="s">
        <v>1885</v>
      </c>
      <c r="BS349" s="48" t="s">
        <v>2066</v>
      </c>
      <c r="BT349">
        <v>1</v>
      </c>
      <c r="BU349">
        <v>115500</v>
      </c>
      <c r="BV349">
        <v>115500</v>
      </c>
      <c r="BW349" s="48" t="s">
        <v>2065</v>
      </c>
      <c r="BX349">
        <v>1473.06</v>
      </c>
      <c r="BY349">
        <v>0</v>
      </c>
      <c r="BZ349">
        <v>0</v>
      </c>
      <c r="CA349" s="48" t="s">
        <v>2065</v>
      </c>
      <c r="CB349">
        <v>1473.06</v>
      </c>
      <c r="CC349">
        <v>0</v>
      </c>
      <c r="CD349">
        <v>0</v>
      </c>
      <c r="CE349" s="48" t="s">
        <v>1710</v>
      </c>
      <c r="CF349" s="48" t="s">
        <v>1710</v>
      </c>
      <c r="CG349" s="48" t="s">
        <v>1710</v>
      </c>
      <c r="CH349" s="48" t="s">
        <v>1710</v>
      </c>
      <c r="CI349" s="48" t="s">
        <v>2067</v>
      </c>
      <c r="CJ349" s="48" t="s">
        <v>1710</v>
      </c>
      <c r="CL349" s="48" t="s">
        <v>2825</v>
      </c>
      <c r="CM349" s="48" t="s">
        <v>1710</v>
      </c>
      <c r="CN349" s="48" t="s">
        <v>2068</v>
      </c>
      <c r="CO349" s="48" t="s">
        <v>2069</v>
      </c>
      <c r="CP349" s="48" t="s">
        <v>1710</v>
      </c>
      <c r="CQ349" s="48" t="s">
        <v>1710</v>
      </c>
      <c r="CR349" s="48" t="s">
        <v>1710</v>
      </c>
      <c r="CS349" s="48" t="s">
        <v>1710</v>
      </c>
      <c r="CT349" s="48" t="s">
        <v>1710</v>
      </c>
      <c r="CU349" s="48" t="s">
        <v>1712</v>
      </c>
      <c r="CV349" s="48" t="s">
        <v>1710</v>
      </c>
      <c r="CW349" s="48" t="s">
        <v>1710</v>
      </c>
      <c r="CX349" s="48" t="s">
        <v>3167</v>
      </c>
      <c r="CY349" s="48" t="s">
        <v>1710</v>
      </c>
      <c r="CZ349" s="48" t="s">
        <v>1712</v>
      </c>
      <c r="DA349" s="48" t="s">
        <v>1710</v>
      </c>
      <c r="DB349" s="48" t="s">
        <v>1878</v>
      </c>
      <c r="DC349" s="48" t="s">
        <v>2070</v>
      </c>
      <c r="DD349" s="48" t="s">
        <v>1842</v>
      </c>
      <c r="DE349" s="48" t="s">
        <v>1886</v>
      </c>
      <c r="DF349" s="48" t="s">
        <v>5566</v>
      </c>
      <c r="DG349" s="48" t="s">
        <v>2071</v>
      </c>
      <c r="DH349" s="48" t="s">
        <v>1712</v>
      </c>
      <c r="DI349" s="48" t="s">
        <v>1710</v>
      </c>
      <c r="DJ349" s="48" t="s">
        <v>1710</v>
      </c>
      <c r="DK349" s="48" t="s">
        <v>1710</v>
      </c>
      <c r="DL349" s="48" t="s">
        <v>1710</v>
      </c>
      <c r="DM349" s="48" t="s">
        <v>1710</v>
      </c>
      <c r="DN349" s="48" t="s">
        <v>1710</v>
      </c>
      <c r="DO349" s="48" t="s">
        <v>1710</v>
      </c>
      <c r="DP349" s="48" t="s">
        <v>1710</v>
      </c>
      <c r="DQ349" s="48" t="s">
        <v>1710</v>
      </c>
      <c r="DR349" s="48" t="s">
        <v>2072</v>
      </c>
      <c r="DS349" s="48" t="s">
        <v>1710</v>
      </c>
      <c r="DT349" s="48" t="s">
        <v>1710</v>
      </c>
      <c r="DU349" s="48" t="s">
        <v>2575</v>
      </c>
      <c r="DV349" s="48" t="s">
        <v>3141</v>
      </c>
      <c r="DW349" s="48" t="s">
        <v>1710</v>
      </c>
      <c r="DX349" s="48" t="s">
        <v>5567</v>
      </c>
      <c r="DY349" s="48" t="s">
        <v>1709</v>
      </c>
      <c r="DZ349" s="48" t="s">
        <v>2562</v>
      </c>
      <c r="EA349" s="48" t="s">
        <v>2546</v>
      </c>
      <c r="EB349">
        <v>0</v>
      </c>
      <c r="EC349" s="48" t="s">
        <v>2575</v>
      </c>
      <c r="ED349" s="48" t="s">
        <v>5553</v>
      </c>
      <c r="EE349" s="48" t="s">
        <v>1814</v>
      </c>
      <c r="EF349" s="48" t="s">
        <v>1861</v>
      </c>
      <c r="EG349" s="48" t="s">
        <v>5565</v>
      </c>
      <c r="EH349">
        <v>6</v>
      </c>
      <c r="EI349" s="48" t="s">
        <v>1888</v>
      </c>
      <c r="EJ349">
        <v>0</v>
      </c>
      <c r="EK349" s="48" t="s">
        <v>1710</v>
      </c>
      <c r="EL349">
        <v>1</v>
      </c>
      <c r="EM349" s="48" t="s">
        <v>1886</v>
      </c>
      <c r="EN349">
        <v>6</v>
      </c>
      <c r="EO349" s="48" t="s">
        <v>2518</v>
      </c>
      <c r="EP349" s="48" t="s">
        <v>5568</v>
      </c>
      <c r="EQ349">
        <v>3941.28</v>
      </c>
      <c r="ER349">
        <v>3941.28</v>
      </c>
      <c r="ES349">
        <v>5690241</v>
      </c>
      <c r="ET349">
        <v>3863</v>
      </c>
      <c r="EU349" s="48" t="s">
        <v>1710</v>
      </c>
      <c r="EV349" s="48" t="s">
        <v>1710</v>
      </c>
      <c r="EW349" s="48" t="s">
        <v>1712</v>
      </c>
      <c r="EX349" s="48" t="s">
        <v>1710</v>
      </c>
      <c r="EY349" s="48" t="s">
        <v>1848</v>
      </c>
      <c r="EZ349" s="48" t="s">
        <v>1710</v>
      </c>
      <c r="FA349" s="48" t="s">
        <v>1710</v>
      </c>
      <c r="FB349" s="48" t="s">
        <v>1712</v>
      </c>
      <c r="FC349" s="48" t="s">
        <v>1710</v>
      </c>
      <c r="FD349" s="48" t="s">
        <v>1710</v>
      </c>
      <c r="FE349" s="48" t="s">
        <v>1814</v>
      </c>
      <c r="FF349" s="48" t="s">
        <v>1815</v>
      </c>
      <c r="FG349" s="48" t="s">
        <v>1710</v>
      </c>
      <c r="FH349">
        <v>1</v>
      </c>
      <c r="FI349" s="48" t="s">
        <v>1846</v>
      </c>
      <c r="FJ349">
        <v>3941.28</v>
      </c>
      <c r="FK349">
        <v>3941.28</v>
      </c>
      <c r="FL349" s="48" t="s">
        <v>5569</v>
      </c>
      <c r="FM349" s="48" t="s">
        <v>5568</v>
      </c>
      <c r="FN349" s="48" t="s">
        <v>1710</v>
      </c>
      <c r="FO349" s="48" t="s">
        <v>1710</v>
      </c>
      <c r="FP349" s="48" t="s">
        <v>1710</v>
      </c>
      <c r="FQ349" s="48" t="s">
        <v>1710</v>
      </c>
      <c r="FR349" s="48" t="s">
        <v>1710</v>
      </c>
      <c r="FS349" s="48" t="s">
        <v>1710</v>
      </c>
      <c r="FT349" s="48" t="s">
        <v>1710</v>
      </c>
      <c r="FU349" s="48" t="s">
        <v>1710</v>
      </c>
      <c r="FV349" s="48"/>
      <c r="GA349" s="55"/>
      <c r="GE349" s="61"/>
      <c r="GF349" s="62"/>
      <c r="GI349" s="48"/>
    </row>
    <row r="350" spans="1:191">
      <c r="A350" s="48" t="s">
        <v>5570</v>
      </c>
      <c r="B350" s="48" t="s">
        <v>1821</v>
      </c>
      <c r="C350" s="48" t="s">
        <v>2048</v>
      </c>
      <c r="D350" s="48" t="s">
        <v>2813</v>
      </c>
      <c r="E350" s="48" t="s">
        <v>5570</v>
      </c>
      <c r="F350" s="48" t="s">
        <v>1710</v>
      </c>
      <c r="G350" s="48" t="s">
        <v>2814</v>
      </c>
      <c r="H350" s="48" t="s">
        <v>5571</v>
      </c>
      <c r="I350" s="48" t="s">
        <v>1884</v>
      </c>
      <c r="J350" s="48" t="s">
        <v>2825</v>
      </c>
      <c r="K350" s="48" t="s">
        <v>1877</v>
      </c>
      <c r="L350" s="48" t="s">
        <v>1842</v>
      </c>
      <c r="M350" s="48" t="s">
        <v>1810</v>
      </c>
      <c r="N350" s="48" t="s">
        <v>1842</v>
      </c>
      <c r="O350" s="48" t="s">
        <v>1811</v>
      </c>
      <c r="P350" s="48" t="s">
        <v>2549</v>
      </c>
      <c r="Q350" s="48" t="s">
        <v>2049</v>
      </c>
      <c r="R350" s="48" t="s">
        <v>1838</v>
      </c>
      <c r="S350" s="48" t="s">
        <v>2050</v>
      </c>
      <c r="T350" s="48" t="s">
        <v>1845</v>
      </c>
      <c r="U350" s="48" t="s">
        <v>2049</v>
      </c>
      <c r="V350" s="48" t="s">
        <v>1838</v>
      </c>
      <c r="W350" s="48" t="s">
        <v>2051</v>
      </c>
      <c r="X350" s="48" t="s">
        <v>2052</v>
      </c>
      <c r="Y350" s="48" t="s">
        <v>2050</v>
      </c>
      <c r="Z350" s="48" t="s">
        <v>2053</v>
      </c>
      <c r="AA350" s="48" t="s">
        <v>2054</v>
      </c>
      <c r="AB350" s="48" t="s">
        <v>1710</v>
      </c>
      <c r="AC350" s="48" t="s">
        <v>2055</v>
      </c>
      <c r="AD350" s="48" t="s">
        <v>2056</v>
      </c>
      <c r="AE350" s="48" t="s">
        <v>1710</v>
      </c>
      <c r="AF350" s="48" t="s">
        <v>1710</v>
      </c>
      <c r="AG350" s="48" t="s">
        <v>2057</v>
      </c>
      <c r="AH350" s="48" t="s">
        <v>1815</v>
      </c>
      <c r="AI350" s="48" t="s">
        <v>2058</v>
      </c>
      <c r="AJ350" s="48" t="s">
        <v>1710</v>
      </c>
      <c r="AK350" s="48" t="s">
        <v>2560</v>
      </c>
      <c r="AL350" s="48" t="s">
        <v>2561</v>
      </c>
      <c r="AM350" s="48" t="s">
        <v>1816</v>
      </c>
      <c r="AN350" s="48" t="s">
        <v>2054</v>
      </c>
      <c r="AO350" s="48" t="s">
        <v>1710</v>
      </c>
      <c r="AP350" s="48" t="s">
        <v>1855</v>
      </c>
      <c r="AQ350" s="48" t="s">
        <v>2076</v>
      </c>
      <c r="AR350" s="48" t="s">
        <v>1812</v>
      </c>
      <c r="AS350" s="48" t="s">
        <v>1813</v>
      </c>
      <c r="AT350" s="48" t="s">
        <v>1826</v>
      </c>
      <c r="AU350" s="48" t="s">
        <v>2061</v>
      </c>
      <c r="AV350" s="48" t="s">
        <v>2825</v>
      </c>
      <c r="AW350" s="48" t="s">
        <v>2062</v>
      </c>
      <c r="AX350" s="48" t="s">
        <v>2063</v>
      </c>
      <c r="AY350" s="48" t="s">
        <v>1710</v>
      </c>
      <c r="AZ350" s="48" t="s">
        <v>5572</v>
      </c>
      <c r="BA350" s="48" t="s">
        <v>1710</v>
      </c>
      <c r="BB350" s="48" t="s">
        <v>1709</v>
      </c>
      <c r="BC350" s="48" t="s">
        <v>1710</v>
      </c>
      <c r="BD350" s="48" t="s">
        <v>2864</v>
      </c>
      <c r="BE350" s="52" t="s">
        <v>5573</v>
      </c>
      <c r="BF350" s="48" t="s">
        <v>1710</v>
      </c>
      <c r="BG350" s="48" t="s">
        <v>1814</v>
      </c>
      <c r="BH350">
        <v>19</v>
      </c>
      <c r="BI350" s="48" t="s">
        <v>1888</v>
      </c>
      <c r="BJ350">
        <v>1</v>
      </c>
      <c r="BK350">
        <v>1473.06</v>
      </c>
      <c r="BL350">
        <v>50404188</v>
      </c>
      <c r="BM350">
        <v>34217</v>
      </c>
      <c r="BN350" s="48" t="s">
        <v>2064</v>
      </c>
      <c r="BO350" s="48" t="s">
        <v>2065</v>
      </c>
      <c r="BP350">
        <v>1473.06</v>
      </c>
      <c r="BQ350">
        <v>34284.949999999997</v>
      </c>
      <c r="BR350" s="48" t="s">
        <v>1885</v>
      </c>
      <c r="BS350" s="48" t="s">
        <v>2066</v>
      </c>
      <c r="BT350">
        <v>1</v>
      </c>
      <c r="BU350">
        <v>99600</v>
      </c>
      <c r="BV350">
        <v>99600</v>
      </c>
      <c r="BW350" s="48" t="s">
        <v>2065</v>
      </c>
      <c r="BX350">
        <v>1473.06</v>
      </c>
      <c r="BY350">
        <v>0</v>
      </c>
      <c r="BZ350">
        <v>0</v>
      </c>
      <c r="CA350" s="48" t="s">
        <v>2065</v>
      </c>
      <c r="CB350">
        <v>1473.06</v>
      </c>
      <c r="CC350">
        <v>0</v>
      </c>
      <c r="CD350">
        <v>0</v>
      </c>
      <c r="CE350" s="48" t="s">
        <v>1710</v>
      </c>
      <c r="CF350" s="48" t="s">
        <v>1710</v>
      </c>
      <c r="CG350" s="48" t="s">
        <v>1710</v>
      </c>
      <c r="CH350" s="48" t="s">
        <v>1710</v>
      </c>
      <c r="CI350" s="48" t="s">
        <v>2067</v>
      </c>
      <c r="CJ350" s="48" t="s">
        <v>1710</v>
      </c>
      <c r="CL350" s="48" t="s">
        <v>2825</v>
      </c>
      <c r="CM350" s="48" t="s">
        <v>1710</v>
      </c>
      <c r="CN350" s="48" t="s">
        <v>2068</v>
      </c>
      <c r="CO350" s="48" t="s">
        <v>2069</v>
      </c>
      <c r="CP350" s="48" t="s">
        <v>1710</v>
      </c>
      <c r="CQ350" s="48" t="s">
        <v>1710</v>
      </c>
      <c r="CR350" s="48" t="s">
        <v>1710</v>
      </c>
      <c r="CS350" s="48" t="s">
        <v>1710</v>
      </c>
      <c r="CT350" s="48" t="s">
        <v>1710</v>
      </c>
      <c r="CU350" s="48" t="s">
        <v>1712</v>
      </c>
      <c r="CV350" s="48" t="s">
        <v>1710</v>
      </c>
      <c r="CW350" s="48" t="s">
        <v>1710</v>
      </c>
      <c r="CX350" s="48" t="s">
        <v>3167</v>
      </c>
      <c r="CY350" s="48" t="s">
        <v>1710</v>
      </c>
      <c r="CZ350" s="48" t="s">
        <v>1712</v>
      </c>
      <c r="DA350" s="48" t="s">
        <v>1710</v>
      </c>
      <c r="DB350" s="48" t="s">
        <v>1878</v>
      </c>
      <c r="DC350" s="48" t="s">
        <v>2070</v>
      </c>
      <c r="DD350" s="48" t="s">
        <v>1842</v>
      </c>
      <c r="DE350" s="48" t="s">
        <v>1886</v>
      </c>
      <c r="DF350" s="48" t="s">
        <v>5574</v>
      </c>
      <c r="DG350" s="48" t="s">
        <v>2071</v>
      </c>
      <c r="DH350" s="48" t="s">
        <v>1712</v>
      </c>
      <c r="DI350" s="48" t="s">
        <v>1710</v>
      </c>
      <c r="DJ350" s="48" t="s">
        <v>1710</v>
      </c>
      <c r="DK350" s="48" t="s">
        <v>1710</v>
      </c>
      <c r="DL350" s="48" t="s">
        <v>1710</v>
      </c>
      <c r="DM350" s="48" t="s">
        <v>1710</v>
      </c>
      <c r="DN350" s="48" t="s">
        <v>1710</v>
      </c>
      <c r="DO350" s="48" t="s">
        <v>1710</v>
      </c>
      <c r="DP350" s="48" t="s">
        <v>1710</v>
      </c>
      <c r="DQ350" s="48" t="s">
        <v>1710</v>
      </c>
      <c r="DR350" s="48" t="s">
        <v>2072</v>
      </c>
      <c r="DS350" s="48" t="s">
        <v>1710</v>
      </c>
      <c r="DT350" s="48" t="s">
        <v>1710</v>
      </c>
      <c r="DU350" s="48" t="s">
        <v>2575</v>
      </c>
      <c r="DV350" s="48" t="s">
        <v>3206</v>
      </c>
      <c r="DW350" s="48" t="s">
        <v>1710</v>
      </c>
      <c r="DX350" s="48" t="s">
        <v>5575</v>
      </c>
      <c r="DY350" s="48" t="s">
        <v>1709</v>
      </c>
      <c r="DZ350" s="48" t="s">
        <v>2562</v>
      </c>
      <c r="EA350" s="48" t="s">
        <v>2546</v>
      </c>
      <c r="EB350">
        <v>0</v>
      </c>
      <c r="EC350" s="48" t="s">
        <v>2575</v>
      </c>
      <c r="ED350" s="48" t="s">
        <v>5576</v>
      </c>
      <c r="EE350" s="48" t="s">
        <v>1814</v>
      </c>
      <c r="EF350" s="48" t="s">
        <v>1852</v>
      </c>
      <c r="EG350" s="48" t="s">
        <v>5572</v>
      </c>
      <c r="EH350">
        <v>17</v>
      </c>
      <c r="EI350" s="48" t="s">
        <v>1888</v>
      </c>
      <c r="EJ350">
        <v>0</v>
      </c>
      <c r="EK350" s="48" t="s">
        <v>1710</v>
      </c>
      <c r="EL350">
        <v>1</v>
      </c>
      <c r="EM350" s="48" t="s">
        <v>1886</v>
      </c>
      <c r="EN350">
        <v>17</v>
      </c>
      <c r="EO350" s="48" t="s">
        <v>2521</v>
      </c>
      <c r="EP350" s="48" t="s">
        <v>5577</v>
      </c>
      <c r="EQ350">
        <v>34284.949999999997</v>
      </c>
      <c r="ER350">
        <v>34284.949999999997</v>
      </c>
      <c r="ES350">
        <v>50404188</v>
      </c>
      <c r="ET350">
        <v>34217</v>
      </c>
      <c r="EU350" s="48" t="s">
        <v>1710</v>
      </c>
      <c r="EV350" s="48" t="s">
        <v>1710</v>
      </c>
      <c r="EW350" s="48" t="s">
        <v>1712</v>
      </c>
      <c r="EX350" s="48" t="s">
        <v>1710</v>
      </c>
      <c r="EY350" s="48" t="s">
        <v>1848</v>
      </c>
      <c r="EZ350" s="48" t="s">
        <v>1710</v>
      </c>
      <c r="FA350" s="48" t="s">
        <v>1710</v>
      </c>
      <c r="FB350" s="48" t="s">
        <v>1712</v>
      </c>
      <c r="FC350" s="48" t="s">
        <v>1710</v>
      </c>
      <c r="FD350" s="48" t="s">
        <v>1710</v>
      </c>
      <c r="FE350" s="48" t="s">
        <v>1814</v>
      </c>
      <c r="FF350" s="48" t="s">
        <v>1815</v>
      </c>
      <c r="FG350" s="48" t="s">
        <v>1710</v>
      </c>
      <c r="FH350">
        <v>1</v>
      </c>
      <c r="FI350" s="48" t="s">
        <v>1846</v>
      </c>
      <c r="FJ350">
        <v>34284.949999999997</v>
      </c>
      <c r="FK350">
        <v>34284.949999999997</v>
      </c>
      <c r="FL350" s="48" t="s">
        <v>5578</v>
      </c>
      <c r="FM350" s="48" t="s">
        <v>5577</v>
      </c>
      <c r="FN350" s="48" t="s">
        <v>1710</v>
      </c>
      <c r="FO350" s="48" t="s">
        <v>1710</v>
      </c>
      <c r="FP350" s="48" t="s">
        <v>1710</v>
      </c>
      <c r="FQ350" s="48" t="s">
        <v>1710</v>
      </c>
      <c r="FR350" s="48" t="s">
        <v>1710</v>
      </c>
      <c r="FS350" s="48" t="s">
        <v>1710</v>
      </c>
      <c r="FT350" s="48" t="s">
        <v>1710</v>
      </c>
      <c r="FU350" s="48" t="s">
        <v>1710</v>
      </c>
      <c r="FV350" s="48"/>
      <c r="GA350" s="55"/>
      <c r="GE350" s="61"/>
      <c r="GF350" s="62"/>
      <c r="GI350" s="48"/>
    </row>
    <row r="351" spans="1:191">
      <c r="A351" s="48" t="s">
        <v>5579</v>
      </c>
      <c r="B351" s="48" t="s">
        <v>1821</v>
      </c>
      <c r="C351" s="48" t="s">
        <v>2048</v>
      </c>
      <c r="D351" s="48" t="s">
        <v>2813</v>
      </c>
      <c r="E351" s="48" t="s">
        <v>5579</v>
      </c>
      <c r="F351" s="48" t="s">
        <v>1710</v>
      </c>
      <c r="G351" s="48" t="s">
        <v>2814</v>
      </c>
      <c r="H351" s="48" t="s">
        <v>5580</v>
      </c>
      <c r="I351" s="48" t="s">
        <v>1884</v>
      </c>
      <c r="J351" s="48" t="s">
        <v>2825</v>
      </c>
      <c r="K351" s="48" t="s">
        <v>1877</v>
      </c>
      <c r="L351" s="48" t="s">
        <v>1844</v>
      </c>
      <c r="M351" s="48" t="s">
        <v>1810</v>
      </c>
      <c r="N351" s="48" t="s">
        <v>1842</v>
      </c>
      <c r="O351" s="48" t="s">
        <v>1811</v>
      </c>
      <c r="P351" s="48" t="s">
        <v>2549</v>
      </c>
      <c r="Q351" s="48" t="s">
        <v>2049</v>
      </c>
      <c r="R351" s="48" t="s">
        <v>1838</v>
      </c>
      <c r="S351" s="48" t="s">
        <v>2050</v>
      </c>
      <c r="T351" s="48" t="s">
        <v>1845</v>
      </c>
      <c r="U351" s="48" t="s">
        <v>2049</v>
      </c>
      <c r="V351" s="48" t="s">
        <v>1838</v>
      </c>
      <c r="W351" s="48" t="s">
        <v>2051</v>
      </c>
      <c r="X351" s="48" t="s">
        <v>2052</v>
      </c>
      <c r="Y351" s="48" t="s">
        <v>2050</v>
      </c>
      <c r="Z351" s="48" t="s">
        <v>2053</v>
      </c>
      <c r="AA351" s="48" t="s">
        <v>2054</v>
      </c>
      <c r="AB351" s="48" t="s">
        <v>1710</v>
      </c>
      <c r="AC351" s="48" t="s">
        <v>2055</v>
      </c>
      <c r="AD351" s="48" t="s">
        <v>2056</v>
      </c>
      <c r="AE351" s="48" t="s">
        <v>1710</v>
      </c>
      <c r="AF351" s="48" t="s">
        <v>1710</v>
      </c>
      <c r="AG351" s="48" t="s">
        <v>2057</v>
      </c>
      <c r="AH351" s="48" t="s">
        <v>1815</v>
      </c>
      <c r="AI351" s="48" t="s">
        <v>2058</v>
      </c>
      <c r="AJ351" s="48" t="s">
        <v>1710</v>
      </c>
      <c r="AK351" s="48" t="s">
        <v>2563</v>
      </c>
      <c r="AL351" s="48" t="s">
        <v>2564</v>
      </c>
      <c r="AM351" s="48" t="s">
        <v>1816</v>
      </c>
      <c r="AN351" s="48" t="s">
        <v>2054</v>
      </c>
      <c r="AO351" s="48" t="s">
        <v>1710</v>
      </c>
      <c r="AP351" s="48" t="s">
        <v>1855</v>
      </c>
      <c r="AQ351" s="48" t="s">
        <v>2076</v>
      </c>
      <c r="AR351" s="48" t="s">
        <v>1812</v>
      </c>
      <c r="AS351" s="48" t="s">
        <v>1813</v>
      </c>
      <c r="AT351" s="48" t="s">
        <v>1826</v>
      </c>
      <c r="AU351" s="48" t="s">
        <v>2061</v>
      </c>
      <c r="AV351" s="48" t="s">
        <v>2825</v>
      </c>
      <c r="AW351" s="48" t="s">
        <v>2062</v>
      </c>
      <c r="AX351" s="48" t="s">
        <v>2063</v>
      </c>
      <c r="AY351" s="48" t="s">
        <v>1710</v>
      </c>
      <c r="AZ351" s="48" t="s">
        <v>5581</v>
      </c>
      <c r="BA351" s="48" t="s">
        <v>1710</v>
      </c>
      <c r="BB351" s="48" t="s">
        <v>1709</v>
      </c>
      <c r="BC351" s="48" t="s">
        <v>1710</v>
      </c>
      <c r="BD351" s="48" t="s">
        <v>3137</v>
      </c>
      <c r="BE351" s="52" t="s">
        <v>5582</v>
      </c>
      <c r="BF351" s="48" t="s">
        <v>1710</v>
      </c>
      <c r="BG351" s="48" t="s">
        <v>3079</v>
      </c>
      <c r="BH351">
        <v>200</v>
      </c>
      <c r="BI351" s="48" t="s">
        <v>1888</v>
      </c>
      <c r="BJ351">
        <v>5</v>
      </c>
      <c r="BK351">
        <v>1473.06</v>
      </c>
      <c r="BL351">
        <v>148010723</v>
      </c>
      <c r="BM351">
        <v>100478</v>
      </c>
      <c r="BN351" s="48" t="s">
        <v>2064</v>
      </c>
      <c r="BO351" s="48" t="s">
        <v>2065</v>
      </c>
      <c r="BP351">
        <v>1473.06</v>
      </c>
      <c r="BQ351">
        <v>101134.19</v>
      </c>
      <c r="BR351" s="48" t="s">
        <v>1885</v>
      </c>
      <c r="BS351" s="48" t="s">
        <v>2066</v>
      </c>
      <c r="BT351">
        <v>1</v>
      </c>
      <c r="BU351">
        <v>966000</v>
      </c>
      <c r="BV351">
        <v>966000</v>
      </c>
      <c r="BW351" s="48" t="s">
        <v>2065</v>
      </c>
      <c r="BX351">
        <v>1473.06</v>
      </c>
      <c r="BY351">
        <v>0</v>
      </c>
      <c r="BZ351">
        <v>0</v>
      </c>
      <c r="CA351" s="48" t="s">
        <v>2065</v>
      </c>
      <c r="CB351">
        <v>1473.06</v>
      </c>
      <c r="CC351">
        <v>0</v>
      </c>
      <c r="CD351">
        <v>0</v>
      </c>
      <c r="CE351" s="48" t="s">
        <v>1710</v>
      </c>
      <c r="CF351" s="48" t="s">
        <v>1710</v>
      </c>
      <c r="CG351" s="48" t="s">
        <v>1710</v>
      </c>
      <c r="CH351" s="48" t="s">
        <v>1710</v>
      </c>
      <c r="CI351" s="48" t="s">
        <v>2067</v>
      </c>
      <c r="CJ351" s="48" t="s">
        <v>1710</v>
      </c>
      <c r="CL351" s="48" t="s">
        <v>2825</v>
      </c>
      <c r="CM351" s="48" t="s">
        <v>1710</v>
      </c>
      <c r="CN351" s="48" t="s">
        <v>2068</v>
      </c>
      <c r="CO351" s="48" t="s">
        <v>2069</v>
      </c>
      <c r="CP351" s="48" t="s">
        <v>1710</v>
      </c>
      <c r="CQ351" s="48" t="s">
        <v>1710</v>
      </c>
      <c r="CR351" s="48" t="s">
        <v>1710</v>
      </c>
      <c r="CS351" s="48" t="s">
        <v>1710</v>
      </c>
      <c r="CT351" s="48" t="s">
        <v>1710</v>
      </c>
      <c r="CU351" s="48" t="s">
        <v>1712</v>
      </c>
      <c r="CV351" s="48" t="s">
        <v>1710</v>
      </c>
      <c r="CW351" s="48" t="s">
        <v>1710</v>
      </c>
      <c r="CX351" s="48" t="s">
        <v>3167</v>
      </c>
      <c r="CY351" s="48" t="s">
        <v>1710</v>
      </c>
      <c r="CZ351" s="48" t="s">
        <v>1712</v>
      </c>
      <c r="DA351" s="48" t="s">
        <v>1710</v>
      </c>
      <c r="DB351" s="48" t="s">
        <v>1878</v>
      </c>
      <c r="DC351" s="48" t="s">
        <v>2070</v>
      </c>
      <c r="DD351" s="48" t="s">
        <v>1842</v>
      </c>
      <c r="DE351" s="48" t="s">
        <v>1886</v>
      </c>
      <c r="DF351" s="48" t="s">
        <v>5583</v>
      </c>
      <c r="DG351" s="48" t="s">
        <v>2071</v>
      </c>
      <c r="DH351" s="48" t="s">
        <v>1712</v>
      </c>
      <c r="DI351" s="48" t="s">
        <v>1710</v>
      </c>
      <c r="DJ351" s="48" t="s">
        <v>1710</v>
      </c>
      <c r="DK351" s="48" t="s">
        <v>1710</v>
      </c>
      <c r="DL351" s="48" t="s">
        <v>1710</v>
      </c>
      <c r="DM351" s="48" t="s">
        <v>1710</v>
      </c>
      <c r="DN351" s="48" t="s">
        <v>1710</v>
      </c>
      <c r="DO351" s="48" t="s">
        <v>1710</v>
      </c>
      <c r="DP351" s="48" t="s">
        <v>1710</v>
      </c>
      <c r="DQ351" s="48" t="s">
        <v>1710</v>
      </c>
      <c r="DR351" s="48" t="s">
        <v>2072</v>
      </c>
      <c r="DS351" s="48" t="s">
        <v>1710</v>
      </c>
      <c r="DT351" s="48" t="s">
        <v>1710</v>
      </c>
      <c r="DU351" s="48" t="s">
        <v>2575</v>
      </c>
      <c r="DV351" s="48" t="s">
        <v>1710</v>
      </c>
      <c r="DW351" s="48" t="s">
        <v>1710</v>
      </c>
      <c r="DX351" s="48" t="s">
        <v>1710</v>
      </c>
      <c r="DY351" s="48" t="s">
        <v>1710</v>
      </c>
      <c r="DZ351" s="48" t="s">
        <v>2084</v>
      </c>
      <c r="EA351" s="48" t="s">
        <v>2546</v>
      </c>
      <c r="EB351">
        <v>0</v>
      </c>
      <c r="EC351" s="48" t="s">
        <v>2575</v>
      </c>
      <c r="ED351" s="48" t="s">
        <v>4512</v>
      </c>
      <c r="EE351" s="48" t="s">
        <v>1814</v>
      </c>
      <c r="EF351" s="48" t="s">
        <v>1862</v>
      </c>
      <c r="EG351" s="48" t="s">
        <v>5581</v>
      </c>
      <c r="EH351">
        <v>33</v>
      </c>
      <c r="EI351" s="48" t="s">
        <v>1888</v>
      </c>
      <c r="EJ351">
        <v>0</v>
      </c>
      <c r="EK351" s="48" t="s">
        <v>1710</v>
      </c>
      <c r="EL351">
        <v>5</v>
      </c>
      <c r="EM351" s="48" t="s">
        <v>1886</v>
      </c>
      <c r="EN351">
        <v>33</v>
      </c>
      <c r="EO351" s="48" t="s">
        <v>2522</v>
      </c>
      <c r="EP351" s="48" t="s">
        <v>5584</v>
      </c>
      <c r="EQ351">
        <v>5940.62</v>
      </c>
      <c r="ER351">
        <v>5940.62</v>
      </c>
      <c r="ES351">
        <v>8694146</v>
      </c>
      <c r="ET351">
        <v>5902</v>
      </c>
      <c r="EU351" s="48" t="s">
        <v>1710</v>
      </c>
      <c r="EV351" s="48" t="s">
        <v>1710</v>
      </c>
      <c r="EW351" s="48" t="s">
        <v>1712</v>
      </c>
      <c r="EX351" s="48" t="s">
        <v>1710</v>
      </c>
      <c r="EY351" s="48" t="s">
        <v>1853</v>
      </c>
      <c r="EZ351" s="48" t="s">
        <v>1710</v>
      </c>
      <c r="FA351" s="48" t="s">
        <v>1710</v>
      </c>
      <c r="FB351" s="48" t="s">
        <v>1712</v>
      </c>
      <c r="FC351" s="48" t="s">
        <v>1710</v>
      </c>
      <c r="FD351" s="48" t="s">
        <v>1710</v>
      </c>
      <c r="FE351" s="48" t="s">
        <v>1814</v>
      </c>
      <c r="FF351" s="48" t="s">
        <v>1815</v>
      </c>
      <c r="FG351" s="48" t="s">
        <v>1710</v>
      </c>
      <c r="FH351">
        <v>1</v>
      </c>
      <c r="FI351" s="48" t="s">
        <v>1846</v>
      </c>
      <c r="FJ351">
        <v>5940.62</v>
      </c>
      <c r="FK351">
        <v>5940.62</v>
      </c>
      <c r="FL351" s="48" t="s">
        <v>5585</v>
      </c>
      <c r="FM351" s="48" t="s">
        <v>5584</v>
      </c>
      <c r="FN351" s="48" t="s">
        <v>1710</v>
      </c>
      <c r="FO351" s="48" t="s">
        <v>1710</v>
      </c>
      <c r="FP351" s="48" t="s">
        <v>1710</v>
      </c>
      <c r="FQ351" s="48" t="s">
        <v>1710</v>
      </c>
      <c r="FR351" s="48" t="s">
        <v>1710</v>
      </c>
      <c r="FS351" s="48" t="s">
        <v>1710</v>
      </c>
      <c r="FT351" s="48" t="s">
        <v>1710</v>
      </c>
      <c r="FU351" s="48" t="s">
        <v>1710</v>
      </c>
      <c r="FV351" s="48"/>
      <c r="GA351" s="55"/>
      <c r="GE351" s="61"/>
      <c r="GF351" s="62"/>
      <c r="GI351" s="48"/>
    </row>
    <row r="352" spans="1:191">
      <c r="A352" s="48" t="s">
        <v>5586</v>
      </c>
      <c r="B352" s="48" t="s">
        <v>1821</v>
      </c>
      <c r="C352" s="48" t="s">
        <v>2048</v>
      </c>
      <c r="D352" s="48" t="s">
        <v>2813</v>
      </c>
      <c r="E352" s="48" t="s">
        <v>5586</v>
      </c>
      <c r="F352" s="48" t="s">
        <v>1710</v>
      </c>
      <c r="G352" s="48" t="s">
        <v>2814</v>
      </c>
      <c r="H352" s="48" t="s">
        <v>5587</v>
      </c>
      <c r="I352" s="48" t="s">
        <v>1884</v>
      </c>
      <c r="J352" s="48" t="s">
        <v>2825</v>
      </c>
      <c r="K352" s="48" t="s">
        <v>1885</v>
      </c>
      <c r="L352" s="48" t="s">
        <v>1883</v>
      </c>
      <c r="M352" s="48" t="s">
        <v>2085</v>
      </c>
      <c r="N352" s="48" t="s">
        <v>1842</v>
      </c>
      <c r="O352" s="48" t="s">
        <v>1811</v>
      </c>
      <c r="P352" s="48" t="s">
        <v>2549</v>
      </c>
      <c r="Q352" s="48" t="s">
        <v>2049</v>
      </c>
      <c r="R352" s="48" t="s">
        <v>1838</v>
      </c>
      <c r="S352" s="48" t="s">
        <v>2050</v>
      </c>
      <c r="T352" s="48" t="s">
        <v>1845</v>
      </c>
      <c r="U352" s="48" t="s">
        <v>2049</v>
      </c>
      <c r="V352" s="48" t="s">
        <v>1838</v>
      </c>
      <c r="W352" s="48" t="s">
        <v>2051</v>
      </c>
      <c r="X352" s="48" t="s">
        <v>2052</v>
      </c>
      <c r="Y352" s="48" t="s">
        <v>2050</v>
      </c>
      <c r="Z352" s="48" t="s">
        <v>2053</v>
      </c>
      <c r="AA352" s="48" t="s">
        <v>2054</v>
      </c>
      <c r="AB352" s="48" t="s">
        <v>1710</v>
      </c>
      <c r="AC352" s="48" t="s">
        <v>2055</v>
      </c>
      <c r="AD352" s="48" t="s">
        <v>2056</v>
      </c>
      <c r="AE352" s="48" t="s">
        <v>1710</v>
      </c>
      <c r="AF352" s="48" t="s">
        <v>1710</v>
      </c>
      <c r="AG352" s="48" t="s">
        <v>2057</v>
      </c>
      <c r="AH352" s="48" t="s">
        <v>1815</v>
      </c>
      <c r="AI352" s="48" t="s">
        <v>2058</v>
      </c>
      <c r="AJ352" s="48" t="s">
        <v>1710</v>
      </c>
      <c r="AK352" s="48" t="s">
        <v>2563</v>
      </c>
      <c r="AL352" s="48" t="s">
        <v>2564</v>
      </c>
      <c r="AM352" s="48" t="s">
        <v>1816</v>
      </c>
      <c r="AN352" s="48" t="s">
        <v>2054</v>
      </c>
      <c r="AO352" s="48" t="s">
        <v>1710</v>
      </c>
      <c r="AP352" s="48" t="s">
        <v>1855</v>
      </c>
      <c r="AQ352" s="48" t="s">
        <v>2076</v>
      </c>
      <c r="AR352" s="48" t="s">
        <v>1812</v>
      </c>
      <c r="AS352" s="48" t="s">
        <v>1813</v>
      </c>
      <c r="AT352" s="48" t="s">
        <v>1826</v>
      </c>
      <c r="AU352" s="48" t="s">
        <v>2061</v>
      </c>
      <c r="AV352" s="48" t="s">
        <v>2825</v>
      </c>
      <c r="AW352" s="48" t="s">
        <v>2062</v>
      </c>
      <c r="AX352" s="48" t="s">
        <v>2063</v>
      </c>
      <c r="AY352" s="48" t="s">
        <v>1710</v>
      </c>
      <c r="AZ352" s="48" t="s">
        <v>5581</v>
      </c>
      <c r="BA352" s="48" t="s">
        <v>1710</v>
      </c>
      <c r="BB352" s="48" t="s">
        <v>1709</v>
      </c>
      <c r="BC352" s="48" t="s">
        <v>1710</v>
      </c>
      <c r="BD352" s="48" t="s">
        <v>3137</v>
      </c>
      <c r="BE352" s="52" t="s">
        <v>5582</v>
      </c>
      <c r="BF352" s="48" t="s">
        <v>1710</v>
      </c>
      <c r="BG352" s="48" t="s">
        <v>1817</v>
      </c>
      <c r="BH352">
        <v>4</v>
      </c>
      <c r="BI352" s="48" t="s">
        <v>1888</v>
      </c>
      <c r="BJ352">
        <v>5</v>
      </c>
      <c r="BK352">
        <v>1473.06</v>
      </c>
      <c r="BL352">
        <v>29791375</v>
      </c>
      <c r="BM352">
        <v>20224</v>
      </c>
      <c r="BN352" s="48" t="s">
        <v>2064</v>
      </c>
      <c r="BO352" s="48" t="s">
        <v>2065</v>
      </c>
      <c r="BP352">
        <v>1473.06</v>
      </c>
      <c r="BQ352">
        <v>20247.36</v>
      </c>
      <c r="BR352" s="48" t="s">
        <v>1885</v>
      </c>
      <c r="BS352" s="48" t="s">
        <v>2066</v>
      </c>
      <c r="BT352">
        <v>1</v>
      </c>
      <c r="BU352">
        <v>34200</v>
      </c>
      <c r="BV352">
        <v>34200</v>
      </c>
      <c r="BW352" s="48" t="s">
        <v>2065</v>
      </c>
      <c r="BX352">
        <v>1473.06</v>
      </c>
      <c r="BY352">
        <v>0</v>
      </c>
      <c r="BZ352">
        <v>0</v>
      </c>
      <c r="CA352" s="48" t="s">
        <v>2065</v>
      </c>
      <c r="CB352">
        <v>1473.06</v>
      </c>
      <c r="CC352">
        <v>0</v>
      </c>
      <c r="CD352">
        <v>0</v>
      </c>
      <c r="CE352" s="48" t="s">
        <v>1710</v>
      </c>
      <c r="CF352" s="48" t="s">
        <v>1710</v>
      </c>
      <c r="CG352" s="48" t="s">
        <v>1710</v>
      </c>
      <c r="CH352" s="48" t="s">
        <v>1710</v>
      </c>
      <c r="CI352" s="48" t="s">
        <v>2067</v>
      </c>
      <c r="CJ352" s="48" t="s">
        <v>1710</v>
      </c>
      <c r="CL352" s="48" t="s">
        <v>2825</v>
      </c>
      <c r="CM352" s="48" t="s">
        <v>1710</v>
      </c>
      <c r="CN352" s="48" t="s">
        <v>2068</v>
      </c>
      <c r="CO352" s="48" t="s">
        <v>2069</v>
      </c>
      <c r="CP352" s="48" t="s">
        <v>1710</v>
      </c>
      <c r="CQ352" s="48" t="s">
        <v>1710</v>
      </c>
      <c r="CR352" s="48" t="s">
        <v>1710</v>
      </c>
      <c r="CS352" s="48" t="s">
        <v>1710</v>
      </c>
      <c r="CT352" s="48" t="s">
        <v>1710</v>
      </c>
      <c r="CU352" s="48" t="s">
        <v>1712</v>
      </c>
      <c r="CV352" s="48" t="s">
        <v>1710</v>
      </c>
      <c r="CW352" s="48" t="s">
        <v>1710</v>
      </c>
      <c r="CX352" s="48" t="s">
        <v>3167</v>
      </c>
      <c r="CY352" s="48" t="s">
        <v>1710</v>
      </c>
      <c r="CZ352" s="48" t="s">
        <v>1712</v>
      </c>
      <c r="DA352" s="48" t="s">
        <v>1710</v>
      </c>
      <c r="DB352" s="48" t="s">
        <v>1878</v>
      </c>
      <c r="DC352" s="48" t="s">
        <v>2070</v>
      </c>
      <c r="DD352" s="48" t="s">
        <v>1842</v>
      </c>
      <c r="DE352" s="48" t="s">
        <v>1886</v>
      </c>
      <c r="DF352" s="48" t="s">
        <v>5588</v>
      </c>
      <c r="DG352" s="48" t="s">
        <v>2071</v>
      </c>
      <c r="DH352" s="48" t="s">
        <v>1712</v>
      </c>
      <c r="DI352" s="48" t="s">
        <v>1710</v>
      </c>
      <c r="DJ352" s="48" t="s">
        <v>1710</v>
      </c>
      <c r="DK352" s="48" t="s">
        <v>1710</v>
      </c>
      <c r="DL352" s="48" t="s">
        <v>1710</v>
      </c>
      <c r="DM352" s="48" t="s">
        <v>1710</v>
      </c>
      <c r="DN352" s="48" t="s">
        <v>1710</v>
      </c>
      <c r="DO352" s="48" t="s">
        <v>1710</v>
      </c>
      <c r="DP352" s="48" t="s">
        <v>1710</v>
      </c>
      <c r="DQ352" s="48" t="s">
        <v>1710</v>
      </c>
      <c r="DR352" s="48" t="s">
        <v>2072</v>
      </c>
      <c r="DS352" s="48" t="s">
        <v>1710</v>
      </c>
      <c r="DT352" s="48" t="s">
        <v>1710</v>
      </c>
      <c r="DU352" s="48" t="s">
        <v>2575</v>
      </c>
      <c r="DV352" s="48" t="s">
        <v>1710</v>
      </c>
      <c r="DW352" s="48" t="s">
        <v>1710</v>
      </c>
      <c r="DX352" s="48" t="s">
        <v>1710</v>
      </c>
      <c r="DY352" s="48" t="s">
        <v>1710</v>
      </c>
      <c r="DZ352" s="48" t="s">
        <v>2073</v>
      </c>
      <c r="EA352" s="48" t="s">
        <v>2546</v>
      </c>
      <c r="EB352">
        <v>0</v>
      </c>
      <c r="EC352" s="48" t="s">
        <v>2575</v>
      </c>
      <c r="ED352" s="48" t="s">
        <v>5589</v>
      </c>
      <c r="EE352" s="48" t="s">
        <v>1814</v>
      </c>
      <c r="EF352" s="48" t="s">
        <v>1849</v>
      </c>
      <c r="EG352" s="48" t="s">
        <v>5581</v>
      </c>
      <c r="EH352">
        <v>2.54</v>
      </c>
      <c r="EI352" s="48" t="s">
        <v>1888</v>
      </c>
      <c r="EJ352">
        <v>1</v>
      </c>
      <c r="EK352" s="48" t="s">
        <v>1887</v>
      </c>
      <c r="EL352">
        <v>5</v>
      </c>
      <c r="EM352" s="48" t="s">
        <v>1886</v>
      </c>
      <c r="EN352">
        <v>2.54</v>
      </c>
      <c r="EO352" s="48" t="s">
        <v>2526</v>
      </c>
      <c r="EP352" s="48" t="s">
        <v>5590</v>
      </c>
      <c r="EQ352">
        <v>15182.3</v>
      </c>
      <c r="ER352">
        <v>15182.3</v>
      </c>
      <c r="ES352">
        <v>22338794</v>
      </c>
      <c r="ET352">
        <v>15165</v>
      </c>
      <c r="EU352" s="48" t="s">
        <v>5591</v>
      </c>
      <c r="EV352" s="48" t="s">
        <v>2544</v>
      </c>
      <c r="EW352" s="48" t="s">
        <v>1712</v>
      </c>
      <c r="EX352" s="48" t="s">
        <v>1710</v>
      </c>
      <c r="EY352" s="48" t="s">
        <v>1855</v>
      </c>
      <c r="EZ352" s="48" t="s">
        <v>1710</v>
      </c>
      <c r="FA352" s="48" t="s">
        <v>1710</v>
      </c>
      <c r="FB352" s="48" t="s">
        <v>1712</v>
      </c>
      <c r="FC352" s="48" t="s">
        <v>1710</v>
      </c>
      <c r="FD352" s="48" t="s">
        <v>1710</v>
      </c>
      <c r="FE352" s="48" t="s">
        <v>1814</v>
      </c>
      <c r="FF352" s="48" t="s">
        <v>1815</v>
      </c>
      <c r="FG352" s="48" t="s">
        <v>1710</v>
      </c>
      <c r="FH352">
        <v>1</v>
      </c>
      <c r="FI352" s="48" t="s">
        <v>1846</v>
      </c>
      <c r="FJ352">
        <v>15182.3</v>
      </c>
      <c r="FK352">
        <v>15182.3</v>
      </c>
      <c r="FL352" s="48" t="s">
        <v>5592</v>
      </c>
      <c r="FM352" s="48" t="s">
        <v>5593</v>
      </c>
      <c r="FN352" s="48" t="s">
        <v>1710</v>
      </c>
      <c r="FO352" s="48" t="s">
        <v>1710</v>
      </c>
      <c r="FP352" s="48" t="s">
        <v>1710</v>
      </c>
      <c r="FQ352" s="48" t="s">
        <v>1710</v>
      </c>
      <c r="FR352" s="48" t="s">
        <v>1710</v>
      </c>
      <c r="FS352" s="48" t="s">
        <v>1710</v>
      </c>
      <c r="FT352" s="48" t="s">
        <v>1710</v>
      </c>
      <c r="FU352" s="48" t="s">
        <v>1710</v>
      </c>
      <c r="FV352" s="48"/>
      <c r="GA352" s="55"/>
      <c r="GE352" s="61"/>
      <c r="GF352" s="62"/>
      <c r="GI352" s="48"/>
    </row>
    <row r="353" spans="1:191">
      <c r="A353" s="48" t="s">
        <v>5594</v>
      </c>
      <c r="B353" s="48" t="s">
        <v>1821</v>
      </c>
      <c r="C353" s="48" t="s">
        <v>2048</v>
      </c>
      <c r="D353" s="48" t="s">
        <v>2813</v>
      </c>
      <c r="E353" s="48" t="s">
        <v>5594</v>
      </c>
      <c r="F353" s="48" t="s">
        <v>1710</v>
      </c>
      <c r="G353" s="48" t="s">
        <v>2814</v>
      </c>
      <c r="H353" s="48" t="s">
        <v>5595</v>
      </c>
      <c r="I353" s="48" t="s">
        <v>1884</v>
      </c>
      <c r="J353" s="48" t="s">
        <v>2825</v>
      </c>
      <c r="K353" s="48" t="s">
        <v>1885</v>
      </c>
      <c r="L353" s="48" t="s">
        <v>1883</v>
      </c>
      <c r="M353" s="48" t="s">
        <v>2085</v>
      </c>
      <c r="N353" s="48" t="s">
        <v>1842</v>
      </c>
      <c r="O353" s="48" t="s">
        <v>1811</v>
      </c>
      <c r="P353" s="48" t="s">
        <v>2549</v>
      </c>
      <c r="Q353" s="48" t="s">
        <v>2049</v>
      </c>
      <c r="R353" s="48" t="s">
        <v>1838</v>
      </c>
      <c r="S353" s="48" t="s">
        <v>2050</v>
      </c>
      <c r="T353" s="48" t="s">
        <v>1845</v>
      </c>
      <c r="U353" s="48" t="s">
        <v>2049</v>
      </c>
      <c r="V353" s="48" t="s">
        <v>1838</v>
      </c>
      <c r="W353" s="48" t="s">
        <v>2051</v>
      </c>
      <c r="X353" s="48" t="s">
        <v>2052</v>
      </c>
      <c r="Y353" s="48" t="s">
        <v>2050</v>
      </c>
      <c r="Z353" s="48" t="s">
        <v>2053</v>
      </c>
      <c r="AA353" s="48" t="s">
        <v>2054</v>
      </c>
      <c r="AB353" s="48" t="s">
        <v>1710</v>
      </c>
      <c r="AC353" s="48" t="s">
        <v>2055</v>
      </c>
      <c r="AD353" s="48" t="s">
        <v>2056</v>
      </c>
      <c r="AE353" s="48" t="s">
        <v>1710</v>
      </c>
      <c r="AF353" s="48" t="s">
        <v>1710</v>
      </c>
      <c r="AG353" s="48" t="s">
        <v>2057</v>
      </c>
      <c r="AH353" s="48" t="s">
        <v>1815</v>
      </c>
      <c r="AI353" s="48" t="s">
        <v>2058</v>
      </c>
      <c r="AJ353" s="48" t="s">
        <v>1710</v>
      </c>
      <c r="AK353" s="48" t="s">
        <v>2588</v>
      </c>
      <c r="AL353" s="48" t="s">
        <v>1858</v>
      </c>
      <c r="AM353" s="48" t="s">
        <v>1816</v>
      </c>
      <c r="AN353" s="48" t="s">
        <v>2054</v>
      </c>
      <c r="AO353" s="48" t="s">
        <v>1710</v>
      </c>
      <c r="AP353" s="48" t="s">
        <v>1848</v>
      </c>
      <c r="AQ353" s="48" t="s">
        <v>2060</v>
      </c>
      <c r="AR353" s="48" t="s">
        <v>1812</v>
      </c>
      <c r="AS353" s="48" t="s">
        <v>1813</v>
      </c>
      <c r="AT353" s="48" t="s">
        <v>1826</v>
      </c>
      <c r="AU353" s="48" t="s">
        <v>2061</v>
      </c>
      <c r="AV353" s="48" t="s">
        <v>2825</v>
      </c>
      <c r="AW353" s="48" t="s">
        <v>2062</v>
      </c>
      <c r="AX353" s="48" t="s">
        <v>2063</v>
      </c>
      <c r="AY353" s="48" t="s">
        <v>1710</v>
      </c>
      <c r="AZ353" s="48" t="s">
        <v>5596</v>
      </c>
      <c r="BA353" s="48" t="s">
        <v>1710</v>
      </c>
      <c r="BB353" s="48" t="s">
        <v>1709</v>
      </c>
      <c r="BC353" s="48" t="s">
        <v>1710</v>
      </c>
      <c r="BD353" s="48" t="s">
        <v>3137</v>
      </c>
      <c r="BE353" s="52" t="s">
        <v>5582</v>
      </c>
      <c r="BF353" s="48" t="s">
        <v>1710</v>
      </c>
      <c r="BG353" s="48" t="s">
        <v>1814</v>
      </c>
      <c r="BH353">
        <v>70</v>
      </c>
      <c r="BI353" s="48" t="s">
        <v>1888</v>
      </c>
      <c r="BJ353">
        <v>1</v>
      </c>
      <c r="BK353">
        <v>1473.06</v>
      </c>
      <c r="BL353">
        <v>66666547</v>
      </c>
      <c r="BM353">
        <v>45257</v>
      </c>
      <c r="BN353" s="48" t="s">
        <v>2064</v>
      </c>
      <c r="BO353" s="48" t="s">
        <v>2065</v>
      </c>
      <c r="BP353">
        <v>1473.06</v>
      </c>
      <c r="BQ353">
        <v>45913.98</v>
      </c>
      <c r="BR353" s="48" t="s">
        <v>1885</v>
      </c>
      <c r="BS353" s="48" t="s">
        <v>2066</v>
      </c>
      <c r="BT353">
        <v>1</v>
      </c>
      <c r="BU353">
        <v>967500</v>
      </c>
      <c r="BV353">
        <v>967500</v>
      </c>
      <c r="BW353" s="48" t="s">
        <v>2065</v>
      </c>
      <c r="BX353">
        <v>1473.06</v>
      </c>
      <c r="BY353">
        <v>0</v>
      </c>
      <c r="BZ353">
        <v>0</v>
      </c>
      <c r="CA353" s="48" t="s">
        <v>2065</v>
      </c>
      <c r="CB353">
        <v>1473.06</v>
      </c>
      <c r="CC353">
        <v>0</v>
      </c>
      <c r="CD353">
        <v>0</v>
      </c>
      <c r="CE353" s="48" t="s">
        <v>1710</v>
      </c>
      <c r="CF353" s="48" t="s">
        <v>1710</v>
      </c>
      <c r="CG353" s="48" t="s">
        <v>1710</v>
      </c>
      <c r="CH353" s="48" t="s">
        <v>1710</v>
      </c>
      <c r="CI353" s="48" t="s">
        <v>2067</v>
      </c>
      <c r="CJ353" s="48" t="s">
        <v>1710</v>
      </c>
      <c r="CL353" s="48" t="s">
        <v>2825</v>
      </c>
      <c r="CM353" s="48" t="s">
        <v>1710</v>
      </c>
      <c r="CN353" s="48" t="s">
        <v>2068</v>
      </c>
      <c r="CO353" s="48" t="s">
        <v>2069</v>
      </c>
      <c r="CP353" s="48" t="s">
        <v>1710</v>
      </c>
      <c r="CQ353" s="48" t="s">
        <v>1710</v>
      </c>
      <c r="CR353" s="48" t="s">
        <v>1710</v>
      </c>
      <c r="CS353" s="48" t="s">
        <v>1710</v>
      </c>
      <c r="CT353" s="48" t="s">
        <v>1710</v>
      </c>
      <c r="CU353" s="48" t="s">
        <v>1712</v>
      </c>
      <c r="CV353" s="48" t="s">
        <v>1710</v>
      </c>
      <c r="CW353" s="48" t="s">
        <v>1710</v>
      </c>
      <c r="CX353" s="48" t="s">
        <v>3167</v>
      </c>
      <c r="CY353" s="48" t="s">
        <v>1710</v>
      </c>
      <c r="CZ353" s="48" t="s">
        <v>1712</v>
      </c>
      <c r="DA353" s="48" t="s">
        <v>1710</v>
      </c>
      <c r="DB353" s="48" t="s">
        <v>1878</v>
      </c>
      <c r="DC353" s="48" t="s">
        <v>2070</v>
      </c>
      <c r="DD353" s="48" t="s">
        <v>1842</v>
      </c>
      <c r="DE353" s="48" t="s">
        <v>1886</v>
      </c>
      <c r="DF353" s="48" t="s">
        <v>5597</v>
      </c>
      <c r="DG353" s="48" t="s">
        <v>2071</v>
      </c>
      <c r="DH353" s="48" t="s">
        <v>1712</v>
      </c>
      <c r="DI353" s="48" t="s">
        <v>1710</v>
      </c>
      <c r="DJ353" s="48" t="s">
        <v>1710</v>
      </c>
      <c r="DK353" s="48" t="s">
        <v>1710</v>
      </c>
      <c r="DL353" s="48" t="s">
        <v>1710</v>
      </c>
      <c r="DM353" s="48" t="s">
        <v>1710</v>
      </c>
      <c r="DN353" s="48" t="s">
        <v>1710</v>
      </c>
      <c r="DO353" s="48" t="s">
        <v>1710</v>
      </c>
      <c r="DP353" s="48" t="s">
        <v>1710</v>
      </c>
      <c r="DQ353" s="48" t="s">
        <v>1710</v>
      </c>
      <c r="DR353" s="48" t="s">
        <v>2072</v>
      </c>
      <c r="DS353" s="48" t="s">
        <v>1710</v>
      </c>
      <c r="DT353" s="48" t="s">
        <v>1710</v>
      </c>
      <c r="DU353" s="48" t="s">
        <v>2575</v>
      </c>
      <c r="DV353" s="48" t="s">
        <v>1710</v>
      </c>
      <c r="DW353" s="48" t="s">
        <v>1710</v>
      </c>
      <c r="DX353" s="48" t="s">
        <v>1710</v>
      </c>
      <c r="DY353" s="48" t="s">
        <v>1710</v>
      </c>
      <c r="DZ353" s="48" t="s">
        <v>2073</v>
      </c>
      <c r="EA353" s="48" t="s">
        <v>2546</v>
      </c>
      <c r="EB353">
        <v>1</v>
      </c>
      <c r="EC353" s="48" t="s">
        <v>2575</v>
      </c>
      <c r="ED353" s="48" t="s">
        <v>5589</v>
      </c>
      <c r="EE353" s="48" t="s">
        <v>1814</v>
      </c>
      <c r="EF353" s="48" t="s">
        <v>1849</v>
      </c>
      <c r="EG353" s="48" t="s">
        <v>5596</v>
      </c>
      <c r="EH353">
        <v>51</v>
      </c>
      <c r="EI353" s="48" t="s">
        <v>1888</v>
      </c>
      <c r="EJ353">
        <v>1</v>
      </c>
      <c r="EK353" s="48" t="s">
        <v>1887</v>
      </c>
      <c r="EL353">
        <v>1</v>
      </c>
      <c r="EM353" s="48" t="s">
        <v>1886</v>
      </c>
      <c r="EN353">
        <v>51</v>
      </c>
      <c r="EO353" s="48" t="s">
        <v>2526</v>
      </c>
      <c r="EP353" s="48" t="s">
        <v>5598</v>
      </c>
      <c r="EQ353">
        <v>45913.98</v>
      </c>
      <c r="ER353">
        <v>45913.98</v>
      </c>
      <c r="ES353">
        <v>66666547</v>
      </c>
      <c r="ET353">
        <v>45257</v>
      </c>
      <c r="EU353" s="48" t="s">
        <v>5599</v>
      </c>
      <c r="EV353" s="48" t="s">
        <v>3079</v>
      </c>
      <c r="EW353" s="48" t="s">
        <v>1712</v>
      </c>
      <c r="EX353" s="48" t="s">
        <v>1710</v>
      </c>
      <c r="EY353" s="48" t="s">
        <v>5600</v>
      </c>
      <c r="EZ353" s="48" t="s">
        <v>1710</v>
      </c>
      <c r="FA353" s="48" t="s">
        <v>1710</v>
      </c>
      <c r="FB353" s="48" t="s">
        <v>1712</v>
      </c>
      <c r="FC353" s="48" t="s">
        <v>1710</v>
      </c>
      <c r="FD353" s="48" t="s">
        <v>1710</v>
      </c>
      <c r="FE353" s="48" t="s">
        <v>1814</v>
      </c>
      <c r="FF353" s="48" t="s">
        <v>1815</v>
      </c>
      <c r="FG353" s="48" t="s">
        <v>1710</v>
      </c>
      <c r="FH353">
        <v>1</v>
      </c>
      <c r="FI353" s="48" t="s">
        <v>1846</v>
      </c>
      <c r="FJ353">
        <v>45913.98</v>
      </c>
      <c r="FK353">
        <v>45913.98</v>
      </c>
      <c r="FL353" s="48" t="s">
        <v>5601</v>
      </c>
      <c r="FM353" s="48" t="s">
        <v>5598</v>
      </c>
      <c r="FN353" s="48" t="s">
        <v>1710</v>
      </c>
      <c r="FO353" s="48" t="s">
        <v>1710</v>
      </c>
      <c r="FP353" s="48" t="s">
        <v>1710</v>
      </c>
      <c r="FQ353" s="48" t="s">
        <v>1710</v>
      </c>
      <c r="FR353" s="48" t="s">
        <v>1710</v>
      </c>
      <c r="FS353" s="48" t="s">
        <v>1710</v>
      </c>
      <c r="FT353" s="48" t="s">
        <v>1710</v>
      </c>
      <c r="FU353" s="48" t="s">
        <v>1710</v>
      </c>
      <c r="FV353" s="48"/>
      <c r="GA353" s="55"/>
      <c r="GE353" s="61"/>
      <c r="GF353" s="62"/>
      <c r="GI353" s="48"/>
    </row>
    <row r="354" spans="1:191">
      <c r="A354" s="48" t="s">
        <v>5602</v>
      </c>
      <c r="B354" s="48" t="s">
        <v>1821</v>
      </c>
      <c r="C354" s="48" t="s">
        <v>2048</v>
      </c>
      <c r="D354" s="48" t="s">
        <v>2813</v>
      </c>
      <c r="E354" s="48" t="s">
        <v>5602</v>
      </c>
      <c r="F354" s="48" t="s">
        <v>1710</v>
      </c>
      <c r="G354" s="48" t="s">
        <v>2814</v>
      </c>
      <c r="H354" s="48" t="s">
        <v>5603</v>
      </c>
      <c r="I354" s="48" t="s">
        <v>1884</v>
      </c>
      <c r="J354" s="48" t="s">
        <v>2825</v>
      </c>
      <c r="K354" s="48" t="s">
        <v>1877</v>
      </c>
      <c r="L354" s="48" t="s">
        <v>1842</v>
      </c>
      <c r="M354" s="48" t="s">
        <v>1810</v>
      </c>
      <c r="N354" s="48" t="s">
        <v>1842</v>
      </c>
      <c r="O354" s="48" t="s">
        <v>1811</v>
      </c>
      <c r="P354" s="48" t="s">
        <v>2549</v>
      </c>
      <c r="Q354" s="48" t="s">
        <v>2049</v>
      </c>
      <c r="R354" s="48" t="s">
        <v>1838</v>
      </c>
      <c r="S354" s="48" t="s">
        <v>2050</v>
      </c>
      <c r="T354" s="48" t="s">
        <v>1845</v>
      </c>
      <c r="U354" s="48" t="s">
        <v>2049</v>
      </c>
      <c r="V354" s="48" t="s">
        <v>1838</v>
      </c>
      <c r="W354" s="48" t="s">
        <v>2051</v>
      </c>
      <c r="X354" s="48" t="s">
        <v>2052</v>
      </c>
      <c r="Y354" s="48" t="s">
        <v>2050</v>
      </c>
      <c r="Z354" s="48" t="s">
        <v>2053</v>
      </c>
      <c r="AA354" s="48" t="s">
        <v>2054</v>
      </c>
      <c r="AB354" s="48" t="s">
        <v>1710</v>
      </c>
      <c r="AC354" s="48" t="s">
        <v>2055</v>
      </c>
      <c r="AD354" s="48" t="s">
        <v>2056</v>
      </c>
      <c r="AE354" s="48" t="s">
        <v>1710</v>
      </c>
      <c r="AF354" s="48" t="s">
        <v>1710</v>
      </c>
      <c r="AG354" s="48" t="s">
        <v>2057</v>
      </c>
      <c r="AH354" s="48" t="s">
        <v>1815</v>
      </c>
      <c r="AI354" s="48" t="s">
        <v>2058</v>
      </c>
      <c r="AJ354" s="48" t="s">
        <v>1710</v>
      </c>
      <c r="AK354" s="48" t="s">
        <v>2563</v>
      </c>
      <c r="AL354" s="48" t="s">
        <v>2564</v>
      </c>
      <c r="AM354" s="48" t="s">
        <v>1816</v>
      </c>
      <c r="AN354" s="48" t="s">
        <v>2054</v>
      </c>
      <c r="AO354" s="48" t="s">
        <v>1710</v>
      </c>
      <c r="AP354" s="48" t="s">
        <v>1855</v>
      </c>
      <c r="AQ354" s="48" t="s">
        <v>2076</v>
      </c>
      <c r="AR354" s="48" t="s">
        <v>1812</v>
      </c>
      <c r="AS354" s="48" t="s">
        <v>1813</v>
      </c>
      <c r="AT354" s="48" t="s">
        <v>1826</v>
      </c>
      <c r="AU354" s="48" t="s">
        <v>2061</v>
      </c>
      <c r="AV354" s="48" t="s">
        <v>2825</v>
      </c>
      <c r="AW354" s="48" t="s">
        <v>2062</v>
      </c>
      <c r="AX354" s="48" t="s">
        <v>2063</v>
      </c>
      <c r="AY354" s="48" t="s">
        <v>1710</v>
      </c>
      <c r="AZ354" s="48" t="s">
        <v>5604</v>
      </c>
      <c r="BA354" s="48" t="s">
        <v>1710</v>
      </c>
      <c r="BB354" s="48" t="s">
        <v>1709</v>
      </c>
      <c r="BC354" s="48" t="s">
        <v>1710</v>
      </c>
      <c r="BD354" s="48" t="s">
        <v>3137</v>
      </c>
      <c r="BE354" s="52" t="s">
        <v>5582</v>
      </c>
      <c r="BF354" s="48" t="s">
        <v>1710</v>
      </c>
      <c r="BG354" s="48" t="s">
        <v>1814</v>
      </c>
      <c r="BH354">
        <v>36</v>
      </c>
      <c r="BI354" s="48" t="s">
        <v>1888</v>
      </c>
      <c r="BJ354">
        <v>1</v>
      </c>
      <c r="BK354">
        <v>1473.06</v>
      </c>
      <c r="BL354">
        <v>440194</v>
      </c>
      <c r="BM354">
        <v>299</v>
      </c>
      <c r="BN354" s="48" t="s">
        <v>2064</v>
      </c>
      <c r="BO354" s="48" t="s">
        <v>2065</v>
      </c>
      <c r="BP354">
        <v>1473.06</v>
      </c>
      <c r="BQ354">
        <v>420.21</v>
      </c>
      <c r="BR354" s="48" t="s">
        <v>1885</v>
      </c>
      <c r="BS354" s="48" t="s">
        <v>2066</v>
      </c>
      <c r="BT354">
        <v>1</v>
      </c>
      <c r="BU354">
        <v>178800</v>
      </c>
      <c r="BV354">
        <v>178800</v>
      </c>
      <c r="BW354" s="48" t="s">
        <v>2065</v>
      </c>
      <c r="BX354">
        <v>1473.06</v>
      </c>
      <c r="BY354">
        <v>0</v>
      </c>
      <c r="BZ354">
        <v>0</v>
      </c>
      <c r="CA354" s="48" t="s">
        <v>2065</v>
      </c>
      <c r="CB354">
        <v>1473.06</v>
      </c>
      <c r="CC354">
        <v>0</v>
      </c>
      <c r="CD354">
        <v>0</v>
      </c>
      <c r="CE354" s="48" t="s">
        <v>1710</v>
      </c>
      <c r="CF354" s="48" t="s">
        <v>1710</v>
      </c>
      <c r="CG354" s="48" t="s">
        <v>1710</v>
      </c>
      <c r="CH354" s="48" t="s">
        <v>1710</v>
      </c>
      <c r="CI354" s="48" t="s">
        <v>2067</v>
      </c>
      <c r="CJ354" s="48" t="s">
        <v>1710</v>
      </c>
      <c r="CL354" s="48" t="s">
        <v>2825</v>
      </c>
      <c r="CM354" s="48" t="s">
        <v>1710</v>
      </c>
      <c r="CN354" s="48" t="s">
        <v>2068</v>
      </c>
      <c r="CO354" s="48" t="s">
        <v>2069</v>
      </c>
      <c r="CP354" s="48" t="s">
        <v>1710</v>
      </c>
      <c r="CQ354" s="48" t="s">
        <v>1710</v>
      </c>
      <c r="CR354" s="48" t="s">
        <v>1710</v>
      </c>
      <c r="CS354" s="48" t="s">
        <v>1710</v>
      </c>
      <c r="CT354" s="48" t="s">
        <v>1710</v>
      </c>
      <c r="CU354" s="48" t="s">
        <v>1712</v>
      </c>
      <c r="CV354" s="48" t="s">
        <v>1710</v>
      </c>
      <c r="CW354" s="48" t="s">
        <v>1710</v>
      </c>
      <c r="CX354" s="48" t="s">
        <v>3167</v>
      </c>
      <c r="CY354" s="48" t="s">
        <v>1710</v>
      </c>
      <c r="CZ354" s="48" t="s">
        <v>1712</v>
      </c>
      <c r="DA354" s="48" t="s">
        <v>1710</v>
      </c>
      <c r="DB354" s="48" t="s">
        <v>1878</v>
      </c>
      <c r="DC354" s="48" t="s">
        <v>2070</v>
      </c>
      <c r="DD354" s="48" t="s">
        <v>1842</v>
      </c>
      <c r="DE354" s="48" t="s">
        <v>1886</v>
      </c>
      <c r="DF354" s="48" t="s">
        <v>5605</v>
      </c>
      <c r="DG354" s="48" t="s">
        <v>2071</v>
      </c>
      <c r="DH354" s="48" t="s">
        <v>1712</v>
      </c>
      <c r="DI354" s="48" t="s">
        <v>1710</v>
      </c>
      <c r="DJ354" s="48" t="s">
        <v>1710</v>
      </c>
      <c r="DK354" s="48" t="s">
        <v>1710</v>
      </c>
      <c r="DL354" s="48" t="s">
        <v>1710</v>
      </c>
      <c r="DM354" s="48" t="s">
        <v>1710</v>
      </c>
      <c r="DN354" s="48" t="s">
        <v>1710</v>
      </c>
      <c r="DO354" s="48" t="s">
        <v>1710</v>
      </c>
      <c r="DP354" s="48" t="s">
        <v>1710</v>
      </c>
      <c r="DQ354" s="48" t="s">
        <v>1710</v>
      </c>
      <c r="DR354" s="48" t="s">
        <v>2072</v>
      </c>
      <c r="DS354" s="48" t="s">
        <v>1710</v>
      </c>
      <c r="DT354" s="48" t="s">
        <v>1710</v>
      </c>
      <c r="DU354" s="48" t="s">
        <v>2575</v>
      </c>
      <c r="DV354" s="48" t="s">
        <v>1710</v>
      </c>
      <c r="DW354" s="48" t="s">
        <v>1710</v>
      </c>
      <c r="DX354" s="48" t="s">
        <v>1710</v>
      </c>
      <c r="DY354" s="48" t="s">
        <v>1710</v>
      </c>
      <c r="DZ354" s="48" t="s">
        <v>2562</v>
      </c>
      <c r="EA354" s="48" t="s">
        <v>2546</v>
      </c>
      <c r="EB354">
        <v>0</v>
      </c>
      <c r="EC354" s="48" t="s">
        <v>2575</v>
      </c>
      <c r="ED354" s="48" t="s">
        <v>5606</v>
      </c>
      <c r="EE354" s="48" t="s">
        <v>1814</v>
      </c>
      <c r="EF354" s="48" t="s">
        <v>2645</v>
      </c>
      <c r="EG354" s="48" t="s">
        <v>5604</v>
      </c>
      <c r="EH354">
        <v>17.399999999999999</v>
      </c>
      <c r="EI354" s="48" t="s">
        <v>1888</v>
      </c>
      <c r="EJ354">
        <v>87</v>
      </c>
      <c r="EK354" s="48" t="s">
        <v>1887</v>
      </c>
      <c r="EL354">
        <v>1</v>
      </c>
      <c r="EM354" s="48" t="s">
        <v>1886</v>
      </c>
      <c r="EN354">
        <v>17.399999999999999</v>
      </c>
      <c r="EO354" s="48" t="s">
        <v>2646</v>
      </c>
      <c r="EP354" s="48" t="s">
        <v>5607</v>
      </c>
      <c r="EQ354">
        <v>420.21</v>
      </c>
      <c r="ER354">
        <v>420.21</v>
      </c>
      <c r="ES354">
        <v>440194</v>
      </c>
      <c r="ET354">
        <v>299</v>
      </c>
      <c r="EU354" s="48" t="s">
        <v>1710</v>
      </c>
      <c r="EV354" s="48" t="s">
        <v>1710</v>
      </c>
      <c r="EW354" s="48" t="s">
        <v>1712</v>
      </c>
      <c r="EX354" s="48" t="s">
        <v>1710</v>
      </c>
      <c r="EY354" s="48" t="s">
        <v>1853</v>
      </c>
      <c r="EZ354" s="48" t="s">
        <v>1710</v>
      </c>
      <c r="FA354" s="48" t="s">
        <v>1710</v>
      </c>
      <c r="FB354" s="48" t="s">
        <v>1712</v>
      </c>
      <c r="FC354" s="48" t="s">
        <v>1710</v>
      </c>
      <c r="FD354" s="48" t="s">
        <v>1710</v>
      </c>
      <c r="FE354" s="48" t="s">
        <v>1814</v>
      </c>
      <c r="FF354" s="48" t="s">
        <v>1815</v>
      </c>
      <c r="FG354" s="48" t="s">
        <v>1710</v>
      </c>
      <c r="FH354">
        <v>87</v>
      </c>
      <c r="FI354" s="48" t="s">
        <v>1846</v>
      </c>
      <c r="FJ354">
        <v>420.21</v>
      </c>
      <c r="FK354">
        <v>4.83</v>
      </c>
      <c r="FL354" s="48" t="s">
        <v>5608</v>
      </c>
      <c r="FM354" s="48" t="s">
        <v>5609</v>
      </c>
      <c r="FN354" s="48" t="s">
        <v>1710</v>
      </c>
      <c r="FO354" s="48" t="s">
        <v>1710</v>
      </c>
      <c r="FP354" s="48" t="s">
        <v>1710</v>
      </c>
      <c r="FQ354" s="48" t="s">
        <v>1710</v>
      </c>
      <c r="FR354" s="48" t="s">
        <v>1710</v>
      </c>
      <c r="FS354" s="48" t="s">
        <v>1710</v>
      </c>
      <c r="FT354" s="48" t="s">
        <v>1710</v>
      </c>
      <c r="FU354" s="48" t="s">
        <v>1710</v>
      </c>
      <c r="FV354" s="48"/>
      <c r="GA354" s="55"/>
      <c r="GE354" s="61"/>
      <c r="GF354" s="62"/>
      <c r="GI354" s="48"/>
    </row>
    <row r="355" spans="1:191">
      <c r="A355" s="48" t="s">
        <v>5610</v>
      </c>
      <c r="B355" s="48" t="s">
        <v>1821</v>
      </c>
      <c r="C355" s="48" t="s">
        <v>2048</v>
      </c>
      <c r="D355" s="48" t="s">
        <v>2813</v>
      </c>
      <c r="E355" s="48" t="s">
        <v>5610</v>
      </c>
      <c r="F355" s="48" t="s">
        <v>1710</v>
      </c>
      <c r="G355" s="48" t="s">
        <v>2814</v>
      </c>
      <c r="H355" s="48" t="s">
        <v>5611</v>
      </c>
      <c r="I355" s="48" t="s">
        <v>1884</v>
      </c>
      <c r="J355" s="48" t="s">
        <v>2825</v>
      </c>
      <c r="K355" s="48" t="s">
        <v>1877</v>
      </c>
      <c r="L355" s="48" t="s">
        <v>1842</v>
      </c>
      <c r="M355" s="48" t="s">
        <v>1810</v>
      </c>
      <c r="N355" s="48" t="s">
        <v>1842</v>
      </c>
      <c r="O355" s="48" t="s">
        <v>1811</v>
      </c>
      <c r="P355" s="48" t="s">
        <v>2549</v>
      </c>
      <c r="Q355" s="48" t="s">
        <v>2049</v>
      </c>
      <c r="R355" s="48" t="s">
        <v>1838</v>
      </c>
      <c r="S355" s="48" t="s">
        <v>2050</v>
      </c>
      <c r="T355" s="48" t="s">
        <v>1845</v>
      </c>
      <c r="U355" s="48" t="s">
        <v>2049</v>
      </c>
      <c r="V355" s="48" t="s">
        <v>1838</v>
      </c>
      <c r="W355" s="48" t="s">
        <v>2051</v>
      </c>
      <c r="X355" s="48" t="s">
        <v>2052</v>
      </c>
      <c r="Y355" s="48" t="s">
        <v>2050</v>
      </c>
      <c r="Z355" s="48" t="s">
        <v>2053</v>
      </c>
      <c r="AA355" s="48" t="s">
        <v>2054</v>
      </c>
      <c r="AB355" s="48" t="s">
        <v>1710</v>
      </c>
      <c r="AC355" s="48" t="s">
        <v>2055</v>
      </c>
      <c r="AD355" s="48" t="s">
        <v>2056</v>
      </c>
      <c r="AE355" s="48" t="s">
        <v>1710</v>
      </c>
      <c r="AF355" s="48" t="s">
        <v>1710</v>
      </c>
      <c r="AG355" s="48" t="s">
        <v>2057</v>
      </c>
      <c r="AH355" s="48" t="s">
        <v>1815</v>
      </c>
      <c r="AI355" s="48" t="s">
        <v>2058</v>
      </c>
      <c r="AJ355" s="48" t="s">
        <v>1710</v>
      </c>
      <c r="AK355" s="48" t="s">
        <v>2077</v>
      </c>
      <c r="AL355" s="48" t="s">
        <v>1858</v>
      </c>
      <c r="AM355" s="48" t="s">
        <v>1816</v>
      </c>
      <c r="AN355" s="48" t="s">
        <v>2054</v>
      </c>
      <c r="AO355" s="48" t="s">
        <v>1710</v>
      </c>
      <c r="AP355" s="48" t="s">
        <v>1848</v>
      </c>
      <c r="AQ355" s="48" t="s">
        <v>2060</v>
      </c>
      <c r="AR355" s="48" t="s">
        <v>1812</v>
      </c>
      <c r="AS355" s="48" t="s">
        <v>1813</v>
      </c>
      <c r="AT355" s="48" t="s">
        <v>1826</v>
      </c>
      <c r="AU355" s="48" t="s">
        <v>2061</v>
      </c>
      <c r="AV355" s="48" t="s">
        <v>2825</v>
      </c>
      <c r="AW355" s="48" t="s">
        <v>2062</v>
      </c>
      <c r="AX355" s="48" t="s">
        <v>2063</v>
      </c>
      <c r="AY355" s="48" t="s">
        <v>1710</v>
      </c>
      <c r="AZ355" s="48" t="s">
        <v>5612</v>
      </c>
      <c r="BA355" s="48" t="s">
        <v>1710</v>
      </c>
      <c r="BB355" s="48" t="s">
        <v>1709</v>
      </c>
      <c r="BC355" s="48" t="s">
        <v>1710</v>
      </c>
      <c r="BD355" s="48" t="s">
        <v>2082</v>
      </c>
      <c r="BE355" s="52" t="s">
        <v>5613</v>
      </c>
      <c r="BF355" s="48" t="s">
        <v>1710</v>
      </c>
      <c r="BG355" s="48" t="s">
        <v>1814</v>
      </c>
      <c r="BH355">
        <v>2</v>
      </c>
      <c r="BI355" s="48" t="s">
        <v>1888</v>
      </c>
      <c r="BJ355">
        <v>1</v>
      </c>
      <c r="BK355">
        <v>1473.06</v>
      </c>
      <c r="BL355">
        <v>2335631</v>
      </c>
      <c r="BM355">
        <v>1586</v>
      </c>
      <c r="BN355" s="48" t="s">
        <v>2064</v>
      </c>
      <c r="BO355" s="48" t="s">
        <v>2065</v>
      </c>
      <c r="BP355">
        <v>1473.06</v>
      </c>
      <c r="BQ355">
        <v>1617.81</v>
      </c>
      <c r="BR355" s="48" t="s">
        <v>1885</v>
      </c>
      <c r="BS355" s="48" t="s">
        <v>2066</v>
      </c>
      <c r="BT355">
        <v>1</v>
      </c>
      <c r="BU355">
        <v>47500</v>
      </c>
      <c r="BV355">
        <v>47500</v>
      </c>
      <c r="BW355" s="48" t="s">
        <v>2065</v>
      </c>
      <c r="BX355">
        <v>1473.06</v>
      </c>
      <c r="BY355">
        <v>0</v>
      </c>
      <c r="BZ355">
        <v>0</v>
      </c>
      <c r="CA355" s="48" t="s">
        <v>2065</v>
      </c>
      <c r="CB355">
        <v>1473.06</v>
      </c>
      <c r="CC355">
        <v>0</v>
      </c>
      <c r="CD355">
        <v>0</v>
      </c>
      <c r="CE355" s="48" t="s">
        <v>1710</v>
      </c>
      <c r="CF355" s="48" t="s">
        <v>1710</v>
      </c>
      <c r="CG355" s="48" t="s">
        <v>1710</v>
      </c>
      <c r="CH355" s="48" t="s">
        <v>1710</v>
      </c>
      <c r="CI355" s="48" t="s">
        <v>2067</v>
      </c>
      <c r="CJ355" s="48" t="s">
        <v>1710</v>
      </c>
      <c r="CL355" s="48" t="s">
        <v>2825</v>
      </c>
      <c r="CM355" s="48" t="s">
        <v>1710</v>
      </c>
      <c r="CN355" s="48" t="s">
        <v>2068</v>
      </c>
      <c r="CO355" s="48" t="s">
        <v>2069</v>
      </c>
      <c r="CP355" s="48" t="s">
        <v>1710</v>
      </c>
      <c r="CQ355" s="48" t="s">
        <v>1710</v>
      </c>
      <c r="CR355" s="48" t="s">
        <v>1710</v>
      </c>
      <c r="CS355" s="48" t="s">
        <v>1710</v>
      </c>
      <c r="CT355" s="48" t="s">
        <v>1710</v>
      </c>
      <c r="CU355" s="48" t="s">
        <v>1712</v>
      </c>
      <c r="CV355" s="48" t="s">
        <v>1710</v>
      </c>
      <c r="CW355" s="48" t="s">
        <v>1710</v>
      </c>
      <c r="CX355" s="48" t="s">
        <v>3167</v>
      </c>
      <c r="CY355" s="48" t="s">
        <v>1710</v>
      </c>
      <c r="CZ355" s="48" t="s">
        <v>1712</v>
      </c>
      <c r="DA355" s="48" t="s">
        <v>1710</v>
      </c>
      <c r="DB355" s="48" t="s">
        <v>1878</v>
      </c>
      <c r="DC355" s="48" t="s">
        <v>2070</v>
      </c>
      <c r="DD355" s="48" t="s">
        <v>1842</v>
      </c>
      <c r="DE355" s="48" t="s">
        <v>1886</v>
      </c>
      <c r="DF355" s="48" t="s">
        <v>5614</v>
      </c>
      <c r="DG355" s="48" t="s">
        <v>2071</v>
      </c>
      <c r="DH355" s="48" t="s">
        <v>1712</v>
      </c>
      <c r="DI355" s="48" t="s">
        <v>1710</v>
      </c>
      <c r="DJ355" s="48" t="s">
        <v>1710</v>
      </c>
      <c r="DK355" s="48" t="s">
        <v>1710</v>
      </c>
      <c r="DL355" s="48" t="s">
        <v>1710</v>
      </c>
      <c r="DM355" s="48" t="s">
        <v>1710</v>
      </c>
      <c r="DN355" s="48" t="s">
        <v>1710</v>
      </c>
      <c r="DO355" s="48" t="s">
        <v>1710</v>
      </c>
      <c r="DP355" s="48" t="s">
        <v>1710</v>
      </c>
      <c r="DQ355" s="48" t="s">
        <v>1710</v>
      </c>
      <c r="DR355" s="48" t="s">
        <v>2072</v>
      </c>
      <c r="DS355" s="48" t="s">
        <v>1710</v>
      </c>
      <c r="DT355" s="48" t="s">
        <v>1710</v>
      </c>
      <c r="DU355" s="48" t="s">
        <v>2575</v>
      </c>
      <c r="DV355" s="48" t="s">
        <v>1710</v>
      </c>
      <c r="DW355" s="48" t="s">
        <v>1710</v>
      </c>
      <c r="DX355" s="48" t="s">
        <v>1710</v>
      </c>
      <c r="DY355" s="48" t="s">
        <v>1710</v>
      </c>
      <c r="DZ355" s="48" t="s">
        <v>2562</v>
      </c>
      <c r="EA355" s="48" t="s">
        <v>2546</v>
      </c>
      <c r="EB355">
        <v>0</v>
      </c>
      <c r="EC355" s="48" t="s">
        <v>2575</v>
      </c>
      <c r="ED355" s="48" t="s">
        <v>5615</v>
      </c>
      <c r="EE355" s="48" t="s">
        <v>1814</v>
      </c>
      <c r="EF355" s="48" t="s">
        <v>1879</v>
      </c>
      <c r="EG355" s="48" t="s">
        <v>5612</v>
      </c>
      <c r="EH355">
        <v>1.1000000000000001</v>
      </c>
      <c r="EI355" s="48" t="s">
        <v>1888</v>
      </c>
      <c r="EJ355">
        <v>1</v>
      </c>
      <c r="EK355" s="48" t="s">
        <v>1887</v>
      </c>
      <c r="EL355">
        <v>1</v>
      </c>
      <c r="EM355" s="48" t="s">
        <v>1886</v>
      </c>
      <c r="EN355">
        <v>1.1000000000000001</v>
      </c>
      <c r="EO355" s="48" t="s">
        <v>2519</v>
      </c>
      <c r="EP355" s="48" t="s">
        <v>5616</v>
      </c>
      <c r="EQ355">
        <v>1617.81</v>
      </c>
      <c r="ER355">
        <v>1617.81</v>
      </c>
      <c r="ES355">
        <v>2335631</v>
      </c>
      <c r="ET355">
        <v>1586</v>
      </c>
      <c r="EU355" s="48" t="s">
        <v>1710</v>
      </c>
      <c r="EV355" s="48" t="s">
        <v>1710</v>
      </c>
      <c r="EW355" s="48" t="s">
        <v>1712</v>
      </c>
      <c r="EX355" s="48" t="s">
        <v>1710</v>
      </c>
      <c r="EY355" s="48" t="s">
        <v>1843</v>
      </c>
      <c r="EZ355" s="48" t="s">
        <v>1710</v>
      </c>
      <c r="FA355" s="48" t="s">
        <v>1710</v>
      </c>
      <c r="FB355" s="48" t="s">
        <v>1712</v>
      </c>
      <c r="FC355" s="48" t="s">
        <v>1710</v>
      </c>
      <c r="FD355" s="48" t="s">
        <v>1710</v>
      </c>
      <c r="FE355" s="48" t="s">
        <v>1814</v>
      </c>
      <c r="FF355" s="48" t="s">
        <v>1815</v>
      </c>
      <c r="FG355" s="48" t="s">
        <v>1710</v>
      </c>
      <c r="FH355">
        <v>1</v>
      </c>
      <c r="FI355" s="48" t="s">
        <v>1846</v>
      </c>
      <c r="FJ355">
        <v>1617.81</v>
      </c>
      <c r="FK355">
        <v>1617.81</v>
      </c>
      <c r="FL355" s="48" t="s">
        <v>5617</v>
      </c>
      <c r="FM355" s="48" t="s">
        <v>5616</v>
      </c>
      <c r="FN355" s="48" t="s">
        <v>1710</v>
      </c>
      <c r="FO355" s="48" t="s">
        <v>1710</v>
      </c>
      <c r="FP355" s="48" t="s">
        <v>1710</v>
      </c>
      <c r="FQ355" s="48" t="s">
        <v>1710</v>
      </c>
      <c r="FR355" s="48" t="s">
        <v>1710</v>
      </c>
      <c r="FS355" s="48" t="s">
        <v>1710</v>
      </c>
      <c r="FT355" s="48" t="s">
        <v>1710</v>
      </c>
      <c r="FU355" s="48" t="s">
        <v>1710</v>
      </c>
      <c r="FV355" s="48"/>
      <c r="GA355" s="55"/>
      <c r="GE355" s="61"/>
      <c r="GF355" s="62"/>
      <c r="GI355" s="48"/>
    </row>
    <row r="356" spans="1:191">
      <c r="A356" s="48" t="s">
        <v>5618</v>
      </c>
      <c r="B356" s="48" t="s">
        <v>1821</v>
      </c>
      <c r="C356" s="48" t="s">
        <v>2048</v>
      </c>
      <c r="D356" s="48" t="s">
        <v>2813</v>
      </c>
      <c r="E356" s="48" t="s">
        <v>5618</v>
      </c>
      <c r="F356" s="48" t="s">
        <v>1710</v>
      </c>
      <c r="G356" s="48" t="s">
        <v>2814</v>
      </c>
      <c r="H356" s="48" t="s">
        <v>5619</v>
      </c>
      <c r="I356" s="48" t="s">
        <v>1884</v>
      </c>
      <c r="J356" s="48" t="s">
        <v>2825</v>
      </c>
      <c r="K356" s="48" t="s">
        <v>1877</v>
      </c>
      <c r="L356" s="48" t="s">
        <v>1842</v>
      </c>
      <c r="M356" s="48" t="s">
        <v>1810</v>
      </c>
      <c r="N356" s="48" t="s">
        <v>1842</v>
      </c>
      <c r="O356" s="48" t="s">
        <v>1811</v>
      </c>
      <c r="P356" s="48" t="s">
        <v>2549</v>
      </c>
      <c r="Q356" s="48" t="s">
        <v>2049</v>
      </c>
      <c r="R356" s="48" t="s">
        <v>1838</v>
      </c>
      <c r="S356" s="48" t="s">
        <v>2050</v>
      </c>
      <c r="T356" s="48" t="s">
        <v>1845</v>
      </c>
      <c r="U356" s="48" t="s">
        <v>2049</v>
      </c>
      <c r="V356" s="48" t="s">
        <v>1838</v>
      </c>
      <c r="W356" s="48" t="s">
        <v>2051</v>
      </c>
      <c r="X356" s="48" t="s">
        <v>2052</v>
      </c>
      <c r="Y356" s="48" t="s">
        <v>2050</v>
      </c>
      <c r="Z356" s="48" t="s">
        <v>2053</v>
      </c>
      <c r="AA356" s="48" t="s">
        <v>2054</v>
      </c>
      <c r="AB356" s="48" t="s">
        <v>1710</v>
      </c>
      <c r="AC356" s="48" t="s">
        <v>2055</v>
      </c>
      <c r="AD356" s="48" t="s">
        <v>2056</v>
      </c>
      <c r="AE356" s="48" t="s">
        <v>1710</v>
      </c>
      <c r="AF356" s="48" t="s">
        <v>1710</v>
      </c>
      <c r="AG356" s="48" t="s">
        <v>2057</v>
      </c>
      <c r="AH356" s="48" t="s">
        <v>1815</v>
      </c>
      <c r="AI356" s="48" t="s">
        <v>2058</v>
      </c>
      <c r="AJ356" s="48" t="s">
        <v>1710</v>
      </c>
      <c r="AK356" s="48" t="s">
        <v>2077</v>
      </c>
      <c r="AL356" s="48" t="s">
        <v>1858</v>
      </c>
      <c r="AM356" s="48" t="s">
        <v>1816</v>
      </c>
      <c r="AN356" s="48" t="s">
        <v>2054</v>
      </c>
      <c r="AO356" s="48" t="s">
        <v>1710</v>
      </c>
      <c r="AP356" s="48" t="s">
        <v>1848</v>
      </c>
      <c r="AQ356" s="48" t="s">
        <v>2060</v>
      </c>
      <c r="AR356" s="48" t="s">
        <v>1812</v>
      </c>
      <c r="AS356" s="48" t="s">
        <v>1813</v>
      </c>
      <c r="AT356" s="48" t="s">
        <v>1826</v>
      </c>
      <c r="AU356" s="48" t="s">
        <v>2061</v>
      </c>
      <c r="AV356" s="48" t="s">
        <v>2825</v>
      </c>
      <c r="AW356" s="48" t="s">
        <v>2062</v>
      </c>
      <c r="AX356" s="48" t="s">
        <v>2063</v>
      </c>
      <c r="AY356" s="48" t="s">
        <v>1710</v>
      </c>
      <c r="AZ356" s="48" t="s">
        <v>5620</v>
      </c>
      <c r="BA356" s="48" t="s">
        <v>1710</v>
      </c>
      <c r="BB356" s="48" t="s">
        <v>1709</v>
      </c>
      <c r="BC356" s="48" t="s">
        <v>1710</v>
      </c>
      <c r="BD356" s="48" t="s">
        <v>2082</v>
      </c>
      <c r="BE356" s="52" t="s">
        <v>5613</v>
      </c>
      <c r="BF356" s="48" t="s">
        <v>1710</v>
      </c>
      <c r="BG356" s="48" t="s">
        <v>1814</v>
      </c>
      <c r="BH356">
        <v>19</v>
      </c>
      <c r="BI356" s="48" t="s">
        <v>1888</v>
      </c>
      <c r="BJ356">
        <v>1</v>
      </c>
      <c r="BK356">
        <v>1473.06</v>
      </c>
      <c r="BL356">
        <v>15740644</v>
      </c>
      <c r="BM356">
        <v>10686</v>
      </c>
      <c r="BN356" s="48" t="s">
        <v>2064</v>
      </c>
      <c r="BO356" s="48" t="s">
        <v>2065</v>
      </c>
      <c r="BP356">
        <v>1473.06</v>
      </c>
      <c r="BQ356">
        <v>10874.74</v>
      </c>
      <c r="BR356" s="48" t="s">
        <v>1885</v>
      </c>
      <c r="BS356" s="48" t="s">
        <v>2066</v>
      </c>
      <c r="BT356">
        <v>1</v>
      </c>
      <c r="BU356">
        <v>278500</v>
      </c>
      <c r="BV356">
        <v>278500</v>
      </c>
      <c r="BW356" s="48" t="s">
        <v>2065</v>
      </c>
      <c r="BX356">
        <v>1473.06</v>
      </c>
      <c r="BY356">
        <v>0</v>
      </c>
      <c r="BZ356">
        <v>0</v>
      </c>
      <c r="CA356" s="48" t="s">
        <v>2065</v>
      </c>
      <c r="CB356">
        <v>1473.06</v>
      </c>
      <c r="CC356">
        <v>0</v>
      </c>
      <c r="CD356">
        <v>0</v>
      </c>
      <c r="CE356" s="48" t="s">
        <v>1710</v>
      </c>
      <c r="CF356" s="48" t="s">
        <v>1710</v>
      </c>
      <c r="CG356" s="48" t="s">
        <v>1710</v>
      </c>
      <c r="CH356" s="48" t="s">
        <v>1710</v>
      </c>
      <c r="CI356" s="48" t="s">
        <v>2067</v>
      </c>
      <c r="CJ356" s="48" t="s">
        <v>1710</v>
      </c>
      <c r="CL356" s="48" t="s">
        <v>2825</v>
      </c>
      <c r="CM356" s="48" t="s">
        <v>1710</v>
      </c>
      <c r="CN356" s="48" t="s">
        <v>2068</v>
      </c>
      <c r="CO356" s="48" t="s">
        <v>2069</v>
      </c>
      <c r="CP356" s="48" t="s">
        <v>1710</v>
      </c>
      <c r="CQ356" s="48" t="s">
        <v>1710</v>
      </c>
      <c r="CR356" s="48" t="s">
        <v>1710</v>
      </c>
      <c r="CS356" s="48" t="s">
        <v>1710</v>
      </c>
      <c r="CT356" s="48" t="s">
        <v>1710</v>
      </c>
      <c r="CU356" s="48" t="s">
        <v>1712</v>
      </c>
      <c r="CV356" s="48" t="s">
        <v>1710</v>
      </c>
      <c r="CW356" s="48" t="s">
        <v>1710</v>
      </c>
      <c r="CX356" s="48" t="s">
        <v>3167</v>
      </c>
      <c r="CY356" s="48" t="s">
        <v>1710</v>
      </c>
      <c r="CZ356" s="48" t="s">
        <v>1712</v>
      </c>
      <c r="DA356" s="48" t="s">
        <v>1710</v>
      </c>
      <c r="DB356" s="48" t="s">
        <v>1878</v>
      </c>
      <c r="DC356" s="48" t="s">
        <v>2070</v>
      </c>
      <c r="DD356" s="48" t="s">
        <v>1842</v>
      </c>
      <c r="DE356" s="48" t="s">
        <v>1886</v>
      </c>
      <c r="DF356" s="48" t="s">
        <v>5621</v>
      </c>
      <c r="DG356" s="48" t="s">
        <v>2071</v>
      </c>
      <c r="DH356" s="48" t="s">
        <v>1712</v>
      </c>
      <c r="DI356" s="48" t="s">
        <v>1710</v>
      </c>
      <c r="DJ356" s="48" t="s">
        <v>1710</v>
      </c>
      <c r="DK356" s="48" t="s">
        <v>1710</v>
      </c>
      <c r="DL356" s="48" t="s">
        <v>1710</v>
      </c>
      <c r="DM356" s="48" t="s">
        <v>1710</v>
      </c>
      <c r="DN356" s="48" t="s">
        <v>1710</v>
      </c>
      <c r="DO356" s="48" t="s">
        <v>1710</v>
      </c>
      <c r="DP356" s="48" t="s">
        <v>1710</v>
      </c>
      <c r="DQ356" s="48" t="s">
        <v>1710</v>
      </c>
      <c r="DR356" s="48" t="s">
        <v>2072</v>
      </c>
      <c r="DS356" s="48" t="s">
        <v>1710</v>
      </c>
      <c r="DT356" s="48" t="s">
        <v>1710</v>
      </c>
      <c r="DU356" s="48" t="s">
        <v>2575</v>
      </c>
      <c r="DV356" s="48" t="s">
        <v>1710</v>
      </c>
      <c r="DW356" s="48" t="s">
        <v>1710</v>
      </c>
      <c r="DX356" s="48" t="s">
        <v>1710</v>
      </c>
      <c r="DY356" s="48" t="s">
        <v>1710</v>
      </c>
      <c r="DZ356" s="48" t="s">
        <v>2562</v>
      </c>
      <c r="EA356" s="48" t="s">
        <v>2546</v>
      </c>
      <c r="EB356">
        <v>0</v>
      </c>
      <c r="EC356" s="48" t="s">
        <v>2575</v>
      </c>
      <c r="ED356" s="48" t="s">
        <v>5615</v>
      </c>
      <c r="EE356" s="48" t="s">
        <v>1814</v>
      </c>
      <c r="EF356" s="48" t="s">
        <v>1868</v>
      </c>
      <c r="EG356" s="48" t="s">
        <v>5620</v>
      </c>
      <c r="EH356">
        <v>16</v>
      </c>
      <c r="EI356" s="48" t="s">
        <v>1888</v>
      </c>
      <c r="EJ356">
        <v>1</v>
      </c>
      <c r="EK356" s="48" t="s">
        <v>1887</v>
      </c>
      <c r="EL356">
        <v>1</v>
      </c>
      <c r="EM356" s="48" t="s">
        <v>1886</v>
      </c>
      <c r="EN356">
        <v>16</v>
      </c>
      <c r="EO356" s="48" t="s">
        <v>2528</v>
      </c>
      <c r="EP356" s="48" t="s">
        <v>3055</v>
      </c>
      <c r="EQ356">
        <v>10874.74</v>
      </c>
      <c r="ER356">
        <v>10874.74</v>
      </c>
      <c r="ES356">
        <v>15740644</v>
      </c>
      <c r="ET356">
        <v>10686</v>
      </c>
      <c r="EU356" s="48" t="s">
        <v>1710</v>
      </c>
      <c r="EV356" s="48" t="s">
        <v>1710</v>
      </c>
      <c r="EW356" s="48" t="s">
        <v>1712</v>
      </c>
      <c r="EX356" s="48" t="s">
        <v>1710</v>
      </c>
      <c r="EY356" s="48" t="s">
        <v>1848</v>
      </c>
      <c r="EZ356" s="48" t="s">
        <v>1710</v>
      </c>
      <c r="FA356" s="48" t="s">
        <v>1710</v>
      </c>
      <c r="FB356" s="48" t="s">
        <v>1712</v>
      </c>
      <c r="FC356" s="48" t="s">
        <v>1710</v>
      </c>
      <c r="FD356" s="48" t="s">
        <v>1710</v>
      </c>
      <c r="FE356" s="48" t="s">
        <v>1814</v>
      </c>
      <c r="FF356" s="48" t="s">
        <v>1815</v>
      </c>
      <c r="FG356" s="48" t="s">
        <v>1710</v>
      </c>
      <c r="FH356">
        <v>1</v>
      </c>
      <c r="FI356" s="48" t="s">
        <v>1846</v>
      </c>
      <c r="FJ356">
        <v>10874.74</v>
      </c>
      <c r="FK356">
        <v>10874.74</v>
      </c>
      <c r="FL356" s="48" t="s">
        <v>3056</v>
      </c>
      <c r="FM356" s="48" t="s">
        <v>3055</v>
      </c>
      <c r="FN356" s="48" t="s">
        <v>1710</v>
      </c>
      <c r="FO356" s="48" t="s">
        <v>1710</v>
      </c>
      <c r="FP356" s="48" t="s">
        <v>1710</v>
      </c>
      <c r="FQ356" s="48" t="s">
        <v>1710</v>
      </c>
      <c r="FR356" s="48" t="s">
        <v>1710</v>
      </c>
      <c r="FS356" s="48" t="s">
        <v>1710</v>
      </c>
      <c r="FT356" s="48" t="s">
        <v>1710</v>
      </c>
      <c r="FU356" s="48" t="s">
        <v>1710</v>
      </c>
      <c r="FV356" s="48"/>
      <c r="GA356" s="55"/>
      <c r="GE356" s="61"/>
      <c r="GF356" s="62"/>
      <c r="GI356" s="48"/>
    </row>
    <row r="357" spans="1:191">
      <c r="A357" s="48" t="s">
        <v>5622</v>
      </c>
      <c r="B357" s="48" t="s">
        <v>1821</v>
      </c>
      <c r="C357" s="48" t="s">
        <v>2048</v>
      </c>
      <c r="D357" s="48" t="s">
        <v>2813</v>
      </c>
      <c r="E357" s="48" t="s">
        <v>5622</v>
      </c>
      <c r="F357" s="48" t="s">
        <v>1710</v>
      </c>
      <c r="G357" s="48" t="s">
        <v>2814</v>
      </c>
      <c r="H357" s="48" t="s">
        <v>5623</v>
      </c>
      <c r="I357" s="48" t="s">
        <v>1884</v>
      </c>
      <c r="J357" s="48" t="s">
        <v>2825</v>
      </c>
      <c r="K357" s="48" t="s">
        <v>1877</v>
      </c>
      <c r="L357" s="48" t="s">
        <v>1842</v>
      </c>
      <c r="M357" s="48" t="s">
        <v>1810</v>
      </c>
      <c r="N357" s="48" t="s">
        <v>1842</v>
      </c>
      <c r="O357" s="48" t="s">
        <v>1811</v>
      </c>
      <c r="P357" s="48" t="s">
        <v>2549</v>
      </c>
      <c r="Q357" s="48" t="s">
        <v>2049</v>
      </c>
      <c r="R357" s="48" t="s">
        <v>1838</v>
      </c>
      <c r="S357" s="48" t="s">
        <v>2050</v>
      </c>
      <c r="T357" s="48" t="s">
        <v>1845</v>
      </c>
      <c r="U357" s="48" t="s">
        <v>2049</v>
      </c>
      <c r="V357" s="48" t="s">
        <v>1838</v>
      </c>
      <c r="W357" s="48" t="s">
        <v>2051</v>
      </c>
      <c r="X357" s="48" t="s">
        <v>2052</v>
      </c>
      <c r="Y357" s="48" t="s">
        <v>2050</v>
      </c>
      <c r="Z357" s="48" t="s">
        <v>2053</v>
      </c>
      <c r="AA357" s="48" t="s">
        <v>2054</v>
      </c>
      <c r="AB357" s="48" t="s">
        <v>1710</v>
      </c>
      <c r="AC357" s="48" t="s">
        <v>2055</v>
      </c>
      <c r="AD357" s="48" t="s">
        <v>2056</v>
      </c>
      <c r="AE357" s="48" t="s">
        <v>1710</v>
      </c>
      <c r="AF357" s="48" t="s">
        <v>1710</v>
      </c>
      <c r="AG357" s="48" t="s">
        <v>2057</v>
      </c>
      <c r="AH357" s="48" t="s">
        <v>1815</v>
      </c>
      <c r="AI357" s="48" t="s">
        <v>2058</v>
      </c>
      <c r="AJ357" s="48" t="s">
        <v>1710</v>
      </c>
      <c r="AK357" s="48" t="s">
        <v>2080</v>
      </c>
      <c r="AL357" s="48" t="s">
        <v>1866</v>
      </c>
      <c r="AM357" s="48" t="s">
        <v>1816</v>
      </c>
      <c r="AN357" s="48" t="s">
        <v>2054</v>
      </c>
      <c r="AO357" s="48" t="s">
        <v>1710</v>
      </c>
      <c r="AP357" s="48" t="s">
        <v>1854</v>
      </c>
      <c r="AQ357" s="48" t="s">
        <v>2081</v>
      </c>
      <c r="AR357" s="48" t="s">
        <v>1812</v>
      </c>
      <c r="AS357" s="48" t="s">
        <v>1813</v>
      </c>
      <c r="AT357" s="48" t="s">
        <v>1826</v>
      </c>
      <c r="AU357" s="48" t="s">
        <v>2061</v>
      </c>
      <c r="AV357" s="48" t="s">
        <v>2825</v>
      </c>
      <c r="AW357" s="48" t="s">
        <v>2062</v>
      </c>
      <c r="AX357" s="48" t="s">
        <v>2063</v>
      </c>
      <c r="AY357" s="48" t="s">
        <v>1710</v>
      </c>
      <c r="AZ357" s="48" t="s">
        <v>5624</v>
      </c>
      <c r="BA357" s="48" t="s">
        <v>1710</v>
      </c>
      <c r="BB357" s="48" t="s">
        <v>1709</v>
      </c>
      <c r="BC357" s="48" t="s">
        <v>1710</v>
      </c>
      <c r="BD357" s="48" t="s">
        <v>2082</v>
      </c>
      <c r="BE357" s="52" t="s">
        <v>5613</v>
      </c>
      <c r="BF357" s="48" t="s">
        <v>1710</v>
      </c>
      <c r="BG357" s="48" t="s">
        <v>1814</v>
      </c>
      <c r="BH357">
        <v>3</v>
      </c>
      <c r="BI357" s="48" t="s">
        <v>1888</v>
      </c>
      <c r="BJ357">
        <v>1</v>
      </c>
      <c r="BK357">
        <v>1473.06</v>
      </c>
      <c r="BL357">
        <v>9494383</v>
      </c>
      <c r="BM357">
        <v>6445</v>
      </c>
      <c r="BN357" s="48" t="s">
        <v>2064</v>
      </c>
      <c r="BO357" s="48" t="s">
        <v>2065</v>
      </c>
      <c r="BP357">
        <v>1473.06</v>
      </c>
      <c r="BQ357">
        <v>6485.4</v>
      </c>
      <c r="BR357" s="48" t="s">
        <v>1885</v>
      </c>
      <c r="BS357" s="48" t="s">
        <v>2066</v>
      </c>
      <c r="BT357">
        <v>1</v>
      </c>
      <c r="BU357">
        <v>59000</v>
      </c>
      <c r="BV357">
        <v>59000</v>
      </c>
      <c r="BW357" s="48" t="s">
        <v>2065</v>
      </c>
      <c r="BX357">
        <v>1473.06</v>
      </c>
      <c r="BY357">
        <v>0</v>
      </c>
      <c r="BZ357">
        <v>0</v>
      </c>
      <c r="CA357" s="48" t="s">
        <v>2065</v>
      </c>
      <c r="CB357">
        <v>1473.06</v>
      </c>
      <c r="CC357">
        <v>0</v>
      </c>
      <c r="CD357">
        <v>0</v>
      </c>
      <c r="CE357" s="48" t="s">
        <v>1710</v>
      </c>
      <c r="CF357" s="48" t="s">
        <v>1710</v>
      </c>
      <c r="CG357" s="48" t="s">
        <v>1710</v>
      </c>
      <c r="CH357" s="48" t="s">
        <v>1710</v>
      </c>
      <c r="CI357" s="48" t="s">
        <v>2067</v>
      </c>
      <c r="CJ357" s="48" t="s">
        <v>1710</v>
      </c>
      <c r="CL357" s="48" t="s">
        <v>2825</v>
      </c>
      <c r="CM357" s="48" t="s">
        <v>1710</v>
      </c>
      <c r="CN357" s="48" t="s">
        <v>2068</v>
      </c>
      <c r="CO357" s="48" t="s">
        <v>2069</v>
      </c>
      <c r="CP357" s="48" t="s">
        <v>1710</v>
      </c>
      <c r="CQ357" s="48" t="s">
        <v>1710</v>
      </c>
      <c r="CR357" s="48" t="s">
        <v>1710</v>
      </c>
      <c r="CS357" s="48" t="s">
        <v>1710</v>
      </c>
      <c r="CT357" s="48" t="s">
        <v>1710</v>
      </c>
      <c r="CU357" s="48" t="s">
        <v>1712</v>
      </c>
      <c r="CV357" s="48" t="s">
        <v>1710</v>
      </c>
      <c r="CW357" s="48" t="s">
        <v>1710</v>
      </c>
      <c r="CX357" s="48" t="s">
        <v>3167</v>
      </c>
      <c r="CY357" s="48" t="s">
        <v>1710</v>
      </c>
      <c r="CZ357" s="48" t="s">
        <v>1712</v>
      </c>
      <c r="DA357" s="48" t="s">
        <v>1710</v>
      </c>
      <c r="DB357" s="48" t="s">
        <v>1878</v>
      </c>
      <c r="DC357" s="48" t="s">
        <v>2070</v>
      </c>
      <c r="DD357" s="48" t="s">
        <v>1842</v>
      </c>
      <c r="DE357" s="48" t="s">
        <v>1886</v>
      </c>
      <c r="DF357" s="48" t="s">
        <v>5625</v>
      </c>
      <c r="DG357" s="48" t="s">
        <v>2071</v>
      </c>
      <c r="DH357" s="48" t="s">
        <v>1712</v>
      </c>
      <c r="DI357" s="48" t="s">
        <v>1710</v>
      </c>
      <c r="DJ357" s="48" t="s">
        <v>1710</v>
      </c>
      <c r="DK357" s="48" t="s">
        <v>1710</v>
      </c>
      <c r="DL357" s="48" t="s">
        <v>1710</v>
      </c>
      <c r="DM357" s="48" t="s">
        <v>1710</v>
      </c>
      <c r="DN357" s="48" t="s">
        <v>1710</v>
      </c>
      <c r="DO357" s="48" t="s">
        <v>1710</v>
      </c>
      <c r="DP357" s="48" t="s">
        <v>1710</v>
      </c>
      <c r="DQ357" s="48" t="s">
        <v>1710</v>
      </c>
      <c r="DR357" s="48" t="s">
        <v>2072</v>
      </c>
      <c r="DS357" s="48" t="s">
        <v>1710</v>
      </c>
      <c r="DT357" s="48" t="s">
        <v>1710</v>
      </c>
      <c r="DU357" s="48" t="s">
        <v>2575</v>
      </c>
      <c r="DV357" s="48" t="s">
        <v>1710</v>
      </c>
      <c r="DW357" s="48" t="s">
        <v>1710</v>
      </c>
      <c r="DX357" s="48" t="s">
        <v>1710</v>
      </c>
      <c r="DY357" s="48" t="s">
        <v>1710</v>
      </c>
      <c r="DZ357" s="48" t="s">
        <v>2562</v>
      </c>
      <c r="EA357" s="48" t="s">
        <v>2546</v>
      </c>
      <c r="EB357">
        <v>0</v>
      </c>
      <c r="EC357" s="48" t="s">
        <v>2575</v>
      </c>
      <c r="ED357" s="48" t="s">
        <v>5615</v>
      </c>
      <c r="EE357" s="48" t="s">
        <v>1814</v>
      </c>
      <c r="EF357" s="48" t="s">
        <v>2643</v>
      </c>
      <c r="EG357" s="48" t="s">
        <v>5624</v>
      </c>
      <c r="EH357">
        <v>2</v>
      </c>
      <c r="EI357" s="48" t="s">
        <v>1888</v>
      </c>
      <c r="EJ357">
        <v>0</v>
      </c>
      <c r="EK357" s="48" t="s">
        <v>1710</v>
      </c>
      <c r="EL357">
        <v>1</v>
      </c>
      <c r="EM357" s="48" t="s">
        <v>1886</v>
      </c>
      <c r="EN357">
        <v>2</v>
      </c>
      <c r="EO357" s="48" t="s">
        <v>2644</v>
      </c>
      <c r="EP357" s="48" t="s">
        <v>5626</v>
      </c>
      <c r="EQ357">
        <v>6485.4</v>
      </c>
      <c r="ER357">
        <v>6485.4</v>
      </c>
      <c r="ES357">
        <v>9494383</v>
      </c>
      <c r="ET357">
        <v>6445</v>
      </c>
      <c r="EU357" s="48" t="s">
        <v>1710</v>
      </c>
      <c r="EV357" s="48" t="s">
        <v>1710</v>
      </c>
      <c r="EW357" s="48" t="s">
        <v>1712</v>
      </c>
      <c r="EX357" s="48" t="s">
        <v>1710</v>
      </c>
      <c r="EY357" s="48" t="s">
        <v>1854</v>
      </c>
      <c r="EZ357" s="48" t="s">
        <v>1710</v>
      </c>
      <c r="FA357" s="48" t="s">
        <v>1710</v>
      </c>
      <c r="FB357" s="48" t="s">
        <v>1712</v>
      </c>
      <c r="FC357" s="48" t="s">
        <v>1710</v>
      </c>
      <c r="FD357" s="48" t="s">
        <v>1710</v>
      </c>
      <c r="FE357" s="48" t="s">
        <v>1814</v>
      </c>
      <c r="FF357" s="48" t="s">
        <v>1815</v>
      </c>
      <c r="FG357" s="48" t="s">
        <v>1710</v>
      </c>
      <c r="FH357">
        <v>1</v>
      </c>
      <c r="FI357" s="48" t="s">
        <v>1846</v>
      </c>
      <c r="FJ357">
        <v>6485.4</v>
      </c>
      <c r="FK357">
        <v>6485.4</v>
      </c>
      <c r="FL357" s="48" t="s">
        <v>5627</v>
      </c>
      <c r="FM357" s="48" t="s">
        <v>5626</v>
      </c>
      <c r="FN357" s="48" t="s">
        <v>1710</v>
      </c>
      <c r="FO357" s="48" t="s">
        <v>1710</v>
      </c>
      <c r="FP357" s="48" t="s">
        <v>1710</v>
      </c>
      <c r="FQ357" s="48" t="s">
        <v>1710</v>
      </c>
      <c r="FR357" s="48" t="s">
        <v>1710</v>
      </c>
      <c r="FS357" s="48" t="s">
        <v>1710</v>
      </c>
      <c r="FT357" s="48" t="s">
        <v>1710</v>
      </c>
      <c r="FU357" s="48" t="s">
        <v>1710</v>
      </c>
      <c r="FV357" s="48"/>
      <c r="GA357" s="55"/>
      <c r="GE357" s="61"/>
      <c r="GF357" s="62"/>
      <c r="GI357" s="48"/>
    </row>
    <row r="358" spans="1:191">
      <c r="A358" s="48" t="s">
        <v>5628</v>
      </c>
      <c r="B358" s="48" t="s">
        <v>1821</v>
      </c>
      <c r="C358" s="48" t="s">
        <v>2048</v>
      </c>
      <c r="D358" s="48" t="s">
        <v>2813</v>
      </c>
      <c r="E358" s="48" t="s">
        <v>5628</v>
      </c>
      <c r="F358" s="48" t="s">
        <v>1710</v>
      </c>
      <c r="G358" s="48" t="s">
        <v>2814</v>
      </c>
      <c r="H358" s="48" t="s">
        <v>5629</v>
      </c>
      <c r="I358" s="48" t="s">
        <v>1884</v>
      </c>
      <c r="J358" s="48" t="s">
        <v>2825</v>
      </c>
      <c r="K358" s="48" t="s">
        <v>1877</v>
      </c>
      <c r="L358" s="48" t="s">
        <v>1842</v>
      </c>
      <c r="M358" s="48" t="s">
        <v>1810</v>
      </c>
      <c r="N358" s="48" t="s">
        <v>1842</v>
      </c>
      <c r="O358" s="48" t="s">
        <v>1811</v>
      </c>
      <c r="P358" s="48" t="s">
        <v>2549</v>
      </c>
      <c r="Q358" s="48" t="s">
        <v>2049</v>
      </c>
      <c r="R358" s="48" t="s">
        <v>1838</v>
      </c>
      <c r="S358" s="48" t="s">
        <v>2050</v>
      </c>
      <c r="T358" s="48" t="s">
        <v>1845</v>
      </c>
      <c r="U358" s="48" t="s">
        <v>2049</v>
      </c>
      <c r="V358" s="48" t="s">
        <v>1838</v>
      </c>
      <c r="W358" s="48" t="s">
        <v>2051</v>
      </c>
      <c r="X358" s="48" t="s">
        <v>2052</v>
      </c>
      <c r="Y358" s="48" t="s">
        <v>2050</v>
      </c>
      <c r="Z358" s="48" t="s">
        <v>2053</v>
      </c>
      <c r="AA358" s="48" t="s">
        <v>2054</v>
      </c>
      <c r="AB358" s="48" t="s">
        <v>1710</v>
      </c>
      <c r="AC358" s="48" t="s">
        <v>2055</v>
      </c>
      <c r="AD358" s="48" t="s">
        <v>2056</v>
      </c>
      <c r="AE358" s="48" t="s">
        <v>1710</v>
      </c>
      <c r="AF358" s="48" t="s">
        <v>1710</v>
      </c>
      <c r="AG358" s="48" t="s">
        <v>2057</v>
      </c>
      <c r="AH358" s="48" t="s">
        <v>1815</v>
      </c>
      <c r="AI358" s="48" t="s">
        <v>2058</v>
      </c>
      <c r="AJ358" s="48" t="s">
        <v>1710</v>
      </c>
      <c r="AK358" s="48" t="s">
        <v>2558</v>
      </c>
      <c r="AL358" s="48" t="s">
        <v>1882</v>
      </c>
      <c r="AM358" s="48" t="s">
        <v>1816</v>
      </c>
      <c r="AN358" s="48" t="s">
        <v>2054</v>
      </c>
      <c r="AO358" s="48" t="s">
        <v>1710</v>
      </c>
      <c r="AP358" s="48" t="s">
        <v>1851</v>
      </c>
      <c r="AQ358" s="48" t="s">
        <v>2083</v>
      </c>
      <c r="AR358" s="48" t="s">
        <v>1812</v>
      </c>
      <c r="AS358" s="48" t="s">
        <v>1813</v>
      </c>
      <c r="AT358" s="48" t="s">
        <v>1826</v>
      </c>
      <c r="AU358" s="48" t="s">
        <v>2061</v>
      </c>
      <c r="AV358" s="48" t="s">
        <v>2825</v>
      </c>
      <c r="AW358" s="48" t="s">
        <v>2062</v>
      </c>
      <c r="AX358" s="48" t="s">
        <v>2063</v>
      </c>
      <c r="AY358" s="48" t="s">
        <v>1710</v>
      </c>
      <c r="AZ358" s="48" t="s">
        <v>5630</v>
      </c>
      <c r="BA358" s="48" t="s">
        <v>1710</v>
      </c>
      <c r="BB358" s="48" t="s">
        <v>1709</v>
      </c>
      <c r="BC358" s="48" t="s">
        <v>1710</v>
      </c>
      <c r="BD358" s="48" t="s">
        <v>2082</v>
      </c>
      <c r="BE358" s="52" t="s">
        <v>5613</v>
      </c>
      <c r="BF358" s="48" t="s">
        <v>1710</v>
      </c>
      <c r="BG358" s="48" t="s">
        <v>1814</v>
      </c>
      <c r="BH358">
        <v>3</v>
      </c>
      <c r="BI358" s="48" t="s">
        <v>1888</v>
      </c>
      <c r="BJ358">
        <v>1</v>
      </c>
      <c r="BK358">
        <v>1473.06</v>
      </c>
      <c r="BL358">
        <v>6690281</v>
      </c>
      <c r="BM358">
        <v>4542</v>
      </c>
      <c r="BN358" s="48" t="s">
        <v>2064</v>
      </c>
      <c r="BO358" s="48" t="s">
        <v>2065</v>
      </c>
      <c r="BP358">
        <v>1473.06</v>
      </c>
      <c r="BQ358">
        <v>4581.8100000000004</v>
      </c>
      <c r="BR358" s="48" t="s">
        <v>1885</v>
      </c>
      <c r="BS358" s="48" t="s">
        <v>2066</v>
      </c>
      <c r="BT358">
        <v>1</v>
      </c>
      <c r="BU358">
        <v>59000</v>
      </c>
      <c r="BV358">
        <v>59000</v>
      </c>
      <c r="BW358" s="48" t="s">
        <v>2065</v>
      </c>
      <c r="BX358">
        <v>1473.06</v>
      </c>
      <c r="BY358">
        <v>0</v>
      </c>
      <c r="BZ358">
        <v>0</v>
      </c>
      <c r="CA358" s="48" t="s">
        <v>2065</v>
      </c>
      <c r="CB358">
        <v>1473.06</v>
      </c>
      <c r="CC358">
        <v>0</v>
      </c>
      <c r="CD358">
        <v>0</v>
      </c>
      <c r="CE358" s="48" t="s">
        <v>1710</v>
      </c>
      <c r="CF358" s="48" t="s">
        <v>1710</v>
      </c>
      <c r="CG358" s="48" t="s">
        <v>1710</v>
      </c>
      <c r="CH358" s="48" t="s">
        <v>1710</v>
      </c>
      <c r="CI358" s="48" t="s">
        <v>2067</v>
      </c>
      <c r="CJ358" s="48" t="s">
        <v>1710</v>
      </c>
      <c r="CL358" s="48" t="s">
        <v>2825</v>
      </c>
      <c r="CM358" s="48" t="s">
        <v>1710</v>
      </c>
      <c r="CN358" s="48" t="s">
        <v>2068</v>
      </c>
      <c r="CO358" s="48" t="s">
        <v>2069</v>
      </c>
      <c r="CP358" s="48" t="s">
        <v>1710</v>
      </c>
      <c r="CQ358" s="48" t="s">
        <v>1710</v>
      </c>
      <c r="CR358" s="48" t="s">
        <v>1710</v>
      </c>
      <c r="CS358" s="48" t="s">
        <v>1710</v>
      </c>
      <c r="CT358" s="48" t="s">
        <v>1710</v>
      </c>
      <c r="CU358" s="48" t="s">
        <v>1712</v>
      </c>
      <c r="CV358" s="48" t="s">
        <v>1710</v>
      </c>
      <c r="CW358" s="48" t="s">
        <v>1710</v>
      </c>
      <c r="CX358" s="48" t="s">
        <v>3167</v>
      </c>
      <c r="CY358" s="48" t="s">
        <v>1710</v>
      </c>
      <c r="CZ358" s="48" t="s">
        <v>1712</v>
      </c>
      <c r="DA358" s="48" t="s">
        <v>1710</v>
      </c>
      <c r="DB358" s="48" t="s">
        <v>1878</v>
      </c>
      <c r="DC358" s="48" t="s">
        <v>2070</v>
      </c>
      <c r="DD358" s="48" t="s">
        <v>1842</v>
      </c>
      <c r="DE358" s="48" t="s">
        <v>1886</v>
      </c>
      <c r="DF358" s="48" t="s">
        <v>5631</v>
      </c>
      <c r="DG358" s="48" t="s">
        <v>2071</v>
      </c>
      <c r="DH358" s="48" t="s">
        <v>1712</v>
      </c>
      <c r="DI358" s="48" t="s">
        <v>1710</v>
      </c>
      <c r="DJ358" s="48" t="s">
        <v>1710</v>
      </c>
      <c r="DK358" s="48" t="s">
        <v>1710</v>
      </c>
      <c r="DL358" s="48" t="s">
        <v>1710</v>
      </c>
      <c r="DM358" s="48" t="s">
        <v>1710</v>
      </c>
      <c r="DN358" s="48" t="s">
        <v>1710</v>
      </c>
      <c r="DO358" s="48" t="s">
        <v>1710</v>
      </c>
      <c r="DP358" s="48" t="s">
        <v>1710</v>
      </c>
      <c r="DQ358" s="48" t="s">
        <v>1710</v>
      </c>
      <c r="DR358" s="48" t="s">
        <v>2072</v>
      </c>
      <c r="DS358" s="48" t="s">
        <v>1710</v>
      </c>
      <c r="DT358" s="48" t="s">
        <v>1710</v>
      </c>
      <c r="DU358" s="48" t="s">
        <v>2575</v>
      </c>
      <c r="DV358" s="48" t="s">
        <v>1710</v>
      </c>
      <c r="DW358" s="48" t="s">
        <v>1710</v>
      </c>
      <c r="DX358" s="48" t="s">
        <v>1710</v>
      </c>
      <c r="DY358" s="48" t="s">
        <v>1710</v>
      </c>
      <c r="DZ358" s="48" t="s">
        <v>2562</v>
      </c>
      <c r="EA358" s="48" t="s">
        <v>2546</v>
      </c>
      <c r="EB358">
        <v>0</v>
      </c>
      <c r="EC358" s="48" t="s">
        <v>2575</v>
      </c>
      <c r="ED358" s="48" t="s">
        <v>5632</v>
      </c>
      <c r="EE358" s="48" t="s">
        <v>1814</v>
      </c>
      <c r="EF358" s="48" t="s">
        <v>1876</v>
      </c>
      <c r="EG358" s="48" t="s">
        <v>5630</v>
      </c>
      <c r="EH358">
        <v>1.4</v>
      </c>
      <c r="EI358" s="48" t="s">
        <v>1888</v>
      </c>
      <c r="EJ358">
        <v>0</v>
      </c>
      <c r="EK358" s="48" t="s">
        <v>1710</v>
      </c>
      <c r="EL358">
        <v>1</v>
      </c>
      <c r="EM358" s="48" t="s">
        <v>1886</v>
      </c>
      <c r="EN358">
        <v>1.4</v>
      </c>
      <c r="EO358" s="48" t="s">
        <v>2722</v>
      </c>
      <c r="EP358" s="48" t="s">
        <v>5633</v>
      </c>
      <c r="EQ358">
        <v>4581.8100000000004</v>
      </c>
      <c r="ER358">
        <v>4581.8100000000004</v>
      </c>
      <c r="ES358">
        <v>6690281</v>
      </c>
      <c r="ET358">
        <v>4542</v>
      </c>
      <c r="EU358" s="48" t="s">
        <v>1710</v>
      </c>
      <c r="EV358" s="48" t="s">
        <v>1710</v>
      </c>
      <c r="EW358" s="48" t="s">
        <v>1712</v>
      </c>
      <c r="EX358" s="48" t="s">
        <v>1710</v>
      </c>
      <c r="EY358" s="48" t="s">
        <v>1851</v>
      </c>
      <c r="EZ358" s="48" t="s">
        <v>1710</v>
      </c>
      <c r="FA358" s="48" t="s">
        <v>1710</v>
      </c>
      <c r="FB358" s="48" t="s">
        <v>1712</v>
      </c>
      <c r="FC358" s="48" t="s">
        <v>1710</v>
      </c>
      <c r="FD358" s="48" t="s">
        <v>1710</v>
      </c>
      <c r="FE358" s="48" t="s">
        <v>1814</v>
      </c>
      <c r="FF358" s="48" t="s">
        <v>1815</v>
      </c>
      <c r="FG358" s="48" t="s">
        <v>1710</v>
      </c>
      <c r="FH358">
        <v>1</v>
      </c>
      <c r="FI358" s="48" t="s">
        <v>1846</v>
      </c>
      <c r="FJ358">
        <v>4581.8100000000004</v>
      </c>
      <c r="FK358">
        <v>4581.8100000000004</v>
      </c>
      <c r="FL358" s="48" t="s">
        <v>5634</v>
      </c>
      <c r="FM358" s="48" t="s">
        <v>5633</v>
      </c>
      <c r="FN358" s="48" t="s">
        <v>1710</v>
      </c>
      <c r="FO358" s="48" t="s">
        <v>1710</v>
      </c>
      <c r="FP358" s="48" t="s">
        <v>1710</v>
      </c>
      <c r="FQ358" s="48" t="s">
        <v>1710</v>
      </c>
      <c r="FR358" s="48" t="s">
        <v>1710</v>
      </c>
      <c r="FS358" s="48" t="s">
        <v>1710</v>
      </c>
      <c r="FT358" s="48" t="s">
        <v>1710</v>
      </c>
      <c r="FU358" s="48" t="s">
        <v>1710</v>
      </c>
      <c r="FV358" s="48"/>
      <c r="GA358" s="55"/>
      <c r="GE358" s="61"/>
      <c r="GF358" s="62"/>
      <c r="GI358" s="48"/>
    </row>
    <row r="359" spans="1:191">
      <c r="A359" s="48" t="s">
        <v>5635</v>
      </c>
      <c r="B359" s="48" t="s">
        <v>1821</v>
      </c>
      <c r="C359" s="48" t="s">
        <v>2048</v>
      </c>
      <c r="D359" s="48" t="s">
        <v>2813</v>
      </c>
      <c r="E359" s="48" t="s">
        <v>5635</v>
      </c>
      <c r="F359" s="48" t="s">
        <v>1710</v>
      </c>
      <c r="G359" s="48" t="s">
        <v>2814</v>
      </c>
      <c r="H359" s="48" t="s">
        <v>5636</v>
      </c>
      <c r="I359" s="48" t="s">
        <v>1884</v>
      </c>
      <c r="J359" s="48" t="s">
        <v>2825</v>
      </c>
      <c r="K359" s="48" t="s">
        <v>1877</v>
      </c>
      <c r="L359" s="48" t="s">
        <v>1842</v>
      </c>
      <c r="M359" s="48" t="s">
        <v>1810</v>
      </c>
      <c r="N359" s="48" t="s">
        <v>1842</v>
      </c>
      <c r="O359" s="48" t="s">
        <v>1811</v>
      </c>
      <c r="P359" s="48" t="s">
        <v>2549</v>
      </c>
      <c r="Q359" s="48" t="s">
        <v>2049</v>
      </c>
      <c r="R359" s="48" t="s">
        <v>1838</v>
      </c>
      <c r="S359" s="48" t="s">
        <v>2050</v>
      </c>
      <c r="T359" s="48" t="s">
        <v>1845</v>
      </c>
      <c r="U359" s="48" t="s">
        <v>2049</v>
      </c>
      <c r="V359" s="48" t="s">
        <v>1838</v>
      </c>
      <c r="W359" s="48" t="s">
        <v>2051</v>
      </c>
      <c r="X359" s="48" t="s">
        <v>2052</v>
      </c>
      <c r="Y359" s="48" t="s">
        <v>2050</v>
      </c>
      <c r="Z359" s="48" t="s">
        <v>2053</v>
      </c>
      <c r="AA359" s="48" t="s">
        <v>2054</v>
      </c>
      <c r="AB359" s="48" t="s">
        <v>1710</v>
      </c>
      <c r="AC359" s="48" t="s">
        <v>2055</v>
      </c>
      <c r="AD359" s="48" t="s">
        <v>2056</v>
      </c>
      <c r="AE359" s="48" t="s">
        <v>1710</v>
      </c>
      <c r="AF359" s="48" t="s">
        <v>1710</v>
      </c>
      <c r="AG359" s="48" t="s">
        <v>2057</v>
      </c>
      <c r="AH359" s="48" t="s">
        <v>1815</v>
      </c>
      <c r="AI359" s="48" t="s">
        <v>2058</v>
      </c>
      <c r="AJ359" s="48" t="s">
        <v>1710</v>
      </c>
      <c r="AK359" s="48" t="s">
        <v>2568</v>
      </c>
      <c r="AL359" s="48" t="s">
        <v>1880</v>
      </c>
      <c r="AM359" s="48" t="s">
        <v>1816</v>
      </c>
      <c r="AN359" s="48" t="s">
        <v>2054</v>
      </c>
      <c r="AO359" s="48" t="s">
        <v>1710</v>
      </c>
      <c r="AP359" s="48" t="s">
        <v>1843</v>
      </c>
      <c r="AQ359" s="48" t="s">
        <v>2079</v>
      </c>
      <c r="AR359" s="48" t="s">
        <v>1812</v>
      </c>
      <c r="AS359" s="48" t="s">
        <v>1813</v>
      </c>
      <c r="AT359" s="48" t="s">
        <v>1826</v>
      </c>
      <c r="AU359" s="48" t="s">
        <v>2061</v>
      </c>
      <c r="AV359" s="48" t="s">
        <v>2825</v>
      </c>
      <c r="AW359" s="48" t="s">
        <v>2062</v>
      </c>
      <c r="AX359" s="48" t="s">
        <v>2063</v>
      </c>
      <c r="AY359" s="48" t="s">
        <v>1710</v>
      </c>
      <c r="AZ359" s="48" t="s">
        <v>5637</v>
      </c>
      <c r="BA359" s="48" t="s">
        <v>1710</v>
      </c>
      <c r="BB359" s="48" t="s">
        <v>1709</v>
      </c>
      <c r="BC359" s="48" t="s">
        <v>1710</v>
      </c>
      <c r="BD359" s="48" t="s">
        <v>2082</v>
      </c>
      <c r="BE359" s="52" t="s">
        <v>5613</v>
      </c>
      <c r="BF359" s="48" t="s">
        <v>1710</v>
      </c>
      <c r="BG359" s="48" t="s">
        <v>1814</v>
      </c>
      <c r="BH359">
        <v>13</v>
      </c>
      <c r="BI359" s="48" t="s">
        <v>1888</v>
      </c>
      <c r="BJ359">
        <v>1</v>
      </c>
      <c r="BK359">
        <v>1473.06</v>
      </c>
      <c r="BL359">
        <v>26459410</v>
      </c>
      <c r="BM359">
        <v>17962</v>
      </c>
      <c r="BN359" s="48" t="s">
        <v>2064</v>
      </c>
      <c r="BO359" s="48" t="s">
        <v>2065</v>
      </c>
      <c r="BP359">
        <v>1473.06</v>
      </c>
      <c r="BQ359">
        <v>18019.64</v>
      </c>
      <c r="BR359" s="48" t="s">
        <v>1885</v>
      </c>
      <c r="BS359" s="48" t="s">
        <v>2066</v>
      </c>
      <c r="BT359">
        <v>1</v>
      </c>
      <c r="BU359">
        <v>84600</v>
      </c>
      <c r="BV359">
        <v>84600</v>
      </c>
      <c r="BW359" s="48" t="s">
        <v>2065</v>
      </c>
      <c r="BX359">
        <v>1473.06</v>
      </c>
      <c r="BY359">
        <v>0</v>
      </c>
      <c r="BZ359">
        <v>0</v>
      </c>
      <c r="CA359" s="48" t="s">
        <v>2065</v>
      </c>
      <c r="CB359">
        <v>1473.06</v>
      </c>
      <c r="CC359">
        <v>0</v>
      </c>
      <c r="CD359">
        <v>0</v>
      </c>
      <c r="CE359" s="48" t="s">
        <v>1710</v>
      </c>
      <c r="CF359" s="48" t="s">
        <v>1710</v>
      </c>
      <c r="CG359" s="48" t="s">
        <v>1710</v>
      </c>
      <c r="CH359" s="48" t="s">
        <v>1710</v>
      </c>
      <c r="CI359" s="48" t="s">
        <v>2067</v>
      </c>
      <c r="CJ359" s="48" t="s">
        <v>1710</v>
      </c>
      <c r="CL359" s="48" t="s">
        <v>2825</v>
      </c>
      <c r="CM359" s="48" t="s">
        <v>1710</v>
      </c>
      <c r="CN359" s="48" t="s">
        <v>2068</v>
      </c>
      <c r="CO359" s="48" t="s">
        <v>2069</v>
      </c>
      <c r="CP359" s="48" t="s">
        <v>1710</v>
      </c>
      <c r="CQ359" s="48" t="s">
        <v>1710</v>
      </c>
      <c r="CR359" s="48" t="s">
        <v>1710</v>
      </c>
      <c r="CS359" s="48" t="s">
        <v>1710</v>
      </c>
      <c r="CT359" s="48" t="s">
        <v>1710</v>
      </c>
      <c r="CU359" s="48" t="s">
        <v>1712</v>
      </c>
      <c r="CV359" s="48" t="s">
        <v>1710</v>
      </c>
      <c r="CW359" s="48" t="s">
        <v>1710</v>
      </c>
      <c r="CX359" s="48" t="s">
        <v>3167</v>
      </c>
      <c r="CY359" s="48" t="s">
        <v>1710</v>
      </c>
      <c r="CZ359" s="48" t="s">
        <v>1712</v>
      </c>
      <c r="DA359" s="48" t="s">
        <v>1710</v>
      </c>
      <c r="DB359" s="48" t="s">
        <v>1878</v>
      </c>
      <c r="DC359" s="48" t="s">
        <v>2070</v>
      </c>
      <c r="DD359" s="48" t="s">
        <v>1842</v>
      </c>
      <c r="DE359" s="48" t="s">
        <v>1886</v>
      </c>
      <c r="DF359" s="48" t="s">
        <v>5638</v>
      </c>
      <c r="DG359" s="48" t="s">
        <v>2071</v>
      </c>
      <c r="DH359" s="48" t="s">
        <v>1712</v>
      </c>
      <c r="DI359" s="48" t="s">
        <v>1710</v>
      </c>
      <c r="DJ359" s="48" t="s">
        <v>1710</v>
      </c>
      <c r="DK359" s="48" t="s">
        <v>1710</v>
      </c>
      <c r="DL359" s="48" t="s">
        <v>1710</v>
      </c>
      <c r="DM359" s="48" t="s">
        <v>1710</v>
      </c>
      <c r="DN359" s="48" t="s">
        <v>1710</v>
      </c>
      <c r="DO359" s="48" t="s">
        <v>1710</v>
      </c>
      <c r="DP359" s="48" t="s">
        <v>1710</v>
      </c>
      <c r="DQ359" s="48" t="s">
        <v>1710</v>
      </c>
      <c r="DR359" s="48" t="s">
        <v>2072</v>
      </c>
      <c r="DS359" s="48" t="s">
        <v>1710</v>
      </c>
      <c r="DT359" s="48" t="s">
        <v>1710</v>
      </c>
      <c r="DU359" s="48" t="s">
        <v>2575</v>
      </c>
      <c r="DV359" s="48" t="s">
        <v>1710</v>
      </c>
      <c r="DW359" s="48" t="s">
        <v>1710</v>
      </c>
      <c r="DX359" s="48" t="s">
        <v>1710</v>
      </c>
      <c r="DY359" s="48" t="s">
        <v>1710</v>
      </c>
      <c r="DZ359" s="48" t="s">
        <v>2562</v>
      </c>
      <c r="EA359" s="48" t="s">
        <v>2546</v>
      </c>
      <c r="EB359">
        <v>0</v>
      </c>
      <c r="EC359" s="48" t="s">
        <v>2575</v>
      </c>
      <c r="ED359" s="48" t="s">
        <v>5632</v>
      </c>
      <c r="EE359" s="48" t="s">
        <v>1814</v>
      </c>
      <c r="EF359" s="48" t="s">
        <v>1852</v>
      </c>
      <c r="EG359" s="48" t="s">
        <v>5637</v>
      </c>
      <c r="EH359">
        <v>10</v>
      </c>
      <c r="EI359" s="48" t="s">
        <v>1888</v>
      </c>
      <c r="EJ359">
        <v>0</v>
      </c>
      <c r="EK359" s="48" t="s">
        <v>1710</v>
      </c>
      <c r="EL359">
        <v>1</v>
      </c>
      <c r="EM359" s="48" t="s">
        <v>1886</v>
      </c>
      <c r="EN359">
        <v>10</v>
      </c>
      <c r="EO359" s="48" t="s">
        <v>2521</v>
      </c>
      <c r="EP359" s="48" t="s">
        <v>2596</v>
      </c>
      <c r="EQ359">
        <v>18019.64</v>
      </c>
      <c r="ER359">
        <v>18019.64</v>
      </c>
      <c r="ES359">
        <v>26459410</v>
      </c>
      <c r="ET359">
        <v>17962</v>
      </c>
      <c r="EU359" s="48" t="s">
        <v>1710</v>
      </c>
      <c r="EV359" s="48" t="s">
        <v>1710</v>
      </c>
      <c r="EW359" s="48" t="s">
        <v>1712</v>
      </c>
      <c r="EX359" s="48" t="s">
        <v>1710</v>
      </c>
      <c r="EY359" s="48" t="s">
        <v>1843</v>
      </c>
      <c r="EZ359" s="48" t="s">
        <v>1710</v>
      </c>
      <c r="FA359" s="48" t="s">
        <v>1710</v>
      </c>
      <c r="FB359" s="48" t="s">
        <v>1712</v>
      </c>
      <c r="FC359" s="48" t="s">
        <v>1710</v>
      </c>
      <c r="FD359" s="48" t="s">
        <v>1710</v>
      </c>
      <c r="FE359" s="48" t="s">
        <v>1814</v>
      </c>
      <c r="FF359" s="48" t="s">
        <v>1815</v>
      </c>
      <c r="FG359" s="48" t="s">
        <v>1710</v>
      </c>
      <c r="FH359">
        <v>1</v>
      </c>
      <c r="FI359" s="48" t="s">
        <v>1846</v>
      </c>
      <c r="FJ359">
        <v>18019.64</v>
      </c>
      <c r="FK359">
        <v>18019.64</v>
      </c>
      <c r="FL359" s="48" t="s">
        <v>3988</v>
      </c>
      <c r="FM359" s="48" t="s">
        <v>2596</v>
      </c>
      <c r="FN359" s="48" t="s">
        <v>1710</v>
      </c>
      <c r="FO359" s="48" t="s">
        <v>1710</v>
      </c>
      <c r="FP359" s="48" t="s">
        <v>1710</v>
      </c>
      <c r="FQ359" s="48" t="s">
        <v>1710</v>
      </c>
      <c r="FR359" s="48" t="s">
        <v>1710</v>
      </c>
      <c r="FS359" s="48" t="s">
        <v>1710</v>
      </c>
      <c r="FT359" s="48" t="s">
        <v>1710</v>
      </c>
      <c r="FU359" s="48" t="s">
        <v>1710</v>
      </c>
      <c r="FV359" s="48"/>
      <c r="GA359" s="55"/>
      <c r="GE359" s="61"/>
      <c r="GF359" s="62"/>
      <c r="GI359" s="48"/>
    </row>
    <row r="360" spans="1:191">
      <c r="A360" s="48" t="s">
        <v>5639</v>
      </c>
      <c r="B360" s="48" t="s">
        <v>1821</v>
      </c>
      <c r="C360" s="48" t="s">
        <v>2048</v>
      </c>
      <c r="D360" s="48" t="s">
        <v>2813</v>
      </c>
      <c r="E360" s="48" t="s">
        <v>5639</v>
      </c>
      <c r="F360" s="48" t="s">
        <v>1710</v>
      </c>
      <c r="G360" s="48" t="s">
        <v>2814</v>
      </c>
      <c r="H360" s="48" t="s">
        <v>5640</v>
      </c>
      <c r="I360" s="48" t="s">
        <v>1884</v>
      </c>
      <c r="J360" s="48" t="s">
        <v>2825</v>
      </c>
      <c r="K360" s="48" t="s">
        <v>1877</v>
      </c>
      <c r="L360" s="48" t="s">
        <v>1842</v>
      </c>
      <c r="M360" s="48" t="s">
        <v>1822</v>
      </c>
      <c r="N360" s="48" t="s">
        <v>1842</v>
      </c>
      <c r="O360" s="48" t="s">
        <v>1823</v>
      </c>
      <c r="P360" s="48" t="s">
        <v>2549</v>
      </c>
      <c r="Q360" s="48" t="s">
        <v>2049</v>
      </c>
      <c r="R360" s="48" t="s">
        <v>1838</v>
      </c>
      <c r="S360" s="48" t="s">
        <v>2050</v>
      </c>
      <c r="T360" s="48" t="s">
        <v>1845</v>
      </c>
      <c r="U360" s="48" t="s">
        <v>2049</v>
      </c>
      <c r="V360" s="48" t="s">
        <v>1838</v>
      </c>
      <c r="W360" s="48" t="s">
        <v>2051</v>
      </c>
      <c r="X360" s="48" t="s">
        <v>2052</v>
      </c>
      <c r="Y360" s="48" t="s">
        <v>2050</v>
      </c>
      <c r="Z360" s="48" t="s">
        <v>2053</v>
      </c>
      <c r="AA360" s="48" t="s">
        <v>2054</v>
      </c>
      <c r="AB360" s="48" t="s">
        <v>2817</v>
      </c>
      <c r="AC360" s="48" t="s">
        <v>2055</v>
      </c>
      <c r="AD360" s="48" t="s">
        <v>2056</v>
      </c>
      <c r="AE360" s="48" t="s">
        <v>1710</v>
      </c>
      <c r="AF360" s="48" t="s">
        <v>1710</v>
      </c>
      <c r="AG360" s="48" t="s">
        <v>2057</v>
      </c>
      <c r="AH360" s="48" t="s">
        <v>1815</v>
      </c>
      <c r="AI360" s="48" t="s">
        <v>2058</v>
      </c>
      <c r="AJ360" s="48" t="s">
        <v>1710</v>
      </c>
      <c r="AK360" s="48" t="s">
        <v>2077</v>
      </c>
      <c r="AL360" s="48" t="s">
        <v>1858</v>
      </c>
      <c r="AM360" s="48" t="s">
        <v>1816</v>
      </c>
      <c r="AN360" s="48" t="s">
        <v>2054</v>
      </c>
      <c r="AO360" s="48" t="s">
        <v>1710</v>
      </c>
      <c r="AP360" s="48" t="s">
        <v>1848</v>
      </c>
      <c r="AQ360" s="48" t="s">
        <v>2060</v>
      </c>
      <c r="AR360" s="48" t="s">
        <v>1812</v>
      </c>
      <c r="AS360" s="48" t="s">
        <v>1813</v>
      </c>
      <c r="AT360" s="48" t="s">
        <v>1826</v>
      </c>
      <c r="AU360" s="48" t="s">
        <v>2061</v>
      </c>
      <c r="AV360" s="48" t="s">
        <v>2825</v>
      </c>
      <c r="AW360" s="48" t="s">
        <v>2062</v>
      </c>
      <c r="AX360" s="48" t="s">
        <v>2063</v>
      </c>
      <c r="AY360" s="48" t="s">
        <v>1710</v>
      </c>
      <c r="AZ360" s="48" t="s">
        <v>5641</v>
      </c>
      <c r="BA360" s="48" t="s">
        <v>1710</v>
      </c>
      <c r="BB360" s="48" t="s">
        <v>1709</v>
      </c>
      <c r="BC360" s="48" t="s">
        <v>1710</v>
      </c>
      <c r="BD360" s="48" t="s">
        <v>2094</v>
      </c>
      <c r="BE360" s="52" t="s">
        <v>5642</v>
      </c>
      <c r="BF360" s="48" t="s">
        <v>1710</v>
      </c>
      <c r="BG360" s="48" t="s">
        <v>1817</v>
      </c>
      <c r="BH360">
        <v>13</v>
      </c>
      <c r="BI360" s="48" t="s">
        <v>1888</v>
      </c>
      <c r="BJ360">
        <v>2</v>
      </c>
      <c r="BK360">
        <v>1473.06</v>
      </c>
      <c r="BL360">
        <v>7457254</v>
      </c>
      <c r="BM360">
        <v>5062</v>
      </c>
      <c r="BN360" s="48" t="s">
        <v>2064</v>
      </c>
      <c r="BO360" s="48" t="s">
        <v>2065</v>
      </c>
      <c r="BP360">
        <v>1473.06</v>
      </c>
      <c r="BQ360">
        <v>5196.16</v>
      </c>
      <c r="BR360" s="48" t="s">
        <v>1885</v>
      </c>
      <c r="BS360" s="48" t="s">
        <v>2066</v>
      </c>
      <c r="BT360">
        <v>1</v>
      </c>
      <c r="BU360">
        <v>197000</v>
      </c>
      <c r="BV360">
        <v>197000</v>
      </c>
      <c r="BW360" s="48" t="s">
        <v>2065</v>
      </c>
      <c r="BX360">
        <v>1473.06</v>
      </c>
      <c r="BY360">
        <v>0</v>
      </c>
      <c r="BZ360">
        <v>0</v>
      </c>
      <c r="CA360" s="48" t="s">
        <v>2065</v>
      </c>
      <c r="CB360">
        <v>1473.06</v>
      </c>
      <c r="CC360">
        <v>0</v>
      </c>
      <c r="CD360">
        <v>0</v>
      </c>
      <c r="CE360" s="48" t="s">
        <v>1710</v>
      </c>
      <c r="CF360" s="48" t="s">
        <v>1710</v>
      </c>
      <c r="CG360" s="48" t="s">
        <v>1710</v>
      </c>
      <c r="CH360" s="48" t="s">
        <v>1710</v>
      </c>
      <c r="CI360" s="48" t="s">
        <v>2067</v>
      </c>
      <c r="CJ360" s="48" t="s">
        <v>1710</v>
      </c>
      <c r="CL360" s="48" t="s">
        <v>2825</v>
      </c>
      <c r="CM360" s="48" t="s">
        <v>1710</v>
      </c>
      <c r="CN360" s="48" t="s">
        <v>2068</v>
      </c>
      <c r="CO360" s="48" t="s">
        <v>2069</v>
      </c>
      <c r="CP360" s="48" t="s">
        <v>1710</v>
      </c>
      <c r="CQ360" s="48" t="s">
        <v>1710</v>
      </c>
      <c r="CR360" s="48" t="s">
        <v>1710</v>
      </c>
      <c r="CS360" s="48" t="s">
        <v>1710</v>
      </c>
      <c r="CT360" s="48" t="s">
        <v>1710</v>
      </c>
      <c r="CU360" s="48" t="s">
        <v>1712</v>
      </c>
      <c r="CV360" s="48" t="s">
        <v>1710</v>
      </c>
      <c r="CW360" s="48" t="s">
        <v>1710</v>
      </c>
      <c r="CX360" s="48" t="s">
        <v>3167</v>
      </c>
      <c r="CY360" s="48" t="s">
        <v>1710</v>
      </c>
      <c r="CZ360" s="48" t="s">
        <v>1885</v>
      </c>
      <c r="DA360" s="48" t="s">
        <v>1710</v>
      </c>
      <c r="DB360" s="48" t="s">
        <v>1878</v>
      </c>
      <c r="DC360" s="48" t="s">
        <v>2070</v>
      </c>
      <c r="DD360" s="48" t="s">
        <v>1842</v>
      </c>
      <c r="DE360" s="48" t="s">
        <v>1886</v>
      </c>
      <c r="DF360" s="48" t="s">
        <v>5643</v>
      </c>
      <c r="DG360" s="48" t="s">
        <v>2071</v>
      </c>
      <c r="DH360" s="48" t="s">
        <v>1712</v>
      </c>
      <c r="DI360" s="48" t="s">
        <v>1710</v>
      </c>
      <c r="DJ360" s="48" t="s">
        <v>1710</v>
      </c>
      <c r="DK360" s="48" t="s">
        <v>1710</v>
      </c>
      <c r="DL360" s="48" t="s">
        <v>1710</v>
      </c>
      <c r="DM360" s="48" t="s">
        <v>1710</v>
      </c>
      <c r="DN360" s="48" t="s">
        <v>1710</v>
      </c>
      <c r="DO360" s="48" t="s">
        <v>1710</v>
      </c>
      <c r="DP360" s="48" t="s">
        <v>1710</v>
      </c>
      <c r="DQ360" s="48" t="s">
        <v>1710</v>
      </c>
      <c r="DR360" s="48" t="s">
        <v>2072</v>
      </c>
      <c r="DS360" s="48" t="s">
        <v>1710</v>
      </c>
      <c r="DT360" s="48" t="s">
        <v>1710</v>
      </c>
      <c r="DU360" s="48" t="s">
        <v>2575</v>
      </c>
      <c r="DV360" s="48" t="s">
        <v>1710</v>
      </c>
      <c r="DW360" s="48" t="s">
        <v>1710</v>
      </c>
      <c r="DX360" s="48" t="s">
        <v>1710</v>
      </c>
      <c r="DY360" s="48" t="s">
        <v>1710</v>
      </c>
      <c r="DZ360" s="48" t="s">
        <v>2562</v>
      </c>
      <c r="EA360" s="48" t="s">
        <v>2546</v>
      </c>
      <c r="EB360">
        <v>0</v>
      </c>
      <c r="EC360" s="48" t="s">
        <v>2575</v>
      </c>
      <c r="ED360" s="48" t="s">
        <v>5644</v>
      </c>
      <c r="EE360" s="48" t="s">
        <v>1814</v>
      </c>
      <c r="EF360" s="48" t="s">
        <v>1849</v>
      </c>
      <c r="EG360" s="48" t="s">
        <v>5641</v>
      </c>
      <c r="EH360">
        <v>4</v>
      </c>
      <c r="EI360" s="48" t="s">
        <v>1888</v>
      </c>
      <c r="EJ360">
        <v>1</v>
      </c>
      <c r="EK360" s="48" t="s">
        <v>1887</v>
      </c>
      <c r="EL360">
        <v>2</v>
      </c>
      <c r="EM360" s="48" t="s">
        <v>1886</v>
      </c>
      <c r="EN360">
        <v>4</v>
      </c>
      <c r="EO360" s="48" t="s">
        <v>2604</v>
      </c>
      <c r="EP360" s="48" t="s">
        <v>5645</v>
      </c>
      <c r="EQ360">
        <v>3858.85</v>
      </c>
      <c r="ER360">
        <v>3858.85</v>
      </c>
      <c r="ES360">
        <v>5538018</v>
      </c>
      <c r="ET360">
        <v>3760</v>
      </c>
      <c r="EU360" s="48" t="s">
        <v>1710</v>
      </c>
      <c r="EV360" s="48" t="s">
        <v>1710</v>
      </c>
      <c r="EW360" s="48" t="s">
        <v>1712</v>
      </c>
      <c r="EX360" s="48" t="s">
        <v>1710</v>
      </c>
      <c r="EY360" s="48" t="s">
        <v>1848</v>
      </c>
      <c r="EZ360" s="48" t="s">
        <v>1710</v>
      </c>
      <c r="FA360" s="48" t="s">
        <v>1710</v>
      </c>
      <c r="FB360" s="48" t="s">
        <v>1712</v>
      </c>
      <c r="FC360" s="48" t="s">
        <v>1710</v>
      </c>
      <c r="FD360" s="48" t="s">
        <v>1710</v>
      </c>
      <c r="FE360" s="48" t="s">
        <v>1814</v>
      </c>
      <c r="FF360" s="48" t="s">
        <v>1815</v>
      </c>
      <c r="FG360" s="48" t="s">
        <v>1710</v>
      </c>
      <c r="FH360">
        <v>1</v>
      </c>
      <c r="FI360" s="48" t="s">
        <v>1846</v>
      </c>
      <c r="FJ360">
        <v>3858.85</v>
      </c>
      <c r="FK360">
        <v>3858.85</v>
      </c>
      <c r="FL360" s="48" t="s">
        <v>5646</v>
      </c>
      <c r="FM360" s="48" t="s">
        <v>5645</v>
      </c>
      <c r="FN360" s="48" t="s">
        <v>1710</v>
      </c>
      <c r="FO360" s="48" t="s">
        <v>1710</v>
      </c>
      <c r="FP360" s="48" t="s">
        <v>1710</v>
      </c>
      <c r="FQ360" s="48" t="s">
        <v>1710</v>
      </c>
      <c r="FR360" s="48" t="s">
        <v>1710</v>
      </c>
      <c r="FS360" s="48" t="s">
        <v>1710</v>
      </c>
      <c r="FT360" s="48" t="s">
        <v>5647</v>
      </c>
      <c r="FU360" s="48" t="s">
        <v>1710</v>
      </c>
      <c r="FV360" s="48"/>
      <c r="GA360" s="55"/>
      <c r="GE360" s="61"/>
      <c r="GF360" s="62"/>
      <c r="GI360" s="48"/>
    </row>
    <row r="361" spans="1:191">
      <c r="A361" s="48" t="s">
        <v>5648</v>
      </c>
      <c r="B361" s="48" t="s">
        <v>1825</v>
      </c>
      <c r="C361" s="48" t="s">
        <v>5649</v>
      </c>
      <c r="D361" s="48" t="s">
        <v>2813</v>
      </c>
      <c r="E361" s="48" t="s">
        <v>5648</v>
      </c>
      <c r="F361" s="48" t="s">
        <v>1710</v>
      </c>
      <c r="G361" s="48" t="s">
        <v>2814</v>
      </c>
      <c r="H361" s="48" t="s">
        <v>5650</v>
      </c>
      <c r="I361" s="48" t="s">
        <v>1884</v>
      </c>
      <c r="J361" s="48" t="s">
        <v>3141</v>
      </c>
      <c r="K361" s="48" t="s">
        <v>1877</v>
      </c>
      <c r="L361" s="48" t="s">
        <v>1842</v>
      </c>
      <c r="M361" s="48" t="s">
        <v>1810</v>
      </c>
      <c r="N361" s="48" t="s">
        <v>1842</v>
      </c>
      <c r="O361" s="48" t="s">
        <v>1811</v>
      </c>
      <c r="P361" s="48" t="s">
        <v>2549</v>
      </c>
      <c r="Q361" s="48" t="s">
        <v>2049</v>
      </c>
      <c r="R361" s="48" t="s">
        <v>1838</v>
      </c>
      <c r="S361" s="48" t="s">
        <v>2050</v>
      </c>
      <c r="T361" s="48" t="s">
        <v>1845</v>
      </c>
      <c r="U361" s="48" t="s">
        <v>2049</v>
      </c>
      <c r="V361" s="48" t="s">
        <v>1838</v>
      </c>
      <c r="W361" s="48" t="s">
        <v>2051</v>
      </c>
      <c r="X361" s="48" t="s">
        <v>2052</v>
      </c>
      <c r="Y361" s="48" t="s">
        <v>2050</v>
      </c>
      <c r="Z361" s="48" t="s">
        <v>2053</v>
      </c>
      <c r="AA361" s="48" t="s">
        <v>2054</v>
      </c>
      <c r="AB361" s="48" t="s">
        <v>1710</v>
      </c>
      <c r="AC361" s="48" t="s">
        <v>2055</v>
      </c>
      <c r="AD361" s="48" t="s">
        <v>2056</v>
      </c>
      <c r="AE361" s="48" t="s">
        <v>1710</v>
      </c>
      <c r="AF361" s="48" t="s">
        <v>1710</v>
      </c>
      <c r="AG361" s="48" t="s">
        <v>2057</v>
      </c>
      <c r="AH361" s="48" t="s">
        <v>1815</v>
      </c>
      <c r="AI361" s="48" t="s">
        <v>2058</v>
      </c>
      <c r="AJ361" s="48" t="s">
        <v>1710</v>
      </c>
      <c r="AK361" s="48" t="s">
        <v>2629</v>
      </c>
      <c r="AL361" s="48" t="s">
        <v>1880</v>
      </c>
      <c r="AM361" s="48" t="s">
        <v>1816</v>
      </c>
      <c r="AN361" s="48" t="s">
        <v>2054</v>
      </c>
      <c r="AO361" s="48" t="s">
        <v>1710</v>
      </c>
      <c r="AP361" s="48" t="s">
        <v>1843</v>
      </c>
      <c r="AQ361" s="48" t="s">
        <v>2079</v>
      </c>
      <c r="AR361" s="48" t="s">
        <v>1812</v>
      </c>
      <c r="AS361" s="48" t="s">
        <v>1813</v>
      </c>
      <c r="AT361" s="48" t="s">
        <v>1826</v>
      </c>
      <c r="AU361" s="48" t="s">
        <v>2061</v>
      </c>
      <c r="AV361" s="48" t="s">
        <v>3141</v>
      </c>
      <c r="AW361" s="48" t="s">
        <v>2728</v>
      </c>
      <c r="AX361" s="48" t="s">
        <v>5651</v>
      </c>
      <c r="AY361" s="48" t="s">
        <v>1710</v>
      </c>
      <c r="AZ361" s="48" t="s">
        <v>5652</v>
      </c>
      <c r="BA361" s="48" t="s">
        <v>1710</v>
      </c>
      <c r="BB361" s="48" t="s">
        <v>1709</v>
      </c>
      <c r="BC361" s="48" t="s">
        <v>1710</v>
      </c>
      <c r="BD361" s="48" t="s">
        <v>2864</v>
      </c>
      <c r="BE361" s="52" t="s">
        <v>5653</v>
      </c>
      <c r="BF361" s="48" t="s">
        <v>1710</v>
      </c>
      <c r="BG361" s="48" t="s">
        <v>1814</v>
      </c>
      <c r="BH361">
        <v>1</v>
      </c>
      <c r="BI361" s="48" t="s">
        <v>1888</v>
      </c>
      <c r="BJ361">
        <v>1</v>
      </c>
      <c r="BK361">
        <v>1473.06</v>
      </c>
      <c r="BL361">
        <v>360006</v>
      </c>
      <c r="BM361">
        <v>244</v>
      </c>
      <c r="BN361" s="48" t="s">
        <v>2064</v>
      </c>
      <c r="BO361" s="48" t="s">
        <v>2065</v>
      </c>
      <c r="BP361">
        <v>1473.06</v>
      </c>
      <c r="BQ361">
        <v>258.64999999999998</v>
      </c>
      <c r="BR361" s="48" t="s">
        <v>1885</v>
      </c>
      <c r="BS361" s="48" t="s">
        <v>2066</v>
      </c>
      <c r="BT361">
        <v>1</v>
      </c>
      <c r="BU361">
        <v>21000</v>
      </c>
      <c r="BV361">
        <v>21000</v>
      </c>
      <c r="BW361" s="48" t="s">
        <v>2065</v>
      </c>
      <c r="BX361">
        <v>1473.06</v>
      </c>
      <c r="BY361">
        <v>0</v>
      </c>
      <c r="BZ361">
        <v>0</v>
      </c>
      <c r="CA361" s="48" t="s">
        <v>2066</v>
      </c>
      <c r="CB361">
        <v>1</v>
      </c>
      <c r="CC361">
        <v>0</v>
      </c>
      <c r="CD361">
        <v>0</v>
      </c>
      <c r="CE361" s="48" t="s">
        <v>1710</v>
      </c>
      <c r="CF361" s="48" t="s">
        <v>1710</v>
      </c>
      <c r="CG361" s="48" t="s">
        <v>1710</v>
      </c>
      <c r="CH361" s="48" t="s">
        <v>1710</v>
      </c>
      <c r="CI361" s="48" t="s">
        <v>2067</v>
      </c>
      <c r="CJ361" s="48" t="s">
        <v>1710</v>
      </c>
      <c r="CL361" s="48" t="s">
        <v>3141</v>
      </c>
      <c r="CM361" s="48" t="s">
        <v>1710</v>
      </c>
      <c r="CN361" s="48" t="s">
        <v>2068</v>
      </c>
      <c r="CO361" s="48" t="s">
        <v>2069</v>
      </c>
      <c r="CP361" s="48" t="s">
        <v>1710</v>
      </c>
      <c r="CQ361" s="48" t="s">
        <v>1710</v>
      </c>
      <c r="CR361" s="48" t="s">
        <v>1710</v>
      </c>
      <c r="CS361" s="48" t="s">
        <v>1710</v>
      </c>
      <c r="CT361" s="48" t="s">
        <v>1710</v>
      </c>
      <c r="CU361" s="48" t="s">
        <v>1712</v>
      </c>
      <c r="CV361" s="48" t="s">
        <v>1710</v>
      </c>
      <c r="CW361" s="48" t="s">
        <v>1710</v>
      </c>
      <c r="CX361" s="48" t="s">
        <v>3167</v>
      </c>
      <c r="CY361" s="48" t="s">
        <v>1710</v>
      </c>
      <c r="CZ361" s="48" t="s">
        <v>1712</v>
      </c>
      <c r="DA361" s="48" t="s">
        <v>1710</v>
      </c>
      <c r="DB361" s="48" t="s">
        <v>1878</v>
      </c>
      <c r="DC361" s="48" t="s">
        <v>2070</v>
      </c>
      <c r="DD361" s="48" t="s">
        <v>1842</v>
      </c>
      <c r="DE361" s="48" t="s">
        <v>1886</v>
      </c>
      <c r="DF361" s="48" t="s">
        <v>5654</v>
      </c>
      <c r="DG361" s="48" t="s">
        <v>2071</v>
      </c>
      <c r="DH361" s="48" t="s">
        <v>1712</v>
      </c>
      <c r="DI361" s="48" t="s">
        <v>1710</v>
      </c>
      <c r="DJ361" s="48" t="s">
        <v>1710</v>
      </c>
      <c r="DK361" s="48" t="s">
        <v>1710</v>
      </c>
      <c r="DL361" s="48" t="s">
        <v>1710</v>
      </c>
      <c r="DM361" s="48" t="s">
        <v>1710</v>
      </c>
      <c r="DN361" s="48" t="s">
        <v>1710</v>
      </c>
      <c r="DO361" s="48" t="s">
        <v>1710</v>
      </c>
      <c r="DP361" s="48" t="s">
        <v>1710</v>
      </c>
      <c r="DQ361" s="48" t="s">
        <v>1710</v>
      </c>
      <c r="DR361" s="48" t="s">
        <v>2072</v>
      </c>
      <c r="DS361" s="48" t="s">
        <v>1710</v>
      </c>
      <c r="DT361" s="48" t="s">
        <v>1710</v>
      </c>
      <c r="DU361" s="48" t="s">
        <v>2547</v>
      </c>
      <c r="DV361" s="48" t="s">
        <v>3206</v>
      </c>
      <c r="DW361" s="48" t="s">
        <v>1710</v>
      </c>
      <c r="DX361" s="48" t="s">
        <v>5655</v>
      </c>
      <c r="DY361" s="48" t="s">
        <v>1709</v>
      </c>
      <c r="DZ361" s="48" t="s">
        <v>2562</v>
      </c>
      <c r="EA361" s="48" t="s">
        <v>5656</v>
      </c>
      <c r="EB361">
        <v>0</v>
      </c>
      <c r="EC361" s="48" t="s">
        <v>2547</v>
      </c>
      <c r="ED361" s="48" t="s">
        <v>5657</v>
      </c>
      <c r="EE361" s="48" t="s">
        <v>1814</v>
      </c>
      <c r="EF361" s="48" t="s">
        <v>1859</v>
      </c>
      <c r="EG361" s="48" t="s">
        <v>5652</v>
      </c>
      <c r="EH361">
        <v>5.8000000000000003E-2</v>
      </c>
      <c r="EI361" s="48" t="s">
        <v>1888</v>
      </c>
      <c r="EJ361">
        <v>0</v>
      </c>
      <c r="EK361" s="48" t="s">
        <v>1710</v>
      </c>
      <c r="EL361">
        <v>1</v>
      </c>
      <c r="EM361" s="48" t="s">
        <v>1886</v>
      </c>
      <c r="EN361">
        <v>5.8000000000000003E-2</v>
      </c>
      <c r="EO361" s="48" t="s">
        <v>2602</v>
      </c>
      <c r="EP361" s="48" t="s">
        <v>2584</v>
      </c>
      <c r="EQ361">
        <v>258.64999999999998</v>
      </c>
      <c r="ER361">
        <v>258.64999999999998</v>
      </c>
      <c r="ES361">
        <v>360006</v>
      </c>
      <c r="ET361">
        <v>244</v>
      </c>
      <c r="EU361" s="48" t="s">
        <v>1710</v>
      </c>
      <c r="EV361" s="48" t="s">
        <v>1710</v>
      </c>
      <c r="EW361" s="48" t="s">
        <v>1712</v>
      </c>
      <c r="EX361" s="48" t="s">
        <v>1710</v>
      </c>
      <c r="EY361" s="48" t="s">
        <v>1848</v>
      </c>
      <c r="EZ361" s="48" t="s">
        <v>1710</v>
      </c>
      <c r="FA361" s="48" t="s">
        <v>1710</v>
      </c>
      <c r="FB361" s="48" t="s">
        <v>1712</v>
      </c>
      <c r="FC361" s="48" t="s">
        <v>1710</v>
      </c>
      <c r="FD361" s="48" t="s">
        <v>1710</v>
      </c>
      <c r="FE361" s="48" t="s">
        <v>1814</v>
      </c>
      <c r="FF361" s="48" t="s">
        <v>1815</v>
      </c>
      <c r="FG361" s="48" t="s">
        <v>1710</v>
      </c>
      <c r="FH361">
        <v>1</v>
      </c>
      <c r="FI361" s="48" t="s">
        <v>1846</v>
      </c>
      <c r="FJ361">
        <v>258.64999999999998</v>
      </c>
      <c r="FK361">
        <v>258.64999999999998</v>
      </c>
      <c r="FL361" s="48" t="s">
        <v>5658</v>
      </c>
      <c r="FM361" s="48" t="s">
        <v>2584</v>
      </c>
      <c r="FN361" s="48" t="s">
        <v>1710</v>
      </c>
      <c r="FO361" s="48" t="s">
        <v>1710</v>
      </c>
      <c r="FP361" s="48" t="s">
        <v>1710</v>
      </c>
      <c r="FQ361" s="48" t="s">
        <v>1710</v>
      </c>
      <c r="FR361" s="48" t="s">
        <v>1710</v>
      </c>
      <c r="FS361" s="48" t="s">
        <v>1710</v>
      </c>
      <c r="FT361" s="48" t="s">
        <v>1710</v>
      </c>
      <c r="FU361" s="48" t="s">
        <v>1710</v>
      </c>
      <c r="FV361" s="48"/>
      <c r="GA361" s="55"/>
      <c r="GE361" s="61"/>
      <c r="GF361" s="62"/>
      <c r="GI361" s="48"/>
    </row>
    <row r="362" spans="1:191">
      <c r="A362" s="48" t="s">
        <v>5659</v>
      </c>
      <c r="B362" s="48" t="s">
        <v>1825</v>
      </c>
      <c r="C362" s="48" t="s">
        <v>5649</v>
      </c>
      <c r="D362" s="48" t="s">
        <v>2813</v>
      </c>
      <c r="E362" s="48" t="s">
        <v>5659</v>
      </c>
      <c r="F362" s="48" t="s">
        <v>1710</v>
      </c>
      <c r="G362" s="48" t="s">
        <v>2814</v>
      </c>
      <c r="H362" s="48" t="s">
        <v>5660</v>
      </c>
      <c r="I362" s="48" t="s">
        <v>1884</v>
      </c>
      <c r="J362" s="48" t="s">
        <v>3141</v>
      </c>
      <c r="K362" s="48" t="s">
        <v>1877</v>
      </c>
      <c r="L362" s="48" t="s">
        <v>1842</v>
      </c>
      <c r="M362" s="48" t="s">
        <v>1810</v>
      </c>
      <c r="N362" s="48" t="s">
        <v>1842</v>
      </c>
      <c r="O362" s="48" t="s">
        <v>1811</v>
      </c>
      <c r="P362" s="48" t="s">
        <v>2549</v>
      </c>
      <c r="Q362" s="48" t="s">
        <v>2049</v>
      </c>
      <c r="R362" s="48" t="s">
        <v>1838</v>
      </c>
      <c r="S362" s="48" t="s">
        <v>2050</v>
      </c>
      <c r="T362" s="48" t="s">
        <v>1845</v>
      </c>
      <c r="U362" s="48" t="s">
        <v>2049</v>
      </c>
      <c r="V362" s="48" t="s">
        <v>1838</v>
      </c>
      <c r="W362" s="48" t="s">
        <v>2051</v>
      </c>
      <c r="X362" s="48" t="s">
        <v>2052</v>
      </c>
      <c r="Y362" s="48" t="s">
        <v>2050</v>
      </c>
      <c r="Z362" s="48" t="s">
        <v>2053</v>
      </c>
      <c r="AA362" s="48" t="s">
        <v>2054</v>
      </c>
      <c r="AB362" s="48" t="s">
        <v>1710</v>
      </c>
      <c r="AC362" s="48" t="s">
        <v>2055</v>
      </c>
      <c r="AD362" s="48" t="s">
        <v>2056</v>
      </c>
      <c r="AE362" s="48" t="s">
        <v>1710</v>
      </c>
      <c r="AF362" s="48" t="s">
        <v>1710</v>
      </c>
      <c r="AG362" s="48" t="s">
        <v>2057</v>
      </c>
      <c r="AH362" s="48" t="s">
        <v>1815</v>
      </c>
      <c r="AI362" s="48" t="s">
        <v>2058</v>
      </c>
      <c r="AJ362" s="48" t="s">
        <v>1710</v>
      </c>
      <c r="AK362" s="48" t="s">
        <v>1839</v>
      </c>
      <c r="AL362" s="48" t="s">
        <v>1840</v>
      </c>
      <c r="AM362" s="48" t="s">
        <v>1816</v>
      </c>
      <c r="AN362" s="48" t="s">
        <v>2054</v>
      </c>
      <c r="AO362" s="48" t="s">
        <v>1710</v>
      </c>
      <c r="AP362" s="48" t="s">
        <v>1874</v>
      </c>
      <c r="AQ362" s="48" t="s">
        <v>2078</v>
      </c>
      <c r="AR362" s="48" t="s">
        <v>1812</v>
      </c>
      <c r="AS362" s="48" t="s">
        <v>1813</v>
      </c>
      <c r="AT362" s="48" t="s">
        <v>1826</v>
      </c>
      <c r="AU362" s="48" t="s">
        <v>2061</v>
      </c>
      <c r="AV362" s="48" t="s">
        <v>3141</v>
      </c>
      <c r="AW362" s="48" t="s">
        <v>2728</v>
      </c>
      <c r="AX362" s="48" t="s">
        <v>5651</v>
      </c>
      <c r="AY362" s="48" t="s">
        <v>1710</v>
      </c>
      <c r="AZ362" s="48" t="s">
        <v>5661</v>
      </c>
      <c r="BA362" s="48" t="s">
        <v>1710</v>
      </c>
      <c r="BB362" s="48" t="s">
        <v>1709</v>
      </c>
      <c r="BC362" s="48" t="s">
        <v>1710</v>
      </c>
      <c r="BD362" s="48" t="s">
        <v>2864</v>
      </c>
      <c r="BE362" s="52" t="s">
        <v>5662</v>
      </c>
      <c r="BF362" s="48" t="s">
        <v>1710</v>
      </c>
      <c r="BG362" s="48" t="s">
        <v>1814</v>
      </c>
      <c r="BH362">
        <v>2</v>
      </c>
      <c r="BI362" s="48" t="s">
        <v>1888</v>
      </c>
      <c r="BJ362">
        <v>1</v>
      </c>
      <c r="BK362">
        <v>1473.06</v>
      </c>
      <c r="BL362">
        <v>626917</v>
      </c>
      <c r="BM362">
        <v>426</v>
      </c>
      <c r="BN362" s="48" t="s">
        <v>2064</v>
      </c>
      <c r="BO362" s="48" t="s">
        <v>2065</v>
      </c>
      <c r="BP362">
        <v>1473.06</v>
      </c>
      <c r="BQ362">
        <v>445.14</v>
      </c>
      <c r="BR362" s="48" t="s">
        <v>1885</v>
      </c>
      <c r="BS362" s="48" t="s">
        <v>2066</v>
      </c>
      <c r="BT362">
        <v>1</v>
      </c>
      <c r="BU362">
        <v>28800</v>
      </c>
      <c r="BV362">
        <v>28800</v>
      </c>
      <c r="BW362" s="48" t="s">
        <v>2065</v>
      </c>
      <c r="BX362">
        <v>1473.06</v>
      </c>
      <c r="BY362">
        <v>0</v>
      </c>
      <c r="BZ362">
        <v>0</v>
      </c>
      <c r="CA362" s="48" t="s">
        <v>2066</v>
      </c>
      <c r="CB362">
        <v>1</v>
      </c>
      <c r="CC362">
        <v>0</v>
      </c>
      <c r="CD362">
        <v>0</v>
      </c>
      <c r="CE362" s="48" t="s">
        <v>1710</v>
      </c>
      <c r="CF362" s="48" t="s">
        <v>1710</v>
      </c>
      <c r="CG362" s="48" t="s">
        <v>1710</v>
      </c>
      <c r="CH362" s="48" t="s">
        <v>1710</v>
      </c>
      <c r="CI362" s="48" t="s">
        <v>2067</v>
      </c>
      <c r="CJ362" s="48" t="s">
        <v>1710</v>
      </c>
      <c r="CL362" s="48" t="s">
        <v>3141</v>
      </c>
      <c r="CM362" s="48" t="s">
        <v>1710</v>
      </c>
      <c r="CN362" s="48" t="s">
        <v>2068</v>
      </c>
      <c r="CO362" s="48" t="s">
        <v>2069</v>
      </c>
      <c r="CP362" s="48" t="s">
        <v>1710</v>
      </c>
      <c r="CQ362" s="48" t="s">
        <v>1710</v>
      </c>
      <c r="CR362" s="48" t="s">
        <v>1710</v>
      </c>
      <c r="CS362" s="48" t="s">
        <v>1710</v>
      </c>
      <c r="CT362" s="48" t="s">
        <v>1710</v>
      </c>
      <c r="CU362" s="48" t="s">
        <v>1712</v>
      </c>
      <c r="CV362" s="48" t="s">
        <v>1710</v>
      </c>
      <c r="CW362" s="48" t="s">
        <v>1710</v>
      </c>
      <c r="CX362" s="48" t="s">
        <v>3167</v>
      </c>
      <c r="CY362" s="48" t="s">
        <v>1710</v>
      </c>
      <c r="CZ362" s="48" t="s">
        <v>1712</v>
      </c>
      <c r="DA362" s="48" t="s">
        <v>1710</v>
      </c>
      <c r="DB362" s="48" t="s">
        <v>1878</v>
      </c>
      <c r="DC362" s="48" t="s">
        <v>2070</v>
      </c>
      <c r="DD362" s="48" t="s">
        <v>1842</v>
      </c>
      <c r="DE362" s="48" t="s">
        <v>1886</v>
      </c>
      <c r="DF362" s="48" t="s">
        <v>5663</v>
      </c>
      <c r="DG362" s="48" t="s">
        <v>2071</v>
      </c>
      <c r="DH362" s="48" t="s">
        <v>1712</v>
      </c>
      <c r="DI362" s="48" t="s">
        <v>1710</v>
      </c>
      <c r="DJ362" s="48" t="s">
        <v>1710</v>
      </c>
      <c r="DK362" s="48" t="s">
        <v>1710</v>
      </c>
      <c r="DL362" s="48" t="s">
        <v>1710</v>
      </c>
      <c r="DM362" s="48" t="s">
        <v>1710</v>
      </c>
      <c r="DN362" s="48" t="s">
        <v>1710</v>
      </c>
      <c r="DO362" s="48" t="s">
        <v>1710</v>
      </c>
      <c r="DP362" s="48" t="s">
        <v>1710</v>
      </c>
      <c r="DQ362" s="48" t="s">
        <v>1710</v>
      </c>
      <c r="DR362" s="48" t="s">
        <v>2072</v>
      </c>
      <c r="DS362" s="48" t="s">
        <v>1710</v>
      </c>
      <c r="DT362" s="48" t="s">
        <v>1710</v>
      </c>
      <c r="DU362" s="48" t="s">
        <v>2547</v>
      </c>
      <c r="DV362" s="48" t="s">
        <v>3206</v>
      </c>
      <c r="DW362" s="48" t="s">
        <v>1710</v>
      </c>
      <c r="DX362" s="48" t="s">
        <v>5664</v>
      </c>
      <c r="DY362" s="48" t="s">
        <v>1709</v>
      </c>
      <c r="DZ362" s="48" t="s">
        <v>2562</v>
      </c>
      <c r="EA362" s="48" t="s">
        <v>5656</v>
      </c>
      <c r="EB362">
        <v>0</v>
      </c>
      <c r="EC362" s="48" t="s">
        <v>2547</v>
      </c>
      <c r="ED362" s="48" t="s">
        <v>5665</v>
      </c>
      <c r="EE362" s="48" t="s">
        <v>1814</v>
      </c>
      <c r="EF362" s="48" t="s">
        <v>1847</v>
      </c>
      <c r="EG362" s="48" t="s">
        <v>5661</v>
      </c>
      <c r="EH362">
        <v>1</v>
      </c>
      <c r="EI362" s="48" t="s">
        <v>1888</v>
      </c>
      <c r="EJ362">
        <v>0</v>
      </c>
      <c r="EK362" s="48" t="s">
        <v>1710</v>
      </c>
      <c r="EL362">
        <v>1</v>
      </c>
      <c r="EM362" s="48" t="s">
        <v>1886</v>
      </c>
      <c r="EN362">
        <v>1</v>
      </c>
      <c r="EO362" s="48" t="s">
        <v>2529</v>
      </c>
      <c r="EP362" s="48" t="s">
        <v>5666</v>
      </c>
      <c r="EQ362">
        <v>445.14</v>
      </c>
      <c r="ER362">
        <v>445.14</v>
      </c>
      <c r="ES362">
        <v>626917</v>
      </c>
      <c r="ET362">
        <v>426</v>
      </c>
      <c r="EU362" s="48" t="s">
        <v>1710</v>
      </c>
      <c r="EV362" s="48" t="s">
        <v>1710</v>
      </c>
      <c r="EW362" s="48" t="s">
        <v>1712</v>
      </c>
      <c r="EX362" s="48" t="s">
        <v>1710</v>
      </c>
      <c r="EY362" s="48" t="s">
        <v>1853</v>
      </c>
      <c r="EZ362" s="48" t="s">
        <v>1710</v>
      </c>
      <c r="FA362" s="48" t="s">
        <v>1710</v>
      </c>
      <c r="FB362" s="48" t="s">
        <v>1712</v>
      </c>
      <c r="FC362" s="48" t="s">
        <v>1710</v>
      </c>
      <c r="FD362" s="48" t="s">
        <v>1710</v>
      </c>
      <c r="FE362" s="48" t="s">
        <v>1814</v>
      </c>
      <c r="FF362" s="48" t="s">
        <v>1815</v>
      </c>
      <c r="FG362" s="48" t="s">
        <v>1710</v>
      </c>
      <c r="FH362">
        <v>1</v>
      </c>
      <c r="FI362" s="48" t="s">
        <v>1846</v>
      </c>
      <c r="FJ362">
        <v>445.14</v>
      </c>
      <c r="FK362">
        <v>445.14</v>
      </c>
      <c r="FL362" s="48" t="s">
        <v>5667</v>
      </c>
      <c r="FM362" s="48" t="s">
        <v>5666</v>
      </c>
      <c r="FN362" s="48" t="s">
        <v>1710</v>
      </c>
      <c r="FO362" s="48" t="s">
        <v>1710</v>
      </c>
      <c r="FP362" s="48" t="s">
        <v>1710</v>
      </c>
      <c r="FQ362" s="48" t="s">
        <v>1710</v>
      </c>
      <c r="FR362" s="48" t="s">
        <v>1710</v>
      </c>
      <c r="FS362" s="48" t="s">
        <v>1710</v>
      </c>
      <c r="FT362" s="48" t="s">
        <v>1710</v>
      </c>
      <c r="FU362" s="48" t="s">
        <v>1710</v>
      </c>
      <c r="FV362" s="48"/>
      <c r="GA362" s="55"/>
      <c r="GE362" s="61"/>
      <c r="GF362" s="62"/>
      <c r="GI362" s="48"/>
    </row>
    <row r="363" spans="1:191">
      <c r="A363" s="48" t="s">
        <v>5668</v>
      </c>
      <c r="B363" s="48" t="s">
        <v>1825</v>
      </c>
      <c r="C363" s="48" t="s">
        <v>5649</v>
      </c>
      <c r="D363" s="48" t="s">
        <v>2813</v>
      </c>
      <c r="E363" s="48" t="s">
        <v>5668</v>
      </c>
      <c r="F363" s="48" t="s">
        <v>1710</v>
      </c>
      <c r="G363" s="48" t="s">
        <v>2814</v>
      </c>
      <c r="H363" s="48" t="s">
        <v>5669</v>
      </c>
      <c r="I363" s="48" t="s">
        <v>1884</v>
      </c>
      <c r="J363" s="48" t="s">
        <v>3141</v>
      </c>
      <c r="K363" s="48" t="s">
        <v>1877</v>
      </c>
      <c r="L363" s="48" t="s">
        <v>1842</v>
      </c>
      <c r="M363" s="48" t="s">
        <v>1810</v>
      </c>
      <c r="N363" s="48" t="s">
        <v>1842</v>
      </c>
      <c r="O363" s="48" t="s">
        <v>1811</v>
      </c>
      <c r="P363" s="48" t="s">
        <v>2549</v>
      </c>
      <c r="Q363" s="48" t="s">
        <v>2049</v>
      </c>
      <c r="R363" s="48" t="s">
        <v>1838</v>
      </c>
      <c r="S363" s="48" t="s">
        <v>2050</v>
      </c>
      <c r="T363" s="48" t="s">
        <v>1845</v>
      </c>
      <c r="U363" s="48" t="s">
        <v>2049</v>
      </c>
      <c r="V363" s="48" t="s">
        <v>1838</v>
      </c>
      <c r="W363" s="48" t="s">
        <v>2051</v>
      </c>
      <c r="X363" s="48" t="s">
        <v>2052</v>
      </c>
      <c r="Y363" s="48" t="s">
        <v>2050</v>
      </c>
      <c r="Z363" s="48" t="s">
        <v>2053</v>
      </c>
      <c r="AA363" s="48" t="s">
        <v>2054</v>
      </c>
      <c r="AB363" s="48" t="s">
        <v>1710</v>
      </c>
      <c r="AC363" s="48" t="s">
        <v>2055</v>
      </c>
      <c r="AD363" s="48" t="s">
        <v>2056</v>
      </c>
      <c r="AE363" s="48" t="s">
        <v>1710</v>
      </c>
      <c r="AF363" s="48" t="s">
        <v>1710</v>
      </c>
      <c r="AG363" s="48" t="s">
        <v>2057</v>
      </c>
      <c r="AH363" s="48" t="s">
        <v>1815</v>
      </c>
      <c r="AI363" s="48" t="s">
        <v>2058</v>
      </c>
      <c r="AJ363" s="48" t="s">
        <v>1710</v>
      </c>
      <c r="AK363" s="48" t="s">
        <v>2563</v>
      </c>
      <c r="AL363" s="48" t="s">
        <v>2564</v>
      </c>
      <c r="AM363" s="48" t="s">
        <v>1816</v>
      </c>
      <c r="AN363" s="48" t="s">
        <v>2054</v>
      </c>
      <c r="AO363" s="48" t="s">
        <v>1710</v>
      </c>
      <c r="AP363" s="48" t="s">
        <v>1855</v>
      </c>
      <c r="AQ363" s="48" t="s">
        <v>2076</v>
      </c>
      <c r="AR363" s="48" t="s">
        <v>1812</v>
      </c>
      <c r="AS363" s="48" t="s">
        <v>1813</v>
      </c>
      <c r="AT363" s="48" t="s">
        <v>1826</v>
      </c>
      <c r="AU363" s="48" t="s">
        <v>2061</v>
      </c>
      <c r="AV363" s="48" t="s">
        <v>3141</v>
      </c>
      <c r="AW363" s="48" t="s">
        <v>2728</v>
      </c>
      <c r="AX363" s="48" t="s">
        <v>5651</v>
      </c>
      <c r="AY363" s="48" t="s">
        <v>1710</v>
      </c>
      <c r="AZ363" s="48" t="s">
        <v>5670</v>
      </c>
      <c r="BA363" s="48" t="s">
        <v>1710</v>
      </c>
      <c r="BB363" s="48" t="s">
        <v>1709</v>
      </c>
      <c r="BC363" s="48" t="s">
        <v>1710</v>
      </c>
      <c r="BD363" s="48" t="s">
        <v>2864</v>
      </c>
      <c r="BE363" s="52" t="s">
        <v>5662</v>
      </c>
      <c r="BF363" s="48" t="s">
        <v>1710</v>
      </c>
      <c r="BG363" s="48" t="s">
        <v>1814</v>
      </c>
      <c r="BH363">
        <v>152</v>
      </c>
      <c r="BI363" s="48" t="s">
        <v>1888</v>
      </c>
      <c r="BJ363">
        <v>1</v>
      </c>
      <c r="BK363">
        <v>1473.06</v>
      </c>
      <c r="BL363">
        <v>79899704</v>
      </c>
      <c r="BM363">
        <v>54241</v>
      </c>
      <c r="BN363" s="48" t="s">
        <v>2064</v>
      </c>
      <c r="BO363" s="48" t="s">
        <v>2065</v>
      </c>
      <c r="BP363">
        <v>1473.06</v>
      </c>
      <c r="BQ363">
        <v>54740</v>
      </c>
      <c r="BR363" s="48" t="s">
        <v>1885</v>
      </c>
      <c r="BS363" s="48" t="s">
        <v>2066</v>
      </c>
      <c r="BT363">
        <v>1</v>
      </c>
      <c r="BU363">
        <v>735600</v>
      </c>
      <c r="BV363">
        <v>735600</v>
      </c>
      <c r="BW363" s="48" t="s">
        <v>2065</v>
      </c>
      <c r="BX363">
        <v>1473.06</v>
      </c>
      <c r="BY363">
        <v>0</v>
      </c>
      <c r="BZ363">
        <v>0</v>
      </c>
      <c r="CA363" s="48" t="s">
        <v>2066</v>
      </c>
      <c r="CB363">
        <v>1</v>
      </c>
      <c r="CC363">
        <v>0</v>
      </c>
      <c r="CD363">
        <v>0</v>
      </c>
      <c r="CE363" s="48" t="s">
        <v>1710</v>
      </c>
      <c r="CF363" s="48" t="s">
        <v>1710</v>
      </c>
      <c r="CG363" s="48" t="s">
        <v>1710</v>
      </c>
      <c r="CH363" s="48" t="s">
        <v>1710</v>
      </c>
      <c r="CI363" s="48" t="s">
        <v>2067</v>
      </c>
      <c r="CJ363" s="48" t="s">
        <v>1710</v>
      </c>
      <c r="CL363" s="48" t="s">
        <v>3141</v>
      </c>
      <c r="CM363" s="48" t="s">
        <v>1710</v>
      </c>
      <c r="CN363" s="48" t="s">
        <v>2068</v>
      </c>
      <c r="CO363" s="48" t="s">
        <v>2069</v>
      </c>
      <c r="CP363" s="48" t="s">
        <v>1710</v>
      </c>
      <c r="CQ363" s="48" t="s">
        <v>1710</v>
      </c>
      <c r="CR363" s="48" t="s">
        <v>1710</v>
      </c>
      <c r="CS363" s="48" t="s">
        <v>1710</v>
      </c>
      <c r="CT363" s="48" t="s">
        <v>1710</v>
      </c>
      <c r="CU363" s="48" t="s">
        <v>1712</v>
      </c>
      <c r="CV363" s="48" t="s">
        <v>1710</v>
      </c>
      <c r="CW363" s="48" t="s">
        <v>1710</v>
      </c>
      <c r="CX363" s="48" t="s">
        <v>3167</v>
      </c>
      <c r="CY363" s="48" t="s">
        <v>1710</v>
      </c>
      <c r="CZ363" s="48" t="s">
        <v>1712</v>
      </c>
      <c r="DA363" s="48" t="s">
        <v>1710</v>
      </c>
      <c r="DB363" s="48" t="s">
        <v>1878</v>
      </c>
      <c r="DC363" s="48" t="s">
        <v>2070</v>
      </c>
      <c r="DD363" s="48" t="s">
        <v>1842</v>
      </c>
      <c r="DE363" s="48" t="s">
        <v>1886</v>
      </c>
      <c r="DF363" s="48" t="s">
        <v>5671</v>
      </c>
      <c r="DG363" s="48" t="s">
        <v>2071</v>
      </c>
      <c r="DH363" s="48" t="s">
        <v>1712</v>
      </c>
      <c r="DI363" s="48" t="s">
        <v>1710</v>
      </c>
      <c r="DJ363" s="48" t="s">
        <v>1710</v>
      </c>
      <c r="DK363" s="48" t="s">
        <v>1710</v>
      </c>
      <c r="DL363" s="48" t="s">
        <v>1710</v>
      </c>
      <c r="DM363" s="48" t="s">
        <v>1710</v>
      </c>
      <c r="DN363" s="48" t="s">
        <v>1710</v>
      </c>
      <c r="DO363" s="48" t="s">
        <v>1710</v>
      </c>
      <c r="DP363" s="48" t="s">
        <v>1710</v>
      </c>
      <c r="DQ363" s="48" t="s">
        <v>1710</v>
      </c>
      <c r="DR363" s="48" t="s">
        <v>2072</v>
      </c>
      <c r="DS363" s="48" t="s">
        <v>1710</v>
      </c>
      <c r="DT363" s="48" t="s">
        <v>1710</v>
      </c>
      <c r="DU363" s="48" t="s">
        <v>2547</v>
      </c>
      <c r="DV363" s="48" t="s">
        <v>3206</v>
      </c>
      <c r="DW363" s="48" t="s">
        <v>1710</v>
      </c>
      <c r="DX363" s="48" t="s">
        <v>5672</v>
      </c>
      <c r="DY363" s="48" t="s">
        <v>1709</v>
      </c>
      <c r="DZ363" s="48" t="s">
        <v>2562</v>
      </c>
      <c r="EA363" s="48" t="s">
        <v>5656</v>
      </c>
      <c r="EB363">
        <v>0</v>
      </c>
      <c r="EC363" s="48" t="s">
        <v>2547</v>
      </c>
      <c r="ED363" s="48" t="s">
        <v>5665</v>
      </c>
      <c r="EE363" s="48" t="s">
        <v>1814</v>
      </c>
      <c r="EF363" s="48" t="s">
        <v>2662</v>
      </c>
      <c r="EG363" s="48" t="s">
        <v>5670</v>
      </c>
      <c r="EH363">
        <v>120</v>
      </c>
      <c r="EI363" s="48" t="s">
        <v>1888</v>
      </c>
      <c r="EJ363">
        <v>1</v>
      </c>
      <c r="EK363" s="48" t="s">
        <v>1887</v>
      </c>
      <c r="EL363">
        <v>1</v>
      </c>
      <c r="EM363" s="48" t="s">
        <v>1886</v>
      </c>
      <c r="EN363">
        <v>120</v>
      </c>
      <c r="EO363" s="48" t="s">
        <v>2663</v>
      </c>
      <c r="EP363" s="48" t="s">
        <v>5673</v>
      </c>
      <c r="EQ363">
        <v>54740</v>
      </c>
      <c r="ER363">
        <v>54740</v>
      </c>
      <c r="ES363">
        <v>79899704</v>
      </c>
      <c r="ET363">
        <v>54241</v>
      </c>
      <c r="EU363" s="48" t="s">
        <v>1710</v>
      </c>
      <c r="EV363" s="48" t="s">
        <v>1710</v>
      </c>
      <c r="EW363" s="48" t="s">
        <v>1712</v>
      </c>
      <c r="EX363" s="48" t="s">
        <v>1710</v>
      </c>
      <c r="EY363" s="48" t="s">
        <v>1843</v>
      </c>
      <c r="EZ363" s="48" t="s">
        <v>1710</v>
      </c>
      <c r="FA363" s="48" t="s">
        <v>1710</v>
      </c>
      <c r="FB363" s="48" t="s">
        <v>1712</v>
      </c>
      <c r="FC363" s="48" t="s">
        <v>1710</v>
      </c>
      <c r="FD363" s="48" t="s">
        <v>1710</v>
      </c>
      <c r="FE363" s="48" t="s">
        <v>1814</v>
      </c>
      <c r="FF363" s="48" t="s">
        <v>1815</v>
      </c>
      <c r="FG363" s="48" t="s">
        <v>1710</v>
      </c>
      <c r="FH363">
        <v>1</v>
      </c>
      <c r="FI363" s="48" t="s">
        <v>1846</v>
      </c>
      <c r="FJ363">
        <v>54740</v>
      </c>
      <c r="FK363">
        <v>54740</v>
      </c>
      <c r="FL363" s="48" t="s">
        <v>5674</v>
      </c>
      <c r="FM363" s="48" t="s">
        <v>5673</v>
      </c>
      <c r="FN363" s="48" t="s">
        <v>1710</v>
      </c>
      <c r="FO363" s="48" t="s">
        <v>1710</v>
      </c>
      <c r="FP363" s="48" t="s">
        <v>1710</v>
      </c>
      <c r="FQ363" s="48" t="s">
        <v>1710</v>
      </c>
      <c r="FR363" s="48" t="s">
        <v>1710</v>
      </c>
      <c r="FS363" s="48" t="s">
        <v>1710</v>
      </c>
      <c r="FT363" s="48" t="s">
        <v>1710</v>
      </c>
      <c r="FU363" s="48" t="s">
        <v>1710</v>
      </c>
      <c r="FV363" s="48"/>
      <c r="GA363" s="55"/>
      <c r="GE363" s="61"/>
      <c r="GF363" s="62"/>
      <c r="GI363" s="48"/>
    </row>
    <row r="364" spans="1:191">
      <c r="A364" s="48" t="s">
        <v>5675</v>
      </c>
      <c r="B364" s="48" t="s">
        <v>1825</v>
      </c>
      <c r="C364" s="48" t="s">
        <v>5649</v>
      </c>
      <c r="D364" s="48" t="s">
        <v>2813</v>
      </c>
      <c r="E364" s="48" t="s">
        <v>5675</v>
      </c>
      <c r="F364" s="48" t="s">
        <v>1710</v>
      </c>
      <c r="G364" s="48" t="s">
        <v>2814</v>
      </c>
      <c r="H364" s="48" t="s">
        <v>5676</v>
      </c>
      <c r="I364" s="48" t="s">
        <v>1884</v>
      </c>
      <c r="J364" s="48" t="s">
        <v>3141</v>
      </c>
      <c r="K364" s="48" t="s">
        <v>1877</v>
      </c>
      <c r="L364" s="48" t="s">
        <v>1842</v>
      </c>
      <c r="M364" s="48" t="s">
        <v>1810</v>
      </c>
      <c r="N364" s="48" t="s">
        <v>1842</v>
      </c>
      <c r="O364" s="48" t="s">
        <v>1811</v>
      </c>
      <c r="P364" s="48" t="s">
        <v>2549</v>
      </c>
      <c r="Q364" s="48" t="s">
        <v>2049</v>
      </c>
      <c r="R364" s="48" t="s">
        <v>1838</v>
      </c>
      <c r="S364" s="48" t="s">
        <v>2050</v>
      </c>
      <c r="T364" s="48" t="s">
        <v>1845</v>
      </c>
      <c r="U364" s="48" t="s">
        <v>2049</v>
      </c>
      <c r="V364" s="48" t="s">
        <v>1838</v>
      </c>
      <c r="W364" s="48" t="s">
        <v>2051</v>
      </c>
      <c r="X364" s="48" t="s">
        <v>2052</v>
      </c>
      <c r="Y364" s="48" t="s">
        <v>2050</v>
      </c>
      <c r="Z364" s="48" t="s">
        <v>2053</v>
      </c>
      <c r="AA364" s="48" t="s">
        <v>2054</v>
      </c>
      <c r="AB364" s="48" t="s">
        <v>1710</v>
      </c>
      <c r="AC364" s="48" t="s">
        <v>2055</v>
      </c>
      <c r="AD364" s="48" t="s">
        <v>2056</v>
      </c>
      <c r="AE364" s="48" t="s">
        <v>1710</v>
      </c>
      <c r="AF364" s="48" t="s">
        <v>1710</v>
      </c>
      <c r="AG364" s="48" t="s">
        <v>2057</v>
      </c>
      <c r="AH364" s="48" t="s">
        <v>1815</v>
      </c>
      <c r="AI364" s="48" t="s">
        <v>2058</v>
      </c>
      <c r="AJ364" s="48" t="s">
        <v>1710</v>
      </c>
      <c r="AK364" s="48" t="s">
        <v>2568</v>
      </c>
      <c r="AL364" s="48" t="s">
        <v>1880</v>
      </c>
      <c r="AM364" s="48" t="s">
        <v>1816</v>
      </c>
      <c r="AN364" s="48" t="s">
        <v>2054</v>
      </c>
      <c r="AO364" s="48" t="s">
        <v>1710</v>
      </c>
      <c r="AP364" s="48" t="s">
        <v>1843</v>
      </c>
      <c r="AQ364" s="48" t="s">
        <v>2079</v>
      </c>
      <c r="AR364" s="48" t="s">
        <v>1812</v>
      </c>
      <c r="AS364" s="48" t="s">
        <v>1813</v>
      </c>
      <c r="AT364" s="48" t="s">
        <v>1826</v>
      </c>
      <c r="AU364" s="48" t="s">
        <v>2061</v>
      </c>
      <c r="AV364" s="48" t="s">
        <v>3141</v>
      </c>
      <c r="AW364" s="48" t="s">
        <v>2728</v>
      </c>
      <c r="AX364" s="48" t="s">
        <v>5651</v>
      </c>
      <c r="AY364" s="48" t="s">
        <v>1710</v>
      </c>
      <c r="AZ364" s="48" t="s">
        <v>5677</v>
      </c>
      <c r="BA364" s="48" t="s">
        <v>1710</v>
      </c>
      <c r="BB364" s="48" t="s">
        <v>1709</v>
      </c>
      <c r="BC364" s="48" t="s">
        <v>1710</v>
      </c>
      <c r="BD364" s="48" t="s">
        <v>2864</v>
      </c>
      <c r="BE364" s="52" t="s">
        <v>5662</v>
      </c>
      <c r="BF364" s="48" t="s">
        <v>1710</v>
      </c>
      <c r="BG364" s="48" t="s">
        <v>1814</v>
      </c>
      <c r="BH364">
        <v>17</v>
      </c>
      <c r="BI364" s="48" t="s">
        <v>1888</v>
      </c>
      <c r="BJ364">
        <v>1</v>
      </c>
      <c r="BK364">
        <v>1473.06</v>
      </c>
      <c r="BL364">
        <v>8799343</v>
      </c>
      <c r="BM364">
        <v>5974</v>
      </c>
      <c r="BN364" s="48" t="s">
        <v>2064</v>
      </c>
      <c r="BO364" s="48" t="s">
        <v>2065</v>
      </c>
      <c r="BP364">
        <v>1473.06</v>
      </c>
      <c r="BQ364">
        <v>6040.72</v>
      </c>
      <c r="BR364" s="48" t="s">
        <v>1885</v>
      </c>
      <c r="BS364" s="48" t="s">
        <v>2066</v>
      </c>
      <c r="BT364">
        <v>1</v>
      </c>
      <c r="BU364">
        <v>99000</v>
      </c>
      <c r="BV364">
        <v>99000</v>
      </c>
      <c r="BW364" s="48" t="s">
        <v>2065</v>
      </c>
      <c r="BX364">
        <v>1473.06</v>
      </c>
      <c r="BY364">
        <v>0</v>
      </c>
      <c r="BZ364">
        <v>0</v>
      </c>
      <c r="CA364" s="48" t="s">
        <v>2066</v>
      </c>
      <c r="CB364">
        <v>1</v>
      </c>
      <c r="CC364">
        <v>0</v>
      </c>
      <c r="CD364">
        <v>0</v>
      </c>
      <c r="CE364" s="48" t="s">
        <v>1710</v>
      </c>
      <c r="CF364" s="48" t="s">
        <v>1710</v>
      </c>
      <c r="CG364" s="48" t="s">
        <v>1710</v>
      </c>
      <c r="CH364" s="48" t="s">
        <v>1710</v>
      </c>
      <c r="CI364" s="48" t="s">
        <v>2067</v>
      </c>
      <c r="CJ364" s="48" t="s">
        <v>1710</v>
      </c>
      <c r="CL364" s="48" t="s">
        <v>3141</v>
      </c>
      <c r="CM364" s="48" t="s">
        <v>1710</v>
      </c>
      <c r="CN364" s="48" t="s">
        <v>2068</v>
      </c>
      <c r="CO364" s="48" t="s">
        <v>2069</v>
      </c>
      <c r="CP364" s="48" t="s">
        <v>1710</v>
      </c>
      <c r="CQ364" s="48" t="s">
        <v>1710</v>
      </c>
      <c r="CR364" s="48" t="s">
        <v>1710</v>
      </c>
      <c r="CS364" s="48" t="s">
        <v>1710</v>
      </c>
      <c r="CT364" s="48" t="s">
        <v>1710</v>
      </c>
      <c r="CU364" s="48" t="s">
        <v>1712</v>
      </c>
      <c r="CV364" s="48" t="s">
        <v>1710</v>
      </c>
      <c r="CW364" s="48" t="s">
        <v>1710</v>
      </c>
      <c r="CX364" s="48" t="s">
        <v>3167</v>
      </c>
      <c r="CY364" s="48" t="s">
        <v>1710</v>
      </c>
      <c r="CZ364" s="48" t="s">
        <v>1712</v>
      </c>
      <c r="DA364" s="48" t="s">
        <v>1710</v>
      </c>
      <c r="DB364" s="48" t="s">
        <v>1878</v>
      </c>
      <c r="DC364" s="48" t="s">
        <v>2070</v>
      </c>
      <c r="DD364" s="48" t="s">
        <v>1842</v>
      </c>
      <c r="DE364" s="48" t="s">
        <v>1886</v>
      </c>
      <c r="DF364" s="48" t="s">
        <v>5678</v>
      </c>
      <c r="DG364" s="48" t="s">
        <v>2071</v>
      </c>
      <c r="DH364" s="48" t="s">
        <v>1712</v>
      </c>
      <c r="DI364" s="48" t="s">
        <v>1710</v>
      </c>
      <c r="DJ364" s="48" t="s">
        <v>1710</v>
      </c>
      <c r="DK364" s="48" t="s">
        <v>1710</v>
      </c>
      <c r="DL364" s="48" t="s">
        <v>1710</v>
      </c>
      <c r="DM364" s="48" t="s">
        <v>1710</v>
      </c>
      <c r="DN364" s="48" t="s">
        <v>1710</v>
      </c>
      <c r="DO364" s="48" t="s">
        <v>1710</v>
      </c>
      <c r="DP364" s="48" t="s">
        <v>1710</v>
      </c>
      <c r="DQ364" s="48" t="s">
        <v>1710</v>
      </c>
      <c r="DR364" s="48" t="s">
        <v>2072</v>
      </c>
      <c r="DS364" s="48" t="s">
        <v>1710</v>
      </c>
      <c r="DT364" s="48" t="s">
        <v>1710</v>
      </c>
      <c r="DU364" s="48" t="s">
        <v>2547</v>
      </c>
      <c r="DV364" s="48" t="s">
        <v>3206</v>
      </c>
      <c r="DW364" s="48" t="s">
        <v>1710</v>
      </c>
      <c r="DX364" s="48" t="s">
        <v>5679</v>
      </c>
      <c r="DY364" s="48" t="s">
        <v>1709</v>
      </c>
      <c r="DZ364" s="48" t="s">
        <v>2562</v>
      </c>
      <c r="EA364" s="48" t="s">
        <v>5656</v>
      </c>
      <c r="EB364">
        <v>0</v>
      </c>
      <c r="EC364" s="48" t="s">
        <v>2547</v>
      </c>
      <c r="ED364" s="48" t="s">
        <v>5665</v>
      </c>
      <c r="EE364" s="48" t="s">
        <v>1814</v>
      </c>
      <c r="EF364" s="48" t="s">
        <v>1852</v>
      </c>
      <c r="EG364" s="48" t="s">
        <v>5677</v>
      </c>
      <c r="EH364">
        <v>11.327999999999999</v>
      </c>
      <c r="EI364" s="48" t="s">
        <v>1888</v>
      </c>
      <c r="EJ364">
        <v>0</v>
      </c>
      <c r="EK364" s="48" t="s">
        <v>1710</v>
      </c>
      <c r="EL364">
        <v>1</v>
      </c>
      <c r="EM364" s="48" t="s">
        <v>1886</v>
      </c>
      <c r="EN364">
        <v>11.327999999999999</v>
      </c>
      <c r="EO364" s="48" t="s">
        <v>2521</v>
      </c>
      <c r="EP364" s="48" t="s">
        <v>5680</v>
      </c>
      <c r="EQ364">
        <v>6040.72</v>
      </c>
      <c r="ER364">
        <v>6040.72</v>
      </c>
      <c r="ES364">
        <v>8799343</v>
      </c>
      <c r="ET364">
        <v>5974</v>
      </c>
      <c r="EU364" s="48" t="s">
        <v>1710</v>
      </c>
      <c r="EV364" s="48" t="s">
        <v>1710</v>
      </c>
      <c r="EW364" s="48" t="s">
        <v>1712</v>
      </c>
      <c r="EX364" s="48" t="s">
        <v>1710</v>
      </c>
      <c r="EY364" s="48" t="s">
        <v>1855</v>
      </c>
      <c r="EZ364" s="48" t="s">
        <v>1710</v>
      </c>
      <c r="FA364" s="48" t="s">
        <v>1710</v>
      </c>
      <c r="FB364" s="48" t="s">
        <v>1712</v>
      </c>
      <c r="FC364" s="48" t="s">
        <v>1710</v>
      </c>
      <c r="FD364" s="48" t="s">
        <v>1710</v>
      </c>
      <c r="FE364" s="48" t="s">
        <v>1814</v>
      </c>
      <c r="FF364" s="48" t="s">
        <v>1815</v>
      </c>
      <c r="FG364" s="48" t="s">
        <v>1710</v>
      </c>
      <c r="FH364">
        <v>2</v>
      </c>
      <c r="FI364" s="48" t="s">
        <v>1846</v>
      </c>
      <c r="FJ364">
        <v>6040.72</v>
      </c>
      <c r="FK364">
        <v>3020.36</v>
      </c>
      <c r="FL364" s="48" t="s">
        <v>5681</v>
      </c>
      <c r="FM364" s="48" t="s">
        <v>5680</v>
      </c>
      <c r="FN364" s="48" t="s">
        <v>1710</v>
      </c>
      <c r="FO364" s="48" t="s">
        <v>1710</v>
      </c>
      <c r="FP364" s="48" t="s">
        <v>1710</v>
      </c>
      <c r="FQ364" s="48" t="s">
        <v>1710</v>
      </c>
      <c r="FR364" s="48" t="s">
        <v>1710</v>
      </c>
      <c r="FS364" s="48" t="s">
        <v>1710</v>
      </c>
      <c r="FT364" s="48" t="s">
        <v>1710</v>
      </c>
      <c r="FU364" s="48" t="s">
        <v>1710</v>
      </c>
      <c r="FV364" s="48"/>
      <c r="GA364" s="55"/>
      <c r="GE364" s="61"/>
      <c r="GF364" s="62"/>
      <c r="GI364" s="48"/>
    </row>
    <row r="365" spans="1:191">
      <c r="A365" s="48" t="s">
        <v>5682</v>
      </c>
      <c r="B365" s="48" t="s">
        <v>1825</v>
      </c>
      <c r="C365" s="48" t="s">
        <v>5649</v>
      </c>
      <c r="D365" s="48" t="s">
        <v>2813</v>
      </c>
      <c r="E365" s="48" t="s">
        <v>5682</v>
      </c>
      <c r="F365" s="48" t="s">
        <v>1710</v>
      </c>
      <c r="G365" s="48" t="s">
        <v>2814</v>
      </c>
      <c r="H365" s="48" t="s">
        <v>5683</v>
      </c>
      <c r="I365" s="48" t="s">
        <v>1884</v>
      </c>
      <c r="J365" s="48" t="s">
        <v>3141</v>
      </c>
      <c r="K365" s="48" t="s">
        <v>1877</v>
      </c>
      <c r="L365" s="48" t="s">
        <v>1842</v>
      </c>
      <c r="M365" s="48" t="s">
        <v>1810</v>
      </c>
      <c r="N365" s="48" t="s">
        <v>1842</v>
      </c>
      <c r="O365" s="48" t="s">
        <v>1811</v>
      </c>
      <c r="P365" s="48" t="s">
        <v>2549</v>
      </c>
      <c r="Q365" s="48" t="s">
        <v>2049</v>
      </c>
      <c r="R365" s="48" t="s">
        <v>1838</v>
      </c>
      <c r="S365" s="48" t="s">
        <v>2050</v>
      </c>
      <c r="T365" s="48" t="s">
        <v>1845</v>
      </c>
      <c r="U365" s="48" t="s">
        <v>2049</v>
      </c>
      <c r="V365" s="48" t="s">
        <v>1838</v>
      </c>
      <c r="W365" s="48" t="s">
        <v>2051</v>
      </c>
      <c r="X365" s="48" t="s">
        <v>2052</v>
      </c>
      <c r="Y365" s="48" t="s">
        <v>2050</v>
      </c>
      <c r="Z365" s="48" t="s">
        <v>2053</v>
      </c>
      <c r="AA365" s="48" t="s">
        <v>2054</v>
      </c>
      <c r="AB365" s="48" t="s">
        <v>1710</v>
      </c>
      <c r="AC365" s="48" t="s">
        <v>2055</v>
      </c>
      <c r="AD365" s="48" t="s">
        <v>2056</v>
      </c>
      <c r="AE365" s="48" t="s">
        <v>1710</v>
      </c>
      <c r="AF365" s="48" t="s">
        <v>1710</v>
      </c>
      <c r="AG365" s="48" t="s">
        <v>2057</v>
      </c>
      <c r="AH365" s="48" t="s">
        <v>1815</v>
      </c>
      <c r="AI365" s="48" t="s">
        <v>2058</v>
      </c>
      <c r="AJ365" s="48" t="s">
        <v>1710</v>
      </c>
      <c r="AK365" s="48" t="s">
        <v>2568</v>
      </c>
      <c r="AL365" s="48" t="s">
        <v>1880</v>
      </c>
      <c r="AM365" s="48" t="s">
        <v>1816</v>
      </c>
      <c r="AN365" s="48" t="s">
        <v>2054</v>
      </c>
      <c r="AO365" s="48" t="s">
        <v>1710</v>
      </c>
      <c r="AP365" s="48" t="s">
        <v>1843</v>
      </c>
      <c r="AQ365" s="48" t="s">
        <v>2079</v>
      </c>
      <c r="AR365" s="48" t="s">
        <v>1812</v>
      </c>
      <c r="AS365" s="48" t="s">
        <v>1813</v>
      </c>
      <c r="AT365" s="48" t="s">
        <v>1826</v>
      </c>
      <c r="AU365" s="48" t="s">
        <v>2061</v>
      </c>
      <c r="AV365" s="48" t="s">
        <v>3141</v>
      </c>
      <c r="AW365" s="48" t="s">
        <v>2728</v>
      </c>
      <c r="AX365" s="48" t="s">
        <v>5651</v>
      </c>
      <c r="AY365" s="48" t="s">
        <v>1710</v>
      </c>
      <c r="AZ365" s="48" t="s">
        <v>5684</v>
      </c>
      <c r="BA365" s="48" t="s">
        <v>1710</v>
      </c>
      <c r="BB365" s="48" t="s">
        <v>1709</v>
      </c>
      <c r="BC365" s="48" t="s">
        <v>1710</v>
      </c>
      <c r="BD365" s="48" t="s">
        <v>2864</v>
      </c>
      <c r="BE365" s="52" t="s">
        <v>5662</v>
      </c>
      <c r="BF365" s="48" t="s">
        <v>1710</v>
      </c>
      <c r="BG365" s="48" t="s">
        <v>1814</v>
      </c>
      <c r="BH365">
        <v>1</v>
      </c>
      <c r="BI365" s="48" t="s">
        <v>1888</v>
      </c>
      <c r="BJ365">
        <v>1</v>
      </c>
      <c r="BK365">
        <v>1473.06</v>
      </c>
      <c r="BL365">
        <v>695231</v>
      </c>
      <c r="BM365">
        <v>472</v>
      </c>
      <c r="BN365" s="48" t="s">
        <v>2064</v>
      </c>
      <c r="BO365" s="48" t="s">
        <v>2065</v>
      </c>
      <c r="BP365">
        <v>1473.06</v>
      </c>
      <c r="BQ365">
        <v>486.22</v>
      </c>
      <c r="BR365" s="48" t="s">
        <v>1885</v>
      </c>
      <c r="BS365" s="48" t="s">
        <v>2066</v>
      </c>
      <c r="BT365">
        <v>1</v>
      </c>
      <c r="BU365">
        <v>21000</v>
      </c>
      <c r="BV365">
        <v>21000</v>
      </c>
      <c r="BW365" s="48" t="s">
        <v>2065</v>
      </c>
      <c r="BX365">
        <v>1473.06</v>
      </c>
      <c r="BY365">
        <v>0</v>
      </c>
      <c r="BZ365">
        <v>0</v>
      </c>
      <c r="CA365" s="48" t="s">
        <v>2066</v>
      </c>
      <c r="CB365">
        <v>1</v>
      </c>
      <c r="CC365">
        <v>0</v>
      </c>
      <c r="CD365">
        <v>0</v>
      </c>
      <c r="CE365" s="48" t="s">
        <v>1710</v>
      </c>
      <c r="CF365" s="48" t="s">
        <v>1710</v>
      </c>
      <c r="CG365" s="48" t="s">
        <v>1710</v>
      </c>
      <c r="CH365" s="48" t="s">
        <v>1710</v>
      </c>
      <c r="CI365" s="48" t="s">
        <v>2067</v>
      </c>
      <c r="CJ365" s="48" t="s">
        <v>1710</v>
      </c>
      <c r="CL365" s="48" t="s">
        <v>3141</v>
      </c>
      <c r="CM365" s="48" t="s">
        <v>1710</v>
      </c>
      <c r="CN365" s="48" t="s">
        <v>2068</v>
      </c>
      <c r="CO365" s="48" t="s">
        <v>2069</v>
      </c>
      <c r="CP365" s="48" t="s">
        <v>1710</v>
      </c>
      <c r="CQ365" s="48" t="s">
        <v>1710</v>
      </c>
      <c r="CR365" s="48" t="s">
        <v>1710</v>
      </c>
      <c r="CS365" s="48" t="s">
        <v>1710</v>
      </c>
      <c r="CT365" s="48" t="s">
        <v>1710</v>
      </c>
      <c r="CU365" s="48" t="s">
        <v>1712</v>
      </c>
      <c r="CV365" s="48" t="s">
        <v>1710</v>
      </c>
      <c r="CW365" s="48" t="s">
        <v>1710</v>
      </c>
      <c r="CX365" s="48" t="s">
        <v>3167</v>
      </c>
      <c r="CY365" s="48" t="s">
        <v>1710</v>
      </c>
      <c r="CZ365" s="48" t="s">
        <v>1712</v>
      </c>
      <c r="DA365" s="48" t="s">
        <v>1710</v>
      </c>
      <c r="DB365" s="48" t="s">
        <v>1878</v>
      </c>
      <c r="DC365" s="48" t="s">
        <v>2070</v>
      </c>
      <c r="DD365" s="48" t="s">
        <v>1842</v>
      </c>
      <c r="DE365" s="48" t="s">
        <v>1886</v>
      </c>
      <c r="DF365" s="48" t="s">
        <v>5685</v>
      </c>
      <c r="DG365" s="48" t="s">
        <v>2071</v>
      </c>
      <c r="DH365" s="48" t="s">
        <v>1712</v>
      </c>
      <c r="DI365" s="48" t="s">
        <v>1710</v>
      </c>
      <c r="DJ365" s="48" t="s">
        <v>1710</v>
      </c>
      <c r="DK365" s="48" t="s">
        <v>1710</v>
      </c>
      <c r="DL365" s="48" t="s">
        <v>1710</v>
      </c>
      <c r="DM365" s="48" t="s">
        <v>1710</v>
      </c>
      <c r="DN365" s="48" t="s">
        <v>1710</v>
      </c>
      <c r="DO365" s="48" t="s">
        <v>1710</v>
      </c>
      <c r="DP365" s="48" t="s">
        <v>1710</v>
      </c>
      <c r="DQ365" s="48" t="s">
        <v>1710</v>
      </c>
      <c r="DR365" s="48" t="s">
        <v>2072</v>
      </c>
      <c r="DS365" s="48" t="s">
        <v>1710</v>
      </c>
      <c r="DT365" s="48" t="s">
        <v>1710</v>
      </c>
      <c r="DU365" s="48" t="s">
        <v>2547</v>
      </c>
      <c r="DV365" s="48" t="s">
        <v>3206</v>
      </c>
      <c r="DW365" s="48" t="s">
        <v>1710</v>
      </c>
      <c r="DX365" s="48" t="s">
        <v>5686</v>
      </c>
      <c r="DY365" s="48" t="s">
        <v>1709</v>
      </c>
      <c r="DZ365" s="48" t="s">
        <v>2562</v>
      </c>
      <c r="EA365" s="48" t="s">
        <v>5656</v>
      </c>
      <c r="EB365">
        <v>0</v>
      </c>
      <c r="EC365" s="48" t="s">
        <v>2547</v>
      </c>
      <c r="ED365" s="48" t="s">
        <v>5665</v>
      </c>
      <c r="EE365" s="48" t="s">
        <v>1814</v>
      </c>
      <c r="EF365" s="48" t="s">
        <v>1852</v>
      </c>
      <c r="EG365" s="48" t="s">
        <v>5684</v>
      </c>
      <c r="EH365">
        <v>0.25</v>
      </c>
      <c r="EI365" s="48" t="s">
        <v>1888</v>
      </c>
      <c r="EJ365">
        <v>0</v>
      </c>
      <c r="EK365" s="48" t="s">
        <v>1710</v>
      </c>
      <c r="EL365">
        <v>1</v>
      </c>
      <c r="EM365" s="48" t="s">
        <v>1886</v>
      </c>
      <c r="EN365">
        <v>0.25</v>
      </c>
      <c r="EO365" s="48" t="s">
        <v>2521</v>
      </c>
      <c r="EP365" s="48" t="s">
        <v>5687</v>
      </c>
      <c r="EQ365">
        <v>486.22</v>
      </c>
      <c r="ER365">
        <v>486.22</v>
      </c>
      <c r="ES365">
        <v>695231</v>
      </c>
      <c r="ET365">
        <v>472</v>
      </c>
      <c r="EU365" s="48" t="s">
        <v>1710</v>
      </c>
      <c r="EV365" s="48" t="s">
        <v>1710</v>
      </c>
      <c r="EW365" s="48" t="s">
        <v>1712</v>
      </c>
      <c r="EX365" s="48" t="s">
        <v>1710</v>
      </c>
      <c r="EY365" s="48" t="s">
        <v>1853</v>
      </c>
      <c r="EZ365" s="48" t="s">
        <v>1710</v>
      </c>
      <c r="FA365" s="48" t="s">
        <v>1710</v>
      </c>
      <c r="FB365" s="48" t="s">
        <v>1712</v>
      </c>
      <c r="FC365" s="48" t="s">
        <v>1710</v>
      </c>
      <c r="FD365" s="48" t="s">
        <v>1710</v>
      </c>
      <c r="FE365" s="48" t="s">
        <v>1814</v>
      </c>
      <c r="FF365" s="48" t="s">
        <v>1815</v>
      </c>
      <c r="FG365" s="48" t="s">
        <v>1710</v>
      </c>
      <c r="FH365">
        <v>1</v>
      </c>
      <c r="FI365" s="48" t="s">
        <v>1846</v>
      </c>
      <c r="FJ365">
        <v>486.22</v>
      </c>
      <c r="FK365">
        <v>486.22</v>
      </c>
      <c r="FL365" s="48" t="s">
        <v>5688</v>
      </c>
      <c r="FM365" s="48" t="s">
        <v>5687</v>
      </c>
      <c r="FN365" s="48" t="s">
        <v>1710</v>
      </c>
      <c r="FO365" s="48" t="s">
        <v>1710</v>
      </c>
      <c r="FP365" s="48" t="s">
        <v>1710</v>
      </c>
      <c r="FQ365" s="48" t="s">
        <v>1710</v>
      </c>
      <c r="FR365" s="48" t="s">
        <v>1710</v>
      </c>
      <c r="FS365" s="48" t="s">
        <v>1710</v>
      </c>
      <c r="FT365" s="48" t="s">
        <v>1710</v>
      </c>
      <c r="FU365" s="48" t="s">
        <v>1710</v>
      </c>
      <c r="FV365" s="48"/>
      <c r="GA365" s="55"/>
      <c r="GE365" s="61"/>
      <c r="GF365" s="62"/>
      <c r="GI365" s="48"/>
    </row>
    <row r="366" spans="1:191">
      <c r="A366" s="48" t="s">
        <v>5689</v>
      </c>
      <c r="B366" s="48" t="s">
        <v>1825</v>
      </c>
      <c r="C366" s="48" t="s">
        <v>5649</v>
      </c>
      <c r="D366" s="48" t="s">
        <v>2813</v>
      </c>
      <c r="E366" s="48" t="s">
        <v>5689</v>
      </c>
      <c r="F366" s="48" t="s">
        <v>1710</v>
      </c>
      <c r="G366" s="48" t="s">
        <v>2814</v>
      </c>
      <c r="H366" s="48" t="s">
        <v>5690</v>
      </c>
      <c r="I366" s="48" t="s">
        <v>1884</v>
      </c>
      <c r="J366" s="48" t="s">
        <v>3141</v>
      </c>
      <c r="K366" s="48" t="s">
        <v>1877</v>
      </c>
      <c r="L366" s="48" t="s">
        <v>1842</v>
      </c>
      <c r="M366" s="48" t="s">
        <v>1810</v>
      </c>
      <c r="N366" s="48" t="s">
        <v>1842</v>
      </c>
      <c r="O366" s="48" t="s">
        <v>1811</v>
      </c>
      <c r="P366" s="48" t="s">
        <v>2549</v>
      </c>
      <c r="Q366" s="48" t="s">
        <v>2049</v>
      </c>
      <c r="R366" s="48" t="s">
        <v>1838</v>
      </c>
      <c r="S366" s="48" t="s">
        <v>2050</v>
      </c>
      <c r="T366" s="48" t="s">
        <v>1845</v>
      </c>
      <c r="U366" s="48" t="s">
        <v>2049</v>
      </c>
      <c r="V366" s="48" t="s">
        <v>1838</v>
      </c>
      <c r="W366" s="48" t="s">
        <v>2051</v>
      </c>
      <c r="X366" s="48" t="s">
        <v>2052</v>
      </c>
      <c r="Y366" s="48" t="s">
        <v>2050</v>
      </c>
      <c r="Z366" s="48" t="s">
        <v>2053</v>
      </c>
      <c r="AA366" s="48" t="s">
        <v>2054</v>
      </c>
      <c r="AB366" s="48" t="s">
        <v>1710</v>
      </c>
      <c r="AC366" s="48" t="s">
        <v>2055</v>
      </c>
      <c r="AD366" s="48" t="s">
        <v>2056</v>
      </c>
      <c r="AE366" s="48" t="s">
        <v>1710</v>
      </c>
      <c r="AF366" s="48" t="s">
        <v>1710</v>
      </c>
      <c r="AG366" s="48" t="s">
        <v>2057</v>
      </c>
      <c r="AH366" s="48" t="s">
        <v>1815</v>
      </c>
      <c r="AI366" s="48" t="s">
        <v>2058</v>
      </c>
      <c r="AJ366" s="48" t="s">
        <v>1710</v>
      </c>
      <c r="AK366" s="48" t="s">
        <v>2095</v>
      </c>
      <c r="AL366" s="48" t="s">
        <v>1880</v>
      </c>
      <c r="AM366" s="48" t="s">
        <v>1816</v>
      </c>
      <c r="AN366" s="48" t="s">
        <v>2054</v>
      </c>
      <c r="AO366" s="48" t="s">
        <v>1710</v>
      </c>
      <c r="AP366" s="48" t="s">
        <v>1843</v>
      </c>
      <c r="AQ366" s="48" t="s">
        <v>2079</v>
      </c>
      <c r="AR366" s="48" t="s">
        <v>1812</v>
      </c>
      <c r="AS366" s="48" t="s">
        <v>1813</v>
      </c>
      <c r="AT366" s="48" t="s">
        <v>1826</v>
      </c>
      <c r="AU366" s="48" t="s">
        <v>2061</v>
      </c>
      <c r="AV366" s="48" t="s">
        <v>3141</v>
      </c>
      <c r="AW366" s="48" t="s">
        <v>2728</v>
      </c>
      <c r="AX366" s="48" t="s">
        <v>5651</v>
      </c>
      <c r="AY366" s="48" t="s">
        <v>1710</v>
      </c>
      <c r="AZ366" s="48" t="s">
        <v>5691</v>
      </c>
      <c r="BA366" s="48" t="s">
        <v>1710</v>
      </c>
      <c r="BB366" s="48" t="s">
        <v>1709</v>
      </c>
      <c r="BC366" s="48" t="s">
        <v>1710</v>
      </c>
      <c r="BD366" s="48" t="s">
        <v>2864</v>
      </c>
      <c r="BE366" s="52" t="s">
        <v>5662</v>
      </c>
      <c r="BF366" s="48" t="s">
        <v>1710</v>
      </c>
      <c r="BG366" s="48" t="s">
        <v>1814</v>
      </c>
      <c r="BH366">
        <v>1</v>
      </c>
      <c r="BI366" s="48" t="s">
        <v>1888</v>
      </c>
      <c r="BJ366">
        <v>1</v>
      </c>
      <c r="BK366">
        <v>1473.06</v>
      </c>
      <c r="BL366">
        <v>1454357</v>
      </c>
      <c r="BM366">
        <v>987</v>
      </c>
      <c r="BN366" s="48" t="s">
        <v>2064</v>
      </c>
      <c r="BO366" s="48" t="s">
        <v>2065</v>
      </c>
      <c r="BP366">
        <v>1473.06</v>
      </c>
      <c r="BQ366">
        <v>1001.56</v>
      </c>
      <c r="BR366" s="48" t="s">
        <v>1885</v>
      </c>
      <c r="BS366" s="48" t="s">
        <v>2066</v>
      </c>
      <c r="BT366">
        <v>1</v>
      </c>
      <c r="BU366">
        <v>21000</v>
      </c>
      <c r="BV366">
        <v>21000</v>
      </c>
      <c r="BW366" s="48" t="s">
        <v>2065</v>
      </c>
      <c r="BX366">
        <v>1473.06</v>
      </c>
      <c r="BY366">
        <v>0</v>
      </c>
      <c r="BZ366">
        <v>0</v>
      </c>
      <c r="CA366" s="48" t="s">
        <v>2066</v>
      </c>
      <c r="CB366">
        <v>1</v>
      </c>
      <c r="CC366">
        <v>0</v>
      </c>
      <c r="CD366">
        <v>0</v>
      </c>
      <c r="CE366" s="48" t="s">
        <v>1710</v>
      </c>
      <c r="CF366" s="48" t="s">
        <v>1710</v>
      </c>
      <c r="CG366" s="48" t="s">
        <v>1710</v>
      </c>
      <c r="CH366" s="48" t="s">
        <v>1710</v>
      </c>
      <c r="CI366" s="48" t="s">
        <v>2067</v>
      </c>
      <c r="CJ366" s="48" t="s">
        <v>1710</v>
      </c>
      <c r="CL366" s="48" t="s">
        <v>3141</v>
      </c>
      <c r="CM366" s="48" t="s">
        <v>1710</v>
      </c>
      <c r="CN366" s="48" t="s">
        <v>2068</v>
      </c>
      <c r="CO366" s="48" t="s">
        <v>2069</v>
      </c>
      <c r="CP366" s="48" t="s">
        <v>1710</v>
      </c>
      <c r="CQ366" s="48" t="s">
        <v>1710</v>
      </c>
      <c r="CR366" s="48" t="s">
        <v>1710</v>
      </c>
      <c r="CS366" s="48" t="s">
        <v>1710</v>
      </c>
      <c r="CT366" s="48" t="s">
        <v>1710</v>
      </c>
      <c r="CU366" s="48" t="s">
        <v>1712</v>
      </c>
      <c r="CV366" s="48" t="s">
        <v>1710</v>
      </c>
      <c r="CW366" s="48" t="s">
        <v>1710</v>
      </c>
      <c r="CX366" s="48" t="s">
        <v>3167</v>
      </c>
      <c r="CY366" s="48" t="s">
        <v>1710</v>
      </c>
      <c r="CZ366" s="48" t="s">
        <v>1712</v>
      </c>
      <c r="DA366" s="48" t="s">
        <v>1710</v>
      </c>
      <c r="DB366" s="48" t="s">
        <v>1878</v>
      </c>
      <c r="DC366" s="48" t="s">
        <v>2070</v>
      </c>
      <c r="DD366" s="48" t="s">
        <v>1842</v>
      </c>
      <c r="DE366" s="48" t="s">
        <v>1886</v>
      </c>
      <c r="DF366" s="48" t="s">
        <v>5692</v>
      </c>
      <c r="DG366" s="48" t="s">
        <v>2071</v>
      </c>
      <c r="DH366" s="48" t="s">
        <v>1712</v>
      </c>
      <c r="DI366" s="48" t="s">
        <v>1710</v>
      </c>
      <c r="DJ366" s="48" t="s">
        <v>1710</v>
      </c>
      <c r="DK366" s="48" t="s">
        <v>1710</v>
      </c>
      <c r="DL366" s="48" t="s">
        <v>1710</v>
      </c>
      <c r="DM366" s="48" t="s">
        <v>1710</v>
      </c>
      <c r="DN366" s="48" t="s">
        <v>1710</v>
      </c>
      <c r="DO366" s="48" t="s">
        <v>1710</v>
      </c>
      <c r="DP366" s="48" t="s">
        <v>1710</v>
      </c>
      <c r="DQ366" s="48" t="s">
        <v>1710</v>
      </c>
      <c r="DR366" s="48" t="s">
        <v>2072</v>
      </c>
      <c r="DS366" s="48" t="s">
        <v>1710</v>
      </c>
      <c r="DT366" s="48" t="s">
        <v>1710</v>
      </c>
      <c r="DU366" s="48" t="s">
        <v>2547</v>
      </c>
      <c r="DV366" s="48" t="s">
        <v>3206</v>
      </c>
      <c r="DW366" s="48" t="s">
        <v>1710</v>
      </c>
      <c r="DX366" s="48" t="s">
        <v>5693</v>
      </c>
      <c r="DY366" s="48" t="s">
        <v>1709</v>
      </c>
      <c r="DZ366" s="48" t="s">
        <v>2562</v>
      </c>
      <c r="EA366" s="48" t="s">
        <v>5656</v>
      </c>
      <c r="EB366">
        <v>0</v>
      </c>
      <c r="EC366" s="48" t="s">
        <v>2547</v>
      </c>
      <c r="ED366" s="48" t="s">
        <v>5665</v>
      </c>
      <c r="EE366" s="48" t="s">
        <v>1814</v>
      </c>
      <c r="EF366" s="48" t="s">
        <v>1852</v>
      </c>
      <c r="EG366" s="48" t="s">
        <v>5691</v>
      </c>
      <c r="EH366">
        <v>0.06</v>
      </c>
      <c r="EI366" s="48" t="s">
        <v>1888</v>
      </c>
      <c r="EJ366">
        <v>0</v>
      </c>
      <c r="EK366" s="48" t="s">
        <v>1710</v>
      </c>
      <c r="EL366">
        <v>1</v>
      </c>
      <c r="EM366" s="48" t="s">
        <v>1886</v>
      </c>
      <c r="EN366">
        <v>0.06</v>
      </c>
      <c r="EO366" s="48" t="s">
        <v>2521</v>
      </c>
      <c r="EP366" s="48" t="s">
        <v>5694</v>
      </c>
      <c r="EQ366">
        <v>1001.56</v>
      </c>
      <c r="ER366">
        <v>1001.56</v>
      </c>
      <c r="ES366">
        <v>1454357</v>
      </c>
      <c r="ET366">
        <v>987</v>
      </c>
      <c r="EU366" s="48" t="s">
        <v>1710</v>
      </c>
      <c r="EV366" s="48" t="s">
        <v>1710</v>
      </c>
      <c r="EW366" s="48" t="s">
        <v>1712</v>
      </c>
      <c r="EX366" s="48" t="s">
        <v>1710</v>
      </c>
      <c r="EY366" s="48" t="s">
        <v>1848</v>
      </c>
      <c r="EZ366" s="48" t="s">
        <v>1710</v>
      </c>
      <c r="FA366" s="48" t="s">
        <v>1710</v>
      </c>
      <c r="FB366" s="48" t="s">
        <v>1712</v>
      </c>
      <c r="FC366" s="48" t="s">
        <v>1710</v>
      </c>
      <c r="FD366" s="48" t="s">
        <v>1710</v>
      </c>
      <c r="FE366" s="48" t="s">
        <v>1814</v>
      </c>
      <c r="FF366" s="48" t="s">
        <v>1815</v>
      </c>
      <c r="FG366" s="48" t="s">
        <v>1710</v>
      </c>
      <c r="FH366">
        <v>2</v>
      </c>
      <c r="FI366" s="48" t="s">
        <v>1846</v>
      </c>
      <c r="FJ366">
        <v>1001.56</v>
      </c>
      <c r="FK366">
        <v>500.78</v>
      </c>
      <c r="FL366" s="48" t="s">
        <v>5695</v>
      </c>
      <c r="FM366" s="48" t="s">
        <v>5694</v>
      </c>
      <c r="FN366" s="48" t="s">
        <v>1710</v>
      </c>
      <c r="FO366" s="48" t="s">
        <v>1710</v>
      </c>
      <c r="FP366" s="48" t="s">
        <v>1710</v>
      </c>
      <c r="FQ366" s="48" t="s">
        <v>1710</v>
      </c>
      <c r="FR366" s="48" t="s">
        <v>1710</v>
      </c>
      <c r="FS366" s="48" t="s">
        <v>1710</v>
      </c>
      <c r="FT366" s="48" t="s">
        <v>1710</v>
      </c>
      <c r="FU366" s="48" t="s">
        <v>1710</v>
      </c>
      <c r="FV366" s="48"/>
      <c r="GA366" s="55"/>
      <c r="GE366" s="61"/>
      <c r="GF366" s="62"/>
      <c r="GI366" s="48"/>
    </row>
    <row r="367" spans="1:191">
      <c r="A367" s="48" t="s">
        <v>5696</v>
      </c>
      <c r="B367" s="48" t="s">
        <v>1825</v>
      </c>
      <c r="C367" s="48" t="s">
        <v>5649</v>
      </c>
      <c r="D367" s="48" t="s">
        <v>2813</v>
      </c>
      <c r="E367" s="48" t="s">
        <v>5696</v>
      </c>
      <c r="F367" s="48" t="s">
        <v>1710</v>
      </c>
      <c r="G367" s="48" t="s">
        <v>2814</v>
      </c>
      <c r="H367" s="48" t="s">
        <v>5697</v>
      </c>
      <c r="I367" s="48" t="s">
        <v>1884</v>
      </c>
      <c r="J367" s="48" t="s">
        <v>3141</v>
      </c>
      <c r="K367" s="48" t="s">
        <v>1877</v>
      </c>
      <c r="L367" s="48" t="s">
        <v>1842</v>
      </c>
      <c r="M367" s="48" t="s">
        <v>1810</v>
      </c>
      <c r="N367" s="48" t="s">
        <v>1842</v>
      </c>
      <c r="O367" s="48" t="s">
        <v>1811</v>
      </c>
      <c r="P367" s="48" t="s">
        <v>2549</v>
      </c>
      <c r="Q367" s="48" t="s">
        <v>2049</v>
      </c>
      <c r="R367" s="48" t="s">
        <v>1838</v>
      </c>
      <c r="S367" s="48" t="s">
        <v>2050</v>
      </c>
      <c r="T367" s="48" t="s">
        <v>1845</v>
      </c>
      <c r="U367" s="48" t="s">
        <v>2049</v>
      </c>
      <c r="V367" s="48" t="s">
        <v>1838</v>
      </c>
      <c r="W367" s="48" t="s">
        <v>2051</v>
      </c>
      <c r="X367" s="48" t="s">
        <v>2052</v>
      </c>
      <c r="Y367" s="48" t="s">
        <v>2050</v>
      </c>
      <c r="Z367" s="48" t="s">
        <v>2053</v>
      </c>
      <c r="AA367" s="48" t="s">
        <v>2054</v>
      </c>
      <c r="AB367" s="48" t="s">
        <v>1710</v>
      </c>
      <c r="AC367" s="48" t="s">
        <v>2055</v>
      </c>
      <c r="AD367" s="48" t="s">
        <v>2056</v>
      </c>
      <c r="AE367" s="48" t="s">
        <v>1710</v>
      </c>
      <c r="AF367" s="48" t="s">
        <v>1710</v>
      </c>
      <c r="AG367" s="48" t="s">
        <v>2057</v>
      </c>
      <c r="AH367" s="48" t="s">
        <v>1815</v>
      </c>
      <c r="AI367" s="48" t="s">
        <v>2058</v>
      </c>
      <c r="AJ367" s="48" t="s">
        <v>1710</v>
      </c>
      <c r="AK367" s="48" t="s">
        <v>2100</v>
      </c>
      <c r="AL367" s="48" t="s">
        <v>2101</v>
      </c>
      <c r="AM367" s="48" t="s">
        <v>1816</v>
      </c>
      <c r="AN367" s="48" t="s">
        <v>2054</v>
      </c>
      <c r="AO367" s="48" t="s">
        <v>1710</v>
      </c>
      <c r="AP367" s="48" t="s">
        <v>1874</v>
      </c>
      <c r="AQ367" s="48" t="s">
        <v>2078</v>
      </c>
      <c r="AR367" s="48" t="s">
        <v>1812</v>
      </c>
      <c r="AS367" s="48" t="s">
        <v>1813</v>
      </c>
      <c r="AT367" s="48" t="s">
        <v>1826</v>
      </c>
      <c r="AU367" s="48" t="s">
        <v>2061</v>
      </c>
      <c r="AV367" s="48" t="s">
        <v>3141</v>
      </c>
      <c r="AW367" s="48" t="s">
        <v>2728</v>
      </c>
      <c r="AX367" s="48" t="s">
        <v>5651</v>
      </c>
      <c r="AY367" s="48" t="s">
        <v>1710</v>
      </c>
      <c r="AZ367" s="48" t="s">
        <v>5698</v>
      </c>
      <c r="BA367" s="48" t="s">
        <v>1710</v>
      </c>
      <c r="BB367" s="48" t="s">
        <v>1709</v>
      </c>
      <c r="BC367" s="48" t="s">
        <v>1710</v>
      </c>
      <c r="BD367" s="48" t="s">
        <v>2864</v>
      </c>
      <c r="BE367" s="52" t="s">
        <v>5662</v>
      </c>
      <c r="BF367" s="48" t="s">
        <v>1710</v>
      </c>
      <c r="BG367" s="48" t="s">
        <v>1814</v>
      </c>
      <c r="BH367">
        <v>1</v>
      </c>
      <c r="BI367" s="48" t="s">
        <v>1888</v>
      </c>
      <c r="BJ367">
        <v>1</v>
      </c>
      <c r="BK367">
        <v>1473.06</v>
      </c>
      <c r="BL367">
        <v>800205</v>
      </c>
      <c r="BM367">
        <v>543</v>
      </c>
      <c r="BN367" s="48" t="s">
        <v>2064</v>
      </c>
      <c r="BO367" s="48" t="s">
        <v>2065</v>
      </c>
      <c r="BP367">
        <v>1473.06</v>
      </c>
      <c r="BQ367">
        <v>557.89</v>
      </c>
      <c r="BR367" s="48" t="s">
        <v>1885</v>
      </c>
      <c r="BS367" s="48" t="s">
        <v>2066</v>
      </c>
      <c r="BT367">
        <v>1</v>
      </c>
      <c r="BU367">
        <v>21600</v>
      </c>
      <c r="BV367">
        <v>21600</v>
      </c>
      <c r="BW367" s="48" t="s">
        <v>2065</v>
      </c>
      <c r="BX367">
        <v>1473.06</v>
      </c>
      <c r="BY367">
        <v>0</v>
      </c>
      <c r="BZ367">
        <v>0</v>
      </c>
      <c r="CA367" s="48" t="s">
        <v>2066</v>
      </c>
      <c r="CB367">
        <v>1</v>
      </c>
      <c r="CC367">
        <v>0</v>
      </c>
      <c r="CD367">
        <v>0</v>
      </c>
      <c r="CE367" s="48" t="s">
        <v>1710</v>
      </c>
      <c r="CF367" s="48" t="s">
        <v>1710</v>
      </c>
      <c r="CG367" s="48" t="s">
        <v>1710</v>
      </c>
      <c r="CH367" s="48" t="s">
        <v>1710</v>
      </c>
      <c r="CI367" s="48" t="s">
        <v>2067</v>
      </c>
      <c r="CJ367" s="48" t="s">
        <v>1710</v>
      </c>
      <c r="CL367" s="48" t="s">
        <v>3141</v>
      </c>
      <c r="CM367" s="48" t="s">
        <v>1710</v>
      </c>
      <c r="CN367" s="48" t="s">
        <v>2068</v>
      </c>
      <c r="CO367" s="48" t="s">
        <v>2069</v>
      </c>
      <c r="CP367" s="48" t="s">
        <v>1710</v>
      </c>
      <c r="CQ367" s="48" t="s">
        <v>1710</v>
      </c>
      <c r="CR367" s="48" t="s">
        <v>1710</v>
      </c>
      <c r="CS367" s="48" t="s">
        <v>1710</v>
      </c>
      <c r="CT367" s="48" t="s">
        <v>1710</v>
      </c>
      <c r="CU367" s="48" t="s">
        <v>1712</v>
      </c>
      <c r="CV367" s="48" t="s">
        <v>1710</v>
      </c>
      <c r="CW367" s="48" t="s">
        <v>1710</v>
      </c>
      <c r="CX367" s="48" t="s">
        <v>3167</v>
      </c>
      <c r="CY367" s="48" t="s">
        <v>1710</v>
      </c>
      <c r="CZ367" s="48" t="s">
        <v>1712</v>
      </c>
      <c r="DA367" s="48" t="s">
        <v>1710</v>
      </c>
      <c r="DB367" s="48" t="s">
        <v>1878</v>
      </c>
      <c r="DC367" s="48" t="s">
        <v>2070</v>
      </c>
      <c r="DD367" s="48" t="s">
        <v>1842</v>
      </c>
      <c r="DE367" s="48" t="s">
        <v>1886</v>
      </c>
      <c r="DF367" s="48" t="s">
        <v>5699</v>
      </c>
      <c r="DG367" s="48" t="s">
        <v>2071</v>
      </c>
      <c r="DH367" s="48" t="s">
        <v>1712</v>
      </c>
      <c r="DI367" s="48" t="s">
        <v>1710</v>
      </c>
      <c r="DJ367" s="48" t="s">
        <v>1710</v>
      </c>
      <c r="DK367" s="48" t="s">
        <v>1710</v>
      </c>
      <c r="DL367" s="48" t="s">
        <v>1710</v>
      </c>
      <c r="DM367" s="48" t="s">
        <v>1710</v>
      </c>
      <c r="DN367" s="48" t="s">
        <v>1710</v>
      </c>
      <c r="DO367" s="48" t="s">
        <v>1710</v>
      </c>
      <c r="DP367" s="48" t="s">
        <v>1710</v>
      </c>
      <c r="DQ367" s="48" t="s">
        <v>1710</v>
      </c>
      <c r="DR367" s="48" t="s">
        <v>2072</v>
      </c>
      <c r="DS367" s="48" t="s">
        <v>1710</v>
      </c>
      <c r="DT367" s="48" t="s">
        <v>1710</v>
      </c>
      <c r="DU367" s="48" t="s">
        <v>2547</v>
      </c>
      <c r="DV367" s="48" t="s">
        <v>3206</v>
      </c>
      <c r="DW367" s="48" t="s">
        <v>1710</v>
      </c>
      <c r="DX367" s="48" t="s">
        <v>5700</v>
      </c>
      <c r="DY367" s="48" t="s">
        <v>1709</v>
      </c>
      <c r="DZ367" s="48" t="s">
        <v>2562</v>
      </c>
      <c r="EA367" s="48" t="s">
        <v>5656</v>
      </c>
      <c r="EB367">
        <v>0</v>
      </c>
      <c r="EC367" s="48" t="s">
        <v>2547</v>
      </c>
      <c r="ED367" s="48" t="s">
        <v>5665</v>
      </c>
      <c r="EE367" s="48" t="s">
        <v>1814</v>
      </c>
      <c r="EF367" s="48" t="s">
        <v>1841</v>
      </c>
      <c r="EG367" s="48" t="s">
        <v>5698</v>
      </c>
      <c r="EH367">
        <v>2.4E-2</v>
      </c>
      <c r="EI367" s="48" t="s">
        <v>1888</v>
      </c>
      <c r="EJ367">
        <v>0</v>
      </c>
      <c r="EK367" s="48" t="s">
        <v>1710</v>
      </c>
      <c r="EL367">
        <v>1</v>
      </c>
      <c r="EM367" s="48" t="s">
        <v>1886</v>
      </c>
      <c r="EN367">
        <v>2.4E-2</v>
      </c>
      <c r="EO367" s="48" t="s">
        <v>2603</v>
      </c>
      <c r="EP367" s="48" t="s">
        <v>2720</v>
      </c>
      <c r="EQ367">
        <v>557.89</v>
      </c>
      <c r="ER367">
        <v>557.89</v>
      </c>
      <c r="ES367">
        <v>800205</v>
      </c>
      <c r="ET367">
        <v>543</v>
      </c>
      <c r="EU367" s="48" t="s">
        <v>1710</v>
      </c>
      <c r="EV367" s="48" t="s">
        <v>1710</v>
      </c>
      <c r="EW367" s="48" t="s">
        <v>1712</v>
      </c>
      <c r="EX367" s="48" t="s">
        <v>1710</v>
      </c>
      <c r="EY367" s="48" t="s">
        <v>1848</v>
      </c>
      <c r="EZ367" s="48" t="s">
        <v>1710</v>
      </c>
      <c r="FA367" s="48" t="s">
        <v>1710</v>
      </c>
      <c r="FB367" s="48" t="s">
        <v>1712</v>
      </c>
      <c r="FC367" s="48" t="s">
        <v>1710</v>
      </c>
      <c r="FD367" s="48" t="s">
        <v>1710</v>
      </c>
      <c r="FE367" s="48" t="s">
        <v>1814</v>
      </c>
      <c r="FF367" s="48" t="s">
        <v>1815</v>
      </c>
      <c r="FG367" s="48" t="s">
        <v>1710</v>
      </c>
      <c r="FH367">
        <v>3</v>
      </c>
      <c r="FI367" s="48" t="s">
        <v>1846</v>
      </c>
      <c r="FJ367">
        <v>557.89</v>
      </c>
      <c r="FK367">
        <v>185.96299999999999</v>
      </c>
      <c r="FL367" s="48" t="s">
        <v>2721</v>
      </c>
      <c r="FM367" s="48" t="s">
        <v>2720</v>
      </c>
      <c r="FN367" s="48" t="s">
        <v>1710</v>
      </c>
      <c r="FO367" s="48" t="s">
        <v>1710</v>
      </c>
      <c r="FP367" s="48" t="s">
        <v>1710</v>
      </c>
      <c r="FQ367" s="48" t="s">
        <v>1710</v>
      </c>
      <c r="FR367" s="48" t="s">
        <v>1710</v>
      </c>
      <c r="FS367" s="48" t="s">
        <v>1710</v>
      </c>
      <c r="FT367" s="48" t="s">
        <v>1710</v>
      </c>
      <c r="FU367" s="48" t="s">
        <v>1710</v>
      </c>
      <c r="FV367" s="48"/>
      <c r="GA367" s="55"/>
      <c r="GE367" s="61"/>
      <c r="GF367" s="62"/>
      <c r="GI367" s="48"/>
    </row>
    <row r="368" spans="1:191">
      <c r="A368" s="48" t="s">
        <v>5701</v>
      </c>
      <c r="B368" s="48" t="s">
        <v>1825</v>
      </c>
      <c r="C368" s="48" t="s">
        <v>5649</v>
      </c>
      <c r="D368" s="48" t="s">
        <v>2813</v>
      </c>
      <c r="E368" s="48" t="s">
        <v>5701</v>
      </c>
      <c r="F368" s="48" t="s">
        <v>1710</v>
      </c>
      <c r="G368" s="48" t="s">
        <v>2814</v>
      </c>
      <c r="H368" s="48" t="s">
        <v>5702</v>
      </c>
      <c r="I368" s="48" t="s">
        <v>1884</v>
      </c>
      <c r="J368" s="48" t="s">
        <v>3141</v>
      </c>
      <c r="K368" s="48" t="s">
        <v>1877</v>
      </c>
      <c r="L368" s="48" t="s">
        <v>1842</v>
      </c>
      <c r="M368" s="48" t="s">
        <v>1810</v>
      </c>
      <c r="N368" s="48" t="s">
        <v>1842</v>
      </c>
      <c r="O368" s="48" t="s">
        <v>1811</v>
      </c>
      <c r="P368" s="48" t="s">
        <v>2549</v>
      </c>
      <c r="Q368" s="48" t="s">
        <v>2049</v>
      </c>
      <c r="R368" s="48" t="s">
        <v>1838</v>
      </c>
      <c r="S368" s="48" t="s">
        <v>2050</v>
      </c>
      <c r="T368" s="48" t="s">
        <v>1845</v>
      </c>
      <c r="U368" s="48" t="s">
        <v>2049</v>
      </c>
      <c r="V368" s="48" t="s">
        <v>1838</v>
      </c>
      <c r="W368" s="48" t="s">
        <v>2051</v>
      </c>
      <c r="X368" s="48" t="s">
        <v>2052</v>
      </c>
      <c r="Y368" s="48" t="s">
        <v>2050</v>
      </c>
      <c r="Z368" s="48" t="s">
        <v>2053</v>
      </c>
      <c r="AA368" s="48" t="s">
        <v>2054</v>
      </c>
      <c r="AB368" s="48" t="s">
        <v>1710</v>
      </c>
      <c r="AC368" s="48" t="s">
        <v>2055</v>
      </c>
      <c r="AD368" s="48" t="s">
        <v>2056</v>
      </c>
      <c r="AE368" s="48" t="s">
        <v>1710</v>
      </c>
      <c r="AF368" s="48" t="s">
        <v>1710</v>
      </c>
      <c r="AG368" s="48" t="s">
        <v>2057</v>
      </c>
      <c r="AH368" s="48" t="s">
        <v>1815</v>
      </c>
      <c r="AI368" s="48" t="s">
        <v>2058</v>
      </c>
      <c r="AJ368" s="48" t="s">
        <v>1710</v>
      </c>
      <c r="AK368" s="48" t="s">
        <v>2560</v>
      </c>
      <c r="AL368" s="48" t="s">
        <v>2561</v>
      </c>
      <c r="AM368" s="48" t="s">
        <v>1816</v>
      </c>
      <c r="AN368" s="48" t="s">
        <v>2054</v>
      </c>
      <c r="AO368" s="48" t="s">
        <v>1710</v>
      </c>
      <c r="AP368" s="48" t="s">
        <v>1855</v>
      </c>
      <c r="AQ368" s="48" t="s">
        <v>2076</v>
      </c>
      <c r="AR368" s="48" t="s">
        <v>1812</v>
      </c>
      <c r="AS368" s="48" t="s">
        <v>1813</v>
      </c>
      <c r="AT368" s="48" t="s">
        <v>1826</v>
      </c>
      <c r="AU368" s="48" t="s">
        <v>2061</v>
      </c>
      <c r="AV368" s="48" t="s">
        <v>3141</v>
      </c>
      <c r="AW368" s="48" t="s">
        <v>2728</v>
      </c>
      <c r="AX368" s="48" t="s">
        <v>5651</v>
      </c>
      <c r="AY368" s="48" t="s">
        <v>1710</v>
      </c>
      <c r="AZ368" s="48" t="s">
        <v>5703</v>
      </c>
      <c r="BA368" s="48" t="s">
        <v>1710</v>
      </c>
      <c r="BB368" s="48" t="s">
        <v>1709</v>
      </c>
      <c r="BC368" s="48" t="s">
        <v>1710</v>
      </c>
      <c r="BD368" s="48" t="s">
        <v>2864</v>
      </c>
      <c r="BE368" s="52" t="s">
        <v>5662</v>
      </c>
      <c r="BF368" s="48" t="s">
        <v>1710</v>
      </c>
      <c r="BG368" s="48" t="s">
        <v>1814</v>
      </c>
      <c r="BH368">
        <v>1</v>
      </c>
      <c r="BI368" s="48" t="s">
        <v>1888</v>
      </c>
      <c r="BJ368">
        <v>1</v>
      </c>
      <c r="BK368">
        <v>1473.06</v>
      </c>
      <c r="BL368">
        <v>722777</v>
      </c>
      <c r="BM368">
        <v>491</v>
      </c>
      <c r="BN368" s="48" t="s">
        <v>2064</v>
      </c>
      <c r="BO368" s="48" t="s">
        <v>2065</v>
      </c>
      <c r="BP368">
        <v>1473.06</v>
      </c>
      <c r="BQ368">
        <v>504.92</v>
      </c>
      <c r="BR368" s="48" t="s">
        <v>1885</v>
      </c>
      <c r="BS368" s="48" t="s">
        <v>2066</v>
      </c>
      <c r="BT368">
        <v>1</v>
      </c>
      <c r="BU368">
        <v>21000</v>
      </c>
      <c r="BV368">
        <v>21000</v>
      </c>
      <c r="BW368" s="48" t="s">
        <v>2065</v>
      </c>
      <c r="BX368">
        <v>1473.06</v>
      </c>
      <c r="BY368">
        <v>0</v>
      </c>
      <c r="BZ368">
        <v>0</v>
      </c>
      <c r="CA368" s="48" t="s">
        <v>2066</v>
      </c>
      <c r="CB368">
        <v>1</v>
      </c>
      <c r="CC368">
        <v>0</v>
      </c>
      <c r="CD368">
        <v>0</v>
      </c>
      <c r="CE368" s="48" t="s">
        <v>1710</v>
      </c>
      <c r="CF368" s="48" t="s">
        <v>1710</v>
      </c>
      <c r="CG368" s="48" t="s">
        <v>1710</v>
      </c>
      <c r="CH368" s="48" t="s">
        <v>1710</v>
      </c>
      <c r="CI368" s="48" t="s">
        <v>2067</v>
      </c>
      <c r="CJ368" s="48" t="s">
        <v>1710</v>
      </c>
      <c r="CL368" s="48" t="s">
        <v>3141</v>
      </c>
      <c r="CM368" s="48" t="s">
        <v>1710</v>
      </c>
      <c r="CN368" s="48" t="s">
        <v>2068</v>
      </c>
      <c r="CO368" s="48" t="s">
        <v>2069</v>
      </c>
      <c r="CP368" s="48" t="s">
        <v>1710</v>
      </c>
      <c r="CQ368" s="48" t="s">
        <v>1710</v>
      </c>
      <c r="CR368" s="48" t="s">
        <v>1710</v>
      </c>
      <c r="CS368" s="48" t="s">
        <v>1710</v>
      </c>
      <c r="CT368" s="48" t="s">
        <v>1710</v>
      </c>
      <c r="CU368" s="48" t="s">
        <v>1712</v>
      </c>
      <c r="CV368" s="48" t="s">
        <v>1710</v>
      </c>
      <c r="CW368" s="48" t="s">
        <v>1710</v>
      </c>
      <c r="CX368" s="48" t="s">
        <v>3167</v>
      </c>
      <c r="CY368" s="48" t="s">
        <v>1710</v>
      </c>
      <c r="CZ368" s="48" t="s">
        <v>1712</v>
      </c>
      <c r="DA368" s="48" t="s">
        <v>1710</v>
      </c>
      <c r="DB368" s="48" t="s">
        <v>1878</v>
      </c>
      <c r="DC368" s="48" t="s">
        <v>2070</v>
      </c>
      <c r="DD368" s="48" t="s">
        <v>1842</v>
      </c>
      <c r="DE368" s="48" t="s">
        <v>1886</v>
      </c>
      <c r="DF368" s="48" t="s">
        <v>5704</v>
      </c>
      <c r="DG368" s="48" t="s">
        <v>2071</v>
      </c>
      <c r="DH368" s="48" t="s">
        <v>1712</v>
      </c>
      <c r="DI368" s="48" t="s">
        <v>1710</v>
      </c>
      <c r="DJ368" s="48" t="s">
        <v>1710</v>
      </c>
      <c r="DK368" s="48" t="s">
        <v>1710</v>
      </c>
      <c r="DL368" s="48" t="s">
        <v>1710</v>
      </c>
      <c r="DM368" s="48" t="s">
        <v>1710</v>
      </c>
      <c r="DN368" s="48" t="s">
        <v>1710</v>
      </c>
      <c r="DO368" s="48" t="s">
        <v>1710</v>
      </c>
      <c r="DP368" s="48" t="s">
        <v>1710</v>
      </c>
      <c r="DQ368" s="48" t="s">
        <v>1710</v>
      </c>
      <c r="DR368" s="48" t="s">
        <v>2072</v>
      </c>
      <c r="DS368" s="48" t="s">
        <v>1710</v>
      </c>
      <c r="DT368" s="48" t="s">
        <v>1710</v>
      </c>
      <c r="DU368" s="48" t="s">
        <v>2547</v>
      </c>
      <c r="DV368" s="48" t="s">
        <v>3206</v>
      </c>
      <c r="DW368" s="48" t="s">
        <v>1710</v>
      </c>
      <c r="DX368" s="48" t="s">
        <v>5705</v>
      </c>
      <c r="DY368" s="48" t="s">
        <v>1709</v>
      </c>
      <c r="DZ368" s="48" t="s">
        <v>2562</v>
      </c>
      <c r="EA368" s="48" t="s">
        <v>5656</v>
      </c>
      <c r="EB368">
        <v>0</v>
      </c>
      <c r="EC368" s="48" t="s">
        <v>2547</v>
      </c>
      <c r="ED368" s="48" t="s">
        <v>5665</v>
      </c>
      <c r="EE368" s="48" t="s">
        <v>1814</v>
      </c>
      <c r="EF368" s="48" t="s">
        <v>1881</v>
      </c>
      <c r="EG368" s="48" t="s">
        <v>5703</v>
      </c>
      <c r="EH368">
        <v>6.6000000000000003E-2</v>
      </c>
      <c r="EI368" s="48" t="s">
        <v>1888</v>
      </c>
      <c r="EJ368">
        <v>0</v>
      </c>
      <c r="EK368" s="48" t="s">
        <v>1710</v>
      </c>
      <c r="EL368">
        <v>1</v>
      </c>
      <c r="EM368" s="48" t="s">
        <v>1886</v>
      </c>
      <c r="EN368">
        <v>6.6000000000000003E-2</v>
      </c>
      <c r="EO368" s="48" t="s">
        <v>2601</v>
      </c>
      <c r="EP368" s="48" t="s">
        <v>5706</v>
      </c>
      <c r="EQ368">
        <v>504.92</v>
      </c>
      <c r="ER368">
        <v>504.92</v>
      </c>
      <c r="ES368">
        <v>722777</v>
      </c>
      <c r="ET368">
        <v>491</v>
      </c>
      <c r="EU368" s="48" t="s">
        <v>1710</v>
      </c>
      <c r="EV368" s="48" t="s">
        <v>1710</v>
      </c>
      <c r="EW368" s="48" t="s">
        <v>1712</v>
      </c>
      <c r="EX368" s="48" t="s">
        <v>1710</v>
      </c>
      <c r="EY368" s="48" t="s">
        <v>1848</v>
      </c>
      <c r="EZ368" s="48" t="s">
        <v>1710</v>
      </c>
      <c r="FA368" s="48" t="s">
        <v>1710</v>
      </c>
      <c r="FB368" s="48" t="s">
        <v>1712</v>
      </c>
      <c r="FC368" s="48" t="s">
        <v>1710</v>
      </c>
      <c r="FD368" s="48" t="s">
        <v>1710</v>
      </c>
      <c r="FE368" s="48" t="s">
        <v>1814</v>
      </c>
      <c r="FF368" s="48" t="s">
        <v>1815</v>
      </c>
      <c r="FG368" s="48" t="s">
        <v>1710</v>
      </c>
      <c r="FH368">
        <v>3</v>
      </c>
      <c r="FI368" s="48" t="s">
        <v>1846</v>
      </c>
      <c r="FJ368">
        <v>504.92</v>
      </c>
      <c r="FK368">
        <v>168.30699999999999</v>
      </c>
      <c r="FL368" s="48" t="s">
        <v>5707</v>
      </c>
      <c r="FM368" s="48" t="s">
        <v>5706</v>
      </c>
      <c r="FN368" s="48" t="s">
        <v>1710</v>
      </c>
      <c r="FO368" s="48" t="s">
        <v>1710</v>
      </c>
      <c r="FP368" s="48" t="s">
        <v>1710</v>
      </c>
      <c r="FQ368" s="48" t="s">
        <v>1710</v>
      </c>
      <c r="FR368" s="48" t="s">
        <v>1710</v>
      </c>
      <c r="FS368" s="48" t="s">
        <v>1710</v>
      </c>
      <c r="FT368" s="48" t="s">
        <v>1710</v>
      </c>
      <c r="FU368" s="48" t="s">
        <v>1710</v>
      </c>
      <c r="FV368" s="48"/>
      <c r="GA368" s="55"/>
      <c r="GE368" s="61"/>
      <c r="GF368" s="62"/>
      <c r="GI368" s="48"/>
    </row>
    <row r="369" spans="1:191">
      <c r="A369" s="48" t="s">
        <v>5708</v>
      </c>
      <c r="B369" s="48" t="s">
        <v>1825</v>
      </c>
      <c r="C369" s="48" t="s">
        <v>5649</v>
      </c>
      <c r="D369" s="48" t="s">
        <v>2813</v>
      </c>
      <c r="E369" s="48" t="s">
        <v>5708</v>
      </c>
      <c r="F369" s="48" t="s">
        <v>1710</v>
      </c>
      <c r="G369" s="48" t="s">
        <v>2814</v>
      </c>
      <c r="H369" s="48" t="s">
        <v>5709</v>
      </c>
      <c r="I369" s="48" t="s">
        <v>1884</v>
      </c>
      <c r="J369" s="48" t="s">
        <v>3141</v>
      </c>
      <c r="K369" s="48" t="s">
        <v>1877</v>
      </c>
      <c r="L369" s="48" t="s">
        <v>1842</v>
      </c>
      <c r="M369" s="48" t="s">
        <v>1810</v>
      </c>
      <c r="N369" s="48" t="s">
        <v>1842</v>
      </c>
      <c r="O369" s="48" t="s">
        <v>1811</v>
      </c>
      <c r="P369" s="48" t="s">
        <v>2549</v>
      </c>
      <c r="Q369" s="48" t="s">
        <v>2049</v>
      </c>
      <c r="R369" s="48" t="s">
        <v>1838</v>
      </c>
      <c r="S369" s="48" t="s">
        <v>2050</v>
      </c>
      <c r="T369" s="48" t="s">
        <v>1845</v>
      </c>
      <c r="U369" s="48" t="s">
        <v>2049</v>
      </c>
      <c r="V369" s="48" t="s">
        <v>1838</v>
      </c>
      <c r="W369" s="48" t="s">
        <v>2051</v>
      </c>
      <c r="X369" s="48" t="s">
        <v>2052</v>
      </c>
      <c r="Y369" s="48" t="s">
        <v>2050</v>
      </c>
      <c r="Z369" s="48" t="s">
        <v>2053</v>
      </c>
      <c r="AA369" s="48" t="s">
        <v>2054</v>
      </c>
      <c r="AB369" s="48" t="s">
        <v>1710</v>
      </c>
      <c r="AC369" s="48" t="s">
        <v>2055</v>
      </c>
      <c r="AD369" s="48" t="s">
        <v>2056</v>
      </c>
      <c r="AE369" s="48" t="s">
        <v>1710</v>
      </c>
      <c r="AF369" s="48" t="s">
        <v>1710</v>
      </c>
      <c r="AG369" s="48" t="s">
        <v>2057</v>
      </c>
      <c r="AH369" s="48" t="s">
        <v>1815</v>
      </c>
      <c r="AI369" s="48" t="s">
        <v>2058</v>
      </c>
      <c r="AJ369" s="48" t="s">
        <v>1710</v>
      </c>
      <c r="AK369" s="48" t="s">
        <v>2560</v>
      </c>
      <c r="AL369" s="48" t="s">
        <v>2561</v>
      </c>
      <c r="AM369" s="48" t="s">
        <v>1816</v>
      </c>
      <c r="AN369" s="48" t="s">
        <v>2054</v>
      </c>
      <c r="AO369" s="48" t="s">
        <v>1710</v>
      </c>
      <c r="AP369" s="48" t="s">
        <v>1855</v>
      </c>
      <c r="AQ369" s="48" t="s">
        <v>2076</v>
      </c>
      <c r="AR369" s="48" t="s">
        <v>1812</v>
      </c>
      <c r="AS369" s="48" t="s">
        <v>1813</v>
      </c>
      <c r="AT369" s="48" t="s">
        <v>1826</v>
      </c>
      <c r="AU369" s="48" t="s">
        <v>2061</v>
      </c>
      <c r="AV369" s="48" t="s">
        <v>3141</v>
      </c>
      <c r="AW369" s="48" t="s">
        <v>2728</v>
      </c>
      <c r="AX369" s="48" t="s">
        <v>5651</v>
      </c>
      <c r="AY369" s="48" t="s">
        <v>1710</v>
      </c>
      <c r="AZ369" s="48" t="s">
        <v>5710</v>
      </c>
      <c r="BA369" s="48" t="s">
        <v>1710</v>
      </c>
      <c r="BB369" s="48" t="s">
        <v>1709</v>
      </c>
      <c r="BC369" s="48" t="s">
        <v>1710</v>
      </c>
      <c r="BD369" s="48" t="s">
        <v>2864</v>
      </c>
      <c r="BE369" s="52" t="s">
        <v>1710</v>
      </c>
      <c r="BF369" s="48" t="s">
        <v>1710</v>
      </c>
      <c r="BG369" s="48" t="s">
        <v>1814</v>
      </c>
      <c r="BH369">
        <v>226</v>
      </c>
      <c r="BI369" s="48" t="s">
        <v>1888</v>
      </c>
      <c r="BJ369">
        <v>1</v>
      </c>
      <c r="BK369">
        <v>1473.06</v>
      </c>
      <c r="BL369">
        <v>695278251</v>
      </c>
      <c r="BM369">
        <v>471996</v>
      </c>
      <c r="BN369" s="48" t="s">
        <v>2064</v>
      </c>
      <c r="BO369" s="48" t="s">
        <v>2065</v>
      </c>
      <c r="BP369">
        <v>1473.06</v>
      </c>
      <c r="BQ369">
        <v>472736.38</v>
      </c>
      <c r="BR369" s="48" t="s">
        <v>1885</v>
      </c>
      <c r="BS369" s="48" t="s">
        <v>2066</v>
      </c>
      <c r="BT369">
        <v>1</v>
      </c>
      <c r="BU369">
        <v>1090800</v>
      </c>
      <c r="BV369">
        <v>1090800</v>
      </c>
      <c r="BW369" s="48" t="s">
        <v>2065</v>
      </c>
      <c r="BX369">
        <v>1473.06</v>
      </c>
      <c r="BY369">
        <v>0</v>
      </c>
      <c r="BZ369">
        <v>0</v>
      </c>
      <c r="CA369" s="48" t="s">
        <v>2066</v>
      </c>
      <c r="CB369">
        <v>1</v>
      </c>
      <c r="CC369">
        <v>0</v>
      </c>
      <c r="CD369">
        <v>0</v>
      </c>
      <c r="CE369" s="48" t="s">
        <v>1710</v>
      </c>
      <c r="CF369" s="48" t="s">
        <v>1710</v>
      </c>
      <c r="CG369" s="48" t="s">
        <v>1710</v>
      </c>
      <c r="CH369" s="48" t="s">
        <v>1710</v>
      </c>
      <c r="CI369" s="48" t="s">
        <v>2067</v>
      </c>
      <c r="CJ369" s="48" t="s">
        <v>1710</v>
      </c>
      <c r="CL369" s="48" t="s">
        <v>3141</v>
      </c>
      <c r="CM369" s="48" t="s">
        <v>1710</v>
      </c>
      <c r="CN369" s="48" t="s">
        <v>2068</v>
      </c>
      <c r="CO369" s="48" t="s">
        <v>2069</v>
      </c>
      <c r="CP369" s="48" t="s">
        <v>1710</v>
      </c>
      <c r="CQ369" s="48" t="s">
        <v>1710</v>
      </c>
      <c r="CR369" s="48" t="s">
        <v>1710</v>
      </c>
      <c r="CS369" s="48" t="s">
        <v>1710</v>
      </c>
      <c r="CT369" s="48" t="s">
        <v>1710</v>
      </c>
      <c r="CU369" s="48" t="s">
        <v>1712</v>
      </c>
      <c r="CV369" s="48" t="s">
        <v>1710</v>
      </c>
      <c r="CW369" s="48" t="s">
        <v>1710</v>
      </c>
      <c r="CX369" s="48" t="s">
        <v>3167</v>
      </c>
      <c r="CY369" s="48" t="s">
        <v>1710</v>
      </c>
      <c r="CZ369" s="48" t="s">
        <v>1712</v>
      </c>
      <c r="DA369" s="48" t="s">
        <v>1710</v>
      </c>
      <c r="DB369" s="48" t="s">
        <v>1878</v>
      </c>
      <c r="DC369" s="48" t="s">
        <v>2070</v>
      </c>
      <c r="DD369" s="48" t="s">
        <v>1842</v>
      </c>
      <c r="DE369" s="48" t="s">
        <v>1886</v>
      </c>
      <c r="DF369" s="48" t="s">
        <v>5711</v>
      </c>
      <c r="DG369" s="48" t="s">
        <v>2071</v>
      </c>
      <c r="DH369" s="48" t="s">
        <v>1712</v>
      </c>
      <c r="DI369" s="48" t="s">
        <v>1710</v>
      </c>
      <c r="DJ369" s="48" t="s">
        <v>1710</v>
      </c>
      <c r="DK369" s="48" t="s">
        <v>1710</v>
      </c>
      <c r="DL369" s="48" t="s">
        <v>1710</v>
      </c>
      <c r="DM369" s="48" t="s">
        <v>1710</v>
      </c>
      <c r="DN369" s="48" t="s">
        <v>1710</v>
      </c>
      <c r="DO369" s="48" t="s">
        <v>1710</v>
      </c>
      <c r="DP369" s="48" t="s">
        <v>1710</v>
      </c>
      <c r="DQ369" s="48" t="s">
        <v>1710</v>
      </c>
      <c r="DR369" s="48" t="s">
        <v>2072</v>
      </c>
      <c r="DS369" s="48" t="s">
        <v>1710</v>
      </c>
      <c r="DT369" s="48" t="s">
        <v>1710</v>
      </c>
      <c r="DU369" s="48" t="s">
        <v>2547</v>
      </c>
      <c r="DV369" s="48" t="s">
        <v>3206</v>
      </c>
      <c r="DW369" s="48" t="s">
        <v>1710</v>
      </c>
      <c r="DX369" s="48" t="s">
        <v>5712</v>
      </c>
      <c r="DY369" s="48" t="s">
        <v>1709</v>
      </c>
      <c r="DZ369" s="48" t="s">
        <v>2562</v>
      </c>
      <c r="EA369" s="48" t="s">
        <v>5656</v>
      </c>
      <c r="EB369">
        <v>0</v>
      </c>
      <c r="EC369" s="48" t="s">
        <v>2547</v>
      </c>
      <c r="ED369" s="48" t="s">
        <v>5713</v>
      </c>
      <c r="EE369" s="48" t="s">
        <v>1814</v>
      </c>
      <c r="EF369" s="48" t="s">
        <v>2723</v>
      </c>
      <c r="EG369" s="48" t="s">
        <v>5710</v>
      </c>
      <c r="EH369">
        <v>150</v>
      </c>
      <c r="EI369" s="48" t="s">
        <v>1888</v>
      </c>
      <c r="EJ369">
        <v>1</v>
      </c>
      <c r="EK369" s="48" t="s">
        <v>1887</v>
      </c>
      <c r="EL369">
        <v>1</v>
      </c>
      <c r="EM369" s="48" t="s">
        <v>1886</v>
      </c>
      <c r="EN369">
        <v>150</v>
      </c>
      <c r="EO369" s="48" t="s">
        <v>2724</v>
      </c>
      <c r="EP369" s="48" t="s">
        <v>5714</v>
      </c>
      <c r="EQ369">
        <v>472736.38</v>
      </c>
      <c r="ER369">
        <v>472736.38</v>
      </c>
      <c r="ES369">
        <v>695278251</v>
      </c>
      <c r="ET369">
        <v>471996</v>
      </c>
      <c r="EU369" s="48" t="s">
        <v>1710</v>
      </c>
      <c r="EV369" s="48" t="s">
        <v>1710</v>
      </c>
      <c r="EW369" s="48" t="s">
        <v>1712</v>
      </c>
      <c r="EX369" s="48" t="s">
        <v>1710</v>
      </c>
      <c r="EY369" s="48" t="s">
        <v>1851</v>
      </c>
      <c r="EZ369" s="48" t="s">
        <v>1710</v>
      </c>
      <c r="FA369" s="48" t="s">
        <v>1710</v>
      </c>
      <c r="FB369" s="48" t="s">
        <v>1712</v>
      </c>
      <c r="FC369" s="48" t="s">
        <v>1710</v>
      </c>
      <c r="FD369" s="48" t="s">
        <v>1710</v>
      </c>
      <c r="FE369" s="48" t="s">
        <v>1814</v>
      </c>
      <c r="FF369" s="48" t="s">
        <v>1815</v>
      </c>
      <c r="FG369" s="48" t="s">
        <v>1710</v>
      </c>
      <c r="FH369">
        <v>1</v>
      </c>
      <c r="FI369" s="48" t="s">
        <v>1846</v>
      </c>
      <c r="FJ369">
        <v>472736.38</v>
      </c>
      <c r="FK369">
        <v>472736.38</v>
      </c>
      <c r="FL369" s="48" t="s">
        <v>5715</v>
      </c>
      <c r="FM369" s="48" t="s">
        <v>5716</v>
      </c>
      <c r="FN369" s="48" t="s">
        <v>1710</v>
      </c>
      <c r="FO369" s="48" t="s">
        <v>1710</v>
      </c>
      <c r="FP369" s="48" t="s">
        <v>1710</v>
      </c>
      <c r="FQ369" s="48" t="s">
        <v>1710</v>
      </c>
      <c r="FR369" s="48" t="s">
        <v>1710</v>
      </c>
      <c r="FS369" s="48" t="s">
        <v>1710</v>
      </c>
      <c r="FT369" s="48" t="s">
        <v>1710</v>
      </c>
      <c r="FU369" s="48" t="s">
        <v>1710</v>
      </c>
      <c r="FV369" s="48"/>
      <c r="GA369" s="55"/>
      <c r="GE369" s="61"/>
      <c r="GF369" s="62"/>
      <c r="GI369" s="48"/>
    </row>
    <row r="370" spans="1:19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52"/>
      <c r="BF370" s="48"/>
      <c r="BG370" s="48"/>
      <c r="BI370" s="48"/>
      <c r="BN370" s="48"/>
      <c r="BO370" s="48"/>
      <c r="BR370" s="48"/>
      <c r="BS370" s="48"/>
      <c r="BW370" s="48"/>
      <c r="CA370" s="48"/>
      <c r="CE370" s="48"/>
      <c r="CF370" s="48"/>
      <c r="CG370" s="48"/>
      <c r="CH370" s="48"/>
      <c r="CI370" s="48"/>
      <c r="CJ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8"/>
      <c r="DV370" s="48"/>
      <c r="DW370" s="48"/>
      <c r="DX370" s="48"/>
      <c r="DY370" s="48"/>
      <c r="DZ370" s="48"/>
      <c r="EA370" s="48"/>
      <c r="EC370" s="48"/>
      <c r="ED370" s="48"/>
      <c r="EE370" s="48"/>
      <c r="EF370" s="48"/>
      <c r="EG370" s="48"/>
      <c r="EI370" s="48"/>
      <c r="EK370" s="48"/>
      <c r="EM370" s="48"/>
      <c r="EO370" s="48"/>
      <c r="EP370" s="48"/>
      <c r="EU370" s="48"/>
      <c r="EV370" s="48"/>
      <c r="EW370" s="48"/>
      <c r="EX370" s="48"/>
      <c r="EY370" s="48"/>
      <c r="EZ370" s="48"/>
      <c r="FA370" s="48"/>
      <c r="FB370" s="48"/>
      <c r="FC370" s="48"/>
      <c r="FD370" s="48"/>
      <c r="FE370" s="48"/>
      <c r="FF370" s="48"/>
      <c r="FG370" s="48"/>
      <c r="FI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GA370" s="55"/>
      <c r="GE370" s="61"/>
      <c r="GF370" s="62"/>
      <c r="GI370" s="48"/>
    </row>
    <row r="371" spans="1:19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52"/>
      <c r="BF371" s="48"/>
      <c r="BG371" s="48"/>
      <c r="BI371" s="48"/>
      <c r="BN371" s="48"/>
      <c r="BO371" s="48"/>
      <c r="BR371" s="48"/>
      <c r="BS371" s="48"/>
      <c r="BW371" s="48"/>
      <c r="CA371" s="48"/>
      <c r="CE371" s="48"/>
      <c r="CF371" s="48"/>
      <c r="CG371" s="48"/>
      <c r="CH371" s="48"/>
      <c r="CI371" s="48"/>
      <c r="CJ371" s="48"/>
      <c r="CL371" s="48"/>
      <c r="CM371" s="48"/>
      <c r="CN371" s="48"/>
      <c r="CO371" s="48"/>
      <c r="CP371" s="48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  <c r="DE371" s="48"/>
      <c r="DF371" s="48"/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8"/>
      <c r="DV371" s="48"/>
      <c r="DW371" s="48"/>
      <c r="DX371" s="48"/>
      <c r="DY371" s="48"/>
      <c r="DZ371" s="48"/>
      <c r="EA371" s="48"/>
      <c r="EC371" s="48"/>
      <c r="ED371" s="48"/>
      <c r="EE371" s="48"/>
      <c r="EF371" s="48"/>
      <c r="EG371" s="48"/>
      <c r="EI371" s="48"/>
      <c r="EK371" s="48"/>
      <c r="EM371" s="48"/>
      <c r="EO371" s="48"/>
      <c r="EP371" s="48"/>
      <c r="EU371" s="48"/>
      <c r="EV371" s="48"/>
      <c r="EW371" s="48"/>
      <c r="EX371" s="48"/>
      <c r="EY371" s="48"/>
      <c r="EZ371" s="48"/>
      <c r="FA371" s="48"/>
      <c r="FB371" s="48"/>
      <c r="FC371" s="48"/>
      <c r="FD371" s="48"/>
      <c r="FE371" s="48"/>
      <c r="FF371" s="48"/>
      <c r="FG371" s="48"/>
      <c r="FI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GA371" s="55"/>
      <c r="GE371" s="61"/>
      <c r="GF371" s="62"/>
      <c r="GI371" s="48"/>
    </row>
    <row r="372" spans="1:19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52"/>
      <c r="BF372" s="48"/>
      <c r="BG372" s="48"/>
      <c r="BI372" s="48"/>
      <c r="BN372" s="48"/>
      <c r="BO372" s="48"/>
      <c r="BR372" s="48"/>
      <c r="BS372" s="48"/>
      <c r="BW372" s="48"/>
      <c r="CA372" s="48"/>
      <c r="CE372" s="48"/>
      <c r="CF372" s="48"/>
      <c r="CG372" s="48"/>
      <c r="CH372" s="48"/>
      <c r="CI372" s="48"/>
      <c r="CJ372" s="48"/>
      <c r="CL372" s="48"/>
      <c r="CM372" s="48"/>
      <c r="CN372" s="48"/>
      <c r="CO372" s="48"/>
      <c r="CP372" s="48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  <c r="DE372" s="48"/>
      <c r="DF372" s="48"/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8"/>
      <c r="DV372" s="48"/>
      <c r="DW372" s="48"/>
      <c r="DX372" s="48"/>
      <c r="DY372" s="48"/>
      <c r="DZ372" s="48"/>
      <c r="EA372" s="48"/>
      <c r="EC372" s="48"/>
      <c r="ED372" s="48"/>
      <c r="EE372" s="48"/>
      <c r="EF372" s="48"/>
      <c r="EG372" s="48"/>
      <c r="EI372" s="48"/>
      <c r="EK372" s="48"/>
      <c r="EM372" s="48"/>
      <c r="EO372" s="48"/>
      <c r="EP372" s="48"/>
      <c r="EU372" s="48"/>
      <c r="EV372" s="48"/>
      <c r="EW372" s="48"/>
      <c r="EX372" s="48"/>
      <c r="EY372" s="48"/>
      <c r="EZ372" s="48"/>
      <c r="FA372" s="48"/>
      <c r="FB372" s="48"/>
      <c r="FC372" s="48"/>
      <c r="FD372" s="48"/>
      <c r="FE372" s="48"/>
      <c r="FF372" s="48"/>
      <c r="FG372" s="48"/>
      <c r="FI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GA372" s="55"/>
      <c r="GE372" s="61"/>
      <c r="GF372" s="62"/>
      <c r="GI372" s="48"/>
    </row>
    <row r="373" spans="1:19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52"/>
      <c r="BF373" s="48"/>
      <c r="BG373" s="48"/>
      <c r="BI373" s="48"/>
      <c r="BN373" s="48"/>
      <c r="BO373" s="48"/>
      <c r="BR373" s="48"/>
      <c r="BS373" s="48"/>
      <c r="BW373" s="48"/>
      <c r="CA373" s="48"/>
      <c r="CE373" s="48"/>
      <c r="CF373" s="48"/>
      <c r="CG373" s="48"/>
      <c r="CH373" s="48"/>
      <c r="CI373" s="48"/>
      <c r="CJ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8"/>
      <c r="DV373" s="48"/>
      <c r="DW373" s="48"/>
      <c r="DX373" s="48"/>
      <c r="DY373" s="48"/>
      <c r="DZ373" s="48"/>
      <c r="EA373" s="48"/>
      <c r="EC373" s="48"/>
      <c r="ED373" s="48"/>
      <c r="EE373" s="48"/>
      <c r="EF373" s="48"/>
      <c r="EG373" s="48"/>
      <c r="EI373" s="48"/>
      <c r="EK373" s="48"/>
      <c r="EM373" s="48"/>
      <c r="EO373" s="48"/>
      <c r="EP373" s="48"/>
      <c r="EU373" s="48"/>
      <c r="EV373" s="48"/>
      <c r="EW373" s="48"/>
      <c r="EX373" s="48"/>
      <c r="EY373" s="48"/>
      <c r="EZ373" s="48"/>
      <c r="FA373" s="48"/>
      <c r="FB373" s="48"/>
      <c r="FC373" s="48"/>
      <c r="FD373" s="48"/>
      <c r="FE373" s="48"/>
      <c r="FF373" s="48"/>
      <c r="FG373" s="48"/>
      <c r="FI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GA373" s="55"/>
      <c r="GE373" s="61"/>
      <c r="GF373" s="62"/>
      <c r="GI373" s="48"/>
    </row>
    <row r="374" spans="1:19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52"/>
      <c r="BF374" s="48"/>
      <c r="BG374" s="48"/>
      <c r="BI374" s="48"/>
      <c r="BN374" s="48"/>
      <c r="BO374" s="48"/>
      <c r="BR374" s="48"/>
      <c r="BS374" s="48"/>
      <c r="BW374" s="48"/>
      <c r="CA374" s="48"/>
      <c r="CE374" s="48"/>
      <c r="CF374" s="48"/>
      <c r="CG374" s="48"/>
      <c r="CH374" s="48"/>
      <c r="CI374" s="48"/>
      <c r="CJ374" s="48"/>
      <c r="CL374" s="48"/>
      <c r="CM374" s="48"/>
      <c r="CN374" s="48"/>
      <c r="CO374" s="48"/>
      <c r="CP374" s="48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  <c r="DE374" s="48"/>
      <c r="DF374" s="48"/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8"/>
      <c r="DV374" s="48"/>
      <c r="DW374" s="48"/>
      <c r="DX374" s="48"/>
      <c r="DY374" s="48"/>
      <c r="DZ374" s="48"/>
      <c r="EA374" s="48"/>
      <c r="EC374" s="48"/>
      <c r="ED374" s="48"/>
      <c r="EE374" s="48"/>
      <c r="EF374" s="48"/>
      <c r="EG374" s="48"/>
      <c r="EI374" s="48"/>
      <c r="EK374" s="48"/>
      <c r="EM374" s="48"/>
      <c r="EO374" s="48"/>
      <c r="EP374" s="48"/>
      <c r="EU374" s="48"/>
      <c r="EV374" s="48"/>
      <c r="EW374" s="48"/>
      <c r="EX374" s="48"/>
      <c r="EY374" s="48"/>
      <c r="EZ374" s="48"/>
      <c r="FA374" s="48"/>
      <c r="FB374" s="48"/>
      <c r="FC374" s="48"/>
      <c r="FD374" s="48"/>
      <c r="FE374" s="48"/>
      <c r="FF374" s="48"/>
      <c r="FG374" s="48"/>
      <c r="FI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GA374" s="55"/>
      <c r="GE374" s="61"/>
      <c r="GF374" s="62"/>
      <c r="GI374" s="48"/>
    </row>
    <row r="375" spans="1:19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52"/>
      <c r="BF375" s="48"/>
      <c r="BG375" s="48"/>
      <c r="BI375" s="48"/>
      <c r="BN375" s="48"/>
      <c r="BO375" s="48"/>
      <c r="BR375" s="48"/>
      <c r="BS375" s="48"/>
      <c r="BW375" s="48"/>
      <c r="CA375" s="48"/>
      <c r="CE375" s="48"/>
      <c r="CF375" s="48"/>
      <c r="CG375" s="48"/>
      <c r="CH375" s="48"/>
      <c r="CI375" s="48"/>
      <c r="CJ375" s="48"/>
      <c r="CL375" s="48"/>
      <c r="CM375" s="48"/>
      <c r="CN375" s="48"/>
      <c r="CO375" s="48"/>
      <c r="CP375" s="48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  <c r="DE375" s="48"/>
      <c r="DF375" s="48"/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8"/>
      <c r="DV375" s="48"/>
      <c r="DW375" s="48"/>
      <c r="DX375" s="48"/>
      <c r="DY375" s="48"/>
      <c r="DZ375" s="48"/>
      <c r="EA375" s="48"/>
      <c r="EC375" s="48"/>
      <c r="ED375" s="48"/>
      <c r="EE375" s="48"/>
      <c r="EF375" s="48"/>
      <c r="EG375" s="48"/>
      <c r="EI375" s="48"/>
      <c r="EK375" s="48"/>
      <c r="EM375" s="48"/>
      <c r="EO375" s="48"/>
      <c r="EP375" s="48"/>
      <c r="EU375" s="48"/>
      <c r="EV375" s="48"/>
      <c r="EW375" s="48"/>
      <c r="EX375" s="48"/>
      <c r="EY375" s="48"/>
      <c r="EZ375" s="48"/>
      <c r="FA375" s="48"/>
      <c r="FB375" s="48"/>
      <c r="FC375" s="48"/>
      <c r="FD375" s="48"/>
      <c r="FE375" s="48"/>
      <c r="FF375" s="48"/>
      <c r="FG375" s="48"/>
      <c r="FI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GA375" s="55"/>
      <c r="GE375" s="61"/>
      <c r="GF375" s="62"/>
      <c r="GI375" s="48"/>
    </row>
    <row r="376" spans="1:19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52"/>
      <c r="BF376" s="48"/>
      <c r="BG376" s="48"/>
      <c r="BI376" s="48"/>
      <c r="BN376" s="48"/>
      <c r="BO376" s="48"/>
      <c r="BR376" s="48"/>
      <c r="BS376" s="48"/>
      <c r="BW376" s="48"/>
      <c r="CA376" s="48"/>
      <c r="CE376" s="48"/>
      <c r="CF376" s="48"/>
      <c r="CG376" s="48"/>
      <c r="CH376" s="48"/>
      <c r="CI376" s="48"/>
      <c r="CJ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8"/>
      <c r="DV376" s="48"/>
      <c r="DW376" s="48"/>
      <c r="DX376" s="48"/>
      <c r="DY376" s="48"/>
      <c r="DZ376" s="48"/>
      <c r="EA376" s="48"/>
      <c r="EC376" s="48"/>
      <c r="ED376" s="48"/>
      <c r="EE376" s="48"/>
      <c r="EF376" s="48"/>
      <c r="EG376" s="48"/>
      <c r="EI376" s="48"/>
      <c r="EK376" s="48"/>
      <c r="EM376" s="48"/>
      <c r="EO376" s="48"/>
      <c r="EP376" s="48"/>
      <c r="EU376" s="48"/>
      <c r="EV376" s="48"/>
      <c r="EW376" s="48"/>
      <c r="EX376" s="48"/>
      <c r="EY376" s="48"/>
      <c r="EZ376" s="48"/>
      <c r="FA376" s="48"/>
      <c r="FB376" s="48"/>
      <c r="FC376" s="48"/>
      <c r="FD376" s="48"/>
      <c r="FE376" s="48"/>
      <c r="FF376" s="48"/>
      <c r="FG376" s="48"/>
      <c r="FI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GA376" s="55"/>
      <c r="GE376" s="61"/>
      <c r="GF376" s="62"/>
      <c r="GI376" s="48"/>
    </row>
    <row r="377" spans="1:19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52"/>
      <c r="BF377" s="48"/>
      <c r="BG377" s="48"/>
      <c r="BI377" s="48"/>
      <c r="BN377" s="48"/>
      <c r="BO377" s="48"/>
      <c r="BR377" s="48"/>
      <c r="BS377" s="48"/>
      <c r="BW377" s="48"/>
      <c r="CA377" s="48"/>
      <c r="CE377" s="48"/>
      <c r="CF377" s="48"/>
      <c r="CG377" s="48"/>
      <c r="CH377" s="48"/>
      <c r="CI377" s="48"/>
      <c r="CJ377" s="48"/>
      <c r="CL377" s="48"/>
      <c r="CM377" s="48"/>
      <c r="CN377" s="48"/>
      <c r="CO377" s="48"/>
      <c r="CP377" s="48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  <c r="DE377" s="48"/>
      <c r="DF377" s="48"/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8"/>
      <c r="DV377" s="48"/>
      <c r="DW377" s="48"/>
      <c r="DX377" s="48"/>
      <c r="DY377" s="48"/>
      <c r="DZ377" s="48"/>
      <c r="EA377" s="48"/>
      <c r="EC377" s="48"/>
      <c r="ED377" s="48"/>
      <c r="EE377" s="48"/>
      <c r="EF377" s="48"/>
      <c r="EG377" s="48"/>
      <c r="EI377" s="48"/>
      <c r="EK377" s="48"/>
      <c r="EM377" s="48"/>
      <c r="EO377" s="48"/>
      <c r="EP377" s="48"/>
      <c r="EU377" s="48"/>
      <c r="EV377" s="48"/>
      <c r="EW377" s="48"/>
      <c r="EX377" s="48"/>
      <c r="EY377" s="48"/>
      <c r="EZ377" s="48"/>
      <c r="FA377" s="48"/>
      <c r="FB377" s="48"/>
      <c r="FC377" s="48"/>
      <c r="FD377" s="48"/>
      <c r="FE377" s="48"/>
      <c r="FF377" s="48"/>
      <c r="FG377" s="48"/>
      <c r="FI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GA377" s="55"/>
      <c r="GE377" s="61"/>
      <c r="GF377" s="62"/>
      <c r="GI377" s="48"/>
    </row>
    <row r="378" spans="1:19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52"/>
      <c r="BF378" s="48"/>
      <c r="BG378" s="48"/>
      <c r="BI378" s="48"/>
      <c r="BN378" s="48"/>
      <c r="BO378" s="48"/>
      <c r="BR378" s="48"/>
      <c r="BS378" s="48"/>
      <c r="BW378" s="48"/>
      <c r="CA378" s="48"/>
      <c r="CE378" s="48"/>
      <c r="CF378" s="48"/>
      <c r="CG378" s="48"/>
      <c r="CH378" s="48"/>
      <c r="CI378" s="48"/>
      <c r="CJ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8"/>
      <c r="DV378" s="48"/>
      <c r="DW378" s="48"/>
      <c r="DX378" s="48"/>
      <c r="DY378" s="48"/>
      <c r="DZ378" s="48"/>
      <c r="EA378" s="48"/>
      <c r="EC378" s="48"/>
      <c r="ED378" s="48"/>
      <c r="EE378" s="48"/>
      <c r="EF378" s="48"/>
      <c r="EG378" s="48"/>
      <c r="EI378" s="48"/>
      <c r="EK378" s="48"/>
      <c r="EM378" s="48"/>
      <c r="EO378" s="48"/>
      <c r="EP378" s="48"/>
      <c r="EU378" s="48"/>
      <c r="EV378" s="48"/>
      <c r="EW378" s="48"/>
      <c r="EX378" s="48"/>
      <c r="EY378" s="48"/>
      <c r="EZ378" s="48"/>
      <c r="FA378" s="48"/>
      <c r="FB378" s="48"/>
      <c r="FC378" s="48"/>
      <c r="FD378" s="48"/>
      <c r="FE378" s="48"/>
      <c r="FF378" s="48"/>
      <c r="FG378" s="48"/>
      <c r="FI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GA378" s="55"/>
      <c r="GE378" s="61"/>
      <c r="GF378" s="62"/>
      <c r="GI378" s="48"/>
    </row>
    <row r="379" spans="1:19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52"/>
      <c r="BF379" s="48"/>
      <c r="BG379" s="48"/>
      <c r="BI379" s="48"/>
      <c r="BN379" s="48"/>
      <c r="BO379" s="48"/>
      <c r="BR379" s="48"/>
      <c r="BS379" s="48"/>
      <c r="BW379" s="48"/>
      <c r="CA379" s="48"/>
      <c r="CE379" s="48"/>
      <c r="CF379" s="48"/>
      <c r="CG379" s="48"/>
      <c r="CH379" s="48"/>
      <c r="CI379" s="48"/>
      <c r="CJ379" s="48"/>
      <c r="CL379" s="48"/>
      <c r="CM379" s="48"/>
      <c r="CN379" s="48"/>
      <c r="CO379" s="48"/>
      <c r="CP379" s="48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8"/>
      <c r="DV379" s="48"/>
      <c r="DW379" s="48"/>
      <c r="DX379" s="48"/>
      <c r="DY379" s="48"/>
      <c r="DZ379" s="48"/>
      <c r="EA379" s="48"/>
      <c r="EC379" s="48"/>
      <c r="ED379" s="48"/>
      <c r="EE379" s="48"/>
      <c r="EF379" s="48"/>
      <c r="EG379" s="48"/>
      <c r="EI379" s="48"/>
      <c r="EK379" s="48"/>
      <c r="EM379" s="48"/>
      <c r="EO379" s="48"/>
      <c r="EP379" s="48"/>
      <c r="EU379" s="48"/>
      <c r="EV379" s="48"/>
      <c r="EW379" s="48"/>
      <c r="EX379" s="48"/>
      <c r="EY379" s="48"/>
      <c r="EZ379" s="48"/>
      <c r="FA379" s="48"/>
      <c r="FB379" s="48"/>
      <c r="FC379" s="48"/>
      <c r="FD379" s="48"/>
      <c r="FE379" s="48"/>
      <c r="FF379" s="48"/>
      <c r="FG379" s="48"/>
      <c r="FI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GA379" s="55"/>
      <c r="GE379" s="61"/>
      <c r="GF379" s="62"/>
      <c r="GI379" s="48"/>
    </row>
    <row r="380" spans="1:19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52"/>
      <c r="BF380" s="48"/>
      <c r="BG380" s="48"/>
      <c r="BI380" s="48"/>
      <c r="BN380" s="48"/>
      <c r="BO380" s="48"/>
      <c r="BR380" s="48"/>
      <c r="BS380" s="48"/>
      <c r="BW380" s="48"/>
      <c r="CA380" s="48"/>
      <c r="CE380" s="48"/>
      <c r="CF380" s="48"/>
      <c r="CG380" s="48"/>
      <c r="CH380" s="48"/>
      <c r="CI380" s="48"/>
      <c r="CJ380" s="48"/>
      <c r="CL380" s="48"/>
      <c r="CM380" s="48"/>
      <c r="CN380" s="48"/>
      <c r="CO380" s="48"/>
      <c r="CP380" s="48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8"/>
      <c r="DV380" s="48"/>
      <c r="DW380" s="48"/>
      <c r="DX380" s="48"/>
      <c r="DY380" s="48"/>
      <c r="DZ380" s="48"/>
      <c r="EA380" s="48"/>
      <c r="EC380" s="48"/>
      <c r="ED380" s="48"/>
      <c r="EE380" s="48"/>
      <c r="EF380" s="48"/>
      <c r="EG380" s="48"/>
      <c r="EI380" s="48"/>
      <c r="EK380" s="48"/>
      <c r="EM380" s="48"/>
      <c r="EO380" s="48"/>
      <c r="EP380" s="48"/>
      <c r="EU380" s="48"/>
      <c r="EV380" s="48"/>
      <c r="EW380" s="48"/>
      <c r="EX380" s="48"/>
      <c r="EY380" s="48"/>
      <c r="EZ380" s="48"/>
      <c r="FA380" s="48"/>
      <c r="FB380" s="48"/>
      <c r="FC380" s="48"/>
      <c r="FD380" s="48"/>
      <c r="FE380" s="48"/>
      <c r="FF380" s="48"/>
      <c r="FG380" s="48"/>
      <c r="FI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GA380" s="55"/>
      <c r="GE380" s="61"/>
      <c r="GF380" s="62"/>
      <c r="GI380" s="48"/>
    </row>
    <row r="381" spans="1:19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52"/>
      <c r="BF381" s="48"/>
      <c r="BG381" s="48"/>
      <c r="BI381" s="48"/>
      <c r="BN381" s="48"/>
      <c r="BO381" s="48"/>
      <c r="BR381" s="48"/>
      <c r="BS381" s="48"/>
      <c r="BW381" s="48"/>
      <c r="CA381" s="48"/>
      <c r="CE381" s="48"/>
      <c r="CF381" s="48"/>
      <c r="CG381" s="48"/>
      <c r="CH381" s="48"/>
      <c r="CI381" s="48"/>
      <c r="CJ381" s="48"/>
      <c r="CL381" s="48"/>
      <c r="CM381" s="48"/>
      <c r="CN381" s="48"/>
      <c r="CO381" s="48"/>
      <c r="CP381" s="48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  <c r="DE381" s="48"/>
      <c r="DF381" s="48"/>
      <c r="DG381" s="48"/>
      <c r="DH381" s="48"/>
      <c r="DI381" s="48"/>
      <c r="DJ381" s="48"/>
      <c r="DK381" s="48"/>
      <c r="DL381" s="48"/>
      <c r="DM381" s="48"/>
      <c r="DN381" s="48"/>
      <c r="DO381" s="48"/>
      <c r="DP381" s="48"/>
      <c r="DQ381" s="48"/>
      <c r="DR381" s="48"/>
      <c r="DS381" s="48"/>
      <c r="DT381" s="48"/>
      <c r="DU381" s="48"/>
      <c r="DV381" s="48"/>
      <c r="DW381" s="48"/>
      <c r="DX381" s="48"/>
      <c r="DY381" s="48"/>
      <c r="DZ381" s="48"/>
      <c r="EA381" s="48"/>
      <c r="EC381" s="48"/>
      <c r="ED381" s="48"/>
      <c r="EE381" s="48"/>
      <c r="EF381" s="48"/>
      <c r="EG381" s="48"/>
      <c r="EI381" s="48"/>
      <c r="EK381" s="48"/>
      <c r="EM381" s="48"/>
      <c r="EO381" s="48"/>
      <c r="EP381" s="48"/>
      <c r="EU381" s="48"/>
      <c r="EV381" s="48"/>
      <c r="EW381" s="48"/>
      <c r="EX381" s="48"/>
      <c r="EY381" s="48"/>
      <c r="EZ381" s="48"/>
      <c r="FA381" s="48"/>
      <c r="FB381" s="48"/>
      <c r="FC381" s="48"/>
      <c r="FD381" s="48"/>
      <c r="FE381" s="48"/>
      <c r="FF381" s="48"/>
      <c r="FG381" s="48"/>
      <c r="FI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GA381" s="55"/>
      <c r="GE381" s="61"/>
      <c r="GF381" s="62"/>
      <c r="GI381" s="48"/>
    </row>
    <row r="382" spans="1:19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52"/>
      <c r="BF382" s="48"/>
      <c r="BG382" s="48"/>
      <c r="BI382" s="48"/>
      <c r="BN382" s="48"/>
      <c r="BO382" s="48"/>
      <c r="BR382" s="48"/>
      <c r="BS382" s="48"/>
      <c r="BW382" s="48"/>
      <c r="CA382" s="48"/>
      <c r="CE382" s="48"/>
      <c r="CF382" s="48"/>
      <c r="CG382" s="48"/>
      <c r="CH382" s="48"/>
      <c r="CI382" s="48"/>
      <c r="CJ382" s="48"/>
      <c r="CL382" s="48"/>
      <c r="CM382" s="48"/>
      <c r="CN382" s="48"/>
      <c r="CO382" s="48"/>
      <c r="CP382" s="48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8"/>
      <c r="DN382" s="48"/>
      <c r="DO382" s="48"/>
      <c r="DP382" s="48"/>
      <c r="DQ382" s="48"/>
      <c r="DR382" s="48"/>
      <c r="DS382" s="48"/>
      <c r="DT382" s="48"/>
      <c r="DU382" s="48"/>
      <c r="DV382" s="48"/>
      <c r="DW382" s="48"/>
      <c r="DX382" s="48"/>
      <c r="DY382" s="48"/>
      <c r="DZ382" s="48"/>
      <c r="EA382" s="48"/>
      <c r="EC382" s="48"/>
      <c r="ED382" s="48"/>
      <c r="EE382" s="48"/>
      <c r="EF382" s="48"/>
      <c r="EG382" s="48"/>
      <c r="EI382" s="48"/>
      <c r="EK382" s="48"/>
      <c r="EM382" s="48"/>
      <c r="EO382" s="48"/>
      <c r="EP382" s="48"/>
      <c r="EU382" s="48"/>
      <c r="EV382" s="48"/>
      <c r="EW382" s="48"/>
      <c r="EX382" s="48"/>
      <c r="EY382" s="48"/>
      <c r="EZ382" s="48"/>
      <c r="FA382" s="48"/>
      <c r="FB382" s="48"/>
      <c r="FC382" s="48"/>
      <c r="FD382" s="48"/>
      <c r="FE382" s="48"/>
      <c r="FF382" s="48"/>
      <c r="FG382" s="48"/>
      <c r="FI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GA382" s="55"/>
      <c r="GE382" s="61"/>
      <c r="GF382" s="62"/>
      <c r="GI382" s="48"/>
    </row>
    <row r="383" spans="1:19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52"/>
      <c r="BF383" s="48"/>
      <c r="BG383" s="48"/>
      <c r="BI383" s="48"/>
      <c r="BN383" s="48"/>
      <c r="BO383" s="48"/>
      <c r="BR383" s="48"/>
      <c r="BS383" s="48"/>
      <c r="BW383" s="48"/>
      <c r="CA383" s="48"/>
      <c r="CE383" s="48"/>
      <c r="CF383" s="48"/>
      <c r="CG383" s="48"/>
      <c r="CH383" s="48"/>
      <c r="CI383" s="48"/>
      <c r="CJ383" s="48"/>
      <c r="CL383" s="48"/>
      <c r="CM383" s="48"/>
      <c r="CN383" s="48"/>
      <c r="CO383" s="48"/>
      <c r="CP383" s="48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  <c r="DE383" s="48"/>
      <c r="DF383" s="48"/>
      <c r="DG383" s="48"/>
      <c r="DH383" s="48"/>
      <c r="DI383" s="48"/>
      <c r="DJ383" s="48"/>
      <c r="DK383" s="48"/>
      <c r="DL383" s="48"/>
      <c r="DM383" s="48"/>
      <c r="DN383" s="48"/>
      <c r="DO383" s="48"/>
      <c r="DP383" s="48"/>
      <c r="DQ383" s="48"/>
      <c r="DR383" s="48"/>
      <c r="DS383" s="48"/>
      <c r="DT383" s="48"/>
      <c r="DU383" s="48"/>
      <c r="DV383" s="48"/>
      <c r="DW383" s="48"/>
      <c r="DX383" s="48"/>
      <c r="DY383" s="48"/>
      <c r="DZ383" s="48"/>
      <c r="EA383" s="48"/>
      <c r="EC383" s="48"/>
      <c r="ED383" s="48"/>
      <c r="EE383" s="48"/>
      <c r="EF383" s="48"/>
      <c r="EG383" s="48"/>
      <c r="EI383" s="48"/>
      <c r="EK383" s="48"/>
      <c r="EM383" s="48"/>
      <c r="EO383" s="48"/>
      <c r="EP383" s="48"/>
      <c r="EU383" s="48"/>
      <c r="EV383" s="48"/>
      <c r="EW383" s="48"/>
      <c r="EX383" s="48"/>
      <c r="EY383" s="48"/>
      <c r="EZ383" s="48"/>
      <c r="FA383" s="48"/>
      <c r="FB383" s="48"/>
      <c r="FC383" s="48"/>
      <c r="FD383" s="48"/>
      <c r="FE383" s="48"/>
      <c r="FF383" s="48"/>
      <c r="FG383" s="48"/>
      <c r="FI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GA383" s="55"/>
      <c r="GE383" s="61"/>
      <c r="GF383" s="62"/>
      <c r="GI383" s="48"/>
    </row>
    <row r="384" spans="1:19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52"/>
      <c r="BF384" s="48"/>
      <c r="BG384" s="48"/>
      <c r="BI384" s="48"/>
      <c r="BN384" s="48"/>
      <c r="BO384" s="48"/>
      <c r="BR384" s="48"/>
      <c r="BS384" s="48"/>
      <c r="BW384" s="48"/>
      <c r="CA384" s="48"/>
      <c r="CE384" s="48"/>
      <c r="CF384" s="48"/>
      <c r="CG384" s="48"/>
      <c r="CH384" s="48"/>
      <c r="CI384" s="48"/>
      <c r="CJ384" s="48"/>
      <c r="CL384" s="48"/>
      <c r="CM384" s="48"/>
      <c r="CN384" s="48"/>
      <c r="CO384" s="48"/>
      <c r="CP384" s="48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  <c r="DE384" s="48"/>
      <c r="DF384" s="48"/>
      <c r="DG384" s="48"/>
      <c r="DH384" s="48"/>
      <c r="DI384" s="48"/>
      <c r="DJ384" s="48"/>
      <c r="DK384" s="48"/>
      <c r="DL384" s="48"/>
      <c r="DM384" s="48"/>
      <c r="DN384" s="48"/>
      <c r="DO384" s="48"/>
      <c r="DP384" s="48"/>
      <c r="DQ384" s="48"/>
      <c r="DR384" s="48"/>
      <c r="DS384" s="48"/>
      <c r="DT384" s="48"/>
      <c r="DU384" s="48"/>
      <c r="DV384" s="48"/>
      <c r="DW384" s="48"/>
      <c r="DX384" s="48"/>
      <c r="DY384" s="48"/>
      <c r="DZ384" s="48"/>
      <c r="EA384" s="48"/>
      <c r="EC384" s="48"/>
      <c r="ED384" s="48"/>
      <c r="EE384" s="48"/>
      <c r="EF384" s="48"/>
      <c r="EG384" s="48"/>
      <c r="EI384" s="48"/>
      <c r="EK384" s="48"/>
      <c r="EM384" s="48"/>
      <c r="EO384" s="48"/>
      <c r="EP384" s="48"/>
      <c r="EU384" s="48"/>
      <c r="EV384" s="48"/>
      <c r="EW384" s="48"/>
      <c r="EX384" s="48"/>
      <c r="EY384" s="48"/>
      <c r="EZ384" s="48"/>
      <c r="FA384" s="48"/>
      <c r="FB384" s="48"/>
      <c r="FC384" s="48"/>
      <c r="FD384" s="48"/>
      <c r="FE384" s="48"/>
      <c r="FF384" s="48"/>
      <c r="FG384" s="48"/>
      <c r="FI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GA384" s="55"/>
      <c r="GE384" s="61"/>
      <c r="GF384" s="62"/>
      <c r="GI384" s="48"/>
    </row>
    <row r="385" spans="1:19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52"/>
      <c r="BF385" s="48"/>
      <c r="BG385" s="48"/>
      <c r="BI385" s="48"/>
      <c r="BN385" s="48"/>
      <c r="BO385" s="48"/>
      <c r="BR385" s="48"/>
      <c r="BS385" s="48"/>
      <c r="BW385" s="48"/>
      <c r="CA385" s="48"/>
      <c r="CE385" s="48"/>
      <c r="CF385" s="48"/>
      <c r="CG385" s="48"/>
      <c r="CH385" s="48"/>
      <c r="CI385" s="48"/>
      <c r="CJ385" s="48"/>
      <c r="CL385" s="48"/>
      <c r="CM385" s="48"/>
      <c r="CN385" s="48"/>
      <c r="CO385" s="48"/>
      <c r="CP385" s="48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8"/>
      <c r="DV385" s="48"/>
      <c r="DW385" s="48"/>
      <c r="DX385" s="48"/>
      <c r="DY385" s="48"/>
      <c r="DZ385" s="48"/>
      <c r="EA385" s="48"/>
      <c r="EC385" s="48"/>
      <c r="ED385" s="48"/>
      <c r="EE385" s="48"/>
      <c r="EF385" s="48"/>
      <c r="EG385" s="48"/>
      <c r="EI385" s="48"/>
      <c r="EK385" s="48"/>
      <c r="EM385" s="48"/>
      <c r="EO385" s="48"/>
      <c r="EP385" s="48"/>
      <c r="EU385" s="48"/>
      <c r="EV385" s="48"/>
      <c r="EW385" s="48"/>
      <c r="EX385" s="48"/>
      <c r="EY385" s="48"/>
      <c r="EZ385" s="48"/>
      <c r="FA385" s="48"/>
      <c r="FB385" s="48"/>
      <c r="FC385" s="48"/>
      <c r="FD385" s="48"/>
      <c r="FE385" s="48"/>
      <c r="FF385" s="48"/>
      <c r="FG385" s="48"/>
      <c r="FI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GA385" s="55"/>
      <c r="GE385" s="61"/>
      <c r="GF385" s="62"/>
      <c r="GI385" s="48"/>
    </row>
    <row r="386" spans="1:19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52"/>
      <c r="BF386" s="48"/>
      <c r="BG386" s="48"/>
      <c r="BI386" s="48"/>
      <c r="BN386" s="48"/>
      <c r="BO386" s="48"/>
      <c r="BR386" s="48"/>
      <c r="BS386" s="48"/>
      <c r="BW386" s="48"/>
      <c r="CA386" s="48"/>
      <c r="CE386" s="48"/>
      <c r="CF386" s="48"/>
      <c r="CG386" s="48"/>
      <c r="CH386" s="48"/>
      <c r="CI386" s="48"/>
      <c r="CJ386" s="48"/>
      <c r="CL386" s="48"/>
      <c r="CM386" s="48"/>
      <c r="CN386" s="48"/>
      <c r="CO386" s="48"/>
      <c r="CP386" s="48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  <c r="DE386" s="48"/>
      <c r="DF386" s="48"/>
      <c r="DG386" s="48"/>
      <c r="DH386" s="48"/>
      <c r="DI386" s="48"/>
      <c r="DJ386" s="48"/>
      <c r="DK386" s="48"/>
      <c r="DL386" s="48"/>
      <c r="DM386" s="48"/>
      <c r="DN386" s="48"/>
      <c r="DO386" s="48"/>
      <c r="DP386" s="48"/>
      <c r="DQ386" s="48"/>
      <c r="DR386" s="48"/>
      <c r="DS386" s="48"/>
      <c r="DT386" s="48"/>
      <c r="DU386" s="48"/>
      <c r="DV386" s="48"/>
      <c r="DW386" s="48"/>
      <c r="DX386" s="48"/>
      <c r="DY386" s="48"/>
      <c r="DZ386" s="48"/>
      <c r="EA386" s="48"/>
      <c r="EC386" s="48"/>
      <c r="ED386" s="48"/>
      <c r="EE386" s="48"/>
      <c r="EF386" s="48"/>
      <c r="EG386" s="48"/>
      <c r="EI386" s="48"/>
      <c r="EK386" s="48"/>
      <c r="EM386" s="48"/>
      <c r="EO386" s="48"/>
      <c r="EP386" s="48"/>
      <c r="EU386" s="48"/>
      <c r="EV386" s="48"/>
      <c r="EW386" s="48"/>
      <c r="EX386" s="48"/>
      <c r="EY386" s="48"/>
      <c r="EZ386" s="48"/>
      <c r="FA386" s="48"/>
      <c r="FB386" s="48"/>
      <c r="FC386" s="48"/>
      <c r="FD386" s="48"/>
      <c r="FE386" s="48"/>
      <c r="FF386" s="48"/>
      <c r="FG386" s="48"/>
      <c r="FI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GA386" s="55"/>
      <c r="GE386" s="61"/>
      <c r="GF386" s="62"/>
      <c r="GI386" s="48"/>
    </row>
    <row r="387" spans="1:19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52"/>
      <c r="BF387" s="48"/>
      <c r="BG387" s="48"/>
      <c r="BI387" s="48"/>
      <c r="BN387" s="48"/>
      <c r="BO387" s="48"/>
      <c r="BR387" s="48"/>
      <c r="BS387" s="48"/>
      <c r="BW387" s="48"/>
      <c r="CA387" s="48"/>
      <c r="CE387" s="48"/>
      <c r="CF387" s="48"/>
      <c r="CG387" s="48"/>
      <c r="CH387" s="48"/>
      <c r="CI387" s="48"/>
      <c r="CJ387" s="48"/>
      <c r="CL387" s="48"/>
      <c r="CM387" s="48"/>
      <c r="CN387" s="48"/>
      <c r="CO387" s="48"/>
      <c r="CP387" s="48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  <c r="DE387" s="48"/>
      <c r="DF387" s="48"/>
      <c r="DG387" s="48"/>
      <c r="DH387" s="48"/>
      <c r="DI387" s="48"/>
      <c r="DJ387" s="48"/>
      <c r="DK387" s="48"/>
      <c r="DL387" s="48"/>
      <c r="DM387" s="48"/>
      <c r="DN387" s="48"/>
      <c r="DO387" s="48"/>
      <c r="DP387" s="48"/>
      <c r="DQ387" s="48"/>
      <c r="DR387" s="48"/>
      <c r="DS387" s="48"/>
      <c r="DT387" s="48"/>
      <c r="DU387" s="48"/>
      <c r="DV387" s="48"/>
      <c r="DW387" s="48"/>
      <c r="DX387" s="48"/>
      <c r="DY387" s="48"/>
      <c r="DZ387" s="48"/>
      <c r="EA387" s="48"/>
      <c r="EC387" s="48"/>
      <c r="ED387" s="48"/>
      <c r="EE387" s="48"/>
      <c r="EF387" s="48"/>
      <c r="EG387" s="48"/>
      <c r="EI387" s="48"/>
      <c r="EK387" s="48"/>
      <c r="EM387" s="48"/>
      <c r="EO387" s="48"/>
      <c r="EP387" s="48"/>
      <c r="EU387" s="48"/>
      <c r="EV387" s="48"/>
      <c r="EW387" s="48"/>
      <c r="EX387" s="48"/>
      <c r="EY387" s="48"/>
      <c r="EZ387" s="48"/>
      <c r="FA387" s="48"/>
      <c r="FB387" s="48"/>
      <c r="FC387" s="48"/>
      <c r="FD387" s="48"/>
      <c r="FE387" s="48"/>
      <c r="FF387" s="48"/>
      <c r="FG387" s="48"/>
      <c r="FI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GA387" s="55"/>
      <c r="GE387" s="61"/>
      <c r="GF387" s="62"/>
      <c r="GI387" s="48"/>
    </row>
    <row r="388" spans="1:19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52"/>
      <c r="BF388" s="48"/>
      <c r="BG388" s="48"/>
      <c r="BI388" s="48"/>
      <c r="BN388" s="48"/>
      <c r="BO388" s="48"/>
      <c r="BR388" s="48"/>
      <c r="BS388" s="48"/>
      <c r="BW388" s="48"/>
      <c r="CA388" s="48"/>
      <c r="CE388" s="48"/>
      <c r="CF388" s="48"/>
      <c r="CG388" s="48"/>
      <c r="CH388" s="48"/>
      <c r="CI388" s="48"/>
      <c r="CJ388" s="48"/>
      <c r="CL388" s="48"/>
      <c r="CM388" s="48"/>
      <c r="CN388" s="48"/>
      <c r="CO388" s="48"/>
      <c r="CP388" s="48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8"/>
      <c r="DV388" s="48"/>
      <c r="DW388" s="48"/>
      <c r="DX388" s="48"/>
      <c r="DY388" s="48"/>
      <c r="DZ388" s="48"/>
      <c r="EA388" s="48"/>
      <c r="EC388" s="48"/>
      <c r="ED388" s="48"/>
      <c r="EE388" s="48"/>
      <c r="EF388" s="48"/>
      <c r="EG388" s="48"/>
      <c r="EI388" s="48"/>
      <c r="EK388" s="48"/>
      <c r="EM388" s="48"/>
      <c r="EO388" s="48"/>
      <c r="EP388" s="48"/>
      <c r="EU388" s="48"/>
      <c r="EV388" s="48"/>
      <c r="EW388" s="48"/>
      <c r="EX388" s="48"/>
      <c r="EY388" s="48"/>
      <c r="EZ388" s="48"/>
      <c r="FA388" s="48"/>
      <c r="FB388" s="48"/>
      <c r="FC388" s="48"/>
      <c r="FD388" s="48"/>
      <c r="FE388" s="48"/>
      <c r="FF388" s="48"/>
      <c r="FG388" s="48"/>
      <c r="FI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GA388" s="55"/>
      <c r="GE388" s="61"/>
      <c r="GF388" s="62"/>
      <c r="GI388" s="48"/>
    </row>
    <row r="389" spans="1:19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52"/>
      <c r="BF389" s="48"/>
      <c r="BG389" s="48"/>
      <c r="BI389" s="48"/>
      <c r="BN389" s="48"/>
      <c r="BO389" s="48"/>
      <c r="BR389" s="48"/>
      <c r="BS389" s="48"/>
      <c r="BW389" s="48"/>
      <c r="CA389" s="48"/>
      <c r="CE389" s="48"/>
      <c r="CF389" s="48"/>
      <c r="CG389" s="48"/>
      <c r="CH389" s="48"/>
      <c r="CI389" s="48"/>
      <c r="CJ389" s="48"/>
      <c r="CL389" s="48"/>
      <c r="CM389" s="48"/>
      <c r="CN389" s="48"/>
      <c r="CO389" s="48"/>
      <c r="CP389" s="48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8"/>
      <c r="DV389" s="48"/>
      <c r="DW389" s="48"/>
      <c r="DX389" s="48"/>
      <c r="DY389" s="48"/>
      <c r="DZ389" s="48"/>
      <c r="EA389" s="48"/>
      <c r="EC389" s="48"/>
      <c r="ED389" s="48"/>
      <c r="EE389" s="48"/>
      <c r="EF389" s="48"/>
      <c r="EG389" s="48"/>
      <c r="EI389" s="48"/>
      <c r="EK389" s="48"/>
      <c r="EM389" s="48"/>
      <c r="EO389" s="48"/>
      <c r="EP389" s="48"/>
      <c r="EU389" s="48"/>
      <c r="EV389" s="48"/>
      <c r="EW389" s="48"/>
      <c r="EX389" s="48"/>
      <c r="EY389" s="48"/>
      <c r="EZ389" s="48"/>
      <c r="FA389" s="48"/>
      <c r="FB389" s="48"/>
      <c r="FC389" s="48"/>
      <c r="FD389" s="48"/>
      <c r="FE389" s="48"/>
      <c r="FF389" s="48"/>
      <c r="FG389" s="48"/>
      <c r="FI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GA389" s="55"/>
      <c r="GI389" s="64"/>
    </row>
    <row r="390" spans="1:19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52"/>
      <c r="BF390" s="48"/>
      <c r="BG390" s="48"/>
      <c r="BI390" s="48"/>
      <c r="BN390" s="48"/>
      <c r="BO390" s="48"/>
      <c r="BR390" s="48"/>
      <c r="BS390" s="48"/>
      <c r="BW390" s="48"/>
      <c r="CA390" s="48"/>
      <c r="CE390" s="48"/>
      <c r="CF390" s="48"/>
      <c r="CG390" s="48"/>
      <c r="CH390" s="48"/>
      <c r="CI390" s="48"/>
      <c r="CJ390" s="48"/>
      <c r="CL390" s="48"/>
      <c r="CM390" s="48"/>
      <c r="CN390" s="48"/>
      <c r="CO390" s="48"/>
      <c r="CP390" s="48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  <c r="DE390" s="48"/>
      <c r="DF390" s="48"/>
      <c r="DG390" s="48"/>
      <c r="DH390" s="48"/>
      <c r="DI390" s="48"/>
      <c r="DJ390" s="48"/>
      <c r="DK390" s="48"/>
      <c r="DL390" s="48"/>
      <c r="DM390" s="48"/>
      <c r="DN390" s="48"/>
      <c r="DO390" s="48"/>
      <c r="DP390" s="48"/>
      <c r="DQ390" s="48"/>
      <c r="DR390" s="48"/>
      <c r="DS390" s="48"/>
      <c r="DT390" s="48"/>
      <c r="DU390" s="48"/>
      <c r="DV390" s="48"/>
      <c r="DW390" s="48"/>
      <c r="DX390" s="48"/>
      <c r="DY390" s="48"/>
      <c r="DZ390" s="48"/>
      <c r="EA390" s="48"/>
      <c r="EC390" s="48"/>
      <c r="ED390" s="48"/>
      <c r="EE390" s="48"/>
      <c r="EF390" s="48"/>
      <c r="EG390" s="48"/>
      <c r="EI390" s="48"/>
      <c r="EK390" s="48"/>
      <c r="EM390" s="48"/>
      <c r="EO390" s="48"/>
      <c r="EP390" s="48"/>
      <c r="EU390" s="48"/>
      <c r="EV390" s="48"/>
      <c r="EW390" s="48"/>
      <c r="EX390" s="48"/>
      <c r="EY390" s="48"/>
      <c r="EZ390" s="48"/>
      <c r="FA390" s="48"/>
      <c r="FB390" s="48"/>
      <c r="FC390" s="48"/>
      <c r="FD390" s="48"/>
      <c r="FE390" s="48"/>
      <c r="FF390" s="48"/>
      <c r="FG390" s="48"/>
      <c r="FI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GI390" s="64"/>
    </row>
    <row r="391" spans="1:1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52"/>
      <c r="BF391" s="48"/>
      <c r="BG391" s="48"/>
      <c r="BI391" s="48"/>
      <c r="BN391" s="48"/>
      <c r="BO391" s="48"/>
      <c r="BR391" s="48"/>
      <c r="BS391" s="48"/>
      <c r="BW391" s="48"/>
      <c r="CA391" s="48"/>
      <c r="CE391" s="48"/>
      <c r="CF391" s="48"/>
      <c r="CG391" s="48"/>
      <c r="CH391" s="48"/>
      <c r="CI391" s="48"/>
      <c r="CJ391" s="48"/>
      <c r="CL391" s="48"/>
      <c r="CM391" s="48"/>
      <c r="CN391" s="48"/>
      <c r="CO391" s="48"/>
      <c r="CP391" s="48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8"/>
      <c r="DV391" s="48"/>
      <c r="DW391" s="48"/>
      <c r="DX391" s="48"/>
      <c r="DY391" s="48"/>
      <c r="DZ391" s="48"/>
      <c r="EA391" s="48"/>
      <c r="EC391" s="48"/>
      <c r="ED391" s="48"/>
      <c r="EE391" s="48"/>
      <c r="EF391" s="48"/>
      <c r="EG391" s="48"/>
      <c r="EI391" s="48"/>
      <c r="EK391" s="48"/>
      <c r="EM391" s="48"/>
      <c r="EO391" s="48"/>
      <c r="EP391" s="48"/>
      <c r="EU391" s="48"/>
      <c r="EV391" s="48"/>
      <c r="EW391" s="48"/>
      <c r="EX391" s="48"/>
      <c r="EY391" s="48"/>
      <c r="EZ391" s="48"/>
      <c r="FA391" s="48"/>
      <c r="FB391" s="48"/>
      <c r="FC391" s="48"/>
      <c r="FD391" s="48"/>
      <c r="FE391" s="48"/>
      <c r="FF391" s="48"/>
      <c r="FG391" s="48"/>
      <c r="FI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GI391" s="64"/>
    </row>
    <row r="392" spans="1:19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52"/>
      <c r="BF392" s="48"/>
      <c r="BG392" s="48"/>
      <c r="BI392" s="48"/>
      <c r="BN392" s="48"/>
      <c r="BO392" s="48"/>
      <c r="BR392" s="48"/>
      <c r="BS392" s="48"/>
      <c r="BW392" s="48"/>
      <c r="CA392" s="48"/>
      <c r="CE392" s="48"/>
      <c r="CF392" s="48"/>
      <c r="CG392" s="48"/>
      <c r="CH392" s="48"/>
      <c r="CI392" s="48"/>
      <c r="CJ392" s="48"/>
      <c r="CL392" s="48"/>
      <c r="CM392" s="48"/>
      <c r="CN392" s="48"/>
      <c r="CO392" s="48"/>
      <c r="CP392" s="48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8"/>
      <c r="DV392" s="48"/>
      <c r="DW392" s="48"/>
      <c r="DX392" s="48"/>
      <c r="DY392" s="48"/>
      <c r="DZ392" s="48"/>
      <c r="EA392" s="48"/>
      <c r="EC392" s="48"/>
      <c r="ED392" s="48"/>
      <c r="EE392" s="48"/>
      <c r="EF392" s="48"/>
      <c r="EG392" s="48"/>
      <c r="EI392" s="48"/>
      <c r="EK392" s="48"/>
      <c r="EM392" s="48"/>
      <c r="EO392" s="48"/>
      <c r="EP392" s="48"/>
      <c r="EU392" s="48"/>
      <c r="EV392" s="48"/>
      <c r="EW392" s="48"/>
      <c r="EX392" s="48"/>
      <c r="EY392" s="48"/>
      <c r="EZ392" s="48"/>
      <c r="FA392" s="48"/>
      <c r="FB392" s="48"/>
      <c r="FC392" s="48"/>
      <c r="FD392" s="48"/>
      <c r="FE392" s="48"/>
      <c r="FF392" s="48"/>
      <c r="FG392" s="48"/>
      <c r="FI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GI392" s="64"/>
    </row>
    <row r="393" spans="1:19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52"/>
      <c r="BF393" s="48"/>
      <c r="BG393" s="48"/>
      <c r="BI393" s="48"/>
      <c r="BN393" s="48"/>
      <c r="BO393" s="48"/>
      <c r="BR393" s="48"/>
      <c r="BS393" s="48"/>
      <c r="BW393" s="48"/>
      <c r="CA393" s="48"/>
      <c r="CE393" s="48"/>
      <c r="CF393" s="48"/>
      <c r="CG393" s="48"/>
      <c r="CH393" s="48"/>
      <c r="CI393" s="48"/>
      <c r="CJ393" s="48"/>
      <c r="CL393" s="48"/>
      <c r="CM393" s="48"/>
      <c r="CN393" s="48"/>
      <c r="CO393" s="48"/>
      <c r="CP393" s="48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  <c r="DE393" s="48"/>
      <c r="DF393" s="48"/>
      <c r="DG393" s="48"/>
      <c r="DH393" s="48"/>
      <c r="DI393" s="48"/>
      <c r="DJ393" s="48"/>
      <c r="DK393" s="48"/>
      <c r="DL393" s="48"/>
      <c r="DM393" s="48"/>
      <c r="DN393" s="48"/>
      <c r="DO393" s="48"/>
      <c r="DP393" s="48"/>
      <c r="DQ393" s="48"/>
      <c r="DR393" s="48"/>
      <c r="DS393" s="48"/>
      <c r="DT393" s="48"/>
      <c r="DU393" s="48"/>
      <c r="DV393" s="48"/>
      <c r="DW393" s="48"/>
      <c r="DX393" s="48"/>
      <c r="DY393" s="48"/>
      <c r="DZ393" s="48"/>
      <c r="EA393" s="48"/>
      <c r="EC393" s="48"/>
      <c r="ED393" s="48"/>
      <c r="EE393" s="48"/>
      <c r="EF393" s="48"/>
      <c r="EG393" s="48"/>
      <c r="EI393" s="48"/>
      <c r="EK393" s="48"/>
      <c r="EM393" s="48"/>
      <c r="EO393" s="48"/>
      <c r="EP393" s="48"/>
      <c r="EU393" s="48"/>
      <c r="EV393" s="48"/>
      <c r="EW393" s="48"/>
      <c r="EX393" s="48"/>
      <c r="EY393" s="48"/>
      <c r="EZ393" s="48"/>
      <c r="FA393" s="48"/>
      <c r="FB393" s="48"/>
      <c r="FC393" s="48"/>
      <c r="FD393" s="48"/>
      <c r="FE393" s="48"/>
      <c r="FF393" s="48"/>
      <c r="FG393" s="48"/>
      <c r="FI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GI393" s="64"/>
    </row>
    <row r="394" spans="1:19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52"/>
      <c r="BF394" s="48"/>
      <c r="BG394" s="48"/>
      <c r="BI394" s="48"/>
      <c r="BN394" s="48"/>
      <c r="BO394" s="48"/>
      <c r="BR394" s="48"/>
      <c r="BS394" s="48"/>
      <c r="BW394" s="48"/>
      <c r="CA394" s="48"/>
      <c r="CE394" s="48"/>
      <c r="CF394" s="48"/>
      <c r="CG394" s="48"/>
      <c r="CH394" s="48"/>
      <c r="CI394" s="48"/>
      <c r="CJ394" s="48"/>
      <c r="CL394" s="48"/>
      <c r="CM394" s="48"/>
      <c r="CN394" s="48"/>
      <c r="CO394" s="48"/>
      <c r="CP394" s="48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8"/>
      <c r="DV394" s="48"/>
      <c r="DW394" s="48"/>
      <c r="DX394" s="48"/>
      <c r="DY394" s="48"/>
      <c r="DZ394" s="48"/>
      <c r="EA394" s="48"/>
      <c r="EC394" s="48"/>
      <c r="ED394" s="48"/>
      <c r="EE394" s="48"/>
      <c r="EF394" s="48"/>
      <c r="EG394" s="48"/>
      <c r="EI394" s="48"/>
      <c r="EK394" s="48"/>
      <c r="EM394" s="48"/>
      <c r="EO394" s="48"/>
      <c r="EP394" s="48"/>
      <c r="EU394" s="48"/>
      <c r="EV394" s="48"/>
      <c r="EW394" s="48"/>
      <c r="EX394" s="48"/>
      <c r="EY394" s="48"/>
      <c r="EZ394" s="48"/>
      <c r="FA394" s="48"/>
      <c r="FB394" s="48"/>
      <c r="FC394" s="48"/>
      <c r="FD394" s="48"/>
      <c r="FE394" s="48"/>
      <c r="FF394" s="48"/>
      <c r="FG394" s="48"/>
      <c r="FI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GI394" s="64"/>
    </row>
    <row r="395" spans="1:19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52"/>
      <c r="BF395" s="48"/>
      <c r="BG395" s="48"/>
      <c r="BI395" s="48"/>
      <c r="BN395" s="48"/>
      <c r="BO395" s="48"/>
      <c r="BR395" s="48"/>
      <c r="BS395" s="48"/>
      <c r="BW395" s="48"/>
      <c r="CA395" s="48"/>
      <c r="CE395" s="48"/>
      <c r="CF395" s="48"/>
      <c r="CG395" s="48"/>
      <c r="CH395" s="48"/>
      <c r="CI395" s="48"/>
      <c r="CJ395" s="48"/>
      <c r="CL395" s="48"/>
      <c r="CM395" s="48"/>
      <c r="CN395" s="48"/>
      <c r="CO395" s="48"/>
      <c r="CP395" s="48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8"/>
      <c r="DV395" s="48"/>
      <c r="DW395" s="48"/>
      <c r="DX395" s="48"/>
      <c r="DY395" s="48"/>
      <c r="DZ395" s="48"/>
      <c r="EA395" s="48"/>
      <c r="EC395" s="48"/>
      <c r="ED395" s="48"/>
      <c r="EE395" s="48"/>
      <c r="EF395" s="48"/>
      <c r="EG395" s="48"/>
      <c r="EI395" s="48"/>
      <c r="EK395" s="48"/>
      <c r="EM395" s="48"/>
      <c r="EO395" s="48"/>
      <c r="EP395" s="48"/>
      <c r="EU395" s="48"/>
      <c r="EV395" s="48"/>
      <c r="EW395" s="48"/>
      <c r="EX395" s="48"/>
      <c r="EY395" s="48"/>
      <c r="EZ395" s="48"/>
      <c r="FA395" s="48"/>
      <c r="FB395" s="48"/>
      <c r="FC395" s="48"/>
      <c r="FD395" s="48"/>
      <c r="FE395" s="48"/>
      <c r="FF395" s="48"/>
      <c r="FG395" s="48"/>
      <c r="FI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GI395" s="64"/>
    </row>
    <row r="396" spans="1:19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52"/>
      <c r="BF396" s="48"/>
      <c r="BG396" s="48"/>
      <c r="BI396" s="48"/>
      <c r="BN396" s="48"/>
      <c r="BO396" s="48"/>
      <c r="BR396" s="48"/>
      <c r="BS396" s="48"/>
      <c r="BW396" s="48"/>
      <c r="CA396" s="48"/>
      <c r="CE396" s="48"/>
      <c r="CF396" s="48"/>
      <c r="CG396" s="48"/>
      <c r="CH396" s="48"/>
      <c r="CI396" s="48"/>
      <c r="CJ396" s="48"/>
      <c r="CL396" s="48"/>
      <c r="CM396" s="48"/>
      <c r="CN396" s="48"/>
      <c r="CO396" s="48"/>
      <c r="CP396" s="48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8"/>
      <c r="DV396" s="48"/>
      <c r="DW396" s="48"/>
      <c r="DX396" s="48"/>
      <c r="DY396" s="48"/>
      <c r="DZ396" s="48"/>
      <c r="EA396" s="48"/>
      <c r="EC396" s="48"/>
      <c r="ED396" s="48"/>
      <c r="EE396" s="48"/>
      <c r="EF396" s="48"/>
      <c r="EG396" s="48"/>
      <c r="EI396" s="48"/>
      <c r="EK396" s="48"/>
      <c r="EM396" s="48"/>
      <c r="EO396" s="48"/>
      <c r="EP396" s="48"/>
      <c r="EU396" s="48"/>
      <c r="EV396" s="48"/>
      <c r="EW396" s="48"/>
      <c r="EX396" s="48"/>
      <c r="EY396" s="48"/>
      <c r="EZ396" s="48"/>
      <c r="FA396" s="48"/>
      <c r="FB396" s="48"/>
      <c r="FC396" s="48"/>
      <c r="FD396" s="48"/>
      <c r="FE396" s="48"/>
      <c r="FF396" s="48"/>
      <c r="FG396" s="48"/>
      <c r="FI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GI396" s="64"/>
    </row>
    <row r="397" spans="1:19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52"/>
      <c r="BF397" s="48"/>
      <c r="BG397" s="48"/>
      <c r="BI397" s="48"/>
      <c r="BN397" s="48"/>
      <c r="BO397" s="48"/>
      <c r="BR397" s="48"/>
      <c r="BS397" s="48"/>
      <c r="BW397" s="48"/>
      <c r="CA397" s="48"/>
      <c r="CE397" s="48"/>
      <c r="CF397" s="48"/>
      <c r="CG397" s="48"/>
      <c r="CH397" s="48"/>
      <c r="CI397" s="48"/>
      <c r="CJ397" s="48"/>
      <c r="CL397" s="48"/>
      <c r="CM397" s="48"/>
      <c r="CN397" s="48"/>
      <c r="CO397" s="48"/>
      <c r="CP397" s="48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8"/>
      <c r="DN397" s="48"/>
      <c r="DO397" s="48"/>
      <c r="DP397" s="48"/>
      <c r="DQ397" s="48"/>
      <c r="DR397" s="48"/>
      <c r="DS397" s="48"/>
      <c r="DT397" s="48"/>
      <c r="DU397" s="48"/>
      <c r="DV397" s="48"/>
      <c r="DW397" s="48"/>
      <c r="DX397" s="48"/>
      <c r="DY397" s="48"/>
      <c r="DZ397" s="48"/>
      <c r="EA397" s="48"/>
      <c r="EC397" s="48"/>
      <c r="ED397" s="48"/>
      <c r="EE397" s="48"/>
      <c r="EF397" s="48"/>
      <c r="EG397" s="48"/>
      <c r="EI397" s="48"/>
      <c r="EK397" s="48"/>
      <c r="EM397" s="48"/>
      <c r="EO397" s="48"/>
      <c r="EP397" s="48"/>
      <c r="EU397" s="48"/>
      <c r="EV397" s="48"/>
      <c r="EW397" s="48"/>
      <c r="EX397" s="48"/>
      <c r="EY397" s="48"/>
      <c r="EZ397" s="48"/>
      <c r="FA397" s="48"/>
      <c r="FB397" s="48"/>
      <c r="FC397" s="48"/>
      <c r="FD397" s="48"/>
      <c r="FE397" s="48"/>
      <c r="FF397" s="48"/>
      <c r="FG397" s="48"/>
      <c r="FI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GI397" s="64"/>
    </row>
    <row r="398" spans="1:19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52"/>
      <c r="BF398" s="48"/>
      <c r="BG398" s="48"/>
      <c r="BI398" s="48"/>
      <c r="BN398" s="48"/>
      <c r="BO398" s="48"/>
      <c r="BR398" s="48"/>
      <c r="BS398" s="48"/>
      <c r="BW398" s="48"/>
      <c r="CA398" s="48"/>
      <c r="CE398" s="48"/>
      <c r="CF398" s="48"/>
      <c r="CG398" s="48"/>
      <c r="CH398" s="48"/>
      <c r="CI398" s="48"/>
      <c r="CJ398" s="48"/>
      <c r="CL398" s="48"/>
      <c r="CM398" s="48"/>
      <c r="CN398" s="48"/>
      <c r="CO398" s="48"/>
      <c r="CP398" s="48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  <c r="DE398" s="48"/>
      <c r="DF398" s="48"/>
      <c r="DG398" s="48"/>
      <c r="DH398" s="48"/>
      <c r="DI398" s="48"/>
      <c r="DJ398" s="48"/>
      <c r="DK398" s="48"/>
      <c r="DL398" s="48"/>
      <c r="DM398" s="48"/>
      <c r="DN398" s="48"/>
      <c r="DO398" s="48"/>
      <c r="DP398" s="48"/>
      <c r="DQ398" s="48"/>
      <c r="DR398" s="48"/>
      <c r="DS398" s="48"/>
      <c r="DT398" s="48"/>
      <c r="DU398" s="48"/>
      <c r="DV398" s="48"/>
      <c r="DW398" s="48"/>
      <c r="DX398" s="48"/>
      <c r="DY398" s="48"/>
      <c r="DZ398" s="48"/>
      <c r="EA398" s="48"/>
      <c r="EC398" s="48"/>
      <c r="ED398" s="48"/>
      <c r="EE398" s="48"/>
      <c r="EF398" s="48"/>
      <c r="EG398" s="48"/>
      <c r="EI398" s="48"/>
      <c r="EK398" s="48"/>
      <c r="EM398" s="48"/>
      <c r="EO398" s="48"/>
      <c r="EP398" s="48"/>
      <c r="EU398" s="48"/>
      <c r="EV398" s="48"/>
      <c r="EW398" s="48"/>
      <c r="EX398" s="48"/>
      <c r="EY398" s="48"/>
      <c r="EZ398" s="48"/>
      <c r="FA398" s="48"/>
      <c r="FB398" s="48"/>
      <c r="FC398" s="48"/>
      <c r="FD398" s="48"/>
      <c r="FE398" s="48"/>
      <c r="FF398" s="48"/>
      <c r="FG398" s="48"/>
      <c r="FI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GI398" s="64"/>
    </row>
    <row r="399" spans="1:19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52"/>
      <c r="BF399" s="48"/>
      <c r="BG399" s="48"/>
      <c r="BI399" s="48"/>
      <c r="BN399" s="48"/>
      <c r="BO399" s="48"/>
      <c r="BR399" s="48"/>
      <c r="BS399" s="48"/>
      <c r="BW399" s="48"/>
      <c r="CA399" s="48"/>
      <c r="CE399" s="48"/>
      <c r="CF399" s="48"/>
      <c r="CG399" s="48"/>
      <c r="CH399" s="48"/>
      <c r="CI399" s="48"/>
      <c r="CJ399" s="48"/>
      <c r="CL399" s="48"/>
      <c r="CM399" s="48"/>
      <c r="CN399" s="48"/>
      <c r="CO399" s="48"/>
      <c r="CP399" s="48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  <c r="DE399" s="48"/>
      <c r="DF399" s="48"/>
      <c r="DG399" s="48"/>
      <c r="DH399" s="48"/>
      <c r="DI399" s="48"/>
      <c r="DJ399" s="48"/>
      <c r="DK399" s="48"/>
      <c r="DL399" s="48"/>
      <c r="DM399" s="48"/>
      <c r="DN399" s="48"/>
      <c r="DO399" s="48"/>
      <c r="DP399" s="48"/>
      <c r="DQ399" s="48"/>
      <c r="DR399" s="48"/>
      <c r="DS399" s="48"/>
      <c r="DT399" s="48"/>
      <c r="DU399" s="48"/>
      <c r="DV399" s="48"/>
      <c r="DW399" s="48"/>
      <c r="DX399" s="48"/>
      <c r="DY399" s="48"/>
      <c r="DZ399" s="48"/>
      <c r="EA399" s="48"/>
      <c r="EC399" s="48"/>
      <c r="ED399" s="48"/>
      <c r="EE399" s="48"/>
      <c r="EF399" s="48"/>
      <c r="EG399" s="48"/>
      <c r="EI399" s="48"/>
      <c r="EK399" s="48"/>
      <c r="EM399" s="48"/>
      <c r="EO399" s="48"/>
      <c r="EP399" s="48"/>
      <c r="EU399" s="48"/>
      <c r="EV399" s="48"/>
      <c r="EW399" s="48"/>
      <c r="EX399" s="48"/>
      <c r="EY399" s="48"/>
      <c r="EZ399" s="48"/>
      <c r="FA399" s="48"/>
      <c r="FB399" s="48"/>
      <c r="FC399" s="48"/>
      <c r="FD399" s="48"/>
      <c r="FE399" s="48"/>
      <c r="FF399" s="48"/>
      <c r="FG399" s="48"/>
      <c r="FI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GI399" s="64"/>
    </row>
    <row r="400" spans="1:19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52"/>
      <c r="BF400" s="48"/>
      <c r="BG400" s="48"/>
      <c r="BI400" s="48"/>
      <c r="BN400" s="48"/>
      <c r="BO400" s="48"/>
      <c r="BR400" s="48"/>
      <c r="BS400" s="48"/>
      <c r="BW400" s="48"/>
      <c r="CA400" s="48"/>
      <c r="CE400" s="48"/>
      <c r="CF400" s="48"/>
      <c r="CG400" s="48"/>
      <c r="CH400" s="48"/>
      <c r="CI400" s="48"/>
      <c r="CJ400" s="48"/>
      <c r="CL400" s="48"/>
      <c r="CM400" s="48"/>
      <c r="CN400" s="48"/>
      <c r="CO400" s="48"/>
      <c r="CP400" s="48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8"/>
      <c r="DV400" s="48"/>
      <c r="DW400" s="48"/>
      <c r="DX400" s="48"/>
      <c r="DY400" s="48"/>
      <c r="DZ400" s="48"/>
      <c r="EA400" s="48"/>
      <c r="EC400" s="48"/>
      <c r="ED400" s="48"/>
      <c r="EE400" s="48"/>
      <c r="EF400" s="48"/>
      <c r="EG400" s="48"/>
      <c r="EI400" s="48"/>
      <c r="EK400" s="48"/>
      <c r="EM400" s="48"/>
      <c r="EO400" s="48"/>
      <c r="EP400" s="48"/>
      <c r="EU400" s="48"/>
      <c r="EV400" s="48"/>
      <c r="EW400" s="48"/>
      <c r="EX400" s="48"/>
      <c r="EY400" s="48"/>
      <c r="EZ400" s="48"/>
      <c r="FA400" s="48"/>
      <c r="FB400" s="48"/>
      <c r="FC400" s="48"/>
      <c r="FD400" s="48"/>
      <c r="FE400" s="48"/>
      <c r="FF400" s="48"/>
      <c r="FG400" s="48"/>
      <c r="FI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GI400" s="64"/>
    </row>
    <row r="401" spans="1:19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52"/>
      <c r="BF401" s="48"/>
      <c r="BG401" s="48"/>
      <c r="BI401" s="48"/>
      <c r="BN401" s="48"/>
      <c r="BO401" s="48"/>
      <c r="BR401" s="48"/>
      <c r="BS401" s="48"/>
      <c r="BW401" s="48"/>
      <c r="CA401" s="48"/>
      <c r="CE401" s="48"/>
      <c r="CF401" s="48"/>
      <c r="CG401" s="48"/>
      <c r="CH401" s="48"/>
      <c r="CI401" s="48"/>
      <c r="CJ401" s="48"/>
      <c r="CL401" s="48"/>
      <c r="CM401" s="48"/>
      <c r="CN401" s="48"/>
      <c r="CO401" s="48"/>
      <c r="CP401" s="48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8"/>
      <c r="DV401" s="48"/>
      <c r="DW401" s="48"/>
      <c r="DX401" s="48"/>
      <c r="DY401" s="48"/>
      <c r="DZ401" s="48"/>
      <c r="EA401" s="48"/>
      <c r="EC401" s="48"/>
      <c r="ED401" s="48"/>
      <c r="EE401" s="48"/>
      <c r="EF401" s="48"/>
      <c r="EG401" s="48"/>
      <c r="EI401" s="48"/>
      <c r="EK401" s="48"/>
      <c r="EM401" s="48"/>
      <c r="EO401" s="48"/>
      <c r="EP401" s="48"/>
      <c r="EU401" s="48"/>
      <c r="EV401" s="48"/>
      <c r="EW401" s="48"/>
      <c r="EX401" s="48"/>
      <c r="EY401" s="48"/>
      <c r="EZ401" s="48"/>
      <c r="FA401" s="48"/>
      <c r="FB401" s="48"/>
      <c r="FC401" s="48"/>
      <c r="FD401" s="48"/>
      <c r="FE401" s="48"/>
      <c r="FF401" s="48"/>
      <c r="FG401" s="48"/>
      <c r="FI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GI401" s="64"/>
    </row>
    <row r="402" spans="1:19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52"/>
      <c r="BF402" s="48"/>
      <c r="BG402" s="48"/>
      <c r="BI402" s="48"/>
      <c r="BN402" s="48"/>
      <c r="BO402" s="48"/>
      <c r="BR402" s="48"/>
      <c r="BS402" s="48"/>
      <c r="BW402" s="48"/>
      <c r="CA402" s="48"/>
      <c r="CE402" s="48"/>
      <c r="CF402" s="48"/>
      <c r="CG402" s="48"/>
      <c r="CH402" s="48"/>
      <c r="CI402" s="48"/>
      <c r="CJ402" s="48"/>
      <c r="CL402" s="48"/>
      <c r="CM402" s="48"/>
      <c r="CN402" s="48"/>
      <c r="CO402" s="48"/>
      <c r="CP402" s="48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8"/>
      <c r="DV402" s="48"/>
      <c r="DW402" s="48"/>
      <c r="DX402" s="48"/>
      <c r="DY402" s="48"/>
      <c r="DZ402" s="48"/>
      <c r="EA402" s="48"/>
      <c r="EC402" s="48"/>
      <c r="ED402" s="48"/>
      <c r="EE402" s="48"/>
      <c r="EF402" s="48"/>
      <c r="EG402" s="48"/>
      <c r="EI402" s="48"/>
      <c r="EK402" s="48"/>
      <c r="EM402" s="48"/>
      <c r="EO402" s="48"/>
      <c r="EP402" s="48"/>
      <c r="EU402" s="48"/>
      <c r="EV402" s="48"/>
      <c r="EW402" s="48"/>
      <c r="EX402" s="48"/>
      <c r="EY402" s="48"/>
      <c r="EZ402" s="48"/>
      <c r="FA402" s="48"/>
      <c r="FB402" s="48"/>
      <c r="FC402" s="48"/>
      <c r="FD402" s="48"/>
      <c r="FE402" s="48"/>
      <c r="FF402" s="48"/>
      <c r="FG402" s="48"/>
      <c r="FI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GI402" s="64"/>
    </row>
    <row r="403" spans="1:19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52"/>
      <c r="BF403" s="48"/>
      <c r="BG403" s="48"/>
      <c r="BI403" s="48"/>
      <c r="BN403" s="48"/>
      <c r="BO403" s="48"/>
      <c r="BR403" s="48"/>
      <c r="BS403" s="48"/>
      <c r="BW403" s="48"/>
      <c r="CA403" s="48"/>
      <c r="CE403" s="48"/>
      <c r="CF403" s="48"/>
      <c r="CG403" s="48"/>
      <c r="CH403" s="48"/>
      <c r="CI403" s="48"/>
      <c r="CJ403" s="48"/>
      <c r="CL403" s="48"/>
      <c r="CM403" s="48"/>
      <c r="CN403" s="48"/>
      <c r="CO403" s="48"/>
      <c r="CP403" s="48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8"/>
      <c r="DV403" s="48"/>
      <c r="DW403" s="48"/>
      <c r="DX403" s="48"/>
      <c r="DY403" s="48"/>
      <c r="DZ403" s="48"/>
      <c r="EA403" s="48"/>
      <c r="EC403" s="48"/>
      <c r="ED403" s="48"/>
      <c r="EE403" s="48"/>
      <c r="EF403" s="48"/>
      <c r="EG403" s="48"/>
      <c r="EI403" s="48"/>
      <c r="EK403" s="48"/>
      <c r="EM403" s="48"/>
      <c r="EO403" s="48"/>
      <c r="EP403" s="48"/>
      <c r="EU403" s="48"/>
      <c r="EV403" s="48"/>
      <c r="EW403" s="48"/>
      <c r="EX403" s="48"/>
      <c r="EY403" s="48"/>
      <c r="EZ403" s="48"/>
      <c r="FA403" s="48"/>
      <c r="FB403" s="48"/>
      <c r="FC403" s="48"/>
      <c r="FD403" s="48"/>
      <c r="FE403" s="48"/>
      <c r="FF403" s="48"/>
      <c r="FG403" s="48"/>
      <c r="FI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GI403" s="64"/>
    </row>
    <row r="404" spans="1:19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52"/>
      <c r="BF404" s="48"/>
      <c r="BG404" s="48"/>
      <c r="BI404" s="48"/>
      <c r="BN404" s="48"/>
      <c r="BO404" s="48"/>
      <c r="BR404" s="48"/>
      <c r="BS404" s="48"/>
      <c r="BW404" s="48"/>
      <c r="CA404" s="48"/>
      <c r="CE404" s="48"/>
      <c r="CF404" s="48"/>
      <c r="CG404" s="48"/>
      <c r="CH404" s="48"/>
      <c r="CI404" s="48"/>
      <c r="CJ404" s="48"/>
      <c r="CL404" s="48"/>
      <c r="CM404" s="48"/>
      <c r="CN404" s="48"/>
      <c r="CO404" s="48"/>
      <c r="CP404" s="48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  <c r="DE404" s="48"/>
      <c r="DF404" s="48"/>
      <c r="DG404" s="48"/>
      <c r="DH404" s="48"/>
      <c r="DI404" s="48"/>
      <c r="DJ404" s="48"/>
      <c r="DK404" s="48"/>
      <c r="DL404" s="48"/>
      <c r="DM404" s="48"/>
      <c r="DN404" s="48"/>
      <c r="DO404" s="48"/>
      <c r="DP404" s="48"/>
      <c r="DQ404" s="48"/>
      <c r="DR404" s="48"/>
      <c r="DS404" s="48"/>
      <c r="DT404" s="48"/>
      <c r="DU404" s="48"/>
      <c r="DV404" s="48"/>
      <c r="DW404" s="48"/>
      <c r="DX404" s="48"/>
      <c r="DY404" s="48"/>
      <c r="DZ404" s="48"/>
      <c r="EA404" s="48"/>
      <c r="EC404" s="48"/>
      <c r="ED404" s="48"/>
      <c r="EE404" s="48"/>
      <c r="EF404" s="48"/>
      <c r="EG404" s="48"/>
      <c r="EI404" s="48"/>
      <c r="EK404" s="48"/>
      <c r="EM404" s="48"/>
      <c r="EO404" s="48"/>
      <c r="EP404" s="48"/>
      <c r="EU404" s="48"/>
      <c r="EV404" s="48"/>
      <c r="EW404" s="48"/>
      <c r="EX404" s="48"/>
      <c r="EY404" s="48"/>
      <c r="EZ404" s="48"/>
      <c r="FA404" s="48"/>
      <c r="FB404" s="48"/>
      <c r="FC404" s="48"/>
      <c r="FD404" s="48"/>
      <c r="FE404" s="48"/>
      <c r="FF404" s="48"/>
      <c r="FG404" s="48"/>
      <c r="FI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GI404" s="64"/>
    </row>
    <row r="405" spans="1:19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52"/>
      <c r="BF405" s="48"/>
      <c r="BG405" s="48"/>
      <c r="BI405" s="48"/>
      <c r="BN405" s="48"/>
      <c r="BO405" s="48"/>
      <c r="BR405" s="48"/>
      <c r="BS405" s="48"/>
      <c r="BW405" s="48"/>
      <c r="CA405" s="48"/>
      <c r="CE405" s="48"/>
      <c r="CF405" s="48"/>
      <c r="CG405" s="48"/>
      <c r="CH405" s="48"/>
      <c r="CI405" s="48"/>
      <c r="CJ405" s="48"/>
      <c r="CL405" s="48"/>
      <c r="CM405" s="48"/>
      <c r="CN405" s="48"/>
      <c r="CO405" s="48"/>
      <c r="CP405" s="48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  <c r="DE405" s="48"/>
      <c r="DF405" s="48"/>
      <c r="DG405" s="48"/>
      <c r="DH405" s="48"/>
      <c r="DI405" s="48"/>
      <c r="DJ405" s="48"/>
      <c r="DK405" s="48"/>
      <c r="DL405" s="48"/>
      <c r="DM405" s="48"/>
      <c r="DN405" s="48"/>
      <c r="DO405" s="48"/>
      <c r="DP405" s="48"/>
      <c r="DQ405" s="48"/>
      <c r="DR405" s="48"/>
      <c r="DS405" s="48"/>
      <c r="DT405" s="48"/>
      <c r="DU405" s="48"/>
      <c r="DV405" s="48"/>
      <c r="DW405" s="48"/>
      <c r="DX405" s="48"/>
      <c r="DY405" s="48"/>
      <c r="DZ405" s="48"/>
      <c r="EA405" s="48"/>
      <c r="EC405" s="48"/>
      <c r="ED405" s="48"/>
      <c r="EE405" s="48"/>
      <c r="EF405" s="48"/>
      <c r="EG405" s="48"/>
      <c r="EI405" s="48"/>
      <c r="EK405" s="48"/>
      <c r="EM405" s="48"/>
      <c r="EO405" s="48"/>
      <c r="EP405" s="48"/>
      <c r="EU405" s="48"/>
      <c r="EV405" s="48"/>
      <c r="EW405" s="48"/>
      <c r="EX405" s="48"/>
      <c r="EY405" s="48"/>
      <c r="EZ405" s="48"/>
      <c r="FA405" s="48"/>
      <c r="FB405" s="48"/>
      <c r="FC405" s="48"/>
      <c r="FD405" s="48"/>
      <c r="FE405" s="48"/>
      <c r="FF405" s="48"/>
      <c r="FG405" s="48"/>
      <c r="FI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GI405" s="64"/>
    </row>
    <row r="406" spans="1:19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52"/>
      <c r="BF406" s="48"/>
      <c r="BG406" s="48"/>
      <c r="BI406" s="48"/>
      <c r="BN406" s="48"/>
      <c r="BO406" s="48"/>
      <c r="BR406" s="48"/>
      <c r="BS406" s="48"/>
      <c r="BW406" s="48"/>
      <c r="CA406" s="48"/>
      <c r="CE406" s="48"/>
      <c r="CF406" s="48"/>
      <c r="CG406" s="48"/>
      <c r="CH406" s="48"/>
      <c r="CI406" s="48"/>
      <c r="CJ406" s="48"/>
      <c r="CL406" s="48"/>
      <c r="CM406" s="48"/>
      <c r="CN406" s="48"/>
      <c r="CO406" s="48"/>
      <c r="CP406" s="48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8"/>
      <c r="DN406" s="48"/>
      <c r="DO406" s="48"/>
      <c r="DP406" s="48"/>
      <c r="DQ406" s="48"/>
      <c r="DR406" s="48"/>
      <c r="DS406" s="48"/>
      <c r="DT406" s="48"/>
      <c r="DU406" s="48"/>
      <c r="DV406" s="48"/>
      <c r="DW406" s="48"/>
      <c r="DX406" s="48"/>
      <c r="DY406" s="48"/>
      <c r="DZ406" s="48"/>
      <c r="EA406" s="48"/>
      <c r="EC406" s="48"/>
      <c r="ED406" s="48"/>
      <c r="EE406" s="48"/>
      <c r="EF406" s="48"/>
      <c r="EG406" s="48"/>
      <c r="EI406" s="48"/>
      <c r="EK406" s="48"/>
      <c r="EM406" s="48"/>
      <c r="EO406" s="48"/>
      <c r="EP406" s="48"/>
      <c r="EU406" s="48"/>
      <c r="EV406" s="48"/>
      <c r="EW406" s="48"/>
      <c r="EX406" s="48"/>
      <c r="EY406" s="48"/>
      <c r="EZ406" s="48"/>
      <c r="FA406" s="48"/>
      <c r="FB406" s="48"/>
      <c r="FC406" s="48"/>
      <c r="FD406" s="48"/>
      <c r="FE406" s="48"/>
      <c r="FF406" s="48"/>
      <c r="FG406" s="48"/>
      <c r="FI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GI406" s="64"/>
    </row>
    <row r="407" spans="1:19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52"/>
      <c r="BF407" s="48"/>
      <c r="BG407" s="48"/>
      <c r="BI407" s="48"/>
      <c r="BN407" s="48"/>
      <c r="BO407" s="48"/>
      <c r="BR407" s="48"/>
      <c r="BS407" s="48"/>
      <c r="BW407" s="48"/>
      <c r="CA407" s="48"/>
      <c r="CE407" s="48"/>
      <c r="CF407" s="48"/>
      <c r="CG407" s="48"/>
      <c r="CH407" s="48"/>
      <c r="CI407" s="48"/>
      <c r="CJ407" s="48"/>
      <c r="CL407" s="48"/>
      <c r="CM407" s="48"/>
      <c r="CN407" s="48"/>
      <c r="CO407" s="48"/>
      <c r="CP407" s="48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  <c r="DE407" s="48"/>
      <c r="DF407" s="48"/>
      <c r="DG407" s="48"/>
      <c r="DH407" s="48"/>
      <c r="DI407" s="48"/>
      <c r="DJ407" s="48"/>
      <c r="DK407" s="48"/>
      <c r="DL407" s="48"/>
      <c r="DM407" s="48"/>
      <c r="DN407" s="48"/>
      <c r="DO407" s="48"/>
      <c r="DP407" s="48"/>
      <c r="DQ407" s="48"/>
      <c r="DR407" s="48"/>
      <c r="DS407" s="48"/>
      <c r="DT407" s="48"/>
      <c r="DU407" s="48"/>
      <c r="DV407" s="48"/>
      <c r="DW407" s="48"/>
      <c r="DX407" s="48"/>
      <c r="DY407" s="48"/>
      <c r="DZ407" s="48"/>
      <c r="EA407" s="48"/>
      <c r="EC407" s="48"/>
      <c r="ED407" s="48"/>
      <c r="EE407" s="48"/>
      <c r="EF407" s="48"/>
      <c r="EG407" s="48"/>
      <c r="EI407" s="48"/>
      <c r="EK407" s="48"/>
      <c r="EM407" s="48"/>
      <c r="EO407" s="48"/>
      <c r="EP407" s="48"/>
      <c r="EU407" s="48"/>
      <c r="EV407" s="48"/>
      <c r="EW407" s="48"/>
      <c r="EX407" s="48"/>
      <c r="EY407" s="48"/>
      <c r="EZ407" s="48"/>
      <c r="FA407" s="48"/>
      <c r="FB407" s="48"/>
      <c r="FC407" s="48"/>
      <c r="FD407" s="48"/>
      <c r="FE407" s="48"/>
      <c r="FF407" s="48"/>
      <c r="FG407" s="48"/>
      <c r="FI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GI407" s="64"/>
    </row>
    <row r="408" spans="1:19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52"/>
      <c r="BF408" s="48"/>
      <c r="BG408" s="48"/>
      <c r="BI408" s="48"/>
      <c r="BN408" s="48"/>
      <c r="BO408" s="48"/>
      <c r="BR408" s="48"/>
      <c r="BS408" s="48"/>
      <c r="BW408" s="48"/>
      <c r="CA408" s="48"/>
      <c r="CE408" s="48"/>
      <c r="CF408" s="48"/>
      <c r="CG408" s="48"/>
      <c r="CH408" s="48"/>
      <c r="CI408" s="48"/>
      <c r="CJ408" s="48"/>
      <c r="CL408" s="48"/>
      <c r="CM408" s="48"/>
      <c r="CN408" s="48"/>
      <c r="CO408" s="48"/>
      <c r="CP408" s="48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  <c r="DE408" s="48"/>
      <c r="DF408" s="48"/>
      <c r="DG408" s="48"/>
      <c r="DH408" s="48"/>
      <c r="DI408" s="48"/>
      <c r="DJ408" s="48"/>
      <c r="DK408" s="48"/>
      <c r="DL408" s="48"/>
      <c r="DM408" s="48"/>
      <c r="DN408" s="48"/>
      <c r="DO408" s="48"/>
      <c r="DP408" s="48"/>
      <c r="DQ408" s="48"/>
      <c r="DR408" s="48"/>
      <c r="DS408" s="48"/>
      <c r="DT408" s="48"/>
      <c r="DU408" s="48"/>
      <c r="DV408" s="48"/>
      <c r="DW408" s="48"/>
      <c r="DX408" s="48"/>
      <c r="DY408" s="48"/>
      <c r="DZ408" s="48"/>
      <c r="EA408" s="48"/>
      <c r="EC408" s="48"/>
      <c r="ED408" s="48"/>
      <c r="EE408" s="48"/>
      <c r="EF408" s="48"/>
      <c r="EG408" s="48"/>
      <c r="EI408" s="48"/>
      <c r="EK408" s="48"/>
      <c r="EM408" s="48"/>
      <c r="EO408" s="48"/>
      <c r="EP408" s="48"/>
      <c r="EU408" s="48"/>
      <c r="EV408" s="48"/>
      <c r="EW408" s="48"/>
      <c r="EX408" s="48"/>
      <c r="EY408" s="48"/>
      <c r="EZ408" s="48"/>
      <c r="FA408" s="48"/>
      <c r="FB408" s="48"/>
      <c r="FC408" s="48"/>
      <c r="FD408" s="48"/>
      <c r="FE408" s="48"/>
      <c r="FF408" s="48"/>
      <c r="FG408" s="48"/>
      <c r="FI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GI408" s="64"/>
    </row>
    <row r="409" spans="1:19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52"/>
      <c r="BF409" s="48"/>
      <c r="BG409" s="48"/>
      <c r="BI409" s="48"/>
      <c r="BN409" s="48"/>
      <c r="BO409" s="48"/>
      <c r="BR409" s="48"/>
      <c r="BS409" s="48"/>
      <c r="BW409" s="48"/>
      <c r="CA409" s="48"/>
      <c r="CE409" s="48"/>
      <c r="CF409" s="48"/>
      <c r="CG409" s="48"/>
      <c r="CH409" s="48"/>
      <c r="CI409" s="48"/>
      <c r="CJ409" s="48"/>
      <c r="CL409" s="48"/>
      <c r="CM409" s="48"/>
      <c r="CN409" s="48"/>
      <c r="CO409" s="48"/>
      <c r="CP409" s="48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8"/>
      <c r="DV409" s="48"/>
      <c r="DW409" s="48"/>
      <c r="DX409" s="48"/>
      <c r="DY409" s="48"/>
      <c r="DZ409" s="48"/>
      <c r="EA409" s="48"/>
      <c r="EC409" s="48"/>
      <c r="ED409" s="48"/>
      <c r="EE409" s="48"/>
      <c r="EF409" s="48"/>
      <c r="EG409" s="48"/>
      <c r="EI409" s="48"/>
      <c r="EK409" s="48"/>
      <c r="EM409" s="48"/>
      <c r="EO409" s="48"/>
      <c r="EP409" s="48"/>
      <c r="EU409" s="48"/>
      <c r="EV409" s="48"/>
      <c r="EW409" s="48"/>
      <c r="EX409" s="48"/>
      <c r="EY409" s="48"/>
      <c r="EZ409" s="48"/>
      <c r="FA409" s="48"/>
      <c r="FB409" s="48"/>
      <c r="FC409" s="48"/>
      <c r="FD409" s="48"/>
      <c r="FE409" s="48"/>
      <c r="FF409" s="48"/>
      <c r="FG409" s="48"/>
      <c r="FI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GI409" s="64"/>
    </row>
    <row r="410" spans="1:19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52"/>
      <c r="BF410" s="48"/>
      <c r="BG410" s="48"/>
      <c r="BI410" s="48"/>
      <c r="BN410" s="48"/>
      <c r="BO410" s="48"/>
      <c r="BR410" s="48"/>
      <c r="BS410" s="48"/>
      <c r="BW410" s="48"/>
      <c r="CA410" s="48"/>
      <c r="CE410" s="48"/>
      <c r="CF410" s="48"/>
      <c r="CG410" s="48"/>
      <c r="CH410" s="48"/>
      <c r="CI410" s="48"/>
      <c r="CJ410" s="48"/>
      <c r="CL410" s="48"/>
      <c r="CM410" s="48"/>
      <c r="CN410" s="48"/>
      <c r="CO410" s="48"/>
      <c r="CP410" s="48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8"/>
      <c r="DV410" s="48"/>
      <c r="DW410" s="48"/>
      <c r="DX410" s="48"/>
      <c r="DY410" s="48"/>
      <c r="DZ410" s="48"/>
      <c r="EA410" s="48"/>
      <c r="EC410" s="48"/>
      <c r="ED410" s="48"/>
      <c r="EE410" s="48"/>
      <c r="EF410" s="48"/>
      <c r="EG410" s="48"/>
      <c r="EI410" s="48"/>
      <c r="EK410" s="48"/>
      <c r="EM410" s="48"/>
      <c r="EO410" s="48"/>
      <c r="EP410" s="48"/>
      <c r="EU410" s="48"/>
      <c r="EV410" s="48"/>
      <c r="EW410" s="48"/>
      <c r="EX410" s="48"/>
      <c r="EY410" s="48"/>
      <c r="EZ410" s="48"/>
      <c r="FA410" s="48"/>
      <c r="FB410" s="48"/>
      <c r="FC410" s="48"/>
      <c r="FD410" s="48"/>
      <c r="FE410" s="48"/>
      <c r="FF410" s="48"/>
      <c r="FG410" s="48"/>
      <c r="FI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GI410" s="64"/>
    </row>
    <row r="411" spans="1:19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52"/>
      <c r="BF411" s="48"/>
      <c r="BG411" s="48"/>
      <c r="BI411" s="48"/>
      <c r="BN411" s="48"/>
      <c r="BO411" s="48"/>
      <c r="BR411" s="48"/>
      <c r="BS411" s="48"/>
      <c r="BW411" s="48"/>
      <c r="CA411" s="48"/>
      <c r="CE411" s="48"/>
      <c r="CF411" s="48"/>
      <c r="CG411" s="48"/>
      <c r="CH411" s="48"/>
      <c r="CI411" s="48"/>
      <c r="CJ411" s="48"/>
      <c r="CL411" s="48"/>
      <c r="CM411" s="48"/>
      <c r="CN411" s="48"/>
      <c r="CO411" s="48"/>
      <c r="CP411" s="48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  <c r="DE411" s="48"/>
      <c r="DF411" s="48"/>
      <c r="DG411" s="48"/>
      <c r="DH411" s="48"/>
      <c r="DI411" s="48"/>
      <c r="DJ411" s="48"/>
      <c r="DK411" s="48"/>
      <c r="DL411" s="48"/>
      <c r="DM411" s="48"/>
      <c r="DN411" s="48"/>
      <c r="DO411" s="48"/>
      <c r="DP411" s="48"/>
      <c r="DQ411" s="48"/>
      <c r="DR411" s="48"/>
      <c r="DS411" s="48"/>
      <c r="DT411" s="48"/>
      <c r="DU411" s="48"/>
      <c r="DV411" s="48"/>
      <c r="DW411" s="48"/>
      <c r="DX411" s="48"/>
      <c r="DY411" s="48"/>
      <c r="DZ411" s="48"/>
      <c r="EA411" s="48"/>
      <c r="EC411" s="48"/>
      <c r="ED411" s="48"/>
      <c r="EE411" s="48"/>
      <c r="EF411" s="48"/>
      <c r="EG411" s="48"/>
      <c r="EI411" s="48"/>
      <c r="EK411" s="48"/>
      <c r="EM411" s="48"/>
      <c r="EO411" s="48"/>
      <c r="EP411" s="48"/>
      <c r="EU411" s="48"/>
      <c r="EV411" s="48"/>
      <c r="EW411" s="48"/>
      <c r="EX411" s="48"/>
      <c r="EY411" s="48"/>
      <c r="EZ411" s="48"/>
      <c r="FA411" s="48"/>
      <c r="FB411" s="48"/>
      <c r="FC411" s="48"/>
      <c r="FD411" s="48"/>
      <c r="FE411" s="48"/>
      <c r="FF411" s="48"/>
      <c r="FG411" s="48"/>
      <c r="FI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GI411" s="64"/>
    </row>
    <row r="412" spans="1:19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52"/>
      <c r="BF412" s="48"/>
      <c r="BG412" s="48"/>
      <c r="BI412" s="48"/>
      <c r="BN412" s="48"/>
      <c r="BO412" s="48"/>
      <c r="BR412" s="48"/>
      <c r="BS412" s="48"/>
      <c r="BW412" s="48"/>
      <c r="CA412" s="48"/>
      <c r="CE412" s="48"/>
      <c r="CF412" s="48"/>
      <c r="CG412" s="48"/>
      <c r="CH412" s="48"/>
      <c r="CI412" s="48"/>
      <c r="CJ412" s="48"/>
      <c r="CL412" s="48"/>
      <c r="CM412" s="48"/>
      <c r="CN412" s="48"/>
      <c r="CO412" s="48"/>
      <c r="CP412" s="48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8"/>
      <c r="DV412" s="48"/>
      <c r="DW412" s="48"/>
      <c r="DX412" s="48"/>
      <c r="DY412" s="48"/>
      <c r="DZ412" s="48"/>
      <c r="EA412" s="48"/>
      <c r="EC412" s="48"/>
      <c r="ED412" s="48"/>
      <c r="EE412" s="48"/>
      <c r="EF412" s="48"/>
      <c r="EG412" s="48"/>
      <c r="EI412" s="48"/>
      <c r="EK412" s="48"/>
      <c r="EM412" s="48"/>
      <c r="EO412" s="48"/>
      <c r="EP412" s="48"/>
      <c r="EU412" s="48"/>
      <c r="EV412" s="48"/>
      <c r="EW412" s="48"/>
      <c r="EX412" s="48"/>
      <c r="EY412" s="48"/>
      <c r="EZ412" s="48"/>
      <c r="FA412" s="48"/>
      <c r="FB412" s="48"/>
      <c r="FC412" s="48"/>
      <c r="FD412" s="48"/>
      <c r="FE412" s="48"/>
      <c r="FF412" s="48"/>
      <c r="FG412" s="48"/>
      <c r="FI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GI412" s="64"/>
    </row>
    <row r="413" spans="1:19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52"/>
      <c r="BF413" s="48"/>
      <c r="BG413" s="48"/>
      <c r="BI413" s="48"/>
      <c r="BN413" s="48"/>
      <c r="BO413" s="48"/>
      <c r="BR413" s="48"/>
      <c r="BS413" s="48"/>
      <c r="BW413" s="48"/>
      <c r="CA413" s="48"/>
      <c r="CE413" s="48"/>
      <c r="CF413" s="48"/>
      <c r="CG413" s="48"/>
      <c r="CH413" s="48"/>
      <c r="CI413" s="48"/>
      <c r="CJ413" s="48"/>
      <c r="CL413" s="48"/>
      <c r="CM413" s="48"/>
      <c r="CN413" s="48"/>
      <c r="CO413" s="48"/>
      <c r="CP413" s="48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8"/>
      <c r="DV413" s="48"/>
      <c r="DW413" s="48"/>
      <c r="DX413" s="48"/>
      <c r="DY413" s="48"/>
      <c r="DZ413" s="48"/>
      <c r="EA413" s="48"/>
      <c r="EC413" s="48"/>
      <c r="ED413" s="48"/>
      <c r="EE413" s="48"/>
      <c r="EF413" s="48"/>
      <c r="EG413" s="48"/>
      <c r="EI413" s="48"/>
      <c r="EK413" s="48"/>
      <c r="EM413" s="48"/>
      <c r="EO413" s="48"/>
      <c r="EP413" s="48"/>
      <c r="EU413" s="48"/>
      <c r="EV413" s="48"/>
      <c r="EW413" s="48"/>
      <c r="EX413" s="48"/>
      <c r="EY413" s="48"/>
      <c r="EZ413" s="48"/>
      <c r="FA413" s="48"/>
      <c r="FB413" s="48"/>
      <c r="FC413" s="48"/>
      <c r="FD413" s="48"/>
      <c r="FE413" s="48"/>
      <c r="FF413" s="48"/>
      <c r="FG413" s="48"/>
      <c r="FI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GI413" s="64"/>
    </row>
    <row r="414" spans="1:19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52"/>
      <c r="BF414" s="48"/>
      <c r="BG414" s="48"/>
      <c r="BI414" s="48"/>
      <c r="BN414" s="48"/>
      <c r="BO414" s="48"/>
      <c r="BR414" s="48"/>
      <c r="BS414" s="48"/>
      <c r="BW414" s="48"/>
      <c r="CA414" s="48"/>
      <c r="CE414" s="48"/>
      <c r="CF414" s="48"/>
      <c r="CG414" s="48"/>
      <c r="CH414" s="48"/>
      <c r="CI414" s="48"/>
      <c r="CJ414" s="48"/>
      <c r="CL414" s="48"/>
      <c r="CM414" s="48"/>
      <c r="CN414" s="48"/>
      <c r="CO414" s="48"/>
      <c r="CP414" s="48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  <c r="DE414" s="48"/>
      <c r="DF414" s="48"/>
      <c r="DG414" s="48"/>
      <c r="DH414" s="48"/>
      <c r="DI414" s="48"/>
      <c r="DJ414" s="48"/>
      <c r="DK414" s="48"/>
      <c r="DL414" s="48"/>
      <c r="DM414" s="48"/>
      <c r="DN414" s="48"/>
      <c r="DO414" s="48"/>
      <c r="DP414" s="48"/>
      <c r="DQ414" s="48"/>
      <c r="DR414" s="48"/>
      <c r="DS414" s="48"/>
      <c r="DT414" s="48"/>
      <c r="DU414" s="48"/>
      <c r="DV414" s="48"/>
      <c r="DW414" s="48"/>
      <c r="DX414" s="48"/>
      <c r="DY414" s="48"/>
      <c r="DZ414" s="48"/>
      <c r="EA414" s="48"/>
      <c r="EC414" s="48"/>
      <c r="ED414" s="48"/>
      <c r="EE414" s="48"/>
      <c r="EF414" s="48"/>
      <c r="EG414" s="48"/>
      <c r="EI414" s="48"/>
      <c r="EK414" s="48"/>
      <c r="EM414" s="48"/>
      <c r="EO414" s="48"/>
      <c r="EP414" s="48"/>
      <c r="EU414" s="48"/>
      <c r="EV414" s="48"/>
      <c r="EW414" s="48"/>
      <c r="EX414" s="48"/>
      <c r="EY414" s="48"/>
      <c r="EZ414" s="48"/>
      <c r="FA414" s="48"/>
      <c r="FB414" s="48"/>
      <c r="FC414" s="48"/>
      <c r="FD414" s="48"/>
      <c r="FE414" s="48"/>
      <c r="FF414" s="48"/>
      <c r="FG414" s="48"/>
      <c r="FI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GI414" s="64"/>
    </row>
    <row r="415" spans="1:19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52"/>
      <c r="BF415" s="48"/>
      <c r="BG415" s="48"/>
      <c r="BI415" s="48"/>
      <c r="BN415" s="48"/>
      <c r="BO415" s="48"/>
      <c r="BR415" s="48"/>
      <c r="BS415" s="48"/>
      <c r="BW415" s="48"/>
      <c r="CA415" s="48"/>
      <c r="CE415" s="48"/>
      <c r="CF415" s="48"/>
      <c r="CG415" s="48"/>
      <c r="CH415" s="48"/>
      <c r="CI415" s="48"/>
      <c r="CJ415" s="48"/>
      <c r="CL415" s="48"/>
      <c r="CM415" s="48"/>
      <c r="CN415" s="48"/>
      <c r="CO415" s="48"/>
      <c r="CP415" s="48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8"/>
      <c r="DN415" s="48"/>
      <c r="DO415" s="48"/>
      <c r="DP415" s="48"/>
      <c r="DQ415" s="48"/>
      <c r="DR415" s="48"/>
      <c r="DS415" s="48"/>
      <c r="DT415" s="48"/>
      <c r="DU415" s="48"/>
      <c r="DV415" s="48"/>
      <c r="DW415" s="48"/>
      <c r="DX415" s="48"/>
      <c r="DY415" s="48"/>
      <c r="DZ415" s="48"/>
      <c r="EA415" s="48"/>
      <c r="EC415" s="48"/>
      <c r="ED415" s="48"/>
      <c r="EE415" s="48"/>
      <c r="EF415" s="48"/>
      <c r="EG415" s="48"/>
      <c r="EI415" s="48"/>
      <c r="EK415" s="48"/>
      <c r="EM415" s="48"/>
      <c r="EO415" s="48"/>
      <c r="EP415" s="48"/>
      <c r="EU415" s="48"/>
      <c r="EV415" s="48"/>
      <c r="EW415" s="48"/>
      <c r="EX415" s="48"/>
      <c r="EY415" s="48"/>
      <c r="EZ415" s="48"/>
      <c r="FA415" s="48"/>
      <c r="FB415" s="48"/>
      <c r="FC415" s="48"/>
      <c r="FD415" s="48"/>
      <c r="FE415" s="48"/>
      <c r="FF415" s="48"/>
      <c r="FG415" s="48"/>
      <c r="FI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GI415" s="64"/>
    </row>
    <row r="416" spans="1:19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52"/>
      <c r="BF416" s="48"/>
      <c r="BG416" s="48"/>
      <c r="BI416" s="48"/>
      <c r="BN416" s="48"/>
      <c r="BO416" s="48"/>
      <c r="BR416" s="48"/>
      <c r="BS416" s="48"/>
      <c r="BW416" s="48"/>
      <c r="CA416" s="48"/>
      <c r="CE416" s="48"/>
      <c r="CF416" s="48"/>
      <c r="CG416" s="48"/>
      <c r="CH416" s="48"/>
      <c r="CI416" s="48"/>
      <c r="CJ416" s="48"/>
      <c r="CL416" s="48"/>
      <c r="CM416" s="48"/>
      <c r="CN416" s="48"/>
      <c r="CO416" s="48"/>
      <c r="CP416" s="48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8"/>
      <c r="DV416" s="48"/>
      <c r="DW416" s="48"/>
      <c r="DX416" s="48"/>
      <c r="DY416" s="48"/>
      <c r="DZ416" s="48"/>
      <c r="EA416" s="48"/>
      <c r="EC416" s="48"/>
      <c r="ED416" s="48"/>
      <c r="EE416" s="48"/>
      <c r="EF416" s="48"/>
      <c r="EG416" s="48"/>
      <c r="EI416" s="48"/>
      <c r="EK416" s="48"/>
      <c r="EM416" s="48"/>
      <c r="EO416" s="48"/>
      <c r="EP416" s="48"/>
      <c r="EU416" s="48"/>
      <c r="EV416" s="48"/>
      <c r="EW416" s="48"/>
      <c r="EX416" s="48"/>
      <c r="EY416" s="48"/>
      <c r="EZ416" s="48"/>
      <c r="FA416" s="48"/>
      <c r="FB416" s="48"/>
      <c r="FC416" s="48"/>
      <c r="FD416" s="48"/>
      <c r="FE416" s="48"/>
      <c r="FF416" s="48"/>
      <c r="FG416" s="48"/>
      <c r="FI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GI416" s="64"/>
    </row>
    <row r="417" spans="1:19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52"/>
      <c r="BF417" s="48"/>
      <c r="BG417" s="48"/>
      <c r="BI417" s="48"/>
      <c r="BN417" s="48"/>
      <c r="BO417" s="48"/>
      <c r="BR417" s="48"/>
      <c r="BS417" s="48"/>
      <c r="BW417" s="48"/>
      <c r="CA417" s="48"/>
      <c r="CE417" s="48"/>
      <c r="CF417" s="48"/>
      <c r="CG417" s="48"/>
      <c r="CH417" s="48"/>
      <c r="CI417" s="48"/>
      <c r="CJ417" s="48"/>
      <c r="CL417" s="48"/>
      <c r="CM417" s="48"/>
      <c r="CN417" s="48"/>
      <c r="CO417" s="48"/>
      <c r="CP417" s="48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8"/>
      <c r="DV417" s="48"/>
      <c r="DW417" s="48"/>
      <c r="DX417" s="48"/>
      <c r="DY417" s="48"/>
      <c r="DZ417" s="48"/>
      <c r="EA417" s="48"/>
      <c r="EC417" s="48"/>
      <c r="ED417" s="48"/>
      <c r="EE417" s="48"/>
      <c r="EF417" s="48"/>
      <c r="EG417" s="48"/>
      <c r="EI417" s="48"/>
      <c r="EK417" s="48"/>
      <c r="EM417" s="48"/>
      <c r="EO417" s="48"/>
      <c r="EP417" s="48"/>
      <c r="EU417" s="48"/>
      <c r="EV417" s="48"/>
      <c r="EW417" s="48"/>
      <c r="EX417" s="48"/>
      <c r="EY417" s="48"/>
      <c r="EZ417" s="48"/>
      <c r="FA417" s="48"/>
      <c r="FB417" s="48"/>
      <c r="FC417" s="48"/>
      <c r="FD417" s="48"/>
      <c r="FE417" s="48"/>
      <c r="FF417" s="48"/>
      <c r="FG417" s="48"/>
      <c r="FI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GI417" s="64"/>
    </row>
    <row r="418" spans="1:19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52"/>
      <c r="BF418" s="48"/>
      <c r="BG418" s="48"/>
      <c r="BI418" s="48"/>
      <c r="BN418" s="48"/>
      <c r="BO418" s="48"/>
      <c r="BR418" s="48"/>
      <c r="BS418" s="48"/>
      <c r="BW418" s="48"/>
      <c r="CA418" s="48"/>
      <c r="CE418" s="48"/>
      <c r="CF418" s="48"/>
      <c r="CG418" s="48"/>
      <c r="CH418" s="48"/>
      <c r="CI418" s="48"/>
      <c r="CJ418" s="48"/>
      <c r="CL418" s="48"/>
      <c r="CM418" s="48"/>
      <c r="CN418" s="48"/>
      <c r="CO418" s="48"/>
      <c r="CP418" s="48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8"/>
      <c r="DV418" s="48"/>
      <c r="DW418" s="48"/>
      <c r="DX418" s="48"/>
      <c r="DY418" s="48"/>
      <c r="DZ418" s="48"/>
      <c r="EA418" s="48"/>
      <c r="EC418" s="48"/>
      <c r="ED418" s="48"/>
      <c r="EE418" s="48"/>
      <c r="EF418" s="48"/>
      <c r="EG418" s="48"/>
      <c r="EI418" s="48"/>
      <c r="EK418" s="48"/>
      <c r="EM418" s="48"/>
      <c r="EO418" s="48"/>
      <c r="EP418" s="48"/>
      <c r="EU418" s="48"/>
      <c r="EV418" s="48"/>
      <c r="EW418" s="48"/>
      <c r="EX418" s="48"/>
      <c r="EY418" s="48"/>
      <c r="EZ418" s="48"/>
      <c r="FA418" s="48"/>
      <c r="FB418" s="48"/>
      <c r="FC418" s="48"/>
      <c r="FD418" s="48"/>
      <c r="FE418" s="48"/>
      <c r="FF418" s="48"/>
      <c r="FG418" s="48"/>
      <c r="FI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GI418" s="64"/>
    </row>
    <row r="419" spans="1:19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52"/>
      <c r="BF419" s="48"/>
      <c r="BG419" s="48"/>
      <c r="BI419" s="48"/>
      <c r="BN419" s="48"/>
      <c r="BO419" s="48"/>
      <c r="BR419" s="48"/>
      <c r="BS419" s="48"/>
      <c r="BW419" s="48"/>
      <c r="CA419" s="48"/>
      <c r="CE419" s="48"/>
      <c r="CF419" s="48"/>
      <c r="CG419" s="48"/>
      <c r="CH419" s="48"/>
      <c r="CI419" s="48"/>
      <c r="CJ419" s="48"/>
      <c r="CL419" s="48"/>
      <c r="CM419" s="48"/>
      <c r="CN419" s="48"/>
      <c r="CO419" s="48"/>
      <c r="CP419" s="48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  <c r="DE419" s="48"/>
      <c r="DF419" s="48"/>
      <c r="DG419" s="48"/>
      <c r="DH419" s="48"/>
      <c r="DI419" s="48"/>
      <c r="DJ419" s="48"/>
      <c r="DK419" s="48"/>
      <c r="DL419" s="48"/>
      <c r="DM419" s="48"/>
      <c r="DN419" s="48"/>
      <c r="DO419" s="48"/>
      <c r="DP419" s="48"/>
      <c r="DQ419" s="48"/>
      <c r="DR419" s="48"/>
      <c r="DS419" s="48"/>
      <c r="DT419" s="48"/>
      <c r="DU419" s="48"/>
      <c r="DV419" s="48"/>
      <c r="DW419" s="48"/>
      <c r="DX419" s="48"/>
      <c r="DY419" s="48"/>
      <c r="DZ419" s="48"/>
      <c r="EA419" s="48"/>
      <c r="EC419" s="48"/>
      <c r="ED419" s="48"/>
      <c r="EE419" s="48"/>
      <c r="EF419" s="48"/>
      <c r="EG419" s="48"/>
      <c r="EI419" s="48"/>
      <c r="EK419" s="48"/>
      <c r="EM419" s="48"/>
      <c r="EO419" s="48"/>
      <c r="EP419" s="48"/>
      <c r="EU419" s="48"/>
      <c r="EV419" s="48"/>
      <c r="EW419" s="48"/>
      <c r="EX419" s="48"/>
      <c r="EY419" s="48"/>
      <c r="EZ419" s="48"/>
      <c r="FA419" s="48"/>
      <c r="FB419" s="48"/>
      <c r="FC419" s="48"/>
      <c r="FD419" s="48"/>
      <c r="FE419" s="48"/>
      <c r="FF419" s="48"/>
      <c r="FG419" s="48"/>
      <c r="FI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GI419" s="64"/>
    </row>
    <row r="420" spans="1:19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52"/>
      <c r="BF420" s="48"/>
      <c r="BG420" s="48"/>
      <c r="BI420" s="48"/>
      <c r="BN420" s="48"/>
      <c r="BO420" s="48"/>
      <c r="BR420" s="48"/>
      <c r="BS420" s="48"/>
      <c r="BW420" s="48"/>
      <c r="CA420" s="48"/>
      <c r="CE420" s="48"/>
      <c r="CF420" s="48"/>
      <c r="CG420" s="48"/>
      <c r="CH420" s="48"/>
      <c r="CI420" s="48"/>
      <c r="CJ420" s="48"/>
      <c r="CL420" s="48"/>
      <c r="CM420" s="48"/>
      <c r="CN420" s="48"/>
      <c r="CO420" s="48"/>
      <c r="CP420" s="48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  <c r="DE420" s="48"/>
      <c r="DF420" s="48"/>
      <c r="DG420" s="48"/>
      <c r="DH420" s="48"/>
      <c r="DI420" s="48"/>
      <c r="DJ420" s="48"/>
      <c r="DK420" s="48"/>
      <c r="DL420" s="48"/>
      <c r="DM420" s="48"/>
      <c r="DN420" s="48"/>
      <c r="DO420" s="48"/>
      <c r="DP420" s="48"/>
      <c r="DQ420" s="48"/>
      <c r="DR420" s="48"/>
      <c r="DS420" s="48"/>
      <c r="DT420" s="48"/>
      <c r="DU420" s="48"/>
      <c r="DV420" s="48"/>
      <c r="DW420" s="48"/>
      <c r="DX420" s="48"/>
      <c r="DY420" s="48"/>
      <c r="DZ420" s="48"/>
      <c r="EA420" s="48"/>
      <c r="EC420" s="48"/>
      <c r="ED420" s="48"/>
      <c r="EE420" s="48"/>
      <c r="EF420" s="48"/>
      <c r="EG420" s="48"/>
      <c r="EI420" s="48"/>
      <c r="EK420" s="48"/>
      <c r="EM420" s="48"/>
      <c r="EO420" s="48"/>
      <c r="EP420" s="48"/>
      <c r="EU420" s="48"/>
      <c r="EV420" s="48"/>
      <c r="EW420" s="48"/>
      <c r="EX420" s="48"/>
      <c r="EY420" s="48"/>
      <c r="EZ420" s="48"/>
      <c r="FA420" s="48"/>
      <c r="FB420" s="48"/>
      <c r="FC420" s="48"/>
      <c r="FD420" s="48"/>
      <c r="FE420" s="48"/>
      <c r="FF420" s="48"/>
      <c r="FG420" s="48"/>
      <c r="FI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GI420" s="64"/>
    </row>
    <row r="421" spans="1:19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52"/>
      <c r="BF421" s="48"/>
      <c r="BG421" s="48"/>
      <c r="BI421" s="48"/>
      <c r="BN421" s="48"/>
      <c r="BO421" s="48"/>
      <c r="BR421" s="48"/>
      <c r="BS421" s="48"/>
      <c r="BW421" s="48"/>
      <c r="CA421" s="48"/>
      <c r="CE421" s="48"/>
      <c r="CF421" s="48"/>
      <c r="CG421" s="48"/>
      <c r="CH421" s="48"/>
      <c r="CI421" s="48"/>
      <c r="CJ421" s="48"/>
      <c r="CL421" s="48"/>
      <c r="CM421" s="48"/>
      <c r="CN421" s="48"/>
      <c r="CO421" s="48"/>
      <c r="CP421" s="48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8"/>
      <c r="DV421" s="48"/>
      <c r="DW421" s="48"/>
      <c r="DX421" s="48"/>
      <c r="DY421" s="48"/>
      <c r="DZ421" s="48"/>
      <c r="EA421" s="48"/>
      <c r="EC421" s="48"/>
      <c r="ED421" s="48"/>
      <c r="EE421" s="48"/>
      <c r="EF421" s="48"/>
      <c r="EG421" s="48"/>
      <c r="EI421" s="48"/>
      <c r="EK421" s="48"/>
      <c r="EM421" s="48"/>
      <c r="EO421" s="48"/>
      <c r="EP421" s="48"/>
      <c r="EU421" s="48"/>
      <c r="EV421" s="48"/>
      <c r="EW421" s="48"/>
      <c r="EX421" s="48"/>
      <c r="EY421" s="48"/>
      <c r="EZ421" s="48"/>
      <c r="FA421" s="48"/>
      <c r="FB421" s="48"/>
      <c r="FC421" s="48"/>
      <c r="FD421" s="48"/>
      <c r="FE421" s="48"/>
      <c r="FF421" s="48"/>
      <c r="FG421" s="48"/>
      <c r="FI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GI421" s="64"/>
    </row>
    <row r="422" spans="1:19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52"/>
      <c r="BF422" s="48"/>
      <c r="BG422" s="48"/>
      <c r="BI422" s="48"/>
      <c r="BN422" s="48"/>
      <c r="BO422" s="48"/>
      <c r="BR422" s="48"/>
      <c r="BS422" s="48"/>
      <c r="BW422" s="48"/>
      <c r="CA422" s="48"/>
      <c r="CE422" s="48"/>
      <c r="CF422" s="48"/>
      <c r="CG422" s="48"/>
      <c r="CH422" s="48"/>
      <c r="CI422" s="48"/>
      <c r="CJ422" s="48"/>
      <c r="CL422" s="48"/>
      <c r="CM422" s="48"/>
      <c r="CN422" s="48"/>
      <c r="CO422" s="48"/>
      <c r="CP422" s="48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8"/>
      <c r="DV422" s="48"/>
      <c r="DW422" s="48"/>
      <c r="DX422" s="48"/>
      <c r="DY422" s="48"/>
      <c r="DZ422" s="48"/>
      <c r="EA422" s="48"/>
      <c r="EC422" s="48"/>
      <c r="ED422" s="48"/>
      <c r="EE422" s="48"/>
      <c r="EF422" s="48"/>
      <c r="EG422" s="48"/>
      <c r="EI422" s="48"/>
      <c r="EK422" s="48"/>
      <c r="EM422" s="48"/>
      <c r="EO422" s="48"/>
      <c r="EP422" s="48"/>
      <c r="EU422" s="48"/>
      <c r="EV422" s="48"/>
      <c r="EW422" s="48"/>
      <c r="EX422" s="48"/>
      <c r="EY422" s="48"/>
      <c r="EZ422" s="48"/>
      <c r="FA422" s="48"/>
      <c r="FB422" s="48"/>
      <c r="FC422" s="48"/>
      <c r="FD422" s="48"/>
      <c r="FE422" s="48"/>
      <c r="FF422" s="48"/>
      <c r="FG422" s="48"/>
      <c r="FI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GI422" s="64"/>
    </row>
    <row r="423" spans="1:19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52"/>
      <c r="BF423" s="48"/>
      <c r="BG423" s="48"/>
      <c r="BI423" s="48"/>
      <c r="BN423" s="48"/>
      <c r="BO423" s="48"/>
      <c r="BR423" s="48"/>
      <c r="BS423" s="48"/>
      <c r="BW423" s="48"/>
      <c r="CA423" s="48"/>
      <c r="CE423" s="48"/>
      <c r="CF423" s="48"/>
      <c r="CG423" s="48"/>
      <c r="CH423" s="48"/>
      <c r="CI423" s="48"/>
      <c r="CJ423" s="48"/>
      <c r="CL423" s="48"/>
      <c r="CM423" s="48"/>
      <c r="CN423" s="48"/>
      <c r="CO423" s="48"/>
      <c r="CP423" s="48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  <c r="DE423" s="48"/>
      <c r="DF423" s="48"/>
      <c r="DG423" s="48"/>
      <c r="DH423" s="48"/>
      <c r="DI423" s="48"/>
      <c r="DJ423" s="48"/>
      <c r="DK423" s="48"/>
      <c r="DL423" s="48"/>
      <c r="DM423" s="48"/>
      <c r="DN423" s="48"/>
      <c r="DO423" s="48"/>
      <c r="DP423" s="48"/>
      <c r="DQ423" s="48"/>
      <c r="DR423" s="48"/>
      <c r="DS423" s="48"/>
      <c r="DT423" s="48"/>
      <c r="DU423" s="48"/>
      <c r="DV423" s="48"/>
      <c r="DW423" s="48"/>
      <c r="DX423" s="48"/>
      <c r="DY423" s="48"/>
      <c r="DZ423" s="48"/>
      <c r="EA423" s="48"/>
      <c r="EC423" s="48"/>
      <c r="ED423" s="48"/>
      <c r="EE423" s="48"/>
      <c r="EF423" s="48"/>
      <c r="EG423" s="48"/>
      <c r="EI423" s="48"/>
      <c r="EK423" s="48"/>
      <c r="EM423" s="48"/>
      <c r="EO423" s="48"/>
      <c r="EP423" s="48"/>
      <c r="EU423" s="48"/>
      <c r="EV423" s="48"/>
      <c r="EW423" s="48"/>
      <c r="EX423" s="48"/>
      <c r="EY423" s="48"/>
      <c r="EZ423" s="48"/>
      <c r="FA423" s="48"/>
      <c r="FB423" s="48"/>
      <c r="FC423" s="48"/>
      <c r="FD423" s="48"/>
      <c r="FE423" s="48"/>
      <c r="FF423" s="48"/>
      <c r="FG423" s="48"/>
      <c r="FI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GI423" s="64"/>
    </row>
    <row r="424" spans="1:19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52"/>
      <c r="BF424" s="48"/>
      <c r="BG424" s="48"/>
      <c r="BI424" s="48"/>
      <c r="BN424" s="48"/>
      <c r="BO424" s="48"/>
      <c r="BR424" s="48"/>
      <c r="BS424" s="48"/>
      <c r="BW424" s="48"/>
      <c r="CA424" s="48"/>
      <c r="CE424" s="48"/>
      <c r="CF424" s="48"/>
      <c r="CG424" s="48"/>
      <c r="CH424" s="48"/>
      <c r="CI424" s="48"/>
      <c r="CJ424" s="48"/>
      <c r="CL424" s="48"/>
      <c r="CM424" s="48"/>
      <c r="CN424" s="48"/>
      <c r="CO424" s="48"/>
      <c r="CP424" s="48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8"/>
      <c r="DN424" s="48"/>
      <c r="DO424" s="48"/>
      <c r="DP424" s="48"/>
      <c r="DQ424" s="48"/>
      <c r="DR424" s="48"/>
      <c r="DS424" s="48"/>
      <c r="DT424" s="48"/>
      <c r="DU424" s="48"/>
      <c r="DV424" s="48"/>
      <c r="DW424" s="48"/>
      <c r="DX424" s="48"/>
      <c r="DY424" s="48"/>
      <c r="DZ424" s="48"/>
      <c r="EA424" s="48"/>
      <c r="EC424" s="48"/>
      <c r="ED424" s="48"/>
      <c r="EE424" s="48"/>
      <c r="EF424" s="48"/>
      <c r="EG424" s="48"/>
      <c r="EI424" s="48"/>
      <c r="EK424" s="48"/>
      <c r="EM424" s="48"/>
      <c r="EO424" s="48"/>
      <c r="EP424" s="48"/>
      <c r="EU424" s="48"/>
      <c r="EV424" s="48"/>
      <c r="EW424" s="48"/>
      <c r="EX424" s="48"/>
      <c r="EY424" s="48"/>
      <c r="EZ424" s="48"/>
      <c r="FA424" s="48"/>
      <c r="FB424" s="48"/>
      <c r="FC424" s="48"/>
      <c r="FD424" s="48"/>
      <c r="FE424" s="48"/>
      <c r="FF424" s="48"/>
      <c r="FG424" s="48"/>
      <c r="FI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GI424" s="64"/>
    </row>
    <row r="425" spans="1:19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52"/>
      <c r="BF425" s="48"/>
      <c r="BG425" s="48"/>
      <c r="BI425" s="48"/>
      <c r="BN425" s="48"/>
      <c r="BO425" s="48"/>
      <c r="BR425" s="48"/>
      <c r="BS425" s="48"/>
      <c r="BW425" s="48"/>
      <c r="CA425" s="48"/>
      <c r="CE425" s="48"/>
      <c r="CF425" s="48"/>
      <c r="CG425" s="48"/>
      <c r="CH425" s="48"/>
      <c r="CI425" s="48"/>
      <c r="CJ425" s="48"/>
      <c r="CL425" s="48"/>
      <c r="CM425" s="48"/>
      <c r="CN425" s="48"/>
      <c r="CO425" s="48"/>
      <c r="CP425" s="48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  <c r="DE425" s="48"/>
      <c r="DF425" s="48"/>
      <c r="DG425" s="48"/>
      <c r="DH425" s="48"/>
      <c r="DI425" s="48"/>
      <c r="DJ425" s="48"/>
      <c r="DK425" s="48"/>
      <c r="DL425" s="48"/>
      <c r="DM425" s="48"/>
      <c r="DN425" s="48"/>
      <c r="DO425" s="48"/>
      <c r="DP425" s="48"/>
      <c r="DQ425" s="48"/>
      <c r="DR425" s="48"/>
      <c r="DS425" s="48"/>
      <c r="DT425" s="48"/>
      <c r="DU425" s="48"/>
      <c r="DV425" s="48"/>
      <c r="DW425" s="48"/>
      <c r="DX425" s="48"/>
      <c r="DY425" s="48"/>
      <c r="DZ425" s="48"/>
      <c r="EA425" s="48"/>
      <c r="EC425" s="48"/>
      <c r="ED425" s="48"/>
      <c r="EE425" s="48"/>
      <c r="EF425" s="48"/>
      <c r="EG425" s="48"/>
      <c r="EI425" s="48"/>
      <c r="EK425" s="48"/>
      <c r="EM425" s="48"/>
      <c r="EO425" s="48"/>
      <c r="EP425" s="48"/>
      <c r="EU425" s="48"/>
      <c r="EV425" s="48"/>
      <c r="EW425" s="48"/>
      <c r="EX425" s="48"/>
      <c r="EY425" s="48"/>
      <c r="EZ425" s="48"/>
      <c r="FA425" s="48"/>
      <c r="FB425" s="48"/>
      <c r="FC425" s="48"/>
      <c r="FD425" s="48"/>
      <c r="FE425" s="48"/>
      <c r="FF425" s="48"/>
      <c r="FG425" s="48"/>
      <c r="FI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GI425" s="64"/>
    </row>
    <row r="426" spans="1:19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52"/>
      <c r="BF426" s="48"/>
      <c r="BG426" s="48"/>
      <c r="BI426" s="48"/>
      <c r="BN426" s="48"/>
      <c r="BO426" s="48"/>
      <c r="BR426" s="48"/>
      <c r="BS426" s="48"/>
      <c r="BW426" s="48"/>
      <c r="CA426" s="48"/>
      <c r="CE426" s="48"/>
      <c r="CF426" s="48"/>
      <c r="CG426" s="48"/>
      <c r="CH426" s="48"/>
      <c r="CI426" s="48"/>
      <c r="CJ426" s="48"/>
      <c r="CL426" s="48"/>
      <c r="CM426" s="48"/>
      <c r="CN426" s="48"/>
      <c r="CO426" s="48"/>
      <c r="CP426" s="48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  <c r="DE426" s="48"/>
      <c r="DF426" s="48"/>
      <c r="DG426" s="48"/>
      <c r="DH426" s="48"/>
      <c r="DI426" s="48"/>
      <c r="DJ426" s="48"/>
      <c r="DK426" s="48"/>
      <c r="DL426" s="48"/>
      <c r="DM426" s="48"/>
      <c r="DN426" s="48"/>
      <c r="DO426" s="48"/>
      <c r="DP426" s="48"/>
      <c r="DQ426" s="48"/>
      <c r="DR426" s="48"/>
      <c r="DS426" s="48"/>
      <c r="DT426" s="48"/>
      <c r="DU426" s="48"/>
      <c r="DV426" s="48"/>
      <c r="DW426" s="48"/>
      <c r="DX426" s="48"/>
      <c r="DY426" s="48"/>
      <c r="DZ426" s="48"/>
      <c r="EA426" s="48"/>
      <c r="EC426" s="48"/>
      <c r="ED426" s="48"/>
      <c r="EE426" s="48"/>
      <c r="EF426" s="48"/>
      <c r="EG426" s="48"/>
      <c r="EI426" s="48"/>
      <c r="EK426" s="48"/>
      <c r="EM426" s="48"/>
      <c r="EO426" s="48"/>
      <c r="EP426" s="48"/>
      <c r="EU426" s="48"/>
      <c r="EV426" s="48"/>
      <c r="EW426" s="48"/>
      <c r="EX426" s="48"/>
      <c r="EY426" s="48"/>
      <c r="EZ426" s="48"/>
      <c r="FA426" s="48"/>
      <c r="FB426" s="48"/>
      <c r="FC426" s="48"/>
      <c r="FD426" s="48"/>
      <c r="FE426" s="48"/>
      <c r="FF426" s="48"/>
      <c r="FG426" s="48"/>
      <c r="FI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GI426" s="64"/>
    </row>
    <row r="427" spans="1:19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52"/>
      <c r="BF427" s="48"/>
      <c r="BG427" s="48"/>
      <c r="BI427" s="48"/>
      <c r="BN427" s="48"/>
      <c r="BO427" s="48"/>
      <c r="BR427" s="48"/>
      <c r="BS427" s="48"/>
      <c r="BW427" s="48"/>
      <c r="CA427" s="48"/>
      <c r="CE427" s="48"/>
      <c r="CF427" s="48"/>
      <c r="CG427" s="48"/>
      <c r="CH427" s="48"/>
      <c r="CI427" s="48"/>
      <c r="CJ427" s="48"/>
      <c r="CL427" s="48"/>
      <c r="CM427" s="48"/>
      <c r="CN427" s="48"/>
      <c r="CO427" s="48"/>
      <c r="CP427" s="48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8"/>
      <c r="DN427" s="48"/>
      <c r="DO427" s="48"/>
      <c r="DP427" s="48"/>
      <c r="DQ427" s="48"/>
      <c r="DR427" s="48"/>
      <c r="DS427" s="48"/>
      <c r="DT427" s="48"/>
      <c r="DU427" s="48"/>
      <c r="DV427" s="48"/>
      <c r="DW427" s="48"/>
      <c r="DX427" s="48"/>
      <c r="DY427" s="48"/>
      <c r="DZ427" s="48"/>
      <c r="EA427" s="48"/>
      <c r="EC427" s="48"/>
      <c r="ED427" s="48"/>
      <c r="EE427" s="48"/>
      <c r="EF427" s="48"/>
      <c r="EG427" s="48"/>
      <c r="EI427" s="48"/>
      <c r="EK427" s="48"/>
      <c r="EM427" s="48"/>
      <c r="EO427" s="48"/>
      <c r="EP427" s="48"/>
      <c r="EU427" s="48"/>
      <c r="EV427" s="48"/>
      <c r="EW427" s="48"/>
      <c r="EX427" s="48"/>
      <c r="EY427" s="48"/>
      <c r="EZ427" s="48"/>
      <c r="FA427" s="48"/>
      <c r="FB427" s="48"/>
      <c r="FC427" s="48"/>
      <c r="FD427" s="48"/>
      <c r="FE427" s="48"/>
      <c r="FF427" s="48"/>
      <c r="FG427" s="48"/>
      <c r="FI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GI427" s="64"/>
    </row>
    <row r="428" spans="1:19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52"/>
      <c r="BF428" s="48"/>
      <c r="BG428" s="48"/>
      <c r="BI428" s="48"/>
      <c r="BN428" s="48"/>
      <c r="BO428" s="48"/>
      <c r="BR428" s="48"/>
      <c r="BS428" s="48"/>
      <c r="BW428" s="48"/>
      <c r="CA428" s="48"/>
      <c r="CE428" s="48"/>
      <c r="CF428" s="48"/>
      <c r="CG428" s="48"/>
      <c r="CH428" s="48"/>
      <c r="CI428" s="48"/>
      <c r="CJ428" s="48"/>
      <c r="CL428" s="48"/>
      <c r="CM428" s="48"/>
      <c r="CN428" s="48"/>
      <c r="CO428" s="48"/>
      <c r="CP428" s="48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  <c r="DE428" s="48"/>
      <c r="DF428" s="48"/>
      <c r="DG428" s="48"/>
      <c r="DH428" s="48"/>
      <c r="DI428" s="48"/>
      <c r="DJ428" s="48"/>
      <c r="DK428" s="48"/>
      <c r="DL428" s="48"/>
      <c r="DM428" s="48"/>
      <c r="DN428" s="48"/>
      <c r="DO428" s="48"/>
      <c r="DP428" s="48"/>
      <c r="DQ428" s="48"/>
      <c r="DR428" s="48"/>
      <c r="DS428" s="48"/>
      <c r="DT428" s="48"/>
      <c r="DU428" s="48"/>
      <c r="DV428" s="48"/>
      <c r="DW428" s="48"/>
      <c r="DX428" s="48"/>
      <c r="DY428" s="48"/>
      <c r="DZ428" s="48"/>
      <c r="EA428" s="48"/>
      <c r="EC428" s="48"/>
      <c r="ED428" s="48"/>
      <c r="EE428" s="48"/>
      <c r="EF428" s="48"/>
      <c r="EG428" s="48"/>
      <c r="EI428" s="48"/>
      <c r="EK428" s="48"/>
      <c r="EM428" s="48"/>
      <c r="EO428" s="48"/>
      <c r="EP428" s="48"/>
      <c r="EU428" s="48"/>
      <c r="EV428" s="48"/>
      <c r="EW428" s="48"/>
      <c r="EX428" s="48"/>
      <c r="EY428" s="48"/>
      <c r="EZ428" s="48"/>
      <c r="FA428" s="48"/>
      <c r="FB428" s="48"/>
      <c r="FC428" s="48"/>
      <c r="FD428" s="48"/>
      <c r="FE428" s="48"/>
      <c r="FF428" s="48"/>
      <c r="FG428" s="48"/>
      <c r="FI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GI428" s="64"/>
    </row>
    <row r="429" spans="1:19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52"/>
      <c r="BF429" s="48"/>
      <c r="BG429" s="48"/>
      <c r="BI429" s="48"/>
      <c r="BN429" s="48"/>
      <c r="BO429" s="48"/>
      <c r="BR429" s="48"/>
      <c r="BS429" s="48"/>
      <c r="BW429" s="48"/>
      <c r="CA429" s="48"/>
      <c r="CE429" s="48"/>
      <c r="CF429" s="48"/>
      <c r="CG429" s="48"/>
      <c r="CH429" s="48"/>
      <c r="CI429" s="48"/>
      <c r="CJ429" s="48"/>
      <c r="CL429" s="48"/>
      <c r="CM429" s="48"/>
      <c r="CN429" s="48"/>
      <c r="CO429" s="48"/>
      <c r="CP429" s="48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  <c r="DE429" s="48"/>
      <c r="DF429" s="48"/>
      <c r="DG429" s="48"/>
      <c r="DH429" s="48"/>
      <c r="DI429" s="48"/>
      <c r="DJ429" s="48"/>
      <c r="DK429" s="48"/>
      <c r="DL429" s="48"/>
      <c r="DM429" s="48"/>
      <c r="DN429" s="48"/>
      <c r="DO429" s="48"/>
      <c r="DP429" s="48"/>
      <c r="DQ429" s="48"/>
      <c r="DR429" s="48"/>
      <c r="DS429" s="48"/>
      <c r="DT429" s="48"/>
      <c r="DU429" s="48"/>
      <c r="DV429" s="48"/>
      <c r="DW429" s="48"/>
      <c r="DX429" s="48"/>
      <c r="DY429" s="48"/>
      <c r="DZ429" s="48"/>
      <c r="EA429" s="48"/>
      <c r="EC429" s="48"/>
      <c r="ED429" s="48"/>
      <c r="EE429" s="48"/>
      <c r="EF429" s="48"/>
      <c r="EG429" s="48"/>
      <c r="EI429" s="48"/>
      <c r="EK429" s="48"/>
      <c r="EM429" s="48"/>
      <c r="EO429" s="48"/>
      <c r="EP429" s="48"/>
      <c r="EU429" s="48"/>
      <c r="EV429" s="48"/>
      <c r="EW429" s="48"/>
      <c r="EX429" s="48"/>
      <c r="EY429" s="48"/>
      <c r="EZ429" s="48"/>
      <c r="FA429" s="48"/>
      <c r="FB429" s="48"/>
      <c r="FC429" s="48"/>
      <c r="FD429" s="48"/>
      <c r="FE429" s="48"/>
      <c r="FF429" s="48"/>
      <c r="FG429" s="48"/>
      <c r="FI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GI429" s="64"/>
    </row>
    <row r="430" spans="1:19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52"/>
      <c r="BF430" s="48"/>
      <c r="BG430" s="48"/>
      <c r="BI430" s="48"/>
      <c r="BN430" s="48"/>
      <c r="BO430" s="48"/>
      <c r="BR430" s="48"/>
      <c r="BS430" s="48"/>
      <c r="BW430" s="48"/>
      <c r="CA430" s="48"/>
      <c r="CE430" s="48"/>
      <c r="CF430" s="48"/>
      <c r="CG430" s="48"/>
      <c r="CH430" s="48"/>
      <c r="CI430" s="48"/>
      <c r="CJ430" s="48"/>
      <c r="CL430" s="48"/>
      <c r="CM430" s="48"/>
      <c r="CN430" s="48"/>
      <c r="CO430" s="48"/>
      <c r="CP430" s="48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8"/>
      <c r="DN430" s="48"/>
      <c r="DO430" s="48"/>
      <c r="DP430" s="48"/>
      <c r="DQ430" s="48"/>
      <c r="DR430" s="48"/>
      <c r="DS430" s="48"/>
      <c r="DT430" s="48"/>
      <c r="DU430" s="48"/>
      <c r="DV430" s="48"/>
      <c r="DW430" s="48"/>
      <c r="DX430" s="48"/>
      <c r="DY430" s="48"/>
      <c r="DZ430" s="48"/>
      <c r="EA430" s="48"/>
      <c r="EC430" s="48"/>
      <c r="ED430" s="48"/>
      <c r="EE430" s="48"/>
      <c r="EF430" s="48"/>
      <c r="EG430" s="48"/>
      <c r="EI430" s="48"/>
      <c r="EK430" s="48"/>
      <c r="EM430" s="48"/>
      <c r="EO430" s="48"/>
      <c r="EP430" s="48"/>
      <c r="EU430" s="48"/>
      <c r="EV430" s="48"/>
      <c r="EW430" s="48"/>
      <c r="EX430" s="48"/>
      <c r="EY430" s="48"/>
      <c r="EZ430" s="48"/>
      <c r="FA430" s="48"/>
      <c r="FB430" s="48"/>
      <c r="FC430" s="48"/>
      <c r="FD430" s="48"/>
      <c r="FE430" s="48"/>
      <c r="FF430" s="48"/>
      <c r="FG430" s="48"/>
      <c r="FI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GI430" s="64"/>
    </row>
    <row r="431" spans="1:19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52"/>
      <c r="BF431" s="48"/>
      <c r="BG431" s="48"/>
      <c r="BI431" s="48"/>
      <c r="BN431" s="48"/>
      <c r="BO431" s="48"/>
      <c r="BR431" s="48"/>
      <c r="BS431" s="48"/>
      <c r="BW431" s="48"/>
      <c r="CA431" s="48"/>
      <c r="CE431" s="48"/>
      <c r="CF431" s="48"/>
      <c r="CG431" s="48"/>
      <c r="CH431" s="48"/>
      <c r="CI431" s="48"/>
      <c r="CJ431" s="48"/>
      <c r="CL431" s="48"/>
      <c r="CM431" s="48"/>
      <c r="CN431" s="48"/>
      <c r="CO431" s="48"/>
      <c r="CP431" s="48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  <c r="DE431" s="48"/>
      <c r="DF431" s="48"/>
      <c r="DG431" s="48"/>
      <c r="DH431" s="48"/>
      <c r="DI431" s="48"/>
      <c r="DJ431" s="48"/>
      <c r="DK431" s="48"/>
      <c r="DL431" s="48"/>
      <c r="DM431" s="48"/>
      <c r="DN431" s="48"/>
      <c r="DO431" s="48"/>
      <c r="DP431" s="48"/>
      <c r="DQ431" s="48"/>
      <c r="DR431" s="48"/>
      <c r="DS431" s="48"/>
      <c r="DT431" s="48"/>
      <c r="DU431" s="48"/>
      <c r="DV431" s="48"/>
      <c r="DW431" s="48"/>
      <c r="DX431" s="48"/>
      <c r="DY431" s="48"/>
      <c r="DZ431" s="48"/>
      <c r="EA431" s="48"/>
      <c r="EC431" s="48"/>
      <c r="ED431" s="48"/>
      <c r="EE431" s="48"/>
      <c r="EF431" s="48"/>
      <c r="EG431" s="48"/>
      <c r="EI431" s="48"/>
      <c r="EK431" s="48"/>
      <c r="EM431" s="48"/>
      <c r="EO431" s="48"/>
      <c r="EP431" s="48"/>
      <c r="EU431" s="48"/>
      <c r="EV431" s="48"/>
      <c r="EW431" s="48"/>
      <c r="EX431" s="48"/>
      <c r="EY431" s="48"/>
      <c r="EZ431" s="48"/>
      <c r="FA431" s="48"/>
      <c r="FB431" s="48"/>
      <c r="FC431" s="48"/>
      <c r="FD431" s="48"/>
      <c r="FE431" s="48"/>
      <c r="FF431" s="48"/>
      <c r="FG431" s="48"/>
      <c r="FI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GI431" s="64"/>
    </row>
    <row r="432" spans="1:19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52"/>
      <c r="BF432" s="48"/>
      <c r="BG432" s="48"/>
      <c r="BI432" s="48"/>
      <c r="BN432" s="48"/>
      <c r="BO432" s="48"/>
      <c r="BR432" s="48"/>
      <c r="BS432" s="48"/>
      <c r="BW432" s="48"/>
      <c r="CA432" s="48"/>
      <c r="CE432" s="48"/>
      <c r="CF432" s="48"/>
      <c r="CG432" s="48"/>
      <c r="CH432" s="48"/>
      <c r="CI432" s="48"/>
      <c r="CJ432" s="48"/>
      <c r="CL432" s="48"/>
      <c r="CM432" s="48"/>
      <c r="CN432" s="48"/>
      <c r="CO432" s="48"/>
      <c r="CP432" s="48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  <c r="DE432" s="48"/>
      <c r="DF432" s="48"/>
      <c r="DG432" s="48"/>
      <c r="DH432" s="48"/>
      <c r="DI432" s="48"/>
      <c r="DJ432" s="48"/>
      <c r="DK432" s="48"/>
      <c r="DL432" s="48"/>
      <c r="DM432" s="48"/>
      <c r="DN432" s="48"/>
      <c r="DO432" s="48"/>
      <c r="DP432" s="48"/>
      <c r="DQ432" s="48"/>
      <c r="DR432" s="48"/>
      <c r="DS432" s="48"/>
      <c r="DT432" s="48"/>
      <c r="DU432" s="48"/>
      <c r="DV432" s="48"/>
      <c r="DW432" s="48"/>
      <c r="DX432" s="48"/>
      <c r="DY432" s="48"/>
      <c r="DZ432" s="48"/>
      <c r="EA432" s="48"/>
      <c r="EC432" s="48"/>
      <c r="ED432" s="48"/>
      <c r="EE432" s="48"/>
      <c r="EF432" s="48"/>
      <c r="EG432" s="48"/>
      <c r="EI432" s="48"/>
      <c r="EK432" s="48"/>
      <c r="EM432" s="48"/>
      <c r="EO432" s="48"/>
      <c r="EP432" s="48"/>
      <c r="EU432" s="48"/>
      <c r="EV432" s="48"/>
      <c r="EW432" s="48"/>
      <c r="EX432" s="48"/>
      <c r="EY432" s="48"/>
      <c r="EZ432" s="48"/>
      <c r="FA432" s="48"/>
      <c r="FB432" s="48"/>
      <c r="FC432" s="48"/>
      <c r="FD432" s="48"/>
      <c r="FE432" s="48"/>
      <c r="FF432" s="48"/>
      <c r="FG432" s="48"/>
      <c r="FI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GI432" s="64"/>
    </row>
    <row r="433" spans="1:19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52"/>
      <c r="BF433" s="48"/>
      <c r="BG433" s="48"/>
      <c r="BI433" s="48"/>
      <c r="BN433" s="48"/>
      <c r="BO433" s="48"/>
      <c r="BR433" s="48"/>
      <c r="BS433" s="48"/>
      <c r="BW433" s="48"/>
      <c r="CA433" s="48"/>
      <c r="CE433" s="48"/>
      <c r="CF433" s="48"/>
      <c r="CG433" s="48"/>
      <c r="CH433" s="48"/>
      <c r="CI433" s="48"/>
      <c r="CJ433" s="48"/>
      <c r="CL433" s="48"/>
      <c r="CM433" s="48"/>
      <c r="CN433" s="48"/>
      <c r="CO433" s="48"/>
      <c r="CP433" s="48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8"/>
      <c r="DN433" s="48"/>
      <c r="DO433" s="48"/>
      <c r="DP433" s="48"/>
      <c r="DQ433" s="48"/>
      <c r="DR433" s="48"/>
      <c r="DS433" s="48"/>
      <c r="DT433" s="48"/>
      <c r="DU433" s="48"/>
      <c r="DV433" s="48"/>
      <c r="DW433" s="48"/>
      <c r="DX433" s="48"/>
      <c r="DY433" s="48"/>
      <c r="DZ433" s="48"/>
      <c r="EA433" s="48"/>
      <c r="EC433" s="48"/>
      <c r="ED433" s="48"/>
      <c r="EE433" s="48"/>
      <c r="EF433" s="48"/>
      <c r="EG433" s="48"/>
      <c r="EI433" s="48"/>
      <c r="EK433" s="48"/>
      <c r="EM433" s="48"/>
      <c r="EO433" s="48"/>
      <c r="EP433" s="48"/>
      <c r="EU433" s="48"/>
      <c r="EV433" s="48"/>
      <c r="EW433" s="48"/>
      <c r="EX433" s="48"/>
      <c r="EY433" s="48"/>
      <c r="EZ433" s="48"/>
      <c r="FA433" s="48"/>
      <c r="FB433" s="48"/>
      <c r="FC433" s="48"/>
      <c r="FD433" s="48"/>
      <c r="FE433" s="48"/>
      <c r="FF433" s="48"/>
      <c r="FG433" s="48"/>
      <c r="FI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GI433" s="64"/>
    </row>
    <row r="434" spans="1:19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52"/>
      <c r="BF434" s="48"/>
      <c r="BG434" s="48"/>
      <c r="BI434" s="48"/>
      <c r="BN434" s="48"/>
      <c r="BO434" s="48"/>
      <c r="BR434" s="48"/>
      <c r="BS434" s="48"/>
      <c r="BW434" s="48"/>
      <c r="CA434" s="48"/>
      <c r="CE434" s="48"/>
      <c r="CF434" s="48"/>
      <c r="CG434" s="48"/>
      <c r="CH434" s="48"/>
      <c r="CI434" s="48"/>
      <c r="CJ434" s="48"/>
      <c r="CL434" s="48"/>
      <c r="CM434" s="48"/>
      <c r="CN434" s="48"/>
      <c r="CO434" s="48"/>
      <c r="CP434" s="48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  <c r="DE434" s="48"/>
      <c r="DF434" s="48"/>
      <c r="DG434" s="48"/>
      <c r="DH434" s="48"/>
      <c r="DI434" s="48"/>
      <c r="DJ434" s="48"/>
      <c r="DK434" s="48"/>
      <c r="DL434" s="48"/>
      <c r="DM434" s="48"/>
      <c r="DN434" s="48"/>
      <c r="DO434" s="48"/>
      <c r="DP434" s="48"/>
      <c r="DQ434" s="48"/>
      <c r="DR434" s="48"/>
      <c r="DS434" s="48"/>
      <c r="DT434" s="48"/>
      <c r="DU434" s="48"/>
      <c r="DV434" s="48"/>
      <c r="DW434" s="48"/>
      <c r="DX434" s="48"/>
      <c r="DY434" s="48"/>
      <c r="DZ434" s="48"/>
      <c r="EA434" s="48"/>
      <c r="EC434" s="48"/>
      <c r="ED434" s="48"/>
      <c r="EE434" s="48"/>
      <c r="EF434" s="48"/>
      <c r="EG434" s="48"/>
      <c r="EI434" s="48"/>
      <c r="EK434" s="48"/>
      <c r="EM434" s="48"/>
      <c r="EO434" s="48"/>
      <c r="EP434" s="48"/>
      <c r="EU434" s="48"/>
      <c r="EV434" s="48"/>
      <c r="EW434" s="48"/>
      <c r="EX434" s="48"/>
      <c r="EY434" s="48"/>
      <c r="EZ434" s="48"/>
      <c r="FA434" s="48"/>
      <c r="FB434" s="48"/>
      <c r="FC434" s="48"/>
      <c r="FD434" s="48"/>
      <c r="FE434" s="48"/>
      <c r="FF434" s="48"/>
      <c r="FG434" s="48"/>
      <c r="FI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GI434" s="64"/>
    </row>
    <row r="435" spans="1:19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52"/>
      <c r="BF435" s="48"/>
      <c r="BG435" s="48"/>
      <c r="BI435" s="48"/>
      <c r="BN435" s="48"/>
      <c r="BO435" s="48"/>
      <c r="BR435" s="48"/>
      <c r="BS435" s="48"/>
      <c r="BW435" s="48"/>
      <c r="CA435" s="48"/>
      <c r="CE435" s="48"/>
      <c r="CF435" s="48"/>
      <c r="CG435" s="48"/>
      <c r="CH435" s="48"/>
      <c r="CI435" s="48"/>
      <c r="CJ435" s="48"/>
      <c r="CL435" s="48"/>
      <c r="CM435" s="48"/>
      <c r="CN435" s="48"/>
      <c r="CO435" s="48"/>
      <c r="CP435" s="48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  <c r="DE435" s="48"/>
      <c r="DF435" s="48"/>
      <c r="DG435" s="48"/>
      <c r="DH435" s="48"/>
      <c r="DI435" s="48"/>
      <c r="DJ435" s="48"/>
      <c r="DK435" s="48"/>
      <c r="DL435" s="48"/>
      <c r="DM435" s="48"/>
      <c r="DN435" s="48"/>
      <c r="DO435" s="48"/>
      <c r="DP435" s="48"/>
      <c r="DQ435" s="48"/>
      <c r="DR435" s="48"/>
      <c r="DS435" s="48"/>
      <c r="DT435" s="48"/>
      <c r="DU435" s="48"/>
      <c r="DV435" s="48"/>
      <c r="DW435" s="48"/>
      <c r="DX435" s="48"/>
      <c r="DY435" s="48"/>
      <c r="DZ435" s="48"/>
      <c r="EA435" s="48"/>
      <c r="EC435" s="48"/>
      <c r="ED435" s="48"/>
      <c r="EE435" s="48"/>
      <c r="EF435" s="48"/>
      <c r="EG435" s="48"/>
      <c r="EI435" s="48"/>
      <c r="EK435" s="48"/>
      <c r="EM435" s="48"/>
      <c r="EO435" s="48"/>
      <c r="EP435" s="48"/>
      <c r="EU435" s="48"/>
      <c r="EV435" s="48"/>
      <c r="EW435" s="48"/>
      <c r="EX435" s="48"/>
      <c r="EY435" s="48"/>
      <c r="EZ435" s="48"/>
      <c r="FA435" s="48"/>
      <c r="FB435" s="48"/>
      <c r="FC435" s="48"/>
      <c r="FD435" s="48"/>
      <c r="FE435" s="48"/>
      <c r="FF435" s="48"/>
      <c r="FG435" s="48"/>
      <c r="FI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GI435" s="64"/>
    </row>
    <row r="436" spans="1:19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52"/>
      <c r="BF436" s="48"/>
      <c r="BG436" s="48"/>
      <c r="BI436" s="48"/>
      <c r="BN436" s="48"/>
      <c r="BO436" s="48"/>
      <c r="BR436" s="48"/>
      <c r="BS436" s="48"/>
      <c r="BW436" s="48"/>
      <c r="CA436" s="48"/>
      <c r="CE436" s="48"/>
      <c r="CF436" s="48"/>
      <c r="CG436" s="48"/>
      <c r="CH436" s="48"/>
      <c r="CI436" s="48"/>
      <c r="CJ436" s="48"/>
      <c r="CL436" s="48"/>
      <c r="CM436" s="48"/>
      <c r="CN436" s="48"/>
      <c r="CO436" s="48"/>
      <c r="CP436" s="48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8"/>
      <c r="DN436" s="48"/>
      <c r="DO436" s="48"/>
      <c r="DP436" s="48"/>
      <c r="DQ436" s="48"/>
      <c r="DR436" s="48"/>
      <c r="DS436" s="48"/>
      <c r="DT436" s="48"/>
      <c r="DU436" s="48"/>
      <c r="DV436" s="48"/>
      <c r="DW436" s="48"/>
      <c r="DX436" s="48"/>
      <c r="DY436" s="48"/>
      <c r="DZ436" s="48"/>
      <c r="EA436" s="48"/>
      <c r="EC436" s="48"/>
      <c r="ED436" s="48"/>
      <c r="EE436" s="48"/>
      <c r="EF436" s="48"/>
      <c r="EG436" s="48"/>
      <c r="EI436" s="48"/>
      <c r="EK436" s="48"/>
      <c r="EM436" s="48"/>
      <c r="EO436" s="48"/>
      <c r="EP436" s="48"/>
      <c r="EU436" s="48"/>
      <c r="EV436" s="48"/>
      <c r="EW436" s="48"/>
      <c r="EX436" s="48"/>
      <c r="EY436" s="48"/>
      <c r="EZ436" s="48"/>
      <c r="FA436" s="48"/>
      <c r="FB436" s="48"/>
      <c r="FC436" s="48"/>
      <c r="FD436" s="48"/>
      <c r="FE436" s="48"/>
      <c r="FF436" s="48"/>
      <c r="FG436" s="48"/>
      <c r="FI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GI436" s="64"/>
    </row>
    <row r="437" spans="1:19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52"/>
      <c r="BF437" s="48"/>
      <c r="BG437" s="48"/>
      <c r="BI437" s="48"/>
      <c r="BN437" s="48"/>
      <c r="BO437" s="48"/>
      <c r="BR437" s="48"/>
      <c r="BS437" s="48"/>
      <c r="BW437" s="48"/>
      <c r="CA437" s="48"/>
      <c r="CE437" s="48"/>
      <c r="CF437" s="48"/>
      <c r="CG437" s="48"/>
      <c r="CH437" s="48"/>
      <c r="CI437" s="48"/>
      <c r="CJ437" s="48"/>
      <c r="CL437" s="48"/>
      <c r="CM437" s="48"/>
      <c r="CN437" s="48"/>
      <c r="CO437" s="48"/>
      <c r="CP437" s="48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  <c r="DE437" s="48"/>
      <c r="DF437" s="48"/>
      <c r="DG437" s="48"/>
      <c r="DH437" s="48"/>
      <c r="DI437" s="48"/>
      <c r="DJ437" s="48"/>
      <c r="DK437" s="48"/>
      <c r="DL437" s="48"/>
      <c r="DM437" s="48"/>
      <c r="DN437" s="48"/>
      <c r="DO437" s="48"/>
      <c r="DP437" s="48"/>
      <c r="DQ437" s="48"/>
      <c r="DR437" s="48"/>
      <c r="DS437" s="48"/>
      <c r="DT437" s="48"/>
      <c r="DU437" s="48"/>
      <c r="DV437" s="48"/>
      <c r="DW437" s="48"/>
      <c r="DX437" s="48"/>
      <c r="DY437" s="48"/>
      <c r="DZ437" s="48"/>
      <c r="EA437" s="48"/>
      <c r="EC437" s="48"/>
      <c r="ED437" s="48"/>
      <c r="EE437" s="48"/>
      <c r="EF437" s="48"/>
      <c r="EG437" s="48"/>
      <c r="EI437" s="48"/>
      <c r="EK437" s="48"/>
      <c r="EM437" s="48"/>
      <c r="EO437" s="48"/>
      <c r="EP437" s="48"/>
      <c r="EU437" s="48"/>
      <c r="EV437" s="48"/>
      <c r="EW437" s="48"/>
      <c r="EX437" s="48"/>
      <c r="EY437" s="48"/>
      <c r="EZ437" s="48"/>
      <c r="FA437" s="48"/>
      <c r="FB437" s="48"/>
      <c r="FC437" s="48"/>
      <c r="FD437" s="48"/>
      <c r="FE437" s="48"/>
      <c r="FF437" s="48"/>
      <c r="FG437" s="48"/>
      <c r="FI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GI437" s="64"/>
    </row>
    <row r="438" spans="1:19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52"/>
      <c r="BF438" s="48"/>
      <c r="BG438" s="48"/>
      <c r="BI438" s="48"/>
      <c r="BN438" s="48"/>
      <c r="BO438" s="48"/>
      <c r="BR438" s="48"/>
      <c r="BS438" s="48"/>
      <c r="BW438" s="48"/>
      <c r="CA438" s="48"/>
      <c r="CE438" s="48"/>
      <c r="CF438" s="48"/>
      <c r="CG438" s="48"/>
      <c r="CH438" s="48"/>
      <c r="CI438" s="48"/>
      <c r="CJ438" s="48"/>
      <c r="CL438" s="48"/>
      <c r="CM438" s="48"/>
      <c r="CN438" s="48"/>
      <c r="CO438" s="48"/>
      <c r="CP438" s="48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  <c r="DE438" s="48"/>
      <c r="DF438" s="48"/>
      <c r="DG438" s="48"/>
      <c r="DH438" s="48"/>
      <c r="DI438" s="48"/>
      <c r="DJ438" s="48"/>
      <c r="DK438" s="48"/>
      <c r="DL438" s="48"/>
      <c r="DM438" s="48"/>
      <c r="DN438" s="48"/>
      <c r="DO438" s="48"/>
      <c r="DP438" s="48"/>
      <c r="DQ438" s="48"/>
      <c r="DR438" s="48"/>
      <c r="DS438" s="48"/>
      <c r="DT438" s="48"/>
      <c r="DU438" s="48"/>
      <c r="DV438" s="48"/>
      <c r="DW438" s="48"/>
      <c r="DX438" s="48"/>
      <c r="DY438" s="48"/>
      <c r="DZ438" s="48"/>
      <c r="EA438" s="48"/>
      <c r="EC438" s="48"/>
      <c r="ED438" s="48"/>
      <c r="EE438" s="48"/>
      <c r="EF438" s="48"/>
      <c r="EG438" s="48"/>
      <c r="EI438" s="48"/>
      <c r="EK438" s="48"/>
      <c r="EM438" s="48"/>
      <c r="EO438" s="48"/>
      <c r="EP438" s="48"/>
      <c r="EU438" s="48"/>
      <c r="EV438" s="48"/>
      <c r="EW438" s="48"/>
      <c r="EX438" s="48"/>
      <c r="EY438" s="48"/>
      <c r="EZ438" s="48"/>
      <c r="FA438" s="48"/>
      <c r="FB438" s="48"/>
      <c r="FC438" s="48"/>
      <c r="FD438" s="48"/>
      <c r="FE438" s="48"/>
      <c r="FF438" s="48"/>
      <c r="FG438" s="48"/>
      <c r="FI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GI438" s="64"/>
    </row>
    <row r="439" spans="1:19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52"/>
      <c r="BF439" s="48"/>
      <c r="BG439" s="48"/>
      <c r="BI439" s="48"/>
      <c r="BN439" s="48"/>
      <c r="BO439" s="48"/>
      <c r="BR439" s="48"/>
      <c r="BS439" s="48"/>
      <c r="BW439" s="48"/>
      <c r="CA439" s="48"/>
      <c r="CE439" s="48"/>
      <c r="CF439" s="48"/>
      <c r="CG439" s="48"/>
      <c r="CH439" s="48"/>
      <c r="CI439" s="48"/>
      <c r="CJ439" s="48"/>
      <c r="CL439" s="48"/>
      <c r="CM439" s="48"/>
      <c r="CN439" s="48"/>
      <c r="CO439" s="48"/>
      <c r="CP439" s="48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8"/>
      <c r="DN439" s="48"/>
      <c r="DO439" s="48"/>
      <c r="DP439" s="48"/>
      <c r="DQ439" s="48"/>
      <c r="DR439" s="48"/>
      <c r="DS439" s="48"/>
      <c r="DT439" s="48"/>
      <c r="DU439" s="48"/>
      <c r="DV439" s="48"/>
      <c r="DW439" s="48"/>
      <c r="DX439" s="48"/>
      <c r="DY439" s="48"/>
      <c r="DZ439" s="48"/>
      <c r="EA439" s="48"/>
      <c r="EC439" s="48"/>
      <c r="ED439" s="48"/>
      <c r="EE439" s="48"/>
      <c r="EF439" s="48"/>
      <c r="EG439" s="48"/>
      <c r="EI439" s="48"/>
      <c r="EK439" s="48"/>
      <c r="EM439" s="48"/>
      <c r="EO439" s="48"/>
      <c r="EP439" s="48"/>
      <c r="EU439" s="48"/>
      <c r="EV439" s="48"/>
      <c r="EW439" s="48"/>
      <c r="EX439" s="48"/>
      <c r="EY439" s="48"/>
      <c r="EZ439" s="48"/>
      <c r="FA439" s="48"/>
      <c r="FB439" s="48"/>
      <c r="FC439" s="48"/>
      <c r="FD439" s="48"/>
      <c r="FE439" s="48"/>
      <c r="FF439" s="48"/>
      <c r="FG439" s="48"/>
      <c r="FI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GI439" s="64"/>
    </row>
    <row r="440" spans="1:19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52"/>
      <c r="BF440" s="48"/>
      <c r="BG440" s="48"/>
      <c r="BI440" s="48"/>
      <c r="BN440" s="48"/>
      <c r="BO440" s="48"/>
      <c r="BR440" s="48"/>
      <c r="BS440" s="48"/>
      <c r="BW440" s="48"/>
      <c r="CA440" s="48"/>
      <c r="CE440" s="48"/>
      <c r="CF440" s="48"/>
      <c r="CG440" s="48"/>
      <c r="CH440" s="48"/>
      <c r="CI440" s="48"/>
      <c r="CJ440" s="48"/>
      <c r="CL440" s="48"/>
      <c r="CM440" s="48"/>
      <c r="CN440" s="48"/>
      <c r="CO440" s="48"/>
      <c r="CP440" s="48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  <c r="DE440" s="48"/>
      <c r="DF440" s="48"/>
      <c r="DG440" s="48"/>
      <c r="DH440" s="48"/>
      <c r="DI440" s="48"/>
      <c r="DJ440" s="48"/>
      <c r="DK440" s="48"/>
      <c r="DL440" s="48"/>
      <c r="DM440" s="48"/>
      <c r="DN440" s="48"/>
      <c r="DO440" s="48"/>
      <c r="DP440" s="48"/>
      <c r="DQ440" s="48"/>
      <c r="DR440" s="48"/>
      <c r="DS440" s="48"/>
      <c r="DT440" s="48"/>
      <c r="DU440" s="48"/>
      <c r="DV440" s="48"/>
      <c r="DW440" s="48"/>
      <c r="DX440" s="48"/>
      <c r="DY440" s="48"/>
      <c r="DZ440" s="48"/>
      <c r="EA440" s="48"/>
      <c r="EC440" s="48"/>
      <c r="ED440" s="48"/>
      <c r="EE440" s="48"/>
      <c r="EF440" s="48"/>
      <c r="EG440" s="48"/>
      <c r="EI440" s="48"/>
      <c r="EK440" s="48"/>
      <c r="EM440" s="48"/>
      <c r="EO440" s="48"/>
      <c r="EP440" s="48"/>
      <c r="EU440" s="48"/>
      <c r="EV440" s="48"/>
      <c r="EW440" s="48"/>
      <c r="EX440" s="48"/>
      <c r="EY440" s="48"/>
      <c r="EZ440" s="48"/>
      <c r="FA440" s="48"/>
      <c r="FB440" s="48"/>
      <c r="FC440" s="48"/>
      <c r="FD440" s="48"/>
      <c r="FE440" s="48"/>
      <c r="FF440" s="48"/>
      <c r="FG440" s="48"/>
      <c r="FI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GI440" s="64"/>
    </row>
    <row r="441" spans="1:19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52"/>
      <c r="BF441" s="48"/>
      <c r="BG441" s="48"/>
      <c r="BI441" s="48"/>
      <c r="BN441" s="48"/>
      <c r="BO441" s="48"/>
      <c r="BR441" s="48"/>
      <c r="BS441" s="48"/>
      <c r="BW441" s="48"/>
      <c r="CA441" s="48"/>
      <c r="CE441" s="48"/>
      <c r="CF441" s="48"/>
      <c r="CG441" s="48"/>
      <c r="CH441" s="48"/>
      <c r="CI441" s="48"/>
      <c r="CJ441" s="48"/>
      <c r="CL441" s="48"/>
      <c r="CM441" s="48"/>
      <c r="CN441" s="48"/>
      <c r="CO441" s="48"/>
      <c r="CP441" s="48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  <c r="DE441" s="48"/>
      <c r="DF441" s="48"/>
      <c r="DG441" s="48"/>
      <c r="DH441" s="48"/>
      <c r="DI441" s="48"/>
      <c r="DJ441" s="48"/>
      <c r="DK441" s="48"/>
      <c r="DL441" s="48"/>
      <c r="DM441" s="48"/>
      <c r="DN441" s="48"/>
      <c r="DO441" s="48"/>
      <c r="DP441" s="48"/>
      <c r="DQ441" s="48"/>
      <c r="DR441" s="48"/>
      <c r="DS441" s="48"/>
      <c r="DT441" s="48"/>
      <c r="DU441" s="48"/>
      <c r="DV441" s="48"/>
      <c r="DW441" s="48"/>
      <c r="DX441" s="48"/>
      <c r="DY441" s="48"/>
      <c r="DZ441" s="48"/>
      <c r="EA441" s="48"/>
      <c r="EC441" s="48"/>
      <c r="ED441" s="48"/>
      <c r="EE441" s="48"/>
      <c r="EF441" s="48"/>
      <c r="EG441" s="48"/>
      <c r="EI441" s="48"/>
      <c r="EK441" s="48"/>
      <c r="EM441" s="48"/>
      <c r="EO441" s="48"/>
      <c r="EP441" s="48"/>
      <c r="EU441" s="48"/>
      <c r="EV441" s="48"/>
      <c r="EW441" s="48"/>
      <c r="EX441" s="48"/>
      <c r="EY441" s="48"/>
      <c r="EZ441" s="48"/>
      <c r="FA441" s="48"/>
      <c r="FB441" s="48"/>
      <c r="FC441" s="48"/>
      <c r="FD441" s="48"/>
      <c r="FE441" s="48"/>
      <c r="FF441" s="48"/>
      <c r="FG441" s="48"/>
      <c r="FI441" s="48"/>
      <c r="FL441" s="48"/>
      <c r="FM441" s="48"/>
      <c r="FN441" s="48"/>
      <c r="FO441" s="48"/>
      <c r="FP441" s="48"/>
      <c r="FQ441" s="48"/>
      <c r="FR441" s="48"/>
      <c r="FS441" s="48"/>
      <c r="FT441" s="48"/>
      <c r="FU441" s="48"/>
      <c r="GI441" s="64"/>
    </row>
    <row r="442" spans="1:19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52"/>
      <c r="BF442" s="48"/>
      <c r="BG442" s="48"/>
      <c r="BI442" s="48"/>
      <c r="BN442" s="48"/>
      <c r="BO442" s="48"/>
      <c r="BR442" s="48"/>
      <c r="BS442" s="48"/>
      <c r="BW442" s="48"/>
      <c r="CA442" s="48"/>
      <c r="CE442" s="48"/>
      <c r="CF442" s="48"/>
      <c r="CG442" s="48"/>
      <c r="CH442" s="48"/>
      <c r="CI442" s="48"/>
      <c r="CJ442" s="48"/>
      <c r="CL442" s="48"/>
      <c r="CM442" s="48"/>
      <c r="CN442" s="48"/>
      <c r="CO442" s="48"/>
      <c r="CP442" s="48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8"/>
      <c r="DN442" s="48"/>
      <c r="DO442" s="48"/>
      <c r="DP442" s="48"/>
      <c r="DQ442" s="48"/>
      <c r="DR442" s="48"/>
      <c r="DS442" s="48"/>
      <c r="DT442" s="48"/>
      <c r="DU442" s="48"/>
      <c r="DV442" s="48"/>
      <c r="DW442" s="48"/>
      <c r="DX442" s="48"/>
      <c r="DY442" s="48"/>
      <c r="DZ442" s="48"/>
      <c r="EA442" s="48"/>
      <c r="EC442" s="48"/>
      <c r="ED442" s="48"/>
      <c r="EE442" s="48"/>
      <c r="EF442" s="48"/>
      <c r="EG442" s="48"/>
      <c r="EI442" s="48"/>
      <c r="EK442" s="48"/>
      <c r="EM442" s="48"/>
      <c r="EO442" s="48"/>
      <c r="EP442" s="48"/>
      <c r="EU442" s="48"/>
      <c r="EV442" s="48"/>
      <c r="EW442" s="48"/>
      <c r="EX442" s="48"/>
      <c r="EY442" s="48"/>
      <c r="EZ442" s="48"/>
      <c r="FA442" s="48"/>
      <c r="FB442" s="48"/>
      <c r="FC442" s="48"/>
      <c r="FD442" s="48"/>
      <c r="FE442" s="48"/>
      <c r="FF442" s="48"/>
      <c r="FG442" s="48"/>
      <c r="FI442" s="48"/>
      <c r="FL442" s="48"/>
      <c r="FM442" s="48"/>
      <c r="FN442" s="48"/>
      <c r="FO442" s="48"/>
      <c r="FP442" s="48"/>
      <c r="FQ442" s="48"/>
      <c r="FR442" s="48"/>
      <c r="FS442" s="48"/>
      <c r="FT442" s="48"/>
      <c r="FU442" s="48"/>
      <c r="GI442" s="64"/>
    </row>
    <row r="443" spans="1:19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52"/>
      <c r="BF443" s="48"/>
      <c r="BG443" s="48"/>
      <c r="BI443" s="48"/>
      <c r="BN443" s="48"/>
      <c r="BO443" s="48"/>
      <c r="BR443" s="48"/>
      <c r="BS443" s="48"/>
      <c r="BW443" s="48"/>
      <c r="CA443" s="48"/>
      <c r="CE443" s="48"/>
      <c r="CF443" s="48"/>
      <c r="CG443" s="48"/>
      <c r="CH443" s="48"/>
      <c r="CI443" s="48"/>
      <c r="CJ443" s="48"/>
      <c r="CL443" s="48"/>
      <c r="CM443" s="48"/>
      <c r="CN443" s="48"/>
      <c r="CO443" s="48"/>
      <c r="CP443" s="48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8"/>
      <c r="DV443" s="48"/>
      <c r="DW443" s="48"/>
      <c r="DX443" s="48"/>
      <c r="DY443" s="48"/>
      <c r="DZ443" s="48"/>
      <c r="EA443" s="48"/>
      <c r="EC443" s="48"/>
      <c r="ED443" s="48"/>
      <c r="EE443" s="48"/>
      <c r="EF443" s="48"/>
      <c r="EG443" s="48"/>
      <c r="EI443" s="48"/>
      <c r="EK443" s="48"/>
      <c r="EM443" s="48"/>
      <c r="EO443" s="48"/>
      <c r="EP443" s="48"/>
      <c r="EU443" s="48"/>
      <c r="EV443" s="48"/>
      <c r="EW443" s="48"/>
      <c r="EX443" s="48"/>
      <c r="EY443" s="48"/>
      <c r="EZ443" s="48"/>
      <c r="FA443" s="48"/>
      <c r="FB443" s="48"/>
      <c r="FC443" s="48"/>
      <c r="FD443" s="48"/>
      <c r="FE443" s="48"/>
      <c r="FF443" s="48"/>
      <c r="FG443" s="48"/>
      <c r="FI443" s="48"/>
      <c r="FL443" s="48"/>
      <c r="FM443" s="48"/>
      <c r="FN443" s="48"/>
      <c r="FO443" s="48"/>
      <c r="FP443" s="48"/>
      <c r="FQ443" s="48"/>
      <c r="FR443" s="48"/>
      <c r="FS443" s="48"/>
      <c r="FT443" s="48"/>
      <c r="FU443" s="48"/>
      <c r="GI443" s="64"/>
    </row>
    <row r="444" spans="1:19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52"/>
      <c r="BF444" s="48"/>
      <c r="BG444" s="48"/>
      <c r="BI444" s="48"/>
      <c r="BN444" s="48"/>
      <c r="BO444" s="48"/>
      <c r="BR444" s="48"/>
      <c r="BS444" s="48"/>
      <c r="BW444" s="48"/>
      <c r="CA444" s="48"/>
      <c r="CE444" s="48"/>
      <c r="CF444" s="48"/>
      <c r="CG444" s="48"/>
      <c r="CH444" s="48"/>
      <c r="CI444" s="48"/>
      <c r="CJ444" s="48"/>
      <c r="CL444" s="48"/>
      <c r="CM444" s="48"/>
      <c r="CN444" s="48"/>
      <c r="CO444" s="48"/>
      <c r="CP444" s="48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  <c r="DE444" s="48"/>
      <c r="DF444" s="48"/>
      <c r="DG444" s="48"/>
      <c r="DH444" s="48"/>
      <c r="DI444" s="48"/>
      <c r="DJ444" s="48"/>
      <c r="DK444" s="48"/>
      <c r="DL444" s="48"/>
      <c r="DM444" s="48"/>
      <c r="DN444" s="48"/>
      <c r="DO444" s="48"/>
      <c r="DP444" s="48"/>
      <c r="DQ444" s="48"/>
      <c r="DR444" s="48"/>
      <c r="DS444" s="48"/>
      <c r="DT444" s="48"/>
      <c r="DU444" s="48"/>
      <c r="DV444" s="48"/>
      <c r="DW444" s="48"/>
      <c r="DX444" s="48"/>
      <c r="DY444" s="48"/>
      <c r="DZ444" s="48"/>
      <c r="EA444" s="48"/>
      <c r="EC444" s="48"/>
      <c r="ED444" s="48"/>
      <c r="EE444" s="48"/>
      <c r="EF444" s="48"/>
      <c r="EG444" s="48"/>
      <c r="EI444" s="48"/>
      <c r="EK444" s="48"/>
      <c r="EM444" s="48"/>
      <c r="EO444" s="48"/>
      <c r="EP444" s="48"/>
      <c r="EU444" s="48"/>
      <c r="EV444" s="48"/>
      <c r="EW444" s="48"/>
      <c r="EX444" s="48"/>
      <c r="EY444" s="48"/>
      <c r="EZ444" s="48"/>
      <c r="FA444" s="48"/>
      <c r="FB444" s="48"/>
      <c r="FC444" s="48"/>
      <c r="FD444" s="48"/>
      <c r="FE444" s="48"/>
      <c r="FF444" s="48"/>
      <c r="FG444" s="48"/>
      <c r="FI444" s="48"/>
      <c r="FL444" s="48"/>
      <c r="FM444" s="48"/>
      <c r="FN444" s="48"/>
      <c r="FO444" s="48"/>
      <c r="FP444" s="48"/>
      <c r="FQ444" s="48"/>
      <c r="FR444" s="48"/>
      <c r="FS444" s="48"/>
      <c r="FT444" s="48"/>
      <c r="FU444" s="48"/>
      <c r="GI444" s="64"/>
    </row>
    <row r="445" spans="1:19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52"/>
      <c r="BF445" s="48"/>
      <c r="BG445" s="48"/>
      <c r="BI445" s="48"/>
      <c r="BN445" s="48"/>
      <c r="BO445" s="48"/>
      <c r="BR445" s="48"/>
      <c r="BS445" s="48"/>
      <c r="BW445" s="48"/>
      <c r="CA445" s="48"/>
      <c r="CE445" s="48"/>
      <c r="CF445" s="48"/>
      <c r="CG445" s="48"/>
      <c r="CH445" s="48"/>
      <c r="CI445" s="48"/>
      <c r="CJ445" s="48"/>
      <c r="CL445" s="48"/>
      <c r="CM445" s="48"/>
      <c r="CN445" s="48"/>
      <c r="CO445" s="48"/>
      <c r="CP445" s="48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8"/>
      <c r="DN445" s="48"/>
      <c r="DO445" s="48"/>
      <c r="DP445" s="48"/>
      <c r="DQ445" s="48"/>
      <c r="DR445" s="48"/>
      <c r="DS445" s="48"/>
      <c r="DT445" s="48"/>
      <c r="DU445" s="48"/>
      <c r="DV445" s="48"/>
      <c r="DW445" s="48"/>
      <c r="DX445" s="48"/>
      <c r="DY445" s="48"/>
      <c r="DZ445" s="48"/>
      <c r="EA445" s="48"/>
      <c r="EC445" s="48"/>
      <c r="ED445" s="48"/>
      <c r="EE445" s="48"/>
      <c r="EF445" s="48"/>
      <c r="EG445" s="48"/>
      <c r="EI445" s="48"/>
      <c r="EK445" s="48"/>
      <c r="EM445" s="48"/>
      <c r="EO445" s="48"/>
      <c r="EP445" s="48"/>
      <c r="EU445" s="48"/>
      <c r="EV445" s="48"/>
      <c r="EW445" s="48"/>
      <c r="EX445" s="48"/>
      <c r="EY445" s="48"/>
      <c r="EZ445" s="48"/>
      <c r="FA445" s="48"/>
      <c r="FB445" s="48"/>
      <c r="FC445" s="48"/>
      <c r="FD445" s="48"/>
      <c r="FE445" s="48"/>
      <c r="FF445" s="48"/>
      <c r="FG445" s="48"/>
      <c r="FI445" s="48"/>
      <c r="FL445" s="48"/>
      <c r="FM445" s="48"/>
      <c r="FN445" s="48"/>
      <c r="FO445" s="48"/>
      <c r="FP445" s="48"/>
      <c r="FQ445" s="48"/>
      <c r="FR445" s="48"/>
      <c r="FS445" s="48"/>
      <c r="FT445" s="48"/>
      <c r="FU445" s="48"/>
      <c r="GI445" s="64"/>
    </row>
    <row r="446" spans="1:19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52"/>
      <c r="BF446" s="48"/>
      <c r="BG446" s="48"/>
      <c r="BI446" s="48"/>
      <c r="BN446" s="48"/>
      <c r="BO446" s="48"/>
      <c r="BR446" s="48"/>
      <c r="BS446" s="48"/>
      <c r="BW446" s="48"/>
      <c r="CA446" s="48"/>
      <c r="CE446" s="48"/>
      <c r="CF446" s="48"/>
      <c r="CG446" s="48"/>
      <c r="CH446" s="48"/>
      <c r="CI446" s="48"/>
      <c r="CJ446" s="48"/>
      <c r="CL446" s="48"/>
      <c r="CM446" s="48"/>
      <c r="CN446" s="48"/>
      <c r="CO446" s="48"/>
      <c r="CP446" s="48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  <c r="DE446" s="48"/>
      <c r="DF446" s="48"/>
      <c r="DG446" s="48"/>
      <c r="DH446" s="48"/>
      <c r="DI446" s="48"/>
      <c r="DJ446" s="48"/>
      <c r="DK446" s="48"/>
      <c r="DL446" s="48"/>
      <c r="DM446" s="48"/>
      <c r="DN446" s="48"/>
      <c r="DO446" s="48"/>
      <c r="DP446" s="48"/>
      <c r="DQ446" s="48"/>
      <c r="DR446" s="48"/>
      <c r="DS446" s="48"/>
      <c r="DT446" s="48"/>
      <c r="DU446" s="48"/>
      <c r="DV446" s="48"/>
      <c r="DW446" s="48"/>
      <c r="DX446" s="48"/>
      <c r="DY446" s="48"/>
      <c r="DZ446" s="48"/>
      <c r="EA446" s="48"/>
      <c r="EC446" s="48"/>
      <c r="ED446" s="48"/>
      <c r="EE446" s="48"/>
      <c r="EF446" s="48"/>
      <c r="EG446" s="48"/>
      <c r="EI446" s="48"/>
      <c r="EK446" s="48"/>
      <c r="EM446" s="48"/>
      <c r="EO446" s="48"/>
      <c r="EP446" s="48"/>
      <c r="EU446" s="48"/>
      <c r="EV446" s="48"/>
      <c r="EW446" s="48"/>
      <c r="EX446" s="48"/>
      <c r="EY446" s="48"/>
      <c r="EZ446" s="48"/>
      <c r="FA446" s="48"/>
      <c r="FB446" s="48"/>
      <c r="FC446" s="48"/>
      <c r="FD446" s="48"/>
      <c r="FE446" s="48"/>
      <c r="FF446" s="48"/>
      <c r="FG446" s="48"/>
      <c r="FI446" s="48"/>
      <c r="FL446" s="48"/>
      <c r="FM446" s="48"/>
      <c r="FN446" s="48"/>
      <c r="FO446" s="48"/>
      <c r="FP446" s="48"/>
      <c r="FQ446" s="48"/>
      <c r="FR446" s="48"/>
      <c r="FS446" s="48"/>
      <c r="FT446" s="48"/>
      <c r="FU446" s="48"/>
      <c r="GI446" s="64"/>
    </row>
    <row r="447" spans="1:19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52"/>
      <c r="BF447" s="48"/>
      <c r="BG447" s="48"/>
      <c r="BI447" s="48"/>
      <c r="BN447" s="48"/>
      <c r="BO447" s="48"/>
      <c r="BR447" s="48"/>
      <c r="BS447" s="48"/>
      <c r="BW447" s="48"/>
      <c r="CA447" s="48"/>
      <c r="CE447" s="48"/>
      <c r="CF447" s="48"/>
      <c r="CG447" s="48"/>
      <c r="CH447" s="48"/>
      <c r="CI447" s="48"/>
      <c r="CJ447" s="48"/>
      <c r="CL447" s="48"/>
      <c r="CM447" s="48"/>
      <c r="CN447" s="48"/>
      <c r="CO447" s="48"/>
      <c r="CP447" s="48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8"/>
      <c r="DV447" s="48"/>
      <c r="DW447" s="48"/>
      <c r="DX447" s="48"/>
      <c r="DY447" s="48"/>
      <c r="DZ447" s="48"/>
      <c r="EA447" s="48"/>
      <c r="EC447" s="48"/>
      <c r="ED447" s="48"/>
      <c r="EE447" s="48"/>
      <c r="EF447" s="48"/>
      <c r="EG447" s="48"/>
      <c r="EI447" s="48"/>
      <c r="EK447" s="48"/>
      <c r="EM447" s="48"/>
      <c r="EO447" s="48"/>
      <c r="EP447" s="48"/>
      <c r="EU447" s="48"/>
      <c r="EV447" s="48"/>
      <c r="EW447" s="48"/>
      <c r="EX447" s="48"/>
      <c r="EY447" s="48"/>
      <c r="EZ447" s="48"/>
      <c r="FA447" s="48"/>
      <c r="FB447" s="48"/>
      <c r="FC447" s="48"/>
      <c r="FD447" s="48"/>
      <c r="FE447" s="48"/>
      <c r="FF447" s="48"/>
      <c r="FG447" s="48"/>
      <c r="FI447" s="48"/>
      <c r="FL447" s="48"/>
      <c r="FM447" s="48"/>
      <c r="FN447" s="48"/>
      <c r="FO447" s="48"/>
      <c r="FP447" s="48"/>
      <c r="FQ447" s="48"/>
      <c r="FR447" s="48"/>
      <c r="FS447" s="48"/>
      <c r="FT447" s="48"/>
      <c r="FU447" s="48"/>
      <c r="GI447" s="64"/>
    </row>
    <row r="448" spans="1:19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52"/>
      <c r="BF448" s="48"/>
      <c r="BG448" s="48"/>
      <c r="BI448" s="48"/>
      <c r="BN448" s="48"/>
      <c r="BO448" s="48"/>
      <c r="BR448" s="48"/>
      <c r="BS448" s="48"/>
      <c r="BW448" s="48"/>
      <c r="CA448" s="48"/>
      <c r="CE448" s="48"/>
      <c r="CF448" s="48"/>
      <c r="CG448" s="48"/>
      <c r="CH448" s="48"/>
      <c r="CI448" s="48"/>
      <c r="CJ448" s="48"/>
      <c r="CL448" s="48"/>
      <c r="CM448" s="48"/>
      <c r="CN448" s="48"/>
      <c r="CO448" s="48"/>
      <c r="CP448" s="48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8"/>
      <c r="DV448" s="48"/>
      <c r="DW448" s="48"/>
      <c r="DX448" s="48"/>
      <c r="DY448" s="48"/>
      <c r="DZ448" s="48"/>
      <c r="EA448" s="48"/>
      <c r="EC448" s="48"/>
      <c r="ED448" s="48"/>
      <c r="EE448" s="48"/>
      <c r="EF448" s="48"/>
      <c r="EG448" s="48"/>
      <c r="EI448" s="48"/>
      <c r="EK448" s="48"/>
      <c r="EM448" s="48"/>
      <c r="EO448" s="48"/>
      <c r="EP448" s="48"/>
      <c r="EU448" s="48"/>
      <c r="EV448" s="48"/>
      <c r="EW448" s="48"/>
      <c r="EX448" s="48"/>
      <c r="EY448" s="48"/>
      <c r="EZ448" s="48"/>
      <c r="FA448" s="48"/>
      <c r="FB448" s="48"/>
      <c r="FC448" s="48"/>
      <c r="FD448" s="48"/>
      <c r="FE448" s="48"/>
      <c r="FF448" s="48"/>
      <c r="FG448" s="48"/>
      <c r="FI448" s="48"/>
      <c r="FL448" s="48"/>
      <c r="FM448" s="48"/>
      <c r="FN448" s="48"/>
      <c r="FO448" s="48"/>
      <c r="FP448" s="48"/>
      <c r="FQ448" s="48"/>
      <c r="FR448" s="48"/>
      <c r="FS448" s="48"/>
      <c r="FT448" s="48"/>
      <c r="FU448" s="48"/>
      <c r="GI448" s="64"/>
    </row>
    <row r="449" spans="1:19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52"/>
      <c r="BF449" s="48"/>
      <c r="BG449" s="48"/>
      <c r="BI449" s="48"/>
      <c r="BN449" s="48"/>
      <c r="BO449" s="48"/>
      <c r="BR449" s="48"/>
      <c r="BS449" s="48"/>
      <c r="BW449" s="48"/>
      <c r="CA449" s="48"/>
      <c r="CE449" s="48"/>
      <c r="CF449" s="48"/>
      <c r="CG449" s="48"/>
      <c r="CH449" s="48"/>
      <c r="CI449" s="48"/>
      <c r="CJ449" s="48"/>
      <c r="CL449" s="48"/>
      <c r="CM449" s="48"/>
      <c r="CN449" s="48"/>
      <c r="CO449" s="48"/>
      <c r="CP449" s="48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  <c r="DE449" s="48"/>
      <c r="DF449" s="48"/>
      <c r="DG449" s="48"/>
      <c r="DH449" s="48"/>
      <c r="DI449" s="48"/>
      <c r="DJ449" s="48"/>
      <c r="DK449" s="48"/>
      <c r="DL449" s="48"/>
      <c r="DM449" s="48"/>
      <c r="DN449" s="48"/>
      <c r="DO449" s="48"/>
      <c r="DP449" s="48"/>
      <c r="DQ449" s="48"/>
      <c r="DR449" s="48"/>
      <c r="DS449" s="48"/>
      <c r="DT449" s="48"/>
      <c r="DU449" s="48"/>
      <c r="DV449" s="48"/>
      <c r="DW449" s="48"/>
      <c r="DX449" s="48"/>
      <c r="DY449" s="48"/>
      <c r="DZ449" s="48"/>
      <c r="EA449" s="48"/>
      <c r="EC449" s="48"/>
      <c r="ED449" s="48"/>
      <c r="EE449" s="48"/>
      <c r="EF449" s="48"/>
      <c r="EG449" s="48"/>
      <c r="EI449" s="48"/>
      <c r="EK449" s="48"/>
      <c r="EM449" s="48"/>
      <c r="EO449" s="48"/>
      <c r="EP449" s="48"/>
      <c r="EU449" s="48"/>
      <c r="EV449" s="48"/>
      <c r="EW449" s="48"/>
      <c r="EX449" s="48"/>
      <c r="EY449" s="48"/>
      <c r="EZ449" s="48"/>
      <c r="FA449" s="48"/>
      <c r="FB449" s="48"/>
      <c r="FC449" s="48"/>
      <c r="FD449" s="48"/>
      <c r="FE449" s="48"/>
      <c r="FF449" s="48"/>
      <c r="FG449" s="48"/>
      <c r="FI449" s="48"/>
      <c r="FL449" s="48"/>
      <c r="FM449" s="48"/>
      <c r="FN449" s="48"/>
      <c r="FO449" s="48"/>
      <c r="FP449" s="48"/>
      <c r="FQ449" s="48"/>
      <c r="FR449" s="48"/>
      <c r="FS449" s="48"/>
      <c r="FT449" s="48"/>
      <c r="FU449" s="48"/>
      <c r="GI449" s="64"/>
    </row>
    <row r="450" spans="1:19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52"/>
      <c r="BF450" s="48"/>
      <c r="BG450" s="48"/>
      <c r="BI450" s="48"/>
      <c r="BN450" s="48"/>
      <c r="BO450" s="48"/>
      <c r="BR450" s="48"/>
      <c r="BS450" s="48"/>
      <c r="BW450" s="48"/>
      <c r="CA450" s="48"/>
      <c r="CE450" s="48"/>
      <c r="CF450" s="48"/>
      <c r="CG450" s="48"/>
      <c r="CH450" s="48"/>
      <c r="CI450" s="48"/>
      <c r="CJ450" s="48"/>
      <c r="CL450" s="48"/>
      <c r="CM450" s="48"/>
      <c r="CN450" s="48"/>
      <c r="CO450" s="48"/>
      <c r="CP450" s="48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8"/>
      <c r="DV450" s="48"/>
      <c r="DW450" s="48"/>
      <c r="DX450" s="48"/>
      <c r="DY450" s="48"/>
      <c r="DZ450" s="48"/>
      <c r="EA450" s="48"/>
      <c r="EC450" s="48"/>
      <c r="ED450" s="48"/>
      <c r="EE450" s="48"/>
      <c r="EF450" s="48"/>
      <c r="EG450" s="48"/>
      <c r="EI450" s="48"/>
      <c r="EK450" s="48"/>
      <c r="EM450" s="48"/>
      <c r="EO450" s="48"/>
      <c r="EP450" s="48"/>
      <c r="EU450" s="48"/>
      <c r="EV450" s="48"/>
      <c r="EW450" s="48"/>
      <c r="EX450" s="48"/>
      <c r="EY450" s="48"/>
      <c r="EZ450" s="48"/>
      <c r="FA450" s="48"/>
      <c r="FB450" s="48"/>
      <c r="FC450" s="48"/>
      <c r="FD450" s="48"/>
      <c r="FE450" s="48"/>
      <c r="FF450" s="48"/>
      <c r="FG450" s="48"/>
      <c r="FI450" s="48"/>
      <c r="FL450" s="48"/>
      <c r="FM450" s="48"/>
      <c r="FN450" s="48"/>
      <c r="FO450" s="48"/>
      <c r="FP450" s="48"/>
      <c r="FQ450" s="48"/>
      <c r="FR450" s="48"/>
      <c r="FS450" s="48"/>
      <c r="FT450" s="48"/>
      <c r="FU450" s="48"/>
      <c r="GI450" s="64"/>
    </row>
    <row r="451" spans="1:19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52"/>
      <c r="BF451" s="48"/>
      <c r="BG451" s="48"/>
      <c r="BI451" s="48"/>
      <c r="BN451" s="48"/>
      <c r="BO451" s="48"/>
      <c r="BR451" s="48"/>
      <c r="BS451" s="48"/>
      <c r="BW451" s="48"/>
      <c r="CA451" s="48"/>
      <c r="CE451" s="48"/>
      <c r="CF451" s="48"/>
      <c r="CG451" s="48"/>
      <c r="CH451" s="48"/>
      <c r="CI451" s="48"/>
      <c r="CJ451" s="48"/>
      <c r="CL451" s="48"/>
      <c r="CM451" s="48"/>
      <c r="CN451" s="48"/>
      <c r="CO451" s="48"/>
      <c r="CP451" s="48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8"/>
      <c r="DV451" s="48"/>
      <c r="DW451" s="48"/>
      <c r="DX451" s="48"/>
      <c r="DY451" s="48"/>
      <c r="DZ451" s="48"/>
      <c r="EA451" s="48"/>
      <c r="EC451" s="48"/>
      <c r="ED451" s="48"/>
      <c r="EE451" s="48"/>
      <c r="EF451" s="48"/>
      <c r="EG451" s="48"/>
      <c r="EI451" s="48"/>
      <c r="EK451" s="48"/>
      <c r="EM451" s="48"/>
      <c r="EO451" s="48"/>
      <c r="EP451" s="48"/>
      <c r="EU451" s="48"/>
      <c r="EV451" s="48"/>
      <c r="EW451" s="48"/>
      <c r="EX451" s="48"/>
      <c r="EY451" s="48"/>
      <c r="EZ451" s="48"/>
      <c r="FA451" s="48"/>
      <c r="FB451" s="48"/>
      <c r="FC451" s="48"/>
      <c r="FD451" s="48"/>
      <c r="FE451" s="48"/>
      <c r="FF451" s="48"/>
      <c r="FG451" s="48"/>
      <c r="FI451" s="48"/>
      <c r="FL451" s="48"/>
      <c r="FM451" s="48"/>
      <c r="FN451" s="48"/>
      <c r="FO451" s="48"/>
      <c r="FP451" s="48"/>
      <c r="FQ451" s="48"/>
      <c r="FR451" s="48"/>
      <c r="FS451" s="48"/>
      <c r="FT451" s="48"/>
      <c r="FU451" s="48"/>
      <c r="GI451" s="64"/>
    </row>
    <row r="452" spans="1:19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52"/>
      <c r="BF452" s="48"/>
      <c r="BG452" s="48"/>
      <c r="BI452" s="48"/>
      <c r="BN452" s="48"/>
      <c r="BO452" s="48"/>
      <c r="BR452" s="48"/>
      <c r="BS452" s="48"/>
      <c r="BW452" s="48"/>
      <c r="CA452" s="48"/>
      <c r="CE452" s="48"/>
      <c r="CF452" s="48"/>
      <c r="CG452" s="48"/>
      <c r="CH452" s="48"/>
      <c r="CI452" s="48"/>
      <c r="CJ452" s="48"/>
      <c r="CL452" s="48"/>
      <c r="CM452" s="48"/>
      <c r="CN452" s="48"/>
      <c r="CO452" s="48"/>
      <c r="CP452" s="48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  <c r="DE452" s="48"/>
      <c r="DF452" s="48"/>
      <c r="DG452" s="48"/>
      <c r="DH452" s="48"/>
      <c r="DI452" s="48"/>
      <c r="DJ452" s="48"/>
      <c r="DK452" s="48"/>
      <c r="DL452" s="48"/>
      <c r="DM452" s="48"/>
      <c r="DN452" s="48"/>
      <c r="DO452" s="48"/>
      <c r="DP452" s="48"/>
      <c r="DQ452" s="48"/>
      <c r="DR452" s="48"/>
      <c r="DS452" s="48"/>
      <c r="DT452" s="48"/>
      <c r="DU452" s="48"/>
      <c r="DV452" s="48"/>
      <c r="DW452" s="48"/>
      <c r="DX452" s="48"/>
      <c r="DY452" s="48"/>
      <c r="DZ452" s="48"/>
      <c r="EA452" s="48"/>
      <c r="EC452" s="48"/>
      <c r="ED452" s="48"/>
      <c r="EE452" s="48"/>
      <c r="EF452" s="48"/>
      <c r="EG452" s="48"/>
      <c r="EI452" s="48"/>
      <c r="EK452" s="48"/>
      <c r="EM452" s="48"/>
      <c r="EO452" s="48"/>
      <c r="EP452" s="48"/>
      <c r="EU452" s="48"/>
      <c r="EV452" s="48"/>
      <c r="EW452" s="48"/>
      <c r="EX452" s="48"/>
      <c r="EY452" s="48"/>
      <c r="EZ452" s="48"/>
      <c r="FA452" s="48"/>
      <c r="FB452" s="48"/>
      <c r="FC452" s="48"/>
      <c r="FD452" s="48"/>
      <c r="FE452" s="48"/>
      <c r="FF452" s="48"/>
      <c r="FG452" s="48"/>
      <c r="FI452" s="48"/>
      <c r="FL452" s="48"/>
      <c r="FM452" s="48"/>
      <c r="FN452" s="48"/>
      <c r="FO452" s="48"/>
      <c r="FP452" s="48"/>
      <c r="FQ452" s="48"/>
      <c r="FR452" s="48"/>
      <c r="FS452" s="48"/>
      <c r="FT452" s="48"/>
      <c r="FU452" s="48"/>
      <c r="GI452" s="64"/>
    </row>
    <row r="453" spans="1:19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52"/>
      <c r="BF453" s="48"/>
      <c r="BG453" s="48"/>
      <c r="BI453" s="48"/>
      <c r="BN453" s="48"/>
      <c r="BO453" s="48"/>
      <c r="BR453" s="48"/>
      <c r="BS453" s="48"/>
      <c r="BW453" s="48"/>
      <c r="CA453" s="48"/>
      <c r="CE453" s="48"/>
      <c r="CF453" s="48"/>
      <c r="CG453" s="48"/>
      <c r="CH453" s="48"/>
      <c r="CI453" s="48"/>
      <c r="CJ453" s="48"/>
      <c r="CL453" s="48"/>
      <c r="CM453" s="48"/>
      <c r="CN453" s="48"/>
      <c r="CO453" s="48"/>
      <c r="CP453" s="48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  <c r="DE453" s="48"/>
      <c r="DF453" s="48"/>
      <c r="DG453" s="48"/>
      <c r="DH453" s="48"/>
      <c r="DI453" s="48"/>
      <c r="DJ453" s="48"/>
      <c r="DK453" s="48"/>
      <c r="DL453" s="48"/>
      <c r="DM453" s="48"/>
      <c r="DN453" s="48"/>
      <c r="DO453" s="48"/>
      <c r="DP453" s="48"/>
      <c r="DQ453" s="48"/>
      <c r="DR453" s="48"/>
      <c r="DS453" s="48"/>
      <c r="DT453" s="48"/>
      <c r="DU453" s="48"/>
      <c r="DV453" s="48"/>
      <c r="DW453" s="48"/>
      <c r="DX453" s="48"/>
      <c r="DY453" s="48"/>
      <c r="DZ453" s="48"/>
      <c r="EA453" s="48"/>
      <c r="EC453" s="48"/>
      <c r="ED453" s="48"/>
      <c r="EE453" s="48"/>
      <c r="EF453" s="48"/>
      <c r="EG453" s="48"/>
      <c r="EI453" s="48"/>
      <c r="EK453" s="48"/>
      <c r="EM453" s="48"/>
      <c r="EO453" s="48"/>
      <c r="EP453" s="48"/>
      <c r="EU453" s="48"/>
      <c r="EV453" s="48"/>
      <c r="EW453" s="48"/>
      <c r="EX453" s="48"/>
      <c r="EY453" s="48"/>
      <c r="EZ453" s="48"/>
      <c r="FA453" s="48"/>
      <c r="FB453" s="48"/>
      <c r="FC453" s="48"/>
      <c r="FD453" s="48"/>
      <c r="FE453" s="48"/>
      <c r="FF453" s="48"/>
      <c r="FG453" s="48"/>
      <c r="FI453" s="48"/>
      <c r="FL453" s="48"/>
      <c r="FM453" s="48"/>
      <c r="FN453" s="48"/>
      <c r="FO453" s="48"/>
      <c r="FP453" s="48"/>
      <c r="FQ453" s="48"/>
      <c r="FR453" s="48"/>
      <c r="FS453" s="48"/>
      <c r="FT453" s="48"/>
      <c r="FU453" s="48"/>
      <c r="GI453" s="64"/>
    </row>
    <row r="454" spans="1:19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52"/>
      <c r="BF454" s="48"/>
      <c r="BG454" s="48"/>
      <c r="BI454" s="48"/>
      <c r="BN454" s="48"/>
      <c r="BO454" s="48"/>
      <c r="BR454" s="48"/>
      <c r="BS454" s="48"/>
      <c r="BW454" s="48"/>
      <c r="CA454" s="48"/>
      <c r="CE454" s="48"/>
      <c r="CF454" s="48"/>
      <c r="CG454" s="48"/>
      <c r="CH454" s="48"/>
      <c r="CI454" s="48"/>
      <c r="CJ454" s="48"/>
      <c r="CL454" s="48"/>
      <c r="CM454" s="48"/>
      <c r="CN454" s="48"/>
      <c r="CO454" s="48"/>
      <c r="CP454" s="48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8"/>
      <c r="DV454" s="48"/>
      <c r="DW454" s="48"/>
      <c r="DX454" s="48"/>
      <c r="DY454" s="48"/>
      <c r="DZ454" s="48"/>
      <c r="EA454" s="48"/>
      <c r="EC454" s="48"/>
      <c r="ED454" s="48"/>
      <c r="EE454" s="48"/>
      <c r="EF454" s="48"/>
      <c r="EG454" s="48"/>
      <c r="EI454" s="48"/>
      <c r="EK454" s="48"/>
      <c r="EM454" s="48"/>
      <c r="EO454" s="48"/>
      <c r="EP454" s="48"/>
      <c r="EU454" s="48"/>
      <c r="EV454" s="48"/>
      <c r="EW454" s="48"/>
      <c r="EX454" s="48"/>
      <c r="EY454" s="48"/>
      <c r="EZ454" s="48"/>
      <c r="FA454" s="48"/>
      <c r="FB454" s="48"/>
      <c r="FC454" s="48"/>
      <c r="FD454" s="48"/>
      <c r="FE454" s="48"/>
      <c r="FF454" s="48"/>
      <c r="FG454" s="48"/>
      <c r="FI454" s="48"/>
      <c r="FL454" s="48"/>
      <c r="FM454" s="48"/>
      <c r="FN454" s="48"/>
      <c r="FO454" s="48"/>
      <c r="FP454" s="48"/>
      <c r="FQ454" s="48"/>
      <c r="FR454" s="48"/>
      <c r="FS454" s="48"/>
      <c r="FT454" s="48"/>
      <c r="FU454" s="48"/>
      <c r="GI454" s="64"/>
    </row>
    <row r="455" spans="1:19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52"/>
      <c r="BF455" s="48"/>
      <c r="BG455" s="48"/>
      <c r="BI455" s="48"/>
      <c r="BN455" s="48"/>
      <c r="BO455" s="48"/>
      <c r="BR455" s="48"/>
      <c r="BS455" s="48"/>
      <c r="BW455" s="48"/>
      <c r="CA455" s="48"/>
      <c r="CE455" s="48"/>
      <c r="CF455" s="48"/>
      <c r="CG455" s="48"/>
      <c r="CH455" s="48"/>
      <c r="CI455" s="48"/>
      <c r="CJ455" s="48"/>
      <c r="CL455" s="48"/>
      <c r="CM455" s="48"/>
      <c r="CN455" s="48"/>
      <c r="CO455" s="48"/>
      <c r="CP455" s="48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8"/>
      <c r="DV455" s="48"/>
      <c r="DW455" s="48"/>
      <c r="DX455" s="48"/>
      <c r="DY455" s="48"/>
      <c r="DZ455" s="48"/>
      <c r="EA455" s="48"/>
      <c r="EC455" s="48"/>
      <c r="ED455" s="48"/>
      <c r="EE455" s="48"/>
      <c r="EF455" s="48"/>
      <c r="EG455" s="48"/>
      <c r="EI455" s="48"/>
      <c r="EK455" s="48"/>
      <c r="EM455" s="48"/>
      <c r="EO455" s="48"/>
      <c r="EP455" s="48"/>
      <c r="EU455" s="48"/>
      <c r="EV455" s="48"/>
      <c r="EW455" s="48"/>
      <c r="EX455" s="48"/>
      <c r="EY455" s="48"/>
      <c r="EZ455" s="48"/>
      <c r="FA455" s="48"/>
      <c r="FB455" s="48"/>
      <c r="FC455" s="48"/>
      <c r="FD455" s="48"/>
      <c r="FE455" s="48"/>
      <c r="FF455" s="48"/>
      <c r="FG455" s="48"/>
      <c r="FI455" s="48"/>
      <c r="FL455" s="48"/>
      <c r="FM455" s="48"/>
      <c r="FN455" s="48"/>
      <c r="FO455" s="48"/>
      <c r="FP455" s="48"/>
      <c r="FQ455" s="48"/>
      <c r="FR455" s="48"/>
      <c r="FS455" s="48"/>
      <c r="FT455" s="48"/>
      <c r="FU455" s="48"/>
      <c r="GI455" s="64"/>
    </row>
    <row r="456" spans="1:19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52"/>
      <c r="BF456" s="48"/>
      <c r="BG456" s="48"/>
      <c r="BI456" s="48"/>
      <c r="BN456" s="48"/>
      <c r="BO456" s="48"/>
      <c r="BR456" s="48"/>
      <c r="BS456" s="48"/>
      <c r="BW456" s="48"/>
      <c r="CA456" s="48"/>
      <c r="CE456" s="48"/>
      <c r="CF456" s="48"/>
      <c r="CG456" s="48"/>
      <c r="CH456" s="48"/>
      <c r="CI456" s="48"/>
      <c r="CJ456" s="48"/>
      <c r="CL456" s="48"/>
      <c r="CM456" s="48"/>
      <c r="CN456" s="48"/>
      <c r="CO456" s="48"/>
      <c r="CP456" s="48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  <c r="DE456" s="48"/>
      <c r="DF456" s="48"/>
      <c r="DG456" s="48"/>
      <c r="DH456" s="48"/>
      <c r="DI456" s="48"/>
      <c r="DJ456" s="48"/>
      <c r="DK456" s="48"/>
      <c r="DL456" s="48"/>
      <c r="DM456" s="48"/>
      <c r="DN456" s="48"/>
      <c r="DO456" s="48"/>
      <c r="DP456" s="48"/>
      <c r="DQ456" s="48"/>
      <c r="DR456" s="48"/>
      <c r="DS456" s="48"/>
      <c r="DT456" s="48"/>
      <c r="DU456" s="48"/>
      <c r="DV456" s="48"/>
      <c r="DW456" s="48"/>
      <c r="DX456" s="48"/>
      <c r="DY456" s="48"/>
      <c r="DZ456" s="48"/>
      <c r="EA456" s="48"/>
      <c r="EC456" s="48"/>
      <c r="ED456" s="48"/>
      <c r="EE456" s="48"/>
      <c r="EF456" s="48"/>
      <c r="EG456" s="48"/>
      <c r="EI456" s="48"/>
      <c r="EK456" s="48"/>
      <c r="EM456" s="48"/>
      <c r="EO456" s="48"/>
      <c r="EP456" s="48"/>
      <c r="EU456" s="48"/>
      <c r="EV456" s="48"/>
      <c r="EW456" s="48"/>
      <c r="EX456" s="48"/>
      <c r="EY456" s="48"/>
      <c r="EZ456" s="48"/>
      <c r="FA456" s="48"/>
      <c r="FB456" s="48"/>
      <c r="FC456" s="48"/>
      <c r="FD456" s="48"/>
      <c r="FE456" s="48"/>
      <c r="FF456" s="48"/>
      <c r="FG456" s="48"/>
      <c r="FI456" s="48"/>
      <c r="FL456" s="48"/>
      <c r="FM456" s="48"/>
      <c r="FN456" s="48"/>
      <c r="FO456" s="48"/>
      <c r="FP456" s="48"/>
      <c r="FQ456" s="48"/>
      <c r="FR456" s="48"/>
      <c r="FS456" s="48"/>
      <c r="FT456" s="48"/>
      <c r="FU456" s="48"/>
      <c r="GI456" s="64"/>
    </row>
    <row r="457" spans="1:19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52"/>
      <c r="BF457" s="48"/>
      <c r="BG457" s="48"/>
      <c r="BI457" s="48"/>
      <c r="BN457" s="48"/>
      <c r="BO457" s="48"/>
      <c r="BR457" s="48"/>
      <c r="BS457" s="48"/>
      <c r="BW457" s="48"/>
      <c r="CA457" s="48"/>
      <c r="CE457" s="48"/>
      <c r="CF457" s="48"/>
      <c r="CG457" s="48"/>
      <c r="CH457" s="48"/>
      <c r="CI457" s="48"/>
      <c r="CJ457" s="48"/>
      <c r="CL457" s="48"/>
      <c r="CM457" s="48"/>
      <c r="CN457" s="48"/>
      <c r="CO457" s="48"/>
      <c r="CP457" s="48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8"/>
      <c r="DN457" s="48"/>
      <c r="DO457" s="48"/>
      <c r="DP457" s="48"/>
      <c r="DQ457" s="48"/>
      <c r="DR457" s="48"/>
      <c r="DS457" s="48"/>
      <c r="DT457" s="48"/>
      <c r="DU457" s="48"/>
      <c r="DV457" s="48"/>
      <c r="DW457" s="48"/>
      <c r="DX457" s="48"/>
      <c r="DY457" s="48"/>
      <c r="DZ457" s="48"/>
      <c r="EA457" s="48"/>
      <c r="EC457" s="48"/>
      <c r="ED457" s="48"/>
      <c r="EE457" s="48"/>
      <c r="EF457" s="48"/>
      <c r="EG457" s="48"/>
      <c r="EI457" s="48"/>
      <c r="EK457" s="48"/>
      <c r="EM457" s="48"/>
      <c r="EO457" s="48"/>
      <c r="EP457" s="48"/>
      <c r="EU457" s="48"/>
      <c r="EV457" s="48"/>
      <c r="EW457" s="48"/>
      <c r="EX457" s="48"/>
      <c r="EY457" s="48"/>
      <c r="EZ457" s="48"/>
      <c r="FA457" s="48"/>
      <c r="FB457" s="48"/>
      <c r="FC457" s="48"/>
      <c r="FD457" s="48"/>
      <c r="FE457" s="48"/>
      <c r="FF457" s="48"/>
      <c r="FG457" s="48"/>
      <c r="FI457" s="48"/>
      <c r="FL457" s="48"/>
      <c r="FM457" s="48"/>
      <c r="FN457" s="48"/>
      <c r="FO457" s="48"/>
      <c r="FP457" s="48"/>
      <c r="FQ457" s="48"/>
      <c r="FR457" s="48"/>
      <c r="FS457" s="48"/>
      <c r="FT457" s="48"/>
      <c r="FU457" s="48"/>
      <c r="GI457" s="64"/>
    </row>
    <row r="458" spans="1:19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52"/>
      <c r="BF458" s="48"/>
      <c r="BG458" s="48"/>
      <c r="BI458" s="48"/>
      <c r="BN458" s="48"/>
      <c r="BO458" s="48"/>
      <c r="BR458" s="48"/>
      <c r="BS458" s="48"/>
      <c r="BW458" s="48"/>
      <c r="CA458" s="48"/>
      <c r="CE458" s="48"/>
      <c r="CF458" s="48"/>
      <c r="CG458" s="48"/>
      <c r="CH458" s="48"/>
      <c r="CI458" s="48"/>
      <c r="CJ458" s="48"/>
      <c r="CL458" s="48"/>
      <c r="CM458" s="48"/>
      <c r="CN458" s="48"/>
      <c r="CO458" s="48"/>
      <c r="CP458" s="48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  <c r="DE458" s="48"/>
      <c r="DF458" s="48"/>
      <c r="DG458" s="48"/>
      <c r="DH458" s="48"/>
      <c r="DI458" s="48"/>
      <c r="DJ458" s="48"/>
      <c r="DK458" s="48"/>
      <c r="DL458" s="48"/>
      <c r="DM458" s="48"/>
      <c r="DN458" s="48"/>
      <c r="DO458" s="48"/>
      <c r="DP458" s="48"/>
      <c r="DQ458" s="48"/>
      <c r="DR458" s="48"/>
      <c r="DS458" s="48"/>
      <c r="DT458" s="48"/>
      <c r="DU458" s="48"/>
      <c r="DV458" s="48"/>
      <c r="DW458" s="48"/>
      <c r="DX458" s="48"/>
      <c r="DY458" s="48"/>
      <c r="DZ458" s="48"/>
      <c r="EA458" s="48"/>
      <c r="EC458" s="48"/>
      <c r="ED458" s="48"/>
      <c r="EE458" s="48"/>
      <c r="EF458" s="48"/>
      <c r="EG458" s="48"/>
      <c r="EI458" s="48"/>
      <c r="EK458" s="48"/>
      <c r="EM458" s="48"/>
      <c r="EO458" s="48"/>
      <c r="EP458" s="48"/>
      <c r="EU458" s="48"/>
      <c r="EV458" s="48"/>
      <c r="EW458" s="48"/>
      <c r="EX458" s="48"/>
      <c r="EY458" s="48"/>
      <c r="EZ458" s="48"/>
      <c r="FA458" s="48"/>
      <c r="FB458" s="48"/>
      <c r="FC458" s="48"/>
      <c r="FD458" s="48"/>
      <c r="FE458" s="48"/>
      <c r="FF458" s="48"/>
      <c r="FG458" s="48"/>
      <c r="FI458" s="48"/>
      <c r="FL458" s="48"/>
      <c r="FM458" s="48"/>
      <c r="FN458" s="48"/>
      <c r="FO458" s="48"/>
      <c r="FP458" s="48"/>
      <c r="FQ458" s="48"/>
      <c r="FR458" s="48"/>
      <c r="FS458" s="48"/>
      <c r="FT458" s="48"/>
      <c r="FU458" s="48"/>
      <c r="GI458" s="64"/>
    </row>
    <row r="459" spans="1:19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52"/>
      <c r="BF459" s="48"/>
      <c r="BG459" s="48"/>
      <c r="BI459" s="48"/>
      <c r="BN459" s="48"/>
      <c r="BO459" s="48"/>
      <c r="BR459" s="48"/>
      <c r="BS459" s="48"/>
      <c r="BW459" s="48"/>
      <c r="CA459" s="48"/>
      <c r="CE459" s="48"/>
      <c r="CF459" s="48"/>
      <c r="CG459" s="48"/>
      <c r="CH459" s="48"/>
      <c r="CI459" s="48"/>
      <c r="CJ459" s="48"/>
      <c r="CL459" s="48"/>
      <c r="CM459" s="48"/>
      <c r="CN459" s="48"/>
      <c r="CO459" s="48"/>
      <c r="CP459" s="48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  <c r="DE459" s="48"/>
      <c r="DF459" s="48"/>
      <c r="DG459" s="48"/>
      <c r="DH459" s="48"/>
      <c r="DI459" s="48"/>
      <c r="DJ459" s="48"/>
      <c r="DK459" s="48"/>
      <c r="DL459" s="48"/>
      <c r="DM459" s="48"/>
      <c r="DN459" s="48"/>
      <c r="DO459" s="48"/>
      <c r="DP459" s="48"/>
      <c r="DQ459" s="48"/>
      <c r="DR459" s="48"/>
      <c r="DS459" s="48"/>
      <c r="DT459" s="48"/>
      <c r="DU459" s="48"/>
      <c r="DV459" s="48"/>
      <c r="DW459" s="48"/>
      <c r="DX459" s="48"/>
      <c r="DY459" s="48"/>
      <c r="DZ459" s="48"/>
      <c r="EA459" s="48"/>
      <c r="EC459" s="48"/>
      <c r="ED459" s="48"/>
      <c r="EE459" s="48"/>
      <c r="EF459" s="48"/>
      <c r="EG459" s="48"/>
      <c r="EI459" s="48"/>
      <c r="EK459" s="48"/>
      <c r="EM459" s="48"/>
      <c r="EO459" s="48"/>
      <c r="EP459" s="48"/>
      <c r="EU459" s="48"/>
      <c r="EV459" s="48"/>
      <c r="EW459" s="48"/>
      <c r="EX459" s="48"/>
      <c r="EY459" s="48"/>
      <c r="EZ459" s="48"/>
      <c r="FA459" s="48"/>
      <c r="FB459" s="48"/>
      <c r="FC459" s="48"/>
      <c r="FD459" s="48"/>
      <c r="FE459" s="48"/>
      <c r="FF459" s="48"/>
      <c r="FG459" s="48"/>
      <c r="FI459" s="48"/>
      <c r="FL459" s="48"/>
      <c r="FM459" s="48"/>
      <c r="FN459" s="48"/>
      <c r="FO459" s="48"/>
      <c r="FP459" s="48"/>
      <c r="FQ459" s="48"/>
      <c r="FR459" s="48"/>
      <c r="FS459" s="48"/>
      <c r="FT459" s="48"/>
      <c r="FU459" s="48"/>
      <c r="GI459" s="64"/>
    </row>
    <row r="460" spans="1:19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52"/>
      <c r="BF460" s="48"/>
      <c r="BG460" s="48"/>
      <c r="BI460" s="48"/>
      <c r="BN460" s="48"/>
      <c r="BO460" s="48"/>
      <c r="BR460" s="48"/>
      <c r="BS460" s="48"/>
      <c r="BW460" s="48"/>
      <c r="CA460" s="48"/>
      <c r="CE460" s="48"/>
      <c r="CF460" s="48"/>
      <c r="CG460" s="48"/>
      <c r="CH460" s="48"/>
      <c r="CI460" s="48"/>
      <c r="CJ460" s="48"/>
      <c r="CL460" s="48"/>
      <c r="CM460" s="48"/>
      <c r="CN460" s="48"/>
      <c r="CO460" s="48"/>
      <c r="CP460" s="48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8"/>
      <c r="DV460" s="48"/>
      <c r="DW460" s="48"/>
      <c r="DX460" s="48"/>
      <c r="DY460" s="48"/>
      <c r="DZ460" s="48"/>
      <c r="EA460" s="48"/>
      <c r="EC460" s="48"/>
      <c r="ED460" s="48"/>
      <c r="EE460" s="48"/>
      <c r="EF460" s="48"/>
      <c r="EG460" s="48"/>
      <c r="EI460" s="48"/>
      <c r="EK460" s="48"/>
      <c r="EM460" s="48"/>
      <c r="EO460" s="48"/>
      <c r="EP460" s="48"/>
      <c r="EU460" s="48"/>
      <c r="EV460" s="48"/>
      <c r="EW460" s="48"/>
      <c r="EX460" s="48"/>
      <c r="EY460" s="48"/>
      <c r="EZ460" s="48"/>
      <c r="FA460" s="48"/>
      <c r="FB460" s="48"/>
      <c r="FC460" s="48"/>
      <c r="FD460" s="48"/>
      <c r="FE460" s="48"/>
      <c r="FF460" s="48"/>
      <c r="FG460" s="48"/>
      <c r="FI460" s="48"/>
      <c r="FL460" s="48"/>
      <c r="FM460" s="48"/>
      <c r="FN460" s="48"/>
      <c r="FO460" s="48"/>
      <c r="FP460" s="48"/>
      <c r="FQ460" s="48"/>
      <c r="FR460" s="48"/>
      <c r="FS460" s="48"/>
      <c r="FT460" s="48"/>
      <c r="FU460" s="48"/>
      <c r="GI460" s="64"/>
    </row>
    <row r="461" spans="1:19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52"/>
      <c r="BF461" s="48"/>
      <c r="BG461" s="48"/>
      <c r="BI461" s="48"/>
      <c r="BN461" s="48"/>
      <c r="BO461" s="48"/>
      <c r="BR461" s="48"/>
      <c r="BS461" s="48"/>
      <c r="BW461" s="48"/>
      <c r="CA461" s="48"/>
      <c r="CE461" s="48"/>
      <c r="CF461" s="48"/>
      <c r="CG461" s="48"/>
      <c r="CH461" s="48"/>
      <c r="CI461" s="48"/>
      <c r="CJ461" s="48"/>
      <c r="CL461" s="48"/>
      <c r="CM461" s="48"/>
      <c r="CN461" s="48"/>
      <c r="CO461" s="48"/>
      <c r="CP461" s="48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8"/>
      <c r="DV461" s="48"/>
      <c r="DW461" s="48"/>
      <c r="DX461" s="48"/>
      <c r="DY461" s="48"/>
      <c r="DZ461" s="48"/>
      <c r="EA461" s="48"/>
      <c r="EC461" s="48"/>
      <c r="ED461" s="48"/>
      <c r="EE461" s="48"/>
      <c r="EF461" s="48"/>
      <c r="EG461" s="48"/>
      <c r="EI461" s="48"/>
      <c r="EK461" s="48"/>
      <c r="EM461" s="48"/>
      <c r="EO461" s="48"/>
      <c r="EP461" s="48"/>
      <c r="EU461" s="48"/>
      <c r="EV461" s="48"/>
      <c r="EW461" s="48"/>
      <c r="EX461" s="48"/>
      <c r="EY461" s="48"/>
      <c r="EZ461" s="48"/>
      <c r="FA461" s="48"/>
      <c r="FB461" s="48"/>
      <c r="FC461" s="48"/>
      <c r="FD461" s="48"/>
      <c r="FE461" s="48"/>
      <c r="FF461" s="48"/>
      <c r="FG461" s="48"/>
      <c r="FI461" s="48"/>
      <c r="FL461" s="48"/>
      <c r="FM461" s="48"/>
      <c r="FN461" s="48"/>
      <c r="FO461" s="48"/>
      <c r="FP461" s="48"/>
      <c r="FQ461" s="48"/>
      <c r="FR461" s="48"/>
      <c r="FS461" s="48"/>
      <c r="FT461" s="48"/>
      <c r="FU461" s="48"/>
      <c r="GI461" s="64"/>
    </row>
    <row r="462" spans="1:19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52"/>
      <c r="BF462" s="48"/>
      <c r="BG462" s="48"/>
      <c r="BI462" s="48"/>
      <c r="BN462" s="48"/>
      <c r="BO462" s="48"/>
      <c r="BR462" s="48"/>
      <c r="BS462" s="48"/>
      <c r="BW462" s="48"/>
      <c r="CA462" s="48"/>
      <c r="CE462" s="48"/>
      <c r="CF462" s="48"/>
      <c r="CG462" s="48"/>
      <c r="CH462" s="48"/>
      <c r="CI462" s="48"/>
      <c r="CJ462" s="48"/>
      <c r="CL462" s="48"/>
      <c r="CM462" s="48"/>
      <c r="CN462" s="48"/>
      <c r="CO462" s="48"/>
      <c r="CP462" s="48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8"/>
      <c r="DV462" s="48"/>
      <c r="DW462" s="48"/>
      <c r="DX462" s="48"/>
      <c r="DY462" s="48"/>
      <c r="DZ462" s="48"/>
      <c r="EA462" s="48"/>
      <c r="EC462" s="48"/>
      <c r="ED462" s="48"/>
      <c r="EE462" s="48"/>
      <c r="EF462" s="48"/>
      <c r="EG462" s="48"/>
      <c r="EI462" s="48"/>
      <c r="EK462" s="48"/>
      <c r="EM462" s="48"/>
      <c r="EO462" s="48"/>
      <c r="EP462" s="48"/>
      <c r="EU462" s="48"/>
      <c r="EV462" s="48"/>
      <c r="EW462" s="48"/>
      <c r="EX462" s="48"/>
      <c r="EY462" s="48"/>
      <c r="EZ462" s="48"/>
      <c r="FA462" s="48"/>
      <c r="FB462" s="48"/>
      <c r="FC462" s="48"/>
      <c r="FD462" s="48"/>
      <c r="FE462" s="48"/>
      <c r="FF462" s="48"/>
      <c r="FG462" s="48"/>
      <c r="FI462" s="48"/>
      <c r="FL462" s="48"/>
      <c r="FM462" s="48"/>
      <c r="FN462" s="48"/>
      <c r="FO462" s="48"/>
      <c r="FP462" s="48"/>
      <c r="FQ462" s="48"/>
      <c r="FR462" s="48"/>
      <c r="FS462" s="48"/>
      <c r="FT462" s="48"/>
      <c r="FU462" s="48"/>
      <c r="GI462" s="64"/>
    </row>
    <row r="463" spans="1:19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52"/>
      <c r="BF463" s="48"/>
      <c r="BG463" s="48"/>
      <c r="BI463" s="48"/>
      <c r="BN463" s="48"/>
      <c r="BO463" s="48"/>
      <c r="BR463" s="48"/>
      <c r="BS463" s="48"/>
      <c r="BW463" s="48"/>
      <c r="CA463" s="48"/>
      <c r="CE463" s="48"/>
      <c r="CF463" s="48"/>
      <c r="CG463" s="48"/>
      <c r="CH463" s="48"/>
      <c r="CI463" s="48"/>
      <c r="CJ463" s="48"/>
      <c r="CL463" s="48"/>
      <c r="CM463" s="48"/>
      <c r="CN463" s="48"/>
      <c r="CO463" s="48"/>
      <c r="CP463" s="48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8"/>
      <c r="DN463" s="48"/>
      <c r="DO463" s="48"/>
      <c r="DP463" s="48"/>
      <c r="DQ463" s="48"/>
      <c r="DR463" s="48"/>
      <c r="DS463" s="48"/>
      <c r="DT463" s="48"/>
      <c r="DU463" s="48"/>
      <c r="DV463" s="48"/>
      <c r="DW463" s="48"/>
      <c r="DX463" s="48"/>
      <c r="DY463" s="48"/>
      <c r="DZ463" s="48"/>
      <c r="EA463" s="48"/>
      <c r="EC463" s="48"/>
      <c r="ED463" s="48"/>
      <c r="EE463" s="48"/>
      <c r="EF463" s="48"/>
      <c r="EG463" s="48"/>
      <c r="EI463" s="48"/>
      <c r="EK463" s="48"/>
      <c r="EM463" s="48"/>
      <c r="EO463" s="48"/>
      <c r="EP463" s="48"/>
      <c r="EU463" s="48"/>
      <c r="EV463" s="48"/>
      <c r="EW463" s="48"/>
      <c r="EX463" s="48"/>
      <c r="EY463" s="48"/>
      <c r="EZ463" s="48"/>
      <c r="FA463" s="48"/>
      <c r="FB463" s="48"/>
      <c r="FC463" s="48"/>
      <c r="FD463" s="48"/>
      <c r="FE463" s="48"/>
      <c r="FF463" s="48"/>
      <c r="FG463" s="48"/>
      <c r="FI463" s="48"/>
      <c r="FL463" s="48"/>
      <c r="FM463" s="48"/>
      <c r="FN463" s="48"/>
      <c r="FO463" s="48"/>
      <c r="FP463" s="48"/>
      <c r="FQ463" s="48"/>
      <c r="FR463" s="48"/>
      <c r="FS463" s="48"/>
      <c r="FT463" s="48"/>
      <c r="FU463" s="48"/>
      <c r="GI463" s="64"/>
    </row>
    <row r="464" spans="1:19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52"/>
      <c r="BF464" s="48"/>
      <c r="BG464" s="48"/>
      <c r="BI464" s="48"/>
      <c r="BN464" s="48"/>
      <c r="BO464" s="48"/>
      <c r="BR464" s="48"/>
      <c r="BS464" s="48"/>
      <c r="BW464" s="48"/>
      <c r="CA464" s="48"/>
      <c r="CE464" s="48"/>
      <c r="CF464" s="48"/>
      <c r="CG464" s="48"/>
      <c r="CH464" s="48"/>
      <c r="CI464" s="48"/>
      <c r="CJ464" s="48"/>
      <c r="CL464" s="48"/>
      <c r="CM464" s="48"/>
      <c r="CN464" s="48"/>
      <c r="CO464" s="48"/>
      <c r="CP464" s="48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  <c r="DE464" s="48"/>
      <c r="DF464" s="48"/>
      <c r="DG464" s="48"/>
      <c r="DH464" s="48"/>
      <c r="DI464" s="48"/>
      <c r="DJ464" s="48"/>
      <c r="DK464" s="48"/>
      <c r="DL464" s="48"/>
      <c r="DM464" s="48"/>
      <c r="DN464" s="48"/>
      <c r="DO464" s="48"/>
      <c r="DP464" s="48"/>
      <c r="DQ464" s="48"/>
      <c r="DR464" s="48"/>
      <c r="DS464" s="48"/>
      <c r="DT464" s="48"/>
      <c r="DU464" s="48"/>
      <c r="DV464" s="48"/>
      <c r="DW464" s="48"/>
      <c r="DX464" s="48"/>
      <c r="DY464" s="48"/>
      <c r="DZ464" s="48"/>
      <c r="EA464" s="48"/>
      <c r="EC464" s="48"/>
      <c r="ED464" s="48"/>
      <c r="EE464" s="48"/>
      <c r="EF464" s="48"/>
      <c r="EG464" s="48"/>
      <c r="EI464" s="48"/>
      <c r="EK464" s="48"/>
      <c r="EM464" s="48"/>
      <c r="EO464" s="48"/>
      <c r="EP464" s="48"/>
      <c r="EU464" s="48"/>
      <c r="EV464" s="48"/>
      <c r="EW464" s="48"/>
      <c r="EX464" s="48"/>
      <c r="EY464" s="48"/>
      <c r="EZ464" s="48"/>
      <c r="FA464" s="48"/>
      <c r="FB464" s="48"/>
      <c r="FC464" s="48"/>
      <c r="FD464" s="48"/>
      <c r="FE464" s="48"/>
      <c r="FF464" s="48"/>
      <c r="FG464" s="48"/>
      <c r="FI464" s="48"/>
      <c r="FL464" s="48"/>
      <c r="FM464" s="48"/>
      <c r="FN464" s="48"/>
      <c r="FO464" s="48"/>
      <c r="FP464" s="48"/>
      <c r="FQ464" s="48"/>
      <c r="FR464" s="48"/>
      <c r="FS464" s="48"/>
      <c r="FT464" s="48"/>
      <c r="FU464" s="48"/>
      <c r="GI464" s="64"/>
    </row>
    <row r="465" spans="1:19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52"/>
      <c r="BF465" s="48"/>
      <c r="BG465" s="48"/>
      <c r="BI465" s="48"/>
      <c r="BN465" s="48"/>
      <c r="BO465" s="48"/>
      <c r="BR465" s="48"/>
      <c r="BS465" s="48"/>
      <c r="BW465" s="48"/>
      <c r="CA465" s="48"/>
      <c r="CE465" s="48"/>
      <c r="CF465" s="48"/>
      <c r="CG465" s="48"/>
      <c r="CH465" s="48"/>
      <c r="CI465" s="48"/>
      <c r="CJ465" s="48"/>
      <c r="CL465" s="48"/>
      <c r="CM465" s="48"/>
      <c r="CN465" s="48"/>
      <c r="CO465" s="48"/>
      <c r="CP465" s="48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  <c r="DE465" s="48"/>
      <c r="DF465" s="48"/>
      <c r="DG465" s="48"/>
      <c r="DH465" s="48"/>
      <c r="DI465" s="48"/>
      <c r="DJ465" s="48"/>
      <c r="DK465" s="48"/>
      <c r="DL465" s="48"/>
      <c r="DM465" s="48"/>
      <c r="DN465" s="48"/>
      <c r="DO465" s="48"/>
      <c r="DP465" s="48"/>
      <c r="DQ465" s="48"/>
      <c r="DR465" s="48"/>
      <c r="DS465" s="48"/>
      <c r="DT465" s="48"/>
      <c r="DU465" s="48"/>
      <c r="DV465" s="48"/>
      <c r="DW465" s="48"/>
      <c r="DX465" s="48"/>
      <c r="DY465" s="48"/>
      <c r="DZ465" s="48"/>
      <c r="EA465" s="48"/>
      <c r="EC465" s="48"/>
      <c r="ED465" s="48"/>
      <c r="EE465" s="48"/>
      <c r="EF465" s="48"/>
      <c r="EG465" s="48"/>
      <c r="EI465" s="48"/>
      <c r="EK465" s="48"/>
      <c r="EM465" s="48"/>
      <c r="EO465" s="48"/>
      <c r="EP465" s="48"/>
      <c r="EU465" s="48"/>
      <c r="EV465" s="48"/>
      <c r="EW465" s="48"/>
      <c r="EX465" s="48"/>
      <c r="EY465" s="48"/>
      <c r="EZ465" s="48"/>
      <c r="FA465" s="48"/>
      <c r="FB465" s="48"/>
      <c r="FC465" s="48"/>
      <c r="FD465" s="48"/>
      <c r="FE465" s="48"/>
      <c r="FF465" s="48"/>
      <c r="FG465" s="48"/>
      <c r="FI465" s="48"/>
      <c r="FL465" s="48"/>
      <c r="FM465" s="48"/>
      <c r="FN465" s="48"/>
      <c r="FO465" s="48"/>
      <c r="FP465" s="48"/>
      <c r="FQ465" s="48"/>
      <c r="FR465" s="48"/>
      <c r="FS465" s="48"/>
      <c r="FT465" s="48"/>
      <c r="FU465" s="48"/>
      <c r="GI465" s="64"/>
    </row>
    <row r="466" spans="1:19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52"/>
      <c r="BF466" s="48"/>
      <c r="BG466" s="48"/>
      <c r="BI466" s="48"/>
      <c r="BN466" s="48"/>
      <c r="BO466" s="48"/>
      <c r="BR466" s="48"/>
      <c r="BS466" s="48"/>
      <c r="BW466" s="48"/>
      <c r="CA466" s="48"/>
      <c r="CE466" s="48"/>
      <c r="CF466" s="48"/>
      <c r="CG466" s="48"/>
      <c r="CH466" s="48"/>
      <c r="CI466" s="48"/>
      <c r="CJ466" s="48"/>
      <c r="CL466" s="48"/>
      <c r="CM466" s="48"/>
      <c r="CN466" s="48"/>
      <c r="CO466" s="48"/>
      <c r="CP466" s="48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8"/>
      <c r="DN466" s="48"/>
      <c r="DO466" s="48"/>
      <c r="DP466" s="48"/>
      <c r="DQ466" s="48"/>
      <c r="DR466" s="48"/>
      <c r="DS466" s="48"/>
      <c r="DT466" s="48"/>
      <c r="DU466" s="48"/>
      <c r="DV466" s="48"/>
      <c r="DW466" s="48"/>
      <c r="DX466" s="48"/>
      <c r="DY466" s="48"/>
      <c r="DZ466" s="48"/>
      <c r="EA466" s="48"/>
      <c r="EC466" s="48"/>
      <c r="ED466" s="48"/>
      <c r="EE466" s="48"/>
      <c r="EF466" s="48"/>
      <c r="EG466" s="48"/>
      <c r="EI466" s="48"/>
      <c r="EK466" s="48"/>
      <c r="EM466" s="48"/>
      <c r="EO466" s="48"/>
      <c r="EP466" s="48"/>
      <c r="EU466" s="48"/>
      <c r="EV466" s="48"/>
      <c r="EW466" s="48"/>
      <c r="EX466" s="48"/>
      <c r="EY466" s="48"/>
      <c r="EZ466" s="48"/>
      <c r="FA466" s="48"/>
      <c r="FB466" s="48"/>
      <c r="FC466" s="48"/>
      <c r="FD466" s="48"/>
      <c r="FE466" s="48"/>
      <c r="FF466" s="48"/>
      <c r="FG466" s="48"/>
      <c r="FI466" s="48"/>
      <c r="FL466" s="48"/>
      <c r="FM466" s="48"/>
      <c r="FN466" s="48"/>
      <c r="FO466" s="48"/>
      <c r="FP466" s="48"/>
      <c r="FQ466" s="48"/>
      <c r="FR466" s="48"/>
      <c r="FS466" s="48"/>
      <c r="FT466" s="48"/>
      <c r="FU466" s="48"/>
      <c r="GI466" s="64"/>
    </row>
    <row r="467" spans="1:19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52"/>
      <c r="BF467" s="48"/>
      <c r="BG467" s="48"/>
      <c r="BI467" s="48"/>
      <c r="BN467" s="48"/>
      <c r="BO467" s="48"/>
      <c r="BR467" s="48"/>
      <c r="BS467" s="48"/>
      <c r="BW467" s="48"/>
      <c r="CA467" s="48"/>
      <c r="CE467" s="48"/>
      <c r="CF467" s="48"/>
      <c r="CG467" s="48"/>
      <c r="CH467" s="48"/>
      <c r="CI467" s="48"/>
      <c r="CJ467" s="48"/>
      <c r="CL467" s="48"/>
      <c r="CM467" s="48"/>
      <c r="CN467" s="48"/>
      <c r="CO467" s="48"/>
      <c r="CP467" s="48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  <c r="DE467" s="48"/>
      <c r="DF467" s="48"/>
      <c r="DG467" s="48"/>
      <c r="DH467" s="48"/>
      <c r="DI467" s="48"/>
      <c r="DJ467" s="48"/>
      <c r="DK467" s="48"/>
      <c r="DL467" s="48"/>
      <c r="DM467" s="48"/>
      <c r="DN467" s="48"/>
      <c r="DO467" s="48"/>
      <c r="DP467" s="48"/>
      <c r="DQ467" s="48"/>
      <c r="DR467" s="48"/>
      <c r="DS467" s="48"/>
      <c r="DT467" s="48"/>
      <c r="DU467" s="48"/>
      <c r="DV467" s="48"/>
      <c r="DW467" s="48"/>
      <c r="DX467" s="48"/>
      <c r="DY467" s="48"/>
      <c r="DZ467" s="48"/>
      <c r="EA467" s="48"/>
      <c r="EC467" s="48"/>
      <c r="ED467" s="48"/>
      <c r="EE467" s="48"/>
      <c r="EF467" s="48"/>
      <c r="EG467" s="48"/>
      <c r="EI467" s="48"/>
      <c r="EK467" s="48"/>
      <c r="EM467" s="48"/>
      <c r="EO467" s="48"/>
      <c r="EP467" s="48"/>
      <c r="EU467" s="48"/>
      <c r="EV467" s="48"/>
      <c r="EW467" s="48"/>
      <c r="EX467" s="48"/>
      <c r="EY467" s="48"/>
      <c r="EZ467" s="48"/>
      <c r="FA467" s="48"/>
      <c r="FB467" s="48"/>
      <c r="FC467" s="48"/>
      <c r="FD467" s="48"/>
      <c r="FE467" s="48"/>
      <c r="FF467" s="48"/>
      <c r="FG467" s="48"/>
      <c r="FI467" s="48"/>
      <c r="FL467" s="48"/>
      <c r="FM467" s="48"/>
      <c r="FN467" s="48"/>
      <c r="FO467" s="48"/>
      <c r="FP467" s="48"/>
      <c r="FQ467" s="48"/>
      <c r="FR467" s="48"/>
      <c r="FS467" s="48"/>
      <c r="FT467" s="48"/>
      <c r="FU467" s="48"/>
      <c r="GI467" s="64"/>
    </row>
    <row r="468" spans="1:19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52"/>
      <c r="BF468" s="48"/>
      <c r="BG468" s="48"/>
      <c r="BI468" s="48"/>
      <c r="BN468" s="48"/>
      <c r="BO468" s="48"/>
      <c r="BR468" s="48"/>
      <c r="BS468" s="48"/>
      <c r="BW468" s="48"/>
      <c r="CA468" s="48"/>
      <c r="CE468" s="48"/>
      <c r="CF468" s="48"/>
      <c r="CG468" s="48"/>
      <c r="CH468" s="48"/>
      <c r="CI468" s="48"/>
      <c r="CJ468" s="48"/>
      <c r="CL468" s="48"/>
      <c r="CM468" s="48"/>
      <c r="CN468" s="48"/>
      <c r="CO468" s="48"/>
      <c r="CP468" s="48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  <c r="DE468" s="48"/>
      <c r="DF468" s="48"/>
      <c r="DG468" s="48"/>
      <c r="DH468" s="48"/>
      <c r="DI468" s="48"/>
      <c r="DJ468" s="48"/>
      <c r="DK468" s="48"/>
      <c r="DL468" s="48"/>
      <c r="DM468" s="48"/>
      <c r="DN468" s="48"/>
      <c r="DO468" s="48"/>
      <c r="DP468" s="48"/>
      <c r="DQ468" s="48"/>
      <c r="DR468" s="48"/>
      <c r="DS468" s="48"/>
      <c r="DT468" s="48"/>
      <c r="DU468" s="48"/>
      <c r="DV468" s="48"/>
      <c r="DW468" s="48"/>
      <c r="DX468" s="48"/>
      <c r="DY468" s="48"/>
      <c r="DZ468" s="48"/>
      <c r="EA468" s="48"/>
      <c r="EC468" s="48"/>
      <c r="ED468" s="48"/>
      <c r="EE468" s="48"/>
      <c r="EF468" s="48"/>
      <c r="EG468" s="48"/>
      <c r="EI468" s="48"/>
      <c r="EK468" s="48"/>
      <c r="EM468" s="48"/>
      <c r="EO468" s="48"/>
      <c r="EP468" s="48"/>
      <c r="EU468" s="48"/>
      <c r="EV468" s="48"/>
      <c r="EW468" s="48"/>
      <c r="EX468" s="48"/>
      <c r="EY468" s="48"/>
      <c r="EZ468" s="48"/>
      <c r="FA468" s="48"/>
      <c r="FB468" s="48"/>
      <c r="FC468" s="48"/>
      <c r="FD468" s="48"/>
      <c r="FE468" s="48"/>
      <c r="FF468" s="48"/>
      <c r="FG468" s="48"/>
      <c r="FI468" s="48"/>
      <c r="FL468" s="48"/>
      <c r="FM468" s="48"/>
      <c r="FN468" s="48"/>
      <c r="FO468" s="48"/>
      <c r="FP468" s="48"/>
      <c r="FQ468" s="48"/>
      <c r="FR468" s="48"/>
      <c r="FS468" s="48"/>
      <c r="FT468" s="48"/>
      <c r="FU468" s="48"/>
      <c r="GI468" s="64"/>
    </row>
    <row r="469" spans="1:19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52"/>
      <c r="BF469" s="48"/>
      <c r="BG469" s="48"/>
      <c r="BI469" s="48"/>
      <c r="BN469" s="48"/>
      <c r="BO469" s="48"/>
      <c r="BR469" s="48"/>
      <c r="BS469" s="48"/>
      <c r="BW469" s="48"/>
      <c r="CA469" s="48"/>
      <c r="CE469" s="48"/>
      <c r="CF469" s="48"/>
      <c r="CG469" s="48"/>
      <c r="CH469" s="48"/>
      <c r="CI469" s="48"/>
      <c r="CJ469" s="48"/>
      <c r="CL469" s="48"/>
      <c r="CM469" s="48"/>
      <c r="CN469" s="48"/>
      <c r="CO469" s="48"/>
      <c r="CP469" s="48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8"/>
      <c r="DN469" s="48"/>
      <c r="DO469" s="48"/>
      <c r="DP469" s="48"/>
      <c r="DQ469" s="48"/>
      <c r="DR469" s="48"/>
      <c r="DS469" s="48"/>
      <c r="DT469" s="48"/>
      <c r="DU469" s="48"/>
      <c r="DV469" s="48"/>
      <c r="DW469" s="48"/>
      <c r="DX469" s="48"/>
      <c r="DY469" s="48"/>
      <c r="DZ469" s="48"/>
      <c r="EA469" s="48"/>
      <c r="EC469" s="48"/>
      <c r="ED469" s="48"/>
      <c r="EE469" s="48"/>
      <c r="EF469" s="48"/>
      <c r="EG469" s="48"/>
      <c r="EI469" s="48"/>
      <c r="EK469" s="48"/>
      <c r="EM469" s="48"/>
      <c r="EO469" s="48"/>
      <c r="EP469" s="48"/>
      <c r="EU469" s="48"/>
      <c r="EV469" s="48"/>
      <c r="EW469" s="48"/>
      <c r="EX469" s="48"/>
      <c r="EY469" s="48"/>
      <c r="EZ469" s="48"/>
      <c r="FA469" s="48"/>
      <c r="FB469" s="48"/>
      <c r="FC469" s="48"/>
      <c r="FD469" s="48"/>
      <c r="FE469" s="48"/>
      <c r="FF469" s="48"/>
      <c r="FG469" s="48"/>
      <c r="FI469" s="48"/>
      <c r="FL469" s="48"/>
      <c r="FM469" s="48"/>
      <c r="FN469" s="48"/>
      <c r="FO469" s="48"/>
      <c r="FP469" s="48"/>
      <c r="FQ469" s="48"/>
      <c r="FR469" s="48"/>
      <c r="FS469" s="48"/>
      <c r="FT469" s="48"/>
      <c r="FU469" s="48"/>
      <c r="GI469" s="64"/>
    </row>
    <row r="470" spans="1:19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52"/>
      <c r="BF470" s="48"/>
      <c r="BG470" s="48"/>
      <c r="BI470" s="48"/>
      <c r="BN470" s="48"/>
      <c r="BO470" s="48"/>
      <c r="BR470" s="48"/>
      <c r="BS470" s="48"/>
      <c r="BW470" s="48"/>
      <c r="CA470" s="48"/>
      <c r="CE470" s="48"/>
      <c r="CF470" s="48"/>
      <c r="CG470" s="48"/>
      <c r="CH470" s="48"/>
      <c r="CI470" s="48"/>
      <c r="CJ470" s="48"/>
      <c r="CL470" s="48"/>
      <c r="CM470" s="48"/>
      <c r="CN470" s="48"/>
      <c r="CO470" s="48"/>
      <c r="CP470" s="48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  <c r="DE470" s="48"/>
      <c r="DF470" s="48"/>
      <c r="DG470" s="48"/>
      <c r="DH470" s="48"/>
      <c r="DI470" s="48"/>
      <c r="DJ470" s="48"/>
      <c r="DK470" s="48"/>
      <c r="DL470" s="48"/>
      <c r="DM470" s="48"/>
      <c r="DN470" s="48"/>
      <c r="DO470" s="48"/>
      <c r="DP470" s="48"/>
      <c r="DQ470" s="48"/>
      <c r="DR470" s="48"/>
      <c r="DS470" s="48"/>
      <c r="DT470" s="48"/>
      <c r="DU470" s="48"/>
      <c r="DV470" s="48"/>
      <c r="DW470" s="48"/>
      <c r="DX470" s="48"/>
      <c r="DY470" s="48"/>
      <c r="DZ470" s="48"/>
      <c r="EA470" s="48"/>
      <c r="EC470" s="48"/>
      <c r="ED470" s="48"/>
      <c r="EE470" s="48"/>
      <c r="EF470" s="48"/>
      <c r="EG470" s="48"/>
      <c r="EI470" s="48"/>
      <c r="EK470" s="48"/>
      <c r="EM470" s="48"/>
      <c r="EO470" s="48"/>
      <c r="EP470" s="48"/>
      <c r="EU470" s="48"/>
      <c r="EV470" s="48"/>
      <c r="EW470" s="48"/>
      <c r="EX470" s="48"/>
      <c r="EY470" s="48"/>
      <c r="EZ470" s="48"/>
      <c r="FA470" s="48"/>
      <c r="FB470" s="48"/>
      <c r="FC470" s="48"/>
      <c r="FD470" s="48"/>
      <c r="FE470" s="48"/>
      <c r="FF470" s="48"/>
      <c r="FG470" s="48"/>
      <c r="FI470" s="48"/>
      <c r="FL470" s="48"/>
      <c r="FM470" s="48"/>
      <c r="FN470" s="48"/>
      <c r="FO470" s="48"/>
      <c r="FP470" s="48"/>
      <c r="FQ470" s="48"/>
      <c r="FR470" s="48"/>
      <c r="FS470" s="48"/>
      <c r="FT470" s="48"/>
      <c r="FU470" s="48"/>
      <c r="GI470" s="64"/>
    </row>
    <row r="471" spans="1:19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52"/>
      <c r="BF471" s="48"/>
      <c r="BG471" s="48"/>
      <c r="BI471" s="48"/>
      <c r="BN471" s="48"/>
      <c r="BO471" s="48"/>
      <c r="BR471" s="48"/>
      <c r="BS471" s="48"/>
      <c r="BW471" s="48"/>
      <c r="CA471" s="48"/>
      <c r="CE471" s="48"/>
      <c r="CF471" s="48"/>
      <c r="CG471" s="48"/>
      <c r="CH471" s="48"/>
      <c r="CI471" s="48"/>
      <c r="CJ471" s="48"/>
      <c r="CL471" s="48"/>
      <c r="CM471" s="48"/>
      <c r="CN471" s="48"/>
      <c r="CO471" s="48"/>
      <c r="CP471" s="48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  <c r="DE471" s="48"/>
      <c r="DF471" s="48"/>
      <c r="DG471" s="48"/>
      <c r="DH471" s="48"/>
      <c r="DI471" s="48"/>
      <c r="DJ471" s="48"/>
      <c r="DK471" s="48"/>
      <c r="DL471" s="48"/>
      <c r="DM471" s="48"/>
      <c r="DN471" s="48"/>
      <c r="DO471" s="48"/>
      <c r="DP471" s="48"/>
      <c r="DQ471" s="48"/>
      <c r="DR471" s="48"/>
      <c r="DS471" s="48"/>
      <c r="DT471" s="48"/>
      <c r="DU471" s="48"/>
      <c r="DV471" s="48"/>
      <c r="DW471" s="48"/>
      <c r="DX471" s="48"/>
      <c r="DY471" s="48"/>
      <c r="DZ471" s="48"/>
      <c r="EA471" s="48"/>
      <c r="EC471" s="48"/>
      <c r="ED471" s="48"/>
      <c r="EE471" s="48"/>
      <c r="EF471" s="48"/>
      <c r="EG471" s="48"/>
      <c r="EI471" s="48"/>
      <c r="EK471" s="48"/>
      <c r="EM471" s="48"/>
      <c r="EO471" s="48"/>
      <c r="EP471" s="48"/>
      <c r="EU471" s="48"/>
      <c r="EV471" s="48"/>
      <c r="EW471" s="48"/>
      <c r="EX471" s="48"/>
      <c r="EY471" s="48"/>
      <c r="EZ471" s="48"/>
      <c r="FA471" s="48"/>
      <c r="FB471" s="48"/>
      <c r="FC471" s="48"/>
      <c r="FD471" s="48"/>
      <c r="FE471" s="48"/>
      <c r="FF471" s="48"/>
      <c r="FG471" s="48"/>
      <c r="FI471" s="48"/>
      <c r="FL471" s="48"/>
      <c r="FM471" s="48"/>
      <c r="FN471" s="48"/>
      <c r="FO471" s="48"/>
      <c r="FP471" s="48"/>
      <c r="FQ471" s="48"/>
      <c r="FR471" s="48"/>
      <c r="FS471" s="48"/>
      <c r="FT471" s="48"/>
      <c r="FU471" s="48"/>
      <c r="GI471" s="64"/>
    </row>
    <row r="472" spans="1:19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52"/>
      <c r="BF472" s="48"/>
      <c r="BG472" s="48"/>
      <c r="BI472" s="48"/>
      <c r="BN472" s="48"/>
      <c r="BO472" s="48"/>
      <c r="BR472" s="48"/>
      <c r="BS472" s="48"/>
      <c r="BW472" s="48"/>
      <c r="CA472" s="48"/>
      <c r="CE472" s="48"/>
      <c r="CF472" s="48"/>
      <c r="CG472" s="48"/>
      <c r="CH472" s="48"/>
      <c r="CI472" s="48"/>
      <c r="CJ472" s="48"/>
      <c r="CL472" s="48"/>
      <c r="CM472" s="48"/>
      <c r="CN472" s="48"/>
      <c r="CO472" s="48"/>
      <c r="CP472" s="48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8"/>
      <c r="DV472" s="48"/>
      <c r="DW472" s="48"/>
      <c r="DX472" s="48"/>
      <c r="DY472" s="48"/>
      <c r="DZ472" s="48"/>
      <c r="EA472" s="48"/>
      <c r="EC472" s="48"/>
      <c r="ED472" s="48"/>
      <c r="EE472" s="48"/>
      <c r="EF472" s="48"/>
      <c r="EG472" s="48"/>
      <c r="EI472" s="48"/>
      <c r="EK472" s="48"/>
      <c r="EM472" s="48"/>
      <c r="EO472" s="48"/>
      <c r="EP472" s="48"/>
      <c r="EU472" s="48"/>
      <c r="EV472" s="48"/>
      <c r="EW472" s="48"/>
      <c r="EX472" s="48"/>
      <c r="EY472" s="48"/>
      <c r="EZ472" s="48"/>
      <c r="FA472" s="48"/>
      <c r="FB472" s="48"/>
      <c r="FC472" s="48"/>
      <c r="FD472" s="48"/>
      <c r="FE472" s="48"/>
      <c r="FF472" s="48"/>
      <c r="FG472" s="48"/>
      <c r="FI472" s="48"/>
      <c r="FL472" s="48"/>
      <c r="FM472" s="48"/>
      <c r="FN472" s="48"/>
      <c r="FO472" s="48"/>
      <c r="FP472" s="48"/>
      <c r="FQ472" s="48"/>
      <c r="FR472" s="48"/>
      <c r="FS472" s="48"/>
      <c r="FT472" s="48"/>
      <c r="FU472" s="48"/>
      <c r="GI472" s="64"/>
    </row>
    <row r="473" spans="1:19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52"/>
      <c r="BF473" s="48"/>
      <c r="BG473" s="48"/>
      <c r="BI473" s="48"/>
      <c r="BN473" s="48"/>
      <c r="BO473" s="48"/>
      <c r="BR473" s="48"/>
      <c r="BS473" s="48"/>
      <c r="BW473" s="48"/>
      <c r="CA473" s="48"/>
      <c r="CE473" s="48"/>
      <c r="CF473" s="48"/>
      <c r="CG473" s="48"/>
      <c r="CH473" s="48"/>
      <c r="CI473" s="48"/>
      <c r="CJ473" s="48"/>
      <c r="CL473" s="48"/>
      <c r="CM473" s="48"/>
      <c r="CN473" s="48"/>
      <c r="CO473" s="48"/>
      <c r="CP473" s="48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  <c r="DE473" s="48"/>
      <c r="DF473" s="48"/>
      <c r="DG473" s="48"/>
      <c r="DH473" s="48"/>
      <c r="DI473" s="48"/>
      <c r="DJ473" s="48"/>
      <c r="DK473" s="48"/>
      <c r="DL473" s="48"/>
      <c r="DM473" s="48"/>
      <c r="DN473" s="48"/>
      <c r="DO473" s="48"/>
      <c r="DP473" s="48"/>
      <c r="DQ473" s="48"/>
      <c r="DR473" s="48"/>
      <c r="DS473" s="48"/>
      <c r="DT473" s="48"/>
      <c r="DU473" s="48"/>
      <c r="DV473" s="48"/>
      <c r="DW473" s="48"/>
      <c r="DX473" s="48"/>
      <c r="DY473" s="48"/>
      <c r="DZ473" s="48"/>
      <c r="EA473" s="48"/>
      <c r="EC473" s="48"/>
      <c r="ED473" s="48"/>
      <c r="EE473" s="48"/>
      <c r="EF473" s="48"/>
      <c r="EG473" s="48"/>
      <c r="EI473" s="48"/>
      <c r="EK473" s="48"/>
      <c r="EM473" s="48"/>
      <c r="EO473" s="48"/>
      <c r="EP473" s="48"/>
      <c r="EU473" s="48"/>
      <c r="EV473" s="48"/>
      <c r="EW473" s="48"/>
      <c r="EX473" s="48"/>
      <c r="EY473" s="48"/>
      <c r="EZ473" s="48"/>
      <c r="FA473" s="48"/>
      <c r="FB473" s="48"/>
      <c r="FC473" s="48"/>
      <c r="FD473" s="48"/>
      <c r="FE473" s="48"/>
      <c r="FF473" s="48"/>
      <c r="FG473" s="48"/>
      <c r="FI473" s="48"/>
      <c r="FL473" s="48"/>
      <c r="FM473" s="48"/>
      <c r="FN473" s="48"/>
      <c r="FO473" s="48"/>
      <c r="FP473" s="48"/>
      <c r="FQ473" s="48"/>
      <c r="FR473" s="48"/>
      <c r="FS473" s="48"/>
      <c r="FT473" s="48"/>
      <c r="FU473" s="48"/>
      <c r="GI473" s="64"/>
    </row>
    <row r="474" spans="1:19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52"/>
      <c r="BF474" s="48"/>
      <c r="BG474" s="48"/>
      <c r="BI474" s="48"/>
      <c r="BN474" s="48"/>
      <c r="BO474" s="48"/>
      <c r="BR474" s="48"/>
      <c r="BS474" s="48"/>
      <c r="BW474" s="48"/>
      <c r="CA474" s="48"/>
      <c r="CE474" s="48"/>
      <c r="CF474" s="48"/>
      <c r="CG474" s="48"/>
      <c r="CH474" s="48"/>
      <c r="CI474" s="48"/>
      <c r="CJ474" s="48"/>
      <c r="CL474" s="48"/>
      <c r="CM474" s="48"/>
      <c r="CN474" s="48"/>
      <c r="CO474" s="48"/>
      <c r="CP474" s="48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  <c r="DE474" s="48"/>
      <c r="DF474" s="48"/>
      <c r="DG474" s="48"/>
      <c r="DH474" s="48"/>
      <c r="DI474" s="48"/>
      <c r="DJ474" s="48"/>
      <c r="DK474" s="48"/>
      <c r="DL474" s="48"/>
      <c r="DM474" s="48"/>
      <c r="DN474" s="48"/>
      <c r="DO474" s="48"/>
      <c r="DP474" s="48"/>
      <c r="DQ474" s="48"/>
      <c r="DR474" s="48"/>
      <c r="DS474" s="48"/>
      <c r="DT474" s="48"/>
      <c r="DU474" s="48"/>
      <c r="DV474" s="48"/>
      <c r="DW474" s="48"/>
      <c r="DX474" s="48"/>
      <c r="DY474" s="48"/>
      <c r="DZ474" s="48"/>
      <c r="EA474" s="48"/>
      <c r="EC474" s="48"/>
      <c r="ED474" s="48"/>
      <c r="EE474" s="48"/>
      <c r="EF474" s="48"/>
      <c r="EG474" s="48"/>
      <c r="EI474" s="48"/>
      <c r="EK474" s="48"/>
      <c r="EM474" s="48"/>
      <c r="EO474" s="48"/>
      <c r="EP474" s="48"/>
      <c r="EU474" s="48"/>
      <c r="EV474" s="48"/>
      <c r="EW474" s="48"/>
      <c r="EX474" s="48"/>
      <c r="EY474" s="48"/>
      <c r="EZ474" s="48"/>
      <c r="FA474" s="48"/>
      <c r="FB474" s="48"/>
      <c r="FC474" s="48"/>
      <c r="FD474" s="48"/>
      <c r="FE474" s="48"/>
      <c r="FF474" s="48"/>
      <c r="FG474" s="48"/>
      <c r="FI474" s="48"/>
      <c r="FL474" s="48"/>
      <c r="FM474" s="48"/>
      <c r="FN474" s="48"/>
      <c r="FO474" s="48"/>
      <c r="FP474" s="48"/>
      <c r="FQ474" s="48"/>
      <c r="FR474" s="48"/>
      <c r="FS474" s="48"/>
      <c r="FT474" s="48"/>
      <c r="FU474" s="48"/>
      <c r="GI474" s="64"/>
    </row>
    <row r="475" spans="1:19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52"/>
      <c r="BF475" s="48"/>
      <c r="BG475" s="48"/>
      <c r="BI475" s="48"/>
      <c r="BN475" s="48"/>
      <c r="BO475" s="48"/>
      <c r="BR475" s="48"/>
      <c r="BS475" s="48"/>
      <c r="BW475" s="48"/>
      <c r="CA475" s="48"/>
      <c r="CE475" s="48"/>
      <c r="CF475" s="48"/>
      <c r="CG475" s="48"/>
      <c r="CH475" s="48"/>
      <c r="CI475" s="48"/>
      <c r="CJ475" s="48"/>
      <c r="CL475" s="48"/>
      <c r="CM475" s="48"/>
      <c r="CN475" s="48"/>
      <c r="CO475" s="48"/>
      <c r="CP475" s="48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8"/>
      <c r="DN475" s="48"/>
      <c r="DO475" s="48"/>
      <c r="DP475" s="48"/>
      <c r="DQ475" s="48"/>
      <c r="DR475" s="48"/>
      <c r="DS475" s="48"/>
      <c r="DT475" s="48"/>
      <c r="DU475" s="48"/>
      <c r="DV475" s="48"/>
      <c r="DW475" s="48"/>
      <c r="DX475" s="48"/>
      <c r="DY475" s="48"/>
      <c r="DZ475" s="48"/>
      <c r="EA475" s="48"/>
      <c r="EC475" s="48"/>
      <c r="ED475" s="48"/>
      <c r="EE475" s="48"/>
      <c r="EF475" s="48"/>
      <c r="EG475" s="48"/>
      <c r="EI475" s="48"/>
      <c r="EK475" s="48"/>
      <c r="EM475" s="48"/>
      <c r="EO475" s="48"/>
      <c r="EP475" s="48"/>
      <c r="EU475" s="48"/>
      <c r="EV475" s="48"/>
      <c r="EW475" s="48"/>
      <c r="EX475" s="48"/>
      <c r="EY475" s="48"/>
      <c r="EZ475" s="48"/>
      <c r="FA475" s="48"/>
      <c r="FB475" s="48"/>
      <c r="FC475" s="48"/>
      <c r="FD475" s="48"/>
      <c r="FE475" s="48"/>
      <c r="FF475" s="48"/>
      <c r="FG475" s="48"/>
      <c r="FI475" s="48"/>
      <c r="FL475" s="48"/>
      <c r="FM475" s="48"/>
      <c r="FN475" s="48"/>
      <c r="FO475" s="48"/>
      <c r="FP475" s="48"/>
      <c r="FQ475" s="48"/>
      <c r="FR475" s="48"/>
      <c r="FS475" s="48"/>
      <c r="FT475" s="48"/>
      <c r="FU475" s="48"/>
      <c r="GI475" s="64"/>
    </row>
    <row r="476" spans="1:19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52"/>
      <c r="BF476" s="48"/>
      <c r="BG476" s="48"/>
      <c r="BI476" s="48"/>
      <c r="BN476" s="48"/>
      <c r="BO476" s="48"/>
      <c r="BR476" s="48"/>
      <c r="BS476" s="48"/>
      <c r="BW476" s="48"/>
      <c r="CA476" s="48"/>
      <c r="CE476" s="48"/>
      <c r="CF476" s="48"/>
      <c r="CG476" s="48"/>
      <c r="CH476" s="48"/>
      <c r="CI476" s="48"/>
      <c r="CJ476" s="48"/>
      <c r="CL476" s="48"/>
      <c r="CM476" s="48"/>
      <c r="CN476" s="48"/>
      <c r="CO476" s="48"/>
      <c r="CP476" s="48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8"/>
      <c r="DV476" s="48"/>
      <c r="DW476" s="48"/>
      <c r="DX476" s="48"/>
      <c r="DY476" s="48"/>
      <c r="DZ476" s="48"/>
      <c r="EA476" s="48"/>
      <c r="EC476" s="48"/>
      <c r="ED476" s="48"/>
      <c r="EE476" s="48"/>
      <c r="EF476" s="48"/>
      <c r="EG476" s="48"/>
      <c r="EI476" s="48"/>
      <c r="EK476" s="48"/>
      <c r="EM476" s="48"/>
      <c r="EO476" s="48"/>
      <c r="EP476" s="48"/>
      <c r="EU476" s="48"/>
      <c r="EV476" s="48"/>
      <c r="EW476" s="48"/>
      <c r="EX476" s="48"/>
      <c r="EY476" s="48"/>
      <c r="EZ476" s="48"/>
      <c r="FA476" s="48"/>
      <c r="FB476" s="48"/>
      <c r="FC476" s="48"/>
      <c r="FD476" s="48"/>
      <c r="FE476" s="48"/>
      <c r="FF476" s="48"/>
      <c r="FG476" s="48"/>
      <c r="FI476" s="48"/>
      <c r="FL476" s="48"/>
      <c r="FM476" s="48"/>
      <c r="FN476" s="48"/>
      <c r="FO476" s="48"/>
      <c r="FP476" s="48"/>
      <c r="FQ476" s="48"/>
      <c r="FR476" s="48"/>
      <c r="FS476" s="48"/>
      <c r="FT476" s="48"/>
      <c r="FU476" s="48"/>
      <c r="GI476" s="64"/>
    </row>
    <row r="477" spans="1:19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52"/>
      <c r="BF477" s="48"/>
      <c r="BG477" s="48"/>
      <c r="BI477" s="48"/>
      <c r="BN477" s="48"/>
      <c r="BO477" s="48"/>
      <c r="BR477" s="48"/>
      <c r="BS477" s="48"/>
      <c r="BW477" s="48"/>
      <c r="CA477" s="48"/>
      <c r="CE477" s="48"/>
      <c r="CF477" s="48"/>
      <c r="CG477" s="48"/>
      <c r="CH477" s="48"/>
      <c r="CI477" s="48"/>
      <c r="CJ477" s="48"/>
      <c r="CL477" s="48"/>
      <c r="CM477" s="48"/>
      <c r="CN477" s="48"/>
      <c r="CO477" s="48"/>
      <c r="CP477" s="48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8"/>
      <c r="DV477" s="48"/>
      <c r="DW477" s="48"/>
      <c r="DX477" s="48"/>
      <c r="DY477" s="48"/>
      <c r="DZ477" s="48"/>
      <c r="EA477" s="48"/>
      <c r="EC477" s="48"/>
      <c r="ED477" s="48"/>
      <c r="EE477" s="48"/>
      <c r="EF477" s="48"/>
      <c r="EG477" s="48"/>
      <c r="EI477" s="48"/>
      <c r="EK477" s="48"/>
      <c r="EM477" s="48"/>
      <c r="EO477" s="48"/>
      <c r="EP477" s="48"/>
      <c r="EU477" s="48"/>
      <c r="EV477" s="48"/>
      <c r="EW477" s="48"/>
      <c r="EX477" s="48"/>
      <c r="EY477" s="48"/>
      <c r="EZ477" s="48"/>
      <c r="FA477" s="48"/>
      <c r="FB477" s="48"/>
      <c r="FC477" s="48"/>
      <c r="FD477" s="48"/>
      <c r="FE477" s="48"/>
      <c r="FF477" s="48"/>
      <c r="FG477" s="48"/>
      <c r="FI477" s="48"/>
      <c r="FL477" s="48"/>
      <c r="FM477" s="48"/>
      <c r="FN477" s="48"/>
      <c r="FO477" s="48"/>
      <c r="FP477" s="48"/>
      <c r="FQ477" s="48"/>
      <c r="FR477" s="48"/>
      <c r="FS477" s="48"/>
      <c r="FT477" s="48"/>
      <c r="FU477" s="48"/>
      <c r="GI477" s="64"/>
    </row>
    <row r="478" spans="1:19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52"/>
      <c r="BF478" s="48"/>
      <c r="BG478" s="48"/>
      <c r="BI478" s="48"/>
      <c r="BN478" s="48"/>
      <c r="BO478" s="48"/>
      <c r="BR478" s="48"/>
      <c r="BS478" s="48"/>
      <c r="BW478" s="48"/>
      <c r="CA478" s="48"/>
      <c r="CE478" s="48"/>
      <c r="CF478" s="48"/>
      <c r="CG478" s="48"/>
      <c r="CH478" s="48"/>
      <c r="CI478" s="48"/>
      <c r="CJ478" s="48"/>
      <c r="CL478" s="48"/>
      <c r="CM478" s="48"/>
      <c r="CN478" s="48"/>
      <c r="CO478" s="48"/>
      <c r="CP478" s="48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8"/>
      <c r="DN478" s="48"/>
      <c r="DO478" s="48"/>
      <c r="DP478" s="48"/>
      <c r="DQ478" s="48"/>
      <c r="DR478" s="48"/>
      <c r="DS478" s="48"/>
      <c r="DT478" s="48"/>
      <c r="DU478" s="48"/>
      <c r="DV478" s="48"/>
      <c r="DW478" s="48"/>
      <c r="DX478" s="48"/>
      <c r="DY478" s="48"/>
      <c r="DZ478" s="48"/>
      <c r="EA478" s="48"/>
      <c r="EC478" s="48"/>
      <c r="ED478" s="48"/>
      <c r="EE478" s="48"/>
      <c r="EF478" s="48"/>
      <c r="EG478" s="48"/>
      <c r="EI478" s="48"/>
      <c r="EK478" s="48"/>
      <c r="EM478" s="48"/>
      <c r="EO478" s="48"/>
      <c r="EP478" s="48"/>
      <c r="EU478" s="48"/>
      <c r="EV478" s="48"/>
      <c r="EW478" s="48"/>
      <c r="EX478" s="48"/>
      <c r="EY478" s="48"/>
      <c r="EZ478" s="48"/>
      <c r="FA478" s="48"/>
      <c r="FB478" s="48"/>
      <c r="FC478" s="48"/>
      <c r="FD478" s="48"/>
      <c r="FE478" s="48"/>
      <c r="FF478" s="48"/>
      <c r="FG478" s="48"/>
      <c r="FI478" s="48"/>
      <c r="FL478" s="48"/>
      <c r="FM478" s="48"/>
      <c r="FN478" s="48"/>
      <c r="FO478" s="48"/>
      <c r="FP478" s="48"/>
      <c r="FQ478" s="48"/>
      <c r="FR478" s="48"/>
      <c r="FS478" s="48"/>
      <c r="FT478" s="48"/>
      <c r="FU478" s="48"/>
      <c r="GI478" s="64"/>
    </row>
    <row r="479" spans="1:19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52"/>
      <c r="BF479" s="48"/>
      <c r="BG479" s="48"/>
      <c r="BI479" s="48"/>
      <c r="BN479" s="48"/>
      <c r="BO479" s="48"/>
      <c r="BR479" s="48"/>
      <c r="BS479" s="48"/>
      <c r="BW479" s="48"/>
      <c r="CA479" s="48"/>
      <c r="CE479" s="48"/>
      <c r="CF479" s="48"/>
      <c r="CG479" s="48"/>
      <c r="CH479" s="48"/>
      <c r="CI479" s="48"/>
      <c r="CJ479" s="48"/>
      <c r="CL479" s="48"/>
      <c r="CM479" s="48"/>
      <c r="CN479" s="48"/>
      <c r="CO479" s="48"/>
      <c r="CP479" s="48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  <c r="DE479" s="48"/>
      <c r="DF479" s="48"/>
      <c r="DG479" s="48"/>
      <c r="DH479" s="48"/>
      <c r="DI479" s="48"/>
      <c r="DJ479" s="48"/>
      <c r="DK479" s="48"/>
      <c r="DL479" s="48"/>
      <c r="DM479" s="48"/>
      <c r="DN479" s="48"/>
      <c r="DO479" s="48"/>
      <c r="DP479" s="48"/>
      <c r="DQ479" s="48"/>
      <c r="DR479" s="48"/>
      <c r="DS479" s="48"/>
      <c r="DT479" s="48"/>
      <c r="DU479" s="48"/>
      <c r="DV479" s="48"/>
      <c r="DW479" s="48"/>
      <c r="DX479" s="48"/>
      <c r="DY479" s="48"/>
      <c r="DZ479" s="48"/>
      <c r="EA479" s="48"/>
      <c r="EC479" s="48"/>
      <c r="ED479" s="48"/>
      <c r="EE479" s="48"/>
      <c r="EF479" s="48"/>
      <c r="EG479" s="48"/>
      <c r="EI479" s="48"/>
      <c r="EK479" s="48"/>
      <c r="EM479" s="48"/>
      <c r="EO479" s="48"/>
      <c r="EP479" s="48"/>
      <c r="EU479" s="48"/>
      <c r="EV479" s="48"/>
      <c r="EW479" s="48"/>
      <c r="EX479" s="48"/>
      <c r="EY479" s="48"/>
      <c r="EZ479" s="48"/>
      <c r="FA479" s="48"/>
      <c r="FB479" s="48"/>
      <c r="FC479" s="48"/>
      <c r="FD479" s="48"/>
      <c r="FE479" s="48"/>
      <c r="FF479" s="48"/>
      <c r="FG479" s="48"/>
      <c r="FI479" s="48"/>
      <c r="FL479" s="48"/>
      <c r="FM479" s="48"/>
      <c r="FN479" s="48"/>
      <c r="FO479" s="48"/>
      <c r="FP479" s="48"/>
      <c r="FQ479" s="48"/>
      <c r="FR479" s="48"/>
      <c r="FS479" s="48"/>
      <c r="FT479" s="48"/>
      <c r="FU479" s="48"/>
      <c r="GI479" s="64"/>
    </row>
    <row r="480" spans="1:19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52"/>
      <c r="BF480" s="48"/>
      <c r="BG480" s="48"/>
      <c r="BI480" s="48"/>
      <c r="BN480" s="48"/>
      <c r="BO480" s="48"/>
      <c r="BR480" s="48"/>
      <c r="BS480" s="48"/>
      <c r="BW480" s="48"/>
      <c r="CA480" s="48"/>
      <c r="CE480" s="48"/>
      <c r="CF480" s="48"/>
      <c r="CG480" s="48"/>
      <c r="CH480" s="48"/>
      <c r="CI480" s="48"/>
      <c r="CJ480" s="48"/>
      <c r="CL480" s="48"/>
      <c r="CM480" s="48"/>
      <c r="CN480" s="48"/>
      <c r="CO480" s="48"/>
      <c r="CP480" s="48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  <c r="DE480" s="48"/>
      <c r="DF480" s="48"/>
      <c r="DG480" s="48"/>
      <c r="DH480" s="48"/>
      <c r="DI480" s="48"/>
      <c r="DJ480" s="48"/>
      <c r="DK480" s="48"/>
      <c r="DL480" s="48"/>
      <c r="DM480" s="48"/>
      <c r="DN480" s="48"/>
      <c r="DO480" s="48"/>
      <c r="DP480" s="48"/>
      <c r="DQ480" s="48"/>
      <c r="DR480" s="48"/>
      <c r="DS480" s="48"/>
      <c r="DT480" s="48"/>
      <c r="DU480" s="48"/>
      <c r="DV480" s="48"/>
      <c r="DW480" s="48"/>
      <c r="DX480" s="48"/>
      <c r="DY480" s="48"/>
      <c r="DZ480" s="48"/>
      <c r="EA480" s="48"/>
      <c r="EC480" s="48"/>
      <c r="ED480" s="48"/>
      <c r="EE480" s="48"/>
      <c r="EF480" s="48"/>
      <c r="EG480" s="48"/>
      <c r="EI480" s="48"/>
      <c r="EK480" s="48"/>
      <c r="EM480" s="48"/>
      <c r="EO480" s="48"/>
      <c r="EP480" s="48"/>
      <c r="EU480" s="48"/>
      <c r="EV480" s="48"/>
      <c r="EW480" s="48"/>
      <c r="EX480" s="48"/>
      <c r="EY480" s="48"/>
      <c r="EZ480" s="48"/>
      <c r="FA480" s="48"/>
      <c r="FB480" s="48"/>
      <c r="FC480" s="48"/>
      <c r="FD480" s="48"/>
      <c r="FE480" s="48"/>
      <c r="FF480" s="48"/>
      <c r="FG480" s="48"/>
      <c r="FI480" s="48"/>
      <c r="FL480" s="48"/>
      <c r="FM480" s="48"/>
      <c r="FN480" s="48"/>
      <c r="FO480" s="48"/>
      <c r="FP480" s="48"/>
      <c r="FQ480" s="48"/>
      <c r="FR480" s="48"/>
      <c r="FS480" s="48"/>
      <c r="FT480" s="48"/>
      <c r="FU480" s="48"/>
      <c r="GI480" s="64"/>
    </row>
    <row r="481" spans="1:19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52"/>
      <c r="BF481" s="48"/>
      <c r="BG481" s="48"/>
      <c r="BI481" s="48"/>
      <c r="BN481" s="48"/>
      <c r="BO481" s="48"/>
      <c r="BR481" s="48"/>
      <c r="BS481" s="48"/>
      <c r="BW481" s="48"/>
      <c r="CA481" s="48"/>
      <c r="CE481" s="48"/>
      <c r="CF481" s="48"/>
      <c r="CG481" s="48"/>
      <c r="CH481" s="48"/>
      <c r="CI481" s="48"/>
      <c r="CJ481" s="48"/>
      <c r="CL481" s="48"/>
      <c r="CM481" s="48"/>
      <c r="CN481" s="48"/>
      <c r="CO481" s="48"/>
      <c r="CP481" s="48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8"/>
      <c r="DN481" s="48"/>
      <c r="DO481" s="48"/>
      <c r="DP481" s="48"/>
      <c r="DQ481" s="48"/>
      <c r="DR481" s="48"/>
      <c r="DS481" s="48"/>
      <c r="DT481" s="48"/>
      <c r="DU481" s="48"/>
      <c r="DV481" s="48"/>
      <c r="DW481" s="48"/>
      <c r="DX481" s="48"/>
      <c r="DY481" s="48"/>
      <c r="DZ481" s="48"/>
      <c r="EA481" s="48"/>
      <c r="EC481" s="48"/>
      <c r="ED481" s="48"/>
      <c r="EE481" s="48"/>
      <c r="EF481" s="48"/>
      <c r="EG481" s="48"/>
      <c r="EI481" s="48"/>
      <c r="EK481" s="48"/>
      <c r="EM481" s="48"/>
      <c r="EO481" s="48"/>
      <c r="EP481" s="48"/>
      <c r="EU481" s="48"/>
      <c r="EV481" s="48"/>
      <c r="EW481" s="48"/>
      <c r="EX481" s="48"/>
      <c r="EY481" s="48"/>
      <c r="EZ481" s="48"/>
      <c r="FA481" s="48"/>
      <c r="FB481" s="48"/>
      <c r="FC481" s="48"/>
      <c r="FD481" s="48"/>
      <c r="FE481" s="48"/>
      <c r="FF481" s="48"/>
      <c r="FG481" s="48"/>
      <c r="FI481" s="48"/>
      <c r="FL481" s="48"/>
      <c r="FM481" s="48"/>
      <c r="FN481" s="48"/>
      <c r="FO481" s="48"/>
      <c r="FP481" s="48"/>
      <c r="FQ481" s="48"/>
      <c r="FR481" s="48"/>
      <c r="FS481" s="48"/>
      <c r="FT481" s="48"/>
      <c r="FU481" s="48"/>
      <c r="GI481" s="64"/>
    </row>
    <row r="482" spans="1:19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52"/>
      <c r="BF482" s="48"/>
      <c r="BG482" s="48"/>
      <c r="BI482" s="48"/>
      <c r="BN482" s="48"/>
      <c r="BO482" s="48"/>
      <c r="BR482" s="48"/>
      <c r="BS482" s="48"/>
      <c r="BW482" s="48"/>
      <c r="CA482" s="48"/>
      <c r="CE482" s="48"/>
      <c r="CF482" s="48"/>
      <c r="CG482" s="48"/>
      <c r="CH482" s="48"/>
      <c r="CI482" s="48"/>
      <c r="CJ482" s="48"/>
      <c r="CL482" s="48"/>
      <c r="CM482" s="48"/>
      <c r="CN482" s="48"/>
      <c r="CO482" s="48"/>
      <c r="CP482" s="48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  <c r="DE482" s="48"/>
      <c r="DF482" s="48"/>
      <c r="DG482" s="48"/>
      <c r="DH482" s="48"/>
      <c r="DI482" s="48"/>
      <c r="DJ482" s="48"/>
      <c r="DK482" s="48"/>
      <c r="DL482" s="48"/>
      <c r="DM482" s="48"/>
      <c r="DN482" s="48"/>
      <c r="DO482" s="48"/>
      <c r="DP482" s="48"/>
      <c r="DQ482" s="48"/>
      <c r="DR482" s="48"/>
      <c r="DS482" s="48"/>
      <c r="DT482" s="48"/>
      <c r="DU482" s="48"/>
      <c r="DV482" s="48"/>
      <c r="DW482" s="48"/>
      <c r="DX482" s="48"/>
      <c r="DY482" s="48"/>
      <c r="DZ482" s="48"/>
      <c r="EA482" s="48"/>
      <c r="EC482" s="48"/>
      <c r="ED482" s="48"/>
      <c r="EE482" s="48"/>
      <c r="EF482" s="48"/>
      <c r="EG482" s="48"/>
      <c r="EI482" s="48"/>
      <c r="EK482" s="48"/>
      <c r="EM482" s="48"/>
      <c r="EO482" s="48"/>
      <c r="EP482" s="48"/>
      <c r="EU482" s="48"/>
      <c r="EV482" s="48"/>
      <c r="EW482" s="48"/>
      <c r="EX482" s="48"/>
      <c r="EY482" s="48"/>
      <c r="EZ482" s="48"/>
      <c r="FA482" s="48"/>
      <c r="FB482" s="48"/>
      <c r="FC482" s="48"/>
      <c r="FD482" s="48"/>
      <c r="FE482" s="48"/>
      <c r="FF482" s="48"/>
      <c r="FG482" s="48"/>
      <c r="FI482" s="48"/>
      <c r="FL482" s="48"/>
      <c r="FM482" s="48"/>
      <c r="FN482" s="48"/>
      <c r="FO482" s="48"/>
      <c r="FP482" s="48"/>
      <c r="FQ482" s="48"/>
      <c r="FR482" s="48"/>
      <c r="FS482" s="48"/>
      <c r="FT482" s="48"/>
      <c r="FU482" s="48"/>
      <c r="GI482" s="64"/>
    </row>
    <row r="483" spans="1:19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52"/>
      <c r="BF483" s="48"/>
      <c r="BG483" s="48"/>
      <c r="BI483" s="48"/>
      <c r="BN483" s="48"/>
      <c r="BO483" s="48"/>
      <c r="BR483" s="48"/>
      <c r="BS483" s="48"/>
      <c r="BW483" s="48"/>
      <c r="CA483" s="48"/>
      <c r="CE483" s="48"/>
      <c r="CF483" s="48"/>
      <c r="CG483" s="48"/>
      <c r="CH483" s="48"/>
      <c r="CI483" s="48"/>
      <c r="CJ483" s="48"/>
      <c r="CL483" s="48"/>
      <c r="CM483" s="48"/>
      <c r="CN483" s="48"/>
      <c r="CO483" s="48"/>
      <c r="CP483" s="48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  <c r="DE483" s="48"/>
      <c r="DF483" s="48"/>
      <c r="DG483" s="48"/>
      <c r="DH483" s="48"/>
      <c r="DI483" s="48"/>
      <c r="DJ483" s="48"/>
      <c r="DK483" s="48"/>
      <c r="DL483" s="48"/>
      <c r="DM483" s="48"/>
      <c r="DN483" s="48"/>
      <c r="DO483" s="48"/>
      <c r="DP483" s="48"/>
      <c r="DQ483" s="48"/>
      <c r="DR483" s="48"/>
      <c r="DS483" s="48"/>
      <c r="DT483" s="48"/>
      <c r="DU483" s="48"/>
      <c r="DV483" s="48"/>
      <c r="DW483" s="48"/>
      <c r="DX483" s="48"/>
      <c r="DY483" s="48"/>
      <c r="DZ483" s="48"/>
      <c r="EA483" s="48"/>
      <c r="EC483" s="48"/>
      <c r="ED483" s="48"/>
      <c r="EE483" s="48"/>
      <c r="EF483" s="48"/>
      <c r="EG483" s="48"/>
      <c r="EI483" s="48"/>
      <c r="EK483" s="48"/>
      <c r="EM483" s="48"/>
      <c r="EO483" s="48"/>
      <c r="EP483" s="48"/>
      <c r="EU483" s="48"/>
      <c r="EV483" s="48"/>
      <c r="EW483" s="48"/>
      <c r="EX483" s="48"/>
      <c r="EY483" s="48"/>
      <c r="EZ483" s="48"/>
      <c r="FA483" s="48"/>
      <c r="FB483" s="48"/>
      <c r="FC483" s="48"/>
      <c r="FD483" s="48"/>
      <c r="FE483" s="48"/>
      <c r="FF483" s="48"/>
      <c r="FG483" s="48"/>
      <c r="FI483" s="48"/>
      <c r="FL483" s="48"/>
      <c r="FM483" s="48"/>
      <c r="FN483" s="48"/>
      <c r="FO483" s="48"/>
      <c r="FP483" s="48"/>
      <c r="FQ483" s="48"/>
      <c r="FR483" s="48"/>
      <c r="FS483" s="48"/>
      <c r="FT483" s="48"/>
      <c r="FU483" s="48"/>
      <c r="GI483" s="64"/>
    </row>
    <row r="484" spans="1:19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52"/>
      <c r="BF484" s="48"/>
      <c r="BG484" s="48"/>
      <c r="BI484" s="48"/>
      <c r="BN484" s="48"/>
      <c r="BO484" s="48"/>
      <c r="BR484" s="48"/>
      <c r="BS484" s="48"/>
      <c r="BW484" s="48"/>
      <c r="CA484" s="48"/>
      <c r="CE484" s="48"/>
      <c r="CF484" s="48"/>
      <c r="CG484" s="48"/>
      <c r="CH484" s="48"/>
      <c r="CI484" s="48"/>
      <c r="CJ484" s="48"/>
      <c r="CL484" s="48"/>
      <c r="CM484" s="48"/>
      <c r="CN484" s="48"/>
      <c r="CO484" s="48"/>
      <c r="CP484" s="48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8"/>
      <c r="DV484" s="48"/>
      <c r="DW484" s="48"/>
      <c r="DX484" s="48"/>
      <c r="DY484" s="48"/>
      <c r="DZ484" s="48"/>
      <c r="EA484" s="48"/>
      <c r="EC484" s="48"/>
      <c r="ED484" s="48"/>
      <c r="EE484" s="48"/>
      <c r="EF484" s="48"/>
      <c r="EG484" s="48"/>
      <c r="EI484" s="48"/>
      <c r="EK484" s="48"/>
      <c r="EM484" s="48"/>
      <c r="EO484" s="48"/>
      <c r="EP484" s="48"/>
      <c r="EU484" s="48"/>
      <c r="EV484" s="48"/>
      <c r="EW484" s="48"/>
      <c r="EX484" s="48"/>
      <c r="EY484" s="48"/>
      <c r="EZ484" s="48"/>
      <c r="FA484" s="48"/>
      <c r="FB484" s="48"/>
      <c r="FC484" s="48"/>
      <c r="FD484" s="48"/>
      <c r="FE484" s="48"/>
      <c r="FF484" s="48"/>
      <c r="FG484" s="48"/>
      <c r="FI484" s="48"/>
      <c r="FL484" s="48"/>
      <c r="FM484" s="48"/>
      <c r="FN484" s="48"/>
      <c r="FO484" s="48"/>
      <c r="FP484" s="48"/>
      <c r="FQ484" s="48"/>
      <c r="FR484" s="48"/>
      <c r="FS484" s="48"/>
      <c r="FT484" s="48"/>
      <c r="FU484" s="48"/>
      <c r="GI484" s="64"/>
    </row>
    <row r="485" spans="1:19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52"/>
      <c r="BF485" s="48"/>
      <c r="BG485" s="48"/>
      <c r="BI485" s="48"/>
      <c r="BN485" s="48"/>
      <c r="BO485" s="48"/>
      <c r="BR485" s="48"/>
      <c r="BS485" s="48"/>
      <c r="BW485" s="48"/>
      <c r="CA485" s="48"/>
      <c r="CE485" s="48"/>
      <c r="CF485" s="48"/>
      <c r="CG485" s="48"/>
      <c r="CH485" s="48"/>
      <c r="CI485" s="48"/>
      <c r="CJ485" s="48"/>
      <c r="CL485" s="48"/>
      <c r="CM485" s="48"/>
      <c r="CN485" s="48"/>
      <c r="CO485" s="48"/>
      <c r="CP485" s="48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8"/>
      <c r="DV485" s="48"/>
      <c r="DW485" s="48"/>
      <c r="DX485" s="48"/>
      <c r="DY485" s="48"/>
      <c r="DZ485" s="48"/>
      <c r="EA485" s="48"/>
      <c r="EC485" s="48"/>
      <c r="ED485" s="48"/>
      <c r="EE485" s="48"/>
      <c r="EF485" s="48"/>
      <c r="EG485" s="48"/>
      <c r="EI485" s="48"/>
      <c r="EK485" s="48"/>
      <c r="EM485" s="48"/>
      <c r="EO485" s="48"/>
      <c r="EP485" s="48"/>
      <c r="EU485" s="48"/>
      <c r="EV485" s="48"/>
      <c r="EW485" s="48"/>
      <c r="EX485" s="48"/>
      <c r="EY485" s="48"/>
      <c r="EZ485" s="48"/>
      <c r="FA485" s="48"/>
      <c r="FB485" s="48"/>
      <c r="FC485" s="48"/>
      <c r="FD485" s="48"/>
      <c r="FE485" s="48"/>
      <c r="FF485" s="48"/>
      <c r="FG485" s="48"/>
      <c r="FI485" s="48"/>
      <c r="FL485" s="48"/>
      <c r="FM485" s="48"/>
      <c r="FN485" s="48"/>
      <c r="FO485" s="48"/>
      <c r="FP485" s="48"/>
      <c r="FQ485" s="48"/>
      <c r="FR485" s="48"/>
      <c r="FS485" s="48"/>
      <c r="FT485" s="48"/>
      <c r="FU485" s="48"/>
      <c r="GI485" s="64"/>
    </row>
    <row r="486" spans="1:19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52"/>
      <c r="BF486" s="48"/>
      <c r="BG486" s="48"/>
      <c r="BI486" s="48"/>
      <c r="BN486" s="48"/>
      <c r="BO486" s="48"/>
      <c r="BR486" s="48"/>
      <c r="BS486" s="48"/>
      <c r="BW486" s="48"/>
      <c r="CA486" s="48"/>
      <c r="CE486" s="48"/>
      <c r="CF486" s="48"/>
      <c r="CG486" s="48"/>
      <c r="CH486" s="48"/>
      <c r="CI486" s="48"/>
      <c r="CJ486" s="48"/>
      <c r="CL486" s="48"/>
      <c r="CM486" s="48"/>
      <c r="CN486" s="48"/>
      <c r="CO486" s="48"/>
      <c r="CP486" s="48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8"/>
      <c r="DV486" s="48"/>
      <c r="DW486" s="48"/>
      <c r="DX486" s="48"/>
      <c r="DY486" s="48"/>
      <c r="DZ486" s="48"/>
      <c r="EA486" s="48"/>
      <c r="EC486" s="48"/>
      <c r="ED486" s="48"/>
      <c r="EE486" s="48"/>
      <c r="EF486" s="48"/>
      <c r="EG486" s="48"/>
      <c r="EI486" s="48"/>
      <c r="EK486" s="48"/>
      <c r="EM486" s="48"/>
      <c r="EO486" s="48"/>
      <c r="EP486" s="48"/>
      <c r="EU486" s="48"/>
      <c r="EV486" s="48"/>
      <c r="EW486" s="48"/>
      <c r="EX486" s="48"/>
      <c r="EY486" s="48"/>
      <c r="EZ486" s="48"/>
      <c r="FA486" s="48"/>
      <c r="FB486" s="48"/>
      <c r="FC486" s="48"/>
      <c r="FD486" s="48"/>
      <c r="FE486" s="48"/>
      <c r="FF486" s="48"/>
      <c r="FG486" s="48"/>
      <c r="FI486" s="48"/>
      <c r="FL486" s="48"/>
      <c r="FM486" s="48"/>
      <c r="FN486" s="48"/>
      <c r="FO486" s="48"/>
      <c r="FP486" s="48"/>
      <c r="FQ486" s="48"/>
      <c r="FR486" s="48"/>
      <c r="FS486" s="48"/>
      <c r="FT486" s="48"/>
      <c r="FU486" s="48"/>
      <c r="GI486" s="64"/>
    </row>
    <row r="487" spans="1:19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52"/>
      <c r="BF487" s="48"/>
      <c r="BG487" s="48"/>
      <c r="BI487" s="48"/>
      <c r="BN487" s="48"/>
      <c r="BO487" s="48"/>
      <c r="BR487" s="48"/>
      <c r="BS487" s="48"/>
      <c r="BW487" s="48"/>
      <c r="CA487" s="48"/>
      <c r="CE487" s="48"/>
      <c r="CF487" s="48"/>
      <c r="CG487" s="48"/>
      <c r="CH487" s="48"/>
      <c r="CI487" s="48"/>
      <c r="CJ487" s="48"/>
      <c r="CL487" s="48"/>
      <c r="CM487" s="48"/>
      <c r="CN487" s="48"/>
      <c r="CO487" s="48"/>
      <c r="CP487" s="48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8"/>
      <c r="DV487" s="48"/>
      <c r="DW487" s="48"/>
      <c r="DX487" s="48"/>
      <c r="DY487" s="48"/>
      <c r="DZ487" s="48"/>
      <c r="EA487" s="48"/>
      <c r="EC487" s="48"/>
      <c r="ED487" s="48"/>
      <c r="EE487" s="48"/>
      <c r="EF487" s="48"/>
      <c r="EG487" s="48"/>
      <c r="EI487" s="48"/>
      <c r="EK487" s="48"/>
      <c r="EM487" s="48"/>
      <c r="EO487" s="48"/>
      <c r="EP487" s="48"/>
      <c r="EU487" s="48"/>
      <c r="EV487" s="48"/>
      <c r="EW487" s="48"/>
      <c r="EX487" s="48"/>
      <c r="EY487" s="48"/>
      <c r="EZ487" s="48"/>
      <c r="FA487" s="48"/>
      <c r="FB487" s="48"/>
      <c r="FC487" s="48"/>
      <c r="FD487" s="48"/>
      <c r="FE487" s="48"/>
      <c r="FF487" s="48"/>
      <c r="FG487" s="48"/>
      <c r="FI487" s="48"/>
      <c r="FL487" s="48"/>
      <c r="FM487" s="48"/>
      <c r="FN487" s="48"/>
      <c r="FO487" s="48"/>
      <c r="FP487" s="48"/>
      <c r="FQ487" s="48"/>
      <c r="FR487" s="48"/>
      <c r="FS487" s="48"/>
      <c r="FT487" s="48"/>
      <c r="FU487" s="48"/>
      <c r="GI487" s="64"/>
    </row>
    <row r="488" spans="1:19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52"/>
      <c r="BF488" s="48"/>
      <c r="BG488" s="48"/>
      <c r="BI488" s="48"/>
      <c r="BN488" s="48"/>
      <c r="BO488" s="48"/>
      <c r="BR488" s="48"/>
      <c r="BS488" s="48"/>
      <c r="BW488" s="48"/>
      <c r="CA488" s="48"/>
      <c r="CE488" s="48"/>
      <c r="CF488" s="48"/>
      <c r="CG488" s="48"/>
      <c r="CH488" s="48"/>
      <c r="CI488" s="48"/>
      <c r="CJ488" s="48"/>
      <c r="CL488" s="48"/>
      <c r="CM488" s="48"/>
      <c r="CN488" s="48"/>
      <c r="CO488" s="48"/>
      <c r="CP488" s="48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8"/>
      <c r="DV488" s="48"/>
      <c r="DW488" s="48"/>
      <c r="DX488" s="48"/>
      <c r="DY488" s="48"/>
      <c r="DZ488" s="48"/>
      <c r="EA488" s="48"/>
      <c r="EC488" s="48"/>
      <c r="ED488" s="48"/>
      <c r="EE488" s="48"/>
      <c r="EF488" s="48"/>
      <c r="EG488" s="48"/>
      <c r="EI488" s="48"/>
      <c r="EK488" s="48"/>
      <c r="EM488" s="48"/>
      <c r="EO488" s="48"/>
      <c r="EP488" s="48"/>
      <c r="EU488" s="48"/>
      <c r="EV488" s="48"/>
      <c r="EW488" s="48"/>
      <c r="EX488" s="48"/>
      <c r="EY488" s="48"/>
      <c r="EZ488" s="48"/>
      <c r="FA488" s="48"/>
      <c r="FB488" s="48"/>
      <c r="FC488" s="48"/>
      <c r="FD488" s="48"/>
      <c r="FE488" s="48"/>
      <c r="FF488" s="48"/>
      <c r="FG488" s="48"/>
      <c r="FI488" s="48"/>
      <c r="FL488" s="48"/>
      <c r="FM488" s="48"/>
      <c r="FN488" s="48"/>
      <c r="FO488" s="48"/>
      <c r="FP488" s="48"/>
      <c r="FQ488" s="48"/>
      <c r="FR488" s="48"/>
      <c r="FS488" s="48"/>
      <c r="FT488" s="48"/>
      <c r="FU488" s="48"/>
      <c r="GI488" s="64"/>
    </row>
    <row r="489" spans="1:19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52"/>
      <c r="BF489" s="48"/>
      <c r="BG489" s="48"/>
      <c r="BI489" s="48"/>
      <c r="BN489" s="48"/>
      <c r="BO489" s="48"/>
      <c r="BR489" s="48"/>
      <c r="BS489" s="48"/>
      <c r="BW489" s="48"/>
      <c r="CA489" s="48"/>
      <c r="CE489" s="48"/>
      <c r="CF489" s="48"/>
      <c r="CG489" s="48"/>
      <c r="CH489" s="48"/>
      <c r="CI489" s="48"/>
      <c r="CJ489" s="48"/>
      <c r="CL489" s="48"/>
      <c r="CM489" s="48"/>
      <c r="CN489" s="48"/>
      <c r="CO489" s="48"/>
      <c r="CP489" s="48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  <c r="DE489" s="48"/>
      <c r="DF489" s="48"/>
      <c r="DG489" s="48"/>
      <c r="DH489" s="48"/>
      <c r="DI489" s="48"/>
      <c r="DJ489" s="48"/>
      <c r="DK489" s="48"/>
      <c r="DL489" s="48"/>
      <c r="DM489" s="48"/>
      <c r="DN489" s="48"/>
      <c r="DO489" s="48"/>
      <c r="DP489" s="48"/>
      <c r="DQ489" s="48"/>
      <c r="DR489" s="48"/>
      <c r="DS489" s="48"/>
      <c r="DT489" s="48"/>
      <c r="DU489" s="48"/>
      <c r="DV489" s="48"/>
      <c r="DW489" s="48"/>
      <c r="DX489" s="48"/>
      <c r="DY489" s="48"/>
      <c r="DZ489" s="48"/>
      <c r="EA489" s="48"/>
      <c r="EC489" s="48"/>
      <c r="ED489" s="48"/>
      <c r="EE489" s="48"/>
      <c r="EF489" s="48"/>
      <c r="EG489" s="48"/>
      <c r="EI489" s="48"/>
      <c r="EK489" s="48"/>
      <c r="EM489" s="48"/>
      <c r="EO489" s="48"/>
      <c r="EP489" s="48"/>
      <c r="EU489" s="48"/>
      <c r="EV489" s="48"/>
      <c r="EW489" s="48"/>
      <c r="EX489" s="48"/>
      <c r="EY489" s="48"/>
      <c r="EZ489" s="48"/>
      <c r="FA489" s="48"/>
      <c r="FB489" s="48"/>
      <c r="FC489" s="48"/>
      <c r="FD489" s="48"/>
      <c r="FE489" s="48"/>
      <c r="FF489" s="48"/>
      <c r="FG489" s="48"/>
      <c r="FI489" s="48"/>
      <c r="FL489" s="48"/>
      <c r="FM489" s="48"/>
      <c r="FN489" s="48"/>
      <c r="FO489" s="48"/>
      <c r="FP489" s="48"/>
      <c r="FQ489" s="48"/>
      <c r="FR489" s="48"/>
      <c r="FS489" s="48"/>
      <c r="FT489" s="48"/>
      <c r="FU489" s="48"/>
      <c r="GI489" s="64"/>
    </row>
    <row r="490" spans="1:19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52"/>
      <c r="BF490" s="48"/>
      <c r="BG490" s="48"/>
      <c r="BI490" s="48"/>
      <c r="BN490" s="48"/>
      <c r="BO490" s="48"/>
      <c r="BR490" s="48"/>
      <c r="BS490" s="48"/>
      <c r="BW490" s="48"/>
      <c r="CA490" s="48"/>
      <c r="CE490" s="48"/>
      <c r="CF490" s="48"/>
      <c r="CG490" s="48"/>
      <c r="CH490" s="48"/>
      <c r="CI490" s="48"/>
      <c r="CJ490" s="48"/>
      <c r="CL490" s="48"/>
      <c r="CM490" s="48"/>
      <c r="CN490" s="48"/>
      <c r="CO490" s="48"/>
      <c r="CP490" s="48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8"/>
      <c r="DN490" s="48"/>
      <c r="DO490" s="48"/>
      <c r="DP490" s="48"/>
      <c r="DQ490" s="48"/>
      <c r="DR490" s="48"/>
      <c r="DS490" s="48"/>
      <c r="DT490" s="48"/>
      <c r="DU490" s="48"/>
      <c r="DV490" s="48"/>
      <c r="DW490" s="48"/>
      <c r="DX490" s="48"/>
      <c r="DY490" s="48"/>
      <c r="DZ490" s="48"/>
      <c r="EA490" s="48"/>
      <c r="EC490" s="48"/>
      <c r="ED490" s="48"/>
      <c r="EE490" s="48"/>
      <c r="EF490" s="48"/>
      <c r="EG490" s="48"/>
      <c r="EI490" s="48"/>
      <c r="EK490" s="48"/>
      <c r="EM490" s="48"/>
      <c r="EO490" s="48"/>
      <c r="EP490" s="48"/>
      <c r="EU490" s="48"/>
      <c r="EV490" s="48"/>
      <c r="EW490" s="48"/>
      <c r="EX490" s="48"/>
      <c r="EY490" s="48"/>
      <c r="EZ490" s="48"/>
      <c r="FA490" s="48"/>
      <c r="FB490" s="48"/>
      <c r="FC490" s="48"/>
      <c r="FD490" s="48"/>
      <c r="FE490" s="48"/>
      <c r="FF490" s="48"/>
      <c r="FG490" s="48"/>
      <c r="FI490" s="48"/>
      <c r="FL490" s="48"/>
      <c r="FM490" s="48"/>
      <c r="FN490" s="48"/>
      <c r="FO490" s="48"/>
      <c r="FP490" s="48"/>
      <c r="FQ490" s="48"/>
      <c r="FR490" s="48"/>
      <c r="FS490" s="48"/>
      <c r="FT490" s="48"/>
      <c r="FU490" s="48"/>
      <c r="GI490" s="64"/>
    </row>
    <row r="491" spans="1:1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52"/>
      <c r="BF491" s="48"/>
      <c r="BG491" s="48"/>
      <c r="BI491" s="48"/>
      <c r="BN491" s="48"/>
      <c r="BO491" s="48"/>
      <c r="BR491" s="48"/>
      <c r="BS491" s="48"/>
      <c r="BW491" s="48"/>
      <c r="CA491" s="48"/>
      <c r="CE491" s="48"/>
      <c r="CF491" s="48"/>
      <c r="CG491" s="48"/>
      <c r="CH491" s="48"/>
      <c r="CI491" s="48"/>
      <c r="CJ491" s="48"/>
      <c r="CL491" s="48"/>
      <c r="CM491" s="48"/>
      <c r="CN491" s="48"/>
      <c r="CO491" s="48"/>
      <c r="CP491" s="48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  <c r="DE491" s="48"/>
      <c r="DF491" s="48"/>
      <c r="DG491" s="48"/>
      <c r="DH491" s="48"/>
      <c r="DI491" s="48"/>
      <c r="DJ491" s="48"/>
      <c r="DK491" s="48"/>
      <c r="DL491" s="48"/>
      <c r="DM491" s="48"/>
      <c r="DN491" s="48"/>
      <c r="DO491" s="48"/>
      <c r="DP491" s="48"/>
      <c r="DQ491" s="48"/>
      <c r="DR491" s="48"/>
      <c r="DS491" s="48"/>
      <c r="DT491" s="48"/>
      <c r="DU491" s="48"/>
      <c r="DV491" s="48"/>
      <c r="DW491" s="48"/>
      <c r="DX491" s="48"/>
      <c r="DY491" s="48"/>
      <c r="DZ491" s="48"/>
      <c r="EA491" s="48"/>
      <c r="EC491" s="48"/>
      <c r="ED491" s="48"/>
      <c r="EE491" s="48"/>
      <c r="EF491" s="48"/>
      <c r="EG491" s="48"/>
      <c r="EI491" s="48"/>
      <c r="EK491" s="48"/>
      <c r="EM491" s="48"/>
      <c r="EO491" s="48"/>
      <c r="EP491" s="48"/>
      <c r="EU491" s="48"/>
      <c r="EV491" s="48"/>
      <c r="EW491" s="48"/>
      <c r="EX491" s="48"/>
      <c r="EY491" s="48"/>
      <c r="EZ491" s="48"/>
      <c r="FA491" s="48"/>
      <c r="FB491" s="48"/>
      <c r="FC491" s="48"/>
      <c r="FD491" s="48"/>
      <c r="FE491" s="48"/>
      <c r="FF491" s="48"/>
      <c r="FG491" s="48"/>
      <c r="FI491" s="48"/>
      <c r="FL491" s="48"/>
      <c r="FM491" s="48"/>
      <c r="FN491" s="48"/>
      <c r="FO491" s="48"/>
      <c r="FP491" s="48"/>
      <c r="FQ491" s="48"/>
      <c r="FR491" s="48"/>
      <c r="FS491" s="48"/>
      <c r="FT491" s="48"/>
      <c r="FU491" s="48"/>
      <c r="GI491" s="64"/>
    </row>
    <row r="492" spans="1:19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52"/>
      <c r="BF492" s="48"/>
      <c r="BG492" s="48"/>
      <c r="BI492" s="48"/>
      <c r="BN492" s="48"/>
      <c r="BO492" s="48"/>
      <c r="BR492" s="48"/>
      <c r="BS492" s="48"/>
      <c r="BW492" s="48"/>
      <c r="CA492" s="48"/>
      <c r="CE492" s="48"/>
      <c r="CF492" s="48"/>
      <c r="CG492" s="48"/>
      <c r="CH492" s="48"/>
      <c r="CI492" s="48"/>
      <c r="CJ492" s="48"/>
      <c r="CL492" s="48"/>
      <c r="CM492" s="48"/>
      <c r="CN492" s="48"/>
      <c r="CO492" s="48"/>
      <c r="CP492" s="48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  <c r="DE492" s="48"/>
      <c r="DF492" s="48"/>
      <c r="DG492" s="48"/>
      <c r="DH492" s="48"/>
      <c r="DI492" s="48"/>
      <c r="DJ492" s="48"/>
      <c r="DK492" s="48"/>
      <c r="DL492" s="48"/>
      <c r="DM492" s="48"/>
      <c r="DN492" s="48"/>
      <c r="DO492" s="48"/>
      <c r="DP492" s="48"/>
      <c r="DQ492" s="48"/>
      <c r="DR492" s="48"/>
      <c r="DS492" s="48"/>
      <c r="DT492" s="48"/>
      <c r="DU492" s="48"/>
      <c r="DV492" s="48"/>
      <c r="DW492" s="48"/>
      <c r="DX492" s="48"/>
      <c r="DY492" s="48"/>
      <c r="DZ492" s="48"/>
      <c r="EA492" s="48"/>
      <c r="EC492" s="48"/>
      <c r="ED492" s="48"/>
      <c r="EE492" s="48"/>
      <c r="EF492" s="48"/>
      <c r="EG492" s="48"/>
      <c r="EI492" s="48"/>
      <c r="EK492" s="48"/>
      <c r="EM492" s="48"/>
      <c r="EO492" s="48"/>
      <c r="EP492" s="48"/>
      <c r="EU492" s="48"/>
      <c r="EV492" s="48"/>
      <c r="EW492" s="48"/>
      <c r="EX492" s="48"/>
      <c r="EY492" s="48"/>
      <c r="EZ492" s="48"/>
      <c r="FA492" s="48"/>
      <c r="FB492" s="48"/>
      <c r="FC492" s="48"/>
      <c r="FD492" s="48"/>
      <c r="FE492" s="48"/>
      <c r="FF492" s="48"/>
      <c r="FG492" s="48"/>
      <c r="FI492" s="48"/>
      <c r="FL492" s="48"/>
      <c r="FM492" s="48"/>
      <c r="FN492" s="48"/>
      <c r="FO492" s="48"/>
      <c r="FP492" s="48"/>
      <c r="FQ492" s="48"/>
      <c r="FR492" s="48"/>
      <c r="FS492" s="48"/>
      <c r="FT492" s="48"/>
      <c r="FU492" s="48"/>
      <c r="GI492" s="64"/>
    </row>
    <row r="493" spans="1:19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52"/>
      <c r="BF493" s="48"/>
      <c r="BG493" s="48"/>
      <c r="BI493" s="48"/>
      <c r="BN493" s="48"/>
      <c r="BO493" s="48"/>
      <c r="BR493" s="48"/>
      <c r="BS493" s="48"/>
      <c r="BW493" s="48"/>
      <c r="CA493" s="48"/>
      <c r="CE493" s="48"/>
      <c r="CF493" s="48"/>
      <c r="CG493" s="48"/>
      <c r="CH493" s="48"/>
      <c r="CI493" s="48"/>
      <c r="CJ493" s="48"/>
      <c r="CL493" s="48"/>
      <c r="CM493" s="48"/>
      <c r="CN493" s="48"/>
      <c r="CO493" s="48"/>
      <c r="CP493" s="48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8"/>
      <c r="DN493" s="48"/>
      <c r="DO493" s="48"/>
      <c r="DP493" s="48"/>
      <c r="DQ493" s="48"/>
      <c r="DR493" s="48"/>
      <c r="DS493" s="48"/>
      <c r="DT493" s="48"/>
      <c r="DU493" s="48"/>
      <c r="DV493" s="48"/>
      <c r="DW493" s="48"/>
      <c r="DX493" s="48"/>
      <c r="DY493" s="48"/>
      <c r="DZ493" s="48"/>
      <c r="EA493" s="48"/>
      <c r="EC493" s="48"/>
      <c r="ED493" s="48"/>
      <c r="EE493" s="48"/>
      <c r="EF493" s="48"/>
      <c r="EG493" s="48"/>
      <c r="EI493" s="48"/>
      <c r="EK493" s="48"/>
      <c r="EM493" s="48"/>
      <c r="EO493" s="48"/>
      <c r="EP493" s="48"/>
      <c r="EU493" s="48"/>
      <c r="EV493" s="48"/>
      <c r="EW493" s="48"/>
      <c r="EX493" s="48"/>
      <c r="EY493" s="48"/>
      <c r="EZ493" s="48"/>
      <c r="FA493" s="48"/>
      <c r="FB493" s="48"/>
      <c r="FC493" s="48"/>
      <c r="FD493" s="48"/>
      <c r="FE493" s="48"/>
      <c r="FF493" s="48"/>
      <c r="FG493" s="48"/>
      <c r="FI493" s="48"/>
      <c r="FL493" s="48"/>
      <c r="FM493" s="48"/>
      <c r="FN493" s="48"/>
      <c r="FO493" s="48"/>
      <c r="FP493" s="48"/>
      <c r="FQ493" s="48"/>
      <c r="FR493" s="48"/>
      <c r="FS493" s="48"/>
      <c r="FT493" s="48"/>
      <c r="FU493" s="48"/>
      <c r="GI493" s="64"/>
    </row>
    <row r="494" spans="1:19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52"/>
      <c r="BF494" s="48"/>
      <c r="BG494" s="48"/>
      <c r="BI494" s="48"/>
      <c r="BN494" s="48"/>
      <c r="BO494" s="48"/>
      <c r="BR494" s="48"/>
      <c r="BS494" s="48"/>
      <c r="BW494" s="48"/>
      <c r="CA494" s="48"/>
      <c r="CE494" s="48"/>
      <c r="CF494" s="48"/>
      <c r="CG494" s="48"/>
      <c r="CH494" s="48"/>
      <c r="CI494" s="48"/>
      <c r="CJ494" s="48"/>
      <c r="CL494" s="48"/>
      <c r="CM494" s="48"/>
      <c r="CN494" s="48"/>
      <c r="CO494" s="48"/>
      <c r="CP494" s="48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  <c r="DE494" s="48"/>
      <c r="DF494" s="48"/>
      <c r="DG494" s="48"/>
      <c r="DH494" s="48"/>
      <c r="DI494" s="48"/>
      <c r="DJ494" s="48"/>
      <c r="DK494" s="48"/>
      <c r="DL494" s="48"/>
      <c r="DM494" s="48"/>
      <c r="DN494" s="48"/>
      <c r="DO494" s="48"/>
      <c r="DP494" s="48"/>
      <c r="DQ494" s="48"/>
      <c r="DR494" s="48"/>
      <c r="DS494" s="48"/>
      <c r="DT494" s="48"/>
      <c r="DU494" s="48"/>
      <c r="DV494" s="48"/>
      <c r="DW494" s="48"/>
      <c r="DX494" s="48"/>
      <c r="DY494" s="48"/>
      <c r="DZ494" s="48"/>
      <c r="EA494" s="48"/>
      <c r="EC494" s="48"/>
      <c r="ED494" s="48"/>
      <c r="EE494" s="48"/>
      <c r="EF494" s="48"/>
      <c r="EG494" s="48"/>
      <c r="EI494" s="48"/>
      <c r="EK494" s="48"/>
      <c r="EM494" s="48"/>
      <c r="EO494" s="48"/>
      <c r="EP494" s="48"/>
      <c r="EU494" s="48"/>
      <c r="EV494" s="48"/>
      <c r="EW494" s="48"/>
      <c r="EX494" s="48"/>
      <c r="EY494" s="48"/>
      <c r="EZ494" s="48"/>
      <c r="FA494" s="48"/>
      <c r="FB494" s="48"/>
      <c r="FC494" s="48"/>
      <c r="FD494" s="48"/>
      <c r="FE494" s="48"/>
      <c r="FF494" s="48"/>
      <c r="FG494" s="48"/>
      <c r="FI494" s="48"/>
      <c r="FL494" s="48"/>
      <c r="FM494" s="48"/>
      <c r="FN494" s="48"/>
      <c r="FO494" s="48"/>
      <c r="FP494" s="48"/>
      <c r="FQ494" s="48"/>
      <c r="FR494" s="48"/>
      <c r="FS494" s="48"/>
      <c r="FT494" s="48"/>
      <c r="FU494" s="48"/>
      <c r="GI494" s="64"/>
    </row>
    <row r="495" spans="1:19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52"/>
      <c r="BF495" s="48"/>
      <c r="BG495" s="48"/>
      <c r="BI495" s="48"/>
      <c r="BN495" s="48"/>
      <c r="BO495" s="48"/>
      <c r="BR495" s="48"/>
      <c r="BS495" s="48"/>
      <c r="BW495" s="48"/>
      <c r="CA495" s="48"/>
      <c r="CE495" s="48"/>
      <c r="CF495" s="48"/>
      <c r="CG495" s="48"/>
      <c r="CH495" s="48"/>
      <c r="CI495" s="48"/>
      <c r="CJ495" s="48"/>
      <c r="CL495" s="48"/>
      <c r="CM495" s="48"/>
      <c r="CN495" s="48"/>
      <c r="CO495" s="48"/>
      <c r="CP495" s="48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  <c r="DE495" s="48"/>
      <c r="DF495" s="48"/>
      <c r="DG495" s="48"/>
      <c r="DH495" s="48"/>
      <c r="DI495" s="48"/>
      <c r="DJ495" s="48"/>
      <c r="DK495" s="48"/>
      <c r="DL495" s="48"/>
      <c r="DM495" s="48"/>
      <c r="DN495" s="48"/>
      <c r="DO495" s="48"/>
      <c r="DP495" s="48"/>
      <c r="DQ495" s="48"/>
      <c r="DR495" s="48"/>
      <c r="DS495" s="48"/>
      <c r="DT495" s="48"/>
      <c r="DU495" s="48"/>
      <c r="DV495" s="48"/>
      <c r="DW495" s="48"/>
      <c r="DX495" s="48"/>
      <c r="DY495" s="48"/>
      <c r="DZ495" s="48"/>
      <c r="EA495" s="48"/>
      <c r="EC495" s="48"/>
      <c r="ED495" s="48"/>
      <c r="EE495" s="48"/>
      <c r="EF495" s="48"/>
      <c r="EG495" s="48"/>
      <c r="EI495" s="48"/>
      <c r="EK495" s="48"/>
      <c r="EM495" s="48"/>
      <c r="EO495" s="48"/>
      <c r="EP495" s="48"/>
      <c r="EU495" s="48"/>
      <c r="EV495" s="48"/>
      <c r="EW495" s="48"/>
      <c r="EX495" s="48"/>
      <c r="EY495" s="48"/>
      <c r="EZ495" s="48"/>
      <c r="FA495" s="48"/>
      <c r="FB495" s="48"/>
      <c r="FC495" s="48"/>
      <c r="FD495" s="48"/>
      <c r="FE495" s="48"/>
      <c r="FF495" s="48"/>
      <c r="FG495" s="48"/>
      <c r="FI495" s="48"/>
      <c r="FL495" s="48"/>
      <c r="FM495" s="48"/>
      <c r="FN495" s="48"/>
      <c r="FO495" s="48"/>
      <c r="FP495" s="48"/>
      <c r="FQ495" s="48"/>
      <c r="FR495" s="48"/>
      <c r="FS495" s="48"/>
      <c r="FT495" s="48"/>
      <c r="FU495" s="48"/>
      <c r="GI495" s="64"/>
    </row>
    <row r="496" spans="1:19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52"/>
      <c r="BF496" s="48"/>
      <c r="BG496" s="48"/>
      <c r="BI496" s="48"/>
      <c r="BN496" s="48"/>
      <c r="BO496" s="48"/>
      <c r="BR496" s="48"/>
      <c r="BS496" s="48"/>
      <c r="BW496" s="48"/>
      <c r="CA496" s="48"/>
      <c r="CE496" s="48"/>
      <c r="CF496" s="48"/>
      <c r="CG496" s="48"/>
      <c r="CH496" s="48"/>
      <c r="CI496" s="48"/>
      <c r="CJ496" s="48"/>
      <c r="CL496" s="48"/>
      <c r="CM496" s="48"/>
      <c r="CN496" s="48"/>
      <c r="CO496" s="48"/>
      <c r="CP496" s="48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8"/>
      <c r="DN496" s="48"/>
      <c r="DO496" s="48"/>
      <c r="DP496" s="48"/>
      <c r="DQ496" s="48"/>
      <c r="DR496" s="48"/>
      <c r="DS496" s="48"/>
      <c r="DT496" s="48"/>
      <c r="DU496" s="48"/>
      <c r="DV496" s="48"/>
      <c r="DW496" s="48"/>
      <c r="DX496" s="48"/>
      <c r="DY496" s="48"/>
      <c r="DZ496" s="48"/>
      <c r="EA496" s="48"/>
      <c r="EC496" s="48"/>
      <c r="ED496" s="48"/>
      <c r="EE496" s="48"/>
      <c r="EF496" s="48"/>
      <c r="EG496" s="48"/>
      <c r="EI496" s="48"/>
      <c r="EK496" s="48"/>
      <c r="EM496" s="48"/>
      <c r="EO496" s="48"/>
      <c r="EP496" s="48"/>
      <c r="EU496" s="48"/>
      <c r="EV496" s="48"/>
      <c r="EW496" s="48"/>
      <c r="EX496" s="48"/>
      <c r="EY496" s="48"/>
      <c r="EZ496" s="48"/>
      <c r="FA496" s="48"/>
      <c r="FB496" s="48"/>
      <c r="FC496" s="48"/>
      <c r="FD496" s="48"/>
      <c r="FE496" s="48"/>
      <c r="FF496" s="48"/>
      <c r="FG496" s="48"/>
      <c r="FI496" s="48"/>
      <c r="FL496" s="48"/>
      <c r="FM496" s="48"/>
      <c r="FN496" s="48"/>
      <c r="FO496" s="48"/>
      <c r="FP496" s="48"/>
      <c r="FQ496" s="48"/>
      <c r="FR496" s="48"/>
      <c r="FS496" s="48"/>
      <c r="FT496" s="48"/>
      <c r="FU496" s="48"/>
      <c r="GI496" s="64"/>
    </row>
    <row r="497" spans="1:19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52"/>
      <c r="BF497" s="48"/>
      <c r="BG497" s="48"/>
      <c r="BI497" s="48"/>
      <c r="BN497" s="48"/>
      <c r="BO497" s="48"/>
      <c r="BR497" s="48"/>
      <c r="BS497" s="48"/>
      <c r="BW497" s="48"/>
      <c r="CA497" s="48"/>
      <c r="CE497" s="48"/>
      <c r="CF497" s="48"/>
      <c r="CG497" s="48"/>
      <c r="CH497" s="48"/>
      <c r="CI497" s="48"/>
      <c r="CJ497" s="48"/>
      <c r="CL497" s="48"/>
      <c r="CM497" s="48"/>
      <c r="CN497" s="48"/>
      <c r="CO497" s="48"/>
      <c r="CP497" s="48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  <c r="DE497" s="48"/>
      <c r="DF497" s="48"/>
      <c r="DG497" s="48"/>
      <c r="DH497" s="48"/>
      <c r="DI497" s="48"/>
      <c r="DJ497" s="48"/>
      <c r="DK497" s="48"/>
      <c r="DL497" s="48"/>
      <c r="DM497" s="48"/>
      <c r="DN497" s="48"/>
      <c r="DO497" s="48"/>
      <c r="DP497" s="48"/>
      <c r="DQ497" s="48"/>
      <c r="DR497" s="48"/>
      <c r="DS497" s="48"/>
      <c r="DT497" s="48"/>
      <c r="DU497" s="48"/>
      <c r="DV497" s="48"/>
      <c r="DW497" s="48"/>
      <c r="DX497" s="48"/>
      <c r="DY497" s="48"/>
      <c r="DZ497" s="48"/>
      <c r="EA497" s="48"/>
      <c r="EC497" s="48"/>
      <c r="ED497" s="48"/>
      <c r="EE497" s="48"/>
      <c r="EF497" s="48"/>
      <c r="EG497" s="48"/>
      <c r="EI497" s="48"/>
      <c r="EK497" s="48"/>
      <c r="EM497" s="48"/>
      <c r="EO497" s="48"/>
      <c r="EP497" s="48"/>
      <c r="EU497" s="48"/>
      <c r="EV497" s="48"/>
      <c r="EW497" s="48"/>
      <c r="EX497" s="48"/>
      <c r="EY497" s="48"/>
      <c r="EZ497" s="48"/>
      <c r="FA497" s="48"/>
      <c r="FB497" s="48"/>
      <c r="FC497" s="48"/>
      <c r="FD497" s="48"/>
      <c r="FE497" s="48"/>
      <c r="FF497" s="48"/>
      <c r="FG497" s="48"/>
      <c r="FI497" s="48"/>
      <c r="FL497" s="48"/>
      <c r="FM497" s="48"/>
      <c r="FN497" s="48"/>
      <c r="FO497" s="48"/>
      <c r="FP497" s="48"/>
      <c r="FQ497" s="48"/>
      <c r="FR497" s="48"/>
      <c r="FS497" s="48"/>
      <c r="FT497" s="48"/>
      <c r="FU497" s="48"/>
      <c r="GI497" s="64"/>
    </row>
    <row r="498" spans="1:19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52"/>
      <c r="BF498" s="48"/>
      <c r="BG498" s="48"/>
      <c r="BI498" s="48"/>
      <c r="BN498" s="48"/>
      <c r="BO498" s="48"/>
      <c r="BR498" s="48"/>
      <c r="BS498" s="48"/>
      <c r="BW498" s="48"/>
      <c r="CA498" s="48"/>
      <c r="CE498" s="48"/>
      <c r="CF498" s="48"/>
      <c r="CG498" s="48"/>
      <c r="CH498" s="48"/>
      <c r="CI498" s="48"/>
      <c r="CJ498" s="48"/>
      <c r="CL498" s="48"/>
      <c r="CM498" s="48"/>
      <c r="CN498" s="48"/>
      <c r="CO498" s="48"/>
      <c r="CP498" s="48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  <c r="DE498" s="48"/>
      <c r="DF498" s="48"/>
      <c r="DG498" s="48"/>
      <c r="DH498" s="48"/>
      <c r="DI498" s="48"/>
      <c r="DJ498" s="48"/>
      <c r="DK498" s="48"/>
      <c r="DL498" s="48"/>
      <c r="DM498" s="48"/>
      <c r="DN498" s="48"/>
      <c r="DO498" s="48"/>
      <c r="DP498" s="48"/>
      <c r="DQ498" s="48"/>
      <c r="DR498" s="48"/>
      <c r="DS498" s="48"/>
      <c r="DT498" s="48"/>
      <c r="DU498" s="48"/>
      <c r="DV498" s="48"/>
      <c r="DW498" s="48"/>
      <c r="DX498" s="48"/>
      <c r="DY498" s="48"/>
      <c r="DZ498" s="48"/>
      <c r="EA498" s="48"/>
      <c r="EC498" s="48"/>
      <c r="ED498" s="48"/>
      <c r="EE498" s="48"/>
      <c r="EF498" s="48"/>
      <c r="EG498" s="48"/>
      <c r="EI498" s="48"/>
      <c r="EK498" s="48"/>
      <c r="EM498" s="48"/>
      <c r="EO498" s="48"/>
      <c r="EP498" s="48"/>
      <c r="EU498" s="48"/>
      <c r="EV498" s="48"/>
      <c r="EW498" s="48"/>
      <c r="EX498" s="48"/>
      <c r="EY498" s="48"/>
      <c r="EZ498" s="48"/>
      <c r="FA498" s="48"/>
      <c r="FB498" s="48"/>
      <c r="FC498" s="48"/>
      <c r="FD498" s="48"/>
      <c r="FE498" s="48"/>
      <c r="FF498" s="48"/>
      <c r="FG498" s="48"/>
      <c r="FI498" s="48"/>
      <c r="FL498" s="48"/>
      <c r="FM498" s="48"/>
      <c r="FN498" s="48"/>
      <c r="FO498" s="48"/>
      <c r="FP498" s="48"/>
      <c r="FQ498" s="48"/>
      <c r="FR498" s="48"/>
      <c r="FS498" s="48"/>
      <c r="FT498" s="48"/>
      <c r="FU498" s="48"/>
      <c r="GI498" s="64"/>
    </row>
    <row r="499" spans="1:19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52"/>
      <c r="BF499" s="48"/>
      <c r="BG499" s="48"/>
      <c r="BI499" s="48"/>
      <c r="BN499" s="48"/>
      <c r="BO499" s="48"/>
      <c r="BR499" s="48"/>
      <c r="BS499" s="48"/>
      <c r="BW499" s="48"/>
      <c r="CA499" s="48"/>
      <c r="CE499" s="48"/>
      <c r="CF499" s="48"/>
      <c r="CG499" s="48"/>
      <c r="CH499" s="48"/>
      <c r="CI499" s="48"/>
      <c r="CJ499" s="48"/>
      <c r="CL499" s="48"/>
      <c r="CM499" s="48"/>
      <c r="CN499" s="48"/>
      <c r="CO499" s="48"/>
      <c r="CP499" s="48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8"/>
      <c r="DN499" s="48"/>
      <c r="DO499" s="48"/>
      <c r="DP499" s="48"/>
      <c r="DQ499" s="48"/>
      <c r="DR499" s="48"/>
      <c r="DS499" s="48"/>
      <c r="DT499" s="48"/>
      <c r="DU499" s="48"/>
      <c r="DV499" s="48"/>
      <c r="DW499" s="48"/>
      <c r="DX499" s="48"/>
      <c r="DY499" s="48"/>
      <c r="DZ499" s="48"/>
      <c r="EA499" s="48"/>
      <c r="EC499" s="48"/>
      <c r="ED499" s="48"/>
      <c r="EE499" s="48"/>
      <c r="EF499" s="48"/>
      <c r="EG499" s="48"/>
      <c r="EI499" s="48"/>
      <c r="EK499" s="48"/>
      <c r="EM499" s="48"/>
      <c r="EO499" s="48"/>
      <c r="EP499" s="48"/>
      <c r="EU499" s="48"/>
      <c r="EV499" s="48"/>
      <c r="EW499" s="48"/>
      <c r="EX499" s="48"/>
      <c r="EY499" s="48"/>
      <c r="EZ499" s="48"/>
      <c r="FA499" s="48"/>
      <c r="FB499" s="48"/>
      <c r="FC499" s="48"/>
      <c r="FD499" s="48"/>
      <c r="FE499" s="48"/>
      <c r="FF499" s="48"/>
      <c r="FG499" s="48"/>
      <c r="FI499" s="48"/>
      <c r="FL499" s="48"/>
      <c r="FM499" s="48"/>
      <c r="FN499" s="48"/>
      <c r="FO499" s="48"/>
      <c r="FP499" s="48"/>
      <c r="FQ499" s="48"/>
      <c r="FR499" s="48"/>
      <c r="FS499" s="48"/>
      <c r="FT499" s="48"/>
      <c r="FU499" s="48"/>
      <c r="GI499" s="64"/>
    </row>
    <row r="500" spans="1:19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52"/>
      <c r="BF500" s="48"/>
      <c r="BG500" s="48"/>
      <c r="BI500" s="48"/>
      <c r="BN500" s="48"/>
      <c r="BO500" s="48"/>
      <c r="BR500" s="48"/>
      <c r="BS500" s="48"/>
      <c r="BW500" s="48"/>
      <c r="CA500" s="48"/>
      <c r="CE500" s="48"/>
      <c r="CF500" s="48"/>
      <c r="CG500" s="48"/>
      <c r="CH500" s="48"/>
      <c r="CI500" s="48"/>
      <c r="CJ500" s="48"/>
      <c r="CL500" s="48"/>
      <c r="CM500" s="48"/>
      <c r="CN500" s="48"/>
      <c r="CO500" s="48"/>
      <c r="CP500" s="48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  <c r="DE500" s="48"/>
      <c r="DF500" s="48"/>
      <c r="DG500" s="48"/>
      <c r="DH500" s="48"/>
      <c r="DI500" s="48"/>
      <c r="DJ500" s="48"/>
      <c r="DK500" s="48"/>
      <c r="DL500" s="48"/>
      <c r="DM500" s="48"/>
      <c r="DN500" s="48"/>
      <c r="DO500" s="48"/>
      <c r="DP500" s="48"/>
      <c r="DQ500" s="48"/>
      <c r="DR500" s="48"/>
      <c r="DS500" s="48"/>
      <c r="DT500" s="48"/>
      <c r="DU500" s="48"/>
      <c r="DV500" s="48"/>
      <c r="DW500" s="48"/>
      <c r="DX500" s="48"/>
      <c r="DY500" s="48"/>
      <c r="DZ500" s="48"/>
      <c r="EA500" s="48"/>
      <c r="EC500" s="48"/>
      <c r="ED500" s="48"/>
      <c r="EE500" s="48"/>
      <c r="EF500" s="48"/>
      <c r="EG500" s="48"/>
      <c r="EI500" s="48"/>
      <c r="EK500" s="48"/>
      <c r="EM500" s="48"/>
      <c r="EO500" s="48"/>
      <c r="EP500" s="48"/>
      <c r="EU500" s="48"/>
      <c r="EV500" s="48"/>
      <c r="EW500" s="48"/>
      <c r="EX500" s="48"/>
      <c r="EY500" s="48"/>
      <c r="EZ500" s="48"/>
      <c r="FA500" s="48"/>
      <c r="FB500" s="48"/>
      <c r="FC500" s="48"/>
      <c r="FD500" s="48"/>
      <c r="FE500" s="48"/>
      <c r="FF500" s="48"/>
      <c r="FG500" s="48"/>
      <c r="FI500" s="48"/>
      <c r="FL500" s="48"/>
      <c r="FM500" s="48"/>
      <c r="FN500" s="48"/>
      <c r="FO500" s="48"/>
      <c r="FP500" s="48"/>
      <c r="FQ500" s="48"/>
      <c r="FR500" s="48"/>
      <c r="FS500" s="48"/>
      <c r="FT500" s="48"/>
      <c r="FU500" s="48"/>
      <c r="GI500" s="64"/>
    </row>
    <row r="501" spans="1:19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52"/>
      <c r="BF501" s="48"/>
      <c r="BG501" s="48"/>
      <c r="BI501" s="48"/>
      <c r="BN501" s="48"/>
      <c r="BO501" s="48"/>
      <c r="BR501" s="48"/>
      <c r="BS501" s="48"/>
      <c r="BW501" s="48"/>
      <c r="CA501" s="48"/>
      <c r="CE501" s="48"/>
      <c r="CF501" s="48"/>
      <c r="CG501" s="48"/>
      <c r="CH501" s="48"/>
      <c r="CI501" s="48"/>
      <c r="CJ501" s="48"/>
      <c r="CL501" s="48"/>
      <c r="CM501" s="48"/>
      <c r="CN501" s="48"/>
      <c r="CO501" s="48"/>
      <c r="CP501" s="48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  <c r="DD501" s="48"/>
      <c r="DE501" s="48"/>
      <c r="DF501" s="48"/>
      <c r="DG501" s="48"/>
      <c r="DH501" s="48"/>
      <c r="DI501" s="48"/>
      <c r="DJ501" s="48"/>
      <c r="DK501" s="48"/>
      <c r="DL501" s="48"/>
      <c r="DM501" s="48"/>
      <c r="DN501" s="48"/>
      <c r="DO501" s="48"/>
      <c r="DP501" s="48"/>
      <c r="DQ501" s="48"/>
      <c r="DR501" s="48"/>
      <c r="DS501" s="48"/>
      <c r="DT501" s="48"/>
      <c r="DU501" s="48"/>
      <c r="DV501" s="48"/>
      <c r="DW501" s="48"/>
      <c r="DX501" s="48"/>
      <c r="DY501" s="48"/>
      <c r="DZ501" s="48"/>
      <c r="EA501" s="48"/>
      <c r="EC501" s="48"/>
      <c r="ED501" s="48"/>
      <c r="EE501" s="48"/>
      <c r="EF501" s="48"/>
      <c r="EG501" s="48"/>
      <c r="EI501" s="48"/>
      <c r="EK501" s="48"/>
      <c r="EM501" s="48"/>
      <c r="EO501" s="48"/>
      <c r="EP501" s="48"/>
      <c r="EU501" s="48"/>
      <c r="EV501" s="48"/>
      <c r="EW501" s="48"/>
      <c r="EX501" s="48"/>
      <c r="EY501" s="48"/>
      <c r="EZ501" s="48"/>
      <c r="FA501" s="48"/>
      <c r="FB501" s="48"/>
      <c r="FC501" s="48"/>
      <c r="FD501" s="48"/>
      <c r="FE501" s="48"/>
      <c r="FF501" s="48"/>
      <c r="FG501" s="48"/>
      <c r="FI501" s="48"/>
      <c r="FL501" s="48"/>
      <c r="FM501" s="48"/>
      <c r="FN501" s="48"/>
      <c r="FO501" s="48"/>
      <c r="FP501" s="48"/>
      <c r="FQ501" s="48"/>
      <c r="FR501" s="48"/>
      <c r="FS501" s="48"/>
      <c r="FT501" s="48"/>
      <c r="FU501" s="48"/>
      <c r="GI501" s="64"/>
    </row>
    <row r="502" spans="1:19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52"/>
      <c r="BF502" s="48"/>
      <c r="BG502" s="48"/>
      <c r="BI502" s="48"/>
      <c r="BN502" s="48"/>
      <c r="BO502" s="48"/>
      <c r="BR502" s="48"/>
      <c r="BS502" s="48"/>
      <c r="BW502" s="48"/>
      <c r="CA502" s="48"/>
      <c r="CE502" s="48"/>
      <c r="CF502" s="48"/>
      <c r="CG502" s="48"/>
      <c r="CH502" s="48"/>
      <c r="CI502" s="48"/>
      <c r="CJ502" s="48"/>
      <c r="CL502" s="48"/>
      <c r="CM502" s="48"/>
      <c r="CN502" s="48"/>
      <c r="CO502" s="48"/>
      <c r="CP502" s="48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  <c r="DE502" s="48"/>
      <c r="DF502" s="48"/>
      <c r="DG502" s="48"/>
      <c r="DH502" s="48"/>
      <c r="DI502" s="48"/>
      <c r="DJ502" s="48"/>
      <c r="DK502" s="48"/>
      <c r="DL502" s="48"/>
      <c r="DM502" s="48"/>
      <c r="DN502" s="48"/>
      <c r="DO502" s="48"/>
      <c r="DP502" s="48"/>
      <c r="DQ502" s="48"/>
      <c r="DR502" s="48"/>
      <c r="DS502" s="48"/>
      <c r="DT502" s="48"/>
      <c r="DU502" s="48"/>
      <c r="DV502" s="48"/>
      <c r="DW502" s="48"/>
      <c r="DX502" s="48"/>
      <c r="DY502" s="48"/>
      <c r="DZ502" s="48"/>
      <c r="EA502" s="48"/>
      <c r="EC502" s="48"/>
      <c r="ED502" s="48"/>
      <c r="EE502" s="48"/>
      <c r="EF502" s="48"/>
      <c r="EG502" s="48"/>
      <c r="EI502" s="48"/>
      <c r="EK502" s="48"/>
      <c r="EM502" s="48"/>
      <c r="EO502" s="48"/>
      <c r="EP502" s="48"/>
      <c r="EU502" s="48"/>
      <c r="EV502" s="48"/>
      <c r="EW502" s="48"/>
      <c r="EX502" s="48"/>
      <c r="EY502" s="48"/>
      <c r="EZ502" s="48"/>
      <c r="FA502" s="48"/>
      <c r="FB502" s="48"/>
      <c r="FC502" s="48"/>
      <c r="FD502" s="48"/>
      <c r="FE502" s="48"/>
      <c r="FF502" s="48"/>
      <c r="FG502" s="48"/>
      <c r="FI502" s="48"/>
      <c r="FL502" s="48"/>
      <c r="FM502" s="48"/>
      <c r="FN502" s="48"/>
      <c r="FO502" s="48"/>
      <c r="FP502" s="48"/>
      <c r="FQ502" s="48"/>
      <c r="FR502" s="48"/>
      <c r="FS502" s="48"/>
      <c r="FT502" s="48"/>
      <c r="FU502" s="48"/>
      <c r="GI502" s="64"/>
    </row>
    <row r="503" spans="1:19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52"/>
      <c r="BF503" s="48"/>
      <c r="BG503" s="48"/>
      <c r="BI503" s="48"/>
      <c r="BN503" s="48"/>
      <c r="BO503" s="48"/>
      <c r="BR503" s="48"/>
      <c r="BS503" s="48"/>
      <c r="BW503" s="48"/>
      <c r="CA503" s="48"/>
      <c r="CE503" s="48"/>
      <c r="CF503" s="48"/>
      <c r="CG503" s="48"/>
      <c r="CH503" s="48"/>
      <c r="CI503" s="48"/>
      <c r="CJ503" s="48"/>
      <c r="CL503" s="48"/>
      <c r="CM503" s="48"/>
      <c r="CN503" s="48"/>
      <c r="CO503" s="48"/>
      <c r="CP503" s="48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8"/>
      <c r="DV503" s="48"/>
      <c r="DW503" s="48"/>
      <c r="DX503" s="48"/>
      <c r="DY503" s="48"/>
      <c r="DZ503" s="48"/>
      <c r="EA503" s="48"/>
      <c r="EC503" s="48"/>
      <c r="ED503" s="48"/>
      <c r="EE503" s="48"/>
      <c r="EF503" s="48"/>
      <c r="EG503" s="48"/>
      <c r="EI503" s="48"/>
      <c r="EK503" s="48"/>
      <c r="EM503" s="48"/>
      <c r="EO503" s="48"/>
      <c r="EP503" s="48"/>
      <c r="EU503" s="48"/>
      <c r="EV503" s="48"/>
      <c r="EW503" s="48"/>
      <c r="EX503" s="48"/>
      <c r="EY503" s="48"/>
      <c r="EZ503" s="48"/>
      <c r="FA503" s="48"/>
      <c r="FB503" s="48"/>
      <c r="FC503" s="48"/>
      <c r="FD503" s="48"/>
      <c r="FE503" s="48"/>
      <c r="FF503" s="48"/>
      <c r="FG503" s="48"/>
      <c r="FI503" s="48"/>
      <c r="FL503" s="48"/>
      <c r="FM503" s="48"/>
      <c r="FN503" s="48"/>
      <c r="FO503" s="48"/>
      <c r="FP503" s="48"/>
      <c r="FQ503" s="48"/>
      <c r="FR503" s="48"/>
      <c r="FS503" s="48"/>
      <c r="FT503" s="48"/>
      <c r="FU503" s="48"/>
      <c r="GI503" s="64"/>
    </row>
    <row r="504" spans="1:19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52"/>
      <c r="BF504" s="48"/>
      <c r="BG504" s="48"/>
      <c r="BI504" s="48"/>
      <c r="BN504" s="48"/>
      <c r="BO504" s="48"/>
      <c r="BR504" s="48"/>
      <c r="BS504" s="48"/>
      <c r="BW504" s="48"/>
      <c r="CA504" s="48"/>
      <c r="CE504" s="48"/>
      <c r="CF504" s="48"/>
      <c r="CG504" s="48"/>
      <c r="CH504" s="48"/>
      <c r="CI504" s="48"/>
      <c r="CJ504" s="48"/>
      <c r="CL504" s="48"/>
      <c r="CM504" s="48"/>
      <c r="CN504" s="48"/>
      <c r="CO504" s="48"/>
      <c r="CP504" s="48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  <c r="DD504" s="48"/>
      <c r="DE504" s="48"/>
      <c r="DF504" s="48"/>
      <c r="DG504" s="48"/>
      <c r="DH504" s="48"/>
      <c r="DI504" s="48"/>
      <c r="DJ504" s="48"/>
      <c r="DK504" s="48"/>
      <c r="DL504" s="48"/>
      <c r="DM504" s="48"/>
      <c r="DN504" s="48"/>
      <c r="DO504" s="48"/>
      <c r="DP504" s="48"/>
      <c r="DQ504" s="48"/>
      <c r="DR504" s="48"/>
      <c r="DS504" s="48"/>
      <c r="DT504" s="48"/>
      <c r="DU504" s="48"/>
      <c r="DV504" s="48"/>
      <c r="DW504" s="48"/>
      <c r="DX504" s="48"/>
      <c r="DY504" s="48"/>
      <c r="DZ504" s="48"/>
      <c r="EA504" s="48"/>
      <c r="EC504" s="48"/>
      <c r="ED504" s="48"/>
      <c r="EE504" s="48"/>
      <c r="EF504" s="48"/>
      <c r="EG504" s="48"/>
      <c r="EI504" s="48"/>
      <c r="EK504" s="48"/>
      <c r="EM504" s="48"/>
      <c r="EO504" s="48"/>
      <c r="EP504" s="48"/>
      <c r="EU504" s="48"/>
      <c r="EV504" s="48"/>
      <c r="EW504" s="48"/>
      <c r="EX504" s="48"/>
      <c r="EY504" s="48"/>
      <c r="EZ504" s="48"/>
      <c r="FA504" s="48"/>
      <c r="FB504" s="48"/>
      <c r="FC504" s="48"/>
      <c r="FD504" s="48"/>
      <c r="FE504" s="48"/>
      <c r="FF504" s="48"/>
      <c r="FG504" s="48"/>
      <c r="FI504" s="48"/>
      <c r="FL504" s="48"/>
      <c r="FM504" s="48"/>
      <c r="FN504" s="48"/>
      <c r="FO504" s="48"/>
      <c r="FP504" s="48"/>
      <c r="FQ504" s="48"/>
      <c r="FR504" s="48"/>
      <c r="FS504" s="48"/>
      <c r="FT504" s="48"/>
      <c r="FU504" s="48"/>
      <c r="GI504" s="64"/>
    </row>
    <row r="505" spans="1:19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52"/>
      <c r="BF505" s="48"/>
      <c r="BG505" s="48"/>
      <c r="BI505" s="48"/>
      <c r="BN505" s="48"/>
      <c r="BO505" s="48"/>
      <c r="BR505" s="48"/>
      <c r="BS505" s="48"/>
      <c r="BW505" s="48"/>
      <c r="CA505" s="48"/>
      <c r="CE505" s="48"/>
      <c r="CF505" s="48"/>
      <c r="CG505" s="48"/>
      <c r="CH505" s="48"/>
      <c r="CI505" s="48"/>
      <c r="CJ505" s="48"/>
      <c r="CL505" s="48"/>
      <c r="CM505" s="48"/>
      <c r="CN505" s="48"/>
      <c r="CO505" s="48"/>
      <c r="CP505" s="48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  <c r="DE505" s="48"/>
      <c r="DF505" s="48"/>
      <c r="DG505" s="48"/>
      <c r="DH505" s="48"/>
      <c r="DI505" s="48"/>
      <c r="DJ505" s="48"/>
      <c r="DK505" s="48"/>
      <c r="DL505" s="48"/>
      <c r="DM505" s="48"/>
      <c r="DN505" s="48"/>
      <c r="DO505" s="48"/>
      <c r="DP505" s="48"/>
      <c r="DQ505" s="48"/>
      <c r="DR505" s="48"/>
      <c r="DS505" s="48"/>
      <c r="DT505" s="48"/>
      <c r="DU505" s="48"/>
      <c r="DV505" s="48"/>
      <c r="DW505" s="48"/>
      <c r="DX505" s="48"/>
      <c r="DY505" s="48"/>
      <c r="DZ505" s="48"/>
      <c r="EA505" s="48"/>
      <c r="EC505" s="48"/>
      <c r="ED505" s="48"/>
      <c r="EE505" s="48"/>
      <c r="EF505" s="48"/>
      <c r="EG505" s="48"/>
      <c r="EI505" s="48"/>
      <c r="EK505" s="48"/>
      <c r="EM505" s="48"/>
      <c r="EO505" s="48"/>
      <c r="EP505" s="48"/>
      <c r="EU505" s="48"/>
      <c r="EV505" s="48"/>
      <c r="EW505" s="48"/>
      <c r="EX505" s="48"/>
      <c r="EY505" s="48"/>
      <c r="EZ505" s="48"/>
      <c r="FA505" s="48"/>
      <c r="FB505" s="48"/>
      <c r="FC505" s="48"/>
      <c r="FD505" s="48"/>
      <c r="FE505" s="48"/>
      <c r="FF505" s="48"/>
      <c r="FG505" s="48"/>
      <c r="FI505" s="48"/>
      <c r="FL505" s="48"/>
      <c r="FM505" s="48"/>
      <c r="FN505" s="48"/>
      <c r="FO505" s="48"/>
      <c r="FP505" s="48"/>
      <c r="FQ505" s="48"/>
      <c r="FR505" s="48"/>
      <c r="FS505" s="48"/>
      <c r="FT505" s="48"/>
      <c r="FU505" s="48"/>
      <c r="GI505" s="64"/>
    </row>
    <row r="506" spans="1:19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52"/>
      <c r="BF506" s="48"/>
      <c r="BG506" s="48"/>
      <c r="BI506" s="48"/>
      <c r="BN506" s="48"/>
      <c r="BO506" s="48"/>
      <c r="BR506" s="48"/>
      <c r="BS506" s="48"/>
      <c r="BW506" s="48"/>
      <c r="CA506" s="48"/>
      <c r="CE506" s="48"/>
      <c r="CF506" s="48"/>
      <c r="CG506" s="48"/>
      <c r="CH506" s="48"/>
      <c r="CI506" s="48"/>
      <c r="CJ506" s="48"/>
      <c r="CL506" s="48"/>
      <c r="CM506" s="48"/>
      <c r="CN506" s="48"/>
      <c r="CO506" s="48"/>
      <c r="CP506" s="48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  <c r="DD506" s="48"/>
      <c r="DE506" s="48"/>
      <c r="DF506" s="48"/>
      <c r="DG506" s="48"/>
      <c r="DH506" s="48"/>
      <c r="DI506" s="48"/>
      <c r="DJ506" s="48"/>
      <c r="DK506" s="48"/>
      <c r="DL506" s="48"/>
      <c r="DM506" s="48"/>
      <c r="DN506" s="48"/>
      <c r="DO506" s="48"/>
      <c r="DP506" s="48"/>
      <c r="DQ506" s="48"/>
      <c r="DR506" s="48"/>
      <c r="DS506" s="48"/>
      <c r="DT506" s="48"/>
      <c r="DU506" s="48"/>
      <c r="DV506" s="48"/>
      <c r="DW506" s="48"/>
      <c r="DX506" s="48"/>
      <c r="DY506" s="48"/>
      <c r="DZ506" s="48"/>
      <c r="EA506" s="48"/>
      <c r="EC506" s="48"/>
      <c r="ED506" s="48"/>
      <c r="EE506" s="48"/>
      <c r="EF506" s="48"/>
      <c r="EG506" s="48"/>
      <c r="EI506" s="48"/>
      <c r="EK506" s="48"/>
      <c r="EM506" s="48"/>
      <c r="EO506" s="48"/>
      <c r="EP506" s="48"/>
      <c r="EU506" s="48"/>
      <c r="EV506" s="48"/>
      <c r="EW506" s="48"/>
      <c r="EX506" s="48"/>
      <c r="EY506" s="48"/>
      <c r="EZ506" s="48"/>
      <c r="FA506" s="48"/>
      <c r="FB506" s="48"/>
      <c r="FC506" s="48"/>
      <c r="FD506" s="48"/>
      <c r="FE506" s="48"/>
      <c r="FF506" s="48"/>
      <c r="FG506" s="48"/>
      <c r="FI506" s="48"/>
      <c r="FL506" s="48"/>
      <c r="FM506" s="48"/>
      <c r="FN506" s="48"/>
      <c r="FO506" s="48"/>
      <c r="FP506" s="48"/>
      <c r="FQ506" s="48"/>
      <c r="FR506" s="48"/>
      <c r="FS506" s="48"/>
      <c r="FT506" s="48"/>
      <c r="FU506" s="48"/>
      <c r="GI506" s="64"/>
    </row>
    <row r="507" spans="1:19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52"/>
      <c r="BF507" s="48"/>
      <c r="BG507" s="48"/>
      <c r="BI507" s="48"/>
      <c r="BN507" s="48"/>
      <c r="BO507" s="48"/>
      <c r="BR507" s="48"/>
      <c r="BS507" s="48"/>
      <c r="BW507" s="48"/>
      <c r="CA507" s="48"/>
      <c r="CE507" s="48"/>
      <c r="CF507" s="48"/>
      <c r="CG507" s="48"/>
      <c r="CH507" s="48"/>
      <c r="CI507" s="48"/>
      <c r="CJ507" s="48"/>
      <c r="CL507" s="48"/>
      <c r="CM507" s="48"/>
      <c r="CN507" s="48"/>
      <c r="CO507" s="48"/>
      <c r="CP507" s="48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  <c r="DE507" s="48"/>
      <c r="DF507" s="48"/>
      <c r="DG507" s="48"/>
      <c r="DH507" s="48"/>
      <c r="DI507" s="48"/>
      <c r="DJ507" s="48"/>
      <c r="DK507" s="48"/>
      <c r="DL507" s="48"/>
      <c r="DM507" s="48"/>
      <c r="DN507" s="48"/>
      <c r="DO507" s="48"/>
      <c r="DP507" s="48"/>
      <c r="DQ507" s="48"/>
      <c r="DR507" s="48"/>
      <c r="DS507" s="48"/>
      <c r="DT507" s="48"/>
      <c r="DU507" s="48"/>
      <c r="DV507" s="48"/>
      <c r="DW507" s="48"/>
      <c r="DX507" s="48"/>
      <c r="DY507" s="48"/>
      <c r="DZ507" s="48"/>
      <c r="EA507" s="48"/>
      <c r="EC507" s="48"/>
      <c r="ED507" s="48"/>
      <c r="EE507" s="48"/>
      <c r="EF507" s="48"/>
      <c r="EG507" s="48"/>
      <c r="EI507" s="48"/>
      <c r="EK507" s="48"/>
      <c r="EM507" s="48"/>
      <c r="EO507" s="48"/>
      <c r="EP507" s="48"/>
      <c r="EU507" s="48"/>
      <c r="EV507" s="48"/>
      <c r="EW507" s="48"/>
      <c r="EX507" s="48"/>
      <c r="EY507" s="48"/>
      <c r="EZ507" s="48"/>
      <c r="FA507" s="48"/>
      <c r="FB507" s="48"/>
      <c r="FC507" s="48"/>
      <c r="FD507" s="48"/>
      <c r="FE507" s="48"/>
      <c r="FF507" s="48"/>
      <c r="FG507" s="48"/>
      <c r="FI507" s="48"/>
      <c r="FL507" s="48"/>
      <c r="FM507" s="48"/>
      <c r="FN507" s="48"/>
      <c r="FO507" s="48"/>
      <c r="FP507" s="48"/>
      <c r="FQ507" s="48"/>
      <c r="FR507" s="48"/>
      <c r="FS507" s="48"/>
      <c r="FT507" s="48"/>
      <c r="FU507" s="48"/>
      <c r="GI507" s="64"/>
    </row>
    <row r="508" spans="1:19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52"/>
      <c r="BF508" s="48"/>
      <c r="BG508" s="48"/>
      <c r="BI508" s="48"/>
      <c r="BN508" s="48"/>
      <c r="BO508" s="48"/>
      <c r="BR508" s="48"/>
      <c r="BS508" s="48"/>
      <c r="BW508" s="48"/>
      <c r="CA508" s="48"/>
      <c r="CE508" s="48"/>
      <c r="CF508" s="48"/>
      <c r="CG508" s="48"/>
      <c r="CH508" s="48"/>
      <c r="CI508" s="48"/>
      <c r="CJ508" s="48"/>
      <c r="CL508" s="48"/>
      <c r="CM508" s="48"/>
      <c r="CN508" s="48"/>
      <c r="CO508" s="48"/>
      <c r="CP508" s="48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8"/>
      <c r="DN508" s="48"/>
      <c r="DO508" s="48"/>
      <c r="DP508" s="48"/>
      <c r="DQ508" s="48"/>
      <c r="DR508" s="48"/>
      <c r="DS508" s="48"/>
      <c r="DT508" s="48"/>
      <c r="DU508" s="48"/>
      <c r="DV508" s="48"/>
      <c r="DW508" s="48"/>
      <c r="DX508" s="48"/>
      <c r="DY508" s="48"/>
      <c r="DZ508" s="48"/>
      <c r="EA508" s="48"/>
      <c r="EC508" s="48"/>
      <c r="ED508" s="48"/>
      <c r="EE508" s="48"/>
      <c r="EF508" s="48"/>
      <c r="EG508" s="48"/>
      <c r="EI508" s="48"/>
      <c r="EK508" s="48"/>
      <c r="EM508" s="48"/>
      <c r="EO508" s="48"/>
      <c r="EP508" s="48"/>
      <c r="EU508" s="48"/>
      <c r="EV508" s="48"/>
      <c r="EW508" s="48"/>
      <c r="EX508" s="48"/>
      <c r="EY508" s="48"/>
      <c r="EZ508" s="48"/>
      <c r="FA508" s="48"/>
      <c r="FB508" s="48"/>
      <c r="FC508" s="48"/>
      <c r="FD508" s="48"/>
      <c r="FE508" s="48"/>
      <c r="FF508" s="48"/>
      <c r="FG508" s="48"/>
      <c r="FI508" s="48"/>
      <c r="FL508" s="48"/>
      <c r="FM508" s="48"/>
      <c r="FN508" s="48"/>
      <c r="FO508" s="48"/>
      <c r="FP508" s="48"/>
      <c r="FQ508" s="48"/>
      <c r="FR508" s="48"/>
      <c r="FS508" s="48"/>
      <c r="FT508" s="48"/>
      <c r="FU508" s="48"/>
      <c r="GI508" s="64"/>
    </row>
    <row r="509" spans="1:19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52"/>
      <c r="BF509" s="48"/>
      <c r="BG509" s="48"/>
      <c r="BI509" s="48"/>
      <c r="BN509" s="48"/>
      <c r="BO509" s="48"/>
      <c r="BR509" s="48"/>
      <c r="BS509" s="48"/>
      <c r="BW509" s="48"/>
      <c r="CA509" s="48"/>
      <c r="CE509" s="48"/>
      <c r="CF509" s="48"/>
      <c r="CG509" s="48"/>
      <c r="CH509" s="48"/>
      <c r="CI509" s="48"/>
      <c r="CJ509" s="48"/>
      <c r="CL509" s="48"/>
      <c r="CM509" s="48"/>
      <c r="CN509" s="48"/>
      <c r="CO509" s="48"/>
      <c r="CP509" s="48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  <c r="DD509" s="48"/>
      <c r="DE509" s="48"/>
      <c r="DF509" s="48"/>
      <c r="DG509" s="48"/>
      <c r="DH509" s="48"/>
      <c r="DI509" s="48"/>
      <c r="DJ509" s="48"/>
      <c r="DK509" s="48"/>
      <c r="DL509" s="48"/>
      <c r="DM509" s="48"/>
      <c r="DN509" s="48"/>
      <c r="DO509" s="48"/>
      <c r="DP509" s="48"/>
      <c r="DQ509" s="48"/>
      <c r="DR509" s="48"/>
      <c r="DS509" s="48"/>
      <c r="DT509" s="48"/>
      <c r="DU509" s="48"/>
      <c r="DV509" s="48"/>
      <c r="DW509" s="48"/>
      <c r="DX509" s="48"/>
      <c r="DY509" s="48"/>
      <c r="DZ509" s="48"/>
      <c r="EA509" s="48"/>
      <c r="EC509" s="48"/>
      <c r="ED509" s="48"/>
      <c r="EE509" s="48"/>
      <c r="EF509" s="48"/>
      <c r="EG509" s="48"/>
      <c r="EI509" s="48"/>
      <c r="EK509" s="48"/>
      <c r="EM509" s="48"/>
      <c r="EO509" s="48"/>
      <c r="EP509" s="48"/>
      <c r="EU509" s="48"/>
      <c r="EV509" s="48"/>
      <c r="EW509" s="48"/>
      <c r="EX509" s="48"/>
      <c r="EY509" s="48"/>
      <c r="EZ509" s="48"/>
      <c r="FA509" s="48"/>
      <c r="FB509" s="48"/>
      <c r="FC509" s="48"/>
      <c r="FD509" s="48"/>
      <c r="FE509" s="48"/>
      <c r="FF509" s="48"/>
      <c r="FG509" s="48"/>
      <c r="FI509" s="48"/>
      <c r="FL509" s="48"/>
      <c r="FM509" s="48"/>
      <c r="FN509" s="48"/>
      <c r="FO509" s="48"/>
      <c r="FP509" s="48"/>
      <c r="FQ509" s="48"/>
      <c r="FR509" s="48"/>
      <c r="FS509" s="48"/>
      <c r="FT509" s="48"/>
      <c r="FU509" s="48"/>
      <c r="GI509" s="64"/>
    </row>
    <row r="510" spans="1:19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52"/>
      <c r="BF510" s="48"/>
      <c r="BG510" s="48"/>
      <c r="BI510" s="48"/>
      <c r="BN510" s="48"/>
      <c r="BO510" s="48"/>
      <c r="BR510" s="48"/>
      <c r="BS510" s="48"/>
      <c r="BW510" s="48"/>
      <c r="CA510" s="48"/>
      <c r="CE510" s="48"/>
      <c r="CF510" s="48"/>
      <c r="CG510" s="48"/>
      <c r="CH510" s="48"/>
      <c r="CI510" s="48"/>
      <c r="CJ510" s="48"/>
      <c r="CL510" s="48"/>
      <c r="CM510" s="48"/>
      <c r="CN510" s="48"/>
      <c r="CO510" s="48"/>
      <c r="CP510" s="48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  <c r="DD510" s="48"/>
      <c r="DE510" s="48"/>
      <c r="DF510" s="48"/>
      <c r="DG510" s="48"/>
      <c r="DH510" s="48"/>
      <c r="DI510" s="48"/>
      <c r="DJ510" s="48"/>
      <c r="DK510" s="48"/>
      <c r="DL510" s="48"/>
      <c r="DM510" s="48"/>
      <c r="DN510" s="48"/>
      <c r="DO510" s="48"/>
      <c r="DP510" s="48"/>
      <c r="DQ510" s="48"/>
      <c r="DR510" s="48"/>
      <c r="DS510" s="48"/>
      <c r="DT510" s="48"/>
      <c r="DU510" s="48"/>
      <c r="DV510" s="48"/>
      <c r="DW510" s="48"/>
      <c r="DX510" s="48"/>
      <c r="DY510" s="48"/>
      <c r="DZ510" s="48"/>
      <c r="EA510" s="48"/>
      <c r="EC510" s="48"/>
      <c r="ED510" s="48"/>
      <c r="EE510" s="48"/>
      <c r="EF510" s="48"/>
      <c r="EG510" s="48"/>
      <c r="EI510" s="48"/>
      <c r="EK510" s="48"/>
      <c r="EM510" s="48"/>
      <c r="EO510" s="48"/>
      <c r="EP510" s="48"/>
      <c r="EU510" s="48"/>
      <c r="EV510" s="48"/>
      <c r="EW510" s="48"/>
      <c r="EX510" s="48"/>
      <c r="EY510" s="48"/>
      <c r="EZ510" s="48"/>
      <c r="FA510" s="48"/>
      <c r="FB510" s="48"/>
      <c r="FC510" s="48"/>
      <c r="FD510" s="48"/>
      <c r="FE510" s="48"/>
      <c r="FF510" s="48"/>
      <c r="FG510" s="48"/>
      <c r="FI510" s="48"/>
      <c r="FL510" s="48"/>
      <c r="FM510" s="48"/>
      <c r="FN510" s="48"/>
      <c r="FO510" s="48"/>
      <c r="FP510" s="48"/>
      <c r="FQ510" s="48"/>
      <c r="FR510" s="48"/>
      <c r="FS510" s="48"/>
      <c r="FT510" s="48"/>
      <c r="FU510" s="48"/>
      <c r="GI510" s="64"/>
    </row>
    <row r="511" spans="1:19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52"/>
      <c r="BF511" s="48"/>
      <c r="BG511" s="48"/>
      <c r="BI511" s="48"/>
      <c r="BN511" s="48"/>
      <c r="BO511" s="48"/>
      <c r="BR511" s="48"/>
      <c r="BS511" s="48"/>
      <c r="BW511" s="48"/>
      <c r="CA511" s="48"/>
      <c r="CE511" s="48"/>
      <c r="CF511" s="48"/>
      <c r="CG511" s="48"/>
      <c r="CH511" s="48"/>
      <c r="CI511" s="48"/>
      <c r="CJ511" s="48"/>
      <c r="CL511" s="48"/>
      <c r="CM511" s="48"/>
      <c r="CN511" s="48"/>
      <c r="CO511" s="48"/>
      <c r="CP511" s="48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  <c r="DE511" s="48"/>
      <c r="DF511" s="48"/>
      <c r="DG511" s="48"/>
      <c r="DH511" s="48"/>
      <c r="DI511" s="48"/>
      <c r="DJ511" s="48"/>
      <c r="DK511" s="48"/>
      <c r="DL511" s="48"/>
      <c r="DM511" s="48"/>
      <c r="DN511" s="48"/>
      <c r="DO511" s="48"/>
      <c r="DP511" s="48"/>
      <c r="DQ511" s="48"/>
      <c r="DR511" s="48"/>
      <c r="DS511" s="48"/>
      <c r="DT511" s="48"/>
      <c r="DU511" s="48"/>
      <c r="DV511" s="48"/>
      <c r="DW511" s="48"/>
      <c r="DX511" s="48"/>
      <c r="DY511" s="48"/>
      <c r="DZ511" s="48"/>
      <c r="EA511" s="48"/>
      <c r="EC511" s="48"/>
      <c r="ED511" s="48"/>
      <c r="EE511" s="48"/>
      <c r="EF511" s="48"/>
      <c r="EG511" s="48"/>
      <c r="EI511" s="48"/>
      <c r="EK511" s="48"/>
      <c r="EM511" s="48"/>
      <c r="EO511" s="48"/>
      <c r="EP511" s="48"/>
      <c r="EU511" s="48"/>
      <c r="EV511" s="48"/>
      <c r="EW511" s="48"/>
      <c r="EX511" s="48"/>
      <c r="EY511" s="48"/>
      <c r="EZ511" s="48"/>
      <c r="FA511" s="48"/>
      <c r="FB511" s="48"/>
      <c r="FC511" s="48"/>
      <c r="FD511" s="48"/>
      <c r="FE511" s="48"/>
      <c r="FF511" s="48"/>
      <c r="FG511" s="48"/>
      <c r="FI511" s="48"/>
      <c r="FL511" s="48"/>
      <c r="FM511" s="48"/>
      <c r="FN511" s="48"/>
      <c r="FO511" s="48"/>
      <c r="FP511" s="48"/>
      <c r="FQ511" s="48"/>
      <c r="FR511" s="48"/>
      <c r="FS511" s="48"/>
      <c r="FT511" s="48"/>
      <c r="FU511" s="48"/>
      <c r="GI511" s="64"/>
    </row>
    <row r="512" spans="1:19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52"/>
      <c r="BF512" s="48"/>
      <c r="BG512" s="48"/>
      <c r="BI512" s="48"/>
      <c r="BN512" s="48"/>
      <c r="BO512" s="48"/>
      <c r="BR512" s="48"/>
      <c r="BS512" s="48"/>
      <c r="BW512" s="48"/>
      <c r="CA512" s="48"/>
      <c r="CE512" s="48"/>
      <c r="CF512" s="48"/>
      <c r="CG512" s="48"/>
      <c r="CH512" s="48"/>
      <c r="CI512" s="48"/>
      <c r="CJ512" s="48"/>
      <c r="CL512" s="48"/>
      <c r="CM512" s="48"/>
      <c r="CN512" s="48"/>
      <c r="CO512" s="48"/>
      <c r="CP512" s="48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  <c r="DD512" s="48"/>
      <c r="DE512" s="48"/>
      <c r="DF512" s="48"/>
      <c r="DG512" s="48"/>
      <c r="DH512" s="48"/>
      <c r="DI512" s="48"/>
      <c r="DJ512" s="48"/>
      <c r="DK512" s="48"/>
      <c r="DL512" s="48"/>
      <c r="DM512" s="48"/>
      <c r="DN512" s="48"/>
      <c r="DO512" s="48"/>
      <c r="DP512" s="48"/>
      <c r="DQ512" s="48"/>
      <c r="DR512" s="48"/>
      <c r="DS512" s="48"/>
      <c r="DT512" s="48"/>
      <c r="DU512" s="48"/>
      <c r="DV512" s="48"/>
      <c r="DW512" s="48"/>
      <c r="DX512" s="48"/>
      <c r="DY512" s="48"/>
      <c r="DZ512" s="48"/>
      <c r="EA512" s="48"/>
      <c r="EC512" s="48"/>
      <c r="ED512" s="48"/>
      <c r="EE512" s="48"/>
      <c r="EF512" s="48"/>
      <c r="EG512" s="48"/>
      <c r="EI512" s="48"/>
      <c r="EK512" s="48"/>
      <c r="EM512" s="48"/>
      <c r="EO512" s="48"/>
      <c r="EP512" s="48"/>
      <c r="EU512" s="48"/>
      <c r="EV512" s="48"/>
      <c r="EW512" s="48"/>
      <c r="EX512" s="48"/>
      <c r="EY512" s="48"/>
      <c r="EZ512" s="48"/>
      <c r="FA512" s="48"/>
      <c r="FB512" s="48"/>
      <c r="FC512" s="48"/>
      <c r="FD512" s="48"/>
      <c r="FE512" s="48"/>
      <c r="FF512" s="48"/>
      <c r="FG512" s="48"/>
      <c r="FI512" s="48"/>
      <c r="FL512" s="48"/>
      <c r="FM512" s="48"/>
      <c r="FN512" s="48"/>
      <c r="FO512" s="48"/>
      <c r="FP512" s="48"/>
      <c r="FQ512" s="48"/>
      <c r="FR512" s="48"/>
      <c r="FS512" s="48"/>
      <c r="FT512" s="48"/>
      <c r="FU512" s="48"/>
      <c r="GI512" s="64"/>
    </row>
    <row r="513" spans="1:19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52"/>
      <c r="BF513" s="48"/>
      <c r="BG513" s="48"/>
      <c r="BI513" s="48"/>
      <c r="BN513" s="48"/>
      <c r="BO513" s="48"/>
      <c r="BR513" s="48"/>
      <c r="BS513" s="48"/>
      <c r="BW513" s="48"/>
      <c r="CA513" s="48"/>
      <c r="CE513" s="48"/>
      <c r="CF513" s="48"/>
      <c r="CG513" s="48"/>
      <c r="CH513" s="48"/>
      <c r="CI513" s="48"/>
      <c r="CJ513" s="48"/>
      <c r="CL513" s="48"/>
      <c r="CM513" s="48"/>
      <c r="CN513" s="48"/>
      <c r="CO513" s="48"/>
      <c r="CP513" s="48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  <c r="DD513" s="48"/>
      <c r="DE513" s="48"/>
      <c r="DF513" s="48"/>
      <c r="DG513" s="48"/>
      <c r="DH513" s="48"/>
      <c r="DI513" s="48"/>
      <c r="DJ513" s="48"/>
      <c r="DK513" s="48"/>
      <c r="DL513" s="48"/>
      <c r="DM513" s="48"/>
      <c r="DN513" s="48"/>
      <c r="DO513" s="48"/>
      <c r="DP513" s="48"/>
      <c r="DQ513" s="48"/>
      <c r="DR513" s="48"/>
      <c r="DS513" s="48"/>
      <c r="DT513" s="48"/>
      <c r="DU513" s="48"/>
      <c r="DV513" s="48"/>
      <c r="DW513" s="48"/>
      <c r="DX513" s="48"/>
      <c r="DY513" s="48"/>
      <c r="DZ513" s="48"/>
      <c r="EA513" s="48"/>
      <c r="EC513" s="48"/>
      <c r="ED513" s="48"/>
      <c r="EE513" s="48"/>
      <c r="EF513" s="48"/>
      <c r="EG513" s="48"/>
      <c r="EI513" s="48"/>
      <c r="EK513" s="48"/>
      <c r="EM513" s="48"/>
      <c r="EO513" s="48"/>
      <c r="EP513" s="48"/>
      <c r="EU513" s="48"/>
      <c r="EV513" s="48"/>
      <c r="EW513" s="48"/>
      <c r="EX513" s="48"/>
      <c r="EY513" s="48"/>
      <c r="EZ513" s="48"/>
      <c r="FA513" s="48"/>
      <c r="FB513" s="48"/>
      <c r="FC513" s="48"/>
      <c r="FD513" s="48"/>
      <c r="FE513" s="48"/>
      <c r="FF513" s="48"/>
      <c r="FG513" s="48"/>
      <c r="FI513" s="48"/>
      <c r="FL513" s="48"/>
      <c r="FM513" s="48"/>
      <c r="FN513" s="48"/>
      <c r="FO513" s="48"/>
      <c r="FP513" s="48"/>
      <c r="FQ513" s="48"/>
      <c r="FR513" s="48"/>
      <c r="FS513" s="48"/>
      <c r="FT513" s="48"/>
      <c r="FU513" s="48"/>
      <c r="GI513" s="64"/>
    </row>
    <row r="514" spans="1:19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52"/>
      <c r="BF514" s="48"/>
      <c r="BG514" s="48"/>
      <c r="BI514" s="48"/>
      <c r="BN514" s="48"/>
      <c r="BO514" s="48"/>
      <c r="BR514" s="48"/>
      <c r="BS514" s="48"/>
      <c r="BW514" s="48"/>
      <c r="CA514" s="48"/>
      <c r="CE514" s="48"/>
      <c r="CF514" s="48"/>
      <c r="CG514" s="48"/>
      <c r="CH514" s="48"/>
      <c r="CI514" s="48"/>
      <c r="CJ514" s="48"/>
      <c r="CL514" s="48"/>
      <c r="CM514" s="48"/>
      <c r="CN514" s="48"/>
      <c r="CO514" s="48"/>
      <c r="CP514" s="48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  <c r="DE514" s="48"/>
      <c r="DF514" s="48"/>
      <c r="DG514" s="48"/>
      <c r="DH514" s="48"/>
      <c r="DI514" s="48"/>
      <c r="DJ514" s="48"/>
      <c r="DK514" s="48"/>
      <c r="DL514" s="48"/>
      <c r="DM514" s="48"/>
      <c r="DN514" s="48"/>
      <c r="DO514" s="48"/>
      <c r="DP514" s="48"/>
      <c r="DQ514" s="48"/>
      <c r="DR514" s="48"/>
      <c r="DS514" s="48"/>
      <c r="DT514" s="48"/>
      <c r="DU514" s="48"/>
      <c r="DV514" s="48"/>
      <c r="DW514" s="48"/>
      <c r="DX514" s="48"/>
      <c r="DY514" s="48"/>
      <c r="DZ514" s="48"/>
      <c r="EA514" s="48"/>
      <c r="EC514" s="48"/>
      <c r="ED514" s="48"/>
      <c r="EE514" s="48"/>
      <c r="EF514" s="48"/>
      <c r="EG514" s="48"/>
      <c r="EI514" s="48"/>
      <c r="EK514" s="48"/>
      <c r="EM514" s="48"/>
      <c r="EO514" s="48"/>
      <c r="EP514" s="48"/>
      <c r="EU514" s="48"/>
      <c r="EV514" s="48"/>
      <c r="EW514" s="48"/>
      <c r="EX514" s="48"/>
      <c r="EY514" s="48"/>
      <c r="EZ514" s="48"/>
      <c r="FA514" s="48"/>
      <c r="FB514" s="48"/>
      <c r="FC514" s="48"/>
      <c r="FD514" s="48"/>
      <c r="FE514" s="48"/>
      <c r="FF514" s="48"/>
      <c r="FG514" s="48"/>
      <c r="FI514" s="48"/>
      <c r="FL514" s="48"/>
      <c r="FM514" s="48"/>
      <c r="FN514" s="48"/>
      <c r="FO514" s="48"/>
      <c r="FP514" s="48"/>
      <c r="FQ514" s="48"/>
      <c r="FR514" s="48"/>
      <c r="FS514" s="48"/>
      <c r="FT514" s="48"/>
      <c r="FU514" s="48"/>
      <c r="GI514" s="64"/>
    </row>
    <row r="515" spans="1:19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52"/>
      <c r="BF515" s="48"/>
      <c r="BG515" s="48"/>
      <c r="BI515" s="48"/>
      <c r="BN515" s="48"/>
      <c r="BO515" s="48"/>
      <c r="BR515" s="48"/>
      <c r="BS515" s="48"/>
      <c r="BW515" s="48"/>
      <c r="CA515" s="48"/>
      <c r="CE515" s="48"/>
      <c r="CF515" s="48"/>
      <c r="CG515" s="48"/>
      <c r="CH515" s="48"/>
      <c r="CI515" s="48"/>
      <c r="CJ515" s="48"/>
      <c r="CL515" s="48"/>
      <c r="CM515" s="48"/>
      <c r="CN515" s="48"/>
      <c r="CO515" s="48"/>
      <c r="CP515" s="48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  <c r="DD515" s="48"/>
      <c r="DE515" s="48"/>
      <c r="DF515" s="48"/>
      <c r="DG515" s="48"/>
      <c r="DH515" s="48"/>
      <c r="DI515" s="48"/>
      <c r="DJ515" s="48"/>
      <c r="DK515" s="48"/>
      <c r="DL515" s="48"/>
      <c r="DM515" s="48"/>
      <c r="DN515" s="48"/>
      <c r="DO515" s="48"/>
      <c r="DP515" s="48"/>
      <c r="DQ515" s="48"/>
      <c r="DR515" s="48"/>
      <c r="DS515" s="48"/>
      <c r="DT515" s="48"/>
      <c r="DU515" s="48"/>
      <c r="DV515" s="48"/>
      <c r="DW515" s="48"/>
      <c r="DX515" s="48"/>
      <c r="DY515" s="48"/>
      <c r="DZ515" s="48"/>
      <c r="EA515" s="48"/>
      <c r="EC515" s="48"/>
      <c r="ED515" s="48"/>
      <c r="EE515" s="48"/>
      <c r="EF515" s="48"/>
      <c r="EG515" s="48"/>
      <c r="EI515" s="48"/>
      <c r="EK515" s="48"/>
      <c r="EM515" s="48"/>
      <c r="EO515" s="48"/>
      <c r="EP515" s="48"/>
      <c r="EU515" s="48"/>
      <c r="EV515" s="48"/>
      <c r="EW515" s="48"/>
      <c r="EX515" s="48"/>
      <c r="EY515" s="48"/>
      <c r="EZ515" s="48"/>
      <c r="FA515" s="48"/>
      <c r="FB515" s="48"/>
      <c r="FC515" s="48"/>
      <c r="FD515" s="48"/>
      <c r="FE515" s="48"/>
      <c r="FF515" s="48"/>
      <c r="FG515" s="48"/>
      <c r="FI515" s="48"/>
      <c r="FL515" s="48"/>
      <c r="FM515" s="48"/>
      <c r="FN515" s="48"/>
      <c r="FO515" s="48"/>
      <c r="FP515" s="48"/>
      <c r="FQ515" s="48"/>
      <c r="FR515" s="48"/>
      <c r="FS515" s="48"/>
      <c r="FT515" s="48"/>
      <c r="FU515" s="48"/>
      <c r="GI515" s="64"/>
    </row>
    <row r="516" spans="1:19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52"/>
      <c r="BF516" s="48"/>
      <c r="BG516" s="48"/>
      <c r="BI516" s="48"/>
      <c r="BN516" s="48"/>
      <c r="BO516" s="48"/>
      <c r="BR516" s="48"/>
      <c r="BS516" s="48"/>
      <c r="BW516" s="48"/>
      <c r="CA516" s="48"/>
      <c r="CE516" s="48"/>
      <c r="CF516" s="48"/>
      <c r="CG516" s="48"/>
      <c r="CH516" s="48"/>
      <c r="CI516" s="48"/>
      <c r="CJ516" s="48"/>
      <c r="CL516" s="48"/>
      <c r="CM516" s="48"/>
      <c r="CN516" s="48"/>
      <c r="CO516" s="48"/>
      <c r="CP516" s="48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  <c r="DE516" s="48"/>
      <c r="DF516" s="48"/>
      <c r="DG516" s="48"/>
      <c r="DH516" s="48"/>
      <c r="DI516" s="48"/>
      <c r="DJ516" s="48"/>
      <c r="DK516" s="48"/>
      <c r="DL516" s="48"/>
      <c r="DM516" s="48"/>
      <c r="DN516" s="48"/>
      <c r="DO516" s="48"/>
      <c r="DP516" s="48"/>
      <c r="DQ516" s="48"/>
      <c r="DR516" s="48"/>
      <c r="DS516" s="48"/>
      <c r="DT516" s="48"/>
      <c r="DU516" s="48"/>
      <c r="DV516" s="48"/>
      <c r="DW516" s="48"/>
      <c r="DX516" s="48"/>
      <c r="DY516" s="48"/>
      <c r="DZ516" s="48"/>
      <c r="EA516" s="48"/>
      <c r="EC516" s="48"/>
      <c r="ED516" s="48"/>
      <c r="EE516" s="48"/>
      <c r="EF516" s="48"/>
      <c r="EG516" s="48"/>
      <c r="EI516" s="48"/>
      <c r="EK516" s="48"/>
      <c r="EM516" s="48"/>
      <c r="EO516" s="48"/>
      <c r="EP516" s="48"/>
      <c r="EU516" s="48"/>
      <c r="EV516" s="48"/>
      <c r="EW516" s="48"/>
      <c r="EX516" s="48"/>
      <c r="EY516" s="48"/>
      <c r="EZ516" s="48"/>
      <c r="FA516" s="48"/>
      <c r="FB516" s="48"/>
      <c r="FC516" s="48"/>
      <c r="FD516" s="48"/>
      <c r="FE516" s="48"/>
      <c r="FF516" s="48"/>
      <c r="FG516" s="48"/>
      <c r="FI516" s="48"/>
      <c r="FL516" s="48"/>
      <c r="FM516" s="48"/>
      <c r="FN516" s="48"/>
      <c r="FO516" s="48"/>
      <c r="FP516" s="48"/>
      <c r="FQ516" s="48"/>
      <c r="FR516" s="48"/>
      <c r="FS516" s="48"/>
      <c r="FT516" s="48"/>
      <c r="FU516" s="48"/>
      <c r="GI516" s="64"/>
    </row>
    <row r="517" spans="1:19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52"/>
      <c r="BF517" s="48"/>
      <c r="BG517" s="48"/>
      <c r="BI517" s="48"/>
      <c r="BN517" s="48"/>
      <c r="BO517" s="48"/>
      <c r="BR517" s="48"/>
      <c r="BS517" s="48"/>
      <c r="BW517" s="48"/>
      <c r="CA517" s="48"/>
      <c r="CE517" s="48"/>
      <c r="CF517" s="48"/>
      <c r="CG517" s="48"/>
      <c r="CH517" s="48"/>
      <c r="CI517" s="48"/>
      <c r="CJ517" s="48"/>
      <c r="CL517" s="48"/>
      <c r="CM517" s="48"/>
      <c r="CN517" s="48"/>
      <c r="CO517" s="48"/>
      <c r="CP517" s="48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8"/>
      <c r="DV517" s="48"/>
      <c r="DW517" s="48"/>
      <c r="DX517" s="48"/>
      <c r="DY517" s="48"/>
      <c r="DZ517" s="48"/>
      <c r="EA517" s="48"/>
      <c r="EC517" s="48"/>
      <c r="ED517" s="48"/>
      <c r="EE517" s="48"/>
      <c r="EF517" s="48"/>
      <c r="EG517" s="48"/>
      <c r="EI517" s="48"/>
      <c r="EK517" s="48"/>
      <c r="EM517" s="48"/>
      <c r="EO517" s="48"/>
      <c r="EP517" s="48"/>
      <c r="EU517" s="48"/>
      <c r="EV517" s="48"/>
      <c r="EW517" s="48"/>
      <c r="EX517" s="48"/>
      <c r="EY517" s="48"/>
      <c r="EZ517" s="48"/>
      <c r="FA517" s="48"/>
      <c r="FB517" s="48"/>
      <c r="FC517" s="48"/>
      <c r="FD517" s="48"/>
      <c r="FE517" s="48"/>
      <c r="FF517" s="48"/>
      <c r="FG517" s="48"/>
      <c r="FI517" s="48"/>
      <c r="FL517" s="48"/>
      <c r="FM517" s="48"/>
      <c r="FN517" s="48"/>
      <c r="FO517" s="48"/>
      <c r="FP517" s="48"/>
      <c r="FQ517" s="48"/>
      <c r="FR517" s="48"/>
      <c r="FS517" s="48"/>
      <c r="FT517" s="48"/>
      <c r="FU517" s="48"/>
      <c r="GI517" s="64"/>
    </row>
    <row r="518" spans="1:19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52"/>
      <c r="BF518" s="48"/>
      <c r="BG518" s="48"/>
      <c r="BI518" s="48"/>
      <c r="BN518" s="48"/>
      <c r="BO518" s="48"/>
      <c r="BR518" s="48"/>
      <c r="BS518" s="48"/>
      <c r="BW518" s="48"/>
      <c r="CA518" s="48"/>
      <c r="CE518" s="48"/>
      <c r="CF518" s="48"/>
      <c r="CG518" s="48"/>
      <c r="CH518" s="48"/>
      <c r="CI518" s="48"/>
      <c r="CJ518" s="48"/>
      <c r="CL518" s="48"/>
      <c r="CM518" s="48"/>
      <c r="CN518" s="48"/>
      <c r="CO518" s="48"/>
      <c r="CP518" s="48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  <c r="DE518" s="48"/>
      <c r="DF518" s="48"/>
      <c r="DG518" s="48"/>
      <c r="DH518" s="48"/>
      <c r="DI518" s="48"/>
      <c r="DJ518" s="48"/>
      <c r="DK518" s="48"/>
      <c r="DL518" s="48"/>
      <c r="DM518" s="48"/>
      <c r="DN518" s="48"/>
      <c r="DO518" s="48"/>
      <c r="DP518" s="48"/>
      <c r="DQ518" s="48"/>
      <c r="DR518" s="48"/>
      <c r="DS518" s="48"/>
      <c r="DT518" s="48"/>
      <c r="DU518" s="48"/>
      <c r="DV518" s="48"/>
      <c r="DW518" s="48"/>
      <c r="DX518" s="48"/>
      <c r="DY518" s="48"/>
      <c r="DZ518" s="48"/>
      <c r="EA518" s="48"/>
      <c r="EC518" s="48"/>
      <c r="ED518" s="48"/>
      <c r="EE518" s="48"/>
      <c r="EF518" s="48"/>
      <c r="EG518" s="48"/>
      <c r="EI518" s="48"/>
      <c r="EK518" s="48"/>
      <c r="EM518" s="48"/>
      <c r="EO518" s="48"/>
      <c r="EP518" s="48"/>
      <c r="EU518" s="48"/>
      <c r="EV518" s="48"/>
      <c r="EW518" s="48"/>
      <c r="EX518" s="48"/>
      <c r="EY518" s="48"/>
      <c r="EZ518" s="48"/>
      <c r="FA518" s="48"/>
      <c r="FB518" s="48"/>
      <c r="FC518" s="48"/>
      <c r="FD518" s="48"/>
      <c r="FE518" s="48"/>
      <c r="FF518" s="48"/>
      <c r="FG518" s="48"/>
      <c r="FI518" s="48"/>
      <c r="FL518" s="48"/>
      <c r="FM518" s="48"/>
      <c r="FN518" s="48"/>
      <c r="FO518" s="48"/>
      <c r="FP518" s="48"/>
      <c r="FQ518" s="48"/>
      <c r="FR518" s="48"/>
      <c r="FS518" s="48"/>
      <c r="FT518" s="48"/>
      <c r="FU518" s="48"/>
      <c r="GI518" s="64"/>
    </row>
    <row r="519" spans="1:19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52"/>
      <c r="BF519" s="48"/>
      <c r="BG519" s="48"/>
      <c r="BI519" s="48"/>
      <c r="BN519" s="48"/>
      <c r="BO519" s="48"/>
      <c r="BR519" s="48"/>
      <c r="BS519" s="48"/>
      <c r="BW519" s="48"/>
      <c r="CA519" s="48"/>
      <c r="CE519" s="48"/>
      <c r="CF519" s="48"/>
      <c r="CG519" s="48"/>
      <c r="CH519" s="48"/>
      <c r="CI519" s="48"/>
      <c r="CJ519" s="48"/>
      <c r="CL519" s="48"/>
      <c r="CM519" s="48"/>
      <c r="CN519" s="48"/>
      <c r="CO519" s="48"/>
      <c r="CP519" s="48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  <c r="DD519" s="48"/>
      <c r="DE519" s="48"/>
      <c r="DF519" s="48"/>
      <c r="DG519" s="48"/>
      <c r="DH519" s="48"/>
      <c r="DI519" s="48"/>
      <c r="DJ519" s="48"/>
      <c r="DK519" s="48"/>
      <c r="DL519" s="48"/>
      <c r="DM519" s="48"/>
      <c r="DN519" s="48"/>
      <c r="DO519" s="48"/>
      <c r="DP519" s="48"/>
      <c r="DQ519" s="48"/>
      <c r="DR519" s="48"/>
      <c r="DS519" s="48"/>
      <c r="DT519" s="48"/>
      <c r="DU519" s="48"/>
      <c r="DV519" s="48"/>
      <c r="DW519" s="48"/>
      <c r="DX519" s="48"/>
      <c r="DY519" s="48"/>
      <c r="DZ519" s="48"/>
      <c r="EA519" s="48"/>
      <c r="EC519" s="48"/>
      <c r="ED519" s="48"/>
      <c r="EE519" s="48"/>
      <c r="EF519" s="48"/>
      <c r="EG519" s="48"/>
      <c r="EI519" s="48"/>
      <c r="EK519" s="48"/>
      <c r="EM519" s="48"/>
      <c r="EO519" s="48"/>
      <c r="EP519" s="48"/>
      <c r="EU519" s="48"/>
      <c r="EV519" s="48"/>
      <c r="EW519" s="48"/>
      <c r="EX519" s="48"/>
      <c r="EY519" s="48"/>
      <c r="EZ519" s="48"/>
      <c r="FA519" s="48"/>
      <c r="FB519" s="48"/>
      <c r="FC519" s="48"/>
      <c r="FD519" s="48"/>
      <c r="FE519" s="48"/>
      <c r="FF519" s="48"/>
      <c r="FG519" s="48"/>
      <c r="FI519" s="48"/>
      <c r="FL519" s="48"/>
      <c r="FM519" s="48"/>
      <c r="FN519" s="48"/>
      <c r="FO519" s="48"/>
      <c r="FP519" s="48"/>
      <c r="FQ519" s="48"/>
      <c r="FR519" s="48"/>
      <c r="FS519" s="48"/>
      <c r="FT519" s="48"/>
      <c r="FU519" s="48"/>
      <c r="GI519" s="64"/>
    </row>
    <row r="520" spans="1:19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52"/>
      <c r="BF520" s="48"/>
      <c r="BG520" s="48"/>
      <c r="BI520" s="48"/>
      <c r="BN520" s="48"/>
      <c r="BO520" s="48"/>
      <c r="BR520" s="48"/>
      <c r="BS520" s="48"/>
      <c r="BW520" s="48"/>
      <c r="CA520" s="48"/>
      <c r="CE520" s="48"/>
      <c r="CF520" s="48"/>
      <c r="CG520" s="48"/>
      <c r="CH520" s="48"/>
      <c r="CI520" s="48"/>
      <c r="CJ520" s="48"/>
      <c r="CL520" s="48"/>
      <c r="CM520" s="48"/>
      <c r="CN520" s="48"/>
      <c r="CO520" s="48"/>
      <c r="CP520" s="48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  <c r="DE520" s="48"/>
      <c r="DF520" s="48"/>
      <c r="DG520" s="48"/>
      <c r="DH520" s="48"/>
      <c r="DI520" s="48"/>
      <c r="DJ520" s="48"/>
      <c r="DK520" s="48"/>
      <c r="DL520" s="48"/>
      <c r="DM520" s="48"/>
      <c r="DN520" s="48"/>
      <c r="DO520" s="48"/>
      <c r="DP520" s="48"/>
      <c r="DQ520" s="48"/>
      <c r="DR520" s="48"/>
      <c r="DS520" s="48"/>
      <c r="DT520" s="48"/>
      <c r="DU520" s="48"/>
      <c r="DV520" s="48"/>
      <c r="DW520" s="48"/>
      <c r="DX520" s="48"/>
      <c r="DY520" s="48"/>
      <c r="DZ520" s="48"/>
      <c r="EA520" s="48"/>
      <c r="EC520" s="48"/>
      <c r="ED520" s="48"/>
      <c r="EE520" s="48"/>
      <c r="EF520" s="48"/>
      <c r="EG520" s="48"/>
      <c r="EI520" s="48"/>
      <c r="EK520" s="48"/>
      <c r="EM520" s="48"/>
      <c r="EO520" s="48"/>
      <c r="EP520" s="48"/>
      <c r="EU520" s="48"/>
      <c r="EV520" s="48"/>
      <c r="EW520" s="48"/>
      <c r="EX520" s="48"/>
      <c r="EY520" s="48"/>
      <c r="EZ520" s="48"/>
      <c r="FA520" s="48"/>
      <c r="FB520" s="48"/>
      <c r="FC520" s="48"/>
      <c r="FD520" s="48"/>
      <c r="FE520" s="48"/>
      <c r="FF520" s="48"/>
      <c r="FG520" s="48"/>
      <c r="FI520" s="48"/>
      <c r="FL520" s="48"/>
      <c r="FM520" s="48"/>
      <c r="FN520" s="48"/>
      <c r="FO520" s="48"/>
      <c r="FP520" s="48"/>
      <c r="FQ520" s="48"/>
      <c r="FR520" s="48"/>
      <c r="FS520" s="48"/>
      <c r="FT520" s="48"/>
      <c r="FU520" s="48"/>
      <c r="GI520" s="64"/>
    </row>
    <row r="521" spans="1:19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52"/>
      <c r="BF521" s="48"/>
      <c r="BG521" s="48"/>
      <c r="BI521" s="48"/>
      <c r="BN521" s="48"/>
      <c r="BO521" s="48"/>
      <c r="BR521" s="48"/>
      <c r="BS521" s="48"/>
      <c r="BW521" s="48"/>
      <c r="CA521" s="48"/>
      <c r="CE521" s="48"/>
      <c r="CF521" s="48"/>
      <c r="CG521" s="48"/>
      <c r="CH521" s="48"/>
      <c r="CI521" s="48"/>
      <c r="CJ521" s="48"/>
      <c r="CL521" s="48"/>
      <c r="CM521" s="48"/>
      <c r="CN521" s="48"/>
      <c r="CO521" s="48"/>
      <c r="CP521" s="48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  <c r="DD521" s="48"/>
      <c r="DE521" s="48"/>
      <c r="DF521" s="48"/>
      <c r="DG521" s="48"/>
      <c r="DH521" s="48"/>
      <c r="DI521" s="48"/>
      <c r="DJ521" s="48"/>
      <c r="DK521" s="48"/>
      <c r="DL521" s="48"/>
      <c r="DM521" s="48"/>
      <c r="DN521" s="48"/>
      <c r="DO521" s="48"/>
      <c r="DP521" s="48"/>
      <c r="DQ521" s="48"/>
      <c r="DR521" s="48"/>
      <c r="DS521" s="48"/>
      <c r="DT521" s="48"/>
      <c r="DU521" s="48"/>
      <c r="DV521" s="48"/>
      <c r="DW521" s="48"/>
      <c r="DX521" s="48"/>
      <c r="DY521" s="48"/>
      <c r="DZ521" s="48"/>
      <c r="EA521" s="48"/>
      <c r="EC521" s="48"/>
      <c r="ED521" s="48"/>
      <c r="EE521" s="48"/>
      <c r="EF521" s="48"/>
      <c r="EG521" s="48"/>
      <c r="EI521" s="48"/>
      <c r="EK521" s="48"/>
      <c r="EM521" s="48"/>
      <c r="EO521" s="48"/>
      <c r="EP521" s="48"/>
      <c r="EU521" s="48"/>
      <c r="EV521" s="48"/>
      <c r="EW521" s="48"/>
      <c r="EX521" s="48"/>
      <c r="EY521" s="48"/>
      <c r="EZ521" s="48"/>
      <c r="FA521" s="48"/>
      <c r="FB521" s="48"/>
      <c r="FC521" s="48"/>
      <c r="FD521" s="48"/>
      <c r="FE521" s="48"/>
      <c r="FF521" s="48"/>
      <c r="FG521" s="48"/>
      <c r="FI521" s="48"/>
      <c r="FL521" s="48"/>
      <c r="FM521" s="48"/>
      <c r="FN521" s="48"/>
      <c r="FO521" s="48"/>
      <c r="FP521" s="48"/>
      <c r="FQ521" s="48"/>
      <c r="FR521" s="48"/>
      <c r="FS521" s="48"/>
      <c r="FT521" s="48"/>
      <c r="FU521" s="48"/>
      <c r="GI521" s="64"/>
    </row>
    <row r="522" spans="1:19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52"/>
      <c r="BF522" s="48"/>
      <c r="BG522" s="48"/>
      <c r="BI522" s="48"/>
      <c r="BN522" s="48"/>
      <c r="BO522" s="48"/>
      <c r="BR522" s="48"/>
      <c r="BS522" s="48"/>
      <c r="BW522" s="48"/>
      <c r="CA522" s="48"/>
      <c r="CE522" s="48"/>
      <c r="CF522" s="48"/>
      <c r="CG522" s="48"/>
      <c r="CH522" s="48"/>
      <c r="CI522" s="48"/>
      <c r="CJ522" s="48"/>
      <c r="CL522" s="48"/>
      <c r="CM522" s="48"/>
      <c r="CN522" s="48"/>
      <c r="CO522" s="48"/>
      <c r="CP522" s="48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  <c r="DD522" s="48"/>
      <c r="DE522" s="48"/>
      <c r="DF522" s="48"/>
      <c r="DG522" s="48"/>
      <c r="DH522" s="48"/>
      <c r="DI522" s="48"/>
      <c r="DJ522" s="48"/>
      <c r="DK522" s="48"/>
      <c r="DL522" s="48"/>
      <c r="DM522" s="48"/>
      <c r="DN522" s="48"/>
      <c r="DO522" s="48"/>
      <c r="DP522" s="48"/>
      <c r="DQ522" s="48"/>
      <c r="DR522" s="48"/>
      <c r="DS522" s="48"/>
      <c r="DT522" s="48"/>
      <c r="DU522" s="48"/>
      <c r="DV522" s="48"/>
      <c r="DW522" s="48"/>
      <c r="DX522" s="48"/>
      <c r="DY522" s="48"/>
      <c r="DZ522" s="48"/>
      <c r="EA522" s="48"/>
      <c r="EC522" s="48"/>
      <c r="ED522" s="48"/>
      <c r="EE522" s="48"/>
      <c r="EF522" s="48"/>
      <c r="EG522" s="48"/>
      <c r="EI522" s="48"/>
      <c r="EK522" s="48"/>
      <c r="EM522" s="48"/>
      <c r="EO522" s="48"/>
      <c r="EP522" s="48"/>
      <c r="EU522" s="48"/>
      <c r="EV522" s="48"/>
      <c r="EW522" s="48"/>
      <c r="EX522" s="48"/>
      <c r="EY522" s="48"/>
      <c r="EZ522" s="48"/>
      <c r="FA522" s="48"/>
      <c r="FB522" s="48"/>
      <c r="FC522" s="48"/>
      <c r="FD522" s="48"/>
      <c r="FE522" s="48"/>
      <c r="FF522" s="48"/>
      <c r="FG522" s="48"/>
      <c r="FI522" s="48"/>
      <c r="FL522" s="48"/>
      <c r="FM522" s="48"/>
      <c r="FN522" s="48"/>
      <c r="FO522" s="48"/>
      <c r="FP522" s="48"/>
      <c r="FQ522" s="48"/>
      <c r="FR522" s="48"/>
      <c r="FS522" s="48"/>
      <c r="FT522" s="48"/>
      <c r="FU522" s="48"/>
      <c r="GI522" s="64"/>
    </row>
    <row r="523" spans="1:19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52"/>
      <c r="BF523" s="48"/>
      <c r="BG523" s="48"/>
      <c r="BI523" s="48"/>
      <c r="BN523" s="48"/>
      <c r="BO523" s="48"/>
      <c r="BR523" s="48"/>
      <c r="BS523" s="48"/>
      <c r="BW523" s="48"/>
      <c r="CA523" s="48"/>
      <c r="CE523" s="48"/>
      <c r="CF523" s="48"/>
      <c r="CG523" s="48"/>
      <c r="CH523" s="48"/>
      <c r="CI523" s="48"/>
      <c r="CJ523" s="48"/>
      <c r="CL523" s="48"/>
      <c r="CM523" s="48"/>
      <c r="CN523" s="48"/>
      <c r="CO523" s="48"/>
      <c r="CP523" s="48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  <c r="DE523" s="48"/>
      <c r="DF523" s="48"/>
      <c r="DG523" s="48"/>
      <c r="DH523" s="48"/>
      <c r="DI523" s="48"/>
      <c r="DJ523" s="48"/>
      <c r="DK523" s="48"/>
      <c r="DL523" s="48"/>
      <c r="DM523" s="48"/>
      <c r="DN523" s="48"/>
      <c r="DO523" s="48"/>
      <c r="DP523" s="48"/>
      <c r="DQ523" s="48"/>
      <c r="DR523" s="48"/>
      <c r="DS523" s="48"/>
      <c r="DT523" s="48"/>
      <c r="DU523" s="48"/>
      <c r="DV523" s="48"/>
      <c r="DW523" s="48"/>
      <c r="DX523" s="48"/>
      <c r="DY523" s="48"/>
      <c r="DZ523" s="48"/>
      <c r="EA523" s="48"/>
      <c r="EC523" s="48"/>
      <c r="ED523" s="48"/>
      <c r="EE523" s="48"/>
      <c r="EF523" s="48"/>
      <c r="EG523" s="48"/>
      <c r="EI523" s="48"/>
      <c r="EK523" s="48"/>
      <c r="EM523" s="48"/>
      <c r="EO523" s="48"/>
      <c r="EP523" s="48"/>
      <c r="EU523" s="48"/>
      <c r="EV523" s="48"/>
      <c r="EW523" s="48"/>
      <c r="EX523" s="48"/>
      <c r="EY523" s="48"/>
      <c r="EZ523" s="48"/>
      <c r="FA523" s="48"/>
      <c r="FB523" s="48"/>
      <c r="FC523" s="48"/>
      <c r="FD523" s="48"/>
      <c r="FE523" s="48"/>
      <c r="FF523" s="48"/>
      <c r="FG523" s="48"/>
      <c r="FI523" s="48"/>
      <c r="FL523" s="48"/>
      <c r="FM523" s="48"/>
      <c r="FN523" s="48"/>
      <c r="FO523" s="48"/>
      <c r="FP523" s="48"/>
      <c r="FQ523" s="48"/>
      <c r="FR523" s="48"/>
      <c r="FS523" s="48"/>
      <c r="FT523" s="48"/>
      <c r="FU523" s="48"/>
      <c r="GI523" s="64"/>
    </row>
    <row r="524" spans="1:19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52"/>
      <c r="BF524" s="48"/>
      <c r="BG524" s="48"/>
      <c r="BI524" s="48"/>
      <c r="BN524" s="48"/>
      <c r="BO524" s="48"/>
      <c r="BR524" s="48"/>
      <c r="BS524" s="48"/>
      <c r="BW524" s="48"/>
      <c r="CA524" s="48"/>
      <c r="CE524" s="48"/>
      <c r="CF524" s="48"/>
      <c r="CG524" s="48"/>
      <c r="CH524" s="48"/>
      <c r="CI524" s="48"/>
      <c r="CJ524" s="48"/>
      <c r="CL524" s="48"/>
      <c r="CM524" s="48"/>
      <c r="CN524" s="48"/>
      <c r="CO524" s="48"/>
      <c r="CP524" s="48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  <c r="DD524" s="48"/>
      <c r="DE524" s="48"/>
      <c r="DF524" s="48"/>
      <c r="DG524" s="48"/>
      <c r="DH524" s="48"/>
      <c r="DI524" s="48"/>
      <c r="DJ524" s="48"/>
      <c r="DK524" s="48"/>
      <c r="DL524" s="48"/>
      <c r="DM524" s="48"/>
      <c r="DN524" s="48"/>
      <c r="DO524" s="48"/>
      <c r="DP524" s="48"/>
      <c r="DQ524" s="48"/>
      <c r="DR524" s="48"/>
      <c r="DS524" s="48"/>
      <c r="DT524" s="48"/>
      <c r="DU524" s="48"/>
      <c r="DV524" s="48"/>
      <c r="DW524" s="48"/>
      <c r="DX524" s="48"/>
      <c r="DY524" s="48"/>
      <c r="DZ524" s="48"/>
      <c r="EA524" s="48"/>
      <c r="EC524" s="48"/>
      <c r="ED524" s="48"/>
      <c r="EE524" s="48"/>
      <c r="EF524" s="48"/>
      <c r="EG524" s="48"/>
      <c r="EI524" s="48"/>
      <c r="EK524" s="48"/>
      <c r="EM524" s="48"/>
      <c r="EO524" s="48"/>
      <c r="EP524" s="48"/>
      <c r="EU524" s="48"/>
      <c r="EV524" s="48"/>
      <c r="EW524" s="48"/>
      <c r="EX524" s="48"/>
      <c r="EY524" s="48"/>
      <c r="EZ524" s="48"/>
      <c r="FA524" s="48"/>
      <c r="FB524" s="48"/>
      <c r="FC524" s="48"/>
      <c r="FD524" s="48"/>
      <c r="FE524" s="48"/>
      <c r="FF524" s="48"/>
      <c r="FG524" s="48"/>
      <c r="FI524" s="48"/>
      <c r="FL524" s="48"/>
      <c r="FM524" s="48"/>
      <c r="FN524" s="48"/>
      <c r="FO524" s="48"/>
      <c r="FP524" s="48"/>
      <c r="FQ524" s="48"/>
      <c r="FR524" s="48"/>
      <c r="FS524" s="48"/>
      <c r="FT524" s="48"/>
      <c r="FU524" s="48"/>
      <c r="GI524" s="64"/>
    </row>
    <row r="525" spans="1:19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52"/>
      <c r="BF525" s="48"/>
      <c r="BG525" s="48"/>
      <c r="BI525" s="48"/>
      <c r="BN525" s="48"/>
      <c r="BO525" s="48"/>
      <c r="BR525" s="48"/>
      <c r="BS525" s="48"/>
      <c r="BW525" s="48"/>
      <c r="CA525" s="48"/>
      <c r="CE525" s="48"/>
      <c r="CF525" s="48"/>
      <c r="CG525" s="48"/>
      <c r="CH525" s="48"/>
      <c r="CI525" s="48"/>
      <c r="CJ525" s="48"/>
      <c r="CL525" s="48"/>
      <c r="CM525" s="48"/>
      <c r="CN525" s="48"/>
      <c r="CO525" s="48"/>
      <c r="CP525" s="48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  <c r="DD525" s="48"/>
      <c r="DE525" s="48"/>
      <c r="DF525" s="48"/>
      <c r="DG525" s="48"/>
      <c r="DH525" s="48"/>
      <c r="DI525" s="48"/>
      <c r="DJ525" s="48"/>
      <c r="DK525" s="48"/>
      <c r="DL525" s="48"/>
      <c r="DM525" s="48"/>
      <c r="DN525" s="48"/>
      <c r="DO525" s="48"/>
      <c r="DP525" s="48"/>
      <c r="DQ525" s="48"/>
      <c r="DR525" s="48"/>
      <c r="DS525" s="48"/>
      <c r="DT525" s="48"/>
      <c r="DU525" s="48"/>
      <c r="DV525" s="48"/>
      <c r="DW525" s="48"/>
      <c r="DX525" s="48"/>
      <c r="DY525" s="48"/>
      <c r="DZ525" s="48"/>
      <c r="EA525" s="48"/>
      <c r="EC525" s="48"/>
      <c r="ED525" s="48"/>
      <c r="EE525" s="48"/>
      <c r="EF525" s="48"/>
      <c r="EG525" s="48"/>
      <c r="EI525" s="48"/>
      <c r="EK525" s="48"/>
      <c r="EM525" s="48"/>
      <c r="EO525" s="48"/>
      <c r="EP525" s="48"/>
      <c r="EU525" s="48"/>
      <c r="EV525" s="48"/>
      <c r="EW525" s="48"/>
      <c r="EX525" s="48"/>
      <c r="EY525" s="48"/>
      <c r="EZ525" s="48"/>
      <c r="FA525" s="48"/>
      <c r="FB525" s="48"/>
      <c r="FC525" s="48"/>
      <c r="FD525" s="48"/>
      <c r="FE525" s="48"/>
      <c r="FF525" s="48"/>
      <c r="FG525" s="48"/>
      <c r="FI525" s="48"/>
      <c r="FL525" s="48"/>
      <c r="FM525" s="48"/>
      <c r="FN525" s="48"/>
      <c r="FO525" s="48"/>
      <c r="FP525" s="48"/>
      <c r="FQ525" s="48"/>
      <c r="FR525" s="48"/>
      <c r="FS525" s="48"/>
      <c r="FT525" s="48"/>
      <c r="FU525" s="48"/>
      <c r="GI525" s="64"/>
    </row>
    <row r="526" spans="1:19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52"/>
      <c r="BF526" s="48"/>
      <c r="BG526" s="48"/>
      <c r="BI526" s="48"/>
      <c r="BN526" s="48"/>
      <c r="BO526" s="48"/>
      <c r="BR526" s="48"/>
      <c r="BS526" s="48"/>
      <c r="BW526" s="48"/>
      <c r="CA526" s="48"/>
      <c r="CE526" s="48"/>
      <c r="CF526" s="48"/>
      <c r="CG526" s="48"/>
      <c r="CH526" s="48"/>
      <c r="CI526" s="48"/>
      <c r="CJ526" s="48"/>
      <c r="CL526" s="48"/>
      <c r="CM526" s="48"/>
      <c r="CN526" s="48"/>
      <c r="CO526" s="48"/>
      <c r="CP526" s="48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  <c r="DE526" s="48"/>
      <c r="DF526" s="48"/>
      <c r="DG526" s="48"/>
      <c r="DH526" s="48"/>
      <c r="DI526" s="48"/>
      <c r="DJ526" s="48"/>
      <c r="DK526" s="48"/>
      <c r="DL526" s="48"/>
      <c r="DM526" s="48"/>
      <c r="DN526" s="48"/>
      <c r="DO526" s="48"/>
      <c r="DP526" s="48"/>
      <c r="DQ526" s="48"/>
      <c r="DR526" s="48"/>
      <c r="DS526" s="48"/>
      <c r="DT526" s="48"/>
      <c r="DU526" s="48"/>
      <c r="DV526" s="48"/>
      <c r="DW526" s="48"/>
      <c r="DX526" s="48"/>
      <c r="DY526" s="48"/>
      <c r="DZ526" s="48"/>
      <c r="EA526" s="48"/>
      <c r="EC526" s="48"/>
      <c r="ED526" s="48"/>
      <c r="EE526" s="48"/>
      <c r="EF526" s="48"/>
      <c r="EG526" s="48"/>
      <c r="EI526" s="48"/>
      <c r="EK526" s="48"/>
      <c r="EM526" s="48"/>
      <c r="EO526" s="48"/>
      <c r="EP526" s="48"/>
      <c r="EU526" s="48"/>
      <c r="EV526" s="48"/>
      <c r="EW526" s="48"/>
      <c r="EX526" s="48"/>
      <c r="EY526" s="48"/>
      <c r="EZ526" s="48"/>
      <c r="FA526" s="48"/>
      <c r="FB526" s="48"/>
      <c r="FC526" s="48"/>
      <c r="FD526" s="48"/>
      <c r="FE526" s="48"/>
      <c r="FF526" s="48"/>
      <c r="FG526" s="48"/>
      <c r="FI526" s="48"/>
      <c r="FL526" s="48"/>
      <c r="FM526" s="48"/>
      <c r="FN526" s="48"/>
      <c r="FO526" s="48"/>
      <c r="FP526" s="48"/>
      <c r="FQ526" s="48"/>
      <c r="FR526" s="48"/>
      <c r="FS526" s="48"/>
      <c r="FT526" s="48"/>
      <c r="FU526" s="48"/>
      <c r="GI526" s="64"/>
    </row>
    <row r="527" spans="1:19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52"/>
      <c r="BF527" s="48"/>
      <c r="BG527" s="48"/>
      <c r="BI527" s="48"/>
      <c r="BN527" s="48"/>
      <c r="BO527" s="48"/>
      <c r="BR527" s="48"/>
      <c r="BS527" s="48"/>
      <c r="BW527" s="48"/>
      <c r="CA527" s="48"/>
      <c r="CE527" s="48"/>
      <c r="CF527" s="48"/>
      <c r="CG527" s="48"/>
      <c r="CH527" s="48"/>
      <c r="CI527" s="48"/>
      <c r="CJ527" s="48"/>
      <c r="CL527" s="48"/>
      <c r="CM527" s="48"/>
      <c r="CN527" s="48"/>
      <c r="CO527" s="48"/>
      <c r="CP527" s="48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  <c r="DD527" s="48"/>
      <c r="DE527" s="48"/>
      <c r="DF527" s="48"/>
      <c r="DG527" s="48"/>
      <c r="DH527" s="48"/>
      <c r="DI527" s="48"/>
      <c r="DJ527" s="48"/>
      <c r="DK527" s="48"/>
      <c r="DL527" s="48"/>
      <c r="DM527" s="48"/>
      <c r="DN527" s="48"/>
      <c r="DO527" s="48"/>
      <c r="DP527" s="48"/>
      <c r="DQ527" s="48"/>
      <c r="DR527" s="48"/>
      <c r="DS527" s="48"/>
      <c r="DT527" s="48"/>
      <c r="DU527" s="48"/>
      <c r="DV527" s="48"/>
      <c r="DW527" s="48"/>
      <c r="DX527" s="48"/>
      <c r="DY527" s="48"/>
      <c r="DZ527" s="48"/>
      <c r="EA527" s="48"/>
      <c r="EC527" s="48"/>
      <c r="ED527" s="48"/>
      <c r="EE527" s="48"/>
      <c r="EF527" s="48"/>
      <c r="EG527" s="48"/>
      <c r="EI527" s="48"/>
      <c r="EK527" s="48"/>
      <c r="EM527" s="48"/>
      <c r="EO527" s="48"/>
      <c r="EP527" s="48"/>
      <c r="EU527" s="48"/>
      <c r="EV527" s="48"/>
      <c r="EW527" s="48"/>
      <c r="EX527" s="48"/>
      <c r="EY527" s="48"/>
      <c r="EZ527" s="48"/>
      <c r="FA527" s="48"/>
      <c r="FB527" s="48"/>
      <c r="FC527" s="48"/>
      <c r="FD527" s="48"/>
      <c r="FE527" s="48"/>
      <c r="FF527" s="48"/>
      <c r="FG527" s="48"/>
      <c r="FI527" s="48"/>
      <c r="FL527" s="48"/>
      <c r="FM527" s="48"/>
      <c r="FN527" s="48"/>
      <c r="FO527" s="48"/>
      <c r="FP527" s="48"/>
      <c r="FQ527" s="48"/>
      <c r="FR527" s="48"/>
      <c r="FS527" s="48"/>
      <c r="FT527" s="48"/>
      <c r="FU527" s="48"/>
      <c r="GI527" s="64"/>
    </row>
    <row r="528" spans="1:19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52"/>
      <c r="BF528" s="48"/>
      <c r="BG528" s="48"/>
      <c r="BI528" s="48"/>
      <c r="BN528" s="48"/>
      <c r="BO528" s="48"/>
      <c r="BR528" s="48"/>
      <c r="BS528" s="48"/>
      <c r="BW528" s="48"/>
      <c r="CA528" s="48"/>
      <c r="CE528" s="48"/>
      <c r="CF528" s="48"/>
      <c r="CG528" s="48"/>
      <c r="CH528" s="48"/>
      <c r="CI528" s="48"/>
      <c r="CJ528" s="48"/>
      <c r="CL528" s="48"/>
      <c r="CM528" s="48"/>
      <c r="CN528" s="48"/>
      <c r="CO528" s="48"/>
      <c r="CP528" s="48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  <c r="DD528" s="48"/>
      <c r="DE528" s="48"/>
      <c r="DF528" s="48"/>
      <c r="DG528" s="48"/>
      <c r="DH528" s="48"/>
      <c r="DI528" s="48"/>
      <c r="DJ528" s="48"/>
      <c r="DK528" s="48"/>
      <c r="DL528" s="48"/>
      <c r="DM528" s="48"/>
      <c r="DN528" s="48"/>
      <c r="DO528" s="48"/>
      <c r="DP528" s="48"/>
      <c r="DQ528" s="48"/>
      <c r="DR528" s="48"/>
      <c r="DS528" s="48"/>
      <c r="DT528" s="48"/>
      <c r="DU528" s="48"/>
      <c r="DV528" s="48"/>
      <c r="DW528" s="48"/>
      <c r="DX528" s="48"/>
      <c r="DY528" s="48"/>
      <c r="DZ528" s="48"/>
      <c r="EA528" s="48"/>
      <c r="EC528" s="48"/>
      <c r="ED528" s="48"/>
      <c r="EE528" s="48"/>
      <c r="EF528" s="48"/>
      <c r="EG528" s="48"/>
      <c r="EI528" s="48"/>
      <c r="EK528" s="48"/>
      <c r="EM528" s="48"/>
      <c r="EO528" s="48"/>
      <c r="EP528" s="48"/>
      <c r="EU528" s="48"/>
      <c r="EV528" s="48"/>
      <c r="EW528" s="48"/>
      <c r="EX528" s="48"/>
      <c r="EY528" s="48"/>
      <c r="EZ528" s="48"/>
      <c r="FA528" s="48"/>
      <c r="FB528" s="48"/>
      <c r="FC528" s="48"/>
      <c r="FD528" s="48"/>
      <c r="FE528" s="48"/>
      <c r="FF528" s="48"/>
      <c r="FG528" s="48"/>
      <c r="FI528" s="48"/>
      <c r="FL528" s="48"/>
      <c r="FM528" s="48"/>
      <c r="FN528" s="48"/>
      <c r="FO528" s="48"/>
      <c r="FP528" s="48"/>
      <c r="FQ528" s="48"/>
      <c r="FR528" s="48"/>
      <c r="FS528" s="48"/>
      <c r="FT528" s="48"/>
      <c r="FU528" s="48"/>
      <c r="GI528" s="64"/>
    </row>
    <row r="529" spans="1:19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52"/>
      <c r="BF529" s="48"/>
      <c r="BG529" s="48"/>
      <c r="BI529" s="48"/>
      <c r="BN529" s="48"/>
      <c r="BO529" s="48"/>
      <c r="BR529" s="48"/>
      <c r="BS529" s="48"/>
      <c r="BW529" s="48"/>
      <c r="CA529" s="48"/>
      <c r="CE529" s="48"/>
      <c r="CF529" s="48"/>
      <c r="CG529" s="48"/>
      <c r="CH529" s="48"/>
      <c r="CI529" s="48"/>
      <c r="CJ529" s="48"/>
      <c r="CL529" s="48"/>
      <c r="CM529" s="48"/>
      <c r="CN529" s="48"/>
      <c r="CO529" s="48"/>
      <c r="CP529" s="48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  <c r="DE529" s="48"/>
      <c r="DF529" s="48"/>
      <c r="DG529" s="48"/>
      <c r="DH529" s="48"/>
      <c r="DI529" s="48"/>
      <c r="DJ529" s="48"/>
      <c r="DK529" s="48"/>
      <c r="DL529" s="48"/>
      <c r="DM529" s="48"/>
      <c r="DN529" s="48"/>
      <c r="DO529" s="48"/>
      <c r="DP529" s="48"/>
      <c r="DQ529" s="48"/>
      <c r="DR529" s="48"/>
      <c r="DS529" s="48"/>
      <c r="DT529" s="48"/>
      <c r="DU529" s="48"/>
      <c r="DV529" s="48"/>
      <c r="DW529" s="48"/>
      <c r="DX529" s="48"/>
      <c r="DY529" s="48"/>
      <c r="DZ529" s="48"/>
      <c r="EA529" s="48"/>
      <c r="EC529" s="48"/>
      <c r="ED529" s="48"/>
      <c r="EE529" s="48"/>
      <c r="EF529" s="48"/>
      <c r="EG529" s="48"/>
      <c r="EI529" s="48"/>
      <c r="EK529" s="48"/>
      <c r="EM529" s="48"/>
      <c r="EO529" s="48"/>
      <c r="EP529" s="48"/>
      <c r="EU529" s="48"/>
      <c r="EV529" s="48"/>
      <c r="EW529" s="48"/>
      <c r="EX529" s="48"/>
      <c r="EY529" s="48"/>
      <c r="EZ529" s="48"/>
      <c r="FA529" s="48"/>
      <c r="FB529" s="48"/>
      <c r="FC529" s="48"/>
      <c r="FD529" s="48"/>
      <c r="FE529" s="48"/>
      <c r="FF529" s="48"/>
      <c r="FG529" s="48"/>
      <c r="FI529" s="48"/>
      <c r="FL529" s="48"/>
      <c r="FM529" s="48"/>
      <c r="FN529" s="48"/>
      <c r="FO529" s="48"/>
      <c r="FP529" s="48"/>
      <c r="FQ529" s="48"/>
      <c r="FR529" s="48"/>
      <c r="FS529" s="48"/>
      <c r="FT529" s="48"/>
      <c r="FU529" s="48"/>
      <c r="GI529" s="64"/>
    </row>
    <row r="530" spans="1:19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52"/>
      <c r="BF530" s="48"/>
      <c r="BG530" s="48"/>
      <c r="BI530" s="48"/>
      <c r="BN530" s="48"/>
      <c r="BO530" s="48"/>
      <c r="BR530" s="48"/>
      <c r="BS530" s="48"/>
      <c r="BW530" s="48"/>
      <c r="CA530" s="48"/>
      <c r="CE530" s="48"/>
      <c r="CF530" s="48"/>
      <c r="CG530" s="48"/>
      <c r="CH530" s="48"/>
      <c r="CI530" s="48"/>
      <c r="CJ530" s="48"/>
      <c r="CL530" s="48"/>
      <c r="CM530" s="48"/>
      <c r="CN530" s="48"/>
      <c r="CO530" s="48"/>
      <c r="CP530" s="48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  <c r="DD530" s="48"/>
      <c r="DE530" s="48"/>
      <c r="DF530" s="48"/>
      <c r="DG530" s="48"/>
      <c r="DH530" s="48"/>
      <c r="DI530" s="48"/>
      <c r="DJ530" s="48"/>
      <c r="DK530" s="48"/>
      <c r="DL530" s="48"/>
      <c r="DM530" s="48"/>
      <c r="DN530" s="48"/>
      <c r="DO530" s="48"/>
      <c r="DP530" s="48"/>
      <c r="DQ530" s="48"/>
      <c r="DR530" s="48"/>
      <c r="DS530" s="48"/>
      <c r="DT530" s="48"/>
      <c r="DU530" s="48"/>
      <c r="DV530" s="48"/>
      <c r="DW530" s="48"/>
      <c r="DX530" s="48"/>
      <c r="DY530" s="48"/>
      <c r="DZ530" s="48"/>
      <c r="EA530" s="48"/>
      <c r="EC530" s="48"/>
      <c r="ED530" s="48"/>
      <c r="EE530" s="48"/>
      <c r="EF530" s="48"/>
      <c r="EG530" s="48"/>
      <c r="EI530" s="48"/>
      <c r="EK530" s="48"/>
      <c r="EM530" s="48"/>
      <c r="EO530" s="48"/>
      <c r="EP530" s="48"/>
      <c r="EU530" s="48"/>
      <c r="EV530" s="48"/>
      <c r="EW530" s="48"/>
      <c r="EX530" s="48"/>
      <c r="EY530" s="48"/>
      <c r="EZ530" s="48"/>
      <c r="FA530" s="48"/>
      <c r="FB530" s="48"/>
      <c r="FC530" s="48"/>
      <c r="FD530" s="48"/>
      <c r="FE530" s="48"/>
      <c r="FF530" s="48"/>
      <c r="FG530" s="48"/>
      <c r="FI530" s="48"/>
      <c r="FL530" s="48"/>
      <c r="FM530" s="48"/>
      <c r="FN530" s="48"/>
      <c r="FO530" s="48"/>
      <c r="FP530" s="48"/>
      <c r="FQ530" s="48"/>
      <c r="FR530" s="48"/>
      <c r="FS530" s="48"/>
      <c r="FT530" s="48"/>
      <c r="FU530" s="48"/>
      <c r="GI530" s="64"/>
    </row>
    <row r="531" spans="1:19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52"/>
      <c r="BF531" s="48"/>
      <c r="BG531" s="48"/>
      <c r="BI531" s="48"/>
      <c r="BN531" s="48"/>
      <c r="BO531" s="48"/>
      <c r="BR531" s="48"/>
      <c r="BS531" s="48"/>
      <c r="BW531" s="48"/>
      <c r="CA531" s="48"/>
      <c r="CE531" s="48"/>
      <c r="CF531" s="48"/>
      <c r="CG531" s="48"/>
      <c r="CH531" s="48"/>
      <c r="CI531" s="48"/>
      <c r="CJ531" s="48"/>
      <c r="CL531" s="48"/>
      <c r="CM531" s="48"/>
      <c r="CN531" s="48"/>
      <c r="CO531" s="48"/>
      <c r="CP531" s="48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48"/>
      <c r="DI531" s="48"/>
      <c r="DJ531" s="48"/>
      <c r="DK531" s="48"/>
      <c r="DL531" s="48"/>
      <c r="DM531" s="48"/>
      <c r="DN531" s="48"/>
      <c r="DO531" s="48"/>
      <c r="DP531" s="48"/>
      <c r="DQ531" s="48"/>
      <c r="DR531" s="48"/>
      <c r="DS531" s="48"/>
      <c r="DT531" s="48"/>
      <c r="DU531" s="48"/>
      <c r="DV531" s="48"/>
      <c r="DW531" s="48"/>
      <c r="DX531" s="48"/>
      <c r="DY531" s="48"/>
      <c r="DZ531" s="48"/>
      <c r="EA531" s="48"/>
      <c r="EC531" s="48"/>
      <c r="ED531" s="48"/>
      <c r="EE531" s="48"/>
      <c r="EF531" s="48"/>
      <c r="EG531" s="48"/>
      <c r="EI531" s="48"/>
      <c r="EK531" s="48"/>
      <c r="EM531" s="48"/>
      <c r="EO531" s="48"/>
      <c r="EP531" s="48"/>
      <c r="EU531" s="48"/>
      <c r="EV531" s="48"/>
      <c r="EW531" s="48"/>
      <c r="EX531" s="48"/>
      <c r="EY531" s="48"/>
      <c r="EZ531" s="48"/>
      <c r="FA531" s="48"/>
      <c r="FB531" s="48"/>
      <c r="FC531" s="48"/>
      <c r="FD531" s="48"/>
      <c r="FE531" s="48"/>
      <c r="FF531" s="48"/>
      <c r="FG531" s="48"/>
      <c r="FI531" s="48"/>
      <c r="FL531" s="48"/>
      <c r="FM531" s="48"/>
      <c r="FN531" s="48"/>
      <c r="FO531" s="48"/>
      <c r="FP531" s="48"/>
      <c r="FQ531" s="48"/>
      <c r="FR531" s="48"/>
      <c r="FS531" s="48"/>
      <c r="FT531" s="48"/>
      <c r="FU531" s="48"/>
      <c r="GI531" s="64"/>
    </row>
    <row r="532" spans="1:19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52"/>
      <c r="BF532" s="48"/>
      <c r="BG532" s="48"/>
      <c r="BI532" s="48"/>
      <c r="BN532" s="48"/>
      <c r="BO532" s="48"/>
      <c r="BR532" s="48"/>
      <c r="BS532" s="48"/>
      <c r="BW532" s="48"/>
      <c r="CA532" s="48"/>
      <c r="CE532" s="48"/>
      <c r="CF532" s="48"/>
      <c r="CG532" s="48"/>
      <c r="CH532" s="48"/>
      <c r="CI532" s="48"/>
      <c r="CJ532" s="48"/>
      <c r="CL532" s="48"/>
      <c r="CM532" s="48"/>
      <c r="CN532" s="48"/>
      <c r="CO532" s="48"/>
      <c r="CP532" s="48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  <c r="DE532" s="48"/>
      <c r="DF532" s="48"/>
      <c r="DG532" s="48"/>
      <c r="DH532" s="48"/>
      <c r="DI532" s="48"/>
      <c r="DJ532" s="48"/>
      <c r="DK532" s="48"/>
      <c r="DL532" s="48"/>
      <c r="DM532" s="48"/>
      <c r="DN532" s="48"/>
      <c r="DO532" s="48"/>
      <c r="DP532" s="48"/>
      <c r="DQ532" s="48"/>
      <c r="DR532" s="48"/>
      <c r="DS532" s="48"/>
      <c r="DT532" s="48"/>
      <c r="DU532" s="48"/>
      <c r="DV532" s="48"/>
      <c r="DW532" s="48"/>
      <c r="DX532" s="48"/>
      <c r="DY532" s="48"/>
      <c r="DZ532" s="48"/>
      <c r="EA532" s="48"/>
      <c r="EC532" s="48"/>
      <c r="ED532" s="48"/>
      <c r="EE532" s="48"/>
      <c r="EF532" s="48"/>
      <c r="EG532" s="48"/>
      <c r="EI532" s="48"/>
      <c r="EK532" s="48"/>
      <c r="EM532" s="48"/>
      <c r="EO532" s="48"/>
      <c r="EP532" s="48"/>
      <c r="EU532" s="48"/>
      <c r="EV532" s="48"/>
      <c r="EW532" s="48"/>
      <c r="EX532" s="48"/>
      <c r="EY532" s="48"/>
      <c r="EZ532" s="48"/>
      <c r="FA532" s="48"/>
      <c r="FB532" s="48"/>
      <c r="FC532" s="48"/>
      <c r="FD532" s="48"/>
      <c r="FE532" s="48"/>
      <c r="FF532" s="48"/>
      <c r="FG532" s="48"/>
      <c r="FI532" s="48"/>
      <c r="FL532" s="48"/>
      <c r="FM532" s="48"/>
      <c r="FN532" s="48"/>
      <c r="FO532" s="48"/>
      <c r="FP532" s="48"/>
      <c r="FQ532" s="48"/>
      <c r="FR532" s="48"/>
      <c r="FS532" s="48"/>
      <c r="FT532" s="48"/>
      <c r="FU532" s="48"/>
      <c r="GI532" s="64"/>
    </row>
    <row r="533" spans="1:19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52"/>
      <c r="BF533" s="48"/>
      <c r="BG533" s="48"/>
      <c r="BI533" s="48"/>
      <c r="BN533" s="48"/>
      <c r="BO533" s="48"/>
      <c r="BR533" s="48"/>
      <c r="BS533" s="48"/>
      <c r="BW533" s="48"/>
      <c r="CA533" s="48"/>
      <c r="CE533" s="48"/>
      <c r="CF533" s="48"/>
      <c r="CG533" s="48"/>
      <c r="CH533" s="48"/>
      <c r="CI533" s="48"/>
      <c r="CJ533" s="48"/>
      <c r="CL533" s="48"/>
      <c r="CM533" s="48"/>
      <c r="CN533" s="48"/>
      <c r="CO533" s="48"/>
      <c r="CP533" s="48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  <c r="DD533" s="48"/>
      <c r="DE533" s="48"/>
      <c r="DF533" s="48"/>
      <c r="DG533" s="48"/>
      <c r="DH533" s="48"/>
      <c r="DI533" s="48"/>
      <c r="DJ533" s="48"/>
      <c r="DK533" s="48"/>
      <c r="DL533" s="48"/>
      <c r="DM533" s="48"/>
      <c r="DN533" s="48"/>
      <c r="DO533" s="48"/>
      <c r="DP533" s="48"/>
      <c r="DQ533" s="48"/>
      <c r="DR533" s="48"/>
      <c r="DS533" s="48"/>
      <c r="DT533" s="48"/>
      <c r="DU533" s="48"/>
      <c r="DV533" s="48"/>
      <c r="DW533" s="48"/>
      <c r="DX533" s="48"/>
      <c r="DY533" s="48"/>
      <c r="DZ533" s="48"/>
      <c r="EA533" s="48"/>
      <c r="EC533" s="48"/>
      <c r="ED533" s="48"/>
      <c r="EE533" s="48"/>
      <c r="EF533" s="48"/>
      <c r="EG533" s="48"/>
      <c r="EI533" s="48"/>
      <c r="EK533" s="48"/>
      <c r="EM533" s="48"/>
      <c r="EO533" s="48"/>
      <c r="EP533" s="48"/>
      <c r="EU533" s="48"/>
      <c r="EV533" s="48"/>
      <c r="EW533" s="48"/>
      <c r="EX533" s="48"/>
      <c r="EY533" s="48"/>
      <c r="EZ533" s="48"/>
      <c r="FA533" s="48"/>
      <c r="FB533" s="48"/>
      <c r="FC533" s="48"/>
      <c r="FD533" s="48"/>
      <c r="FE533" s="48"/>
      <c r="FF533" s="48"/>
      <c r="FG533" s="48"/>
      <c r="FI533" s="48"/>
      <c r="FL533" s="48"/>
      <c r="FM533" s="48"/>
      <c r="FN533" s="48"/>
      <c r="FO533" s="48"/>
      <c r="FP533" s="48"/>
      <c r="FQ533" s="48"/>
      <c r="FR533" s="48"/>
      <c r="FS533" s="48"/>
      <c r="FT533" s="48"/>
      <c r="FU533" s="48"/>
      <c r="GI533" s="64"/>
    </row>
    <row r="534" spans="1:19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52"/>
      <c r="BF534" s="48"/>
      <c r="BG534" s="48"/>
      <c r="BI534" s="48"/>
      <c r="BN534" s="48"/>
      <c r="BO534" s="48"/>
      <c r="BR534" s="48"/>
      <c r="BS534" s="48"/>
      <c r="BW534" s="48"/>
      <c r="CA534" s="48"/>
      <c r="CE534" s="48"/>
      <c r="CF534" s="48"/>
      <c r="CG534" s="48"/>
      <c r="CH534" s="48"/>
      <c r="CI534" s="48"/>
      <c r="CJ534" s="48"/>
      <c r="CL534" s="48"/>
      <c r="CM534" s="48"/>
      <c r="CN534" s="48"/>
      <c r="CO534" s="48"/>
      <c r="CP534" s="48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  <c r="DE534" s="48"/>
      <c r="DF534" s="48"/>
      <c r="DG534" s="48"/>
      <c r="DH534" s="48"/>
      <c r="DI534" s="48"/>
      <c r="DJ534" s="48"/>
      <c r="DK534" s="48"/>
      <c r="DL534" s="48"/>
      <c r="DM534" s="48"/>
      <c r="DN534" s="48"/>
      <c r="DO534" s="48"/>
      <c r="DP534" s="48"/>
      <c r="DQ534" s="48"/>
      <c r="DR534" s="48"/>
      <c r="DS534" s="48"/>
      <c r="DT534" s="48"/>
      <c r="DU534" s="48"/>
      <c r="DV534" s="48"/>
      <c r="DW534" s="48"/>
      <c r="DX534" s="48"/>
      <c r="DY534" s="48"/>
      <c r="DZ534" s="48"/>
      <c r="EA534" s="48"/>
      <c r="EC534" s="48"/>
      <c r="ED534" s="48"/>
      <c r="EE534" s="48"/>
      <c r="EF534" s="48"/>
      <c r="EG534" s="48"/>
      <c r="EI534" s="48"/>
      <c r="EK534" s="48"/>
      <c r="EM534" s="48"/>
      <c r="EO534" s="48"/>
      <c r="EP534" s="48"/>
      <c r="EU534" s="48"/>
      <c r="EV534" s="48"/>
      <c r="EW534" s="48"/>
      <c r="EX534" s="48"/>
      <c r="EY534" s="48"/>
      <c r="EZ534" s="48"/>
      <c r="FA534" s="48"/>
      <c r="FB534" s="48"/>
      <c r="FC534" s="48"/>
      <c r="FD534" s="48"/>
      <c r="FE534" s="48"/>
      <c r="FF534" s="48"/>
      <c r="FG534" s="48"/>
      <c r="FI534" s="48"/>
      <c r="FL534" s="48"/>
      <c r="FM534" s="48"/>
      <c r="FN534" s="48"/>
      <c r="FO534" s="48"/>
      <c r="FP534" s="48"/>
      <c r="FQ534" s="48"/>
      <c r="FR534" s="48"/>
      <c r="FS534" s="48"/>
      <c r="FT534" s="48"/>
      <c r="FU534" s="48"/>
      <c r="GI534" s="64"/>
    </row>
    <row r="535" spans="1:19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52"/>
      <c r="BF535" s="48"/>
      <c r="BG535" s="48"/>
      <c r="BI535" s="48"/>
      <c r="BN535" s="48"/>
      <c r="BO535" s="48"/>
      <c r="BR535" s="48"/>
      <c r="BS535" s="48"/>
      <c r="BW535" s="48"/>
      <c r="CA535" s="48"/>
      <c r="CE535" s="48"/>
      <c r="CF535" s="48"/>
      <c r="CG535" s="48"/>
      <c r="CH535" s="48"/>
      <c r="CI535" s="48"/>
      <c r="CJ535" s="48"/>
      <c r="CL535" s="48"/>
      <c r="CM535" s="48"/>
      <c r="CN535" s="48"/>
      <c r="CO535" s="48"/>
      <c r="CP535" s="48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8"/>
      <c r="DN535" s="48"/>
      <c r="DO535" s="48"/>
      <c r="DP535" s="48"/>
      <c r="DQ535" s="48"/>
      <c r="DR535" s="48"/>
      <c r="DS535" s="48"/>
      <c r="DT535" s="48"/>
      <c r="DU535" s="48"/>
      <c r="DV535" s="48"/>
      <c r="DW535" s="48"/>
      <c r="DX535" s="48"/>
      <c r="DY535" s="48"/>
      <c r="DZ535" s="48"/>
      <c r="EA535" s="48"/>
      <c r="EC535" s="48"/>
      <c r="ED535" s="48"/>
      <c r="EE535" s="48"/>
      <c r="EF535" s="48"/>
      <c r="EG535" s="48"/>
      <c r="EI535" s="48"/>
      <c r="EK535" s="48"/>
      <c r="EM535" s="48"/>
      <c r="EO535" s="48"/>
      <c r="EP535" s="48"/>
      <c r="EU535" s="48"/>
      <c r="EV535" s="48"/>
      <c r="EW535" s="48"/>
      <c r="EX535" s="48"/>
      <c r="EY535" s="48"/>
      <c r="EZ535" s="48"/>
      <c r="FA535" s="48"/>
      <c r="FB535" s="48"/>
      <c r="FC535" s="48"/>
      <c r="FD535" s="48"/>
      <c r="FE535" s="48"/>
      <c r="FF535" s="48"/>
      <c r="FG535" s="48"/>
      <c r="FI535" s="48"/>
      <c r="FL535" s="48"/>
      <c r="FM535" s="48"/>
      <c r="FN535" s="48"/>
      <c r="FO535" s="48"/>
      <c r="FP535" s="48"/>
      <c r="FQ535" s="48"/>
      <c r="FR535" s="48"/>
      <c r="FS535" s="48"/>
      <c r="FT535" s="48"/>
      <c r="FU535" s="48"/>
      <c r="GI535" s="64"/>
    </row>
    <row r="536" spans="1:19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52"/>
      <c r="BF536" s="48"/>
      <c r="BG536" s="48"/>
      <c r="BI536" s="48"/>
      <c r="BN536" s="48"/>
      <c r="BO536" s="48"/>
      <c r="BR536" s="48"/>
      <c r="BS536" s="48"/>
      <c r="BW536" s="48"/>
      <c r="CA536" s="48"/>
      <c r="CE536" s="48"/>
      <c r="CF536" s="48"/>
      <c r="CG536" s="48"/>
      <c r="CH536" s="48"/>
      <c r="CI536" s="48"/>
      <c r="CJ536" s="48"/>
      <c r="CL536" s="48"/>
      <c r="CM536" s="48"/>
      <c r="CN536" s="48"/>
      <c r="CO536" s="48"/>
      <c r="CP536" s="48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  <c r="DE536" s="48"/>
      <c r="DF536" s="48"/>
      <c r="DG536" s="48"/>
      <c r="DH536" s="48"/>
      <c r="DI536" s="48"/>
      <c r="DJ536" s="48"/>
      <c r="DK536" s="48"/>
      <c r="DL536" s="48"/>
      <c r="DM536" s="48"/>
      <c r="DN536" s="48"/>
      <c r="DO536" s="48"/>
      <c r="DP536" s="48"/>
      <c r="DQ536" s="48"/>
      <c r="DR536" s="48"/>
      <c r="DS536" s="48"/>
      <c r="DT536" s="48"/>
      <c r="DU536" s="48"/>
      <c r="DV536" s="48"/>
      <c r="DW536" s="48"/>
      <c r="DX536" s="48"/>
      <c r="DY536" s="48"/>
      <c r="DZ536" s="48"/>
      <c r="EA536" s="48"/>
      <c r="EC536" s="48"/>
      <c r="ED536" s="48"/>
      <c r="EE536" s="48"/>
      <c r="EF536" s="48"/>
      <c r="EG536" s="48"/>
      <c r="EI536" s="48"/>
      <c r="EK536" s="48"/>
      <c r="EM536" s="48"/>
      <c r="EO536" s="48"/>
      <c r="EP536" s="48"/>
      <c r="EU536" s="48"/>
      <c r="EV536" s="48"/>
      <c r="EW536" s="48"/>
      <c r="EX536" s="48"/>
      <c r="EY536" s="48"/>
      <c r="EZ536" s="48"/>
      <c r="FA536" s="48"/>
      <c r="FB536" s="48"/>
      <c r="FC536" s="48"/>
      <c r="FD536" s="48"/>
      <c r="FE536" s="48"/>
      <c r="FF536" s="48"/>
      <c r="FG536" s="48"/>
      <c r="FI536" s="48"/>
      <c r="FL536" s="48"/>
      <c r="FM536" s="48"/>
      <c r="FN536" s="48"/>
      <c r="FO536" s="48"/>
      <c r="FP536" s="48"/>
      <c r="FQ536" s="48"/>
      <c r="FR536" s="48"/>
      <c r="FS536" s="48"/>
      <c r="FT536" s="48"/>
      <c r="FU536" s="48"/>
      <c r="GI536" s="64"/>
    </row>
    <row r="537" spans="1:19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52"/>
      <c r="BF537" s="48"/>
      <c r="BG537" s="48"/>
      <c r="BI537" s="48"/>
      <c r="BN537" s="48"/>
      <c r="BO537" s="48"/>
      <c r="BR537" s="48"/>
      <c r="BS537" s="48"/>
      <c r="BW537" s="48"/>
      <c r="CA537" s="48"/>
      <c r="CE537" s="48"/>
      <c r="CF537" s="48"/>
      <c r="CG537" s="48"/>
      <c r="CH537" s="48"/>
      <c r="CI537" s="48"/>
      <c r="CJ537" s="48"/>
      <c r="CL537" s="48"/>
      <c r="CM537" s="48"/>
      <c r="CN537" s="48"/>
      <c r="CO537" s="48"/>
      <c r="CP537" s="48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8"/>
      <c r="DV537" s="48"/>
      <c r="DW537" s="48"/>
      <c r="DX537" s="48"/>
      <c r="DY537" s="48"/>
      <c r="DZ537" s="48"/>
      <c r="EA537" s="48"/>
      <c r="EC537" s="48"/>
      <c r="ED537" s="48"/>
      <c r="EE537" s="48"/>
      <c r="EF537" s="48"/>
      <c r="EG537" s="48"/>
      <c r="EI537" s="48"/>
      <c r="EK537" s="48"/>
      <c r="EM537" s="48"/>
      <c r="EO537" s="48"/>
      <c r="EP537" s="48"/>
      <c r="EU537" s="48"/>
      <c r="EV537" s="48"/>
      <c r="EW537" s="48"/>
      <c r="EX537" s="48"/>
      <c r="EY537" s="48"/>
      <c r="EZ537" s="48"/>
      <c r="FA537" s="48"/>
      <c r="FB537" s="48"/>
      <c r="FC537" s="48"/>
      <c r="FD537" s="48"/>
      <c r="FE537" s="48"/>
      <c r="FF537" s="48"/>
      <c r="FG537" s="48"/>
      <c r="FI537" s="48"/>
      <c r="FL537" s="48"/>
      <c r="FM537" s="48"/>
      <c r="FN537" s="48"/>
      <c r="FO537" s="48"/>
      <c r="FP537" s="48"/>
      <c r="FQ537" s="48"/>
      <c r="FR537" s="48"/>
      <c r="FS537" s="48"/>
      <c r="FT537" s="48"/>
      <c r="FU537" s="48"/>
      <c r="GI537" s="64"/>
    </row>
    <row r="538" spans="1:19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52"/>
      <c r="BF538" s="48"/>
      <c r="BG538" s="48"/>
      <c r="BI538" s="48"/>
      <c r="BN538" s="48"/>
      <c r="BO538" s="48"/>
      <c r="BR538" s="48"/>
      <c r="BS538" s="48"/>
      <c r="BW538" s="48"/>
      <c r="CA538" s="48"/>
      <c r="CE538" s="48"/>
      <c r="CF538" s="48"/>
      <c r="CG538" s="48"/>
      <c r="CH538" s="48"/>
      <c r="CI538" s="48"/>
      <c r="CJ538" s="48"/>
      <c r="CL538" s="48"/>
      <c r="CM538" s="48"/>
      <c r="CN538" s="48"/>
      <c r="CO538" s="48"/>
      <c r="CP538" s="48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8"/>
      <c r="DN538" s="48"/>
      <c r="DO538" s="48"/>
      <c r="DP538" s="48"/>
      <c r="DQ538" s="48"/>
      <c r="DR538" s="48"/>
      <c r="DS538" s="48"/>
      <c r="DT538" s="48"/>
      <c r="DU538" s="48"/>
      <c r="DV538" s="48"/>
      <c r="DW538" s="48"/>
      <c r="DX538" s="48"/>
      <c r="DY538" s="48"/>
      <c r="DZ538" s="48"/>
      <c r="EA538" s="48"/>
      <c r="EC538" s="48"/>
      <c r="ED538" s="48"/>
      <c r="EE538" s="48"/>
      <c r="EF538" s="48"/>
      <c r="EG538" s="48"/>
      <c r="EI538" s="48"/>
      <c r="EK538" s="48"/>
      <c r="EM538" s="48"/>
      <c r="EO538" s="48"/>
      <c r="EP538" s="48"/>
      <c r="EU538" s="48"/>
      <c r="EV538" s="48"/>
      <c r="EW538" s="48"/>
      <c r="EX538" s="48"/>
      <c r="EY538" s="48"/>
      <c r="EZ538" s="48"/>
      <c r="FA538" s="48"/>
      <c r="FB538" s="48"/>
      <c r="FC538" s="48"/>
      <c r="FD538" s="48"/>
      <c r="FE538" s="48"/>
      <c r="FF538" s="48"/>
      <c r="FG538" s="48"/>
      <c r="FI538" s="48"/>
      <c r="FL538" s="48"/>
      <c r="FM538" s="48"/>
      <c r="FN538" s="48"/>
      <c r="FO538" s="48"/>
      <c r="FP538" s="48"/>
      <c r="FQ538" s="48"/>
      <c r="FR538" s="48"/>
      <c r="FS538" s="48"/>
      <c r="FT538" s="48"/>
      <c r="FU538" s="48"/>
      <c r="GI538" s="64"/>
    </row>
    <row r="539" spans="1:19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52"/>
      <c r="BF539" s="48"/>
      <c r="BG539" s="48"/>
      <c r="BI539" s="48"/>
      <c r="BN539" s="48"/>
      <c r="BO539" s="48"/>
      <c r="BR539" s="48"/>
      <c r="BS539" s="48"/>
      <c r="BW539" s="48"/>
      <c r="CA539" s="48"/>
      <c r="CE539" s="48"/>
      <c r="CF539" s="48"/>
      <c r="CG539" s="48"/>
      <c r="CH539" s="48"/>
      <c r="CI539" s="48"/>
      <c r="CJ539" s="48"/>
      <c r="CL539" s="48"/>
      <c r="CM539" s="48"/>
      <c r="CN539" s="48"/>
      <c r="CO539" s="48"/>
      <c r="CP539" s="48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  <c r="DD539" s="48"/>
      <c r="DE539" s="48"/>
      <c r="DF539" s="48"/>
      <c r="DG539" s="48"/>
      <c r="DH539" s="48"/>
      <c r="DI539" s="48"/>
      <c r="DJ539" s="48"/>
      <c r="DK539" s="48"/>
      <c r="DL539" s="48"/>
      <c r="DM539" s="48"/>
      <c r="DN539" s="48"/>
      <c r="DO539" s="48"/>
      <c r="DP539" s="48"/>
      <c r="DQ539" s="48"/>
      <c r="DR539" s="48"/>
      <c r="DS539" s="48"/>
      <c r="DT539" s="48"/>
      <c r="DU539" s="48"/>
      <c r="DV539" s="48"/>
      <c r="DW539" s="48"/>
      <c r="DX539" s="48"/>
      <c r="DY539" s="48"/>
      <c r="DZ539" s="48"/>
      <c r="EA539" s="48"/>
      <c r="EC539" s="48"/>
      <c r="ED539" s="48"/>
      <c r="EE539" s="48"/>
      <c r="EF539" s="48"/>
      <c r="EG539" s="48"/>
      <c r="EI539" s="48"/>
      <c r="EK539" s="48"/>
      <c r="EM539" s="48"/>
      <c r="EO539" s="48"/>
      <c r="EP539" s="48"/>
      <c r="EU539" s="48"/>
      <c r="EV539" s="48"/>
      <c r="EW539" s="48"/>
      <c r="EX539" s="48"/>
      <c r="EY539" s="48"/>
      <c r="EZ539" s="48"/>
      <c r="FA539" s="48"/>
      <c r="FB539" s="48"/>
      <c r="FC539" s="48"/>
      <c r="FD539" s="48"/>
      <c r="FE539" s="48"/>
      <c r="FF539" s="48"/>
      <c r="FG539" s="48"/>
      <c r="FI539" s="48"/>
      <c r="FL539" s="48"/>
      <c r="FM539" s="48"/>
      <c r="FN539" s="48"/>
      <c r="FO539" s="48"/>
      <c r="FP539" s="48"/>
      <c r="FQ539" s="48"/>
      <c r="FR539" s="48"/>
      <c r="FS539" s="48"/>
      <c r="FT539" s="48"/>
      <c r="FU539" s="48"/>
      <c r="GI539" s="64"/>
    </row>
    <row r="540" spans="1:19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52"/>
      <c r="BF540" s="48"/>
      <c r="BG540" s="48"/>
      <c r="BI540" s="48"/>
      <c r="BN540" s="48"/>
      <c r="BO540" s="48"/>
      <c r="BR540" s="48"/>
      <c r="BS540" s="48"/>
      <c r="BW540" s="48"/>
      <c r="CA540" s="48"/>
      <c r="CE540" s="48"/>
      <c r="CF540" s="48"/>
      <c r="CG540" s="48"/>
      <c r="CH540" s="48"/>
      <c r="CI540" s="48"/>
      <c r="CJ540" s="48"/>
      <c r="CL540" s="48"/>
      <c r="CM540" s="48"/>
      <c r="CN540" s="48"/>
      <c r="CO540" s="48"/>
      <c r="CP540" s="48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  <c r="DD540" s="48"/>
      <c r="DE540" s="48"/>
      <c r="DF540" s="48"/>
      <c r="DG540" s="48"/>
      <c r="DH540" s="48"/>
      <c r="DI540" s="48"/>
      <c r="DJ540" s="48"/>
      <c r="DK540" s="48"/>
      <c r="DL540" s="48"/>
      <c r="DM540" s="48"/>
      <c r="DN540" s="48"/>
      <c r="DO540" s="48"/>
      <c r="DP540" s="48"/>
      <c r="DQ540" s="48"/>
      <c r="DR540" s="48"/>
      <c r="DS540" s="48"/>
      <c r="DT540" s="48"/>
      <c r="DU540" s="48"/>
      <c r="DV540" s="48"/>
      <c r="DW540" s="48"/>
      <c r="DX540" s="48"/>
      <c r="DY540" s="48"/>
      <c r="DZ540" s="48"/>
      <c r="EA540" s="48"/>
      <c r="EC540" s="48"/>
      <c r="ED540" s="48"/>
      <c r="EE540" s="48"/>
      <c r="EF540" s="48"/>
      <c r="EG540" s="48"/>
      <c r="EI540" s="48"/>
      <c r="EK540" s="48"/>
      <c r="EM540" s="48"/>
      <c r="EO540" s="48"/>
      <c r="EP540" s="48"/>
      <c r="EU540" s="48"/>
      <c r="EV540" s="48"/>
      <c r="EW540" s="48"/>
      <c r="EX540" s="48"/>
      <c r="EY540" s="48"/>
      <c r="EZ540" s="48"/>
      <c r="FA540" s="48"/>
      <c r="FB540" s="48"/>
      <c r="FC540" s="48"/>
      <c r="FD540" s="48"/>
      <c r="FE540" s="48"/>
      <c r="FF540" s="48"/>
      <c r="FG540" s="48"/>
      <c r="FI540" s="48"/>
      <c r="FL540" s="48"/>
      <c r="FM540" s="48"/>
      <c r="FN540" s="48"/>
      <c r="FO540" s="48"/>
      <c r="FP540" s="48"/>
      <c r="FQ540" s="48"/>
      <c r="FR540" s="48"/>
      <c r="FS540" s="48"/>
      <c r="FT540" s="48"/>
      <c r="FU540" s="48"/>
      <c r="GI540" s="64"/>
    </row>
    <row r="541" spans="1:19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52"/>
      <c r="BF541" s="48"/>
      <c r="BG541" s="48"/>
      <c r="BI541" s="48"/>
      <c r="BN541" s="48"/>
      <c r="BO541" s="48"/>
      <c r="BR541" s="48"/>
      <c r="BS541" s="48"/>
      <c r="BW541" s="48"/>
      <c r="CA541" s="48"/>
      <c r="CE541" s="48"/>
      <c r="CF541" s="48"/>
      <c r="CG541" s="48"/>
      <c r="CH541" s="48"/>
      <c r="CI541" s="48"/>
      <c r="CJ541" s="48"/>
      <c r="CL541" s="48"/>
      <c r="CM541" s="48"/>
      <c r="CN541" s="48"/>
      <c r="CO541" s="48"/>
      <c r="CP541" s="48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  <c r="DE541" s="48"/>
      <c r="DF541" s="48"/>
      <c r="DG541" s="48"/>
      <c r="DH541" s="48"/>
      <c r="DI541" s="48"/>
      <c r="DJ541" s="48"/>
      <c r="DK541" s="48"/>
      <c r="DL541" s="48"/>
      <c r="DM541" s="48"/>
      <c r="DN541" s="48"/>
      <c r="DO541" s="48"/>
      <c r="DP541" s="48"/>
      <c r="DQ541" s="48"/>
      <c r="DR541" s="48"/>
      <c r="DS541" s="48"/>
      <c r="DT541" s="48"/>
      <c r="DU541" s="48"/>
      <c r="DV541" s="48"/>
      <c r="DW541" s="48"/>
      <c r="DX541" s="48"/>
      <c r="DY541" s="48"/>
      <c r="DZ541" s="48"/>
      <c r="EA541" s="48"/>
      <c r="EC541" s="48"/>
      <c r="ED541" s="48"/>
      <c r="EE541" s="48"/>
      <c r="EF541" s="48"/>
      <c r="EG541" s="48"/>
      <c r="EI541" s="48"/>
      <c r="EK541" s="48"/>
      <c r="EM541" s="48"/>
      <c r="EO541" s="48"/>
      <c r="EP541" s="48"/>
      <c r="EU541" s="48"/>
      <c r="EV541" s="48"/>
      <c r="EW541" s="48"/>
      <c r="EX541" s="48"/>
      <c r="EY541" s="48"/>
      <c r="EZ541" s="48"/>
      <c r="FA541" s="48"/>
      <c r="FB541" s="48"/>
      <c r="FC541" s="48"/>
      <c r="FD541" s="48"/>
      <c r="FE541" s="48"/>
      <c r="FF541" s="48"/>
      <c r="FG541" s="48"/>
      <c r="FI541" s="48"/>
      <c r="FL541" s="48"/>
      <c r="FM541" s="48"/>
      <c r="FN541" s="48"/>
      <c r="FO541" s="48"/>
      <c r="FP541" s="48"/>
      <c r="FQ541" s="48"/>
      <c r="FR541" s="48"/>
      <c r="FS541" s="48"/>
      <c r="FT541" s="48"/>
      <c r="FU541" s="48"/>
      <c r="GI541" s="64"/>
    </row>
    <row r="542" spans="1:19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52"/>
      <c r="BF542" s="48"/>
      <c r="BG542" s="48"/>
      <c r="BI542" s="48"/>
      <c r="BN542" s="48"/>
      <c r="BO542" s="48"/>
      <c r="BR542" s="48"/>
      <c r="BS542" s="48"/>
      <c r="BW542" s="48"/>
      <c r="CA542" s="48"/>
      <c r="CE542" s="48"/>
      <c r="CF542" s="48"/>
      <c r="CG542" s="48"/>
      <c r="CH542" s="48"/>
      <c r="CI542" s="48"/>
      <c r="CJ542" s="48"/>
      <c r="CL542" s="48"/>
      <c r="CM542" s="48"/>
      <c r="CN542" s="48"/>
      <c r="CO542" s="48"/>
      <c r="CP542" s="48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  <c r="DD542" s="48"/>
      <c r="DE542" s="48"/>
      <c r="DF542" s="48"/>
      <c r="DG542" s="48"/>
      <c r="DH542" s="48"/>
      <c r="DI542" s="48"/>
      <c r="DJ542" s="48"/>
      <c r="DK542" s="48"/>
      <c r="DL542" s="48"/>
      <c r="DM542" s="48"/>
      <c r="DN542" s="48"/>
      <c r="DO542" s="48"/>
      <c r="DP542" s="48"/>
      <c r="DQ542" s="48"/>
      <c r="DR542" s="48"/>
      <c r="DS542" s="48"/>
      <c r="DT542" s="48"/>
      <c r="DU542" s="48"/>
      <c r="DV542" s="48"/>
      <c r="DW542" s="48"/>
      <c r="DX542" s="48"/>
      <c r="DY542" s="48"/>
      <c r="DZ542" s="48"/>
      <c r="EA542" s="48"/>
      <c r="EC542" s="48"/>
      <c r="ED542" s="48"/>
      <c r="EE542" s="48"/>
      <c r="EF542" s="48"/>
      <c r="EG542" s="48"/>
      <c r="EI542" s="48"/>
      <c r="EK542" s="48"/>
      <c r="EM542" s="48"/>
      <c r="EO542" s="48"/>
      <c r="EP542" s="48"/>
      <c r="EU542" s="48"/>
      <c r="EV542" s="48"/>
      <c r="EW542" s="48"/>
      <c r="EX542" s="48"/>
      <c r="EY542" s="48"/>
      <c r="EZ542" s="48"/>
      <c r="FA542" s="48"/>
      <c r="FB542" s="48"/>
      <c r="FC542" s="48"/>
      <c r="FD542" s="48"/>
      <c r="FE542" s="48"/>
      <c r="FF542" s="48"/>
      <c r="FG542" s="48"/>
      <c r="FI542" s="48"/>
      <c r="FL542" s="48"/>
      <c r="FM542" s="48"/>
      <c r="FN542" s="48"/>
      <c r="FO542" s="48"/>
      <c r="FP542" s="48"/>
      <c r="FQ542" s="48"/>
      <c r="FR542" s="48"/>
      <c r="FS542" s="48"/>
      <c r="FT542" s="48"/>
      <c r="FU542" s="48"/>
      <c r="GI542" s="64"/>
    </row>
    <row r="543" spans="1:19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52"/>
      <c r="BF543" s="48"/>
      <c r="BG543" s="48"/>
      <c r="BI543" s="48"/>
      <c r="BN543" s="48"/>
      <c r="BO543" s="48"/>
      <c r="BR543" s="48"/>
      <c r="BS543" s="48"/>
      <c r="BW543" s="48"/>
      <c r="CA543" s="48"/>
      <c r="CE543" s="48"/>
      <c r="CF543" s="48"/>
      <c r="CG543" s="48"/>
      <c r="CH543" s="48"/>
      <c r="CI543" s="48"/>
      <c r="CJ543" s="48"/>
      <c r="CL543" s="48"/>
      <c r="CM543" s="48"/>
      <c r="CN543" s="48"/>
      <c r="CO543" s="48"/>
      <c r="CP543" s="48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  <c r="DD543" s="48"/>
      <c r="DE543" s="48"/>
      <c r="DF543" s="48"/>
      <c r="DG543" s="48"/>
      <c r="DH543" s="48"/>
      <c r="DI543" s="48"/>
      <c r="DJ543" s="48"/>
      <c r="DK543" s="48"/>
      <c r="DL543" s="48"/>
      <c r="DM543" s="48"/>
      <c r="DN543" s="48"/>
      <c r="DO543" s="48"/>
      <c r="DP543" s="48"/>
      <c r="DQ543" s="48"/>
      <c r="DR543" s="48"/>
      <c r="DS543" s="48"/>
      <c r="DT543" s="48"/>
      <c r="DU543" s="48"/>
      <c r="DV543" s="48"/>
      <c r="DW543" s="48"/>
      <c r="DX543" s="48"/>
      <c r="DY543" s="48"/>
      <c r="DZ543" s="48"/>
      <c r="EA543" s="48"/>
      <c r="EC543" s="48"/>
      <c r="ED543" s="48"/>
      <c r="EE543" s="48"/>
      <c r="EF543" s="48"/>
      <c r="EG543" s="48"/>
      <c r="EI543" s="48"/>
      <c r="EK543" s="48"/>
      <c r="EM543" s="48"/>
      <c r="EO543" s="48"/>
      <c r="EP543" s="48"/>
      <c r="EU543" s="48"/>
      <c r="EV543" s="48"/>
      <c r="EW543" s="48"/>
      <c r="EX543" s="48"/>
      <c r="EY543" s="48"/>
      <c r="EZ543" s="48"/>
      <c r="FA543" s="48"/>
      <c r="FB543" s="48"/>
      <c r="FC543" s="48"/>
      <c r="FD543" s="48"/>
      <c r="FE543" s="48"/>
      <c r="FF543" s="48"/>
      <c r="FG543" s="48"/>
      <c r="FI543" s="48"/>
      <c r="FL543" s="48"/>
      <c r="FM543" s="48"/>
      <c r="FN543" s="48"/>
      <c r="FO543" s="48"/>
      <c r="FP543" s="48"/>
      <c r="FQ543" s="48"/>
      <c r="FR543" s="48"/>
      <c r="FS543" s="48"/>
      <c r="FT543" s="48"/>
      <c r="FU543" s="48"/>
      <c r="GI543" s="64"/>
    </row>
    <row r="544" spans="1:19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52"/>
      <c r="BF544" s="48"/>
      <c r="BG544" s="48"/>
      <c r="BI544" s="48"/>
      <c r="BN544" s="48"/>
      <c r="BO544" s="48"/>
      <c r="BR544" s="48"/>
      <c r="BS544" s="48"/>
      <c r="BW544" s="48"/>
      <c r="CA544" s="48"/>
      <c r="CE544" s="48"/>
      <c r="CF544" s="48"/>
      <c r="CG544" s="48"/>
      <c r="CH544" s="48"/>
      <c r="CI544" s="48"/>
      <c r="CJ544" s="48"/>
      <c r="CL544" s="48"/>
      <c r="CM544" s="48"/>
      <c r="CN544" s="48"/>
      <c r="CO544" s="48"/>
      <c r="CP544" s="48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  <c r="DE544" s="48"/>
      <c r="DF544" s="48"/>
      <c r="DG544" s="48"/>
      <c r="DH544" s="48"/>
      <c r="DI544" s="48"/>
      <c r="DJ544" s="48"/>
      <c r="DK544" s="48"/>
      <c r="DL544" s="48"/>
      <c r="DM544" s="48"/>
      <c r="DN544" s="48"/>
      <c r="DO544" s="48"/>
      <c r="DP544" s="48"/>
      <c r="DQ544" s="48"/>
      <c r="DR544" s="48"/>
      <c r="DS544" s="48"/>
      <c r="DT544" s="48"/>
      <c r="DU544" s="48"/>
      <c r="DV544" s="48"/>
      <c r="DW544" s="48"/>
      <c r="DX544" s="48"/>
      <c r="DY544" s="48"/>
      <c r="DZ544" s="48"/>
      <c r="EA544" s="48"/>
      <c r="EC544" s="48"/>
      <c r="ED544" s="48"/>
      <c r="EE544" s="48"/>
      <c r="EF544" s="48"/>
      <c r="EG544" s="48"/>
      <c r="EI544" s="48"/>
      <c r="EK544" s="48"/>
      <c r="EM544" s="48"/>
      <c r="EO544" s="48"/>
      <c r="EP544" s="48"/>
      <c r="EU544" s="48"/>
      <c r="EV544" s="48"/>
      <c r="EW544" s="48"/>
      <c r="EX544" s="48"/>
      <c r="EY544" s="48"/>
      <c r="EZ544" s="48"/>
      <c r="FA544" s="48"/>
      <c r="FB544" s="48"/>
      <c r="FC544" s="48"/>
      <c r="FD544" s="48"/>
      <c r="FE544" s="48"/>
      <c r="FF544" s="48"/>
      <c r="FG544" s="48"/>
      <c r="FI544" s="48"/>
      <c r="FL544" s="48"/>
      <c r="FM544" s="48"/>
      <c r="FN544" s="48"/>
      <c r="FO544" s="48"/>
      <c r="FP544" s="48"/>
      <c r="FQ544" s="48"/>
      <c r="FR544" s="48"/>
      <c r="FS544" s="48"/>
      <c r="FT544" s="48"/>
      <c r="FU544" s="48"/>
      <c r="GI544" s="64"/>
    </row>
    <row r="545" spans="1:19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52"/>
      <c r="BF545" s="48"/>
      <c r="BG545" s="48"/>
      <c r="BI545" s="48"/>
      <c r="BN545" s="48"/>
      <c r="BO545" s="48"/>
      <c r="BR545" s="48"/>
      <c r="BS545" s="48"/>
      <c r="BW545" s="48"/>
      <c r="CA545" s="48"/>
      <c r="CE545" s="48"/>
      <c r="CF545" s="48"/>
      <c r="CG545" s="48"/>
      <c r="CH545" s="48"/>
      <c r="CI545" s="48"/>
      <c r="CJ545" s="48"/>
      <c r="CL545" s="48"/>
      <c r="CM545" s="48"/>
      <c r="CN545" s="48"/>
      <c r="CO545" s="48"/>
      <c r="CP545" s="48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48"/>
      <c r="DI545" s="48"/>
      <c r="DJ545" s="48"/>
      <c r="DK545" s="48"/>
      <c r="DL545" s="48"/>
      <c r="DM545" s="48"/>
      <c r="DN545" s="48"/>
      <c r="DO545" s="48"/>
      <c r="DP545" s="48"/>
      <c r="DQ545" s="48"/>
      <c r="DR545" s="48"/>
      <c r="DS545" s="48"/>
      <c r="DT545" s="48"/>
      <c r="DU545" s="48"/>
      <c r="DV545" s="48"/>
      <c r="DW545" s="48"/>
      <c r="DX545" s="48"/>
      <c r="DY545" s="48"/>
      <c r="DZ545" s="48"/>
      <c r="EA545" s="48"/>
      <c r="EC545" s="48"/>
      <c r="ED545" s="48"/>
      <c r="EE545" s="48"/>
      <c r="EF545" s="48"/>
      <c r="EG545" s="48"/>
      <c r="EI545" s="48"/>
      <c r="EK545" s="48"/>
      <c r="EM545" s="48"/>
      <c r="EO545" s="48"/>
      <c r="EP545" s="48"/>
      <c r="EU545" s="48"/>
      <c r="EV545" s="48"/>
      <c r="EW545" s="48"/>
      <c r="EX545" s="48"/>
      <c r="EY545" s="48"/>
      <c r="EZ545" s="48"/>
      <c r="FA545" s="48"/>
      <c r="FB545" s="48"/>
      <c r="FC545" s="48"/>
      <c r="FD545" s="48"/>
      <c r="FE545" s="48"/>
      <c r="FF545" s="48"/>
      <c r="FG545" s="48"/>
      <c r="FI545" s="48"/>
      <c r="FL545" s="48"/>
      <c r="FM545" s="48"/>
      <c r="FN545" s="48"/>
      <c r="FO545" s="48"/>
      <c r="FP545" s="48"/>
      <c r="FQ545" s="48"/>
      <c r="FR545" s="48"/>
      <c r="FS545" s="48"/>
      <c r="FT545" s="48"/>
      <c r="FU545" s="48"/>
      <c r="GI545" s="64"/>
    </row>
    <row r="546" spans="1:19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52"/>
      <c r="BF546" s="48"/>
      <c r="BG546" s="48"/>
      <c r="BI546" s="48"/>
      <c r="BN546" s="48"/>
      <c r="BO546" s="48"/>
      <c r="BR546" s="48"/>
      <c r="BS546" s="48"/>
      <c r="BW546" s="48"/>
      <c r="CA546" s="48"/>
      <c r="CE546" s="48"/>
      <c r="CF546" s="48"/>
      <c r="CG546" s="48"/>
      <c r="CH546" s="48"/>
      <c r="CI546" s="48"/>
      <c r="CJ546" s="48"/>
      <c r="CL546" s="48"/>
      <c r="CM546" s="48"/>
      <c r="CN546" s="48"/>
      <c r="CO546" s="48"/>
      <c r="CP546" s="48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  <c r="DD546" s="48"/>
      <c r="DE546" s="48"/>
      <c r="DF546" s="48"/>
      <c r="DG546" s="48"/>
      <c r="DH546" s="48"/>
      <c r="DI546" s="48"/>
      <c r="DJ546" s="48"/>
      <c r="DK546" s="48"/>
      <c r="DL546" s="48"/>
      <c r="DM546" s="48"/>
      <c r="DN546" s="48"/>
      <c r="DO546" s="48"/>
      <c r="DP546" s="48"/>
      <c r="DQ546" s="48"/>
      <c r="DR546" s="48"/>
      <c r="DS546" s="48"/>
      <c r="DT546" s="48"/>
      <c r="DU546" s="48"/>
      <c r="DV546" s="48"/>
      <c r="DW546" s="48"/>
      <c r="DX546" s="48"/>
      <c r="DY546" s="48"/>
      <c r="DZ546" s="48"/>
      <c r="EA546" s="48"/>
      <c r="EC546" s="48"/>
      <c r="ED546" s="48"/>
      <c r="EE546" s="48"/>
      <c r="EF546" s="48"/>
      <c r="EG546" s="48"/>
      <c r="EI546" s="48"/>
      <c r="EK546" s="48"/>
      <c r="EM546" s="48"/>
      <c r="EO546" s="48"/>
      <c r="EP546" s="48"/>
      <c r="EU546" s="48"/>
      <c r="EV546" s="48"/>
      <c r="EW546" s="48"/>
      <c r="EX546" s="48"/>
      <c r="EY546" s="48"/>
      <c r="EZ546" s="48"/>
      <c r="FA546" s="48"/>
      <c r="FB546" s="48"/>
      <c r="FC546" s="48"/>
      <c r="FD546" s="48"/>
      <c r="FE546" s="48"/>
      <c r="FF546" s="48"/>
      <c r="FG546" s="48"/>
      <c r="FI546" s="48"/>
      <c r="FL546" s="48"/>
      <c r="FM546" s="48"/>
      <c r="FN546" s="48"/>
      <c r="FO546" s="48"/>
      <c r="FP546" s="48"/>
      <c r="FQ546" s="48"/>
      <c r="FR546" s="48"/>
      <c r="FS546" s="48"/>
      <c r="FT546" s="48"/>
      <c r="FU546" s="48"/>
      <c r="GI546" s="64"/>
    </row>
    <row r="547" spans="1:19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52"/>
      <c r="BF547" s="48"/>
      <c r="BG547" s="48"/>
      <c r="BI547" s="48"/>
      <c r="BN547" s="48"/>
      <c r="BO547" s="48"/>
      <c r="BR547" s="48"/>
      <c r="BS547" s="48"/>
      <c r="BW547" s="48"/>
      <c r="CA547" s="48"/>
      <c r="CE547" s="48"/>
      <c r="CF547" s="48"/>
      <c r="CG547" s="48"/>
      <c r="CH547" s="48"/>
      <c r="CI547" s="48"/>
      <c r="CJ547" s="48"/>
      <c r="CL547" s="48"/>
      <c r="CM547" s="48"/>
      <c r="CN547" s="48"/>
      <c r="CO547" s="48"/>
      <c r="CP547" s="48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  <c r="DE547" s="48"/>
      <c r="DF547" s="48"/>
      <c r="DG547" s="48"/>
      <c r="DH547" s="48"/>
      <c r="DI547" s="48"/>
      <c r="DJ547" s="48"/>
      <c r="DK547" s="48"/>
      <c r="DL547" s="48"/>
      <c r="DM547" s="48"/>
      <c r="DN547" s="48"/>
      <c r="DO547" s="48"/>
      <c r="DP547" s="48"/>
      <c r="DQ547" s="48"/>
      <c r="DR547" s="48"/>
      <c r="DS547" s="48"/>
      <c r="DT547" s="48"/>
      <c r="DU547" s="48"/>
      <c r="DV547" s="48"/>
      <c r="DW547" s="48"/>
      <c r="DX547" s="48"/>
      <c r="DY547" s="48"/>
      <c r="DZ547" s="48"/>
      <c r="EA547" s="48"/>
      <c r="EC547" s="48"/>
      <c r="ED547" s="48"/>
      <c r="EE547" s="48"/>
      <c r="EF547" s="48"/>
      <c r="EG547" s="48"/>
      <c r="EI547" s="48"/>
      <c r="EK547" s="48"/>
      <c r="EM547" s="48"/>
      <c r="EO547" s="48"/>
      <c r="EP547" s="48"/>
      <c r="EU547" s="48"/>
      <c r="EV547" s="48"/>
      <c r="EW547" s="48"/>
      <c r="EX547" s="48"/>
      <c r="EY547" s="48"/>
      <c r="EZ547" s="48"/>
      <c r="FA547" s="48"/>
      <c r="FB547" s="48"/>
      <c r="FC547" s="48"/>
      <c r="FD547" s="48"/>
      <c r="FE547" s="48"/>
      <c r="FF547" s="48"/>
      <c r="FG547" s="48"/>
      <c r="FI547" s="48"/>
      <c r="FL547" s="48"/>
      <c r="FM547" s="48"/>
      <c r="FN547" s="48"/>
      <c r="FO547" s="48"/>
      <c r="FP547" s="48"/>
      <c r="FQ547" s="48"/>
      <c r="FR547" s="48"/>
      <c r="FS547" s="48"/>
      <c r="FT547" s="48"/>
      <c r="FU547" s="48"/>
      <c r="GI547" s="64"/>
    </row>
    <row r="548" spans="1:19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52"/>
      <c r="BF548" s="48"/>
      <c r="BG548" s="48"/>
      <c r="BI548" s="48"/>
      <c r="BN548" s="48"/>
      <c r="BO548" s="48"/>
      <c r="BR548" s="48"/>
      <c r="BS548" s="48"/>
      <c r="BW548" s="48"/>
      <c r="CA548" s="48"/>
      <c r="CE548" s="48"/>
      <c r="CF548" s="48"/>
      <c r="CG548" s="48"/>
      <c r="CH548" s="48"/>
      <c r="CI548" s="48"/>
      <c r="CJ548" s="48"/>
      <c r="CL548" s="48"/>
      <c r="CM548" s="48"/>
      <c r="CN548" s="48"/>
      <c r="CO548" s="48"/>
      <c r="CP548" s="48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  <c r="DD548" s="48"/>
      <c r="DE548" s="48"/>
      <c r="DF548" s="48"/>
      <c r="DG548" s="48"/>
      <c r="DH548" s="48"/>
      <c r="DI548" s="48"/>
      <c r="DJ548" s="48"/>
      <c r="DK548" s="48"/>
      <c r="DL548" s="48"/>
      <c r="DM548" s="48"/>
      <c r="DN548" s="48"/>
      <c r="DO548" s="48"/>
      <c r="DP548" s="48"/>
      <c r="DQ548" s="48"/>
      <c r="DR548" s="48"/>
      <c r="DS548" s="48"/>
      <c r="DT548" s="48"/>
      <c r="DU548" s="48"/>
      <c r="DV548" s="48"/>
      <c r="DW548" s="48"/>
      <c r="DX548" s="48"/>
      <c r="DY548" s="48"/>
      <c r="DZ548" s="48"/>
      <c r="EA548" s="48"/>
      <c r="EC548" s="48"/>
      <c r="ED548" s="48"/>
      <c r="EE548" s="48"/>
      <c r="EF548" s="48"/>
      <c r="EG548" s="48"/>
      <c r="EI548" s="48"/>
      <c r="EK548" s="48"/>
      <c r="EM548" s="48"/>
      <c r="EO548" s="48"/>
      <c r="EP548" s="48"/>
      <c r="EU548" s="48"/>
      <c r="EV548" s="48"/>
      <c r="EW548" s="48"/>
      <c r="EX548" s="48"/>
      <c r="EY548" s="48"/>
      <c r="EZ548" s="48"/>
      <c r="FA548" s="48"/>
      <c r="FB548" s="48"/>
      <c r="FC548" s="48"/>
      <c r="FD548" s="48"/>
      <c r="FE548" s="48"/>
      <c r="FF548" s="48"/>
      <c r="FG548" s="48"/>
      <c r="FI548" s="48"/>
      <c r="FL548" s="48"/>
      <c r="FM548" s="48"/>
      <c r="FN548" s="48"/>
      <c r="FO548" s="48"/>
      <c r="FP548" s="48"/>
      <c r="FQ548" s="48"/>
      <c r="FR548" s="48"/>
      <c r="FS548" s="48"/>
      <c r="FT548" s="48"/>
      <c r="FU548" s="48"/>
      <c r="GI548" s="64"/>
    </row>
    <row r="549" spans="1:19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52"/>
      <c r="BF549" s="48"/>
      <c r="BG549" s="48"/>
      <c r="BI549" s="48"/>
      <c r="BN549" s="48"/>
      <c r="BO549" s="48"/>
      <c r="BR549" s="48"/>
      <c r="BS549" s="48"/>
      <c r="BW549" s="48"/>
      <c r="CA549" s="48"/>
      <c r="CE549" s="48"/>
      <c r="CF549" s="48"/>
      <c r="CG549" s="48"/>
      <c r="CH549" s="48"/>
      <c r="CI549" s="48"/>
      <c r="CJ549" s="48"/>
      <c r="CL549" s="48"/>
      <c r="CM549" s="48"/>
      <c r="CN549" s="48"/>
      <c r="CO549" s="48"/>
      <c r="CP549" s="48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  <c r="DD549" s="48"/>
      <c r="DE549" s="48"/>
      <c r="DF549" s="48"/>
      <c r="DG549" s="48"/>
      <c r="DH549" s="48"/>
      <c r="DI549" s="48"/>
      <c r="DJ549" s="48"/>
      <c r="DK549" s="48"/>
      <c r="DL549" s="48"/>
      <c r="DM549" s="48"/>
      <c r="DN549" s="48"/>
      <c r="DO549" s="48"/>
      <c r="DP549" s="48"/>
      <c r="DQ549" s="48"/>
      <c r="DR549" s="48"/>
      <c r="DS549" s="48"/>
      <c r="DT549" s="48"/>
      <c r="DU549" s="48"/>
      <c r="DV549" s="48"/>
      <c r="DW549" s="48"/>
      <c r="DX549" s="48"/>
      <c r="DY549" s="48"/>
      <c r="DZ549" s="48"/>
      <c r="EA549" s="48"/>
      <c r="EC549" s="48"/>
      <c r="ED549" s="48"/>
      <c r="EE549" s="48"/>
      <c r="EF549" s="48"/>
      <c r="EG549" s="48"/>
      <c r="EI549" s="48"/>
      <c r="EK549" s="48"/>
      <c r="EM549" s="48"/>
      <c r="EO549" s="48"/>
      <c r="EP549" s="48"/>
      <c r="EU549" s="48"/>
      <c r="EV549" s="48"/>
      <c r="EW549" s="48"/>
      <c r="EX549" s="48"/>
      <c r="EY549" s="48"/>
      <c r="EZ549" s="48"/>
      <c r="FA549" s="48"/>
      <c r="FB549" s="48"/>
      <c r="FC549" s="48"/>
      <c r="FD549" s="48"/>
      <c r="FE549" s="48"/>
      <c r="FF549" s="48"/>
      <c r="FG549" s="48"/>
      <c r="FI549" s="48"/>
      <c r="FL549" s="48"/>
      <c r="FM549" s="48"/>
      <c r="FN549" s="48"/>
      <c r="FO549" s="48"/>
      <c r="FP549" s="48"/>
      <c r="FQ549" s="48"/>
      <c r="FR549" s="48"/>
      <c r="FS549" s="48"/>
      <c r="FT549" s="48"/>
      <c r="FU549" s="48"/>
      <c r="GI549" s="64"/>
    </row>
    <row r="550" spans="1:19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52"/>
      <c r="BF550" s="48"/>
      <c r="BG550" s="48"/>
      <c r="BI550" s="48"/>
      <c r="BN550" s="48"/>
      <c r="BO550" s="48"/>
      <c r="BR550" s="48"/>
      <c r="BS550" s="48"/>
      <c r="BW550" s="48"/>
      <c r="CA550" s="48"/>
      <c r="CE550" s="48"/>
      <c r="CF550" s="48"/>
      <c r="CG550" s="48"/>
      <c r="CH550" s="48"/>
      <c r="CI550" s="48"/>
      <c r="CJ550" s="48"/>
      <c r="CL550" s="48"/>
      <c r="CM550" s="48"/>
      <c r="CN550" s="48"/>
      <c r="CO550" s="48"/>
      <c r="CP550" s="48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  <c r="DE550" s="48"/>
      <c r="DF550" s="48"/>
      <c r="DG550" s="48"/>
      <c r="DH550" s="48"/>
      <c r="DI550" s="48"/>
      <c r="DJ550" s="48"/>
      <c r="DK550" s="48"/>
      <c r="DL550" s="48"/>
      <c r="DM550" s="48"/>
      <c r="DN550" s="48"/>
      <c r="DO550" s="48"/>
      <c r="DP550" s="48"/>
      <c r="DQ550" s="48"/>
      <c r="DR550" s="48"/>
      <c r="DS550" s="48"/>
      <c r="DT550" s="48"/>
      <c r="DU550" s="48"/>
      <c r="DV550" s="48"/>
      <c r="DW550" s="48"/>
      <c r="DX550" s="48"/>
      <c r="DY550" s="48"/>
      <c r="DZ550" s="48"/>
      <c r="EA550" s="48"/>
      <c r="EC550" s="48"/>
      <c r="ED550" s="48"/>
      <c r="EE550" s="48"/>
      <c r="EF550" s="48"/>
      <c r="EG550" s="48"/>
      <c r="EI550" s="48"/>
      <c r="EK550" s="48"/>
      <c r="EM550" s="48"/>
      <c r="EO550" s="48"/>
      <c r="EP550" s="48"/>
      <c r="EU550" s="48"/>
      <c r="EV550" s="48"/>
      <c r="EW550" s="48"/>
      <c r="EX550" s="48"/>
      <c r="EY550" s="48"/>
      <c r="EZ550" s="48"/>
      <c r="FA550" s="48"/>
      <c r="FB550" s="48"/>
      <c r="FC550" s="48"/>
      <c r="FD550" s="48"/>
      <c r="FE550" s="48"/>
      <c r="FF550" s="48"/>
      <c r="FG550" s="48"/>
      <c r="FI550" s="48"/>
      <c r="FL550" s="48"/>
      <c r="FM550" s="48"/>
      <c r="FN550" s="48"/>
      <c r="FO550" s="48"/>
      <c r="FP550" s="48"/>
      <c r="FQ550" s="48"/>
      <c r="FR550" s="48"/>
      <c r="FS550" s="48"/>
      <c r="FT550" s="48"/>
      <c r="FU550" s="48"/>
      <c r="GI550" s="64"/>
    </row>
    <row r="551" spans="1:19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52"/>
      <c r="BF551" s="48"/>
      <c r="BG551" s="48"/>
      <c r="BI551" s="48"/>
      <c r="BN551" s="48"/>
      <c r="BO551" s="48"/>
      <c r="BR551" s="48"/>
      <c r="BS551" s="48"/>
      <c r="BW551" s="48"/>
      <c r="CA551" s="48"/>
      <c r="CE551" s="48"/>
      <c r="CF551" s="48"/>
      <c r="CG551" s="48"/>
      <c r="CH551" s="48"/>
      <c r="CI551" s="48"/>
      <c r="CJ551" s="48"/>
      <c r="CL551" s="48"/>
      <c r="CM551" s="48"/>
      <c r="CN551" s="48"/>
      <c r="CO551" s="48"/>
      <c r="CP551" s="48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  <c r="DD551" s="48"/>
      <c r="DE551" s="48"/>
      <c r="DF551" s="48"/>
      <c r="DG551" s="48"/>
      <c r="DH551" s="48"/>
      <c r="DI551" s="48"/>
      <c r="DJ551" s="48"/>
      <c r="DK551" s="48"/>
      <c r="DL551" s="48"/>
      <c r="DM551" s="48"/>
      <c r="DN551" s="48"/>
      <c r="DO551" s="48"/>
      <c r="DP551" s="48"/>
      <c r="DQ551" s="48"/>
      <c r="DR551" s="48"/>
      <c r="DS551" s="48"/>
      <c r="DT551" s="48"/>
      <c r="DU551" s="48"/>
      <c r="DV551" s="48"/>
      <c r="DW551" s="48"/>
      <c r="DX551" s="48"/>
      <c r="DY551" s="48"/>
      <c r="DZ551" s="48"/>
      <c r="EA551" s="48"/>
      <c r="EC551" s="48"/>
      <c r="ED551" s="48"/>
      <c r="EE551" s="48"/>
      <c r="EF551" s="48"/>
      <c r="EG551" s="48"/>
      <c r="EI551" s="48"/>
      <c r="EK551" s="48"/>
      <c r="EM551" s="48"/>
      <c r="EO551" s="48"/>
      <c r="EP551" s="48"/>
      <c r="EU551" s="48"/>
      <c r="EV551" s="48"/>
      <c r="EW551" s="48"/>
      <c r="EX551" s="48"/>
      <c r="EY551" s="48"/>
      <c r="EZ551" s="48"/>
      <c r="FA551" s="48"/>
      <c r="FB551" s="48"/>
      <c r="FC551" s="48"/>
      <c r="FD551" s="48"/>
      <c r="FE551" s="48"/>
      <c r="FF551" s="48"/>
      <c r="FG551" s="48"/>
      <c r="FI551" s="48"/>
      <c r="FL551" s="48"/>
      <c r="FM551" s="48"/>
      <c r="FN551" s="48"/>
      <c r="FO551" s="48"/>
      <c r="FP551" s="48"/>
      <c r="FQ551" s="48"/>
      <c r="FR551" s="48"/>
      <c r="FS551" s="48"/>
      <c r="FT551" s="48"/>
      <c r="FU551" s="48"/>
      <c r="GI551" s="64"/>
    </row>
    <row r="552" spans="1:19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52"/>
      <c r="BF552" s="48"/>
      <c r="BG552" s="48"/>
      <c r="BI552" s="48"/>
      <c r="BN552" s="48"/>
      <c r="BO552" s="48"/>
      <c r="BR552" s="48"/>
      <c r="BS552" s="48"/>
      <c r="BW552" s="48"/>
      <c r="CA552" s="48"/>
      <c r="CE552" s="48"/>
      <c r="CF552" s="48"/>
      <c r="CG552" s="48"/>
      <c r="CH552" s="48"/>
      <c r="CI552" s="48"/>
      <c r="CJ552" s="48"/>
      <c r="CL552" s="48"/>
      <c r="CM552" s="48"/>
      <c r="CN552" s="48"/>
      <c r="CO552" s="48"/>
      <c r="CP552" s="48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  <c r="DD552" s="48"/>
      <c r="DE552" s="48"/>
      <c r="DF552" s="48"/>
      <c r="DG552" s="48"/>
      <c r="DH552" s="48"/>
      <c r="DI552" s="48"/>
      <c r="DJ552" s="48"/>
      <c r="DK552" s="48"/>
      <c r="DL552" s="48"/>
      <c r="DM552" s="48"/>
      <c r="DN552" s="48"/>
      <c r="DO552" s="48"/>
      <c r="DP552" s="48"/>
      <c r="DQ552" s="48"/>
      <c r="DR552" s="48"/>
      <c r="DS552" s="48"/>
      <c r="DT552" s="48"/>
      <c r="DU552" s="48"/>
      <c r="DV552" s="48"/>
      <c r="DW552" s="48"/>
      <c r="DX552" s="48"/>
      <c r="DY552" s="48"/>
      <c r="DZ552" s="48"/>
      <c r="EA552" s="48"/>
      <c r="EC552" s="48"/>
      <c r="ED552" s="48"/>
      <c r="EE552" s="48"/>
      <c r="EF552" s="48"/>
      <c r="EG552" s="48"/>
      <c r="EI552" s="48"/>
      <c r="EK552" s="48"/>
      <c r="EM552" s="48"/>
      <c r="EO552" s="48"/>
      <c r="EP552" s="48"/>
      <c r="EU552" s="48"/>
      <c r="EV552" s="48"/>
      <c r="EW552" s="48"/>
      <c r="EX552" s="48"/>
      <c r="EY552" s="48"/>
      <c r="EZ552" s="48"/>
      <c r="FA552" s="48"/>
      <c r="FB552" s="48"/>
      <c r="FC552" s="48"/>
      <c r="FD552" s="48"/>
      <c r="FE552" s="48"/>
      <c r="FF552" s="48"/>
      <c r="FG552" s="48"/>
      <c r="FI552" s="48"/>
      <c r="FL552" s="48"/>
      <c r="FM552" s="48"/>
      <c r="FN552" s="48"/>
      <c r="FO552" s="48"/>
      <c r="FP552" s="48"/>
      <c r="FQ552" s="48"/>
      <c r="FR552" s="48"/>
      <c r="FS552" s="48"/>
      <c r="FT552" s="48"/>
      <c r="FU552" s="48"/>
      <c r="GI552" s="64"/>
    </row>
    <row r="553" spans="1:19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52"/>
      <c r="BF553" s="48"/>
      <c r="BG553" s="48"/>
      <c r="BI553" s="48"/>
      <c r="BN553" s="48"/>
      <c r="BO553" s="48"/>
      <c r="BR553" s="48"/>
      <c r="BS553" s="48"/>
      <c r="BW553" s="48"/>
      <c r="CA553" s="48"/>
      <c r="CE553" s="48"/>
      <c r="CF553" s="48"/>
      <c r="CG553" s="48"/>
      <c r="CH553" s="48"/>
      <c r="CI553" s="48"/>
      <c r="CJ553" s="48"/>
      <c r="CL553" s="48"/>
      <c r="CM553" s="48"/>
      <c r="CN553" s="48"/>
      <c r="CO553" s="48"/>
      <c r="CP553" s="48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  <c r="DE553" s="48"/>
      <c r="DF553" s="48"/>
      <c r="DG553" s="48"/>
      <c r="DH553" s="48"/>
      <c r="DI553" s="48"/>
      <c r="DJ553" s="48"/>
      <c r="DK553" s="48"/>
      <c r="DL553" s="48"/>
      <c r="DM553" s="48"/>
      <c r="DN553" s="48"/>
      <c r="DO553" s="48"/>
      <c r="DP553" s="48"/>
      <c r="DQ553" s="48"/>
      <c r="DR553" s="48"/>
      <c r="DS553" s="48"/>
      <c r="DT553" s="48"/>
      <c r="DU553" s="48"/>
      <c r="DV553" s="48"/>
      <c r="DW553" s="48"/>
      <c r="DX553" s="48"/>
      <c r="DY553" s="48"/>
      <c r="DZ553" s="48"/>
      <c r="EA553" s="48"/>
      <c r="EC553" s="48"/>
      <c r="ED553" s="48"/>
      <c r="EE553" s="48"/>
      <c r="EF553" s="48"/>
      <c r="EG553" s="48"/>
      <c r="EI553" s="48"/>
      <c r="EK553" s="48"/>
      <c r="EM553" s="48"/>
      <c r="EO553" s="48"/>
      <c r="EP553" s="48"/>
      <c r="EU553" s="48"/>
      <c r="EV553" s="48"/>
      <c r="EW553" s="48"/>
      <c r="EX553" s="48"/>
      <c r="EY553" s="48"/>
      <c r="EZ553" s="48"/>
      <c r="FA553" s="48"/>
      <c r="FB553" s="48"/>
      <c r="FC553" s="48"/>
      <c r="FD553" s="48"/>
      <c r="FE553" s="48"/>
      <c r="FF553" s="48"/>
      <c r="FG553" s="48"/>
      <c r="FI553" s="48"/>
      <c r="FL553" s="48"/>
      <c r="FM553" s="48"/>
      <c r="FN553" s="48"/>
      <c r="FO553" s="48"/>
      <c r="FP553" s="48"/>
      <c r="FQ553" s="48"/>
      <c r="FR553" s="48"/>
      <c r="FS553" s="48"/>
      <c r="FT553" s="48"/>
      <c r="FU553" s="48"/>
      <c r="GI553" s="64"/>
    </row>
    <row r="554" spans="1:19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52"/>
      <c r="BF554" s="48"/>
      <c r="BG554" s="48"/>
      <c r="BI554" s="48"/>
      <c r="BN554" s="48"/>
      <c r="BO554" s="48"/>
      <c r="BR554" s="48"/>
      <c r="BS554" s="48"/>
      <c r="BW554" s="48"/>
      <c r="CA554" s="48"/>
      <c r="CE554" s="48"/>
      <c r="CF554" s="48"/>
      <c r="CG554" s="48"/>
      <c r="CH554" s="48"/>
      <c r="CI554" s="48"/>
      <c r="CJ554" s="48"/>
      <c r="CL554" s="48"/>
      <c r="CM554" s="48"/>
      <c r="CN554" s="48"/>
      <c r="CO554" s="48"/>
      <c r="CP554" s="48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  <c r="DD554" s="48"/>
      <c r="DE554" s="48"/>
      <c r="DF554" s="48"/>
      <c r="DG554" s="48"/>
      <c r="DH554" s="48"/>
      <c r="DI554" s="48"/>
      <c r="DJ554" s="48"/>
      <c r="DK554" s="48"/>
      <c r="DL554" s="48"/>
      <c r="DM554" s="48"/>
      <c r="DN554" s="48"/>
      <c r="DO554" s="48"/>
      <c r="DP554" s="48"/>
      <c r="DQ554" s="48"/>
      <c r="DR554" s="48"/>
      <c r="DS554" s="48"/>
      <c r="DT554" s="48"/>
      <c r="DU554" s="48"/>
      <c r="DV554" s="48"/>
      <c r="DW554" s="48"/>
      <c r="DX554" s="48"/>
      <c r="DY554" s="48"/>
      <c r="DZ554" s="48"/>
      <c r="EA554" s="48"/>
      <c r="EC554" s="48"/>
      <c r="ED554" s="48"/>
      <c r="EE554" s="48"/>
      <c r="EF554" s="48"/>
      <c r="EG554" s="48"/>
      <c r="EI554" s="48"/>
      <c r="EK554" s="48"/>
      <c r="EM554" s="48"/>
      <c r="EO554" s="48"/>
      <c r="EP554" s="48"/>
      <c r="EU554" s="48"/>
      <c r="EV554" s="48"/>
      <c r="EW554" s="48"/>
      <c r="EX554" s="48"/>
      <c r="EY554" s="48"/>
      <c r="EZ554" s="48"/>
      <c r="FA554" s="48"/>
      <c r="FB554" s="48"/>
      <c r="FC554" s="48"/>
      <c r="FD554" s="48"/>
      <c r="FE554" s="48"/>
      <c r="FF554" s="48"/>
      <c r="FG554" s="48"/>
      <c r="FI554" s="48"/>
      <c r="FL554" s="48"/>
      <c r="FM554" s="48"/>
      <c r="FN554" s="48"/>
      <c r="FO554" s="48"/>
      <c r="FP554" s="48"/>
      <c r="FQ554" s="48"/>
      <c r="FR554" s="48"/>
      <c r="FS554" s="48"/>
      <c r="FT554" s="48"/>
      <c r="FU554" s="48"/>
      <c r="GI554" s="64"/>
    </row>
    <row r="555" spans="1:19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52"/>
      <c r="BF555" s="48"/>
      <c r="BG555" s="48"/>
      <c r="BI555" s="48"/>
      <c r="BN555" s="48"/>
      <c r="BO555" s="48"/>
      <c r="BR555" s="48"/>
      <c r="BS555" s="48"/>
      <c r="BW555" s="48"/>
      <c r="CA555" s="48"/>
      <c r="CE555" s="48"/>
      <c r="CF555" s="48"/>
      <c r="CG555" s="48"/>
      <c r="CH555" s="48"/>
      <c r="CI555" s="48"/>
      <c r="CJ555" s="48"/>
      <c r="CL555" s="48"/>
      <c r="CM555" s="48"/>
      <c r="CN555" s="48"/>
      <c r="CO555" s="48"/>
      <c r="CP555" s="48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  <c r="DD555" s="48"/>
      <c r="DE555" s="48"/>
      <c r="DF555" s="48"/>
      <c r="DG555" s="48"/>
      <c r="DH555" s="48"/>
      <c r="DI555" s="48"/>
      <c r="DJ555" s="48"/>
      <c r="DK555" s="48"/>
      <c r="DL555" s="48"/>
      <c r="DM555" s="48"/>
      <c r="DN555" s="48"/>
      <c r="DO555" s="48"/>
      <c r="DP555" s="48"/>
      <c r="DQ555" s="48"/>
      <c r="DR555" s="48"/>
      <c r="DS555" s="48"/>
      <c r="DT555" s="48"/>
      <c r="DU555" s="48"/>
      <c r="DV555" s="48"/>
      <c r="DW555" s="48"/>
      <c r="DX555" s="48"/>
      <c r="DY555" s="48"/>
      <c r="DZ555" s="48"/>
      <c r="EA555" s="48"/>
      <c r="EC555" s="48"/>
      <c r="ED555" s="48"/>
      <c r="EE555" s="48"/>
      <c r="EF555" s="48"/>
      <c r="EG555" s="48"/>
      <c r="EI555" s="48"/>
      <c r="EK555" s="48"/>
      <c r="EM555" s="48"/>
      <c r="EO555" s="48"/>
      <c r="EP555" s="48"/>
      <c r="EU555" s="48"/>
      <c r="EV555" s="48"/>
      <c r="EW555" s="48"/>
      <c r="EX555" s="48"/>
      <c r="EY555" s="48"/>
      <c r="EZ555" s="48"/>
      <c r="FA555" s="48"/>
      <c r="FB555" s="48"/>
      <c r="FC555" s="48"/>
      <c r="FD555" s="48"/>
      <c r="FE555" s="48"/>
      <c r="FF555" s="48"/>
      <c r="FG555" s="48"/>
      <c r="FI555" s="48"/>
      <c r="FL555" s="48"/>
      <c r="FM555" s="48"/>
      <c r="FN555" s="48"/>
      <c r="FO555" s="48"/>
      <c r="FP555" s="48"/>
      <c r="FQ555" s="48"/>
      <c r="FR555" s="48"/>
      <c r="FS555" s="48"/>
      <c r="FT555" s="48"/>
      <c r="FU555" s="48"/>
      <c r="GI555" s="64"/>
    </row>
    <row r="556" spans="1:19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52"/>
      <c r="BF556" s="48"/>
      <c r="BG556" s="48"/>
      <c r="BI556" s="48"/>
      <c r="BN556" s="48"/>
      <c r="BO556" s="48"/>
      <c r="BR556" s="48"/>
      <c r="BS556" s="48"/>
      <c r="BW556" s="48"/>
      <c r="CA556" s="48"/>
      <c r="CE556" s="48"/>
      <c r="CF556" s="48"/>
      <c r="CG556" s="48"/>
      <c r="CH556" s="48"/>
      <c r="CI556" s="48"/>
      <c r="CJ556" s="48"/>
      <c r="CL556" s="48"/>
      <c r="CM556" s="48"/>
      <c r="CN556" s="48"/>
      <c r="CO556" s="48"/>
      <c r="CP556" s="48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8"/>
      <c r="DN556" s="48"/>
      <c r="DO556" s="48"/>
      <c r="DP556" s="48"/>
      <c r="DQ556" s="48"/>
      <c r="DR556" s="48"/>
      <c r="DS556" s="48"/>
      <c r="DT556" s="48"/>
      <c r="DU556" s="48"/>
      <c r="DV556" s="48"/>
      <c r="DW556" s="48"/>
      <c r="DX556" s="48"/>
      <c r="DY556" s="48"/>
      <c r="DZ556" s="48"/>
      <c r="EA556" s="48"/>
      <c r="EC556" s="48"/>
      <c r="ED556" s="48"/>
      <c r="EE556" s="48"/>
      <c r="EF556" s="48"/>
      <c r="EG556" s="48"/>
      <c r="EI556" s="48"/>
      <c r="EK556" s="48"/>
      <c r="EM556" s="48"/>
      <c r="EO556" s="48"/>
      <c r="EP556" s="48"/>
      <c r="EU556" s="48"/>
      <c r="EV556" s="48"/>
      <c r="EW556" s="48"/>
      <c r="EX556" s="48"/>
      <c r="EY556" s="48"/>
      <c r="EZ556" s="48"/>
      <c r="FA556" s="48"/>
      <c r="FB556" s="48"/>
      <c r="FC556" s="48"/>
      <c r="FD556" s="48"/>
      <c r="FE556" s="48"/>
      <c r="FF556" s="48"/>
      <c r="FG556" s="48"/>
      <c r="FI556" s="48"/>
      <c r="FL556" s="48"/>
      <c r="FM556" s="48"/>
      <c r="FN556" s="48"/>
      <c r="FO556" s="48"/>
      <c r="FP556" s="48"/>
      <c r="FQ556" s="48"/>
      <c r="FR556" s="48"/>
      <c r="FS556" s="48"/>
      <c r="FT556" s="48"/>
      <c r="FU556" s="48"/>
      <c r="GI556" s="64"/>
    </row>
    <row r="557" spans="1:19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52"/>
      <c r="BF557" s="48"/>
      <c r="BG557" s="48"/>
      <c r="BI557" s="48"/>
      <c r="BN557" s="48"/>
      <c r="BO557" s="48"/>
      <c r="BR557" s="48"/>
      <c r="BS557" s="48"/>
      <c r="BW557" s="48"/>
      <c r="CA557" s="48"/>
      <c r="CE557" s="48"/>
      <c r="CF557" s="48"/>
      <c r="CG557" s="48"/>
      <c r="CH557" s="48"/>
      <c r="CI557" s="48"/>
      <c r="CJ557" s="48"/>
      <c r="CL557" s="48"/>
      <c r="CM557" s="48"/>
      <c r="CN557" s="48"/>
      <c r="CO557" s="48"/>
      <c r="CP557" s="48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  <c r="DE557" s="48"/>
      <c r="DF557" s="48"/>
      <c r="DG557" s="48"/>
      <c r="DH557" s="48"/>
      <c r="DI557" s="48"/>
      <c r="DJ557" s="48"/>
      <c r="DK557" s="48"/>
      <c r="DL557" s="48"/>
      <c r="DM557" s="48"/>
      <c r="DN557" s="48"/>
      <c r="DO557" s="48"/>
      <c r="DP557" s="48"/>
      <c r="DQ557" s="48"/>
      <c r="DR557" s="48"/>
      <c r="DS557" s="48"/>
      <c r="DT557" s="48"/>
      <c r="DU557" s="48"/>
      <c r="DV557" s="48"/>
      <c r="DW557" s="48"/>
      <c r="DX557" s="48"/>
      <c r="DY557" s="48"/>
      <c r="DZ557" s="48"/>
      <c r="EA557" s="48"/>
      <c r="EC557" s="48"/>
      <c r="ED557" s="48"/>
      <c r="EE557" s="48"/>
      <c r="EF557" s="48"/>
      <c r="EG557" s="48"/>
      <c r="EI557" s="48"/>
      <c r="EK557" s="48"/>
      <c r="EM557" s="48"/>
      <c r="EO557" s="48"/>
      <c r="EP557" s="48"/>
      <c r="EU557" s="48"/>
      <c r="EV557" s="48"/>
      <c r="EW557" s="48"/>
      <c r="EX557" s="48"/>
      <c r="EY557" s="48"/>
      <c r="EZ557" s="48"/>
      <c r="FA557" s="48"/>
      <c r="FB557" s="48"/>
      <c r="FC557" s="48"/>
      <c r="FD557" s="48"/>
      <c r="FE557" s="48"/>
      <c r="FF557" s="48"/>
      <c r="FG557" s="48"/>
      <c r="FI557" s="48"/>
      <c r="FL557" s="48"/>
      <c r="FM557" s="48"/>
      <c r="FN557" s="48"/>
      <c r="FO557" s="48"/>
      <c r="FP557" s="48"/>
      <c r="FQ557" s="48"/>
      <c r="FR557" s="48"/>
      <c r="FS557" s="48"/>
      <c r="FT557" s="48"/>
      <c r="FU557" s="48"/>
      <c r="GI557" s="64"/>
    </row>
    <row r="558" spans="1:19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52"/>
      <c r="BF558" s="48"/>
      <c r="BG558" s="48"/>
      <c r="BI558" s="48"/>
      <c r="BN558" s="48"/>
      <c r="BO558" s="48"/>
      <c r="BR558" s="48"/>
      <c r="BS558" s="48"/>
      <c r="BW558" s="48"/>
      <c r="CA558" s="48"/>
      <c r="CE558" s="48"/>
      <c r="CF558" s="48"/>
      <c r="CG558" s="48"/>
      <c r="CH558" s="48"/>
      <c r="CI558" s="48"/>
      <c r="CJ558" s="48"/>
      <c r="CL558" s="48"/>
      <c r="CM558" s="48"/>
      <c r="CN558" s="48"/>
      <c r="CO558" s="48"/>
      <c r="CP558" s="48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  <c r="DE558" s="48"/>
      <c r="DF558" s="48"/>
      <c r="DG558" s="48"/>
      <c r="DH558" s="48"/>
      <c r="DI558" s="48"/>
      <c r="DJ558" s="48"/>
      <c r="DK558" s="48"/>
      <c r="DL558" s="48"/>
      <c r="DM558" s="48"/>
      <c r="DN558" s="48"/>
      <c r="DO558" s="48"/>
      <c r="DP558" s="48"/>
      <c r="DQ558" s="48"/>
      <c r="DR558" s="48"/>
      <c r="DS558" s="48"/>
      <c r="DT558" s="48"/>
      <c r="DU558" s="48"/>
      <c r="DV558" s="48"/>
      <c r="DW558" s="48"/>
      <c r="DX558" s="48"/>
      <c r="DY558" s="48"/>
      <c r="DZ558" s="48"/>
      <c r="EA558" s="48"/>
      <c r="EC558" s="48"/>
      <c r="ED558" s="48"/>
      <c r="EE558" s="48"/>
      <c r="EF558" s="48"/>
      <c r="EG558" s="48"/>
      <c r="EI558" s="48"/>
      <c r="EK558" s="48"/>
      <c r="EM558" s="48"/>
      <c r="EO558" s="48"/>
      <c r="EP558" s="48"/>
      <c r="EU558" s="48"/>
      <c r="EV558" s="48"/>
      <c r="EW558" s="48"/>
      <c r="EX558" s="48"/>
      <c r="EY558" s="48"/>
      <c r="EZ558" s="48"/>
      <c r="FA558" s="48"/>
      <c r="FB558" s="48"/>
      <c r="FC558" s="48"/>
      <c r="FD558" s="48"/>
      <c r="FE558" s="48"/>
      <c r="FF558" s="48"/>
      <c r="FG558" s="48"/>
      <c r="FI558" s="48"/>
      <c r="FL558" s="48"/>
      <c r="FM558" s="48"/>
      <c r="FN558" s="48"/>
      <c r="FO558" s="48"/>
      <c r="FP558" s="48"/>
      <c r="FQ558" s="48"/>
      <c r="FR558" s="48"/>
      <c r="FS558" s="48"/>
      <c r="FT558" s="48"/>
      <c r="FU558" s="48"/>
      <c r="GI558" s="64"/>
    </row>
    <row r="559" spans="1:19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52"/>
      <c r="BF559" s="48"/>
      <c r="BG559" s="48"/>
      <c r="BI559" s="48"/>
      <c r="BN559" s="48"/>
      <c r="BO559" s="48"/>
      <c r="BR559" s="48"/>
      <c r="BS559" s="48"/>
      <c r="BW559" s="48"/>
      <c r="CA559" s="48"/>
      <c r="CE559" s="48"/>
      <c r="CF559" s="48"/>
      <c r="CG559" s="48"/>
      <c r="CH559" s="48"/>
      <c r="CI559" s="48"/>
      <c r="CJ559" s="48"/>
      <c r="CL559" s="48"/>
      <c r="CM559" s="48"/>
      <c r="CN559" s="48"/>
      <c r="CO559" s="48"/>
      <c r="CP559" s="48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8"/>
      <c r="DN559" s="48"/>
      <c r="DO559" s="48"/>
      <c r="DP559" s="48"/>
      <c r="DQ559" s="48"/>
      <c r="DR559" s="48"/>
      <c r="DS559" s="48"/>
      <c r="DT559" s="48"/>
      <c r="DU559" s="48"/>
      <c r="DV559" s="48"/>
      <c r="DW559" s="48"/>
      <c r="DX559" s="48"/>
      <c r="DY559" s="48"/>
      <c r="DZ559" s="48"/>
      <c r="EA559" s="48"/>
      <c r="EC559" s="48"/>
      <c r="ED559" s="48"/>
      <c r="EE559" s="48"/>
      <c r="EF559" s="48"/>
      <c r="EG559" s="48"/>
      <c r="EI559" s="48"/>
      <c r="EK559" s="48"/>
      <c r="EM559" s="48"/>
      <c r="EO559" s="48"/>
      <c r="EP559" s="48"/>
      <c r="EU559" s="48"/>
      <c r="EV559" s="48"/>
      <c r="EW559" s="48"/>
      <c r="EX559" s="48"/>
      <c r="EY559" s="48"/>
      <c r="EZ559" s="48"/>
      <c r="FA559" s="48"/>
      <c r="FB559" s="48"/>
      <c r="FC559" s="48"/>
      <c r="FD559" s="48"/>
      <c r="FE559" s="48"/>
      <c r="FF559" s="48"/>
      <c r="FG559" s="48"/>
      <c r="FI559" s="48"/>
      <c r="FL559" s="48"/>
      <c r="FM559" s="48"/>
      <c r="FN559" s="48"/>
      <c r="FO559" s="48"/>
      <c r="FP559" s="48"/>
      <c r="FQ559" s="48"/>
      <c r="FR559" s="48"/>
      <c r="FS559" s="48"/>
      <c r="FT559" s="48"/>
      <c r="FU559" s="48"/>
      <c r="GI559" s="64"/>
    </row>
    <row r="560" spans="1:19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52"/>
      <c r="BF560" s="48"/>
      <c r="BG560" s="48"/>
      <c r="BI560" s="48"/>
      <c r="BN560" s="48"/>
      <c r="BO560" s="48"/>
      <c r="BR560" s="48"/>
      <c r="BS560" s="48"/>
      <c r="BW560" s="48"/>
      <c r="CA560" s="48"/>
      <c r="CE560" s="48"/>
      <c r="CF560" s="48"/>
      <c r="CG560" s="48"/>
      <c r="CH560" s="48"/>
      <c r="CI560" s="48"/>
      <c r="CJ560" s="48"/>
      <c r="CL560" s="48"/>
      <c r="CM560" s="48"/>
      <c r="CN560" s="48"/>
      <c r="CO560" s="48"/>
      <c r="CP560" s="48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48"/>
      <c r="DI560" s="48"/>
      <c r="DJ560" s="48"/>
      <c r="DK560" s="48"/>
      <c r="DL560" s="48"/>
      <c r="DM560" s="48"/>
      <c r="DN560" s="48"/>
      <c r="DO560" s="48"/>
      <c r="DP560" s="48"/>
      <c r="DQ560" s="48"/>
      <c r="DR560" s="48"/>
      <c r="DS560" s="48"/>
      <c r="DT560" s="48"/>
      <c r="DU560" s="48"/>
      <c r="DV560" s="48"/>
      <c r="DW560" s="48"/>
      <c r="DX560" s="48"/>
      <c r="DY560" s="48"/>
      <c r="DZ560" s="48"/>
      <c r="EA560" s="48"/>
      <c r="EC560" s="48"/>
      <c r="ED560" s="48"/>
      <c r="EE560" s="48"/>
      <c r="EF560" s="48"/>
      <c r="EG560" s="48"/>
      <c r="EI560" s="48"/>
      <c r="EK560" s="48"/>
      <c r="EM560" s="48"/>
      <c r="EO560" s="48"/>
      <c r="EP560" s="48"/>
      <c r="EU560" s="48"/>
      <c r="EV560" s="48"/>
      <c r="EW560" s="48"/>
      <c r="EX560" s="48"/>
      <c r="EY560" s="48"/>
      <c r="EZ560" s="48"/>
      <c r="FA560" s="48"/>
      <c r="FB560" s="48"/>
      <c r="FC560" s="48"/>
      <c r="FD560" s="48"/>
      <c r="FE560" s="48"/>
      <c r="FF560" s="48"/>
      <c r="FG560" s="48"/>
      <c r="FI560" s="48"/>
      <c r="FL560" s="48"/>
      <c r="FM560" s="48"/>
      <c r="FN560" s="48"/>
      <c r="FO560" s="48"/>
      <c r="FP560" s="48"/>
      <c r="FQ560" s="48"/>
      <c r="FR560" s="48"/>
      <c r="FS560" s="48"/>
      <c r="FT560" s="48"/>
      <c r="FU560" s="48"/>
      <c r="GI560" s="64"/>
    </row>
    <row r="561" spans="1:19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52"/>
      <c r="BF561" s="48"/>
      <c r="BG561" s="48"/>
      <c r="BI561" s="48"/>
      <c r="BN561" s="48"/>
      <c r="BO561" s="48"/>
      <c r="BR561" s="48"/>
      <c r="BS561" s="48"/>
      <c r="BW561" s="48"/>
      <c r="CA561" s="48"/>
      <c r="CE561" s="48"/>
      <c r="CF561" s="48"/>
      <c r="CG561" s="48"/>
      <c r="CH561" s="48"/>
      <c r="CI561" s="48"/>
      <c r="CJ561" s="48"/>
      <c r="CL561" s="48"/>
      <c r="CM561" s="48"/>
      <c r="CN561" s="48"/>
      <c r="CO561" s="48"/>
      <c r="CP561" s="48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  <c r="DD561" s="48"/>
      <c r="DE561" s="48"/>
      <c r="DF561" s="48"/>
      <c r="DG561" s="48"/>
      <c r="DH561" s="48"/>
      <c r="DI561" s="48"/>
      <c r="DJ561" s="48"/>
      <c r="DK561" s="48"/>
      <c r="DL561" s="48"/>
      <c r="DM561" s="48"/>
      <c r="DN561" s="48"/>
      <c r="DO561" s="48"/>
      <c r="DP561" s="48"/>
      <c r="DQ561" s="48"/>
      <c r="DR561" s="48"/>
      <c r="DS561" s="48"/>
      <c r="DT561" s="48"/>
      <c r="DU561" s="48"/>
      <c r="DV561" s="48"/>
      <c r="DW561" s="48"/>
      <c r="DX561" s="48"/>
      <c r="DY561" s="48"/>
      <c r="DZ561" s="48"/>
      <c r="EA561" s="48"/>
      <c r="EC561" s="48"/>
      <c r="ED561" s="48"/>
      <c r="EE561" s="48"/>
      <c r="EF561" s="48"/>
      <c r="EG561" s="48"/>
      <c r="EI561" s="48"/>
      <c r="EK561" s="48"/>
      <c r="EM561" s="48"/>
      <c r="EO561" s="48"/>
      <c r="EP561" s="48"/>
      <c r="EU561" s="48"/>
      <c r="EV561" s="48"/>
      <c r="EW561" s="48"/>
      <c r="EX561" s="48"/>
      <c r="EY561" s="48"/>
      <c r="EZ561" s="48"/>
      <c r="FA561" s="48"/>
      <c r="FB561" s="48"/>
      <c r="FC561" s="48"/>
      <c r="FD561" s="48"/>
      <c r="FE561" s="48"/>
      <c r="FF561" s="48"/>
      <c r="FG561" s="48"/>
      <c r="FI561" s="48"/>
      <c r="FL561" s="48"/>
      <c r="FM561" s="48"/>
      <c r="FN561" s="48"/>
      <c r="FO561" s="48"/>
      <c r="FP561" s="48"/>
      <c r="FQ561" s="48"/>
      <c r="FR561" s="48"/>
      <c r="FS561" s="48"/>
      <c r="FT561" s="48"/>
      <c r="FU561" s="48"/>
      <c r="GI561" s="64"/>
    </row>
    <row r="562" spans="1:19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52"/>
      <c r="BF562" s="48"/>
      <c r="BG562" s="48"/>
      <c r="BI562" s="48"/>
      <c r="BN562" s="48"/>
      <c r="BO562" s="48"/>
      <c r="BR562" s="48"/>
      <c r="BS562" s="48"/>
      <c r="BW562" s="48"/>
      <c r="CA562" s="48"/>
      <c r="CE562" s="48"/>
      <c r="CF562" s="48"/>
      <c r="CG562" s="48"/>
      <c r="CH562" s="48"/>
      <c r="CI562" s="48"/>
      <c r="CJ562" s="48"/>
      <c r="CL562" s="48"/>
      <c r="CM562" s="48"/>
      <c r="CN562" s="48"/>
      <c r="CO562" s="48"/>
      <c r="CP562" s="48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  <c r="DE562" s="48"/>
      <c r="DF562" s="48"/>
      <c r="DG562" s="48"/>
      <c r="DH562" s="48"/>
      <c r="DI562" s="48"/>
      <c r="DJ562" s="48"/>
      <c r="DK562" s="48"/>
      <c r="DL562" s="48"/>
      <c r="DM562" s="48"/>
      <c r="DN562" s="48"/>
      <c r="DO562" s="48"/>
      <c r="DP562" s="48"/>
      <c r="DQ562" s="48"/>
      <c r="DR562" s="48"/>
      <c r="DS562" s="48"/>
      <c r="DT562" s="48"/>
      <c r="DU562" s="48"/>
      <c r="DV562" s="48"/>
      <c r="DW562" s="48"/>
      <c r="DX562" s="48"/>
      <c r="DY562" s="48"/>
      <c r="DZ562" s="48"/>
      <c r="EA562" s="48"/>
      <c r="EC562" s="48"/>
      <c r="ED562" s="48"/>
      <c r="EE562" s="48"/>
      <c r="EF562" s="48"/>
      <c r="EG562" s="48"/>
      <c r="EI562" s="48"/>
      <c r="EK562" s="48"/>
      <c r="EM562" s="48"/>
      <c r="EO562" s="48"/>
      <c r="EP562" s="48"/>
      <c r="EU562" s="48"/>
      <c r="EV562" s="48"/>
      <c r="EW562" s="48"/>
      <c r="EX562" s="48"/>
      <c r="EY562" s="48"/>
      <c r="EZ562" s="48"/>
      <c r="FA562" s="48"/>
      <c r="FB562" s="48"/>
      <c r="FC562" s="48"/>
      <c r="FD562" s="48"/>
      <c r="FE562" s="48"/>
      <c r="FF562" s="48"/>
      <c r="FG562" s="48"/>
      <c r="FI562" s="48"/>
      <c r="FL562" s="48"/>
      <c r="FM562" s="48"/>
      <c r="FN562" s="48"/>
      <c r="FO562" s="48"/>
      <c r="FP562" s="48"/>
      <c r="FQ562" s="48"/>
      <c r="FR562" s="48"/>
      <c r="FS562" s="48"/>
      <c r="FT562" s="48"/>
      <c r="FU562" s="48"/>
      <c r="GI562" s="64"/>
    </row>
    <row r="563" spans="1:19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52"/>
      <c r="BF563" s="48"/>
      <c r="BG563" s="48"/>
      <c r="BI563" s="48"/>
      <c r="BN563" s="48"/>
      <c r="BO563" s="48"/>
      <c r="BR563" s="48"/>
      <c r="BS563" s="48"/>
      <c r="BW563" s="48"/>
      <c r="CA563" s="48"/>
      <c r="CE563" s="48"/>
      <c r="CF563" s="48"/>
      <c r="CG563" s="48"/>
      <c r="CH563" s="48"/>
      <c r="CI563" s="48"/>
      <c r="CJ563" s="48"/>
      <c r="CL563" s="48"/>
      <c r="CM563" s="48"/>
      <c r="CN563" s="48"/>
      <c r="CO563" s="48"/>
      <c r="CP563" s="48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  <c r="DE563" s="48"/>
      <c r="DF563" s="48"/>
      <c r="DG563" s="48"/>
      <c r="DH563" s="48"/>
      <c r="DI563" s="48"/>
      <c r="DJ563" s="48"/>
      <c r="DK563" s="48"/>
      <c r="DL563" s="48"/>
      <c r="DM563" s="48"/>
      <c r="DN563" s="48"/>
      <c r="DO563" s="48"/>
      <c r="DP563" s="48"/>
      <c r="DQ563" s="48"/>
      <c r="DR563" s="48"/>
      <c r="DS563" s="48"/>
      <c r="DT563" s="48"/>
      <c r="DU563" s="48"/>
      <c r="DV563" s="48"/>
      <c r="DW563" s="48"/>
      <c r="DX563" s="48"/>
      <c r="DY563" s="48"/>
      <c r="DZ563" s="48"/>
      <c r="EA563" s="48"/>
      <c r="EC563" s="48"/>
      <c r="ED563" s="48"/>
      <c r="EE563" s="48"/>
      <c r="EF563" s="48"/>
      <c r="EG563" s="48"/>
      <c r="EI563" s="48"/>
      <c r="EK563" s="48"/>
      <c r="EM563" s="48"/>
      <c r="EO563" s="48"/>
      <c r="EP563" s="48"/>
      <c r="EU563" s="48"/>
      <c r="EV563" s="48"/>
      <c r="EW563" s="48"/>
      <c r="EX563" s="48"/>
      <c r="EY563" s="48"/>
      <c r="EZ563" s="48"/>
      <c r="FA563" s="48"/>
      <c r="FB563" s="48"/>
      <c r="FC563" s="48"/>
      <c r="FD563" s="48"/>
      <c r="FE563" s="48"/>
      <c r="FF563" s="48"/>
      <c r="FG563" s="48"/>
      <c r="FI563" s="48"/>
      <c r="FL563" s="48"/>
      <c r="FM563" s="48"/>
      <c r="FN563" s="48"/>
      <c r="FO563" s="48"/>
      <c r="FP563" s="48"/>
      <c r="FQ563" s="48"/>
      <c r="FR563" s="48"/>
      <c r="FS563" s="48"/>
      <c r="FT563" s="48"/>
      <c r="FU563" s="48"/>
      <c r="GI563" s="64"/>
    </row>
    <row r="564" spans="1:19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52"/>
      <c r="BF564" s="48"/>
      <c r="BG564" s="48"/>
      <c r="BI564" s="48"/>
      <c r="BN564" s="48"/>
      <c r="BO564" s="48"/>
      <c r="BR564" s="48"/>
      <c r="BS564" s="48"/>
      <c r="BW564" s="48"/>
      <c r="CA564" s="48"/>
      <c r="CE564" s="48"/>
      <c r="CF564" s="48"/>
      <c r="CG564" s="48"/>
      <c r="CH564" s="48"/>
      <c r="CI564" s="48"/>
      <c r="CJ564" s="48"/>
      <c r="CL564" s="48"/>
      <c r="CM564" s="48"/>
      <c r="CN564" s="48"/>
      <c r="CO564" s="48"/>
      <c r="CP564" s="48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  <c r="DE564" s="48"/>
      <c r="DF564" s="48"/>
      <c r="DG564" s="48"/>
      <c r="DH564" s="48"/>
      <c r="DI564" s="48"/>
      <c r="DJ564" s="48"/>
      <c r="DK564" s="48"/>
      <c r="DL564" s="48"/>
      <c r="DM564" s="48"/>
      <c r="DN564" s="48"/>
      <c r="DO564" s="48"/>
      <c r="DP564" s="48"/>
      <c r="DQ564" s="48"/>
      <c r="DR564" s="48"/>
      <c r="DS564" s="48"/>
      <c r="DT564" s="48"/>
      <c r="DU564" s="48"/>
      <c r="DV564" s="48"/>
      <c r="DW564" s="48"/>
      <c r="DX564" s="48"/>
      <c r="DY564" s="48"/>
      <c r="DZ564" s="48"/>
      <c r="EA564" s="48"/>
      <c r="EC564" s="48"/>
      <c r="ED564" s="48"/>
      <c r="EE564" s="48"/>
      <c r="EF564" s="48"/>
      <c r="EG564" s="48"/>
      <c r="EI564" s="48"/>
      <c r="EK564" s="48"/>
      <c r="EM564" s="48"/>
      <c r="EO564" s="48"/>
      <c r="EP564" s="48"/>
      <c r="EU564" s="48"/>
      <c r="EV564" s="48"/>
      <c r="EW564" s="48"/>
      <c r="EX564" s="48"/>
      <c r="EY564" s="48"/>
      <c r="EZ564" s="48"/>
      <c r="FA564" s="48"/>
      <c r="FB564" s="48"/>
      <c r="FC564" s="48"/>
      <c r="FD564" s="48"/>
      <c r="FE564" s="48"/>
      <c r="FF564" s="48"/>
      <c r="FG564" s="48"/>
      <c r="FI564" s="48"/>
      <c r="FL564" s="48"/>
      <c r="FM564" s="48"/>
      <c r="FN564" s="48"/>
      <c r="FO564" s="48"/>
      <c r="FP564" s="48"/>
      <c r="FQ564" s="48"/>
      <c r="FR564" s="48"/>
      <c r="FS564" s="48"/>
      <c r="FT564" s="48"/>
      <c r="FU564" s="48"/>
      <c r="GI564" s="64"/>
    </row>
    <row r="565" spans="1:19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52"/>
      <c r="BF565" s="48"/>
      <c r="BG565" s="48"/>
      <c r="BI565" s="48"/>
      <c r="BN565" s="48"/>
      <c r="BO565" s="48"/>
      <c r="BR565" s="48"/>
      <c r="BS565" s="48"/>
      <c r="BW565" s="48"/>
      <c r="CA565" s="48"/>
      <c r="CE565" s="48"/>
      <c r="CF565" s="48"/>
      <c r="CG565" s="48"/>
      <c r="CH565" s="48"/>
      <c r="CI565" s="48"/>
      <c r="CJ565" s="48"/>
      <c r="CL565" s="48"/>
      <c r="CM565" s="48"/>
      <c r="CN565" s="48"/>
      <c r="CO565" s="48"/>
      <c r="CP565" s="48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  <c r="DE565" s="48"/>
      <c r="DF565" s="48"/>
      <c r="DG565" s="48"/>
      <c r="DH565" s="48"/>
      <c r="DI565" s="48"/>
      <c r="DJ565" s="48"/>
      <c r="DK565" s="48"/>
      <c r="DL565" s="48"/>
      <c r="DM565" s="48"/>
      <c r="DN565" s="48"/>
      <c r="DO565" s="48"/>
      <c r="DP565" s="48"/>
      <c r="DQ565" s="48"/>
      <c r="DR565" s="48"/>
      <c r="DS565" s="48"/>
      <c r="DT565" s="48"/>
      <c r="DU565" s="48"/>
      <c r="DV565" s="48"/>
      <c r="DW565" s="48"/>
      <c r="DX565" s="48"/>
      <c r="DY565" s="48"/>
      <c r="DZ565" s="48"/>
      <c r="EA565" s="48"/>
      <c r="EC565" s="48"/>
      <c r="ED565" s="48"/>
      <c r="EE565" s="48"/>
      <c r="EF565" s="48"/>
      <c r="EG565" s="48"/>
      <c r="EI565" s="48"/>
      <c r="EK565" s="48"/>
      <c r="EM565" s="48"/>
      <c r="EO565" s="48"/>
      <c r="EP565" s="48"/>
      <c r="EU565" s="48"/>
      <c r="EV565" s="48"/>
      <c r="EW565" s="48"/>
      <c r="EX565" s="48"/>
      <c r="EY565" s="48"/>
      <c r="EZ565" s="48"/>
      <c r="FA565" s="48"/>
      <c r="FB565" s="48"/>
      <c r="FC565" s="48"/>
      <c r="FD565" s="48"/>
      <c r="FE565" s="48"/>
      <c r="FF565" s="48"/>
      <c r="FG565" s="48"/>
      <c r="FI565" s="48"/>
      <c r="FL565" s="48"/>
      <c r="FM565" s="48"/>
      <c r="FN565" s="48"/>
      <c r="FO565" s="48"/>
      <c r="FP565" s="48"/>
      <c r="FQ565" s="48"/>
      <c r="FR565" s="48"/>
      <c r="FS565" s="48"/>
      <c r="FT565" s="48"/>
      <c r="FU565" s="48"/>
      <c r="GI565" s="64"/>
    </row>
    <row r="566" spans="1:19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52"/>
      <c r="BF566" s="48"/>
      <c r="BG566" s="48"/>
      <c r="BI566" s="48"/>
      <c r="BN566" s="48"/>
      <c r="BO566" s="48"/>
      <c r="BR566" s="48"/>
      <c r="BS566" s="48"/>
      <c r="BW566" s="48"/>
      <c r="CA566" s="48"/>
      <c r="CE566" s="48"/>
      <c r="CF566" s="48"/>
      <c r="CG566" s="48"/>
      <c r="CH566" s="48"/>
      <c r="CI566" s="48"/>
      <c r="CJ566" s="48"/>
      <c r="CL566" s="48"/>
      <c r="CM566" s="48"/>
      <c r="CN566" s="48"/>
      <c r="CO566" s="48"/>
      <c r="CP566" s="48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  <c r="DE566" s="48"/>
      <c r="DF566" s="48"/>
      <c r="DG566" s="48"/>
      <c r="DH566" s="48"/>
      <c r="DI566" s="48"/>
      <c r="DJ566" s="48"/>
      <c r="DK566" s="48"/>
      <c r="DL566" s="48"/>
      <c r="DM566" s="48"/>
      <c r="DN566" s="48"/>
      <c r="DO566" s="48"/>
      <c r="DP566" s="48"/>
      <c r="DQ566" s="48"/>
      <c r="DR566" s="48"/>
      <c r="DS566" s="48"/>
      <c r="DT566" s="48"/>
      <c r="DU566" s="48"/>
      <c r="DV566" s="48"/>
      <c r="DW566" s="48"/>
      <c r="DX566" s="48"/>
      <c r="DY566" s="48"/>
      <c r="DZ566" s="48"/>
      <c r="EA566" s="48"/>
      <c r="EC566" s="48"/>
      <c r="ED566" s="48"/>
      <c r="EE566" s="48"/>
      <c r="EF566" s="48"/>
      <c r="EG566" s="48"/>
      <c r="EI566" s="48"/>
      <c r="EK566" s="48"/>
      <c r="EM566" s="48"/>
      <c r="EO566" s="48"/>
      <c r="EP566" s="48"/>
      <c r="EU566" s="48"/>
      <c r="EV566" s="48"/>
      <c r="EW566" s="48"/>
      <c r="EX566" s="48"/>
      <c r="EY566" s="48"/>
      <c r="EZ566" s="48"/>
      <c r="FA566" s="48"/>
      <c r="FB566" s="48"/>
      <c r="FC566" s="48"/>
      <c r="FD566" s="48"/>
      <c r="FE566" s="48"/>
      <c r="FF566" s="48"/>
      <c r="FG566" s="48"/>
      <c r="FI566" s="48"/>
      <c r="FL566" s="48"/>
      <c r="FM566" s="48"/>
      <c r="FN566" s="48"/>
      <c r="FO566" s="48"/>
      <c r="FP566" s="48"/>
      <c r="FQ566" s="48"/>
      <c r="FR566" s="48"/>
      <c r="FS566" s="48"/>
      <c r="FT566" s="48"/>
      <c r="FU566" s="48"/>
      <c r="GI566" s="64"/>
    </row>
    <row r="567" spans="1:19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52"/>
      <c r="BF567" s="48"/>
      <c r="BG567" s="48"/>
      <c r="BI567" s="48"/>
      <c r="BN567" s="48"/>
      <c r="BO567" s="48"/>
      <c r="BR567" s="48"/>
      <c r="BS567" s="48"/>
      <c r="BW567" s="48"/>
      <c r="CA567" s="48"/>
      <c r="CE567" s="48"/>
      <c r="CF567" s="48"/>
      <c r="CG567" s="48"/>
      <c r="CH567" s="48"/>
      <c r="CI567" s="48"/>
      <c r="CJ567" s="48"/>
      <c r="CL567" s="48"/>
      <c r="CM567" s="48"/>
      <c r="CN567" s="48"/>
      <c r="CO567" s="48"/>
      <c r="CP567" s="48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  <c r="DE567" s="48"/>
      <c r="DF567" s="48"/>
      <c r="DG567" s="48"/>
      <c r="DH567" s="48"/>
      <c r="DI567" s="48"/>
      <c r="DJ567" s="48"/>
      <c r="DK567" s="48"/>
      <c r="DL567" s="48"/>
      <c r="DM567" s="48"/>
      <c r="DN567" s="48"/>
      <c r="DO567" s="48"/>
      <c r="DP567" s="48"/>
      <c r="DQ567" s="48"/>
      <c r="DR567" s="48"/>
      <c r="DS567" s="48"/>
      <c r="DT567" s="48"/>
      <c r="DU567" s="48"/>
      <c r="DV567" s="48"/>
      <c r="DW567" s="48"/>
      <c r="DX567" s="48"/>
      <c r="DY567" s="48"/>
      <c r="DZ567" s="48"/>
      <c r="EA567" s="48"/>
      <c r="EC567" s="48"/>
      <c r="ED567" s="48"/>
      <c r="EE567" s="48"/>
      <c r="EF567" s="48"/>
      <c r="EG567" s="48"/>
      <c r="EI567" s="48"/>
      <c r="EK567" s="48"/>
      <c r="EM567" s="48"/>
      <c r="EO567" s="48"/>
      <c r="EP567" s="48"/>
      <c r="EU567" s="48"/>
      <c r="EV567" s="48"/>
      <c r="EW567" s="48"/>
      <c r="EX567" s="48"/>
      <c r="EY567" s="48"/>
      <c r="EZ567" s="48"/>
      <c r="FA567" s="48"/>
      <c r="FB567" s="48"/>
      <c r="FC567" s="48"/>
      <c r="FD567" s="48"/>
      <c r="FE567" s="48"/>
      <c r="FF567" s="48"/>
      <c r="FG567" s="48"/>
      <c r="FI567" s="48"/>
      <c r="FL567" s="48"/>
      <c r="FM567" s="48"/>
      <c r="FN567" s="48"/>
      <c r="FO567" s="48"/>
      <c r="FP567" s="48"/>
      <c r="FQ567" s="48"/>
      <c r="FR567" s="48"/>
      <c r="FS567" s="48"/>
      <c r="FT567" s="48"/>
      <c r="FU567" s="48"/>
      <c r="GI567" s="64"/>
    </row>
    <row r="568" spans="1:19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52"/>
      <c r="BF568" s="48"/>
      <c r="BG568" s="48"/>
      <c r="BI568" s="48"/>
      <c r="BN568" s="48"/>
      <c r="BO568" s="48"/>
      <c r="BR568" s="48"/>
      <c r="BS568" s="48"/>
      <c r="BW568" s="48"/>
      <c r="CA568" s="48"/>
      <c r="CE568" s="48"/>
      <c r="CF568" s="48"/>
      <c r="CG568" s="48"/>
      <c r="CH568" s="48"/>
      <c r="CI568" s="48"/>
      <c r="CJ568" s="48"/>
      <c r="CL568" s="48"/>
      <c r="CM568" s="48"/>
      <c r="CN568" s="48"/>
      <c r="CO568" s="48"/>
      <c r="CP568" s="48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8"/>
      <c r="DN568" s="48"/>
      <c r="DO568" s="48"/>
      <c r="DP568" s="48"/>
      <c r="DQ568" s="48"/>
      <c r="DR568" s="48"/>
      <c r="DS568" s="48"/>
      <c r="DT568" s="48"/>
      <c r="DU568" s="48"/>
      <c r="DV568" s="48"/>
      <c r="DW568" s="48"/>
      <c r="DX568" s="48"/>
      <c r="DY568" s="48"/>
      <c r="DZ568" s="48"/>
      <c r="EA568" s="48"/>
      <c r="EC568" s="48"/>
      <c r="ED568" s="48"/>
      <c r="EE568" s="48"/>
      <c r="EF568" s="48"/>
      <c r="EG568" s="48"/>
      <c r="EI568" s="48"/>
      <c r="EK568" s="48"/>
      <c r="EM568" s="48"/>
      <c r="EO568" s="48"/>
      <c r="EP568" s="48"/>
      <c r="EU568" s="48"/>
      <c r="EV568" s="48"/>
      <c r="EW568" s="48"/>
      <c r="EX568" s="48"/>
      <c r="EY568" s="48"/>
      <c r="EZ568" s="48"/>
      <c r="FA568" s="48"/>
      <c r="FB568" s="48"/>
      <c r="FC568" s="48"/>
      <c r="FD568" s="48"/>
      <c r="FE568" s="48"/>
      <c r="FF568" s="48"/>
      <c r="FG568" s="48"/>
      <c r="FI568" s="48"/>
      <c r="FL568" s="48"/>
      <c r="FM568" s="48"/>
      <c r="FN568" s="48"/>
      <c r="FO568" s="48"/>
      <c r="FP568" s="48"/>
      <c r="FQ568" s="48"/>
      <c r="FR568" s="48"/>
      <c r="FS568" s="48"/>
      <c r="FT568" s="48"/>
      <c r="FU568" s="48"/>
      <c r="GI568" s="64"/>
    </row>
    <row r="569" spans="1:19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52"/>
      <c r="BF569" s="48"/>
      <c r="BG569" s="48"/>
      <c r="BI569" s="48"/>
      <c r="BN569" s="48"/>
      <c r="BO569" s="48"/>
      <c r="BR569" s="48"/>
      <c r="BS569" s="48"/>
      <c r="BW569" s="48"/>
      <c r="CA569" s="48"/>
      <c r="CE569" s="48"/>
      <c r="CF569" s="48"/>
      <c r="CG569" s="48"/>
      <c r="CH569" s="48"/>
      <c r="CI569" s="48"/>
      <c r="CJ569" s="48"/>
      <c r="CL569" s="48"/>
      <c r="CM569" s="48"/>
      <c r="CN569" s="48"/>
      <c r="CO569" s="48"/>
      <c r="CP569" s="48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  <c r="DE569" s="48"/>
      <c r="DF569" s="48"/>
      <c r="DG569" s="48"/>
      <c r="DH569" s="48"/>
      <c r="DI569" s="48"/>
      <c r="DJ569" s="48"/>
      <c r="DK569" s="48"/>
      <c r="DL569" s="48"/>
      <c r="DM569" s="48"/>
      <c r="DN569" s="48"/>
      <c r="DO569" s="48"/>
      <c r="DP569" s="48"/>
      <c r="DQ569" s="48"/>
      <c r="DR569" s="48"/>
      <c r="DS569" s="48"/>
      <c r="DT569" s="48"/>
      <c r="DU569" s="48"/>
      <c r="DV569" s="48"/>
      <c r="DW569" s="48"/>
      <c r="DX569" s="48"/>
      <c r="DY569" s="48"/>
      <c r="DZ569" s="48"/>
      <c r="EA569" s="48"/>
      <c r="EC569" s="48"/>
      <c r="ED569" s="48"/>
      <c r="EE569" s="48"/>
      <c r="EF569" s="48"/>
      <c r="EG569" s="48"/>
      <c r="EI569" s="48"/>
      <c r="EK569" s="48"/>
      <c r="EM569" s="48"/>
      <c r="EO569" s="48"/>
      <c r="EP569" s="48"/>
      <c r="EU569" s="48"/>
      <c r="EV569" s="48"/>
      <c r="EW569" s="48"/>
      <c r="EX569" s="48"/>
      <c r="EY569" s="48"/>
      <c r="EZ569" s="48"/>
      <c r="FA569" s="48"/>
      <c r="FB569" s="48"/>
      <c r="FC569" s="48"/>
      <c r="FD569" s="48"/>
      <c r="FE569" s="48"/>
      <c r="FF569" s="48"/>
      <c r="FG569" s="48"/>
      <c r="FI569" s="48"/>
      <c r="FL569" s="48"/>
      <c r="FM569" s="48"/>
      <c r="FN569" s="48"/>
      <c r="FO569" s="48"/>
      <c r="FP569" s="48"/>
      <c r="FQ569" s="48"/>
      <c r="FR569" s="48"/>
      <c r="FS569" s="48"/>
      <c r="FT569" s="48"/>
      <c r="FU569" s="48"/>
      <c r="GI569" s="64"/>
    </row>
    <row r="570" spans="1:19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52"/>
      <c r="BF570" s="48"/>
      <c r="BG570" s="48"/>
      <c r="BI570" s="48"/>
      <c r="BN570" s="48"/>
      <c r="BO570" s="48"/>
      <c r="BR570" s="48"/>
      <c r="BS570" s="48"/>
      <c r="BW570" s="48"/>
      <c r="CA570" s="48"/>
      <c r="CE570" s="48"/>
      <c r="CF570" s="48"/>
      <c r="CG570" s="48"/>
      <c r="CH570" s="48"/>
      <c r="CI570" s="48"/>
      <c r="CJ570" s="48"/>
      <c r="CL570" s="48"/>
      <c r="CM570" s="48"/>
      <c r="CN570" s="48"/>
      <c r="CO570" s="48"/>
      <c r="CP570" s="48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  <c r="DE570" s="48"/>
      <c r="DF570" s="48"/>
      <c r="DG570" s="48"/>
      <c r="DH570" s="48"/>
      <c r="DI570" s="48"/>
      <c r="DJ570" s="48"/>
      <c r="DK570" s="48"/>
      <c r="DL570" s="48"/>
      <c r="DM570" s="48"/>
      <c r="DN570" s="48"/>
      <c r="DO570" s="48"/>
      <c r="DP570" s="48"/>
      <c r="DQ570" s="48"/>
      <c r="DR570" s="48"/>
      <c r="DS570" s="48"/>
      <c r="DT570" s="48"/>
      <c r="DU570" s="48"/>
      <c r="DV570" s="48"/>
      <c r="DW570" s="48"/>
      <c r="DX570" s="48"/>
      <c r="DY570" s="48"/>
      <c r="DZ570" s="48"/>
      <c r="EA570" s="48"/>
      <c r="EC570" s="48"/>
      <c r="ED570" s="48"/>
      <c r="EE570" s="48"/>
      <c r="EF570" s="48"/>
      <c r="EG570" s="48"/>
      <c r="EI570" s="48"/>
      <c r="EK570" s="48"/>
      <c r="EM570" s="48"/>
      <c r="EO570" s="48"/>
      <c r="EP570" s="48"/>
      <c r="EU570" s="48"/>
      <c r="EV570" s="48"/>
      <c r="EW570" s="48"/>
      <c r="EX570" s="48"/>
      <c r="EY570" s="48"/>
      <c r="EZ570" s="48"/>
      <c r="FA570" s="48"/>
      <c r="FB570" s="48"/>
      <c r="FC570" s="48"/>
      <c r="FD570" s="48"/>
      <c r="FE570" s="48"/>
      <c r="FF570" s="48"/>
      <c r="FG570" s="48"/>
      <c r="FI570" s="48"/>
      <c r="FL570" s="48"/>
      <c r="FM570" s="48"/>
      <c r="FN570" s="48"/>
      <c r="FO570" s="48"/>
      <c r="FP570" s="48"/>
      <c r="FQ570" s="48"/>
      <c r="FR570" s="48"/>
      <c r="FS570" s="48"/>
      <c r="FT570" s="48"/>
      <c r="FU570" s="48"/>
      <c r="GI570" s="64"/>
    </row>
    <row r="571" spans="1:19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52"/>
      <c r="BF571" s="48"/>
      <c r="BG571" s="48"/>
      <c r="BI571" s="48"/>
      <c r="BN571" s="48"/>
      <c r="BO571" s="48"/>
      <c r="BR571" s="48"/>
      <c r="BS571" s="48"/>
      <c r="BW571" s="48"/>
      <c r="CA571" s="48"/>
      <c r="CE571" s="48"/>
      <c r="CF571" s="48"/>
      <c r="CG571" s="48"/>
      <c r="CH571" s="48"/>
      <c r="CI571" s="48"/>
      <c r="CJ571" s="48"/>
      <c r="CL571" s="48"/>
      <c r="CM571" s="48"/>
      <c r="CN571" s="48"/>
      <c r="CO571" s="48"/>
      <c r="CP571" s="48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8"/>
      <c r="DN571" s="48"/>
      <c r="DO571" s="48"/>
      <c r="DP571" s="48"/>
      <c r="DQ571" s="48"/>
      <c r="DR571" s="48"/>
      <c r="DS571" s="48"/>
      <c r="DT571" s="48"/>
      <c r="DU571" s="48"/>
      <c r="DV571" s="48"/>
      <c r="DW571" s="48"/>
      <c r="DX571" s="48"/>
      <c r="DY571" s="48"/>
      <c r="DZ571" s="48"/>
      <c r="EA571" s="48"/>
      <c r="EC571" s="48"/>
      <c r="ED571" s="48"/>
      <c r="EE571" s="48"/>
      <c r="EF571" s="48"/>
      <c r="EG571" s="48"/>
      <c r="EI571" s="48"/>
      <c r="EK571" s="48"/>
      <c r="EM571" s="48"/>
      <c r="EO571" s="48"/>
      <c r="EP571" s="48"/>
      <c r="EU571" s="48"/>
      <c r="EV571" s="48"/>
      <c r="EW571" s="48"/>
      <c r="EX571" s="48"/>
      <c r="EY571" s="48"/>
      <c r="EZ571" s="48"/>
      <c r="FA571" s="48"/>
      <c r="FB571" s="48"/>
      <c r="FC571" s="48"/>
      <c r="FD571" s="48"/>
      <c r="FE571" s="48"/>
      <c r="FF571" s="48"/>
      <c r="FG571" s="48"/>
      <c r="FI571" s="48"/>
      <c r="FL571" s="48"/>
      <c r="FM571" s="48"/>
      <c r="FN571" s="48"/>
      <c r="FO571" s="48"/>
      <c r="FP571" s="48"/>
      <c r="FQ571" s="48"/>
      <c r="FR571" s="48"/>
      <c r="FS571" s="48"/>
      <c r="FT571" s="48"/>
      <c r="FU571" s="48"/>
      <c r="GI571" s="64"/>
    </row>
    <row r="572" spans="1:19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52"/>
      <c r="BF572" s="48"/>
      <c r="BG572" s="48"/>
      <c r="BI572" s="48"/>
      <c r="BN572" s="48"/>
      <c r="BO572" s="48"/>
      <c r="BR572" s="48"/>
      <c r="BS572" s="48"/>
      <c r="BW572" s="48"/>
      <c r="CA572" s="48"/>
      <c r="CE572" s="48"/>
      <c r="CF572" s="48"/>
      <c r="CG572" s="48"/>
      <c r="CH572" s="48"/>
      <c r="CI572" s="48"/>
      <c r="CJ572" s="48"/>
      <c r="CL572" s="48"/>
      <c r="CM572" s="48"/>
      <c r="CN572" s="48"/>
      <c r="CO572" s="48"/>
      <c r="CP572" s="48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  <c r="DD572" s="48"/>
      <c r="DE572" s="48"/>
      <c r="DF572" s="48"/>
      <c r="DG572" s="48"/>
      <c r="DH572" s="48"/>
      <c r="DI572" s="48"/>
      <c r="DJ572" s="48"/>
      <c r="DK572" s="48"/>
      <c r="DL572" s="48"/>
      <c r="DM572" s="48"/>
      <c r="DN572" s="48"/>
      <c r="DO572" s="48"/>
      <c r="DP572" s="48"/>
      <c r="DQ572" s="48"/>
      <c r="DR572" s="48"/>
      <c r="DS572" s="48"/>
      <c r="DT572" s="48"/>
      <c r="DU572" s="48"/>
      <c r="DV572" s="48"/>
      <c r="DW572" s="48"/>
      <c r="DX572" s="48"/>
      <c r="DY572" s="48"/>
      <c r="DZ572" s="48"/>
      <c r="EA572" s="48"/>
      <c r="EC572" s="48"/>
      <c r="ED572" s="48"/>
      <c r="EE572" s="48"/>
      <c r="EF572" s="48"/>
      <c r="EG572" s="48"/>
      <c r="EI572" s="48"/>
      <c r="EK572" s="48"/>
      <c r="EM572" s="48"/>
      <c r="EO572" s="48"/>
      <c r="EP572" s="48"/>
      <c r="EU572" s="48"/>
      <c r="EV572" s="48"/>
      <c r="EW572" s="48"/>
      <c r="EX572" s="48"/>
      <c r="EY572" s="48"/>
      <c r="EZ572" s="48"/>
      <c r="FA572" s="48"/>
      <c r="FB572" s="48"/>
      <c r="FC572" s="48"/>
      <c r="FD572" s="48"/>
      <c r="FE572" s="48"/>
      <c r="FF572" s="48"/>
      <c r="FG572" s="48"/>
      <c r="FI572" s="48"/>
      <c r="FL572" s="48"/>
      <c r="FM572" s="48"/>
      <c r="FN572" s="48"/>
      <c r="FO572" s="48"/>
      <c r="FP572" s="48"/>
      <c r="FQ572" s="48"/>
      <c r="FR572" s="48"/>
      <c r="FS572" s="48"/>
      <c r="FT572" s="48"/>
      <c r="FU572" s="48"/>
      <c r="GI572" s="64"/>
    </row>
    <row r="573" spans="1:19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52"/>
      <c r="BF573" s="48"/>
      <c r="BG573" s="48"/>
      <c r="BI573" s="48"/>
      <c r="BN573" s="48"/>
      <c r="BO573" s="48"/>
      <c r="BR573" s="48"/>
      <c r="BS573" s="48"/>
      <c r="BW573" s="48"/>
      <c r="CA573" s="48"/>
      <c r="CE573" s="48"/>
      <c r="CF573" s="48"/>
      <c r="CG573" s="48"/>
      <c r="CH573" s="48"/>
      <c r="CI573" s="48"/>
      <c r="CJ573" s="48"/>
      <c r="CL573" s="48"/>
      <c r="CM573" s="48"/>
      <c r="CN573" s="48"/>
      <c r="CO573" s="48"/>
      <c r="CP573" s="48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  <c r="DD573" s="48"/>
      <c r="DE573" s="48"/>
      <c r="DF573" s="48"/>
      <c r="DG573" s="48"/>
      <c r="DH573" s="48"/>
      <c r="DI573" s="48"/>
      <c r="DJ573" s="48"/>
      <c r="DK573" s="48"/>
      <c r="DL573" s="48"/>
      <c r="DM573" s="48"/>
      <c r="DN573" s="48"/>
      <c r="DO573" s="48"/>
      <c r="DP573" s="48"/>
      <c r="DQ573" s="48"/>
      <c r="DR573" s="48"/>
      <c r="DS573" s="48"/>
      <c r="DT573" s="48"/>
      <c r="DU573" s="48"/>
      <c r="DV573" s="48"/>
      <c r="DW573" s="48"/>
      <c r="DX573" s="48"/>
      <c r="DY573" s="48"/>
      <c r="DZ573" s="48"/>
      <c r="EA573" s="48"/>
      <c r="EC573" s="48"/>
      <c r="ED573" s="48"/>
      <c r="EE573" s="48"/>
      <c r="EF573" s="48"/>
      <c r="EG573" s="48"/>
      <c r="EI573" s="48"/>
      <c r="EK573" s="48"/>
      <c r="EM573" s="48"/>
      <c r="EO573" s="48"/>
      <c r="EP573" s="48"/>
      <c r="EU573" s="48"/>
      <c r="EV573" s="48"/>
      <c r="EW573" s="48"/>
      <c r="EX573" s="48"/>
      <c r="EY573" s="48"/>
      <c r="EZ573" s="48"/>
      <c r="FA573" s="48"/>
      <c r="FB573" s="48"/>
      <c r="FC573" s="48"/>
      <c r="FD573" s="48"/>
      <c r="FE573" s="48"/>
      <c r="FF573" s="48"/>
      <c r="FG573" s="48"/>
      <c r="FI573" s="48"/>
      <c r="FL573" s="48"/>
      <c r="FM573" s="48"/>
      <c r="FN573" s="48"/>
      <c r="FO573" s="48"/>
      <c r="FP573" s="48"/>
      <c r="FQ573" s="48"/>
      <c r="FR573" s="48"/>
      <c r="FS573" s="48"/>
      <c r="FT573" s="48"/>
      <c r="FU573" s="48"/>
      <c r="GI573" s="64"/>
    </row>
    <row r="574" spans="1:19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52"/>
      <c r="BF574" s="48"/>
      <c r="BG574" s="48"/>
      <c r="BI574" s="48"/>
      <c r="BN574" s="48"/>
      <c r="BO574" s="48"/>
      <c r="BR574" s="48"/>
      <c r="BS574" s="48"/>
      <c r="BW574" s="48"/>
      <c r="CA574" s="48"/>
      <c r="CE574" s="48"/>
      <c r="CF574" s="48"/>
      <c r="CG574" s="48"/>
      <c r="CH574" s="48"/>
      <c r="CI574" s="48"/>
      <c r="CJ574" s="48"/>
      <c r="CL574" s="48"/>
      <c r="CM574" s="48"/>
      <c r="CN574" s="48"/>
      <c r="CO574" s="48"/>
      <c r="CP574" s="48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  <c r="DE574" s="48"/>
      <c r="DF574" s="48"/>
      <c r="DG574" s="48"/>
      <c r="DH574" s="48"/>
      <c r="DI574" s="48"/>
      <c r="DJ574" s="48"/>
      <c r="DK574" s="48"/>
      <c r="DL574" s="48"/>
      <c r="DM574" s="48"/>
      <c r="DN574" s="48"/>
      <c r="DO574" s="48"/>
      <c r="DP574" s="48"/>
      <c r="DQ574" s="48"/>
      <c r="DR574" s="48"/>
      <c r="DS574" s="48"/>
      <c r="DT574" s="48"/>
      <c r="DU574" s="48"/>
      <c r="DV574" s="48"/>
      <c r="DW574" s="48"/>
      <c r="DX574" s="48"/>
      <c r="DY574" s="48"/>
      <c r="DZ574" s="48"/>
      <c r="EA574" s="48"/>
      <c r="EC574" s="48"/>
      <c r="ED574" s="48"/>
      <c r="EE574" s="48"/>
      <c r="EF574" s="48"/>
      <c r="EG574" s="48"/>
      <c r="EI574" s="48"/>
      <c r="EK574" s="48"/>
      <c r="EM574" s="48"/>
      <c r="EO574" s="48"/>
      <c r="EP574" s="48"/>
      <c r="EU574" s="48"/>
      <c r="EV574" s="48"/>
      <c r="EW574" s="48"/>
      <c r="EX574" s="48"/>
      <c r="EY574" s="48"/>
      <c r="EZ574" s="48"/>
      <c r="FA574" s="48"/>
      <c r="FB574" s="48"/>
      <c r="FC574" s="48"/>
      <c r="FD574" s="48"/>
      <c r="FE574" s="48"/>
      <c r="FF574" s="48"/>
      <c r="FG574" s="48"/>
      <c r="FI574" s="48"/>
      <c r="FL574" s="48"/>
      <c r="FM574" s="48"/>
      <c r="FN574" s="48"/>
      <c r="FO574" s="48"/>
      <c r="FP574" s="48"/>
      <c r="FQ574" s="48"/>
      <c r="FR574" s="48"/>
      <c r="FS574" s="48"/>
      <c r="FT574" s="48"/>
      <c r="FU574" s="48"/>
      <c r="GI574" s="64"/>
    </row>
    <row r="575" spans="1:19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52"/>
      <c r="BF575" s="48"/>
      <c r="BG575" s="48"/>
      <c r="BI575" s="48"/>
      <c r="BN575" s="48"/>
      <c r="BO575" s="48"/>
      <c r="BR575" s="48"/>
      <c r="BS575" s="48"/>
      <c r="BW575" s="48"/>
      <c r="CA575" s="48"/>
      <c r="CE575" s="48"/>
      <c r="CF575" s="48"/>
      <c r="CG575" s="48"/>
      <c r="CH575" s="48"/>
      <c r="CI575" s="48"/>
      <c r="CJ575" s="48"/>
      <c r="CL575" s="48"/>
      <c r="CM575" s="48"/>
      <c r="CN575" s="48"/>
      <c r="CO575" s="48"/>
      <c r="CP575" s="48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  <c r="DD575" s="48"/>
      <c r="DE575" s="48"/>
      <c r="DF575" s="48"/>
      <c r="DG575" s="48"/>
      <c r="DH575" s="48"/>
      <c r="DI575" s="48"/>
      <c r="DJ575" s="48"/>
      <c r="DK575" s="48"/>
      <c r="DL575" s="48"/>
      <c r="DM575" s="48"/>
      <c r="DN575" s="48"/>
      <c r="DO575" s="48"/>
      <c r="DP575" s="48"/>
      <c r="DQ575" s="48"/>
      <c r="DR575" s="48"/>
      <c r="DS575" s="48"/>
      <c r="DT575" s="48"/>
      <c r="DU575" s="48"/>
      <c r="DV575" s="48"/>
      <c r="DW575" s="48"/>
      <c r="DX575" s="48"/>
      <c r="DY575" s="48"/>
      <c r="DZ575" s="48"/>
      <c r="EA575" s="48"/>
      <c r="EC575" s="48"/>
      <c r="ED575" s="48"/>
      <c r="EE575" s="48"/>
      <c r="EF575" s="48"/>
      <c r="EG575" s="48"/>
      <c r="EI575" s="48"/>
      <c r="EK575" s="48"/>
      <c r="EM575" s="48"/>
      <c r="EO575" s="48"/>
      <c r="EP575" s="48"/>
      <c r="EU575" s="48"/>
      <c r="EV575" s="48"/>
      <c r="EW575" s="48"/>
      <c r="EX575" s="48"/>
      <c r="EY575" s="48"/>
      <c r="EZ575" s="48"/>
      <c r="FA575" s="48"/>
      <c r="FB575" s="48"/>
      <c r="FC575" s="48"/>
      <c r="FD575" s="48"/>
      <c r="FE575" s="48"/>
      <c r="FF575" s="48"/>
      <c r="FG575" s="48"/>
      <c r="FI575" s="48"/>
      <c r="FL575" s="48"/>
      <c r="FM575" s="48"/>
      <c r="FN575" s="48"/>
      <c r="FO575" s="48"/>
      <c r="FP575" s="48"/>
      <c r="FQ575" s="48"/>
      <c r="FR575" s="48"/>
      <c r="FS575" s="48"/>
      <c r="FT575" s="48"/>
      <c r="FU575" s="48"/>
      <c r="GI575" s="64"/>
    </row>
    <row r="576" spans="1:19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52"/>
      <c r="BF576" s="48"/>
      <c r="BG576" s="48"/>
      <c r="BI576" s="48"/>
      <c r="BN576" s="48"/>
      <c r="BO576" s="48"/>
      <c r="BR576" s="48"/>
      <c r="BS576" s="48"/>
      <c r="BW576" s="48"/>
      <c r="CA576" s="48"/>
      <c r="CE576" s="48"/>
      <c r="CF576" s="48"/>
      <c r="CG576" s="48"/>
      <c r="CH576" s="48"/>
      <c r="CI576" s="48"/>
      <c r="CJ576" s="48"/>
      <c r="CL576" s="48"/>
      <c r="CM576" s="48"/>
      <c r="CN576" s="48"/>
      <c r="CO576" s="48"/>
      <c r="CP576" s="48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  <c r="DD576" s="48"/>
      <c r="DE576" s="48"/>
      <c r="DF576" s="48"/>
      <c r="DG576" s="48"/>
      <c r="DH576" s="48"/>
      <c r="DI576" s="48"/>
      <c r="DJ576" s="48"/>
      <c r="DK576" s="48"/>
      <c r="DL576" s="48"/>
      <c r="DM576" s="48"/>
      <c r="DN576" s="48"/>
      <c r="DO576" s="48"/>
      <c r="DP576" s="48"/>
      <c r="DQ576" s="48"/>
      <c r="DR576" s="48"/>
      <c r="DS576" s="48"/>
      <c r="DT576" s="48"/>
      <c r="DU576" s="48"/>
      <c r="DV576" s="48"/>
      <c r="DW576" s="48"/>
      <c r="DX576" s="48"/>
      <c r="DY576" s="48"/>
      <c r="DZ576" s="48"/>
      <c r="EA576" s="48"/>
      <c r="EC576" s="48"/>
      <c r="ED576" s="48"/>
      <c r="EE576" s="48"/>
      <c r="EF576" s="48"/>
      <c r="EG576" s="48"/>
      <c r="EI576" s="48"/>
      <c r="EK576" s="48"/>
      <c r="EM576" s="48"/>
      <c r="EO576" s="48"/>
      <c r="EP576" s="48"/>
      <c r="EU576" s="48"/>
      <c r="EV576" s="48"/>
      <c r="EW576" s="48"/>
      <c r="EX576" s="48"/>
      <c r="EY576" s="48"/>
      <c r="EZ576" s="48"/>
      <c r="FA576" s="48"/>
      <c r="FB576" s="48"/>
      <c r="FC576" s="48"/>
      <c r="FD576" s="48"/>
      <c r="FE576" s="48"/>
      <c r="FF576" s="48"/>
      <c r="FG576" s="48"/>
      <c r="FI576" s="48"/>
      <c r="FL576" s="48"/>
      <c r="FM576" s="48"/>
      <c r="FN576" s="48"/>
      <c r="FO576" s="48"/>
      <c r="FP576" s="48"/>
      <c r="FQ576" s="48"/>
      <c r="FR576" s="48"/>
      <c r="FS576" s="48"/>
      <c r="FT576" s="48"/>
      <c r="FU576" s="48"/>
      <c r="GI576" s="64"/>
    </row>
    <row r="577" spans="1:19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52"/>
      <c r="BF577" s="48"/>
      <c r="BG577" s="48"/>
      <c r="BI577" s="48"/>
      <c r="BN577" s="48"/>
      <c r="BO577" s="48"/>
      <c r="BR577" s="48"/>
      <c r="BS577" s="48"/>
      <c r="BW577" s="48"/>
      <c r="CA577" s="48"/>
      <c r="CE577" s="48"/>
      <c r="CF577" s="48"/>
      <c r="CG577" s="48"/>
      <c r="CH577" s="48"/>
      <c r="CI577" s="48"/>
      <c r="CJ577" s="48"/>
      <c r="CL577" s="48"/>
      <c r="CM577" s="48"/>
      <c r="CN577" s="48"/>
      <c r="CO577" s="48"/>
      <c r="CP577" s="48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  <c r="DE577" s="48"/>
      <c r="DF577" s="48"/>
      <c r="DG577" s="48"/>
      <c r="DH577" s="48"/>
      <c r="DI577" s="48"/>
      <c r="DJ577" s="48"/>
      <c r="DK577" s="48"/>
      <c r="DL577" s="48"/>
      <c r="DM577" s="48"/>
      <c r="DN577" s="48"/>
      <c r="DO577" s="48"/>
      <c r="DP577" s="48"/>
      <c r="DQ577" s="48"/>
      <c r="DR577" s="48"/>
      <c r="DS577" s="48"/>
      <c r="DT577" s="48"/>
      <c r="DU577" s="48"/>
      <c r="DV577" s="48"/>
      <c r="DW577" s="48"/>
      <c r="DX577" s="48"/>
      <c r="DY577" s="48"/>
      <c r="DZ577" s="48"/>
      <c r="EA577" s="48"/>
      <c r="EC577" s="48"/>
      <c r="ED577" s="48"/>
      <c r="EE577" s="48"/>
      <c r="EF577" s="48"/>
      <c r="EG577" s="48"/>
      <c r="EI577" s="48"/>
      <c r="EK577" s="48"/>
      <c r="EM577" s="48"/>
      <c r="EO577" s="48"/>
      <c r="EP577" s="48"/>
      <c r="EU577" s="48"/>
      <c r="EV577" s="48"/>
      <c r="EW577" s="48"/>
      <c r="EX577" s="48"/>
      <c r="EY577" s="48"/>
      <c r="EZ577" s="48"/>
      <c r="FA577" s="48"/>
      <c r="FB577" s="48"/>
      <c r="FC577" s="48"/>
      <c r="FD577" s="48"/>
      <c r="FE577" s="48"/>
      <c r="FF577" s="48"/>
      <c r="FG577" s="48"/>
      <c r="FI577" s="48"/>
      <c r="FL577" s="48"/>
      <c r="FM577" s="48"/>
      <c r="FN577" s="48"/>
      <c r="FO577" s="48"/>
      <c r="FP577" s="48"/>
      <c r="FQ577" s="48"/>
      <c r="FR577" s="48"/>
      <c r="FS577" s="48"/>
      <c r="FT577" s="48"/>
      <c r="FU577" s="48"/>
      <c r="GI577" s="64"/>
    </row>
    <row r="578" spans="1:19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52"/>
      <c r="BF578" s="48"/>
      <c r="BG578" s="48"/>
      <c r="BI578" s="48"/>
      <c r="BN578" s="48"/>
      <c r="BO578" s="48"/>
      <c r="BR578" s="48"/>
      <c r="BS578" s="48"/>
      <c r="BW578" s="48"/>
      <c r="CA578" s="48"/>
      <c r="CE578" s="48"/>
      <c r="CF578" s="48"/>
      <c r="CG578" s="48"/>
      <c r="CH578" s="48"/>
      <c r="CI578" s="48"/>
      <c r="CJ578" s="48"/>
      <c r="CL578" s="48"/>
      <c r="CM578" s="48"/>
      <c r="CN578" s="48"/>
      <c r="CO578" s="48"/>
      <c r="CP578" s="48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  <c r="DD578" s="48"/>
      <c r="DE578" s="48"/>
      <c r="DF578" s="48"/>
      <c r="DG578" s="48"/>
      <c r="DH578" s="48"/>
      <c r="DI578" s="48"/>
      <c r="DJ578" s="48"/>
      <c r="DK578" s="48"/>
      <c r="DL578" s="48"/>
      <c r="DM578" s="48"/>
      <c r="DN578" s="48"/>
      <c r="DO578" s="48"/>
      <c r="DP578" s="48"/>
      <c r="DQ578" s="48"/>
      <c r="DR578" s="48"/>
      <c r="DS578" s="48"/>
      <c r="DT578" s="48"/>
      <c r="DU578" s="48"/>
      <c r="DV578" s="48"/>
      <c r="DW578" s="48"/>
      <c r="DX578" s="48"/>
      <c r="DY578" s="48"/>
      <c r="DZ578" s="48"/>
      <c r="EA578" s="48"/>
      <c r="EC578" s="48"/>
      <c r="ED578" s="48"/>
      <c r="EE578" s="48"/>
      <c r="EF578" s="48"/>
      <c r="EG578" s="48"/>
      <c r="EI578" s="48"/>
      <c r="EK578" s="48"/>
      <c r="EM578" s="48"/>
      <c r="EO578" s="48"/>
      <c r="EP578" s="48"/>
      <c r="EU578" s="48"/>
      <c r="EV578" s="48"/>
      <c r="EW578" s="48"/>
      <c r="EX578" s="48"/>
      <c r="EY578" s="48"/>
      <c r="EZ578" s="48"/>
      <c r="FA578" s="48"/>
      <c r="FB578" s="48"/>
      <c r="FC578" s="48"/>
      <c r="FD578" s="48"/>
      <c r="FE578" s="48"/>
      <c r="FF578" s="48"/>
      <c r="FG578" s="48"/>
      <c r="FI578" s="48"/>
      <c r="FL578" s="48"/>
      <c r="FM578" s="48"/>
      <c r="FN578" s="48"/>
      <c r="FO578" s="48"/>
      <c r="FP578" s="48"/>
      <c r="FQ578" s="48"/>
      <c r="FR578" s="48"/>
      <c r="FS578" s="48"/>
      <c r="FT578" s="48"/>
      <c r="FU578" s="48"/>
      <c r="GI578" s="64"/>
    </row>
    <row r="579" spans="1:19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52"/>
      <c r="BF579" s="48"/>
      <c r="BG579" s="48"/>
      <c r="BI579" s="48"/>
      <c r="BN579" s="48"/>
      <c r="BO579" s="48"/>
      <c r="BR579" s="48"/>
      <c r="BS579" s="48"/>
      <c r="BW579" s="48"/>
      <c r="CA579" s="48"/>
      <c r="CE579" s="48"/>
      <c r="CF579" s="48"/>
      <c r="CG579" s="48"/>
      <c r="CH579" s="48"/>
      <c r="CI579" s="48"/>
      <c r="CJ579" s="48"/>
      <c r="CL579" s="48"/>
      <c r="CM579" s="48"/>
      <c r="CN579" s="48"/>
      <c r="CO579" s="48"/>
      <c r="CP579" s="48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  <c r="DD579" s="48"/>
      <c r="DE579" s="48"/>
      <c r="DF579" s="48"/>
      <c r="DG579" s="48"/>
      <c r="DH579" s="48"/>
      <c r="DI579" s="48"/>
      <c r="DJ579" s="48"/>
      <c r="DK579" s="48"/>
      <c r="DL579" s="48"/>
      <c r="DM579" s="48"/>
      <c r="DN579" s="48"/>
      <c r="DO579" s="48"/>
      <c r="DP579" s="48"/>
      <c r="DQ579" s="48"/>
      <c r="DR579" s="48"/>
      <c r="DS579" s="48"/>
      <c r="DT579" s="48"/>
      <c r="DU579" s="48"/>
      <c r="DV579" s="48"/>
      <c r="DW579" s="48"/>
      <c r="DX579" s="48"/>
      <c r="DY579" s="48"/>
      <c r="DZ579" s="48"/>
      <c r="EA579" s="48"/>
      <c r="EC579" s="48"/>
      <c r="ED579" s="48"/>
      <c r="EE579" s="48"/>
      <c r="EF579" s="48"/>
      <c r="EG579" s="48"/>
      <c r="EI579" s="48"/>
      <c r="EK579" s="48"/>
      <c r="EM579" s="48"/>
      <c r="EO579" s="48"/>
      <c r="EP579" s="48"/>
      <c r="EU579" s="48"/>
      <c r="EV579" s="48"/>
      <c r="EW579" s="48"/>
      <c r="EX579" s="48"/>
      <c r="EY579" s="48"/>
      <c r="EZ579" s="48"/>
      <c r="FA579" s="48"/>
      <c r="FB579" s="48"/>
      <c r="FC579" s="48"/>
      <c r="FD579" s="48"/>
      <c r="FE579" s="48"/>
      <c r="FF579" s="48"/>
      <c r="FG579" s="48"/>
      <c r="FI579" s="48"/>
      <c r="FL579" s="48"/>
      <c r="FM579" s="48"/>
      <c r="FN579" s="48"/>
      <c r="FO579" s="48"/>
      <c r="FP579" s="48"/>
      <c r="FQ579" s="48"/>
      <c r="FR579" s="48"/>
      <c r="FS579" s="48"/>
      <c r="FT579" s="48"/>
      <c r="FU579" s="48"/>
      <c r="GI579" s="64"/>
    </row>
    <row r="580" spans="1:19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52"/>
      <c r="BF580" s="48"/>
      <c r="BG580" s="48"/>
      <c r="BI580" s="48"/>
      <c r="BN580" s="48"/>
      <c r="BO580" s="48"/>
      <c r="BR580" s="48"/>
      <c r="BS580" s="48"/>
      <c r="BW580" s="48"/>
      <c r="CA580" s="48"/>
      <c r="CE580" s="48"/>
      <c r="CF580" s="48"/>
      <c r="CG580" s="48"/>
      <c r="CH580" s="48"/>
      <c r="CI580" s="48"/>
      <c r="CJ580" s="48"/>
      <c r="CL580" s="48"/>
      <c r="CM580" s="48"/>
      <c r="CN580" s="48"/>
      <c r="CO580" s="48"/>
      <c r="CP580" s="48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8"/>
      <c r="DN580" s="48"/>
      <c r="DO580" s="48"/>
      <c r="DP580" s="48"/>
      <c r="DQ580" s="48"/>
      <c r="DR580" s="48"/>
      <c r="DS580" s="48"/>
      <c r="DT580" s="48"/>
      <c r="DU580" s="48"/>
      <c r="DV580" s="48"/>
      <c r="DW580" s="48"/>
      <c r="DX580" s="48"/>
      <c r="DY580" s="48"/>
      <c r="DZ580" s="48"/>
      <c r="EA580" s="48"/>
      <c r="EC580" s="48"/>
      <c r="ED580" s="48"/>
      <c r="EE580" s="48"/>
      <c r="EF580" s="48"/>
      <c r="EG580" s="48"/>
      <c r="EI580" s="48"/>
      <c r="EK580" s="48"/>
      <c r="EM580" s="48"/>
      <c r="EO580" s="48"/>
      <c r="EP580" s="48"/>
      <c r="EU580" s="48"/>
      <c r="EV580" s="48"/>
      <c r="EW580" s="48"/>
      <c r="EX580" s="48"/>
      <c r="EY580" s="48"/>
      <c r="EZ580" s="48"/>
      <c r="FA580" s="48"/>
      <c r="FB580" s="48"/>
      <c r="FC580" s="48"/>
      <c r="FD580" s="48"/>
      <c r="FE580" s="48"/>
      <c r="FF580" s="48"/>
      <c r="FG580" s="48"/>
      <c r="FI580" s="48"/>
      <c r="FL580" s="48"/>
      <c r="FM580" s="48"/>
      <c r="FN580" s="48"/>
      <c r="FO580" s="48"/>
      <c r="FP580" s="48"/>
      <c r="FQ580" s="48"/>
      <c r="FR580" s="48"/>
      <c r="FS580" s="48"/>
      <c r="FT580" s="48"/>
      <c r="FU580" s="48"/>
      <c r="GI580" s="64"/>
    </row>
    <row r="581" spans="1:19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52"/>
      <c r="BF581" s="48"/>
      <c r="BG581" s="48"/>
      <c r="BI581" s="48"/>
      <c r="BN581" s="48"/>
      <c r="BO581" s="48"/>
      <c r="BR581" s="48"/>
      <c r="BS581" s="48"/>
      <c r="BW581" s="48"/>
      <c r="CA581" s="48"/>
      <c r="CE581" s="48"/>
      <c r="CF581" s="48"/>
      <c r="CG581" s="48"/>
      <c r="CH581" s="48"/>
      <c r="CI581" s="48"/>
      <c r="CJ581" s="48"/>
      <c r="CL581" s="48"/>
      <c r="CM581" s="48"/>
      <c r="CN581" s="48"/>
      <c r="CO581" s="48"/>
      <c r="CP581" s="48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  <c r="DE581" s="48"/>
      <c r="DF581" s="48"/>
      <c r="DG581" s="48"/>
      <c r="DH581" s="48"/>
      <c r="DI581" s="48"/>
      <c r="DJ581" s="48"/>
      <c r="DK581" s="48"/>
      <c r="DL581" s="48"/>
      <c r="DM581" s="48"/>
      <c r="DN581" s="48"/>
      <c r="DO581" s="48"/>
      <c r="DP581" s="48"/>
      <c r="DQ581" s="48"/>
      <c r="DR581" s="48"/>
      <c r="DS581" s="48"/>
      <c r="DT581" s="48"/>
      <c r="DU581" s="48"/>
      <c r="DV581" s="48"/>
      <c r="DW581" s="48"/>
      <c r="DX581" s="48"/>
      <c r="DY581" s="48"/>
      <c r="DZ581" s="48"/>
      <c r="EA581" s="48"/>
      <c r="EC581" s="48"/>
      <c r="ED581" s="48"/>
      <c r="EE581" s="48"/>
      <c r="EF581" s="48"/>
      <c r="EG581" s="48"/>
      <c r="EI581" s="48"/>
      <c r="EK581" s="48"/>
      <c r="EM581" s="48"/>
      <c r="EO581" s="48"/>
      <c r="EP581" s="48"/>
      <c r="EU581" s="48"/>
      <c r="EV581" s="48"/>
      <c r="EW581" s="48"/>
      <c r="EX581" s="48"/>
      <c r="EY581" s="48"/>
      <c r="EZ581" s="48"/>
      <c r="FA581" s="48"/>
      <c r="FB581" s="48"/>
      <c r="FC581" s="48"/>
      <c r="FD581" s="48"/>
      <c r="FE581" s="48"/>
      <c r="FF581" s="48"/>
      <c r="FG581" s="48"/>
      <c r="FI581" s="48"/>
      <c r="FL581" s="48"/>
      <c r="FM581" s="48"/>
      <c r="FN581" s="48"/>
      <c r="FO581" s="48"/>
      <c r="FP581" s="48"/>
      <c r="FQ581" s="48"/>
      <c r="FR581" s="48"/>
      <c r="FS581" s="48"/>
      <c r="FT581" s="48"/>
      <c r="FU581" s="48"/>
      <c r="GI581" s="64"/>
    </row>
    <row r="582" spans="1:19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52"/>
      <c r="BF582" s="48"/>
      <c r="BG582" s="48"/>
      <c r="BI582" s="48"/>
      <c r="BN582" s="48"/>
      <c r="BO582" s="48"/>
      <c r="BR582" s="48"/>
      <c r="BS582" s="48"/>
      <c r="BW582" s="48"/>
      <c r="CA582" s="48"/>
      <c r="CE582" s="48"/>
      <c r="CF582" s="48"/>
      <c r="CG582" s="48"/>
      <c r="CH582" s="48"/>
      <c r="CI582" s="48"/>
      <c r="CJ582" s="48"/>
      <c r="CL582" s="48"/>
      <c r="CM582" s="48"/>
      <c r="CN582" s="48"/>
      <c r="CO582" s="48"/>
      <c r="CP582" s="48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  <c r="DD582" s="48"/>
      <c r="DE582" s="48"/>
      <c r="DF582" s="48"/>
      <c r="DG582" s="48"/>
      <c r="DH582" s="48"/>
      <c r="DI582" s="48"/>
      <c r="DJ582" s="48"/>
      <c r="DK582" s="48"/>
      <c r="DL582" s="48"/>
      <c r="DM582" s="48"/>
      <c r="DN582" s="48"/>
      <c r="DO582" s="48"/>
      <c r="DP582" s="48"/>
      <c r="DQ582" s="48"/>
      <c r="DR582" s="48"/>
      <c r="DS582" s="48"/>
      <c r="DT582" s="48"/>
      <c r="DU582" s="48"/>
      <c r="DV582" s="48"/>
      <c r="DW582" s="48"/>
      <c r="DX582" s="48"/>
      <c r="DY582" s="48"/>
      <c r="DZ582" s="48"/>
      <c r="EA582" s="48"/>
      <c r="EC582" s="48"/>
      <c r="ED582" s="48"/>
      <c r="EE582" s="48"/>
      <c r="EF582" s="48"/>
      <c r="EG582" s="48"/>
      <c r="EI582" s="48"/>
      <c r="EK582" s="48"/>
      <c r="EM582" s="48"/>
      <c r="EO582" s="48"/>
      <c r="EP582" s="48"/>
      <c r="EU582" s="48"/>
      <c r="EV582" s="48"/>
      <c r="EW582" s="48"/>
      <c r="EX582" s="48"/>
      <c r="EY582" s="48"/>
      <c r="EZ582" s="48"/>
      <c r="FA582" s="48"/>
      <c r="FB582" s="48"/>
      <c r="FC582" s="48"/>
      <c r="FD582" s="48"/>
      <c r="FE582" s="48"/>
      <c r="FF582" s="48"/>
      <c r="FG582" s="48"/>
      <c r="FI582" s="48"/>
      <c r="FL582" s="48"/>
      <c r="FM582" s="48"/>
      <c r="FN582" s="48"/>
      <c r="FO582" s="48"/>
      <c r="FP582" s="48"/>
      <c r="FQ582" s="48"/>
      <c r="FR582" s="48"/>
      <c r="FS582" s="48"/>
      <c r="FT582" s="48"/>
      <c r="FU582" s="48"/>
      <c r="GI582" s="64"/>
    </row>
    <row r="583" spans="1:19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52"/>
      <c r="BF583" s="48"/>
      <c r="BG583" s="48"/>
      <c r="BI583" s="48"/>
      <c r="BN583" s="48"/>
      <c r="BO583" s="48"/>
      <c r="BR583" s="48"/>
      <c r="BS583" s="48"/>
      <c r="BW583" s="48"/>
      <c r="CA583" s="48"/>
      <c r="CE583" s="48"/>
      <c r="CF583" s="48"/>
      <c r="CG583" s="48"/>
      <c r="CH583" s="48"/>
      <c r="CI583" s="48"/>
      <c r="CJ583" s="48"/>
      <c r="CL583" s="48"/>
      <c r="CM583" s="48"/>
      <c r="CN583" s="48"/>
      <c r="CO583" s="48"/>
      <c r="CP583" s="48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  <c r="DE583" s="48"/>
      <c r="DF583" s="48"/>
      <c r="DG583" s="48"/>
      <c r="DH583" s="48"/>
      <c r="DI583" s="48"/>
      <c r="DJ583" s="48"/>
      <c r="DK583" s="48"/>
      <c r="DL583" s="48"/>
      <c r="DM583" s="48"/>
      <c r="DN583" s="48"/>
      <c r="DO583" s="48"/>
      <c r="DP583" s="48"/>
      <c r="DQ583" s="48"/>
      <c r="DR583" s="48"/>
      <c r="DS583" s="48"/>
      <c r="DT583" s="48"/>
      <c r="DU583" s="48"/>
      <c r="DV583" s="48"/>
      <c r="DW583" s="48"/>
      <c r="DX583" s="48"/>
      <c r="DY583" s="48"/>
      <c r="DZ583" s="48"/>
      <c r="EA583" s="48"/>
      <c r="EC583" s="48"/>
      <c r="ED583" s="48"/>
      <c r="EE583" s="48"/>
      <c r="EF583" s="48"/>
      <c r="EG583" s="48"/>
      <c r="EI583" s="48"/>
      <c r="EK583" s="48"/>
      <c r="EM583" s="48"/>
      <c r="EO583" s="48"/>
      <c r="EP583" s="48"/>
      <c r="EU583" s="48"/>
      <c r="EV583" s="48"/>
      <c r="EW583" s="48"/>
      <c r="EX583" s="48"/>
      <c r="EY583" s="48"/>
      <c r="EZ583" s="48"/>
      <c r="FA583" s="48"/>
      <c r="FB583" s="48"/>
      <c r="FC583" s="48"/>
      <c r="FD583" s="48"/>
      <c r="FE583" s="48"/>
      <c r="FF583" s="48"/>
      <c r="FG583" s="48"/>
      <c r="FI583" s="48"/>
      <c r="FL583" s="48"/>
      <c r="FM583" s="48"/>
      <c r="FN583" s="48"/>
      <c r="FO583" s="48"/>
      <c r="FP583" s="48"/>
      <c r="FQ583" s="48"/>
      <c r="FR583" s="48"/>
      <c r="FS583" s="48"/>
      <c r="FT583" s="48"/>
      <c r="FU583" s="48"/>
      <c r="GI583" s="64"/>
    </row>
    <row r="584" spans="1:19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52"/>
      <c r="BF584" s="48"/>
      <c r="BG584" s="48"/>
      <c r="BI584" s="48"/>
      <c r="BN584" s="48"/>
      <c r="BO584" s="48"/>
      <c r="BR584" s="48"/>
      <c r="BS584" s="48"/>
      <c r="BW584" s="48"/>
      <c r="CA584" s="48"/>
      <c r="CE584" s="48"/>
      <c r="CF584" s="48"/>
      <c r="CG584" s="48"/>
      <c r="CH584" s="48"/>
      <c r="CI584" s="48"/>
      <c r="CJ584" s="48"/>
      <c r="CL584" s="48"/>
      <c r="CM584" s="48"/>
      <c r="CN584" s="48"/>
      <c r="CO584" s="48"/>
      <c r="CP584" s="48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  <c r="DD584" s="48"/>
      <c r="DE584" s="48"/>
      <c r="DF584" s="48"/>
      <c r="DG584" s="48"/>
      <c r="DH584" s="48"/>
      <c r="DI584" s="48"/>
      <c r="DJ584" s="48"/>
      <c r="DK584" s="48"/>
      <c r="DL584" s="48"/>
      <c r="DM584" s="48"/>
      <c r="DN584" s="48"/>
      <c r="DO584" s="48"/>
      <c r="DP584" s="48"/>
      <c r="DQ584" s="48"/>
      <c r="DR584" s="48"/>
      <c r="DS584" s="48"/>
      <c r="DT584" s="48"/>
      <c r="DU584" s="48"/>
      <c r="DV584" s="48"/>
      <c r="DW584" s="48"/>
      <c r="DX584" s="48"/>
      <c r="DY584" s="48"/>
      <c r="DZ584" s="48"/>
      <c r="EA584" s="48"/>
      <c r="EC584" s="48"/>
      <c r="ED584" s="48"/>
      <c r="EE584" s="48"/>
      <c r="EF584" s="48"/>
      <c r="EG584" s="48"/>
      <c r="EI584" s="48"/>
      <c r="EK584" s="48"/>
      <c r="EM584" s="48"/>
      <c r="EO584" s="48"/>
      <c r="EP584" s="48"/>
      <c r="EU584" s="48"/>
      <c r="EV584" s="48"/>
      <c r="EW584" s="48"/>
      <c r="EX584" s="48"/>
      <c r="EY584" s="48"/>
      <c r="EZ584" s="48"/>
      <c r="FA584" s="48"/>
      <c r="FB584" s="48"/>
      <c r="FC584" s="48"/>
      <c r="FD584" s="48"/>
      <c r="FE584" s="48"/>
      <c r="FF584" s="48"/>
      <c r="FG584" s="48"/>
      <c r="FI584" s="48"/>
      <c r="FL584" s="48"/>
      <c r="FM584" s="48"/>
      <c r="FN584" s="48"/>
      <c r="FO584" s="48"/>
      <c r="FP584" s="48"/>
      <c r="FQ584" s="48"/>
      <c r="FR584" s="48"/>
      <c r="FS584" s="48"/>
      <c r="FT584" s="48"/>
      <c r="FU584" s="48"/>
      <c r="GI584" s="64"/>
    </row>
    <row r="585" spans="1:19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52"/>
      <c r="BF585" s="48"/>
      <c r="BG585" s="48"/>
      <c r="BI585" s="48"/>
      <c r="BN585" s="48"/>
      <c r="BO585" s="48"/>
      <c r="BR585" s="48"/>
      <c r="BS585" s="48"/>
      <c r="BW585" s="48"/>
      <c r="CA585" s="48"/>
      <c r="CE585" s="48"/>
      <c r="CF585" s="48"/>
      <c r="CG585" s="48"/>
      <c r="CH585" s="48"/>
      <c r="CI585" s="48"/>
      <c r="CJ585" s="48"/>
      <c r="CL585" s="48"/>
      <c r="CM585" s="48"/>
      <c r="CN585" s="48"/>
      <c r="CO585" s="48"/>
      <c r="CP585" s="48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  <c r="DD585" s="48"/>
      <c r="DE585" s="48"/>
      <c r="DF585" s="48"/>
      <c r="DG585" s="48"/>
      <c r="DH585" s="48"/>
      <c r="DI585" s="48"/>
      <c r="DJ585" s="48"/>
      <c r="DK585" s="48"/>
      <c r="DL585" s="48"/>
      <c r="DM585" s="48"/>
      <c r="DN585" s="48"/>
      <c r="DO585" s="48"/>
      <c r="DP585" s="48"/>
      <c r="DQ585" s="48"/>
      <c r="DR585" s="48"/>
      <c r="DS585" s="48"/>
      <c r="DT585" s="48"/>
      <c r="DU585" s="48"/>
      <c r="DV585" s="48"/>
      <c r="DW585" s="48"/>
      <c r="DX585" s="48"/>
      <c r="DY585" s="48"/>
      <c r="DZ585" s="48"/>
      <c r="EA585" s="48"/>
      <c r="EC585" s="48"/>
      <c r="ED585" s="48"/>
      <c r="EE585" s="48"/>
      <c r="EF585" s="48"/>
      <c r="EG585" s="48"/>
      <c r="EI585" s="48"/>
      <c r="EK585" s="48"/>
      <c r="EM585" s="48"/>
      <c r="EO585" s="48"/>
      <c r="EP585" s="48"/>
      <c r="EU585" s="48"/>
      <c r="EV585" s="48"/>
      <c r="EW585" s="48"/>
      <c r="EX585" s="48"/>
      <c r="EY585" s="48"/>
      <c r="EZ585" s="48"/>
      <c r="FA585" s="48"/>
      <c r="FB585" s="48"/>
      <c r="FC585" s="48"/>
      <c r="FD585" s="48"/>
      <c r="FE585" s="48"/>
      <c r="FF585" s="48"/>
      <c r="FG585" s="48"/>
      <c r="FI585" s="48"/>
      <c r="FL585" s="48"/>
      <c r="FM585" s="48"/>
      <c r="FN585" s="48"/>
      <c r="FO585" s="48"/>
      <c r="FP585" s="48"/>
      <c r="FQ585" s="48"/>
      <c r="FR585" s="48"/>
      <c r="FS585" s="48"/>
      <c r="FT585" s="48"/>
      <c r="FU585" s="48"/>
      <c r="GI585" s="64"/>
    </row>
    <row r="586" spans="1:19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52"/>
      <c r="BF586" s="48"/>
      <c r="BG586" s="48"/>
      <c r="BI586" s="48"/>
      <c r="BN586" s="48"/>
      <c r="BO586" s="48"/>
      <c r="BR586" s="48"/>
      <c r="BS586" s="48"/>
      <c r="BW586" s="48"/>
      <c r="CA586" s="48"/>
      <c r="CE586" s="48"/>
      <c r="CF586" s="48"/>
      <c r="CG586" s="48"/>
      <c r="CH586" s="48"/>
      <c r="CI586" s="48"/>
      <c r="CJ586" s="48"/>
      <c r="CL586" s="48"/>
      <c r="CM586" s="48"/>
      <c r="CN586" s="48"/>
      <c r="CO586" s="48"/>
      <c r="CP586" s="48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  <c r="DE586" s="48"/>
      <c r="DF586" s="48"/>
      <c r="DG586" s="48"/>
      <c r="DH586" s="48"/>
      <c r="DI586" s="48"/>
      <c r="DJ586" s="48"/>
      <c r="DK586" s="48"/>
      <c r="DL586" s="48"/>
      <c r="DM586" s="48"/>
      <c r="DN586" s="48"/>
      <c r="DO586" s="48"/>
      <c r="DP586" s="48"/>
      <c r="DQ586" s="48"/>
      <c r="DR586" s="48"/>
      <c r="DS586" s="48"/>
      <c r="DT586" s="48"/>
      <c r="DU586" s="48"/>
      <c r="DV586" s="48"/>
      <c r="DW586" s="48"/>
      <c r="DX586" s="48"/>
      <c r="DY586" s="48"/>
      <c r="DZ586" s="48"/>
      <c r="EA586" s="48"/>
      <c r="EC586" s="48"/>
      <c r="ED586" s="48"/>
      <c r="EE586" s="48"/>
      <c r="EF586" s="48"/>
      <c r="EG586" s="48"/>
      <c r="EI586" s="48"/>
      <c r="EK586" s="48"/>
      <c r="EM586" s="48"/>
      <c r="EO586" s="48"/>
      <c r="EP586" s="48"/>
      <c r="EU586" s="48"/>
      <c r="EV586" s="48"/>
      <c r="EW586" s="48"/>
      <c r="EX586" s="48"/>
      <c r="EY586" s="48"/>
      <c r="EZ586" s="48"/>
      <c r="FA586" s="48"/>
      <c r="FB586" s="48"/>
      <c r="FC586" s="48"/>
      <c r="FD586" s="48"/>
      <c r="FE586" s="48"/>
      <c r="FF586" s="48"/>
      <c r="FG586" s="48"/>
      <c r="FI586" s="48"/>
      <c r="FL586" s="48"/>
      <c r="FM586" s="48"/>
      <c r="FN586" s="48"/>
      <c r="FO586" s="48"/>
      <c r="FP586" s="48"/>
      <c r="FQ586" s="48"/>
      <c r="FR586" s="48"/>
      <c r="FS586" s="48"/>
      <c r="FT586" s="48"/>
      <c r="FU586" s="48"/>
      <c r="GI586" s="64"/>
    </row>
    <row r="587" spans="1:19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52"/>
      <c r="BF587" s="48"/>
      <c r="BG587" s="48"/>
      <c r="BI587" s="48"/>
      <c r="BN587" s="48"/>
      <c r="BO587" s="48"/>
      <c r="BR587" s="48"/>
      <c r="BS587" s="48"/>
      <c r="BW587" s="48"/>
      <c r="CA587" s="48"/>
      <c r="CE587" s="48"/>
      <c r="CF587" s="48"/>
      <c r="CG587" s="48"/>
      <c r="CH587" s="48"/>
      <c r="CI587" s="48"/>
      <c r="CJ587" s="48"/>
      <c r="CL587" s="48"/>
      <c r="CM587" s="48"/>
      <c r="CN587" s="48"/>
      <c r="CO587" s="48"/>
      <c r="CP587" s="48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  <c r="DD587" s="48"/>
      <c r="DE587" s="48"/>
      <c r="DF587" s="48"/>
      <c r="DG587" s="48"/>
      <c r="DH587" s="48"/>
      <c r="DI587" s="48"/>
      <c r="DJ587" s="48"/>
      <c r="DK587" s="48"/>
      <c r="DL587" s="48"/>
      <c r="DM587" s="48"/>
      <c r="DN587" s="48"/>
      <c r="DO587" s="48"/>
      <c r="DP587" s="48"/>
      <c r="DQ587" s="48"/>
      <c r="DR587" s="48"/>
      <c r="DS587" s="48"/>
      <c r="DT587" s="48"/>
      <c r="DU587" s="48"/>
      <c r="DV587" s="48"/>
      <c r="DW587" s="48"/>
      <c r="DX587" s="48"/>
      <c r="DY587" s="48"/>
      <c r="DZ587" s="48"/>
      <c r="EA587" s="48"/>
      <c r="EC587" s="48"/>
      <c r="ED587" s="48"/>
      <c r="EE587" s="48"/>
      <c r="EF587" s="48"/>
      <c r="EG587" s="48"/>
      <c r="EI587" s="48"/>
      <c r="EK587" s="48"/>
      <c r="EM587" s="48"/>
      <c r="EO587" s="48"/>
      <c r="EP587" s="48"/>
      <c r="EU587" s="48"/>
      <c r="EV587" s="48"/>
      <c r="EW587" s="48"/>
      <c r="EX587" s="48"/>
      <c r="EY587" s="48"/>
      <c r="EZ587" s="48"/>
      <c r="FA587" s="48"/>
      <c r="FB587" s="48"/>
      <c r="FC587" s="48"/>
      <c r="FD587" s="48"/>
      <c r="FE587" s="48"/>
      <c r="FF587" s="48"/>
      <c r="FG587" s="48"/>
      <c r="FI587" s="48"/>
      <c r="FL587" s="48"/>
      <c r="FM587" s="48"/>
      <c r="FN587" s="48"/>
      <c r="FO587" s="48"/>
      <c r="FP587" s="48"/>
      <c r="FQ587" s="48"/>
      <c r="FR587" s="48"/>
      <c r="FS587" s="48"/>
      <c r="FT587" s="48"/>
      <c r="FU587" s="48"/>
      <c r="GI587" s="64"/>
    </row>
    <row r="588" spans="1:19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52"/>
      <c r="BF588" s="48"/>
      <c r="BG588" s="48"/>
      <c r="BI588" s="48"/>
      <c r="BN588" s="48"/>
      <c r="BO588" s="48"/>
      <c r="BR588" s="48"/>
      <c r="BS588" s="48"/>
      <c r="BW588" s="48"/>
      <c r="CA588" s="48"/>
      <c r="CE588" s="48"/>
      <c r="CF588" s="48"/>
      <c r="CG588" s="48"/>
      <c r="CH588" s="48"/>
      <c r="CI588" s="48"/>
      <c r="CJ588" s="48"/>
      <c r="CL588" s="48"/>
      <c r="CM588" s="48"/>
      <c r="CN588" s="48"/>
      <c r="CO588" s="48"/>
      <c r="CP588" s="48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  <c r="DD588" s="48"/>
      <c r="DE588" s="48"/>
      <c r="DF588" s="48"/>
      <c r="DG588" s="48"/>
      <c r="DH588" s="48"/>
      <c r="DI588" s="48"/>
      <c r="DJ588" s="48"/>
      <c r="DK588" s="48"/>
      <c r="DL588" s="48"/>
      <c r="DM588" s="48"/>
      <c r="DN588" s="48"/>
      <c r="DO588" s="48"/>
      <c r="DP588" s="48"/>
      <c r="DQ588" s="48"/>
      <c r="DR588" s="48"/>
      <c r="DS588" s="48"/>
      <c r="DT588" s="48"/>
      <c r="DU588" s="48"/>
      <c r="DV588" s="48"/>
      <c r="DW588" s="48"/>
      <c r="DX588" s="48"/>
      <c r="DY588" s="48"/>
      <c r="DZ588" s="48"/>
      <c r="EA588" s="48"/>
      <c r="EC588" s="48"/>
      <c r="ED588" s="48"/>
      <c r="EE588" s="48"/>
      <c r="EF588" s="48"/>
      <c r="EG588" s="48"/>
      <c r="EI588" s="48"/>
      <c r="EK588" s="48"/>
      <c r="EM588" s="48"/>
      <c r="EO588" s="48"/>
      <c r="EP588" s="48"/>
      <c r="EU588" s="48"/>
      <c r="EV588" s="48"/>
      <c r="EW588" s="48"/>
      <c r="EX588" s="48"/>
      <c r="EY588" s="48"/>
      <c r="EZ588" s="48"/>
      <c r="FA588" s="48"/>
      <c r="FB588" s="48"/>
      <c r="FC588" s="48"/>
      <c r="FD588" s="48"/>
      <c r="FE588" s="48"/>
      <c r="FF588" s="48"/>
      <c r="FG588" s="48"/>
      <c r="FI588" s="48"/>
      <c r="FL588" s="48"/>
      <c r="FM588" s="48"/>
      <c r="FN588" s="48"/>
      <c r="FO588" s="48"/>
      <c r="FP588" s="48"/>
      <c r="FQ588" s="48"/>
      <c r="FR588" s="48"/>
      <c r="FS588" s="48"/>
      <c r="FT588" s="48"/>
      <c r="FU588" s="48"/>
      <c r="GI588" s="64"/>
    </row>
    <row r="589" spans="1:19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52"/>
      <c r="BF589" s="48"/>
      <c r="BG589" s="48"/>
      <c r="BI589" s="48"/>
      <c r="BN589" s="48"/>
      <c r="BO589" s="48"/>
      <c r="BR589" s="48"/>
      <c r="BS589" s="48"/>
      <c r="BW589" s="48"/>
      <c r="CA589" s="48"/>
      <c r="CE589" s="48"/>
      <c r="CF589" s="48"/>
      <c r="CG589" s="48"/>
      <c r="CH589" s="48"/>
      <c r="CI589" s="48"/>
      <c r="CJ589" s="48"/>
      <c r="CL589" s="48"/>
      <c r="CM589" s="48"/>
      <c r="CN589" s="48"/>
      <c r="CO589" s="48"/>
      <c r="CP589" s="48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  <c r="DE589" s="48"/>
      <c r="DF589" s="48"/>
      <c r="DG589" s="48"/>
      <c r="DH589" s="48"/>
      <c r="DI589" s="48"/>
      <c r="DJ589" s="48"/>
      <c r="DK589" s="48"/>
      <c r="DL589" s="48"/>
      <c r="DM589" s="48"/>
      <c r="DN589" s="48"/>
      <c r="DO589" s="48"/>
      <c r="DP589" s="48"/>
      <c r="DQ589" s="48"/>
      <c r="DR589" s="48"/>
      <c r="DS589" s="48"/>
      <c r="DT589" s="48"/>
      <c r="DU589" s="48"/>
      <c r="DV589" s="48"/>
      <c r="DW589" s="48"/>
      <c r="DX589" s="48"/>
      <c r="DY589" s="48"/>
      <c r="DZ589" s="48"/>
      <c r="EA589" s="48"/>
      <c r="EC589" s="48"/>
      <c r="ED589" s="48"/>
      <c r="EE589" s="48"/>
      <c r="EF589" s="48"/>
      <c r="EG589" s="48"/>
      <c r="EI589" s="48"/>
      <c r="EK589" s="48"/>
      <c r="EM589" s="48"/>
      <c r="EO589" s="48"/>
      <c r="EP589" s="48"/>
      <c r="EU589" s="48"/>
      <c r="EV589" s="48"/>
      <c r="EW589" s="48"/>
      <c r="EX589" s="48"/>
      <c r="EY589" s="48"/>
      <c r="EZ589" s="48"/>
      <c r="FA589" s="48"/>
      <c r="FB589" s="48"/>
      <c r="FC589" s="48"/>
      <c r="FD589" s="48"/>
      <c r="FE589" s="48"/>
      <c r="FF589" s="48"/>
      <c r="FG589" s="48"/>
      <c r="FI589" s="48"/>
      <c r="FL589" s="48"/>
      <c r="FM589" s="48"/>
      <c r="FN589" s="48"/>
      <c r="FO589" s="48"/>
      <c r="FP589" s="48"/>
      <c r="FQ589" s="48"/>
      <c r="FR589" s="48"/>
      <c r="FS589" s="48"/>
      <c r="FT589" s="48"/>
      <c r="FU589" s="48"/>
      <c r="GI589" s="64"/>
    </row>
    <row r="590" spans="1:19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52"/>
      <c r="BF590" s="48"/>
      <c r="BG590" s="48"/>
      <c r="BI590" s="48"/>
      <c r="BN590" s="48"/>
      <c r="BO590" s="48"/>
      <c r="BR590" s="48"/>
      <c r="BS590" s="48"/>
      <c r="BW590" s="48"/>
      <c r="CA590" s="48"/>
      <c r="CE590" s="48"/>
      <c r="CF590" s="48"/>
      <c r="CG590" s="48"/>
      <c r="CH590" s="48"/>
      <c r="CI590" s="48"/>
      <c r="CJ590" s="48"/>
      <c r="CL590" s="48"/>
      <c r="CM590" s="48"/>
      <c r="CN590" s="48"/>
      <c r="CO590" s="48"/>
      <c r="CP590" s="48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  <c r="DD590" s="48"/>
      <c r="DE590" s="48"/>
      <c r="DF590" s="48"/>
      <c r="DG590" s="48"/>
      <c r="DH590" s="48"/>
      <c r="DI590" s="48"/>
      <c r="DJ590" s="48"/>
      <c r="DK590" s="48"/>
      <c r="DL590" s="48"/>
      <c r="DM590" s="48"/>
      <c r="DN590" s="48"/>
      <c r="DO590" s="48"/>
      <c r="DP590" s="48"/>
      <c r="DQ590" s="48"/>
      <c r="DR590" s="48"/>
      <c r="DS590" s="48"/>
      <c r="DT590" s="48"/>
      <c r="DU590" s="48"/>
      <c r="DV590" s="48"/>
      <c r="DW590" s="48"/>
      <c r="DX590" s="48"/>
      <c r="DY590" s="48"/>
      <c r="DZ590" s="48"/>
      <c r="EA590" s="48"/>
      <c r="EC590" s="48"/>
      <c r="ED590" s="48"/>
      <c r="EE590" s="48"/>
      <c r="EF590" s="48"/>
      <c r="EG590" s="48"/>
      <c r="EI590" s="48"/>
      <c r="EK590" s="48"/>
      <c r="EM590" s="48"/>
      <c r="EO590" s="48"/>
      <c r="EP590" s="48"/>
      <c r="EU590" s="48"/>
      <c r="EV590" s="48"/>
      <c r="EW590" s="48"/>
      <c r="EX590" s="48"/>
      <c r="EY590" s="48"/>
      <c r="EZ590" s="48"/>
      <c r="FA590" s="48"/>
      <c r="FB590" s="48"/>
      <c r="FC590" s="48"/>
      <c r="FD590" s="48"/>
      <c r="FE590" s="48"/>
      <c r="FF590" s="48"/>
      <c r="FG590" s="48"/>
      <c r="FI590" s="48"/>
      <c r="FL590" s="48"/>
      <c r="FM590" s="48"/>
      <c r="FN590" s="48"/>
      <c r="FO590" s="48"/>
      <c r="FP590" s="48"/>
      <c r="FQ590" s="48"/>
      <c r="FR590" s="48"/>
      <c r="FS590" s="48"/>
      <c r="FT590" s="48"/>
      <c r="FU590" s="48"/>
      <c r="GI590" s="64"/>
    </row>
    <row r="591" spans="1:1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52"/>
      <c r="BF591" s="48"/>
      <c r="BG591" s="48"/>
      <c r="BI591" s="48"/>
      <c r="BN591" s="48"/>
      <c r="BO591" s="48"/>
      <c r="BR591" s="48"/>
      <c r="BS591" s="48"/>
      <c r="BW591" s="48"/>
      <c r="CA591" s="48"/>
      <c r="CE591" s="48"/>
      <c r="CF591" s="48"/>
      <c r="CG591" s="48"/>
      <c r="CH591" s="48"/>
      <c r="CI591" s="48"/>
      <c r="CJ591" s="48"/>
      <c r="CL591" s="48"/>
      <c r="CM591" s="48"/>
      <c r="CN591" s="48"/>
      <c r="CO591" s="48"/>
      <c r="CP591" s="48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  <c r="DD591" s="48"/>
      <c r="DE591" s="48"/>
      <c r="DF591" s="48"/>
      <c r="DG591" s="48"/>
      <c r="DH591" s="48"/>
      <c r="DI591" s="48"/>
      <c r="DJ591" s="48"/>
      <c r="DK591" s="48"/>
      <c r="DL591" s="48"/>
      <c r="DM591" s="48"/>
      <c r="DN591" s="48"/>
      <c r="DO591" s="48"/>
      <c r="DP591" s="48"/>
      <c r="DQ591" s="48"/>
      <c r="DR591" s="48"/>
      <c r="DS591" s="48"/>
      <c r="DT591" s="48"/>
      <c r="DU591" s="48"/>
      <c r="DV591" s="48"/>
      <c r="DW591" s="48"/>
      <c r="DX591" s="48"/>
      <c r="DY591" s="48"/>
      <c r="DZ591" s="48"/>
      <c r="EA591" s="48"/>
      <c r="EC591" s="48"/>
      <c r="ED591" s="48"/>
      <c r="EE591" s="48"/>
      <c r="EF591" s="48"/>
      <c r="EG591" s="48"/>
      <c r="EI591" s="48"/>
      <c r="EK591" s="48"/>
      <c r="EM591" s="48"/>
      <c r="EO591" s="48"/>
      <c r="EP591" s="48"/>
      <c r="EU591" s="48"/>
      <c r="EV591" s="48"/>
      <c r="EW591" s="48"/>
      <c r="EX591" s="48"/>
      <c r="EY591" s="48"/>
      <c r="EZ591" s="48"/>
      <c r="FA591" s="48"/>
      <c r="FB591" s="48"/>
      <c r="FC591" s="48"/>
      <c r="FD591" s="48"/>
      <c r="FE591" s="48"/>
      <c r="FF591" s="48"/>
      <c r="FG591" s="48"/>
      <c r="FI591" s="48"/>
      <c r="FL591" s="48"/>
      <c r="FM591" s="48"/>
      <c r="FN591" s="48"/>
      <c r="FO591" s="48"/>
      <c r="FP591" s="48"/>
      <c r="FQ591" s="48"/>
      <c r="FR591" s="48"/>
      <c r="FS591" s="48"/>
      <c r="FT591" s="48"/>
      <c r="FU591" s="48"/>
      <c r="GI591" s="64"/>
    </row>
    <row r="592" spans="1:19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52"/>
      <c r="BF592" s="48"/>
      <c r="BG592" s="48"/>
      <c r="BI592" s="48"/>
      <c r="BN592" s="48"/>
      <c r="BO592" s="48"/>
      <c r="BR592" s="48"/>
      <c r="BS592" s="48"/>
      <c r="BW592" s="48"/>
      <c r="CA592" s="48"/>
      <c r="CE592" s="48"/>
      <c r="CF592" s="48"/>
      <c r="CG592" s="48"/>
      <c r="CH592" s="48"/>
      <c r="CI592" s="48"/>
      <c r="CJ592" s="48"/>
      <c r="CL592" s="48"/>
      <c r="CM592" s="48"/>
      <c r="CN592" s="48"/>
      <c r="CO592" s="48"/>
      <c r="CP592" s="48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  <c r="DE592" s="48"/>
      <c r="DF592" s="48"/>
      <c r="DG592" s="48"/>
      <c r="DH592" s="48"/>
      <c r="DI592" s="48"/>
      <c r="DJ592" s="48"/>
      <c r="DK592" s="48"/>
      <c r="DL592" s="48"/>
      <c r="DM592" s="48"/>
      <c r="DN592" s="48"/>
      <c r="DO592" s="48"/>
      <c r="DP592" s="48"/>
      <c r="DQ592" s="48"/>
      <c r="DR592" s="48"/>
      <c r="DS592" s="48"/>
      <c r="DT592" s="48"/>
      <c r="DU592" s="48"/>
      <c r="DV592" s="48"/>
      <c r="DW592" s="48"/>
      <c r="DX592" s="48"/>
      <c r="DY592" s="48"/>
      <c r="DZ592" s="48"/>
      <c r="EA592" s="48"/>
      <c r="EC592" s="48"/>
      <c r="ED592" s="48"/>
      <c r="EE592" s="48"/>
      <c r="EF592" s="48"/>
      <c r="EG592" s="48"/>
      <c r="EI592" s="48"/>
      <c r="EK592" s="48"/>
      <c r="EM592" s="48"/>
      <c r="EO592" s="48"/>
      <c r="EP592" s="48"/>
      <c r="EU592" s="48"/>
      <c r="EV592" s="48"/>
      <c r="EW592" s="48"/>
      <c r="EX592" s="48"/>
      <c r="EY592" s="48"/>
      <c r="EZ592" s="48"/>
      <c r="FA592" s="48"/>
      <c r="FB592" s="48"/>
      <c r="FC592" s="48"/>
      <c r="FD592" s="48"/>
      <c r="FE592" s="48"/>
      <c r="FF592" s="48"/>
      <c r="FG592" s="48"/>
      <c r="FI592" s="48"/>
      <c r="FL592" s="48"/>
      <c r="FM592" s="48"/>
      <c r="FN592" s="48"/>
      <c r="FO592" s="48"/>
      <c r="FP592" s="48"/>
      <c r="FQ592" s="48"/>
      <c r="FR592" s="48"/>
      <c r="FS592" s="48"/>
      <c r="FT592" s="48"/>
      <c r="FU592" s="48"/>
      <c r="GI592" s="64"/>
    </row>
    <row r="593" spans="1:19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52"/>
      <c r="BF593" s="48"/>
      <c r="BG593" s="48"/>
      <c r="BI593" s="48"/>
      <c r="BN593" s="48"/>
      <c r="BO593" s="48"/>
      <c r="BR593" s="48"/>
      <c r="BS593" s="48"/>
      <c r="BW593" s="48"/>
      <c r="CA593" s="48"/>
      <c r="CE593" s="48"/>
      <c r="CF593" s="48"/>
      <c r="CG593" s="48"/>
      <c r="CH593" s="48"/>
      <c r="CI593" s="48"/>
      <c r="CJ593" s="48"/>
      <c r="CL593" s="48"/>
      <c r="CM593" s="48"/>
      <c r="CN593" s="48"/>
      <c r="CO593" s="48"/>
      <c r="CP593" s="48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  <c r="DD593" s="48"/>
      <c r="DE593" s="48"/>
      <c r="DF593" s="48"/>
      <c r="DG593" s="48"/>
      <c r="DH593" s="48"/>
      <c r="DI593" s="48"/>
      <c r="DJ593" s="48"/>
      <c r="DK593" s="48"/>
      <c r="DL593" s="48"/>
      <c r="DM593" s="48"/>
      <c r="DN593" s="48"/>
      <c r="DO593" s="48"/>
      <c r="DP593" s="48"/>
      <c r="DQ593" s="48"/>
      <c r="DR593" s="48"/>
      <c r="DS593" s="48"/>
      <c r="DT593" s="48"/>
      <c r="DU593" s="48"/>
      <c r="DV593" s="48"/>
      <c r="DW593" s="48"/>
      <c r="DX593" s="48"/>
      <c r="DY593" s="48"/>
      <c r="DZ593" s="48"/>
      <c r="EA593" s="48"/>
      <c r="EC593" s="48"/>
      <c r="ED593" s="48"/>
      <c r="EE593" s="48"/>
      <c r="EF593" s="48"/>
      <c r="EG593" s="48"/>
      <c r="EI593" s="48"/>
      <c r="EK593" s="48"/>
      <c r="EM593" s="48"/>
      <c r="EO593" s="48"/>
      <c r="EP593" s="48"/>
      <c r="EU593" s="48"/>
      <c r="EV593" s="48"/>
      <c r="EW593" s="48"/>
      <c r="EX593" s="48"/>
      <c r="EY593" s="48"/>
      <c r="EZ593" s="48"/>
      <c r="FA593" s="48"/>
      <c r="FB593" s="48"/>
      <c r="FC593" s="48"/>
      <c r="FD593" s="48"/>
      <c r="FE593" s="48"/>
      <c r="FF593" s="48"/>
      <c r="FG593" s="48"/>
      <c r="FI593" s="48"/>
      <c r="FL593" s="48"/>
      <c r="FM593" s="48"/>
      <c r="FN593" s="48"/>
      <c r="FO593" s="48"/>
      <c r="FP593" s="48"/>
      <c r="FQ593" s="48"/>
      <c r="FR593" s="48"/>
      <c r="FS593" s="48"/>
      <c r="FT593" s="48"/>
      <c r="FU593" s="48"/>
      <c r="GI593" s="64"/>
    </row>
    <row r="594" spans="1:19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52"/>
      <c r="BF594" s="48"/>
      <c r="BG594" s="48"/>
      <c r="BI594" s="48"/>
      <c r="BN594" s="48"/>
      <c r="BO594" s="48"/>
      <c r="BR594" s="48"/>
      <c r="BS594" s="48"/>
      <c r="BW594" s="48"/>
      <c r="CA594" s="48"/>
      <c r="CE594" s="48"/>
      <c r="CF594" s="48"/>
      <c r="CG594" s="48"/>
      <c r="CH594" s="48"/>
      <c r="CI594" s="48"/>
      <c r="CJ594" s="48"/>
      <c r="CL594" s="48"/>
      <c r="CM594" s="48"/>
      <c r="CN594" s="48"/>
      <c r="CO594" s="48"/>
      <c r="CP594" s="48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  <c r="DD594" s="48"/>
      <c r="DE594" s="48"/>
      <c r="DF594" s="48"/>
      <c r="DG594" s="48"/>
      <c r="DH594" s="48"/>
      <c r="DI594" s="48"/>
      <c r="DJ594" s="48"/>
      <c r="DK594" s="48"/>
      <c r="DL594" s="48"/>
      <c r="DM594" s="48"/>
      <c r="DN594" s="48"/>
      <c r="DO594" s="48"/>
      <c r="DP594" s="48"/>
      <c r="DQ594" s="48"/>
      <c r="DR594" s="48"/>
      <c r="DS594" s="48"/>
      <c r="DT594" s="48"/>
      <c r="DU594" s="48"/>
      <c r="DV594" s="48"/>
      <c r="DW594" s="48"/>
      <c r="DX594" s="48"/>
      <c r="DY594" s="48"/>
      <c r="DZ594" s="48"/>
      <c r="EA594" s="48"/>
      <c r="EC594" s="48"/>
      <c r="ED594" s="48"/>
      <c r="EE594" s="48"/>
      <c r="EF594" s="48"/>
      <c r="EG594" s="48"/>
      <c r="EI594" s="48"/>
      <c r="EK594" s="48"/>
      <c r="EM594" s="48"/>
      <c r="EO594" s="48"/>
      <c r="EP594" s="48"/>
      <c r="EU594" s="48"/>
      <c r="EV594" s="48"/>
      <c r="EW594" s="48"/>
      <c r="EX594" s="48"/>
      <c r="EY594" s="48"/>
      <c r="EZ594" s="48"/>
      <c r="FA594" s="48"/>
      <c r="FB594" s="48"/>
      <c r="FC594" s="48"/>
      <c r="FD594" s="48"/>
      <c r="FE594" s="48"/>
      <c r="FF594" s="48"/>
      <c r="FG594" s="48"/>
      <c r="FI594" s="48"/>
      <c r="FL594" s="48"/>
      <c r="FM594" s="48"/>
      <c r="FN594" s="48"/>
      <c r="FO594" s="48"/>
      <c r="FP594" s="48"/>
      <c r="FQ594" s="48"/>
      <c r="FR594" s="48"/>
      <c r="FS594" s="48"/>
      <c r="FT594" s="48"/>
      <c r="FU594" s="48"/>
      <c r="GI594" s="64"/>
    </row>
    <row r="595" spans="1:19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52"/>
      <c r="BF595" s="48"/>
      <c r="BG595" s="48"/>
      <c r="BI595" s="48"/>
      <c r="BN595" s="48"/>
      <c r="BO595" s="48"/>
      <c r="BR595" s="48"/>
      <c r="BS595" s="48"/>
      <c r="BW595" s="48"/>
      <c r="CA595" s="48"/>
      <c r="CE595" s="48"/>
      <c r="CF595" s="48"/>
      <c r="CG595" s="48"/>
      <c r="CH595" s="48"/>
      <c r="CI595" s="48"/>
      <c r="CJ595" s="48"/>
      <c r="CL595" s="48"/>
      <c r="CM595" s="48"/>
      <c r="CN595" s="48"/>
      <c r="CO595" s="48"/>
      <c r="CP595" s="48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  <c r="DE595" s="48"/>
      <c r="DF595" s="48"/>
      <c r="DG595" s="48"/>
      <c r="DH595" s="48"/>
      <c r="DI595" s="48"/>
      <c r="DJ595" s="48"/>
      <c r="DK595" s="48"/>
      <c r="DL595" s="48"/>
      <c r="DM595" s="48"/>
      <c r="DN595" s="48"/>
      <c r="DO595" s="48"/>
      <c r="DP595" s="48"/>
      <c r="DQ595" s="48"/>
      <c r="DR595" s="48"/>
      <c r="DS595" s="48"/>
      <c r="DT595" s="48"/>
      <c r="DU595" s="48"/>
      <c r="DV595" s="48"/>
      <c r="DW595" s="48"/>
      <c r="DX595" s="48"/>
      <c r="DY595" s="48"/>
      <c r="DZ595" s="48"/>
      <c r="EA595" s="48"/>
      <c r="EC595" s="48"/>
      <c r="ED595" s="48"/>
      <c r="EE595" s="48"/>
      <c r="EF595" s="48"/>
      <c r="EG595" s="48"/>
      <c r="EI595" s="48"/>
      <c r="EK595" s="48"/>
      <c r="EM595" s="48"/>
      <c r="EO595" s="48"/>
      <c r="EP595" s="48"/>
      <c r="EU595" s="48"/>
      <c r="EV595" s="48"/>
      <c r="EW595" s="48"/>
      <c r="EX595" s="48"/>
      <c r="EY595" s="48"/>
      <c r="EZ595" s="48"/>
      <c r="FA595" s="48"/>
      <c r="FB595" s="48"/>
      <c r="FC595" s="48"/>
      <c r="FD595" s="48"/>
      <c r="FE595" s="48"/>
      <c r="FF595" s="48"/>
      <c r="FG595" s="48"/>
      <c r="FI595" s="48"/>
      <c r="FL595" s="48"/>
      <c r="FM595" s="48"/>
      <c r="FN595" s="48"/>
      <c r="FO595" s="48"/>
      <c r="FP595" s="48"/>
      <c r="FQ595" s="48"/>
      <c r="FR595" s="48"/>
      <c r="FS595" s="48"/>
      <c r="FT595" s="48"/>
      <c r="FU595" s="48"/>
      <c r="GI595" s="64"/>
    </row>
    <row r="596" spans="1:19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52"/>
      <c r="BF596" s="48"/>
      <c r="BG596" s="48"/>
      <c r="BI596" s="48"/>
      <c r="BN596" s="48"/>
      <c r="BO596" s="48"/>
      <c r="BR596" s="48"/>
      <c r="BS596" s="48"/>
      <c r="BW596" s="48"/>
      <c r="CA596" s="48"/>
      <c r="CE596" s="48"/>
      <c r="CF596" s="48"/>
      <c r="CG596" s="48"/>
      <c r="CH596" s="48"/>
      <c r="CI596" s="48"/>
      <c r="CJ596" s="48"/>
      <c r="CL596" s="48"/>
      <c r="CM596" s="48"/>
      <c r="CN596" s="48"/>
      <c r="CO596" s="48"/>
      <c r="CP596" s="48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  <c r="DD596" s="48"/>
      <c r="DE596" s="48"/>
      <c r="DF596" s="48"/>
      <c r="DG596" s="48"/>
      <c r="DH596" s="48"/>
      <c r="DI596" s="48"/>
      <c r="DJ596" s="48"/>
      <c r="DK596" s="48"/>
      <c r="DL596" s="48"/>
      <c r="DM596" s="48"/>
      <c r="DN596" s="48"/>
      <c r="DO596" s="48"/>
      <c r="DP596" s="48"/>
      <c r="DQ596" s="48"/>
      <c r="DR596" s="48"/>
      <c r="DS596" s="48"/>
      <c r="DT596" s="48"/>
      <c r="DU596" s="48"/>
      <c r="DV596" s="48"/>
      <c r="DW596" s="48"/>
      <c r="DX596" s="48"/>
      <c r="DY596" s="48"/>
      <c r="DZ596" s="48"/>
      <c r="EA596" s="48"/>
      <c r="EC596" s="48"/>
      <c r="ED596" s="48"/>
      <c r="EE596" s="48"/>
      <c r="EF596" s="48"/>
      <c r="EG596" s="48"/>
      <c r="EI596" s="48"/>
      <c r="EK596" s="48"/>
      <c r="EM596" s="48"/>
      <c r="EO596" s="48"/>
      <c r="EP596" s="48"/>
      <c r="EU596" s="48"/>
      <c r="EV596" s="48"/>
      <c r="EW596" s="48"/>
      <c r="EX596" s="48"/>
      <c r="EY596" s="48"/>
      <c r="EZ596" s="48"/>
      <c r="FA596" s="48"/>
      <c r="FB596" s="48"/>
      <c r="FC596" s="48"/>
      <c r="FD596" s="48"/>
      <c r="FE596" s="48"/>
      <c r="FF596" s="48"/>
      <c r="FG596" s="48"/>
      <c r="FI596" s="48"/>
      <c r="FL596" s="48"/>
      <c r="FM596" s="48"/>
      <c r="FN596" s="48"/>
      <c r="FO596" s="48"/>
      <c r="FP596" s="48"/>
      <c r="FQ596" s="48"/>
      <c r="FR596" s="48"/>
      <c r="FS596" s="48"/>
      <c r="FT596" s="48"/>
      <c r="FU596" s="48"/>
      <c r="GI596" s="64"/>
    </row>
    <row r="597" spans="1:19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52"/>
      <c r="BF597" s="48"/>
      <c r="BG597" s="48"/>
      <c r="BI597" s="48"/>
      <c r="BN597" s="48"/>
      <c r="BO597" s="48"/>
      <c r="BR597" s="48"/>
      <c r="BS597" s="48"/>
      <c r="BW597" s="48"/>
      <c r="CA597" s="48"/>
      <c r="CE597" s="48"/>
      <c r="CF597" s="48"/>
      <c r="CG597" s="48"/>
      <c r="CH597" s="48"/>
      <c r="CI597" s="48"/>
      <c r="CJ597" s="48"/>
      <c r="CL597" s="48"/>
      <c r="CM597" s="48"/>
      <c r="CN597" s="48"/>
      <c r="CO597" s="48"/>
      <c r="CP597" s="48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  <c r="DD597" s="48"/>
      <c r="DE597" s="48"/>
      <c r="DF597" s="48"/>
      <c r="DG597" s="48"/>
      <c r="DH597" s="48"/>
      <c r="DI597" s="48"/>
      <c r="DJ597" s="48"/>
      <c r="DK597" s="48"/>
      <c r="DL597" s="48"/>
      <c r="DM597" s="48"/>
      <c r="DN597" s="48"/>
      <c r="DO597" s="48"/>
      <c r="DP597" s="48"/>
      <c r="DQ597" s="48"/>
      <c r="DR597" s="48"/>
      <c r="DS597" s="48"/>
      <c r="DT597" s="48"/>
      <c r="DU597" s="48"/>
      <c r="DV597" s="48"/>
      <c r="DW597" s="48"/>
      <c r="DX597" s="48"/>
      <c r="DY597" s="48"/>
      <c r="DZ597" s="48"/>
      <c r="EA597" s="48"/>
      <c r="EC597" s="48"/>
      <c r="ED597" s="48"/>
      <c r="EE597" s="48"/>
      <c r="EF597" s="48"/>
      <c r="EG597" s="48"/>
      <c r="EI597" s="48"/>
      <c r="EK597" s="48"/>
      <c r="EM597" s="48"/>
      <c r="EO597" s="48"/>
      <c r="EP597" s="48"/>
      <c r="EU597" s="48"/>
      <c r="EV597" s="48"/>
      <c r="EW597" s="48"/>
      <c r="EX597" s="48"/>
      <c r="EY597" s="48"/>
      <c r="EZ597" s="48"/>
      <c r="FA597" s="48"/>
      <c r="FB597" s="48"/>
      <c r="FC597" s="48"/>
      <c r="FD597" s="48"/>
      <c r="FE597" s="48"/>
      <c r="FF597" s="48"/>
      <c r="FG597" s="48"/>
      <c r="FI597" s="48"/>
      <c r="FL597" s="48"/>
      <c r="FM597" s="48"/>
      <c r="FN597" s="48"/>
      <c r="FO597" s="48"/>
      <c r="FP597" s="48"/>
      <c r="FQ597" s="48"/>
      <c r="FR597" s="48"/>
      <c r="FS597" s="48"/>
      <c r="FT597" s="48"/>
      <c r="FU597" s="48"/>
      <c r="GI597" s="64"/>
    </row>
    <row r="598" spans="1:19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52"/>
      <c r="BF598" s="48"/>
      <c r="BG598" s="48"/>
      <c r="BI598" s="48"/>
      <c r="BN598" s="48"/>
      <c r="BO598" s="48"/>
      <c r="BR598" s="48"/>
      <c r="BS598" s="48"/>
      <c r="BW598" s="48"/>
      <c r="CA598" s="48"/>
      <c r="CE598" s="48"/>
      <c r="CF598" s="48"/>
      <c r="CG598" s="48"/>
      <c r="CH598" s="48"/>
      <c r="CI598" s="48"/>
      <c r="CJ598" s="48"/>
      <c r="CL598" s="48"/>
      <c r="CM598" s="48"/>
      <c r="CN598" s="48"/>
      <c r="CO598" s="48"/>
      <c r="CP598" s="48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  <c r="DE598" s="48"/>
      <c r="DF598" s="48"/>
      <c r="DG598" s="48"/>
      <c r="DH598" s="48"/>
      <c r="DI598" s="48"/>
      <c r="DJ598" s="48"/>
      <c r="DK598" s="48"/>
      <c r="DL598" s="48"/>
      <c r="DM598" s="48"/>
      <c r="DN598" s="48"/>
      <c r="DO598" s="48"/>
      <c r="DP598" s="48"/>
      <c r="DQ598" s="48"/>
      <c r="DR598" s="48"/>
      <c r="DS598" s="48"/>
      <c r="DT598" s="48"/>
      <c r="DU598" s="48"/>
      <c r="DV598" s="48"/>
      <c r="DW598" s="48"/>
      <c r="DX598" s="48"/>
      <c r="DY598" s="48"/>
      <c r="DZ598" s="48"/>
      <c r="EA598" s="48"/>
      <c r="EC598" s="48"/>
      <c r="ED598" s="48"/>
      <c r="EE598" s="48"/>
      <c r="EF598" s="48"/>
      <c r="EG598" s="48"/>
      <c r="EI598" s="48"/>
      <c r="EK598" s="48"/>
      <c r="EM598" s="48"/>
      <c r="EO598" s="48"/>
      <c r="EP598" s="48"/>
      <c r="EU598" s="48"/>
      <c r="EV598" s="48"/>
      <c r="EW598" s="48"/>
      <c r="EX598" s="48"/>
      <c r="EY598" s="48"/>
      <c r="EZ598" s="48"/>
      <c r="FA598" s="48"/>
      <c r="FB598" s="48"/>
      <c r="FC598" s="48"/>
      <c r="FD598" s="48"/>
      <c r="FE598" s="48"/>
      <c r="FF598" s="48"/>
      <c r="FG598" s="48"/>
      <c r="FI598" s="48"/>
      <c r="FL598" s="48"/>
      <c r="FM598" s="48"/>
      <c r="FN598" s="48"/>
      <c r="FO598" s="48"/>
      <c r="FP598" s="48"/>
      <c r="FQ598" s="48"/>
      <c r="FR598" s="48"/>
      <c r="FS598" s="48"/>
      <c r="FT598" s="48"/>
      <c r="FU598" s="48"/>
      <c r="GI598" s="64"/>
    </row>
    <row r="599" spans="1:19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52"/>
      <c r="BF599" s="48"/>
      <c r="BG599" s="48"/>
      <c r="BI599" s="48"/>
      <c r="BN599" s="48"/>
      <c r="BO599" s="48"/>
      <c r="BR599" s="48"/>
      <c r="BS599" s="48"/>
      <c r="BW599" s="48"/>
      <c r="CA599" s="48"/>
      <c r="CE599" s="48"/>
      <c r="CF599" s="48"/>
      <c r="CG599" s="48"/>
      <c r="CH599" s="48"/>
      <c r="CI599" s="48"/>
      <c r="CJ599" s="48"/>
      <c r="CL599" s="48"/>
      <c r="CM599" s="48"/>
      <c r="CN599" s="48"/>
      <c r="CO599" s="48"/>
      <c r="CP599" s="48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  <c r="DD599" s="48"/>
      <c r="DE599" s="48"/>
      <c r="DF599" s="48"/>
      <c r="DG599" s="48"/>
      <c r="DH599" s="48"/>
      <c r="DI599" s="48"/>
      <c r="DJ599" s="48"/>
      <c r="DK599" s="48"/>
      <c r="DL599" s="48"/>
      <c r="DM599" s="48"/>
      <c r="DN599" s="48"/>
      <c r="DO599" s="48"/>
      <c r="DP599" s="48"/>
      <c r="DQ599" s="48"/>
      <c r="DR599" s="48"/>
      <c r="DS599" s="48"/>
      <c r="DT599" s="48"/>
      <c r="DU599" s="48"/>
      <c r="DV599" s="48"/>
      <c r="DW599" s="48"/>
      <c r="DX599" s="48"/>
      <c r="DY599" s="48"/>
      <c r="DZ599" s="48"/>
      <c r="EA599" s="48"/>
      <c r="EC599" s="48"/>
      <c r="ED599" s="48"/>
      <c r="EE599" s="48"/>
      <c r="EF599" s="48"/>
      <c r="EG599" s="48"/>
      <c r="EI599" s="48"/>
      <c r="EK599" s="48"/>
      <c r="EM599" s="48"/>
      <c r="EO599" s="48"/>
      <c r="EP599" s="48"/>
      <c r="EU599" s="48"/>
      <c r="EV599" s="48"/>
      <c r="EW599" s="48"/>
      <c r="EX599" s="48"/>
      <c r="EY599" s="48"/>
      <c r="EZ599" s="48"/>
      <c r="FA599" s="48"/>
      <c r="FB599" s="48"/>
      <c r="FC599" s="48"/>
      <c r="FD599" s="48"/>
      <c r="FE599" s="48"/>
      <c r="FF599" s="48"/>
      <c r="FG599" s="48"/>
      <c r="FI599" s="48"/>
      <c r="FL599" s="48"/>
      <c r="FM599" s="48"/>
      <c r="FN599" s="48"/>
      <c r="FO599" s="48"/>
      <c r="FP599" s="48"/>
      <c r="FQ599" s="48"/>
      <c r="FR599" s="48"/>
      <c r="FS599" s="48"/>
      <c r="FT599" s="48"/>
      <c r="FU599" s="48"/>
      <c r="GI599" s="64"/>
    </row>
    <row r="600" spans="1:19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52"/>
      <c r="BF600" s="48"/>
      <c r="BG600" s="48"/>
      <c r="BI600" s="48"/>
      <c r="BN600" s="48"/>
      <c r="BO600" s="48"/>
      <c r="BR600" s="48"/>
      <c r="BS600" s="48"/>
      <c r="BW600" s="48"/>
      <c r="CA600" s="48"/>
      <c r="CE600" s="48"/>
      <c r="CF600" s="48"/>
      <c r="CG600" s="48"/>
      <c r="CH600" s="48"/>
      <c r="CI600" s="48"/>
      <c r="CJ600" s="48"/>
      <c r="CL600" s="48"/>
      <c r="CM600" s="48"/>
      <c r="CN600" s="48"/>
      <c r="CO600" s="48"/>
      <c r="CP600" s="48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  <c r="DD600" s="48"/>
      <c r="DE600" s="48"/>
      <c r="DF600" s="48"/>
      <c r="DG600" s="48"/>
      <c r="DH600" s="48"/>
      <c r="DI600" s="48"/>
      <c r="DJ600" s="48"/>
      <c r="DK600" s="48"/>
      <c r="DL600" s="48"/>
      <c r="DM600" s="48"/>
      <c r="DN600" s="48"/>
      <c r="DO600" s="48"/>
      <c r="DP600" s="48"/>
      <c r="DQ600" s="48"/>
      <c r="DR600" s="48"/>
      <c r="DS600" s="48"/>
      <c r="DT600" s="48"/>
      <c r="DU600" s="48"/>
      <c r="DV600" s="48"/>
      <c r="DW600" s="48"/>
      <c r="DX600" s="48"/>
      <c r="DY600" s="48"/>
      <c r="DZ600" s="48"/>
      <c r="EA600" s="48"/>
      <c r="EC600" s="48"/>
      <c r="ED600" s="48"/>
      <c r="EE600" s="48"/>
      <c r="EF600" s="48"/>
      <c r="EG600" s="48"/>
      <c r="EI600" s="48"/>
      <c r="EK600" s="48"/>
      <c r="EM600" s="48"/>
      <c r="EO600" s="48"/>
      <c r="EP600" s="48"/>
      <c r="EU600" s="48"/>
      <c r="EV600" s="48"/>
      <c r="EW600" s="48"/>
      <c r="EX600" s="48"/>
      <c r="EY600" s="48"/>
      <c r="EZ600" s="48"/>
      <c r="FA600" s="48"/>
      <c r="FB600" s="48"/>
      <c r="FC600" s="48"/>
      <c r="FD600" s="48"/>
      <c r="FE600" s="48"/>
      <c r="FF600" s="48"/>
      <c r="FG600" s="48"/>
      <c r="FI600" s="48"/>
      <c r="FL600" s="48"/>
      <c r="FM600" s="48"/>
      <c r="FN600" s="48"/>
      <c r="FO600" s="48"/>
      <c r="FP600" s="48"/>
      <c r="FQ600" s="48"/>
      <c r="FR600" s="48"/>
      <c r="FS600" s="48"/>
      <c r="FT600" s="48"/>
      <c r="FU600" s="48"/>
      <c r="GI600" s="64"/>
    </row>
    <row r="601" spans="1:19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52"/>
      <c r="BF601" s="48"/>
      <c r="BG601" s="48"/>
      <c r="BI601" s="48"/>
      <c r="BN601" s="48"/>
      <c r="BO601" s="48"/>
      <c r="BR601" s="48"/>
      <c r="BS601" s="48"/>
      <c r="BW601" s="48"/>
      <c r="CA601" s="48"/>
      <c r="CE601" s="48"/>
      <c r="CF601" s="48"/>
      <c r="CG601" s="48"/>
      <c r="CH601" s="48"/>
      <c r="CI601" s="48"/>
      <c r="CJ601" s="48"/>
      <c r="CL601" s="48"/>
      <c r="CM601" s="48"/>
      <c r="CN601" s="48"/>
      <c r="CO601" s="48"/>
      <c r="CP601" s="48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  <c r="DE601" s="48"/>
      <c r="DF601" s="48"/>
      <c r="DG601" s="48"/>
      <c r="DH601" s="48"/>
      <c r="DI601" s="48"/>
      <c r="DJ601" s="48"/>
      <c r="DK601" s="48"/>
      <c r="DL601" s="48"/>
      <c r="DM601" s="48"/>
      <c r="DN601" s="48"/>
      <c r="DO601" s="48"/>
      <c r="DP601" s="48"/>
      <c r="DQ601" s="48"/>
      <c r="DR601" s="48"/>
      <c r="DS601" s="48"/>
      <c r="DT601" s="48"/>
      <c r="DU601" s="48"/>
      <c r="DV601" s="48"/>
      <c r="DW601" s="48"/>
      <c r="DX601" s="48"/>
      <c r="DY601" s="48"/>
      <c r="DZ601" s="48"/>
      <c r="EA601" s="48"/>
      <c r="EC601" s="48"/>
      <c r="ED601" s="48"/>
      <c r="EE601" s="48"/>
      <c r="EF601" s="48"/>
      <c r="EG601" s="48"/>
      <c r="EI601" s="48"/>
      <c r="EK601" s="48"/>
      <c r="EM601" s="48"/>
      <c r="EO601" s="48"/>
      <c r="EP601" s="48"/>
      <c r="EU601" s="48"/>
      <c r="EV601" s="48"/>
      <c r="EW601" s="48"/>
      <c r="EX601" s="48"/>
      <c r="EY601" s="48"/>
      <c r="EZ601" s="48"/>
      <c r="FA601" s="48"/>
      <c r="FB601" s="48"/>
      <c r="FC601" s="48"/>
      <c r="FD601" s="48"/>
      <c r="FE601" s="48"/>
      <c r="FF601" s="48"/>
      <c r="FG601" s="48"/>
      <c r="FI601" s="48"/>
      <c r="FL601" s="48"/>
      <c r="FM601" s="48"/>
      <c r="FN601" s="48"/>
      <c r="FO601" s="48"/>
      <c r="FP601" s="48"/>
      <c r="FQ601" s="48"/>
      <c r="FR601" s="48"/>
      <c r="FS601" s="48"/>
      <c r="FT601" s="48"/>
      <c r="FU601" s="48"/>
      <c r="GI601" s="64"/>
    </row>
    <row r="602" spans="1:19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52"/>
      <c r="BF602" s="48"/>
      <c r="BG602" s="48"/>
      <c r="BI602" s="48"/>
      <c r="BN602" s="48"/>
      <c r="BO602" s="48"/>
      <c r="BR602" s="48"/>
      <c r="BS602" s="48"/>
      <c r="BW602" s="48"/>
      <c r="CA602" s="48"/>
      <c r="CE602" s="48"/>
      <c r="CF602" s="48"/>
      <c r="CG602" s="48"/>
      <c r="CH602" s="48"/>
      <c r="CI602" s="48"/>
      <c r="CJ602" s="48"/>
      <c r="CL602" s="48"/>
      <c r="CM602" s="48"/>
      <c r="CN602" s="48"/>
      <c r="CO602" s="48"/>
      <c r="CP602" s="48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  <c r="DD602" s="48"/>
      <c r="DE602" s="48"/>
      <c r="DF602" s="48"/>
      <c r="DG602" s="48"/>
      <c r="DH602" s="48"/>
      <c r="DI602" s="48"/>
      <c r="DJ602" s="48"/>
      <c r="DK602" s="48"/>
      <c r="DL602" s="48"/>
      <c r="DM602" s="48"/>
      <c r="DN602" s="48"/>
      <c r="DO602" s="48"/>
      <c r="DP602" s="48"/>
      <c r="DQ602" s="48"/>
      <c r="DR602" s="48"/>
      <c r="DS602" s="48"/>
      <c r="DT602" s="48"/>
      <c r="DU602" s="48"/>
      <c r="DV602" s="48"/>
      <c r="DW602" s="48"/>
      <c r="DX602" s="48"/>
      <c r="DY602" s="48"/>
      <c r="DZ602" s="48"/>
      <c r="EA602" s="48"/>
      <c r="EC602" s="48"/>
      <c r="ED602" s="48"/>
      <c r="EE602" s="48"/>
      <c r="EF602" s="48"/>
      <c r="EG602" s="48"/>
      <c r="EI602" s="48"/>
      <c r="EK602" s="48"/>
      <c r="EM602" s="48"/>
      <c r="EO602" s="48"/>
      <c r="EP602" s="48"/>
      <c r="EU602" s="48"/>
      <c r="EV602" s="48"/>
      <c r="EW602" s="48"/>
      <c r="EX602" s="48"/>
      <c r="EY602" s="48"/>
      <c r="EZ602" s="48"/>
      <c r="FA602" s="48"/>
      <c r="FB602" s="48"/>
      <c r="FC602" s="48"/>
      <c r="FD602" s="48"/>
      <c r="FE602" s="48"/>
      <c r="FF602" s="48"/>
      <c r="FG602" s="48"/>
      <c r="FI602" s="48"/>
      <c r="FL602" s="48"/>
      <c r="FM602" s="48"/>
      <c r="FN602" s="48"/>
      <c r="FO602" s="48"/>
      <c r="FP602" s="48"/>
      <c r="FQ602" s="48"/>
      <c r="FR602" s="48"/>
      <c r="FS602" s="48"/>
      <c r="FT602" s="48"/>
      <c r="FU602" s="48"/>
      <c r="GI602" s="64"/>
    </row>
    <row r="603" spans="1:19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52"/>
      <c r="BF603" s="48"/>
      <c r="BG603" s="48"/>
      <c r="BI603" s="48"/>
      <c r="BN603" s="48"/>
      <c r="BO603" s="48"/>
      <c r="BR603" s="48"/>
      <c r="BS603" s="48"/>
      <c r="BW603" s="48"/>
      <c r="CA603" s="48"/>
      <c r="CE603" s="48"/>
      <c r="CF603" s="48"/>
      <c r="CG603" s="48"/>
      <c r="CH603" s="48"/>
      <c r="CI603" s="48"/>
      <c r="CJ603" s="48"/>
      <c r="CL603" s="48"/>
      <c r="CM603" s="48"/>
      <c r="CN603" s="48"/>
      <c r="CO603" s="48"/>
      <c r="CP603" s="48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  <c r="DD603" s="48"/>
      <c r="DE603" s="48"/>
      <c r="DF603" s="48"/>
      <c r="DG603" s="48"/>
      <c r="DH603" s="48"/>
      <c r="DI603" s="48"/>
      <c r="DJ603" s="48"/>
      <c r="DK603" s="48"/>
      <c r="DL603" s="48"/>
      <c r="DM603" s="48"/>
      <c r="DN603" s="48"/>
      <c r="DO603" s="48"/>
      <c r="DP603" s="48"/>
      <c r="DQ603" s="48"/>
      <c r="DR603" s="48"/>
      <c r="DS603" s="48"/>
      <c r="DT603" s="48"/>
      <c r="DU603" s="48"/>
      <c r="DV603" s="48"/>
      <c r="DW603" s="48"/>
      <c r="DX603" s="48"/>
      <c r="DY603" s="48"/>
      <c r="DZ603" s="48"/>
      <c r="EA603" s="48"/>
      <c r="EC603" s="48"/>
      <c r="ED603" s="48"/>
      <c r="EE603" s="48"/>
      <c r="EF603" s="48"/>
      <c r="EG603" s="48"/>
      <c r="EI603" s="48"/>
      <c r="EK603" s="48"/>
      <c r="EM603" s="48"/>
      <c r="EO603" s="48"/>
      <c r="EP603" s="48"/>
      <c r="EU603" s="48"/>
      <c r="EV603" s="48"/>
      <c r="EW603" s="48"/>
      <c r="EX603" s="48"/>
      <c r="EY603" s="48"/>
      <c r="EZ603" s="48"/>
      <c r="FA603" s="48"/>
      <c r="FB603" s="48"/>
      <c r="FC603" s="48"/>
      <c r="FD603" s="48"/>
      <c r="FE603" s="48"/>
      <c r="FF603" s="48"/>
      <c r="FG603" s="48"/>
      <c r="FI603" s="48"/>
      <c r="FL603" s="48"/>
      <c r="FM603" s="48"/>
      <c r="FN603" s="48"/>
      <c r="FO603" s="48"/>
      <c r="FP603" s="48"/>
      <c r="FQ603" s="48"/>
      <c r="FR603" s="48"/>
      <c r="FS603" s="48"/>
      <c r="FT603" s="48"/>
      <c r="FU603" s="48"/>
      <c r="GI603" s="64"/>
    </row>
    <row r="604" spans="1:19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52"/>
      <c r="BF604" s="48"/>
      <c r="BG604" s="48"/>
      <c r="BI604" s="48"/>
      <c r="BN604" s="48"/>
      <c r="BO604" s="48"/>
      <c r="BR604" s="48"/>
      <c r="BS604" s="48"/>
      <c r="BW604" s="48"/>
      <c r="CA604" s="48"/>
      <c r="CE604" s="48"/>
      <c r="CF604" s="48"/>
      <c r="CG604" s="48"/>
      <c r="CH604" s="48"/>
      <c r="CI604" s="48"/>
      <c r="CJ604" s="48"/>
      <c r="CL604" s="48"/>
      <c r="CM604" s="48"/>
      <c r="CN604" s="48"/>
      <c r="CO604" s="48"/>
      <c r="CP604" s="48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  <c r="DE604" s="48"/>
      <c r="DF604" s="48"/>
      <c r="DG604" s="48"/>
      <c r="DH604" s="48"/>
      <c r="DI604" s="48"/>
      <c r="DJ604" s="48"/>
      <c r="DK604" s="48"/>
      <c r="DL604" s="48"/>
      <c r="DM604" s="48"/>
      <c r="DN604" s="48"/>
      <c r="DO604" s="48"/>
      <c r="DP604" s="48"/>
      <c r="DQ604" s="48"/>
      <c r="DR604" s="48"/>
      <c r="DS604" s="48"/>
      <c r="DT604" s="48"/>
      <c r="DU604" s="48"/>
      <c r="DV604" s="48"/>
      <c r="DW604" s="48"/>
      <c r="DX604" s="48"/>
      <c r="DY604" s="48"/>
      <c r="DZ604" s="48"/>
      <c r="EA604" s="48"/>
      <c r="EC604" s="48"/>
      <c r="ED604" s="48"/>
      <c r="EE604" s="48"/>
      <c r="EF604" s="48"/>
      <c r="EG604" s="48"/>
      <c r="EI604" s="48"/>
      <c r="EK604" s="48"/>
      <c r="EM604" s="48"/>
      <c r="EO604" s="48"/>
      <c r="EP604" s="48"/>
      <c r="EU604" s="48"/>
      <c r="EV604" s="48"/>
      <c r="EW604" s="48"/>
      <c r="EX604" s="48"/>
      <c r="EY604" s="48"/>
      <c r="EZ604" s="48"/>
      <c r="FA604" s="48"/>
      <c r="FB604" s="48"/>
      <c r="FC604" s="48"/>
      <c r="FD604" s="48"/>
      <c r="FE604" s="48"/>
      <c r="FF604" s="48"/>
      <c r="FG604" s="48"/>
      <c r="FI604" s="48"/>
      <c r="FL604" s="48"/>
      <c r="FM604" s="48"/>
      <c r="FN604" s="48"/>
      <c r="FO604" s="48"/>
      <c r="FP604" s="48"/>
      <c r="FQ604" s="48"/>
      <c r="FR604" s="48"/>
      <c r="FS604" s="48"/>
      <c r="FT604" s="48"/>
      <c r="FU604" s="48"/>
      <c r="GI604" s="64"/>
    </row>
    <row r="605" spans="1:19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52"/>
      <c r="BF605" s="48"/>
      <c r="BG605" s="48"/>
      <c r="BI605" s="48"/>
      <c r="BN605" s="48"/>
      <c r="BO605" s="48"/>
      <c r="BR605" s="48"/>
      <c r="BS605" s="48"/>
      <c r="BW605" s="48"/>
      <c r="CA605" s="48"/>
      <c r="CE605" s="48"/>
      <c r="CF605" s="48"/>
      <c r="CG605" s="48"/>
      <c r="CH605" s="48"/>
      <c r="CI605" s="48"/>
      <c r="CJ605" s="48"/>
      <c r="CL605" s="48"/>
      <c r="CM605" s="48"/>
      <c r="CN605" s="48"/>
      <c r="CO605" s="48"/>
      <c r="CP605" s="48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  <c r="DE605" s="48"/>
      <c r="DF605" s="48"/>
      <c r="DG605" s="48"/>
      <c r="DH605" s="48"/>
      <c r="DI605" s="48"/>
      <c r="DJ605" s="48"/>
      <c r="DK605" s="48"/>
      <c r="DL605" s="48"/>
      <c r="DM605" s="48"/>
      <c r="DN605" s="48"/>
      <c r="DO605" s="48"/>
      <c r="DP605" s="48"/>
      <c r="DQ605" s="48"/>
      <c r="DR605" s="48"/>
      <c r="DS605" s="48"/>
      <c r="DT605" s="48"/>
      <c r="DU605" s="48"/>
      <c r="DV605" s="48"/>
      <c r="DW605" s="48"/>
      <c r="DX605" s="48"/>
      <c r="DY605" s="48"/>
      <c r="DZ605" s="48"/>
      <c r="EA605" s="48"/>
      <c r="EC605" s="48"/>
      <c r="ED605" s="48"/>
      <c r="EE605" s="48"/>
      <c r="EF605" s="48"/>
      <c r="EG605" s="48"/>
      <c r="EI605" s="48"/>
      <c r="EK605" s="48"/>
      <c r="EM605" s="48"/>
      <c r="EO605" s="48"/>
      <c r="EP605" s="48"/>
      <c r="EU605" s="48"/>
      <c r="EV605" s="48"/>
      <c r="EW605" s="48"/>
      <c r="EX605" s="48"/>
      <c r="EY605" s="48"/>
      <c r="EZ605" s="48"/>
      <c r="FA605" s="48"/>
      <c r="FB605" s="48"/>
      <c r="FC605" s="48"/>
      <c r="FD605" s="48"/>
      <c r="FE605" s="48"/>
      <c r="FF605" s="48"/>
      <c r="FG605" s="48"/>
      <c r="FI605" s="48"/>
      <c r="FL605" s="48"/>
      <c r="FM605" s="48"/>
      <c r="FN605" s="48"/>
      <c r="FO605" s="48"/>
      <c r="FP605" s="48"/>
      <c r="FQ605" s="48"/>
      <c r="FR605" s="48"/>
      <c r="FS605" s="48"/>
      <c r="FT605" s="48"/>
      <c r="FU605" s="48"/>
      <c r="GI605" s="64"/>
    </row>
    <row r="606" spans="1:19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52"/>
      <c r="BF606" s="48"/>
      <c r="BG606" s="48"/>
      <c r="BI606" s="48"/>
      <c r="BN606" s="48"/>
      <c r="BO606" s="48"/>
      <c r="BR606" s="48"/>
      <c r="BS606" s="48"/>
      <c r="BW606" s="48"/>
      <c r="CA606" s="48"/>
      <c r="CE606" s="48"/>
      <c r="CF606" s="48"/>
      <c r="CG606" s="48"/>
      <c r="CH606" s="48"/>
      <c r="CI606" s="48"/>
      <c r="CJ606" s="48"/>
      <c r="CL606" s="48"/>
      <c r="CM606" s="48"/>
      <c r="CN606" s="48"/>
      <c r="CO606" s="48"/>
      <c r="CP606" s="48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8"/>
      <c r="DV606" s="48"/>
      <c r="DW606" s="48"/>
      <c r="DX606" s="48"/>
      <c r="DY606" s="48"/>
      <c r="DZ606" s="48"/>
      <c r="EA606" s="48"/>
      <c r="EC606" s="48"/>
      <c r="ED606" s="48"/>
      <c r="EE606" s="48"/>
      <c r="EF606" s="48"/>
      <c r="EG606" s="48"/>
      <c r="EI606" s="48"/>
      <c r="EK606" s="48"/>
      <c r="EM606" s="48"/>
      <c r="EO606" s="48"/>
      <c r="EP606" s="48"/>
      <c r="EU606" s="48"/>
      <c r="EV606" s="48"/>
      <c r="EW606" s="48"/>
      <c r="EX606" s="48"/>
      <c r="EY606" s="48"/>
      <c r="EZ606" s="48"/>
      <c r="FA606" s="48"/>
      <c r="FB606" s="48"/>
      <c r="FC606" s="48"/>
      <c r="FD606" s="48"/>
      <c r="FE606" s="48"/>
      <c r="FF606" s="48"/>
      <c r="FG606" s="48"/>
      <c r="FI606" s="48"/>
      <c r="FL606" s="48"/>
      <c r="FM606" s="48"/>
      <c r="FN606" s="48"/>
      <c r="FO606" s="48"/>
      <c r="FP606" s="48"/>
      <c r="FQ606" s="48"/>
      <c r="FR606" s="48"/>
      <c r="FS606" s="48"/>
      <c r="FT606" s="48"/>
      <c r="FU606" s="48"/>
      <c r="GI606" s="64"/>
    </row>
    <row r="607" spans="1:19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52"/>
      <c r="BF607" s="48"/>
      <c r="BG607" s="48"/>
      <c r="BI607" s="48"/>
      <c r="BN607" s="48"/>
      <c r="BO607" s="48"/>
      <c r="BR607" s="48"/>
      <c r="BS607" s="48"/>
      <c r="BW607" s="48"/>
      <c r="CA607" s="48"/>
      <c r="CE607" s="48"/>
      <c r="CF607" s="48"/>
      <c r="CG607" s="48"/>
      <c r="CH607" s="48"/>
      <c r="CI607" s="48"/>
      <c r="CJ607" s="48"/>
      <c r="CL607" s="48"/>
      <c r="CM607" s="48"/>
      <c r="CN607" s="48"/>
      <c r="CO607" s="48"/>
      <c r="CP607" s="48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8"/>
      <c r="DN607" s="48"/>
      <c r="DO607" s="48"/>
      <c r="DP607" s="48"/>
      <c r="DQ607" s="48"/>
      <c r="DR607" s="48"/>
      <c r="DS607" s="48"/>
      <c r="DT607" s="48"/>
      <c r="DU607" s="48"/>
      <c r="DV607" s="48"/>
      <c r="DW607" s="48"/>
      <c r="DX607" s="48"/>
      <c r="DY607" s="48"/>
      <c r="DZ607" s="48"/>
      <c r="EA607" s="48"/>
      <c r="EC607" s="48"/>
      <c r="ED607" s="48"/>
      <c r="EE607" s="48"/>
      <c r="EF607" s="48"/>
      <c r="EG607" s="48"/>
      <c r="EI607" s="48"/>
      <c r="EK607" s="48"/>
      <c r="EM607" s="48"/>
      <c r="EO607" s="48"/>
      <c r="EP607" s="48"/>
      <c r="EU607" s="48"/>
      <c r="EV607" s="48"/>
      <c r="EW607" s="48"/>
      <c r="EX607" s="48"/>
      <c r="EY607" s="48"/>
      <c r="EZ607" s="48"/>
      <c r="FA607" s="48"/>
      <c r="FB607" s="48"/>
      <c r="FC607" s="48"/>
      <c r="FD607" s="48"/>
      <c r="FE607" s="48"/>
      <c r="FF607" s="48"/>
      <c r="FG607" s="48"/>
      <c r="FI607" s="48"/>
      <c r="FL607" s="48"/>
      <c r="FM607" s="48"/>
      <c r="FN607" s="48"/>
      <c r="FO607" s="48"/>
      <c r="FP607" s="48"/>
      <c r="FQ607" s="48"/>
      <c r="FR607" s="48"/>
      <c r="FS607" s="48"/>
      <c r="FT607" s="48"/>
      <c r="FU607" s="48"/>
      <c r="GI607" s="64"/>
    </row>
    <row r="608" spans="1:19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52"/>
      <c r="BF608" s="48"/>
      <c r="BG608" s="48"/>
      <c r="BI608" s="48"/>
      <c r="BN608" s="48"/>
      <c r="BO608" s="48"/>
      <c r="BR608" s="48"/>
      <c r="BS608" s="48"/>
      <c r="BW608" s="48"/>
      <c r="CA608" s="48"/>
      <c r="CE608" s="48"/>
      <c r="CF608" s="48"/>
      <c r="CG608" s="48"/>
      <c r="CH608" s="48"/>
      <c r="CI608" s="48"/>
      <c r="CJ608" s="48"/>
      <c r="CL608" s="48"/>
      <c r="CM608" s="48"/>
      <c r="CN608" s="48"/>
      <c r="CO608" s="48"/>
      <c r="CP608" s="48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  <c r="DD608" s="48"/>
      <c r="DE608" s="48"/>
      <c r="DF608" s="48"/>
      <c r="DG608" s="48"/>
      <c r="DH608" s="48"/>
      <c r="DI608" s="48"/>
      <c r="DJ608" s="48"/>
      <c r="DK608" s="48"/>
      <c r="DL608" s="48"/>
      <c r="DM608" s="48"/>
      <c r="DN608" s="48"/>
      <c r="DO608" s="48"/>
      <c r="DP608" s="48"/>
      <c r="DQ608" s="48"/>
      <c r="DR608" s="48"/>
      <c r="DS608" s="48"/>
      <c r="DT608" s="48"/>
      <c r="DU608" s="48"/>
      <c r="DV608" s="48"/>
      <c r="DW608" s="48"/>
      <c r="DX608" s="48"/>
      <c r="DY608" s="48"/>
      <c r="DZ608" s="48"/>
      <c r="EA608" s="48"/>
      <c r="EC608" s="48"/>
      <c r="ED608" s="48"/>
      <c r="EE608" s="48"/>
      <c r="EF608" s="48"/>
      <c r="EG608" s="48"/>
      <c r="EI608" s="48"/>
      <c r="EK608" s="48"/>
      <c r="EM608" s="48"/>
      <c r="EO608" s="48"/>
      <c r="EP608" s="48"/>
      <c r="EU608" s="48"/>
      <c r="EV608" s="48"/>
      <c r="EW608" s="48"/>
      <c r="EX608" s="48"/>
      <c r="EY608" s="48"/>
      <c r="EZ608" s="48"/>
      <c r="FA608" s="48"/>
      <c r="FB608" s="48"/>
      <c r="FC608" s="48"/>
      <c r="FD608" s="48"/>
      <c r="FE608" s="48"/>
      <c r="FF608" s="48"/>
      <c r="FG608" s="48"/>
      <c r="FI608" s="48"/>
      <c r="FL608" s="48"/>
      <c r="FM608" s="48"/>
      <c r="FN608" s="48"/>
      <c r="FO608" s="48"/>
      <c r="FP608" s="48"/>
      <c r="FQ608" s="48"/>
      <c r="FR608" s="48"/>
      <c r="FS608" s="48"/>
      <c r="FT608" s="48"/>
      <c r="FU608" s="48"/>
      <c r="GI608" s="64"/>
    </row>
    <row r="609" spans="1:19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52"/>
      <c r="BF609" s="48"/>
      <c r="BG609" s="48"/>
      <c r="BI609" s="48"/>
      <c r="BN609" s="48"/>
      <c r="BO609" s="48"/>
      <c r="BR609" s="48"/>
      <c r="BS609" s="48"/>
      <c r="BW609" s="48"/>
      <c r="CA609" s="48"/>
      <c r="CE609" s="48"/>
      <c r="CF609" s="48"/>
      <c r="CG609" s="48"/>
      <c r="CH609" s="48"/>
      <c r="CI609" s="48"/>
      <c r="CJ609" s="48"/>
      <c r="CL609" s="48"/>
      <c r="CM609" s="48"/>
      <c r="CN609" s="48"/>
      <c r="CO609" s="48"/>
      <c r="CP609" s="48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  <c r="DE609" s="48"/>
      <c r="DF609" s="48"/>
      <c r="DG609" s="48"/>
      <c r="DH609" s="48"/>
      <c r="DI609" s="48"/>
      <c r="DJ609" s="48"/>
      <c r="DK609" s="48"/>
      <c r="DL609" s="48"/>
      <c r="DM609" s="48"/>
      <c r="DN609" s="48"/>
      <c r="DO609" s="48"/>
      <c r="DP609" s="48"/>
      <c r="DQ609" s="48"/>
      <c r="DR609" s="48"/>
      <c r="DS609" s="48"/>
      <c r="DT609" s="48"/>
      <c r="DU609" s="48"/>
      <c r="DV609" s="48"/>
      <c r="DW609" s="48"/>
      <c r="DX609" s="48"/>
      <c r="DY609" s="48"/>
      <c r="DZ609" s="48"/>
      <c r="EA609" s="48"/>
      <c r="EC609" s="48"/>
      <c r="ED609" s="48"/>
      <c r="EE609" s="48"/>
      <c r="EF609" s="48"/>
      <c r="EG609" s="48"/>
      <c r="EI609" s="48"/>
      <c r="EK609" s="48"/>
      <c r="EM609" s="48"/>
      <c r="EO609" s="48"/>
      <c r="EP609" s="48"/>
      <c r="EU609" s="48"/>
      <c r="EV609" s="48"/>
      <c r="EW609" s="48"/>
      <c r="EX609" s="48"/>
      <c r="EY609" s="48"/>
      <c r="EZ609" s="48"/>
      <c r="FA609" s="48"/>
      <c r="FB609" s="48"/>
      <c r="FC609" s="48"/>
      <c r="FD609" s="48"/>
      <c r="FE609" s="48"/>
      <c r="FF609" s="48"/>
      <c r="FG609" s="48"/>
      <c r="FI609" s="48"/>
      <c r="FL609" s="48"/>
      <c r="FM609" s="48"/>
      <c r="FN609" s="48"/>
      <c r="FO609" s="48"/>
      <c r="FP609" s="48"/>
      <c r="FQ609" s="48"/>
      <c r="FR609" s="48"/>
      <c r="FS609" s="48"/>
      <c r="FT609" s="48"/>
      <c r="FU609" s="48"/>
      <c r="GI609" s="64"/>
    </row>
    <row r="610" spans="1:19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52"/>
      <c r="BF610" s="48"/>
      <c r="BG610" s="48"/>
      <c r="BI610" s="48"/>
      <c r="BN610" s="48"/>
      <c r="BO610" s="48"/>
      <c r="BR610" s="48"/>
      <c r="BS610" s="48"/>
      <c r="BW610" s="48"/>
      <c r="CA610" s="48"/>
      <c r="CE610" s="48"/>
      <c r="CF610" s="48"/>
      <c r="CG610" s="48"/>
      <c r="CH610" s="48"/>
      <c r="CI610" s="48"/>
      <c r="CJ610" s="48"/>
      <c r="CL610" s="48"/>
      <c r="CM610" s="48"/>
      <c r="CN610" s="48"/>
      <c r="CO610" s="48"/>
      <c r="CP610" s="48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8"/>
      <c r="DN610" s="48"/>
      <c r="DO610" s="48"/>
      <c r="DP610" s="48"/>
      <c r="DQ610" s="48"/>
      <c r="DR610" s="48"/>
      <c r="DS610" s="48"/>
      <c r="DT610" s="48"/>
      <c r="DU610" s="48"/>
      <c r="DV610" s="48"/>
      <c r="DW610" s="48"/>
      <c r="DX610" s="48"/>
      <c r="DY610" s="48"/>
      <c r="DZ610" s="48"/>
      <c r="EA610" s="48"/>
      <c r="EC610" s="48"/>
      <c r="ED610" s="48"/>
      <c r="EE610" s="48"/>
      <c r="EF610" s="48"/>
      <c r="EG610" s="48"/>
      <c r="EI610" s="48"/>
      <c r="EK610" s="48"/>
      <c r="EM610" s="48"/>
      <c r="EO610" s="48"/>
      <c r="EP610" s="48"/>
      <c r="EU610" s="48"/>
      <c r="EV610" s="48"/>
      <c r="EW610" s="48"/>
      <c r="EX610" s="48"/>
      <c r="EY610" s="48"/>
      <c r="EZ610" s="48"/>
      <c r="FA610" s="48"/>
      <c r="FB610" s="48"/>
      <c r="FC610" s="48"/>
      <c r="FD610" s="48"/>
      <c r="FE610" s="48"/>
      <c r="FF610" s="48"/>
      <c r="FG610" s="48"/>
      <c r="FI610" s="48"/>
      <c r="FL610" s="48"/>
      <c r="FM610" s="48"/>
      <c r="FN610" s="48"/>
      <c r="FO610" s="48"/>
      <c r="FP610" s="48"/>
      <c r="FQ610" s="48"/>
      <c r="FR610" s="48"/>
      <c r="FS610" s="48"/>
      <c r="FT610" s="48"/>
      <c r="FU610" s="48"/>
      <c r="GI610" s="64"/>
    </row>
    <row r="611" spans="1:19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52"/>
      <c r="BF611" s="48"/>
      <c r="BG611" s="48"/>
      <c r="BI611" s="48"/>
      <c r="BN611" s="48"/>
      <c r="BO611" s="48"/>
      <c r="BR611" s="48"/>
      <c r="BS611" s="48"/>
      <c r="BW611" s="48"/>
      <c r="CA611" s="48"/>
      <c r="CE611" s="48"/>
      <c r="CF611" s="48"/>
      <c r="CG611" s="48"/>
      <c r="CH611" s="48"/>
      <c r="CI611" s="48"/>
      <c r="CJ611" s="48"/>
      <c r="CL611" s="48"/>
      <c r="CM611" s="48"/>
      <c r="CN611" s="48"/>
      <c r="CO611" s="48"/>
      <c r="CP611" s="48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  <c r="DD611" s="48"/>
      <c r="DE611" s="48"/>
      <c r="DF611" s="48"/>
      <c r="DG611" s="48"/>
      <c r="DH611" s="48"/>
      <c r="DI611" s="48"/>
      <c r="DJ611" s="48"/>
      <c r="DK611" s="48"/>
      <c r="DL611" s="48"/>
      <c r="DM611" s="48"/>
      <c r="DN611" s="48"/>
      <c r="DO611" s="48"/>
      <c r="DP611" s="48"/>
      <c r="DQ611" s="48"/>
      <c r="DR611" s="48"/>
      <c r="DS611" s="48"/>
      <c r="DT611" s="48"/>
      <c r="DU611" s="48"/>
      <c r="DV611" s="48"/>
      <c r="DW611" s="48"/>
      <c r="DX611" s="48"/>
      <c r="DY611" s="48"/>
      <c r="DZ611" s="48"/>
      <c r="EA611" s="48"/>
      <c r="EC611" s="48"/>
      <c r="ED611" s="48"/>
      <c r="EE611" s="48"/>
      <c r="EF611" s="48"/>
      <c r="EG611" s="48"/>
      <c r="EI611" s="48"/>
      <c r="EK611" s="48"/>
      <c r="EM611" s="48"/>
      <c r="EO611" s="48"/>
      <c r="EP611" s="48"/>
      <c r="EU611" s="48"/>
      <c r="EV611" s="48"/>
      <c r="EW611" s="48"/>
      <c r="EX611" s="48"/>
      <c r="EY611" s="48"/>
      <c r="EZ611" s="48"/>
      <c r="FA611" s="48"/>
      <c r="FB611" s="48"/>
      <c r="FC611" s="48"/>
      <c r="FD611" s="48"/>
      <c r="FE611" s="48"/>
      <c r="FF611" s="48"/>
      <c r="FG611" s="48"/>
      <c r="FI611" s="48"/>
      <c r="FL611" s="48"/>
      <c r="FM611" s="48"/>
      <c r="FN611" s="48"/>
      <c r="FO611" s="48"/>
      <c r="FP611" s="48"/>
      <c r="FQ611" s="48"/>
      <c r="FR611" s="48"/>
      <c r="FS611" s="48"/>
      <c r="FT611" s="48"/>
      <c r="FU611" s="48"/>
      <c r="GI611" s="64"/>
    </row>
    <row r="612" spans="1:19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52"/>
      <c r="BF612" s="48"/>
      <c r="BG612" s="48"/>
      <c r="BI612" s="48"/>
      <c r="BN612" s="48"/>
      <c r="BO612" s="48"/>
      <c r="BR612" s="48"/>
      <c r="BS612" s="48"/>
      <c r="BW612" s="48"/>
      <c r="CA612" s="48"/>
      <c r="CE612" s="48"/>
      <c r="CF612" s="48"/>
      <c r="CG612" s="48"/>
      <c r="CH612" s="48"/>
      <c r="CI612" s="48"/>
      <c r="CJ612" s="48"/>
      <c r="CL612" s="48"/>
      <c r="CM612" s="48"/>
      <c r="CN612" s="48"/>
      <c r="CO612" s="48"/>
      <c r="CP612" s="48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  <c r="DD612" s="48"/>
      <c r="DE612" s="48"/>
      <c r="DF612" s="48"/>
      <c r="DG612" s="48"/>
      <c r="DH612" s="48"/>
      <c r="DI612" s="48"/>
      <c r="DJ612" s="48"/>
      <c r="DK612" s="48"/>
      <c r="DL612" s="48"/>
      <c r="DM612" s="48"/>
      <c r="DN612" s="48"/>
      <c r="DO612" s="48"/>
      <c r="DP612" s="48"/>
      <c r="DQ612" s="48"/>
      <c r="DR612" s="48"/>
      <c r="DS612" s="48"/>
      <c r="DT612" s="48"/>
      <c r="DU612" s="48"/>
      <c r="DV612" s="48"/>
      <c r="DW612" s="48"/>
      <c r="DX612" s="48"/>
      <c r="DY612" s="48"/>
      <c r="DZ612" s="48"/>
      <c r="EA612" s="48"/>
      <c r="EC612" s="48"/>
      <c r="ED612" s="48"/>
      <c r="EE612" s="48"/>
      <c r="EF612" s="48"/>
      <c r="EG612" s="48"/>
      <c r="EI612" s="48"/>
      <c r="EK612" s="48"/>
      <c r="EM612" s="48"/>
      <c r="EO612" s="48"/>
      <c r="EP612" s="48"/>
      <c r="EU612" s="48"/>
      <c r="EV612" s="48"/>
      <c r="EW612" s="48"/>
      <c r="EX612" s="48"/>
      <c r="EY612" s="48"/>
      <c r="EZ612" s="48"/>
      <c r="FA612" s="48"/>
      <c r="FB612" s="48"/>
      <c r="FC612" s="48"/>
      <c r="FD612" s="48"/>
      <c r="FE612" s="48"/>
      <c r="FF612" s="48"/>
      <c r="FG612" s="48"/>
      <c r="FI612" s="48"/>
      <c r="FL612" s="48"/>
      <c r="FM612" s="48"/>
      <c r="FN612" s="48"/>
      <c r="FO612" s="48"/>
      <c r="FP612" s="48"/>
      <c r="FQ612" s="48"/>
      <c r="FR612" s="48"/>
      <c r="FS612" s="48"/>
      <c r="FT612" s="48"/>
      <c r="FU612" s="48"/>
      <c r="GI612" s="64"/>
    </row>
    <row r="613" spans="1:19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52"/>
      <c r="BF613" s="48"/>
      <c r="BG613" s="48"/>
      <c r="BI613" s="48"/>
      <c r="BN613" s="48"/>
      <c r="BO613" s="48"/>
      <c r="BR613" s="48"/>
      <c r="BS613" s="48"/>
      <c r="BW613" s="48"/>
      <c r="CA613" s="48"/>
      <c r="CE613" s="48"/>
      <c r="CF613" s="48"/>
      <c r="CG613" s="48"/>
      <c r="CH613" s="48"/>
      <c r="CI613" s="48"/>
      <c r="CJ613" s="48"/>
      <c r="CL613" s="48"/>
      <c r="CM613" s="48"/>
      <c r="CN613" s="48"/>
      <c r="CO613" s="48"/>
      <c r="CP613" s="48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  <c r="DE613" s="48"/>
      <c r="DF613" s="48"/>
      <c r="DG613" s="48"/>
      <c r="DH613" s="48"/>
      <c r="DI613" s="48"/>
      <c r="DJ613" s="48"/>
      <c r="DK613" s="48"/>
      <c r="DL613" s="48"/>
      <c r="DM613" s="48"/>
      <c r="DN613" s="48"/>
      <c r="DO613" s="48"/>
      <c r="DP613" s="48"/>
      <c r="DQ613" s="48"/>
      <c r="DR613" s="48"/>
      <c r="DS613" s="48"/>
      <c r="DT613" s="48"/>
      <c r="DU613" s="48"/>
      <c r="DV613" s="48"/>
      <c r="DW613" s="48"/>
      <c r="DX613" s="48"/>
      <c r="DY613" s="48"/>
      <c r="DZ613" s="48"/>
      <c r="EA613" s="48"/>
      <c r="EC613" s="48"/>
      <c r="ED613" s="48"/>
      <c r="EE613" s="48"/>
      <c r="EF613" s="48"/>
      <c r="EG613" s="48"/>
      <c r="EI613" s="48"/>
      <c r="EK613" s="48"/>
      <c r="EM613" s="48"/>
      <c r="EO613" s="48"/>
      <c r="EP613" s="48"/>
      <c r="EU613" s="48"/>
      <c r="EV613" s="48"/>
      <c r="EW613" s="48"/>
      <c r="EX613" s="48"/>
      <c r="EY613" s="48"/>
      <c r="EZ613" s="48"/>
      <c r="FA613" s="48"/>
      <c r="FB613" s="48"/>
      <c r="FC613" s="48"/>
      <c r="FD613" s="48"/>
      <c r="FE613" s="48"/>
      <c r="FF613" s="48"/>
      <c r="FG613" s="48"/>
      <c r="FI613" s="48"/>
      <c r="FL613" s="48"/>
      <c r="FM613" s="48"/>
      <c r="FN613" s="48"/>
      <c r="FO613" s="48"/>
      <c r="FP613" s="48"/>
      <c r="FQ613" s="48"/>
      <c r="FR613" s="48"/>
      <c r="FS613" s="48"/>
      <c r="FT613" s="48"/>
      <c r="FU613" s="48"/>
      <c r="GI613" s="64"/>
    </row>
    <row r="614" spans="1:19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52"/>
      <c r="BF614" s="48"/>
      <c r="BG614" s="48"/>
      <c r="BI614" s="48"/>
      <c r="BN614" s="48"/>
      <c r="BO614" s="48"/>
      <c r="BR614" s="48"/>
      <c r="BS614" s="48"/>
      <c r="BW614" s="48"/>
      <c r="CA614" s="48"/>
      <c r="CE614" s="48"/>
      <c r="CF614" s="48"/>
      <c r="CG614" s="48"/>
      <c r="CH614" s="48"/>
      <c r="CI614" s="48"/>
      <c r="CJ614" s="48"/>
      <c r="CL614" s="48"/>
      <c r="CM614" s="48"/>
      <c r="CN614" s="48"/>
      <c r="CO614" s="48"/>
      <c r="CP614" s="48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  <c r="DD614" s="48"/>
      <c r="DE614" s="48"/>
      <c r="DF614" s="48"/>
      <c r="DG614" s="48"/>
      <c r="DH614" s="48"/>
      <c r="DI614" s="48"/>
      <c r="DJ614" s="48"/>
      <c r="DK614" s="48"/>
      <c r="DL614" s="48"/>
      <c r="DM614" s="48"/>
      <c r="DN614" s="48"/>
      <c r="DO614" s="48"/>
      <c r="DP614" s="48"/>
      <c r="DQ614" s="48"/>
      <c r="DR614" s="48"/>
      <c r="DS614" s="48"/>
      <c r="DT614" s="48"/>
      <c r="DU614" s="48"/>
      <c r="DV614" s="48"/>
      <c r="DW614" s="48"/>
      <c r="DX614" s="48"/>
      <c r="DY614" s="48"/>
      <c r="DZ614" s="48"/>
      <c r="EA614" s="48"/>
      <c r="EC614" s="48"/>
      <c r="ED614" s="48"/>
      <c r="EE614" s="48"/>
      <c r="EF614" s="48"/>
      <c r="EG614" s="48"/>
      <c r="EI614" s="48"/>
      <c r="EK614" s="48"/>
      <c r="EM614" s="48"/>
      <c r="EO614" s="48"/>
      <c r="EP614" s="48"/>
      <c r="EU614" s="48"/>
      <c r="EV614" s="48"/>
      <c r="EW614" s="48"/>
      <c r="EX614" s="48"/>
      <c r="EY614" s="48"/>
      <c r="EZ614" s="48"/>
      <c r="FA614" s="48"/>
      <c r="FB614" s="48"/>
      <c r="FC614" s="48"/>
      <c r="FD614" s="48"/>
      <c r="FE614" s="48"/>
      <c r="FF614" s="48"/>
      <c r="FG614" s="48"/>
      <c r="FI614" s="48"/>
      <c r="FL614" s="48"/>
      <c r="FM614" s="48"/>
      <c r="FN614" s="48"/>
      <c r="FO614" s="48"/>
      <c r="FP614" s="48"/>
      <c r="FQ614" s="48"/>
      <c r="FR614" s="48"/>
      <c r="FS614" s="48"/>
      <c r="FT614" s="48"/>
      <c r="FU614" s="48"/>
      <c r="GI614" s="64"/>
    </row>
    <row r="615" spans="1:19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52"/>
      <c r="BF615" s="48"/>
      <c r="BG615" s="48"/>
      <c r="BI615" s="48"/>
      <c r="BN615" s="48"/>
      <c r="BO615" s="48"/>
      <c r="BR615" s="48"/>
      <c r="BS615" s="48"/>
      <c r="BW615" s="48"/>
      <c r="CA615" s="48"/>
      <c r="CE615" s="48"/>
      <c r="CF615" s="48"/>
      <c r="CG615" s="48"/>
      <c r="CH615" s="48"/>
      <c r="CI615" s="48"/>
      <c r="CJ615" s="48"/>
      <c r="CL615" s="48"/>
      <c r="CM615" s="48"/>
      <c r="CN615" s="48"/>
      <c r="CO615" s="48"/>
      <c r="CP615" s="48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  <c r="DE615" s="48"/>
      <c r="DF615" s="48"/>
      <c r="DG615" s="48"/>
      <c r="DH615" s="48"/>
      <c r="DI615" s="48"/>
      <c r="DJ615" s="48"/>
      <c r="DK615" s="48"/>
      <c r="DL615" s="48"/>
      <c r="DM615" s="48"/>
      <c r="DN615" s="48"/>
      <c r="DO615" s="48"/>
      <c r="DP615" s="48"/>
      <c r="DQ615" s="48"/>
      <c r="DR615" s="48"/>
      <c r="DS615" s="48"/>
      <c r="DT615" s="48"/>
      <c r="DU615" s="48"/>
      <c r="DV615" s="48"/>
      <c r="DW615" s="48"/>
      <c r="DX615" s="48"/>
      <c r="DY615" s="48"/>
      <c r="DZ615" s="48"/>
      <c r="EA615" s="48"/>
      <c r="EC615" s="48"/>
      <c r="ED615" s="48"/>
      <c r="EE615" s="48"/>
      <c r="EF615" s="48"/>
      <c r="EG615" s="48"/>
      <c r="EI615" s="48"/>
      <c r="EK615" s="48"/>
      <c r="EM615" s="48"/>
      <c r="EO615" s="48"/>
      <c r="EP615" s="48"/>
      <c r="EU615" s="48"/>
      <c r="EV615" s="48"/>
      <c r="EW615" s="48"/>
      <c r="EX615" s="48"/>
      <c r="EY615" s="48"/>
      <c r="EZ615" s="48"/>
      <c r="FA615" s="48"/>
      <c r="FB615" s="48"/>
      <c r="FC615" s="48"/>
      <c r="FD615" s="48"/>
      <c r="FE615" s="48"/>
      <c r="FF615" s="48"/>
      <c r="FG615" s="48"/>
      <c r="FI615" s="48"/>
      <c r="FL615" s="48"/>
      <c r="FM615" s="48"/>
      <c r="FN615" s="48"/>
      <c r="FO615" s="48"/>
      <c r="FP615" s="48"/>
      <c r="FQ615" s="48"/>
      <c r="FR615" s="48"/>
      <c r="FS615" s="48"/>
      <c r="FT615" s="48"/>
      <c r="FU615" s="48"/>
      <c r="GI615" s="64"/>
    </row>
    <row r="616" spans="1:19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52"/>
      <c r="BF616" s="48"/>
      <c r="BG616" s="48"/>
      <c r="BI616" s="48"/>
      <c r="BN616" s="48"/>
      <c r="BO616" s="48"/>
      <c r="BR616" s="48"/>
      <c r="BS616" s="48"/>
      <c r="BW616" s="48"/>
      <c r="CA616" s="48"/>
      <c r="CE616" s="48"/>
      <c r="CF616" s="48"/>
      <c r="CG616" s="48"/>
      <c r="CH616" s="48"/>
      <c r="CI616" s="48"/>
      <c r="CJ616" s="48"/>
      <c r="CL616" s="48"/>
      <c r="CM616" s="48"/>
      <c r="CN616" s="48"/>
      <c r="CO616" s="48"/>
      <c r="CP616" s="48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8"/>
      <c r="DN616" s="48"/>
      <c r="DO616" s="48"/>
      <c r="DP616" s="48"/>
      <c r="DQ616" s="48"/>
      <c r="DR616" s="48"/>
      <c r="DS616" s="48"/>
      <c r="DT616" s="48"/>
      <c r="DU616" s="48"/>
      <c r="DV616" s="48"/>
      <c r="DW616" s="48"/>
      <c r="DX616" s="48"/>
      <c r="DY616" s="48"/>
      <c r="DZ616" s="48"/>
      <c r="EA616" s="48"/>
      <c r="EC616" s="48"/>
      <c r="ED616" s="48"/>
      <c r="EE616" s="48"/>
      <c r="EF616" s="48"/>
      <c r="EG616" s="48"/>
      <c r="EI616" s="48"/>
      <c r="EK616" s="48"/>
      <c r="EM616" s="48"/>
      <c r="EO616" s="48"/>
      <c r="EP616" s="48"/>
      <c r="EU616" s="48"/>
      <c r="EV616" s="48"/>
      <c r="EW616" s="48"/>
      <c r="EX616" s="48"/>
      <c r="EY616" s="48"/>
      <c r="EZ616" s="48"/>
      <c r="FA616" s="48"/>
      <c r="FB616" s="48"/>
      <c r="FC616" s="48"/>
      <c r="FD616" s="48"/>
      <c r="FE616" s="48"/>
      <c r="FF616" s="48"/>
      <c r="FG616" s="48"/>
      <c r="FI616" s="48"/>
      <c r="FL616" s="48"/>
      <c r="FM616" s="48"/>
      <c r="FN616" s="48"/>
      <c r="FO616" s="48"/>
      <c r="FP616" s="48"/>
      <c r="FQ616" s="48"/>
      <c r="FR616" s="48"/>
      <c r="FS616" s="48"/>
      <c r="FT616" s="48"/>
      <c r="FU616" s="48"/>
      <c r="GI616" s="64"/>
    </row>
    <row r="617" spans="1:19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52"/>
      <c r="BF617" s="48"/>
      <c r="BG617" s="48"/>
      <c r="BI617" s="48"/>
      <c r="BN617" s="48"/>
      <c r="BO617" s="48"/>
      <c r="BR617" s="48"/>
      <c r="BS617" s="48"/>
      <c r="BW617" s="48"/>
      <c r="CA617" s="48"/>
      <c r="CE617" s="48"/>
      <c r="CF617" s="48"/>
      <c r="CG617" s="48"/>
      <c r="CH617" s="48"/>
      <c r="CI617" s="48"/>
      <c r="CJ617" s="48"/>
      <c r="CL617" s="48"/>
      <c r="CM617" s="48"/>
      <c r="CN617" s="48"/>
      <c r="CO617" s="48"/>
      <c r="CP617" s="48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  <c r="DD617" s="48"/>
      <c r="DE617" s="48"/>
      <c r="DF617" s="48"/>
      <c r="DG617" s="48"/>
      <c r="DH617" s="48"/>
      <c r="DI617" s="48"/>
      <c r="DJ617" s="48"/>
      <c r="DK617" s="48"/>
      <c r="DL617" s="48"/>
      <c r="DM617" s="48"/>
      <c r="DN617" s="48"/>
      <c r="DO617" s="48"/>
      <c r="DP617" s="48"/>
      <c r="DQ617" s="48"/>
      <c r="DR617" s="48"/>
      <c r="DS617" s="48"/>
      <c r="DT617" s="48"/>
      <c r="DU617" s="48"/>
      <c r="DV617" s="48"/>
      <c r="DW617" s="48"/>
      <c r="DX617" s="48"/>
      <c r="DY617" s="48"/>
      <c r="DZ617" s="48"/>
      <c r="EA617" s="48"/>
      <c r="EC617" s="48"/>
      <c r="ED617" s="48"/>
      <c r="EE617" s="48"/>
      <c r="EF617" s="48"/>
      <c r="EG617" s="48"/>
      <c r="EI617" s="48"/>
      <c r="EK617" s="48"/>
      <c r="EM617" s="48"/>
      <c r="EO617" s="48"/>
      <c r="EP617" s="48"/>
      <c r="EU617" s="48"/>
      <c r="EV617" s="48"/>
      <c r="EW617" s="48"/>
      <c r="EX617" s="48"/>
      <c r="EY617" s="48"/>
      <c r="EZ617" s="48"/>
      <c r="FA617" s="48"/>
      <c r="FB617" s="48"/>
      <c r="FC617" s="48"/>
      <c r="FD617" s="48"/>
      <c r="FE617" s="48"/>
      <c r="FF617" s="48"/>
      <c r="FG617" s="48"/>
      <c r="FI617" s="48"/>
      <c r="FL617" s="48"/>
      <c r="FM617" s="48"/>
      <c r="FN617" s="48"/>
      <c r="FO617" s="48"/>
      <c r="FP617" s="48"/>
      <c r="FQ617" s="48"/>
      <c r="FR617" s="48"/>
      <c r="FS617" s="48"/>
      <c r="FT617" s="48"/>
      <c r="FU617" s="48"/>
      <c r="GI617" s="64"/>
    </row>
    <row r="618" spans="1:19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52"/>
      <c r="BF618" s="48"/>
      <c r="BG618" s="48"/>
      <c r="BI618" s="48"/>
      <c r="BN618" s="48"/>
      <c r="BO618" s="48"/>
      <c r="BR618" s="48"/>
      <c r="BS618" s="48"/>
      <c r="BW618" s="48"/>
      <c r="CA618" s="48"/>
      <c r="CE618" s="48"/>
      <c r="CF618" s="48"/>
      <c r="CG618" s="48"/>
      <c r="CH618" s="48"/>
      <c r="CI618" s="48"/>
      <c r="CJ618" s="48"/>
      <c r="CL618" s="48"/>
      <c r="CM618" s="48"/>
      <c r="CN618" s="48"/>
      <c r="CO618" s="48"/>
      <c r="CP618" s="48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  <c r="DD618" s="48"/>
      <c r="DE618" s="48"/>
      <c r="DF618" s="48"/>
      <c r="DG618" s="48"/>
      <c r="DH618" s="48"/>
      <c r="DI618" s="48"/>
      <c r="DJ618" s="48"/>
      <c r="DK618" s="48"/>
      <c r="DL618" s="48"/>
      <c r="DM618" s="48"/>
      <c r="DN618" s="48"/>
      <c r="DO618" s="48"/>
      <c r="DP618" s="48"/>
      <c r="DQ618" s="48"/>
      <c r="DR618" s="48"/>
      <c r="DS618" s="48"/>
      <c r="DT618" s="48"/>
      <c r="DU618" s="48"/>
      <c r="DV618" s="48"/>
      <c r="DW618" s="48"/>
      <c r="DX618" s="48"/>
      <c r="DY618" s="48"/>
      <c r="DZ618" s="48"/>
      <c r="EA618" s="48"/>
      <c r="EC618" s="48"/>
      <c r="ED618" s="48"/>
      <c r="EE618" s="48"/>
      <c r="EF618" s="48"/>
      <c r="EG618" s="48"/>
      <c r="EI618" s="48"/>
      <c r="EK618" s="48"/>
      <c r="EM618" s="48"/>
      <c r="EO618" s="48"/>
      <c r="EP618" s="48"/>
      <c r="EU618" s="48"/>
      <c r="EV618" s="48"/>
      <c r="EW618" s="48"/>
      <c r="EX618" s="48"/>
      <c r="EY618" s="48"/>
      <c r="EZ618" s="48"/>
      <c r="FA618" s="48"/>
      <c r="FB618" s="48"/>
      <c r="FC618" s="48"/>
      <c r="FD618" s="48"/>
      <c r="FE618" s="48"/>
      <c r="FF618" s="48"/>
      <c r="FG618" s="48"/>
      <c r="FI618" s="48"/>
      <c r="FL618" s="48"/>
      <c r="FM618" s="48"/>
      <c r="FN618" s="48"/>
      <c r="FO618" s="48"/>
      <c r="FP618" s="48"/>
      <c r="FQ618" s="48"/>
      <c r="FR618" s="48"/>
      <c r="FS618" s="48"/>
      <c r="FT618" s="48"/>
      <c r="FU618" s="48"/>
      <c r="GI618" s="64"/>
    </row>
    <row r="619" spans="1:19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52"/>
      <c r="BF619" s="48"/>
      <c r="BG619" s="48"/>
      <c r="BI619" s="48"/>
      <c r="BN619" s="48"/>
      <c r="BO619" s="48"/>
      <c r="BR619" s="48"/>
      <c r="BS619" s="48"/>
      <c r="BW619" s="48"/>
      <c r="CA619" s="48"/>
      <c r="CE619" s="48"/>
      <c r="CF619" s="48"/>
      <c r="CG619" s="48"/>
      <c r="CH619" s="48"/>
      <c r="CI619" s="48"/>
      <c r="CJ619" s="48"/>
      <c r="CL619" s="48"/>
      <c r="CM619" s="48"/>
      <c r="CN619" s="48"/>
      <c r="CO619" s="48"/>
      <c r="CP619" s="48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  <c r="DE619" s="48"/>
      <c r="DF619" s="48"/>
      <c r="DG619" s="48"/>
      <c r="DH619" s="48"/>
      <c r="DI619" s="48"/>
      <c r="DJ619" s="48"/>
      <c r="DK619" s="48"/>
      <c r="DL619" s="48"/>
      <c r="DM619" s="48"/>
      <c r="DN619" s="48"/>
      <c r="DO619" s="48"/>
      <c r="DP619" s="48"/>
      <c r="DQ619" s="48"/>
      <c r="DR619" s="48"/>
      <c r="DS619" s="48"/>
      <c r="DT619" s="48"/>
      <c r="DU619" s="48"/>
      <c r="DV619" s="48"/>
      <c r="DW619" s="48"/>
      <c r="DX619" s="48"/>
      <c r="DY619" s="48"/>
      <c r="DZ619" s="48"/>
      <c r="EA619" s="48"/>
      <c r="EC619" s="48"/>
      <c r="ED619" s="48"/>
      <c r="EE619" s="48"/>
      <c r="EF619" s="48"/>
      <c r="EG619" s="48"/>
      <c r="EI619" s="48"/>
      <c r="EK619" s="48"/>
      <c r="EM619" s="48"/>
      <c r="EO619" s="48"/>
      <c r="EP619" s="48"/>
      <c r="EU619" s="48"/>
      <c r="EV619" s="48"/>
      <c r="EW619" s="48"/>
      <c r="EX619" s="48"/>
      <c r="EY619" s="48"/>
      <c r="EZ619" s="48"/>
      <c r="FA619" s="48"/>
      <c r="FB619" s="48"/>
      <c r="FC619" s="48"/>
      <c r="FD619" s="48"/>
      <c r="FE619" s="48"/>
      <c r="FF619" s="48"/>
      <c r="FG619" s="48"/>
      <c r="FI619" s="48"/>
      <c r="FL619" s="48"/>
      <c r="FM619" s="48"/>
      <c r="FN619" s="48"/>
      <c r="FO619" s="48"/>
      <c r="FP619" s="48"/>
      <c r="FQ619" s="48"/>
      <c r="FR619" s="48"/>
      <c r="FS619" s="48"/>
      <c r="FT619" s="48"/>
      <c r="FU619" s="48"/>
      <c r="GI619" s="64"/>
    </row>
    <row r="620" spans="1:19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52"/>
      <c r="BF620" s="48"/>
      <c r="BG620" s="48"/>
      <c r="BI620" s="48"/>
      <c r="BN620" s="48"/>
      <c r="BO620" s="48"/>
      <c r="BR620" s="48"/>
      <c r="BS620" s="48"/>
      <c r="BW620" s="48"/>
      <c r="CA620" s="48"/>
      <c r="CE620" s="48"/>
      <c r="CF620" s="48"/>
      <c r="CG620" s="48"/>
      <c r="CH620" s="48"/>
      <c r="CI620" s="48"/>
      <c r="CJ620" s="48"/>
      <c r="CL620" s="48"/>
      <c r="CM620" s="48"/>
      <c r="CN620" s="48"/>
      <c r="CO620" s="48"/>
      <c r="CP620" s="48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  <c r="DD620" s="48"/>
      <c r="DE620" s="48"/>
      <c r="DF620" s="48"/>
      <c r="DG620" s="48"/>
      <c r="DH620" s="48"/>
      <c r="DI620" s="48"/>
      <c r="DJ620" s="48"/>
      <c r="DK620" s="48"/>
      <c r="DL620" s="48"/>
      <c r="DM620" s="48"/>
      <c r="DN620" s="48"/>
      <c r="DO620" s="48"/>
      <c r="DP620" s="48"/>
      <c r="DQ620" s="48"/>
      <c r="DR620" s="48"/>
      <c r="DS620" s="48"/>
      <c r="DT620" s="48"/>
      <c r="DU620" s="48"/>
      <c r="DV620" s="48"/>
      <c r="DW620" s="48"/>
      <c r="DX620" s="48"/>
      <c r="DY620" s="48"/>
      <c r="DZ620" s="48"/>
      <c r="EA620" s="48"/>
      <c r="EC620" s="48"/>
      <c r="ED620" s="48"/>
      <c r="EE620" s="48"/>
      <c r="EF620" s="48"/>
      <c r="EG620" s="48"/>
      <c r="EI620" s="48"/>
      <c r="EK620" s="48"/>
      <c r="EM620" s="48"/>
      <c r="EO620" s="48"/>
      <c r="EP620" s="48"/>
      <c r="EU620" s="48"/>
      <c r="EV620" s="48"/>
      <c r="EW620" s="48"/>
      <c r="EX620" s="48"/>
      <c r="EY620" s="48"/>
      <c r="EZ620" s="48"/>
      <c r="FA620" s="48"/>
      <c r="FB620" s="48"/>
      <c r="FC620" s="48"/>
      <c r="FD620" s="48"/>
      <c r="FE620" s="48"/>
      <c r="FF620" s="48"/>
      <c r="FG620" s="48"/>
      <c r="FI620" s="48"/>
      <c r="FL620" s="48"/>
      <c r="FM620" s="48"/>
      <c r="FN620" s="48"/>
      <c r="FO620" s="48"/>
      <c r="FP620" s="48"/>
      <c r="FQ620" s="48"/>
      <c r="FR620" s="48"/>
      <c r="FS620" s="48"/>
      <c r="FT620" s="48"/>
      <c r="FU620" s="48"/>
      <c r="GI620" s="64"/>
    </row>
    <row r="621" spans="1:19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52"/>
      <c r="BF621" s="48"/>
      <c r="BG621" s="48"/>
      <c r="BI621" s="48"/>
      <c r="BN621" s="48"/>
      <c r="BO621" s="48"/>
      <c r="BR621" s="48"/>
      <c r="BS621" s="48"/>
      <c r="BW621" s="48"/>
      <c r="CA621" s="48"/>
      <c r="CE621" s="48"/>
      <c r="CF621" s="48"/>
      <c r="CG621" s="48"/>
      <c r="CH621" s="48"/>
      <c r="CI621" s="48"/>
      <c r="CJ621" s="48"/>
      <c r="CL621" s="48"/>
      <c r="CM621" s="48"/>
      <c r="CN621" s="48"/>
      <c r="CO621" s="48"/>
      <c r="CP621" s="48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  <c r="DD621" s="48"/>
      <c r="DE621" s="48"/>
      <c r="DF621" s="48"/>
      <c r="DG621" s="48"/>
      <c r="DH621" s="48"/>
      <c r="DI621" s="48"/>
      <c r="DJ621" s="48"/>
      <c r="DK621" s="48"/>
      <c r="DL621" s="48"/>
      <c r="DM621" s="48"/>
      <c r="DN621" s="48"/>
      <c r="DO621" s="48"/>
      <c r="DP621" s="48"/>
      <c r="DQ621" s="48"/>
      <c r="DR621" s="48"/>
      <c r="DS621" s="48"/>
      <c r="DT621" s="48"/>
      <c r="DU621" s="48"/>
      <c r="DV621" s="48"/>
      <c r="DW621" s="48"/>
      <c r="DX621" s="48"/>
      <c r="DY621" s="48"/>
      <c r="DZ621" s="48"/>
      <c r="EA621" s="48"/>
      <c r="EC621" s="48"/>
      <c r="ED621" s="48"/>
      <c r="EE621" s="48"/>
      <c r="EF621" s="48"/>
      <c r="EG621" s="48"/>
      <c r="EI621" s="48"/>
      <c r="EK621" s="48"/>
      <c r="EM621" s="48"/>
      <c r="EO621" s="48"/>
      <c r="EP621" s="48"/>
      <c r="EU621" s="48"/>
      <c r="EV621" s="48"/>
      <c r="EW621" s="48"/>
      <c r="EX621" s="48"/>
      <c r="EY621" s="48"/>
      <c r="EZ621" s="48"/>
      <c r="FA621" s="48"/>
      <c r="FB621" s="48"/>
      <c r="FC621" s="48"/>
      <c r="FD621" s="48"/>
      <c r="FE621" s="48"/>
      <c r="FF621" s="48"/>
      <c r="FG621" s="48"/>
      <c r="FI621" s="48"/>
      <c r="FL621" s="48"/>
      <c r="FM621" s="48"/>
      <c r="FN621" s="48"/>
      <c r="FO621" s="48"/>
      <c r="FP621" s="48"/>
      <c r="FQ621" s="48"/>
      <c r="FR621" s="48"/>
      <c r="FS621" s="48"/>
      <c r="FT621" s="48"/>
      <c r="FU621" s="48"/>
      <c r="GI621" s="64"/>
    </row>
    <row r="622" spans="1:19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52"/>
      <c r="BF622" s="48"/>
      <c r="BG622" s="48"/>
      <c r="BI622" s="48"/>
      <c r="BN622" s="48"/>
      <c r="BO622" s="48"/>
      <c r="BR622" s="48"/>
      <c r="BS622" s="48"/>
      <c r="BW622" s="48"/>
      <c r="CA622" s="48"/>
      <c r="CE622" s="48"/>
      <c r="CF622" s="48"/>
      <c r="CG622" s="48"/>
      <c r="CH622" s="48"/>
      <c r="CI622" s="48"/>
      <c r="CJ622" s="48"/>
      <c r="CL622" s="48"/>
      <c r="CM622" s="48"/>
      <c r="CN622" s="48"/>
      <c r="CO622" s="48"/>
      <c r="CP622" s="48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  <c r="DE622" s="48"/>
      <c r="DF622" s="48"/>
      <c r="DG622" s="48"/>
      <c r="DH622" s="48"/>
      <c r="DI622" s="48"/>
      <c r="DJ622" s="48"/>
      <c r="DK622" s="48"/>
      <c r="DL622" s="48"/>
      <c r="DM622" s="48"/>
      <c r="DN622" s="48"/>
      <c r="DO622" s="48"/>
      <c r="DP622" s="48"/>
      <c r="DQ622" s="48"/>
      <c r="DR622" s="48"/>
      <c r="DS622" s="48"/>
      <c r="DT622" s="48"/>
      <c r="DU622" s="48"/>
      <c r="DV622" s="48"/>
      <c r="DW622" s="48"/>
      <c r="DX622" s="48"/>
      <c r="DY622" s="48"/>
      <c r="DZ622" s="48"/>
      <c r="EA622" s="48"/>
      <c r="EC622" s="48"/>
      <c r="ED622" s="48"/>
      <c r="EE622" s="48"/>
      <c r="EF622" s="48"/>
      <c r="EG622" s="48"/>
      <c r="EI622" s="48"/>
      <c r="EK622" s="48"/>
      <c r="EM622" s="48"/>
      <c r="EO622" s="48"/>
      <c r="EP622" s="48"/>
      <c r="EU622" s="48"/>
      <c r="EV622" s="48"/>
      <c r="EW622" s="48"/>
      <c r="EX622" s="48"/>
      <c r="EY622" s="48"/>
      <c r="EZ622" s="48"/>
      <c r="FA622" s="48"/>
      <c r="FB622" s="48"/>
      <c r="FC622" s="48"/>
      <c r="FD622" s="48"/>
      <c r="FE622" s="48"/>
      <c r="FF622" s="48"/>
      <c r="FG622" s="48"/>
      <c r="FI622" s="48"/>
      <c r="FL622" s="48"/>
      <c r="FM622" s="48"/>
      <c r="FN622" s="48"/>
      <c r="FO622" s="48"/>
      <c r="FP622" s="48"/>
      <c r="FQ622" s="48"/>
      <c r="FR622" s="48"/>
      <c r="FS622" s="48"/>
      <c r="FT622" s="48"/>
      <c r="FU622" s="48"/>
      <c r="GI622" s="64"/>
    </row>
    <row r="623" spans="1:19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52"/>
      <c r="BF623" s="48"/>
      <c r="BG623" s="48"/>
      <c r="BI623" s="48"/>
      <c r="BN623" s="48"/>
      <c r="BO623" s="48"/>
      <c r="BR623" s="48"/>
      <c r="BS623" s="48"/>
      <c r="BW623" s="48"/>
      <c r="CA623" s="48"/>
      <c r="CE623" s="48"/>
      <c r="CF623" s="48"/>
      <c r="CG623" s="48"/>
      <c r="CH623" s="48"/>
      <c r="CI623" s="48"/>
      <c r="CJ623" s="48"/>
      <c r="CL623" s="48"/>
      <c r="CM623" s="48"/>
      <c r="CN623" s="48"/>
      <c r="CO623" s="48"/>
      <c r="CP623" s="48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  <c r="DD623" s="48"/>
      <c r="DE623" s="48"/>
      <c r="DF623" s="48"/>
      <c r="DG623" s="48"/>
      <c r="DH623" s="48"/>
      <c r="DI623" s="48"/>
      <c r="DJ623" s="48"/>
      <c r="DK623" s="48"/>
      <c r="DL623" s="48"/>
      <c r="DM623" s="48"/>
      <c r="DN623" s="48"/>
      <c r="DO623" s="48"/>
      <c r="DP623" s="48"/>
      <c r="DQ623" s="48"/>
      <c r="DR623" s="48"/>
      <c r="DS623" s="48"/>
      <c r="DT623" s="48"/>
      <c r="DU623" s="48"/>
      <c r="DV623" s="48"/>
      <c r="DW623" s="48"/>
      <c r="DX623" s="48"/>
      <c r="DY623" s="48"/>
      <c r="DZ623" s="48"/>
      <c r="EA623" s="48"/>
      <c r="EC623" s="48"/>
      <c r="ED623" s="48"/>
      <c r="EE623" s="48"/>
      <c r="EF623" s="48"/>
      <c r="EG623" s="48"/>
      <c r="EI623" s="48"/>
      <c r="EK623" s="48"/>
      <c r="EM623" s="48"/>
      <c r="EO623" s="48"/>
      <c r="EP623" s="48"/>
      <c r="EU623" s="48"/>
      <c r="EV623" s="48"/>
      <c r="EW623" s="48"/>
      <c r="EX623" s="48"/>
      <c r="EY623" s="48"/>
      <c r="EZ623" s="48"/>
      <c r="FA623" s="48"/>
      <c r="FB623" s="48"/>
      <c r="FC623" s="48"/>
      <c r="FD623" s="48"/>
      <c r="FE623" s="48"/>
      <c r="FF623" s="48"/>
      <c r="FG623" s="48"/>
      <c r="FI623" s="48"/>
      <c r="FL623" s="48"/>
      <c r="FM623" s="48"/>
      <c r="FN623" s="48"/>
      <c r="FO623" s="48"/>
      <c r="FP623" s="48"/>
      <c r="FQ623" s="48"/>
      <c r="FR623" s="48"/>
      <c r="FS623" s="48"/>
      <c r="FT623" s="48"/>
      <c r="FU623" s="48"/>
      <c r="GI623" s="64"/>
    </row>
    <row r="624" spans="1:19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52"/>
      <c r="BF624" s="48"/>
      <c r="BG624" s="48"/>
      <c r="BI624" s="48"/>
      <c r="BN624" s="48"/>
      <c r="BO624" s="48"/>
      <c r="BR624" s="48"/>
      <c r="BS624" s="48"/>
      <c r="BW624" s="48"/>
      <c r="CA624" s="48"/>
      <c r="CE624" s="48"/>
      <c r="CF624" s="48"/>
      <c r="CG624" s="48"/>
      <c r="CH624" s="48"/>
      <c r="CI624" s="48"/>
      <c r="CJ624" s="48"/>
      <c r="CL624" s="48"/>
      <c r="CM624" s="48"/>
      <c r="CN624" s="48"/>
      <c r="CO624" s="48"/>
      <c r="CP624" s="48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  <c r="DE624" s="48"/>
      <c r="DF624" s="48"/>
      <c r="DG624" s="48"/>
      <c r="DH624" s="48"/>
      <c r="DI624" s="48"/>
      <c r="DJ624" s="48"/>
      <c r="DK624" s="48"/>
      <c r="DL624" s="48"/>
      <c r="DM624" s="48"/>
      <c r="DN624" s="48"/>
      <c r="DO624" s="48"/>
      <c r="DP624" s="48"/>
      <c r="DQ624" s="48"/>
      <c r="DR624" s="48"/>
      <c r="DS624" s="48"/>
      <c r="DT624" s="48"/>
      <c r="DU624" s="48"/>
      <c r="DV624" s="48"/>
      <c r="DW624" s="48"/>
      <c r="DX624" s="48"/>
      <c r="DY624" s="48"/>
      <c r="DZ624" s="48"/>
      <c r="EA624" s="48"/>
      <c r="EC624" s="48"/>
      <c r="ED624" s="48"/>
      <c r="EE624" s="48"/>
      <c r="EF624" s="48"/>
      <c r="EG624" s="48"/>
      <c r="EI624" s="48"/>
      <c r="EK624" s="48"/>
      <c r="EM624" s="48"/>
      <c r="EO624" s="48"/>
      <c r="EP624" s="48"/>
      <c r="EU624" s="48"/>
      <c r="EV624" s="48"/>
      <c r="EW624" s="48"/>
      <c r="EX624" s="48"/>
      <c r="EY624" s="48"/>
      <c r="EZ624" s="48"/>
      <c r="FA624" s="48"/>
      <c r="FB624" s="48"/>
      <c r="FC624" s="48"/>
      <c r="FD624" s="48"/>
      <c r="FE624" s="48"/>
      <c r="FF624" s="48"/>
      <c r="FG624" s="48"/>
      <c r="FI624" s="48"/>
      <c r="FL624" s="48"/>
      <c r="FM624" s="48"/>
      <c r="FN624" s="48"/>
      <c r="FO624" s="48"/>
      <c r="FP624" s="48"/>
      <c r="FQ624" s="48"/>
      <c r="FR624" s="48"/>
      <c r="FS624" s="48"/>
      <c r="FT624" s="48"/>
      <c r="FU624" s="48"/>
      <c r="GI624" s="64"/>
    </row>
    <row r="625" spans="1:19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52"/>
      <c r="BF625" s="48"/>
      <c r="BG625" s="48"/>
      <c r="BI625" s="48"/>
      <c r="BN625" s="48"/>
      <c r="BO625" s="48"/>
      <c r="BR625" s="48"/>
      <c r="BS625" s="48"/>
      <c r="BW625" s="48"/>
      <c r="CA625" s="48"/>
      <c r="CE625" s="48"/>
      <c r="CF625" s="48"/>
      <c r="CG625" s="48"/>
      <c r="CH625" s="48"/>
      <c r="CI625" s="48"/>
      <c r="CJ625" s="48"/>
      <c r="CL625" s="48"/>
      <c r="CM625" s="48"/>
      <c r="CN625" s="48"/>
      <c r="CO625" s="48"/>
      <c r="CP625" s="48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8"/>
      <c r="DN625" s="48"/>
      <c r="DO625" s="48"/>
      <c r="DP625" s="48"/>
      <c r="DQ625" s="48"/>
      <c r="DR625" s="48"/>
      <c r="DS625" s="48"/>
      <c r="DT625" s="48"/>
      <c r="DU625" s="48"/>
      <c r="DV625" s="48"/>
      <c r="DW625" s="48"/>
      <c r="DX625" s="48"/>
      <c r="DY625" s="48"/>
      <c r="DZ625" s="48"/>
      <c r="EA625" s="48"/>
      <c r="EC625" s="48"/>
      <c r="ED625" s="48"/>
      <c r="EE625" s="48"/>
      <c r="EF625" s="48"/>
      <c r="EG625" s="48"/>
      <c r="EI625" s="48"/>
      <c r="EK625" s="48"/>
      <c r="EM625" s="48"/>
      <c r="EO625" s="48"/>
      <c r="EP625" s="48"/>
      <c r="EU625" s="48"/>
      <c r="EV625" s="48"/>
      <c r="EW625" s="48"/>
      <c r="EX625" s="48"/>
      <c r="EY625" s="48"/>
      <c r="EZ625" s="48"/>
      <c r="FA625" s="48"/>
      <c r="FB625" s="48"/>
      <c r="FC625" s="48"/>
      <c r="FD625" s="48"/>
      <c r="FE625" s="48"/>
      <c r="FF625" s="48"/>
      <c r="FG625" s="48"/>
      <c r="FI625" s="48"/>
      <c r="FL625" s="48"/>
      <c r="FM625" s="48"/>
      <c r="FN625" s="48"/>
      <c r="FO625" s="48"/>
      <c r="FP625" s="48"/>
      <c r="FQ625" s="48"/>
      <c r="FR625" s="48"/>
      <c r="FS625" s="48"/>
      <c r="FT625" s="48"/>
      <c r="FU625" s="48"/>
      <c r="GI625" s="64"/>
    </row>
    <row r="626" spans="1:19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52"/>
      <c r="BF626" s="48"/>
      <c r="BG626" s="48"/>
      <c r="BI626" s="48"/>
      <c r="BN626" s="48"/>
      <c r="BO626" s="48"/>
      <c r="BR626" s="48"/>
      <c r="BS626" s="48"/>
      <c r="BW626" s="48"/>
      <c r="CA626" s="48"/>
      <c r="CE626" s="48"/>
      <c r="CF626" s="48"/>
      <c r="CG626" s="48"/>
      <c r="CH626" s="48"/>
      <c r="CI626" s="48"/>
      <c r="CJ626" s="48"/>
      <c r="CL626" s="48"/>
      <c r="CM626" s="48"/>
      <c r="CN626" s="48"/>
      <c r="CO626" s="48"/>
      <c r="CP626" s="48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  <c r="DD626" s="48"/>
      <c r="DE626" s="48"/>
      <c r="DF626" s="48"/>
      <c r="DG626" s="48"/>
      <c r="DH626" s="48"/>
      <c r="DI626" s="48"/>
      <c r="DJ626" s="48"/>
      <c r="DK626" s="48"/>
      <c r="DL626" s="48"/>
      <c r="DM626" s="48"/>
      <c r="DN626" s="48"/>
      <c r="DO626" s="48"/>
      <c r="DP626" s="48"/>
      <c r="DQ626" s="48"/>
      <c r="DR626" s="48"/>
      <c r="DS626" s="48"/>
      <c r="DT626" s="48"/>
      <c r="DU626" s="48"/>
      <c r="DV626" s="48"/>
      <c r="DW626" s="48"/>
      <c r="DX626" s="48"/>
      <c r="DY626" s="48"/>
      <c r="DZ626" s="48"/>
      <c r="EA626" s="48"/>
      <c r="EC626" s="48"/>
      <c r="ED626" s="48"/>
      <c r="EE626" s="48"/>
      <c r="EF626" s="48"/>
      <c r="EG626" s="48"/>
      <c r="EI626" s="48"/>
      <c r="EK626" s="48"/>
      <c r="EM626" s="48"/>
      <c r="EO626" s="48"/>
      <c r="EP626" s="48"/>
      <c r="EU626" s="48"/>
      <c r="EV626" s="48"/>
      <c r="EW626" s="48"/>
      <c r="EX626" s="48"/>
      <c r="EY626" s="48"/>
      <c r="EZ626" s="48"/>
      <c r="FA626" s="48"/>
      <c r="FB626" s="48"/>
      <c r="FC626" s="48"/>
      <c r="FD626" s="48"/>
      <c r="FE626" s="48"/>
      <c r="FF626" s="48"/>
      <c r="FG626" s="48"/>
      <c r="FI626" s="48"/>
      <c r="FL626" s="48"/>
      <c r="FM626" s="48"/>
      <c r="FN626" s="48"/>
      <c r="FO626" s="48"/>
      <c r="FP626" s="48"/>
      <c r="FQ626" s="48"/>
      <c r="FR626" s="48"/>
      <c r="FS626" s="48"/>
      <c r="FT626" s="48"/>
      <c r="FU626" s="48"/>
      <c r="GI626" s="64"/>
    </row>
    <row r="627" spans="1:19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52"/>
      <c r="BF627" s="48"/>
      <c r="BG627" s="48"/>
      <c r="BI627" s="48"/>
      <c r="BN627" s="48"/>
      <c r="BO627" s="48"/>
      <c r="BR627" s="48"/>
      <c r="BS627" s="48"/>
      <c r="BW627" s="48"/>
      <c r="CA627" s="48"/>
      <c r="CE627" s="48"/>
      <c r="CF627" s="48"/>
      <c r="CG627" s="48"/>
      <c r="CH627" s="48"/>
      <c r="CI627" s="48"/>
      <c r="CJ627" s="48"/>
      <c r="CL627" s="48"/>
      <c r="CM627" s="48"/>
      <c r="CN627" s="48"/>
      <c r="CO627" s="48"/>
      <c r="CP627" s="48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  <c r="DD627" s="48"/>
      <c r="DE627" s="48"/>
      <c r="DF627" s="48"/>
      <c r="DG627" s="48"/>
      <c r="DH627" s="48"/>
      <c r="DI627" s="48"/>
      <c r="DJ627" s="48"/>
      <c r="DK627" s="48"/>
      <c r="DL627" s="48"/>
      <c r="DM627" s="48"/>
      <c r="DN627" s="48"/>
      <c r="DO627" s="48"/>
      <c r="DP627" s="48"/>
      <c r="DQ627" s="48"/>
      <c r="DR627" s="48"/>
      <c r="DS627" s="48"/>
      <c r="DT627" s="48"/>
      <c r="DU627" s="48"/>
      <c r="DV627" s="48"/>
      <c r="DW627" s="48"/>
      <c r="DX627" s="48"/>
      <c r="DY627" s="48"/>
      <c r="DZ627" s="48"/>
      <c r="EA627" s="48"/>
      <c r="EC627" s="48"/>
      <c r="ED627" s="48"/>
      <c r="EE627" s="48"/>
      <c r="EF627" s="48"/>
      <c r="EG627" s="48"/>
      <c r="EI627" s="48"/>
      <c r="EK627" s="48"/>
      <c r="EM627" s="48"/>
      <c r="EO627" s="48"/>
      <c r="EP627" s="48"/>
      <c r="EU627" s="48"/>
      <c r="EV627" s="48"/>
      <c r="EW627" s="48"/>
      <c r="EX627" s="48"/>
      <c r="EY627" s="48"/>
      <c r="EZ627" s="48"/>
      <c r="FA627" s="48"/>
      <c r="FB627" s="48"/>
      <c r="FC627" s="48"/>
      <c r="FD627" s="48"/>
      <c r="FE627" s="48"/>
      <c r="FF627" s="48"/>
      <c r="FG627" s="48"/>
      <c r="FI627" s="48"/>
      <c r="FL627" s="48"/>
      <c r="FM627" s="48"/>
      <c r="FN627" s="48"/>
      <c r="FO627" s="48"/>
      <c r="FP627" s="48"/>
      <c r="FQ627" s="48"/>
      <c r="FR627" s="48"/>
      <c r="FS627" s="48"/>
      <c r="FT627" s="48"/>
      <c r="FU627" s="48"/>
    </row>
    <row r="628" spans="1:19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52"/>
      <c r="BF628" s="48"/>
      <c r="BG628" s="48"/>
      <c r="BI628" s="48"/>
      <c r="BN628" s="48"/>
      <c r="BO628" s="48"/>
      <c r="BR628" s="48"/>
      <c r="BS628" s="48"/>
      <c r="BW628" s="48"/>
      <c r="CA628" s="48"/>
      <c r="CE628" s="48"/>
      <c r="CF628" s="48"/>
      <c r="CG628" s="48"/>
      <c r="CH628" s="48"/>
      <c r="CI628" s="48"/>
      <c r="CJ628" s="48"/>
      <c r="CL628" s="48"/>
      <c r="CM628" s="48"/>
      <c r="CN628" s="48"/>
      <c r="CO628" s="48"/>
      <c r="CP628" s="48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  <c r="DE628" s="48"/>
      <c r="DF628" s="48"/>
      <c r="DG628" s="48"/>
      <c r="DH628" s="48"/>
      <c r="DI628" s="48"/>
      <c r="DJ628" s="48"/>
      <c r="DK628" s="48"/>
      <c r="DL628" s="48"/>
      <c r="DM628" s="48"/>
      <c r="DN628" s="48"/>
      <c r="DO628" s="48"/>
      <c r="DP628" s="48"/>
      <c r="DQ628" s="48"/>
      <c r="DR628" s="48"/>
      <c r="DS628" s="48"/>
      <c r="DT628" s="48"/>
      <c r="DU628" s="48"/>
      <c r="DV628" s="48"/>
      <c r="DW628" s="48"/>
      <c r="DX628" s="48"/>
      <c r="DY628" s="48"/>
      <c r="DZ628" s="48"/>
      <c r="EA628" s="48"/>
      <c r="EC628" s="48"/>
      <c r="ED628" s="48"/>
      <c r="EE628" s="48"/>
      <c r="EF628" s="48"/>
      <c r="EG628" s="48"/>
      <c r="EI628" s="48"/>
      <c r="EK628" s="48"/>
      <c r="EM628" s="48"/>
      <c r="EO628" s="48"/>
      <c r="EP628" s="48"/>
      <c r="EU628" s="48"/>
      <c r="EV628" s="48"/>
      <c r="EW628" s="48"/>
      <c r="EX628" s="48"/>
      <c r="EY628" s="48"/>
      <c r="EZ628" s="48"/>
      <c r="FA628" s="48"/>
      <c r="FB628" s="48"/>
      <c r="FC628" s="48"/>
      <c r="FD628" s="48"/>
      <c r="FE628" s="48"/>
      <c r="FF628" s="48"/>
      <c r="FG628" s="48"/>
      <c r="FI628" s="48"/>
      <c r="FL628" s="48"/>
      <c r="FM628" s="48"/>
      <c r="FN628" s="48"/>
      <c r="FO628" s="48"/>
      <c r="FP628" s="48"/>
      <c r="FQ628" s="48"/>
      <c r="FR628" s="48"/>
      <c r="FS628" s="48"/>
      <c r="FT628" s="48"/>
      <c r="FU628" s="48"/>
    </row>
    <row r="629" spans="1:19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52"/>
      <c r="BF629" s="48"/>
      <c r="BG629" s="48"/>
      <c r="BI629" s="48"/>
      <c r="BN629" s="48"/>
      <c r="BO629" s="48"/>
      <c r="BR629" s="48"/>
      <c r="BS629" s="48"/>
      <c r="BW629" s="48"/>
      <c r="CA629" s="48"/>
      <c r="CE629" s="48"/>
      <c r="CF629" s="48"/>
      <c r="CG629" s="48"/>
      <c r="CH629" s="48"/>
      <c r="CI629" s="48"/>
      <c r="CJ629" s="48"/>
      <c r="CL629" s="48"/>
      <c r="CM629" s="48"/>
      <c r="CN629" s="48"/>
      <c r="CO629" s="48"/>
      <c r="CP629" s="48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  <c r="DD629" s="48"/>
      <c r="DE629" s="48"/>
      <c r="DF629" s="48"/>
      <c r="DG629" s="48"/>
      <c r="DH629" s="48"/>
      <c r="DI629" s="48"/>
      <c r="DJ629" s="48"/>
      <c r="DK629" s="48"/>
      <c r="DL629" s="48"/>
      <c r="DM629" s="48"/>
      <c r="DN629" s="48"/>
      <c r="DO629" s="48"/>
      <c r="DP629" s="48"/>
      <c r="DQ629" s="48"/>
      <c r="DR629" s="48"/>
      <c r="DS629" s="48"/>
      <c r="DT629" s="48"/>
      <c r="DU629" s="48"/>
      <c r="DV629" s="48"/>
      <c r="DW629" s="48"/>
      <c r="DX629" s="48"/>
      <c r="DY629" s="48"/>
      <c r="DZ629" s="48"/>
      <c r="EA629" s="48"/>
      <c r="EC629" s="48"/>
      <c r="ED629" s="48"/>
      <c r="EE629" s="48"/>
      <c r="EF629" s="48"/>
      <c r="EG629" s="48"/>
      <c r="EI629" s="48"/>
      <c r="EK629" s="48"/>
      <c r="EM629" s="48"/>
      <c r="EO629" s="48"/>
      <c r="EP629" s="48"/>
      <c r="EU629" s="48"/>
      <c r="EV629" s="48"/>
      <c r="EW629" s="48"/>
      <c r="EX629" s="48"/>
      <c r="EY629" s="48"/>
      <c r="EZ629" s="48"/>
      <c r="FA629" s="48"/>
      <c r="FB629" s="48"/>
      <c r="FC629" s="48"/>
      <c r="FD629" s="48"/>
      <c r="FE629" s="48"/>
      <c r="FF629" s="48"/>
      <c r="FG629" s="48"/>
      <c r="FI629" s="48"/>
      <c r="FL629" s="48"/>
      <c r="FM629" s="48"/>
      <c r="FN629" s="48"/>
      <c r="FO629" s="48"/>
      <c r="FP629" s="48"/>
      <c r="FQ629" s="48"/>
      <c r="FR629" s="48"/>
      <c r="FS629" s="48"/>
      <c r="FT629" s="48"/>
      <c r="FU629" s="48"/>
    </row>
    <row r="630" spans="1:19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52"/>
      <c r="BF630" s="48"/>
      <c r="BG630" s="48"/>
      <c r="BI630" s="48"/>
      <c r="BN630" s="48"/>
      <c r="BO630" s="48"/>
      <c r="BR630" s="48"/>
      <c r="BS630" s="48"/>
      <c r="BW630" s="48"/>
      <c r="CA630" s="48"/>
      <c r="CE630" s="48"/>
      <c r="CF630" s="48"/>
      <c r="CG630" s="48"/>
      <c r="CH630" s="48"/>
      <c r="CI630" s="48"/>
      <c r="CJ630" s="48"/>
      <c r="CL630" s="48"/>
      <c r="CM630" s="48"/>
      <c r="CN630" s="48"/>
      <c r="CO630" s="48"/>
      <c r="CP630" s="48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  <c r="DD630" s="48"/>
      <c r="DE630" s="48"/>
      <c r="DF630" s="48"/>
      <c r="DG630" s="48"/>
      <c r="DH630" s="48"/>
      <c r="DI630" s="48"/>
      <c r="DJ630" s="48"/>
      <c r="DK630" s="48"/>
      <c r="DL630" s="48"/>
      <c r="DM630" s="48"/>
      <c r="DN630" s="48"/>
      <c r="DO630" s="48"/>
      <c r="DP630" s="48"/>
      <c r="DQ630" s="48"/>
      <c r="DR630" s="48"/>
      <c r="DS630" s="48"/>
      <c r="DT630" s="48"/>
      <c r="DU630" s="48"/>
      <c r="DV630" s="48"/>
      <c r="DW630" s="48"/>
      <c r="DX630" s="48"/>
      <c r="DY630" s="48"/>
      <c r="DZ630" s="48"/>
      <c r="EA630" s="48"/>
      <c r="EC630" s="48"/>
      <c r="ED630" s="48"/>
      <c r="EE630" s="48"/>
      <c r="EF630" s="48"/>
      <c r="EG630" s="48"/>
      <c r="EI630" s="48"/>
      <c r="EK630" s="48"/>
      <c r="EM630" s="48"/>
      <c r="EO630" s="48"/>
      <c r="EP630" s="48"/>
      <c r="EU630" s="48"/>
      <c r="EV630" s="48"/>
      <c r="EW630" s="48"/>
      <c r="EX630" s="48"/>
      <c r="EY630" s="48"/>
      <c r="EZ630" s="48"/>
      <c r="FA630" s="48"/>
      <c r="FB630" s="48"/>
      <c r="FC630" s="48"/>
      <c r="FD630" s="48"/>
      <c r="FE630" s="48"/>
      <c r="FF630" s="48"/>
      <c r="FG630" s="48"/>
      <c r="FI630" s="48"/>
      <c r="FL630" s="48"/>
      <c r="FM630" s="48"/>
      <c r="FN630" s="48"/>
      <c r="FO630" s="48"/>
      <c r="FP630" s="48"/>
      <c r="FQ630" s="48"/>
      <c r="FR630" s="48"/>
      <c r="FS630" s="48"/>
      <c r="FT630" s="48"/>
      <c r="FU630" s="48"/>
    </row>
    <row r="631" spans="1:19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52"/>
      <c r="BF631" s="48"/>
      <c r="BG631" s="48"/>
      <c r="BI631" s="48"/>
      <c r="BN631" s="48"/>
      <c r="BO631" s="48"/>
      <c r="BR631" s="48"/>
      <c r="BS631" s="48"/>
      <c r="BW631" s="48"/>
      <c r="CA631" s="48"/>
      <c r="CE631" s="48"/>
      <c r="CF631" s="48"/>
      <c r="CG631" s="48"/>
      <c r="CH631" s="48"/>
      <c r="CI631" s="48"/>
      <c r="CJ631" s="48"/>
      <c r="CL631" s="48"/>
      <c r="CM631" s="48"/>
      <c r="CN631" s="48"/>
      <c r="CO631" s="48"/>
      <c r="CP631" s="48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  <c r="DE631" s="48"/>
      <c r="DF631" s="48"/>
      <c r="DG631" s="48"/>
      <c r="DH631" s="48"/>
      <c r="DI631" s="48"/>
      <c r="DJ631" s="48"/>
      <c r="DK631" s="48"/>
      <c r="DL631" s="48"/>
      <c r="DM631" s="48"/>
      <c r="DN631" s="48"/>
      <c r="DO631" s="48"/>
      <c r="DP631" s="48"/>
      <c r="DQ631" s="48"/>
      <c r="DR631" s="48"/>
      <c r="DS631" s="48"/>
      <c r="DT631" s="48"/>
      <c r="DU631" s="48"/>
      <c r="DV631" s="48"/>
      <c r="DW631" s="48"/>
      <c r="DX631" s="48"/>
      <c r="DY631" s="48"/>
      <c r="DZ631" s="48"/>
      <c r="EA631" s="48"/>
      <c r="EC631" s="48"/>
      <c r="ED631" s="48"/>
      <c r="EE631" s="48"/>
      <c r="EF631" s="48"/>
      <c r="EG631" s="48"/>
      <c r="EI631" s="48"/>
      <c r="EK631" s="48"/>
      <c r="EM631" s="48"/>
      <c r="EO631" s="48"/>
      <c r="EP631" s="48"/>
      <c r="EU631" s="48"/>
      <c r="EV631" s="48"/>
      <c r="EW631" s="48"/>
      <c r="EX631" s="48"/>
      <c r="EY631" s="48"/>
      <c r="EZ631" s="48"/>
      <c r="FA631" s="48"/>
      <c r="FB631" s="48"/>
      <c r="FC631" s="48"/>
      <c r="FD631" s="48"/>
      <c r="FE631" s="48"/>
      <c r="FF631" s="48"/>
      <c r="FG631" s="48"/>
      <c r="FI631" s="48"/>
      <c r="FL631" s="48"/>
      <c r="FM631" s="48"/>
      <c r="FN631" s="48"/>
      <c r="FO631" s="48"/>
      <c r="FP631" s="48"/>
      <c r="FQ631" s="48"/>
      <c r="FR631" s="48"/>
      <c r="FS631" s="48"/>
      <c r="FT631" s="48"/>
      <c r="FU631" s="48"/>
    </row>
    <row r="632" spans="1:19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52"/>
      <c r="BF632" s="48"/>
      <c r="BG632" s="48"/>
      <c r="BI632" s="48"/>
      <c r="BN632" s="48"/>
      <c r="BO632" s="48"/>
      <c r="BR632" s="48"/>
      <c r="BS632" s="48"/>
      <c r="BW632" s="48"/>
      <c r="CA632" s="48"/>
      <c r="CE632" s="48"/>
      <c r="CF632" s="48"/>
      <c r="CG632" s="48"/>
      <c r="CH632" s="48"/>
      <c r="CI632" s="48"/>
      <c r="CJ632" s="48"/>
      <c r="CL632" s="48"/>
      <c r="CM632" s="48"/>
      <c r="CN632" s="48"/>
      <c r="CO632" s="48"/>
      <c r="CP632" s="48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  <c r="DD632" s="48"/>
      <c r="DE632" s="48"/>
      <c r="DF632" s="48"/>
      <c r="DG632" s="48"/>
      <c r="DH632" s="48"/>
      <c r="DI632" s="48"/>
      <c r="DJ632" s="48"/>
      <c r="DK632" s="48"/>
      <c r="DL632" s="48"/>
      <c r="DM632" s="48"/>
      <c r="DN632" s="48"/>
      <c r="DO632" s="48"/>
      <c r="DP632" s="48"/>
      <c r="DQ632" s="48"/>
      <c r="DR632" s="48"/>
      <c r="DS632" s="48"/>
      <c r="DT632" s="48"/>
      <c r="DU632" s="48"/>
      <c r="DV632" s="48"/>
      <c r="DW632" s="48"/>
      <c r="DX632" s="48"/>
      <c r="DY632" s="48"/>
      <c r="DZ632" s="48"/>
      <c r="EA632" s="48"/>
      <c r="EC632" s="48"/>
      <c r="ED632" s="48"/>
      <c r="EE632" s="48"/>
      <c r="EF632" s="48"/>
      <c r="EG632" s="48"/>
      <c r="EI632" s="48"/>
      <c r="EK632" s="48"/>
      <c r="EM632" s="48"/>
      <c r="EO632" s="48"/>
      <c r="EP632" s="48"/>
      <c r="EU632" s="48"/>
      <c r="EV632" s="48"/>
      <c r="EW632" s="48"/>
      <c r="EX632" s="48"/>
      <c r="EY632" s="48"/>
      <c r="EZ632" s="48"/>
      <c r="FA632" s="48"/>
      <c r="FB632" s="48"/>
      <c r="FC632" s="48"/>
      <c r="FD632" s="48"/>
      <c r="FE632" s="48"/>
      <c r="FF632" s="48"/>
      <c r="FG632" s="48"/>
      <c r="FI632" s="48"/>
      <c r="FL632" s="48"/>
      <c r="FM632" s="48"/>
      <c r="FN632" s="48"/>
      <c r="FO632" s="48"/>
      <c r="FP632" s="48"/>
      <c r="FQ632" s="48"/>
      <c r="FR632" s="48"/>
      <c r="FS632" s="48"/>
      <c r="FT632" s="48"/>
      <c r="FU632" s="48"/>
    </row>
    <row r="633" spans="1:19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52"/>
      <c r="BF633" s="48"/>
      <c r="BG633" s="48"/>
      <c r="BI633" s="48"/>
      <c r="BN633" s="48"/>
      <c r="BO633" s="48"/>
      <c r="BR633" s="48"/>
      <c r="BS633" s="48"/>
      <c r="BW633" s="48"/>
      <c r="CA633" s="48"/>
      <c r="CE633" s="48"/>
      <c r="CF633" s="48"/>
      <c r="CG633" s="48"/>
      <c r="CH633" s="48"/>
      <c r="CI633" s="48"/>
      <c r="CJ633" s="48"/>
      <c r="CL633" s="48"/>
      <c r="CM633" s="48"/>
      <c r="CN633" s="48"/>
      <c r="CO633" s="48"/>
      <c r="CP633" s="48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  <c r="DD633" s="48"/>
      <c r="DE633" s="48"/>
      <c r="DF633" s="48"/>
      <c r="DG633" s="48"/>
      <c r="DH633" s="48"/>
      <c r="DI633" s="48"/>
      <c r="DJ633" s="48"/>
      <c r="DK633" s="48"/>
      <c r="DL633" s="48"/>
      <c r="DM633" s="48"/>
      <c r="DN633" s="48"/>
      <c r="DO633" s="48"/>
      <c r="DP633" s="48"/>
      <c r="DQ633" s="48"/>
      <c r="DR633" s="48"/>
      <c r="DS633" s="48"/>
      <c r="DT633" s="48"/>
      <c r="DU633" s="48"/>
      <c r="DV633" s="48"/>
      <c r="DW633" s="48"/>
      <c r="DX633" s="48"/>
      <c r="DY633" s="48"/>
      <c r="DZ633" s="48"/>
      <c r="EA633" s="48"/>
      <c r="EC633" s="48"/>
      <c r="ED633" s="48"/>
      <c r="EE633" s="48"/>
      <c r="EF633" s="48"/>
      <c r="EG633" s="48"/>
      <c r="EI633" s="48"/>
      <c r="EK633" s="48"/>
      <c r="EM633" s="48"/>
      <c r="EO633" s="48"/>
      <c r="EP633" s="48"/>
      <c r="EU633" s="48"/>
      <c r="EV633" s="48"/>
      <c r="EW633" s="48"/>
      <c r="EX633" s="48"/>
      <c r="EY633" s="48"/>
      <c r="EZ633" s="48"/>
      <c r="FA633" s="48"/>
      <c r="FB633" s="48"/>
      <c r="FC633" s="48"/>
      <c r="FD633" s="48"/>
      <c r="FE633" s="48"/>
      <c r="FF633" s="48"/>
      <c r="FG633" s="48"/>
      <c r="FI633" s="48"/>
      <c r="FL633" s="48"/>
      <c r="FM633" s="48"/>
      <c r="FN633" s="48"/>
      <c r="FO633" s="48"/>
      <c r="FP633" s="48"/>
      <c r="FQ633" s="48"/>
      <c r="FR633" s="48"/>
      <c r="FS633" s="48"/>
      <c r="FT633" s="48"/>
      <c r="FU633" s="48"/>
    </row>
    <row r="634" spans="1:19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52"/>
      <c r="BF634" s="48"/>
      <c r="BG634" s="48"/>
      <c r="BI634" s="48"/>
      <c r="BN634" s="48"/>
      <c r="BO634" s="48"/>
      <c r="BR634" s="48"/>
      <c r="BS634" s="48"/>
      <c r="BW634" s="48"/>
      <c r="CA634" s="48"/>
      <c r="CE634" s="48"/>
      <c r="CF634" s="48"/>
      <c r="CG634" s="48"/>
      <c r="CH634" s="48"/>
      <c r="CI634" s="48"/>
      <c r="CJ634" s="48"/>
      <c r="CL634" s="48"/>
      <c r="CM634" s="48"/>
      <c r="CN634" s="48"/>
      <c r="CO634" s="48"/>
      <c r="CP634" s="48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  <c r="DE634" s="48"/>
      <c r="DF634" s="48"/>
      <c r="DG634" s="48"/>
      <c r="DH634" s="48"/>
      <c r="DI634" s="48"/>
      <c r="DJ634" s="48"/>
      <c r="DK634" s="48"/>
      <c r="DL634" s="48"/>
      <c r="DM634" s="48"/>
      <c r="DN634" s="48"/>
      <c r="DO634" s="48"/>
      <c r="DP634" s="48"/>
      <c r="DQ634" s="48"/>
      <c r="DR634" s="48"/>
      <c r="DS634" s="48"/>
      <c r="DT634" s="48"/>
      <c r="DU634" s="48"/>
      <c r="DV634" s="48"/>
      <c r="DW634" s="48"/>
      <c r="DX634" s="48"/>
      <c r="DY634" s="48"/>
      <c r="DZ634" s="48"/>
      <c r="EA634" s="48"/>
      <c r="EC634" s="48"/>
      <c r="ED634" s="48"/>
      <c r="EE634" s="48"/>
      <c r="EF634" s="48"/>
      <c r="EG634" s="48"/>
      <c r="EI634" s="48"/>
      <c r="EK634" s="48"/>
      <c r="EM634" s="48"/>
      <c r="EO634" s="48"/>
      <c r="EP634" s="48"/>
      <c r="EU634" s="48"/>
      <c r="EV634" s="48"/>
      <c r="EW634" s="48"/>
      <c r="EX634" s="48"/>
      <c r="EY634" s="48"/>
      <c r="EZ634" s="48"/>
      <c r="FA634" s="48"/>
      <c r="FB634" s="48"/>
      <c r="FC634" s="48"/>
      <c r="FD634" s="48"/>
      <c r="FE634" s="48"/>
      <c r="FF634" s="48"/>
      <c r="FG634" s="48"/>
      <c r="FI634" s="48"/>
      <c r="FL634" s="48"/>
      <c r="FM634" s="48"/>
      <c r="FN634" s="48"/>
      <c r="FO634" s="48"/>
      <c r="FP634" s="48"/>
      <c r="FQ634" s="48"/>
      <c r="FR634" s="48"/>
      <c r="FS634" s="48"/>
      <c r="FT634" s="48"/>
      <c r="FU634" s="48"/>
    </row>
    <row r="635" spans="1:19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52"/>
      <c r="BF635" s="48"/>
      <c r="BG635" s="48"/>
      <c r="BI635" s="48"/>
      <c r="BN635" s="48"/>
      <c r="BO635" s="48"/>
      <c r="BR635" s="48"/>
      <c r="BS635" s="48"/>
      <c r="BW635" s="48"/>
      <c r="CA635" s="48"/>
      <c r="CE635" s="48"/>
      <c r="CF635" s="48"/>
      <c r="CG635" s="48"/>
      <c r="CH635" s="48"/>
      <c r="CI635" s="48"/>
      <c r="CJ635" s="48"/>
      <c r="CL635" s="48"/>
      <c r="CM635" s="48"/>
      <c r="CN635" s="48"/>
      <c r="CO635" s="48"/>
      <c r="CP635" s="48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  <c r="DD635" s="48"/>
      <c r="DE635" s="48"/>
      <c r="DF635" s="48"/>
      <c r="DG635" s="48"/>
      <c r="DH635" s="48"/>
      <c r="DI635" s="48"/>
      <c r="DJ635" s="48"/>
      <c r="DK635" s="48"/>
      <c r="DL635" s="48"/>
      <c r="DM635" s="48"/>
      <c r="DN635" s="48"/>
      <c r="DO635" s="48"/>
      <c r="DP635" s="48"/>
      <c r="DQ635" s="48"/>
      <c r="DR635" s="48"/>
      <c r="DS635" s="48"/>
      <c r="DT635" s="48"/>
      <c r="DU635" s="48"/>
      <c r="DV635" s="48"/>
      <c r="DW635" s="48"/>
      <c r="DX635" s="48"/>
      <c r="DY635" s="48"/>
      <c r="DZ635" s="48"/>
      <c r="EA635" s="48"/>
      <c r="EC635" s="48"/>
      <c r="ED635" s="48"/>
      <c r="EE635" s="48"/>
      <c r="EF635" s="48"/>
      <c r="EG635" s="48"/>
      <c r="EI635" s="48"/>
      <c r="EK635" s="48"/>
      <c r="EM635" s="48"/>
      <c r="EO635" s="48"/>
      <c r="EP635" s="48"/>
      <c r="EU635" s="48"/>
      <c r="EV635" s="48"/>
      <c r="EW635" s="48"/>
      <c r="EX635" s="48"/>
      <c r="EY635" s="48"/>
      <c r="EZ635" s="48"/>
      <c r="FA635" s="48"/>
      <c r="FB635" s="48"/>
      <c r="FC635" s="48"/>
      <c r="FD635" s="48"/>
      <c r="FE635" s="48"/>
      <c r="FF635" s="48"/>
      <c r="FG635" s="48"/>
      <c r="FI635" s="48"/>
      <c r="FL635" s="48"/>
      <c r="FM635" s="48"/>
      <c r="FN635" s="48"/>
      <c r="FO635" s="48"/>
      <c r="FP635" s="48"/>
      <c r="FQ635" s="48"/>
      <c r="FR635" s="48"/>
      <c r="FS635" s="48"/>
      <c r="FT635" s="48"/>
      <c r="FU635" s="48"/>
    </row>
    <row r="636" spans="1:19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52"/>
      <c r="BF636" s="48"/>
      <c r="BG636" s="48"/>
      <c r="BI636" s="48"/>
      <c r="BN636" s="48"/>
      <c r="BO636" s="48"/>
      <c r="BR636" s="48"/>
      <c r="BS636" s="48"/>
      <c r="BW636" s="48"/>
      <c r="CA636" s="48"/>
      <c r="CE636" s="48"/>
      <c r="CF636" s="48"/>
      <c r="CG636" s="48"/>
      <c r="CH636" s="48"/>
      <c r="CI636" s="48"/>
      <c r="CJ636" s="48"/>
      <c r="CL636" s="48"/>
      <c r="CM636" s="48"/>
      <c r="CN636" s="48"/>
      <c r="CO636" s="48"/>
      <c r="CP636" s="48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  <c r="DE636" s="48"/>
      <c r="DF636" s="48"/>
      <c r="DG636" s="48"/>
      <c r="DH636" s="48"/>
      <c r="DI636" s="48"/>
      <c r="DJ636" s="48"/>
      <c r="DK636" s="48"/>
      <c r="DL636" s="48"/>
      <c r="DM636" s="48"/>
      <c r="DN636" s="48"/>
      <c r="DO636" s="48"/>
      <c r="DP636" s="48"/>
      <c r="DQ636" s="48"/>
      <c r="DR636" s="48"/>
      <c r="DS636" s="48"/>
      <c r="DT636" s="48"/>
      <c r="DU636" s="48"/>
      <c r="DV636" s="48"/>
      <c r="DW636" s="48"/>
      <c r="DX636" s="48"/>
      <c r="DY636" s="48"/>
      <c r="DZ636" s="48"/>
      <c r="EA636" s="48"/>
      <c r="EC636" s="48"/>
      <c r="ED636" s="48"/>
      <c r="EE636" s="48"/>
      <c r="EF636" s="48"/>
      <c r="EG636" s="48"/>
      <c r="EI636" s="48"/>
      <c r="EK636" s="48"/>
      <c r="EM636" s="48"/>
      <c r="EO636" s="48"/>
      <c r="EP636" s="48"/>
      <c r="EU636" s="48"/>
      <c r="EV636" s="48"/>
      <c r="EW636" s="48"/>
      <c r="EX636" s="48"/>
      <c r="EY636" s="48"/>
      <c r="EZ636" s="48"/>
      <c r="FA636" s="48"/>
      <c r="FB636" s="48"/>
      <c r="FC636" s="48"/>
      <c r="FD636" s="48"/>
      <c r="FE636" s="48"/>
      <c r="FF636" s="48"/>
      <c r="FG636" s="48"/>
      <c r="FI636" s="48"/>
      <c r="FL636" s="48"/>
      <c r="FM636" s="48"/>
      <c r="FN636" s="48"/>
      <c r="FO636" s="48"/>
      <c r="FP636" s="48"/>
      <c r="FQ636" s="48"/>
      <c r="FR636" s="48"/>
      <c r="FS636" s="48"/>
      <c r="FT636" s="48"/>
      <c r="FU636" s="48"/>
    </row>
    <row r="637" spans="1:19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52"/>
      <c r="BF637" s="48"/>
      <c r="BG637" s="48"/>
      <c r="BI637" s="48"/>
      <c r="BN637" s="48"/>
      <c r="BO637" s="48"/>
      <c r="BR637" s="48"/>
      <c r="BS637" s="48"/>
      <c r="BW637" s="48"/>
      <c r="CA637" s="48"/>
      <c r="CE637" s="48"/>
      <c r="CF637" s="48"/>
      <c r="CG637" s="48"/>
      <c r="CH637" s="48"/>
      <c r="CI637" s="48"/>
      <c r="CJ637" s="48"/>
      <c r="CL637" s="48"/>
      <c r="CM637" s="48"/>
      <c r="CN637" s="48"/>
      <c r="CO637" s="48"/>
      <c r="CP637" s="48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8"/>
      <c r="DV637" s="48"/>
      <c r="DW637" s="48"/>
      <c r="DX637" s="48"/>
      <c r="DY637" s="48"/>
      <c r="DZ637" s="48"/>
      <c r="EA637" s="48"/>
      <c r="EC637" s="48"/>
      <c r="ED637" s="48"/>
      <c r="EE637" s="48"/>
      <c r="EF637" s="48"/>
      <c r="EG637" s="48"/>
      <c r="EI637" s="48"/>
      <c r="EK637" s="48"/>
      <c r="EM637" s="48"/>
      <c r="EO637" s="48"/>
      <c r="EP637" s="48"/>
      <c r="EU637" s="48"/>
      <c r="EV637" s="48"/>
      <c r="EW637" s="48"/>
      <c r="EX637" s="48"/>
      <c r="EY637" s="48"/>
      <c r="EZ637" s="48"/>
      <c r="FA637" s="48"/>
      <c r="FB637" s="48"/>
      <c r="FC637" s="48"/>
      <c r="FD637" s="48"/>
      <c r="FE637" s="48"/>
      <c r="FF637" s="48"/>
      <c r="FG637" s="48"/>
      <c r="FI637" s="48"/>
      <c r="FL637" s="48"/>
      <c r="FM637" s="48"/>
      <c r="FN637" s="48"/>
      <c r="FO637" s="48"/>
      <c r="FP637" s="48"/>
      <c r="FQ637" s="48"/>
      <c r="FR637" s="48"/>
      <c r="FS637" s="48"/>
      <c r="FT637" s="48"/>
      <c r="FU637" s="48"/>
    </row>
    <row r="638" spans="1:19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52"/>
      <c r="BF638" s="48"/>
      <c r="BG638" s="48"/>
      <c r="BI638" s="48"/>
      <c r="BN638" s="48"/>
      <c r="BO638" s="48"/>
      <c r="BR638" s="48"/>
      <c r="BS638" s="48"/>
      <c r="BW638" s="48"/>
      <c r="CA638" s="48"/>
      <c r="CE638" s="48"/>
      <c r="CF638" s="48"/>
      <c r="CG638" s="48"/>
      <c r="CH638" s="48"/>
      <c r="CI638" s="48"/>
      <c r="CJ638" s="48"/>
      <c r="CL638" s="48"/>
      <c r="CM638" s="48"/>
      <c r="CN638" s="48"/>
      <c r="CO638" s="48"/>
      <c r="CP638" s="48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8"/>
      <c r="DV638" s="48"/>
      <c r="DW638" s="48"/>
      <c r="DX638" s="48"/>
      <c r="DY638" s="48"/>
      <c r="DZ638" s="48"/>
      <c r="EA638" s="48"/>
      <c r="EC638" s="48"/>
      <c r="ED638" s="48"/>
      <c r="EE638" s="48"/>
      <c r="EF638" s="48"/>
      <c r="EG638" s="48"/>
      <c r="EI638" s="48"/>
      <c r="EK638" s="48"/>
      <c r="EM638" s="48"/>
      <c r="EO638" s="48"/>
      <c r="EP638" s="48"/>
      <c r="EU638" s="48"/>
      <c r="EV638" s="48"/>
      <c r="EW638" s="48"/>
      <c r="EX638" s="48"/>
      <c r="EY638" s="48"/>
      <c r="EZ638" s="48"/>
      <c r="FA638" s="48"/>
      <c r="FB638" s="48"/>
      <c r="FC638" s="48"/>
      <c r="FD638" s="48"/>
      <c r="FE638" s="48"/>
      <c r="FF638" s="48"/>
      <c r="FG638" s="48"/>
      <c r="FI638" s="48"/>
      <c r="FL638" s="48"/>
      <c r="FM638" s="48"/>
      <c r="FN638" s="48"/>
      <c r="FO638" s="48"/>
      <c r="FP638" s="48"/>
      <c r="FQ638" s="48"/>
      <c r="FR638" s="48"/>
      <c r="FS638" s="48"/>
      <c r="FT638" s="48"/>
      <c r="FU638" s="48"/>
    </row>
    <row r="639" spans="1:19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52"/>
      <c r="BF639" s="48"/>
      <c r="BG639" s="48"/>
      <c r="BI639" s="48"/>
      <c r="BN639" s="48"/>
      <c r="BO639" s="48"/>
      <c r="BR639" s="48"/>
      <c r="BS639" s="48"/>
      <c r="BW639" s="48"/>
      <c r="CA639" s="48"/>
      <c r="CE639" s="48"/>
      <c r="CF639" s="48"/>
      <c r="CG639" s="48"/>
      <c r="CH639" s="48"/>
      <c r="CI639" s="48"/>
      <c r="CJ639" s="48"/>
      <c r="CL639" s="48"/>
      <c r="CM639" s="48"/>
      <c r="CN639" s="48"/>
      <c r="CO639" s="48"/>
      <c r="CP639" s="48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  <c r="DE639" s="48"/>
      <c r="DF639" s="48"/>
      <c r="DG639" s="48"/>
      <c r="DH639" s="48"/>
      <c r="DI639" s="48"/>
      <c r="DJ639" s="48"/>
      <c r="DK639" s="48"/>
      <c r="DL639" s="48"/>
      <c r="DM639" s="48"/>
      <c r="DN639" s="48"/>
      <c r="DO639" s="48"/>
      <c r="DP639" s="48"/>
      <c r="DQ639" s="48"/>
      <c r="DR639" s="48"/>
      <c r="DS639" s="48"/>
      <c r="DT639" s="48"/>
      <c r="DU639" s="48"/>
      <c r="DV639" s="48"/>
      <c r="DW639" s="48"/>
      <c r="DX639" s="48"/>
      <c r="DY639" s="48"/>
      <c r="DZ639" s="48"/>
      <c r="EA639" s="48"/>
      <c r="EC639" s="48"/>
      <c r="ED639" s="48"/>
      <c r="EE639" s="48"/>
      <c r="EF639" s="48"/>
      <c r="EG639" s="48"/>
      <c r="EI639" s="48"/>
      <c r="EK639" s="48"/>
      <c r="EM639" s="48"/>
      <c r="EO639" s="48"/>
      <c r="EP639" s="48"/>
      <c r="EU639" s="48"/>
      <c r="EV639" s="48"/>
      <c r="EW639" s="48"/>
      <c r="EX639" s="48"/>
      <c r="EY639" s="48"/>
      <c r="EZ639" s="48"/>
      <c r="FA639" s="48"/>
      <c r="FB639" s="48"/>
      <c r="FC639" s="48"/>
      <c r="FD639" s="48"/>
      <c r="FE639" s="48"/>
      <c r="FF639" s="48"/>
      <c r="FG639" s="48"/>
      <c r="FI639" s="48"/>
      <c r="FL639" s="48"/>
      <c r="FM639" s="48"/>
      <c r="FN639" s="48"/>
      <c r="FO639" s="48"/>
      <c r="FP639" s="48"/>
      <c r="FQ639" s="48"/>
      <c r="FR639" s="48"/>
      <c r="FS639" s="48"/>
      <c r="FT639" s="48"/>
      <c r="FU639" s="48"/>
    </row>
    <row r="640" spans="1:19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52"/>
      <c r="BF640" s="48"/>
      <c r="BG640" s="48"/>
      <c r="BI640" s="48"/>
      <c r="BN640" s="48"/>
      <c r="BO640" s="48"/>
      <c r="BR640" s="48"/>
      <c r="BS640" s="48"/>
      <c r="BW640" s="48"/>
      <c r="CA640" s="48"/>
      <c r="CE640" s="48"/>
      <c r="CF640" s="48"/>
      <c r="CG640" s="48"/>
      <c r="CH640" s="48"/>
      <c r="CI640" s="48"/>
      <c r="CJ640" s="48"/>
      <c r="CL640" s="48"/>
      <c r="CM640" s="48"/>
      <c r="CN640" s="48"/>
      <c r="CO640" s="48"/>
      <c r="CP640" s="48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8"/>
      <c r="DN640" s="48"/>
      <c r="DO640" s="48"/>
      <c r="DP640" s="48"/>
      <c r="DQ640" s="48"/>
      <c r="DR640" s="48"/>
      <c r="DS640" s="48"/>
      <c r="DT640" s="48"/>
      <c r="DU640" s="48"/>
      <c r="DV640" s="48"/>
      <c r="DW640" s="48"/>
      <c r="DX640" s="48"/>
      <c r="DY640" s="48"/>
      <c r="DZ640" s="48"/>
      <c r="EA640" s="48"/>
      <c r="EC640" s="48"/>
      <c r="ED640" s="48"/>
      <c r="EE640" s="48"/>
      <c r="EF640" s="48"/>
      <c r="EG640" s="48"/>
      <c r="EI640" s="48"/>
      <c r="EK640" s="48"/>
      <c r="EM640" s="48"/>
      <c r="EO640" s="48"/>
      <c r="EP640" s="48"/>
      <c r="EU640" s="48"/>
      <c r="EV640" s="48"/>
      <c r="EW640" s="48"/>
      <c r="EX640" s="48"/>
      <c r="EY640" s="48"/>
      <c r="EZ640" s="48"/>
      <c r="FA640" s="48"/>
      <c r="FB640" s="48"/>
      <c r="FC640" s="48"/>
      <c r="FD640" s="48"/>
      <c r="FE640" s="48"/>
      <c r="FF640" s="48"/>
      <c r="FG640" s="48"/>
      <c r="FI640" s="48"/>
      <c r="FL640" s="48"/>
      <c r="FM640" s="48"/>
      <c r="FN640" s="48"/>
      <c r="FO640" s="48"/>
      <c r="FP640" s="48"/>
      <c r="FQ640" s="48"/>
      <c r="FR640" s="48"/>
      <c r="FS640" s="48"/>
      <c r="FT640" s="48"/>
      <c r="FU640" s="48"/>
    </row>
    <row r="641" spans="1:177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52"/>
      <c r="BF641" s="48"/>
      <c r="BG641" s="48"/>
      <c r="BI641" s="48"/>
      <c r="BN641" s="48"/>
      <c r="BO641" s="48"/>
      <c r="BR641" s="48"/>
      <c r="BS641" s="48"/>
      <c r="BW641" s="48"/>
      <c r="CA641" s="48"/>
      <c r="CE641" s="48"/>
      <c r="CF641" s="48"/>
      <c r="CG641" s="48"/>
      <c r="CH641" s="48"/>
      <c r="CI641" s="48"/>
      <c r="CJ641" s="48"/>
      <c r="CL641" s="48"/>
      <c r="CM641" s="48"/>
      <c r="CN641" s="48"/>
      <c r="CO641" s="48"/>
      <c r="CP641" s="48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  <c r="DE641" s="48"/>
      <c r="DF641" s="48"/>
      <c r="DG641" s="48"/>
      <c r="DH641" s="48"/>
      <c r="DI641" s="48"/>
      <c r="DJ641" s="48"/>
      <c r="DK641" s="48"/>
      <c r="DL641" s="48"/>
      <c r="DM641" s="48"/>
      <c r="DN641" s="48"/>
      <c r="DO641" s="48"/>
      <c r="DP641" s="48"/>
      <c r="DQ641" s="48"/>
      <c r="DR641" s="48"/>
      <c r="DS641" s="48"/>
      <c r="DT641" s="48"/>
      <c r="DU641" s="48"/>
      <c r="DV641" s="48"/>
      <c r="DW641" s="48"/>
      <c r="DX641" s="48"/>
      <c r="DY641" s="48"/>
      <c r="DZ641" s="48"/>
      <c r="EA641" s="48"/>
      <c r="EC641" s="48"/>
      <c r="ED641" s="48"/>
      <c r="EE641" s="48"/>
      <c r="EF641" s="48"/>
      <c r="EG641" s="48"/>
      <c r="EI641" s="48"/>
      <c r="EK641" s="48"/>
      <c r="EM641" s="48"/>
      <c r="EO641" s="48"/>
      <c r="EP641" s="48"/>
      <c r="EU641" s="48"/>
      <c r="EV641" s="48"/>
      <c r="EW641" s="48"/>
      <c r="EX641" s="48"/>
      <c r="EY641" s="48"/>
      <c r="EZ641" s="48"/>
      <c r="FA641" s="48"/>
      <c r="FB641" s="48"/>
      <c r="FC641" s="48"/>
      <c r="FD641" s="48"/>
      <c r="FE641" s="48"/>
      <c r="FF641" s="48"/>
      <c r="FG641" s="48"/>
      <c r="FI641" s="48"/>
      <c r="FL641" s="48"/>
      <c r="FM641" s="48"/>
      <c r="FN641" s="48"/>
      <c r="FO641" s="48"/>
      <c r="FP641" s="48"/>
      <c r="FQ641" s="48"/>
      <c r="FR641" s="48"/>
      <c r="FS641" s="48"/>
      <c r="FT641" s="48"/>
      <c r="FU641" s="48"/>
    </row>
    <row r="642" spans="1:177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52"/>
      <c r="BF642" s="48"/>
      <c r="BG642" s="48"/>
      <c r="BI642" s="48"/>
      <c r="BN642" s="48"/>
      <c r="BO642" s="48"/>
      <c r="BR642" s="48"/>
      <c r="BS642" s="48"/>
      <c r="BW642" s="48"/>
      <c r="CA642" s="48"/>
      <c r="CE642" s="48"/>
      <c r="CF642" s="48"/>
      <c r="CG642" s="48"/>
      <c r="CH642" s="48"/>
      <c r="CI642" s="48"/>
      <c r="CJ642" s="48"/>
      <c r="CL642" s="48"/>
      <c r="CM642" s="48"/>
      <c r="CN642" s="48"/>
      <c r="CO642" s="48"/>
      <c r="CP642" s="48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  <c r="DD642" s="48"/>
      <c r="DE642" s="48"/>
      <c r="DF642" s="48"/>
      <c r="DG642" s="48"/>
      <c r="DH642" s="48"/>
      <c r="DI642" s="48"/>
      <c r="DJ642" s="48"/>
      <c r="DK642" s="48"/>
      <c r="DL642" s="48"/>
      <c r="DM642" s="48"/>
      <c r="DN642" s="48"/>
      <c r="DO642" s="48"/>
      <c r="DP642" s="48"/>
      <c r="DQ642" s="48"/>
      <c r="DR642" s="48"/>
      <c r="DS642" s="48"/>
      <c r="DT642" s="48"/>
      <c r="DU642" s="48"/>
      <c r="DV642" s="48"/>
      <c r="DW642" s="48"/>
      <c r="DX642" s="48"/>
      <c r="DY642" s="48"/>
      <c r="DZ642" s="48"/>
      <c r="EA642" s="48"/>
      <c r="EC642" s="48"/>
      <c r="ED642" s="48"/>
      <c r="EE642" s="48"/>
      <c r="EF642" s="48"/>
      <c r="EG642" s="48"/>
      <c r="EI642" s="48"/>
      <c r="EK642" s="48"/>
      <c r="EM642" s="48"/>
      <c r="EO642" s="48"/>
      <c r="EP642" s="48"/>
      <c r="EU642" s="48"/>
      <c r="EV642" s="48"/>
      <c r="EW642" s="48"/>
      <c r="EX642" s="48"/>
      <c r="EY642" s="48"/>
      <c r="EZ642" s="48"/>
      <c r="FA642" s="48"/>
      <c r="FB642" s="48"/>
      <c r="FC642" s="48"/>
      <c r="FD642" s="48"/>
      <c r="FE642" s="48"/>
      <c r="FF642" s="48"/>
      <c r="FG642" s="48"/>
      <c r="FI642" s="48"/>
      <c r="FL642" s="48"/>
      <c r="FM642" s="48"/>
      <c r="FN642" s="48"/>
      <c r="FO642" s="48"/>
      <c r="FP642" s="48"/>
      <c r="FQ642" s="48"/>
      <c r="FR642" s="48"/>
      <c r="FS642" s="48"/>
      <c r="FT642" s="48"/>
      <c r="FU642" s="48"/>
    </row>
    <row r="643" spans="1:177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52"/>
      <c r="BF643" s="48"/>
      <c r="BG643" s="48"/>
      <c r="BI643" s="48"/>
      <c r="BN643" s="48"/>
      <c r="BO643" s="48"/>
      <c r="BR643" s="48"/>
      <c r="BS643" s="48"/>
      <c r="BW643" s="48"/>
      <c r="CA643" s="48"/>
      <c r="CE643" s="48"/>
      <c r="CF643" s="48"/>
      <c r="CG643" s="48"/>
      <c r="CH643" s="48"/>
      <c r="CI643" s="48"/>
      <c r="CJ643" s="48"/>
      <c r="CL643" s="48"/>
      <c r="CM643" s="48"/>
      <c r="CN643" s="48"/>
      <c r="CO643" s="48"/>
      <c r="CP643" s="48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  <c r="DE643" s="48"/>
      <c r="DF643" s="48"/>
      <c r="DG643" s="48"/>
      <c r="DH643" s="48"/>
      <c r="DI643" s="48"/>
      <c r="DJ643" s="48"/>
      <c r="DK643" s="48"/>
      <c r="DL643" s="48"/>
      <c r="DM643" s="48"/>
      <c r="DN643" s="48"/>
      <c r="DO643" s="48"/>
      <c r="DP643" s="48"/>
      <c r="DQ643" s="48"/>
      <c r="DR643" s="48"/>
      <c r="DS643" s="48"/>
      <c r="DT643" s="48"/>
      <c r="DU643" s="48"/>
      <c r="DV643" s="48"/>
      <c r="DW643" s="48"/>
      <c r="DX643" s="48"/>
      <c r="DY643" s="48"/>
      <c r="DZ643" s="48"/>
      <c r="EA643" s="48"/>
      <c r="EC643" s="48"/>
      <c r="ED643" s="48"/>
      <c r="EE643" s="48"/>
      <c r="EF643" s="48"/>
      <c r="EG643" s="48"/>
      <c r="EI643" s="48"/>
      <c r="EK643" s="48"/>
      <c r="EM643" s="48"/>
      <c r="EO643" s="48"/>
      <c r="EP643" s="48"/>
      <c r="EU643" s="48"/>
      <c r="EV643" s="48"/>
      <c r="EW643" s="48"/>
      <c r="EX643" s="48"/>
      <c r="EY643" s="48"/>
      <c r="EZ643" s="48"/>
      <c r="FA643" s="48"/>
      <c r="FB643" s="48"/>
      <c r="FC643" s="48"/>
      <c r="FD643" s="48"/>
      <c r="FE643" s="48"/>
      <c r="FF643" s="48"/>
      <c r="FG643" s="48"/>
      <c r="FI643" s="48"/>
      <c r="FL643" s="48"/>
      <c r="FM643" s="48"/>
      <c r="FN643" s="48"/>
      <c r="FO643" s="48"/>
      <c r="FP643" s="48"/>
      <c r="FQ643" s="48"/>
      <c r="FR643" s="48"/>
      <c r="FS643" s="48"/>
      <c r="FT643" s="48"/>
      <c r="FU643" s="48"/>
    </row>
    <row r="644" spans="1:177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52"/>
      <c r="BF644" s="48"/>
      <c r="BG644" s="48"/>
      <c r="BI644" s="48"/>
      <c r="BN644" s="48"/>
      <c r="BO644" s="48"/>
      <c r="BR644" s="48"/>
      <c r="BS644" s="48"/>
      <c r="BW644" s="48"/>
      <c r="CA644" s="48"/>
      <c r="CE644" s="48"/>
      <c r="CF644" s="48"/>
      <c r="CG644" s="48"/>
      <c r="CH644" s="48"/>
      <c r="CI644" s="48"/>
      <c r="CJ644" s="48"/>
      <c r="CL644" s="48"/>
      <c r="CM644" s="48"/>
      <c r="CN644" s="48"/>
      <c r="CO644" s="48"/>
      <c r="CP644" s="48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  <c r="DD644" s="48"/>
      <c r="DE644" s="48"/>
      <c r="DF644" s="48"/>
      <c r="DG644" s="48"/>
      <c r="DH644" s="48"/>
      <c r="DI644" s="48"/>
      <c r="DJ644" s="48"/>
      <c r="DK644" s="48"/>
      <c r="DL644" s="48"/>
      <c r="DM644" s="48"/>
      <c r="DN644" s="48"/>
      <c r="DO644" s="48"/>
      <c r="DP644" s="48"/>
      <c r="DQ644" s="48"/>
      <c r="DR644" s="48"/>
      <c r="DS644" s="48"/>
      <c r="DT644" s="48"/>
      <c r="DU644" s="48"/>
      <c r="DV644" s="48"/>
      <c r="DW644" s="48"/>
      <c r="DX644" s="48"/>
      <c r="DY644" s="48"/>
      <c r="DZ644" s="48"/>
      <c r="EA644" s="48"/>
      <c r="EC644" s="48"/>
      <c r="ED644" s="48"/>
      <c r="EE644" s="48"/>
      <c r="EF644" s="48"/>
      <c r="EG644" s="48"/>
      <c r="EI644" s="48"/>
      <c r="EK644" s="48"/>
      <c r="EM644" s="48"/>
      <c r="EO644" s="48"/>
      <c r="EP644" s="48"/>
      <c r="EU644" s="48"/>
      <c r="EV644" s="48"/>
      <c r="EW644" s="48"/>
      <c r="EX644" s="48"/>
      <c r="EY644" s="48"/>
      <c r="EZ644" s="48"/>
      <c r="FA644" s="48"/>
      <c r="FB644" s="48"/>
      <c r="FC644" s="48"/>
      <c r="FD644" s="48"/>
      <c r="FE644" s="48"/>
      <c r="FF644" s="48"/>
      <c r="FG644" s="48"/>
      <c r="FI644" s="48"/>
      <c r="FL644" s="48"/>
      <c r="FM644" s="48"/>
      <c r="FN644" s="48"/>
      <c r="FO644" s="48"/>
      <c r="FP644" s="48"/>
      <c r="FQ644" s="48"/>
      <c r="FR644" s="48"/>
      <c r="FS644" s="48"/>
      <c r="FT644" s="48"/>
      <c r="FU644" s="48"/>
    </row>
    <row r="645" spans="1:177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52"/>
      <c r="BF645" s="48"/>
      <c r="BG645" s="48"/>
      <c r="BI645" s="48"/>
      <c r="BN645" s="48"/>
      <c r="BO645" s="48"/>
      <c r="BR645" s="48"/>
      <c r="BS645" s="48"/>
      <c r="BW645" s="48"/>
      <c r="CA645" s="48"/>
      <c r="CE645" s="48"/>
      <c r="CF645" s="48"/>
      <c r="CG645" s="48"/>
      <c r="CH645" s="48"/>
      <c r="CI645" s="48"/>
      <c r="CJ645" s="48"/>
      <c r="CL645" s="48"/>
      <c r="CM645" s="48"/>
      <c r="CN645" s="48"/>
      <c r="CO645" s="48"/>
      <c r="CP645" s="48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  <c r="DD645" s="48"/>
      <c r="DE645" s="48"/>
      <c r="DF645" s="48"/>
      <c r="DG645" s="48"/>
      <c r="DH645" s="48"/>
      <c r="DI645" s="48"/>
      <c r="DJ645" s="48"/>
      <c r="DK645" s="48"/>
      <c r="DL645" s="48"/>
      <c r="DM645" s="48"/>
      <c r="DN645" s="48"/>
      <c r="DO645" s="48"/>
      <c r="DP645" s="48"/>
      <c r="DQ645" s="48"/>
      <c r="DR645" s="48"/>
      <c r="DS645" s="48"/>
      <c r="DT645" s="48"/>
      <c r="DU645" s="48"/>
      <c r="DV645" s="48"/>
      <c r="DW645" s="48"/>
      <c r="DX645" s="48"/>
      <c r="DY645" s="48"/>
      <c r="DZ645" s="48"/>
      <c r="EA645" s="48"/>
      <c r="EC645" s="48"/>
      <c r="ED645" s="48"/>
      <c r="EE645" s="48"/>
      <c r="EF645" s="48"/>
      <c r="EG645" s="48"/>
      <c r="EI645" s="48"/>
      <c r="EK645" s="48"/>
      <c r="EM645" s="48"/>
      <c r="EO645" s="48"/>
      <c r="EP645" s="48"/>
      <c r="EU645" s="48"/>
      <c r="EV645" s="48"/>
      <c r="EW645" s="48"/>
      <c r="EX645" s="48"/>
      <c r="EY645" s="48"/>
      <c r="EZ645" s="48"/>
      <c r="FA645" s="48"/>
      <c r="FB645" s="48"/>
      <c r="FC645" s="48"/>
      <c r="FD645" s="48"/>
      <c r="FE645" s="48"/>
      <c r="FF645" s="48"/>
      <c r="FG645" s="48"/>
      <c r="FI645" s="48"/>
      <c r="FL645" s="48"/>
      <c r="FM645" s="48"/>
      <c r="FN645" s="48"/>
      <c r="FO645" s="48"/>
      <c r="FP645" s="48"/>
      <c r="FQ645" s="48"/>
      <c r="FR645" s="48"/>
      <c r="FS645" s="48"/>
      <c r="FT645" s="48"/>
      <c r="FU645" s="48"/>
    </row>
    <row r="646" spans="1:177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52"/>
      <c r="BF646" s="48"/>
      <c r="BG646" s="48"/>
      <c r="BI646" s="48"/>
      <c r="BN646" s="48"/>
      <c r="BO646" s="48"/>
      <c r="BR646" s="48"/>
      <c r="BS646" s="48"/>
      <c r="BW646" s="48"/>
      <c r="CA646" s="48"/>
      <c r="CE646" s="48"/>
      <c r="CF646" s="48"/>
      <c r="CG646" s="48"/>
      <c r="CH646" s="48"/>
      <c r="CI646" s="48"/>
      <c r="CJ646" s="48"/>
      <c r="CL646" s="48"/>
      <c r="CM646" s="48"/>
      <c r="CN646" s="48"/>
      <c r="CO646" s="48"/>
      <c r="CP646" s="48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  <c r="DE646" s="48"/>
      <c r="DF646" s="48"/>
      <c r="DG646" s="48"/>
      <c r="DH646" s="48"/>
      <c r="DI646" s="48"/>
      <c r="DJ646" s="48"/>
      <c r="DK646" s="48"/>
      <c r="DL646" s="48"/>
      <c r="DM646" s="48"/>
      <c r="DN646" s="48"/>
      <c r="DO646" s="48"/>
      <c r="DP646" s="48"/>
      <c r="DQ646" s="48"/>
      <c r="DR646" s="48"/>
      <c r="DS646" s="48"/>
      <c r="DT646" s="48"/>
      <c r="DU646" s="48"/>
      <c r="DV646" s="48"/>
      <c r="DW646" s="48"/>
      <c r="DX646" s="48"/>
      <c r="DY646" s="48"/>
      <c r="DZ646" s="48"/>
      <c r="EA646" s="48"/>
      <c r="EC646" s="48"/>
      <c r="ED646" s="48"/>
      <c r="EE646" s="48"/>
      <c r="EF646" s="48"/>
      <c r="EG646" s="48"/>
      <c r="EI646" s="48"/>
      <c r="EK646" s="48"/>
      <c r="EM646" s="48"/>
      <c r="EO646" s="48"/>
      <c r="EP646" s="48"/>
      <c r="EU646" s="48"/>
      <c r="EV646" s="48"/>
      <c r="EW646" s="48"/>
      <c r="EX646" s="48"/>
      <c r="EY646" s="48"/>
      <c r="EZ646" s="48"/>
      <c r="FA646" s="48"/>
      <c r="FB646" s="48"/>
      <c r="FC646" s="48"/>
      <c r="FD646" s="48"/>
      <c r="FE646" s="48"/>
      <c r="FF646" s="48"/>
      <c r="FG646" s="48"/>
      <c r="FI646" s="48"/>
      <c r="FL646" s="48"/>
      <c r="FM646" s="48"/>
      <c r="FN646" s="48"/>
      <c r="FO646" s="48"/>
      <c r="FP646" s="48"/>
      <c r="FQ646" s="48"/>
      <c r="FR646" s="48"/>
      <c r="FS646" s="48"/>
      <c r="FT646" s="48"/>
      <c r="FU646" s="48"/>
    </row>
    <row r="647" spans="1:17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52"/>
      <c r="BF647" s="48"/>
      <c r="BG647" s="48"/>
      <c r="BI647" s="48"/>
      <c r="BN647" s="48"/>
      <c r="BO647" s="48"/>
      <c r="BR647" s="48"/>
      <c r="BS647" s="48"/>
      <c r="BW647" s="48"/>
      <c r="CA647" s="48"/>
      <c r="CE647" s="48"/>
      <c r="CF647" s="48"/>
      <c r="CG647" s="48"/>
      <c r="CH647" s="48"/>
      <c r="CI647" s="48"/>
      <c r="CJ647" s="48"/>
      <c r="CL647" s="48"/>
      <c r="CM647" s="48"/>
      <c r="CN647" s="48"/>
      <c r="CO647" s="48"/>
      <c r="CP647" s="48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  <c r="DD647" s="48"/>
      <c r="DE647" s="48"/>
      <c r="DF647" s="48"/>
      <c r="DG647" s="48"/>
      <c r="DH647" s="48"/>
      <c r="DI647" s="48"/>
      <c r="DJ647" s="48"/>
      <c r="DK647" s="48"/>
      <c r="DL647" s="48"/>
      <c r="DM647" s="48"/>
      <c r="DN647" s="48"/>
      <c r="DO647" s="48"/>
      <c r="DP647" s="48"/>
      <c r="DQ647" s="48"/>
      <c r="DR647" s="48"/>
      <c r="DS647" s="48"/>
      <c r="DT647" s="48"/>
      <c r="DU647" s="48"/>
      <c r="DV647" s="48"/>
      <c r="DW647" s="48"/>
      <c r="DX647" s="48"/>
      <c r="DY647" s="48"/>
      <c r="DZ647" s="48"/>
      <c r="EA647" s="48"/>
      <c r="EC647" s="48"/>
      <c r="ED647" s="48"/>
      <c r="EE647" s="48"/>
      <c r="EF647" s="48"/>
      <c r="EG647" s="48"/>
      <c r="EI647" s="48"/>
      <c r="EK647" s="48"/>
      <c r="EM647" s="48"/>
      <c r="EO647" s="48"/>
      <c r="EP647" s="48"/>
      <c r="EU647" s="48"/>
      <c r="EV647" s="48"/>
      <c r="EW647" s="48"/>
      <c r="EX647" s="48"/>
      <c r="EY647" s="48"/>
      <c r="EZ647" s="48"/>
      <c r="FA647" s="48"/>
      <c r="FB647" s="48"/>
      <c r="FC647" s="48"/>
      <c r="FD647" s="48"/>
      <c r="FE647" s="48"/>
      <c r="FF647" s="48"/>
      <c r="FG647" s="48"/>
      <c r="FI647" s="48"/>
      <c r="FL647" s="48"/>
      <c r="FM647" s="48"/>
      <c r="FN647" s="48"/>
      <c r="FO647" s="48"/>
      <c r="FP647" s="48"/>
      <c r="FQ647" s="48"/>
      <c r="FR647" s="48"/>
      <c r="FS647" s="48"/>
      <c r="FT647" s="48"/>
      <c r="FU647" s="48"/>
    </row>
    <row r="648" spans="1:177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52"/>
      <c r="BF648" s="48"/>
      <c r="BG648" s="48"/>
      <c r="BI648" s="48"/>
      <c r="BN648" s="48"/>
      <c r="BO648" s="48"/>
      <c r="BR648" s="48"/>
      <c r="BS648" s="48"/>
      <c r="BW648" s="48"/>
      <c r="CA648" s="48"/>
      <c r="CE648" s="48"/>
      <c r="CF648" s="48"/>
      <c r="CG648" s="48"/>
      <c r="CH648" s="48"/>
      <c r="CI648" s="48"/>
      <c r="CJ648" s="48"/>
      <c r="CL648" s="48"/>
      <c r="CM648" s="48"/>
      <c r="CN648" s="48"/>
      <c r="CO648" s="48"/>
      <c r="CP648" s="48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  <c r="DE648" s="48"/>
      <c r="DF648" s="48"/>
      <c r="DG648" s="48"/>
      <c r="DH648" s="48"/>
      <c r="DI648" s="48"/>
      <c r="DJ648" s="48"/>
      <c r="DK648" s="48"/>
      <c r="DL648" s="48"/>
      <c r="DM648" s="48"/>
      <c r="DN648" s="48"/>
      <c r="DO648" s="48"/>
      <c r="DP648" s="48"/>
      <c r="DQ648" s="48"/>
      <c r="DR648" s="48"/>
      <c r="DS648" s="48"/>
      <c r="DT648" s="48"/>
      <c r="DU648" s="48"/>
      <c r="DV648" s="48"/>
      <c r="DW648" s="48"/>
      <c r="DX648" s="48"/>
      <c r="DY648" s="48"/>
      <c r="DZ648" s="48"/>
      <c r="EA648" s="48"/>
      <c r="EC648" s="48"/>
      <c r="ED648" s="48"/>
      <c r="EE648" s="48"/>
      <c r="EF648" s="48"/>
      <c r="EG648" s="48"/>
      <c r="EI648" s="48"/>
      <c r="EK648" s="48"/>
      <c r="EM648" s="48"/>
      <c r="EO648" s="48"/>
      <c r="EP648" s="48"/>
      <c r="EU648" s="48"/>
      <c r="EV648" s="48"/>
      <c r="EW648" s="48"/>
      <c r="EX648" s="48"/>
      <c r="EY648" s="48"/>
      <c r="EZ648" s="48"/>
      <c r="FA648" s="48"/>
      <c r="FB648" s="48"/>
      <c r="FC648" s="48"/>
      <c r="FD648" s="48"/>
      <c r="FE648" s="48"/>
      <c r="FF648" s="48"/>
      <c r="FG648" s="48"/>
      <c r="FI648" s="48"/>
      <c r="FL648" s="48"/>
      <c r="FM648" s="48"/>
      <c r="FN648" s="48"/>
      <c r="FO648" s="48"/>
      <c r="FP648" s="48"/>
      <c r="FQ648" s="48"/>
      <c r="FR648" s="48"/>
      <c r="FS648" s="48"/>
      <c r="FT648" s="48"/>
      <c r="FU648" s="48"/>
    </row>
    <row r="649" spans="1:177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52"/>
      <c r="BF649" s="48"/>
      <c r="BG649" s="48"/>
      <c r="BI649" s="48"/>
      <c r="BN649" s="48"/>
      <c r="BO649" s="48"/>
      <c r="BR649" s="48"/>
      <c r="BS649" s="48"/>
      <c r="BW649" s="48"/>
      <c r="CA649" s="48"/>
      <c r="CE649" s="48"/>
      <c r="CF649" s="48"/>
      <c r="CG649" s="48"/>
      <c r="CH649" s="48"/>
      <c r="CI649" s="48"/>
      <c r="CJ649" s="48"/>
      <c r="CL649" s="48"/>
      <c r="CM649" s="48"/>
      <c r="CN649" s="48"/>
      <c r="CO649" s="48"/>
      <c r="CP649" s="48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8"/>
      <c r="DN649" s="48"/>
      <c r="DO649" s="48"/>
      <c r="DP649" s="48"/>
      <c r="DQ649" s="48"/>
      <c r="DR649" s="48"/>
      <c r="DS649" s="48"/>
      <c r="DT649" s="48"/>
      <c r="DU649" s="48"/>
      <c r="DV649" s="48"/>
      <c r="DW649" s="48"/>
      <c r="DX649" s="48"/>
      <c r="DY649" s="48"/>
      <c r="DZ649" s="48"/>
      <c r="EA649" s="48"/>
      <c r="EC649" s="48"/>
      <c r="ED649" s="48"/>
      <c r="EE649" s="48"/>
      <c r="EF649" s="48"/>
      <c r="EG649" s="48"/>
      <c r="EI649" s="48"/>
      <c r="EK649" s="48"/>
      <c r="EM649" s="48"/>
      <c r="EO649" s="48"/>
      <c r="EP649" s="48"/>
      <c r="EU649" s="48"/>
      <c r="EV649" s="48"/>
      <c r="EW649" s="48"/>
      <c r="EX649" s="48"/>
      <c r="EY649" s="48"/>
      <c r="EZ649" s="48"/>
      <c r="FA649" s="48"/>
      <c r="FB649" s="48"/>
      <c r="FC649" s="48"/>
      <c r="FD649" s="48"/>
      <c r="FE649" s="48"/>
      <c r="FF649" s="48"/>
      <c r="FG649" s="48"/>
      <c r="FI649" s="48"/>
      <c r="FL649" s="48"/>
      <c r="FM649" s="48"/>
      <c r="FN649" s="48"/>
      <c r="FO649" s="48"/>
      <c r="FP649" s="48"/>
      <c r="FQ649" s="48"/>
      <c r="FR649" s="48"/>
      <c r="FS649" s="48"/>
      <c r="FT649" s="48"/>
      <c r="FU649" s="48"/>
    </row>
    <row r="650" spans="1:177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52"/>
      <c r="BF650" s="48"/>
      <c r="BG650" s="48"/>
      <c r="BI650" s="48"/>
      <c r="BN650" s="48"/>
      <c r="BO650" s="48"/>
      <c r="BR650" s="48"/>
      <c r="BS650" s="48"/>
      <c r="BW650" s="48"/>
      <c r="CA650" s="48"/>
      <c r="CE650" s="48"/>
      <c r="CF650" s="48"/>
      <c r="CG650" s="48"/>
      <c r="CH650" s="48"/>
      <c r="CI650" s="48"/>
      <c r="CJ650" s="48"/>
      <c r="CL650" s="48"/>
      <c r="CM650" s="48"/>
      <c r="CN650" s="48"/>
      <c r="CO650" s="48"/>
      <c r="CP650" s="48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  <c r="DE650" s="48"/>
      <c r="DF650" s="48"/>
      <c r="DG650" s="48"/>
      <c r="DH650" s="48"/>
      <c r="DI650" s="48"/>
      <c r="DJ650" s="48"/>
      <c r="DK650" s="48"/>
      <c r="DL650" s="48"/>
      <c r="DM650" s="48"/>
      <c r="DN650" s="48"/>
      <c r="DO650" s="48"/>
      <c r="DP650" s="48"/>
      <c r="DQ650" s="48"/>
      <c r="DR650" s="48"/>
      <c r="DS650" s="48"/>
      <c r="DT650" s="48"/>
      <c r="DU650" s="48"/>
      <c r="DV650" s="48"/>
      <c r="DW650" s="48"/>
      <c r="DX650" s="48"/>
      <c r="DY650" s="48"/>
      <c r="DZ650" s="48"/>
      <c r="EA650" s="48"/>
      <c r="EC650" s="48"/>
      <c r="ED650" s="48"/>
      <c r="EE650" s="48"/>
      <c r="EF650" s="48"/>
      <c r="EG650" s="48"/>
      <c r="EI650" s="48"/>
      <c r="EK650" s="48"/>
      <c r="EM650" s="48"/>
      <c r="EO650" s="48"/>
      <c r="EP650" s="48"/>
      <c r="EU650" s="48"/>
      <c r="EV650" s="48"/>
      <c r="EW650" s="48"/>
      <c r="EX650" s="48"/>
      <c r="EY650" s="48"/>
      <c r="EZ650" s="48"/>
      <c r="FA650" s="48"/>
      <c r="FB650" s="48"/>
      <c r="FC650" s="48"/>
      <c r="FD650" s="48"/>
      <c r="FE650" s="48"/>
      <c r="FF650" s="48"/>
      <c r="FG650" s="48"/>
      <c r="FI650" s="48"/>
      <c r="FL650" s="48"/>
      <c r="FM650" s="48"/>
      <c r="FN650" s="48"/>
      <c r="FO650" s="48"/>
      <c r="FP650" s="48"/>
      <c r="FQ650" s="48"/>
      <c r="FR650" s="48"/>
      <c r="FS650" s="48"/>
      <c r="FT650" s="48"/>
      <c r="FU650" s="48"/>
    </row>
    <row r="651" spans="1:177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52"/>
      <c r="BF651" s="48"/>
      <c r="BG651" s="48"/>
      <c r="BI651" s="48"/>
      <c r="BN651" s="48"/>
      <c r="BO651" s="48"/>
      <c r="BR651" s="48"/>
      <c r="BS651" s="48"/>
      <c r="BW651" s="48"/>
      <c r="CA651" s="48"/>
      <c r="CE651" s="48"/>
      <c r="CF651" s="48"/>
      <c r="CG651" s="48"/>
      <c r="CH651" s="48"/>
      <c r="CI651" s="48"/>
      <c r="CJ651" s="48"/>
      <c r="CL651" s="48"/>
      <c r="CM651" s="48"/>
      <c r="CN651" s="48"/>
      <c r="CO651" s="48"/>
      <c r="CP651" s="48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  <c r="DE651" s="48"/>
      <c r="DF651" s="48"/>
      <c r="DG651" s="48"/>
      <c r="DH651" s="48"/>
      <c r="DI651" s="48"/>
      <c r="DJ651" s="48"/>
      <c r="DK651" s="48"/>
      <c r="DL651" s="48"/>
      <c r="DM651" s="48"/>
      <c r="DN651" s="48"/>
      <c r="DO651" s="48"/>
      <c r="DP651" s="48"/>
      <c r="DQ651" s="48"/>
      <c r="DR651" s="48"/>
      <c r="DS651" s="48"/>
      <c r="DT651" s="48"/>
      <c r="DU651" s="48"/>
      <c r="DV651" s="48"/>
      <c r="DW651" s="48"/>
      <c r="DX651" s="48"/>
      <c r="DY651" s="48"/>
      <c r="DZ651" s="48"/>
      <c r="EA651" s="48"/>
      <c r="EC651" s="48"/>
      <c r="ED651" s="48"/>
      <c r="EE651" s="48"/>
      <c r="EF651" s="48"/>
      <c r="EG651" s="48"/>
      <c r="EI651" s="48"/>
      <c r="EK651" s="48"/>
      <c r="EM651" s="48"/>
      <c r="EO651" s="48"/>
      <c r="EP651" s="48"/>
      <c r="EU651" s="48"/>
      <c r="EV651" s="48"/>
      <c r="EW651" s="48"/>
      <c r="EX651" s="48"/>
      <c r="EY651" s="48"/>
      <c r="EZ651" s="48"/>
      <c r="FA651" s="48"/>
      <c r="FB651" s="48"/>
      <c r="FC651" s="48"/>
      <c r="FD651" s="48"/>
      <c r="FE651" s="48"/>
      <c r="FF651" s="48"/>
      <c r="FG651" s="48"/>
      <c r="FI651" s="48"/>
      <c r="FL651" s="48"/>
      <c r="FM651" s="48"/>
      <c r="FN651" s="48"/>
      <c r="FO651" s="48"/>
      <c r="FP651" s="48"/>
      <c r="FQ651" s="48"/>
      <c r="FR651" s="48"/>
      <c r="FS651" s="48"/>
      <c r="FT651" s="48"/>
      <c r="FU651" s="48"/>
    </row>
    <row r="652" spans="1:177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52"/>
      <c r="BF652" s="48"/>
      <c r="BG652" s="48"/>
      <c r="BI652" s="48"/>
      <c r="BN652" s="48"/>
      <c r="BO652" s="48"/>
      <c r="BR652" s="48"/>
      <c r="BS652" s="48"/>
      <c r="BW652" s="48"/>
      <c r="CA652" s="48"/>
      <c r="CE652" s="48"/>
      <c r="CF652" s="48"/>
      <c r="CG652" s="48"/>
      <c r="CH652" s="48"/>
      <c r="CI652" s="48"/>
      <c r="CJ652" s="48"/>
      <c r="CL652" s="48"/>
      <c r="CM652" s="48"/>
      <c r="CN652" s="48"/>
      <c r="CO652" s="48"/>
      <c r="CP652" s="48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  <c r="DE652" s="48"/>
      <c r="DF652" s="48"/>
      <c r="DG652" s="48"/>
      <c r="DH652" s="48"/>
      <c r="DI652" s="48"/>
      <c r="DJ652" s="48"/>
      <c r="DK652" s="48"/>
      <c r="DL652" s="48"/>
      <c r="DM652" s="48"/>
      <c r="DN652" s="48"/>
      <c r="DO652" s="48"/>
      <c r="DP652" s="48"/>
      <c r="DQ652" s="48"/>
      <c r="DR652" s="48"/>
      <c r="DS652" s="48"/>
      <c r="DT652" s="48"/>
      <c r="DU652" s="48"/>
      <c r="DV652" s="48"/>
      <c r="DW652" s="48"/>
      <c r="DX652" s="48"/>
      <c r="DY652" s="48"/>
      <c r="DZ652" s="48"/>
      <c r="EA652" s="48"/>
      <c r="EC652" s="48"/>
      <c r="ED652" s="48"/>
      <c r="EE652" s="48"/>
      <c r="EF652" s="48"/>
      <c r="EG652" s="48"/>
      <c r="EI652" s="48"/>
      <c r="EK652" s="48"/>
      <c r="EM652" s="48"/>
      <c r="EO652" s="48"/>
      <c r="EP652" s="48"/>
      <c r="EU652" s="48"/>
      <c r="EV652" s="48"/>
      <c r="EW652" s="48"/>
      <c r="EX652" s="48"/>
      <c r="EY652" s="48"/>
      <c r="EZ652" s="48"/>
      <c r="FA652" s="48"/>
      <c r="FB652" s="48"/>
      <c r="FC652" s="48"/>
      <c r="FD652" s="48"/>
      <c r="FE652" s="48"/>
      <c r="FF652" s="48"/>
      <c r="FG652" s="48"/>
      <c r="FI652" s="48"/>
      <c r="FL652" s="48"/>
      <c r="FM652" s="48"/>
      <c r="FN652" s="48"/>
      <c r="FO652" s="48"/>
      <c r="FP652" s="48"/>
      <c r="FQ652" s="48"/>
      <c r="FR652" s="48"/>
      <c r="FS652" s="48"/>
      <c r="FT652" s="48"/>
      <c r="FU652" s="48"/>
    </row>
    <row r="653" spans="1:177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52"/>
      <c r="BF653" s="48"/>
      <c r="BG653" s="48"/>
      <c r="BI653" s="48"/>
      <c r="BN653" s="48"/>
      <c r="BO653" s="48"/>
      <c r="BR653" s="48"/>
      <c r="BS653" s="48"/>
      <c r="BW653" s="48"/>
      <c r="CA653" s="48"/>
      <c r="CE653" s="48"/>
      <c r="CF653" s="48"/>
      <c r="CG653" s="48"/>
      <c r="CH653" s="48"/>
      <c r="CI653" s="48"/>
      <c r="CJ653" s="48"/>
      <c r="CL653" s="48"/>
      <c r="CM653" s="48"/>
      <c r="CN653" s="48"/>
      <c r="CO653" s="48"/>
      <c r="CP653" s="48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  <c r="DD653" s="48"/>
      <c r="DE653" s="48"/>
      <c r="DF653" s="48"/>
      <c r="DG653" s="48"/>
      <c r="DH653" s="48"/>
      <c r="DI653" s="48"/>
      <c r="DJ653" s="48"/>
      <c r="DK653" s="48"/>
      <c r="DL653" s="48"/>
      <c r="DM653" s="48"/>
      <c r="DN653" s="48"/>
      <c r="DO653" s="48"/>
      <c r="DP653" s="48"/>
      <c r="DQ653" s="48"/>
      <c r="DR653" s="48"/>
      <c r="DS653" s="48"/>
      <c r="DT653" s="48"/>
      <c r="DU653" s="48"/>
      <c r="DV653" s="48"/>
      <c r="DW653" s="48"/>
      <c r="DX653" s="48"/>
      <c r="DY653" s="48"/>
      <c r="DZ653" s="48"/>
      <c r="EA653" s="48"/>
      <c r="EC653" s="48"/>
      <c r="ED653" s="48"/>
      <c r="EE653" s="48"/>
      <c r="EF653" s="48"/>
      <c r="EG653" s="48"/>
      <c r="EI653" s="48"/>
      <c r="EK653" s="48"/>
      <c r="EM653" s="48"/>
      <c r="EO653" s="48"/>
      <c r="EP653" s="48"/>
      <c r="EU653" s="48"/>
      <c r="EV653" s="48"/>
      <c r="EW653" s="48"/>
      <c r="EX653" s="48"/>
      <c r="EY653" s="48"/>
      <c r="EZ653" s="48"/>
      <c r="FA653" s="48"/>
      <c r="FB653" s="48"/>
      <c r="FC653" s="48"/>
      <c r="FD653" s="48"/>
      <c r="FE653" s="48"/>
      <c r="FF653" s="48"/>
      <c r="FG653" s="48"/>
      <c r="FI653" s="48"/>
      <c r="FL653" s="48"/>
      <c r="FM653" s="48"/>
      <c r="FN653" s="48"/>
      <c r="FO653" s="48"/>
      <c r="FP653" s="48"/>
      <c r="FQ653" s="48"/>
      <c r="FR653" s="48"/>
      <c r="FS653" s="48"/>
      <c r="FT653" s="48"/>
      <c r="FU653" s="48"/>
    </row>
    <row r="654" spans="1:177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52"/>
      <c r="BF654" s="48"/>
      <c r="BG654" s="48"/>
      <c r="BI654" s="48"/>
      <c r="BN654" s="48"/>
      <c r="BO654" s="48"/>
      <c r="BR654" s="48"/>
      <c r="BS654" s="48"/>
      <c r="BW654" s="48"/>
      <c r="CA654" s="48"/>
      <c r="CE654" s="48"/>
      <c r="CF654" s="48"/>
      <c r="CG654" s="48"/>
      <c r="CH654" s="48"/>
      <c r="CI654" s="48"/>
      <c r="CJ654" s="48"/>
      <c r="CL654" s="48"/>
      <c r="CM654" s="48"/>
      <c r="CN654" s="48"/>
      <c r="CO654" s="48"/>
      <c r="CP654" s="48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  <c r="DE654" s="48"/>
      <c r="DF654" s="48"/>
      <c r="DG654" s="48"/>
      <c r="DH654" s="48"/>
      <c r="DI654" s="48"/>
      <c r="DJ654" s="48"/>
      <c r="DK654" s="48"/>
      <c r="DL654" s="48"/>
      <c r="DM654" s="48"/>
      <c r="DN654" s="48"/>
      <c r="DO654" s="48"/>
      <c r="DP654" s="48"/>
      <c r="DQ654" s="48"/>
      <c r="DR654" s="48"/>
      <c r="DS654" s="48"/>
      <c r="DT654" s="48"/>
      <c r="DU654" s="48"/>
      <c r="DV654" s="48"/>
      <c r="DW654" s="48"/>
      <c r="DX654" s="48"/>
      <c r="DY654" s="48"/>
      <c r="DZ654" s="48"/>
      <c r="EA654" s="48"/>
      <c r="EC654" s="48"/>
      <c r="ED654" s="48"/>
      <c r="EE654" s="48"/>
      <c r="EF654" s="48"/>
      <c r="EG654" s="48"/>
      <c r="EI654" s="48"/>
      <c r="EK654" s="48"/>
      <c r="EM654" s="48"/>
      <c r="EO654" s="48"/>
      <c r="EP654" s="48"/>
      <c r="EU654" s="48"/>
      <c r="EV654" s="48"/>
      <c r="EW654" s="48"/>
      <c r="EX654" s="48"/>
      <c r="EY654" s="48"/>
      <c r="EZ654" s="48"/>
      <c r="FA654" s="48"/>
      <c r="FB654" s="48"/>
      <c r="FC654" s="48"/>
      <c r="FD654" s="48"/>
      <c r="FE654" s="48"/>
      <c r="FF654" s="48"/>
      <c r="FG654" s="48"/>
      <c r="FI654" s="48"/>
      <c r="FL654" s="48"/>
      <c r="FM654" s="48"/>
      <c r="FN654" s="48"/>
      <c r="FO654" s="48"/>
      <c r="FP654" s="48"/>
      <c r="FQ654" s="48"/>
      <c r="FR654" s="48"/>
      <c r="FS654" s="48"/>
      <c r="FT654" s="48"/>
      <c r="FU654" s="48"/>
    </row>
    <row r="655" spans="1:177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52"/>
      <c r="BF655" s="48"/>
      <c r="BG655" s="48"/>
      <c r="BI655" s="48"/>
      <c r="BN655" s="48"/>
      <c r="BO655" s="48"/>
      <c r="BR655" s="48"/>
      <c r="BS655" s="48"/>
      <c r="BW655" s="48"/>
      <c r="CA655" s="48"/>
      <c r="CE655" s="48"/>
      <c r="CF655" s="48"/>
      <c r="CG655" s="48"/>
      <c r="CH655" s="48"/>
      <c r="CI655" s="48"/>
      <c r="CJ655" s="48"/>
      <c r="CL655" s="48"/>
      <c r="CM655" s="48"/>
      <c r="CN655" s="48"/>
      <c r="CO655" s="48"/>
      <c r="CP655" s="48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8"/>
      <c r="DN655" s="48"/>
      <c r="DO655" s="48"/>
      <c r="DP655" s="48"/>
      <c r="DQ655" s="48"/>
      <c r="DR655" s="48"/>
      <c r="DS655" s="48"/>
      <c r="DT655" s="48"/>
      <c r="DU655" s="48"/>
      <c r="DV655" s="48"/>
      <c r="DW655" s="48"/>
      <c r="DX655" s="48"/>
      <c r="DY655" s="48"/>
      <c r="DZ655" s="48"/>
      <c r="EA655" s="48"/>
      <c r="EC655" s="48"/>
      <c r="ED655" s="48"/>
      <c r="EE655" s="48"/>
      <c r="EF655" s="48"/>
      <c r="EG655" s="48"/>
      <c r="EI655" s="48"/>
      <c r="EK655" s="48"/>
      <c r="EM655" s="48"/>
      <c r="EO655" s="48"/>
      <c r="EP655" s="48"/>
      <c r="EU655" s="48"/>
      <c r="EV655" s="48"/>
      <c r="EW655" s="48"/>
      <c r="EX655" s="48"/>
      <c r="EY655" s="48"/>
      <c r="EZ655" s="48"/>
      <c r="FA655" s="48"/>
      <c r="FB655" s="48"/>
      <c r="FC655" s="48"/>
      <c r="FD655" s="48"/>
      <c r="FE655" s="48"/>
      <c r="FF655" s="48"/>
      <c r="FG655" s="48"/>
      <c r="FI655" s="48"/>
      <c r="FL655" s="48"/>
      <c r="FM655" s="48"/>
      <c r="FN655" s="48"/>
      <c r="FO655" s="48"/>
      <c r="FP655" s="48"/>
      <c r="FQ655" s="48"/>
      <c r="FR655" s="48"/>
      <c r="FS655" s="48"/>
      <c r="FT655" s="48"/>
      <c r="FU655" s="48"/>
    </row>
    <row r="656" spans="1:177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52"/>
      <c r="BF656" s="48"/>
      <c r="BG656" s="48"/>
      <c r="BI656" s="48"/>
      <c r="BN656" s="48"/>
      <c r="BO656" s="48"/>
      <c r="BR656" s="48"/>
      <c r="BS656" s="48"/>
      <c r="BW656" s="48"/>
      <c r="CA656" s="48"/>
      <c r="CE656" s="48"/>
      <c r="CF656" s="48"/>
      <c r="CG656" s="48"/>
      <c r="CH656" s="48"/>
      <c r="CI656" s="48"/>
      <c r="CJ656" s="48"/>
      <c r="CL656" s="48"/>
      <c r="CM656" s="48"/>
      <c r="CN656" s="48"/>
      <c r="CO656" s="48"/>
      <c r="CP656" s="48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  <c r="DE656" s="48"/>
      <c r="DF656" s="48"/>
      <c r="DG656" s="48"/>
      <c r="DH656" s="48"/>
      <c r="DI656" s="48"/>
      <c r="DJ656" s="48"/>
      <c r="DK656" s="48"/>
      <c r="DL656" s="48"/>
      <c r="DM656" s="48"/>
      <c r="DN656" s="48"/>
      <c r="DO656" s="48"/>
      <c r="DP656" s="48"/>
      <c r="DQ656" s="48"/>
      <c r="DR656" s="48"/>
      <c r="DS656" s="48"/>
      <c r="DT656" s="48"/>
      <c r="DU656" s="48"/>
      <c r="DV656" s="48"/>
      <c r="DW656" s="48"/>
      <c r="DX656" s="48"/>
      <c r="DY656" s="48"/>
      <c r="DZ656" s="48"/>
      <c r="EA656" s="48"/>
      <c r="EC656" s="48"/>
      <c r="ED656" s="48"/>
      <c r="EE656" s="48"/>
      <c r="EF656" s="48"/>
      <c r="EG656" s="48"/>
      <c r="EI656" s="48"/>
      <c r="EK656" s="48"/>
      <c r="EM656" s="48"/>
      <c r="EO656" s="48"/>
      <c r="EP656" s="48"/>
      <c r="EU656" s="48"/>
      <c r="EV656" s="48"/>
      <c r="EW656" s="48"/>
      <c r="EX656" s="48"/>
      <c r="EY656" s="48"/>
      <c r="EZ656" s="48"/>
      <c r="FA656" s="48"/>
      <c r="FB656" s="48"/>
      <c r="FC656" s="48"/>
      <c r="FD656" s="48"/>
      <c r="FE656" s="48"/>
      <c r="FF656" s="48"/>
      <c r="FG656" s="48"/>
      <c r="FI656" s="48"/>
      <c r="FL656" s="48"/>
      <c r="FM656" s="48"/>
      <c r="FN656" s="48"/>
      <c r="FO656" s="48"/>
      <c r="FP656" s="48"/>
      <c r="FQ656" s="48"/>
      <c r="FR656" s="48"/>
      <c r="FS656" s="48"/>
      <c r="FT656" s="48"/>
      <c r="FU656" s="48"/>
    </row>
    <row r="657" spans="1:17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52"/>
      <c r="BF657" s="48"/>
      <c r="BG657" s="48"/>
      <c r="BI657" s="48"/>
      <c r="BN657" s="48"/>
      <c r="BO657" s="48"/>
      <c r="BR657" s="48"/>
      <c r="BS657" s="48"/>
      <c r="BW657" s="48"/>
      <c r="CA657" s="48"/>
      <c r="CE657" s="48"/>
      <c r="CF657" s="48"/>
      <c r="CG657" s="48"/>
      <c r="CH657" s="48"/>
      <c r="CI657" s="48"/>
      <c r="CJ657" s="48"/>
      <c r="CL657" s="48"/>
      <c r="CM657" s="48"/>
      <c r="CN657" s="48"/>
      <c r="CO657" s="48"/>
      <c r="CP657" s="48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  <c r="DE657" s="48"/>
      <c r="DF657" s="48"/>
      <c r="DG657" s="48"/>
      <c r="DH657" s="48"/>
      <c r="DI657" s="48"/>
      <c r="DJ657" s="48"/>
      <c r="DK657" s="48"/>
      <c r="DL657" s="48"/>
      <c r="DM657" s="48"/>
      <c r="DN657" s="48"/>
      <c r="DO657" s="48"/>
      <c r="DP657" s="48"/>
      <c r="DQ657" s="48"/>
      <c r="DR657" s="48"/>
      <c r="DS657" s="48"/>
      <c r="DT657" s="48"/>
      <c r="DU657" s="48"/>
      <c r="DV657" s="48"/>
      <c r="DW657" s="48"/>
      <c r="DX657" s="48"/>
      <c r="DY657" s="48"/>
      <c r="DZ657" s="48"/>
      <c r="EA657" s="48"/>
      <c r="EC657" s="48"/>
      <c r="ED657" s="48"/>
      <c r="EE657" s="48"/>
      <c r="EF657" s="48"/>
      <c r="EG657" s="48"/>
      <c r="EI657" s="48"/>
      <c r="EK657" s="48"/>
      <c r="EM657" s="48"/>
      <c r="EO657" s="48"/>
      <c r="EP657" s="48"/>
      <c r="EU657" s="48"/>
      <c r="EV657" s="48"/>
      <c r="EW657" s="48"/>
      <c r="EX657" s="48"/>
      <c r="EY657" s="48"/>
      <c r="EZ657" s="48"/>
      <c r="FA657" s="48"/>
      <c r="FB657" s="48"/>
      <c r="FC657" s="48"/>
      <c r="FD657" s="48"/>
      <c r="FE657" s="48"/>
      <c r="FF657" s="48"/>
      <c r="FG657" s="48"/>
      <c r="FI657" s="48"/>
      <c r="FL657" s="48"/>
      <c r="FM657" s="48"/>
      <c r="FN657" s="48"/>
      <c r="FO657" s="48"/>
      <c r="FP657" s="48"/>
      <c r="FQ657" s="48"/>
      <c r="FR657" s="48"/>
      <c r="FS657" s="48"/>
      <c r="FT657" s="48"/>
      <c r="FU657" s="48"/>
    </row>
    <row r="658" spans="1:177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52"/>
      <c r="BF658" s="48"/>
      <c r="BG658" s="48"/>
      <c r="BI658" s="48"/>
      <c r="BN658" s="48"/>
      <c r="BO658" s="48"/>
      <c r="BR658" s="48"/>
      <c r="BS658" s="48"/>
      <c r="BW658" s="48"/>
      <c r="CA658" s="48"/>
      <c r="CE658" s="48"/>
      <c r="CF658" s="48"/>
      <c r="CG658" s="48"/>
      <c r="CH658" s="48"/>
      <c r="CI658" s="48"/>
      <c r="CJ658" s="48"/>
      <c r="CL658" s="48"/>
      <c r="CM658" s="48"/>
      <c r="CN658" s="48"/>
      <c r="CO658" s="48"/>
      <c r="CP658" s="48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  <c r="DE658" s="48"/>
      <c r="DF658" s="48"/>
      <c r="DG658" s="48"/>
      <c r="DH658" s="48"/>
      <c r="DI658" s="48"/>
      <c r="DJ658" s="48"/>
      <c r="DK658" s="48"/>
      <c r="DL658" s="48"/>
      <c r="DM658" s="48"/>
      <c r="DN658" s="48"/>
      <c r="DO658" s="48"/>
      <c r="DP658" s="48"/>
      <c r="DQ658" s="48"/>
      <c r="DR658" s="48"/>
      <c r="DS658" s="48"/>
      <c r="DT658" s="48"/>
      <c r="DU658" s="48"/>
      <c r="DV658" s="48"/>
      <c r="DW658" s="48"/>
      <c r="DX658" s="48"/>
      <c r="DY658" s="48"/>
      <c r="DZ658" s="48"/>
      <c r="EA658" s="48"/>
      <c r="EC658" s="48"/>
      <c r="ED658" s="48"/>
      <c r="EE658" s="48"/>
      <c r="EF658" s="48"/>
      <c r="EG658" s="48"/>
      <c r="EI658" s="48"/>
      <c r="EK658" s="48"/>
      <c r="EM658" s="48"/>
      <c r="EO658" s="48"/>
      <c r="EP658" s="48"/>
      <c r="EU658" s="48"/>
      <c r="EV658" s="48"/>
      <c r="EW658" s="48"/>
      <c r="EX658" s="48"/>
      <c r="EY658" s="48"/>
      <c r="EZ658" s="48"/>
      <c r="FA658" s="48"/>
      <c r="FB658" s="48"/>
      <c r="FC658" s="48"/>
      <c r="FD658" s="48"/>
      <c r="FE658" s="48"/>
      <c r="FF658" s="48"/>
      <c r="FG658" s="48"/>
      <c r="FI658" s="48"/>
      <c r="FL658" s="48"/>
      <c r="FM658" s="48"/>
      <c r="FN658" s="48"/>
      <c r="FO658" s="48"/>
      <c r="FP658" s="48"/>
      <c r="FQ658" s="48"/>
      <c r="FR658" s="48"/>
      <c r="FS658" s="48"/>
      <c r="FT658" s="48"/>
      <c r="FU658" s="48"/>
    </row>
    <row r="659" spans="1:177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52"/>
      <c r="BF659" s="48"/>
      <c r="BG659" s="48"/>
      <c r="BI659" s="48"/>
      <c r="BN659" s="48"/>
      <c r="BO659" s="48"/>
      <c r="BR659" s="48"/>
      <c r="BS659" s="48"/>
      <c r="BW659" s="48"/>
      <c r="CA659" s="48"/>
      <c r="CE659" s="48"/>
      <c r="CF659" s="48"/>
      <c r="CG659" s="48"/>
      <c r="CH659" s="48"/>
      <c r="CI659" s="48"/>
      <c r="CJ659" s="48"/>
      <c r="CL659" s="48"/>
      <c r="CM659" s="48"/>
      <c r="CN659" s="48"/>
      <c r="CO659" s="48"/>
      <c r="CP659" s="48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  <c r="DD659" s="48"/>
      <c r="DE659" s="48"/>
      <c r="DF659" s="48"/>
      <c r="DG659" s="48"/>
      <c r="DH659" s="48"/>
      <c r="DI659" s="48"/>
      <c r="DJ659" s="48"/>
      <c r="DK659" s="48"/>
      <c r="DL659" s="48"/>
      <c r="DM659" s="48"/>
      <c r="DN659" s="48"/>
      <c r="DO659" s="48"/>
      <c r="DP659" s="48"/>
      <c r="DQ659" s="48"/>
      <c r="DR659" s="48"/>
      <c r="DS659" s="48"/>
      <c r="DT659" s="48"/>
      <c r="DU659" s="48"/>
      <c r="DV659" s="48"/>
      <c r="DW659" s="48"/>
      <c r="DX659" s="48"/>
      <c r="DY659" s="48"/>
      <c r="DZ659" s="48"/>
      <c r="EA659" s="48"/>
      <c r="EC659" s="48"/>
      <c r="ED659" s="48"/>
      <c r="EE659" s="48"/>
      <c r="EF659" s="48"/>
      <c r="EG659" s="48"/>
      <c r="EI659" s="48"/>
      <c r="EK659" s="48"/>
      <c r="EM659" s="48"/>
      <c r="EO659" s="48"/>
      <c r="EP659" s="48"/>
      <c r="EU659" s="48"/>
      <c r="EV659" s="48"/>
      <c r="EW659" s="48"/>
      <c r="EX659" s="48"/>
      <c r="EY659" s="48"/>
      <c r="EZ659" s="48"/>
      <c r="FA659" s="48"/>
      <c r="FB659" s="48"/>
      <c r="FC659" s="48"/>
      <c r="FD659" s="48"/>
      <c r="FE659" s="48"/>
      <c r="FF659" s="48"/>
      <c r="FG659" s="48"/>
      <c r="FI659" s="48"/>
      <c r="FL659" s="48"/>
      <c r="FM659" s="48"/>
      <c r="FN659" s="48"/>
      <c r="FO659" s="48"/>
      <c r="FP659" s="48"/>
      <c r="FQ659" s="48"/>
      <c r="FR659" s="48"/>
      <c r="FS659" s="48"/>
      <c r="FT659" s="48"/>
      <c r="FU659" s="48"/>
    </row>
    <row r="660" spans="1:177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52"/>
      <c r="BF660" s="48"/>
      <c r="BG660" s="48"/>
      <c r="BI660" s="48"/>
      <c r="BN660" s="48"/>
      <c r="BO660" s="48"/>
      <c r="BR660" s="48"/>
      <c r="BS660" s="48"/>
      <c r="BW660" s="48"/>
      <c r="CA660" s="48"/>
      <c r="CE660" s="48"/>
      <c r="CF660" s="48"/>
      <c r="CG660" s="48"/>
      <c r="CH660" s="48"/>
      <c r="CI660" s="48"/>
      <c r="CJ660" s="48"/>
      <c r="CL660" s="48"/>
      <c r="CM660" s="48"/>
      <c r="CN660" s="48"/>
      <c r="CO660" s="48"/>
      <c r="CP660" s="48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  <c r="DD660" s="48"/>
      <c r="DE660" s="48"/>
      <c r="DF660" s="48"/>
      <c r="DG660" s="48"/>
      <c r="DH660" s="48"/>
      <c r="DI660" s="48"/>
      <c r="DJ660" s="48"/>
      <c r="DK660" s="48"/>
      <c r="DL660" s="48"/>
      <c r="DM660" s="48"/>
      <c r="DN660" s="48"/>
      <c r="DO660" s="48"/>
      <c r="DP660" s="48"/>
      <c r="DQ660" s="48"/>
      <c r="DR660" s="48"/>
      <c r="DS660" s="48"/>
      <c r="DT660" s="48"/>
      <c r="DU660" s="48"/>
      <c r="DV660" s="48"/>
      <c r="DW660" s="48"/>
      <c r="DX660" s="48"/>
      <c r="DY660" s="48"/>
      <c r="DZ660" s="48"/>
      <c r="EA660" s="48"/>
      <c r="EC660" s="48"/>
      <c r="ED660" s="48"/>
      <c r="EE660" s="48"/>
      <c r="EF660" s="48"/>
      <c r="EG660" s="48"/>
      <c r="EI660" s="48"/>
      <c r="EK660" s="48"/>
      <c r="EM660" s="48"/>
      <c r="EO660" s="48"/>
      <c r="EP660" s="48"/>
      <c r="EU660" s="48"/>
      <c r="EV660" s="48"/>
      <c r="EW660" s="48"/>
      <c r="EX660" s="48"/>
      <c r="EY660" s="48"/>
      <c r="EZ660" s="48"/>
      <c r="FA660" s="48"/>
      <c r="FB660" s="48"/>
      <c r="FC660" s="48"/>
      <c r="FD660" s="48"/>
      <c r="FE660" s="48"/>
      <c r="FF660" s="48"/>
      <c r="FG660" s="48"/>
      <c r="FI660" s="48"/>
      <c r="FL660" s="48"/>
      <c r="FM660" s="48"/>
      <c r="FN660" s="48"/>
      <c r="FO660" s="48"/>
      <c r="FP660" s="48"/>
      <c r="FQ660" s="48"/>
      <c r="FR660" s="48"/>
      <c r="FS660" s="48"/>
      <c r="FT660" s="48"/>
      <c r="FU660" s="48"/>
    </row>
    <row r="661" spans="1:177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52"/>
      <c r="BF661" s="48"/>
      <c r="BG661" s="48"/>
      <c r="BI661" s="48"/>
      <c r="BN661" s="48"/>
      <c r="BO661" s="48"/>
      <c r="BR661" s="48"/>
      <c r="BS661" s="48"/>
      <c r="BW661" s="48"/>
      <c r="CA661" s="48"/>
      <c r="CE661" s="48"/>
      <c r="CF661" s="48"/>
      <c r="CG661" s="48"/>
      <c r="CH661" s="48"/>
      <c r="CI661" s="48"/>
      <c r="CJ661" s="48"/>
      <c r="CL661" s="48"/>
      <c r="CM661" s="48"/>
      <c r="CN661" s="48"/>
      <c r="CO661" s="48"/>
      <c r="CP661" s="48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  <c r="DE661" s="48"/>
      <c r="DF661" s="48"/>
      <c r="DG661" s="48"/>
      <c r="DH661" s="48"/>
      <c r="DI661" s="48"/>
      <c r="DJ661" s="48"/>
      <c r="DK661" s="48"/>
      <c r="DL661" s="48"/>
      <c r="DM661" s="48"/>
      <c r="DN661" s="48"/>
      <c r="DO661" s="48"/>
      <c r="DP661" s="48"/>
      <c r="DQ661" s="48"/>
      <c r="DR661" s="48"/>
      <c r="DS661" s="48"/>
      <c r="DT661" s="48"/>
      <c r="DU661" s="48"/>
      <c r="DV661" s="48"/>
      <c r="DW661" s="48"/>
      <c r="DX661" s="48"/>
      <c r="DY661" s="48"/>
      <c r="DZ661" s="48"/>
      <c r="EA661" s="48"/>
      <c r="EC661" s="48"/>
      <c r="ED661" s="48"/>
      <c r="EE661" s="48"/>
      <c r="EF661" s="48"/>
      <c r="EG661" s="48"/>
      <c r="EI661" s="48"/>
      <c r="EK661" s="48"/>
      <c r="EM661" s="48"/>
      <c r="EO661" s="48"/>
      <c r="EP661" s="48"/>
      <c r="EU661" s="48"/>
      <c r="EV661" s="48"/>
      <c r="EW661" s="48"/>
      <c r="EX661" s="48"/>
      <c r="EY661" s="48"/>
      <c r="EZ661" s="48"/>
      <c r="FA661" s="48"/>
      <c r="FB661" s="48"/>
      <c r="FC661" s="48"/>
      <c r="FD661" s="48"/>
      <c r="FE661" s="48"/>
      <c r="FF661" s="48"/>
      <c r="FG661" s="48"/>
      <c r="FI661" s="48"/>
      <c r="FL661" s="48"/>
      <c r="FM661" s="48"/>
      <c r="FN661" s="48"/>
      <c r="FO661" s="48"/>
      <c r="FP661" s="48"/>
      <c r="FQ661" s="48"/>
      <c r="FR661" s="48"/>
      <c r="FS661" s="48"/>
      <c r="FT661" s="48"/>
      <c r="FU661" s="48"/>
    </row>
    <row r="662" spans="1:177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52"/>
      <c r="BF662" s="48"/>
      <c r="BG662" s="48"/>
      <c r="BI662" s="48"/>
      <c r="BN662" s="48"/>
      <c r="BO662" s="48"/>
      <c r="BR662" s="48"/>
      <c r="BS662" s="48"/>
      <c r="BW662" s="48"/>
      <c r="CA662" s="48"/>
      <c r="CE662" s="48"/>
      <c r="CF662" s="48"/>
      <c r="CG662" s="48"/>
      <c r="CH662" s="48"/>
      <c r="CI662" s="48"/>
      <c r="CJ662" s="48"/>
      <c r="CL662" s="48"/>
      <c r="CM662" s="48"/>
      <c r="CN662" s="48"/>
      <c r="CO662" s="48"/>
      <c r="CP662" s="48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  <c r="DE662" s="48"/>
      <c r="DF662" s="48"/>
      <c r="DG662" s="48"/>
      <c r="DH662" s="48"/>
      <c r="DI662" s="48"/>
      <c r="DJ662" s="48"/>
      <c r="DK662" s="48"/>
      <c r="DL662" s="48"/>
      <c r="DM662" s="48"/>
      <c r="DN662" s="48"/>
      <c r="DO662" s="48"/>
      <c r="DP662" s="48"/>
      <c r="DQ662" s="48"/>
      <c r="DR662" s="48"/>
      <c r="DS662" s="48"/>
      <c r="DT662" s="48"/>
      <c r="DU662" s="48"/>
      <c r="DV662" s="48"/>
      <c r="DW662" s="48"/>
      <c r="DX662" s="48"/>
      <c r="DY662" s="48"/>
      <c r="DZ662" s="48"/>
      <c r="EA662" s="48"/>
      <c r="EC662" s="48"/>
      <c r="ED662" s="48"/>
      <c r="EE662" s="48"/>
      <c r="EF662" s="48"/>
      <c r="EG662" s="48"/>
      <c r="EI662" s="48"/>
      <c r="EK662" s="48"/>
      <c r="EM662" s="48"/>
      <c r="EO662" s="48"/>
      <c r="EP662" s="48"/>
      <c r="EU662" s="48"/>
      <c r="EV662" s="48"/>
      <c r="EW662" s="48"/>
      <c r="EX662" s="48"/>
      <c r="EY662" s="48"/>
      <c r="EZ662" s="48"/>
      <c r="FA662" s="48"/>
      <c r="FB662" s="48"/>
      <c r="FC662" s="48"/>
      <c r="FD662" s="48"/>
      <c r="FE662" s="48"/>
      <c r="FF662" s="48"/>
      <c r="FG662" s="48"/>
      <c r="FI662" s="48"/>
      <c r="FL662" s="48"/>
      <c r="FM662" s="48"/>
      <c r="FN662" s="48"/>
      <c r="FO662" s="48"/>
      <c r="FP662" s="48"/>
      <c r="FQ662" s="48"/>
      <c r="FR662" s="48"/>
      <c r="FS662" s="48"/>
      <c r="FT662" s="48"/>
      <c r="FU662" s="48"/>
    </row>
    <row r="663" spans="1:177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52"/>
      <c r="BF663" s="48"/>
      <c r="BG663" s="48"/>
      <c r="BI663" s="48"/>
      <c r="BN663" s="48"/>
      <c r="BO663" s="48"/>
      <c r="BR663" s="48"/>
      <c r="BS663" s="48"/>
      <c r="BW663" s="48"/>
      <c r="CA663" s="48"/>
      <c r="CE663" s="48"/>
      <c r="CF663" s="48"/>
      <c r="CG663" s="48"/>
      <c r="CH663" s="48"/>
      <c r="CI663" s="48"/>
      <c r="CJ663" s="48"/>
      <c r="CL663" s="48"/>
      <c r="CM663" s="48"/>
      <c r="CN663" s="48"/>
      <c r="CO663" s="48"/>
      <c r="CP663" s="48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  <c r="DE663" s="48"/>
      <c r="DF663" s="48"/>
      <c r="DG663" s="48"/>
      <c r="DH663" s="48"/>
      <c r="DI663" s="48"/>
      <c r="DJ663" s="48"/>
      <c r="DK663" s="48"/>
      <c r="DL663" s="48"/>
      <c r="DM663" s="48"/>
      <c r="DN663" s="48"/>
      <c r="DO663" s="48"/>
      <c r="DP663" s="48"/>
      <c r="DQ663" s="48"/>
      <c r="DR663" s="48"/>
      <c r="DS663" s="48"/>
      <c r="DT663" s="48"/>
      <c r="DU663" s="48"/>
      <c r="DV663" s="48"/>
      <c r="DW663" s="48"/>
      <c r="DX663" s="48"/>
      <c r="DY663" s="48"/>
      <c r="DZ663" s="48"/>
      <c r="EA663" s="48"/>
      <c r="EC663" s="48"/>
      <c r="ED663" s="48"/>
      <c r="EE663" s="48"/>
      <c r="EF663" s="48"/>
      <c r="EG663" s="48"/>
      <c r="EI663" s="48"/>
      <c r="EK663" s="48"/>
      <c r="EM663" s="48"/>
      <c r="EO663" s="48"/>
      <c r="EP663" s="48"/>
      <c r="EU663" s="48"/>
      <c r="EV663" s="48"/>
      <c r="EW663" s="48"/>
      <c r="EX663" s="48"/>
      <c r="EY663" s="48"/>
      <c r="EZ663" s="48"/>
      <c r="FA663" s="48"/>
      <c r="FB663" s="48"/>
      <c r="FC663" s="48"/>
      <c r="FD663" s="48"/>
      <c r="FE663" s="48"/>
      <c r="FF663" s="48"/>
      <c r="FG663" s="48"/>
      <c r="FI663" s="48"/>
      <c r="FL663" s="48"/>
      <c r="FM663" s="48"/>
      <c r="FN663" s="48"/>
      <c r="FO663" s="48"/>
      <c r="FP663" s="48"/>
      <c r="FQ663" s="48"/>
      <c r="FR663" s="48"/>
      <c r="FS663" s="48"/>
      <c r="FT663" s="48"/>
      <c r="FU663" s="48"/>
    </row>
    <row r="664" spans="1:177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52"/>
      <c r="BF664" s="48"/>
      <c r="BG664" s="48"/>
      <c r="BI664" s="48"/>
      <c r="BN664" s="48"/>
      <c r="BO664" s="48"/>
      <c r="BR664" s="48"/>
      <c r="BS664" s="48"/>
      <c r="BW664" s="48"/>
      <c r="CA664" s="48"/>
      <c r="CE664" s="48"/>
      <c r="CF664" s="48"/>
      <c r="CG664" s="48"/>
      <c r="CH664" s="48"/>
      <c r="CI664" s="48"/>
      <c r="CJ664" s="48"/>
      <c r="CL664" s="48"/>
      <c r="CM664" s="48"/>
      <c r="CN664" s="48"/>
      <c r="CO664" s="48"/>
      <c r="CP664" s="48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  <c r="DE664" s="48"/>
      <c r="DF664" s="48"/>
      <c r="DG664" s="48"/>
      <c r="DH664" s="48"/>
      <c r="DI664" s="48"/>
      <c r="DJ664" s="48"/>
      <c r="DK664" s="48"/>
      <c r="DL664" s="48"/>
      <c r="DM664" s="48"/>
      <c r="DN664" s="48"/>
      <c r="DO664" s="48"/>
      <c r="DP664" s="48"/>
      <c r="DQ664" s="48"/>
      <c r="DR664" s="48"/>
      <c r="DS664" s="48"/>
      <c r="DT664" s="48"/>
      <c r="DU664" s="48"/>
      <c r="DV664" s="48"/>
      <c r="DW664" s="48"/>
      <c r="DX664" s="48"/>
      <c r="DY664" s="48"/>
      <c r="DZ664" s="48"/>
      <c r="EA664" s="48"/>
      <c r="EC664" s="48"/>
      <c r="ED664" s="48"/>
      <c r="EE664" s="48"/>
      <c r="EF664" s="48"/>
      <c r="EG664" s="48"/>
      <c r="EI664" s="48"/>
      <c r="EK664" s="48"/>
      <c r="EM664" s="48"/>
      <c r="EO664" s="48"/>
      <c r="EP664" s="48"/>
      <c r="EU664" s="48"/>
      <c r="EV664" s="48"/>
      <c r="EW664" s="48"/>
      <c r="EX664" s="48"/>
      <c r="EY664" s="48"/>
      <c r="EZ664" s="48"/>
      <c r="FA664" s="48"/>
      <c r="FB664" s="48"/>
      <c r="FC664" s="48"/>
      <c r="FD664" s="48"/>
      <c r="FE664" s="48"/>
      <c r="FF664" s="48"/>
      <c r="FG664" s="48"/>
      <c r="FI664" s="48"/>
      <c r="FL664" s="48"/>
      <c r="FM664" s="48"/>
      <c r="FN664" s="48"/>
      <c r="FO664" s="48"/>
      <c r="FP664" s="48"/>
      <c r="FQ664" s="48"/>
      <c r="FR664" s="48"/>
      <c r="FS664" s="48"/>
      <c r="FT664" s="48"/>
      <c r="FU664" s="48"/>
    </row>
    <row r="665" spans="1:177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52"/>
      <c r="BF665" s="48"/>
      <c r="BG665" s="48"/>
      <c r="BI665" s="48"/>
      <c r="BN665" s="48"/>
      <c r="BO665" s="48"/>
      <c r="BR665" s="48"/>
      <c r="BS665" s="48"/>
      <c r="BW665" s="48"/>
      <c r="CA665" s="48"/>
      <c r="CE665" s="48"/>
      <c r="CF665" s="48"/>
      <c r="CG665" s="48"/>
      <c r="CH665" s="48"/>
      <c r="CI665" s="48"/>
      <c r="CJ665" s="48"/>
      <c r="CL665" s="48"/>
      <c r="CM665" s="48"/>
      <c r="CN665" s="48"/>
      <c r="CO665" s="48"/>
      <c r="CP665" s="48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  <c r="DD665" s="48"/>
      <c r="DE665" s="48"/>
      <c r="DF665" s="48"/>
      <c r="DG665" s="48"/>
      <c r="DH665" s="48"/>
      <c r="DI665" s="48"/>
      <c r="DJ665" s="48"/>
      <c r="DK665" s="48"/>
      <c r="DL665" s="48"/>
      <c r="DM665" s="48"/>
      <c r="DN665" s="48"/>
      <c r="DO665" s="48"/>
      <c r="DP665" s="48"/>
      <c r="DQ665" s="48"/>
      <c r="DR665" s="48"/>
      <c r="DS665" s="48"/>
      <c r="DT665" s="48"/>
      <c r="DU665" s="48"/>
      <c r="DV665" s="48"/>
      <c r="DW665" s="48"/>
      <c r="DX665" s="48"/>
      <c r="DY665" s="48"/>
      <c r="DZ665" s="48"/>
      <c r="EA665" s="48"/>
      <c r="EC665" s="48"/>
      <c r="ED665" s="48"/>
      <c r="EE665" s="48"/>
      <c r="EF665" s="48"/>
      <c r="EG665" s="48"/>
      <c r="EI665" s="48"/>
      <c r="EK665" s="48"/>
      <c r="EM665" s="48"/>
      <c r="EO665" s="48"/>
      <c r="EP665" s="48"/>
      <c r="EU665" s="48"/>
      <c r="EV665" s="48"/>
      <c r="EW665" s="48"/>
      <c r="EX665" s="48"/>
      <c r="EY665" s="48"/>
      <c r="EZ665" s="48"/>
      <c r="FA665" s="48"/>
      <c r="FB665" s="48"/>
      <c r="FC665" s="48"/>
      <c r="FD665" s="48"/>
      <c r="FE665" s="48"/>
      <c r="FF665" s="48"/>
      <c r="FG665" s="48"/>
      <c r="FI665" s="48"/>
      <c r="FL665" s="48"/>
      <c r="FM665" s="48"/>
      <c r="FN665" s="48"/>
      <c r="FO665" s="48"/>
      <c r="FP665" s="48"/>
      <c r="FQ665" s="48"/>
      <c r="FR665" s="48"/>
      <c r="FS665" s="48"/>
      <c r="FT665" s="48"/>
      <c r="FU665" s="48"/>
    </row>
    <row r="666" spans="1:177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52"/>
      <c r="BF666" s="48"/>
      <c r="BG666" s="48"/>
      <c r="BI666" s="48"/>
      <c r="BN666" s="48"/>
      <c r="BO666" s="48"/>
      <c r="BR666" s="48"/>
      <c r="BS666" s="48"/>
      <c r="BW666" s="48"/>
      <c r="CA666" s="48"/>
      <c r="CE666" s="48"/>
      <c r="CF666" s="48"/>
      <c r="CG666" s="48"/>
      <c r="CH666" s="48"/>
      <c r="CI666" s="48"/>
      <c r="CJ666" s="48"/>
      <c r="CL666" s="48"/>
      <c r="CM666" s="48"/>
      <c r="CN666" s="48"/>
      <c r="CO666" s="48"/>
      <c r="CP666" s="48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  <c r="DD666" s="48"/>
      <c r="DE666" s="48"/>
      <c r="DF666" s="48"/>
      <c r="DG666" s="48"/>
      <c r="DH666" s="48"/>
      <c r="DI666" s="48"/>
      <c r="DJ666" s="48"/>
      <c r="DK666" s="48"/>
      <c r="DL666" s="48"/>
      <c r="DM666" s="48"/>
      <c r="DN666" s="48"/>
      <c r="DO666" s="48"/>
      <c r="DP666" s="48"/>
      <c r="DQ666" s="48"/>
      <c r="DR666" s="48"/>
      <c r="DS666" s="48"/>
      <c r="DT666" s="48"/>
      <c r="DU666" s="48"/>
      <c r="DV666" s="48"/>
      <c r="DW666" s="48"/>
      <c r="DX666" s="48"/>
      <c r="DY666" s="48"/>
      <c r="DZ666" s="48"/>
      <c r="EA666" s="48"/>
      <c r="EC666" s="48"/>
      <c r="ED666" s="48"/>
      <c r="EE666" s="48"/>
      <c r="EF666" s="48"/>
      <c r="EG666" s="48"/>
      <c r="EI666" s="48"/>
      <c r="EK666" s="48"/>
      <c r="EM666" s="48"/>
      <c r="EO666" s="48"/>
      <c r="EP666" s="48"/>
      <c r="EU666" s="48"/>
      <c r="EV666" s="48"/>
      <c r="EW666" s="48"/>
      <c r="EX666" s="48"/>
      <c r="EY666" s="48"/>
      <c r="EZ666" s="48"/>
      <c r="FA666" s="48"/>
      <c r="FB666" s="48"/>
      <c r="FC666" s="48"/>
      <c r="FD666" s="48"/>
      <c r="FE666" s="48"/>
      <c r="FF666" s="48"/>
      <c r="FG666" s="48"/>
      <c r="FI666" s="48"/>
      <c r="FL666" s="48"/>
      <c r="FM666" s="48"/>
      <c r="FN666" s="48"/>
      <c r="FO666" s="48"/>
      <c r="FP666" s="48"/>
      <c r="FQ666" s="48"/>
      <c r="FR666" s="48"/>
      <c r="FS666" s="48"/>
      <c r="FT666" s="48"/>
      <c r="FU666" s="48"/>
    </row>
    <row r="667" spans="1:17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52"/>
      <c r="BF667" s="48"/>
      <c r="BG667" s="48"/>
      <c r="BI667" s="48"/>
      <c r="BN667" s="48"/>
      <c r="BO667" s="48"/>
      <c r="BR667" s="48"/>
      <c r="BS667" s="48"/>
      <c r="BW667" s="48"/>
      <c r="CA667" s="48"/>
      <c r="CE667" s="48"/>
      <c r="CF667" s="48"/>
      <c r="CG667" s="48"/>
      <c r="CH667" s="48"/>
      <c r="CI667" s="48"/>
      <c r="CJ667" s="48"/>
      <c r="CL667" s="48"/>
      <c r="CM667" s="48"/>
      <c r="CN667" s="48"/>
      <c r="CO667" s="48"/>
      <c r="CP667" s="48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  <c r="DE667" s="48"/>
      <c r="DF667" s="48"/>
      <c r="DG667" s="48"/>
      <c r="DH667" s="48"/>
      <c r="DI667" s="48"/>
      <c r="DJ667" s="48"/>
      <c r="DK667" s="48"/>
      <c r="DL667" s="48"/>
      <c r="DM667" s="48"/>
      <c r="DN667" s="48"/>
      <c r="DO667" s="48"/>
      <c r="DP667" s="48"/>
      <c r="DQ667" s="48"/>
      <c r="DR667" s="48"/>
      <c r="DS667" s="48"/>
      <c r="DT667" s="48"/>
      <c r="DU667" s="48"/>
      <c r="DV667" s="48"/>
      <c r="DW667" s="48"/>
      <c r="DX667" s="48"/>
      <c r="DY667" s="48"/>
      <c r="DZ667" s="48"/>
      <c r="EA667" s="48"/>
      <c r="EC667" s="48"/>
      <c r="ED667" s="48"/>
      <c r="EE667" s="48"/>
      <c r="EF667" s="48"/>
      <c r="EG667" s="48"/>
      <c r="EI667" s="48"/>
      <c r="EK667" s="48"/>
      <c r="EM667" s="48"/>
      <c r="EO667" s="48"/>
      <c r="EP667" s="48"/>
      <c r="EU667" s="48"/>
      <c r="EV667" s="48"/>
      <c r="EW667" s="48"/>
      <c r="EX667" s="48"/>
      <c r="EY667" s="48"/>
      <c r="EZ667" s="48"/>
      <c r="FA667" s="48"/>
      <c r="FB667" s="48"/>
      <c r="FC667" s="48"/>
      <c r="FD667" s="48"/>
      <c r="FE667" s="48"/>
      <c r="FF667" s="48"/>
      <c r="FG667" s="48"/>
      <c r="FI667" s="48"/>
      <c r="FL667" s="48"/>
      <c r="FM667" s="48"/>
      <c r="FN667" s="48"/>
      <c r="FO667" s="48"/>
      <c r="FP667" s="48"/>
      <c r="FQ667" s="48"/>
      <c r="FR667" s="48"/>
      <c r="FS667" s="48"/>
      <c r="FT667" s="48"/>
      <c r="FU667" s="48"/>
    </row>
    <row r="668" spans="1:177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52"/>
      <c r="BF668" s="48"/>
      <c r="BG668" s="48"/>
      <c r="BI668" s="48"/>
      <c r="BN668" s="48"/>
      <c r="BO668" s="48"/>
      <c r="BR668" s="48"/>
      <c r="BS668" s="48"/>
      <c r="BW668" s="48"/>
      <c r="CA668" s="48"/>
      <c r="CE668" s="48"/>
      <c r="CF668" s="48"/>
      <c r="CG668" s="48"/>
      <c r="CH668" s="48"/>
      <c r="CI668" s="48"/>
      <c r="CJ668" s="48"/>
      <c r="CL668" s="48"/>
      <c r="CM668" s="48"/>
      <c r="CN668" s="48"/>
      <c r="CO668" s="48"/>
      <c r="CP668" s="48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  <c r="DD668" s="48"/>
      <c r="DE668" s="48"/>
      <c r="DF668" s="48"/>
      <c r="DG668" s="48"/>
      <c r="DH668" s="48"/>
      <c r="DI668" s="48"/>
      <c r="DJ668" s="48"/>
      <c r="DK668" s="48"/>
      <c r="DL668" s="48"/>
      <c r="DM668" s="48"/>
      <c r="DN668" s="48"/>
      <c r="DO668" s="48"/>
      <c r="DP668" s="48"/>
      <c r="DQ668" s="48"/>
      <c r="DR668" s="48"/>
      <c r="DS668" s="48"/>
      <c r="DT668" s="48"/>
      <c r="DU668" s="48"/>
      <c r="DV668" s="48"/>
      <c r="DW668" s="48"/>
      <c r="DX668" s="48"/>
      <c r="DY668" s="48"/>
      <c r="DZ668" s="48"/>
      <c r="EA668" s="48"/>
      <c r="EC668" s="48"/>
      <c r="ED668" s="48"/>
      <c r="EE668" s="48"/>
      <c r="EF668" s="48"/>
      <c r="EG668" s="48"/>
      <c r="EI668" s="48"/>
      <c r="EK668" s="48"/>
      <c r="EM668" s="48"/>
      <c r="EO668" s="48"/>
      <c r="EP668" s="48"/>
      <c r="EU668" s="48"/>
      <c r="EV668" s="48"/>
      <c r="EW668" s="48"/>
      <c r="EX668" s="48"/>
      <c r="EY668" s="48"/>
      <c r="EZ668" s="48"/>
      <c r="FA668" s="48"/>
      <c r="FB668" s="48"/>
      <c r="FC668" s="48"/>
      <c r="FD668" s="48"/>
      <c r="FE668" s="48"/>
      <c r="FF668" s="48"/>
      <c r="FG668" s="48"/>
      <c r="FI668" s="48"/>
      <c r="FL668" s="48"/>
      <c r="FM668" s="48"/>
      <c r="FN668" s="48"/>
      <c r="FO668" s="48"/>
      <c r="FP668" s="48"/>
      <c r="FQ668" s="48"/>
      <c r="FR668" s="48"/>
      <c r="FS668" s="48"/>
      <c r="FT668" s="48"/>
      <c r="FU668" s="48"/>
    </row>
    <row r="669" spans="1:177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52"/>
      <c r="BF669" s="48"/>
      <c r="BG669" s="48"/>
      <c r="BI669" s="48"/>
      <c r="BN669" s="48"/>
      <c r="BO669" s="48"/>
      <c r="BR669" s="48"/>
      <c r="BS669" s="48"/>
      <c r="BW669" s="48"/>
      <c r="CA669" s="48"/>
      <c r="CE669" s="48"/>
      <c r="CF669" s="48"/>
      <c r="CG669" s="48"/>
      <c r="CH669" s="48"/>
      <c r="CI669" s="48"/>
      <c r="CJ669" s="48"/>
      <c r="CL669" s="48"/>
      <c r="CM669" s="48"/>
      <c r="CN669" s="48"/>
      <c r="CO669" s="48"/>
      <c r="CP669" s="48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  <c r="DD669" s="48"/>
      <c r="DE669" s="48"/>
      <c r="DF669" s="48"/>
      <c r="DG669" s="48"/>
      <c r="DH669" s="48"/>
      <c r="DI669" s="48"/>
      <c r="DJ669" s="48"/>
      <c r="DK669" s="48"/>
      <c r="DL669" s="48"/>
      <c r="DM669" s="48"/>
      <c r="DN669" s="48"/>
      <c r="DO669" s="48"/>
      <c r="DP669" s="48"/>
      <c r="DQ669" s="48"/>
      <c r="DR669" s="48"/>
      <c r="DS669" s="48"/>
      <c r="DT669" s="48"/>
      <c r="DU669" s="48"/>
      <c r="DV669" s="48"/>
      <c r="DW669" s="48"/>
      <c r="DX669" s="48"/>
      <c r="DY669" s="48"/>
      <c r="DZ669" s="48"/>
      <c r="EA669" s="48"/>
      <c r="EC669" s="48"/>
      <c r="ED669" s="48"/>
      <c r="EE669" s="48"/>
      <c r="EF669" s="48"/>
      <c r="EG669" s="48"/>
      <c r="EI669" s="48"/>
      <c r="EK669" s="48"/>
      <c r="EM669" s="48"/>
      <c r="EO669" s="48"/>
      <c r="EP669" s="48"/>
      <c r="EU669" s="48"/>
      <c r="EV669" s="48"/>
      <c r="EW669" s="48"/>
      <c r="EX669" s="48"/>
      <c r="EY669" s="48"/>
      <c r="EZ669" s="48"/>
      <c r="FA669" s="48"/>
      <c r="FB669" s="48"/>
      <c r="FC669" s="48"/>
      <c r="FD669" s="48"/>
      <c r="FE669" s="48"/>
      <c r="FF669" s="48"/>
      <c r="FG669" s="48"/>
      <c r="FI669" s="48"/>
      <c r="FL669" s="48"/>
      <c r="FM669" s="48"/>
      <c r="FN669" s="48"/>
      <c r="FO669" s="48"/>
      <c r="FP669" s="48"/>
      <c r="FQ669" s="48"/>
      <c r="FR669" s="48"/>
      <c r="FS669" s="48"/>
      <c r="FT669" s="48"/>
      <c r="FU669" s="48"/>
    </row>
    <row r="670" spans="1:177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52"/>
      <c r="BF670" s="48"/>
      <c r="BG670" s="48"/>
      <c r="BI670" s="48"/>
      <c r="BN670" s="48"/>
      <c r="BO670" s="48"/>
      <c r="BR670" s="48"/>
      <c r="BS670" s="48"/>
      <c r="BW670" s="48"/>
      <c r="CA670" s="48"/>
      <c r="CE670" s="48"/>
      <c r="CF670" s="48"/>
      <c r="CG670" s="48"/>
      <c r="CH670" s="48"/>
      <c r="CI670" s="48"/>
      <c r="CJ670" s="48"/>
      <c r="CL670" s="48"/>
      <c r="CM670" s="48"/>
      <c r="CN670" s="48"/>
      <c r="CO670" s="48"/>
      <c r="CP670" s="48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8"/>
      <c r="DN670" s="48"/>
      <c r="DO670" s="48"/>
      <c r="DP670" s="48"/>
      <c r="DQ670" s="48"/>
      <c r="DR670" s="48"/>
      <c r="DS670" s="48"/>
      <c r="DT670" s="48"/>
      <c r="DU670" s="48"/>
      <c r="DV670" s="48"/>
      <c r="DW670" s="48"/>
      <c r="DX670" s="48"/>
      <c r="DY670" s="48"/>
      <c r="DZ670" s="48"/>
      <c r="EA670" s="48"/>
      <c r="EC670" s="48"/>
      <c r="ED670" s="48"/>
      <c r="EE670" s="48"/>
      <c r="EF670" s="48"/>
      <c r="EG670" s="48"/>
      <c r="EI670" s="48"/>
      <c r="EK670" s="48"/>
      <c r="EM670" s="48"/>
      <c r="EO670" s="48"/>
      <c r="EP670" s="48"/>
      <c r="EU670" s="48"/>
      <c r="EV670" s="48"/>
      <c r="EW670" s="48"/>
      <c r="EX670" s="48"/>
      <c r="EY670" s="48"/>
      <c r="EZ670" s="48"/>
      <c r="FA670" s="48"/>
      <c r="FB670" s="48"/>
      <c r="FC670" s="48"/>
      <c r="FD670" s="48"/>
      <c r="FE670" s="48"/>
      <c r="FF670" s="48"/>
      <c r="FG670" s="48"/>
      <c r="FI670" s="48"/>
      <c r="FL670" s="48"/>
      <c r="FM670" s="48"/>
      <c r="FN670" s="48"/>
      <c r="FO670" s="48"/>
      <c r="FP670" s="48"/>
      <c r="FQ670" s="48"/>
      <c r="FR670" s="48"/>
      <c r="FS670" s="48"/>
      <c r="FT670" s="48"/>
      <c r="FU670" s="48"/>
    </row>
    <row r="671" spans="1:177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52"/>
      <c r="BF671" s="48"/>
      <c r="BG671" s="48"/>
      <c r="BI671" s="48"/>
      <c r="BN671" s="48"/>
      <c r="BO671" s="48"/>
      <c r="BR671" s="48"/>
      <c r="BS671" s="48"/>
      <c r="BW671" s="48"/>
      <c r="CA671" s="48"/>
      <c r="CE671" s="48"/>
      <c r="CF671" s="48"/>
      <c r="CG671" s="48"/>
      <c r="CH671" s="48"/>
      <c r="CI671" s="48"/>
      <c r="CJ671" s="48"/>
      <c r="CL671" s="48"/>
      <c r="CM671" s="48"/>
      <c r="CN671" s="48"/>
      <c r="CO671" s="48"/>
      <c r="CP671" s="48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  <c r="DE671" s="48"/>
      <c r="DF671" s="48"/>
      <c r="DG671" s="48"/>
      <c r="DH671" s="48"/>
      <c r="DI671" s="48"/>
      <c r="DJ671" s="48"/>
      <c r="DK671" s="48"/>
      <c r="DL671" s="48"/>
      <c r="DM671" s="48"/>
      <c r="DN671" s="48"/>
      <c r="DO671" s="48"/>
      <c r="DP671" s="48"/>
      <c r="DQ671" s="48"/>
      <c r="DR671" s="48"/>
      <c r="DS671" s="48"/>
      <c r="DT671" s="48"/>
      <c r="DU671" s="48"/>
      <c r="DV671" s="48"/>
      <c r="DW671" s="48"/>
      <c r="DX671" s="48"/>
      <c r="DY671" s="48"/>
      <c r="DZ671" s="48"/>
      <c r="EA671" s="48"/>
      <c r="EC671" s="48"/>
      <c r="ED671" s="48"/>
      <c r="EE671" s="48"/>
      <c r="EF671" s="48"/>
      <c r="EG671" s="48"/>
      <c r="EI671" s="48"/>
      <c r="EK671" s="48"/>
      <c r="EM671" s="48"/>
      <c r="EO671" s="48"/>
      <c r="EP671" s="48"/>
      <c r="EU671" s="48"/>
      <c r="EV671" s="48"/>
      <c r="EW671" s="48"/>
      <c r="EX671" s="48"/>
      <c r="EY671" s="48"/>
      <c r="EZ671" s="48"/>
      <c r="FA671" s="48"/>
      <c r="FB671" s="48"/>
      <c r="FC671" s="48"/>
      <c r="FD671" s="48"/>
      <c r="FE671" s="48"/>
      <c r="FF671" s="48"/>
      <c r="FG671" s="48"/>
      <c r="FI671" s="48"/>
      <c r="FL671" s="48"/>
      <c r="FM671" s="48"/>
      <c r="FN671" s="48"/>
      <c r="FO671" s="48"/>
      <c r="FP671" s="48"/>
      <c r="FQ671" s="48"/>
      <c r="FR671" s="48"/>
      <c r="FS671" s="48"/>
      <c r="FT671" s="48"/>
      <c r="FU671" s="48"/>
    </row>
    <row r="672" spans="1:177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52"/>
      <c r="BF672" s="48"/>
      <c r="BG672" s="48"/>
      <c r="BI672" s="48"/>
      <c r="BN672" s="48"/>
      <c r="BO672" s="48"/>
      <c r="BR672" s="48"/>
      <c r="BS672" s="48"/>
      <c r="BW672" s="48"/>
      <c r="CA672" s="48"/>
      <c r="CE672" s="48"/>
      <c r="CF672" s="48"/>
      <c r="CG672" s="48"/>
      <c r="CH672" s="48"/>
      <c r="CI672" s="48"/>
      <c r="CJ672" s="48"/>
      <c r="CL672" s="48"/>
      <c r="CM672" s="48"/>
      <c r="CN672" s="48"/>
      <c r="CO672" s="48"/>
      <c r="CP672" s="48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  <c r="DD672" s="48"/>
      <c r="DE672" s="48"/>
      <c r="DF672" s="48"/>
      <c r="DG672" s="48"/>
      <c r="DH672" s="48"/>
      <c r="DI672" s="48"/>
      <c r="DJ672" s="48"/>
      <c r="DK672" s="48"/>
      <c r="DL672" s="48"/>
      <c r="DM672" s="48"/>
      <c r="DN672" s="48"/>
      <c r="DO672" s="48"/>
      <c r="DP672" s="48"/>
      <c r="DQ672" s="48"/>
      <c r="DR672" s="48"/>
      <c r="DS672" s="48"/>
      <c r="DT672" s="48"/>
      <c r="DU672" s="48"/>
      <c r="DV672" s="48"/>
      <c r="DW672" s="48"/>
      <c r="DX672" s="48"/>
      <c r="DY672" s="48"/>
      <c r="DZ672" s="48"/>
      <c r="EA672" s="48"/>
      <c r="EC672" s="48"/>
      <c r="ED672" s="48"/>
      <c r="EE672" s="48"/>
      <c r="EF672" s="48"/>
      <c r="EG672" s="48"/>
      <c r="EI672" s="48"/>
      <c r="EK672" s="48"/>
      <c r="EM672" s="48"/>
      <c r="EO672" s="48"/>
      <c r="EP672" s="48"/>
      <c r="EU672" s="48"/>
      <c r="EV672" s="48"/>
      <c r="EW672" s="48"/>
      <c r="EX672" s="48"/>
      <c r="EY672" s="48"/>
      <c r="EZ672" s="48"/>
      <c r="FA672" s="48"/>
      <c r="FB672" s="48"/>
      <c r="FC672" s="48"/>
      <c r="FD672" s="48"/>
      <c r="FE672" s="48"/>
      <c r="FF672" s="48"/>
      <c r="FG672" s="48"/>
      <c r="FI672" s="48"/>
      <c r="FL672" s="48"/>
      <c r="FM672" s="48"/>
      <c r="FN672" s="48"/>
      <c r="FO672" s="48"/>
      <c r="FP672" s="48"/>
      <c r="FQ672" s="48"/>
      <c r="FR672" s="48"/>
      <c r="FS672" s="48"/>
      <c r="FT672" s="48"/>
      <c r="FU672" s="48"/>
    </row>
    <row r="673" spans="1:177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52"/>
      <c r="BF673" s="48"/>
      <c r="BG673" s="48"/>
      <c r="BI673" s="48"/>
      <c r="BN673" s="48"/>
      <c r="BO673" s="48"/>
      <c r="BR673" s="48"/>
      <c r="BS673" s="48"/>
      <c r="BW673" s="48"/>
      <c r="CA673" s="48"/>
      <c r="CE673" s="48"/>
      <c r="CF673" s="48"/>
      <c r="CG673" s="48"/>
      <c r="CH673" s="48"/>
      <c r="CI673" s="48"/>
      <c r="CJ673" s="48"/>
      <c r="CL673" s="48"/>
      <c r="CM673" s="48"/>
      <c r="CN673" s="48"/>
      <c r="CO673" s="48"/>
      <c r="CP673" s="48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  <c r="DE673" s="48"/>
      <c r="DF673" s="48"/>
      <c r="DG673" s="48"/>
      <c r="DH673" s="48"/>
      <c r="DI673" s="48"/>
      <c r="DJ673" s="48"/>
      <c r="DK673" s="48"/>
      <c r="DL673" s="48"/>
      <c r="DM673" s="48"/>
      <c r="DN673" s="48"/>
      <c r="DO673" s="48"/>
      <c r="DP673" s="48"/>
      <c r="DQ673" s="48"/>
      <c r="DR673" s="48"/>
      <c r="DS673" s="48"/>
      <c r="DT673" s="48"/>
      <c r="DU673" s="48"/>
      <c r="DV673" s="48"/>
      <c r="DW673" s="48"/>
      <c r="DX673" s="48"/>
      <c r="DY673" s="48"/>
      <c r="DZ673" s="48"/>
      <c r="EA673" s="48"/>
      <c r="EC673" s="48"/>
      <c r="ED673" s="48"/>
      <c r="EE673" s="48"/>
      <c r="EF673" s="48"/>
      <c r="EG673" s="48"/>
      <c r="EI673" s="48"/>
      <c r="EK673" s="48"/>
      <c r="EM673" s="48"/>
      <c r="EO673" s="48"/>
      <c r="EP673" s="48"/>
      <c r="EU673" s="48"/>
      <c r="EV673" s="48"/>
      <c r="EW673" s="48"/>
      <c r="EX673" s="48"/>
      <c r="EY673" s="48"/>
      <c r="EZ673" s="48"/>
      <c r="FA673" s="48"/>
      <c r="FB673" s="48"/>
      <c r="FC673" s="48"/>
      <c r="FD673" s="48"/>
      <c r="FE673" s="48"/>
      <c r="FF673" s="48"/>
      <c r="FG673" s="48"/>
      <c r="FI673" s="48"/>
      <c r="FL673" s="48"/>
      <c r="FM673" s="48"/>
      <c r="FN673" s="48"/>
      <c r="FO673" s="48"/>
      <c r="FP673" s="48"/>
      <c r="FQ673" s="48"/>
      <c r="FR673" s="48"/>
      <c r="FS673" s="48"/>
      <c r="FT673" s="48"/>
      <c r="FU673" s="48"/>
    </row>
    <row r="674" spans="1:177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52"/>
      <c r="BF674" s="48"/>
      <c r="BG674" s="48"/>
      <c r="BI674" s="48"/>
      <c r="BN674" s="48"/>
      <c r="BO674" s="48"/>
      <c r="BR674" s="48"/>
      <c r="BS674" s="48"/>
      <c r="BW674" s="48"/>
      <c r="CA674" s="48"/>
      <c r="CE674" s="48"/>
      <c r="CF674" s="48"/>
      <c r="CG674" s="48"/>
      <c r="CH674" s="48"/>
      <c r="CI674" s="48"/>
      <c r="CJ674" s="48"/>
      <c r="CL674" s="48"/>
      <c r="CM674" s="48"/>
      <c r="CN674" s="48"/>
      <c r="CO674" s="48"/>
      <c r="CP674" s="48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  <c r="DD674" s="48"/>
      <c r="DE674" s="48"/>
      <c r="DF674" s="48"/>
      <c r="DG674" s="48"/>
      <c r="DH674" s="48"/>
      <c r="DI674" s="48"/>
      <c r="DJ674" s="48"/>
      <c r="DK674" s="48"/>
      <c r="DL674" s="48"/>
      <c r="DM674" s="48"/>
      <c r="DN674" s="48"/>
      <c r="DO674" s="48"/>
      <c r="DP674" s="48"/>
      <c r="DQ674" s="48"/>
      <c r="DR674" s="48"/>
      <c r="DS674" s="48"/>
      <c r="DT674" s="48"/>
      <c r="DU674" s="48"/>
      <c r="DV674" s="48"/>
      <c r="DW674" s="48"/>
      <c r="DX674" s="48"/>
      <c r="DY674" s="48"/>
      <c r="DZ674" s="48"/>
      <c r="EA674" s="48"/>
      <c r="EC674" s="48"/>
      <c r="ED674" s="48"/>
      <c r="EE674" s="48"/>
      <c r="EF674" s="48"/>
      <c r="EG674" s="48"/>
      <c r="EI674" s="48"/>
      <c r="EK674" s="48"/>
      <c r="EM674" s="48"/>
      <c r="EO674" s="48"/>
      <c r="EP674" s="48"/>
      <c r="EU674" s="48"/>
      <c r="EV674" s="48"/>
      <c r="EW674" s="48"/>
      <c r="EX674" s="48"/>
      <c r="EY674" s="48"/>
      <c r="EZ674" s="48"/>
      <c r="FA674" s="48"/>
      <c r="FB674" s="48"/>
      <c r="FC674" s="48"/>
      <c r="FD674" s="48"/>
      <c r="FE674" s="48"/>
      <c r="FF674" s="48"/>
      <c r="FG674" s="48"/>
      <c r="FI674" s="48"/>
      <c r="FL674" s="48"/>
      <c r="FM674" s="48"/>
      <c r="FN674" s="48"/>
      <c r="FO674" s="48"/>
      <c r="FP674" s="48"/>
      <c r="FQ674" s="48"/>
      <c r="FR674" s="48"/>
      <c r="FS674" s="48"/>
      <c r="FT674" s="48"/>
      <c r="FU674" s="48"/>
    </row>
    <row r="675" spans="1:177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52"/>
      <c r="BF675" s="48"/>
      <c r="BG675" s="48"/>
      <c r="BI675" s="48"/>
      <c r="BN675" s="48"/>
      <c r="BO675" s="48"/>
      <c r="BR675" s="48"/>
      <c r="BS675" s="48"/>
      <c r="BW675" s="48"/>
      <c r="CA675" s="48"/>
      <c r="CE675" s="48"/>
      <c r="CF675" s="48"/>
      <c r="CG675" s="48"/>
      <c r="CH675" s="48"/>
      <c r="CI675" s="48"/>
      <c r="CJ675" s="48"/>
      <c r="CL675" s="48"/>
      <c r="CM675" s="48"/>
      <c r="CN675" s="48"/>
      <c r="CO675" s="48"/>
      <c r="CP675" s="48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  <c r="DD675" s="48"/>
      <c r="DE675" s="48"/>
      <c r="DF675" s="48"/>
      <c r="DG675" s="48"/>
      <c r="DH675" s="48"/>
      <c r="DI675" s="48"/>
      <c r="DJ675" s="48"/>
      <c r="DK675" s="48"/>
      <c r="DL675" s="48"/>
      <c r="DM675" s="48"/>
      <c r="DN675" s="48"/>
      <c r="DO675" s="48"/>
      <c r="DP675" s="48"/>
      <c r="DQ675" s="48"/>
      <c r="DR675" s="48"/>
      <c r="DS675" s="48"/>
      <c r="DT675" s="48"/>
      <c r="DU675" s="48"/>
      <c r="DV675" s="48"/>
      <c r="DW675" s="48"/>
      <c r="DX675" s="48"/>
      <c r="DY675" s="48"/>
      <c r="DZ675" s="48"/>
      <c r="EA675" s="48"/>
      <c r="EC675" s="48"/>
      <c r="ED675" s="48"/>
      <c r="EE675" s="48"/>
      <c r="EF675" s="48"/>
      <c r="EG675" s="48"/>
      <c r="EI675" s="48"/>
      <c r="EK675" s="48"/>
      <c r="EM675" s="48"/>
      <c r="EO675" s="48"/>
      <c r="EP675" s="48"/>
      <c r="EU675" s="48"/>
      <c r="EV675" s="48"/>
      <c r="EW675" s="48"/>
      <c r="EX675" s="48"/>
      <c r="EY675" s="48"/>
      <c r="EZ675" s="48"/>
      <c r="FA675" s="48"/>
      <c r="FB675" s="48"/>
      <c r="FC675" s="48"/>
      <c r="FD675" s="48"/>
      <c r="FE675" s="48"/>
      <c r="FF675" s="48"/>
      <c r="FG675" s="48"/>
      <c r="FI675" s="48"/>
      <c r="FL675" s="48"/>
      <c r="FM675" s="48"/>
      <c r="FN675" s="48"/>
      <c r="FO675" s="48"/>
      <c r="FP675" s="48"/>
      <c r="FQ675" s="48"/>
      <c r="FR675" s="48"/>
      <c r="FS675" s="48"/>
      <c r="FT675" s="48"/>
      <c r="FU675" s="48"/>
    </row>
    <row r="676" spans="1:177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52"/>
      <c r="BF676" s="48"/>
      <c r="BG676" s="48"/>
      <c r="BI676" s="48"/>
      <c r="BN676" s="48"/>
      <c r="BO676" s="48"/>
      <c r="BR676" s="48"/>
      <c r="BS676" s="48"/>
      <c r="BW676" s="48"/>
      <c r="CA676" s="48"/>
      <c r="CE676" s="48"/>
      <c r="CF676" s="48"/>
      <c r="CG676" s="48"/>
      <c r="CH676" s="48"/>
      <c r="CI676" s="48"/>
      <c r="CJ676" s="48"/>
      <c r="CL676" s="48"/>
      <c r="CM676" s="48"/>
      <c r="CN676" s="48"/>
      <c r="CO676" s="48"/>
      <c r="CP676" s="48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  <c r="DE676" s="48"/>
      <c r="DF676" s="48"/>
      <c r="DG676" s="48"/>
      <c r="DH676" s="48"/>
      <c r="DI676" s="48"/>
      <c r="DJ676" s="48"/>
      <c r="DK676" s="48"/>
      <c r="DL676" s="48"/>
      <c r="DM676" s="48"/>
      <c r="DN676" s="48"/>
      <c r="DO676" s="48"/>
      <c r="DP676" s="48"/>
      <c r="DQ676" s="48"/>
      <c r="DR676" s="48"/>
      <c r="DS676" s="48"/>
      <c r="DT676" s="48"/>
      <c r="DU676" s="48"/>
      <c r="DV676" s="48"/>
      <c r="DW676" s="48"/>
      <c r="DX676" s="48"/>
      <c r="DY676" s="48"/>
      <c r="DZ676" s="48"/>
      <c r="EA676" s="48"/>
      <c r="EC676" s="48"/>
      <c r="ED676" s="48"/>
      <c r="EE676" s="48"/>
      <c r="EF676" s="48"/>
      <c r="EG676" s="48"/>
      <c r="EI676" s="48"/>
      <c r="EK676" s="48"/>
      <c r="EM676" s="48"/>
      <c r="EO676" s="48"/>
      <c r="EP676" s="48"/>
      <c r="EU676" s="48"/>
      <c r="EV676" s="48"/>
      <c r="EW676" s="48"/>
      <c r="EX676" s="48"/>
      <c r="EY676" s="48"/>
      <c r="EZ676" s="48"/>
      <c r="FA676" s="48"/>
      <c r="FB676" s="48"/>
      <c r="FC676" s="48"/>
      <c r="FD676" s="48"/>
      <c r="FE676" s="48"/>
      <c r="FF676" s="48"/>
      <c r="FG676" s="48"/>
      <c r="FI676" s="48"/>
      <c r="FL676" s="48"/>
      <c r="FM676" s="48"/>
      <c r="FN676" s="48"/>
      <c r="FO676" s="48"/>
      <c r="FP676" s="48"/>
      <c r="FQ676" s="48"/>
      <c r="FR676" s="48"/>
      <c r="FS676" s="48"/>
      <c r="FT676" s="48"/>
      <c r="FU676" s="48"/>
    </row>
    <row r="677" spans="1:1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52"/>
      <c r="BF677" s="48"/>
      <c r="BG677" s="48"/>
      <c r="BI677" s="48"/>
      <c r="BN677" s="48"/>
      <c r="BO677" s="48"/>
      <c r="BR677" s="48"/>
      <c r="BS677" s="48"/>
      <c r="BW677" s="48"/>
      <c r="CA677" s="48"/>
      <c r="CE677" s="48"/>
      <c r="CF677" s="48"/>
      <c r="CG677" s="48"/>
      <c r="CH677" s="48"/>
      <c r="CI677" s="48"/>
      <c r="CJ677" s="48"/>
      <c r="CL677" s="48"/>
      <c r="CM677" s="48"/>
      <c r="CN677" s="48"/>
      <c r="CO677" s="48"/>
      <c r="CP677" s="48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  <c r="DE677" s="48"/>
      <c r="DF677" s="48"/>
      <c r="DG677" s="48"/>
      <c r="DH677" s="48"/>
      <c r="DI677" s="48"/>
      <c r="DJ677" s="48"/>
      <c r="DK677" s="48"/>
      <c r="DL677" s="48"/>
      <c r="DM677" s="48"/>
      <c r="DN677" s="48"/>
      <c r="DO677" s="48"/>
      <c r="DP677" s="48"/>
      <c r="DQ677" s="48"/>
      <c r="DR677" s="48"/>
      <c r="DS677" s="48"/>
      <c r="DT677" s="48"/>
      <c r="DU677" s="48"/>
      <c r="DV677" s="48"/>
      <c r="DW677" s="48"/>
      <c r="DX677" s="48"/>
      <c r="DY677" s="48"/>
      <c r="DZ677" s="48"/>
      <c r="EA677" s="48"/>
      <c r="EC677" s="48"/>
      <c r="ED677" s="48"/>
      <c r="EE677" s="48"/>
      <c r="EF677" s="48"/>
      <c r="EG677" s="48"/>
      <c r="EI677" s="48"/>
      <c r="EK677" s="48"/>
      <c r="EM677" s="48"/>
      <c r="EO677" s="48"/>
      <c r="EP677" s="48"/>
      <c r="EU677" s="48"/>
      <c r="EV677" s="48"/>
      <c r="EW677" s="48"/>
      <c r="EX677" s="48"/>
      <c r="EY677" s="48"/>
      <c r="EZ677" s="48"/>
      <c r="FA677" s="48"/>
      <c r="FB677" s="48"/>
      <c r="FC677" s="48"/>
      <c r="FD677" s="48"/>
      <c r="FE677" s="48"/>
      <c r="FF677" s="48"/>
      <c r="FG677" s="48"/>
      <c r="FI677" s="48"/>
      <c r="FL677" s="48"/>
      <c r="FM677" s="48"/>
      <c r="FN677" s="48"/>
      <c r="FO677" s="48"/>
      <c r="FP677" s="48"/>
      <c r="FQ677" s="48"/>
      <c r="FR677" s="48"/>
      <c r="FS677" s="48"/>
      <c r="FT677" s="48"/>
      <c r="FU677" s="48"/>
    </row>
    <row r="678" spans="1:177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52"/>
      <c r="BF678" s="48"/>
      <c r="BG678" s="48"/>
      <c r="BI678" s="48"/>
      <c r="BN678" s="48"/>
      <c r="BO678" s="48"/>
      <c r="BR678" s="48"/>
      <c r="BS678" s="48"/>
      <c r="BW678" s="48"/>
      <c r="CA678" s="48"/>
      <c r="CE678" s="48"/>
      <c r="CF678" s="48"/>
      <c r="CG678" s="48"/>
      <c r="CH678" s="48"/>
      <c r="CI678" s="48"/>
      <c r="CJ678" s="48"/>
      <c r="CL678" s="48"/>
      <c r="CM678" s="48"/>
      <c r="CN678" s="48"/>
      <c r="CO678" s="48"/>
      <c r="CP678" s="48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  <c r="DE678" s="48"/>
      <c r="DF678" s="48"/>
      <c r="DG678" s="48"/>
      <c r="DH678" s="48"/>
      <c r="DI678" s="48"/>
      <c r="DJ678" s="48"/>
      <c r="DK678" s="48"/>
      <c r="DL678" s="48"/>
      <c r="DM678" s="48"/>
      <c r="DN678" s="48"/>
      <c r="DO678" s="48"/>
      <c r="DP678" s="48"/>
      <c r="DQ678" s="48"/>
      <c r="DR678" s="48"/>
      <c r="DS678" s="48"/>
      <c r="DT678" s="48"/>
      <c r="DU678" s="48"/>
      <c r="DV678" s="48"/>
      <c r="DW678" s="48"/>
      <c r="DX678" s="48"/>
      <c r="DY678" s="48"/>
      <c r="DZ678" s="48"/>
      <c r="EA678" s="48"/>
      <c r="EC678" s="48"/>
      <c r="ED678" s="48"/>
      <c r="EE678" s="48"/>
      <c r="EF678" s="48"/>
      <c r="EG678" s="48"/>
      <c r="EI678" s="48"/>
      <c r="EK678" s="48"/>
      <c r="EM678" s="48"/>
      <c r="EO678" s="48"/>
      <c r="EP678" s="48"/>
      <c r="EU678" s="48"/>
      <c r="EV678" s="48"/>
      <c r="EW678" s="48"/>
      <c r="EX678" s="48"/>
      <c r="EY678" s="48"/>
      <c r="EZ678" s="48"/>
      <c r="FA678" s="48"/>
      <c r="FB678" s="48"/>
      <c r="FC678" s="48"/>
      <c r="FD678" s="48"/>
      <c r="FE678" s="48"/>
      <c r="FF678" s="48"/>
      <c r="FG678" s="48"/>
      <c r="FI678" s="48"/>
      <c r="FL678" s="48"/>
      <c r="FM678" s="48"/>
      <c r="FN678" s="48"/>
      <c r="FO678" s="48"/>
      <c r="FP678" s="48"/>
      <c r="FQ678" s="48"/>
      <c r="FR678" s="48"/>
      <c r="FS678" s="48"/>
      <c r="FT678" s="48"/>
      <c r="FU678" s="48"/>
    </row>
    <row r="679" spans="1:177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52"/>
      <c r="BF679" s="48"/>
      <c r="BG679" s="48"/>
      <c r="BI679" s="48"/>
      <c r="BN679" s="48"/>
      <c r="BO679" s="48"/>
      <c r="BR679" s="48"/>
      <c r="BS679" s="48"/>
      <c r="BW679" s="48"/>
      <c r="CA679" s="48"/>
      <c r="CE679" s="48"/>
      <c r="CF679" s="48"/>
      <c r="CG679" s="48"/>
      <c r="CH679" s="48"/>
      <c r="CI679" s="48"/>
      <c r="CJ679" s="48"/>
      <c r="CL679" s="48"/>
      <c r="CM679" s="48"/>
      <c r="CN679" s="48"/>
      <c r="CO679" s="48"/>
      <c r="CP679" s="48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8"/>
      <c r="DN679" s="48"/>
      <c r="DO679" s="48"/>
      <c r="DP679" s="48"/>
      <c r="DQ679" s="48"/>
      <c r="DR679" s="48"/>
      <c r="DS679" s="48"/>
      <c r="DT679" s="48"/>
      <c r="DU679" s="48"/>
      <c r="DV679" s="48"/>
      <c r="DW679" s="48"/>
      <c r="DX679" s="48"/>
      <c r="DY679" s="48"/>
      <c r="DZ679" s="48"/>
      <c r="EA679" s="48"/>
      <c r="EC679" s="48"/>
      <c r="ED679" s="48"/>
      <c r="EE679" s="48"/>
      <c r="EF679" s="48"/>
      <c r="EG679" s="48"/>
      <c r="EI679" s="48"/>
      <c r="EK679" s="48"/>
      <c r="EM679" s="48"/>
      <c r="EO679" s="48"/>
      <c r="EP679" s="48"/>
      <c r="EU679" s="48"/>
      <c r="EV679" s="48"/>
      <c r="EW679" s="48"/>
      <c r="EX679" s="48"/>
      <c r="EY679" s="48"/>
      <c r="EZ679" s="48"/>
      <c r="FA679" s="48"/>
      <c r="FB679" s="48"/>
      <c r="FC679" s="48"/>
      <c r="FD679" s="48"/>
      <c r="FE679" s="48"/>
      <c r="FF679" s="48"/>
      <c r="FG679" s="48"/>
      <c r="FI679" s="48"/>
      <c r="FL679" s="48"/>
      <c r="FM679" s="48"/>
      <c r="FN679" s="48"/>
      <c r="FO679" s="48"/>
      <c r="FP679" s="48"/>
      <c r="FQ679" s="48"/>
      <c r="FR679" s="48"/>
      <c r="FS679" s="48"/>
      <c r="FT679" s="48"/>
      <c r="FU679" s="48"/>
    </row>
    <row r="680" spans="1:177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52"/>
      <c r="BF680" s="48"/>
      <c r="BG680" s="48"/>
      <c r="BI680" s="48"/>
      <c r="BN680" s="48"/>
      <c r="BO680" s="48"/>
      <c r="BR680" s="48"/>
      <c r="BS680" s="48"/>
      <c r="BW680" s="48"/>
      <c r="CA680" s="48"/>
      <c r="CE680" s="48"/>
      <c r="CF680" s="48"/>
      <c r="CG680" s="48"/>
      <c r="CH680" s="48"/>
      <c r="CI680" s="48"/>
      <c r="CJ680" s="48"/>
      <c r="CL680" s="48"/>
      <c r="CM680" s="48"/>
      <c r="CN680" s="48"/>
      <c r="CO680" s="48"/>
      <c r="CP680" s="48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  <c r="DE680" s="48"/>
      <c r="DF680" s="48"/>
      <c r="DG680" s="48"/>
      <c r="DH680" s="48"/>
      <c r="DI680" s="48"/>
      <c r="DJ680" s="48"/>
      <c r="DK680" s="48"/>
      <c r="DL680" s="48"/>
      <c r="DM680" s="48"/>
      <c r="DN680" s="48"/>
      <c r="DO680" s="48"/>
      <c r="DP680" s="48"/>
      <c r="DQ680" s="48"/>
      <c r="DR680" s="48"/>
      <c r="DS680" s="48"/>
      <c r="DT680" s="48"/>
      <c r="DU680" s="48"/>
      <c r="DV680" s="48"/>
      <c r="DW680" s="48"/>
      <c r="DX680" s="48"/>
      <c r="DY680" s="48"/>
      <c r="DZ680" s="48"/>
      <c r="EA680" s="48"/>
      <c r="EC680" s="48"/>
      <c r="ED680" s="48"/>
      <c r="EE680" s="48"/>
      <c r="EF680" s="48"/>
      <c r="EG680" s="48"/>
      <c r="EI680" s="48"/>
      <c r="EK680" s="48"/>
      <c r="EM680" s="48"/>
      <c r="EO680" s="48"/>
      <c r="EP680" s="48"/>
      <c r="EU680" s="48"/>
      <c r="EV680" s="48"/>
      <c r="EW680" s="48"/>
      <c r="EX680" s="48"/>
      <c r="EY680" s="48"/>
      <c r="EZ680" s="48"/>
      <c r="FA680" s="48"/>
      <c r="FB680" s="48"/>
      <c r="FC680" s="48"/>
      <c r="FD680" s="48"/>
      <c r="FE680" s="48"/>
      <c r="FF680" s="48"/>
      <c r="FG680" s="48"/>
      <c r="FI680" s="48"/>
      <c r="FL680" s="48"/>
      <c r="FM680" s="48"/>
      <c r="FN680" s="48"/>
      <c r="FO680" s="48"/>
      <c r="FP680" s="48"/>
      <c r="FQ680" s="48"/>
      <c r="FR680" s="48"/>
      <c r="FS680" s="48"/>
      <c r="FT680" s="48"/>
      <c r="FU680" s="48"/>
    </row>
    <row r="681" spans="1:177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52"/>
      <c r="BF681" s="48"/>
      <c r="BG681" s="48"/>
      <c r="BI681" s="48"/>
      <c r="BN681" s="48"/>
      <c r="BO681" s="48"/>
      <c r="BR681" s="48"/>
      <c r="BS681" s="48"/>
      <c r="BW681" s="48"/>
      <c r="CA681" s="48"/>
      <c r="CE681" s="48"/>
      <c r="CF681" s="48"/>
      <c r="CG681" s="48"/>
      <c r="CH681" s="48"/>
      <c r="CI681" s="48"/>
      <c r="CJ681" s="48"/>
      <c r="CL681" s="48"/>
      <c r="CM681" s="48"/>
      <c r="CN681" s="48"/>
      <c r="CO681" s="48"/>
      <c r="CP681" s="48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  <c r="DD681" s="48"/>
      <c r="DE681" s="48"/>
      <c r="DF681" s="48"/>
      <c r="DG681" s="48"/>
      <c r="DH681" s="48"/>
      <c r="DI681" s="48"/>
      <c r="DJ681" s="48"/>
      <c r="DK681" s="48"/>
      <c r="DL681" s="48"/>
      <c r="DM681" s="48"/>
      <c r="DN681" s="48"/>
      <c r="DO681" s="48"/>
      <c r="DP681" s="48"/>
      <c r="DQ681" s="48"/>
      <c r="DR681" s="48"/>
      <c r="DS681" s="48"/>
      <c r="DT681" s="48"/>
      <c r="DU681" s="48"/>
      <c r="DV681" s="48"/>
      <c r="DW681" s="48"/>
      <c r="DX681" s="48"/>
      <c r="DY681" s="48"/>
      <c r="DZ681" s="48"/>
      <c r="EA681" s="48"/>
      <c r="EC681" s="48"/>
      <c r="ED681" s="48"/>
      <c r="EE681" s="48"/>
      <c r="EF681" s="48"/>
      <c r="EG681" s="48"/>
      <c r="EI681" s="48"/>
      <c r="EK681" s="48"/>
      <c r="EM681" s="48"/>
      <c r="EO681" s="48"/>
      <c r="EP681" s="48"/>
      <c r="EU681" s="48"/>
      <c r="EV681" s="48"/>
      <c r="EW681" s="48"/>
      <c r="EX681" s="48"/>
      <c r="EY681" s="48"/>
      <c r="EZ681" s="48"/>
      <c r="FA681" s="48"/>
      <c r="FB681" s="48"/>
      <c r="FC681" s="48"/>
      <c r="FD681" s="48"/>
      <c r="FE681" s="48"/>
      <c r="FF681" s="48"/>
      <c r="FG681" s="48"/>
      <c r="FI681" s="48"/>
      <c r="FL681" s="48"/>
      <c r="FM681" s="48"/>
      <c r="FN681" s="48"/>
      <c r="FO681" s="48"/>
      <c r="FP681" s="48"/>
      <c r="FQ681" s="48"/>
      <c r="FR681" s="48"/>
      <c r="FS681" s="48"/>
      <c r="FT681" s="48"/>
      <c r="FU681" s="48"/>
    </row>
    <row r="682" spans="1:177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52"/>
      <c r="BF682" s="48"/>
      <c r="BG682" s="48"/>
      <c r="BI682" s="48"/>
      <c r="BN682" s="48"/>
      <c r="BO682" s="48"/>
      <c r="BR682" s="48"/>
      <c r="BS682" s="48"/>
      <c r="BW682" s="48"/>
      <c r="CA682" s="48"/>
      <c r="CE682" s="48"/>
      <c r="CF682" s="48"/>
      <c r="CG682" s="48"/>
      <c r="CH682" s="48"/>
      <c r="CI682" s="48"/>
      <c r="CJ682" s="48"/>
      <c r="CL682" s="48"/>
      <c r="CM682" s="48"/>
      <c r="CN682" s="48"/>
      <c r="CO682" s="48"/>
      <c r="CP682" s="48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8"/>
      <c r="DN682" s="48"/>
      <c r="DO682" s="48"/>
      <c r="DP682" s="48"/>
      <c r="DQ682" s="48"/>
      <c r="DR682" s="48"/>
      <c r="DS682" s="48"/>
      <c r="DT682" s="48"/>
      <c r="DU682" s="48"/>
      <c r="DV682" s="48"/>
      <c r="DW682" s="48"/>
      <c r="DX682" s="48"/>
      <c r="DY682" s="48"/>
      <c r="DZ682" s="48"/>
      <c r="EA682" s="48"/>
      <c r="EC682" s="48"/>
      <c r="ED682" s="48"/>
      <c r="EE682" s="48"/>
      <c r="EF682" s="48"/>
      <c r="EG682" s="48"/>
      <c r="EI682" s="48"/>
      <c r="EK682" s="48"/>
      <c r="EM682" s="48"/>
      <c r="EO682" s="48"/>
      <c r="EP682" s="48"/>
      <c r="EU682" s="48"/>
      <c r="EV682" s="48"/>
      <c r="EW682" s="48"/>
      <c r="EX682" s="48"/>
      <c r="EY682" s="48"/>
      <c r="EZ682" s="48"/>
      <c r="FA682" s="48"/>
      <c r="FB682" s="48"/>
      <c r="FC682" s="48"/>
      <c r="FD682" s="48"/>
      <c r="FE682" s="48"/>
      <c r="FF682" s="48"/>
      <c r="FG682" s="48"/>
      <c r="FI682" s="48"/>
      <c r="FL682" s="48"/>
      <c r="FM682" s="48"/>
      <c r="FN682" s="48"/>
      <c r="FO682" s="48"/>
      <c r="FP682" s="48"/>
      <c r="FQ682" s="48"/>
      <c r="FR682" s="48"/>
      <c r="FS682" s="48"/>
      <c r="FT682" s="48"/>
      <c r="FU682" s="48"/>
    </row>
    <row r="683" spans="1:177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52"/>
      <c r="BF683" s="48"/>
      <c r="BG683" s="48"/>
      <c r="BI683" s="48"/>
      <c r="BN683" s="48"/>
      <c r="BO683" s="48"/>
      <c r="BR683" s="48"/>
      <c r="BS683" s="48"/>
      <c r="BW683" s="48"/>
      <c r="CA683" s="48"/>
      <c r="CE683" s="48"/>
      <c r="CF683" s="48"/>
      <c r="CG683" s="48"/>
      <c r="CH683" s="48"/>
      <c r="CI683" s="48"/>
      <c r="CJ683" s="48"/>
      <c r="CL683" s="48"/>
      <c r="CM683" s="48"/>
      <c r="CN683" s="48"/>
      <c r="CO683" s="48"/>
      <c r="CP683" s="48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  <c r="DE683" s="48"/>
      <c r="DF683" s="48"/>
      <c r="DG683" s="48"/>
      <c r="DH683" s="48"/>
      <c r="DI683" s="48"/>
      <c r="DJ683" s="48"/>
      <c r="DK683" s="48"/>
      <c r="DL683" s="48"/>
      <c r="DM683" s="48"/>
      <c r="DN683" s="48"/>
      <c r="DO683" s="48"/>
      <c r="DP683" s="48"/>
      <c r="DQ683" s="48"/>
      <c r="DR683" s="48"/>
      <c r="DS683" s="48"/>
      <c r="DT683" s="48"/>
      <c r="DU683" s="48"/>
      <c r="DV683" s="48"/>
      <c r="DW683" s="48"/>
      <c r="DX683" s="48"/>
      <c r="DY683" s="48"/>
      <c r="DZ683" s="48"/>
      <c r="EA683" s="48"/>
      <c r="EC683" s="48"/>
      <c r="ED683" s="48"/>
      <c r="EE683" s="48"/>
      <c r="EF683" s="48"/>
      <c r="EG683" s="48"/>
      <c r="EI683" s="48"/>
      <c r="EK683" s="48"/>
      <c r="EM683" s="48"/>
      <c r="EO683" s="48"/>
      <c r="EP683" s="48"/>
      <c r="EU683" s="48"/>
      <c r="EV683" s="48"/>
      <c r="EW683" s="48"/>
      <c r="EX683" s="48"/>
      <c r="EY683" s="48"/>
      <c r="EZ683" s="48"/>
      <c r="FA683" s="48"/>
      <c r="FB683" s="48"/>
      <c r="FC683" s="48"/>
      <c r="FD683" s="48"/>
      <c r="FE683" s="48"/>
      <c r="FF683" s="48"/>
      <c r="FG683" s="48"/>
      <c r="FI683" s="48"/>
      <c r="FL683" s="48"/>
      <c r="FM683" s="48"/>
      <c r="FN683" s="48"/>
      <c r="FO683" s="48"/>
      <c r="FP683" s="48"/>
      <c r="FQ683" s="48"/>
      <c r="FR683" s="48"/>
      <c r="FS683" s="48"/>
      <c r="FT683" s="48"/>
      <c r="FU683" s="48"/>
    </row>
    <row r="684" spans="1:177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52"/>
      <c r="BF684" s="48"/>
      <c r="BG684" s="48"/>
      <c r="BI684" s="48"/>
      <c r="BN684" s="48"/>
      <c r="BO684" s="48"/>
      <c r="BR684" s="48"/>
      <c r="BS684" s="48"/>
      <c r="BW684" s="48"/>
      <c r="CA684" s="48"/>
      <c r="CE684" s="48"/>
      <c r="CF684" s="48"/>
      <c r="CG684" s="48"/>
      <c r="CH684" s="48"/>
      <c r="CI684" s="48"/>
      <c r="CJ684" s="48"/>
      <c r="CL684" s="48"/>
      <c r="CM684" s="48"/>
      <c r="CN684" s="48"/>
      <c r="CO684" s="48"/>
      <c r="CP684" s="48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  <c r="DD684" s="48"/>
      <c r="DE684" s="48"/>
      <c r="DF684" s="48"/>
      <c r="DG684" s="48"/>
      <c r="DH684" s="48"/>
      <c r="DI684" s="48"/>
      <c r="DJ684" s="48"/>
      <c r="DK684" s="48"/>
      <c r="DL684" s="48"/>
      <c r="DM684" s="48"/>
      <c r="DN684" s="48"/>
      <c r="DO684" s="48"/>
      <c r="DP684" s="48"/>
      <c r="DQ684" s="48"/>
      <c r="DR684" s="48"/>
      <c r="DS684" s="48"/>
      <c r="DT684" s="48"/>
      <c r="DU684" s="48"/>
      <c r="DV684" s="48"/>
      <c r="DW684" s="48"/>
      <c r="DX684" s="48"/>
      <c r="DY684" s="48"/>
      <c r="DZ684" s="48"/>
      <c r="EA684" s="48"/>
      <c r="EC684" s="48"/>
      <c r="ED684" s="48"/>
      <c r="EE684" s="48"/>
      <c r="EF684" s="48"/>
      <c r="EG684" s="48"/>
      <c r="EI684" s="48"/>
      <c r="EK684" s="48"/>
      <c r="EM684" s="48"/>
      <c r="EO684" s="48"/>
      <c r="EP684" s="48"/>
      <c r="EU684" s="48"/>
      <c r="EV684" s="48"/>
      <c r="EW684" s="48"/>
      <c r="EX684" s="48"/>
      <c r="EY684" s="48"/>
      <c r="EZ684" s="48"/>
      <c r="FA684" s="48"/>
      <c r="FB684" s="48"/>
      <c r="FC684" s="48"/>
      <c r="FD684" s="48"/>
      <c r="FE684" s="48"/>
      <c r="FF684" s="48"/>
      <c r="FG684" s="48"/>
      <c r="FI684" s="48"/>
      <c r="FL684" s="48"/>
      <c r="FM684" s="48"/>
      <c r="FN684" s="48"/>
      <c r="FO684" s="48"/>
      <c r="FP684" s="48"/>
      <c r="FQ684" s="48"/>
      <c r="FR684" s="48"/>
      <c r="FS684" s="48"/>
      <c r="FT684" s="48"/>
      <c r="FU684" s="48"/>
    </row>
    <row r="685" spans="1:177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52"/>
      <c r="BF685" s="48"/>
      <c r="BG685" s="48"/>
      <c r="BI685" s="48"/>
      <c r="BN685" s="48"/>
      <c r="BO685" s="48"/>
      <c r="BR685" s="48"/>
      <c r="BS685" s="48"/>
      <c r="BW685" s="48"/>
      <c r="CA685" s="48"/>
      <c r="CE685" s="48"/>
      <c r="CF685" s="48"/>
      <c r="CG685" s="48"/>
      <c r="CH685" s="48"/>
      <c r="CI685" s="48"/>
      <c r="CJ685" s="48"/>
      <c r="CL685" s="48"/>
      <c r="CM685" s="48"/>
      <c r="CN685" s="48"/>
      <c r="CO685" s="48"/>
      <c r="CP685" s="48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  <c r="DE685" s="48"/>
      <c r="DF685" s="48"/>
      <c r="DG685" s="48"/>
      <c r="DH685" s="48"/>
      <c r="DI685" s="48"/>
      <c r="DJ685" s="48"/>
      <c r="DK685" s="48"/>
      <c r="DL685" s="48"/>
      <c r="DM685" s="48"/>
      <c r="DN685" s="48"/>
      <c r="DO685" s="48"/>
      <c r="DP685" s="48"/>
      <c r="DQ685" s="48"/>
      <c r="DR685" s="48"/>
      <c r="DS685" s="48"/>
      <c r="DT685" s="48"/>
      <c r="DU685" s="48"/>
      <c r="DV685" s="48"/>
      <c r="DW685" s="48"/>
      <c r="DX685" s="48"/>
      <c r="DY685" s="48"/>
      <c r="DZ685" s="48"/>
      <c r="EA685" s="48"/>
      <c r="EC685" s="48"/>
      <c r="ED685" s="48"/>
      <c r="EE685" s="48"/>
      <c r="EF685" s="48"/>
      <c r="EG685" s="48"/>
      <c r="EI685" s="48"/>
      <c r="EK685" s="48"/>
      <c r="EM685" s="48"/>
      <c r="EO685" s="48"/>
      <c r="EP685" s="48"/>
      <c r="EU685" s="48"/>
      <c r="EV685" s="48"/>
      <c r="EW685" s="48"/>
      <c r="EX685" s="48"/>
      <c r="EY685" s="48"/>
      <c r="EZ685" s="48"/>
      <c r="FA685" s="48"/>
      <c r="FB685" s="48"/>
      <c r="FC685" s="48"/>
      <c r="FD685" s="48"/>
      <c r="FE685" s="48"/>
      <c r="FF685" s="48"/>
      <c r="FG685" s="48"/>
      <c r="FI685" s="48"/>
      <c r="FL685" s="48"/>
      <c r="FM685" s="48"/>
      <c r="FN685" s="48"/>
      <c r="FO685" s="48"/>
      <c r="FP685" s="48"/>
      <c r="FQ685" s="48"/>
      <c r="FR685" s="48"/>
      <c r="FS685" s="48"/>
      <c r="FT685" s="48"/>
      <c r="FU685" s="48"/>
    </row>
    <row r="686" spans="1:177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52"/>
      <c r="BF686" s="48"/>
      <c r="BG686" s="48"/>
      <c r="BI686" s="48"/>
      <c r="BN686" s="48"/>
      <c r="BO686" s="48"/>
      <c r="BR686" s="48"/>
      <c r="BS686" s="48"/>
      <c r="BW686" s="48"/>
      <c r="CA686" s="48"/>
      <c r="CE686" s="48"/>
      <c r="CF686" s="48"/>
      <c r="CG686" s="48"/>
      <c r="CH686" s="48"/>
      <c r="CI686" s="48"/>
      <c r="CJ686" s="48"/>
      <c r="CL686" s="48"/>
      <c r="CM686" s="48"/>
      <c r="CN686" s="48"/>
      <c r="CO686" s="48"/>
      <c r="CP686" s="48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  <c r="DD686" s="48"/>
      <c r="DE686" s="48"/>
      <c r="DF686" s="48"/>
      <c r="DG686" s="48"/>
      <c r="DH686" s="48"/>
      <c r="DI686" s="48"/>
      <c r="DJ686" s="48"/>
      <c r="DK686" s="48"/>
      <c r="DL686" s="48"/>
      <c r="DM686" s="48"/>
      <c r="DN686" s="48"/>
      <c r="DO686" s="48"/>
      <c r="DP686" s="48"/>
      <c r="DQ686" s="48"/>
      <c r="DR686" s="48"/>
      <c r="DS686" s="48"/>
      <c r="DT686" s="48"/>
      <c r="DU686" s="48"/>
      <c r="DV686" s="48"/>
      <c r="DW686" s="48"/>
      <c r="DX686" s="48"/>
      <c r="DY686" s="48"/>
      <c r="DZ686" s="48"/>
      <c r="EA686" s="48"/>
      <c r="EC686" s="48"/>
      <c r="ED686" s="48"/>
      <c r="EE686" s="48"/>
      <c r="EF686" s="48"/>
      <c r="EG686" s="48"/>
      <c r="EI686" s="48"/>
      <c r="EK686" s="48"/>
      <c r="EM686" s="48"/>
      <c r="EO686" s="48"/>
      <c r="EP686" s="48"/>
      <c r="EU686" s="48"/>
      <c r="EV686" s="48"/>
      <c r="EW686" s="48"/>
      <c r="EX686" s="48"/>
      <c r="EY686" s="48"/>
      <c r="EZ686" s="48"/>
      <c r="FA686" s="48"/>
      <c r="FB686" s="48"/>
      <c r="FC686" s="48"/>
      <c r="FD686" s="48"/>
      <c r="FE686" s="48"/>
      <c r="FF686" s="48"/>
      <c r="FG686" s="48"/>
      <c r="FI686" s="48"/>
      <c r="FL686" s="48"/>
      <c r="FM686" s="48"/>
      <c r="FN686" s="48"/>
      <c r="FO686" s="48"/>
      <c r="FP686" s="48"/>
      <c r="FQ686" s="48"/>
      <c r="FR686" s="48"/>
      <c r="FS686" s="48"/>
      <c r="FT686" s="48"/>
      <c r="FU686" s="48"/>
    </row>
    <row r="687" spans="1:17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52"/>
      <c r="BF687" s="48"/>
      <c r="BG687" s="48"/>
      <c r="BI687" s="48"/>
      <c r="BN687" s="48"/>
      <c r="BO687" s="48"/>
      <c r="BR687" s="48"/>
      <c r="BS687" s="48"/>
      <c r="BW687" s="48"/>
      <c r="CA687" s="48"/>
      <c r="CE687" s="48"/>
      <c r="CF687" s="48"/>
      <c r="CG687" s="48"/>
      <c r="CH687" s="48"/>
      <c r="CI687" s="48"/>
      <c r="CJ687" s="48"/>
      <c r="CL687" s="48"/>
      <c r="CM687" s="48"/>
      <c r="CN687" s="48"/>
      <c r="CO687" s="48"/>
      <c r="CP687" s="48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  <c r="DD687" s="48"/>
      <c r="DE687" s="48"/>
      <c r="DF687" s="48"/>
      <c r="DG687" s="48"/>
      <c r="DH687" s="48"/>
      <c r="DI687" s="48"/>
      <c r="DJ687" s="48"/>
      <c r="DK687" s="48"/>
      <c r="DL687" s="48"/>
      <c r="DM687" s="48"/>
      <c r="DN687" s="48"/>
      <c r="DO687" s="48"/>
      <c r="DP687" s="48"/>
      <c r="DQ687" s="48"/>
      <c r="DR687" s="48"/>
      <c r="DS687" s="48"/>
      <c r="DT687" s="48"/>
      <c r="DU687" s="48"/>
      <c r="DV687" s="48"/>
      <c r="DW687" s="48"/>
      <c r="DX687" s="48"/>
      <c r="DY687" s="48"/>
      <c r="DZ687" s="48"/>
      <c r="EA687" s="48"/>
      <c r="EC687" s="48"/>
      <c r="ED687" s="48"/>
      <c r="EE687" s="48"/>
      <c r="EF687" s="48"/>
      <c r="EG687" s="48"/>
      <c r="EI687" s="48"/>
      <c r="EK687" s="48"/>
      <c r="EM687" s="48"/>
      <c r="EO687" s="48"/>
      <c r="EP687" s="48"/>
      <c r="EU687" s="48"/>
      <c r="EV687" s="48"/>
      <c r="EW687" s="48"/>
      <c r="EX687" s="48"/>
      <c r="EY687" s="48"/>
      <c r="EZ687" s="48"/>
      <c r="FA687" s="48"/>
      <c r="FB687" s="48"/>
      <c r="FC687" s="48"/>
      <c r="FD687" s="48"/>
      <c r="FE687" s="48"/>
      <c r="FF687" s="48"/>
      <c r="FG687" s="48"/>
      <c r="FI687" s="48"/>
      <c r="FL687" s="48"/>
      <c r="FM687" s="48"/>
      <c r="FN687" s="48"/>
      <c r="FO687" s="48"/>
      <c r="FP687" s="48"/>
      <c r="FQ687" s="48"/>
      <c r="FR687" s="48"/>
      <c r="FS687" s="48"/>
      <c r="FT687" s="48"/>
      <c r="FU687" s="48"/>
    </row>
    <row r="688" spans="1:177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52"/>
      <c r="BF688" s="48"/>
      <c r="BG688" s="48"/>
      <c r="BI688" s="48"/>
      <c r="BN688" s="48"/>
      <c r="BO688" s="48"/>
      <c r="BR688" s="48"/>
      <c r="BS688" s="48"/>
      <c r="BW688" s="48"/>
      <c r="CA688" s="48"/>
      <c r="CE688" s="48"/>
      <c r="CF688" s="48"/>
      <c r="CG688" s="48"/>
      <c r="CH688" s="48"/>
      <c r="CI688" s="48"/>
      <c r="CJ688" s="48"/>
      <c r="CL688" s="48"/>
      <c r="CM688" s="48"/>
      <c r="CN688" s="48"/>
      <c r="CO688" s="48"/>
      <c r="CP688" s="48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  <c r="DE688" s="48"/>
      <c r="DF688" s="48"/>
      <c r="DG688" s="48"/>
      <c r="DH688" s="48"/>
      <c r="DI688" s="48"/>
      <c r="DJ688" s="48"/>
      <c r="DK688" s="48"/>
      <c r="DL688" s="48"/>
      <c r="DM688" s="48"/>
      <c r="DN688" s="48"/>
      <c r="DO688" s="48"/>
      <c r="DP688" s="48"/>
      <c r="DQ688" s="48"/>
      <c r="DR688" s="48"/>
      <c r="DS688" s="48"/>
      <c r="DT688" s="48"/>
      <c r="DU688" s="48"/>
      <c r="DV688" s="48"/>
      <c r="DW688" s="48"/>
      <c r="DX688" s="48"/>
      <c r="DY688" s="48"/>
      <c r="DZ688" s="48"/>
      <c r="EA688" s="48"/>
      <c r="EC688" s="48"/>
      <c r="ED688" s="48"/>
      <c r="EE688" s="48"/>
      <c r="EF688" s="48"/>
      <c r="EG688" s="48"/>
      <c r="EI688" s="48"/>
      <c r="EK688" s="48"/>
      <c r="EM688" s="48"/>
      <c r="EO688" s="48"/>
      <c r="EP688" s="48"/>
      <c r="EU688" s="48"/>
      <c r="EV688" s="48"/>
      <c r="EW688" s="48"/>
      <c r="EX688" s="48"/>
      <c r="EY688" s="48"/>
      <c r="EZ688" s="48"/>
      <c r="FA688" s="48"/>
      <c r="FB688" s="48"/>
      <c r="FC688" s="48"/>
      <c r="FD688" s="48"/>
      <c r="FE688" s="48"/>
      <c r="FF688" s="48"/>
      <c r="FG688" s="48"/>
      <c r="FI688" s="48"/>
      <c r="FL688" s="48"/>
      <c r="FM688" s="48"/>
      <c r="FN688" s="48"/>
      <c r="FO688" s="48"/>
      <c r="FP688" s="48"/>
      <c r="FQ688" s="48"/>
      <c r="FR688" s="48"/>
      <c r="FS688" s="48"/>
      <c r="FT688" s="48"/>
      <c r="FU688" s="48"/>
    </row>
    <row r="689" spans="1:177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52"/>
      <c r="BF689" s="48"/>
      <c r="BG689" s="48"/>
      <c r="BI689" s="48"/>
      <c r="BN689" s="48"/>
      <c r="BO689" s="48"/>
      <c r="BR689" s="48"/>
      <c r="BS689" s="48"/>
      <c r="BW689" s="48"/>
      <c r="CA689" s="48"/>
      <c r="CE689" s="48"/>
      <c r="CF689" s="48"/>
      <c r="CG689" s="48"/>
      <c r="CH689" s="48"/>
      <c r="CI689" s="48"/>
      <c r="CJ689" s="48"/>
      <c r="CL689" s="48"/>
      <c r="CM689" s="48"/>
      <c r="CN689" s="48"/>
      <c r="CO689" s="48"/>
      <c r="CP689" s="48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  <c r="DD689" s="48"/>
      <c r="DE689" s="48"/>
      <c r="DF689" s="48"/>
      <c r="DG689" s="48"/>
      <c r="DH689" s="48"/>
      <c r="DI689" s="48"/>
      <c r="DJ689" s="48"/>
      <c r="DK689" s="48"/>
      <c r="DL689" s="48"/>
      <c r="DM689" s="48"/>
      <c r="DN689" s="48"/>
      <c r="DO689" s="48"/>
      <c r="DP689" s="48"/>
      <c r="DQ689" s="48"/>
      <c r="DR689" s="48"/>
      <c r="DS689" s="48"/>
      <c r="DT689" s="48"/>
      <c r="DU689" s="48"/>
      <c r="DV689" s="48"/>
      <c r="DW689" s="48"/>
      <c r="DX689" s="48"/>
      <c r="DY689" s="48"/>
      <c r="DZ689" s="48"/>
      <c r="EA689" s="48"/>
      <c r="EC689" s="48"/>
      <c r="ED689" s="48"/>
      <c r="EE689" s="48"/>
      <c r="EF689" s="48"/>
      <c r="EG689" s="48"/>
      <c r="EI689" s="48"/>
      <c r="EK689" s="48"/>
      <c r="EM689" s="48"/>
      <c r="EO689" s="48"/>
      <c r="EP689" s="48"/>
      <c r="EU689" s="48"/>
      <c r="EV689" s="48"/>
      <c r="EW689" s="48"/>
      <c r="EX689" s="48"/>
      <c r="EY689" s="48"/>
      <c r="EZ689" s="48"/>
      <c r="FA689" s="48"/>
      <c r="FB689" s="48"/>
      <c r="FC689" s="48"/>
      <c r="FD689" s="48"/>
      <c r="FE689" s="48"/>
      <c r="FF689" s="48"/>
      <c r="FG689" s="48"/>
      <c r="FI689" s="48"/>
      <c r="FL689" s="48"/>
      <c r="FM689" s="48"/>
      <c r="FN689" s="48"/>
      <c r="FO689" s="48"/>
      <c r="FP689" s="48"/>
      <c r="FQ689" s="48"/>
      <c r="FR689" s="48"/>
      <c r="FS689" s="48"/>
      <c r="FT689" s="48"/>
      <c r="FU689" s="48"/>
    </row>
    <row r="690" spans="1:177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52"/>
      <c r="BF690" s="48"/>
      <c r="BG690" s="48"/>
      <c r="BI690" s="48"/>
      <c r="BN690" s="48"/>
      <c r="BO690" s="48"/>
      <c r="BR690" s="48"/>
      <c r="BS690" s="48"/>
      <c r="BW690" s="48"/>
      <c r="CA690" s="48"/>
      <c r="CE690" s="48"/>
      <c r="CF690" s="48"/>
      <c r="CG690" s="48"/>
      <c r="CH690" s="48"/>
      <c r="CI690" s="48"/>
      <c r="CJ690" s="48"/>
      <c r="CL690" s="48"/>
      <c r="CM690" s="48"/>
      <c r="CN690" s="48"/>
      <c r="CO690" s="48"/>
      <c r="CP690" s="48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  <c r="DD690" s="48"/>
      <c r="DE690" s="48"/>
      <c r="DF690" s="48"/>
      <c r="DG690" s="48"/>
      <c r="DH690" s="48"/>
      <c r="DI690" s="48"/>
      <c r="DJ690" s="48"/>
      <c r="DK690" s="48"/>
      <c r="DL690" s="48"/>
      <c r="DM690" s="48"/>
      <c r="DN690" s="48"/>
      <c r="DO690" s="48"/>
      <c r="DP690" s="48"/>
      <c r="DQ690" s="48"/>
      <c r="DR690" s="48"/>
      <c r="DS690" s="48"/>
      <c r="DT690" s="48"/>
      <c r="DU690" s="48"/>
      <c r="DV690" s="48"/>
      <c r="DW690" s="48"/>
      <c r="DX690" s="48"/>
      <c r="DY690" s="48"/>
      <c r="DZ690" s="48"/>
      <c r="EA690" s="48"/>
      <c r="EC690" s="48"/>
      <c r="ED690" s="48"/>
      <c r="EE690" s="48"/>
      <c r="EF690" s="48"/>
      <c r="EG690" s="48"/>
      <c r="EI690" s="48"/>
      <c r="EK690" s="48"/>
      <c r="EM690" s="48"/>
      <c r="EO690" s="48"/>
      <c r="EP690" s="48"/>
      <c r="EU690" s="48"/>
      <c r="EV690" s="48"/>
      <c r="EW690" s="48"/>
      <c r="EX690" s="48"/>
      <c r="EY690" s="48"/>
      <c r="EZ690" s="48"/>
      <c r="FA690" s="48"/>
      <c r="FB690" s="48"/>
      <c r="FC690" s="48"/>
      <c r="FD690" s="48"/>
      <c r="FE690" s="48"/>
      <c r="FF690" s="48"/>
      <c r="FG690" s="48"/>
      <c r="FI690" s="48"/>
      <c r="FL690" s="48"/>
      <c r="FM690" s="48"/>
      <c r="FN690" s="48"/>
      <c r="FO690" s="48"/>
      <c r="FP690" s="48"/>
      <c r="FQ690" s="48"/>
      <c r="FR690" s="48"/>
      <c r="FS690" s="48"/>
      <c r="FT690" s="48"/>
      <c r="FU690" s="48"/>
    </row>
    <row r="691" spans="1:177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52"/>
      <c r="BF691" s="48"/>
      <c r="BG691" s="48"/>
      <c r="BI691" s="48"/>
      <c r="BN691" s="48"/>
      <c r="BO691" s="48"/>
      <c r="BR691" s="48"/>
      <c r="BS691" s="48"/>
      <c r="BW691" s="48"/>
      <c r="CA691" s="48"/>
      <c r="CE691" s="48"/>
      <c r="CF691" s="48"/>
      <c r="CG691" s="48"/>
      <c r="CH691" s="48"/>
      <c r="CI691" s="48"/>
      <c r="CJ691" s="48"/>
      <c r="CL691" s="48"/>
      <c r="CM691" s="48"/>
      <c r="CN691" s="48"/>
      <c r="CO691" s="48"/>
      <c r="CP691" s="48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  <c r="DE691" s="48"/>
      <c r="DF691" s="48"/>
      <c r="DG691" s="48"/>
      <c r="DH691" s="48"/>
      <c r="DI691" s="48"/>
      <c r="DJ691" s="48"/>
      <c r="DK691" s="48"/>
      <c r="DL691" s="48"/>
      <c r="DM691" s="48"/>
      <c r="DN691" s="48"/>
      <c r="DO691" s="48"/>
      <c r="DP691" s="48"/>
      <c r="DQ691" s="48"/>
      <c r="DR691" s="48"/>
      <c r="DS691" s="48"/>
      <c r="DT691" s="48"/>
      <c r="DU691" s="48"/>
      <c r="DV691" s="48"/>
      <c r="DW691" s="48"/>
      <c r="DX691" s="48"/>
      <c r="DY691" s="48"/>
      <c r="DZ691" s="48"/>
      <c r="EA691" s="48"/>
      <c r="EC691" s="48"/>
      <c r="ED691" s="48"/>
      <c r="EE691" s="48"/>
      <c r="EF691" s="48"/>
      <c r="EG691" s="48"/>
      <c r="EI691" s="48"/>
      <c r="EK691" s="48"/>
      <c r="EM691" s="48"/>
      <c r="EO691" s="48"/>
      <c r="EP691" s="48"/>
      <c r="EU691" s="48"/>
      <c r="EV691" s="48"/>
      <c r="EW691" s="48"/>
      <c r="EX691" s="48"/>
      <c r="EY691" s="48"/>
      <c r="EZ691" s="48"/>
      <c r="FA691" s="48"/>
      <c r="FB691" s="48"/>
      <c r="FC691" s="48"/>
      <c r="FD691" s="48"/>
      <c r="FE691" s="48"/>
      <c r="FF691" s="48"/>
      <c r="FG691" s="48"/>
      <c r="FI691" s="48"/>
      <c r="FL691" s="48"/>
      <c r="FM691" s="48"/>
      <c r="FN691" s="48"/>
      <c r="FO691" s="48"/>
      <c r="FP691" s="48"/>
      <c r="FQ691" s="48"/>
      <c r="FR691" s="48"/>
      <c r="FS691" s="48"/>
      <c r="FT691" s="48"/>
      <c r="FU691" s="48"/>
    </row>
    <row r="692" spans="1:177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52"/>
      <c r="BF692" s="48"/>
      <c r="BG692" s="48"/>
      <c r="BI692" s="48"/>
      <c r="BN692" s="48"/>
      <c r="BO692" s="48"/>
      <c r="BR692" s="48"/>
      <c r="BS692" s="48"/>
      <c r="BW692" s="48"/>
      <c r="CA692" s="48"/>
      <c r="CE692" s="48"/>
      <c r="CF692" s="48"/>
      <c r="CG692" s="48"/>
      <c r="CH692" s="48"/>
      <c r="CI692" s="48"/>
      <c r="CJ692" s="48"/>
      <c r="CL692" s="48"/>
      <c r="CM692" s="48"/>
      <c r="CN692" s="48"/>
      <c r="CO692" s="48"/>
      <c r="CP692" s="48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  <c r="DD692" s="48"/>
      <c r="DE692" s="48"/>
      <c r="DF692" s="48"/>
      <c r="DG692" s="48"/>
      <c r="DH692" s="48"/>
      <c r="DI692" s="48"/>
      <c r="DJ692" s="48"/>
      <c r="DK692" s="48"/>
      <c r="DL692" s="48"/>
      <c r="DM692" s="48"/>
      <c r="DN692" s="48"/>
      <c r="DO692" s="48"/>
      <c r="DP692" s="48"/>
      <c r="DQ692" s="48"/>
      <c r="DR692" s="48"/>
      <c r="DS692" s="48"/>
      <c r="DT692" s="48"/>
      <c r="DU692" s="48"/>
      <c r="DV692" s="48"/>
      <c r="DW692" s="48"/>
      <c r="DX692" s="48"/>
      <c r="DY692" s="48"/>
      <c r="DZ692" s="48"/>
      <c r="EA692" s="48"/>
      <c r="EC692" s="48"/>
      <c r="ED692" s="48"/>
      <c r="EE692" s="48"/>
      <c r="EF692" s="48"/>
      <c r="EG692" s="48"/>
      <c r="EI692" s="48"/>
      <c r="EK692" s="48"/>
      <c r="EM692" s="48"/>
      <c r="EO692" s="48"/>
      <c r="EP692" s="48"/>
      <c r="EU692" s="48"/>
      <c r="EV692" s="48"/>
      <c r="EW692" s="48"/>
      <c r="EX692" s="48"/>
      <c r="EY692" s="48"/>
      <c r="EZ692" s="48"/>
      <c r="FA692" s="48"/>
      <c r="FB692" s="48"/>
      <c r="FC692" s="48"/>
      <c r="FD692" s="48"/>
      <c r="FE692" s="48"/>
      <c r="FF692" s="48"/>
      <c r="FG692" s="48"/>
      <c r="FI692" s="48"/>
      <c r="FL692" s="48"/>
      <c r="FM692" s="48"/>
      <c r="FN692" s="48"/>
      <c r="FO692" s="48"/>
      <c r="FP692" s="48"/>
      <c r="FQ692" s="48"/>
      <c r="FR692" s="48"/>
      <c r="FS692" s="48"/>
      <c r="FT692" s="48"/>
      <c r="FU692" s="48"/>
    </row>
    <row r="693" spans="1:177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52"/>
      <c r="BF693" s="48"/>
      <c r="BG693" s="48"/>
      <c r="BI693" s="48"/>
      <c r="BN693" s="48"/>
      <c r="BO693" s="48"/>
      <c r="BR693" s="48"/>
      <c r="BS693" s="48"/>
      <c r="BW693" s="48"/>
      <c r="CA693" s="48"/>
      <c r="CE693" s="48"/>
      <c r="CF693" s="48"/>
      <c r="CG693" s="48"/>
      <c r="CH693" s="48"/>
      <c r="CI693" s="48"/>
      <c r="CJ693" s="48"/>
      <c r="CL693" s="48"/>
      <c r="CM693" s="48"/>
      <c r="CN693" s="48"/>
      <c r="CO693" s="48"/>
      <c r="CP693" s="48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  <c r="DD693" s="48"/>
      <c r="DE693" s="48"/>
      <c r="DF693" s="48"/>
      <c r="DG693" s="48"/>
      <c r="DH693" s="48"/>
      <c r="DI693" s="48"/>
      <c r="DJ693" s="48"/>
      <c r="DK693" s="48"/>
      <c r="DL693" s="48"/>
      <c r="DM693" s="48"/>
      <c r="DN693" s="48"/>
      <c r="DO693" s="48"/>
      <c r="DP693" s="48"/>
      <c r="DQ693" s="48"/>
      <c r="DR693" s="48"/>
      <c r="DS693" s="48"/>
      <c r="DT693" s="48"/>
      <c r="DU693" s="48"/>
      <c r="DV693" s="48"/>
      <c r="DW693" s="48"/>
      <c r="DX693" s="48"/>
      <c r="DY693" s="48"/>
      <c r="DZ693" s="48"/>
      <c r="EA693" s="48"/>
      <c r="EC693" s="48"/>
      <c r="ED693" s="48"/>
      <c r="EE693" s="48"/>
      <c r="EF693" s="48"/>
      <c r="EG693" s="48"/>
      <c r="EI693" s="48"/>
      <c r="EK693" s="48"/>
      <c r="EM693" s="48"/>
      <c r="EO693" s="48"/>
      <c r="EP693" s="48"/>
      <c r="EU693" s="48"/>
      <c r="EV693" s="48"/>
      <c r="EW693" s="48"/>
      <c r="EX693" s="48"/>
      <c r="EY693" s="48"/>
      <c r="EZ693" s="48"/>
      <c r="FA693" s="48"/>
      <c r="FB693" s="48"/>
      <c r="FC693" s="48"/>
      <c r="FD693" s="48"/>
      <c r="FE693" s="48"/>
      <c r="FF693" s="48"/>
      <c r="FG693" s="48"/>
      <c r="FI693" s="48"/>
      <c r="FL693" s="48"/>
      <c r="FM693" s="48"/>
      <c r="FN693" s="48"/>
      <c r="FO693" s="48"/>
      <c r="FP693" s="48"/>
      <c r="FQ693" s="48"/>
      <c r="FR693" s="48"/>
      <c r="FS693" s="48"/>
      <c r="FT693" s="48"/>
      <c r="FU693" s="48"/>
    </row>
    <row r="694" spans="1:177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52"/>
      <c r="BF694" s="48"/>
      <c r="BG694" s="48"/>
      <c r="BI694" s="48"/>
      <c r="BN694" s="48"/>
      <c r="BO694" s="48"/>
      <c r="BR694" s="48"/>
      <c r="BS694" s="48"/>
      <c r="BW694" s="48"/>
      <c r="CA694" s="48"/>
      <c r="CE694" s="48"/>
      <c r="CF694" s="48"/>
      <c r="CG694" s="48"/>
      <c r="CH694" s="48"/>
      <c r="CI694" s="48"/>
      <c r="CJ694" s="48"/>
      <c r="CL694" s="48"/>
      <c r="CM694" s="48"/>
      <c r="CN694" s="48"/>
      <c r="CO694" s="48"/>
      <c r="CP694" s="48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  <c r="DE694" s="48"/>
      <c r="DF694" s="48"/>
      <c r="DG694" s="48"/>
      <c r="DH694" s="48"/>
      <c r="DI694" s="48"/>
      <c r="DJ694" s="48"/>
      <c r="DK694" s="48"/>
      <c r="DL694" s="48"/>
      <c r="DM694" s="48"/>
      <c r="DN694" s="48"/>
      <c r="DO694" s="48"/>
      <c r="DP694" s="48"/>
      <c r="DQ694" s="48"/>
      <c r="DR694" s="48"/>
      <c r="DS694" s="48"/>
      <c r="DT694" s="48"/>
      <c r="DU694" s="48"/>
      <c r="DV694" s="48"/>
      <c r="DW694" s="48"/>
      <c r="DX694" s="48"/>
      <c r="DY694" s="48"/>
      <c r="DZ694" s="48"/>
      <c r="EA694" s="48"/>
      <c r="EC694" s="48"/>
      <c r="ED694" s="48"/>
      <c r="EE694" s="48"/>
      <c r="EF694" s="48"/>
      <c r="EG694" s="48"/>
      <c r="EI694" s="48"/>
      <c r="EK694" s="48"/>
      <c r="EM694" s="48"/>
      <c r="EO694" s="48"/>
      <c r="EP694" s="48"/>
      <c r="EU694" s="48"/>
      <c r="EV694" s="48"/>
      <c r="EW694" s="48"/>
      <c r="EX694" s="48"/>
      <c r="EY694" s="48"/>
      <c r="EZ694" s="48"/>
      <c r="FA694" s="48"/>
      <c r="FB694" s="48"/>
      <c r="FC694" s="48"/>
      <c r="FD694" s="48"/>
      <c r="FE694" s="48"/>
      <c r="FF694" s="48"/>
      <c r="FG694" s="48"/>
      <c r="FI694" s="48"/>
      <c r="FL694" s="48"/>
      <c r="FM694" s="48"/>
      <c r="FN694" s="48"/>
      <c r="FO694" s="48"/>
      <c r="FP694" s="48"/>
      <c r="FQ694" s="48"/>
      <c r="FR694" s="48"/>
      <c r="FS694" s="48"/>
      <c r="FT694" s="48"/>
      <c r="FU694" s="48"/>
    </row>
    <row r="695" spans="1:177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52"/>
      <c r="BF695" s="48"/>
      <c r="BG695" s="48"/>
      <c r="BI695" s="48"/>
      <c r="BN695" s="48"/>
      <c r="BO695" s="48"/>
      <c r="BR695" s="48"/>
      <c r="BS695" s="48"/>
      <c r="BW695" s="48"/>
      <c r="CA695" s="48"/>
      <c r="CE695" s="48"/>
      <c r="CF695" s="48"/>
      <c r="CG695" s="48"/>
      <c r="CH695" s="48"/>
      <c r="CI695" s="48"/>
      <c r="CJ695" s="48"/>
      <c r="CL695" s="48"/>
      <c r="CM695" s="48"/>
      <c r="CN695" s="48"/>
      <c r="CO695" s="48"/>
      <c r="CP695" s="48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  <c r="DD695" s="48"/>
      <c r="DE695" s="48"/>
      <c r="DF695" s="48"/>
      <c r="DG695" s="48"/>
      <c r="DH695" s="48"/>
      <c r="DI695" s="48"/>
      <c r="DJ695" s="48"/>
      <c r="DK695" s="48"/>
      <c r="DL695" s="48"/>
      <c r="DM695" s="48"/>
      <c r="DN695" s="48"/>
      <c r="DO695" s="48"/>
      <c r="DP695" s="48"/>
      <c r="DQ695" s="48"/>
      <c r="DR695" s="48"/>
      <c r="DS695" s="48"/>
      <c r="DT695" s="48"/>
      <c r="DU695" s="48"/>
      <c r="DV695" s="48"/>
      <c r="DW695" s="48"/>
      <c r="DX695" s="48"/>
      <c r="DY695" s="48"/>
      <c r="DZ695" s="48"/>
      <c r="EA695" s="48"/>
      <c r="EC695" s="48"/>
      <c r="ED695" s="48"/>
      <c r="EE695" s="48"/>
      <c r="EF695" s="48"/>
      <c r="EG695" s="48"/>
      <c r="EI695" s="48"/>
      <c r="EK695" s="48"/>
      <c r="EM695" s="48"/>
      <c r="EO695" s="48"/>
      <c r="EP695" s="48"/>
      <c r="EU695" s="48"/>
      <c r="EV695" s="48"/>
      <c r="EW695" s="48"/>
      <c r="EX695" s="48"/>
      <c r="EY695" s="48"/>
      <c r="EZ695" s="48"/>
      <c r="FA695" s="48"/>
      <c r="FB695" s="48"/>
      <c r="FC695" s="48"/>
      <c r="FD695" s="48"/>
      <c r="FE695" s="48"/>
      <c r="FF695" s="48"/>
      <c r="FG695" s="48"/>
      <c r="FI695" s="48"/>
      <c r="FL695" s="48"/>
      <c r="FM695" s="48"/>
      <c r="FN695" s="48"/>
      <c r="FO695" s="48"/>
      <c r="FP695" s="48"/>
      <c r="FQ695" s="48"/>
      <c r="FR695" s="48"/>
      <c r="FS695" s="48"/>
      <c r="FT695" s="48"/>
      <c r="FU695" s="48"/>
    </row>
    <row r="696" spans="1:177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52"/>
      <c r="BF696" s="48"/>
      <c r="BG696" s="48"/>
      <c r="BI696" s="48"/>
      <c r="BN696" s="48"/>
      <c r="BO696" s="48"/>
      <c r="BR696" s="48"/>
      <c r="BS696" s="48"/>
      <c r="BW696" s="48"/>
      <c r="CA696" s="48"/>
      <c r="CE696" s="48"/>
      <c r="CF696" s="48"/>
      <c r="CG696" s="48"/>
      <c r="CH696" s="48"/>
      <c r="CI696" s="48"/>
      <c r="CJ696" s="48"/>
      <c r="CL696" s="48"/>
      <c r="CM696" s="48"/>
      <c r="CN696" s="48"/>
      <c r="CO696" s="48"/>
      <c r="CP696" s="48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  <c r="DD696" s="48"/>
      <c r="DE696" s="48"/>
      <c r="DF696" s="48"/>
      <c r="DG696" s="48"/>
      <c r="DH696" s="48"/>
      <c r="DI696" s="48"/>
      <c r="DJ696" s="48"/>
      <c r="DK696" s="48"/>
      <c r="DL696" s="48"/>
      <c r="DM696" s="48"/>
      <c r="DN696" s="48"/>
      <c r="DO696" s="48"/>
      <c r="DP696" s="48"/>
      <c r="DQ696" s="48"/>
      <c r="DR696" s="48"/>
      <c r="DS696" s="48"/>
      <c r="DT696" s="48"/>
      <c r="DU696" s="48"/>
      <c r="DV696" s="48"/>
      <c r="DW696" s="48"/>
      <c r="DX696" s="48"/>
      <c r="DY696" s="48"/>
      <c r="DZ696" s="48"/>
      <c r="EA696" s="48"/>
      <c r="EC696" s="48"/>
      <c r="ED696" s="48"/>
      <c r="EE696" s="48"/>
      <c r="EF696" s="48"/>
      <c r="EG696" s="48"/>
      <c r="EI696" s="48"/>
      <c r="EK696" s="48"/>
      <c r="EM696" s="48"/>
      <c r="EO696" s="48"/>
      <c r="EP696" s="48"/>
      <c r="EU696" s="48"/>
      <c r="EV696" s="48"/>
      <c r="EW696" s="48"/>
      <c r="EX696" s="48"/>
      <c r="EY696" s="48"/>
      <c r="EZ696" s="48"/>
      <c r="FA696" s="48"/>
      <c r="FB696" s="48"/>
      <c r="FC696" s="48"/>
      <c r="FD696" s="48"/>
      <c r="FE696" s="48"/>
      <c r="FF696" s="48"/>
      <c r="FG696" s="48"/>
      <c r="FI696" s="48"/>
      <c r="FL696" s="48"/>
      <c r="FM696" s="48"/>
      <c r="FN696" s="48"/>
      <c r="FO696" s="48"/>
      <c r="FP696" s="48"/>
      <c r="FQ696" s="48"/>
      <c r="FR696" s="48"/>
      <c r="FS696" s="48"/>
      <c r="FT696" s="48"/>
      <c r="FU696" s="48"/>
    </row>
    <row r="697" spans="1:17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52"/>
      <c r="BF697" s="48"/>
      <c r="BG697" s="48"/>
      <c r="BI697" s="48"/>
      <c r="BN697" s="48"/>
      <c r="BO697" s="48"/>
      <c r="BR697" s="48"/>
      <c r="BS697" s="48"/>
      <c r="BW697" s="48"/>
      <c r="CA697" s="48"/>
      <c r="CE697" s="48"/>
      <c r="CF697" s="48"/>
      <c r="CG697" s="48"/>
      <c r="CH697" s="48"/>
      <c r="CI697" s="48"/>
      <c r="CJ697" s="48"/>
      <c r="CL697" s="48"/>
      <c r="CM697" s="48"/>
      <c r="CN697" s="48"/>
      <c r="CO697" s="48"/>
      <c r="CP697" s="48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  <c r="DE697" s="48"/>
      <c r="DF697" s="48"/>
      <c r="DG697" s="48"/>
      <c r="DH697" s="48"/>
      <c r="DI697" s="48"/>
      <c r="DJ697" s="48"/>
      <c r="DK697" s="48"/>
      <c r="DL697" s="48"/>
      <c r="DM697" s="48"/>
      <c r="DN697" s="48"/>
      <c r="DO697" s="48"/>
      <c r="DP697" s="48"/>
      <c r="DQ697" s="48"/>
      <c r="DR697" s="48"/>
      <c r="DS697" s="48"/>
      <c r="DT697" s="48"/>
      <c r="DU697" s="48"/>
      <c r="DV697" s="48"/>
      <c r="DW697" s="48"/>
      <c r="DX697" s="48"/>
      <c r="DY697" s="48"/>
      <c r="DZ697" s="48"/>
      <c r="EA697" s="48"/>
      <c r="EC697" s="48"/>
      <c r="ED697" s="48"/>
      <c r="EE697" s="48"/>
      <c r="EF697" s="48"/>
      <c r="EG697" s="48"/>
      <c r="EI697" s="48"/>
      <c r="EK697" s="48"/>
      <c r="EM697" s="48"/>
      <c r="EO697" s="48"/>
      <c r="EP697" s="48"/>
      <c r="EU697" s="48"/>
      <c r="EV697" s="48"/>
      <c r="EW697" s="48"/>
      <c r="EX697" s="48"/>
      <c r="EY697" s="48"/>
      <c r="EZ697" s="48"/>
      <c r="FA697" s="48"/>
      <c r="FB697" s="48"/>
      <c r="FC697" s="48"/>
      <c r="FD697" s="48"/>
      <c r="FE697" s="48"/>
      <c r="FF697" s="48"/>
      <c r="FG697" s="48"/>
      <c r="FI697" s="48"/>
      <c r="FL697" s="48"/>
      <c r="FM697" s="48"/>
      <c r="FN697" s="48"/>
      <c r="FO697" s="48"/>
      <c r="FP697" s="48"/>
      <c r="FQ697" s="48"/>
      <c r="FR697" s="48"/>
      <c r="FS697" s="48"/>
      <c r="FT697" s="48"/>
      <c r="FU697" s="48"/>
    </row>
    <row r="698" spans="1:177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52"/>
      <c r="BF698" s="48"/>
      <c r="BG698" s="48"/>
      <c r="BI698" s="48"/>
      <c r="BN698" s="48"/>
      <c r="BO698" s="48"/>
      <c r="BR698" s="48"/>
      <c r="BS698" s="48"/>
      <c r="BW698" s="48"/>
      <c r="CA698" s="48"/>
      <c r="CE698" s="48"/>
      <c r="CF698" s="48"/>
      <c r="CG698" s="48"/>
      <c r="CH698" s="48"/>
      <c r="CI698" s="48"/>
      <c r="CJ698" s="48"/>
      <c r="CL698" s="48"/>
      <c r="CM698" s="48"/>
      <c r="CN698" s="48"/>
      <c r="CO698" s="48"/>
      <c r="CP698" s="48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  <c r="DD698" s="48"/>
      <c r="DE698" s="48"/>
      <c r="DF698" s="48"/>
      <c r="DG698" s="48"/>
      <c r="DH698" s="48"/>
      <c r="DI698" s="48"/>
      <c r="DJ698" s="48"/>
      <c r="DK698" s="48"/>
      <c r="DL698" s="48"/>
      <c r="DM698" s="48"/>
      <c r="DN698" s="48"/>
      <c r="DO698" s="48"/>
      <c r="DP698" s="48"/>
      <c r="DQ698" s="48"/>
      <c r="DR698" s="48"/>
      <c r="DS698" s="48"/>
      <c r="DT698" s="48"/>
      <c r="DU698" s="48"/>
      <c r="DV698" s="48"/>
      <c r="DW698" s="48"/>
      <c r="DX698" s="48"/>
      <c r="DY698" s="48"/>
      <c r="DZ698" s="48"/>
      <c r="EA698" s="48"/>
      <c r="EC698" s="48"/>
      <c r="ED698" s="48"/>
      <c r="EE698" s="48"/>
      <c r="EF698" s="48"/>
      <c r="EG698" s="48"/>
      <c r="EI698" s="48"/>
      <c r="EK698" s="48"/>
      <c r="EM698" s="48"/>
      <c r="EO698" s="48"/>
      <c r="EP698" s="48"/>
      <c r="EU698" s="48"/>
      <c r="EV698" s="48"/>
      <c r="EW698" s="48"/>
      <c r="EX698" s="48"/>
      <c r="EY698" s="48"/>
      <c r="EZ698" s="48"/>
      <c r="FA698" s="48"/>
      <c r="FB698" s="48"/>
      <c r="FC698" s="48"/>
      <c r="FD698" s="48"/>
      <c r="FE698" s="48"/>
      <c r="FF698" s="48"/>
      <c r="FG698" s="48"/>
      <c r="FI698" s="48"/>
      <c r="FL698" s="48"/>
      <c r="FM698" s="48"/>
      <c r="FN698" s="48"/>
      <c r="FO698" s="48"/>
      <c r="FP698" s="48"/>
      <c r="FQ698" s="48"/>
      <c r="FR698" s="48"/>
      <c r="FS698" s="48"/>
      <c r="FT698" s="48"/>
      <c r="FU698" s="48"/>
    </row>
    <row r="699" spans="1:177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52"/>
      <c r="BF699" s="48"/>
      <c r="BG699" s="48"/>
      <c r="BI699" s="48"/>
      <c r="BN699" s="48"/>
      <c r="BO699" s="48"/>
      <c r="BR699" s="48"/>
      <c r="BS699" s="48"/>
      <c r="BW699" s="48"/>
      <c r="CA699" s="48"/>
      <c r="CE699" s="48"/>
      <c r="CF699" s="48"/>
      <c r="CG699" s="48"/>
      <c r="CH699" s="48"/>
      <c r="CI699" s="48"/>
      <c r="CJ699" s="48"/>
      <c r="CL699" s="48"/>
      <c r="CM699" s="48"/>
      <c r="CN699" s="48"/>
      <c r="CO699" s="48"/>
      <c r="CP699" s="48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  <c r="DE699" s="48"/>
      <c r="DF699" s="48"/>
      <c r="DG699" s="48"/>
      <c r="DH699" s="48"/>
      <c r="DI699" s="48"/>
      <c r="DJ699" s="48"/>
      <c r="DK699" s="48"/>
      <c r="DL699" s="48"/>
      <c r="DM699" s="48"/>
      <c r="DN699" s="48"/>
      <c r="DO699" s="48"/>
      <c r="DP699" s="48"/>
      <c r="DQ699" s="48"/>
      <c r="DR699" s="48"/>
      <c r="DS699" s="48"/>
      <c r="DT699" s="48"/>
      <c r="DU699" s="48"/>
      <c r="DV699" s="48"/>
      <c r="DW699" s="48"/>
      <c r="DX699" s="48"/>
      <c r="DY699" s="48"/>
      <c r="DZ699" s="48"/>
      <c r="EA699" s="48"/>
      <c r="EC699" s="48"/>
      <c r="ED699" s="48"/>
      <c r="EE699" s="48"/>
      <c r="EF699" s="48"/>
      <c r="EG699" s="48"/>
      <c r="EI699" s="48"/>
      <c r="EK699" s="48"/>
      <c r="EM699" s="48"/>
      <c r="EO699" s="48"/>
      <c r="EP699" s="48"/>
      <c r="EU699" s="48"/>
      <c r="EV699" s="48"/>
      <c r="EW699" s="48"/>
      <c r="EX699" s="48"/>
      <c r="EY699" s="48"/>
      <c r="EZ699" s="48"/>
      <c r="FA699" s="48"/>
      <c r="FB699" s="48"/>
      <c r="FC699" s="48"/>
      <c r="FD699" s="48"/>
      <c r="FE699" s="48"/>
      <c r="FF699" s="48"/>
      <c r="FG699" s="48"/>
      <c r="FI699" s="48"/>
      <c r="FL699" s="48"/>
      <c r="FM699" s="48"/>
      <c r="FN699" s="48"/>
      <c r="FO699" s="48"/>
      <c r="FP699" s="48"/>
      <c r="FQ699" s="48"/>
      <c r="FR699" s="48"/>
      <c r="FS699" s="48"/>
      <c r="FT699" s="48"/>
      <c r="FU699" s="48"/>
    </row>
    <row r="700" spans="1:177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52"/>
      <c r="BF700" s="48"/>
      <c r="BG700" s="48"/>
      <c r="BI700" s="48"/>
      <c r="BN700" s="48"/>
      <c r="BO700" s="48"/>
      <c r="BR700" s="48"/>
      <c r="BS700" s="48"/>
      <c r="BW700" s="48"/>
      <c r="CA700" s="48"/>
      <c r="CE700" s="48"/>
      <c r="CF700" s="48"/>
      <c r="CG700" s="48"/>
      <c r="CH700" s="48"/>
      <c r="CI700" s="48"/>
      <c r="CJ700" s="48"/>
      <c r="CL700" s="48"/>
      <c r="CM700" s="48"/>
      <c r="CN700" s="48"/>
      <c r="CO700" s="48"/>
      <c r="CP700" s="48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  <c r="DE700" s="48"/>
      <c r="DF700" s="48"/>
      <c r="DG700" s="48"/>
      <c r="DH700" s="48"/>
      <c r="DI700" s="48"/>
      <c r="DJ700" s="48"/>
      <c r="DK700" s="48"/>
      <c r="DL700" s="48"/>
      <c r="DM700" s="48"/>
      <c r="DN700" s="48"/>
      <c r="DO700" s="48"/>
      <c r="DP700" s="48"/>
      <c r="DQ700" s="48"/>
      <c r="DR700" s="48"/>
      <c r="DS700" s="48"/>
      <c r="DT700" s="48"/>
      <c r="DU700" s="48"/>
      <c r="DV700" s="48"/>
      <c r="DW700" s="48"/>
      <c r="DX700" s="48"/>
      <c r="DY700" s="48"/>
      <c r="DZ700" s="48"/>
      <c r="EA700" s="48"/>
      <c r="EC700" s="48"/>
      <c r="ED700" s="48"/>
      <c r="EE700" s="48"/>
      <c r="EF700" s="48"/>
      <c r="EG700" s="48"/>
      <c r="EI700" s="48"/>
      <c r="EK700" s="48"/>
      <c r="EM700" s="48"/>
      <c r="EO700" s="48"/>
      <c r="EP700" s="48"/>
      <c r="EU700" s="48"/>
      <c r="EV700" s="48"/>
      <c r="EW700" s="48"/>
      <c r="EX700" s="48"/>
      <c r="EY700" s="48"/>
      <c r="EZ700" s="48"/>
      <c r="FA700" s="48"/>
      <c r="FB700" s="48"/>
      <c r="FC700" s="48"/>
      <c r="FD700" s="48"/>
      <c r="FE700" s="48"/>
      <c r="FF700" s="48"/>
      <c r="FG700" s="48"/>
      <c r="FI700" s="48"/>
      <c r="FL700" s="48"/>
      <c r="FM700" s="48"/>
      <c r="FN700" s="48"/>
      <c r="FO700" s="48"/>
      <c r="FP700" s="48"/>
      <c r="FQ700" s="48"/>
      <c r="FR700" s="48"/>
      <c r="FS700" s="48"/>
      <c r="FT700" s="48"/>
      <c r="FU700" s="48"/>
    </row>
    <row r="701" spans="1:177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52"/>
      <c r="BF701" s="48"/>
      <c r="BG701" s="48"/>
      <c r="BI701" s="48"/>
      <c r="BN701" s="48"/>
      <c r="BO701" s="48"/>
      <c r="BR701" s="48"/>
      <c r="BS701" s="48"/>
      <c r="BW701" s="48"/>
      <c r="CA701" s="48"/>
      <c r="CE701" s="48"/>
      <c r="CF701" s="48"/>
      <c r="CG701" s="48"/>
      <c r="CH701" s="48"/>
      <c r="CI701" s="48"/>
      <c r="CJ701" s="48"/>
      <c r="CL701" s="48"/>
      <c r="CM701" s="48"/>
      <c r="CN701" s="48"/>
      <c r="CO701" s="48"/>
      <c r="CP701" s="48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  <c r="DD701" s="48"/>
      <c r="DE701" s="48"/>
      <c r="DF701" s="48"/>
      <c r="DG701" s="48"/>
      <c r="DH701" s="48"/>
      <c r="DI701" s="48"/>
      <c r="DJ701" s="48"/>
      <c r="DK701" s="48"/>
      <c r="DL701" s="48"/>
      <c r="DM701" s="48"/>
      <c r="DN701" s="48"/>
      <c r="DO701" s="48"/>
      <c r="DP701" s="48"/>
      <c r="DQ701" s="48"/>
      <c r="DR701" s="48"/>
      <c r="DS701" s="48"/>
      <c r="DT701" s="48"/>
      <c r="DU701" s="48"/>
      <c r="DV701" s="48"/>
      <c r="DW701" s="48"/>
      <c r="DX701" s="48"/>
      <c r="DY701" s="48"/>
      <c r="DZ701" s="48"/>
      <c r="EA701" s="48"/>
      <c r="EC701" s="48"/>
      <c r="ED701" s="48"/>
      <c r="EE701" s="48"/>
      <c r="EF701" s="48"/>
      <c r="EG701" s="48"/>
      <c r="EI701" s="48"/>
      <c r="EK701" s="48"/>
      <c r="EM701" s="48"/>
      <c r="EO701" s="48"/>
      <c r="EP701" s="48"/>
      <c r="EU701" s="48"/>
      <c r="EV701" s="48"/>
      <c r="EW701" s="48"/>
      <c r="EX701" s="48"/>
      <c r="EY701" s="48"/>
      <c r="EZ701" s="48"/>
      <c r="FA701" s="48"/>
      <c r="FB701" s="48"/>
      <c r="FC701" s="48"/>
      <c r="FD701" s="48"/>
      <c r="FE701" s="48"/>
      <c r="FF701" s="48"/>
      <c r="FG701" s="48"/>
      <c r="FI701" s="48"/>
      <c r="FL701" s="48"/>
      <c r="FM701" s="48"/>
      <c r="FN701" s="48"/>
      <c r="FO701" s="48"/>
      <c r="FP701" s="48"/>
      <c r="FQ701" s="48"/>
      <c r="FR701" s="48"/>
      <c r="FS701" s="48"/>
      <c r="FT701" s="48"/>
      <c r="FU701" s="48"/>
    </row>
    <row r="702" spans="1:177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52"/>
      <c r="BF702" s="48"/>
      <c r="BG702" s="48"/>
      <c r="BI702" s="48"/>
      <c r="BN702" s="48"/>
      <c r="BO702" s="48"/>
      <c r="BR702" s="48"/>
      <c r="BS702" s="48"/>
      <c r="BW702" s="48"/>
      <c r="CA702" s="48"/>
      <c r="CE702" s="48"/>
      <c r="CF702" s="48"/>
      <c r="CG702" s="48"/>
      <c r="CH702" s="48"/>
      <c r="CI702" s="48"/>
      <c r="CJ702" s="48"/>
      <c r="CL702" s="48"/>
      <c r="CM702" s="48"/>
      <c r="CN702" s="48"/>
      <c r="CO702" s="48"/>
      <c r="CP702" s="48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  <c r="DD702" s="48"/>
      <c r="DE702" s="48"/>
      <c r="DF702" s="48"/>
      <c r="DG702" s="48"/>
      <c r="DH702" s="48"/>
      <c r="DI702" s="48"/>
      <c r="DJ702" s="48"/>
      <c r="DK702" s="48"/>
      <c r="DL702" s="48"/>
      <c r="DM702" s="48"/>
      <c r="DN702" s="48"/>
      <c r="DO702" s="48"/>
      <c r="DP702" s="48"/>
      <c r="DQ702" s="48"/>
      <c r="DR702" s="48"/>
      <c r="DS702" s="48"/>
      <c r="DT702" s="48"/>
      <c r="DU702" s="48"/>
      <c r="DV702" s="48"/>
      <c r="DW702" s="48"/>
      <c r="DX702" s="48"/>
      <c r="DY702" s="48"/>
      <c r="DZ702" s="48"/>
      <c r="EA702" s="48"/>
      <c r="EC702" s="48"/>
      <c r="ED702" s="48"/>
      <c r="EE702" s="48"/>
      <c r="EF702" s="48"/>
      <c r="EG702" s="48"/>
      <c r="EI702" s="48"/>
      <c r="EK702" s="48"/>
      <c r="EM702" s="48"/>
      <c r="EO702" s="48"/>
      <c r="EP702" s="48"/>
      <c r="EU702" s="48"/>
      <c r="EV702" s="48"/>
      <c r="EW702" s="48"/>
      <c r="EX702" s="48"/>
      <c r="EY702" s="48"/>
      <c r="EZ702" s="48"/>
      <c r="FA702" s="48"/>
      <c r="FB702" s="48"/>
      <c r="FC702" s="48"/>
      <c r="FD702" s="48"/>
      <c r="FE702" s="48"/>
      <c r="FF702" s="48"/>
      <c r="FG702" s="48"/>
      <c r="FI702" s="48"/>
      <c r="FL702" s="48"/>
      <c r="FM702" s="48"/>
      <c r="FN702" s="48"/>
      <c r="FO702" s="48"/>
      <c r="FP702" s="48"/>
      <c r="FQ702" s="48"/>
      <c r="FR702" s="48"/>
      <c r="FS702" s="48"/>
      <c r="FT702" s="48"/>
      <c r="FU702" s="48"/>
    </row>
    <row r="703" spans="1:177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52"/>
      <c r="BF703" s="48"/>
      <c r="BG703" s="48"/>
      <c r="BI703" s="48"/>
      <c r="BN703" s="48"/>
      <c r="BO703" s="48"/>
      <c r="BR703" s="48"/>
      <c r="BS703" s="48"/>
      <c r="BW703" s="48"/>
      <c r="CA703" s="48"/>
      <c r="CE703" s="48"/>
      <c r="CF703" s="48"/>
      <c r="CG703" s="48"/>
      <c r="CH703" s="48"/>
      <c r="CI703" s="48"/>
      <c r="CJ703" s="48"/>
      <c r="CL703" s="48"/>
      <c r="CM703" s="48"/>
      <c r="CN703" s="48"/>
      <c r="CO703" s="48"/>
      <c r="CP703" s="48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  <c r="DE703" s="48"/>
      <c r="DF703" s="48"/>
      <c r="DG703" s="48"/>
      <c r="DH703" s="48"/>
      <c r="DI703" s="48"/>
      <c r="DJ703" s="48"/>
      <c r="DK703" s="48"/>
      <c r="DL703" s="48"/>
      <c r="DM703" s="48"/>
      <c r="DN703" s="48"/>
      <c r="DO703" s="48"/>
      <c r="DP703" s="48"/>
      <c r="DQ703" s="48"/>
      <c r="DR703" s="48"/>
      <c r="DS703" s="48"/>
      <c r="DT703" s="48"/>
      <c r="DU703" s="48"/>
      <c r="DV703" s="48"/>
      <c r="DW703" s="48"/>
      <c r="DX703" s="48"/>
      <c r="DY703" s="48"/>
      <c r="DZ703" s="48"/>
      <c r="EA703" s="48"/>
      <c r="EC703" s="48"/>
      <c r="ED703" s="48"/>
      <c r="EE703" s="48"/>
      <c r="EF703" s="48"/>
      <c r="EG703" s="48"/>
      <c r="EI703" s="48"/>
      <c r="EK703" s="48"/>
      <c r="EM703" s="48"/>
      <c r="EO703" s="48"/>
      <c r="EP703" s="48"/>
      <c r="EU703" s="48"/>
      <c r="EV703" s="48"/>
      <c r="EW703" s="48"/>
      <c r="EX703" s="48"/>
      <c r="EY703" s="48"/>
      <c r="EZ703" s="48"/>
      <c r="FA703" s="48"/>
      <c r="FB703" s="48"/>
      <c r="FC703" s="48"/>
      <c r="FD703" s="48"/>
      <c r="FE703" s="48"/>
      <c r="FF703" s="48"/>
      <c r="FG703" s="48"/>
      <c r="FI703" s="48"/>
      <c r="FL703" s="48"/>
      <c r="FM703" s="48"/>
      <c r="FN703" s="48"/>
      <c r="FO703" s="48"/>
      <c r="FP703" s="48"/>
      <c r="FQ703" s="48"/>
      <c r="FR703" s="48"/>
      <c r="FS703" s="48"/>
      <c r="FT703" s="48"/>
      <c r="FU703" s="48"/>
    </row>
    <row r="704" spans="1:177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52"/>
      <c r="BF704" s="48"/>
      <c r="BG704" s="48"/>
      <c r="BI704" s="48"/>
      <c r="BN704" s="48"/>
      <c r="BO704" s="48"/>
      <c r="BR704" s="48"/>
      <c r="BS704" s="48"/>
      <c r="BW704" s="48"/>
      <c r="CA704" s="48"/>
      <c r="CE704" s="48"/>
      <c r="CF704" s="48"/>
      <c r="CG704" s="48"/>
      <c r="CH704" s="48"/>
      <c r="CI704" s="48"/>
      <c r="CJ704" s="48"/>
      <c r="CL704" s="48"/>
      <c r="CM704" s="48"/>
      <c r="CN704" s="48"/>
      <c r="CO704" s="48"/>
      <c r="CP704" s="48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  <c r="DD704" s="48"/>
      <c r="DE704" s="48"/>
      <c r="DF704" s="48"/>
      <c r="DG704" s="48"/>
      <c r="DH704" s="48"/>
      <c r="DI704" s="48"/>
      <c r="DJ704" s="48"/>
      <c r="DK704" s="48"/>
      <c r="DL704" s="48"/>
      <c r="DM704" s="48"/>
      <c r="DN704" s="48"/>
      <c r="DO704" s="48"/>
      <c r="DP704" s="48"/>
      <c r="DQ704" s="48"/>
      <c r="DR704" s="48"/>
      <c r="DS704" s="48"/>
      <c r="DT704" s="48"/>
      <c r="DU704" s="48"/>
      <c r="DV704" s="48"/>
      <c r="DW704" s="48"/>
      <c r="DX704" s="48"/>
      <c r="DY704" s="48"/>
      <c r="DZ704" s="48"/>
      <c r="EA704" s="48"/>
      <c r="EC704" s="48"/>
      <c r="ED704" s="48"/>
      <c r="EE704" s="48"/>
      <c r="EF704" s="48"/>
      <c r="EG704" s="48"/>
      <c r="EI704" s="48"/>
      <c r="EK704" s="48"/>
      <c r="EM704" s="48"/>
      <c r="EO704" s="48"/>
      <c r="EP704" s="48"/>
      <c r="EU704" s="48"/>
      <c r="EV704" s="48"/>
      <c r="EW704" s="48"/>
      <c r="EX704" s="48"/>
      <c r="EY704" s="48"/>
      <c r="EZ704" s="48"/>
      <c r="FA704" s="48"/>
      <c r="FB704" s="48"/>
      <c r="FC704" s="48"/>
      <c r="FD704" s="48"/>
      <c r="FE704" s="48"/>
      <c r="FF704" s="48"/>
      <c r="FG704" s="48"/>
      <c r="FI704" s="48"/>
      <c r="FL704" s="48"/>
      <c r="FM704" s="48"/>
      <c r="FN704" s="48"/>
      <c r="FO704" s="48"/>
      <c r="FP704" s="48"/>
      <c r="FQ704" s="48"/>
      <c r="FR704" s="48"/>
      <c r="FS704" s="48"/>
      <c r="FT704" s="48"/>
      <c r="FU704" s="48"/>
    </row>
    <row r="705" spans="1:177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52"/>
      <c r="BF705" s="48"/>
      <c r="BG705" s="48"/>
      <c r="BI705" s="48"/>
      <c r="BN705" s="48"/>
      <c r="BO705" s="48"/>
      <c r="BR705" s="48"/>
      <c r="BS705" s="48"/>
      <c r="BW705" s="48"/>
      <c r="CA705" s="48"/>
      <c r="CE705" s="48"/>
      <c r="CF705" s="48"/>
      <c r="CG705" s="48"/>
      <c r="CH705" s="48"/>
      <c r="CI705" s="48"/>
      <c r="CJ705" s="48"/>
      <c r="CL705" s="48"/>
      <c r="CM705" s="48"/>
      <c r="CN705" s="48"/>
      <c r="CO705" s="48"/>
      <c r="CP705" s="48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  <c r="DE705" s="48"/>
      <c r="DF705" s="48"/>
      <c r="DG705" s="48"/>
      <c r="DH705" s="48"/>
      <c r="DI705" s="48"/>
      <c r="DJ705" s="48"/>
      <c r="DK705" s="48"/>
      <c r="DL705" s="48"/>
      <c r="DM705" s="48"/>
      <c r="DN705" s="48"/>
      <c r="DO705" s="48"/>
      <c r="DP705" s="48"/>
      <c r="DQ705" s="48"/>
      <c r="DR705" s="48"/>
      <c r="DS705" s="48"/>
      <c r="DT705" s="48"/>
      <c r="DU705" s="48"/>
      <c r="DV705" s="48"/>
      <c r="DW705" s="48"/>
      <c r="DX705" s="48"/>
      <c r="DY705" s="48"/>
      <c r="DZ705" s="48"/>
      <c r="EA705" s="48"/>
      <c r="EC705" s="48"/>
      <c r="ED705" s="48"/>
      <c r="EE705" s="48"/>
      <c r="EF705" s="48"/>
      <c r="EG705" s="48"/>
      <c r="EI705" s="48"/>
      <c r="EK705" s="48"/>
      <c r="EM705" s="48"/>
      <c r="EO705" s="48"/>
      <c r="EP705" s="48"/>
      <c r="EU705" s="48"/>
      <c r="EV705" s="48"/>
      <c r="EW705" s="48"/>
      <c r="EX705" s="48"/>
      <c r="EY705" s="48"/>
      <c r="EZ705" s="48"/>
      <c r="FA705" s="48"/>
      <c r="FB705" s="48"/>
      <c r="FC705" s="48"/>
      <c r="FD705" s="48"/>
      <c r="FE705" s="48"/>
      <c r="FF705" s="48"/>
      <c r="FG705" s="48"/>
      <c r="FI705" s="48"/>
      <c r="FL705" s="48"/>
      <c r="FM705" s="48"/>
      <c r="FN705" s="48"/>
      <c r="FO705" s="48"/>
      <c r="FP705" s="48"/>
      <c r="FQ705" s="48"/>
      <c r="FR705" s="48"/>
      <c r="FS705" s="48"/>
      <c r="FT705" s="48"/>
      <c r="FU705" s="48"/>
    </row>
    <row r="706" spans="1:177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52"/>
      <c r="BF706" s="48"/>
      <c r="BG706" s="48"/>
      <c r="BI706" s="48"/>
      <c r="BN706" s="48"/>
      <c r="BO706" s="48"/>
      <c r="BR706" s="48"/>
      <c r="BS706" s="48"/>
      <c r="BW706" s="48"/>
      <c r="CA706" s="48"/>
      <c r="CE706" s="48"/>
      <c r="CF706" s="48"/>
      <c r="CG706" s="48"/>
      <c r="CH706" s="48"/>
      <c r="CI706" s="48"/>
      <c r="CJ706" s="48"/>
      <c r="CL706" s="48"/>
      <c r="CM706" s="48"/>
      <c r="CN706" s="48"/>
      <c r="CO706" s="48"/>
      <c r="CP706" s="48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8"/>
      <c r="DN706" s="48"/>
      <c r="DO706" s="48"/>
      <c r="DP706" s="48"/>
      <c r="DQ706" s="48"/>
      <c r="DR706" s="48"/>
      <c r="DS706" s="48"/>
      <c r="DT706" s="48"/>
      <c r="DU706" s="48"/>
      <c r="DV706" s="48"/>
      <c r="DW706" s="48"/>
      <c r="DX706" s="48"/>
      <c r="DY706" s="48"/>
      <c r="DZ706" s="48"/>
      <c r="EA706" s="48"/>
      <c r="EC706" s="48"/>
      <c r="ED706" s="48"/>
      <c r="EE706" s="48"/>
      <c r="EF706" s="48"/>
      <c r="EG706" s="48"/>
      <c r="EI706" s="48"/>
      <c r="EK706" s="48"/>
      <c r="EM706" s="48"/>
      <c r="EO706" s="48"/>
      <c r="EP706" s="48"/>
      <c r="EU706" s="48"/>
      <c r="EV706" s="48"/>
      <c r="EW706" s="48"/>
      <c r="EX706" s="48"/>
      <c r="EY706" s="48"/>
      <c r="EZ706" s="48"/>
      <c r="FA706" s="48"/>
      <c r="FB706" s="48"/>
      <c r="FC706" s="48"/>
      <c r="FD706" s="48"/>
      <c r="FE706" s="48"/>
      <c r="FF706" s="48"/>
      <c r="FG706" s="48"/>
      <c r="FI706" s="48"/>
      <c r="FL706" s="48"/>
      <c r="FM706" s="48"/>
      <c r="FN706" s="48"/>
      <c r="FO706" s="48"/>
      <c r="FP706" s="48"/>
      <c r="FQ706" s="48"/>
      <c r="FR706" s="48"/>
      <c r="FS706" s="48"/>
      <c r="FT706" s="48"/>
      <c r="FU706" s="48"/>
    </row>
    <row r="707" spans="1:17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52"/>
      <c r="BF707" s="48"/>
      <c r="BG707" s="48"/>
      <c r="BI707" s="48"/>
      <c r="BN707" s="48"/>
      <c r="BO707" s="48"/>
      <c r="BR707" s="48"/>
      <c r="BS707" s="48"/>
      <c r="BW707" s="48"/>
      <c r="CA707" s="48"/>
      <c r="CE707" s="48"/>
      <c r="CF707" s="48"/>
      <c r="CG707" s="48"/>
      <c r="CH707" s="48"/>
      <c r="CI707" s="48"/>
      <c r="CJ707" s="48"/>
      <c r="CL707" s="48"/>
      <c r="CM707" s="48"/>
      <c r="CN707" s="48"/>
      <c r="CO707" s="48"/>
      <c r="CP707" s="48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  <c r="DD707" s="48"/>
      <c r="DE707" s="48"/>
      <c r="DF707" s="48"/>
      <c r="DG707" s="48"/>
      <c r="DH707" s="48"/>
      <c r="DI707" s="48"/>
      <c r="DJ707" s="48"/>
      <c r="DK707" s="48"/>
      <c r="DL707" s="48"/>
      <c r="DM707" s="48"/>
      <c r="DN707" s="48"/>
      <c r="DO707" s="48"/>
      <c r="DP707" s="48"/>
      <c r="DQ707" s="48"/>
      <c r="DR707" s="48"/>
      <c r="DS707" s="48"/>
      <c r="DT707" s="48"/>
      <c r="DU707" s="48"/>
      <c r="DV707" s="48"/>
      <c r="DW707" s="48"/>
      <c r="DX707" s="48"/>
      <c r="DY707" s="48"/>
      <c r="DZ707" s="48"/>
      <c r="EA707" s="48"/>
      <c r="EC707" s="48"/>
      <c r="ED707" s="48"/>
      <c r="EE707" s="48"/>
      <c r="EF707" s="48"/>
      <c r="EG707" s="48"/>
      <c r="EI707" s="48"/>
      <c r="EK707" s="48"/>
      <c r="EM707" s="48"/>
      <c r="EO707" s="48"/>
      <c r="EP707" s="48"/>
      <c r="EU707" s="48"/>
      <c r="EV707" s="48"/>
      <c r="EW707" s="48"/>
      <c r="EX707" s="48"/>
      <c r="EY707" s="48"/>
      <c r="EZ707" s="48"/>
      <c r="FA707" s="48"/>
      <c r="FB707" s="48"/>
      <c r="FC707" s="48"/>
      <c r="FD707" s="48"/>
      <c r="FE707" s="48"/>
      <c r="FF707" s="48"/>
      <c r="FG707" s="48"/>
      <c r="FI707" s="48"/>
      <c r="FL707" s="48"/>
      <c r="FM707" s="48"/>
      <c r="FN707" s="48"/>
      <c r="FO707" s="48"/>
      <c r="FP707" s="48"/>
      <c r="FQ707" s="48"/>
      <c r="FR707" s="48"/>
      <c r="FS707" s="48"/>
      <c r="FT707" s="48"/>
      <c r="FU707" s="48"/>
    </row>
    <row r="708" spans="1:177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52"/>
      <c r="BF708" s="48"/>
      <c r="BG708" s="48"/>
      <c r="BI708" s="48"/>
      <c r="BN708" s="48"/>
      <c r="BO708" s="48"/>
      <c r="BR708" s="48"/>
      <c r="BS708" s="48"/>
      <c r="BW708" s="48"/>
      <c r="CA708" s="48"/>
      <c r="CE708" s="48"/>
      <c r="CF708" s="48"/>
      <c r="CG708" s="48"/>
      <c r="CH708" s="48"/>
      <c r="CI708" s="48"/>
      <c r="CJ708" s="48"/>
      <c r="CL708" s="48"/>
      <c r="CM708" s="48"/>
      <c r="CN708" s="48"/>
      <c r="CO708" s="48"/>
      <c r="CP708" s="48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  <c r="DE708" s="48"/>
      <c r="DF708" s="48"/>
      <c r="DG708" s="48"/>
      <c r="DH708" s="48"/>
      <c r="DI708" s="48"/>
      <c r="DJ708" s="48"/>
      <c r="DK708" s="48"/>
      <c r="DL708" s="48"/>
      <c r="DM708" s="48"/>
      <c r="DN708" s="48"/>
      <c r="DO708" s="48"/>
      <c r="DP708" s="48"/>
      <c r="DQ708" s="48"/>
      <c r="DR708" s="48"/>
      <c r="DS708" s="48"/>
      <c r="DT708" s="48"/>
      <c r="DU708" s="48"/>
      <c r="DV708" s="48"/>
      <c r="DW708" s="48"/>
      <c r="DX708" s="48"/>
      <c r="DY708" s="48"/>
      <c r="DZ708" s="48"/>
      <c r="EA708" s="48"/>
      <c r="EC708" s="48"/>
      <c r="ED708" s="48"/>
      <c r="EE708" s="48"/>
      <c r="EF708" s="48"/>
      <c r="EG708" s="48"/>
      <c r="EI708" s="48"/>
      <c r="EK708" s="48"/>
      <c r="EM708" s="48"/>
      <c r="EO708" s="48"/>
      <c r="EP708" s="48"/>
      <c r="EU708" s="48"/>
      <c r="EV708" s="48"/>
      <c r="EW708" s="48"/>
      <c r="EX708" s="48"/>
      <c r="EY708" s="48"/>
      <c r="EZ708" s="48"/>
      <c r="FA708" s="48"/>
      <c r="FB708" s="48"/>
      <c r="FC708" s="48"/>
      <c r="FD708" s="48"/>
      <c r="FE708" s="48"/>
      <c r="FF708" s="48"/>
      <c r="FG708" s="48"/>
      <c r="FI708" s="48"/>
      <c r="FL708" s="48"/>
      <c r="FM708" s="48"/>
      <c r="FN708" s="48"/>
      <c r="FO708" s="48"/>
      <c r="FP708" s="48"/>
      <c r="FQ708" s="48"/>
      <c r="FR708" s="48"/>
      <c r="FS708" s="48"/>
      <c r="FT708" s="48"/>
      <c r="FU708" s="48"/>
    </row>
    <row r="709" spans="1:177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52"/>
      <c r="BF709" s="48"/>
      <c r="BG709" s="48"/>
      <c r="BI709" s="48"/>
      <c r="BN709" s="48"/>
      <c r="BO709" s="48"/>
      <c r="BR709" s="48"/>
      <c r="BS709" s="48"/>
      <c r="BW709" s="48"/>
      <c r="CA709" s="48"/>
      <c r="CE709" s="48"/>
      <c r="CF709" s="48"/>
      <c r="CG709" s="48"/>
      <c r="CH709" s="48"/>
      <c r="CI709" s="48"/>
      <c r="CJ709" s="48"/>
      <c r="CL709" s="48"/>
      <c r="CM709" s="48"/>
      <c r="CN709" s="48"/>
      <c r="CO709" s="48"/>
      <c r="CP709" s="48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8"/>
      <c r="DN709" s="48"/>
      <c r="DO709" s="48"/>
      <c r="DP709" s="48"/>
      <c r="DQ709" s="48"/>
      <c r="DR709" s="48"/>
      <c r="DS709" s="48"/>
      <c r="DT709" s="48"/>
      <c r="DU709" s="48"/>
      <c r="DV709" s="48"/>
      <c r="DW709" s="48"/>
      <c r="DX709" s="48"/>
      <c r="DY709" s="48"/>
      <c r="DZ709" s="48"/>
      <c r="EA709" s="48"/>
      <c r="EC709" s="48"/>
      <c r="ED709" s="48"/>
      <c r="EE709" s="48"/>
      <c r="EF709" s="48"/>
      <c r="EG709" s="48"/>
      <c r="EI709" s="48"/>
      <c r="EK709" s="48"/>
      <c r="EM709" s="48"/>
      <c r="EO709" s="48"/>
      <c r="EP709" s="48"/>
      <c r="EU709" s="48"/>
      <c r="EV709" s="48"/>
      <c r="EW709" s="48"/>
      <c r="EX709" s="48"/>
      <c r="EY709" s="48"/>
      <c r="EZ709" s="48"/>
      <c r="FA709" s="48"/>
      <c r="FB709" s="48"/>
      <c r="FC709" s="48"/>
      <c r="FD709" s="48"/>
      <c r="FE709" s="48"/>
      <c r="FF709" s="48"/>
      <c r="FG709" s="48"/>
      <c r="FI709" s="48"/>
      <c r="FL709" s="48"/>
      <c r="FM709" s="48"/>
      <c r="FN709" s="48"/>
      <c r="FO709" s="48"/>
      <c r="FP709" s="48"/>
      <c r="FQ709" s="48"/>
      <c r="FR709" s="48"/>
      <c r="FS709" s="48"/>
      <c r="FT709" s="48"/>
      <c r="FU709" s="48"/>
    </row>
    <row r="710" spans="1:177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52"/>
      <c r="BF710" s="48"/>
      <c r="BG710" s="48"/>
      <c r="BI710" s="48"/>
      <c r="BN710" s="48"/>
      <c r="BO710" s="48"/>
      <c r="BR710" s="48"/>
      <c r="BS710" s="48"/>
      <c r="BW710" s="48"/>
      <c r="CA710" s="48"/>
      <c r="CE710" s="48"/>
      <c r="CF710" s="48"/>
      <c r="CG710" s="48"/>
      <c r="CH710" s="48"/>
      <c r="CI710" s="48"/>
      <c r="CJ710" s="48"/>
      <c r="CL710" s="48"/>
      <c r="CM710" s="48"/>
      <c r="CN710" s="48"/>
      <c r="CO710" s="48"/>
      <c r="CP710" s="48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  <c r="DD710" s="48"/>
      <c r="DE710" s="48"/>
      <c r="DF710" s="48"/>
      <c r="DG710" s="48"/>
      <c r="DH710" s="48"/>
      <c r="DI710" s="48"/>
      <c r="DJ710" s="48"/>
      <c r="DK710" s="48"/>
      <c r="DL710" s="48"/>
      <c r="DM710" s="48"/>
      <c r="DN710" s="48"/>
      <c r="DO710" s="48"/>
      <c r="DP710" s="48"/>
      <c r="DQ710" s="48"/>
      <c r="DR710" s="48"/>
      <c r="DS710" s="48"/>
      <c r="DT710" s="48"/>
      <c r="DU710" s="48"/>
      <c r="DV710" s="48"/>
      <c r="DW710" s="48"/>
      <c r="DX710" s="48"/>
      <c r="DY710" s="48"/>
      <c r="DZ710" s="48"/>
      <c r="EA710" s="48"/>
      <c r="EC710" s="48"/>
      <c r="ED710" s="48"/>
      <c r="EE710" s="48"/>
      <c r="EF710" s="48"/>
      <c r="EG710" s="48"/>
      <c r="EI710" s="48"/>
      <c r="EK710" s="48"/>
      <c r="EM710" s="48"/>
      <c r="EO710" s="48"/>
      <c r="EP710" s="48"/>
      <c r="EU710" s="48"/>
      <c r="EV710" s="48"/>
      <c r="EW710" s="48"/>
      <c r="EX710" s="48"/>
      <c r="EY710" s="48"/>
      <c r="EZ710" s="48"/>
      <c r="FA710" s="48"/>
      <c r="FB710" s="48"/>
      <c r="FC710" s="48"/>
      <c r="FD710" s="48"/>
      <c r="FE710" s="48"/>
      <c r="FF710" s="48"/>
      <c r="FG710" s="48"/>
      <c r="FI710" s="48"/>
      <c r="FL710" s="48"/>
      <c r="FM710" s="48"/>
      <c r="FN710" s="48"/>
      <c r="FO710" s="48"/>
      <c r="FP710" s="48"/>
      <c r="FQ710" s="48"/>
      <c r="FR710" s="48"/>
      <c r="FS710" s="48"/>
      <c r="FT710" s="48"/>
      <c r="FU710" s="48"/>
    </row>
    <row r="711" spans="1:177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52"/>
      <c r="BF711" s="48"/>
      <c r="BG711" s="48"/>
      <c r="BI711" s="48"/>
      <c r="BN711" s="48"/>
      <c r="BO711" s="48"/>
      <c r="BR711" s="48"/>
      <c r="BS711" s="48"/>
      <c r="BW711" s="48"/>
      <c r="CA711" s="48"/>
      <c r="CE711" s="48"/>
      <c r="CF711" s="48"/>
      <c r="CG711" s="48"/>
      <c r="CH711" s="48"/>
      <c r="CI711" s="48"/>
      <c r="CJ711" s="48"/>
      <c r="CL711" s="48"/>
      <c r="CM711" s="48"/>
      <c r="CN711" s="48"/>
      <c r="CO711" s="48"/>
      <c r="CP711" s="48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  <c r="DD711" s="48"/>
      <c r="DE711" s="48"/>
      <c r="DF711" s="48"/>
      <c r="DG711" s="48"/>
      <c r="DH711" s="48"/>
      <c r="DI711" s="48"/>
      <c r="DJ711" s="48"/>
      <c r="DK711" s="48"/>
      <c r="DL711" s="48"/>
      <c r="DM711" s="48"/>
      <c r="DN711" s="48"/>
      <c r="DO711" s="48"/>
      <c r="DP711" s="48"/>
      <c r="DQ711" s="48"/>
      <c r="DR711" s="48"/>
      <c r="DS711" s="48"/>
      <c r="DT711" s="48"/>
      <c r="DU711" s="48"/>
      <c r="DV711" s="48"/>
      <c r="DW711" s="48"/>
      <c r="DX711" s="48"/>
      <c r="DY711" s="48"/>
      <c r="DZ711" s="48"/>
      <c r="EA711" s="48"/>
      <c r="EC711" s="48"/>
      <c r="ED711" s="48"/>
      <c r="EE711" s="48"/>
      <c r="EF711" s="48"/>
      <c r="EG711" s="48"/>
      <c r="EI711" s="48"/>
      <c r="EK711" s="48"/>
      <c r="EM711" s="48"/>
      <c r="EO711" s="48"/>
      <c r="EP711" s="48"/>
      <c r="EU711" s="48"/>
      <c r="EV711" s="48"/>
      <c r="EW711" s="48"/>
      <c r="EX711" s="48"/>
      <c r="EY711" s="48"/>
      <c r="EZ711" s="48"/>
      <c r="FA711" s="48"/>
      <c r="FB711" s="48"/>
      <c r="FC711" s="48"/>
      <c r="FD711" s="48"/>
      <c r="FE711" s="48"/>
      <c r="FF711" s="48"/>
      <c r="FG711" s="48"/>
      <c r="FI711" s="48"/>
      <c r="FL711" s="48"/>
      <c r="FM711" s="48"/>
      <c r="FN711" s="48"/>
      <c r="FO711" s="48"/>
      <c r="FP711" s="48"/>
      <c r="FQ711" s="48"/>
      <c r="FR711" s="48"/>
      <c r="FS711" s="48"/>
      <c r="FT711" s="48"/>
      <c r="FU711" s="48"/>
    </row>
    <row r="712" spans="1:177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52"/>
      <c r="BF712" s="48"/>
      <c r="BG712" s="48"/>
      <c r="BI712" s="48"/>
      <c r="BN712" s="48"/>
      <c r="BO712" s="48"/>
      <c r="BR712" s="48"/>
      <c r="BS712" s="48"/>
      <c r="BW712" s="48"/>
      <c r="CA712" s="48"/>
      <c r="CE712" s="48"/>
      <c r="CF712" s="48"/>
      <c r="CG712" s="48"/>
      <c r="CH712" s="48"/>
      <c r="CI712" s="48"/>
      <c r="CJ712" s="48"/>
      <c r="CL712" s="48"/>
      <c r="CM712" s="48"/>
      <c r="CN712" s="48"/>
      <c r="CO712" s="48"/>
      <c r="CP712" s="48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8"/>
      <c r="DN712" s="48"/>
      <c r="DO712" s="48"/>
      <c r="DP712" s="48"/>
      <c r="DQ712" s="48"/>
      <c r="DR712" s="48"/>
      <c r="DS712" s="48"/>
      <c r="DT712" s="48"/>
      <c r="DU712" s="48"/>
      <c r="DV712" s="48"/>
      <c r="DW712" s="48"/>
      <c r="DX712" s="48"/>
      <c r="DY712" s="48"/>
      <c r="DZ712" s="48"/>
      <c r="EA712" s="48"/>
      <c r="EC712" s="48"/>
      <c r="ED712" s="48"/>
      <c r="EE712" s="48"/>
      <c r="EF712" s="48"/>
      <c r="EG712" s="48"/>
      <c r="EI712" s="48"/>
      <c r="EK712" s="48"/>
      <c r="EM712" s="48"/>
      <c r="EO712" s="48"/>
      <c r="EP712" s="48"/>
      <c r="EU712" s="48"/>
      <c r="EV712" s="48"/>
      <c r="EW712" s="48"/>
      <c r="EX712" s="48"/>
      <c r="EY712" s="48"/>
      <c r="EZ712" s="48"/>
      <c r="FA712" s="48"/>
      <c r="FB712" s="48"/>
      <c r="FC712" s="48"/>
      <c r="FD712" s="48"/>
      <c r="FE712" s="48"/>
      <c r="FF712" s="48"/>
      <c r="FG712" s="48"/>
      <c r="FI712" s="48"/>
      <c r="FL712" s="48"/>
      <c r="FM712" s="48"/>
      <c r="FN712" s="48"/>
      <c r="FO712" s="48"/>
      <c r="FP712" s="48"/>
      <c r="FQ712" s="48"/>
      <c r="FR712" s="48"/>
      <c r="FS712" s="48"/>
      <c r="FT712" s="48"/>
      <c r="FU712" s="48"/>
    </row>
    <row r="713" spans="1:177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52"/>
      <c r="BF713" s="48"/>
      <c r="BG713" s="48"/>
      <c r="BI713" s="48"/>
      <c r="BN713" s="48"/>
      <c r="BO713" s="48"/>
      <c r="BR713" s="48"/>
      <c r="BS713" s="48"/>
      <c r="BW713" s="48"/>
      <c r="CA713" s="48"/>
      <c r="CE713" s="48"/>
      <c r="CF713" s="48"/>
      <c r="CG713" s="48"/>
      <c r="CH713" s="48"/>
      <c r="CI713" s="48"/>
      <c r="CJ713" s="48"/>
      <c r="CL713" s="48"/>
      <c r="CM713" s="48"/>
      <c r="CN713" s="48"/>
      <c r="CO713" s="48"/>
      <c r="CP713" s="48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  <c r="DE713" s="48"/>
      <c r="DF713" s="48"/>
      <c r="DG713" s="48"/>
      <c r="DH713" s="48"/>
      <c r="DI713" s="48"/>
      <c r="DJ713" s="48"/>
      <c r="DK713" s="48"/>
      <c r="DL713" s="48"/>
      <c r="DM713" s="48"/>
      <c r="DN713" s="48"/>
      <c r="DO713" s="48"/>
      <c r="DP713" s="48"/>
      <c r="DQ713" s="48"/>
      <c r="DR713" s="48"/>
      <c r="DS713" s="48"/>
      <c r="DT713" s="48"/>
      <c r="DU713" s="48"/>
      <c r="DV713" s="48"/>
      <c r="DW713" s="48"/>
      <c r="DX713" s="48"/>
      <c r="DY713" s="48"/>
      <c r="DZ713" s="48"/>
      <c r="EA713" s="48"/>
      <c r="EC713" s="48"/>
      <c r="ED713" s="48"/>
      <c r="EE713" s="48"/>
      <c r="EF713" s="48"/>
      <c r="EG713" s="48"/>
      <c r="EI713" s="48"/>
      <c r="EK713" s="48"/>
      <c r="EM713" s="48"/>
      <c r="EO713" s="48"/>
      <c r="EP713" s="48"/>
      <c r="EU713" s="48"/>
      <c r="EV713" s="48"/>
      <c r="EW713" s="48"/>
      <c r="EX713" s="48"/>
      <c r="EY713" s="48"/>
      <c r="EZ713" s="48"/>
      <c r="FA713" s="48"/>
      <c r="FB713" s="48"/>
      <c r="FC713" s="48"/>
      <c r="FD713" s="48"/>
      <c r="FE713" s="48"/>
      <c r="FF713" s="48"/>
      <c r="FG713" s="48"/>
      <c r="FI713" s="48"/>
      <c r="FL713" s="48"/>
      <c r="FM713" s="48"/>
      <c r="FN713" s="48"/>
      <c r="FO713" s="48"/>
      <c r="FP713" s="48"/>
      <c r="FQ713" s="48"/>
      <c r="FR713" s="48"/>
      <c r="FS713" s="48"/>
      <c r="FT713" s="48"/>
      <c r="FU713" s="48"/>
    </row>
    <row r="714" spans="1:177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52"/>
      <c r="BF714" s="48"/>
      <c r="BG714" s="48"/>
      <c r="BI714" s="48"/>
      <c r="BN714" s="48"/>
      <c r="BO714" s="48"/>
      <c r="BR714" s="48"/>
      <c r="BS714" s="48"/>
      <c r="BW714" s="48"/>
      <c r="CA714" s="48"/>
      <c r="CE714" s="48"/>
      <c r="CF714" s="48"/>
      <c r="CG714" s="48"/>
      <c r="CH714" s="48"/>
      <c r="CI714" s="48"/>
      <c r="CJ714" s="48"/>
      <c r="CL714" s="48"/>
      <c r="CM714" s="48"/>
      <c r="CN714" s="48"/>
      <c r="CO714" s="48"/>
      <c r="CP714" s="48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  <c r="DD714" s="48"/>
      <c r="DE714" s="48"/>
      <c r="DF714" s="48"/>
      <c r="DG714" s="48"/>
      <c r="DH714" s="48"/>
      <c r="DI714" s="48"/>
      <c r="DJ714" s="48"/>
      <c r="DK714" s="48"/>
      <c r="DL714" s="48"/>
      <c r="DM714" s="48"/>
      <c r="DN714" s="48"/>
      <c r="DO714" s="48"/>
      <c r="DP714" s="48"/>
      <c r="DQ714" s="48"/>
      <c r="DR714" s="48"/>
      <c r="DS714" s="48"/>
      <c r="DT714" s="48"/>
      <c r="DU714" s="48"/>
      <c r="DV714" s="48"/>
      <c r="DW714" s="48"/>
      <c r="DX714" s="48"/>
      <c r="DY714" s="48"/>
      <c r="DZ714" s="48"/>
      <c r="EA714" s="48"/>
      <c r="EC714" s="48"/>
      <c r="ED714" s="48"/>
      <c r="EE714" s="48"/>
      <c r="EF714" s="48"/>
      <c r="EG714" s="48"/>
      <c r="EI714" s="48"/>
      <c r="EK714" s="48"/>
      <c r="EM714" s="48"/>
      <c r="EO714" s="48"/>
      <c r="EP714" s="48"/>
      <c r="EU714" s="48"/>
      <c r="EV714" s="48"/>
      <c r="EW714" s="48"/>
      <c r="EX714" s="48"/>
      <c r="EY714" s="48"/>
      <c r="EZ714" s="48"/>
      <c r="FA714" s="48"/>
      <c r="FB714" s="48"/>
      <c r="FC714" s="48"/>
      <c r="FD714" s="48"/>
      <c r="FE714" s="48"/>
      <c r="FF714" s="48"/>
      <c r="FG714" s="48"/>
      <c r="FI714" s="48"/>
      <c r="FL714" s="48"/>
      <c r="FM714" s="48"/>
      <c r="FN714" s="48"/>
      <c r="FO714" s="48"/>
      <c r="FP714" s="48"/>
      <c r="FQ714" s="48"/>
      <c r="FR714" s="48"/>
      <c r="FS714" s="48"/>
      <c r="FT714" s="48"/>
      <c r="FU714" s="48"/>
    </row>
    <row r="715" spans="1:177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52"/>
      <c r="BF715" s="48"/>
      <c r="BG715" s="48"/>
      <c r="BI715" s="48"/>
      <c r="BN715" s="48"/>
      <c r="BO715" s="48"/>
      <c r="BR715" s="48"/>
      <c r="BS715" s="48"/>
      <c r="BW715" s="48"/>
      <c r="CA715" s="48"/>
      <c r="CE715" s="48"/>
      <c r="CF715" s="48"/>
      <c r="CG715" s="48"/>
      <c r="CH715" s="48"/>
      <c r="CI715" s="48"/>
      <c r="CJ715" s="48"/>
      <c r="CL715" s="48"/>
      <c r="CM715" s="48"/>
      <c r="CN715" s="48"/>
      <c r="CO715" s="48"/>
      <c r="CP715" s="48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8"/>
      <c r="DN715" s="48"/>
      <c r="DO715" s="48"/>
      <c r="DP715" s="48"/>
      <c r="DQ715" s="48"/>
      <c r="DR715" s="48"/>
      <c r="DS715" s="48"/>
      <c r="DT715" s="48"/>
      <c r="DU715" s="48"/>
      <c r="DV715" s="48"/>
      <c r="DW715" s="48"/>
      <c r="DX715" s="48"/>
      <c r="DY715" s="48"/>
      <c r="DZ715" s="48"/>
      <c r="EA715" s="48"/>
      <c r="EC715" s="48"/>
      <c r="ED715" s="48"/>
      <c r="EE715" s="48"/>
      <c r="EF715" s="48"/>
      <c r="EG715" s="48"/>
      <c r="EI715" s="48"/>
      <c r="EK715" s="48"/>
      <c r="EM715" s="48"/>
      <c r="EO715" s="48"/>
      <c r="EP715" s="48"/>
      <c r="EU715" s="48"/>
      <c r="EV715" s="48"/>
      <c r="EW715" s="48"/>
      <c r="EX715" s="48"/>
      <c r="EY715" s="48"/>
      <c r="EZ715" s="48"/>
      <c r="FA715" s="48"/>
      <c r="FB715" s="48"/>
      <c r="FC715" s="48"/>
      <c r="FD715" s="48"/>
      <c r="FE715" s="48"/>
      <c r="FF715" s="48"/>
      <c r="FG715" s="48"/>
      <c r="FI715" s="48"/>
      <c r="FL715" s="48"/>
      <c r="FM715" s="48"/>
      <c r="FN715" s="48"/>
      <c r="FO715" s="48"/>
      <c r="FP715" s="48"/>
      <c r="FQ715" s="48"/>
      <c r="FR715" s="48"/>
      <c r="FS715" s="48"/>
      <c r="FT715" s="48"/>
      <c r="FU715" s="48"/>
    </row>
    <row r="716" spans="1:177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52"/>
      <c r="BF716" s="48"/>
      <c r="BG716" s="48"/>
      <c r="BI716" s="48"/>
      <c r="BN716" s="48"/>
      <c r="BO716" s="48"/>
      <c r="BR716" s="48"/>
      <c r="BS716" s="48"/>
      <c r="BW716" s="48"/>
      <c r="CA716" s="48"/>
      <c r="CE716" s="48"/>
      <c r="CF716" s="48"/>
      <c r="CG716" s="48"/>
      <c r="CH716" s="48"/>
      <c r="CI716" s="48"/>
      <c r="CJ716" s="48"/>
      <c r="CL716" s="48"/>
      <c r="CM716" s="48"/>
      <c r="CN716" s="48"/>
      <c r="CO716" s="48"/>
      <c r="CP716" s="48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  <c r="DE716" s="48"/>
      <c r="DF716" s="48"/>
      <c r="DG716" s="48"/>
      <c r="DH716" s="48"/>
      <c r="DI716" s="48"/>
      <c r="DJ716" s="48"/>
      <c r="DK716" s="48"/>
      <c r="DL716" s="48"/>
      <c r="DM716" s="48"/>
      <c r="DN716" s="48"/>
      <c r="DO716" s="48"/>
      <c r="DP716" s="48"/>
      <c r="DQ716" s="48"/>
      <c r="DR716" s="48"/>
      <c r="DS716" s="48"/>
      <c r="DT716" s="48"/>
      <c r="DU716" s="48"/>
      <c r="DV716" s="48"/>
      <c r="DW716" s="48"/>
      <c r="DX716" s="48"/>
      <c r="DY716" s="48"/>
      <c r="DZ716" s="48"/>
      <c r="EA716" s="48"/>
      <c r="EC716" s="48"/>
      <c r="ED716" s="48"/>
      <c r="EE716" s="48"/>
      <c r="EF716" s="48"/>
      <c r="EG716" s="48"/>
      <c r="EI716" s="48"/>
      <c r="EK716" s="48"/>
      <c r="EM716" s="48"/>
      <c r="EO716" s="48"/>
      <c r="EP716" s="48"/>
      <c r="EU716" s="48"/>
      <c r="EV716" s="48"/>
      <c r="EW716" s="48"/>
      <c r="EX716" s="48"/>
      <c r="EY716" s="48"/>
      <c r="EZ716" s="48"/>
      <c r="FA716" s="48"/>
      <c r="FB716" s="48"/>
      <c r="FC716" s="48"/>
      <c r="FD716" s="48"/>
      <c r="FE716" s="48"/>
      <c r="FF716" s="48"/>
      <c r="FG716" s="48"/>
      <c r="FI716" s="48"/>
      <c r="FL716" s="48"/>
      <c r="FM716" s="48"/>
      <c r="FN716" s="48"/>
      <c r="FO716" s="48"/>
      <c r="FP716" s="48"/>
      <c r="FQ716" s="48"/>
      <c r="FR716" s="48"/>
      <c r="FS716" s="48"/>
      <c r="FT716" s="48"/>
      <c r="FU716" s="48"/>
    </row>
    <row r="717" spans="1:17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52"/>
      <c r="BF717" s="48"/>
      <c r="BG717" s="48"/>
      <c r="BI717" s="48"/>
      <c r="BN717" s="48"/>
      <c r="BO717" s="48"/>
      <c r="BR717" s="48"/>
      <c r="BS717" s="48"/>
      <c r="BW717" s="48"/>
      <c r="CA717" s="48"/>
      <c r="CE717" s="48"/>
      <c r="CF717" s="48"/>
      <c r="CG717" s="48"/>
      <c r="CH717" s="48"/>
      <c r="CI717" s="48"/>
      <c r="CJ717" s="48"/>
      <c r="CL717" s="48"/>
      <c r="CM717" s="48"/>
      <c r="CN717" s="48"/>
      <c r="CO717" s="48"/>
      <c r="CP717" s="48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  <c r="DD717" s="48"/>
      <c r="DE717" s="48"/>
      <c r="DF717" s="48"/>
      <c r="DG717" s="48"/>
      <c r="DH717" s="48"/>
      <c r="DI717" s="48"/>
      <c r="DJ717" s="48"/>
      <c r="DK717" s="48"/>
      <c r="DL717" s="48"/>
      <c r="DM717" s="48"/>
      <c r="DN717" s="48"/>
      <c r="DO717" s="48"/>
      <c r="DP717" s="48"/>
      <c r="DQ717" s="48"/>
      <c r="DR717" s="48"/>
      <c r="DS717" s="48"/>
      <c r="DT717" s="48"/>
      <c r="DU717" s="48"/>
      <c r="DV717" s="48"/>
      <c r="DW717" s="48"/>
      <c r="DX717" s="48"/>
      <c r="DY717" s="48"/>
      <c r="DZ717" s="48"/>
      <c r="EA717" s="48"/>
      <c r="EC717" s="48"/>
      <c r="ED717" s="48"/>
      <c r="EE717" s="48"/>
      <c r="EF717" s="48"/>
      <c r="EG717" s="48"/>
      <c r="EI717" s="48"/>
      <c r="EK717" s="48"/>
      <c r="EM717" s="48"/>
      <c r="EO717" s="48"/>
      <c r="EP717" s="48"/>
      <c r="EU717" s="48"/>
      <c r="EV717" s="48"/>
      <c r="EW717" s="48"/>
      <c r="EX717" s="48"/>
      <c r="EY717" s="48"/>
      <c r="EZ717" s="48"/>
      <c r="FA717" s="48"/>
      <c r="FB717" s="48"/>
      <c r="FC717" s="48"/>
      <c r="FD717" s="48"/>
      <c r="FE717" s="48"/>
      <c r="FF717" s="48"/>
      <c r="FG717" s="48"/>
      <c r="FI717" s="48"/>
      <c r="FL717" s="48"/>
      <c r="FM717" s="48"/>
      <c r="FN717" s="48"/>
      <c r="FO717" s="48"/>
      <c r="FP717" s="48"/>
      <c r="FQ717" s="48"/>
      <c r="FR717" s="48"/>
      <c r="FS717" s="48"/>
      <c r="FT717" s="48"/>
      <c r="FU717" s="48"/>
    </row>
    <row r="718" spans="1:177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52"/>
      <c r="BF718" s="48"/>
      <c r="BG718" s="48"/>
      <c r="BI718" s="48"/>
      <c r="BN718" s="48"/>
      <c r="BO718" s="48"/>
      <c r="BR718" s="48"/>
      <c r="BS718" s="48"/>
      <c r="BW718" s="48"/>
      <c r="CA718" s="48"/>
      <c r="CE718" s="48"/>
      <c r="CF718" s="48"/>
      <c r="CG718" s="48"/>
      <c r="CH718" s="48"/>
      <c r="CI718" s="48"/>
      <c r="CJ718" s="48"/>
      <c r="CL718" s="48"/>
      <c r="CM718" s="48"/>
      <c r="CN718" s="48"/>
      <c r="CO718" s="48"/>
      <c r="CP718" s="48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  <c r="DE718" s="48"/>
      <c r="DF718" s="48"/>
      <c r="DG718" s="48"/>
      <c r="DH718" s="48"/>
      <c r="DI718" s="48"/>
      <c r="DJ718" s="48"/>
      <c r="DK718" s="48"/>
      <c r="DL718" s="48"/>
      <c r="DM718" s="48"/>
      <c r="DN718" s="48"/>
      <c r="DO718" s="48"/>
      <c r="DP718" s="48"/>
      <c r="DQ718" s="48"/>
      <c r="DR718" s="48"/>
      <c r="DS718" s="48"/>
      <c r="DT718" s="48"/>
      <c r="DU718" s="48"/>
      <c r="DV718" s="48"/>
      <c r="DW718" s="48"/>
      <c r="DX718" s="48"/>
      <c r="DY718" s="48"/>
      <c r="DZ718" s="48"/>
      <c r="EA718" s="48"/>
      <c r="EC718" s="48"/>
      <c r="ED718" s="48"/>
      <c r="EE718" s="48"/>
      <c r="EF718" s="48"/>
      <c r="EG718" s="48"/>
      <c r="EI718" s="48"/>
      <c r="EK718" s="48"/>
      <c r="EM718" s="48"/>
      <c r="EO718" s="48"/>
      <c r="EP718" s="48"/>
      <c r="EU718" s="48"/>
      <c r="EV718" s="48"/>
      <c r="EW718" s="48"/>
      <c r="EX718" s="48"/>
      <c r="EY718" s="48"/>
      <c r="EZ718" s="48"/>
      <c r="FA718" s="48"/>
      <c r="FB718" s="48"/>
      <c r="FC718" s="48"/>
      <c r="FD718" s="48"/>
      <c r="FE718" s="48"/>
      <c r="FF718" s="48"/>
      <c r="FG718" s="48"/>
      <c r="FI718" s="48"/>
      <c r="FL718" s="48"/>
      <c r="FM718" s="48"/>
      <c r="FN718" s="48"/>
      <c r="FO718" s="48"/>
      <c r="FP718" s="48"/>
      <c r="FQ718" s="48"/>
      <c r="FR718" s="48"/>
      <c r="FS718" s="48"/>
      <c r="FT718" s="48"/>
      <c r="FU718" s="48"/>
    </row>
    <row r="719" spans="1:177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52"/>
      <c r="BF719" s="48"/>
      <c r="BG719" s="48"/>
      <c r="BI719" s="48"/>
      <c r="BN719" s="48"/>
      <c r="BO719" s="48"/>
      <c r="BR719" s="48"/>
      <c r="BS719" s="48"/>
      <c r="BW719" s="48"/>
      <c r="CA719" s="48"/>
      <c r="CE719" s="48"/>
      <c r="CF719" s="48"/>
      <c r="CG719" s="48"/>
      <c r="CH719" s="48"/>
      <c r="CI719" s="48"/>
      <c r="CJ719" s="48"/>
      <c r="CL719" s="48"/>
      <c r="CM719" s="48"/>
      <c r="CN719" s="48"/>
      <c r="CO719" s="48"/>
      <c r="CP719" s="48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  <c r="DD719" s="48"/>
      <c r="DE719" s="48"/>
      <c r="DF719" s="48"/>
      <c r="DG719" s="48"/>
      <c r="DH719" s="48"/>
      <c r="DI719" s="48"/>
      <c r="DJ719" s="48"/>
      <c r="DK719" s="48"/>
      <c r="DL719" s="48"/>
      <c r="DM719" s="48"/>
      <c r="DN719" s="48"/>
      <c r="DO719" s="48"/>
      <c r="DP719" s="48"/>
      <c r="DQ719" s="48"/>
      <c r="DR719" s="48"/>
      <c r="DS719" s="48"/>
      <c r="DT719" s="48"/>
      <c r="DU719" s="48"/>
      <c r="DV719" s="48"/>
      <c r="DW719" s="48"/>
      <c r="DX719" s="48"/>
      <c r="DY719" s="48"/>
      <c r="DZ719" s="48"/>
      <c r="EA719" s="48"/>
      <c r="EC719" s="48"/>
      <c r="ED719" s="48"/>
      <c r="EE719" s="48"/>
      <c r="EF719" s="48"/>
      <c r="EG719" s="48"/>
      <c r="EI719" s="48"/>
      <c r="EK719" s="48"/>
      <c r="EM719" s="48"/>
      <c r="EO719" s="48"/>
      <c r="EP719" s="48"/>
      <c r="EU719" s="48"/>
      <c r="EV719" s="48"/>
      <c r="EW719" s="48"/>
      <c r="EX719" s="48"/>
      <c r="EY719" s="48"/>
      <c r="EZ719" s="48"/>
      <c r="FA719" s="48"/>
      <c r="FB719" s="48"/>
      <c r="FC719" s="48"/>
      <c r="FD719" s="48"/>
      <c r="FE719" s="48"/>
      <c r="FF719" s="48"/>
      <c r="FG719" s="48"/>
      <c r="FI719" s="48"/>
      <c r="FL719" s="48"/>
      <c r="FM719" s="48"/>
      <c r="FN719" s="48"/>
      <c r="FO719" s="48"/>
      <c r="FP719" s="48"/>
      <c r="FQ719" s="48"/>
      <c r="FR719" s="48"/>
      <c r="FS719" s="48"/>
      <c r="FT719" s="48"/>
      <c r="FU719" s="48"/>
    </row>
    <row r="720" spans="1:177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52"/>
      <c r="BF720" s="48"/>
      <c r="BG720" s="48"/>
      <c r="BI720" s="48"/>
      <c r="BN720" s="48"/>
      <c r="BO720" s="48"/>
      <c r="BR720" s="48"/>
      <c r="BS720" s="48"/>
      <c r="BW720" s="48"/>
      <c r="CA720" s="48"/>
      <c r="CE720" s="48"/>
      <c r="CF720" s="48"/>
      <c r="CG720" s="48"/>
      <c r="CH720" s="48"/>
      <c r="CI720" s="48"/>
      <c r="CJ720" s="48"/>
      <c r="CL720" s="48"/>
      <c r="CM720" s="48"/>
      <c r="CN720" s="48"/>
      <c r="CO720" s="48"/>
      <c r="CP720" s="48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  <c r="DD720" s="48"/>
      <c r="DE720" s="48"/>
      <c r="DF720" s="48"/>
      <c r="DG720" s="48"/>
      <c r="DH720" s="48"/>
      <c r="DI720" s="48"/>
      <c r="DJ720" s="48"/>
      <c r="DK720" s="48"/>
      <c r="DL720" s="48"/>
      <c r="DM720" s="48"/>
      <c r="DN720" s="48"/>
      <c r="DO720" s="48"/>
      <c r="DP720" s="48"/>
      <c r="DQ720" s="48"/>
      <c r="DR720" s="48"/>
      <c r="DS720" s="48"/>
      <c r="DT720" s="48"/>
      <c r="DU720" s="48"/>
      <c r="DV720" s="48"/>
      <c r="DW720" s="48"/>
      <c r="DX720" s="48"/>
      <c r="DY720" s="48"/>
      <c r="DZ720" s="48"/>
      <c r="EA720" s="48"/>
      <c r="EC720" s="48"/>
      <c r="ED720" s="48"/>
      <c r="EE720" s="48"/>
      <c r="EF720" s="48"/>
      <c r="EG720" s="48"/>
      <c r="EI720" s="48"/>
      <c r="EK720" s="48"/>
      <c r="EM720" s="48"/>
      <c r="EO720" s="48"/>
      <c r="EP720" s="48"/>
      <c r="EU720" s="48"/>
      <c r="EV720" s="48"/>
      <c r="EW720" s="48"/>
      <c r="EX720" s="48"/>
      <c r="EY720" s="48"/>
      <c r="EZ720" s="48"/>
      <c r="FA720" s="48"/>
      <c r="FB720" s="48"/>
      <c r="FC720" s="48"/>
      <c r="FD720" s="48"/>
      <c r="FE720" s="48"/>
      <c r="FF720" s="48"/>
      <c r="FG720" s="48"/>
      <c r="FI720" s="48"/>
      <c r="FL720" s="48"/>
      <c r="FM720" s="48"/>
      <c r="FN720" s="48"/>
      <c r="FO720" s="48"/>
      <c r="FP720" s="48"/>
      <c r="FQ720" s="48"/>
      <c r="FR720" s="48"/>
      <c r="FS720" s="48"/>
      <c r="FT720" s="48"/>
      <c r="FU720" s="48"/>
    </row>
    <row r="721" spans="1:177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52"/>
      <c r="BF721" s="48"/>
      <c r="BG721" s="48"/>
      <c r="BI721" s="48"/>
      <c r="BN721" s="48"/>
      <c r="BO721" s="48"/>
      <c r="BR721" s="48"/>
      <c r="BS721" s="48"/>
      <c r="BW721" s="48"/>
      <c r="CA721" s="48"/>
      <c r="CE721" s="48"/>
      <c r="CF721" s="48"/>
      <c r="CG721" s="48"/>
      <c r="CH721" s="48"/>
      <c r="CI721" s="48"/>
      <c r="CJ721" s="48"/>
      <c r="CL721" s="48"/>
      <c r="CM721" s="48"/>
      <c r="CN721" s="48"/>
      <c r="CO721" s="48"/>
      <c r="CP721" s="48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  <c r="DE721" s="48"/>
      <c r="DF721" s="48"/>
      <c r="DG721" s="48"/>
      <c r="DH721" s="48"/>
      <c r="DI721" s="48"/>
      <c r="DJ721" s="48"/>
      <c r="DK721" s="48"/>
      <c r="DL721" s="48"/>
      <c r="DM721" s="48"/>
      <c r="DN721" s="48"/>
      <c r="DO721" s="48"/>
      <c r="DP721" s="48"/>
      <c r="DQ721" s="48"/>
      <c r="DR721" s="48"/>
      <c r="DS721" s="48"/>
      <c r="DT721" s="48"/>
      <c r="DU721" s="48"/>
      <c r="DV721" s="48"/>
      <c r="DW721" s="48"/>
      <c r="DX721" s="48"/>
      <c r="DY721" s="48"/>
      <c r="DZ721" s="48"/>
      <c r="EA721" s="48"/>
      <c r="EC721" s="48"/>
      <c r="ED721" s="48"/>
      <c r="EE721" s="48"/>
      <c r="EF721" s="48"/>
      <c r="EG721" s="48"/>
      <c r="EI721" s="48"/>
      <c r="EK721" s="48"/>
      <c r="EM721" s="48"/>
      <c r="EO721" s="48"/>
      <c r="EP721" s="48"/>
      <c r="EU721" s="48"/>
      <c r="EV721" s="48"/>
      <c r="EW721" s="48"/>
      <c r="EX721" s="48"/>
      <c r="EY721" s="48"/>
      <c r="EZ721" s="48"/>
      <c r="FA721" s="48"/>
      <c r="FB721" s="48"/>
      <c r="FC721" s="48"/>
      <c r="FD721" s="48"/>
      <c r="FE721" s="48"/>
      <c r="FF721" s="48"/>
      <c r="FG721" s="48"/>
      <c r="FI721" s="48"/>
      <c r="FL721" s="48"/>
      <c r="FM721" s="48"/>
      <c r="FN721" s="48"/>
      <c r="FO721" s="48"/>
      <c r="FP721" s="48"/>
      <c r="FQ721" s="48"/>
      <c r="FR721" s="48"/>
      <c r="FS721" s="48"/>
      <c r="FT721" s="48"/>
      <c r="FU721" s="48"/>
    </row>
    <row r="722" spans="1:177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52"/>
      <c r="BF722" s="48"/>
      <c r="BG722" s="48"/>
      <c r="BI722" s="48"/>
      <c r="BN722" s="48"/>
      <c r="BO722" s="48"/>
      <c r="BR722" s="48"/>
      <c r="BS722" s="48"/>
      <c r="BW722" s="48"/>
      <c r="CA722" s="48"/>
      <c r="CE722" s="48"/>
      <c r="CF722" s="48"/>
      <c r="CG722" s="48"/>
      <c r="CH722" s="48"/>
      <c r="CI722" s="48"/>
      <c r="CJ722" s="48"/>
      <c r="CL722" s="48"/>
      <c r="CM722" s="48"/>
      <c r="CN722" s="48"/>
      <c r="CO722" s="48"/>
      <c r="CP722" s="48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  <c r="DD722" s="48"/>
      <c r="DE722" s="48"/>
      <c r="DF722" s="48"/>
      <c r="DG722" s="48"/>
      <c r="DH722" s="48"/>
      <c r="DI722" s="48"/>
      <c r="DJ722" s="48"/>
      <c r="DK722" s="48"/>
      <c r="DL722" s="48"/>
      <c r="DM722" s="48"/>
      <c r="DN722" s="48"/>
      <c r="DO722" s="48"/>
      <c r="DP722" s="48"/>
      <c r="DQ722" s="48"/>
      <c r="DR722" s="48"/>
      <c r="DS722" s="48"/>
      <c r="DT722" s="48"/>
      <c r="DU722" s="48"/>
      <c r="DV722" s="48"/>
      <c r="DW722" s="48"/>
      <c r="DX722" s="48"/>
      <c r="DY722" s="48"/>
      <c r="DZ722" s="48"/>
      <c r="EA722" s="48"/>
      <c r="EC722" s="48"/>
      <c r="ED722" s="48"/>
      <c r="EE722" s="48"/>
      <c r="EF722" s="48"/>
      <c r="EG722" s="48"/>
      <c r="EI722" s="48"/>
      <c r="EK722" s="48"/>
      <c r="EM722" s="48"/>
      <c r="EO722" s="48"/>
      <c r="EP722" s="48"/>
      <c r="EU722" s="48"/>
      <c r="EV722" s="48"/>
      <c r="EW722" s="48"/>
      <c r="EX722" s="48"/>
      <c r="EY722" s="48"/>
      <c r="EZ722" s="48"/>
      <c r="FA722" s="48"/>
      <c r="FB722" s="48"/>
      <c r="FC722" s="48"/>
      <c r="FD722" s="48"/>
      <c r="FE722" s="48"/>
      <c r="FF722" s="48"/>
      <c r="FG722" s="48"/>
      <c r="FI722" s="48"/>
      <c r="FL722" s="48"/>
      <c r="FM722" s="48"/>
      <c r="FN722" s="48"/>
      <c r="FO722" s="48"/>
      <c r="FP722" s="48"/>
      <c r="FQ722" s="48"/>
      <c r="FR722" s="48"/>
      <c r="FS722" s="48"/>
      <c r="FT722" s="48"/>
      <c r="FU722" s="48"/>
    </row>
    <row r="723" spans="1:177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52"/>
      <c r="BF723" s="48"/>
      <c r="BG723" s="48"/>
      <c r="BI723" s="48"/>
      <c r="BN723" s="48"/>
      <c r="BO723" s="48"/>
      <c r="BR723" s="48"/>
      <c r="BS723" s="48"/>
      <c r="BW723" s="48"/>
      <c r="CA723" s="48"/>
      <c r="CE723" s="48"/>
      <c r="CF723" s="48"/>
      <c r="CG723" s="48"/>
      <c r="CH723" s="48"/>
      <c r="CI723" s="48"/>
      <c r="CJ723" s="48"/>
      <c r="CL723" s="48"/>
      <c r="CM723" s="48"/>
      <c r="CN723" s="48"/>
      <c r="CO723" s="48"/>
      <c r="CP723" s="48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  <c r="DD723" s="48"/>
      <c r="DE723" s="48"/>
      <c r="DF723" s="48"/>
      <c r="DG723" s="48"/>
      <c r="DH723" s="48"/>
      <c r="DI723" s="48"/>
      <c r="DJ723" s="48"/>
      <c r="DK723" s="48"/>
      <c r="DL723" s="48"/>
      <c r="DM723" s="48"/>
      <c r="DN723" s="48"/>
      <c r="DO723" s="48"/>
      <c r="DP723" s="48"/>
      <c r="DQ723" s="48"/>
      <c r="DR723" s="48"/>
      <c r="DS723" s="48"/>
      <c r="DT723" s="48"/>
      <c r="DU723" s="48"/>
      <c r="DV723" s="48"/>
      <c r="DW723" s="48"/>
      <c r="DX723" s="48"/>
      <c r="DY723" s="48"/>
      <c r="DZ723" s="48"/>
      <c r="EA723" s="48"/>
      <c r="EC723" s="48"/>
      <c r="ED723" s="48"/>
      <c r="EE723" s="48"/>
      <c r="EF723" s="48"/>
      <c r="EG723" s="48"/>
      <c r="EI723" s="48"/>
      <c r="EK723" s="48"/>
      <c r="EM723" s="48"/>
      <c r="EO723" s="48"/>
      <c r="EP723" s="48"/>
      <c r="EU723" s="48"/>
      <c r="EV723" s="48"/>
      <c r="EW723" s="48"/>
      <c r="EX723" s="48"/>
      <c r="EY723" s="48"/>
      <c r="EZ723" s="48"/>
      <c r="FA723" s="48"/>
      <c r="FB723" s="48"/>
      <c r="FC723" s="48"/>
      <c r="FD723" s="48"/>
      <c r="FE723" s="48"/>
      <c r="FF723" s="48"/>
      <c r="FG723" s="48"/>
      <c r="FI723" s="48"/>
      <c r="FL723" s="48"/>
      <c r="FM723" s="48"/>
      <c r="FN723" s="48"/>
      <c r="FO723" s="48"/>
      <c r="FP723" s="48"/>
      <c r="FQ723" s="48"/>
      <c r="FR723" s="48"/>
      <c r="FS723" s="48"/>
      <c r="FT723" s="48"/>
      <c r="FU723" s="48"/>
    </row>
    <row r="724" spans="1:177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52"/>
      <c r="BF724" s="48"/>
      <c r="BG724" s="48"/>
      <c r="BI724" s="48"/>
      <c r="BN724" s="48"/>
      <c r="BO724" s="48"/>
      <c r="BR724" s="48"/>
      <c r="BS724" s="48"/>
      <c r="BW724" s="48"/>
      <c r="CA724" s="48"/>
      <c r="CE724" s="48"/>
      <c r="CF724" s="48"/>
      <c r="CG724" s="48"/>
      <c r="CH724" s="48"/>
      <c r="CI724" s="48"/>
      <c r="CJ724" s="48"/>
      <c r="CL724" s="48"/>
      <c r="CM724" s="48"/>
      <c r="CN724" s="48"/>
      <c r="CO724" s="48"/>
      <c r="CP724" s="48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  <c r="DE724" s="48"/>
      <c r="DF724" s="48"/>
      <c r="DG724" s="48"/>
      <c r="DH724" s="48"/>
      <c r="DI724" s="48"/>
      <c r="DJ724" s="48"/>
      <c r="DK724" s="48"/>
      <c r="DL724" s="48"/>
      <c r="DM724" s="48"/>
      <c r="DN724" s="48"/>
      <c r="DO724" s="48"/>
      <c r="DP724" s="48"/>
      <c r="DQ724" s="48"/>
      <c r="DR724" s="48"/>
      <c r="DS724" s="48"/>
      <c r="DT724" s="48"/>
      <c r="DU724" s="48"/>
      <c r="DV724" s="48"/>
      <c r="DW724" s="48"/>
      <c r="DX724" s="48"/>
      <c r="DY724" s="48"/>
      <c r="DZ724" s="48"/>
      <c r="EA724" s="48"/>
      <c r="EC724" s="48"/>
      <c r="ED724" s="48"/>
      <c r="EE724" s="48"/>
      <c r="EF724" s="48"/>
      <c r="EG724" s="48"/>
      <c r="EI724" s="48"/>
      <c r="EK724" s="48"/>
      <c r="EM724" s="48"/>
      <c r="EO724" s="48"/>
      <c r="EP724" s="48"/>
      <c r="EU724" s="48"/>
      <c r="EV724" s="48"/>
      <c r="EW724" s="48"/>
      <c r="EX724" s="48"/>
      <c r="EY724" s="48"/>
      <c r="EZ724" s="48"/>
      <c r="FA724" s="48"/>
      <c r="FB724" s="48"/>
      <c r="FC724" s="48"/>
      <c r="FD724" s="48"/>
      <c r="FE724" s="48"/>
      <c r="FF724" s="48"/>
      <c r="FG724" s="48"/>
      <c r="FI724" s="48"/>
      <c r="FL724" s="48"/>
      <c r="FM724" s="48"/>
      <c r="FN724" s="48"/>
      <c r="FO724" s="48"/>
      <c r="FP724" s="48"/>
      <c r="FQ724" s="48"/>
      <c r="FR724" s="48"/>
      <c r="FS724" s="48"/>
      <c r="FT724" s="48"/>
      <c r="FU724" s="48"/>
    </row>
    <row r="725" spans="1:177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52"/>
      <c r="BF725" s="48"/>
      <c r="BG725" s="48"/>
      <c r="BI725" s="48"/>
      <c r="BN725" s="48"/>
      <c r="BO725" s="48"/>
      <c r="BR725" s="48"/>
      <c r="BS725" s="48"/>
      <c r="BW725" s="48"/>
      <c r="CA725" s="48"/>
      <c r="CE725" s="48"/>
      <c r="CF725" s="48"/>
      <c r="CG725" s="48"/>
      <c r="CH725" s="48"/>
      <c r="CI725" s="48"/>
      <c r="CJ725" s="48"/>
      <c r="CL725" s="48"/>
      <c r="CM725" s="48"/>
      <c r="CN725" s="48"/>
      <c r="CO725" s="48"/>
      <c r="CP725" s="48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  <c r="DD725" s="48"/>
      <c r="DE725" s="48"/>
      <c r="DF725" s="48"/>
      <c r="DG725" s="48"/>
      <c r="DH725" s="48"/>
      <c r="DI725" s="48"/>
      <c r="DJ725" s="48"/>
      <c r="DK725" s="48"/>
      <c r="DL725" s="48"/>
      <c r="DM725" s="48"/>
      <c r="DN725" s="48"/>
      <c r="DO725" s="48"/>
      <c r="DP725" s="48"/>
      <c r="DQ725" s="48"/>
      <c r="DR725" s="48"/>
      <c r="DS725" s="48"/>
      <c r="DT725" s="48"/>
      <c r="DU725" s="48"/>
      <c r="DV725" s="48"/>
      <c r="DW725" s="48"/>
      <c r="DX725" s="48"/>
      <c r="DY725" s="48"/>
      <c r="DZ725" s="48"/>
      <c r="EA725" s="48"/>
      <c r="EC725" s="48"/>
      <c r="ED725" s="48"/>
      <c r="EE725" s="48"/>
      <c r="EF725" s="48"/>
      <c r="EG725" s="48"/>
      <c r="EI725" s="48"/>
      <c r="EK725" s="48"/>
      <c r="EM725" s="48"/>
      <c r="EO725" s="48"/>
      <c r="EP725" s="48"/>
      <c r="EU725" s="48"/>
      <c r="EV725" s="48"/>
      <c r="EW725" s="48"/>
      <c r="EX725" s="48"/>
      <c r="EY725" s="48"/>
      <c r="EZ725" s="48"/>
      <c r="FA725" s="48"/>
      <c r="FB725" s="48"/>
      <c r="FC725" s="48"/>
      <c r="FD725" s="48"/>
      <c r="FE725" s="48"/>
      <c r="FF725" s="48"/>
      <c r="FG725" s="48"/>
      <c r="FI725" s="48"/>
      <c r="FL725" s="48"/>
      <c r="FM725" s="48"/>
      <c r="FN725" s="48"/>
      <c r="FO725" s="48"/>
      <c r="FP725" s="48"/>
      <c r="FQ725" s="48"/>
      <c r="FR725" s="48"/>
      <c r="FS725" s="48"/>
      <c r="FT725" s="48"/>
      <c r="FU725" s="48"/>
    </row>
    <row r="726" spans="1:177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52"/>
      <c r="BF726" s="48"/>
      <c r="BG726" s="48"/>
      <c r="BI726" s="48"/>
      <c r="BN726" s="48"/>
      <c r="BO726" s="48"/>
      <c r="BR726" s="48"/>
      <c r="BS726" s="48"/>
      <c r="BW726" s="48"/>
      <c r="CA726" s="48"/>
      <c r="CE726" s="48"/>
      <c r="CF726" s="48"/>
      <c r="CG726" s="48"/>
      <c r="CH726" s="48"/>
      <c r="CI726" s="48"/>
      <c r="CJ726" s="48"/>
      <c r="CL726" s="48"/>
      <c r="CM726" s="48"/>
      <c r="CN726" s="48"/>
      <c r="CO726" s="48"/>
      <c r="CP726" s="48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  <c r="DD726" s="48"/>
      <c r="DE726" s="48"/>
      <c r="DF726" s="48"/>
      <c r="DG726" s="48"/>
      <c r="DH726" s="48"/>
      <c r="DI726" s="48"/>
      <c r="DJ726" s="48"/>
      <c r="DK726" s="48"/>
      <c r="DL726" s="48"/>
      <c r="DM726" s="48"/>
      <c r="DN726" s="48"/>
      <c r="DO726" s="48"/>
      <c r="DP726" s="48"/>
      <c r="DQ726" s="48"/>
      <c r="DR726" s="48"/>
      <c r="DS726" s="48"/>
      <c r="DT726" s="48"/>
      <c r="DU726" s="48"/>
      <c r="DV726" s="48"/>
      <c r="DW726" s="48"/>
      <c r="DX726" s="48"/>
      <c r="DY726" s="48"/>
      <c r="DZ726" s="48"/>
      <c r="EA726" s="48"/>
      <c r="EC726" s="48"/>
      <c r="ED726" s="48"/>
      <c r="EE726" s="48"/>
      <c r="EF726" s="48"/>
      <c r="EG726" s="48"/>
      <c r="EI726" s="48"/>
      <c r="EK726" s="48"/>
      <c r="EM726" s="48"/>
      <c r="EO726" s="48"/>
      <c r="EP726" s="48"/>
      <c r="EU726" s="48"/>
      <c r="EV726" s="48"/>
      <c r="EW726" s="48"/>
      <c r="EX726" s="48"/>
      <c r="EY726" s="48"/>
      <c r="EZ726" s="48"/>
      <c r="FA726" s="48"/>
      <c r="FB726" s="48"/>
      <c r="FC726" s="48"/>
      <c r="FD726" s="48"/>
      <c r="FE726" s="48"/>
      <c r="FF726" s="48"/>
      <c r="FG726" s="48"/>
      <c r="FI726" s="48"/>
      <c r="FL726" s="48"/>
      <c r="FM726" s="48"/>
      <c r="FN726" s="48"/>
      <c r="FO726" s="48"/>
      <c r="FP726" s="48"/>
      <c r="FQ726" s="48"/>
      <c r="FR726" s="48"/>
      <c r="FS726" s="48"/>
      <c r="FT726" s="48"/>
      <c r="FU726" s="48"/>
    </row>
    <row r="727" spans="1:17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52"/>
      <c r="BF727" s="48"/>
      <c r="BG727" s="48"/>
      <c r="BI727" s="48"/>
      <c r="BN727" s="48"/>
      <c r="BO727" s="48"/>
      <c r="BR727" s="48"/>
      <c r="BS727" s="48"/>
      <c r="BW727" s="48"/>
      <c r="CA727" s="48"/>
      <c r="CE727" s="48"/>
      <c r="CF727" s="48"/>
      <c r="CG727" s="48"/>
      <c r="CH727" s="48"/>
      <c r="CI727" s="48"/>
      <c r="CJ727" s="48"/>
      <c r="CL727" s="48"/>
      <c r="CM727" s="48"/>
      <c r="CN727" s="48"/>
      <c r="CO727" s="48"/>
      <c r="CP727" s="48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  <c r="DE727" s="48"/>
      <c r="DF727" s="48"/>
      <c r="DG727" s="48"/>
      <c r="DH727" s="48"/>
      <c r="DI727" s="48"/>
      <c r="DJ727" s="48"/>
      <c r="DK727" s="48"/>
      <c r="DL727" s="48"/>
      <c r="DM727" s="48"/>
      <c r="DN727" s="48"/>
      <c r="DO727" s="48"/>
      <c r="DP727" s="48"/>
      <c r="DQ727" s="48"/>
      <c r="DR727" s="48"/>
      <c r="DS727" s="48"/>
      <c r="DT727" s="48"/>
      <c r="DU727" s="48"/>
      <c r="DV727" s="48"/>
      <c r="DW727" s="48"/>
      <c r="DX727" s="48"/>
      <c r="DY727" s="48"/>
      <c r="DZ727" s="48"/>
      <c r="EA727" s="48"/>
      <c r="EC727" s="48"/>
      <c r="ED727" s="48"/>
      <c r="EE727" s="48"/>
      <c r="EF727" s="48"/>
      <c r="EG727" s="48"/>
      <c r="EI727" s="48"/>
      <c r="EK727" s="48"/>
      <c r="EM727" s="48"/>
      <c r="EO727" s="48"/>
      <c r="EP727" s="48"/>
      <c r="EU727" s="48"/>
      <c r="EV727" s="48"/>
      <c r="EW727" s="48"/>
      <c r="EX727" s="48"/>
      <c r="EY727" s="48"/>
      <c r="EZ727" s="48"/>
      <c r="FA727" s="48"/>
      <c r="FB727" s="48"/>
      <c r="FC727" s="48"/>
      <c r="FD727" s="48"/>
      <c r="FE727" s="48"/>
      <c r="FF727" s="48"/>
      <c r="FG727" s="48"/>
      <c r="FI727" s="48"/>
      <c r="FL727" s="48"/>
      <c r="FM727" s="48"/>
      <c r="FN727" s="48"/>
      <c r="FO727" s="48"/>
      <c r="FP727" s="48"/>
      <c r="FQ727" s="48"/>
      <c r="FR727" s="48"/>
      <c r="FS727" s="48"/>
      <c r="FT727" s="48"/>
      <c r="FU727" s="48"/>
    </row>
    <row r="728" spans="1:177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52"/>
      <c r="BF728" s="48"/>
      <c r="BG728" s="48"/>
      <c r="BI728" s="48"/>
      <c r="BN728" s="48"/>
      <c r="BO728" s="48"/>
      <c r="BR728" s="48"/>
      <c r="BS728" s="48"/>
      <c r="BW728" s="48"/>
      <c r="CA728" s="48"/>
      <c r="CE728" s="48"/>
      <c r="CF728" s="48"/>
      <c r="CG728" s="48"/>
      <c r="CH728" s="48"/>
      <c r="CI728" s="48"/>
      <c r="CJ728" s="48"/>
      <c r="CL728" s="48"/>
      <c r="CM728" s="48"/>
      <c r="CN728" s="48"/>
      <c r="CO728" s="48"/>
      <c r="CP728" s="48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  <c r="DE728" s="48"/>
      <c r="DF728" s="48"/>
      <c r="DG728" s="48"/>
      <c r="DH728" s="48"/>
      <c r="DI728" s="48"/>
      <c r="DJ728" s="48"/>
      <c r="DK728" s="48"/>
      <c r="DL728" s="48"/>
      <c r="DM728" s="48"/>
      <c r="DN728" s="48"/>
      <c r="DO728" s="48"/>
      <c r="DP728" s="48"/>
      <c r="DQ728" s="48"/>
      <c r="DR728" s="48"/>
      <c r="DS728" s="48"/>
      <c r="DT728" s="48"/>
      <c r="DU728" s="48"/>
      <c r="DV728" s="48"/>
      <c r="DW728" s="48"/>
      <c r="DX728" s="48"/>
      <c r="DY728" s="48"/>
      <c r="DZ728" s="48"/>
      <c r="EA728" s="48"/>
      <c r="EC728" s="48"/>
      <c r="ED728" s="48"/>
      <c r="EE728" s="48"/>
      <c r="EF728" s="48"/>
      <c r="EG728" s="48"/>
      <c r="EI728" s="48"/>
      <c r="EK728" s="48"/>
      <c r="EM728" s="48"/>
      <c r="EO728" s="48"/>
      <c r="EP728" s="48"/>
      <c r="EU728" s="48"/>
      <c r="EV728" s="48"/>
      <c r="EW728" s="48"/>
      <c r="EX728" s="48"/>
      <c r="EY728" s="48"/>
      <c r="EZ728" s="48"/>
      <c r="FA728" s="48"/>
      <c r="FB728" s="48"/>
      <c r="FC728" s="48"/>
      <c r="FD728" s="48"/>
      <c r="FE728" s="48"/>
      <c r="FF728" s="48"/>
      <c r="FG728" s="48"/>
      <c r="FI728" s="48"/>
      <c r="FL728" s="48"/>
      <c r="FM728" s="48"/>
      <c r="FN728" s="48"/>
      <c r="FO728" s="48"/>
      <c r="FP728" s="48"/>
      <c r="FQ728" s="48"/>
      <c r="FR728" s="48"/>
      <c r="FS728" s="48"/>
      <c r="FT728" s="48"/>
      <c r="FU728" s="48"/>
    </row>
    <row r="729" spans="1:177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52"/>
      <c r="BF729" s="48"/>
      <c r="BG729" s="48"/>
      <c r="BI729" s="48"/>
      <c r="BN729" s="48"/>
      <c r="BO729" s="48"/>
      <c r="BR729" s="48"/>
      <c r="BS729" s="48"/>
      <c r="BW729" s="48"/>
      <c r="CA729" s="48"/>
      <c r="CE729" s="48"/>
      <c r="CF729" s="48"/>
      <c r="CG729" s="48"/>
      <c r="CH729" s="48"/>
      <c r="CI729" s="48"/>
      <c r="CJ729" s="48"/>
      <c r="CL729" s="48"/>
      <c r="CM729" s="48"/>
      <c r="CN729" s="48"/>
      <c r="CO729" s="48"/>
      <c r="CP729" s="48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  <c r="DE729" s="48"/>
      <c r="DF729" s="48"/>
      <c r="DG729" s="48"/>
      <c r="DH729" s="48"/>
      <c r="DI729" s="48"/>
      <c r="DJ729" s="48"/>
      <c r="DK729" s="48"/>
      <c r="DL729" s="48"/>
      <c r="DM729" s="48"/>
      <c r="DN729" s="48"/>
      <c r="DO729" s="48"/>
      <c r="DP729" s="48"/>
      <c r="DQ729" s="48"/>
      <c r="DR729" s="48"/>
      <c r="DS729" s="48"/>
      <c r="DT729" s="48"/>
      <c r="DU729" s="48"/>
      <c r="DV729" s="48"/>
      <c r="DW729" s="48"/>
      <c r="DX729" s="48"/>
      <c r="DY729" s="48"/>
      <c r="DZ729" s="48"/>
      <c r="EA729" s="48"/>
      <c r="EC729" s="48"/>
      <c r="ED729" s="48"/>
      <c r="EE729" s="48"/>
      <c r="EF729" s="48"/>
      <c r="EG729" s="48"/>
      <c r="EI729" s="48"/>
      <c r="EK729" s="48"/>
      <c r="EM729" s="48"/>
      <c r="EO729" s="48"/>
      <c r="EP729" s="48"/>
      <c r="EU729" s="48"/>
      <c r="EV729" s="48"/>
      <c r="EW729" s="48"/>
      <c r="EX729" s="48"/>
      <c r="EY729" s="48"/>
      <c r="EZ729" s="48"/>
      <c r="FA729" s="48"/>
      <c r="FB729" s="48"/>
      <c r="FC729" s="48"/>
      <c r="FD729" s="48"/>
      <c r="FE729" s="48"/>
      <c r="FF729" s="48"/>
      <c r="FG729" s="48"/>
      <c r="FI729" s="48"/>
      <c r="FL729" s="48"/>
      <c r="FM729" s="48"/>
      <c r="FN729" s="48"/>
      <c r="FO729" s="48"/>
      <c r="FP729" s="48"/>
      <c r="FQ729" s="48"/>
      <c r="FR729" s="48"/>
      <c r="FS729" s="48"/>
      <c r="FT729" s="48"/>
      <c r="FU729" s="48"/>
    </row>
    <row r="730" spans="1:177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52"/>
      <c r="BF730" s="48"/>
      <c r="BG730" s="48"/>
      <c r="BI730" s="48"/>
      <c r="BN730" s="48"/>
      <c r="BO730" s="48"/>
      <c r="BR730" s="48"/>
      <c r="BS730" s="48"/>
      <c r="BW730" s="48"/>
      <c r="CA730" s="48"/>
      <c r="CE730" s="48"/>
      <c r="CF730" s="48"/>
      <c r="CG730" s="48"/>
      <c r="CH730" s="48"/>
      <c r="CI730" s="48"/>
      <c r="CJ730" s="48"/>
      <c r="CL730" s="48"/>
      <c r="CM730" s="48"/>
      <c r="CN730" s="48"/>
      <c r="CO730" s="48"/>
      <c r="CP730" s="48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8"/>
      <c r="DN730" s="48"/>
      <c r="DO730" s="48"/>
      <c r="DP730" s="48"/>
      <c r="DQ730" s="48"/>
      <c r="DR730" s="48"/>
      <c r="DS730" s="48"/>
      <c r="DT730" s="48"/>
      <c r="DU730" s="48"/>
      <c r="DV730" s="48"/>
      <c r="DW730" s="48"/>
      <c r="DX730" s="48"/>
      <c r="DY730" s="48"/>
      <c r="DZ730" s="48"/>
      <c r="EA730" s="48"/>
      <c r="EC730" s="48"/>
      <c r="ED730" s="48"/>
      <c r="EE730" s="48"/>
      <c r="EF730" s="48"/>
      <c r="EG730" s="48"/>
      <c r="EI730" s="48"/>
      <c r="EK730" s="48"/>
      <c r="EM730" s="48"/>
      <c r="EO730" s="48"/>
      <c r="EP730" s="48"/>
      <c r="EU730" s="48"/>
      <c r="EV730" s="48"/>
      <c r="EW730" s="48"/>
      <c r="EX730" s="48"/>
      <c r="EY730" s="48"/>
      <c r="EZ730" s="48"/>
      <c r="FA730" s="48"/>
      <c r="FB730" s="48"/>
      <c r="FC730" s="48"/>
      <c r="FD730" s="48"/>
      <c r="FE730" s="48"/>
      <c r="FF730" s="48"/>
      <c r="FG730" s="48"/>
      <c r="FI730" s="48"/>
      <c r="FL730" s="48"/>
      <c r="FM730" s="48"/>
      <c r="FN730" s="48"/>
      <c r="FO730" s="48"/>
      <c r="FP730" s="48"/>
      <c r="FQ730" s="48"/>
      <c r="FR730" s="48"/>
      <c r="FS730" s="48"/>
      <c r="FT730" s="48"/>
      <c r="FU730" s="48"/>
    </row>
    <row r="731" spans="1:177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52"/>
      <c r="BF731" s="48"/>
      <c r="BG731" s="48"/>
      <c r="BI731" s="48"/>
      <c r="BN731" s="48"/>
      <c r="BO731" s="48"/>
      <c r="BR731" s="48"/>
      <c r="BS731" s="48"/>
      <c r="BW731" s="48"/>
      <c r="CA731" s="48"/>
      <c r="CE731" s="48"/>
      <c r="CF731" s="48"/>
      <c r="CG731" s="48"/>
      <c r="CH731" s="48"/>
      <c r="CI731" s="48"/>
      <c r="CJ731" s="48"/>
      <c r="CL731" s="48"/>
      <c r="CM731" s="48"/>
      <c r="CN731" s="48"/>
      <c r="CO731" s="48"/>
      <c r="CP731" s="48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  <c r="DE731" s="48"/>
      <c r="DF731" s="48"/>
      <c r="DG731" s="48"/>
      <c r="DH731" s="48"/>
      <c r="DI731" s="48"/>
      <c r="DJ731" s="48"/>
      <c r="DK731" s="48"/>
      <c r="DL731" s="48"/>
      <c r="DM731" s="48"/>
      <c r="DN731" s="48"/>
      <c r="DO731" s="48"/>
      <c r="DP731" s="48"/>
      <c r="DQ731" s="48"/>
      <c r="DR731" s="48"/>
      <c r="DS731" s="48"/>
      <c r="DT731" s="48"/>
      <c r="DU731" s="48"/>
      <c r="DV731" s="48"/>
      <c r="DW731" s="48"/>
      <c r="DX731" s="48"/>
      <c r="DY731" s="48"/>
      <c r="DZ731" s="48"/>
      <c r="EA731" s="48"/>
      <c r="EC731" s="48"/>
      <c r="ED731" s="48"/>
      <c r="EE731" s="48"/>
      <c r="EF731" s="48"/>
      <c r="EG731" s="48"/>
      <c r="EI731" s="48"/>
      <c r="EK731" s="48"/>
      <c r="EM731" s="48"/>
      <c r="EO731" s="48"/>
      <c r="EP731" s="48"/>
      <c r="EU731" s="48"/>
      <c r="EV731" s="48"/>
      <c r="EW731" s="48"/>
      <c r="EX731" s="48"/>
      <c r="EY731" s="48"/>
      <c r="EZ731" s="48"/>
      <c r="FA731" s="48"/>
      <c r="FB731" s="48"/>
      <c r="FC731" s="48"/>
      <c r="FD731" s="48"/>
      <c r="FE731" s="48"/>
      <c r="FF731" s="48"/>
      <c r="FG731" s="48"/>
      <c r="FI731" s="48"/>
      <c r="FL731" s="48"/>
      <c r="FM731" s="48"/>
      <c r="FN731" s="48"/>
      <c r="FO731" s="48"/>
      <c r="FP731" s="48"/>
      <c r="FQ731" s="48"/>
      <c r="FR731" s="48"/>
      <c r="FS731" s="48"/>
      <c r="FT731" s="48"/>
      <c r="FU731" s="48"/>
    </row>
    <row r="732" spans="1:177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52"/>
      <c r="BF732" s="48"/>
      <c r="BG732" s="48"/>
      <c r="BI732" s="48"/>
      <c r="BN732" s="48"/>
      <c r="BO732" s="48"/>
      <c r="BR732" s="48"/>
      <c r="BS732" s="48"/>
      <c r="BW732" s="48"/>
      <c r="CA732" s="48"/>
      <c r="CE732" s="48"/>
      <c r="CF732" s="48"/>
      <c r="CG732" s="48"/>
      <c r="CH732" s="48"/>
      <c r="CI732" s="48"/>
      <c r="CJ732" s="48"/>
      <c r="CL732" s="48"/>
      <c r="CM732" s="48"/>
      <c r="CN732" s="48"/>
      <c r="CO732" s="48"/>
      <c r="CP732" s="48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  <c r="DE732" s="48"/>
      <c r="DF732" s="48"/>
      <c r="DG732" s="48"/>
      <c r="DH732" s="48"/>
      <c r="DI732" s="48"/>
      <c r="DJ732" s="48"/>
      <c r="DK732" s="48"/>
      <c r="DL732" s="48"/>
      <c r="DM732" s="48"/>
      <c r="DN732" s="48"/>
      <c r="DO732" s="48"/>
      <c r="DP732" s="48"/>
      <c r="DQ732" s="48"/>
      <c r="DR732" s="48"/>
      <c r="DS732" s="48"/>
      <c r="DT732" s="48"/>
      <c r="DU732" s="48"/>
      <c r="DV732" s="48"/>
      <c r="DW732" s="48"/>
      <c r="DX732" s="48"/>
      <c r="DY732" s="48"/>
      <c r="DZ732" s="48"/>
      <c r="EA732" s="48"/>
      <c r="EC732" s="48"/>
      <c r="ED732" s="48"/>
      <c r="EE732" s="48"/>
      <c r="EF732" s="48"/>
      <c r="EG732" s="48"/>
      <c r="EI732" s="48"/>
      <c r="EK732" s="48"/>
      <c r="EM732" s="48"/>
      <c r="EO732" s="48"/>
      <c r="EP732" s="48"/>
      <c r="EU732" s="48"/>
      <c r="EV732" s="48"/>
      <c r="EW732" s="48"/>
      <c r="EX732" s="48"/>
      <c r="EY732" s="48"/>
      <c r="EZ732" s="48"/>
      <c r="FA732" s="48"/>
      <c r="FB732" s="48"/>
      <c r="FC732" s="48"/>
      <c r="FD732" s="48"/>
      <c r="FE732" s="48"/>
      <c r="FF732" s="48"/>
      <c r="FG732" s="48"/>
      <c r="FI732" s="48"/>
      <c r="FL732" s="48"/>
      <c r="FM732" s="48"/>
      <c r="FN732" s="48"/>
      <c r="FO732" s="48"/>
      <c r="FP732" s="48"/>
      <c r="FQ732" s="48"/>
      <c r="FR732" s="48"/>
      <c r="FS732" s="48"/>
      <c r="FT732" s="48"/>
      <c r="FU732" s="48"/>
    </row>
    <row r="733" spans="1:177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52"/>
      <c r="BF733" s="48"/>
      <c r="BG733" s="48"/>
      <c r="BI733" s="48"/>
      <c r="BN733" s="48"/>
      <c r="BO733" s="48"/>
      <c r="BR733" s="48"/>
      <c r="BS733" s="48"/>
      <c r="BW733" s="48"/>
      <c r="CA733" s="48"/>
      <c r="CE733" s="48"/>
      <c r="CF733" s="48"/>
      <c r="CG733" s="48"/>
      <c r="CH733" s="48"/>
      <c r="CI733" s="48"/>
      <c r="CJ733" s="48"/>
      <c r="CL733" s="48"/>
      <c r="CM733" s="48"/>
      <c r="CN733" s="48"/>
      <c r="CO733" s="48"/>
      <c r="CP733" s="48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8"/>
      <c r="DN733" s="48"/>
      <c r="DO733" s="48"/>
      <c r="DP733" s="48"/>
      <c r="DQ733" s="48"/>
      <c r="DR733" s="48"/>
      <c r="DS733" s="48"/>
      <c r="DT733" s="48"/>
      <c r="DU733" s="48"/>
      <c r="DV733" s="48"/>
      <c r="DW733" s="48"/>
      <c r="DX733" s="48"/>
      <c r="DY733" s="48"/>
      <c r="DZ733" s="48"/>
      <c r="EA733" s="48"/>
      <c r="EC733" s="48"/>
      <c r="ED733" s="48"/>
      <c r="EE733" s="48"/>
      <c r="EF733" s="48"/>
      <c r="EG733" s="48"/>
      <c r="EI733" s="48"/>
      <c r="EK733" s="48"/>
      <c r="EM733" s="48"/>
      <c r="EO733" s="48"/>
      <c r="EP733" s="48"/>
      <c r="EU733" s="48"/>
      <c r="EV733" s="48"/>
      <c r="EW733" s="48"/>
      <c r="EX733" s="48"/>
      <c r="EY733" s="48"/>
      <c r="EZ733" s="48"/>
      <c r="FA733" s="48"/>
      <c r="FB733" s="48"/>
      <c r="FC733" s="48"/>
      <c r="FD733" s="48"/>
      <c r="FE733" s="48"/>
      <c r="FF733" s="48"/>
      <c r="FG733" s="48"/>
      <c r="FI733" s="48"/>
      <c r="FL733" s="48"/>
      <c r="FM733" s="48"/>
      <c r="FN733" s="48"/>
      <c r="FO733" s="48"/>
      <c r="FP733" s="48"/>
      <c r="FQ733" s="48"/>
      <c r="FR733" s="48"/>
      <c r="FS733" s="48"/>
      <c r="FT733" s="48"/>
      <c r="FU733" s="48"/>
    </row>
    <row r="734" spans="1:177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52"/>
      <c r="BF734" s="48"/>
      <c r="BG734" s="48"/>
      <c r="BI734" s="48"/>
      <c r="BN734" s="48"/>
      <c r="BO734" s="48"/>
      <c r="BR734" s="48"/>
      <c r="BS734" s="48"/>
      <c r="BW734" s="48"/>
      <c r="CA734" s="48"/>
      <c r="CE734" s="48"/>
      <c r="CF734" s="48"/>
      <c r="CG734" s="48"/>
      <c r="CH734" s="48"/>
      <c r="CI734" s="48"/>
      <c r="CJ734" s="48"/>
      <c r="CL734" s="48"/>
      <c r="CM734" s="48"/>
      <c r="CN734" s="48"/>
      <c r="CO734" s="48"/>
      <c r="CP734" s="48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  <c r="DD734" s="48"/>
      <c r="DE734" s="48"/>
      <c r="DF734" s="48"/>
      <c r="DG734" s="48"/>
      <c r="DH734" s="48"/>
      <c r="DI734" s="48"/>
      <c r="DJ734" s="48"/>
      <c r="DK734" s="48"/>
      <c r="DL734" s="48"/>
      <c r="DM734" s="48"/>
      <c r="DN734" s="48"/>
      <c r="DO734" s="48"/>
      <c r="DP734" s="48"/>
      <c r="DQ734" s="48"/>
      <c r="DR734" s="48"/>
      <c r="DS734" s="48"/>
      <c r="DT734" s="48"/>
      <c r="DU734" s="48"/>
      <c r="DV734" s="48"/>
      <c r="DW734" s="48"/>
      <c r="DX734" s="48"/>
      <c r="DY734" s="48"/>
      <c r="DZ734" s="48"/>
      <c r="EA734" s="48"/>
      <c r="EC734" s="48"/>
      <c r="ED734" s="48"/>
      <c r="EE734" s="48"/>
      <c r="EF734" s="48"/>
      <c r="EG734" s="48"/>
      <c r="EI734" s="48"/>
      <c r="EK734" s="48"/>
      <c r="EM734" s="48"/>
      <c r="EO734" s="48"/>
      <c r="EP734" s="48"/>
      <c r="EU734" s="48"/>
      <c r="EV734" s="48"/>
      <c r="EW734" s="48"/>
      <c r="EX734" s="48"/>
      <c r="EY734" s="48"/>
      <c r="EZ734" s="48"/>
      <c r="FA734" s="48"/>
      <c r="FB734" s="48"/>
      <c r="FC734" s="48"/>
      <c r="FD734" s="48"/>
      <c r="FE734" s="48"/>
      <c r="FF734" s="48"/>
      <c r="FG734" s="48"/>
      <c r="FI734" s="48"/>
      <c r="FL734" s="48"/>
      <c r="FM734" s="48"/>
      <c r="FN734" s="48"/>
      <c r="FO734" s="48"/>
      <c r="FP734" s="48"/>
      <c r="FQ734" s="48"/>
      <c r="FR734" s="48"/>
      <c r="FS734" s="48"/>
      <c r="FT734" s="48"/>
      <c r="FU734" s="48"/>
    </row>
    <row r="735" spans="1:177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52"/>
      <c r="BF735" s="48"/>
      <c r="BG735" s="48"/>
      <c r="BI735" s="48"/>
      <c r="BN735" s="48"/>
      <c r="BO735" s="48"/>
      <c r="BR735" s="48"/>
      <c r="BS735" s="48"/>
      <c r="BW735" s="48"/>
      <c r="CA735" s="48"/>
      <c r="CE735" s="48"/>
      <c r="CF735" s="48"/>
      <c r="CG735" s="48"/>
      <c r="CH735" s="48"/>
      <c r="CI735" s="48"/>
      <c r="CJ735" s="48"/>
      <c r="CL735" s="48"/>
      <c r="CM735" s="48"/>
      <c r="CN735" s="48"/>
      <c r="CO735" s="48"/>
      <c r="CP735" s="48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  <c r="DE735" s="48"/>
      <c r="DF735" s="48"/>
      <c r="DG735" s="48"/>
      <c r="DH735" s="48"/>
      <c r="DI735" s="48"/>
      <c r="DJ735" s="48"/>
      <c r="DK735" s="48"/>
      <c r="DL735" s="48"/>
      <c r="DM735" s="48"/>
      <c r="DN735" s="48"/>
      <c r="DO735" s="48"/>
      <c r="DP735" s="48"/>
      <c r="DQ735" s="48"/>
      <c r="DR735" s="48"/>
      <c r="DS735" s="48"/>
      <c r="DT735" s="48"/>
      <c r="DU735" s="48"/>
      <c r="DV735" s="48"/>
      <c r="DW735" s="48"/>
      <c r="DX735" s="48"/>
      <c r="DY735" s="48"/>
      <c r="DZ735" s="48"/>
      <c r="EA735" s="48"/>
      <c r="EC735" s="48"/>
      <c r="ED735" s="48"/>
      <c r="EE735" s="48"/>
      <c r="EF735" s="48"/>
      <c r="EG735" s="48"/>
      <c r="EI735" s="48"/>
      <c r="EK735" s="48"/>
      <c r="EM735" s="48"/>
      <c r="EO735" s="48"/>
      <c r="EP735" s="48"/>
      <c r="EU735" s="48"/>
      <c r="EV735" s="48"/>
      <c r="EW735" s="48"/>
      <c r="EX735" s="48"/>
      <c r="EY735" s="48"/>
      <c r="EZ735" s="48"/>
      <c r="FA735" s="48"/>
      <c r="FB735" s="48"/>
      <c r="FC735" s="48"/>
      <c r="FD735" s="48"/>
      <c r="FE735" s="48"/>
      <c r="FF735" s="48"/>
      <c r="FG735" s="48"/>
      <c r="FI735" s="48"/>
      <c r="FL735" s="48"/>
      <c r="FM735" s="48"/>
      <c r="FN735" s="48"/>
      <c r="FO735" s="48"/>
      <c r="FP735" s="48"/>
      <c r="FQ735" s="48"/>
      <c r="FR735" s="48"/>
      <c r="FS735" s="48"/>
      <c r="FT735" s="48"/>
      <c r="FU735" s="48"/>
    </row>
    <row r="736" spans="1:177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52"/>
      <c r="BF736" s="48"/>
      <c r="BG736" s="48"/>
      <c r="BI736" s="48"/>
      <c r="BN736" s="48"/>
      <c r="BO736" s="48"/>
      <c r="BR736" s="48"/>
      <c r="BS736" s="48"/>
      <c r="BW736" s="48"/>
      <c r="CA736" s="48"/>
      <c r="CE736" s="48"/>
      <c r="CF736" s="48"/>
      <c r="CG736" s="48"/>
      <c r="CH736" s="48"/>
      <c r="CI736" s="48"/>
      <c r="CJ736" s="48"/>
      <c r="CL736" s="48"/>
      <c r="CM736" s="48"/>
      <c r="CN736" s="48"/>
      <c r="CO736" s="48"/>
      <c r="CP736" s="48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8"/>
      <c r="DN736" s="48"/>
      <c r="DO736" s="48"/>
      <c r="DP736" s="48"/>
      <c r="DQ736" s="48"/>
      <c r="DR736" s="48"/>
      <c r="DS736" s="48"/>
      <c r="DT736" s="48"/>
      <c r="DU736" s="48"/>
      <c r="DV736" s="48"/>
      <c r="DW736" s="48"/>
      <c r="DX736" s="48"/>
      <c r="DY736" s="48"/>
      <c r="DZ736" s="48"/>
      <c r="EA736" s="48"/>
      <c r="EC736" s="48"/>
      <c r="ED736" s="48"/>
      <c r="EE736" s="48"/>
      <c r="EF736" s="48"/>
      <c r="EG736" s="48"/>
      <c r="EI736" s="48"/>
      <c r="EK736" s="48"/>
      <c r="EM736" s="48"/>
      <c r="EO736" s="48"/>
      <c r="EP736" s="48"/>
      <c r="EU736" s="48"/>
      <c r="EV736" s="48"/>
      <c r="EW736" s="48"/>
      <c r="EX736" s="48"/>
      <c r="EY736" s="48"/>
      <c r="EZ736" s="48"/>
      <c r="FA736" s="48"/>
      <c r="FB736" s="48"/>
      <c r="FC736" s="48"/>
      <c r="FD736" s="48"/>
      <c r="FE736" s="48"/>
      <c r="FF736" s="48"/>
      <c r="FG736" s="48"/>
      <c r="FI736" s="48"/>
      <c r="FL736" s="48"/>
      <c r="FM736" s="48"/>
      <c r="FN736" s="48"/>
      <c r="FO736" s="48"/>
      <c r="FP736" s="48"/>
      <c r="FQ736" s="48"/>
      <c r="FR736" s="48"/>
      <c r="FS736" s="48"/>
      <c r="FT736" s="48"/>
      <c r="FU736" s="48"/>
    </row>
    <row r="737" spans="1:17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52"/>
      <c r="BF737" s="48"/>
      <c r="BG737" s="48"/>
      <c r="BI737" s="48"/>
      <c r="BN737" s="48"/>
      <c r="BO737" s="48"/>
      <c r="BR737" s="48"/>
      <c r="BS737" s="48"/>
      <c r="BW737" s="48"/>
      <c r="CA737" s="48"/>
      <c r="CE737" s="48"/>
      <c r="CF737" s="48"/>
      <c r="CG737" s="48"/>
      <c r="CH737" s="48"/>
      <c r="CI737" s="48"/>
      <c r="CJ737" s="48"/>
      <c r="CL737" s="48"/>
      <c r="CM737" s="48"/>
      <c r="CN737" s="48"/>
      <c r="CO737" s="48"/>
      <c r="CP737" s="48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  <c r="DD737" s="48"/>
      <c r="DE737" s="48"/>
      <c r="DF737" s="48"/>
      <c r="DG737" s="48"/>
      <c r="DH737" s="48"/>
      <c r="DI737" s="48"/>
      <c r="DJ737" s="48"/>
      <c r="DK737" s="48"/>
      <c r="DL737" s="48"/>
      <c r="DM737" s="48"/>
      <c r="DN737" s="48"/>
      <c r="DO737" s="48"/>
      <c r="DP737" s="48"/>
      <c r="DQ737" s="48"/>
      <c r="DR737" s="48"/>
      <c r="DS737" s="48"/>
      <c r="DT737" s="48"/>
      <c r="DU737" s="48"/>
      <c r="DV737" s="48"/>
      <c r="DW737" s="48"/>
      <c r="DX737" s="48"/>
      <c r="DY737" s="48"/>
      <c r="DZ737" s="48"/>
      <c r="EA737" s="48"/>
      <c r="EC737" s="48"/>
      <c r="ED737" s="48"/>
      <c r="EE737" s="48"/>
      <c r="EF737" s="48"/>
      <c r="EG737" s="48"/>
      <c r="EI737" s="48"/>
      <c r="EK737" s="48"/>
      <c r="EM737" s="48"/>
      <c r="EO737" s="48"/>
      <c r="EP737" s="48"/>
      <c r="EU737" s="48"/>
      <c r="EV737" s="48"/>
      <c r="EW737" s="48"/>
      <c r="EX737" s="48"/>
      <c r="EY737" s="48"/>
      <c r="EZ737" s="48"/>
      <c r="FA737" s="48"/>
      <c r="FB737" s="48"/>
      <c r="FC737" s="48"/>
      <c r="FD737" s="48"/>
      <c r="FE737" s="48"/>
      <c r="FF737" s="48"/>
      <c r="FG737" s="48"/>
      <c r="FI737" s="48"/>
      <c r="FL737" s="48"/>
      <c r="FM737" s="48"/>
      <c r="FN737" s="48"/>
      <c r="FO737" s="48"/>
      <c r="FP737" s="48"/>
      <c r="FQ737" s="48"/>
      <c r="FR737" s="48"/>
      <c r="FS737" s="48"/>
      <c r="FT737" s="48"/>
      <c r="FU737" s="48"/>
    </row>
    <row r="738" spans="1:177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52"/>
      <c r="BF738" s="48"/>
      <c r="BG738" s="48"/>
      <c r="BI738" s="48"/>
      <c r="BN738" s="48"/>
      <c r="BO738" s="48"/>
      <c r="BR738" s="48"/>
      <c r="BS738" s="48"/>
      <c r="BW738" s="48"/>
      <c r="CA738" s="48"/>
      <c r="CE738" s="48"/>
      <c r="CF738" s="48"/>
      <c r="CG738" s="48"/>
      <c r="CH738" s="48"/>
      <c r="CI738" s="48"/>
      <c r="CJ738" s="48"/>
      <c r="CL738" s="48"/>
      <c r="CM738" s="48"/>
      <c r="CN738" s="48"/>
      <c r="CO738" s="48"/>
      <c r="CP738" s="48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  <c r="DE738" s="48"/>
      <c r="DF738" s="48"/>
      <c r="DG738" s="48"/>
      <c r="DH738" s="48"/>
      <c r="DI738" s="48"/>
      <c r="DJ738" s="48"/>
      <c r="DK738" s="48"/>
      <c r="DL738" s="48"/>
      <c r="DM738" s="48"/>
      <c r="DN738" s="48"/>
      <c r="DO738" s="48"/>
      <c r="DP738" s="48"/>
      <c r="DQ738" s="48"/>
      <c r="DR738" s="48"/>
      <c r="DS738" s="48"/>
      <c r="DT738" s="48"/>
      <c r="DU738" s="48"/>
      <c r="DV738" s="48"/>
      <c r="DW738" s="48"/>
      <c r="DX738" s="48"/>
      <c r="DY738" s="48"/>
      <c r="DZ738" s="48"/>
      <c r="EA738" s="48"/>
      <c r="EC738" s="48"/>
      <c r="ED738" s="48"/>
      <c r="EE738" s="48"/>
      <c r="EF738" s="48"/>
      <c r="EG738" s="48"/>
      <c r="EI738" s="48"/>
      <c r="EK738" s="48"/>
      <c r="EM738" s="48"/>
      <c r="EO738" s="48"/>
      <c r="EP738" s="48"/>
      <c r="EU738" s="48"/>
      <c r="EV738" s="48"/>
      <c r="EW738" s="48"/>
      <c r="EX738" s="48"/>
      <c r="EY738" s="48"/>
      <c r="EZ738" s="48"/>
      <c r="FA738" s="48"/>
      <c r="FB738" s="48"/>
      <c r="FC738" s="48"/>
      <c r="FD738" s="48"/>
      <c r="FE738" s="48"/>
      <c r="FF738" s="48"/>
      <c r="FG738" s="48"/>
      <c r="FI738" s="48"/>
      <c r="FL738" s="48"/>
      <c r="FM738" s="48"/>
      <c r="FN738" s="48"/>
      <c r="FO738" s="48"/>
      <c r="FP738" s="48"/>
      <c r="FQ738" s="48"/>
      <c r="FR738" s="48"/>
      <c r="FS738" s="48"/>
      <c r="FT738" s="48"/>
      <c r="FU738" s="48"/>
    </row>
    <row r="739" spans="1:177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52"/>
      <c r="BF739" s="48"/>
      <c r="BG739" s="48"/>
      <c r="BI739" s="48"/>
      <c r="BN739" s="48"/>
      <c r="BO739" s="48"/>
      <c r="BR739" s="48"/>
      <c r="BS739" s="48"/>
      <c r="BW739" s="48"/>
      <c r="CA739" s="48"/>
      <c r="CE739" s="48"/>
      <c r="CF739" s="48"/>
      <c r="CG739" s="48"/>
      <c r="CH739" s="48"/>
      <c r="CI739" s="48"/>
      <c r="CJ739" s="48"/>
      <c r="CL739" s="48"/>
      <c r="CM739" s="48"/>
      <c r="CN739" s="48"/>
      <c r="CO739" s="48"/>
      <c r="CP739" s="48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8"/>
      <c r="DN739" s="48"/>
      <c r="DO739" s="48"/>
      <c r="DP739" s="48"/>
      <c r="DQ739" s="48"/>
      <c r="DR739" s="48"/>
      <c r="DS739" s="48"/>
      <c r="DT739" s="48"/>
      <c r="DU739" s="48"/>
      <c r="DV739" s="48"/>
      <c r="DW739" s="48"/>
      <c r="DX739" s="48"/>
      <c r="DY739" s="48"/>
      <c r="DZ739" s="48"/>
      <c r="EA739" s="48"/>
      <c r="EC739" s="48"/>
      <c r="ED739" s="48"/>
      <c r="EE739" s="48"/>
      <c r="EF739" s="48"/>
      <c r="EG739" s="48"/>
      <c r="EI739" s="48"/>
      <c r="EK739" s="48"/>
      <c r="EM739" s="48"/>
      <c r="EO739" s="48"/>
      <c r="EP739" s="48"/>
      <c r="EU739" s="48"/>
      <c r="EV739" s="48"/>
      <c r="EW739" s="48"/>
      <c r="EX739" s="48"/>
      <c r="EY739" s="48"/>
      <c r="EZ739" s="48"/>
      <c r="FA739" s="48"/>
      <c r="FB739" s="48"/>
      <c r="FC739" s="48"/>
      <c r="FD739" s="48"/>
      <c r="FE739" s="48"/>
      <c r="FF739" s="48"/>
      <c r="FG739" s="48"/>
      <c r="FI739" s="48"/>
      <c r="FL739" s="48"/>
      <c r="FM739" s="48"/>
      <c r="FN739" s="48"/>
      <c r="FO739" s="48"/>
      <c r="FP739" s="48"/>
      <c r="FQ739" s="48"/>
      <c r="FR739" s="48"/>
      <c r="FS739" s="48"/>
      <c r="FT739" s="48"/>
      <c r="FU739" s="48"/>
    </row>
    <row r="740" spans="1:177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52"/>
      <c r="BF740" s="48"/>
      <c r="BG740" s="48"/>
      <c r="BI740" s="48"/>
      <c r="BN740" s="48"/>
      <c r="BO740" s="48"/>
      <c r="BR740" s="48"/>
      <c r="BS740" s="48"/>
      <c r="BW740" s="48"/>
      <c r="CA740" s="48"/>
      <c r="CE740" s="48"/>
      <c r="CF740" s="48"/>
      <c r="CG740" s="48"/>
      <c r="CH740" s="48"/>
      <c r="CI740" s="48"/>
      <c r="CJ740" s="48"/>
      <c r="CL740" s="48"/>
      <c r="CM740" s="48"/>
      <c r="CN740" s="48"/>
      <c r="CO740" s="48"/>
      <c r="CP740" s="48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  <c r="DD740" s="48"/>
      <c r="DE740" s="48"/>
      <c r="DF740" s="48"/>
      <c r="DG740" s="48"/>
      <c r="DH740" s="48"/>
      <c r="DI740" s="48"/>
      <c r="DJ740" s="48"/>
      <c r="DK740" s="48"/>
      <c r="DL740" s="48"/>
      <c r="DM740" s="48"/>
      <c r="DN740" s="48"/>
      <c r="DO740" s="48"/>
      <c r="DP740" s="48"/>
      <c r="DQ740" s="48"/>
      <c r="DR740" s="48"/>
      <c r="DS740" s="48"/>
      <c r="DT740" s="48"/>
      <c r="DU740" s="48"/>
      <c r="DV740" s="48"/>
      <c r="DW740" s="48"/>
      <c r="DX740" s="48"/>
      <c r="DY740" s="48"/>
      <c r="DZ740" s="48"/>
      <c r="EA740" s="48"/>
      <c r="EC740" s="48"/>
      <c r="ED740" s="48"/>
      <c r="EE740" s="48"/>
      <c r="EF740" s="48"/>
      <c r="EG740" s="48"/>
      <c r="EI740" s="48"/>
      <c r="EK740" s="48"/>
      <c r="EM740" s="48"/>
      <c r="EO740" s="48"/>
      <c r="EP740" s="48"/>
      <c r="EU740" s="48"/>
      <c r="EV740" s="48"/>
      <c r="EW740" s="48"/>
      <c r="EX740" s="48"/>
      <c r="EY740" s="48"/>
      <c r="EZ740" s="48"/>
      <c r="FA740" s="48"/>
      <c r="FB740" s="48"/>
      <c r="FC740" s="48"/>
      <c r="FD740" s="48"/>
      <c r="FE740" s="48"/>
      <c r="FF740" s="48"/>
      <c r="FG740" s="48"/>
      <c r="FI740" s="48"/>
      <c r="FL740" s="48"/>
      <c r="FM740" s="48"/>
      <c r="FN740" s="48"/>
      <c r="FO740" s="48"/>
      <c r="FP740" s="48"/>
      <c r="FQ740" s="48"/>
      <c r="FR740" s="48"/>
      <c r="FS740" s="48"/>
      <c r="FT740" s="48"/>
      <c r="FU740" s="48"/>
    </row>
    <row r="741" spans="1:177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52"/>
      <c r="BF741" s="48"/>
      <c r="BG741" s="48"/>
      <c r="BI741" s="48"/>
      <c r="BN741" s="48"/>
      <c r="BO741" s="48"/>
      <c r="BR741" s="48"/>
      <c r="BS741" s="48"/>
      <c r="BW741" s="48"/>
      <c r="CA741" s="48"/>
      <c r="CE741" s="48"/>
      <c r="CF741" s="48"/>
      <c r="CG741" s="48"/>
      <c r="CH741" s="48"/>
      <c r="CI741" s="48"/>
      <c r="CJ741" s="48"/>
      <c r="CL741" s="48"/>
      <c r="CM741" s="48"/>
      <c r="CN741" s="48"/>
      <c r="CO741" s="48"/>
      <c r="CP741" s="48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  <c r="DD741" s="48"/>
      <c r="DE741" s="48"/>
      <c r="DF741" s="48"/>
      <c r="DG741" s="48"/>
      <c r="DH741" s="48"/>
      <c r="DI741" s="48"/>
      <c r="DJ741" s="48"/>
      <c r="DK741" s="48"/>
      <c r="DL741" s="48"/>
      <c r="DM741" s="48"/>
      <c r="DN741" s="48"/>
      <c r="DO741" s="48"/>
      <c r="DP741" s="48"/>
      <c r="DQ741" s="48"/>
      <c r="DR741" s="48"/>
      <c r="DS741" s="48"/>
      <c r="DT741" s="48"/>
      <c r="DU741" s="48"/>
      <c r="DV741" s="48"/>
      <c r="DW741" s="48"/>
      <c r="DX741" s="48"/>
      <c r="DY741" s="48"/>
      <c r="DZ741" s="48"/>
      <c r="EA741" s="48"/>
      <c r="EC741" s="48"/>
      <c r="ED741" s="48"/>
      <c r="EE741" s="48"/>
      <c r="EF741" s="48"/>
      <c r="EG741" s="48"/>
      <c r="EI741" s="48"/>
      <c r="EK741" s="48"/>
      <c r="EM741" s="48"/>
      <c r="EO741" s="48"/>
      <c r="EP741" s="48"/>
      <c r="EU741" s="48"/>
      <c r="EV741" s="48"/>
      <c r="EW741" s="48"/>
      <c r="EX741" s="48"/>
      <c r="EY741" s="48"/>
      <c r="EZ741" s="48"/>
      <c r="FA741" s="48"/>
      <c r="FB741" s="48"/>
      <c r="FC741" s="48"/>
      <c r="FD741" s="48"/>
      <c r="FE741" s="48"/>
      <c r="FF741" s="48"/>
      <c r="FG741" s="48"/>
      <c r="FI741" s="48"/>
      <c r="FL741" s="48"/>
      <c r="FM741" s="48"/>
      <c r="FN741" s="48"/>
      <c r="FO741" s="48"/>
      <c r="FP741" s="48"/>
      <c r="FQ741" s="48"/>
      <c r="FR741" s="48"/>
      <c r="FS741" s="48"/>
      <c r="FT741" s="48"/>
      <c r="FU741" s="48"/>
    </row>
    <row r="742" spans="1:177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52"/>
      <c r="BF742" s="48"/>
      <c r="BG742" s="48"/>
      <c r="BI742" s="48"/>
      <c r="BN742" s="48"/>
      <c r="BO742" s="48"/>
      <c r="BR742" s="48"/>
      <c r="BS742" s="48"/>
      <c r="BW742" s="48"/>
      <c r="CA742" s="48"/>
      <c r="CE742" s="48"/>
      <c r="CF742" s="48"/>
      <c r="CG742" s="48"/>
      <c r="CH742" s="48"/>
      <c r="CI742" s="48"/>
      <c r="CJ742" s="48"/>
      <c r="CL742" s="48"/>
      <c r="CM742" s="48"/>
      <c r="CN742" s="48"/>
      <c r="CO742" s="48"/>
      <c r="CP742" s="48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8"/>
      <c r="DN742" s="48"/>
      <c r="DO742" s="48"/>
      <c r="DP742" s="48"/>
      <c r="DQ742" s="48"/>
      <c r="DR742" s="48"/>
      <c r="DS742" s="48"/>
      <c r="DT742" s="48"/>
      <c r="DU742" s="48"/>
      <c r="DV742" s="48"/>
      <c r="DW742" s="48"/>
      <c r="DX742" s="48"/>
      <c r="DY742" s="48"/>
      <c r="DZ742" s="48"/>
      <c r="EA742" s="48"/>
      <c r="EC742" s="48"/>
      <c r="ED742" s="48"/>
      <c r="EE742" s="48"/>
      <c r="EF742" s="48"/>
      <c r="EG742" s="48"/>
      <c r="EI742" s="48"/>
      <c r="EK742" s="48"/>
      <c r="EM742" s="48"/>
      <c r="EO742" s="48"/>
      <c r="EP742" s="48"/>
      <c r="EU742" s="48"/>
      <c r="EV742" s="48"/>
      <c r="EW742" s="48"/>
      <c r="EX742" s="48"/>
      <c r="EY742" s="48"/>
      <c r="EZ742" s="48"/>
      <c r="FA742" s="48"/>
      <c r="FB742" s="48"/>
      <c r="FC742" s="48"/>
      <c r="FD742" s="48"/>
      <c r="FE742" s="48"/>
      <c r="FF742" s="48"/>
      <c r="FG742" s="48"/>
      <c r="FI742" s="48"/>
      <c r="FL742" s="48"/>
      <c r="FM742" s="48"/>
      <c r="FN742" s="48"/>
      <c r="FO742" s="48"/>
      <c r="FP742" s="48"/>
      <c r="FQ742" s="48"/>
      <c r="FR742" s="48"/>
      <c r="FS742" s="48"/>
      <c r="FT742" s="48"/>
      <c r="FU742" s="48"/>
    </row>
    <row r="743" spans="1:177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52"/>
      <c r="BF743" s="48"/>
      <c r="BG743" s="48"/>
      <c r="BI743" s="48"/>
      <c r="BN743" s="48"/>
      <c r="BO743" s="48"/>
      <c r="BR743" s="48"/>
      <c r="BS743" s="48"/>
      <c r="BW743" s="48"/>
      <c r="CA743" s="48"/>
      <c r="CE743" s="48"/>
      <c r="CF743" s="48"/>
      <c r="CG743" s="48"/>
      <c r="CH743" s="48"/>
      <c r="CI743" s="48"/>
      <c r="CJ743" s="48"/>
      <c r="CL743" s="48"/>
      <c r="CM743" s="48"/>
      <c r="CN743" s="48"/>
      <c r="CO743" s="48"/>
      <c r="CP743" s="48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8"/>
      <c r="DV743" s="48"/>
      <c r="DW743" s="48"/>
      <c r="DX743" s="48"/>
      <c r="DY743" s="48"/>
      <c r="DZ743" s="48"/>
      <c r="EA743" s="48"/>
      <c r="EC743" s="48"/>
      <c r="ED743" s="48"/>
      <c r="EE743" s="48"/>
      <c r="EF743" s="48"/>
      <c r="EG743" s="48"/>
      <c r="EI743" s="48"/>
      <c r="EK743" s="48"/>
      <c r="EM743" s="48"/>
      <c r="EO743" s="48"/>
      <c r="EP743" s="48"/>
      <c r="EU743" s="48"/>
      <c r="EV743" s="48"/>
      <c r="EW743" s="48"/>
      <c r="EX743" s="48"/>
      <c r="EY743" s="48"/>
      <c r="EZ743" s="48"/>
      <c r="FA743" s="48"/>
      <c r="FB743" s="48"/>
      <c r="FC743" s="48"/>
      <c r="FD743" s="48"/>
      <c r="FE743" s="48"/>
      <c r="FF743" s="48"/>
      <c r="FG743" s="48"/>
      <c r="FI743" s="48"/>
      <c r="FL743" s="48"/>
      <c r="FM743" s="48"/>
      <c r="FN743" s="48"/>
      <c r="FO743" s="48"/>
      <c r="FP743" s="48"/>
      <c r="FQ743" s="48"/>
      <c r="FR743" s="48"/>
      <c r="FS743" s="48"/>
      <c r="FT743" s="48"/>
      <c r="FU743" s="48"/>
    </row>
    <row r="744" spans="1:177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52"/>
      <c r="BF744" s="48"/>
      <c r="BG744" s="48"/>
      <c r="BI744" s="48"/>
      <c r="BN744" s="48"/>
      <c r="BO744" s="48"/>
      <c r="BR744" s="48"/>
      <c r="BS744" s="48"/>
      <c r="BW744" s="48"/>
      <c r="CA744" s="48"/>
      <c r="CE744" s="48"/>
      <c r="CF744" s="48"/>
      <c r="CG744" s="48"/>
      <c r="CH744" s="48"/>
      <c r="CI744" s="48"/>
      <c r="CJ744" s="48"/>
      <c r="CL744" s="48"/>
      <c r="CM744" s="48"/>
      <c r="CN744" s="48"/>
      <c r="CO744" s="48"/>
      <c r="CP744" s="48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  <c r="DE744" s="48"/>
      <c r="DF744" s="48"/>
      <c r="DG744" s="48"/>
      <c r="DH744" s="48"/>
      <c r="DI744" s="48"/>
      <c r="DJ744" s="48"/>
      <c r="DK744" s="48"/>
      <c r="DL744" s="48"/>
      <c r="DM744" s="48"/>
      <c r="DN744" s="48"/>
      <c r="DO744" s="48"/>
      <c r="DP744" s="48"/>
      <c r="DQ744" s="48"/>
      <c r="DR744" s="48"/>
      <c r="DS744" s="48"/>
      <c r="DT744" s="48"/>
      <c r="DU744" s="48"/>
      <c r="DV744" s="48"/>
      <c r="DW744" s="48"/>
      <c r="DX744" s="48"/>
      <c r="DY744" s="48"/>
      <c r="DZ744" s="48"/>
      <c r="EA744" s="48"/>
      <c r="EC744" s="48"/>
      <c r="ED744" s="48"/>
      <c r="EE744" s="48"/>
      <c r="EF744" s="48"/>
      <c r="EG744" s="48"/>
      <c r="EI744" s="48"/>
      <c r="EK744" s="48"/>
      <c r="EM744" s="48"/>
      <c r="EO744" s="48"/>
      <c r="EP744" s="48"/>
      <c r="EU744" s="48"/>
      <c r="EV744" s="48"/>
      <c r="EW744" s="48"/>
      <c r="EX744" s="48"/>
      <c r="EY744" s="48"/>
      <c r="EZ744" s="48"/>
      <c r="FA744" s="48"/>
      <c r="FB744" s="48"/>
      <c r="FC744" s="48"/>
      <c r="FD744" s="48"/>
      <c r="FE744" s="48"/>
      <c r="FF744" s="48"/>
      <c r="FG744" s="48"/>
      <c r="FI744" s="48"/>
      <c r="FL744" s="48"/>
      <c r="FM744" s="48"/>
      <c r="FN744" s="48"/>
      <c r="FO744" s="48"/>
      <c r="FP744" s="48"/>
      <c r="FQ744" s="48"/>
      <c r="FR744" s="48"/>
      <c r="FS744" s="48"/>
      <c r="FT744" s="48"/>
      <c r="FU744" s="48"/>
    </row>
    <row r="745" spans="1:177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52"/>
      <c r="BF745" s="48"/>
      <c r="BG745" s="48"/>
      <c r="BI745" s="48"/>
      <c r="BN745" s="48"/>
      <c r="BO745" s="48"/>
      <c r="BR745" s="48"/>
      <c r="BS745" s="48"/>
      <c r="BW745" s="48"/>
      <c r="CA745" s="48"/>
      <c r="CE745" s="48"/>
      <c r="CF745" s="48"/>
      <c r="CG745" s="48"/>
      <c r="CH745" s="48"/>
      <c r="CI745" s="48"/>
      <c r="CJ745" s="48"/>
      <c r="CL745" s="48"/>
      <c r="CM745" s="48"/>
      <c r="CN745" s="48"/>
      <c r="CO745" s="48"/>
      <c r="CP745" s="48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  <c r="DE745" s="48"/>
      <c r="DF745" s="48"/>
      <c r="DG745" s="48"/>
      <c r="DH745" s="48"/>
      <c r="DI745" s="48"/>
      <c r="DJ745" s="48"/>
      <c r="DK745" s="48"/>
      <c r="DL745" s="48"/>
      <c r="DM745" s="48"/>
      <c r="DN745" s="48"/>
      <c r="DO745" s="48"/>
      <c r="DP745" s="48"/>
      <c r="DQ745" s="48"/>
      <c r="DR745" s="48"/>
      <c r="DS745" s="48"/>
      <c r="DT745" s="48"/>
      <c r="DU745" s="48"/>
      <c r="DV745" s="48"/>
      <c r="DW745" s="48"/>
      <c r="DX745" s="48"/>
      <c r="DY745" s="48"/>
      <c r="DZ745" s="48"/>
      <c r="EA745" s="48"/>
      <c r="EC745" s="48"/>
      <c r="ED745" s="48"/>
      <c r="EE745" s="48"/>
      <c r="EF745" s="48"/>
      <c r="EG745" s="48"/>
      <c r="EI745" s="48"/>
      <c r="EK745" s="48"/>
      <c r="EM745" s="48"/>
      <c r="EO745" s="48"/>
      <c r="EP745" s="48"/>
      <c r="EU745" s="48"/>
      <c r="EV745" s="48"/>
      <c r="EW745" s="48"/>
      <c r="EX745" s="48"/>
      <c r="EY745" s="48"/>
      <c r="EZ745" s="48"/>
      <c r="FA745" s="48"/>
      <c r="FB745" s="48"/>
      <c r="FC745" s="48"/>
      <c r="FD745" s="48"/>
      <c r="FE745" s="48"/>
      <c r="FF745" s="48"/>
      <c r="FG745" s="48"/>
      <c r="FI745" s="48"/>
      <c r="FL745" s="48"/>
      <c r="FM745" s="48"/>
      <c r="FN745" s="48"/>
      <c r="FO745" s="48"/>
      <c r="FP745" s="48"/>
      <c r="FQ745" s="48"/>
      <c r="FR745" s="48"/>
      <c r="FS745" s="48"/>
      <c r="FT745" s="48"/>
      <c r="FU745" s="48"/>
    </row>
    <row r="746" spans="1:177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52"/>
      <c r="BF746" s="48"/>
      <c r="BG746" s="48"/>
      <c r="BI746" s="48"/>
      <c r="BN746" s="48"/>
      <c r="BO746" s="48"/>
      <c r="BR746" s="48"/>
      <c r="BS746" s="48"/>
      <c r="BW746" s="48"/>
      <c r="CA746" s="48"/>
      <c r="CE746" s="48"/>
      <c r="CF746" s="48"/>
      <c r="CG746" s="48"/>
      <c r="CH746" s="48"/>
      <c r="CI746" s="48"/>
      <c r="CJ746" s="48"/>
      <c r="CL746" s="48"/>
      <c r="CM746" s="48"/>
      <c r="CN746" s="48"/>
      <c r="CO746" s="48"/>
      <c r="CP746" s="48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  <c r="DD746" s="48"/>
      <c r="DE746" s="48"/>
      <c r="DF746" s="48"/>
      <c r="DG746" s="48"/>
      <c r="DH746" s="48"/>
      <c r="DI746" s="48"/>
      <c r="DJ746" s="48"/>
      <c r="DK746" s="48"/>
      <c r="DL746" s="48"/>
      <c r="DM746" s="48"/>
      <c r="DN746" s="48"/>
      <c r="DO746" s="48"/>
      <c r="DP746" s="48"/>
      <c r="DQ746" s="48"/>
      <c r="DR746" s="48"/>
      <c r="DS746" s="48"/>
      <c r="DT746" s="48"/>
      <c r="DU746" s="48"/>
      <c r="DV746" s="48"/>
      <c r="DW746" s="48"/>
      <c r="DX746" s="48"/>
      <c r="DY746" s="48"/>
      <c r="DZ746" s="48"/>
      <c r="EA746" s="48"/>
      <c r="EC746" s="48"/>
      <c r="ED746" s="48"/>
      <c r="EE746" s="48"/>
      <c r="EF746" s="48"/>
      <c r="EG746" s="48"/>
      <c r="EI746" s="48"/>
      <c r="EK746" s="48"/>
      <c r="EM746" s="48"/>
      <c r="EO746" s="48"/>
      <c r="EP746" s="48"/>
      <c r="EU746" s="48"/>
      <c r="EV746" s="48"/>
      <c r="EW746" s="48"/>
      <c r="EX746" s="48"/>
      <c r="EY746" s="48"/>
      <c r="EZ746" s="48"/>
      <c r="FA746" s="48"/>
      <c r="FB746" s="48"/>
      <c r="FC746" s="48"/>
      <c r="FD746" s="48"/>
      <c r="FE746" s="48"/>
      <c r="FF746" s="48"/>
      <c r="FG746" s="48"/>
      <c r="FI746" s="48"/>
      <c r="FL746" s="48"/>
      <c r="FM746" s="48"/>
      <c r="FN746" s="48"/>
      <c r="FO746" s="48"/>
      <c r="FP746" s="48"/>
      <c r="FQ746" s="48"/>
      <c r="FR746" s="48"/>
      <c r="FS746" s="48"/>
      <c r="FT746" s="48"/>
      <c r="FU746" s="48"/>
    </row>
    <row r="747" spans="1:17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52"/>
      <c r="BF747" s="48"/>
      <c r="BG747" s="48"/>
      <c r="BI747" s="48"/>
      <c r="BN747" s="48"/>
      <c r="BO747" s="48"/>
      <c r="BR747" s="48"/>
      <c r="BS747" s="48"/>
      <c r="BW747" s="48"/>
      <c r="CA747" s="48"/>
      <c r="CE747" s="48"/>
      <c r="CF747" s="48"/>
      <c r="CG747" s="48"/>
      <c r="CH747" s="48"/>
      <c r="CI747" s="48"/>
      <c r="CJ747" s="48"/>
      <c r="CL747" s="48"/>
      <c r="CM747" s="48"/>
      <c r="CN747" s="48"/>
      <c r="CO747" s="48"/>
      <c r="CP747" s="48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  <c r="DE747" s="48"/>
      <c r="DF747" s="48"/>
      <c r="DG747" s="48"/>
      <c r="DH747" s="48"/>
      <c r="DI747" s="48"/>
      <c r="DJ747" s="48"/>
      <c r="DK747" s="48"/>
      <c r="DL747" s="48"/>
      <c r="DM747" s="48"/>
      <c r="DN747" s="48"/>
      <c r="DO747" s="48"/>
      <c r="DP747" s="48"/>
      <c r="DQ747" s="48"/>
      <c r="DR747" s="48"/>
      <c r="DS747" s="48"/>
      <c r="DT747" s="48"/>
      <c r="DU747" s="48"/>
      <c r="DV747" s="48"/>
      <c r="DW747" s="48"/>
      <c r="DX747" s="48"/>
      <c r="DY747" s="48"/>
      <c r="DZ747" s="48"/>
      <c r="EA747" s="48"/>
      <c r="EC747" s="48"/>
      <c r="ED747" s="48"/>
      <c r="EE747" s="48"/>
      <c r="EF747" s="48"/>
      <c r="EG747" s="48"/>
      <c r="EI747" s="48"/>
      <c r="EK747" s="48"/>
      <c r="EM747" s="48"/>
      <c r="EO747" s="48"/>
      <c r="EP747" s="48"/>
      <c r="EU747" s="48"/>
      <c r="EV747" s="48"/>
      <c r="EW747" s="48"/>
      <c r="EX747" s="48"/>
      <c r="EY747" s="48"/>
      <c r="EZ747" s="48"/>
      <c r="FA747" s="48"/>
      <c r="FB747" s="48"/>
      <c r="FC747" s="48"/>
      <c r="FD747" s="48"/>
      <c r="FE747" s="48"/>
      <c r="FF747" s="48"/>
      <c r="FG747" s="48"/>
      <c r="FI747" s="48"/>
      <c r="FL747" s="48"/>
      <c r="FM747" s="48"/>
      <c r="FN747" s="48"/>
      <c r="FO747" s="48"/>
      <c r="FP747" s="48"/>
      <c r="FQ747" s="48"/>
      <c r="FR747" s="48"/>
      <c r="FS747" s="48"/>
      <c r="FT747" s="48"/>
      <c r="FU747" s="48"/>
    </row>
    <row r="748" spans="1:177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52"/>
      <c r="BF748" s="48"/>
      <c r="BG748" s="48"/>
      <c r="BI748" s="48"/>
      <c r="BN748" s="48"/>
      <c r="BO748" s="48"/>
      <c r="BR748" s="48"/>
      <c r="BS748" s="48"/>
      <c r="BW748" s="48"/>
      <c r="CA748" s="48"/>
      <c r="CE748" s="48"/>
      <c r="CF748" s="48"/>
      <c r="CG748" s="48"/>
      <c r="CH748" s="48"/>
      <c r="CI748" s="48"/>
      <c r="CJ748" s="48"/>
      <c r="CL748" s="48"/>
      <c r="CM748" s="48"/>
      <c r="CN748" s="48"/>
      <c r="CO748" s="48"/>
      <c r="CP748" s="48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8"/>
      <c r="DN748" s="48"/>
      <c r="DO748" s="48"/>
      <c r="DP748" s="48"/>
      <c r="DQ748" s="48"/>
      <c r="DR748" s="48"/>
      <c r="DS748" s="48"/>
      <c r="DT748" s="48"/>
      <c r="DU748" s="48"/>
      <c r="DV748" s="48"/>
      <c r="DW748" s="48"/>
      <c r="DX748" s="48"/>
      <c r="DY748" s="48"/>
      <c r="DZ748" s="48"/>
      <c r="EA748" s="48"/>
      <c r="EC748" s="48"/>
      <c r="ED748" s="48"/>
      <c r="EE748" s="48"/>
      <c r="EF748" s="48"/>
      <c r="EG748" s="48"/>
      <c r="EI748" s="48"/>
      <c r="EK748" s="48"/>
      <c r="EM748" s="48"/>
      <c r="EO748" s="48"/>
      <c r="EP748" s="48"/>
      <c r="EU748" s="48"/>
      <c r="EV748" s="48"/>
      <c r="EW748" s="48"/>
      <c r="EX748" s="48"/>
      <c r="EY748" s="48"/>
      <c r="EZ748" s="48"/>
      <c r="FA748" s="48"/>
      <c r="FB748" s="48"/>
      <c r="FC748" s="48"/>
      <c r="FD748" s="48"/>
      <c r="FE748" s="48"/>
      <c r="FF748" s="48"/>
      <c r="FG748" s="48"/>
      <c r="FI748" s="48"/>
      <c r="FL748" s="48"/>
      <c r="FM748" s="48"/>
      <c r="FN748" s="48"/>
      <c r="FO748" s="48"/>
      <c r="FP748" s="48"/>
      <c r="FQ748" s="48"/>
      <c r="FR748" s="48"/>
      <c r="FS748" s="48"/>
      <c r="FT748" s="48"/>
      <c r="FU748" s="48"/>
    </row>
    <row r="749" spans="1:177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52"/>
      <c r="BF749" s="48"/>
      <c r="BG749" s="48"/>
      <c r="BI749" s="48"/>
      <c r="BN749" s="48"/>
      <c r="BO749" s="48"/>
      <c r="BR749" s="48"/>
      <c r="BS749" s="48"/>
      <c r="BW749" s="48"/>
      <c r="CA749" s="48"/>
      <c r="CE749" s="48"/>
      <c r="CF749" s="48"/>
      <c r="CG749" s="48"/>
      <c r="CH749" s="48"/>
      <c r="CI749" s="48"/>
      <c r="CJ749" s="48"/>
      <c r="CL749" s="48"/>
      <c r="CM749" s="48"/>
      <c r="CN749" s="48"/>
      <c r="CO749" s="48"/>
      <c r="CP749" s="48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  <c r="DD749" s="48"/>
      <c r="DE749" s="48"/>
      <c r="DF749" s="48"/>
      <c r="DG749" s="48"/>
      <c r="DH749" s="48"/>
      <c r="DI749" s="48"/>
      <c r="DJ749" s="48"/>
      <c r="DK749" s="48"/>
      <c r="DL749" s="48"/>
      <c r="DM749" s="48"/>
      <c r="DN749" s="48"/>
      <c r="DO749" s="48"/>
      <c r="DP749" s="48"/>
      <c r="DQ749" s="48"/>
      <c r="DR749" s="48"/>
      <c r="DS749" s="48"/>
      <c r="DT749" s="48"/>
      <c r="DU749" s="48"/>
      <c r="DV749" s="48"/>
      <c r="DW749" s="48"/>
      <c r="DX749" s="48"/>
      <c r="DY749" s="48"/>
      <c r="DZ749" s="48"/>
      <c r="EA749" s="48"/>
      <c r="EC749" s="48"/>
      <c r="ED749" s="48"/>
      <c r="EE749" s="48"/>
      <c r="EF749" s="48"/>
      <c r="EG749" s="48"/>
      <c r="EI749" s="48"/>
      <c r="EK749" s="48"/>
      <c r="EM749" s="48"/>
      <c r="EO749" s="48"/>
      <c r="EP749" s="48"/>
      <c r="EU749" s="48"/>
      <c r="EV749" s="48"/>
      <c r="EW749" s="48"/>
      <c r="EX749" s="48"/>
      <c r="EY749" s="48"/>
      <c r="EZ749" s="48"/>
      <c r="FA749" s="48"/>
      <c r="FB749" s="48"/>
      <c r="FC749" s="48"/>
      <c r="FD749" s="48"/>
      <c r="FE749" s="48"/>
      <c r="FF749" s="48"/>
      <c r="FG749" s="48"/>
      <c r="FI749" s="48"/>
      <c r="FL749" s="48"/>
      <c r="FM749" s="48"/>
      <c r="FN749" s="48"/>
      <c r="FO749" s="48"/>
      <c r="FP749" s="48"/>
      <c r="FQ749" s="48"/>
      <c r="FR749" s="48"/>
      <c r="FS749" s="48"/>
      <c r="FT749" s="48"/>
      <c r="FU749" s="48"/>
    </row>
    <row r="750" spans="1:177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52"/>
      <c r="BF750" s="48"/>
      <c r="BG750" s="48"/>
      <c r="BI750" s="48"/>
      <c r="BN750" s="48"/>
      <c r="BO750" s="48"/>
      <c r="BR750" s="48"/>
      <c r="BS750" s="48"/>
      <c r="BW750" s="48"/>
      <c r="CA750" s="48"/>
      <c r="CE750" s="48"/>
      <c r="CF750" s="48"/>
      <c r="CG750" s="48"/>
      <c r="CH750" s="48"/>
      <c r="CI750" s="48"/>
      <c r="CJ750" s="48"/>
      <c r="CL750" s="48"/>
      <c r="CM750" s="48"/>
      <c r="CN750" s="48"/>
      <c r="CO750" s="48"/>
      <c r="CP750" s="48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  <c r="DD750" s="48"/>
      <c r="DE750" s="48"/>
      <c r="DF750" s="48"/>
      <c r="DG750" s="48"/>
      <c r="DH750" s="48"/>
      <c r="DI750" s="48"/>
      <c r="DJ750" s="48"/>
      <c r="DK750" s="48"/>
      <c r="DL750" s="48"/>
      <c r="DM750" s="48"/>
      <c r="DN750" s="48"/>
      <c r="DO750" s="48"/>
      <c r="DP750" s="48"/>
      <c r="DQ750" s="48"/>
      <c r="DR750" s="48"/>
      <c r="DS750" s="48"/>
      <c r="DT750" s="48"/>
      <c r="DU750" s="48"/>
      <c r="DV750" s="48"/>
      <c r="DW750" s="48"/>
      <c r="DX750" s="48"/>
      <c r="DY750" s="48"/>
      <c r="DZ750" s="48"/>
      <c r="EA750" s="48"/>
      <c r="EC750" s="48"/>
      <c r="ED750" s="48"/>
      <c r="EE750" s="48"/>
      <c r="EF750" s="48"/>
      <c r="EG750" s="48"/>
      <c r="EI750" s="48"/>
      <c r="EK750" s="48"/>
      <c r="EM750" s="48"/>
      <c r="EO750" s="48"/>
      <c r="EP750" s="48"/>
      <c r="EU750" s="48"/>
      <c r="EV750" s="48"/>
      <c r="EW750" s="48"/>
      <c r="EX750" s="48"/>
      <c r="EY750" s="48"/>
      <c r="EZ750" s="48"/>
      <c r="FA750" s="48"/>
      <c r="FB750" s="48"/>
      <c r="FC750" s="48"/>
      <c r="FD750" s="48"/>
      <c r="FE750" s="48"/>
      <c r="FF750" s="48"/>
      <c r="FG750" s="48"/>
      <c r="FI750" s="48"/>
      <c r="FL750" s="48"/>
      <c r="FM750" s="48"/>
      <c r="FN750" s="48"/>
      <c r="FO750" s="48"/>
      <c r="FP750" s="48"/>
      <c r="FQ750" s="48"/>
      <c r="FR750" s="48"/>
      <c r="FS750" s="48"/>
      <c r="FT750" s="48"/>
      <c r="FU750" s="48"/>
    </row>
    <row r="751" spans="1:177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52"/>
      <c r="BF751" s="48"/>
      <c r="BG751" s="48"/>
      <c r="BI751" s="48"/>
      <c r="BN751" s="48"/>
      <c r="BO751" s="48"/>
      <c r="BR751" s="48"/>
      <c r="BS751" s="48"/>
      <c r="BW751" s="48"/>
      <c r="CA751" s="48"/>
      <c r="CE751" s="48"/>
      <c r="CF751" s="48"/>
      <c r="CG751" s="48"/>
      <c r="CH751" s="48"/>
      <c r="CI751" s="48"/>
      <c r="CJ751" s="48"/>
      <c r="CL751" s="48"/>
      <c r="CM751" s="48"/>
      <c r="CN751" s="48"/>
      <c r="CO751" s="48"/>
      <c r="CP751" s="48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  <c r="DE751" s="48"/>
      <c r="DF751" s="48"/>
      <c r="DG751" s="48"/>
      <c r="DH751" s="48"/>
      <c r="DI751" s="48"/>
      <c r="DJ751" s="48"/>
      <c r="DK751" s="48"/>
      <c r="DL751" s="48"/>
      <c r="DM751" s="48"/>
      <c r="DN751" s="48"/>
      <c r="DO751" s="48"/>
      <c r="DP751" s="48"/>
      <c r="DQ751" s="48"/>
      <c r="DR751" s="48"/>
      <c r="DS751" s="48"/>
      <c r="DT751" s="48"/>
      <c r="DU751" s="48"/>
      <c r="DV751" s="48"/>
      <c r="DW751" s="48"/>
      <c r="DX751" s="48"/>
      <c r="DY751" s="48"/>
      <c r="DZ751" s="48"/>
      <c r="EA751" s="48"/>
      <c r="EC751" s="48"/>
      <c r="ED751" s="48"/>
      <c r="EE751" s="48"/>
      <c r="EF751" s="48"/>
      <c r="EG751" s="48"/>
      <c r="EI751" s="48"/>
      <c r="EK751" s="48"/>
      <c r="EM751" s="48"/>
      <c r="EO751" s="48"/>
      <c r="EP751" s="48"/>
      <c r="EU751" s="48"/>
      <c r="EV751" s="48"/>
      <c r="EW751" s="48"/>
      <c r="EX751" s="48"/>
      <c r="EY751" s="48"/>
      <c r="EZ751" s="48"/>
      <c r="FA751" s="48"/>
      <c r="FB751" s="48"/>
      <c r="FC751" s="48"/>
      <c r="FD751" s="48"/>
      <c r="FE751" s="48"/>
      <c r="FF751" s="48"/>
      <c r="FG751" s="48"/>
      <c r="FI751" s="48"/>
      <c r="FL751" s="48"/>
      <c r="FM751" s="48"/>
      <c r="FN751" s="48"/>
      <c r="FO751" s="48"/>
      <c r="FP751" s="48"/>
      <c r="FQ751" s="48"/>
      <c r="FR751" s="48"/>
      <c r="FS751" s="48"/>
      <c r="FT751" s="48"/>
      <c r="FU751" s="48"/>
    </row>
    <row r="752" spans="1:177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52"/>
      <c r="BF752" s="48"/>
      <c r="BG752" s="48"/>
      <c r="BI752" s="48"/>
      <c r="BN752" s="48"/>
      <c r="BO752" s="48"/>
      <c r="BR752" s="48"/>
      <c r="BS752" s="48"/>
      <c r="BW752" s="48"/>
      <c r="CA752" s="48"/>
      <c r="CE752" s="48"/>
      <c r="CF752" s="48"/>
      <c r="CG752" s="48"/>
      <c r="CH752" s="48"/>
      <c r="CI752" s="48"/>
      <c r="CJ752" s="48"/>
      <c r="CL752" s="48"/>
      <c r="CM752" s="48"/>
      <c r="CN752" s="48"/>
      <c r="CO752" s="48"/>
      <c r="CP752" s="48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  <c r="DD752" s="48"/>
      <c r="DE752" s="48"/>
      <c r="DF752" s="48"/>
      <c r="DG752" s="48"/>
      <c r="DH752" s="48"/>
      <c r="DI752" s="48"/>
      <c r="DJ752" s="48"/>
      <c r="DK752" s="48"/>
      <c r="DL752" s="48"/>
      <c r="DM752" s="48"/>
      <c r="DN752" s="48"/>
      <c r="DO752" s="48"/>
      <c r="DP752" s="48"/>
      <c r="DQ752" s="48"/>
      <c r="DR752" s="48"/>
      <c r="DS752" s="48"/>
      <c r="DT752" s="48"/>
      <c r="DU752" s="48"/>
      <c r="DV752" s="48"/>
      <c r="DW752" s="48"/>
      <c r="DX752" s="48"/>
      <c r="DY752" s="48"/>
      <c r="DZ752" s="48"/>
      <c r="EA752" s="48"/>
      <c r="EC752" s="48"/>
      <c r="ED752" s="48"/>
      <c r="EE752" s="48"/>
      <c r="EF752" s="48"/>
      <c r="EG752" s="48"/>
      <c r="EI752" s="48"/>
      <c r="EK752" s="48"/>
      <c r="EM752" s="48"/>
      <c r="EO752" s="48"/>
      <c r="EP752" s="48"/>
      <c r="EU752" s="48"/>
      <c r="EV752" s="48"/>
      <c r="EW752" s="48"/>
      <c r="EX752" s="48"/>
      <c r="EY752" s="48"/>
      <c r="EZ752" s="48"/>
      <c r="FA752" s="48"/>
      <c r="FB752" s="48"/>
      <c r="FC752" s="48"/>
      <c r="FD752" s="48"/>
      <c r="FE752" s="48"/>
      <c r="FF752" s="48"/>
      <c r="FG752" s="48"/>
      <c r="FI752" s="48"/>
      <c r="FL752" s="48"/>
      <c r="FM752" s="48"/>
      <c r="FN752" s="48"/>
      <c r="FO752" s="48"/>
      <c r="FP752" s="48"/>
      <c r="FQ752" s="48"/>
      <c r="FR752" s="48"/>
      <c r="FS752" s="48"/>
      <c r="FT752" s="48"/>
      <c r="FU752" s="48"/>
    </row>
    <row r="753" spans="1:177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52"/>
      <c r="BF753" s="48"/>
      <c r="BG753" s="48"/>
      <c r="BI753" s="48"/>
      <c r="BN753" s="48"/>
      <c r="BO753" s="48"/>
      <c r="BR753" s="48"/>
      <c r="BS753" s="48"/>
      <c r="BW753" s="48"/>
      <c r="CA753" s="48"/>
      <c r="CE753" s="48"/>
      <c r="CF753" s="48"/>
      <c r="CG753" s="48"/>
      <c r="CH753" s="48"/>
      <c r="CI753" s="48"/>
      <c r="CJ753" s="48"/>
      <c r="CL753" s="48"/>
      <c r="CM753" s="48"/>
      <c r="CN753" s="48"/>
      <c r="CO753" s="48"/>
      <c r="CP753" s="48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  <c r="DD753" s="48"/>
      <c r="DE753" s="48"/>
      <c r="DF753" s="48"/>
      <c r="DG753" s="48"/>
      <c r="DH753" s="48"/>
      <c r="DI753" s="48"/>
      <c r="DJ753" s="48"/>
      <c r="DK753" s="48"/>
      <c r="DL753" s="48"/>
      <c r="DM753" s="48"/>
      <c r="DN753" s="48"/>
      <c r="DO753" s="48"/>
      <c r="DP753" s="48"/>
      <c r="DQ753" s="48"/>
      <c r="DR753" s="48"/>
      <c r="DS753" s="48"/>
      <c r="DT753" s="48"/>
      <c r="DU753" s="48"/>
      <c r="DV753" s="48"/>
      <c r="DW753" s="48"/>
      <c r="DX753" s="48"/>
      <c r="DY753" s="48"/>
      <c r="DZ753" s="48"/>
      <c r="EA753" s="48"/>
      <c r="EC753" s="48"/>
      <c r="ED753" s="48"/>
      <c r="EE753" s="48"/>
      <c r="EF753" s="48"/>
      <c r="EG753" s="48"/>
      <c r="EI753" s="48"/>
      <c r="EK753" s="48"/>
      <c r="EM753" s="48"/>
      <c r="EO753" s="48"/>
      <c r="EP753" s="48"/>
      <c r="EU753" s="48"/>
      <c r="EV753" s="48"/>
      <c r="EW753" s="48"/>
      <c r="EX753" s="48"/>
      <c r="EY753" s="48"/>
      <c r="EZ753" s="48"/>
      <c r="FA753" s="48"/>
      <c r="FB753" s="48"/>
      <c r="FC753" s="48"/>
      <c r="FD753" s="48"/>
      <c r="FE753" s="48"/>
      <c r="FF753" s="48"/>
      <c r="FG753" s="48"/>
      <c r="FI753" s="48"/>
      <c r="FL753" s="48"/>
      <c r="FM753" s="48"/>
      <c r="FN753" s="48"/>
      <c r="FO753" s="48"/>
      <c r="FP753" s="48"/>
      <c r="FQ753" s="48"/>
      <c r="FR753" s="48"/>
      <c r="FS753" s="48"/>
      <c r="FT753" s="48"/>
      <c r="FU753" s="48"/>
    </row>
    <row r="754" spans="1:177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52"/>
      <c r="BF754" s="48"/>
      <c r="BG754" s="48"/>
      <c r="BI754" s="48"/>
      <c r="BN754" s="48"/>
      <c r="BO754" s="48"/>
      <c r="BR754" s="48"/>
      <c r="BS754" s="48"/>
      <c r="BW754" s="48"/>
      <c r="CA754" s="48"/>
      <c r="CE754" s="48"/>
      <c r="CF754" s="48"/>
      <c r="CG754" s="48"/>
      <c r="CH754" s="48"/>
      <c r="CI754" s="48"/>
      <c r="CJ754" s="48"/>
      <c r="CL754" s="48"/>
      <c r="CM754" s="48"/>
      <c r="CN754" s="48"/>
      <c r="CO754" s="48"/>
      <c r="CP754" s="48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8"/>
      <c r="DN754" s="48"/>
      <c r="DO754" s="48"/>
      <c r="DP754" s="48"/>
      <c r="DQ754" s="48"/>
      <c r="DR754" s="48"/>
      <c r="DS754" s="48"/>
      <c r="DT754" s="48"/>
      <c r="DU754" s="48"/>
      <c r="DV754" s="48"/>
      <c r="DW754" s="48"/>
      <c r="DX754" s="48"/>
      <c r="DY754" s="48"/>
      <c r="DZ754" s="48"/>
      <c r="EA754" s="48"/>
      <c r="EC754" s="48"/>
      <c r="ED754" s="48"/>
      <c r="EE754" s="48"/>
      <c r="EF754" s="48"/>
      <c r="EG754" s="48"/>
      <c r="EI754" s="48"/>
      <c r="EK754" s="48"/>
      <c r="EM754" s="48"/>
      <c r="EO754" s="48"/>
      <c r="EP754" s="48"/>
      <c r="EU754" s="48"/>
      <c r="EV754" s="48"/>
      <c r="EW754" s="48"/>
      <c r="EX754" s="48"/>
      <c r="EY754" s="48"/>
      <c r="EZ754" s="48"/>
      <c r="FA754" s="48"/>
      <c r="FB754" s="48"/>
      <c r="FC754" s="48"/>
      <c r="FD754" s="48"/>
      <c r="FE754" s="48"/>
      <c r="FF754" s="48"/>
      <c r="FG754" s="48"/>
      <c r="FI754" s="48"/>
      <c r="FL754" s="48"/>
      <c r="FM754" s="48"/>
      <c r="FN754" s="48"/>
      <c r="FO754" s="48"/>
      <c r="FP754" s="48"/>
      <c r="FQ754" s="48"/>
      <c r="FR754" s="48"/>
      <c r="FS754" s="48"/>
      <c r="FT754" s="48"/>
      <c r="FU754" s="48"/>
    </row>
    <row r="755" spans="1:177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52"/>
      <c r="BF755" s="48"/>
      <c r="BG755" s="48"/>
      <c r="BI755" s="48"/>
      <c r="BN755" s="48"/>
      <c r="BO755" s="48"/>
      <c r="BR755" s="48"/>
      <c r="BS755" s="48"/>
      <c r="BW755" s="48"/>
      <c r="CA755" s="48"/>
      <c r="CE755" s="48"/>
      <c r="CF755" s="48"/>
      <c r="CG755" s="48"/>
      <c r="CH755" s="48"/>
      <c r="CI755" s="48"/>
      <c r="CJ755" s="48"/>
      <c r="CL755" s="48"/>
      <c r="CM755" s="48"/>
      <c r="CN755" s="48"/>
      <c r="CO755" s="48"/>
      <c r="CP755" s="48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8"/>
      <c r="DV755" s="48"/>
      <c r="DW755" s="48"/>
      <c r="DX755" s="48"/>
      <c r="DY755" s="48"/>
      <c r="DZ755" s="48"/>
      <c r="EA755" s="48"/>
      <c r="EC755" s="48"/>
      <c r="ED755" s="48"/>
      <c r="EE755" s="48"/>
      <c r="EF755" s="48"/>
      <c r="EG755" s="48"/>
      <c r="EI755" s="48"/>
      <c r="EK755" s="48"/>
      <c r="EM755" s="48"/>
      <c r="EO755" s="48"/>
      <c r="EP755" s="48"/>
      <c r="EU755" s="48"/>
      <c r="EV755" s="48"/>
      <c r="EW755" s="48"/>
      <c r="EX755" s="48"/>
      <c r="EY755" s="48"/>
      <c r="EZ755" s="48"/>
      <c r="FA755" s="48"/>
      <c r="FB755" s="48"/>
      <c r="FC755" s="48"/>
      <c r="FD755" s="48"/>
      <c r="FE755" s="48"/>
      <c r="FF755" s="48"/>
      <c r="FG755" s="48"/>
      <c r="FI755" s="48"/>
      <c r="FL755" s="48"/>
      <c r="FM755" s="48"/>
      <c r="FN755" s="48"/>
      <c r="FO755" s="48"/>
      <c r="FP755" s="48"/>
      <c r="FQ755" s="48"/>
      <c r="FR755" s="48"/>
      <c r="FS755" s="48"/>
      <c r="FT755" s="48"/>
      <c r="FU755" s="48"/>
    </row>
    <row r="756" spans="1:177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52"/>
      <c r="BF756" s="48"/>
      <c r="BG756" s="48"/>
      <c r="BI756" s="48"/>
      <c r="BN756" s="48"/>
      <c r="BO756" s="48"/>
      <c r="BR756" s="48"/>
      <c r="BS756" s="48"/>
      <c r="BW756" s="48"/>
      <c r="CA756" s="48"/>
      <c r="CE756" s="48"/>
      <c r="CF756" s="48"/>
      <c r="CG756" s="48"/>
      <c r="CH756" s="48"/>
      <c r="CI756" s="48"/>
      <c r="CJ756" s="48"/>
      <c r="CL756" s="48"/>
      <c r="CM756" s="48"/>
      <c r="CN756" s="48"/>
      <c r="CO756" s="48"/>
      <c r="CP756" s="48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8"/>
      <c r="DV756" s="48"/>
      <c r="DW756" s="48"/>
      <c r="DX756" s="48"/>
      <c r="DY756" s="48"/>
      <c r="DZ756" s="48"/>
      <c r="EA756" s="48"/>
      <c r="EC756" s="48"/>
      <c r="ED756" s="48"/>
      <c r="EE756" s="48"/>
      <c r="EF756" s="48"/>
      <c r="EG756" s="48"/>
      <c r="EI756" s="48"/>
      <c r="EK756" s="48"/>
      <c r="EM756" s="48"/>
      <c r="EO756" s="48"/>
      <c r="EP756" s="48"/>
      <c r="EU756" s="48"/>
      <c r="EV756" s="48"/>
      <c r="EW756" s="48"/>
      <c r="EX756" s="48"/>
      <c r="EY756" s="48"/>
      <c r="EZ756" s="48"/>
      <c r="FA756" s="48"/>
      <c r="FB756" s="48"/>
      <c r="FC756" s="48"/>
      <c r="FD756" s="48"/>
      <c r="FE756" s="48"/>
      <c r="FF756" s="48"/>
      <c r="FG756" s="48"/>
      <c r="FI756" s="48"/>
      <c r="FL756" s="48"/>
      <c r="FM756" s="48"/>
      <c r="FN756" s="48"/>
      <c r="FO756" s="48"/>
      <c r="FP756" s="48"/>
      <c r="FQ756" s="48"/>
      <c r="FR756" s="48"/>
      <c r="FS756" s="48"/>
      <c r="FT756" s="48"/>
      <c r="FU756" s="48"/>
    </row>
    <row r="757" spans="1:17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52"/>
      <c r="BF757" s="48"/>
      <c r="BG757" s="48"/>
      <c r="BI757" s="48"/>
      <c r="BN757" s="48"/>
      <c r="BO757" s="48"/>
      <c r="BR757" s="48"/>
      <c r="BS757" s="48"/>
      <c r="BW757" s="48"/>
      <c r="CA757" s="48"/>
      <c r="CE757" s="48"/>
      <c r="CF757" s="48"/>
      <c r="CG757" s="48"/>
      <c r="CH757" s="48"/>
      <c r="CI757" s="48"/>
      <c r="CJ757" s="48"/>
      <c r="CL757" s="48"/>
      <c r="CM757" s="48"/>
      <c r="CN757" s="48"/>
      <c r="CO757" s="48"/>
      <c r="CP757" s="48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8"/>
      <c r="DN757" s="48"/>
      <c r="DO757" s="48"/>
      <c r="DP757" s="48"/>
      <c r="DQ757" s="48"/>
      <c r="DR757" s="48"/>
      <c r="DS757" s="48"/>
      <c r="DT757" s="48"/>
      <c r="DU757" s="48"/>
      <c r="DV757" s="48"/>
      <c r="DW757" s="48"/>
      <c r="DX757" s="48"/>
      <c r="DY757" s="48"/>
      <c r="DZ757" s="48"/>
      <c r="EA757" s="48"/>
      <c r="EC757" s="48"/>
      <c r="ED757" s="48"/>
      <c r="EE757" s="48"/>
      <c r="EF757" s="48"/>
      <c r="EG757" s="48"/>
      <c r="EI757" s="48"/>
      <c r="EK757" s="48"/>
      <c r="EM757" s="48"/>
      <c r="EO757" s="48"/>
      <c r="EP757" s="48"/>
      <c r="EU757" s="48"/>
      <c r="EV757" s="48"/>
      <c r="EW757" s="48"/>
      <c r="EX757" s="48"/>
      <c r="EY757" s="48"/>
      <c r="EZ757" s="48"/>
      <c r="FA757" s="48"/>
      <c r="FB757" s="48"/>
      <c r="FC757" s="48"/>
      <c r="FD757" s="48"/>
      <c r="FE757" s="48"/>
      <c r="FF757" s="48"/>
      <c r="FG757" s="48"/>
      <c r="FI757" s="48"/>
      <c r="FL757" s="48"/>
      <c r="FM757" s="48"/>
      <c r="FN757" s="48"/>
      <c r="FO757" s="48"/>
      <c r="FP757" s="48"/>
      <c r="FQ757" s="48"/>
      <c r="FR757" s="48"/>
      <c r="FS757" s="48"/>
      <c r="FT757" s="48"/>
      <c r="FU757" s="48"/>
    </row>
    <row r="758" spans="1:177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52"/>
      <c r="BF758" s="48"/>
      <c r="BG758" s="48"/>
      <c r="BI758" s="48"/>
      <c r="BN758" s="48"/>
      <c r="BO758" s="48"/>
      <c r="BR758" s="48"/>
      <c r="BS758" s="48"/>
      <c r="BW758" s="48"/>
      <c r="CA758" s="48"/>
      <c r="CE758" s="48"/>
      <c r="CF758" s="48"/>
      <c r="CG758" s="48"/>
      <c r="CH758" s="48"/>
      <c r="CI758" s="48"/>
      <c r="CJ758" s="48"/>
      <c r="CL758" s="48"/>
      <c r="CM758" s="48"/>
      <c r="CN758" s="48"/>
      <c r="CO758" s="48"/>
      <c r="CP758" s="48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  <c r="DD758" s="48"/>
      <c r="DE758" s="48"/>
      <c r="DF758" s="48"/>
      <c r="DG758" s="48"/>
      <c r="DH758" s="48"/>
      <c r="DI758" s="48"/>
      <c r="DJ758" s="48"/>
      <c r="DK758" s="48"/>
      <c r="DL758" s="48"/>
      <c r="DM758" s="48"/>
      <c r="DN758" s="48"/>
      <c r="DO758" s="48"/>
      <c r="DP758" s="48"/>
      <c r="DQ758" s="48"/>
      <c r="DR758" s="48"/>
      <c r="DS758" s="48"/>
      <c r="DT758" s="48"/>
      <c r="DU758" s="48"/>
      <c r="DV758" s="48"/>
      <c r="DW758" s="48"/>
      <c r="DX758" s="48"/>
      <c r="DY758" s="48"/>
      <c r="DZ758" s="48"/>
      <c r="EA758" s="48"/>
      <c r="EC758" s="48"/>
      <c r="ED758" s="48"/>
      <c r="EE758" s="48"/>
      <c r="EF758" s="48"/>
      <c r="EG758" s="48"/>
      <c r="EI758" s="48"/>
      <c r="EK758" s="48"/>
      <c r="EM758" s="48"/>
      <c r="EO758" s="48"/>
      <c r="EP758" s="48"/>
      <c r="EU758" s="48"/>
      <c r="EV758" s="48"/>
      <c r="EW758" s="48"/>
      <c r="EX758" s="48"/>
      <c r="EY758" s="48"/>
      <c r="EZ758" s="48"/>
      <c r="FA758" s="48"/>
      <c r="FB758" s="48"/>
      <c r="FC758" s="48"/>
      <c r="FD758" s="48"/>
      <c r="FE758" s="48"/>
      <c r="FF758" s="48"/>
      <c r="FG758" s="48"/>
      <c r="FI758" s="48"/>
      <c r="FL758" s="48"/>
      <c r="FM758" s="48"/>
      <c r="FN758" s="48"/>
      <c r="FO758" s="48"/>
      <c r="FP758" s="48"/>
      <c r="FQ758" s="48"/>
      <c r="FR758" s="48"/>
      <c r="FS758" s="48"/>
      <c r="FT758" s="48"/>
      <c r="FU758" s="48"/>
    </row>
    <row r="759" spans="1:177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52"/>
      <c r="BF759" s="48"/>
      <c r="BG759" s="48"/>
      <c r="BI759" s="48"/>
      <c r="BN759" s="48"/>
      <c r="BO759" s="48"/>
      <c r="BR759" s="48"/>
      <c r="BS759" s="48"/>
      <c r="BW759" s="48"/>
      <c r="CA759" s="48"/>
      <c r="CE759" s="48"/>
      <c r="CF759" s="48"/>
      <c r="CG759" s="48"/>
      <c r="CH759" s="48"/>
      <c r="CI759" s="48"/>
      <c r="CJ759" s="48"/>
      <c r="CL759" s="48"/>
      <c r="CM759" s="48"/>
      <c r="CN759" s="48"/>
      <c r="CO759" s="48"/>
      <c r="CP759" s="48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  <c r="DE759" s="48"/>
      <c r="DF759" s="48"/>
      <c r="DG759" s="48"/>
      <c r="DH759" s="48"/>
      <c r="DI759" s="48"/>
      <c r="DJ759" s="48"/>
      <c r="DK759" s="48"/>
      <c r="DL759" s="48"/>
      <c r="DM759" s="48"/>
      <c r="DN759" s="48"/>
      <c r="DO759" s="48"/>
      <c r="DP759" s="48"/>
      <c r="DQ759" s="48"/>
      <c r="DR759" s="48"/>
      <c r="DS759" s="48"/>
      <c r="DT759" s="48"/>
      <c r="DU759" s="48"/>
      <c r="DV759" s="48"/>
      <c r="DW759" s="48"/>
      <c r="DX759" s="48"/>
      <c r="DY759" s="48"/>
      <c r="DZ759" s="48"/>
      <c r="EA759" s="48"/>
      <c r="EC759" s="48"/>
      <c r="ED759" s="48"/>
      <c r="EE759" s="48"/>
      <c r="EF759" s="48"/>
      <c r="EG759" s="48"/>
      <c r="EI759" s="48"/>
      <c r="EK759" s="48"/>
      <c r="EM759" s="48"/>
      <c r="EO759" s="48"/>
      <c r="EP759" s="48"/>
      <c r="EU759" s="48"/>
      <c r="EV759" s="48"/>
      <c r="EW759" s="48"/>
      <c r="EX759" s="48"/>
      <c r="EY759" s="48"/>
      <c r="EZ759" s="48"/>
      <c r="FA759" s="48"/>
      <c r="FB759" s="48"/>
      <c r="FC759" s="48"/>
      <c r="FD759" s="48"/>
      <c r="FE759" s="48"/>
      <c r="FF759" s="48"/>
      <c r="FG759" s="48"/>
      <c r="FI759" s="48"/>
      <c r="FL759" s="48"/>
      <c r="FM759" s="48"/>
      <c r="FN759" s="48"/>
      <c r="FO759" s="48"/>
      <c r="FP759" s="48"/>
      <c r="FQ759" s="48"/>
      <c r="FR759" s="48"/>
      <c r="FS759" s="48"/>
      <c r="FT759" s="48"/>
      <c r="FU759" s="48"/>
    </row>
    <row r="760" spans="1:177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52"/>
      <c r="BF760" s="48"/>
      <c r="BG760" s="48"/>
      <c r="BI760" s="48"/>
      <c r="BN760" s="48"/>
      <c r="BO760" s="48"/>
      <c r="BR760" s="48"/>
      <c r="BS760" s="48"/>
      <c r="BW760" s="48"/>
      <c r="CA760" s="48"/>
      <c r="CE760" s="48"/>
      <c r="CF760" s="48"/>
      <c r="CG760" s="48"/>
      <c r="CH760" s="48"/>
      <c r="CI760" s="48"/>
      <c r="CJ760" s="48"/>
      <c r="CL760" s="48"/>
      <c r="CM760" s="48"/>
      <c r="CN760" s="48"/>
      <c r="CO760" s="48"/>
      <c r="CP760" s="48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8"/>
      <c r="DN760" s="48"/>
      <c r="DO760" s="48"/>
      <c r="DP760" s="48"/>
      <c r="DQ760" s="48"/>
      <c r="DR760" s="48"/>
      <c r="DS760" s="48"/>
      <c r="DT760" s="48"/>
      <c r="DU760" s="48"/>
      <c r="DV760" s="48"/>
      <c r="DW760" s="48"/>
      <c r="DX760" s="48"/>
      <c r="DY760" s="48"/>
      <c r="DZ760" s="48"/>
      <c r="EA760" s="48"/>
      <c r="EC760" s="48"/>
      <c r="ED760" s="48"/>
      <c r="EE760" s="48"/>
      <c r="EF760" s="48"/>
      <c r="EG760" s="48"/>
      <c r="EI760" s="48"/>
      <c r="EK760" s="48"/>
      <c r="EM760" s="48"/>
      <c r="EO760" s="48"/>
      <c r="EP760" s="48"/>
      <c r="EU760" s="48"/>
      <c r="EV760" s="48"/>
      <c r="EW760" s="48"/>
      <c r="EX760" s="48"/>
      <c r="EY760" s="48"/>
      <c r="EZ760" s="48"/>
      <c r="FA760" s="48"/>
      <c r="FB760" s="48"/>
      <c r="FC760" s="48"/>
      <c r="FD760" s="48"/>
      <c r="FE760" s="48"/>
      <c r="FF760" s="48"/>
      <c r="FG760" s="48"/>
      <c r="FI760" s="48"/>
      <c r="FL760" s="48"/>
      <c r="FM760" s="48"/>
      <c r="FN760" s="48"/>
      <c r="FO760" s="48"/>
      <c r="FP760" s="48"/>
      <c r="FQ760" s="48"/>
      <c r="FR760" s="48"/>
      <c r="FS760" s="48"/>
      <c r="FT760" s="48"/>
      <c r="FU760" s="48"/>
    </row>
    <row r="761" spans="1:177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52"/>
      <c r="BF761" s="48"/>
      <c r="BG761" s="48"/>
      <c r="BI761" s="48"/>
      <c r="BN761" s="48"/>
      <c r="BO761" s="48"/>
      <c r="BR761" s="48"/>
      <c r="BS761" s="48"/>
      <c r="BW761" s="48"/>
      <c r="CA761" s="48"/>
      <c r="CE761" s="48"/>
      <c r="CF761" s="48"/>
      <c r="CG761" s="48"/>
      <c r="CH761" s="48"/>
      <c r="CI761" s="48"/>
      <c r="CJ761" s="48"/>
      <c r="CL761" s="48"/>
      <c r="CM761" s="48"/>
      <c r="CN761" s="48"/>
      <c r="CO761" s="48"/>
      <c r="CP761" s="48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  <c r="DD761" s="48"/>
      <c r="DE761" s="48"/>
      <c r="DF761" s="48"/>
      <c r="DG761" s="48"/>
      <c r="DH761" s="48"/>
      <c r="DI761" s="48"/>
      <c r="DJ761" s="48"/>
      <c r="DK761" s="48"/>
      <c r="DL761" s="48"/>
      <c r="DM761" s="48"/>
      <c r="DN761" s="48"/>
      <c r="DO761" s="48"/>
      <c r="DP761" s="48"/>
      <c r="DQ761" s="48"/>
      <c r="DR761" s="48"/>
      <c r="DS761" s="48"/>
      <c r="DT761" s="48"/>
      <c r="DU761" s="48"/>
      <c r="DV761" s="48"/>
      <c r="DW761" s="48"/>
      <c r="DX761" s="48"/>
      <c r="DY761" s="48"/>
      <c r="DZ761" s="48"/>
      <c r="EA761" s="48"/>
      <c r="EC761" s="48"/>
      <c r="ED761" s="48"/>
      <c r="EE761" s="48"/>
      <c r="EF761" s="48"/>
      <c r="EG761" s="48"/>
      <c r="EI761" s="48"/>
      <c r="EK761" s="48"/>
      <c r="EM761" s="48"/>
      <c r="EO761" s="48"/>
      <c r="EP761" s="48"/>
      <c r="EU761" s="48"/>
      <c r="EV761" s="48"/>
      <c r="EW761" s="48"/>
      <c r="EX761" s="48"/>
      <c r="EY761" s="48"/>
      <c r="EZ761" s="48"/>
      <c r="FA761" s="48"/>
      <c r="FB761" s="48"/>
      <c r="FC761" s="48"/>
      <c r="FD761" s="48"/>
      <c r="FE761" s="48"/>
      <c r="FF761" s="48"/>
      <c r="FG761" s="48"/>
      <c r="FI761" s="48"/>
      <c r="FL761" s="48"/>
      <c r="FM761" s="48"/>
      <c r="FN761" s="48"/>
      <c r="FO761" s="48"/>
      <c r="FP761" s="48"/>
      <c r="FQ761" s="48"/>
      <c r="FR761" s="48"/>
      <c r="FS761" s="48"/>
      <c r="FT761" s="48"/>
      <c r="FU761" s="48"/>
    </row>
    <row r="762" spans="1:177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52"/>
      <c r="BF762" s="48"/>
      <c r="BG762" s="48"/>
      <c r="BI762" s="48"/>
      <c r="BN762" s="48"/>
      <c r="BO762" s="48"/>
      <c r="BR762" s="48"/>
      <c r="BS762" s="48"/>
      <c r="BW762" s="48"/>
      <c r="CA762" s="48"/>
      <c r="CE762" s="48"/>
      <c r="CF762" s="48"/>
      <c r="CG762" s="48"/>
      <c r="CH762" s="48"/>
      <c r="CI762" s="48"/>
      <c r="CJ762" s="48"/>
      <c r="CL762" s="48"/>
      <c r="CM762" s="48"/>
      <c r="CN762" s="48"/>
      <c r="CO762" s="48"/>
      <c r="CP762" s="48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  <c r="DD762" s="48"/>
      <c r="DE762" s="48"/>
      <c r="DF762" s="48"/>
      <c r="DG762" s="48"/>
      <c r="DH762" s="48"/>
      <c r="DI762" s="48"/>
      <c r="DJ762" s="48"/>
      <c r="DK762" s="48"/>
      <c r="DL762" s="48"/>
      <c r="DM762" s="48"/>
      <c r="DN762" s="48"/>
      <c r="DO762" s="48"/>
      <c r="DP762" s="48"/>
      <c r="DQ762" s="48"/>
      <c r="DR762" s="48"/>
      <c r="DS762" s="48"/>
      <c r="DT762" s="48"/>
      <c r="DU762" s="48"/>
      <c r="DV762" s="48"/>
      <c r="DW762" s="48"/>
      <c r="DX762" s="48"/>
      <c r="DY762" s="48"/>
      <c r="DZ762" s="48"/>
      <c r="EA762" s="48"/>
      <c r="EC762" s="48"/>
      <c r="ED762" s="48"/>
      <c r="EE762" s="48"/>
      <c r="EF762" s="48"/>
      <c r="EG762" s="48"/>
      <c r="EI762" s="48"/>
      <c r="EK762" s="48"/>
      <c r="EM762" s="48"/>
      <c r="EO762" s="48"/>
      <c r="EP762" s="48"/>
      <c r="EU762" s="48"/>
      <c r="EV762" s="48"/>
      <c r="EW762" s="48"/>
      <c r="EX762" s="48"/>
      <c r="EY762" s="48"/>
      <c r="EZ762" s="48"/>
      <c r="FA762" s="48"/>
      <c r="FB762" s="48"/>
      <c r="FC762" s="48"/>
      <c r="FD762" s="48"/>
      <c r="FE762" s="48"/>
      <c r="FF762" s="48"/>
      <c r="FG762" s="48"/>
      <c r="FI762" s="48"/>
      <c r="FL762" s="48"/>
      <c r="FM762" s="48"/>
      <c r="FN762" s="48"/>
      <c r="FO762" s="48"/>
      <c r="FP762" s="48"/>
      <c r="FQ762" s="48"/>
      <c r="FR762" s="48"/>
      <c r="FS762" s="48"/>
      <c r="FT762" s="48"/>
      <c r="FU762" s="48"/>
    </row>
    <row r="763" spans="1:177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52"/>
      <c r="BF763" s="48"/>
      <c r="BG763" s="48"/>
      <c r="BI763" s="48"/>
      <c r="BN763" s="48"/>
      <c r="BO763" s="48"/>
      <c r="BR763" s="48"/>
      <c r="BS763" s="48"/>
      <c r="BW763" s="48"/>
      <c r="CA763" s="48"/>
      <c r="CE763" s="48"/>
      <c r="CF763" s="48"/>
      <c r="CG763" s="48"/>
      <c r="CH763" s="48"/>
      <c r="CI763" s="48"/>
      <c r="CJ763" s="48"/>
      <c r="CL763" s="48"/>
      <c r="CM763" s="48"/>
      <c r="CN763" s="48"/>
      <c r="CO763" s="48"/>
      <c r="CP763" s="48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8"/>
      <c r="DN763" s="48"/>
      <c r="DO763" s="48"/>
      <c r="DP763" s="48"/>
      <c r="DQ763" s="48"/>
      <c r="DR763" s="48"/>
      <c r="DS763" s="48"/>
      <c r="DT763" s="48"/>
      <c r="DU763" s="48"/>
      <c r="DV763" s="48"/>
      <c r="DW763" s="48"/>
      <c r="DX763" s="48"/>
      <c r="DY763" s="48"/>
      <c r="DZ763" s="48"/>
      <c r="EA763" s="48"/>
      <c r="EC763" s="48"/>
      <c r="ED763" s="48"/>
      <c r="EE763" s="48"/>
      <c r="EF763" s="48"/>
      <c r="EG763" s="48"/>
      <c r="EI763" s="48"/>
      <c r="EK763" s="48"/>
      <c r="EM763" s="48"/>
      <c r="EO763" s="48"/>
      <c r="EP763" s="48"/>
      <c r="EU763" s="48"/>
      <c r="EV763" s="48"/>
      <c r="EW763" s="48"/>
      <c r="EX763" s="48"/>
      <c r="EY763" s="48"/>
      <c r="EZ763" s="48"/>
      <c r="FA763" s="48"/>
      <c r="FB763" s="48"/>
      <c r="FC763" s="48"/>
      <c r="FD763" s="48"/>
      <c r="FE763" s="48"/>
      <c r="FF763" s="48"/>
      <c r="FG763" s="48"/>
      <c r="FI763" s="48"/>
      <c r="FL763" s="48"/>
      <c r="FM763" s="48"/>
      <c r="FN763" s="48"/>
      <c r="FO763" s="48"/>
      <c r="FP763" s="48"/>
      <c r="FQ763" s="48"/>
      <c r="FR763" s="48"/>
      <c r="FS763" s="48"/>
      <c r="FT763" s="48"/>
      <c r="FU763" s="48"/>
    </row>
    <row r="764" spans="1:177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52"/>
      <c r="BF764" s="48"/>
      <c r="BG764" s="48"/>
      <c r="BI764" s="48"/>
      <c r="BN764" s="48"/>
      <c r="BO764" s="48"/>
      <c r="BR764" s="48"/>
      <c r="BS764" s="48"/>
      <c r="BW764" s="48"/>
      <c r="CA764" s="48"/>
      <c r="CE764" s="48"/>
      <c r="CF764" s="48"/>
      <c r="CG764" s="48"/>
      <c r="CH764" s="48"/>
      <c r="CI764" s="48"/>
      <c r="CJ764" s="48"/>
      <c r="CL764" s="48"/>
      <c r="CM764" s="48"/>
      <c r="CN764" s="48"/>
      <c r="CO764" s="48"/>
      <c r="CP764" s="48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  <c r="DE764" s="48"/>
      <c r="DF764" s="48"/>
      <c r="DG764" s="48"/>
      <c r="DH764" s="48"/>
      <c r="DI764" s="48"/>
      <c r="DJ764" s="48"/>
      <c r="DK764" s="48"/>
      <c r="DL764" s="48"/>
      <c r="DM764" s="48"/>
      <c r="DN764" s="48"/>
      <c r="DO764" s="48"/>
      <c r="DP764" s="48"/>
      <c r="DQ764" s="48"/>
      <c r="DR764" s="48"/>
      <c r="DS764" s="48"/>
      <c r="DT764" s="48"/>
      <c r="DU764" s="48"/>
      <c r="DV764" s="48"/>
      <c r="DW764" s="48"/>
      <c r="DX764" s="48"/>
      <c r="DY764" s="48"/>
      <c r="DZ764" s="48"/>
      <c r="EA764" s="48"/>
      <c r="EC764" s="48"/>
      <c r="ED764" s="48"/>
      <c r="EE764" s="48"/>
      <c r="EF764" s="48"/>
      <c r="EG764" s="48"/>
      <c r="EI764" s="48"/>
      <c r="EK764" s="48"/>
      <c r="EM764" s="48"/>
      <c r="EO764" s="48"/>
      <c r="EP764" s="48"/>
      <c r="EU764" s="48"/>
      <c r="EV764" s="48"/>
      <c r="EW764" s="48"/>
      <c r="EX764" s="48"/>
      <c r="EY764" s="48"/>
      <c r="EZ764" s="48"/>
      <c r="FA764" s="48"/>
      <c r="FB764" s="48"/>
      <c r="FC764" s="48"/>
      <c r="FD764" s="48"/>
      <c r="FE764" s="48"/>
      <c r="FF764" s="48"/>
      <c r="FG764" s="48"/>
      <c r="FI764" s="48"/>
      <c r="FL764" s="48"/>
      <c r="FM764" s="48"/>
      <c r="FN764" s="48"/>
      <c r="FO764" s="48"/>
      <c r="FP764" s="48"/>
      <c r="FQ764" s="48"/>
      <c r="FR764" s="48"/>
      <c r="FS764" s="48"/>
      <c r="FT764" s="48"/>
      <c r="FU764" s="48"/>
    </row>
    <row r="765" spans="1:177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52"/>
      <c r="BF765" s="48"/>
      <c r="BG765" s="48"/>
      <c r="BI765" s="48"/>
      <c r="BN765" s="48"/>
      <c r="BO765" s="48"/>
      <c r="BR765" s="48"/>
      <c r="BS765" s="48"/>
      <c r="BW765" s="48"/>
      <c r="CA765" s="48"/>
      <c r="CE765" s="48"/>
      <c r="CF765" s="48"/>
      <c r="CG765" s="48"/>
      <c r="CH765" s="48"/>
      <c r="CI765" s="48"/>
      <c r="CJ765" s="48"/>
      <c r="CL765" s="48"/>
      <c r="CM765" s="48"/>
      <c r="CN765" s="48"/>
      <c r="CO765" s="48"/>
      <c r="CP765" s="48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  <c r="DD765" s="48"/>
      <c r="DE765" s="48"/>
      <c r="DF765" s="48"/>
      <c r="DG765" s="48"/>
      <c r="DH765" s="48"/>
      <c r="DI765" s="48"/>
      <c r="DJ765" s="48"/>
      <c r="DK765" s="48"/>
      <c r="DL765" s="48"/>
      <c r="DM765" s="48"/>
      <c r="DN765" s="48"/>
      <c r="DO765" s="48"/>
      <c r="DP765" s="48"/>
      <c r="DQ765" s="48"/>
      <c r="DR765" s="48"/>
      <c r="DS765" s="48"/>
      <c r="DT765" s="48"/>
      <c r="DU765" s="48"/>
      <c r="DV765" s="48"/>
      <c r="DW765" s="48"/>
      <c r="DX765" s="48"/>
      <c r="DY765" s="48"/>
      <c r="DZ765" s="48"/>
      <c r="EA765" s="48"/>
      <c r="EC765" s="48"/>
      <c r="ED765" s="48"/>
      <c r="EE765" s="48"/>
      <c r="EF765" s="48"/>
      <c r="EG765" s="48"/>
      <c r="EI765" s="48"/>
      <c r="EK765" s="48"/>
      <c r="EM765" s="48"/>
      <c r="EO765" s="48"/>
      <c r="EP765" s="48"/>
      <c r="EU765" s="48"/>
      <c r="EV765" s="48"/>
      <c r="EW765" s="48"/>
      <c r="EX765" s="48"/>
      <c r="EY765" s="48"/>
      <c r="EZ765" s="48"/>
      <c r="FA765" s="48"/>
      <c r="FB765" s="48"/>
      <c r="FC765" s="48"/>
      <c r="FD765" s="48"/>
      <c r="FE765" s="48"/>
      <c r="FF765" s="48"/>
      <c r="FG765" s="48"/>
      <c r="FI765" s="48"/>
      <c r="FL765" s="48"/>
      <c r="FM765" s="48"/>
      <c r="FN765" s="48"/>
      <c r="FO765" s="48"/>
      <c r="FP765" s="48"/>
      <c r="FQ765" s="48"/>
      <c r="FR765" s="48"/>
      <c r="FS765" s="48"/>
      <c r="FT765" s="48"/>
      <c r="FU765" s="48"/>
    </row>
    <row r="766" spans="1:177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52"/>
      <c r="BF766" s="48"/>
      <c r="BG766" s="48"/>
      <c r="BI766" s="48"/>
      <c r="BN766" s="48"/>
      <c r="BO766" s="48"/>
      <c r="BR766" s="48"/>
      <c r="BS766" s="48"/>
      <c r="BW766" s="48"/>
      <c r="CA766" s="48"/>
      <c r="CE766" s="48"/>
      <c r="CF766" s="48"/>
      <c r="CG766" s="48"/>
      <c r="CH766" s="48"/>
      <c r="CI766" s="48"/>
      <c r="CJ766" s="48"/>
      <c r="CL766" s="48"/>
      <c r="CM766" s="48"/>
      <c r="CN766" s="48"/>
      <c r="CO766" s="48"/>
      <c r="CP766" s="48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  <c r="DE766" s="48"/>
      <c r="DF766" s="48"/>
      <c r="DG766" s="48"/>
      <c r="DH766" s="48"/>
      <c r="DI766" s="48"/>
      <c r="DJ766" s="48"/>
      <c r="DK766" s="48"/>
      <c r="DL766" s="48"/>
      <c r="DM766" s="48"/>
      <c r="DN766" s="48"/>
      <c r="DO766" s="48"/>
      <c r="DP766" s="48"/>
      <c r="DQ766" s="48"/>
      <c r="DR766" s="48"/>
      <c r="DS766" s="48"/>
      <c r="DT766" s="48"/>
      <c r="DU766" s="48"/>
      <c r="DV766" s="48"/>
      <c r="DW766" s="48"/>
      <c r="DX766" s="48"/>
      <c r="DY766" s="48"/>
      <c r="DZ766" s="48"/>
      <c r="EA766" s="48"/>
      <c r="EC766" s="48"/>
      <c r="ED766" s="48"/>
      <c r="EE766" s="48"/>
      <c r="EF766" s="48"/>
      <c r="EG766" s="48"/>
      <c r="EI766" s="48"/>
      <c r="EK766" s="48"/>
      <c r="EM766" s="48"/>
      <c r="EO766" s="48"/>
      <c r="EP766" s="48"/>
      <c r="EU766" s="48"/>
      <c r="EV766" s="48"/>
      <c r="EW766" s="48"/>
      <c r="EX766" s="48"/>
      <c r="EY766" s="48"/>
      <c r="EZ766" s="48"/>
      <c r="FA766" s="48"/>
      <c r="FB766" s="48"/>
      <c r="FC766" s="48"/>
      <c r="FD766" s="48"/>
      <c r="FE766" s="48"/>
      <c r="FF766" s="48"/>
      <c r="FG766" s="48"/>
      <c r="FI766" s="48"/>
      <c r="FL766" s="48"/>
      <c r="FM766" s="48"/>
      <c r="FN766" s="48"/>
      <c r="FO766" s="48"/>
      <c r="FP766" s="48"/>
      <c r="FQ766" s="48"/>
      <c r="FR766" s="48"/>
      <c r="FS766" s="48"/>
      <c r="FT766" s="48"/>
      <c r="FU766" s="48"/>
    </row>
    <row r="767" spans="1:17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52"/>
      <c r="BF767" s="48"/>
      <c r="BG767" s="48"/>
      <c r="BI767" s="48"/>
      <c r="BN767" s="48"/>
      <c r="BO767" s="48"/>
      <c r="BR767" s="48"/>
      <c r="BS767" s="48"/>
      <c r="BW767" s="48"/>
      <c r="CA767" s="48"/>
      <c r="CE767" s="48"/>
      <c r="CF767" s="48"/>
      <c r="CG767" s="48"/>
      <c r="CH767" s="48"/>
      <c r="CI767" s="48"/>
      <c r="CJ767" s="48"/>
      <c r="CL767" s="48"/>
      <c r="CM767" s="48"/>
      <c r="CN767" s="48"/>
      <c r="CO767" s="48"/>
      <c r="CP767" s="48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  <c r="DD767" s="48"/>
      <c r="DE767" s="48"/>
      <c r="DF767" s="48"/>
      <c r="DG767" s="48"/>
      <c r="DH767" s="48"/>
      <c r="DI767" s="48"/>
      <c r="DJ767" s="48"/>
      <c r="DK767" s="48"/>
      <c r="DL767" s="48"/>
      <c r="DM767" s="48"/>
      <c r="DN767" s="48"/>
      <c r="DO767" s="48"/>
      <c r="DP767" s="48"/>
      <c r="DQ767" s="48"/>
      <c r="DR767" s="48"/>
      <c r="DS767" s="48"/>
      <c r="DT767" s="48"/>
      <c r="DU767" s="48"/>
      <c r="DV767" s="48"/>
      <c r="DW767" s="48"/>
      <c r="DX767" s="48"/>
      <c r="DY767" s="48"/>
      <c r="DZ767" s="48"/>
      <c r="EA767" s="48"/>
      <c r="EC767" s="48"/>
      <c r="ED767" s="48"/>
      <c r="EE767" s="48"/>
      <c r="EF767" s="48"/>
      <c r="EG767" s="48"/>
      <c r="EI767" s="48"/>
      <c r="EK767" s="48"/>
      <c r="EM767" s="48"/>
      <c r="EO767" s="48"/>
      <c r="EP767" s="48"/>
      <c r="EU767" s="48"/>
      <c r="EV767" s="48"/>
      <c r="EW767" s="48"/>
      <c r="EX767" s="48"/>
      <c r="EY767" s="48"/>
      <c r="EZ767" s="48"/>
      <c r="FA767" s="48"/>
      <c r="FB767" s="48"/>
      <c r="FC767" s="48"/>
      <c r="FD767" s="48"/>
      <c r="FE767" s="48"/>
      <c r="FF767" s="48"/>
      <c r="FG767" s="48"/>
      <c r="FI767" s="48"/>
      <c r="FL767" s="48"/>
      <c r="FM767" s="48"/>
      <c r="FN767" s="48"/>
      <c r="FO767" s="48"/>
      <c r="FP767" s="48"/>
      <c r="FQ767" s="48"/>
      <c r="FR767" s="48"/>
      <c r="FS767" s="48"/>
      <c r="FT767" s="48"/>
      <c r="FU767" s="48"/>
    </row>
    <row r="768" spans="1:177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52"/>
      <c r="BF768" s="48"/>
      <c r="BG768" s="48"/>
      <c r="BI768" s="48"/>
      <c r="BN768" s="48"/>
      <c r="BO768" s="48"/>
      <c r="BR768" s="48"/>
      <c r="BS768" s="48"/>
      <c r="BW768" s="48"/>
      <c r="CA768" s="48"/>
      <c r="CE768" s="48"/>
      <c r="CF768" s="48"/>
      <c r="CG768" s="48"/>
      <c r="CH768" s="48"/>
      <c r="CI768" s="48"/>
      <c r="CJ768" s="48"/>
      <c r="CL768" s="48"/>
      <c r="CM768" s="48"/>
      <c r="CN768" s="48"/>
      <c r="CO768" s="48"/>
      <c r="CP768" s="48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  <c r="DD768" s="48"/>
      <c r="DE768" s="48"/>
      <c r="DF768" s="48"/>
      <c r="DG768" s="48"/>
      <c r="DH768" s="48"/>
      <c r="DI768" s="48"/>
      <c r="DJ768" s="48"/>
      <c r="DK768" s="48"/>
      <c r="DL768" s="48"/>
      <c r="DM768" s="48"/>
      <c r="DN768" s="48"/>
      <c r="DO768" s="48"/>
      <c r="DP768" s="48"/>
      <c r="DQ768" s="48"/>
      <c r="DR768" s="48"/>
      <c r="DS768" s="48"/>
      <c r="DT768" s="48"/>
      <c r="DU768" s="48"/>
      <c r="DV768" s="48"/>
      <c r="DW768" s="48"/>
      <c r="DX768" s="48"/>
      <c r="DY768" s="48"/>
      <c r="DZ768" s="48"/>
      <c r="EA768" s="48"/>
      <c r="EC768" s="48"/>
      <c r="ED768" s="48"/>
      <c r="EE768" s="48"/>
      <c r="EF768" s="48"/>
      <c r="EG768" s="48"/>
      <c r="EI768" s="48"/>
      <c r="EK768" s="48"/>
      <c r="EM768" s="48"/>
      <c r="EO768" s="48"/>
      <c r="EP768" s="48"/>
      <c r="EU768" s="48"/>
      <c r="EV768" s="48"/>
      <c r="EW768" s="48"/>
      <c r="EX768" s="48"/>
      <c r="EY768" s="48"/>
      <c r="EZ768" s="48"/>
      <c r="FA768" s="48"/>
      <c r="FB768" s="48"/>
      <c r="FC768" s="48"/>
      <c r="FD768" s="48"/>
      <c r="FE768" s="48"/>
      <c r="FF768" s="48"/>
      <c r="FG768" s="48"/>
      <c r="FI768" s="48"/>
      <c r="FL768" s="48"/>
      <c r="FM768" s="48"/>
      <c r="FN768" s="48"/>
      <c r="FO768" s="48"/>
      <c r="FP768" s="48"/>
      <c r="FQ768" s="48"/>
      <c r="FR768" s="48"/>
      <c r="FS768" s="48"/>
      <c r="FT768" s="48"/>
      <c r="FU768" s="48"/>
    </row>
    <row r="769" spans="1:177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52"/>
      <c r="BF769" s="48"/>
      <c r="BG769" s="48"/>
      <c r="BI769" s="48"/>
      <c r="BN769" s="48"/>
      <c r="BO769" s="48"/>
      <c r="BR769" s="48"/>
      <c r="BS769" s="48"/>
      <c r="BW769" s="48"/>
      <c r="CA769" s="48"/>
      <c r="CE769" s="48"/>
      <c r="CF769" s="48"/>
      <c r="CG769" s="48"/>
      <c r="CH769" s="48"/>
      <c r="CI769" s="48"/>
      <c r="CJ769" s="48"/>
      <c r="CL769" s="48"/>
      <c r="CM769" s="48"/>
      <c r="CN769" s="48"/>
      <c r="CO769" s="48"/>
      <c r="CP769" s="48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  <c r="DE769" s="48"/>
      <c r="DF769" s="48"/>
      <c r="DG769" s="48"/>
      <c r="DH769" s="48"/>
      <c r="DI769" s="48"/>
      <c r="DJ769" s="48"/>
      <c r="DK769" s="48"/>
      <c r="DL769" s="48"/>
      <c r="DM769" s="48"/>
      <c r="DN769" s="48"/>
      <c r="DO769" s="48"/>
      <c r="DP769" s="48"/>
      <c r="DQ769" s="48"/>
      <c r="DR769" s="48"/>
      <c r="DS769" s="48"/>
      <c r="DT769" s="48"/>
      <c r="DU769" s="48"/>
      <c r="DV769" s="48"/>
      <c r="DW769" s="48"/>
      <c r="DX769" s="48"/>
      <c r="DY769" s="48"/>
      <c r="DZ769" s="48"/>
      <c r="EA769" s="48"/>
      <c r="EC769" s="48"/>
      <c r="ED769" s="48"/>
      <c r="EE769" s="48"/>
      <c r="EF769" s="48"/>
      <c r="EG769" s="48"/>
      <c r="EI769" s="48"/>
      <c r="EK769" s="48"/>
      <c r="EM769" s="48"/>
      <c r="EO769" s="48"/>
      <c r="EP769" s="48"/>
      <c r="EU769" s="48"/>
      <c r="EV769" s="48"/>
      <c r="EW769" s="48"/>
      <c r="EX769" s="48"/>
      <c r="EY769" s="48"/>
      <c r="EZ769" s="48"/>
      <c r="FA769" s="48"/>
      <c r="FB769" s="48"/>
      <c r="FC769" s="48"/>
      <c r="FD769" s="48"/>
      <c r="FE769" s="48"/>
      <c r="FF769" s="48"/>
      <c r="FG769" s="48"/>
      <c r="FI769" s="48"/>
      <c r="FL769" s="48"/>
      <c r="FM769" s="48"/>
      <c r="FN769" s="48"/>
      <c r="FO769" s="48"/>
      <c r="FP769" s="48"/>
      <c r="FQ769" s="48"/>
      <c r="FR769" s="48"/>
      <c r="FS769" s="48"/>
      <c r="FT769" s="48"/>
      <c r="FU769" s="48"/>
    </row>
    <row r="770" spans="1:177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52"/>
      <c r="BF770" s="48"/>
      <c r="BG770" s="48"/>
      <c r="BI770" s="48"/>
      <c r="BN770" s="48"/>
      <c r="BO770" s="48"/>
      <c r="BR770" s="48"/>
      <c r="BS770" s="48"/>
      <c r="BW770" s="48"/>
      <c r="CA770" s="48"/>
      <c r="CE770" s="48"/>
      <c r="CF770" s="48"/>
      <c r="CG770" s="48"/>
      <c r="CH770" s="48"/>
      <c r="CI770" s="48"/>
      <c r="CJ770" s="48"/>
      <c r="CL770" s="48"/>
      <c r="CM770" s="48"/>
      <c r="CN770" s="48"/>
      <c r="CO770" s="48"/>
      <c r="CP770" s="48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  <c r="DE770" s="48"/>
      <c r="DF770" s="48"/>
      <c r="DG770" s="48"/>
      <c r="DH770" s="48"/>
      <c r="DI770" s="48"/>
      <c r="DJ770" s="48"/>
      <c r="DK770" s="48"/>
      <c r="DL770" s="48"/>
      <c r="DM770" s="48"/>
      <c r="DN770" s="48"/>
      <c r="DO770" s="48"/>
      <c r="DP770" s="48"/>
      <c r="DQ770" s="48"/>
      <c r="DR770" s="48"/>
      <c r="DS770" s="48"/>
      <c r="DT770" s="48"/>
      <c r="DU770" s="48"/>
      <c r="DV770" s="48"/>
      <c r="DW770" s="48"/>
      <c r="DX770" s="48"/>
      <c r="DY770" s="48"/>
      <c r="DZ770" s="48"/>
      <c r="EA770" s="48"/>
      <c r="EC770" s="48"/>
      <c r="ED770" s="48"/>
      <c r="EE770" s="48"/>
      <c r="EF770" s="48"/>
      <c r="EG770" s="48"/>
      <c r="EI770" s="48"/>
      <c r="EK770" s="48"/>
      <c r="EM770" s="48"/>
      <c r="EO770" s="48"/>
      <c r="EP770" s="48"/>
      <c r="EU770" s="48"/>
      <c r="EV770" s="48"/>
      <c r="EW770" s="48"/>
      <c r="EX770" s="48"/>
      <c r="EY770" s="48"/>
      <c r="EZ770" s="48"/>
      <c r="FA770" s="48"/>
      <c r="FB770" s="48"/>
      <c r="FC770" s="48"/>
      <c r="FD770" s="48"/>
      <c r="FE770" s="48"/>
      <c r="FF770" s="48"/>
      <c r="FG770" s="48"/>
      <c r="FI770" s="48"/>
      <c r="FL770" s="48"/>
      <c r="FM770" s="48"/>
      <c r="FN770" s="48"/>
      <c r="FO770" s="48"/>
      <c r="FP770" s="48"/>
      <c r="FQ770" s="48"/>
      <c r="FR770" s="48"/>
      <c r="FS770" s="48"/>
      <c r="FT770" s="48"/>
      <c r="FU770" s="48"/>
    </row>
    <row r="771" spans="1:177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52"/>
      <c r="BF771" s="48"/>
      <c r="BG771" s="48"/>
      <c r="BI771" s="48"/>
      <c r="BN771" s="48"/>
      <c r="BO771" s="48"/>
      <c r="BR771" s="48"/>
      <c r="BS771" s="48"/>
      <c r="BW771" s="48"/>
      <c r="CA771" s="48"/>
      <c r="CE771" s="48"/>
      <c r="CF771" s="48"/>
      <c r="CG771" s="48"/>
      <c r="CH771" s="48"/>
      <c r="CI771" s="48"/>
      <c r="CJ771" s="48"/>
      <c r="CL771" s="48"/>
      <c r="CM771" s="48"/>
      <c r="CN771" s="48"/>
      <c r="CO771" s="48"/>
      <c r="CP771" s="48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  <c r="DE771" s="48"/>
      <c r="DF771" s="48"/>
      <c r="DG771" s="48"/>
      <c r="DH771" s="48"/>
      <c r="DI771" s="48"/>
      <c r="DJ771" s="48"/>
      <c r="DK771" s="48"/>
      <c r="DL771" s="48"/>
      <c r="DM771" s="48"/>
      <c r="DN771" s="48"/>
      <c r="DO771" s="48"/>
      <c r="DP771" s="48"/>
      <c r="DQ771" s="48"/>
      <c r="DR771" s="48"/>
      <c r="DS771" s="48"/>
      <c r="DT771" s="48"/>
      <c r="DU771" s="48"/>
      <c r="DV771" s="48"/>
      <c r="DW771" s="48"/>
      <c r="DX771" s="48"/>
      <c r="DY771" s="48"/>
      <c r="DZ771" s="48"/>
      <c r="EA771" s="48"/>
      <c r="EC771" s="48"/>
      <c r="ED771" s="48"/>
      <c r="EE771" s="48"/>
      <c r="EF771" s="48"/>
      <c r="EG771" s="48"/>
      <c r="EI771" s="48"/>
      <c r="EK771" s="48"/>
      <c r="EM771" s="48"/>
      <c r="EO771" s="48"/>
      <c r="EP771" s="48"/>
      <c r="EU771" s="48"/>
      <c r="EV771" s="48"/>
      <c r="EW771" s="48"/>
      <c r="EX771" s="48"/>
      <c r="EY771" s="48"/>
      <c r="EZ771" s="48"/>
      <c r="FA771" s="48"/>
      <c r="FB771" s="48"/>
      <c r="FC771" s="48"/>
      <c r="FD771" s="48"/>
      <c r="FE771" s="48"/>
      <c r="FF771" s="48"/>
      <c r="FG771" s="48"/>
      <c r="FI771" s="48"/>
      <c r="FL771" s="48"/>
      <c r="FM771" s="48"/>
      <c r="FN771" s="48"/>
      <c r="FO771" s="48"/>
      <c r="FP771" s="48"/>
      <c r="FQ771" s="48"/>
      <c r="FR771" s="48"/>
      <c r="FS771" s="48"/>
      <c r="FT771" s="48"/>
      <c r="FU771" s="48"/>
    </row>
    <row r="772" spans="1:177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52"/>
      <c r="BF772" s="48"/>
      <c r="BG772" s="48"/>
      <c r="BI772" s="48"/>
      <c r="BN772" s="48"/>
      <c r="BO772" s="48"/>
      <c r="BR772" s="48"/>
      <c r="BS772" s="48"/>
      <c r="BW772" s="48"/>
      <c r="CA772" s="48"/>
      <c r="CE772" s="48"/>
      <c r="CF772" s="48"/>
      <c r="CG772" s="48"/>
      <c r="CH772" s="48"/>
      <c r="CI772" s="48"/>
      <c r="CJ772" s="48"/>
      <c r="CL772" s="48"/>
      <c r="CM772" s="48"/>
      <c r="CN772" s="48"/>
      <c r="CO772" s="48"/>
      <c r="CP772" s="48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8"/>
      <c r="DN772" s="48"/>
      <c r="DO772" s="48"/>
      <c r="DP772" s="48"/>
      <c r="DQ772" s="48"/>
      <c r="DR772" s="48"/>
      <c r="DS772" s="48"/>
      <c r="DT772" s="48"/>
      <c r="DU772" s="48"/>
      <c r="DV772" s="48"/>
      <c r="DW772" s="48"/>
      <c r="DX772" s="48"/>
      <c r="DY772" s="48"/>
      <c r="DZ772" s="48"/>
      <c r="EA772" s="48"/>
      <c r="EC772" s="48"/>
      <c r="ED772" s="48"/>
      <c r="EE772" s="48"/>
      <c r="EF772" s="48"/>
      <c r="EG772" s="48"/>
      <c r="EI772" s="48"/>
      <c r="EK772" s="48"/>
      <c r="EM772" s="48"/>
      <c r="EO772" s="48"/>
      <c r="EP772" s="48"/>
      <c r="EU772" s="48"/>
      <c r="EV772" s="48"/>
      <c r="EW772" s="48"/>
      <c r="EX772" s="48"/>
      <c r="EY772" s="48"/>
      <c r="EZ772" s="48"/>
      <c r="FA772" s="48"/>
      <c r="FB772" s="48"/>
      <c r="FC772" s="48"/>
      <c r="FD772" s="48"/>
      <c r="FE772" s="48"/>
      <c r="FF772" s="48"/>
      <c r="FG772" s="48"/>
      <c r="FI772" s="48"/>
      <c r="FL772" s="48"/>
      <c r="FM772" s="48"/>
      <c r="FN772" s="48"/>
      <c r="FO772" s="48"/>
      <c r="FP772" s="48"/>
      <c r="FQ772" s="48"/>
      <c r="FR772" s="48"/>
      <c r="FS772" s="48"/>
      <c r="FT772" s="48"/>
      <c r="FU772" s="48"/>
    </row>
    <row r="773" spans="1:177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52"/>
      <c r="BF773" s="48"/>
      <c r="BG773" s="48"/>
      <c r="BI773" s="48"/>
      <c r="BN773" s="48"/>
      <c r="BO773" s="48"/>
      <c r="BR773" s="48"/>
      <c r="BS773" s="48"/>
      <c r="BW773" s="48"/>
      <c r="CA773" s="48"/>
      <c r="CE773" s="48"/>
      <c r="CF773" s="48"/>
      <c r="CG773" s="48"/>
      <c r="CH773" s="48"/>
      <c r="CI773" s="48"/>
      <c r="CJ773" s="48"/>
      <c r="CL773" s="48"/>
      <c r="CM773" s="48"/>
      <c r="CN773" s="48"/>
      <c r="CO773" s="48"/>
      <c r="CP773" s="48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  <c r="DE773" s="48"/>
      <c r="DF773" s="48"/>
      <c r="DG773" s="48"/>
      <c r="DH773" s="48"/>
      <c r="DI773" s="48"/>
      <c r="DJ773" s="48"/>
      <c r="DK773" s="48"/>
      <c r="DL773" s="48"/>
      <c r="DM773" s="48"/>
      <c r="DN773" s="48"/>
      <c r="DO773" s="48"/>
      <c r="DP773" s="48"/>
      <c r="DQ773" s="48"/>
      <c r="DR773" s="48"/>
      <c r="DS773" s="48"/>
      <c r="DT773" s="48"/>
      <c r="DU773" s="48"/>
      <c r="DV773" s="48"/>
      <c r="DW773" s="48"/>
      <c r="DX773" s="48"/>
      <c r="DY773" s="48"/>
      <c r="DZ773" s="48"/>
      <c r="EA773" s="48"/>
      <c r="EC773" s="48"/>
      <c r="ED773" s="48"/>
      <c r="EE773" s="48"/>
      <c r="EF773" s="48"/>
      <c r="EG773" s="48"/>
      <c r="EI773" s="48"/>
      <c r="EK773" s="48"/>
      <c r="EM773" s="48"/>
      <c r="EO773" s="48"/>
      <c r="EP773" s="48"/>
      <c r="EU773" s="48"/>
      <c r="EV773" s="48"/>
      <c r="EW773" s="48"/>
      <c r="EX773" s="48"/>
      <c r="EY773" s="48"/>
      <c r="EZ773" s="48"/>
      <c r="FA773" s="48"/>
      <c r="FB773" s="48"/>
      <c r="FC773" s="48"/>
      <c r="FD773" s="48"/>
      <c r="FE773" s="48"/>
      <c r="FF773" s="48"/>
      <c r="FG773" s="48"/>
      <c r="FI773" s="48"/>
      <c r="FL773" s="48"/>
      <c r="FM773" s="48"/>
      <c r="FN773" s="48"/>
      <c r="FO773" s="48"/>
      <c r="FP773" s="48"/>
      <c r="FQ773" s="48"/>
      <c r="FR773" s="48"/>
      <c r="FS773" s="48"/>
      <c r="FT773" s="48"/>
      <c r="FU773" s="48"/>
    </row>
    <row r="774" spans="1:177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52"/>
      <c r="BF774" s="48"/>
      <c r="BG774" s="48"/>
      <c r="BI774" s="48"/>
      <c r="BN774" s="48"/>
      <c r="BO774" s="48"/>
      <c r="BR774" s="48"/>
      <c r="BS774" s="48"/>
      <c r="BW774" s="48"/>
      <c r="CA774" s="48"/>
      <c r="CE774" s="48"/>
      <c r="CF774" s="48"/>
      <c r="CG774" s="48"/>
      <c r="CH774" s="48"/>
      <c r="CI774" s="48"/>
      <c r="CJ774" s="48"/>
      <c r="CL774" s="48"/>
      <c r="CM774" s="48"/>
      <c r="CN774" s="48"/>
      <c r="CO774" s="48"/>
      <c r="CP774" s="48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  <c r="DD774" s="48"/>
      <c r="DE774" s="48"/>
      <c r="DF774" s="48"/>
      <c r="DG774" s="48"/>
      <c r="DH774" s="48"/>
      <c r="DI774" s="48"/>
      <c r="DJ774" s="48"/>
      <c r="DK774" s="48"/>
      <c r="DL774" s="48"/>
      <c r="DM774" s="48"/>
      <c r="DN774" s="48"/>
      <c r="DO774" s="48"/>
      <c r="DP774" s="48"/>
      <c r="DQ774" s="48"/>
      <c r="DR774" s="48"/>
      <c r="DS774" s="48"/>
      <c r="DT774" s="48"/>
      <c r="DU774" s="48"/>
      <c r="DV774" s="48"/>
      <c r="DW774" s="48"/>
      <c r="DX774" s="48"/>
      <c r="DY774" s="48"/>
      <c r="DZ774" s="48"/>
      <c r="EA774" s="48"/>
      <c r="EC774" s="48"/>
      <c r="ED774" s="48"/>
      <c r="EE774" s="48"/>
      <c r="EF774" s="48"/>
      <c r="EG774" s="48"/>
      <c r="EI774" s="48"/>
      <c r="EK774" s="48"/>
      <c r="EM774" s="48"/>
      <c r="EO774" s="48"/>
      <c r="EP774" s="48"/>
      <c r="EU774" s="48"/>
      <c r="EV774" s="48"/>
      <c r="EW774" s="48"/>
      <c r="EX774" s="48"/>
      <c r="EY774" s="48"/>
      <c r="EZ774" s="48"/>
      <c r="FA774" s="48"/>
      <c r="FB774" s="48"/>
      <c r="FC774" s="48"/>
      <c r="FD774" s="48"/>
      <c r="FE774" s="48"/>
      <c r="FF774" s="48"/>
      <c r="FG774" s="48"/>
      <c r="FI774" s="48"/>
      <c r="FL774" s="48"/>
      <c r="FM774" s="48"/>
      <c r="FN774" s="48"/>
      <c r="FO774" s="48"/>
      <c r="FP774" s="48"/>
      <c r="FQ774" s="48"/>
      <c r="FR774" s="48"/>
      <c r="FS774" s="48"/>
      <c r="FT774" s="48"/>
      <c r="FU774" s="48"/>
    </row>
    <row r="775" spans="1:177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52"/>
      <c r="BF775" s="48"/>
      <c r="BG775" s="48"/>
      <c r="BI775" s="48"/>
      <c r="BN775" s="48"/>
      <c r="BO775" s="48"/>
      <c r="BR775" s="48"/>
      <c r="BS775" s="48"/>
      <c r="BW775" s="48"/>
      <c r="CA775" s="48"/>
      <c r="CE775" s="48"/>
      <c r="CF775" s="48"/>
      <c r="CG775" s="48"/>
      <c r="CH775" s="48"/>
      <c r="CI775" s="48"/>
      <c r="CJ775" s="48"/>
      <c r="CL775" s="48"/>
      <c r="CM775" s="48"/>
      <c r="CN775" s="48"/>
      <c r="CO775" s="48"/>
      <c r="CP775" s="48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  <c r="DE775" s="48"/>
      <c r="DF775" s="48"/>
      <c r="DG775" s="48"/>
      <c r="DH775" s="48"/>
      <c r="DI775" s="48"/>
      <c r="DJ775" s="48"/>
      <c r="DK775" s="48"/>
      <c r="DL775" s="48"/>
      <c r="DM775" s="48"/>
      <c r="DN775" s="48"/>
      <c r="DO775" s="48"/>
      <c r="DP775" s="48"/>
      <c r="DQ775" s="48"/>
      <c r="DR775" s="48"/>
      <c r="DS775" s="48"/>
      <c r="DT775" s="48"/>
      <c r="DU775" s="48"/>
      <c r="DV775" s="48"/>
      <c r="DW775" s="48"/>
      <c r="DX775" s="48"/>
      <c r="DY775" s="48"/>
      <c r="DZ775" s="48"/>
      <c r="EA775" s="48"/>
      <c r="EC775" s="48"/>
      <c r="ED775" s="48"/>
      <c r="EE775" s="48"/>
      <c r="EF775" s="48"/>
      <c r="EG775" s="48"/>
      <c r="EI775" s="48"/>
      <c r="EK775" s="48"/>
      <c r="EM775" s="48"/>
      <c r="EO775" s="48"/>
      <c r="EP775" s="48"/>
      <c r="EU775" s="48"/>
      <c r="EV775" s="48"/>
      <c r="EW775" s="48"/>
      <c r="EX775" s="48"/>
      <c r="EY775" s="48"/>
      <c r="EZ775" s="48"/>
      <c r="FA775" s="48"/>
      <c r="FB775" s="48"/>
      <c r="FC775" s="48"/>
      <c r="FD775" s="48"/>
      <c r="FE775" s="48"/>
      <c r="FF775" s="48"/>
      <c r="FG775" s="48"/>
      <c r="FI775" s="48"/>
      <c r="FL775" s="48"/>
      <c r="FM775" s="48"/>
      <c r="FN775" s="48"/>
      <c r="FO775" s="48"/>
      <c r="FP775" s="48"/>
      <c r="FQ775" s="48"/>
      <c r="FR775" s="48"/>
      <c r="FS775" s="48"/>
      <c r="FT775" s="48"/>
      <c r="FU775" s="48"/>
    </row>
    <row r="776" spans="1:177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52"/>
      <c r="BF776" s="48"/>
      <c r="BG776" s="48"/>
      <c r="BI776" s="48"/>
      <c r="BN776" s="48"/>
      <c r="BO776" s="48"/>
      <c r="BR776" s="48"/>
      <c r="BS776" s="48"/>
      <c r="BW776" s="48"/>
      <c r="CA776" s="48"/>
      <c r="CE776" s="48"/>
      <c r="CF776" s="48"/>
      <c r="CG776" s="48"/>
      <c r="CH776" s="48"/>
      <c r="CI776" s="48"/>
      <c r="CJ776" s="48"/>
      <c r="CL776" s="48"/>
      <c r="CM776" s="48"/>
      <c r="CN776" s="48"/>
      <c r="CO776" s="48"/>
      <c r="CP776" s="48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  <c r="DD776" s="48"/>
      <c r="DE776" s="48"/>
      <c r="DF776" s="48"/>
      <c r="DG776" s="48"/>
      <c r="DH776" s="48"/>
      <c r="DI776" s="48"/>
      <c r="DJ776" s="48"/>
      <c r="DK776" s="48"/>
      <c r="DL776" s="48"/>
      <c r="DM776" s="48"/>
      <c r="DN776" s="48"/>
      <c r="DO776" s="48"/>
      <c r="DP776" s="48"/>
      <c r="DQ776" s="48"/>
      <c r="DR776" s="48"/>
      <c r="DS776" s="48"/>
      <c r="DT776" s="48"/>
      <c r="DU776" s="48"/>
      <c r="DV776" s="48"/>
      <c r="DW776" s="48"/>
      <c r="DX776" s="48"/>
      <c r="DY776" s="48"/>
      <c r="DZ776" s="48"/>
      <c r="EA776" s="48"/>
      <c r="EC776" s="48"/>
      <c r="ED776" s="48"/>
      <c r="EE776" s="48"/>
      <c r="EF776" s="48"/>
      <c r="EG776" s="48"/>
      <c r="EI776" s="48"/>
      <c r="EK776" s="48"/>
      <c r="EM776" s="48"/>
      <c r="EO776" s="48"/>
      <c r="EP776" s="48"/>
      <c r="EU776" s="48"/>
      <c r="EV776" s="48"/>
      <c r="EW776" s="48"/>
      <c r="EX776" s="48"/>
      <c r="EY776" s="48"/>
      <c r="EZ776" s="48"/>
      <c r="FA776" s="48"/>
      <c r="FB776" s="48"/>
      <c r="FC776" s="48"/>
      <c r="FD776" s="48"/>
      <c r="FE776" s="48"/>
      <c r="FF776" s="48"/>
      <c r="FG776" s="48"/>
      <c r="FI776" s="48"/>
      <c r="FL776" s="48"/>
      <c r="FM776" s="48"/>
      <c r="FN776" s="48"/>
      <c r="FO776" s="48"/>
      <c r="FP776" s="48"/>
      <c r="FQ776" s="48"/>
      <c r="FR776" s="48"/>
      <c r="FS776" s="48"/>
      <c r="FT776" s="48"/>
      <c r="FU776" s="48"/>
    </row>
    <row r="777" spans="1:1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52"/>
      <c r="BF777" s="48"/>
      <c r="BG777" s="48"/>
      <c r="BI777" s="48"/>
      <c r="BN777" s="48"/>
      <c r="BO777" s="48"/>
      <c r="BR777" s="48"/>
      <c r="BS777" s="48"/>
      <c r="BW777" s="48"/>
      <c r="CA777" s="48"/>
      <c r="CE777" s="48"/>
      <c r="CF777" s="48"/>
      <c r="CG777" s="48"/>
      <c r="CH777" s="48"/>
      <c r="CI777" s="48"/>
      <c r="CJ777" s="48"/>
      <c r="CL777" s="48"/>
      <c r="CM777" s="48"/>
      <c r="CN777" s="48"/>
      <c r="CO777" s="48"/>
      <c r="CP777" s="48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  <c r="DD777" s="48"/>
      <c r="DE777" s="48"/>
      <c r="DF777" s="48"/>
      <c r="DG777" s="48"/>
      <c r="DH777" s="48"/>
      <c r="DI777" s="48"/>
      <c r="DJ777" s="48"/>
      <c r="DK777" s="48"/>
      <c r="DL777" s="48"/>
      <c r="DM777" s="48"/>
      <c r="DN777" s="48"/>
      <c r="DO777" s="48"/>
      <c r="DP777" s="48"/>
      <c r="DQ777" s="48"/>
      <c r="DR777" s="48"/>
      <c r="DS777" s="48"/>
      <c r="DT777" s="48"/>
      <c r="DU777" s="48"/>
      <c r="DV777" s="48"/>
      <c r="DW777" s="48"/>
      <c r="DX777" s="48"/>
      <c r="DY777" s="48"/>
      <c r="DZ777" s="48"/>
      <c r="EA777" s="48"/>
      <c r="EC777" s="48"/>
      <c r="ED777" s="48"/>
      <c r="EE777" s="48"/>
      <c r="EF777" s="48"/>
      <c r="EG777" s="48"/>
      <c r="EI777" s="48"/>
      <c r="EK777" s="48"/>
      <c r="EM777" s="48"/>
      <c r="EO777" s="48"/>
      <c r="EP777" s="48"/>
      <c r="EU777" s="48"/>
      <c r="EV777" s="48"/>
      <c r="EW777" s="48"/>
      <c r="EX777" s="48"/>
      <c r="EY777" s="48"/>
      <c r="EZ777" s="48"/>
      <c r="FA777" s="48"/>
      <c r="FB777" s="48"/>
      <c r="FC777" s="48"/>
      <c r="FD777" s="48"/>
      <c r="FE777" s="48"/>
      <c r="FF777" s="48"/>
      <c r="FG777" s="48"/>
      <c r="FI777" s="48"/>
      <c r="FL777" s="48"/>
      <c r="FM777" s="48"/>
      <c r="FN777" s="48"/>
      <c r="FO777" s="48"/>
      <c r="FP777" s="48"/>
      <c r="FQ777" s="48"/>
      <c r="FR777" s="48"/>
      <c r="FS777" s="48"/>
      <c r="FT777" s="48"/>
      <c r="FU777" s="48"/>
    </row>
    <row r="778" spans="1:177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52"/>
      <c r="BF778" s="48"/>
      <c r="BG778" s="48"/>
      <c r="BI778" s="48"/>
      <c r="BN778" s="48"/>
      <c r="BO778" s="48"/>
      <c r="BR778" s="48"/>
      <c r="BS778" s="48"/>
      <c r="BW778" s="48"/>
      <c r="CA778" s="48"/>
      <c r="CE778" s="48"/>
      <c r="CF778" s="48"/>
      <c r="CG778" s="48"/>
      <c r="CH778" s="48"/>
      <c r="CI778" s="48"/>
      <c r="CJ778" s="48"/>
      <c r="CL778" s="48"/>
      <c r="CM778" s="48"/>
      <c r="CN778" s="48"/>
      <c r="CO778" s="48"/>
      <c r="CP778" s="48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8"/>
      <c r="DN778" s="48"/>
      <c r="DO778" s="48"/>
      <c r="DP778" s="48"/>
      <c r="DQ778" s="48"/>
      <c r="DR778" s="48"/>
      <c r="DS778" s="48"/>
      <c r="DT778" s="48"/>
      <c r="DU778" s="48"/>
      <c r="DV778" s="48"/>
      <c r="DW778" s="48"/>
      <c r="DX778" s="48"/>
      <c r="DY778" s="48"/>
      <c r="DZ778" s="48"/>
      <c r="EA778" s="48"/>
      <c r="EC778" s="48"/>
      <c r="ED778" s="48"/>
      <c r="EE778" s="48"/>
      <c r="EF778" s="48"/>
      <c r="EG778" s="48"/>
      <c r="EI778" s="48"/>
      <c r="EK778" s="48"/>
      <c r="EM778" s="48"/>
      <c r="EO778" s="48"/>
      <c r="EP778" s="48"/>
      <c r="EU778" s="48"/>
      <c r="EV778" s="48"/>
      <c r="EW778" s="48"/>
      <c r="EX778" s="48"/>
      <c r="EY778" s="48"/>
      <c r="EZ778" s="48"/>
      <c r="FA778" s="48"/>
      <c r="FB778" s="48"/>
      <c r="FC778" s="48"/>
      <c r="FD778" s="48"/>
      <c r="FE778" s="48"/>
      <c r="FF778" s="48"/>
      <c r="FG778" s="48"/>
      <c r="FI778" s="48"/>
      <c r="FL778" s="48"/>
      <c r="FM778" s="48"/>
      <c r="FN778" s="48"/>
      <c r="FO778" s="48"/>
      <c r="FP778" s="48"/>
      <c r="FQ778" s="48"/>
      <c r="FR778" s="48"/>
      <c r="FS778" s="48"/>
      <c r="FT778" s="48"/>
      <c r="FU778" s="48"/>
    </row>
    <row r="779" spans="1:177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52"/>
      <c r="BF779" s="48"/>
      <c r="BG779" s="48"/>
      <c r="BI779" s="48"/>
      <c r="BN779" s="48"/>
      <c r="BO779" s="48"/>
      <c r="BR779" s="48"/>
      <c r="BS779" s="48"/>
      <c r="BW779" s="48"/>
      <c r="CA779" s="48"/>
      <c r="CE779" s="48"/>
      <c r="CF779" s="48"/>
      <c r="CG779" s="48"/>
      <c r="CH779" s="48"/>
      <c r="CI779" s="48"/>
      <c r="CJ779" s="48"/>
      <c r="CL779" s="48"/>
      <c r="CM779" s="48"/>
      <c r="CN779" s="48"/>
      <c r="CO779" s="48"/>
      <c r="CP779" s="48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  <c r="DE779" s="48"/>
      <c r="DF779" s="48"/>
      <c r="DG779" s="48"/>
      <c r="DH779" s="48"/>
      <c r="DI779" s="48"/>
      <c r="DJ779" s="48"/>
      <c r="DK779" s="48"/>
      <c r="DL779" s="48"/>
      <c r="DM779" s="48"/>
      <c r="DN779" s="48"/>
      <c r="DO779" s="48"/>
      <c r="DP779" s="48"/>
      <c r="DQ779" s="48"/>
      <c r="DR779" s="48"/>
      <c r="DS779" s="48"/>
      <c r="DT779" s="48"/>
      <c r="DU779" s="48"/>
      <c r="DV779" s="48"/>
      <c r="DW779" s="48"/>
      <c r="DX779" s="48"/>
      <c r="DY779" s="48"/>
      <c r="DZ779" s="48"/>
      <c r="EA779" s="48"/>
      <c r="EC779" s="48"/>
      <c r="ED779" s="48"/>
      <c r="EE779" s="48"/>
      <c r="EF779" s="48"/>
      <c r="EG779" s="48"/>
      <c r="EI779" s="48"/>
      <c r="EK779" s="48"/>
      <c r="EM779" s="48"/>
      <c r="EO779" s="48"/>
      <c r="EP779" s="48"/>
      <c r="EU779" s="48"/>
      <c r="EV779" s="48"/>
      <c r="EW779" s="48"/>
      <c r="EX779" s="48"/>
      <c r="EY779" s="48"/>
      <c r="EZ779" s="48"/>
      <c r="FA779" s="48"/>
      <c r="FB779" s="48"/>
      <c r="FC779" s="48"/>
      <c r="FD779" s="48"/>
      <c r="FE779" s="48"/>
      <c r="FF779" s="48"/>
      <c r="FG779" s="48"/>
      <c r="FI779" s="48"/>
      <c r="FL779" s="48"/>
      <c r="FM779" s="48"/>
      <c r="FN779" s="48"/>
      <c r="FO779" s="48"/>
      <c r="FP779" s="48"/>
      <c r="FQ779" s="48"/>
      <c r="FR779" s="48"/>
      <c r="FS779" s="48"/>
      <c r="FT779" s="48"/>
      <c r="FU779" s="48"/>
    </row>
    <row r="780" spans="1:177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52"/>
      <c r="BF780" s="48"/>
      <c r="BG780" s="48"/>
      <c r="BI780" s="48"/>
      <c r="BN780" s="48"/>
      <c r="BO780" s="48"/>
      <c r="BR780" s="48"/>
      <c r="BS780" s="48"/>
      <c r="BW780" s="48"/>
      <c r="CA780" s="48"/>
      <c r="CE780" s="48"/>
      <c r="CF780" s="48"/>
      <c r="CG780" s="48"/>
      <c r="CH780" s="48"/>
      <c r="CI780" s="48"/>
      <c r="CJ780" s="48"/>
      <c r="CL780" s="48"/>
      <c r="CM780" s="48"/>
      <c r="CN780" s="48"/>
      <c r="CO780" s="48"/>
      <c r="CP780" s="48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  <c r="DD780" s="48"/>
      <c r="DE780" s="48"/>
      <c r="DF780" s="48"/>
      <c r="DG780" s="48"/>
      <c r="DH780" s="48"/>
      <c r="DI780" s="48"/>
      <c r="DJ780" s="48"/>
      <c r="DK780" s="48"/>
      <c r="DL780" s="48"/>
      <c r="DM780" s="48"/>
      <c r="DN780" s="48"/>
      <c r="DO780" s="48"/>
      <c r="DP780" s="48"/>
      <c r="DQ780" s="48"/>
      <c r="DR780" s="48"/>
      <c r="DS780" s="48"/>
      <c r="DT780" s="48"/>
      <c r="DU780" s="48"/>
      <c r="DV780" s="48"/>
      <c r="DW780" s="48"/>
      <c r="DX780" s="48"/>
      <c r="DY780" s="48"/>
      <c r="DZ780" s="48"/>
      <c r="EA780" s="48"/>
      <c r="EC780" s="48"/>
      <c r="ED780" s="48"/>
      <c r="EE780" s="48"/>
      <c r="EF780" s="48"/>
      <c r="EG780" s="48"/>
      <c r="EI780" s="48"/>
      <c r="EK780" s="48"/>
      <c r="EM780" s="48"/>
      <c r="EO780" s="48"/>
      <c r="EP780" s="48"/>
      <c r="EU780" s="48"/>
      <c r="EV780" s="48"/>
      <c r="EW780" s="48"/>
      <c r="EX780" s="48"/>
      <c r="EY780" s="48"/>
      <c r="EZ780" s="48"/>
      <c r="FA780" s="48"/>
      <c r="FB780" s="48"/>
      <c r="FC780" s="48"/>
      <c r="FD780" s="48"/>
      <c r="FE780" s="48"/>
      <c r="FF780" s="48"/>
      <c r="FG780" s="48"/>
      <c r="FI780" s="48"/>
      <c r="FL780" s="48"/>
      <c r="FM780" s="48"/>
      <c r="FN780" s="48"/>
      <c r="FO780" s="48"/>
      <c r="FP780" s="48"/>
      <c r="FQ780" s="48"/>
      <c r="FR780" s="48"/>
      <c r="FS780" s="48"/>
      <c r="FT780" s="48"/>
      <c r="FU780" s="48"/>
    </row>
    <row r="781" spans="1:177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52"/>
      <c r="BF781" s="48"/>
      <c r="BG781" s="48"/>
      <c r="BI781" s="48"/>
      <c r="BN781" s="48"/>
      <c r="BO781" s="48"/>
      <c r="BR781" s="48"/>
      <c r="BS781" s="48"/>
      <c r="BW781" s="48"/>
      <c r="CA781" s="48"/>
      <c r="CE781" s="48"/>
      <c r="CF781" s="48"/>
      <c r="CG781" s="48"/>
      <c r="CH781" s="48"/>
      <c r="CI781" s="48"/>
      <c r="CJ781" s="48"/>
      <c r="CL781" s="48"/>
      <c r="CM781" s="48"/>
      <c r="CN781" s="48"/>
      <c r="CO781" s="48"/>
      <c r="CP781" s="48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  <c r="DE781" s="48"/>
      <c r="DF781" s="48"/>
      <c r="DG781" s="48"/>
      <c r="DH781" s="48"/>
      <c r="DI781" s="48"/>
      <c r="DJ781" s="48"/>
      <c r="DK781" s="48"/>
      <c r="DL781" s="48"/>
      <c r="DM781" s="48"/>
      <c r="DN781" s="48"/>
      <c r="DO781" s="48"/>
      <c r="DP781" s="48"/>
      <c r="DQ781" s="48"/>
      <c r="DR781" s="48"/>
      <c r="DS781" s="48"/>
      <c r="DT781" s="48"/>
      <c r="DU781" s="48"/>
      <c r="DV781" s="48"/>
      <c r="DW781" s="48"/>
      <c r="DX781" s="48"/>
      <c r="DY781" s="48"/>
      <c r="DZ781" s="48"/>
      <c r="EA781" s="48"/>
      <c r="EC781" s="48"/>
      <c r="ED781" s="48"/>
      <c r="EE781" s="48"/>
      <c r="EF781" s="48"/>
      <c r="EG781" s="48"/>
      <c r="EI781" s="48"/>
      <c r="EK781" s="48"/>
      <c r="EM781" s="48"/>
      <c r="EO781" s="48"/>
      <c r="EP781" s="48"/>
      <c r="EU781" s="48"/>
      <c r="EV781" s="48"/>
      <c r="EW781" s="48"/>
      <c r="EX781" s="48"/>
      <c r="EY781" s="48"/>
      <c r="EZ781" s="48"/>
      <c r="FA781" s="48"/>
      <c r="FB781" s="48"/>
      <c r="FC781" s="48"/>
      <c r="FD781" s="48"/>
      <c r="FE781" s="48"/>
      <c r="FF781" s="48"/>
      <c r="FG781" s="48"/>
      <c r="FI781" s="48"/>
      <c r="FL781" s="48"/>
      <c r="FM781" s="48"/>
      <c r="FN781" s="48"/>
      <c r="FO781" s="48"/>
      <c r="FP781" s="48"/>
      <c r="FQ781" s="48"/>
      <c r="FR781" s="48"/>
      <c r="FS781" s="48"/>
      <c r="FT781" s="48"/>
      <c r="FU781" s="48"/>
    </row>
    <row r="782" spans="1:177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52"/>
      <c r="BF782" s="48"/>
      <c r="BG782" s="48"/>
      <c r="BI782" s="48"/>
      <c r="BN782" s="48"/>
      <c r="BO782" s="48"/>
      <c r="BR782" s="48"/>
      <c r="BS782" s="48"/>
      <c r="BW782" s="48"/>
      <c r="CA782" s="48"/>
      <c r="CE782" s="48"/>
      <c r="CF782" s="48"/>
      <c r="CG782" s="48"/>
      <c r="CH782" s="48"/>
      <c r="CI782" s="48"/>
      <c r="CJ782" s="48"/>
      <c r="CL782" s="48"/>
      <c r="CM782" s="48"/>
      <c r="CN782" s="48"/>
      <c r="CO782" s="48"/>
      <c r="CP782" s="48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  <c r="DD782" s="48"/>
      <c r="DE782" s="48"/>
      <c r="DF782" s="48"/>
      <c r="DG782" s="48"/>
      <c r="DH782" s="48"/>
      <c r="DI782" s="48"/>
      <c r="DJ782" s="48"/>
      <c r="DK782" s="48"/>
      <c r="DL782" s="48"/>
      <c r="DM782" s="48"/>
      <c r="DN782" s="48"/>
      <c r="DO782" s="48"/>
      <c r="DP782" s="48"/>
      <c r="DQ782" s="48"/>
      <c r="DR782" s="48"/>
      <c r="DS782" s="48"/>
      <c r="DT782" s="48"/>
      <c r="DU782" s="48"/>
      <c r="DV782" s="48"/>
      <c r="DW782" s="48"/>
      <c r="DX782" s="48"/>
      <c r="DY782" s="48"/>
      <c r="DZ782" s="48"/>
      <c r="EA782" s="48"/>
      <c r="EC782" s="48"/>
      <c r="ED782" s="48"/>
      <c r="EE782" s="48"/>
      <c r="EF782" s="48"/>
      <c r="EG782" s="48"/>
      <c r="EI782" s="48"/>
      <c r="EK782" s="48"/>
      <c r="EM782" s="48"/>
      <c r="EO782" s="48"/>
      <c r="EP782" s="48"/>
      <c r="EU782" s="48"/>
      <c r="EV782" s="48"/>
      <c r="EW782" s="48"/>
      <c r="EX782" s="48"/>
      <c r="EY782" s="48"/>
      <c r="EZ782" s="48"/>
      <c r="FA782" s="48"/>
      <c r="FB782" s="48"/>
      <c r="FC782" s="48"/>
      <c r="FD782" s="48"/>
      <c r="FE782" s="48"/>
      <c r="FF782" s="48"/>
      <c r="FG782" s="48"/>
      <c r="FI782" s="48"/>
      <c r="FL782" s="48"/>
      <c r="FM782" s="48"/>
      <c r="FN782" s="48"/>
      <c r="FO782" s="48"/>
      <c r="FP782" s="48"/>
      <c r="FQ782" s="48"/>
      <c r="FR782" s="48"/>
      <c r="FS782" s="48"/>
      <c r="FT782" s="48"/>
      <c r="FU782" s="48"/>
    </row>
    <row r="783" spans="1:177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52"/>
      <c r="BF783" s="48"/>
      <c r="BG783" s="48"/>
      <c r="BI783" s="48"/>
      <c r="BN783" s="48"/>
      <c r="BO783" s="48"/>
      <c r="BR783" s="48"/>
      <c r="BS783" s="48"/>
      <c r="BW783" s="48"/>
      <c r="CA783" s="48"/>
      <c r="CE783" s="48"/>
      <c r="CF783" s="48"/>
      <c r="CG783" s="48"/>
      <c r="CH783" s="48"/>
      <c r="CI783" s="48"/>
      <c r="CJ783" s="48"/>
      <c r="CL783" s="48"/>
      <c r="CM783" s="48"/>
      <c r="CN783" s="48"/>
      <c r="CO783" s="48"/>
      <c r="CP783" s="48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  <c r="DD783" s="48"/>
      <c r="DE783" s="48"/>
      <c r="DF783" s="48"/>
      <c r="DG783" s="48"/>
      <c r="DH783" s="48"/>
      <c r="DI783" s="48"/>
      <c r="DJ783" s="48"/>
      <c r="DK783" s="48"/>
      <c r="DL783" s="48"/>
      <c r="DM783" s="48"/>
      <c r="DN783" s="48"/>
      <c r="DO783" s="48"/>
      <c r="DP783" s="48"/>
      <c r="DQ783" s="48"/>
      <c r="DR783" s="48"/>
      <c r="DS783" s="48"/>
      <c r="DT783" s="48"/>
      <c r="DU783" s="48"/>
      <c r="DV783" s="48"/>
      <c r="DW783" s="48"/>
      <c r="DX783" s="48"/>
      <c r="DY783" s="48"/>
      <c r="DZ783" s="48"/>
      <c r="EA783" s="48"/>
      <c r="EC783" s="48"/>
      <c r="ED783" s="48"/>
      <c r="EE783" s="48"/>
      <c r="EF783" s="48"/>
      <c r="EG783" s="48"/>
      <c r="EI783" s="48"/>
      <c r="EK783" s="48"/>
      <c r="EM783" s="48"/>
      <c r="EO783" s="48"/>
      <c r="EP783" s="48"/>
      <c r="EU783" s="48"/>
      <c r="EV783" s="48"/>
      <c r="EW783" s="48"/>
      <c r="EX783" s="48"/>
      <c r="EY783" s="48"/>
      <c r="EZ783" s="48"/>
      <c r="FA783" s="48"/>
      <c r="FB783" s="48"/>
      <c r="FC783" s="48"/>
      <c r="FD783" s="48"/>
      <c r="FE783" s="48"/>
      <c r="FF783" s="48"/>
      <c r="FG783" s="48"/>
      <c r="FI783" s="48"/>
      <c r="FL783" s="48"/>
      <c r="FM783" s="48"/>
      <c r="FN783" s="48"/>
      <c r="FO783" s="48"/>
      <c r="FP783" s="48"/>
      <c r="FQ783" s="48"/>
      <c r="FR783" s="48"/>
      <c r="FS783" s="48"/>
      <c r="FT783" s="48"/>
      <c r="FU783" s="48"/>
    </row>
    <row r="784" spans="1:177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52"/>
      <c r="BF784" s="48"/>
      <c r="BG784" s="48"/>
      <c r="BI784" s="48"/>
      <c r="BN784" s="48"/>
      <c r="BO784" s="48"/>
      <c r="BR784" s="48"/>
      <c r="BS784" s="48"/>
      <c r="BW784" s="48"/>
      <c r="CA784" s="48"/>
      <c r="CE784" s="48"/>
      <c r="CF784" s="48"/>
      <c r="CG784" s="48"/>
      <c r="CH784" s="48"/>
      <c r="CI784" s="48"/>
      <c r="CJ784" s="48"/>
      <c r="CL784" s="48"/>
      <c r="CM784" s="48"/>
      <c r="CN784" s="48"/>
      <c r="CO784" s="48"/>
      <c r="CP784" s="48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  <c r="DE784" s="48"/>
      <c r="DF784" s="48"/>
      <c r="DG784" s="48"/>
      <c r="DH784" s="48"/>
      <c r="DI784" s="48"/>
      <c r="DJ784" s="48"/>
      <c r="DK784" s="48"/>
      <c r="DL784" s="48"/>
      <c r="DM784" s="48"/>
      <c r="DN784" s="48"/>
      <c r="DO784" s="48"/>
      <c r="DP784" s="48"/>
      <c r="DQ784" s="48"/>
      <c r="DR784" s="48"/>
      <c r="DS784" s="48"/>
      <c r="DT784" s="48"/>
      <c r="DU784" s="48"/>
      <c r="DV784" s="48"/>
      <c r="DW784" s="48"/>
      <c r="DX784" s="48"/>
      <c r="DY784" s="48"/>
      <c r="DZ784" s="48"/>
      <c r="EA784" s="48"/>
      <c r="EC784" s="48"/>
      <c r="ED784" s="48"/>
      <c r="EE784" s="48"/>
      <c r="EF784" s="48"/>
      <c r="EG784" s="48"/>
      <c r="EI784" s="48"/>
      <c r="EK784" s="48"/>
      <c r="EM784" s="48"/>
      <c r="EO784" s="48"/>
      <c r="EP784" s="48"/>
      <c r="EU784" s="48"/>
      <c r="EV784" s="48"/>
      <c r="EW784" s="48"/>
      <c r="EX784" s="48"/>
      <c r="EY784" s="48"/>
      <c r="EZ784" s="48"/>
      <c r="FA784" s="48"/>
      <c r="FB784" s="48"/>
      <c r="FC784" s="48"/>
      <c r="FD784" s="48"/>
      <c r="FE784" s="48"/>
      <c r="FF784" s="48"/>
      <c r="FG784" s="48"/>
      <c r="FI784" s="48"/>
      <c r="FL784" s="48"/>
      <c r="FM784" s="48"/>
      <c r="FN784" s="48"/>
      <c r="FO784" s="48"/>
      <c r="FP784" s="48"/>
      <c r="FQ784" s="48"/>
      <c r="FR784" s="48"/>
      <c r="FS784" s="48"/>
      <c r="FT784" s="48"/>
      <c r="FU784" s="48"/>
    </row>
    <row r="785" spans="1:177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52"/>
      <c r="BF785" s="48"/>
      <c r="BG785" s="48"/>
      <c r="BI785" s="48"/>
      <c r="BN785" s="48"/>
      <c r="BO785" s="48"/>
      <c r="BR785" s="48"/>
      <c r="BS785" s="48"/>
      <c r="BW785" s="48"/>
      <c r="CA785" s="48"/>
      <c r="CE785" s="48"/>
      <c r="CF785" s="48"/>
      <c r="CG785" s="48"/>
      <c r="CH785" s="48"/>
      <c r="CI785" s="48"/>
      <c r="CJ785" s="48"/>
      <c r="CL785" s="48"/>
      <c r="CM785" s="48"/>
      <c r="CN785" s="48"/>
      <c r="CO785" s="48"/>
      <c r="CP785" s="48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  <c r="DD785" s="48"/>
      <c r="DE785" s="48"/>
      <c r="DF785" s="48"/>
      <c r="DG785" s="48"/>
      <c r="DH785" s="48"/>
      <c r="DI785" s="48"/>
      <c r="DJ785" s="48"/>
      <c r="DK785" s="48"/>
      <c r="DL785" s="48"/>
      <c r="DM785" s="48"/>
      <c r="DN785" s="48"/>
      <c r="DO785" s="48"/>
      <c r="DP785" s="48"/>
      <c r="DQ785" s="48"/>
      <c r="DR785" s="48"/>
      <c r="DS785" s="48"/>
      <c r="DT785" s="48"/>
      <c r="DU785" s="48"/>
      <c r="DV785" s="48"/>
      <c r="DW785" s="48"/>
      <c r="DX785" s="48"/>
      <c r="DY785" s="48"/>
      <c r="DZ785" s="48"/>
      <c r="EA785" s="48"/>
      <c r="EC785" s="48"/>
      <c r="ED785" s="48"/>
      <c r="EE785" s="48"/>
      <c r="EF785" s="48"/>
      <c r="EG785" s="48"/>
      <c r="EI785" s="48"/>
      <c r="EK785" s="48"/>
      <c r="EM785" s="48"/>
      <c r="EO785" s="48"/>
      <c r="EP785" s="48"/>
      <c r="EU785" s="48"/>
      <c r="EV785" s="48"/>
      <c r="EW785" s="48"/>
      <c r="EX785" s="48"/>
      <c r="EY785" s="48"/>
      <c r="EZ785" s="48"/>
      <c r="FA785" s="48"/>
      <c r="FB785" s="48"/>
      <c r="FC785" s="48"/>
      <c r="FD785" s="48"/>
      <c r="FE785" s="48"/>
      <c r="FF785" s="48"/>
      <c r="FG785" s="48"/>
      <c r="FI785" s="48"/>
      <c r="FL785" s="48"/>
      <c r="FM785" s="48"/>
      <c r="FN785" s="48"/>
      <c r="FO785" s="48"/>
      <c r="FP785" s="48"/>
      <c r="FQ785" s="48"/>
      <c r="FR785" s="48"/>
      <c r="FS785" s="48"/>
      <c r="FT785" s="48"/>
      <c r="FU785" s="48"/>
    </row>
    <row r="786" spans="1:177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52"/>
      <c r="BF786" s="48"/>
      <c r="BG786" s="48"/>
      <c r="BI786" s="48"/>
      <c r="BN786" s="48"/>
      <c r="BO786" s="48"/>
      <c r="BR786" s="48"/>
      <c r="BS786" s="48"/>
      <c r="BW786" s="48"/>
      <c r="CA786" s="48"/>
      <c r="CE786" s="48"/>
      <c r="CF786" s="48"/>
      <c r="CG786" s="48"/>
      <c r="CH786" s="48"/>
      <c r="CI786" s="48"/>
      <c r="CJ786" s="48"/>
      <c r="CL786" s="48"/>
      <c r="CM786" s="48"/>
      <c r="CN786" s="48"/>
      <c r="CO786" s="48"/>
      <c r="CP786" s="48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  <c r="DD786" s="48"/>
      <c r="DE786" s="48"/>
      <c r="DF786" s="48"/>
      <c r="DG786" s="48"/>
      <c r="DH786" s="48"/>
      <c r="DI786" s="48"/>
      <c r="DJ786" s="48"/>
      <c r="DK786" s="48"/>
      <c r="DL786" s="48"/>
      <c r="DM786" s="48"/>
      <c r="DN786" s="48"/>
      <c r="DO786" s="48"/>
      <c r="DP786" s="48"/>
      <c r="DQ786" s="48"/>
      <c r="DR786" s="48"/>
      <c r="DS786" s="48"/>
      <c r="DT786" s="48"/>
      <c r="DU786" s="48"/>
      <c r="DV786" s="48"/>
      <c r="DW786" s="48"/>
      <c r="DX786" s="48"/>
      <c r="DY786" s="48"/>
      <c r="DZ786" s="48"/>
      <c r="EA786" s="48"/>
      <c r="EC786" s="48"/>
      <c r="ED786" s="48"/>
      <c r="EE786" s="48"/>
      <c r="EF786" s="48"/>
      <c r="EG786" s="48"/>
      <c r="EI786" s="48"/>
      <c r="EK786" s="48"/>
      <c r="EM786" s="48"/>
      <c r="EO786" s="48"/>
      <c r="EP786" s="48"/>
      <c r="EU786" s="48"/>
      <c r="EV786" s="48"/>
      <c r="EW786" s="48"/>
      <c r="EX786" s="48"/>
      <c r="EY786" s="48"/>
      <c r="EZ786" s="48"/>
      <c r="FA786" s="48"/>
      <c r="FB786" s="48"/>
      <c r="FC786" s="48"/>
      <c r="FD786" s="48"/>
      <c r="FE786" s="48"/>
      <c r="FF786" s="48"/>
      <c r="FG786" s="48"/>
      <c r="FI786" s="48"/>
      <c r="FL786" s="48"/>
      <c r="FM786" s="48"/>
      <c r="FN786" s="48"/>
      <c r="FO786" s="48"/>
      <c r="FP786" s="48"/>
      <c r="FQ786" s="48"/>
      <c r="FR786" s="48"/>
      <c r="FS786" s="48"/>
      <c r="FT786" s="48"/>
      <c r="FU786" s="48"/>
    </row>
    <row r="787" spans="1:17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52"/>
      <c r="BF787" s="48"/>
      <c r="BG787" s="48"/>
      <c r="BI787" s="48"/>
      <c r="BN787" s="48"/>
      <c r="BO787" s="48"/>
      <c r="BR787" s="48"/>
      <c r="BS787" s="48"/>
      <c r="BW787" s="48"/>
      <c r="CA787" s="48"/>
      <c r="CE787" s="48"/>
      <c r="CF787" s="48"/>
      <c r="CG787" s="48"/>
      <c r="CH787" s="48"/>
      <c r="CI787" s="48"/>
      <c r="CJ787" s="48"/>
      <c r="CL787" s="48"/>
      <c r="CM787" s="48"/>
      <c r="CN787" s="48"/>
      <c r="CO787" s="48"/>
      <c r="CP787" s="48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  <c r="DE787" s="48"/>
      <c r="DF787" s="48"/>
      <c r="DG787" s="48"/>
      <c r="DH787" s="48"/>
      <c r="DI787" s="48"/>
      <c r="DJ787" s="48"/>
      <c r="DK787" s="48"/>
      <c r="DL787" s="48"/>
      <c r="DM787" s="48"/>
      <c r="DN787" s="48"/>
      <c r="DO787" s="48"/>
      <c r="DP787" s="48"/>
      <c r="DQ787" s="48"/>
      <c r="DR787" s="48"/>
      <c r="DS787" s="48"/>
      <c r="DT787" s="48"/>
      <c r="DU787" s="48"/>
      <c r="DV787" s="48"/>
      <c r="DW787" s="48"/>
      <c r="DX787" s="48"/>
      <c r="DY787" s="48"/>
      <c r="DZ787" s="48"/>
      <c r="EA787" s="48"/>
      <c r="EC787" s="48"/>
      <c r="ED787" s="48"/>
      <c r="EE787" s="48"/>
      <c r="EF787" s="48"/>
      <c r="EG787" s="48"/>
      <c r="EI787" s="48"/>
      <c r="EK787" s="48"/>
      <c r="EM787" s="48"/>
      <c r="EO787" s="48"/>
      <c r="EP787" s="48"/>
      <c r="EU787" s="48"/>
      <c r="EV787" s="48"/>
      <c r="EW787" s="48"/>
      <c r="EX787" s="48"/>
      <c r="EY787" s="48"/>
      <c r="EZ787" s="48"/>
      <c r="FA787" s="48"/>
      <c r="FB787" s="48"/>
      <c r="FC787" s="48"/>
      <c r="FD787" s="48"/>
      <c r="FE787" s="48"/>
      <c r="FF787" s="48"/>
      <c r="FG787" s="48"/>
      <c r="FI787" s="48"/>
      <c r="FL787" s="48"/>
      <c r="FM787" s="48"/>
      <c r="FN787" s="48"/>
      <c r="FO787" s="48"/>
      <c r="FP787" s="48"/>
      <c r="FQ787" s="48"/>
      <c r="FR787" s="48"/>
      <c r="FS787" s="48"/>
      <c r="FT787" s="48"/>
      <c r="FU787" s="48"/>
    </row>
    <row r="788" spans="1:177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52"/>
      <c r="BF788" s="48"/>
      <c r="BG788" s="48"/>
      <c r="BI788" s="48"/>
      <c r="BN788" s="48"/>
      <c r="BO788" s="48"/>
      <c r="BR788" s="48"/>
      <c r="BS788" s="48"/>
      <c r="BW788" s="48"/>
      <c r="CA788" s="48"/>
      <c r="CE788" s="48"/>
      <c r="CF788" s="48"/>
      <c r="CG788" s="48"/>
      <c r="CH788" s="48"/>
      <c r="CI788" s="48"/>
      <c r="CJ788" s="48"/>
      <c r="CL788" s="48"/>
      <c r="CM788" s="48"/>
      <c r="CN788" s="48"/>
      <c r="CO788" s="48"/>
      <c r="CP788" s="48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  <c r="DD788" s="48"/>
      <c r="DE788" s="48"/>
      <c r="DF788" s="48"/>
      <c r="DG788" s="48"/>
      <c r="DH788" s="48"/>
      <c r="DI788" s="48"/>
      <c r="DJ788" s="48"/>
      <c r="DK788" s="48"/>
      <c r="DL788" s="48"/>
      <c r="DM788" s="48"/>
      <c r="DN788" s="48"/>
      <c r="DO788" s="48"/>
      <c r="DP788" s="48"/>
      <c r="DQ788" s="48"/>
      <c r="DR788" s="48"/>
      <c r="DS788" s="48"/>
      <c r="DT788" s="48"/>
      <c r="DU788" s="48"/>
      <c r="DV788" s="48"/>
      <c r="DW788" s="48"/>
      <c r="DX788" s="48"/>
      <c r="DY788" s="48"/>
      <c r="DZ788" s="48"/>
      <c r="EA788" s="48"/>
      <c r="EC788" s="48"/>
      <c r="ED788" s="48"/>
      <c r="EE788" s="48"/>
      <c r="EF788" s="48"/>
      <c r="EG788" s="48"/>
      <c r="EI788" s="48"/>
      <c r="EK788" s="48"/>
      <c r="EM788" s="48"/>
      <c r="EO788" s="48"/>
      <c r="EP788" s="48"/>
      <c r="EU788" s="48"/>
      <c r="EV788" s="48"/>
      <c r="EW788" s="48"/>
      <c r="EX788" s="48"/>
      <c r="EY788" s="48"/>
      <c r="EZ788" s="48"/>
      <c r="FA788" s="48"/>
      <c r="FB788" s="48"/>
      <c r="FC788" s="48"/>
      <c r="FD788" s="48"/>
      <c r="FE788" s="48"/>
      <c r="FF788" s="48"/>
      <c r="FG788" s="48"/>
      <c r="FI788" s="48"/>
      <c r="FL788" s="48"/>
      <c r="FM788" s="48"/>
      <c r="FN788" s="48"/>
      <c r="FO788" s="48"/>
      <c r="FP788" s="48"/>
      <c r="FQ788" s="48"/>
      <c r="FR788" s="48"/>
      <c r="FS788" s="48"/>
      <c r="FT788" s="48"/>
      <c r="FU788" s="48"/>
    </row>
    <row r="789" spans="1:177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52"/>
      <c r="BF789" s="48"/>
      <c r="BG789" s="48"/>
      <c r="BI789" s="48"/>
      <c r="BN789" s="48"/>
      <c r="BO789" s="48"/>
      <c r="BR789" s="48"/>
      <c r="BS789" s="48"/>
      <c r="BW789" s="48"/>
      <c r="CA789" s="48"/>
      <c r="CE789" s="48"/>
      <c r="CF789" s="48"/>
      <c r="CG789" s="48"/>
      <c r="CH789" s="48"/>
      <c r="CI789" s="48"/>
      <c r="CJ789" s="48"/>
      <c r="CL789" s="48"/>
      <c r="CM789" s="48"/>
      <c r="CN789" s="48"/>
      <c r="CO789" s="48"/>
      <c r="CP789" s="48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  <c r="DD789" s="48"/>
      <c r="DE789" s="48"/>
      <c r="DF789" s="48"/>
      <c r="DG789" s="48"/>
      <c r="DH789" s="48"/>
      <c r="DI789" s="48"/>
      <c r="DJ789" s="48"/>
      <c r="DK789" s="48"/>
      <c r="DL789" s="48"/>
      <c r="DM789" s="48"/>
      <c r="DN789" s="48"/>
      <c r="DO789" s="48"/>
      <c r="DP789" s="48"/>
      <c r="DQ789" s="48"/>
      <c r="DR789" s="48"/>
      <c r="DS789" s="48"/>
      <c r="DT789" s="48"/>
      <c r="DU789" s="48"/>
      <c r="DV789" s="48"/>
      <c r="DW789" s="48"/>
      <c r="DX789" s="48"/>
      <c r="DY789" s="48"/>
      <c r="DZ789" s="48"/>
      <c r="EA789" s="48"/>
      <c r="EC789" s="48"/>
      <c r="ED789" s="48"/>
      <c r="EE789" s="48"/>
      <c r="EF789" s="48"/>
      <c r="EG789" s="48"/>
      <c r="EI789" s="48"/>
      <c r="EK789" s="48"/>
      <c r="EM789" s="48"/>
      <c r="EO789" s="48"/>
      <c r="EP789" s="48"/>
      <c r="EU789" s="48"/>
      <c r="EV789" s="48"/>
      <c r="EW789" s="48"/>
      <c r="EX789" s="48"/>
      <c r="EY789" s="48"/>
      <c r="EZ789" s="48"/>
      <c r="FA789" s="48"/>
      <c r="FB789" s="48"/>
      <c r="FC789" s="48"/>
      <c r="FD789" s="48"/>
      <c r="FE789" s="48"/>
      <c r="FF789" s="48"/>
      <c r="FG789" s="48"/>
      <c r="FI789" s="48"/>
      <c r="FL789" s="48"/>
      <c r="FM789" s="48"/>
      <c r="FN789" s="48"/>
      <c r="FO789" s="48"/>
      <c r="FP789" s="48"/>
      <c r="FQ789" s="48"/>
      <c r="FR789" s="48"/>
      <c r="FS789" s="48"/>
      <c r="FT789" s="48"/>
      <c r="FU789" s="48"/>
    </row>
    <row r="790" spans="1:177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52"/>
      <c r="BF790" s="48"/>
      <c r="BG790" s="48"/>
      <c r="BI790" s="48"/>
      <c r="BN790" s="48"/>
      <c r="BO790" s="48"/>
      <c r="BR790" s="48"/>
      <c r="BS790" s="48"/>
      <c r="BW790" s="48"/>
      <c r="CA790" s="48"/>
      <c r="CE790" s="48"/>
      <c r="CF790" s="48"/>
      <c r="CG790" s="48"/>
      <c r="CH790" s="48"/>
      <c r="CI790" s="48"/>
      <c r="CJ790" s="48"/>
      <c r="CL790" s="48"/>
      <c r="CM790" s="48"/>
      <c r="CN790" s="48"/>
      <c r="CO790" s="48"/>
      <c r="CP790" s="48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  <c r="DE790" s="48"/>
      <c r="DF790" s="48"/>
      <c r="DG790" s="48"/>
      <c r="DH790" s="48"/>
      <c r="DI790" s="48"/>
      <c r="DJ790" s="48"/>
      <c r="DK790" s="48"/>
      <c r="DL790" s="48"/>
      <c r="DM790" s="48"/>
      <c r="DN790" s="48"/>
      <c r="DO790" s="48"/>
      <c r="DP790" s="48"/>
      <c r="DQ790" s="48"/>
      <c r="DR790" s="48"/>
      <c r="DS790" s="48"/>
      <c r="DT790" s="48"/>
      <c r="DU790" s="48"/>
      <c r="DV790" s="48"/>
      <c r="DW790" s="48"/>
      <c r="DX790" s="48"/>
      <c r="DY790" s="48"/>
      <c r="DZ790" s="48"/>
      <c r="EA790" s="48"/>
      <c r="EC790" s="48"/>
      <c r="ED790" s="48"/>
      <c r="EE790" s="48"/>
      <c r="EF790" s="48"/>
      <c r="EG790" s="48"/>
      <c r="EI790" s="48"/>
      <c r="EK790" s="48"/>
      <c r="EM790" s="48"/>
      <c r="EO790" s="48"/>
      <c r="EP790" s="48"/>
      <c r="EU790" s="48"/>
      <c r="EV790" s="48"/>
      <c r="EW790" s="48"/>
      <c r="EX790" s="48"/>
      <c r="EY790" s="48"/>
      <c r="EZ790" s="48"/>
      <c r="FA790" s="48"/>
      <c r="FB790" s="48"/>
      <c r="FC790" s="48"/>
      <c r="FD790" s="48"/>
      <c r="FE790" s="48"/>
      <c r="FF790" s="48"/>
      <c r="FG790" s="48"/>
      <c r="FI790" s="48"/>
      <c r="FL790" s="48"/>
      <c r="FM790" s="48"/>
      <c r="FN790" s="48"/>
      <c r="FO790" s="48"/>
      <c r="FP790" s="48"/>
      <c r="FQ790" s="48"/>
      <c r="FR790" s="48"/>
      <c r="FS790" s="48"/>
      <c r="FT790" s="48"/>
      <c r="FU790" s="48"/>
    </row>
    <row r="791" spans="1:177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52"/>
      <c r="BF791" s="48"/>
      <c r="BG791" s="48"/>
      <c r="BI791" s="48"/>
      <c r="BN791" s="48"/>
      <c r="BO791" s="48"/>
      <c r="BR791" s="48"/>
      <c r="BS791" s="48"/>
      <c r="BW791" s="48"/>
      <c r="CA791" s="48"/>
      <c r="CE791" s="48"/>
      <c r="CF791" s="48"/>
      <c r="CG791" s="48"/>
      <c r="CH791" s="48"/>
      <c r="CI791" s="48"/>
      <c r="CJ791" s="48"/>
      <c r="CL791" s="48"/>
      <c r="CM791" s="48"/>
      <c r="CN791" s="48"/>
      <c r="CO791" s="48"/>
      <c r="CP791" s="48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  <c r="DE791" s="48"/>
      <c r="DF791" s="48"/>
      <c r="DG791" s="48"/>
      <c r="DH791" s="48"/>
      <c r="DI791" s="48"/>
      <c r="DJ791" s="48"/>
      <c r="DK791" s="48"/>
      <c r="DL791" s="48"/>
      <c r="DM791" s="48"/>
      <c r="DN791" s="48"/>
      <c r="DO791" s="48"/>
      <c r="DP791" s="48"/>
      <c r="DQ791" s="48"/>
      <c r="DR791" s="48"/>
      <c r="DS791" s="48"/>
      <c r="DT791" s="48"/>
      <c r="DU791" s="48"/>
      <c r="DV791" s="48"/>
      <c r="DW791" s="48"/>
      <c r="DX791" s="48"/>
      <c r="DY791" s="48"/>
      <c r="DZ791" s="48"/>
      <c r="EA791" s="48"/>
      <c r="EC791" s="48"/>
      <c r="ED791" s="48"/>
      <c r="EE791" s="48"/>
      <c r="EF791" s="48"/>
      <c r="EG791" s="48"/>
      <c r="EI791" s="48"/>
      <c r="EK791" s="48"/>
      <c r="EM791" s="48"/>
      <c r="EO791" s="48"/>
      <c r="EP791" s="48"/>
      <c r="EU791" s="48"/>
      <c r="EV791" s="48"/>
      <c r="EW791" s="48"/>
      <c r="EX791" s="48"/>
      <c r="EY791" s="48"/>
      <c r="EZ791" s="48"/>
      <c r="FA791" s="48"/>
      <c r="FB791" s="48"/>
      <c r="FC791" s="48"/>
      <c r="FD791" s="48"/>
      <c r="FE791" s="48"/>
      <c r="FF791" s="48"/>
      <c r="FG791" s="48"/>
      <c r="FI791" s="48"/>
      <c r="FL791" s="48"/>
      <c r="FM791" s="48"/>
      <c r="FN791" s="48"/>
      <c r="FO791" s="48"/>
      <c r="FP791" s="48"/>
      <c r="FQ791" s="48"/>
      <c r="FR791" s="48"/>
      <c r="FS791" s="48"/>
      <c r="FT791" s="48"/>
      <c r="FU791" s="48"/>
    </row>
    <row r="792" spans="1:177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52"/>
      <c r="BF792" s="48"/>
      <c r="BG792" s="48"/>
      <c r="BI792" s="48"/>
      <c r="BN792" s="48"/>
      <c r="BO792" s="48"/>
      <c r="BR792" s="48"/>
      <c r="BS792" s="48"/>
      <c r="BW792" s="48"/>
      <c r="CA792" s="48"/>
      <c r="CE792" s="48"/>
      <c r="CF792" s="48"/>
      <c r="CG792" s="48"/>
      <c r="CH792" s="48"/>
      <c r="CI792" s="48"/>
      <c r="CJ792" s="48"/>
      <c r="CL792" s="48"/>
      <c r="CM792" s="48"/>
      <c r="CN792" s="48"/>
      <c r="CO792" s="48"/>
      <c r="CP792" s="48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  <c r="DE792" s="48"/>
      <c r="DF792" s="48"/>
      <c r="DG792" s="48"/>
      <c r="DH792" s="48"/>
      <c r="DI792" s="48"/>
      <c r="DJ792" s="48"/>
      <c r="DK792" s="48"/>
      <c r="DL792" s="48"/>
      <c r="DM792" s="48"/>
      <c r="DN792" s="48"/>
      <c r="DO792" s="48"/>
      <c r="DP792" s="48"/>
      <c r="DQ792" s="48"/>
      <c r="DR792" s="48"/>
      <c r="DS792" s="48"/>
      <c r="DT792" s="48"/>
      <c r="DU792" s="48"/>
      <c r="DV792" s="48"/>
      <c r="DW792" s="48"/>
      <c r="DX792" s="48"/>
      <c r="DY792" s="48"/>
      <c r="DZ792" s="48"/>
      <c r="EA792" s="48"/>
      <c r="EC792" s="48"/>
      <c r="ED792" s="48"/>
      <c r="EE792" s="48"/>
      <c r="EF792" s="48"/>
      <c r="EG792" s="48"/>
      <c r="EI792" s="48"/>
      <c r="EK792" s="48"/>
      <c r="EM792" s="48"/>
      <c r="EO792" s="48"/>
      <c r="EP792" s="48"/>
      <c r="EU792" s="48"/>
      <c r="EV792" s="48"/>
      <c r="EW792" s="48"/>
      <c r="EX792" s="48"/>
      <c r="EY792" s="48"/>
      <c r="EZ792" s="48"/>
      <c r="FA792" s="48"/>
      <c r="FB792" s="48"/>
      <c r="FC792" s="48"/>
      <c r="FD792" s="48"/>
      <c r="FE792" s="48"/>
      <c r="FF792" s="48"/>
      <c r="FG792" s="48"/>
      <c r="FI792" s="48"/>
      <c r="FL792" s="48"/>
      <c r="FM792" s="48"/>
      <c r="FN792" s="48"/>
      <c r="FO792" s="48"/>
      <c r="FP792" s="48"/>
      <c r="FQ792" s="48"/>
      <c r="FR792" s="48"/>
      <c r="FS792" s="48"/>
      <c r="FT792" s="48"/>
      <c r="FU792" s="48"/>
    </row>
    <row r="793" spans="1:177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52"/>
      <c r="BF793" s="48"/>
      <c r="BG793" s="48"/>
      <c r="BI793" s="48"/>
      <c r="BN793" s="48"/>
      <c r="BO793" s="48"/>
      <c r="BR793" s="48"/>
      <c r="BS793" s="48"/>
      <c r="BW793" s="48"/>
      <c r="CA793" s="48"/>
      <c r="CE793" s="48"/>
      <c r="CF793" s="48"/>
      <c r="CG793" s="48"/>
      <c r="CH793" s="48"/>
      <c r="CI793" s="48"/>
      <c r="CJ793" s="48"/>
      <c r="CL793" s="48"/>
      <c r="CM793" s="48"/>
      <c r="CN793" s="48"/>
      <c r="CO793" s="48"/>
      <c r="CP793" s="48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  <c r="DE793" s="48"/>
      <c r="DF793" s="48"/>
      <c r="DG793" s="48"/>
      <c r="DH793" s="48"/>
      <c r="DI793" s="48"/>
      <c r="DJ793" s="48"/>
      <c r="DK793" s="48"/>
      <c r="DL793" s="48"/>
      <c r="DM793" s="48"/>
      <c r="DN793" s="48"/>
      <c r="DO793" s="48"/>
      <c r="DP793" s="48"/>
      <c r="DQ793" s="48"/>
      <c r="DR793" s="48"/>
      <c r="DS793" s="48"/>
      <c r="DT793" s="48"/>
      <c r="DU793" s="48"/>
      <c r="DV793" s="48"/>
      <c r="DW793" s="48"/>
      <c r="DX793" s="48"/>
      <c r="DY793" s="48"/>
      <c r="DZ793" s="48"/>
      <c r="EA793" s="48"/>
      <c r="EC793" s="48"/>
      <c r="ED793" s="48"/>
      <c r="EE793" s="48"/>
      <c r="EF793" s="48"/>
      <c r="EG793" s="48"/>
      <c r="EI793" s="48"/>
      <c r="EK793" s="48"/>
      <c r="EM793" s="48"/>
      <c r="EO793" s="48"/>
      <c r="EP793" s="48"/>
      <c r="EU793" s="48"/>
      <c r="EV793" s="48"/>
      <c r="EW793" s="48"/>
      <c r="EX793" s="48"/>
      <c r="EY793" s="48"/>
      <c r="EZ793" s="48"/>
      <c r="FA793" s="48"/>
      <c r="FB793" s="48"/>
      <c r="FC793" s="48"/>
      <c r="FD793" s="48"/>
      <c r="FE793" s="48"/>
      <c r="FF793" s="48"/>
      <c r="FG793" s="48"/>
      <c r="FI793" s="48"/>
      <c r="FL793" s="48"/>
      <c r="FM793" s="48"/>
      <c r="FN793" s="48"/>
      <c r="FO793" s="48"/>
      <c r="FP793" s="48"/>
      <c r="FQ793" s="48"/>
      <c r="FR793" s="48"/>
      <c r="FS793" s="48"/>
      <c r="FT793" s="48"/>
      <c r="FU793" s="48"/>
    </row>
    <row r="794" spans="1:177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52"/>
      <c r="BF794" s="48"/>
      <c r="BG794" s="48"/>
      <c r="BI794" s="48"/>
      <c r="BN794" s="48"/>
      <c r="BO794" s="48"/>
      <c r="BR794" s="48"/>
      <c r="BS794" s="48"/>
      <c r="BW794" s="48"/>
      <c r="CA794" s="48"/>
      <c r="CE794" s="48"/>
      <c r="CF794" s="48"/>
      <c r="CG794" s="48"/>
      <c r="CH794" s="48"/>
      <c r="CI794" s="48"/>
      <c r="CJ794" s="48"/>
      <c r="CL794" s="48"/>
      <c r="CM794" s="48"/>
      <c r="CN794" s="48"/>
      <c r="CO794" s="48"/>
      <c r="CP794" s="48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  <c r="DE794" s="48"/>
      <c r="DF794" s="48"/>
      <c r="DG794" s="48"/>
      <c r="DH794" s="48"/>
      <c r="DI794" s="48"/>
      <c r="DJ794" s="48"/>
      <c r="DK794" s="48"/>
      <c r="DL794" s="48"/>
      <c r="DM794" s="48"/>
      <c r="DN794" s="48"/>
      <c r="DO794" s="48"/>
      <c r="DP794" s="48"/>
      <c r="DQ794" s="48"/>
      <c r="DR794" s="48"/>
      <c r="DS794" s="48"/>
      <c r="DT794" s="48"/>
      <c r="DU794" s="48"/>
      <c r="DV794" s="48"/>
      <c r="DW794" s="48"/>
      <c r="DX794" s="48"/>
      <c r="DY794" s="48"/>
      <c r="DZ794" s="48"/>
      <c r="EA794" s="48"/>
      <c r="EC794" s="48"/>
      <c r="ED794" s="48"/>
      <c r="EE794" s="48"/>
      <c r="EF794" s="48"/>
      <c r="EG794" s="48"/>
      <c r="EI794" s="48"/>
      <c r="EK794" s="48"/>
      <c r="EM794" s="48"/>
      <c r="EO794" s="48"/>
      <c r="EP794" s="48"/>
      <c r="EU794" s="48"/>
      <c r="EV794" s="48"/>
      <c r="EW794" s="48"/>
      <c r="EX794" s="48"/>
      <c r="EY794" s="48"/>
      <c r="EZ794" s="48"/>
      <c r="FA794" s="48"/>
      <c r="FB794" s="48"/>
      <c r="FC794" s="48"/>
      <c r="FD794" s="48"/>
      <c r="FE794" s="48"/>
      <c r="FF794" s="48"/>
      <c r="FG794" s="48"/>
      <c r="FI794" s="48"/>
      <c r="FL794" s="48"/>
      <c r="FM794" s="48"/>
      <c r="FN794" s="48"/>
      <c r="FO794" s="48"/>
      <c r="FP794" s="48"/>
      <c r="FQ794" s="48"/>
      <c r="FR794" s="48"/>
      <c r="FS794" s="48"/>
      <c r="FT794" s="48"/>
      <c r="FU794" s="48"/>
    </row>
    <row r="795" spans="1:177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52"/>
      <c r="BF795" s="48"/>
      <c r="BG795" s="48"/>
      <c r="BI795" s="48"/>
      <c r="BN795" s="48"/>
      <c r="BO795" s="48"/>
      <c r="BR795" s="48"/>
      <c r="BS795" s="48"/>
      <c r="BW795" s="48"/>
      <c r="CA795" s="48"/>
      <c r="CE795" s="48"/>
      <c r="CF795" s="48"/>
      <c r="CG795" s="48"/>
      <c r="CH795" s="48"/>
      <c r="CI795" s="48"/>
      <c r="CJ795" s="48"/>
      <c r="CL795" s="48"/>
      <c r="CM795" s="48"/>
      <c r="CN795" s="48"/>
      <c r="CO795" s="48"/>
      <c r="CP795" s="48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  <c r="DE795" s="48"/>
      <c r="DF795" s="48"/>
      <c r="DG795" s="48"/>
      <c r="DH795" s="48"/>
      <c r="DI795" s="48"/>
      <c r="DJ795" s="48"/>
      <c r="DK795" s="48"/>
      <c r="DL795" s="48"/>
      <c r="DM795" s="48"/>
      <c r="DN795" s="48"/>
      <c r="DO795" s="48"/>
      <c r="DP795" s="48"/>
      <c r="DQ795" s="48"/>
      <c r="DR795" s="48"/>
      <c r="DS795" s="48"/>
      <c r="DT795" s="48"/>
      <c r="DU795" s="48"/>
      <c r="DV795" s="48"/>
      <c r="DW795" s="48"/>
      <c r="DX795" s="48"/>
      <c r="DY795" s="48"/>
      <c r="DZ795" s="48"/>
      <c r="EA795" s="48"/>
      <c r="EC795" s="48"/>
      <c r="ED795" s="48"/>
      <c r="EE795" s="48"/>
      <c r="EF795" s="48"/>
      <c r="EG795" s="48"/>
      <c r="EI795" s="48"/>
      <c r="EK795" s="48"/>
      <c r="EM795" s="48"/>
      <c r="EO795" s="48"/>
      <c r="EP795" s="48"/>
      <c r="EU795" s="48"/>
      <c r="EV795" s="48"/>
      <c r="EW795" s="48"/>
      <c r="EX795" s="48"/>
      <c r="EY795" s="48"/>
      <c r="EZ795" s="48"/>
      <c r="FA795" s="48"/>
      <c r="FB795" s="48"/>
      <c r="FC795" s="48"/>
      <c r="FD795" s="48"/>
      <c r="FE795" s="48"/>
      <c r="FF795" s="48"/>
      <c r="FG795" s="48"/>
      <c r="FI795" s="48"/>
      <c r="FL795" s="48"/>
      <c r="FM795" s="48"/>
      <c r="FN795" s="48"/>
      <c r="FO795" s="48"/>
      <c r="FP795" s="48"/>
      <c r="FQ795" s="48"/>
      <c r="FR795" s="48"/>
      <c r="FS795" s="48"/>
      <c r="FT795" s="48"/>
      <c r="FU795" s="48"/>
    </row>
    <row r="796" spans="1:177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52"/>
      <c r="BF796" s="48"/>
      <c r="BG796" s="48"/>
      <c r="BI796" s="48"/>
      <c r="BN796" s="48"/>
      <c r="BO796" s="48"/>
      <c r="BR796" s="48"/>
      <c r="BS796" s="48"/>
      <c r="BW796" s="48"/>
      <c r="CA796" s="48"/>
      <c r="CE796" s="48"/>
      <c r="CF796" s="48"/>
      <c r="CG796" s="48"/>
      <c r="CH796" s="48"/>
      <c r="CI796" s="48"/>
      <c r="CJ796" s="48"/>
      <c r="CL796" s="48"/>
      <c r="CM796" s="48"/>
      <c r="CN796" s="48"/>
      <c r="CO796" s="48"/>
      <c r="CP796" s="48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  <c r="DE796" s="48"/>
      <c r="DF796" s="48"/>
      <c r="DG796" s="48"/>
      <c r="DH796" s="48"/>
      <c r="DI796" s="48"/>
      <c r="DJ796" s="48"/>
      <c r="DK796" s="48"/>
      <c r="DL796" s="48"/>
      <c r="DM796" s="48"/>
      <c r="DN796" s="48"/>
      <c r="DO796" s="48"/>
      <c r="DP796" s="48"/>
      <c r="DQ796" s="48"/>
      <c r="DR796" s="48"/>
      <c r="DS796" s="48"/>
      <c r="DT796" s="48"/>
      <c r="DU796" s="48"/>
      <c r="DV796" s="48"/>
      <c r="DW796" s="48"/>
      <c r="DX796" s="48"/>
      <c r="DY796" s="48"/>
      <c r="DZ796" s="48"/>
      <c r="EA796" s="48"/>
      <c r="EC796" s="48"/>
      <c r="ED796" s="48"/>
      <c r="EE796" s="48"/>
      <c r="EF796" s="48"/>
      <c r="EG796" s="48"/>
      <c r="EI796" s="48"/>
      <c r="EK796" s="48"/>
      <c r="EM796" s="48"/>
      <c r="EO796" s="48"/>
      <c r="EP796" s="48"/>
      <c r="EU796" s="48"/>
      <c r="EV796" s="48"/>
      <c r="EW796" s="48"/>
      <c r="EX796" s="48"/>
      <c r="EY796" s="48"/>
      <c r="EZ796" s="48"/>
      <c r="FA796" s="48"/>
      <c r="FB796" s="48"/>
      <c r="FC796" s="48"/>
      <c r="FD796" s="48"/>
      <c r="FE796" s="48"/>
      <c r="FF796" s="48"/>
      <c r="FG796" s="48"/>
      <c r="FI796" s="48"/>
      <c r="FL796" s="48"/>
      <c r="FM796" s="48"/>
      <c r="FN796" s="48"/>
      <c r="FO796" s="48"/>
      <c r="FP796" s="48"/>
      <c r="FQ796" s="48"/>
      <c r="FR796" s="48"/>
      <c r="FS796" s="48"/>
      <c r="FT796" s="48"/>
      <c r="FU796" s="48"/>
    </row>
    <row r="797" spans="1:17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52"/>
      <c r="BF797" s="48"/>
      <c r="BG797" s="48"/>
      <c r="BI797" s="48"/>
      <c r="BN797" s="48"/>
      <c r="BO797" s="48"/>
      <c r="BR797" s="48"/>
      <c r="BS797" s="48"/>
      <c r="BW797" s="48"/>
      <c r="CA797" s="48"/>
      <c r="CE797" s="48"/>
      <c r="CF797" s="48"/>
      <c r="CG797" s="48"/>
      <c r="CH797" s="48"/>
      <c r="CI797" s="48"/>
      <c r="CJ797" s="48"/>
      <c r="CL797" s="48"/>
      <c r="CM797" s="48"/>
      <c r="CN797" s="48"/>
      <c r="CO797" s="48"/>
      <c r="CP797" s="48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  <c r="DD797" s="48"/>
      <c r="DE797" s="48"/>
      <c r="DF797" s="48"/>
      <c r="DG797" s="48"/>
      <c r="DH797" s="48"/>
      <c r="DI797" s="48"/>
      <c r="DJ797" s="48"/>
      <c r="DK797" s="48"/>
      <c r="DL797" s="48"/>
      <c r="DM797" s="48"/>
      <c r="DN797" s="48"/>
      <c r="DO797" s="48"/>
      <c r="DP797" s="48"/>
      <c r="DQ797" s="48"/>
      <c r="DR797" s="48"/>
      <c r="DS797" s="48"/>
      <c r="DT797" s="48"/>
      <c r="DU797" s="48"/>
      <c r="DV797" s="48"/>
      <c r="DW797" s="48"/>
      <c r="DX797" s="48"/>
      <c r="DY797" s="48"/>
      <c r="DZ797" s="48"/>
      <c r="EA797" s="48"/>
      <c r="EC797" s="48"/>
      <c r="ED797" s="48"/>
      <c r="EE797" s="48"/>
      <c r="EF797" s="48"/>
      <c r="EG797" s="48"/>
      <c r="EI797" s="48"/>
      <c r="EK797" s="48"/>
      <c r="EM797" s="48"/>
      <c r="EO797" s="48"/>
      <c r="EP797" s="48"/>
      <c r="EU797" s="48"/>
      <c r="EV797" s="48"/>
      <c r="EW797" s="48"/>
      <c r="EX797" s="48"/>
      <c r="EY797" s="48"/>
      <c r="EZ797" s="48"/>
      <c r="FA797" s="48"/>
      <c r="FB797" s="48"/>
      <c r="FC797" s="48"/>
      <c r="FD797" s="48"/>
      <c r="FE797" s="48"/>
      <c r="FF797" s="48"/>
      <c r="FG797" s="48"/>
      <c r="FI797" s="48"/>
      <c r="FL797" s="48"/>
      <c r="FM797" s="48"/>
      <c r="FN797" s="48"/>
      <c r="FO797" s="48"/>
      <c r="FP797" s="48"/>
      <c r="FQ797" s="48"/>
      <c r="FR797" s="48"/>
      <c r="FS797" s="48"/>
      <c r="FT797" s="48"/>
      <c r="FU797" s="48"/>
    </row>
    <row r="798" spans="1:177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52"/>
      <c r="BF798" s="48"/>
      <c r="BG798" s="48"/>
      <c r="BI798" s="48"/>
      <c r="BN798" s="48"/>
      <c r="BO798" s="48"/>
      <c r="BR798" s="48"/>
      <c r="BS798" s="48"/>
      <c r="BW798" s="48"/>
      <c r="CA798" s="48"/>
      <c r="CE798" s="48"/>
      <c r="CF798" s="48"/>
      <c r="CG798" s="48"/>
      <c r="CH798" s="48"/>
      <c r="CI798" s="48"/>
      <c r="CJ798" s="48"/>
      <c r="CL798" s="48"/>
      <c r="CM798" s="48"/>
      <c r="CN798" s="48"/>
      <c r="CO798" s="48"/>
      <c r="CP798" s="48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  <c r="DD798" s="48"/>
      <c r="DE798" s="48"/>
      <c r="DF798" s="48"/>
      <c r="DG798" s="48"/>
      <c r="DH798" s="48"/>
      <c r="DI798" s="48"/>
      <c r="DJ798" s="48"/>
      <c r="DK798" s="48"/>
      <c r="DL798" s="48"/>
      <c r="DM798" s="48"/>
      <c r="DN798" s="48"/>
      <c r="DO798" s="48"/>
      <c r="DP798" s="48"/>
      <c r="DQ798" s="48"/>
      <c r="DR798" s="48"/>
      <c r="DS798" s="48"/>
      <c r="DT798" s="48"/>
      <c r="DU798" s="48"/>
      <c r="DV798" s="48"/>
      <c r="DW798" s="48"/>
      <c r="DX798" s="48"/>
      <c r="DY798" s="48"/>
      <c r="DZ798" s="48"/>
      <c r="EA798" s="48"/>
      <c r="EC798" s="48"/>
      <c r="ED798" s="48"/>
      <c r="EE798" s="48"/>
      <c r="EF798" s="48"/>
      <c r="EG798" s="48"/>
      <c r="EI798" s="48"/>
      <c r="EK798" s="48"/>
      <c r="EM798" s="48"/>
      <c r="EO798" s="48"/>
      <c r="EP798" s="48"/>
      <c r="EU798" s="48"/>
      <c r="EV798" s="48"/>
      <c r="EW798" s="48"/>
      <c r="EX798" s="48"/>
      <c r="EY798" s="48"/>
      <c r="EZ798" s="48"/>
      <c r="FA798" s="48"/>
      <c r="FB798" s="48"/>
      <c r="FC798" s="48"/>
      <c r="FD798" s="48"/>
      <c r="FE798" s="48"/>
      <c r="FF798" s="48"/>
      <c r="FG798" s="48"/>
      <c r="FI798" s="48"/>
      <c r="FL798" s="48"/>
      <c r="FM798" s="48"/>
      <c r="FN798" s="48"/>
      <c r="FO798" s="48"/>
      <c r="FP798" s="48"/>
      <c r="FQ798" s="48"/>
      <c r="FR798" s="48"/>
      <c r="FS798" s="48"/>
      <c r="FT798" s="48"/>
      <c r="FU798" s="48"/>
    </row>
    <row r="799" spans="1:177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52"/>
      <c r="BF799" s="48"/>
      <c r="BG799" s="48"/>
      <c r="BI799" s="48"/>
      <c r="BN799" s="48"/>
      <c r="BO799" s="48"/>
      <c r="BR799" s="48"/>
      <c r="BS799" s="48"/>
      <c r="BW799" s="48"/>
      <c r="CA799" s="48"/>
      <c r="CE799" s="48"/>
      <c r="CF799" s="48"/>
      <c r="CG799" s="48"/>
      <c r="CH799" s="48"/>
      <c r="CI799" s="48"/>
      <c r="CJ799" s="48"/>
      <c r="CL799" s="48"/>
      <c r="CM799" s="48"/>
      <c r="CN799" s="48"/>
      <c r="CO799" s="48"/>
      <c r="CP799" s="48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  <c r="DE799" s="48"/>
      <c r="DF799" s="48"/>
      <c r="DG799" s="48"/>
      <c r="DH799" s="48"/>
      <c r="DI799" s="48"/>
      <c r="DJ799" s="48"/>
      <c r="DK799" s="48"/>
      <c r="DL799" s="48"/>
      <c r="DM799" s="48"/>
      <c r="DN799" s="48"/>
      <c r="DO799" s="48"/>
      <c r="DP799" s="48"/>
      <c r="DQ799" s="48"/>
      <c r="DR799" s="48"/>
      <c r="DS799" s="48"/>
      <c r="DT799" s="48"/>
      <c r="DU799" s="48"/>
      <c r="DV799" s="48"/>
      <c r="DW799" s="48"/>
      <c r="DX799" s="48"/>
      <c r="DY799" s="48"/>
      <c r="DZ799" s="48"/>
      <c r="EA799" s="48"/>
      <c r="EC799" s="48"/>
      <c r="ED799" s="48"/>
      <c r="EE799" s="48"/>
      <c r="EF799" s="48"/>
      <c r="EG799" s="48"/>
      <c r="EI799" s="48"/>
      <c r="EK799" s="48"/>
      <c r="EM799" s="48"/>
      <c r="EO799" s="48"/>
      <c r="EP799" s="48"/>
      <c r="EU799" s="48"/>
      <c r="EV799" s="48"/>
      <c r="EW799" s="48"/>
      <c r="EX799" s="48"/>
      <c r="EY799" s="48"/>
      <c r="EZ799" s="48"/>
      <c r="FA799" s="48"/>
      <c r="FB799" s="48"/>
      <c r="FC799" s="48"/>
      <c r="FD799" s="48"/>
      <c r="FE799" s="48"/>
      <c r="FF799" s="48"/>
      <c r="FG799" s="48"/>
      <c r="FI799" s="48"/>
      <c r="FL799" s="48"/>
      <c r="FM799" s="48"/>
      <c r="FN799" s="48"/>
      <c r="FO799" s="48"/>
      <c r="FP799" s="48"/>
      <c r="FQ799" s="48"/>
      <c r="FR799" s="48"/>
      <c r="FS799" s="48"/>
      <c r="FT799" s="48"/>
      <c r="FU799" s="48"/>
    </row>
    <row r="800" spans="1:177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52"/>
      <c r="BF800" s="48"/>
      <c r="BG800" s="48"/>
      <c r="BI800" s="48"/>
      <c r="BN800" s="48"/>
      <c r="BO800" s="48"/>
      <c r="BR800" s="48"/>
      <c r="BS800" s="48"/>
      <c r="BW800" s="48"/>
      <c r="CA800" s="48"/>
      <c r="CE800" s="48"/>
      <c r="CF800" s="48"/>
      <c r="CG800" s="48"/>
      <c r="CH800" s="48"/>
      <c r="CI800" s="48"/>
      <c r="CJ800" s="48"/>
      <c r="CL800" s="48"/>
      <c r="CM800" s="48"/>
      <c r="CN800" s="48"/>
      <c r="CO800" s="48"/>
      <c r="CP800" s="48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  <c r="DD800" s="48"/>
      <c r="DE800" s="48"/>
      <c r="DF800" s="48"/>
      <c r="DG800" s="48"/>
      <c r="DH800" s="48"/>
      <c r="DI800" s="48"/>
      <c r="DJ800" s="48"/>
      <c r="DK800" s="48"/>
      <c r="DL800" s="48"/>
      <c r="DM800" s="48"/>
      <c r="DN800" s="48"/>
      <c r="DO800" s="48"/>
      <c r="DP800" s="48"/>
      <c r="DQ800" s="48"/>
      <c r="DR800" s="48"/>
      <c r="DS800" s="48"/>
      <c r="DT800" s="48"/>
      <c r="DU800" s="48"/>
      <c r="DV800" s="48"/>
      <c r="DW800" s="48"/>
      <c r="DX800" s="48"/>
      <c r="DY800" s="48"/>
      <c r="DZ800" s="48"/>
      <c r="EA800" s="48"/>
      <c r="EC800" s="48"/>
      <c r="ED800" s="48"/>
      <c r="EE800" s="48"/>
      <c r="EF800" s="48"/>
      <c r="EG800" s="48"/>
      <c r="EI800" s="48"/>
      <c r="EK800" s="48"/>
      <c r="EM800" s="48"/>
      <c r="EO800" s="48"/>
      <c r="EP800" s="48"/>
      <c r="EU800" s="48"/>
      <c r="EV800" s="48"/>
      <c r="EW800" s="48"/>
      <c r="EX800" s="48"/>
      <c r="EY800" s="48"/>
      <c r="EZ800" s="48"/>
      <c r="FA800" s="48"/>
      <c r="FB800" s="48"/>
      <c r="FC800" s="48"/>
      <c r="FD800" s="48"/>
      <c r="FE800" s="48"/>
      <c r="FF800" s="48"/>
      <c r="FG800" s="48"/>
      <c r="FI800" s="48"/>
      <c r="FL800" s="48"/>
      <c r="FM800" s="48"/>
      <c r="FN800" s="48"/>
      <c r="FO800" s="48"/>
      <c r="FP800" s="48"/>
      <c r="FQ800" s="48"/>
      <c r="FR800" s="48"/>
      <c r="FS800" s="48"/>
      <c r="FT800" s="48"/>
      <c r="FU800" s="48"/>
    </row>
    <row r="801" spans="1:177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52"/>
      <c r="BF801" s="48"/>
      <c r="BG801" s="48"/>
      <c r="BI801" s="48"/>
      <c r="BN801" s="48"/>
      <c r="BO801" s="48"/>
      <c r="BR801" s="48"/>
      <c r="BS801" s="48"/>
      <c r="BW801" s="48"/>
      <c r="CA801" s="48"/>
      <c r="CE801" s="48"/>
      <c r="CF801" s="48"/>
      <c r="CG801" s="48"/>
      <c r="CH801" s="48"/>
      <c r="CI801" s="48"/>
      <c r="CJ801" s="48"/>
      <c r="CL801" s="48"/>
      <c r="CM801" s="48"/>
      <c r="CN801" s="48"/>
      <c r="CO801" s="48"/>
      <c r="CP801" s="48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  <c r="DD801" s="48"/>
      <c r="DE801" s="48"/>
      <c r="DF801" s="48"/>
      <c r="DG801" s="48"/>
      <c r="DH801" s="48"/>
      <c r="DI801" s="48"/>
      <c r="DJ801" s="48"/>
      <c r="DK801" s="48"/>
      <c r="DL801" s="48"/>
      <c r="DM801" s="48"/>
      <c r="DN801" s="48"/>
      <c r="DO801" s="48"/>
      <c r="DP801" s="48"/>
      <c r="DQ801" s="48"/>
      <c r="DR801" s="48"/>
      <c r="DS801" s="48"/>
      <c r="DT801" s="48"/>
      <c r="DU801" s="48"/>
      <c r="DV801" s="48"/>
      <c r="DW801" s="48"/>
      <c r="DX801" s="48"/>
      <c r="DY801" s="48"/>
      <c r="DZ801" s="48"/>
      <c r="EA801" s="48"/>
      <c r="EC801" s="48"/>
      <c r="ED801" s="48"/>
      <c r="EE801" s="48"/>
      <c r="EF801" s="48"/>
      <c r="EG801" s="48"/>
      <c r="EI801" s="48"/>
      <c r="EK801" s="48"/>
      <c r="EM801" s="48"/>
      <c r="EO801" s="48"/>
      <c r="EP801" s="48"/>
      <c r="EU801" s="48"/>
      <c r="EV801" s="48"/>
      <c r="EW801" s="48"/>
      <c r="EX801" s="48"/>
      <c r="EY801" s="48"/>
      <c r="EZ801" s="48"/>
      <c r="FA801" s="48"/>
      <c r="FB801" s="48"/>
      <c r="FC801" s="48"/>
      <c r="FD801" s="48"/>
      <c r="FE801" s="48"/>
      <c r="FF801" s="48"/>
      <c r="FG801" s="48"/>
      <c r="FI801" s="48"/>
      <c r="FL801" s="48"/>
      <c r="FM801" s="48"/>
      <c r="FN801" s="48"/>
      <c r="FO801" s="48"/>
      <c r="FP801" s="48"/>
      <c r="FQ801" s="48"/>
      <c r="FR801" s="48"/>
      <c r="FS801" s="48"/>
      <c r="FT801" s="48"/>
      <c r="FU801" s="48"/>
    </row>
    <row r="802" spans="1:177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52"/>
      <c r="BF802" s="48"/>
      <c r="BG802" s="48"/>
      <c r="BI802" s="48"/>
      <c r="BN802" s="48"/>
      <c r="BO802" s="48"/>
      <c r="BR802" s="48"/>
      <c r="BS802" s="48"/>
      <c r="BW802" s="48"/>
      <c r="CA802" s="48"/>
      <c r="CE802" s="48"/>
      <c r="CF802" s="48"/>
      <c r="CG802" s="48"/>
      <c r="CH802" s="48"/>
      <c r="CI802" s="48"/>
      <c r="CJ802" s="48"/>
      <c r="CL802" s="48"/>
      <c r="CM802" s="48"/>
      <c r="CN802" s="48"/>
      <c r="CO802" s="48"/>
      <c r="CP802" s="48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8"/>
      <c r="DN802" s="48"/>
      <c r="DO802" s="48"/>
      <c r="DP802" s="48"/>
      <c r="DQ802" s="48"/>
      <c r="DR802" s="48"/>
      <c r="DS802" s="48"/>
      <c r="DT802" s="48"/>
      <c r="DU802" s="48"/>
      <c r="DV802" s="48"/>
      <c r="DW802" s="48"/>
      <c r="DX802" s="48"/>
      <c r="DY802" s="48"/>
      <c r="DZ802" s="48"/>
      <c r="EA802" s="48"/>
      <c r="EC802" s="48"/>
      <c r="ED802" s="48"/>
      <c r="EE802" s="48"/>
      <c r="EF802" s="48"/>
      <c r="EG802" s="48"/>
      <c r="EI802" s="48"/>
      <c r="EK802" s="48"/>
      <c r="EM802" s="48"/>
      <c r="EO802" s="48"/>
      <c r="EP802" s="48"/>
      <c r="EU802" s="48"/>
      <c r="EV802" s="48"/>
      <c r="EW802" s="48"/>
      <c r="EX802" s="48"/>
      <c r="EY802" s="48"/>
      <c r="EZ802" s="48"/>
      <c r="FA802" s="48"/>
      <c r="FB802" s="48"/>
      <c r="FC802" s="48"/>
      <c r="FD802" s="48"/>
      <c r="FE802" s="48"/>
      <c r="FF802" s="48"/>
      <c r="FG802" s="48"/>
      <c r="FI802" s="48"/>
      <c r="FL802" s="48"/>
      <c r="FM802" s="48"/>
      <c r="FN802" s="48"/>
      <c r="FO802" s="48"/>
      <c r="FP802" s="48"/>
      <c r="FQ802" s="48"/>
      <c r="FR802" s="48"/>
      <c r="FS802" s="48"/>
      <c r="FT802" s="48"/>
      <c r="FU802" s="48"/>
    </row>
    <row r="803" spans="1:177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52"/>
      <c r="BF803" s="48"/>
      <c r="BG803" s="48"/>
      <c r="BI803" s="48"/>
      <c r="BN803" s="48"/>
      <c r="BO803" s="48"/>
      <c r="BR803" s="48"/>
      <c r="BS803" s="48"/>
      <c r="BW803" s="48"/>
      <c r="CA803" s="48"/>
      <c r="CE803" s="48"/>
      <c r="CF803" s="48"/>
      <c r="CG803" s="48"/>
      <c r="CH803" s="48"/>
      <c r="CI803" s="48"/>
      <c r="CJ803" s="48"/>
      <c r="CL803" s="48"/>
      <c r="CM803" s="48"/>
      <c r="CN803" s="48"/>
      <c r="CO803" s="48"/>
      <c r="CP803" s="48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  <c r="DE803" s="48"/>
      <c r="DF803" s="48"/>
      <c r="DG803" s="48"/>
      <c r="DH803" s="48"/>
      <c r="DI803" s="48"/>
      <c r="DJ803" s="48"/>
      <c r="DK803" s="48"/>
      <c r="DL803" s="48"/>
      <c r="DM803" s="48"/>
      <c r="DN803" s="48"/>
      <c r="DO803" s="48"/>
      <c r="DP803" s="48"/>
      <c r="DQ803" s="48"/>
      <c r="DR803" s="48"/>
      <c r="DS803" s="48"/>
      <c r="DT803" s="48"/>
      <c r="DU803" s="48"/>
      <c r="DV803" s="48"/>
      <c r="DW803" s="48"/>
      <c r="DX803" s="48"/>
      <c r="DY803" s="48"/>
      <c r="DZ803" s="48"/>
      <c r="EA803" s="48"/>
      <c r="EC803" s="48"/>
      <c r="ED803" s="48"/>
      <c r="EE803" s="48"/>
      <c r="EF803" s="48"/>
      <c r="EG803" s="48"/>
      <c r="EI803" s="48"/>
      <c r="EK803" s="48"/>
      <c r="EM803" s="48"/>
      <c r="EO803" s="48"/>
      <c r="EP803" s="48"/>
      <c r="EU803" s="48"/>
      <c r="EV803" s="48"/>
      <c r="EW803" s="48"/>
      <c r="EX803" s="48"/>
      <c r="EY803" s="48"/>
      <c r="EZ803" s="48"/>
      <c r="FA803" s="48"/>
      <c r="FB803" s="48"/>
      <c r="FC803" s="48"/>
      <c r="FD803" s="48"/>
      <c r="FE803" s="48"/>
      <c r="FF803" s="48"/>
      <c r="FG803" s="48"/>
      <c r="FI803" s="48"/>
      <c r="FL803" s="48"/>
      <c r="FM803" s="48"/>
      <c r="FN803" s="48"/>
      <c r="FO803" s="48"/>
      <c r="FP803" s="48"/>
      <c r="FQ803" s="48"/>
      <c r="FR803" s="48"/>
      <c r="FS803" s="48"/>
      <c r="FT803" s="48"/>
      <c r="FU803" s="48"/>
    </row>
    <row r="804" spans="1:177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52"/>
      <c r="BF804" s="48"/>
      <c r="BG804" s="48"/>
      <c r="BI804" s="48"/>
      <c r="BN804" s="48"/>
      <c r="BO804" s="48"/>
      <c r="BR804" s="48"/>
      <c r="BS804" s="48"/>
      <c r="BW804" s="48"/>
      <c r="CA804" s="48"/>
      <c r="CE804" s="48"/>
      <c r="CF804" s="48"/>
      <c r="CG804" s="48"/>
      <c r="CH804" s="48"/>
      <c r="CI804" s="48"/>
      <c r="CJ804" s="48"/>
      <c r="CL804" s="48"/>
      <c r="CM804" s="48"/>
      <c r="CN804" s="48"/>
      <c r="CO804" s="48"/>
      <c r="CP804" s="48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  <c r="DD804" s="48"/>
      <c r="DE804" s="48"/>
      <c r="DF804" s="48"/>
      <c r="DG804" s="48"/>
      <c r="DH804" s="48"/>
      <c r="DI804" s="48"/>
      <c r="DJ804" s="48"/>
      <c r="DK804" s="48"/>
      <c r="DL804" s="48"/>
      <c r="DM804" s="48"/>
      <c r="DN804" s="48"/>
      <c r="DO804" s="48"/>
      <c r="DP804" s="48"/>
      <c r="DQ804" s="48"/>
      <c r="DR804" s="48"/>
      <c r="DS804" s="48"/>
      <c r="DT804" s="48"/>
      <c r="DU804" s="48"/>
      <c r="DV804" s="48"/>
      <c r="DW804" s="48"/>
      <c r="DX804" s="48"/>
      <c r="DY804" s="48"/>
      <c r="DZ804" s="48"/>
      <c r="EA804" s="48"/>
      <c r="EC804" s="48"/>
      <c r="ED804" s="48"/>
      <c r="EE804" s="48"/>
      <c r="EF804" s="48"/>
      <c r="EG804" s="48"/>
      <c r="EI804" s="48"/>
      <c r="EK804" s="48"/>
      <c r="EM804" s="48"/>
      <c r="EO804" s="48"/>
      <c r="EP804" s="48"/>
      <c r="EU804" s="48"/>
      <c r="EV804" s="48"/>
      <c r="EW804" s="48"/>
      <c r="EX804" s="48"/>
      <c r="EY804" s="48"/>
      <c r="EZ804" s="48"/>
      <c r="FA804" s="48"/>
      <c r="FB804" s="48"/>
      <c r="FC804" s="48"/>
      <c r="FD804" s="48"/>
      <c r="FE804" s="48"/>
      <c r="FF804" s="48"/>
      <c r="FG804" s="48"/>
      <c r="FI804" s="48"/>
      <c r="FL804" s="48"/>
      <c r="FM804" s="48"/>
      <c r="FN804" s="48"/>
      <c r="FO804" s="48"/>
      <c r="FP804" s="48"/>
      <c r="FQ804" s="48"/>
      <c r="FR804" s="48"/>
      <c r="FS804" s="48"/>
      <c r="FT804" s="48"/>
      <c r="FU804" s="48"/>
    </row>
    <row r="805" spans="1:177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52"/>
      <c r="BF805" s="48"/>
      <c r="BG805" s="48"/>
      <c r="BI805" s="48"/>
      <c r="BN805" s="48"/>
      <c r="BO805" s="48"/>
      <c r="BR805" s="48"/>
      <c r="BS805" s="48"/>
      <c r="BW805" s="48"/>
      <c r="CA805" s="48"/>
      <c r="CE805" s="48"/>
      <c r="CF805" s="48"/>
      <c r="CG805" s="48"/>
      <c r="CH805" s="48"/>
      <c r="CI805" s="48"/>
      <c r="CJ805" s="48"/>
      <c r="CL805" s="48"/>
      <c r="CM805" s="48"/>
      <c r="CN805" s="48"/>
      <c r="CO805" s="48"/>
      <c r="CP805" s="48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  <c r="DE805" s="48"/>
      <c r="DF805" s="48"/>
      <c r="DG805" s="48"/>
      <c r="DH805" s="48"/>
      <c r="DI805" s="48"/>
      <c r="DJ805" s="48"/>
      <c r="DK805" s="48"/>
      <c r="DL805" s="48"/>
      <c r="DM805" s="48"/>
      <c r="DN805" s="48"/>
      <c r="DO805" s="48"/>
      <c r="DP805" s="48"/>
      <c r="DQ805" s="48"/>
      <c r="DR805" s="48"/>
      <c r="DS805" s="48"/>
      <c r="DT805" s="48"/>
      <c r="DU805" s="48"/>
      <c r="DV805" s="48"/>
      <c r="DW805" s="48"/>
      <c r="DX805" s="48"/>
      <c r="DY805" s="48"/>
      <c r="DZ805" s="48"/>
      <c r="EA805" s="48"/>
      <c r="EC805" s="48"/>
      <c r="ED805" s="48"/>
      <c r="EE805" s="48"/>
      <c r="EF805" s="48"/>
      <c r="EG805" s="48"/>
      <c r="EI805" s="48"/>
      <c r="EK805" s="48"/>
      <c r="EM805" s="48"/>
      <c r="EO805" s="48"/>
      <c r="EP805" s="48"/>
      <c r="EU805" s="48"/>
      <c r="EV805" s="48"/>
      <c r="EW805" s="48"/>
      <c r="EX805" s="48"/>
      <c r="EY805" s="48"/>
      <c r="EZ805" s="48"/>
      <c r="FA805" s="48"/>
      <c r="FB805" s="48"/>
      <c r="FC805" s="48"/>
      <c r="FD805" s="48"/>
      <c r="FE805" s="48"/>
      <c r="FF805" s="48"/>
      <c r="FG805" s="48"/>
      <c r="FI805" s="48"/>
      <c r="FL805" s="48"/>
      <c r="FM805" s="48"/>
      <c r="FN805" s="48"/>
      <c r="FO805" s="48"/>
      <c r="FP805" s="48"/>
      <c r="FQ805" s="48"/>
      <c r="FR805" s="48"/>
      <c r="FS805" s="48"/>
      <c r="FT805" s="48"/>
      <c r="FU805" s="48"/>
    </row>
    <row r="806" spans="1:177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52"/>
      <c r="BF806" s="48"/>
      <c r="BG806" s="48"/>
      <c r="BI806" s="48"/>
      <c r="BN806" s="48"/>
      <c r="BO806" s="48"/>
      <c r="BR806" s="48"/>
      <c r="BS806" s="48"/>
      <c r="BW806" s="48"/>
      <c r="CA806" s="48"/>
      <c r="CE806" s="48"/>
      <c r="CF806" s="48"/>
      <c r="CG806" s="48"/>
      <c r="CH806" s="48"/>
      <c r="CI806" s="48"/>
      <c r="CJ806" s="48"/>
      <c r="CL806" s="48"/>
      <c r="CM806" s="48"/>
      <c r="CN806" s="48"/>
      <c r="CO806" s="48"/>
      <c r="CP806" s="48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  <c r="DD806" s="48"/>
      <c r="DE806" s="48"/>
      <c r="DF806" s="48"/>
      <c r="DG806" s="48"/>
      <c r="DH806" s="48"/>
      <c r="DI806" s="48"/>
      <c r="DJ806" s="48"/>
      <c r="DK806" s="48"/>
      <c r="DL806" s="48"/>
      <c r="DM806" s="48"/>
      <c r="DN806" s="48"/>
      <c r="DO806" s="48"/>
      <c r="DP806" s="48"/>
      <c r="DQ806" s="48"/>
      <c r="DR806" s="48"/>
      <c r="DS806" s="48"/>
      <c r="DT806" s="48"/>
      <c r="DU806" s="48"/>
      <c r="DV806" s="48"/>
      <c r="DW806" s="48"/>
      <c r="DX806" s="48"/>
      <c r="DY806" s="48"/>
      <c r="DZ806" s="48"/>
      <c r="EA806" s="48"/>
      <c r="EC806" s="48"/>
      <c r="ED806" s="48"/>
      <c r="EE806" s="48"/>
      <c r="EF806" s="48"/>
      <c r="EG806" s="48"/>
      <c r="EI806" s="48"/>
      <c r="EK806" s="48"/>
      <c r="EM806" s="48"/>
      <c r="EO806" s="48"/>
      <c r="EP806" s="48"/>
      <c r="EU806" s="48"/>
      <c r="EV806" s="48"/>
      <c r="EW806" s="48"/>
      <c r="EX806" s="48"/>
      <c r="EY806" s="48"/>
      <c r="EZ806" s="48"/>
      <c r="FA806" s="48"/>
      <c r="FB806" s="48"/>
      <c r="FC806" s="48"/>
      <c r="FD806" s="48"/>
      <c r="FE806" s="48"/>
      <c r="FF806" s="48"/>
      <c r="FG806" s="48"/>
      <c r="FI806" s="48"/>
      <c r="FL806" s="48"/>
      <c r="FM806" s="48"/>
      <c r="FN806" s="48"/>
      <c r="FO806" s="48"/>
      <c r="FP806" s="48"/>
      <c r="FQ806" s="48"/>
      <c r="FR806" s="48"/>
      <c r="FS806" s="48"/>
      <c r="FT806" s="48"/>
      <c r="FU806" s="48"/>
    </row>
    <row r="807" spans="1:17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52"/>
      <c r="BF807" s="48"/>
      <c r="BG807" s="48"/>
      <c r="BI807" s="48"/>
      <c r="BN807" s="48"/>
      <c r="BO807" s="48"/>
      <c r="BR807" s="48"/>
      <c r="BS807" s="48"/>
      <c r="BW807" s="48"/>
      <c r="CA807" s="48"/>
      <c r="CE807" s="48"/>
      <c r="CF807" s="48"/>
      <c r="CG807" s="48"/>
      <c r="CH807" s="48"/>
      <c r="CI807" s="48"/>
      <c r="CJ807" s="48"/>
      <c r="CL807" s="48"/>
      <c r="CM807" s="48"/>
      <c r="CN807" s="48"/>
      <c r="CO807" s="48"/>
      <c r="CP807" s="48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  <c r="DD807" s="48"/>
      <c r="DE807" s="48"/>
      <c r="DF807" s="48"/>
      <c r="DG807" s="48"/>
      <c r="DH807" s="48"/>
      <c r="DI807" s="48"/>
      <c r="DJ807" s="48"/>
      <c r="DK807" s="48"/>
      <c r="DL807" s="48"/>
      <c r="DM807" s="48"/>
      <c r="DN807" s="48"/>
      <c r="DO807" s="48"/>
      <c r="DP807" s="48"/>
      <c r="DQ807" s="48"/>
      <c r="DR807" s="48"/>
      <c r="DS807" s="48"/>
      <c r="DT807" s="48"/>
      <c r="DU807" s="48"/>
      <c r="DV807" s="48"/>
      <c r="DW807" s="48"/>
      <c r="DX807" s="48"/>
      <c r="DY807" s="48"/>
      <c r="DZ807" s="48"/>
      <c r="EA807" s="48"/>
      <c r="EC807" s="48"/>
      <c r="ED807" s="48"/>
      <c r="EE807" s="48"/>
      <c r="EF807" s="48"/>
      <c r="EG807" s="48"/>
      <c r="EI807" s="48"/>
      <c r="EK807" s="48"/>
      <c r="EM807" s="48"/>
      <c r="EO807" s="48"/>
      <c r="EP807" s="48"/>
      <c r="EU807" s="48"/>
      <c r="EV807" s="48"/>
      <c r="EW807" s="48"/>
      <c r="EX807" s="48"/>
      <c r="EY807" s="48"/>
      <c r="EZ807" s="48"/>
      <c r="FA807" s="48"/>
      <c r="FB807" s="48"/>
      <c r="FC807" s="48"/>
      <c r="FD807" s="48"/>
      <c r="FE807" s="48"/>
      <c r="FF807" s="48"/>
      <c r="FG807" s="48"/>
      <c r="FI807" s="48"/>
      <c r="FL807" s="48"/>
      <c r="FM807" s="48"/>
      <c r="FN807" s="48"/>
      <c r="FO807" s="48"/>
      <c r="FP807" s="48"/>
      <c r="FQ807" s="48"/>
      <c r="FR807" s="48"/>
      <c r="FS807" s="48"/>
      <c r="FT807" s="48"/>
      <c r="FU807" s="48"/>
    </row>
    <row r="808" spans="1:177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52"/>
      <c r="BF808" s="48"/>
      <c r="BG808" s="48"/>
      <c r="BI808" s="48"/>
      <c r="BN808" s="48"/>
      <c r="BO808" s="48"/>
      <c r="BR808" s="48"/>
      <c r="BS808" s="48"/>
      <c r="BW808" s="48"/>
      <c r="CA808" s="48"/>
      <c r="CE808" s="48"/>
      <c r="CF808" s="48"/>
      <c r="CG808" s="48"/>
      <c r="CH808" s="48"/>
      <c r="CI808" s="48"/>
      <c r="CJ808" s="48"/>
      <c r="CL808" s="48"/>
      <c r="CM808" s="48"/>
      <c r="CN808" s="48"/>
      <c r="CO808" s="48"/>
      <c r="CP808" s="48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8"/>
      <c r="DN808" s="48"/>
      <c r="DO808" s="48"/>
      <c r="DP808" s="48"/>
      <c r="DQ808" s="48"/>
      <c r="DR808" s="48"/>
      <c r="DS808" s="48"/>
      <c r="DT808" s="48"/>
      <c r="DU808" s="48"/>
      <c r="DV808" s="48"/>
      <c r="DW808" s="48"/>
      <c r="DX808" s="48"/>
      <c r="DY808" s="48"/>
      <c r="DZ808" s="48"/>
      <c r="EA808" s="48"/>
      <c r="EC808" s="48"/>
      <c r="ED808" s="48"/>
      <c r="EE808" s="48"/>
      <c r="EF808" s="48"/>
      <c r="EG808" s="48"/>
      <c r="EI808" s="48"/>
      <c r="EK808" s="48"/>
      <c r="EM808" s="48"/>
      <c r="EO808" s="48"/>
      <c r="EP808" s="48"/>
      <c r="EU808" s="48"/>
      <c r="EV808" s="48"/>
      <c r="EW808" s="48"/>
      <c r="EX808" s="48"/>
      <c r="EY808" s="48"/>
      <c r="EZ808" s="48"/>
      <c r="FA808" s="48"/>
      <c r="FB808" s="48"/>
      <c r="FC808" s="48"/>
      <c r="FD808" s="48"/>
      <c r="FE808" s="48"/>
      <c r="FF808" s="48"/>
      <c r="FG808" s="48"/>
      <c r="FI808" s="48"/>
      <c r="FL808" s="48"/>
      <c r="FM808" s="48"/>
      <c r="FN808" s="48"/>
      <c r="FO808" s="48"/>
      <c r="FP808" s="48"/>
      <c r="FQ808" s="48"/>
      <c r="FR808" s="48"/>
      <c r="FS808" s="48"/>
      <c r="FT808" s="48"/>
      <c r="FU808" s="48"/>
    </row>
    <row r="809" spans="1:177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52"/>
      <c r="BF809" s="48"/>
      <c r="BG809" s="48"/>
      <c r="BI809" s="48"/>
      <c r="BN809" s="48"/>
      <c r="BO809" s="48"/>
      <c r="BR809" s="48"/>
      <c r="BS809" s="48"/>
      <c r="BW809" s="48"/>
      <c r="CA809" s="48"/>
      <c r="CE809" s="48"/>
      <c r="CF809" s="48"/>
      <c r="CG809" s="48"/>
      <c r="CH809" s="48"/>
      <c r="CI809" s="48"/>
      <c r="CJ809" s="48"/>
      <c r="CL809" s="48"/>
      <c r="CM809" s="48"/>
      <c r="CN809" s="48"/>
      <c r="CO809" s="48"/>
      <c r="CP809" s="48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  <c r="DE809" s="48"/>
      <c r="DF809" s="48"/>
      <c r="DG809" s="48"/>
      <c r="DH809" s="48"/>
      <c r="DI809" s="48"/>
      <c r="DJ809" s="48"/>
      <c r="DK809" s="48"/>
      <c r="DL809" s="48"/>
      <c r="DM809" s="48"/>
      <c r="DN809" s="48"/>
      <c r="DO809" s="48"/>
      <c r="DP809" s="48"/>
      <c r="DQ809" s="48"/>
      <c r="DR809" s="48"/>
      <c r="DS809" s="48"/>
      <c r="DT809" s="48"/>
      <c r="DU809" s="48"/>
      <c r="DV809" s="48"/>
      <c r="DW809" s="48"/>
      <c r="DX809" s="48"/>
      <c r="DY809" s="48"/>
      <c r="DZ809" s="48"/>
      <c r="EA809" s="48"/>
      <c r="EC809" s="48"/>
      <c r="ED809" s="48"/>
      <c r="EE809" s="48"/>
      <c r="EF809" s="48"/>
      <c r="EG809" s="48"/>
      <c r="EI809" s="48"/>
      <c r="EK809" s="48"/>
      <c r="EM809" s="48"/>
      <c r="EO809" s="48"/>
      <c r="EP809" s="48"/>
      <c r="EU809" s="48"/>
      <c r="EV809" s="48"/>
      <c r="EW809" s="48"/>
      <c r="EX809" s="48"/>
      <c r="EY809" s="48"/>
      <c r="EZ809" s="48"/>
      <c r="FA809" s="48"/>
      <c r="FB809" s="48"/>
      <c r="FC809" s="48"/>
      <c r="FD809" s="48"/>
      <c r="FE809" s="48"/>
      <c r="FF809" s="48"/>
      <c r="FG809" s="48"/>
      <c r="FI809" s="48"/>
      <c r="FL809" s="48"/>
      <c r="FM809" s="48"/>
      <c r="FN809" s="48"/>
      <c r="FO809" s="48"/>
      <c r="FP809" s="48"/>
      <c r="FQ809" s="48"/>
      <c r="FR809" s="48"/>
      <c r="FS809" s="48"/>
      <c r="FT809" s="48"/>
      <c r="FU809" s="48"/>
    </row>
    <row r="810" spans="1:177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52"/>
      <c r="BF810" s="48"/>
      <c r="BG810" s="48"/>
      <c r="BI810" s="48"/>
      <c r="BN810" s="48"/>
      <c r="BO810" s="48"/>
      <c r="BR810" s="48"/>
      <c r="BS810" s="48"/>
      <c r="BW810" s="48"/>
      <c r="CA810" s="48"/>
      <c r="CE810" s="48"/>
      <c r="CF810" s="48"/>
      <c r="CG810" s="48"/>
      <c r="CH810" s="48"/>
      <c r="CI810" s="48"/>
      <c r="CJ810" s="48"/>
      <c r="CL810" s="48"/>
      <c r="CM810" s="48"/>
      <c r="CN810" s="48"/>
      <c r="CO810" s="48"/>
      <c r="CP810" s="48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  <c r="DD810" s="48"/>
      <c r="DE810" s="48"/>
      <c r="DF810" s="48"/>
      <c r="DG810" s="48"/>
      <c r="DH810" s="48"/>
      <c r="DI810" s="48"/>
      <c r="DJ810" s="48"/>
      <c r="DK810" s="48"/>
      <c r="DL810" s="48"/>
      <c r="DM810" s="48"/>
      <c r="DN810" s="48"/>
      <c r="DO810" s="48"/>
      <c r="DP810" s="48"/>
      <c r="DQ810" s="48"/>
      <c r="DR810" s="48"/>
      <c r="DS810" s="48"/>
      <c r="DT810" s="48"/>
      <c r="DU810" s="48"/>
      <c r="DV810" s="48"/>
      <c r="DW810" s="48"/>
      <c r="DX810" s="48"/>
      <c r="DY810" s="48"/>
      <c r="DZ810" s="48"/>
      <c r="EA810" s="48"/>
      <c r="EC810" s="48"/>
      <c r="ED810" s="48"/>
      <c r="EE810" s="48"/>
      <c r="EF810" s="48"/>
      <c r="EG810" s="48"/>
      <c r="EI810" s="48"/>
      <c r="EK810" s="48"/>
      <c r="EM810" s="48"/>
      <c r="EO810" s="48"/>
      <c r="EP810" s="48"/>
      <c r="EU810" s="48"/>
      <c r="EV810" s="48"/>
      <c r="EW810" s="48"/>
      <c r="EX810" s="48"/>
      <c r="EY810" s="48"/>
      <c r="EZ810" s="48"/>
      <c r="FA810" s="48"/>
      <c r="FB810" s="48"/>
      <c r="FC810" s="48"/>
      <c r="FD810" s="48"/>
      <c r="FE810" s="48"/>
      <c r="FF810" s="48"/>
      <c r="FG810" s="48"/>
      <c r="FI810" s="48"/>
      <c r="FL810" s="48"/>
      <c r="FM810" s="48"/>
      <c r="FN810" s="48"/>
      <c r="FO810" s="48"/>
      <c r="FP810" s="48"/>
      <c r="FQ810" s="48"/>
      <c r="FR810" s="48"/>
      <c r="FS810" s="48"/>
      <c r="FT810" s="48"/>
      <c r="FU810" s="48"/>
    </row>
    <row r="811" spans="1:177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52"/>
      <c r="BF811" s="48"/>
      <c r="BG811" s="48"/>
      <c r="BI811" s="48"/>
      <c r="BN811" s="48"/>
      <c r="BO811" s="48"/>
      <c r="BR811" s="48"/>
      <c r="BS811" s="48"/>
      <c r="BW811" s="48"/>
      <c r="CA811" s="48"/>
      <c r="CE811" s="48"/>
      <c r="CF811" s="48"/>
      <c r="CG811" s="48"/>
      <c r="CH811" s="48"/>
      <c r="CI811" s="48"/>
      <c r="CJ811" s="48"/>
      <c r="CL811" s="48"/>
      <c r="CM811" s="48"/>
      <c r="CN811" s="48"/>
      <c r="CO811" s="48"/>
      <c r="CP811" s="48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  <c r="DE811" s="48"/>
      <c r="DF811" s="48"/>
      <c r="DG811" s="48"/>
      <c r="DH811" s="48"/>
      <c r="DI811" s="48"/>
      <c r="DJ811" s="48"/>
      <c r="DK811" s="48"/>
      <c r="DL811" s="48"/>
      <c r="DM811" s="48"/>
      <c r="DN811" s="48"/>
      <c r="DO811" s="48"/>
      <c r="DP811" s="48"/>
      <c r="DQ811" s="48"/>
      <c r="DR811" s="48"/>
      <c r="DS811" s="48"/>
      <c r="DT811" s="48"/>
      <c r="DU811" s="48"/>
      <c r="DV811" s="48"/>
      <c r="DW811" s="48"/>
      <c r="DX811" s="48"/>
      <c r="DY811" s="48"/>
      <c r="DZ811" s="48"/>
      <c r="EA811" s="48"/>
      <c r="EC811" s="48"/>
      <c r="ED811" s="48"/>
      <c r="EE811" s="48"/>
      <c r="EF811" s="48"/>
      <c r="EG811" s="48"/>
      <c r="EI811" s="48"/>
      <c r="EK811" s="48"/>
      <c r="EM811" s="48"/>
      <c r="EO811" s="48"/>
      <c r="EP811" s="48"/>
      <c r="EU811" s="48"/>
      <c r="EV811" s="48"/>
      <c r="EW811" s="48"/>
      <c r="EX811" s="48"/>
      <c r="EY811" s="48"/>
      <c r="EZ811" s="48"/>
      <c r="FA811" s="48"/>
      <c r="FB811" s="48"/>
      <c r="FC811" s="48"/>
      <c r="FD811" s="48"/>
      <c r="FE811" s="48"/>
      <c r="FF811" s="48"/>
      <c r="FG811" s="48"/>
      <c r="FI811" s="48"/>
      <c r="FL811" s="48"/>
      <c r="FM811" s="48"/>
      <c r="FN811" s="48"/>
      <c r="FO811" s="48"/>
      <c r="FP811" s="48"/>
      <c r="FQ811" s="48"/>
      <c r="FR811" s="48"/>
      <c r="FS811" s="48"/>
      <c r="FT811" s="48"/>
      <c r="FU811" s="48"/>
    </row>
    <row r="812" spans="1:177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52"/>
      <c r="BF812" s="48"/>
      <c r="BG812" s="48"/>
      <c r="BI812" s="48"/>
      <c r="BN812" s="48"/>
      <c r="BO812" s="48"/>
      <c r="BR812" s="48"/>
      <c r="BS812" s="48"/>
      <c r="BW812" s="48"/>
      <c r="CA812" s="48"/>
      <c r="CE812" s="48"/>
      <c r="CF812" s="48"/>
      <c r="CG812" s="48"/>
      <c r="CH812" s="48"/>
      <c r="CI812" s="48"/>
      <c r="CJ812" s="48"/>
      <c r="CL812" s="48"/>
      <c r="CM812" s="48"/>
      <c r="CN812" s="48"/>
      <c r="CO812" s="48"/>
      <c r="CP812" s="48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  <c r="DD812" s="48"/>
      <c r="DE812" s="48"/>
      <c r="DF812" s="48"/>
      <c r="DG812" s="48"/>
      <c r="DH812" s="48"/>
      <c r="DI812" s="48"/>
      <c r="DJ812" s="48"/>
      <c r="DK812" s="48"/>
      <c r="DL812" s="48"/>
      <c r="DM812" s="48"/>
      <c r="DN812" s="48"/>
      <c r="DO812" s="48"/>
      <c r="DP812" s="48"/>
      <c r="DQ812" s="48"/>
      <c r="DR812" s="48"/>
      <c r="DS812" s="48"/>
      <c r="DT812" s="48"/>
      <c r="DU812" s="48"/>
      <c r="DV812" s="48"/>
      <c r="DW812" s="48"/>
      <c r="DX812" s="48"/>
      <c r="DY812" s="48"/>
      <c r="DZ812" s="48"/>
      <c r="EA812" s="48"/>
      <c r="EC812" s="48"/>
      <c r="ED812" s="48"/>
      <c r="EE812" s="48"/>
      <c r="EF812" s="48"/>
      <c r="EG812" s="48"/>
      <c r="EI812" s="48"/>
      <c r="EK812" s="48"/>
      <c r="EM812" s="48"/>
      <c r="EO812" s="48"/>
      <c r="EP812" s="48"/>
      <c r="EU812" s="48"/>
      <c r="EV812" s="48"/>
      <c r="EW812" s="48"/>
      <c r="EX812" s="48"/>
      <c r="EY812" s="48"/>
      <c r="EZ812" s="48"/>
      <c r="FA812" s="48"/>
      <c r="FB812" s="48"/>
      <c r="FC812" s="48"/>
      <c r="FD812" s="48"/>
      <c r="FE812" s="48"/>
      <c r="FF812" s="48"/>
      <c r="FG812" s="48"/>
      <c r="FI812" s="48"/>
      <c r="FL812" s="48"/>
      <c r="FM812" s="48"/>
      <c r="FN812" s="48"/>
      <c r="FO812" s="48"/>
      <c r="FP812" s="48"/>
      <c r="FQ812" s="48"/>
      <c r="FR812" s="48"/>
      <c r="FS812" s="48"/>
      <c r="FT812" s="48"/>
      <c r="FU812" s="48"/>
    </row>
    <row r="813" spans="1:177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52"/>
      <c r="BF813" s="48"/>
      <c r="BG813" s="48"/>
      <c r="BI813" s="48"/>
      <c r="BN813" s="48"/>
      <c r="BO813" s="48"/>
      <c r="BR813" s="48"/>
      <c r="BS813" s="48"/>
      <c r="BW813" s="48"/>
      <c r="CA813" s="48"/>
      <c r="CE813" s="48"/>
      <c r="CF813" s="48"/>
      <c r="CG813" s="48"/>
      <c r="CH813" s="48"/>
      <c r="CI813" s="48"/>
      <c r="CJ813" s="48"/>
      <c r="CL813" s="48"/>
      <c r="CM813" s="48"/>
      <c r="CN813" s="48"/>
      <c r="CO813" s="48"/>
      <c r="CP813" s="48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  <c r="DD813" s="48"/>
      <c r="DE813" s="48"/>
      <c r="DF813" s="48"/>
      <c r="DG813" s="48"/>
      <c r="DH813" s="48"/>
      <c r="DI813" s="48"/>
      <c r="DJ813" s="48"/>
      <c r="DK813" s="48"/>
      <c r="DL813" s="48"/>
      <c r="DM813" s="48"/>
      <c r="DN813" s="48"/>
      <c r="DO813" s="48"/>
      <c r="DP813" s="48"/>
      <c r="DQ813" s="48"/>
      <c r="DR813" s="48"/>
      <c r="DS813" s="48"/>
      <c r="DT813" s="48"/>
      <c r="DU813" s="48"/>
      <c r="DV813" s="48"/>
      <c r="DW813" s="48"/>
      <c r="DX813" s="48"/>
      <c r="DY813" s="48"/>
      <c r="DZ813" s="48"/>
      <c r="EA813" s="48"/>
      <c r="EC813" s="48"/>
      <c r="ED813" s="48"/>
      <c r="EE813" s="48"/>
      <c r="EF813" s="48"/>
      <c r="EG813" s="48"/>
      <c r="EI813" s="48"/>
      <c r="EK813" s="48"/>
      <c r="EM813" s="48"/>
      <c r="EO813" s="48"/>
      <c r="EP813" s="48"/>
      <c r="EU813" s="48"/>
      <c r="EV813" s="48"/>
      <c r="EW813" s="48"/>
      <c r="EX813" s="48"/>
      <c r="EY813" s="48"/>
      <c r="EZ813" s="48"/>
      <c r="FA813" s="48"/>
      <c r="FB813" s="48"/>
      <c r="FC813" s="48"/>
      <c r="FD813" s="48"/>
      <c r="FE813" s="48"/>
      <c r="FF813" s="48"/>
      <c r="FG813" s="48"/>
      <c r="FI813" s="48"/>
      <c r="FL813" s="48"/>
      <c r="FM813" s="48"/>
      <c r="FN813" s="48"/>
      <c r="FO813" s="48"/>
      <c r="FP813" s="48"/>
      <c r="FQ813" s="48"/>
      <c r="FR813" s="48"/>
      <c r="FS813" s="48"/>
      <c r="FT813" s="48"/>
      <c r="FU813" s="48"/>
    </row>
    <row r="814" spans="1:177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52"/>
      <c r="BF814" s="48"/>
      <c r="BG814" s="48"/>
      <c r="BI814" s="48"/>
      <c r="BN814" s="48"/>
      <c r="BO814" s="48"/>
      <c r="BR814" s="48"/>
      <c r="BS814" s="48"/>
      <c r="BW814" s="48"/>
      <c r="CA814" s="48"/>
      <c r="CE814" s="48"/>
      <c r="CF814" s="48"/>
      <c r="CG814" s="48"/>
      <c r="CH814" s="48"/>
      <c r="CI814" s="48"/>
      <c r="CJ814" s="48"/>
      <c r="CL814" s="48"/>
      <c r="CM814" s="48"/>
      <c r="CN814" s="48"/>
      <c r="CO814" s="48"/>
      <c r="CP814" s="48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  <c r="DE814" s="48"/>
      <c r="DF814" s="48"/>
      <c r="DG814" s="48"/>
      <c r="DH814" s="48"/>
      <c r="DI814" s="48"/>
      <c r="DJ814" s="48"/>
      <c r="DK814" s="48"/>
      <c r="DL814" s="48"/>
      <c r="DM814" s="48"/>
      <c r="DN814" s="48"/>
      <c r="DO814" s="48"/>
      <c r="DP814" s="48"/>
      <c r="DQ814" s="48"/>
      <c r="DR814" s="48"/>
      <c r="DS814" s="48"/>
      <c r="DT814" s="48"/>
      <c r="DU814" s="48"/>
      <c r="DV814" s="48"/>
      <c r="DW814" s="48"/>
      <c r="DX814" s="48"/>
      <c r="DY814" s="48"/>
      <c r="DZ814" s="48"/>
      <c r="EA814" s="48"/>
      <c r="EC814" s="48"/>
      <c r="ED814" s="48"/>
      <c r="EE814" s="48"/>
      <c r="EF814" s="48"/>
      <c r="EG814" s="48"/>
      <c r="EI814" s="48"/>
      <c r="EK814" s="48"/>
      <c r="EM814" s="48"/>
      <c r="EO814" s="48"/>
      <c r="EP814" s="48"/>
      <c r="EU814" s="48"/>
      <c r="EV814" s="48"/>
      <c r="EW814" s="48"/>
      <c r="EX814" s="48"/>
      <c r="EY814" s="48"/>
      <c r="EZ814" s="48"/>
      <c r="FA814" s="48"/>
      <c r="FB814" s="48"/>
      <c r="FC814" s="48"/>
      <c r="FD814" s="48"/>
      <c r="FE814" s="48"/>
      <c r="FF814" s="48"/>
      <c r="FG814" s="48"/>
      <c r="FI814" s="48"/>
      <c r="FL814" s="48"/>
      <c r="FM814" s="48"/>
      <c r="FN814" s="48"/>
      <c r="FO814" s="48"/>
      <c r="FP814" s="48"/>
      <c r="FQ814" s="48"/>
      <c r="FR814" s="48"/>
      <c r="FS814" s="48"/>
      <c r="FT814" s="48"/>
      <c r="FU814" s="48"/>
    </row>
    <row r="815" spans="1:177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52"/>
      <c r="BF815" s="48"/>
      <c r="BG815" s="48"/>
      <c r="BI815" s="48"/>
      <c r="BN815" s="48"/>
      <c r="BO815" s="48"/>
      <c r="BR815" s="48"/>
      <c r="BS815" s="48"/>
      <c r="BW815" s="48"/>
      <c r="CA815" s="48"/>
      <c r="CE815" s="48"/>
      <c r="CF815" s="48"/>
      <c r="CG815" s="48"/>
      <c r="CH815" s="48"/>
      <c r="CI815" s="48"/>
      <c r="CJ815" s="48"/>
      <c r="CL815" s="48"/>
      <c r="CM815" s="48"/>
      <c r="CN815" s="48"/>
      <c r="CO815" s="48"/>
      <c r="CP815" s="48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  <c r="DE815" s="48"/>
      <c r="DF815" s="48"/>
      <c r="DG815" s="48"/>
      <c r="DH815" s="48"/>
      <c r="DI815" s="48"/>
      <c r="DJ815" s="48"/>
      <c r="DK815" s="48"/>
      <c r="DL815" s="48"/>
      <c r="DM815" s="48"/>
      <c r="DN815" s="48"/>
      <c r="DO815" s="48"/>
      <c r="DP815" s="48"/>
      <c r="DQ815" s="48"/>
      <c r="DR815" s="48"/>
      <c r="DS815" s="48"/>
      <c r="DT815" s="48"/>
      <c r="DU815" s="48"/>
      <c r="DV815" s="48"/>
      <c r="DW815" s="48"/>
      <c r="DX815" s="48"/>
      <c r="DY815" s="48"/>
      <c r="DZ815" s="48"/>
      <c r="EA815" s="48"/>
      <c r="EC815" s="48"/>
      <c r="ED815" s="48"/>
      <c r="EE815" s="48"/>
      <c r="EF815" s="48"/>
      <c r="EG815" s="48"/>
      <c r="EI815" s="48"/>
      <c r="EK815" s="48"/>
      <c r="EM815" s="48"/>
      <c r="EO815" s="48"/>
      <c r="EP815" s="48"/>
      <c r="EU815" s="48"/>
      <c r="EV815" s="48"/>
      <c r="EW815" s="48"/>
      <c r="EX815" s="48"/>
      <c r="EY815" s="48"/>
      <c r="EZ815" s="48"/>
      <c r="FA815" s="48"/>
      <c r="FB815" s="48"/>
      <c r="FC815" s="48"/>
      <c r="FD815" s="48"/>
      <c r="FE815" s="48"/>
      <c r="FF815" s="48"/>
      <c r="FG815" s="48"/>
      <c r="FI815" s="48"/>
      <c r="FL815" s="48"/>
      <c r="FM815" s="48"/>
      <c r="FN815" s="48"/>
      <c r="FO815" s="48"/>
      <c r="FP815" s="48"/>
      <c r="FQ815" s="48"/>
      <c r="FR815" s="48"/>
      <c r="FS815" s="48"/>
      <c r="FT815" s="48"/>
      <c r="FU815" s="48"/>
    </row>
    <row r="816" spans="1:177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52"/>
      <c r="BF816" s="48"/>
      <c r="BG816" s="48"/>
      <c r="BI816" s="48"/>
      <c r="BN816" s="48"/>
      <c r="BO816" s="48"/>
      <c r="BR816" s="48"/>
      <c r="BS816" s="48"/>
      <c r="BW816" s="48"/>
      <c r="CA816" s="48"/>
      <c r="CE816" s="48"/>
      <c r="CF816" s="48"/>
      <c r="CG816" s="48"/>
      <c r="CH816" s="48"/>
      <c r="CI816" s="48"/>
      <c r="CJ816" s="48"/>
      <c r="CL816" s="48"/>
      <c r="CM816" s="48"/>
      <c r="CN816" s="48"/>
      <c r="CO816" s="48"/>
      <c r="CP816" s="48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8"/>
      <c r="DV816" s="48"/>
      <c r="DW816" s="48"/>
      <c r="DX816" s="48"/>
      <c r="DY816" s="48"/>
      <c r="DZ816" s="48"/>
      <c r="EA816" s="48"/>
      <c r="EC816" s="48"/>
      <c r="ED816" s="48"/>
      <c r="EE816" s="48"/>
      <c r="EF816" s="48"/>
      <c r="EG816" s="48"/>
      <c r="EI816" s="48"/>
      <c r="EK816" s="48"/>
      <c r="EM816" s="48"/>
      <c r="EO816" s="48"/>
      <c r="EP816" s="48"/>
      <c r="EU816" s="48"/>
      <c r="EV816" s="48"/>
      <c r="EW816" s="48"/>
      <c r="EX816" s="48"/>
      <c r="EY816" s="48"/>
      <c r="EZ816" s="48"/>
      <c r="FA816" s="48"/>
      <c r="FB816" s="48"/>
      <c r="FC816" s="48"/>
      <c r="FD816" s="48"/>
      <c r="FE816" s="48"/>
      <c r="FF816" s="48"/>
      <c r="FG816" s="48"/>
      <c r="FI816" s="48"/>
      <c r="FL816" s="48"/>
      <c r="FM816" s="48"/>
      <c r="FN816" s="48"/>
      <c r="FO816" s="48"/>
      <c r="FP816" s="48"/>
      <c r="FQ816" s="48"/>
      <c r="FR816" s="48"/>
      <c r="FS816" s="48"/>
      <c r="FT816" s="48"/>
      <c r="FU816" s="48"/>
    </row>
    <row r="817" spans="1:17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52"/>
      <c r="BF817" s="48"/>
      <c r="BG817" s="48"/>
      <c r="BI817" s="48"/>
      <c r="BN817" s="48"/>
      <c r="BO817" s="48"/>
      <c r="BR817" s="48"/>
      <c r="BS817" s="48"/>
      <c r="BW817" s="48"/>
      <c r="CA817" s="48"/>
      <c r="CE817" s="48"/>
      <c r="CF817" s="48"/>
      <c r="CG817" s="48"/>
      <c r="CH817" s="48"/>
      <c r="CI817" s="48"/>
      <c r="CJ817" s="48"/>
      <c r="CL817" s="48"/>
      <c r="CM817" s="48"/>
      <c r="CN817" s="48"/>
      <c r="CO817" s="48"/>
      <c r="CP817" s="48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8"/>
      <c r="DN817" s="48"/>
      <c r="DO817" s="48"/>
      <c r="DP817" s="48"/>
      <c r="DQ817" s="48"/>
      <c r="DR817" s="48"/>
      <c r="DS817" s="48"/>
      <c r="DT817" s="48"/>
      <c r="DU817" s="48"/>
      <c r="DV817" s="48"/>
      <c r="DW817" s="48"/>
      <c r="DX817" s="48"/>
      <c r="DY817" s="48"/>
      <c r="DZ817" s="48"/>
      <c r="EA817" s="48"/>
      <c r="EC817" s="48"/>
      <c r="ED817" s="48"/>
      <c r="EE817" s="48"/>
      <c r="EF817" s="48"/>
      <c r="EG817" s="48"/>
      <c r="EI817" s="48"/>
      <c r="EK817" s="48"/>
      <c r="EM817" s="48"/>
      <c r="EO817" s="48"/>
      <c r="EP817" s="48"/>
      <c r="EU817" s="48"/>
      <c r="EV817" s="48"/>
      <c r="EW817" s="48"/>
      <c r="EX817" s="48"/>
      <c r="EY817" s="48"/>
      <c r="EZ817" s="48"/>
      <c r="FA817" s="48"/>
      <c r="FB817" s="48"/>
      <c r="FC817" s="48"/>
      <c r="FD817" s="48"/>
      <c r="FE817" s="48"/>
      <c r="FF817" s="48"/>
      <c r="FG817" s="48"/>
      <c r="FI817" s="48"/>
      <c r="FL817" s="48"/>
      <c r="FM817" s="48"/>
      <c r="FN817" s="48"/>
      <c r="FO817" s="48"/>
      <c r="FP817" s="48"/>
      <c r="FQ817" s="48"/>
      <c r="FR817" s="48"/>
      <c r="FS817" s="48"/>
      <c r="FT817" s="48"/>
      <c r="FU817" s="48"/>
    </row>
    <row r="818" spans="1:177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52"/>
      <c r="BF818" s="48"/>
      <c r="BG818" s="48"/>
      <c r="BI818" s="48"/>
      <c r="BN818" s="48"/>
      <c r="BO818" s="48"/>
      <c r="BR818" s="48"/>
      <c r="BS818" s="48"/>
      <c r="BW818" s="48"/>
      <c r="CA818" s="48"/>
      <c r="CE818" s="48"/>
      <c r="CF818" s="48"/>
      <c r="CG818" s="48"/>
      <c r="CH818" s="48"/>
      <c r="CI818" s="48"/>
      <c r="CJ818" s="48"/>
      <c r="CL818" s="48"/>
      <c r="CM818" s="48"/>
      <c r="CN818" s="48"/>
      <c r="CO818" s="48"/>
      <c r="CP818" s="48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  <c r="DE818" s="48"/>
      <c r="DF818" s="48"/>
      <c r="DG818" s="48"/>
      <c r="DH818" s="48"/>
      <c r="DI818" s="48"/>
      <c r="DJ818" s="48"/>
      <c r="DK818" s="48"/>
      <c r="DL818" s="48"/>
      <c r="DM818" s="48"/>
      <c r="DN818" s="48"/>
      <c r="DO818" s="48"/>
      <c r="DP818" s="48"/>
      <c r="DQ818" s="48"/>
      <c r="DR818" s="48"/>
      <c r="DS818" s="48"/>
      <c r="DT818" s="48"/>
      <c r="DU818" s="48"/>
      <c r="DV818" s="48"/>
      <c r="DW818" s="48"/>
      <c r="DX818" s="48"/>
      <c r="DY818" s="48"/>
      <c r="DZ818" s="48"/>
      <c r="EA818" s="48"/>
      <c r="EC818" s="48"/>
      <c r="ED818" s="48"/>
      <c r="EE818" s="48"/>
      <c r="EF818" s="48"/>
      <c r="EG818" s="48"/>
      <c r="EI818" s="48"/>
      <c r="EK818" s="48"/>
      <c r="EM818" s="48"/>
      <c r="EO818" s="48"/>
      <c r="EP818" s="48"/>
      <c r="EU818" s="48"/>
      <c r="EV818" s="48"/>
      <c r="EW818" s="48"/>
      <c r="EX818" s="48"/>
      <c r="EY818" s="48"/>
      <c r="EZ818" s="48"/>
      <c r="FA818" s="48"/>
      <c r="FB818" s="48"/>
      <c r="FC818" s="48"/>
      <c r="FD818" s="48"/>
      <c r="FE818" s="48"/>
      <c r="FF818" s="48"/>
      <c r="FG818" s="48"/>
      <c r="FI818" s="48"/>
      <c r="FL818" s="48"/>
      <c r="FM818" s="48"/>
      <c r="FN818" s="48"/>
      <c r="FO818" s="48"/>
      <c r="FP818" s="48"/>
      <c r="FQ818" s="48"/>
      <c r="FR818" s="48"/>
      <c r="FS818" s="48"/>
      <c r="FT818" s="48"/>
      <c r="FU818" s="48"/>
    </row>
    <row r="819" spans="1:177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52"/>
      <c r="BF819" s="48"/>
      <c r="BG819" s="48"/>
      <c r="BI819" s="48"/>
      <c r="BN819" s="48"/>
      <c r="BO819" s="48"/>
      <c r="BR819" s="48"/>
      <c r="BS819" s="48"/>
      <c r="BW819" s="48"/>
      <c r="CA819" s="48"/>
      <c r="CE819" s="48"/>
      <c r="CF819" s="48"/>
      <c r="CG819" s="48"/>
      <c r="CH819" s="48"/>
      <c r="CI819" s="48"/>
      <c r="CJ819" s="48"/>
      <c r="CL819" s="48"/>
      <c r="CM819" s="48"/>
      <c r="CN819" s="48"/>
      <c r="CO819" s="48"/>
      <c r="CP819" s="48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  <c r="DE819" s="48"/>
      <c r="DF819" s="48"/>
      <c r="DG819" s="48"/>
      <c r="DH819" s="48"/>
      <c r="DI819" s="48"/>
      <c r="DJ819" s="48"/>
      <c r="DK819" s="48"/>
      <c r="DL819" s="48"/>
      <c r="DM819" s="48"/>
      <c r="DN819" s="48"/>
      <c r="DO819" s="48"/>
      <c r="DP819" s="48"/>
      <c r="DQ819" s="48"/>
      <c r="DR819" s="48"/>
      <c r="DS819" s="48"/>
      <c r="DT819" s="48"/>
      <c r="DU819" s="48"/>
      <c r="DV819" s="48"/>
      <c r="DW819" s="48"/>
      <c r="DX819" s="48"/>
      <c r="DY819" s="48"/>
      <c r="DZ819" s="48"/>
      <c r="EA819" s="48"/>
      <c r="EC819" s="48"/>
      <c r="ED819" s="48"/>
      <c r="EE819" s="48"/>
      <c r="EF819" s="48"/>
      <c r="EG819" s="48"/>
      <c r="EI819" s="48"/>
      <c r="EK819" s="48"/>
      <c r="EM819" s="48"/>
      <c r="EO819" s="48"/>
      <c r="EP819" s="48"/>
      <c r="EU819" s="48"/>
      <c r="EV819" s="48"/>
      <c r="EW819" s="48"/>
      <c r="EX819" s="48"/>
      <c r="EY819" s="48"/>
      <c r="EZ819" s="48"/>
      <c r="FA819" s="48"/>
      <c r="FB819" s="48"/>
      <c r="FC819" s="48"/>
      <c r="FD819" s="48"/>
      <c r="FE819" s="48"/>
      <c r="FF819" s="48"/>
      <c r="FG819" s="48"/>
      <c r="FI819" s="48"/>
      <c r="FL819" s="48"/>
      <c r="FM819" s="48"/>
      <c r="FN819" s="48"/>
      <c r="FO819" s="48"/>
      <c r="FP819" s="48"/>
      <c r="FQ819" s="48"/>
      <c r="FR819" s="48"/>
      <c r="FS819" s="48"/>
      <c r="FT819" s="48"/>
      <c r="FU819" s="48"/>
    </row>
    <row r="820" spans="1:177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52"/>
      <c r="BF820" s="48"/>
      <c r="BG820" s="48"/>
      <c r="BI820" s="48"/>
      <c r="BN820" s="48"/>
      <c r="BO820" s="48"/>
      <c r="BR820" s="48"/>
      <c r="BS820" s="48"/>
      <c r="BW820" s="48"/>
      <c r="CA820" s="48"/>
      <c r="CE820" s="48"/>
      <c r="CF820" s="48"/>
      <c r="CG820" s="48"/>
      <c r="CH820" s="48"/>
      <c r="CI820" s="48"/>
      <c r="CJ820" s="48"/>
      <c r="CL820" s="48"/>
      <c r="CM820" s="48"/>
      <c r="CN820" s="48"/>
      <c r="CO820" s="48"/>
      <c r="CP820" s="48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8"/>
      <c r="DN820" s="48"/>
      <c r="DO820" s="48"/>
      <c r="DP820" s="48"/>
      <c r="DQ820" s="48"/>
      <c r="DR820" s="48"/>
      <c r="DS820" s="48"/>
      <c r="DT820" s="48"/>
      <c r="DU820" s="48"/>
      <c r="DV820" s="48"/>
      <c r="DW820" s="48"/>
      <c r="DX820" s="48"/>
      <c r="DY820" s="48"/>
      <c r="DZ820" s="48"/>
      <c r="EA820" s="48"/>
      <c r="EC820" s="48"/>
      <c r="ED820" s="48"/>
      <c r="EE820" s="48"/>
      <c r="EF820" s="48"/>
      <c r="EG820" s="48"/>
      <c r="EI820" s="48"/>
      <c r="EK820" s="48"/>
      <c r="EM820" s="48"/>
      <c r="EO820" s="48"/>
      <c r="EP820" s="48"/>
      <c r="EU820" s="48"/>
      <c r="EV820" s="48"/>
      <c r="EW820" s="48"/>
      <c r="EX820" s="48"/>
      <c r="EY820" s="48"/>
      <c r="EZ820" s="48"/>
      <c r="FA820" s="48"/>
      <c r="FB820" s="48"/>
      <c r="FC820" s="48"/>
      <c r="FD820" s="48"/>
      <c r="FE820" s="48"/>
      <c r="FF820" s="48"/>
      <c r="FG820" s="48"/>
      <c r="FI820" s="48"/>
      <c r="FL820" s="48"/>
      <c r="FM820" s="48"/>
      <c r="FN820" s="48"/>
      <c r="FO820" s="48"/>
      <c r="FP820" s="48"/>
      <c r="FQ820" s="48"/>
      <c r="FR820" s="48"/>
      <c r="FS820" s="48"/>
      <c r="FT820" s="48"/>
      <c r="FU820" s="48"/>
    </row>
    <row r="821" spans="1:177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52"/>
      <c r="BF821" s="48"/>
      <c r="BG821" s="48"/>
      <c r="BI821" s="48"/>
      <c r="BN821" s="48"/>
      <c r="BO821" s="48"/>
      <c r="BR821" s="48"/>
      <c r="BS821" s="48"/>
      <c r="BW821" s="48"/>
      <c r="CA821" s="48"/>
      <c r="CE821" s="48"/>
      <c r="CF821" s="48"/>
      <c r="CG821" s="48"/>
      <c r="CH821" s="48"/>
      <c r="CI821" s="48"/>
      <c r="CJ821" s="48"/>
      <c r="CL821" s="48"/>
      <c r="CM821" s="48"/>
      <c r="CN821" s="48"/>
      <c r="CO821" s="48"/>
      <c r="CP821" s="48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  <c r="DD821" s="48"/>
      <c r="DE821" s="48"/>
      <c r="DF821" s="48"/>
      <c r="DG821" s="48"/>
      <c r="DH821" s="48"/>
      <c r="DI821" s="48"/>
      <c r="DJ821" s="48"/>
      <c r="DK821" s="48"/>
      <c r="DL821" s="48"/>
      <c r="DM821" s="48"/>
      <c r="DN821" s="48"/>
      <c r="DO821" s="48"/>
      <c r="DP821" s="48"/>
      <c r="DQ821" s="48"/>
      <c r="DR821" s="48"/>
      <c r="DS821" s="48"/>
      <c r="DT821" s="48"/>
      <c r="DU821" s="48"/>
      <c r="DV821" s="48"/>
      <c r="DW821" s="48"/>
      <c r="DX821" s="48"/>
      <c r="DY821" s="48"/>
      <c r="DZ821" s="48"/>
      <c r="EA821" s="48"/>
      <c r="EC821" s="48"/>
      <c r="ED821" s="48"/>
      <c r="EE821" s="48"/>
      <c r="EF821" s="48"/>
      <c r="EG821" s="48"/>
      <c r="EI821" s="48"/>
      <c r="EK821" s="48"/>
      <c r="EM821" s="48"/>
      <c r="EO821" s="48"/>
      <c r="EP821" s="48"/>
      <c r="EU821" s="48"/>
      <c r="EV821" s="48"/>
      <c r="EW821" s="48"/>
      <c r="EX821" s="48"/>
      <c r="EY821" s="48"/>
      <c r="EZ821" s="48"/>
      <c r="FA821" s="48"/>
      <c r="FB821" s="48"/>
      <c r="FC821" s="48"/>
      <c r="FD821" s="48"/>
      <c r="FE821" s="48"/>
      <c r="FF821" s="48"/>
      <c r="FG821" s="48"/>
      <c r="FI821" s="48"/>
      <c r="FL821" s="48"/>
      <c r="FM821" s="48"/>
      <c r="FN821" s="48"/>
      <c r="FO821" s="48"/>
      <c r="FP821" s="48"/>
      <c r="FQ821" s="48"/>
      <c r="FR821" s="48"/>
      <c r="FS821" s="48"/>
      <c r="FT821" s="48"/>
      <c r="FU821" s="48"/>
    </row>
    <row r="822" spans="1:177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52"/>
      <c r="BF822" s="48"/>
      <c r="BG822" s="48"/>
      <c r="BI822" s="48"/>
      <c r="BN822" s="48"/>
      <c r="BO822" s="48"/>
      <c r="BR822" s="48"/>
      <c r="BS822" s="48"/>
      <c r="BW822" s="48"/>
      <c r="CA822" s="48"/>
      <c r="CE822" s="48"/>
      <c r="CF822" s="48"/>
      <c r="CG822" s="48"/>
      <c r="CH822" s="48"/>
      <c r="CI822" s="48"/>
      <c r="CJ822" s="48"/>
      <c r="CL822" s="48"/>
      <c r="CM822" s="48"/>
      <c r="CN822" s="48"/>
      <c r="CO822" s="48"/>
      <c r="CP822" s="48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  <c r="DD822" s="48"/>
      <c r="DE822" s="48"/>
      <c r="DF822" s="48"/>
      <c r="DG822" s="48"/>
      <c r="DH822" s="48"/>
      <c r="DI822" s="48"/>
      <c r="DJ822" s="48"/>
      <c r="DK822" s="48"/>
      <c r="DL822" s="48"/>
      <c r="DM822" s="48"/>
      <c r="DN822" s="48"/>
      <c r="DO822" s="48"/>
      <c r="DP822" s="48"/>
      <c r="DQ822" s="48"/>
      <c r="DR822" s="48"/>
      <c r="DS822" s="48"/>
      <c r="DT822" s="48"/>
      <c r="DU822" s="48"/>
      <c r="DV822" s="48"/>
      <c r="DW822" s="48"/>
      <c r="DX822" s="48"/>
      <c r="DY822" s="48"/>
      <c r="DZ822" s="48"/>
      <c r="EA822" s="48"/>
      <c r="EC822" s="48"/>
      <c r="ED822" s="48"/>
      <c r="EE822" s="48"/>
      <c r="EF822" s="48"/>
      <c r="EG822" s="48"/>
      <c r="EI822" s="48"/>
      <c r="EK822" s="48"/>
      <c r="EM822" s="48"/>
      <c r="EO822" s="48"/>
      <c r="EP822" s="48"/>
      <c r="EU822" s="48"/>
      <c r="EV822" s="48"/>
      <c r="EW822" s="48"/>
      <c r="EX822" s="48"/>
      <c r="EY822" s="48"/>
      <c r="EZ822" s="48"/>
      <c r="FA822" s="48"/>
      <c r="FB822" s="48"/>
      <c r="FC822" s="48"/>
      <c r="FD822" s="48"/>
      <c r="FE822" s="48"/>
      <c r="FF822" s="48"/>
      <c r="FG822" s="48"/>
      <c r="FI822" s="48"/>
      <c r="FL822" s="48"/>
      <c r="FM822" s="48"/>
      <c r="FN822" s="48"/>
      <c r="FO822" s="48"/>
      <c r="FP822" s="48"/>
      <c r="FQ822" s="48"/>
      <c r="FR822" s="48"/>
      <c r="FS822" s="48"/>
      <c r="FT822" s="48"/>
      <c r="FU822" s="48"/>
    </row>
    <row r="823" spans="1:177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52"/>
      <c r="BF823" s="48"/>
      <c r="BG823" s="48"/>
      <c r="BI823" s="48"/>
      <c r="BN823" s="48"/>
      <c r="BO823" s="48"/>
      <c r="BR823" s="48"/>
      <c r="BS823" s="48"/>
      <c r="BW823" s="48"/>
      <c r="CA823" s="48"/>
      <c r="CE823" s="48"/>
      <c r="CF823" s="48"/>
      <c r="CG823" s="48"/>
      <c r="CH823" s="48"/>
      <c r="CI823" s="48"/>
      <c r="CJ823" s="48"/>
      <c r="CL823" s="48"/>
      <c r="CM823" s="48"/>
      <c r="CN823" s="48"/>
      <c r="CO823" s="48"/>
      <c r="CP823" s="48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  <c r="DE823" s="48"/>
      <c r="DF823" s="48"/>
      <c r="DG823" s="48"/>
      <c r="DH823" s="48"/>
      <c r="DI823" s="48"/>
      <c r="DJ823" s="48"/>
      <c r="DK823" s="48"/>
      <c r="DL823" s="48"/>
      <c r="DM823" s="48"/>
      <c r="DN823" s="48"/>
      <c r="DO823" s="48"/>
      <c r="DP823" s="48"/>
      <c r="DQ823" s="48"/>
      <c r="DR823" s="48"/>
      <c r="DS823" s="48"/>
      <c r="DT823" s="48"/>
      <c r="DU823" s="48"/>
      <c r="DV823" s="48"/>
      <c r="DW823" s="48"/>
      <c r="DX823" s="48"/>
      <c r="DY823" s="48"/>
      <c r="DZ823" s="48"/>
      <c r="EA823" s="48"/>
      <c r="EC823" s="48"/>
      <c r="ED823" s="48"/>
      <c r="EE823" s="48"/>
      <c r="EF823" s="48"/>
      <c r="EG823" s="48"/>
      <c r="EI823" s="48"/>
      <c r="EK823" s="48"/>
      <c r="EM823" s="48"/>
      <c r="EO823" s="48"/>
      <c r="EP823" s="48"/>
      <c r="EU823" s="48"/>
      <c r="EV823" s="48"/>
      <c r="EW823" s="48"/>
      <c r="EX823" s="48"/>
      <c r="EY823" s="48"/>
      <c r="EZ823" s="48"/>
      <c r="FA823" s="48"/>
      <c r="FB823" s="48"/>
      <c r="FC823" s="48"/>
      <c r="FD823" s="48"/>
      <c r="FE823" s="48"/>
      <c r="FF823" s="48"/>
      <c r="FG823" s="48"/>
      <c r="FI823" s="48"/>
      <c r="FL823" s="48"/>
      <c r="FM823" s="48"/>
      <c r="FN823" s="48"/>
      <c r="FO823" s="48"/>
      <c r="FP823" s="48"/>
      <c r="FQ823" s="48"/>
      <c r="FR823" s="48"/>
      <c r="FS823" s="48"/>
      <c r="FT823" s="48"/>
      <c r="FU823" s="48"/>
    </row>
    <row r="824" spans="1:177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52"/>
      <c r="BF824" s="48"/>
      <c r="BG824" s="48"/>
      <c r="BI824" s="48"/>
      <c r="BN824" s="48"/>
      <c r="BO824" s="48"/>
      <c r="BR824" s="48"/>
      <c r="BS824" s="48"/>
      <c r="BW824" s="48"/>
      <c r="CA824" s="48"/>
      <c r="CE824" s="48"/>
      <c r="CF824" s="48"/>
      <c r="CG824" s="48"/>
      <c r="CH824" s="48"/>
      <c r="CI824" s="48"/>
      <c r="CJ824" s="48"/>
      <c r="CL824" s="48"/>
      <c r="CM824" s="48"/>
      <c r="CN824" s="48"/>
      <c r="CO824" s="48"/>
      <c r="CP824" s="48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  <c r="DD824" s="48"/>
      <c r="DE824" s="48"/>
      <c r="DF824" s="48"/>
      <c r="DG824" s="48"/>
      <c r="DH824" s="48"/>
      <c r="DI824" s="48"/>
      <c r="DJ824" s="48"/>
      <c r="DK824" s="48"/>
      <c r="DL824" s="48"/>
      <c r="DM824" s="48"/>
      <c r="DN824" s="48"/>
      <c r="DO824" s="48"/>
      <c r="DP824" s="48"/>
      <c r="DQ824" s="48"/>
      <c r="DR824" s="48"/>
      <c r="DS824" s="48"/>
      <c r="DT824" s="48"/>
      <c r="DU824" s="48"/>
      <c r="DV824" s="48"/>
      <c r="DW824" s="48"/>
      <c r="DX824" s="48"/>
      <c r="DY824" s="48"/>
      <c r="DZ824" s="48"/>
      <c r="EA824" s="48"/>
      <c r="EC824" s="48"/>
      <c r="ED824" s="48"/>
      <c r="EE824" s="48"/>
      <c r="EF824" s="48"/>
      <c r="EG824" s="48"/>
      <c r="EI824" s="48"/>
      <c r="EK824" s="48"/>
      <c r="EM824" s="48"/>
      <c r="EO824" s="48"/>
      <c r="EP824" s="48"/>
      <c r="EU824" s="48"/>
      <c r="EV824" s="48"/>
      <c r="EW824" s="48"/>
      <c r="EX824" s="48"/>
      <c r="EY824" s="48"/>
      <c r="EZ824" s="48"/>
      <c r="FA824" s="48"/>
      <c r="FB824" s="48"/>
      <c r="FC824" s="48"/>
      <c r="FD824" s="48"/>
      <c r="FE824" s="48"/>
      <c r="FF824" s="48"/>
      <c r="FG824" s="48"/>
      <c r="FI824" s="48"/>
      <c r="FL824" s="48"/>
      <c r="FM824" s="48"/>
      <c r="FN824" s="48"/>
      <c r="FO824" s="48"/>
      <c r="FP824" s="48"/>
      <c r="FQ824" s="48"/>
      <c r="FR824" s="48"/>
      <c r="FS824" s="48"/>
      <c r="FT824" s="48"/>
      <c r="FU824" s="48"/>
    </row>
    <row r="825" spans="1:177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52"/>
      <c r="BF825" s="48"/>
      <c r="BG825" s="48"/>
      <c r="BI825" s="48"/>
      <c r="BN825" s="48"/>
      <c r="BO825" s="48"/>
      <c r="BR825" s="48"/>
      <c r="BS825" s="48"/>
      <c r="BW825" s="48"/>
      <c r="CA825" s="48"/>
      <c r="CE825" s="48"/>
      <c r="CF825" s="48"/>
      <c r="CG825" s="48"/>
      <c r="CH825" s="48"/>
      <c r="CI825" s="48"/>
      <c r="CJ825" s="48"/>
      <c r="CL825" s="48"/>
      <c r="CM825" s="48"/>
      <c r="CN825" s="48"/>
      <c r="CO825" s="48"/>
      <c r="CP825" s="48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  <c r="DD825" s="48"/>
      <c r="DE825" s="48"/>
      <c r="DF825" s="48"/>
      <c r="DG825" s="48"/>
      <c r="DH825" s="48"/>
      <c r="DI825" s="48"/>
      <c r="DJ825" s="48"/>
      <c r="DK825" s="48"/>
      <c r="DL825" s="48"/>
      <c r="DM825" s="48"/>
      <c r="DN825" s="48"/>
      <c r="DO825" s="48"/>
      <c r="DP825" s="48"/>
      <c r="DQ825" s="48"/>
      <c r="DR825" s="48"/>
      <c r="DS825" s="48"/>
      <c r="DT825" s="48"/>
      <c r="DU825" s="48"/>
      <c r="DV825" s="48"/>
      <c r="DW825" s="48"/>
      <c r="DX825" s="48"/>
      <c r="DY825" s="48"/>
      <c r="DZ825" s="48"/>
      <c r="EA825" s="48"/>
      <c r="EC825" s="48"/>
      <c r="ED825" s="48"/>
      <c r="EE825" s="48"/>
      <c r="EF825" s="48"/>
      <c r="EG825" s="48"/>
      <c r="EI825" s="48"/>
      <c r="EK825" s="48"/>
      <c r="EM825" s="48"/>
      <c r="EO825" s="48"/>
      <c r="EP825" s="48"/>
      <c r="EU825" s="48"/>
      <c r="EV825" s="48"/>
      <c r="EW825" s="48"/>
      <c r="EX825" s="48"/>
      <c r="EY825" s="48"/>
      <c r="EZ825" s="48"/>
      <c r="FA825" s="48"/>
      <c r="FB825" s="48"/>
      <c r="FC825" s="48"/>
      <c r="FD825" s="48"/>
      <c r="FE825" s="48"/>
      <c r="FF825" s="48"/>
      <c r="FG825" s="48"/>
      <c r="FI825" s="48"/>
      <c r="FL825" s="48"/>
      <c r="FM825" s="48"/>
      <c r="FN825" s="48"/>
      <c r="FO825" s="48"/>
      <c r="FP825" s="48"/>
      <c r="FQ825" s="48"/>
      <c r="FR825" s="48"/>
      <c r="FS825" s="48"/>
      <c r="FT825" s="48"/>
      <c r="FU825" s="48"/>
    </row>
    <row r="826" spans="1:177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52"/>
      <c r="BF826" s="48"/>
      <c r="BG826" s="48"/>
      <c r="BI826" s="48"/>
      <c r="BN826" s="48"/>
      <c r="BO826" s="48"/>
      <c r="BR826" s="48"/>
      <c r="BS826" s="48"/>
      <c r="BW826" s="48"/>
      <c r="CA826" s="48"/>
      <c r="CE826" s="48"/>
      <c r="CF826" s="48"/>
      <c r="CG826" s="48"/>
      <c r="CH826" s="48"/>
      <c r="CI826" s="48"/>
      <c r="CJ826" s="48"/>
      <c r="CL826" s="48"/>
      <c r="CM826" s="48"/>
      <c r="CN826" s="48"/>
      <c r="CO826" s="48"/>
      <c r="CP826" s="48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  <c r="DE826" s="48"/>
      <c r="DF826" s="48"/>
      <c r="DG826" s="48"/>
      <c r="DH826" s="48"/>
      <c r="DI826" s="48"/>
      <c r="DJ826" s="48"/>
      <c r="DK826" s="48"/>
      <c r="DL826" s="48"/>
      <c r="DM826" s="48"/>
      <c r="DN826" s="48"/>
      <c r="DO826" s="48"/>
      <c r="DP826" s="48"/>
      <c r="DQ826" s="48"/>
      <c r="DR826" s="48"/>
      <c r="DS826" s="48"/>
      <c r="DT826" s="48"/>
      <c r="DU826" s="48"/>
      <c r="DV826" s="48"/>
      <c r="DW826" s="48"/>
      <c r="DX826" s="48"/>
      <c r="DY826" s="48"/>
      <c r="DZ826" s="48"/>
      <c r="EA826" s="48"/>
      <c r="EC826" s="48"/>
      <c r="ED826" s="48"/>
      <c r="EE826" s="48"/>
      <c r="EF826" s="48"/>
      <c r="EG826" s="48"/>
      <c r="EI826" s="48"/>
      <c r="EK826" s="48"/>
      <c r="EM826" s="48"/>
      <c r="EO826" s="48"/>
      <c r="EP826" s="48"/>
      <c r="EU826" s="48"/>
      <c r="EV826" s="48"/>
      <c r="EW826" s="48"/>
      <c r="EX826" s="48"/>
      <c r="EY826" s="48"/>
      <c r="EZ826" s="48"/>
      <c r="FA826" s="48"/>
      <c r="FB826" s="48"/>
      <c r="FC826" s="48"/>
      <c r="FD826" s="48"/>
      <c r="FE826" s="48"/>
      <c r="FF826" s="48"/>
      <c r="FG826" s="48"/>
      <c r="FI826" s="48"/>
      <c r="FL826" s="48"/>
      <c r="FM826" s="48"/>
      <c r="FN826" s="48"/>
      <c r="FO826" s="48"/>
      <c r="FP826" s="48"/>
      <c r="FQ826" s="48"/>
      <c r="FR826" s="48"/>
      <c r="FS826" s="48"/>
      <c r="FT826" s="48"/>
      <c r="FU826" s="48"/>
    </row>
    <row r="827" spans="1:17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52"/>
      <c r="BF827" s="48"/>
      <c r="BG827" s="48"/>
      <c r="BI827" s="48"/>
      <c r="BN827" s="48"/>
      <c r="BO827" s="48"/>
      <c r="BR827" s="48"/>
      <c r="BS827" s="48"/>
      <c r="BW827" s="48"/>
      <c r="CA827" s="48"/>
      <c r="CE827" s="48"/>
      <c r="CF827" s="48"/>
      <c r="CG827" s="48"/>
      <c r="CH827" s="48"/>
      <c r="CI827" s="48"/>
      <c r="CJ827" s="48"/>
      <c r="CL827" s="48"/>
      <c r="CM827" s="48"/>
      <c r="CN827" s="48"/>
      <c r="CO827" s="48"/>
      <c r="CP827" s="48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  <c r="DD827" s="48"/>
      <c r="DE827" s="48"/>
      <c r="DF827" s="48"/>
      <c r="DG827" s="48"/>
      <c r="DH827" s="48"/>
      <c r="DI827" s="48"/>
      <c r="DJ827" s="48"/>
      <c r="DK827" s="48"/>
      <c r="DL827" s="48"/>
      <c r="DM827" s="48"/>
      <c r="DN827" s="48"/>
      <c r="DO827" s="48"/>
      <c r="DP827" s="48"/>
      <c r="DQ827" s="48"/>
      <c r="DR827" s="48"/>
      <c r="DS827" s="48"/>
      <c r="DT827" s="48"/>
      <c r="DU827" s="48"/>
      <c r="DV827" s="48"/>
      <c r="DW827" s="48"/>
      <c r="DX827" s="48"/>
      <c r="DY827" s="48"/>
      <c r="DZ827" s="48"/>
      <c r="EA827" s="48"/>
      <c r="EC827" s="48"/>
      <c r="ED827" s="48"/>
      <c r="EE827" s="48"/>
      <c r="EF827" s="48"/>
      <c r="EG827" s="48"/>
      <c r="EI827" s="48"/>
      <c r="EK827" s="48"/>
      <c r="EM827" s="48"/>
      <c r="EO827" s="48"/>
      <c r="EP827" s="48"/>
      <c r="EU827" s="48"/>
      <c r="EV827" s="48"/>
      <c r="EW827" s="48"/>
      <c r="EX827" s="48"/>
      <c r="EY827" s="48"/>
      <c r="EZ827" s="48"/>
      <c r="FA827" s="48"/>
      <c r="FB827" s="48"/>
      <c r="FC827" s="48"/>
      <c r="FD827" s="48"/>
      <c r="FE827" s="48"/>
      <c r="FF827" s="48"/>
      <c r="FG827" s="48"/>
      <c r="FI827" s="48"/>
      <c r="FL827" s="48"/>
      <c r="FM827" s="48"/>
      <c r="FN827" s="48"/>
      <c r="FO827" s="48"/>
      <c r="FP827" s="48"/>
      <c r="FQ827" s="48"/>
      <c r="FR827" s="48"/>
      <c r="FS827" s="48"/>
      <c r="FT827" s="48"/>
      <c r="FU827" s="48"/>
    </row>
    <row r="828" spans="1:177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52"/>
      <c r="BF828" s="48"/>
      <c r="BG828" s="48"/>
      <c r="BI828" s="48"/>
      <c r="BN828" s="48"/>
      <c r="BO828" s="48"/>
      <c r="BR828" s="48"/>
      <c r="BS828" s="48"/>
      <c r="BW828" s="48"/>
      <c r="CA828" s="48"/>
      <c r="CE828" s="48"/>
      <c r="CF828" s="48"/>
      <c r="CG828" s="48"/>
      <c r="CH828" s="48"/>
      <c r="CI828" s="48"/>
      <c r="CJ828" s="48"/>
      <c r="CL828" s="48"/>
      <c r="CM828" s="48"/>
      <c r="CN828" s="48"/>
      <c r="CO828" s="48"/>
      <c r="CP828" s="48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  <c r="DD828" s="48"/>
      <c r="DE828" s="48"/>
      <c r="DF828" s="48"/>
      <c r="DG828" s="48"/>
      <c r="DH828" s="48"/>
      <c r="DI828" s="48"/>
      <c r="DJ828" s="48"/>
      <c r="DK828" s="48"/>
      <c r="DL828" s="48"/>
      <c r="DM828" s="48"/>
      <c r="DN828" s="48"/>
      <c r="DO828" s="48"/>
      <c r="DP828" s="48"/>
      <c r="DQ828" s="48"/>
      <c r="DR828" s="48"/>
      <c r="DS828" s="48"/>
      <c r="DT828" s="48"/>
      <c r="DU828" s="48"/>
      <c r="DV828" s="48"/>
      <c r="DW828" s="48"/>
      <c r="DX828" s="48"/>
      <c r="DY828" s="48"/>
      <c r="DZ828" s="48"/>
      <c r="EA828" s="48"/>
      <c r="EC828" s="48"/>
      <c r="ED828" s="48"/>
      <c r="EE828" s="48"/>
      <c r="EF828" s="48"/>
      <c r="EG828" s="48"/>
      <c r="EI828" s="48"/>
      <c r="EK828" s="48"/>
      <c r="EM828" s="48"/>
      <c r="EO828" s="48"/>
      <c r="EP828" s="48"/>
      <c r="EU828" s="48"/>
      <c r="EV828" s="48"/>
      <c r="EW828" s="48"/>
      <c r="EX828" s="48"/>
      <c r="EY828" s="48"/>
      <c r="EZ828" s="48"/>
      <c r="FA828" s="48"/>
      <c r="FB828" s="48"/>
      <c r="FC828" s="48"/>
      <c r="FD828" s="48"/>
      <c r="FE828" s="48"/>
      <c r="FF828" s="48"/>
      <c r="FG828" s="48"/>
      <c r="FI828" s="48"/>
      <c r="FL828" s="48"/>
      <c r="FM828" s="48"/>
      <c r="FN828" s="48"/>
      <c r="FO828" s="48"/>
      <c r="FP828" s="48"/>
      <c r="FQ828" s="48"/>
      <c r="FR828" s="48"/>
      <c r="FS828" s="48"/>
      <c r="FT828" s="48"/>
      <c r="FU828" s="48"/>
    </row>
    <row r="829" spans="1:177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52"/>
      <c r="BF829" s="48"/>
      <c r="BG829" s="48"/>
      <c r="BI829" s="48"/>
      <c r="BN829" s="48"/>
      <c r="BO829" s="48"/>
      <c r="BR829" s="48"/>
      <c r="BS829" s="48"/>
      <c r="BW829" s="48"/>
      <c r="CA829" s="48"/>
      <c r="CE829" s="48"/>
      <c r="CF829" s="48"/>
      <c r="CG829" s="48"/>
      <c r="CH829" s="48"/>
      <c r="CI829" s="48"/>
      <c r="CJ829" s="48"/>
      <c r="CL829" s="48"/>
      <c r="CM829" s="48"/>
      <c r="CN829" s="48"/>
      <c r="CO829" s="48"/>
      <c r="CP829" s="48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  <c r="DE829" s="48"/>
      <c r="DF829" s="48"/>
      <c r="DG829" s="48"/>
      <c r="DH829" s="48"/>
      <c r="DI829" s="48"/>
      <c r="DJ829" s="48"/>
      <c r="DK829" s="48"/>
      <c r="DL829" s="48"/>
      <c r="DM829" s="48"/>
      <c r="DN829" s="48"/>
      <c r="DO829" s="48"/>
      <c r="DP829" s="48"/>
      <c r="DQ829" s="48"/>
      <c r="DR829" s="48"/>
      <c r="DS829" s="48"/>
      <c r="DT829" s="48"/>
      <c r="DU829" s="48"/>
      <c r="DV829" s="48"/>
      <c r="DW829" s="48"/>
      <c r="DX829" s="48"/>
      <c r="DY829" s="48"/>
      <c r="DZ829" s="48"/>
      <c r="EA829" s="48"/>
      <c r="EC829" s="48"/>
      <c r="ED829" s="48"/>
      <c r="EE829" s="48"/>
      <c r="EF829" s="48"/>
      <c r="EG829" s="48"/>
      <c r="EI829" s="48"/>
      <c r="EK829" s="48"/>
      <c r="EM829" s="48"/>
      <c r="EO829" s="48"/>
      <c r="EP829" s="48"/>
      <c r="EU829" s="48"/>
      <c r="EV829" s="48"/>
      <c r="EW829" s="48"/>
      <c r="EX829" s="48"/>
      <c r="EY829" s="48"/>
      <c r="EZ829" s="48"/>
      <c r="FA829" s="48"/>
      <c r="FB829" s="48"/>
      <c r="FC829" s="48"/>
      <c r="FD829" s="48"/>
      <c r="FE829" s="48"/>
      <c r="FF829" s="48"/>
      <c r="FG829" s="48"/>
      <c r="FI829" s="48"/>
      <c r="FL829" s="48"/>
      <c r="FM829" s="48"/>
      <c r="FN829" s="48"/>
      <c r="FO829" s="48"/>
      <c r="FP829" s="48"/>
      <c r="FQ829" s="48"/>
      <c r="FR829" s="48"/>
      <c r="FS829" s="48"/>
      <c r="FT829" s="48"/>
      <c r="FU829" s="48"/>
    </row>
    <row r="830" spans="1:177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52"/>
      <c r="BF830" s="48"/>
      <c r="BG830" s="48"/>
      <c r="BI830" s="48"/>
      <c r="BN830" s="48"/>
      <c r="BO830" s="48"/>
      <c r="BR830" s="48"/>
      <c r="BS830" s="48"/>
      <c r="BW830" s="48"/>
      <c r="CA830" s="48"/>
      <c r="CE830" s="48"/>
      <c r="CF830" s="48"/>
      <c r="CG830" s="48"/>
      <c r="CH830" s="48"/>
      <c r="CI830" s="48"/>
      <c r="CJ830" s="48"/>
      <c r="CL830" s="48"/>
      <c r="CM830" s="48"/>
      <c r="CN830" s="48"/>
      <c r="CO830" s="48"/>
      <c r="CP830" s="48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  <c r="DD830" s="48"/>
      <c r="DE830" s="48"/>
      <c r="DF830" s="48"/>
      <c r="DG830" s="48"/>
      <c r="DH830" s="48"/>
      <c r="DI830" s="48"/>
      <c r="DJ830" s="48"/>
      <c r="DK830" s="48"/>
      <c r="DL830" s="48"/>
      <c r="DM830" s="48"/>
      <c r="DN830" s="48"/>
      <c r="DO830" s="48"/>
      <c r="DP830" s="48"/>
      <c r="DQ830" s="48"/>
      <c r="DR830" s="48"/>
      <c r="DS830" s="48"/>
      <c r="DT830" s="48"/>
      <c r="DU830" s="48"/>
      <c r="DV830" s="48"/>
      <c r="DW830" s="48"/>
      <c r="DX830" s="48"/>
      <c r="DY830" s="48"/>
      <c r="DZ830" s="48"/>
      <c r="EA830" s="48"/>
      <c r="EC830" s="48"/>
      <c r="ED830" s="48"/>
      <c r="EE830" s="48"/>
      <c r="EF830" s="48"/>
      <c r="EG830" s="48"/>
      <c r="EI830" s="48"/>
      <c r="EK830" s="48"/>
      <c r="EM830" s="48"/>
      <c r="EO830" s="48"/>
      <c r="EP830" s="48"/>
      <c r="EU830" s="48"/>
      <c r="EV830" s="48"/>
      <c r="EW830" s="48"/>
      <c r="EX830" s="48"/>
      <c r="EY830" s="48"/>
      <c r="EZ830" s="48"/>
      <c r="FA830" s="48"/>
      <c r="FB830" s="48"/>
      <c r="FC830" s="48"/>
      <c r="FD830" s="48"/>
      <c r="FE830" s="48"/>
      <c r="FF830" s="48"/>
      <c r="FG830" s="48"/>
      <c r="FI830" s="48"/>
      <c r="FL830" s="48"/>
      <c r="FM830" s="48"/>
      <c r="FN830" s="48"/>
      <c r="FO830" s="48"/>
      <c r="FP830" s="48"/>
      <c r="FQ830" s="48"/>
      <c r="FR830" s="48"/>
      <c r="FS830" s="48"/>
      <c r="FT830" s="48"/>
      <c r="FU830" s="48"/>
    </row>
    <row r="831" spans="1:177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52"/>
      <c r="BF831" s="48"/>
      <c r="BG831" s="48"/>
      <c r="BI831" s="48"/>
      <c r="BN831" s="48"/>
      <c r="BO831" s="48"/>
      <c r="BR831" s="48"/>
      <c r="BS831" s="48"/>
      <c r="BW831" s="48"/>
      <c r="CA831" s="48"/>
      <c r="CE831" s="48"/>
      <c r="CF831" s="48"/>
      <c r="CG831" s="48"/>
      <c r="CH831" s="48"/>
      <c r="CI831" s="48"/>
      <c r="CJ831" s="48"/>
      <c r="CL831" s="48"/>
      <c r="CM831" s="48"/>
      <c r="CN831" s="48"/>
      <c r="CO831" s="48"/>
      <c r="CP831" s="48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  <c r="DD831" s="48"/>
      <c r="DE831" s="48"/>
      <c r="DF831" s="48"/>
      <c r="DG831" s="48"/>
      <c r="DH831" s="48"/>
      <c r="DI831" s="48"/>
      <c r="DJ831" s="48"/>
      <c r="DK831" s="48"/>
      <c r="DL831" s="48"/>
      <c r="DM831" s="48"/>
      <c r="DN831" s="48"/>
      <c r="DO831" s="48"/>
      <c r="DP831" s="48"/>
      <c r="DQ831" s="48"/>
      <c r="DR831" s="48"/>
      <c r="DS831" s="48"/>
      <c r="DT831" s="48"/>
      <c r="DU831" s="48"/>
      <c r="DV831" s="48"/>
      <c r="DW831" s="48"/>
      <c r="DX831" s="48"/>
      <c r="DY831" s="48"/>
      <c r="DZ831" s="48"/>
      <c r="EA831" s="48"/>
      <c r="EC831" s="48"/>
      <c r="ED831" s="48"/>
      <c r="EE831" s="48"/>
      <c r="EF831" s="48"/>
      <c r="EG831" s="48"/>
      <c r="EI831" s="48"/>
      <c r="EK831" s="48"/>
      <c r="EM831" s="48"/>
      <c r="EO831" s="48"/>
      <c r="EP831" s="48"/>
      <c r="EU831" s="48"/>
      <c r="EV831" s="48"/>
      <c r="EW831" s="48"/>
      <c r="EX831" s="48"/>
      <c r="EY831" s="48"/>
      <c r="EZ831" s="48"/>
      <c r="FA831" s="48"/>
      <c r="FB831" s="48"/>
      <c r="FC831" s="48"/>
      <c r="FD831" s="48"/>
      <c r="FE831" s="48"/>
      <c r="FF831" s="48"/>
      <c r="FG831" s="48"/>
      <c r="FI831" s="48"/>
      <c r="FL831" s="48"/>
      <c r="FM831" s="48"/>
      <c r="FN831" s="48"/>
      <c r="FO831" s="48"/>
      <c r="FP831" s="48"/>
      <c r="FQ831" s="48"/>
      <c r="FR831" s="48"/>
      <c r="FS831" s="48"/>
      <c r="FT831" s="48"/>
      <c r="FU831" s="48"/>
    </row>
    <row r="832" spans="1:177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52"/>
      <c r="BF832" s="48"/>
      <c r="BG832" s="48"/>
      <c r="BI832" s="48"/>
      <c r="BN832" s="48"/>
      <c r="BO832" s="48"/>
      <c r="BR832" s="48"/>
      <c r="BS832" s="48"/>
      <c r="BW832" s="48"/>
      <c r="CA832" s="48"/>
      <c r="CE832" s="48"/>
      <c r="CF832" s="48"/>
      <c r="CG832" s="48"/>
      <c r="CH832" s="48"/>
      <c r="CI832" s="48"/>
      <c r="CJ832" s="48"/>
      <c r="CL832" s="48"/>
      <c r="CM832" s="48"/>
      <c r="CN832" s="48"/>
      <c r="CO832" s="48"/>
      <c r="CP832" s="48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  <c r="DE832" s="48"/>
      <c r="DF832" s="48"/>
      <c r="DG832" s="48"/>
      <c r="DH832" s="48"/>
      <c r="DI832" s="48"/>
      <c r="DJ832" s="48"/>
      <c r="DK832" s="48"/>
      <c r="DL832" s="48"/>
      <c r="DM832" s="48"/>
      <c r="DN832" s="48"/>
      <c r="DO832" s="48"/>
      <c r="DP832" s="48"/>
      <c r="DQ832" s="48"/>
      <c r="DR832" s="48"/>
      <c r="DS832" s="48"/>
      <c r="DT832" s="48"/>
      <c r="DU832" s="48"/>
      <c r="DV832" s="48"/>
      <c r="DW832" s="48"/>
      <c r="DX832" s="48"/>
      <c r="DY832" s="48"/>
      <c r="DZ832" s="48"/>
      <c r="EA832" s="48"/>
      <c r="EC832" s="48"/>
      <c r="ED832" s="48"/>
      <c r="EE832" s="48"/>
      <c r="EF832" s="48"/>
      <c r="EG832" s="48"/>
      <c r="EI832" s="48"/>
      <c r="EK832" s="48"/>
      <c r="EM832" s="48"/>
      <c r="EO832" s="48"/>
      <c r="EP832" s="48"/>
      <c r="EU832" s="48"/>
      <c r="EV832" s="48"/>
      <c r="EW832" s="48"/>
      <c r="EX832" s="48"/>
      <c r="EY832" s="48"/>
      <c r="EZ832" s="48"/>
      <c r="FA832" s="48"/>
      <c r="FB832" s="48"/>
      <c r="FC832" s="48"/>
      <c r="FD832" s="48"/>
      <c r="FE832" s="48"/>
      <c r="FF832" s="48"/>
      <c r="FG832" s="48"/>
      <c r="FI832" s="48"/>
      <c r="FL832" s="48"/>
      <c r="FM832" s="48"/>
      <c r="FN832" s="48"/>
      <c r="FO832" s="48"/>
      <c r="FP832" s="48"/>
      <c r="FQ832" s="48"/>
      <c r="FR832" s="48"/>
      <c r="FS832" s="48"/>
      <c r="FT832" s="48"/>
      <c r="FU832" s="48"/>
    </row>
    <row r="833" spans="1:177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52"/>
      <c r="BF833" s="48"/>
      <c r="BG833" s="48"/>
      <c r="BI833" s="48"/>
      <c r="BN833" s="48"/>
      <c r="BO833" s="48"/>
      <c r="BR833" s="48"/>
      <c r="BS833" s="48"/>
      <c r="BW833" s="48"/>
      <c r="CA833" s="48"/>
      <c r="CE833" s="48"/>
      <c r="CF833" s="48"/>
      <c r="CG833" s="48"/>
      <c r="CH833" s="48"/>
      <c r="CI833" s="48"/>
      <c r="CJ833" s="48"/>
      <c r="CL833" s="48"/>
      <c r="CM833" s="48"/>
      <c r="CN833" s="48"/>
      <c r="CO833" s="48"/>
      <c r="CP833" s="48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  <c r="DD833" s="48"/>
      <c r="DE833" s="48"/>
      <c r="DF833" s="48"/>
      <c r="DG833" s="48"/>
      <c r="DH833" s="48"/>
      <c r="DI833" s="48"/>
      <c r="DJ833" s="48"/>
      <c r="DK833" s="48"/>
      <c r="DL833" s="48"/>
      <c r="DM833" s="48"/>
      <c r="DN833" s="48"/>
      <c r="DO833" s="48"/>
      <c r="DP833" s="48"/>
      <c r="DQ833" s="48"/>
      <c r="DR833" s="48"/>
      <c r="DS833" s="48"/>
      <c r="DT833" s="48"/>
      <c r="DU833" s="48"/>
      <c r="DV833" s="48"/>
      <c r="DW833" s="48"/>
      <c r="DX833" s="48"/>
      <c r="DY833" s="48"/>
      <c r="DZ833" s="48"/>
      <c r="EA833" s="48"/>
      <c r="EC833" s="48"/>
      <c r="ED833" s="48"/>
      <c r="EE833" s="48"/>
      <c r="EF833" s="48"/>
      <c r="EG833" s="48"/>
      <c r="EI833" s="48"/>
      <c r="EK833" s="48"/>
      <c r="EM833" s="48"/>
      <c r="EO833" s="48"/>
      <c r="EP833" s="48"/>
      <c r="EU833" s="48"/>
      <c r="EV833" s="48"/>
      <c r="EW833" s="48"/>
      <c r="EX833" s="48"/>
      <c r="EY833" s="48"/>
      <c r="EZ833" s="48"/>
      <c r="FA833" s="48"/>
      <c r="FB833" s="48"/>
      <c r="FC833" s="48"/>
      <c r="FD833" s="48"/>
      <c r="FE833" s="48"/>
      <c r="FF833" s="48"/>
      <c r="FG833" s="48"/>
      <c r="FI833" s="48"/>
      <c r="FL833" s="48"/>
      <c r="FM833" s="48"/>
      <c r="FN833" s="48"/>
      <c r="FO833" s="48"/>
      <c r="FP833" s="48"/>
      <c r="FQ833" s="48"/>
      <c r="FR833" s="48"/>
      <c r="FS833" s="48"/>
      <c r="FT833" s="48"/>
      <c r="FU833" s="48"/>
    </row>
    <row r="834" spans="1:177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52"/>
      <c r="BF834" s="48"/>
      <c r="BG834" s="48"/>
      <c r="BI834" s="48"/>
      <c r="BN834" s="48"/>
      <c r="BO834" s="48"/>
      <c r="BR834" s="48"/>
      <c r="BS834" s="48"/>
      <c r="BW834" s="48"/>
      <c r="CA834" s="48"/>
      <c r="CE834" s="48"/>
      <c r="CF834" s="48"/>
      <c r="CG834" s="48"/>
      <c r="CH834" s="48"/>
      <c r="CI834" s="48"/>
      <c r="CJ834" s="48"/>
      <c r="CL834" s="48"/>
      <c r="CM834" s="48"/>
      <c r="CN834" s="48"/>
      <c r="CO834" s="48"/>
      <c r="CP834" s="48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  <c r="DD834" s="48"/>
      <c r="DE834" s="48"/>
      <c r="DF834" s="48"/>
      <c r="DG834" s="48"/>
      <c r="DH834" s="48"/>
      <c r="DI834" s="48"/>
      <c r="DJ834" s="48"/>
      <c r="DK834" s="48"/>
      <c r="DL834" s="48"/>
      <c r="DM834" s="48"/>
      <c r="DN834" s="48"/>
      <c r="DO834" s="48"/>
      <c r="DP834" s="48"/>
      <c r="DQ834" s="48"/>
      <c r="DR834" s="48"/>
      <c r="DS834" s="48"/>
      <c r="DT834" s="48"/>
      <c r="DU834" s="48"/>
      <c r="DV834" s="48"/>
      <c r="DW834" s="48"/>
      <c r="DX834" s="48"/>
      <c r="DY834" s="48"/>
      <c r="DZ834" s="48"/>
      <c r="EA834" s="48"/>
      <c r="EC834" s="48"/>
      <c r="ED834" s="48"/>
      <c r="EE834" s="48"/>
      <c r="EF834" s="48"/>
      <c r="EG834" s="48"/>
      <c r="EI834" s="48"/>
      <c r="EK834" s="48"/>
      <c r="EM834" s="48"/>
      <c r="EO834" s="48"/>
      <c r="EP834" s="48"/>
      <c r="EU834" s="48"/>
      <c r="EV834" s="48"/>
      <c r="EW834" s="48"/>
      <c r="EX834" s="48"/>
      <c r="EY834" s="48"/>
      <c r="EZ834" s="48"/>
      <c r="FA834" s="48"/>
      <c r="FB834" s="48"/>
      <c r="FC834" s="48"/>
      <c r="FD834" s="48"/>
      <c r="FE834" s="48"/>
      <c r="FF834" s="48"/>
      <c r="FG834" s="48"/>
      <c r="FI834" s="48"/>
      <c r="FL834" s="48"/>
      <c r="FM834" s="48"/>
      <c r="FN834" s="48"/>
      <c r="FO834" s="48"/>
      <c r="FP834" s="48"/>
      <c r="FQ834" s="48"/>
      <c r="FR834" s="48"/>
      <c r="FS834" s="48"/>
      <c r="FT834" s="48"/>
      <c r="FU834" s="48"/>
    </row>
    <row r="835" spans="1:177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52"/>
      <c r="BF835" s="48"/>
      <c r="BG835" s="48"/>
      <c r="BI835" s="48"/>
      <c r="BN835" s="48"/>
      <c r="BO835" s="48"/>
      <c r="BR835" s="48"/>
      <c r="BS835" s="48"/>
      <c r="BW835" s="48"/>
      <c r="CA835" s="48"/>
      <c r="CE835" s="48"/>
      <c r="CF835" s="48"/>
      <c r="CG835" s="48"/>
      <c r="CH835" s="48"/>
      <c r="CI835" s="48"/>
      <c r="CJ835" s="48"/>
      <c r="CL835" s="48"/>
      <c r="CM835" s="48"/>
      <c r="CN835" s="48"/>
      <c r="CO835" s="48"/>
      <c r="CP835" s="48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  <c r="DE835" s="48"/>
      <c r="DF835" s="48"/>
      <c r="DG835" s="48"/>
      <c r="DH835" s="48"/>
      <c r="DI835" s="48"/>
      <c r="DJ835" s="48"/>
      <c r="DK835" s="48"/>
      <c r="DL835" s="48"/>
      <c r="DM835" s="48"/>
      <c r="DN835" s="48"/>
      <c r="DO835" s="48"/>
      <c r="DP835" s="48"/>
      <c r="DQ835" s="48"/>
      <c r="DR835" s="48"/>
      <c r="DS835" s="48"/>
      <c r="DT835" s="48"/>
      <c r="DU835" s="48"/>
      <c r="DV835" s="48"/>
      <c r="DW835" s="48"/>
      <c r="DX835" s="48"/>
      <c r="DY835" s="48"/>
      <c r="DZ835" s="48"/>
      <c r="EA835" s="48"/>
      <c r="EC835" s="48"/>
      <c r="ED835" s="48"/>
      <c r="EE835" s="48"/>
      <c r="EF835" s="48"/>
      <c r="EG835" s="48"/>
      <c r="EI835" s="48"/>
      <c r="EK835" s="48"/>
      <c r="EM835" s="48"/>
      <c r="EO835" s="48"/>
      <c r="EP835" s="48"/>
      <c r="EU835" s="48"/>
      <c r="EV835" s="48"/>
      <c r="EW835" s="48"/>
      <c r="EX835" s="48"/>
      <c r="EY835" s="48"/>
      <c r="EZ835" s="48"/>
      <c r="FA835" s="48"/>
      <c r="FB835" s="48"/>
      <c r="FC835" s="48"/>
      <c r="FD835" s="48"/>
      <c r="FE835" s="48"/>
      <c r="FF835" s="48"/>
      <c r="FG835" s="48"/>
      <c r="FI835" s="48"/>
      <c r="FL835" s="48"/>
      <c r="FM835" s="48"/>
      <c r="FN835" s="48"/>
      <c r="FO835" s="48"/>
      <c r="FP835" s="48"/>
      <c r="FQ835" s="48"/>
      <c r="FR835" s="48"/>
      <c r="FS835" s="48"/>
      <c r="FT835" s="48"/>
      <c r="FU835" s="48"/>
    </row>
    <row r="836" spans="1:177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52"/>
      <c r="BF836" s="48"/>
      <c r="BG836" s="48"/>
      <c r="BI836" s="48"/>
      <c r="BN836" s="48"/>
      <c r="BO836" s="48"/>
      <c r="BR836" s="48"/>
      <c r="BS836" s="48"/>
      <c r="BW836" s="48"/>
      <c r="CA836" s="48"/>
      <c r="CE836" s="48"/>
      <c r="CF836" s="48"/>
      <c r="CG836" s="48"/>
      <c r="CH836" s="48"/>
      <c r="CI836" s="48"/>
      <c r="CJ836" s="48"/>
      <c r="CL836" s="48"/>
      <c r="CM836" s="48"/>
      <c r="CN836" s="48"/>
      <c r="CO836" s="48"/>
      <c r="CP836" s="48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  <c r="DD836" s="48"/>
      <c r="DE836" s="48"/>
      <c r="DF836" s="48"/>
      <c r="DG836" s="48"/>
      <c r="DH836" s="48"/>
      <c r="DI836" s="48"/>
      <c r="DJ836" s="48"/>
      <c r="DK836" s="48"/>
      <c r="DL836" s="48"/>
      <c r="DM836" s="48"/>
      <c r="DN836" s="48"/>
      <c r="DO836" s="48"/>
      <c r="DP836" s="48"/>
      <c r="DQ836" s="48"/>
      <c r="DR836" s="48"/>
      <c r="DS836" s="48"/>
      <c r="DT836" s="48"/>
      <c r="DU836" s="48"/>
      <c r="DV836" s="48"/>
      <c r="DW836" s="48"/>
      <c r="DX836" s="48"/>
      <c r="DY836" s="48"/>
      <c r="DZ836" s="48"/>
      <c r="EA836" s="48"/>
      <c r="EC836" s="48"/>
      <c r="ED836" s="48"/>
      <c r="EE836" s="48"/>
      <c r="EF836" s="48"/>
      <c r="EG836" s="48"/>
      <c r="EI836" s="48"/>
      <c r="EK836" s="48"/>
      <c r="EM836" s="48"/>
      <c r="EO836" s="48"/>
      <c r="EP836" s="48"/>
      <c r="EU836" s="48"/>
      <c r="EV836" s="48"/>
      <c r="EW836" s="48"/>
      <c r="EX836" s="48"/>
      <c r="EY836" s="48"/>
      <c r="EZ836" s="48"/>
      <c r="FA836" s="48"/>
      <c r="FB836" s="48"/>
      <c r="FC836" s="48"/>
      <c r="FD836" s="48"/>
      <c r="FE836" s="48"/>
      <c r="FF836" s="48"/>
      <c r="FG836" s="48"/>
      <c r="FI836" s="48"/>
      <c r="FL836" s="48"/>
      <c r="FM836" s="48"/>
      <c r="FN836" s="48"/>
      <c r="FO836" s="48"/>
      <c r="FP836" s="48"/>
      <c r="FQ836" s="48"/>
      <c r="FR836" s="48"/>
      <c r="FS836" s="48"/>
      <c r="FT836" s="48"/>
      <c r="FU836" s="48"/>
    </row>
    <row r="837" spans="1:17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52"/>
      <c r="BF837" s="48"/>
      <c r="BG837" s="48"/>
      <c r="BI837" s="48"/>
      <c r="BN837" s="48"/>
      <c r="BO837" s="48"/>
      <c r="BR837" s="48"/>
      <c r="BS837" s="48"/>
      <c r="BW837" s="48"/>
      <c r="CA837" s="48"/>
      <c r="CE837" s="48"/>
      <c r="CF837" s="48"/>
      <c r="CG837" s="48"/>
      <c r="CH837" s="48"/>
      <c r="CI837" s="48"/>
      <c r="CJ837" s="48"/>
      <c r="CL837" s="48"/>
      <c r="CM837" s="48"/>
      <c r="CN837" s="48"/>
      <c r="CO837" s="48"/>
      <c r="CP837" s="48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  <c r="DD837" s="48"/>
      <c r="DE837" s="48"/>
      <c r="DF837" s="48"/>
      <c r="DG837" s="48"/>
      <c r="DH837" s="48"/>
      <c r="DI837" s="48"/>
      <c r="DJ837" s="48"/>
      <c r="DK837" s="48"/>
      <c r="DL837" s="48"/>
      <c r="DM837" s="48"/>
      <c r="DN837" s="48"/>
      <c r="DO837" s="48"/>
      <c r="DP837" s="48"/>
      <c r="DQ837" s="48"/>
      <c r="DR837" s="48"/>
      <c r="DS837" s="48"/>
      <c r="DT837" s="48"/>
      <c r="DU837" s="48"/>
      <c r="DV837" s="48"/>
      <c r="DW837" s="48"/>
      <c r="DX837" s="48"/>
      <c r="DY837" s="48"/>
      <c r="DZ837" s="48"/>
      <c r="EA837" s="48"/>
      <c r="EC837" s="48"/>
      <c r="ED837" s="48"/>
      <c r="EE837" s="48"/>
      <c r="EF837" s="48"/>
      <c r="EG837" s="48"/>
      <c r="EI837" s="48"/>
      <c r="EK837" s="48"/>
      <c r="EM837" s="48"/>
      <c r="EO837" s="48"/>
      <c r="EP837" s="48"/>
      <c r="EU837" s="48"/>
      <c r="EV837" s="48"/>
      <c r="EW837" s="48"/>
      <c r="EX837" s="48"/>
      <c r="EY837" s="48"/>
      <c r="EZ837" s="48"/>
      <c r="FA837" s="48"/>
      <c r="FB837" s="48"/>
      <c r="FC837" s="48"/>
      <c r="FD837" s="48"/>
      <c r="FE837" s="48"/>
      <c r="FF837" s="48"/>
      <c r="FG837" s="48"/>
      <c r="FI837" s="48"/>
      <c r="FL837" s="48"/>
      <c r="FM837" s="48"/>
      <c r="FN837" s="48"/>
      <c r="FO837" s="48"/>
      <c r="FP837" s="48"/>
      <c r="FQ837" s="48"/>
      <c r="FR837" s="48"/>
      <c r="FS837" s="48"/>
      <c r="FT837" s="48"/>
      <c r="FU837" s="48"/>
    </row>
    <row r="838" spans="1:177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52"/>
      <c r="BF838" s="48"/>
      <c r="BG838" s="48"/>
      <c r="BI838" s="48"/>
      <c r="BN838" s="48"/>
      <c r="BO838" s="48"/>
      <c r="BR838" s="48"/>
      <c r="BS838" s="48"/>
      <c r="BW838" s="48"/>
      <c r="CA838" s="48"/>
      <c r="CE838" s="48"/>
      <c r="CF838" s="48"/>
      <c r="CG838" s="48"/>
      <c r="CH838" s="48"/>
      <c r="CI838" s="48"/>
      <c r="CJ838" s="48"/>
      <c r="CL838" s="48"/>
      <c r="CM838" s="48"/>
      <c r="CN838" s="48"/>
      <c r="CO838" s="48"/>
      <c r="CP838" s="48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  <c r="DE838" s="48"/>
      <c r="DF838" s="48"/>
      <c r="DG838" s="48"/>
      <c r="DH838" s="48"/>
      <c r="DI838" s="48"/>
      <c r="DJ838" s="48"/>
      <c r="DK838" s="48"/>
      <c r="DL838" s="48"/>
      <c r="DM838" s="48"/>
      <c r="DN838" s="48"/>
      <c r="DO838" s="48"/>
      <c r="DP838" s="48"/>
      <c r="DQ838" s="48"/>
      <c r="DR838" s="48"/>
      <c r="DS838" s="48"/>
      <c r="DT838" s="48"/>
      <c r="DU838" s="48"/>
      <c r="DV838" s="48"/>
      <c r="DW838" s="48"/>
      <c r="DX838" s="48"/>
      <c r="DY838" s="48"/>
      <c r="DZ838" s="48"/>
      <c r="EA838" s="48"/>
      <c r="EC838" s="48"/>
      <c r="ED838" s="48"/>
      <c r="EE838" s="48"/>
      <c r="EF838" s="48"/>
      <c r="EG838" s="48"/>
      <c r="EI838" s="48"/>
      <c r="EK838" s="48"/>
      <c r="EM838" s="48"/>
      <c r="EO838" s="48"/>
      <c r="EP838" s="48"/>
      <c r="EU838" s="48"/>
      <c r="EV838" s="48"/>
      <c r="EW838" s="48"/>
      <c r="EX838" s="48"/>
      <c r="EY838" s="48"/>
      <c r="EZ838" s="48"/>
      <c r="FA838" s="48"/>
      <c r="FB838" s="48"/>
      <c r="FC838" s="48"/>
      <c r="FD838" s="48"/>
      <c r="FE838" s="48"/>
      <c r="FF838" s="48"/>
      <c r="FG838" s="48"/>
      <c r="FI838" s="48"/>
      <c r="FL838" s="48"/>
      <c r="FM838" s="48"/>
      <c r="FN838" s="48"/>
      <c r="FO838" s="48"/>
      <c r="FP838" s="48"/>
      <c r="FQ838" s="48"/>
      <c r="FR838" s="48"/>
      <c r="FS838" s="48"/>
      <c r="FT838" s="48"/>
      <c r="FU838" s="48"/>
    </row>
    <row r="839" spans="1:177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52"/>
      <c r="BF839" s="48"/>
      <c r="BG839" s="48"/>
      <c r="BI839" s="48"/>
      <c r="BN839" s="48"/>
      <c r="BO839" s="48"/>
      <c r="BR839" s="48"/>
      <c r="BS839" s="48"/>
      <c r="BW839" s="48"/>
      <c r="CA839" s="48"/>
      <c r="CE839" s="48"/>
      <c r="CF839" s="48"/>
      <c r="CG839" s="48"/>
      <c r="CH839" s="48"/>
      <c r="CI839" s="48"/>
      <c r="CJ839" s="48"/>
      <c r="CL839" s="48"/>
      <c r="CM839" s="48"/>
      <c r="CN839" s="48"/>
      <c r="CO839" s="48"/>
      <c r="CP839" s="48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  <c r="DD839" s="48"/>
      <c r="DE839" s="48"/>
      <c r="DF839" s="48"/>
      <c r="DG839" s="48"/>
      <c r="DH839" s="48"/>
      <c r="DI839" s="48"/>
      <c r="DJ839" s="48"/>
      <c r="DK839" s="48"/>
      <c r="DL839" s="48"/>
      <c r="DM839" s="48"/>
      <c r="DN839" s="48"/>
      <c r="DO839" s="48"/>
      <c r="DP839" s="48"/>
      <c r="DQ839" s="48"/>
      <c r="DR839" s="48"/>
      <c r="DS839" s="48"/>
      <c r="DT839" s="48"/>
      <c r="DU839" s="48"/>
      <c r="DV839" s="48"/>
      <c r="DW839" s="48"/>
      <c r="DX839" s="48"/>
      <c r="DY839" s="48"/>
      <c r="DZ839" s="48"/>
      <c r="EA839" s="48"/>
      <c r="EC839" s="48"/>
      <c r="ED839" s="48"/>
      <c r="EE839" s="48"/>
      <c r="EF839" s="48"/>
      <c r="EG839" s="48"/>
      <c r="EI839" s="48"/>
      <c r="EK839" s="48"/>
      <c r="EM839" s="48"/>
      <c r="EO839" s="48"/>
      <c r="EP839" s="48"/>
      <c r="EU839" s="48"/>
      <c r="EV839" s="48"/>
      <c r="EW839" s="48"/>
      <c r="EX839" s="48"/>
      <c r="EY839" s="48"/>
      <c r="EZ839" s="48"/>
      <c r="FA839" s="48"/>
      <c r="FB839" s="48"/>
      <c r="FC839" s="48"/>
      <c r="FD839" s="48"/>
      <c r="FE839" s="48"/>
      <c r="FF839" s="48"/>
      <c r="FG839" s="48"/>
      <c r="FI839" s="48"/>
      <c r="FL839" s="48"/>
      <c r="FM839" s="48"/>
      <c r="FN839" s="48"/>
      <c r="FO839" s="48"/>
      <c r="FP839" s="48"/>
      <c r="FQ839" s="48"/>
      <c r="FR839" s="48"/>
      <c r="FS839" s="48"/>
      <c r="FT839" s="48"/>
      <c r="FU839" s="48"/>
    </row>
    <row r="840" spans="1:177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52"/>
      <c r="BF840" s="48"/>
      <c r="BG840" s="48"/>
      <c r="BI840" s="48"/>
      <c r="BN840" s="48"/>
      <c r="BO840" s="48"/>
      <c r="BR840" s="48"/>
      <c r="BS840" s="48"/>
      <c r="BW840" s="48"/>
      <c r="CA840" s="48"/>
      <c r="CE840" s="48"/>
      <c r="CF840" s="48"/>
      <c r="CG840" s="48"/>
      <c r="CH840" s="48"/>
      <c r="CI840" s="48"/>
      <c r="CJ840" s="48"/>
      <c r="CL840" s="48"/>
      <c r="CM840" s="48"/>
      <c r="CN840" s="48"/>
      <c r="CO840" s="48"/>
      <c r="CP840" s="48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  <c r="DE840" s="48"/>
      <c r="DF840" s="48"/>
      <c r="DG840" s="48"/>
      <c r="DH840" s="48"/>
      <c r="DI840" s="48"/>
      <c r="DJ840" s="48"/>
      <c r="DK840" s="48"/>
      <c r="DL840" s="48"/>
      <c r="DM840" s="48"/>
      <c r="DN840" s="48"/>
      <c r="DO840" s="48"/>
      <c r="DP840" s="48"/>
      <c r="DQ840" s="48"/>
      <c r="DR840" s="48"/>
      <c r="DS840" s="48"/>
      <c r="DT840" s="48"/>
      <c r="DU840" s="48"/>
      <c r="DV840" s="48"/>
      <c r="DW840" s="48"/>
      <c r="DX840" s="48"/>
      <c r="DY840" s="48"/>
      <c r="DZ840" s="48"/>
      <c r="EA840" s="48"/>
      <c r="EC840" s="48"/>
      <c r="ED840" s="48"/>
      <c r="EE840" s="48"/>
      <c r="EF840" s="48"/>
      <c r="EG840" s="48"/>
      <c r="EI840" s="48"/>
      <c r="EK840" s="48"/>
      <c r="EM840" s="48"/>
      <c r="EO840" s="48"/>
      <c r="EP840" s="48"/>
      <c r="EU840" s="48"/>
      <c r="EV840" s="48"/>
      <c r="EW840" s="48"/>
      <c r="EX840" s="48"/>
      <c r="EY840" s="48"/>
      <c r="EZ840" s="48"/>
      <c r="FA840" s="48"/>
      <c r="FB840" s="48"/>
      <c r="FC840" s="48"/>
      <c r="FD840" s="48"/>
      <c r="FE840" s="48"/>
      <c r="FF840" s="48"/>
      <c r="FG840" s="48"/>
      <c r="FI840" s="48"/>
      <c r="FL840" s="48"/>
      <c r="FM840" s="48"/>
      <c r="FN840" s="48"/>
      <c r="FO840" s="48"/>
      <c r="FP840" s="48"/>
      <c r="FQ840" s="48"/>
      <c r="FR840" s="48"/>
      <c r="FS840" s="48"/>
      <c r="FT840" s="48"/>
      <c r="FU840" s="48"/>
    </row>
    <row r="841" spans="1:177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52"/>
      <c r="BF841" s="48"/>
      <c r="BG841" s="48"/>
      <c r="BI841" s="48"/>
      <c r="BN841" s="48"/>
      <c r="BO841" s="48"/>
      <c r="BR841" s="48"/>
      <c r="BS841" s="48"/>
      <c r="BW841" s="48"/>
      <c r="CA841" s="48"/>
      <c r="CE841" s="48"/>
      <c r="CF841" s="48"/>
      <c r="CG841" s="48"/>
      <c r="CH841" s="48"/>
      <c r="CI841" s="48"/>
      <c r="CJ841" s="48"/>
      <c r="CL841" s="48"/>
      <c r="CM841" s="48"/>
      <c r="CN841" s="48"/>
      <c r="CO841" s="48"/>
      <c r="CP841" s="48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8"/>
      <c r="DN841" s="48"/>
      <c r="DO841" s="48"/>
      <c r="DP841" s="48"/>
      <c r="DQ841" s="48"/>
      <c r="DR841" s="48"/>
      <c r="DS841" s="48"/>
      <c r="DT841" s="48"/>
      <c r="DU841" s="48"/>
      <c r="DV841" s="48"/>
      <c r="DW841" s="48"/>
      <c r="DX841" s="48"/>
      <c r="DY841" s="48"/>
      <c r="DZ841" s="48"/>
      <c r="EA841" s="48"/>
      <c r="EC841" s="48"/>
      <c r="ED841" s="48"/>
      <c r="EE841" s="48"/>
      <c r="EF841" s="48"/>
      <c r="EG841" s="48"/>
      <c r="EI841" s="48"/>
      <c r="EK841" s="48"/>
      <c r="EM841" s="48"/>
      <c r="EO841" s="48"/>
      <c r="EP841" s="48"/>
      <c r="EU841" s="48"/>
      <c r="EV841" s="48"/>
      <c r="EW841" s="48"/>
      <c r="EX841" s="48"/>
      <c r="EY841" s="48"/>
      <c r="EZ841" s="48"/>
      <c r="FA841" s="48"/>
      <c r="FB841" s="48"/>
      <c r="FC841" s="48"/>
      <c r="FD841" s="48"/>
      <c r="FE841" s="48"/>
      <c r="FF841" s="48"/>
      <c r="FG841" s="48"/>
      <c r="FI841" s="48"/>
      <c r="FL841" s="48"/>
      <c r="FM841" s="48"/>
      <c r="FN841" s="48"/>
      <c r="FO841" s="48"/>
      <c r="FP841" s="48"/>
      <c r="FQ841" s="48"/>
      <c r="FR841" s="48"/>
      <c r="FS841" s="48"/>
      <c r="FT841" s="48"/>
      <c r="FU841" s="48"/>
    </row>
    <row r="842" spans="1:177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52"/>
      <c r="BF842" s="48"/>
      <c r="BG842" s="48"/>
      <c r="BI842" s="48"/>
      <c r="BN842" s="48"/>
      <c r="BO842" s="48"/>
      <c r="BR842" s="48"/>
      <c r="BS842" s="48"/>
      <c r="BW842" s="48"/>
      <c r="CA842" s="48"/>
      <c r="CE842" s="48"/>
      <c r="CF842" s="48"/>
      <c r="CG842" s="48"/>
      <c r="CH842" s="48"/>
      <c r="CI842" s="48"/>
      <c r="CJ842" s="48"/>
      <c r="CL842" s="48"/>
      <c r="CM842" s="48"/>
      <c r="CN842" s="48"/>
      <c r="CO842" s="48"/>
      <c r="CP842" s="48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  <c r="DD842" s="48"/>
      <c r="DE842" s="48"/>
      <c r="DF842" s="48"/>
      <c r="DG842" s="48"/>
      <c r="DH842" s="48"/>
      <c r="DI842" s="48"/>
      <c r="DJ842" s="48"/>
      <c r="DK842" s="48"/>
      <c r="DL842" s="48"/>
      <c r="DM842" s="48"/>
      <c r="DN842" s="48"/>
      <c r="DO842" s="48"/>
      <c r="DP842" s="48"/>
      <c r="DQ842" s="48"/>
      <c r="DR842" s="48"/>
      <c r="DS842" s="48"/>
      <c r="DT842" s="48"/>
      <c r="DU842" s="48"/>
      <c r="DV842" s="48"/>
      <c r="DW842" s="48"/>
      <c r="DX842" s="48"/>
      <c r="DY842" s="48"/>
      <c r="DZ842" s="48"/>
      <c r="EA842" s="48"/>
      <c r="EC842" s="48"/>
      <c r="ED842" s="48"/>
      <c r="EE842" s="48"/>
      <c r="EF842" s="48"/>
      <c r="EG842" s="48"/>
      <c r="EI842" s="48"/>
      <c r="EK842" s="48"/>
      <c r="EM842" s="48"/>
      <c r="EO842" s="48"/>
      <c r="EP842" s="48"/>
      <c r="EU842" s="48"/>
      <c r="EV842" s="48"/>
      <c r="EW842" s="48"/>
      <c r="EX842" s="48"/>
      <c r="EY842" s="48"/>
      <c r="EZ842" s="48"/>
      <c r="FA842" s="48"/>
      <c r="FB842" s="48"/>
      <c r="FC842" s="48"/>
      <c r="FD842" s="48"/>
      <c r="FE842" s="48"/>
      <c r="FF842" s="48"/>
      <c r="FG842" s="48"/>
      <c r="FI842" s="48"/>
      <c r="FL842" s="48"/>
      <c r="FM842" s="48"/>
      <c r="FN842" s="48"/>
      <c r="FO842" s="48"/>
      <c r="FP842" s="48"/>
      <c r="FQ842" s="48"/>
      <c r="FR842" s="48"/>
      <c r="FS842" s="48"/>
      <c r="FT842" s="48"/>
      <c r="FU842" s="48"/>
    </row>
    <row r="843" spans="1:177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52"/>
      <c r="BF843" s="48"/>
      <c r="BG843" s="48"/>
      <c r="BI843" s="48"/>
      <c r="BN843" s="48"/>
      <c r="BO843" s="48"/>
      <c r="BR843" s="48"/>
      <c r="BS843" s="48"/>
      <c r="BW843" s="48"/>
      <c r="CA843" s="48"/>
      <c r="CE843" s="48"/>
      <c r="CF843" s="48"/>
      <c r="CG843" s="48"/>
      <c r="CH843" s="48"/>
      <c r="CI843" s="48"/>
      <c r="CJ843" s="48"/>
      <c r="CL843" s="48"/>
      <c r="CM843" s="48"/>
      <c r="CN843" s="48"/>
      <c r="CO843" s="48"/>
      <c r="CP843" s="48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  <c r="DD843" s="48"/>
      <c r="DE843" s="48"/>
      <c r="DF843" s="48"/>
      <c r="DG843" s="48"/>
      <c r="DH843" s="48"/>
      <c r="DI843" s="48"/>
      <c r="DJ843" s="48"/>
      <c r="DK843" s="48"/>
      <c r="DL843" s="48"/>
      <c r="DM843" s="48"/>
      <c r="DN843" s="48"/>
      <c r="DO843" s="48"/>
      <c r="DP843" s="48"/>
      <c r="DQ843" s="48"/>
      <c r="DR843" s="48"/>
      <c r="DS843" s="48"/>
      <c r="DT843" s="48"/>
      <c r="DU843" s="48"/>
      <c r="DV843" s="48"/>
      <c r="DW843" s="48"/>
      <c r="DX843" s="48"/>
      <c r="DY843" s="48"/>
      <c r="DZ843" s="48"/>
      <c r="EA843" s="48"/>
      <c r="EC843" s="48"/>
      <c r="ED843" s="48"/>
      <c r="EE843" s="48"/>
      <c r="EF843" s="48"/>
      <c r="EG843" s="48"/>
      <c r="EI843" s="48"/>
      <c r="EK843" s="48"/>
      <c r="EM843" s="48"/>
      <c r="EO843" s="48"/>
      <c r="EP843" s="48"/>
      <c r="EU843" s="48"/>
      <c r="EV843" s="48"/>
      <c r="EW843" s="48"/>
      <c r="EX843" s="48"/>
      <c r="EY843" s="48"/>
      <c r="EZ843" s="48"/>
      <c r="FA843" s="48"/>
      <c r="FB843" s="48"/>
      <c r="FC843" s="48"/>
      <c r="FD843" s="48"/>
      <c r="FE843" s="48"/>
      <c r="FF843" s="48"/>
      <c r="FG843" s="48"/>
      <c r="FI843" s="48"/>
      <c r="FL843" s="48"/>
      <c r="FM843" s="48"/>
      <c r="FN843" s="48"/>
      <c r="FO843" s="48"/>
      <c r="FP843" s="48"/>
      <c r="FQ843" s="48"/>
      <c r="FR843" s="48"/>
      <c r="FS843" s="48"/>
      <c r="FT843" s="48"/>
      <c r="FU843" s="48"/>
    </row>
    <row r="844" spans="1:177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52"/>
      <c r="BF844" s="48"/>
      <c r="BG844" s="48"/>
      <c r="BI844" s="48"/>
      <c r="BN844" s="48"/>
      <c r="BO844" s="48"/>
      <c r="BR844" s="48"/>
      <c r="BS844" s="48"/>
      <c r="BW844" s="48"/>
      <c r="CA844" s="48"/>
      <c r="CE844" s="48"/>
      <c r="CF844" s="48"/>
      <c r="CG844" s="48"/>
      <c r="CH844" s="48"/>
      <c r="CI844" s="48"/>
      <c r="CJ844" s="48"/>
      <c r="CL844" s="48"/>
      <c r="CM844" s="48"/>
      <c r="CN844" s="48"/>
      <c r="CO844" s="48"/>
      <c r="CP844" s="48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8"/>
      <c r="DN844" s="48"/>
      <c r="DO844" s="48"/>
      <c r="DP844" s="48"/>
      <c r="DQ844" s="48"/>
      <c r="DR844" s="48"/>
      <c r="DS844" s="48"/>
      <c r="DT844" s="48"/>
      <c r="DU844" s="48"/>
      <c r="DV844" s="48"/>
      <c r="DW844" s="48"/>
      <c r="DX844" s="48"/>
      <c r="DY844" s="48"/>
      <c r="DZ844" s="48"/>
      <c r="EA844" s="48"/>
      <c r="EC844" s="48"/>
      <c r="ED844" s="48"/>
      <c r="EE844" s="48"/>
      <c r="EF844" s="48"/>
      <c r="EG844" s="48"/>
      <c r="EI844" s="48"/>
      <c r="EK844" s="48"/>
      <c r="EM844" s="48"/>
      <c r="EO844" s="48"/>
      <c r="EP844" s="48"/>
      <c r="EU844" s="48"/>
      <c r="EV844" s="48"/>
      <c r="EW844" s="48"/>
      <c r="EX844" s="48"/>
      <c r="EY844" s="48"/>
      <c r="EZ844" s="48"/>
      <c r="FA844" s="48"/>
      <c r="FB844" s="48"/>
      <c r="FC844" s="48"/>
      <c r="FD844" s="48"/>
      <c r="FE844" s="48"/>
      <c r="FF844" s="48"/>
      <c r="FG844" s="48"/>
      <c r="FI844" s="48"/>
      <c r="FL844" s="48"/>
      <c r="FM844" s="48"/>
      <c r="FN844" s="48"/>
      <c r="FO844" s="48"/>
      <c r="FP844" s="48"/>
      <c r="FQ844" s="48"/>
      <c r="FR844" s="48"/>
      <c r="FS844" s="48"/>
      <c r="FT844" s="48"/>
      <c r="FU844" s="48"/>
    </row>
    <row r="845" spans="1:177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52"/>
      <c r="BF845" s="48"/>
      <c r="BG845" s="48"/>
      <c r="BI845" s="48"/>
      <c r="BN845" s="48"/>
      <c r="BO845" s="48"/>
      <c r="BR845" s="48"/>
      <c r="BS845" s="48"/>
      <c r="BW845" s="48"/>
      <c r="CA845" s="48"/>
      <c r="CE845" s="48"/>
      <c r="CF845" s="48"/>
      <c r="CG845" s="48"/>
      <c r="CH845" s="48"/>
      <c r="CI845" s="48"/>
      <c r="CJ845" s="48"/>
      <c r="CL845" s="48"/>
      <c r="CM845" s="48"/>
      <c r="CN845" s="48"/>
      <c r="CO845" s="48"/>
      <c r="CP845" s="48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  <c r="DE845" s="48"/>
      <c r="DF845" s="48"/>
      <c r="DG845" s="48"/>
      <c r="DH845" s="48"/>
      <c r="DI845" s="48"/>
      <c r="DJ845" s="48"/>
      <c r="DK845" s="48"/>
      <c r="DL845" s="48"/>
      <c r="DM845" s="48"/>
      <c r="DN845" s="48"/>
      <c r="DO845" s="48"/>
      <c r="DP845" s="48"/>
      <c r="DQ845" s="48"/>
      <c r="DR845" s="48"/>
      <c r="DS845" s="48"/>
      <c r="DT845" s="48"/>
      <c r="DU845" s="48"/>
      <c r="DV845" s="48"/>
      <c r="DW845" s="48"/>
      <c r="DX845" s="48"/>
      <c r="DY845" s="48"/>
      <c r="DZ845" s="48"/>
      <c r="EA845" s="48"/>
      <c r="EC845" s="48"/>
      <c r="ED845" s="48"/>
      <c r="EE845" s="48"/>
      <c r="EF845" s="48"/>
      <c r="EG845" s="48"/>
      <c r="EI845" s="48"/>
      <c r="EK845" s="48"/>
      <c r="EM845" s="48"/>
      <c r="EO845" s="48"/>
      <c r="EP845" s="48"/>
      <c r="EU845" s="48"/>
      <c r="EV845" s="48"/>
      <c r="EW845" s="48"/>
      <c r="EX845" s="48"/>
      <c r="EY845" s="48"/>
      <c r="EZ845" s="48"/>
      <c r="FA845" s="48"/>
      <c r="FB845" s="48"/>
      <c r="FC845" s="48"/>
      <c r="FD845" s="48"/>
      <c r="FE845" s="48"/>
      <c r="FF845" s="48"/>
      <c r="FG845" s="48"/>
      <c r="FI845" s="48"/>
      <c r="FL845" s="48"/>
      <c r="FM845" s="48"/>
      <c r="FN845" s="48"/>
      <c r="FO845" s="48"/>
      <c r="FP845" s="48"/>
      <c r="FQ845" s="48"/>
      <c r="FR845" s="48"/>
      <c r="FS845" s="48"/>
      <c r="FT845" s="48"/>
      <c r="FU845" s="48"/>
    </row>
    <row r="846" spans="1:177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52"/>
      <c r="BF846" s="48"/>
      <c r="BG846" s="48"/>
      <c r="BI846" s="48"/>
      <c r="BN846" s="48"/>
      <c r="BO846" s="48"/>
      <c r="BR846" s="48"/>
      <c r="BS846" s="48"/>
      <c r="BW846" s="48"/>
      <c r="CA846" s="48"/>
      <c r="CE846" s="48"/>
      <c r="CF846" s="48"/>
      <c r="CG846" s="48"/>
      <c r="CH846" s="48"/>
      <c r="CI846" s="48"/>
      <c r="CJ846" s="48"/>
      <c r="CL846" s="48"/>
      <c r="CM846" s="48"/>
      <c r="CN846" s="48"/>
      <c r="CO846" s="48"/>
      <c r="CP846" s="48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  <c r="DD846" s="48"/>
      <c r="DE846" s="48"/>
      <c r="DF846" s="48"/>
      <c r="DG846" s="48"/>
      <c r="DH846" s="48"/>
      <c r="DI846" s="48"/>
      <c r="DJ846" s="48"/>
      <c r="DK846" s="48"/>
      <c r="DL846" s="48"/>
      <c r="DM846" s="48"/>
      <c r="DN846" s="48"/>
      <c r="DO846" s="48"/>
      <c r="DP846" s="48"/>
      <c r="DQ846" s="48"/>
      <c r="DR846" s="48"/>
      <c r="DS846" s="48"/>
      <c r="DT846" s="48"/>
      <c r="DU846" s="48"/>
      <c r="DV846" s="48"/>
      <c r="DW846" s="48"/>
      <c r="DX846" s="48"/>
      <c r="DY846" s="48"/>
      <c r="DZ846" s="48"/>
      <c r="EA846" s="48"/>
      <c r="EC846" s="48"/>
      <c r="ED846" s="48"/>
      <c r="EE846" s="48"/>
      <c r="EF846" s="48"/>
      <c r="EG846" s="48"/>
      <c r="EI846" s="48"/>
      <c r="EK846" s="48"/>
      <c r="EM846" s="48"/>
      <c r="EO846" s="48"/>
      <c r="EP846" s="48"/>
      <c r="EU846" s="48"/>
      <c r="EV846" s="48"/>
      <c r="EW846" s="48"/>
      <c r="EX846" s="48"/>
      <c r="EY846" s="48"/>
      <c r="EZ846" s="48"/>
      <c r="FA846" s="48"/>
      <c r="FB846" s="48"/>
      <c r="FC846" s="48"/>
      <c r="FD846" s="48"/>
      <c r="FE846" s="48"/>
      <c r="FF846" s="48"/>
      <c r="FG846" s="48"/>
      <c r="FI846" s="48"/>
      <c r="FL846" s="48"/>
      <c r="FM846" s="48"/>
      <c r="FN846" s="48"/>
      <c r="FO846" s="48"/>
      <c r="FP846" s="48"/>
      <c r="FQ846" s="48"/>
      <c r="FR846" s="48"/>
      <c r="FS846" s="48"/>
      <c r="FT846" s="48"/>
      <c r="FU846" s="48"/>
    </row>
    <row r="847" spans="1:17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52"/>
      <c r="BF847" s="48"/>
      <c r="BG847" s="48"/>
      <c r="BI847" s="48"/>
      <c r="BN847" s="48"/>
      <c r="BO847" s="48"/>
      <c r="BR847" s="48"/>
      <c r="BS847" s="48"/>
      <c r="BW847" s="48"/>
      <c r="CA847" s="48"/>
      <c r="CE847" s="48"/>
      <c r="CF847" s="48"/>
      <c r="CG847" s="48"/>
      <c r="CH847" s="48"/>
      <c r="CI847" s="48"/>
      <c r="CJ847" s="48"/>
      <c r="CL847" s="48"/>
      <c r="CM847" s="48"/>
      <c r="CN847" s="48"/>
      <c r="CO847" s="48"/>
      <c r="CP847" s="48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  <c r="DE847" s="48"/>
      <c r="DF847" s="48"/>
      <c r="DG847" s="48"/>
      <c r="DH847" s="48"/>
      <c r="DI847" s="48"/>
      <c r="DJ847" s="48"/>
      <c r="DK847" s="48"/>
      <c r="DL847" s="48"/>
      <c r="DM847" s="48"/>
      <c r="DN847" s="48"/>
      <c r="DO847" s="48"/>
      <c r="DP847" s="48"/>
      <c r="DQ847" s="48"/>
      <c r="DR847" s="48"/>
      <c r="DS847" s="48"/>
      <c r="DT847" s="48"/>
      <c r="DU847" s="48"/>
      <c r="DV847" s="48"/>
      <c r="DW847" s="48"/>
      <c r="DX847" s="48"/>
      <c r="DY847" s="48"/>
      <c r="DZ847" s="48"/>
      <c r="EA847" s="48"/>
      <c r="EC847" s="48"/>
      <c r="ED847" s="48"/>
      <c r="EE847" s="48"/>
      <c r="EF847" s="48"/>
      <c r="EG847" s="48"/>
      <c r="EI847" s="48"/>
      <c r="EK847" s="48"/>
      <c r="EM847" s="48"/>
      <c r="EO847" s="48"/>
      <c r="EP847" s="48"/>
      <c r="EU847" s="48"/>
      <c r="EV847" s="48"/>
      <c r="EW847" s="48"/>
      <c r="EX847" s="48"/>
      <c r="EY847" s="48"/>
      <c r="EZ847" s="48"/>
      <c r="FA847" s="48"/>
      <c r="FB847" s="48"/>
      <c r="FC847" s="48"/>
      <c r="FD847" s="48"/>
      <c r="FE847" s="48"/>
      <c r="FF847" s="48"/>
      <c r="FG847" s="48"/>
      <c r="FI847" s="48"/>
      <c r="FL847" s="48"/>
      <c r="FM847" s="48"/>
      <c r="FN847" s="48"/>
      <c r="FO847" s="48"/>
      <c r="FP847" s="48"/>
      <c r="FQ847" s="48"/>
      <c r="FR847" s="48"/>
      <c r="FS847" s="48"/>
      <c r="FT847" s="48"/>
      <c r="FU847" s="48"/>
    </row>
    <row r="848" spans="1:177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52"/>
      <c r="BF848" s="48"/>
      <c r="BG848" s="48"/>
      <c r="BI848" s="48"/>
      <c r="BN848" s="48"/>
      <c r="BO848" s="48"/>
      <c r="BR848" s="48"/>
      <c r="BS848" s="48"/>
      <c r="BW848" s="48"/>
      <c r="CA848" s="48"/>
      <c r="CE848" s="48"/>
      <c r="CF848" s="48"/>
      <c r="CG848" s="48"/>
      <c r="CH848" s="48"/>
      <c r="CI848" s="48"/>
      <c r="CJ848" s="48"/>
      <c r="CL848" s="48"/>
      <c r="CM848" s="48"/>
      <c r="CN848" s="48"/>
      <c r="CO848" s="48"/>
      <c r="CP848" s="48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  <c r="DD848" s="48"/>
      <c r="DE848" s="48"/>
      <c r="DF848" s="48"/>
      <c r="DG848" s="48"/>
      <c r="DH848" s="48"/>
      <c r="DI848" s="48"/>
      <c r="DJ848" s="48"/>
      <c r="DK848" s="48"/>
      <c r="DL848" s="48"/>
      <c r="DM848" s="48"/>
      <c r="DN848" s="48"/>
      <c r="DO848" s="48"/>
      <c r="DP848" s="48"/>
      <c r="DQ848" s="48"/>
      <c r="DR848" s="48"/>
      <c r="DS848" s="48"/>
      <c r="DT848" s="48"/>
      <c r="DU848" s="48"/>
      <c r="DV848" s="48"/>
      <c r="DW848" s="48"/>
      <c r="DX848" s="48"/>
      <c r="DY848" s="48"/>
      <c r="DZ848" s="48"/>
      <c r="EA848" s="48"/>
      <c r="EC848" s="48"/>
      <c r="ED848" s="48"/>
      <c r="EE848" s="48"/>
      <c r="EF848" s="48"/>
      <c r="EG848" s="48"/>
      <c r="EI848" s="48"/>
      <c r="EK848" s="48"/>
      <c r="EM848" s="48"/>
      <c r="EO848" s="48"/>
      <c r="EP848" s="48"/>
      <c r="EU848" s="48"/>
      <c r="EV848" s="48"/>
      <c r="EW848" s="48"/>
      <c r="EX848" s="48"/>
      <c r="EY848" s="48"/>
      <c r="EZ848" s="48"/>
      <c r="FA848" s="48"/>
      <c r="FB848" s="48"/>
      <c r="FC848" s="48"/>
      <c r="FD848" s="48"/>
      <c r="FE848" s="48"/>
      <c r="FF848" s="48"/>
      <c r="FG848" s="48"/>
      <c r="FI848" s="48"/>
      <c r="FL848" s="48"/>
      <c r="FM848" s="48"/>
      <c r="FN848" s="48"/>
      <c r="FO848" s="48"/>
      <c r="FP848" s="48"/>
      <c r="FQ848" s="48"/>
      <c r="FR848" s="48"/>
      <c r="FS848" s="48"/>
      <c r="FT848" s="48"/>
      <c r="FU848" s="48"/>
    </row>
    <row r="849" spans="1:177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52"/>
      <c r="BF849" s="48"/>
      <c r="BG849" s="48"/>
      <c r="BI849" s="48"/>
      <c r="BN849" s="48"/>
      <c r="BO849" s="48"/>
      <c r="BR849" s="48"/>
      <c r="BS849" s="48"/>
      <c r="BW849" s="48"/>
      <c r="CA849" s="48"/>
      <c r="CE849" s="48"/>
      <c r="CF849" s="48"/>
      <c r="CG849" s="48"/>
      <c r="CH849" s="48"/>
      <c r="CI849" s="48"/>
      <c r="CJ849" s="48"/>
      <c r="CL849" s="48"/>
      <c r="CM849" s="48"/>
      <c r="CN849" s="48"/>
      <c r="CO849" s="48"/>
      <c r="CP849" s="48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  <c r="DD849" s="48"/>
      <c r="DE849" s="48"/>
      <c r="DF849" s="48"/>
      <c r="DG849" s="48"/>
      <c r="DH849" s="48"/>
      <c r="DI849" s="48"/>
      <c r="DJ849" s="48"/>
      <c r="DK849" s="48"/>
      <c r="DL849" s="48"/>
      <c r="DM849" s="48"/>
      <c r="DN849" s="48"/>
      <c r="DO849" s="48"/>
      <c r="DP849" s="48"/>
      <c r="DQ849" s="48"/>
      <c r="DR849" s="48"/>
      <c r="DS849" s="48"/>
      <c r="DT849" s="48"/>
      <c r="DU849" s="48"/>
      <c r="DV849" s="48"/>
      <c r="DW849" s="48"/>
      <c r="DX849" s="48"/>
      <c r="DY849" s="48"/>
      <c r="DZ849" s="48"/>
      <c r="EA849" s="48"/>
      <c r="EC849" s="48"/>
      <c r="ED849" s="48"/>
      <c r="EE849" s="48"/>
      <c r="EF849" s="48"/>
      <c r="EG849" s="48"/>
      <c r="EI849" s="48"/>
      <c r="EK849" s="48"/>
      <c r="EM849" s="48"/>
      <c r="EO849" s="48"/>
      <c r="EP849" s="48"/>
      <c r="EU849" s="48"/>
      <c r="EV849" s="48"/>
      <c r="EW849" s="48"/>
      <c r="EX849" s="48"/>
      <c r="EY849" s="48"/>
      <c r="EZ849" s="48"/>
      <c r="FA849" s="48"/>
      <c r="FB849" s="48"/>
      <c r="FC849" s="48"/>
      <c r="FD849" s="48"/>
      <c r="FE849" s="48"/>
      <c r="FF849" s="48"/>
      <c r="FG849" s="48"/>
      <c r="FI849" s="48"/>
      <c r="FL849" s="48"/>
      <c r="FM849" s="48"/>
      <c r="FN849" s="48"/>
      <c r="FO849" s="48"/>
      <c r="FP849" s="48"/>
      <c r="FQ849" s="48"/>
      <c r="FR849" s="48"/>
      <c r="FS849" s="48"/>
      <c r="FT849" s="48"/>
      <c r="FU849" s="48"/>
    </row>
    <row r="850" spans="1:177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52"/>
      <c r="BF850" s="48"/>
      <c r="BG850" s="48"/>
      <c r="BI850" s="48"/>
      <c r="BN850" s="48"/>
      <c r="BO850" s="48"/>
      <c r="BR850" s="48"/>
      <c r="BS850" s="48"/>
      <c r="BW850" s="48"/>
      <c r="CA850" s="48"/>
      <c r="CE850" s="48"/>
      <c r="CF850" s="48"/>
      <c r="CG850" s="48"/>
      <c r="CH850" s="48"/>
      <c r="CI850" s="48"/>
      <c r="CJ850" s="48"/>
      <c r="CL850" s="48"/>
      <c r="CM850" s="48"/>
      <c r="CN850" s="48"/>
      <c r="CO850" s="48"/>
      <c r="CP850" s="48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  <c r="DE850" s="48"/>
      <c r="DF850" s="48"/>
      <c r="DG850" s="48"/>
      <c r="DH850" s="48"/>
      <c r="DI850" s="48"/>
      <c r="DJ850" s="48"/>
      <c r="DK850" s="48"/>
      <c r="DL850" s="48"/>
      <c r="DM850" s="48"/>
      <c r="DN850" s="48"/>
      <c r="DO850" s="48"/>
      <c r="DP850" s="48"/>
      <c r="DQ850" s="48"/>
      <c r="DR850" s="48"/>
      <c r="DS850" s="48"/>
      <c r="DT850" s="48"/>
      <c r="DU850" s="48"/>
      <c r="DV850" s="48"/>
      <c r="DW850" s="48"/>
      <c r="DX850" s="48"/>
      <c r="DY850" s="48"/>
      <c r="DZ850" s="48"/>
      <c r="EA850" s="48"/>
      <c r="EC850" s="48"/>
      <c r="ED850" s="48"/>
      <c r="EE850" s="48"/>
      <c r="EF850" s="48"/>
      <c r="EG850" s="48"/>
      <c r="EI850" s="48"/>
      <c r="EK850" s="48"/>
      <c r="EM850" s="48"/>
      <c r="EO850" s="48"/>
      <c r="EP850" s="48"/>
      <c r="EU850" s="48"/>
      <c r="EV850" s="48"/>
      <c r="EW850" s="48"/>
      <c r="EX850" s="48"/>
      <c r="EY850" s="48"/>
      <c r="EZ850" s="48"/>
      <c r="FA850" s="48"/>
      <c r="FB850" s="48"/>
      <c r="FC850" s="48"/>
      <c r="FD850" s="48"/>
      <c r="FE850" s="48"/>
      <c r="FF850" s="48"/>
      <c r="FG850" s="48"/>
      <c r="FI850" s="48"/>
      <c r="FL850" s="48"/>
      <c r="FM850" s="48"/>
      <c r="FN850" s="48"/>
      <c r="FO850" s="48"/>
      <c r="FP850" s="48"/>
      <c r="FQ850" s="48"/>
      <c r="FR850" s="48"/>
      <c r="FS850" s="48"/>
      <c r="FT850" s="48"/>
      <c r="FU850" s="48"/>
    </row>
    <row r="851" spans="1:177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52"/>
      <c r="BF851" s="48"/>
      <c r="BG851" s="48"/>
      <c r="BI851" s="48"/>
      <c r="BN851" s="48"/>
      <c r="BO851" s="48"/>
      <c r="BR851" s="48"/>
      <c r="BS851" s="48"/>
      <c r="BW851" s="48"/>
      <c r="CA851" s="48"/>
      <c r="CE851" s="48"/>
      <c r="CF851" s="48"/>
      <c r="CG851" s="48"/>
      <c r="CH851" s="48"/>
      <c r="CI851" s="48"/>
      <c r="CJ851" s="48"/>
      <c r="CL851" s="48"/>
      <c r="CM851" s="48"/>
      <c r="CN851" s="48"/>
      <c r="CO851" s="48"/>
      <c r="CP851" s="48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  <c r="DD851" s="48"/>
      <c r="DE851" s="48"/>
      <c r="DF851" s="48"/>
      <c r="DG851" s="48"/>
      <c r="DH851" s="48"/>
      <c r="DI851" s="48"/>
      <c r="DJ851" s="48"/>
      <c r="DK851" s="48"/>
      <c r="DL851" s="48"/>
      <c r="DM851" s="48"/>
      <c r="DN851" s="48"/>
      <c r="DO851" s="48"/>
      <c r="DP851" s="48"/>
      <c r="DQ851" s="48"/>
      <c r="DR851" s="48"/>
      <c r="DS851" s="48"/>
      <c r="DT851" s="48"/>
      <c r="DU851" s="48"/>
      <c r="DV851" s="48"/>
      <c r="DW851" s="48"/>
      <c r="DX851" s="48"/>
      <c r="DY851" s="48"/>
      <c r="DZ851" s="48"/>
      <c r="EA851" s="48"/>
      <c r="EC851" s="48"/>
      <c r="ED851" s="48"/>
      <c r="EE851" s="48"/>
      <c r="EF851" s="48"/>
      <c r="EG851" s="48"/>
      <c r="EI851" s="48"/>
      <c r="EK851" s="48"/>
      <c r="EM851" s="48"/>
      <c r="EO851" s="48"/>
      <c r="EP851" s="48"/>
      <c r="EU851" s="48"/>
      <c r="EV851" s="48"/>
      <c r="EW851" s="48"/>
      <c r="EX851" s="48"/>
      <c r="EY851" s="48"/>
      <c r="EZ851" s="48"/>
      <c r="FA851" s="48"/>
      <c r="FB851" s="48"/>
      <c r="FC851" s="48"/>
      <c r="FD851" s="48"/>
      <c r="FE851" s="48"/>
      <c r="FF851" s="48"/>
      <c r="FG851" s="48"/>
      <c r="FI851" s="48"/>
      <c r="FL851" s="48"/>
      <c r="FM851" s="48"/>
      <c r="FN851" s="48"/>
      <c r="FO851" s="48"/>
      <c r="FP851" s="48"/>
      <c r="FQ851" s="48"/>
      <c r="FR851" s="48"/>
      <c r="FS851" s="48"/>
      <c r="FT851" s="48"/>
      <c r="FU851" s="48"/>
    </row>
    <row r="852" spans="1:177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52"/>
      <c r="BF852" s="48"/>
      <c r="BG852" s="48"/>
      <c r="BI852" s="48"/>
      <c r="BN852" s="48"/>
      <c r="BO852" s="48"/>
      <c r="BR852" s="48"/>
      <c r="BS852" s="48"/>
      <c r="BW852" s="48"/>
      <c r="CA852" s="48"/>
      <c r="CE852" s="48"/>
      <c r="CF852" s="48"/>
      <c r="CG852" s="48"/>
      <c r="CH852" s="48"/>
      <c r="CI852" s="48"/>
      <c r="CJ852" s="48"/>
      <c r="CL852" s="48"/>
      <c r="CM852" s="48"/>
      <c r="CN852" s="48"/>
      <c r="CO852" s="48"/>
      <c r="CP852" s="48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  <c r="DD852" s="48"/>
      <c r="DE852" s="48"/>
      <c r="DF852" s="48"/>
      <c r="DG852" s="48"/>
      <c r="DH852" s="48"/>
      <c r="DI852" s="48"/>
      <c r="DJ852" s="48"/>
      <c r="DK852" s="48"/>
      <c r="DL852" s="48"/>
      <c r="DM852" s="48"/>
      <c r="DN852" s="48"/>
      <c r="DO852" s="48"/>
      <c r="DP852" s="48"/>
      <c r="DQ852" s="48"/>
      <c r="DR852" s="48"/>
      <c r="DS852" s="48"/>
      <c r="DT852" s="48"/>
      <c r="DU852" s="48"/>
      <c r="DV852" s="48"/>
      <c r="DW852" s="48"/>
      <c r="DX852" s="48"/>
      <c r="DY852" s="48"/>
      <c r="DZ852" s="48"/>
      <c r="EA852" s="48"/>
      <c r="EC852" s="48"/>
      <c r="ED852" s="48"/>
      <c r="EE852" s="48"/>
      <c r="EF852" s="48"/>
      <c r="EG852" s="48"/>
      <c r="EI852" s="48"/>
      <c r="EK852" s="48"/>
      <c r="EM852" s="48"/>
      <c r="EO852" s="48"/>
      <c r="EP852" s="48"/>
      <c r="EU852" s="48"/>
      <c r="EV852" s="48"/>
      <c r="EW852" s="48"/>
      <c r="EX852" s="48"/>
      <c r="EY852" s="48"/>
      <c r="EZ852" s="48"/>
      <c r="FA852" s="48"/>
      <c r="FB852" s="48"/>
      <c r="FC852" s="48"/>
      <c r="FD852" s="48"/>
      <c r="FE852" s="48"/>
      <c r="FF852" s="48"/>
      <c r="FG852" s="48"/>
      <c r="FI852" s="48"/>
      <c r="FL852" s="48"/>
      <c r="FM852" s="48"/>
      <c r="FN852" s="48"/>
      <c r="FO852" s="48"/>
      <c r="FP852" s="48"/>
      <c r="FQ852" s="48"/>
      <c r="FR852" s="48"/>
      <c r="FS852" s="48"/>
      <c r="FT852" s="48"/>
      <c r="FU852" s="48"/>
    </row>
    <row r="853" spans="1:177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52"/>
      <c r="BF853" s="48"/>
      <c r="BG853" s="48"/>
      <c r="BI853" s="48"/>
      <c r="BN853" s="48"/>
      <c r="BO853" s="48"/>
      <c r="BR853" s="48"/>
      <c r="BS853" s="48"/>
      <c r="BW853" s="48"/>
      <c r="CA853" s="48"/>
      <c r="CE853" s="48"/>
      <c r="CF853" s="48"/>
      <c r="CG853" s="48"/>
      <c r="CH853" s="48"/>
      <c r="CI853" s="48"/>
      <c r="CJ853" s="48"/>
      <c r="CL853" s="48"/>
      <c r="CM853" s="48"/>
      <c r="CN853" s="48"/>
      <c r="CO853" s="48"/>
      <c r="CP853" s="48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  <c r="DE853" s="48"/>
      <c r="DF853" s="48"/>
      <c r="DG853" s="48"/>
      <c r="DH853" s="48"/>
      <c r="DI853" s="48"/>
      <c r="DJ853" s="48"/>
      <c r="DK853" s="48"/>
      <c r="DL853" s="48"/>
      <c r="DM853" s="48"/>
      <c r="DN853" s="48"/>
      <c r="DO853" s="48"/>
      <c r="DP853" s="48"/>
      <c r="DQ853" s="48"/>
      <c r="DR853" s="48"/>
      <c r="DS853" s="48"/>
      <c r="DT853" s="48"/>
      <c r="DU853" s="48"/>
      <c r="DV853" s="48"/>
      <c r="DW853" s="48"/>
      <c r="DX853" s="48"/>
      <c r="DY853" s="48"/>
      <c r="DZ853" s="48"/>
      <c r="EA853" s="48"/>
      <c r="EC853" s="48"/>
      <c r="ED853" s="48"/>
      <c r="EE853" s="48"/>
      <c r="EF853" s="48"/>
      <c r="EG853" s="48"/>
      <c r="EI853" s="48"/>
      <c r="EK853" s="48"/>
      <c r="EM853" s="48"/>
      <c r="EO853" s="48"/>
      <c r="EP853" s="48"/>
      <c r="EU853" s="48"/>
      <c r="EV853" s="48"/>
      <c r="EW853" s="48"/>
      <c r="EX853" s="48"/>
      <c r="EY853" s="48"/>
      <c r="EZ853" s="48"/>
      <c r="FA853" s="48"/>
      <c r="FB853" s="48"/>
      <c r="FC853" s="48"/>
      <c r="FD853" s="48"/>
      <c r="FE853" s="48"/>
      <c r="FF853" s="48"/>
      <c r="FG853" s="48"/>
      <c r="FI853" s="48"/>
      <c r="FL853" s="48"/>
      <c r="FM853" s="48"/>
      <c r="FN853" s="48"/>
      <c r="FO853" s="48"/>
      <c r="FP853" s="48"/>
      <c r="FQ853" s="48"/>
      <c r="FR853" s="48"/>
      <c r="FS853" s="48"/>
      <c r="FT853" s="48"/>
      <c r="FU853" s="48"/>
    </row>
    <row r="854" spans="1:177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52"/>
      <c r="BF854" s="48"/>
      <c r="BG854" s="48"/>
      <c r="BI854" s="48"/>
      <c r="BN854" s="48"/>
      <c r="BO854" s="48"/>
      <c r="BR854" s="48"/>
      <c r="BS854" s="48"/>
      <c r="BW854" s="48"/>
      <c r="CA854" s="48"/>
      <c r="CE854" s="48"/>
      <c r="CF854" s="48"/>
      <c r="CG854" s="48"/>
      <c r="CH854" s="48"/>
      <c r="CI854" s="48"/>
      <c r="CJ854" s="48"/>
      <c r="CL854" s="48"/>
      <c r="CM854" s="48"/>
      <c r="CN854" s="48"/>
      <c r="CO854" s="48"/>
      <c r="CP854" s="48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  <c r="DD854" s="48"/>
      <c r="DE854" s="48"/>
      <c r="DF854" s="48"/>
      <c r="DG854" s="48"/>
      <c r="DH854" s="48"/>
      <c r="DI854" s="48"/>
      <c r="DJ854" s="48"/>
      <c r="DK854" s="48"/>
      <c r="DL854" s="48"/>
      <c r="DM854" s="48"/>
      <c r="DN854" s="48"/>
      <c r="DO854" s="48"/>
      <c r="DP854" s="48"/>
      <c r="DQ854" s="48"/>
      <c r="DR854" s="48"/>
      <c r="DS854" s="48"/>
      <c r="DT854" s="48"/>
      <c r="DU854" s="48"/>
      <c r="DV854" s="48"/>
      <c r="DW854" s="48"/>
      <c r="DX854" s="48"/>
      <c r="DY854" s="48"/>
      <c r="DZ854" s="48"/>
      <c r="EA854" s="48"/>
      <c r="EC854" s="48"/>
      <c r="ED854" s="48"/>
      <c r="EE854" s="48"/>
      <c r="EF854" s="48"/>
      <c r="EG854" s="48"/>
      <c r="EI854" s="48"/>
      <c r="EK854" s="48"/>
      <c r="EM854" s="48"/>
      <c r="EO854" s="48"/>
      <c r="EP854" s="48"/>
      <c r="EU854" s="48"/>
      <c r="EV854" s="48"/>
      <c r="EW854" s="48"/>
      <c r="EX854" s="48"/>
      <c r="EY854" s="48"/>
      <c r="EZ854" s="48"/>
      <c r="FA854" s="48"/>
      <c r="FB854" s="48"/>
      <c r="FC854" s="48"/>
      <c r="FD854" s="48"/>
      <c r="FE854" s="48"/>
      <c r="FF854" s="48"/>
      <c r="FG854" s="48"/>
      <c r="FI854" s="48"/>
      <c r="FL854" s="48"/>
      <c r="FM854" s="48"/>
      <c r="FN854" s="48"/>
      <c r="FO854" s="48"/>
      <c r="FP854" s="48"/>
      <c r="FQ854" s="48"/>
      <c r="FR854" s="48"/>
      <c r="FS854" s="48"/>
      <c r="FT854" s="48"/>
      <c r="FU854" s="48"/>
    </row>
    <row r="855" spans="1:177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52"/>
      <c r="BF855" s="48"/>
      <c r="BG855" s="48"/>
      <c r="BI855" s="48"/>
      <c r="BN855" s="48"/>
      <c r="BO855" s="48"/>
      <c r="BR855" s="48"/>
      <c r="BS855" s="48"/>
      <c r="BW855" s="48"/>
      <c r="CA855" s="48"/>
      <c r="CE855" s="48"/>
      <c r="CF855" s="48"/>
      <c r="CG855" s="48"/>
      <c r="CH855" s="48"/>
      <c r="CI855" s="48"/>
      <c r="CJ855" s="48"/>
      <c r="CL855" s="48"/>
      <c r="CM855" s="48"/>
      <c r="CN855" s="48"/>
      <c r="CO855" s="48"/>
      <c r="CP855" s="48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  <c r="DD855" s="48"/>
      <c r="DE855" s="48"/>
      <c r="DF855" s="48"/>
      <c r="DG855" s="48"/>
      <c r="DH855" s="48"/>
      <c r="DI855" s="48"/>
      <c r="DJ855" s="48"/>
      <c r="DK855" s="48"/>
      <c r="DL855" s="48"/>
      <c r="DM855" s="48"/>
      <c r="DN855" s="48"/>
      <c r="DO855" s="48"/>
      <c r="DP855" s="48"/>
      <c r="DQ855" s="48"/>
      <c r="DR855" s="48"/>
      <c r="DS855" s="48"/>
      <c r="DT855" s="48"/>
      <c r="DU855" s="48"/>
      <c r="DV855" s="48"/>
      <c r="DW855" s="48"/>
      <c r="DX855" s="48"/>
      <c r="DY855" s="48"/>
      <c r="DZ855" s="48"/>
      <c r="EA855" s="48"/>
      <c r="EC855" s="48"/>
      <c r="ED855" s="48"/>
      <c r="EE855" s="48"/>
      <c r="EF855" s="48"/>
      <c r="EG855" s="48"/>
      <c r="EI855" s="48"/>
      <c r="EK855" s="48"/>
      <c r="EM855" s="48"/>
      <c r="EO855" s="48"/>
      <c r="EP855" s="48"/>
      <c r="EU855" s="48"/>
      <c r="EV855" s="48"/>
      <c r="EW855" s="48"/>
      <c r="EX855" s="48"/>
      <c r="EY855" s="48"/>
      <c r="EZ855" s="48"/>
      <c r="FA855" s="48"/>
      <c r="FB855" s="48"/>
      <c r="FC855" s="48"/>
      <c r="FD855" s="48"/>
      <c r="FE855" s="48"/>
      <c r="FF855" s="48"/>
      <c r="FG855" s="48"/>
      <c r="FI855" s="48"/>
      <c r="FL855" s="48"/>
      <c r="FM855" s="48"/>
      <c r="FN855" s="48"/>
      <c r="FO855" s="48"/>
      <c r="FP855" s="48"/>
      <c r="FQ855" s="48"/>
      <c r="FR855" s="48"/>
      <c r="FS855" s="48"/>
      <c r="FT855" s="48"/>
      <c r="FU855" s="48"/>
    </row>
    <row r="856" spans="1:177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52"/>
      <c r="BF856" s="48"/>
      <c r="BG856" s="48"/>
      <c r="BI856" s="48"/>
      <c r="BN856" s="48"/>
      <c r="BO856" s="48"/>
      <c r="BR856" s="48"/>
      <c r="BS856" s="48"/>
      <c r="BW856" s="48"/>
      <c r="CA856" s="48"/>
      <c r="CE856" s="48"/>
      <c r="CF856" s="48"/>
      <c r="CG856" s="48"/>
      <c r="CH856" s="48"/>
      <c r="CI856" s="48"/>
      <c r="CJ856" s="48"/>
      <c r="CL856" s="48"/>
      <c r="CM856" s="48"/>
      <c r="CN856" s="48"/>
      <c r="CO856" s="48"/>
      <c r="CP856" s="48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  <c r="DE856" s="48"/>
      <c r="DF856" s="48"/>
      <c r="DG856" s="48"/>
      <c r="DH856" s="48"/>
      <c r="DI856" s="48"/>
      <c r="DJ856" s="48"/>
      <c r="DK856" s="48"/>
      <c r="DL856" s="48"/>
      <c r="DM856" s="48"/>
      <c r="DN856" s="48"/>
      <c r="DO856" s="48"/>
      <c r="DP856" s="48"/>
      <c r="DQ856" s="48"/>
      <c r="DR856" s="48"/>
      <c r="DS856" s="48"/>
      <c r="DT856" s="48"/>
      <c r="DU856" s="48"/>
      <c r="DV856" s="48"/>
      <c r="DW856" s="48"/>
      <c r="DX856" s="48"/>
      <c r="DY856" s="48"/>
      <c r="DZ856" s="48"/>
      <c r="EA856" s="48"/>
      <c r="EC856" s="48"/>
      <c r="ED856" s="48"/>
      <c r="EE856" s="48"/>
      <c r="EF856" s="48"/>
      <c r="EG856" s="48"/>
      <c r="EI856" s="48"/>
      <c r="EK856" s="48"/>
      <c r="EM856" s="48"/>
      <c r="EO856" s="48"/>
      <c r="EP856" s="48"/>
      <c r="EU856" s="48"/>
      <c r="EV856" s="48"/>
      <c r="EW856" s="48"/>
      <c r="EX856" s="48"/>
      <c r="EY856" s="48"/>
      <c r="EZ856" s="48"/>
      <c r="FA856" s="48"/>
      <c r="FB856" s="48"/>
      <c r="FC856" s="48"/>
      <c r="FD856" s="48"/>
      <c r="FE856" s="48"/>
      <c r="FF856" s="48"/>
      <c r="FG856" s="48"/>
      <c r="FI856" s="48"/>
      <c r="FL856" s="48"/>
      <c r="FM856" s="48"/>
      <c r="FN856" s="48"/>
      <c r="FO856" s="48"/>
      <c r="FP856" s="48"/>
      <c r="FQ856" s="48"/>
      <c r="FR856" s="48"/>
      <c r="FS856" s="48"/>
      <c r="FT856" s="48"/>
      <c r="FU856" s="48"/>
    </row>
    <row r="857" spans="1:17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52"/>
      <c r="BF857" s="48"/>
      <c r="BG857" s="48"/>
      <c r="BI857" s="48"/>
      <c r="BN857" s="48"/>
      <c r="BO857" s="48"/>
      <c r="BR857" s="48"/>
      <c r="BS857" s="48"/>
      <c r="BW857" s="48"/>
      <c r="CA857" s="48"/>
      <c r="CE857" s="48"/>
      <c r="CF857" s="48"/>
      <c r="CG857" s="48"/>
      <c r="CH857" s="48"/>
      <c r="CI857" s="48"/>
      <c r="CJ857" s="48"/>
      <c r="CL857" s="48"/>
      <c r="CM857" s="48"/>
      <c r="CN857" s="48"/>
      <c r="CO857" s="48"/>
      <c r="CP857" s="48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  <c r="DD857" s="48"/>
      <c r="DE857" s="48"/>
      <c r="DF857" s="48"/>
      <c r="DG857" s="48"/>
      <c r="DH857" s="48"/>
      <c r="DI857" s="48"/>
      <c r="DJ857" s="48"/>
      <c r="DK857" s="48"/>
      <c r="DL857" s="48"/>
      <c r="DM857" s="48"/>
      <c r="DN857" s="48"/>
      <c r="DO857" s="48"/>
      <c r="DP857" s="48"/>
      <c r="DQ857" s="48"/>
      <c r="DR857" s="48"/>
      <c r="DS857" s="48"/>
      <c r="DT857" s="48"/>
      <c r="DU857" s="48"/>
      <c r="DV857" s="48"/>
      <c r="DW857" s="48"/>
      <c r="DX857" s="48"/>
      <c r="DY857" s="48"/>
      <c r="DZ857" s="48"/>
      <c r="EA857" s="48"/>
      <c r="EC857" s="48"/>
      <c r="ED857" s="48"/>
      <c r="EE857" s="48"/>
      <c r="EF857" s="48"/>
      <c r="EG857" s="48"/>
      <c r="EI857" s="48"/>
      <c r="EK857" s="48"/>
      <c r="EM857" s="48"/>
      <c r="EO857" s="48"/>
      <c r="EP857" s="48"/>
      <c r="EU857" s="48"/>
      <c r="EV857" s="48"/>
      <c r="EW857" s="48"/>
      <c r="EX857" s="48"/>
      <c r="EY857" s="48"/>
      <c r="EZ857" s="48"/>
      <c r="FA857" s="48"/>
      <c r="FB857" s="48"/>
      <c r="FC857" s="48"/>
      <c r="FD857" s="48"/>
      <c r="FE857" s="48"/>
      <c r="FF857" s="48"/>
      <c r="FG857" s="48"/>
      <c r="FI857" s="48"/>
      <c r="FL857" s="48"/>
      <c r="FM857" s="48"/>
      <c r="FN857" s="48"/>
      <c r="FO857" s="48"/>
      <c r="FP857" s="48"/>
      <c r="FQ857" s="48"/>
      <c r="FR857" s="48"/>
      <c r="FS857" s="48"/>
      <c r="FT857" s="48"/>
      <c r="FU857" s="48"/>
    </row>
    <row r="858" spans="1:177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52"/>
      <c r="BF858" s="48"/>
      <c r="BG858" s="48"/>
      <c r="BI858" s="48"/>
      <c r="BN858" s="48"/>
      <c r="BO858" s="48"/>
      <c r="BR858" s="48"/>
      <c r="BS858" s="48"/>
      <c r="BW858" s="48"/>
      <c r="CA858" s="48"/>
      <c r="CE858" s="48"/>
      <c r="CF858" s="48"/>
      <c r="CG858" s="48"/>
      <c r="CH858" s="48"/>
      <c r="CI858" s="48"/>
      <c r="CJ858" s="48"/>
      <c r="CL858" s="48"/>
      <c r="CM858" s="48"/>
      <c r="CN858" s="48"/>
      <c r="CO858" s="48"/>
      <c r="CP858" s="48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  <c r="DE858" s="48"/>
      <c r="DF858" s="48"/>
      <c r="DG858" s="48"/>
      <c r="DH858" s="48"/>
      <c r="DI858" s="48"/>
      <c r="DJ858" s="48"/>
      <c r="DK858" s="48"/>
      <c r="DL858" s="48"/>
      <c r="DM858" s="48"/>
      <c r="DN858" s="48"/>
      <c r="DO858" s="48"/>
      <c r="DP858" s="48"/>
      <c r="DQ858" s="48"/>
      <c r="DR858" s="48"/>
      <c r="DS858" s="48"/>
      <c r="DT858" s="48"/>
      <c r="DU858" s="48"/>
      <c r="DV858" s="48"/>
      <c r="DW858" s="48"/>
      <c r="DX858" s="48"/>
      <c r="DY858" s="48"/>
      <c r="DZ858" s="48"/>
      <c r="EA858" s="48"/>
      <c r="EC858" s="48"/>
      <c r="ED858" s="48"/>
      <c r="EE858" s="48"/>
      <c r="EF858" s="48"/>
      <c r="EG858" s="48"/>
      <c r="EI858" s="48"/>
      <c r="EK858" s="48"/>
      <c r="EM858" s="48"/>
      <c r="EO858" s="48"/>
      <c r="EP858" s="48"/>
      <c r="EU858" s="48"/>
      <c r="EV858" s="48"/>
      <c r="EW858" s="48"/>
      <c r="EX858" s="48"/>
      <c r="EY858" s="48"/>
      <c r="EZ858" s="48"/>
      <c r="FA858" s="48"/>
      <c r="FB858" s="48"/>
      <c r="FC858" s="48"/>
      <c r="FD858" s="48"/>
      <c r="FE858" s="48"/>
      <c r="FF858" s="48"/>
      <c r="FG858" s="48"/>
      <c r="FI858" s="48"/>
      <c r="FL858" s="48"/>
      <c r="FM858" s="48"/>
      <c r="FN858" s="48"/>
      <c r="FO858" s="48"/>
      <c r="FP858" s="48"/>
      <c r="FQ858" s="48"/>
      <c r="FR858" s="48"/>
      <c r="FS858" s="48"/>
      <c r="FT858" s="48"/>
      <c r="FU858" s="48"/>
    </row>
    <row r="859" spans="1:177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52"/>
      <c r="BF859" s="48"/>
      <c r="BG859" s="48"/>
      <c r="BI859" s="48"/>
      <c r="BN859" s="48"/>
      <c r="BO859" s="48"/>
      <c r="BR859" s="48"/>
      <c r="BS859" s="48"/>
      <c r="BW859" s="48"/>
      <c r="CA859" s="48"/>
      <c r="CE859" s="48"/>
      <c r="CF859" s="48"/>
      <c r="CG859" s="48"/>
      <c r="CH859" s="48"/>
      <c r="CI859" s="48"/>
      <c r="CJ859" s="48"/>
      <c r="CL859" s="48"/>
      <c r="CM859" s="48"/>
      <c r="CN859" s="48"/>
      <c r="CO859" s="48"/>
      <c r="CP859" s="48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8"/>
      <c r="DN859" s="48"/>
      <c r="DO859" s="48"/>
      <c r="DP859" s="48"/>
      <c r="DQ859" s="48"/>
      <c r="DR859" s="48"/>
      <c r="DS859" s="48"/>
      <c r="DT859" s="48"/>
      <c r="DU859" s="48"/>
      <c r="DV859" s="48"/>
      <c r="DW859" s="48"/>
      <c r="DX859" s="48"/>
      <c r="DY859" s="48"/>
      <c r="DZ859" s="48"/>
      <c r="EA859" s="48"/>
      <c r="EC859" s="48"/>
      <c r="ED859" s="48"/>
      <c r="EE859" s="48"/>
      <c r="EF859" s="48"/>
      <c r="EG859" s="48"/>
      <c r="EI859" s="48"/>
      <c r="EK859" s="48"/>
      <c r="EM859" s="48"/>
      <c r="EO859" s="48"/>
      <c r="EP859" s="48"/>
      <c r="EU859" s="48"/>
      <c r="EV859" s="48"/>
      <c r="EW859" s="48"/>
      <c r="EX859" s="48"/>
      <c r="EY859" s="48"/>
      <c r="EZ859" s="48"/>
      <c r="FA859" s="48"/>
      <c r="FB859" s="48"/>
      <c r="FC859" s="48"/>
      <c r="FD859" s="48"/>
      <c r="FE859" s="48"/>
      <c r="FF859" s="48"/>
      <c r="FG859" s="48"/>
      <c r="FI859" s="48"/>
      <c r="FL859" s="48"/>
      <c r="FM859" s="48"/>
      <c r="FN859" s="48"/>
      <c r="FO859" s="48"/>
      <c r="FP859" s="48"/>
      <c r="FQ859" s="48"/>
      <c r="FR859" s="48"/>
      <c r="FS859" s="48"/>
      <c r="FT859" s="48"/>
      <c r="FU859" s="48"/>
    </row>
    <row r="860" spans="1:177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52"/>
      <c r="BF860" s="48"/>
      <c r="BG860" s="48"/>
      <c r="BI860" s="48"/>
      <c r="BN860" s="48"/>
      <c r="BO860" s="48"/>
      <c r="BR860" s="48"/>
      <c r="BS860" s="48"/>
      <c r="BW860" s="48"/>
      <c r="CA860" s="48"/>
      <c r="CE860" s="48"/>
      <c r="CF860" s="48"/>
      <c r="CG860" s="48"/>
      <c r="CH860" s="48"/>
      <c r="CI860" s="48"/>
      <c r="CJ860" s="48"/>
      <c r="CL860" s="48"/>
      <c r="CM860" s="48"/>
      <c r="CN860" s="48"/>
      <c r="CO860" s="48"/>
      <c r="CP860" s="48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  <c r="DD860" s="48"/>
      <c r="DE860" s="48"/>
      <c r="DF860" s="48"/>
      <c r="DG860" s="48"/>
      <c r="DH860" s="48"/>
      <c r="DI860" s="48"/>
      <c r="DJ860" s="48"/>
      <c r="DK860" s="48"/>
      <c r="DL860" s="48"/>
      <c r="DM860" s="48"/>
      <c r="DN860" s="48"/>
      <c r="DO860" s="48"/>
      <c r="DP860" s="48"/>
      <c r="DQ860" s="48"/>
      <c r="DR860" s="48"/>
      <c r="DS860" s="48"/>
      <c r="DT860" s="48"/>
      <c r="DU860" s="48"/>
      <c r="DV860" s="48"/>
      <c r="DW860" s="48"/>
      <c r="DX860" s="48"/>
      <c r="DY860" s="48"/>
      <c r="DZ860" s="48"/>
      <c r="EA860" s="48"/>
      <c r="EC860" s="48"/>
      <c r="ED860" s="48"/>
      <c r="EE860" s="48"/>
      <c r="EF860" s="48"/>
      <c r="EG860" s="48"/>
      <c r="EI860" s="48"/>
      <c r="EK860" s="48"/>
      <c r="EM860" s="48"/>
      <c r="EO860" s="48"/>
      <c r="EP860" s="48"/>
      <c r="EU860" s="48"/>
      <c r="EV860" s="48"/>
      <c r="EW860" s="48"/>
      <c r="EX860" s="48"/>
      <c r="EY860" s="48"/>
      <c r="EZ860" s="48"/>
      <c r="FA860" s="48"/>
      <c r="FB860" s="48"/>
      <c r="FC860" s="48"/>
      <c r="FD860" s="48"/>
      <c r="FE860" s="48"/>
      <c r="FF860" s="48"/>
      <c r="FG860" s="48"/>
      <c r="FI860" s="48"/>
      <c r="FL860" s="48"/>
      <c r="FM860" s="48"/>
      <c r="FN860" s="48"/>
      <c r="FO860" s="48"/>
      <c r="FP860" s="48"/>
      <c r="FQ860" s="48"/>
      <c r="FR860" s="48"/>
      <c r="FS860" s="48"/>
      <c r="FT860" s="48"/>
      <c r="FU860" s="48"/>
    </row>
    <row r="861" spans="1:177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52"/>
      <c r="BF861" s="48"/>
      <c r="BG861" s="48"/>
      <c r="BI861" s="48"/>
      <c r="BN861" s="48"/>
      <c r="BO861" s="48"/>
      <c r="BR861" s="48"/>
      <c r="BS861" s="48"/>
      <c r="BW861" s="48"/>
      <c r="CA861" s="48"/>
      <c r="CE861" s="48"/>
      <c r="CF861" s="48"/>
      <c r="CG861" s="48"/>
      <c r="CH861" s="48"/>
      <c r="CI861" s="48"/>
      <c r="CJ861" s="48"/>
      <c r="CL861" s="48"/>
      <c r="CM861" s="48"/>
      <c r="CN861" s="48"/>
      <c r="CO861" s="48"/>
      <c r="CP861" s="48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  <c r="DD861" s="48"/>
      <c r="DE861" s="48"/>
      <c r="DF861" s="48"/>
      <c r="DG861" s="48"/>
      <c r="DH861" s="48"/>
      <c r="DI861" s="48"/>
      <c r="DJ861" s="48"/>
      <c r="DK861" s="48"/>
      <c r="DL861" s="48"/>
      <c r="DM861" s="48"/>
      <c r="DN861" s="48"/>
      <c r="DO861" s="48"/>
      <c r="DP861" s="48"/>
      <c r="DQ861" s="48"/>
      <c r="DR861" s="48"/>
      <c r="DS861" s="48"/>
      <c r="DT861" s="48"/>
      <c r="DU861" s="48"/>
      <c r="DV861" s="48"/>
      <c r="DW861" s="48"/>
      <c r="DX861" s="48"/>
      <c r="DY861" s="48"/>
      <c r="DZ861" s="48"/>
      <c r="EA861" s="48"/>
      <c r="EC861" s="48"/>
      <c r="ED861" s="48"/>
      <c r="EE861" s="48"/>
      <c r="EF861" s="48"/>
      <c r="EG861" s="48"/>
      <c r="EI861" s="48"/>
      <c r="EK861" s="48"/>
      <c r="EM861" s="48"/>
      <c r="EO861" s="48"/>
      <c r="EP861" s="48"/>
      <c r="EU861" s="48"/>
      <c r="EV861" s="48"/>
      <c r="EW861" s="48"/>
      <c r="EX861" s="48"/>
      <c r="EY861" s="48"/>
      <c r="EZ861" s="48"/>
      <c r="FA861" s="48"/>
      <c r="FB861" s="48"/>
      <c r="FC861" s="48"/>
      <c r="FD861" s="48"/>
      <c r="FE861" s="48"/>
      <c r="FF861" s="48"/>
      <c r="FG861" s="48"/>
      <c r="FI861" s="48"/>
      <c r="FL861" s="48"/>
      <c r="FM861" s="48"/>
      <c r="FN861" s="48"/>
      <c r="FO861" s="48"/>
      <c r="FP861" s="48"/>
      <c r="FQ861" s="48"/>
      <c r="FR861" s="48"/>
      <c r="FS861" s="48"/>
      <c r="FT861" s="48"/>
      <c r="FU861" s="48"/>
    </row>
    <row r="862" spans="1:177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52"/>
      <c r="BF862" s="48"/>
      <c r="BG862" s="48"/>
      <c r="BI862" s="48"/>
      <c r="BN862" s="48"/>
      <c r="BO862" s="48"/>
      <c r="BR862" s="48"/>
      <c r="BS862" s="48"/>
      <c r="BW862" s="48"/>
      <c r="CA862" s="48"/>
      <c r="CE862" s="48"/>
      <c r="CF862" s="48"/>
      <c r="CG862" s="48"/>
      <c r="CH862" s="48"/>
      <c r="CI862" s="48"/>
      <c r="CJ862" s="48"/>
      <c r="CL862" s="48"/>
      <c r="CM862" s="48"/>
      <c r="CN862" s="48"/>
      <c r="CO862" s="48"/>
      <c r="CP862" s="48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8"/>
      <c r="DN862" s="48"/>
      <c r="DO862" s="48"/>
      <c r="DP862" s="48"/>
      <c r="DQ862" s="48"/>
      <c r="DR862" s="48"/>
      <c r="DS862" s="48"/>
      <c r="DT862" s="48"/>
      <c r="DU862" s="48"/>
      <c r="DV862" s="48"/>
      <c r="DW862" s="48"/>
      <c r="DX862" s="48"/>
      <c r="DY862" s="48"/>
      <c r="DZ862" s="48"/>
      <c r="EA862" s="48"/>
      <c r="EC862" s="48"/>
      <c r="ED862" s="48"/>
      <c r="EE862" s="48"/>
      <c r="EF862" s="48"/>
      <c r="EG862" s="48"/>
      <c r="EI862" s="48"/>
      <c r="EK862" s="48"/>
      <c r="EM862" s="48"/>
      <c r="EO862" s="48"/>
      <c r="EP862" s="48"/>
      <c r="EU862" s="48"/>
      <c r="EV862" s="48"/>
      <c r="EW862" s="48"/>
      <c r="EX862" s="48"/>
      <c r="EY862" s="48"/>
      <c r="EZ862" s="48"/>
      <c r="FA862" s="48"/>
      <c r="FB862" s="48"/>
      <c r="FC862" s="48"/>
      <c r="FD862" s="48"/>
      <c r="FE862" s="48"/>
      <c r="FF862" s="48"/>
      <c r="FG862" s="48"/>
      <c r="FI862" s="48"/>
      <c r="FL862" s="48"/>
      <c r="FM862" s="48"/>
      <c r="FN862" s="48"/>
      <c r="FO862" s="48"/>
      <c r="FP862" s="48"/>
      <c r="FQ862" s="48"/>
      <c r="FR862" s="48"/>
      <c r="FS862" s="48"/>
      <c r="FT862" s="48"/>
      <c r="FU862" s="48"/>
    </row>
    <row r="863" spans="1:177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52"/>
      <c r="BF863" s="48"/>
      <c r="BG863" s="48"/>
      <c r="BI863" s="48"/>
      <c r="BN863" s="48"/>
      <c r="BO863" s="48"/>
      <c r="BR863" s="48"/>
      <c r="BS863" s="48"/>
      <c r="BW863" s="48"/>
      <c r="CA863" s="48"/>
      <c r="CE863" s="48"/>
      <c r="CF863" s="48"/>
      <c r="CG863" s="48"/>
      <c r="CH863" s="48"/>
      <c r="CI863" s="48"/>
      <c r="CJ863" s="48"/>
      <c r="CL863" s="48"/>
      <c r="CM863" s="48"/>
      <c r="CN863" s="48"/>
      <c r="CO863" s="48"/>
      <c r="CP863" s="48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  <c r="DE863" s="48"/>
      <c r="DF863" s="48"/>
      <c r="DG863" s="48"/>
      <c r="DH863" s="48"/>
      <c r="DI863" s="48"/>
      <c r="DJ863" s="48"/>
      <c r="DK863" s="48"/>
      <c r="DL863" s="48"/>
      <c r="DM863" s="48"/>
      <c r="DN863" s="48"/>
      <c r="DO863" s="48"/>
      <c r="DP863" s="48"/>
      <c r="DQ863" s="48"/>
      <c r="DR863" s="48"/>
      <c r="DS863" s="48"/>
      <c r="DT863" s="48"/>
      <c r="DU863" s="48"/>
      <c r="DV863" s="48"/>
      <c r="DW863" s="48"/>
      <c r="DX863" s="48"/>
      <c r="DY863" s="48"/>
      <c r="DZ863" s="48"/>
      <c r="EA863" s="48"/>
      <c r="EC863" s="48"/>
      <c r="ED863" s="48"/>
      <c r="EE863" s="48"/>
      <c r="EF863" s="48"/>
      <c r="EG863" s="48"/>
      <c r="EI863" s="48"/>
      <c r="EK863" s="48"/>
      <c r="EM863" s="48"/>
      <c r="EO863" s="48"/>
      <c r="EP863" s="48"/>
      <c r="EU863" s="48"/>
      <c r="EV863" s="48"/>
      <c r="EW863" s="48"/>
      <c r="EX863" s="48"/>
      <c r="EY863" s="48"/>
      <c r="EZ863" s="48"/>
      <c r="FA863" s="48"/>
      <c r="FB863" s="48"/>
      <c r="FC863" s="48"/>
      <c r="FD863" s="48"/>
      <c r="FE863" s="48"/>
      <c r="FF863" s="48"/>
      <c r="FG863" s="48"/>
      <c r="FI863" s="48"/>
      <c r="FL863" s="48"/>
      <c r="FM863" s="48"/>
      <c r="FN863" s="48"/>
      <c r="FO863" s="48"/>
      <c r="FP863" s="48"/>
      <c r="FQ863" s="48"/>
      <c r="FR863" s="48"/>
      <c r="FS863" s="48"/>
      <c r="FT863" s="48"/>
      <c r="FU863" s="48"/>
    </row>
    <row r="864" spans="1:177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52"/>
      <c r="BF864" s="48"/>
      <c r="BG864" s="48"/>
      <c r="BI864" s="48"/>
      <c r="BN864" s="48"/>
      <c r="BO864" s="48"/>
      <c r="BR864" s="48"/>
      <c r="BS864" s="48"/>
      <c r="BW864" s="48"/>
      <c r="CA864" s="48"/>
      <c r="CE864" s="48"/>
      <c r="CF864" s="48"/>
      <c r="CG864" s="48"/>
      <c r="CH864" s="48"/>
      <c r="CI864" s="48"/>
      <c r="CJ864" s="48"/>
      <c r="CL864" s="48"/>
      <c r="CM864" s="48"/>
      <c r="CN864" s="48"/>
      <c r="CO864" s="48"/>
      <c r="CP864" s="48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  <c r="DD864" s="48"/>
      <c r="DE864" s="48"/>
      <c r="DF864" s="48"/>
      <c r="DG864" s="48"/>
      <c r="DH864" s="48"/>
      <c r="DI864" s="48"/>
      <c r="DJ864" s="48"/>
      <c r="DK864" s="48"/>
      <c r="DL864" s="48"/>
      <c r="DM864" s="48"/>
      <c r="DN864" s="48"/>
      <c r="DO864" s="48"/>
      <c r="DP864" s="48"/>
      <c r="DQ864" s="48"/>
      <c r="DR864" s="48"/>
      <c r="DS864" s="48"/>
      <c r="DT864" s="48"/>
      <c r="DU864" s="48"/>
      <c r="DV864" s="48"/>
      <c r="DW864" s="48"/>
      <c r="DX864" s="48"/>
      <c r="DY864" s="48"/>
      <c r="DZ864" s="48"/>
      <c r="EA864" s="48"/>
      <c r="EC864" s="48"/>
      <c r="ED864" s="48"/>
      <c r="EE864" s="48"/>
      <c r="EF864" s="48"/>
      <c r="EG864" s="48"/>
      <c r="EI864" s="48"/>
      <c r="EK864" s="48"/>
      <c r="EM864" s="48"/>
      <c r="EO864" s="48"/>
      <c r="EP864" s="48"/>
      <c r="EU864" s="48"/>
      <c r="EV864" s="48"/>
      <c r="EW864" s="48"/>
      <c r="EX864" s="48"/>
      <c r="EY864" s="48"/>
      <c r="EZ864" s="48"/>
      <c r="FA864" s="48"/>
      <c r="FB864" s="48"/>
      <c r="FC864" s="48"/>
      <c r="FD864" s="48"/>
      <c r="FE864" s="48"/>
      <c r="FF864" s="48"/>
      <c r="FG864" s="48"/>
      <c r="FI864" s="48"/>
      <c r="FL864" s="48"/>
      <c r="FM864" s="48"/>
      <c r="FN864" s="48"/>
      <c r="FO864" s="48"/>
      <c r="FP864" s="48"/>
      <c r="FQ864" s="48"/>
      <c r="FR864" s="48"/>
      <c r="FS864" s="48"/>
      <c r="FT864" s="48"/>
      <c r="FU864" s="48"/>
    </row>
    <row r="865" spans="1:177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52"/>
      <c r="BF865" s="48"/>
      <c r="BG865" s="48"/>
      <c r="BI865" s="48"/>
      <c r="BN865" s="48"/>
      <c r="BO865" s="48"/>
      <c r="BR865" s="48"/>
      <c r="BS865" s="48"/>
      <c r="BW865" s="48"/>
      <c r="CA865" s="48"/>
      <c r="CE865" s="48"/>
      <c r="CF865" s="48"/>
      <c r="CG865" s="48"/>
      <c r="CH865" s="48"/>
      <c r="CI865" s="48"/>
      <c r="CJ865" s="48"/>
      <c r="CL865" s="48"/>
      <c r="CM865" s="48"/>
      <c r="CN865" s="48"/>
      <c r="CO865" s="48"/>
      <c r="CP865" s="48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8"/>
      <c r="DN865" s="48"/>
      <c r="DO865" s="48"/>
      <c r="DP865" s="48"/>
      <c r="DQ865" s="48"/>
      <c r="DR865" s="48"/>
      <c r="DS865" s="48"/>
      <c r="DT865" s="48"/>
      <c r="DU865" s="48"/>
      <c r="DV865" s="48"/>
      <c r="DW865" s="48"/>
      <c r="DX865" s="48"/>
      <c r="DY865" s="48"/>
      <c r="DZ865" s="48"/>
      <c r="EA865" s="48"/>
      <c r="EC865" s="48"/>
      <c r="ED865" s="48"/>
      <c r="EE865" s="48"/>
      <c r="EF865" s="48"/>
      <c r="EG865" s="48"/>
      <c r="EI865" s="48"/>
      <c r="EK865" s="48"/>
      <c r="EM865" s="48"/>
      <c r="EO865" s="48"/>
      <c r="EP865" s="48"/>
      <c r="EU865" s="48"/>
      <c r="EV865" s="48"/>
      <c r="EW865" s="48"/>
      <c r="EX865" s="48"/>
      <c r="EY865" s="48"/>
      <c r="EZ865" s="48"/>
      <c r="FA865" s="48"/>
      <c r="FB865" s="48"/>
      <c r="FC865" s="48"/>
      <c r="FD865" s="48"/>
      <c r="FE865" s="48"/>
      <c r="FF865" s="48"/>
      <c r="FG865" s="48"/>
      <c r="FI865" s="48"/>
      <c r="FL865" s="48"/>
      <c r="FM865" s="48"/>
      <c r="FN865" s="48"/>
      <c r="FO865" s="48"/>
      <c r="FP865" s="48"/>
      <c r="FQ865" s="48"/>
      <c r="FR865" s="48"/>
      <c r="FS865" s="48"/>
      <c r="FT865" s="48"/>
      <c r="FU865" s="48"/>
    </row>
    <row r="866" spans="1:177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52"/>
      <c r="BF866" s="48"/>
      <c r="BG866" s="48"/>
      <c r="BI866" s="48"/>
      <c r="BN866" s="48"/>
      <c r="BO866" s="48"/>
      <c r="BR866" s="48"/>
      <c r="BS866" s="48"/>
      <c r="BW866" s="48"/>
      <c r="CA866" s="48"/>
      <c r="CE866" s="48"/>
      <c r="CF866" s="48"/>
      <c r="CG866" s="48"/>
      <c r="CH866" s="48"/>
      <c r="CI866" s="48"/>
      <c r="CJ866" s="48"/>
      <c r="CL866" s="48"/>
      <c r="CM866" s="48"/>
      <c r="CN866" s="48"/>
      <c r="CO866" s="48"/>
      <c r="CP866" s="48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  <c r="DE866" s="48"/>
      <c r="DF866" s="48"/>
      <c r="DG866" s="48"/>
      <c r="DH866" s="48"/>
      <c r="DI866" s="48"/>
      <c r="DJ866" s="48"/>
      <c r="DK866" s="48"/>
      <c r="DL866" s="48"/>
      <c r="DM866" s="48"/>
      <c r="DN866" s="48"/>
      <c r="DO866" s="48"/>
      <c r="DP866" s="48"/>
      <c r="DQ866" s="48"/>
      <c r="DR866" s="48"/>
      <c r="DS866" s="48"/>
      <c r="DT866" s="48"/>
      <c r="DU866" s="48"/>
      <c r="DV866" s="48"/>
      <c r="DW866" s="48"/>
      <c r="DX866" s="48"/>
      <c r="DY866" s="48"/>
      <c r="DZ866" s="48"/>
      <c r="EA866" s="48"/>
      <c r="EC866" s="48"/>
      <c r="ED866" s="48"/>
      <c r="EE866" s="48"/>
      <c r="EF866" s="48"/>
      <c r="EG866" s="48"/>
      <c r="EI866" s="48"/>
      <c r="EK866" s="48"/>
      <c r="EM866" s="48"/>
      <c r="EO866" s="48"/>
      <c r="EP866" s="48"/>
      <c r="EU866" s="48"/>
      <c r="EV866" s="48"/>
      <c r="EW866" s="48"/>
      <c r="EX866" s="48"/>
      <c r="EY866" s="48"/>
      <c r="EZ866" s="48"/>
      <c r="FA866" s="48"/>
      <c r="FB866" s="48"/>
      <c r="FC866" s="48"/>
      <c r="FD866" s="48"/>
      <c r="FE866" s="48"/>
      <c r="FF866" s="48"/>
      <c r="FG866" s="48"/>
      <c r="FI866" s="48"/>
      <c r="FL866" s="48"/>
      <c r="FM866" s="48"/>
      <c r="FN866" s="48"/>
      <c r="FO866" s="48"/>
      <c r="FP866" s="48"/>
      <c r="FQ866" s="48"/>
      <c r="FR866" s="48"/>
      <c r="FS866" s="48"/>
      <c r="FT866" s="48"/>
      <c r="FU866" s="48"/>
    </row>
    <row r="867" spans="1:17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52"/>
      <c r="BF867" s="48"/>
      <c r="BG867" s="48"/>
      <c r="BI867" s="48"/>
      <c r="BN867" s="48"/>
      <c r="BO867" s="48"/>
      <c r="BR867" s="48"/>
      <c r="BS867" s="48"/>
      <c r="BW867" s="48"/>
      <c r="CA867" s="48"/>
      <c r="CE867" s="48"/>
      <c r="CF867" s="48"/>
      <c r="CG867" s="48"/>
      <c r="CH867" s="48"/>
      <c r="CI867" s="48"/>
      <c r="CJ867" s="48"/>
      <c r="CL867" s="48"/>
      <c r="CM867" s="48"/>
      <c r="CN867" s="48"/>
      <c r="CO867" s="48"/>
      <c r="CP867" s="48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  <c r="DD867" s="48"/>
      <c r="DE867" s="48"/>
      <c r="DF867" s="48"/>
      <c r="DG867" s="48"/>
      <c r="DH867" s="48"/>
      <c r="DI867" s="48"/>
      <c r="DJ867" s="48"/>
      <c r="DK867" s="48"/>
      <c r="DL867" s="48"/>
      <c r="DM867" s="48"/>
      <c r="DN867" s="48"/>
      <c r="DO867" s="48"/>
      <c r="DP867" s="48"/>
      <c r="DQ867" s="48"/>
      <c r="DR867" s="48"/>
      <c r="DS867" s="48"/>
      <c r="DT867" s="48"/>
      <c r="DU867" s="48"/>
      <c r="DV867" s="48"/>
      <c r="DW867" s="48"/>
      <c r="DX867" s="48"/>
      <c r="DY867" s="48"/>
      <c r="DZ867" s="48"/>
      <c r="EA867" s="48"/>
      <c r="EC867" s="48"/>
      <c r="ED867" s="48"/>
      <c r="EE867" s="48"/>
      <c r="EF867" s="48"/>
      <c r="EG867" s="48"/>
      <c r="EI867" s="48"/>
      <c r="EK867" s="48"/>
      <c r="EM867" s="48"/>
      <c r="EO867" s="48"/>
      <c r="EP867" s="48"/>
      <c r="EU867" s="48"/>
      <c r="EV867" s="48"/>
      <c r="EW867" s="48"/>
      <c r="EX867" s="48"/>
      <c r="EY867" s="48"/>
      <c r="EZ867" s="48"/>
      <c r="FA867" s="48"/>
      <c r="FB867" s="48"/>
      <c r="FC867" s="48"/>
      <c r="FD867" s="48"/>
      <c r="FE867" s="48"/>
      <c r="FF867" s="48"/>
      <c r="FG867" s="48"/>
      <c r="FI867" s="48"/>
      <c r="FL867" s="48"/>
      <c r="FM867" s="48"/>
      <c r="FN867" s="48"/>
      <c r="FO867" s="48"/>
      <c r="FP867" s="48"/>
      <c r="FQ867" s="48"/>
      <c r="FR867" s="48"/>
      <c r="FS867" s="48"/>
      <c r="FT867" s="48"/>
      <c r="FU867" s="48"/>
    </row>
    <row r="868" spans="1:177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52"/>
      <c r="BF868" s="48"/>
      <c r="BG868" s="48"/>
      <c r="BI868" s="48"/>
      <c r="BN868" s="48"/>
      <c r="BO868" s="48"/>
      <c r="BR868" s="48"/>
      <c r="BS868" s="48"/>
      <c r="BW868" s="48"/>
      <c r="CA868" s="48"/>
      <c r="CE868" s="48"/>
      <c r="CF868" s="48"/>
      <c r="CG868" s="48"/>
      <c r="CH868" s="48"/>
      <c r="CI868" s="48"/>
      <c r="CJ868" s="48"/>
      <c r="CL868" s="48"/>
      <c r="CM868" s="48"/>
      <c r="CN868" s="48"/>
      <c r="CO868" s="48"/>
      <c r="CP868" s="48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  <c r="DE868" s="48"/>
      <c r="DF868" s="48"/>
      <c r="DG868" s="48"/>
      <c r="DH868" s="48"/>
      <c r="DI868" s="48"/>
      <c r="DJ868" s="48"/>
      <c r="DK868" s="48"/>
      <c r="DL868" s="48"/>
      <c r="DM868" s="48"/>
      <c r="DN868" s="48"/>
      <c r="DO868" s="48"/>
      <c r="DP868" s="48"/>
      <c r="DQ868" s="48"/>
      <c r="DR868" s="48"/>
      <c r="DS868" s="48"/>
      <c r="DT868" s="48"/>
      <c r="DU868" s="48"/>
      <c r="DV868" s="48"/>
      <c r="DW868" s="48"/>
      <c r="DX868" s="48"/>
      <c r="DY868" s="48"/>
      <c r="DZ868" s="48"/>
      <c r="EA868" s="48"/>
      <c r="EC868" s="48"/>
      <c r="ED868" s="48"/>
      <c r="EE868" s="48"/>
      <c r="EF868" s="48"/>
      <c r="EG868" s="48"/>
      <c r="EI868" s="48"/>
      <c r="EK868" s="48"/>
      <c r="EM868" s="48"/>
      <c r="EO868" s="48"/>
      <c r="EP868" s="48"/>
      <c r="EU868" s="48"/>
      <c r="EV868" s="48"/>
      <c r="EW868" s="48"/>
      <c r="EX868" s="48"/>
      <c r="EY868" s="48"/>
      <c r="EZ868" s="48"/>
      <c r="FA868" s="48"/>
      <c r="FB868" s="48"/>
      <c r="FC868" s="48"/>
      <c r="FD868" s="48"/>
      <c r="FE868" s="48"/>
      <c r="FF868" s="48"/>
      <c r="FG868" s="48"/>
      <c r="FI868" s="48"/>
      <c r="FL868" s="48"/>
      <c r="FM868" s="48"/>
      <c r="FN868" s="48"/>
      <c r="FO868" s="48"/>
      <c r="FP868" s="48"/>
      <c r="FQ868" s="48"/>
      <c r="FR868" s="48"/>
      <c r="FS868" s="48"/>
      <c r="FT868" s="48"/>
      <c r="FU868" s="48"/>
    </row>
    <row r="869" spans="1:177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52"/>
      <c r="BF869" s="48"/>
      <c r="BG869" s="48"/>
      <c r="BI869" s="48"/>
      <c r="BN869" s="48"/>
      <c r="BO869" s="48"/>
      <c r="BR869" s="48"/>
      <c r="BS869" s="48"/>
      <c r="BW869" s="48"/>
      <c r="CA869" s="48"/>
      <c r="CE869" s="48"/>
      <c r="CF869" s="48"/>
      <c r="CG869" s="48"/>
      <c r="CH869" s="48"/>
      <c r="CI869" s="48"/>
      <c r="CJ869" s="48"/>
      <c r="CL869" s="48"/>
      <c r="CM869" s="48"/>
      <c r="CN869" s="48"/>
      <c r="CO869" s="48"/>
      <c r="CP869" s="48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  <c r="DD869" s="48"/>
      <c r="DE869" s="48"/>
      <c r="DF869" s="48"/>
      <c r="DG869" s="48"/>
      <c r="DH869" s="48"/>
      <c r="DI869" s="48"/>
      <c r="DJ869" s="48"/>
      <c r="DK869" s="48"/>
      <c r="DL869" s="48"/>
      <c r="DM869" s="48"/>
      <c r="DN869" s="48"/>
      <c r="DO869" s="48"/>
      <c r="DP869" s="48"/>
      <c r="DQ869" s="48"/>
      <c r="DR869" s="48"/>
      <c r="DS869" s="48"/>
      <c r="DT869" s="48"/>
      <c r="DU869" s="48"/>
      <c r="DV869" s="48"/>
      <c r="DW869" s="48"/>
      <c r="DX869" s="48"/>
      <c r="DY869" s="48"/>
      <c r="DZ869" s="48"/>
      <c r="EA869" s="48"/>
      <c r="EC869" s="48"/>
      <c r="ED869" s="48"/>
      <c r="EE869" s="48"/>
      <c r="EF869" s="48"/>
      <c r="EG869" s="48"/>
      <c r="EI869" s="48"/>
      <c r="EK869" s="48"/>
      <c r="EM869" s="48"/>
      <c r="EO869" s="48"/>
      <c r="EP869" s="48"/>
      <c r="EU869" s="48"/>
      <c r="EV869" s="48"/>
      <c r="EW869" s="48"/>
      <c r="EX869" s="48"/>
      <c r="EY869" s="48"/>
      <c r="EZ869" s="48"/>
      <c r="FA869" s="48"/>
      <c r="FB869" s="48"/>
      <c r="FC869" s="48"/>
      <c r="FD869" s="48"/>
      <c r="FE869" s="48"/>
      <c r="FF869" s="48"/>
      <c r="FG869" s="48"/>
      <c r="FI869" s="48"/>
      <c r="FL869" s="48"/>
      <c r="FM869" s="48"/>
      <c r="FN869" s="48"/>
      <c r="FO869" s="48"/>
      <c r="FP869" s="48"/>
      <c r="FQ869" s="48"/>
      <c r="FR869" s="48"/>
      <c r="FS869" s="48"/>
      <c r="FT869" s="48"/>
      <c r="FU869" s="48"/>
    </row>
    <row r="870" spans="1:177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52"/>
      <c r="BF870" s="48"/>
      <c r="BG870" s="48"/>
      <c r="BI870" s="48"/>
      <c r="BN870" s="48"/>
      <c r="BO870" s="48"/>
      <c r="BR870" s="48"/>
      <c r="BS870" s="48"/>
      <c r="BW870" s="48"/>
      <c r="CA870" s="48"/>
      <c r="CE870" s="48"/>
      <c r="CF870" s="48"/>
      <c r="CG870" s="48"/>
      <c r="CH870" s="48"/>
      <c r="CI870" s="48"/>
      <c r="CJ870" s="48"/>
      <c r="CL870" s="48"/>
      <c r="CM870" s="48"/>
      <c r="CN870" s="48"/>
      <c r="CO870" s="48"/>
      <c r="CP870" s="48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  <c r="DD870" s="48"/>
      <c r="DE870" s="48"/>
      <c r="DF870" s="48"/>
      <c r="DG870" s="48"/>
      <c r="DH870" s="48"/>
      <c r="DI870" s="48"/>
      <c r="DJ870" s="48"/>
      <c r="DK870" s="48"/>
      <c r="DL870" s="48"/>
      <c r="DM870" s="48"/>
      <c r="DN870" s="48"/>
      <c r="DO870" s="48"/>
      <c r="DP870" s="48"/>
      <c r="DQ870" s="48"/>
      <c r="DR870" s="48"/>
      <c r="DS870" s="48"/>
      <c r="DT870" s="48"/>
      <c r="DU870" s="48"/>
      <c r="DV870" s="48"/>
      <c r="DW870" s="48"/>
      <c r="DX870" s="48"/>
      <c r="DY870" s="48"/>
      <c r="DZ870" s="48"/>
      <c r="EA870" s="48"/>
      <c r="EC870" s="48"/>
      <c r="ED870" s="48"/>
      <c r="EE870" s="48"/>
      <c r="EF870" s="48"/>
      <c r="EG870" s="48"/>
      <c r="EI870" s="48"/>
      <c r="EK870" s="48"/>
      <c r="EM870" s="48"/>
      <c r="EO870" s="48"/>
      <c r="EP870" s="48"/>
      <c r="EU870" s="48"/>
      <c r="EV870" s="48"/>
      <c r="EW870" s="48"/>
      <c r="EX870" s="48"/>
      <c r="EY870" s="48"/>
      <c r="EZ870" s="48"/>
      <c r="FA870" s="48"/>
      <c r="FB870" s="48"/>
      <c r="FC870" s="48"/>
      <c r="FD870" s="48"/>
      <c r="FE870" s="48"/>
      <c r="FF870" s="48"/>
      <c r="FG870" s="48"/>
      <c r="FI870" s="48"/>
      <c r="FL870" s="48"/>
      <c r="FM870" s="48"/>
      <c r="FN870" s="48"/>
      <c r="FO870" s="48"/>
      <c r="FP870" s="48"/>
      <c r="FQ870" s="48"/>
      <c r="FR870" s="48"/>
      <c r="FS870" s="48"/>
      <c r="FT870" s="48"/>
      <c r="FU870" s="48"/>
    </row>
    <row r="871" spans="1:177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52"/>
      <c r="BF871" s="48"/>
      <c r="BG871" s="48"/>
      <c r="BI871" s="48"/>
      <c r="BN871" s="48"/>
      <c r="BO871" s="48"/>
      <c r="BR871" s="48"/>
      <c r="BS871" s="48"/>
      <c r="BW871" s="48"/>
      <c r="CA871" s="48"/>
      <c r="CE871" s="48"/>
      <c r="CF871" s="48"/>
      <c r="CG871" s="48"/>
      <c r="CH871" s="48"/>
      <c r="CI871" s="48"/>
      <c r="CJ871" s="48"/>
      <c r="CL871" s="48"/>
      <c r="CM871" s="48"/>
      <c r="CN871" s="48"/>
      <c r="CO871" s="48"/>
      <c r="CP871" s="48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8"/>
      <c r="DN871" s="48"/>
      <c r="DO871" s="48"/>
      <c r="DP871" s="48"/>
      <c r="DQ871" s="48"/>
      <c r="DR871" s="48"/>
      <c r="DS871" s="48"/>
      <c r="DT871" s="48"/>
      <c r="DU871" s="48"/>
      <c r="DV871" s="48"/>
      <c r="DW871" s="48"/>
      <c r="DX871" s="48"/>
      <c r="DY871" s="48"/>
      <c r="DZ871" s="48"/>
      <c r="EA871" s="48"/>
      <c r="EC871" s="48"/>
      <c r="ED871" s="48"/>
      <c r="EE871" s="48"/>
      <c r="EF871" s="48"/>
      <c r="EG871" s="48"/>
      <c r="EI871" s="48"/>
      <c r="EK871" s="48"/>
      <c r="EM871" s="48"/>
      <c r="EO871" s="48"/>
      <c r="EP871" s="48"/>
      <c r="EU871" s="48"/>
      <c r="EV871" s="48"/>
      <c r="EW871" s="48"/>
      <c r="EX871" s="48"/>
      <c r="EY871" s="48"/>
      <c r="EZ871" s="48"/>
      <c r="FA871" s="48"/>
      <c r="FB871" s="48"/>
      <c r="FC871" s="48"/>
      <c r="FD871" s="48"/>
      <c r="FE871" s="48"/>
      <c r="FF871" s="48"/>
      <c r="FG871" s="48"/>
      <c r="FI871" s="48"/>
      <c r="FL871" s="48"/>
      <c r="FM871" s="48"/>
      <c r="FN871" s="48"/>
      <c r="FO871" s="48"/>
      <c r="FP871" s="48"/>
      <c r="FQ871" s="48"/>
      <c r="FR871" s="48"/>
      <c r="FS871" s="48"/>
      <c r="FT871" s="48"/>
      <c r="FU871" s="48"/>
    </row>
    <row r="872" spans="1:177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52"/>
      <c r="BF872" s="48"/>
      <c r="BG872" s="48"/>
      <c r="BI872" s="48"/>
      <c r="BN872" s="48"/>
      <c r="BO872" s="48"/>
      <c r="BR872" s="48"/>
      <c r="BS872" s="48"/>
      <c r="BW872" s="48"/>
      <c r="CA872" s="48"/>
      <c r="CE872" s="48"/>
      <c r="CF872" s="48"/>
      <c r="CG872" s="48"/>
      <c r="CH872" s="48"/>
      <c r="CI872" s="48"/>
      <c r="CJ872" s="48"/>
      <c r="CL872" s="48"/>
      <c r="CM872" s="48"/>
      <c r="CN872" s="48"/>
      <c r="CO872" s="48"/>
      <c r="CP872" s="48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  <c r="DE872" s="48"/>
      <c r="DF872" s="48"/>
      <c r="DG872" s="48"/>
      <c r="DH872" s="48"/>
      <c r="DI872" s="48"/>
      <c r="DJ872" s="48"/>
      <c r="DK872" s="48"/>
      <c r="DL872" s="48"/>
      <c r="DM872" s="48"/>
      <c r="DN872" s="48"/>
      <c r="DO872" s="48"/>
      <c r="DP872" s="48"/>
      <c r="DQ872" s="48"/>
      <c r="DR872" s="48"/>
      <c r="DS872" s="48"/>
      <c r="DT872" s="48"/>
      <c r="DU872" s="48"/>
      <c r="DV872" s="48"/>
      <c r="DW872" s="48"/>
      <c r="DX872" s="48"/>
      <c r="DY872" s="48"/>
      <c r="DZ872" s="48"/>
      <c r="EA872" s="48"/>
      <c r="EC872" s="48"/>
      <c r="ED872" s="48"/>
      <c r="EE872" s="48"/>
      <c r="EF872" s="48"/>
      <c r="EG872" s="48"/>
      <c r="EI872" s="48"/>
      <c r="EK872" s="48"/>
      <c r="EM872" s="48"/>
      <c r="EO872" s="48"/>
      <c r="EP872" s="48"/>
      <c r="EU872" s="48"/>
      <c r="EV872" s="48"/>
      <c r="EW872" s="48"/>
      <c r="EX872" s="48"/>
      <c r="EY872" s="48"/>
      <c r="EZ872" s="48"/>
      <c r="FA872" s="48"/>
      <c r="FB872" s="48"/>
      <c r="FC872" s="48"/>
      <c r="FD872" s="48"/>
      <c r="FE872" s="48"/>
      <c r="FF872" s="48"/>
      <c r="FG872" s="48"/>
      <c r="FI872" s="48"/>
      <c r="FL872" s="48"/>
      <c r="FM872" s="48"/>
      <c r="FN872" s="48"/>
      <c r="FO872" s="48"/>
      <c r="FP872" s="48"/>
      <c r="FQ872" s="48"/>
      <c r="FR872" s="48"/>
      <c r="FS872" s="48"/>
      <c r="FT872" s="48"/>
      <c r="FU872" s="48"/>
    </row>
    <row r="873" spans="1:177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52"/>
      <c r="BF873" s="48"/>
      <c r="BG873" s="48"/>
      <c r="BI873" s="48"/>
      <c r="BN873" s="48"/>
      <c r="BO873" s="48"/>
      <c r="BR873" s="48"/>
      <c r="BS873" s="48"/>
      <c r="BW873" s="48"/>
      <c r="CA873" s="48"/>
      <c r="CE873" s="48"/>
      <c r="CF873" s="48"/>
      <c r="CG873" s="48"/>
      <c r="CH873" s="48"/>
      <c r="CI873" s="48"/>
      <c r="CJ873" s="48"/>
      <c r="CL873" s="48"/>
      <c r="CM873" s="48"/>
      <c r="CN873" s="48"/>
      <c r="CO873" s="48"/>
      <c r="CP873" s="48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  <c r="DE873" s="48"/>
      <c r="DF873" s="48"/>
      <c r="DG873" s="48"/>
      <c r="DH873" s="48"/>
      <c r="DI873" s="48"/>
      <c r="DJ873" s="48"/>
      <c r="DK873" s="48"/>
      <c r="DL873" s="48"/>
      <c r="DM873" s="48"/>
      <c r="DN873" s="48"/>
      <c r="DO873" s="48"/>
      <c r="DP873" s="48"/>
      <c r="DQ873" s="48"/>
      <c r="DR873" s="48"/>
      <c r="DS873" s="48"/>
      <c r="DT873" s="48"/>
      <c r="DU873" s="48"/>
      <c r="DV873" s="48"/>
      <c r="DW873" s="48"/>
      <c r="DX873" s="48"/>
      <c r="DY873" s="48"/>
      <c r="DZ873" s="48"/>
      <c r="EA873" s="48"/>
      <c r="EC873" s="48"/>
      <c r="ED873" s="48"/>
      <c r="EE873" s="48"/>
      <c r="EF873" s="48"/>
      <c r="EG873" s="48"/>
      <c r="EI873" s="48"/>
      <c r="EK873" s="48"/>
      <c r="EM873" s="48"/>
      <c r="EO873" s="48"/>
      <c r="EP873" s="48"/>
      <c r="EU873" s="48"/>
      <c r="EV873" s="48"/>
      <c r="EW873" s="48"/>
      <c r="EX873" s="48"/>
      <c r="EY873" s="48"/>
      <c r="EZ873" s="48"/>
      <c r="FA873" s="48"/>
      <c r="FB873" s="48"/>
      <c r="FC873" s="48"/>
      <c r="FD873" s="48"/>
      <c r="FE873" s="48"/>
      <c r="FF873" s="48"/>
      <c r="FG873" s="48"/>
      <c r="FI873" s="48"/>
      <c r="FL873" s="48"/>
      <c r="FM873" s="48"/>
      <c r="FN873" s="48"/>
      <c r="FO873" s="48"/>
      <c r="FP873" s="48"/>
      <c r="FQ873" s="48"/>
      <c r="FR873" s="48"/>
      <c r="FS873" s="48"/>
      <c r="FT873" s="48"/>
      <c r="FU873" s="48"/>
    </row>
    <row r="874" spans="1:177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52"/>
      <c r="BF874" s="48"/>
      <c r="BG874" s="48"/>
      <c r="BI874" s="48"/>
      <c r="BN874" s="48"/>
      <c r="BO874" s="48"/>
      <c r="BR874" s="48"/>
      <c r="BS874" s="48"/>
      <c r="BW874" s="48"/>
      <c r="CA874" s="48"/>
      <c r="CE874" s="48"/>
      <c r="CF874" s="48"/>
      <c r="CG874" s="48"/>
      <c r="CH874" s="48"/>
      <c r="CI874" s="48"/>
      <c r="CJ874" s="48"/>
      <c r="CL874" s="48"/>
      <c r="CM874" s="48"/>
      <c r="CN874" s="48"/>
      <c r="CO874" s="48"/>
      <c r="CP874" s="48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8"/>
      <c r="DN874" s="48"/>
      <c r="DO874" s="48"/>
      <c r="DP874" s="48"/>
      <c r="DQ874" s="48"/>
      <c r="DR874" s="48"/>
      <c r="DS874" s="48"/>
      <c r="DT874" s="48"/>
      <c r="DU874" s="48"/>
      <c r="DV874" s="48"/>
      <c r="DW874" s="48"/>
      <c r="DX874" s="48"/>
      <c r="DY874" s="48"/>
      <c r="DZ874" s="48"/>
      <c r="EA874" s="48"/>
      <c r="EC874" s="48"/>
      <c r="ED874" s="48"/>
      <c r="EE874" s="48"/>
      <c r="EF874" s="48"/>
      <c r="EG874" s="48"/>
      <c r="EI874" s="48"/>
      <c r="EK874" s="48"/>
      <c r="EM874" s="48"/>
      <c r="EO874" s="48"/>
      <c r="EP874" s="48"/>
      <c r="EU874" s="48"/>
      <c r="EV874" s="48"/>
      <c r="EW874" s="48"/>
      <c r="EX874" s="48"/>
      <c r="EY874" s="48"/>
      <c r="EZ874" s="48"/>
      <c r="FA874" s="48"/>
      <c r="FB874" s="48"/>
      <c r="FC874" s="48"/>
      <c r="FD874" s="48"/>
      <c r="FE874" s="48"/>
      <c r="FF874" s="48"/>
      <c r="FG874" s="48"/>
      <c r="FI874" s="48"/>
      <c r="FL874" s="48"/>
      <c r="FM874" s="48"/>
      <c r="FN874" s="48"/>
      <c r="FO874" s="48"/>
      <c r="FP874" s="48"/>
      <c r="FQ874" s="48"/>
      <c r="FR874" s="48"/>
      <c r="FS874" s="48"/>
      <c r="FT874" s="48"/>
      <c r="FU874" s="48"/>
    </row>
    <row r="875" spans="1:177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52"/>
      <c r="BF875" s="48"/>
      <c r="BG875" s="48"/>
      <c r="BI875" s="48"/>
      <c r="BN875" s="48"/>
      <c r="BO875" s="48"/>
      <c r="BR875" s="48"/>
      <c r="BS875" s="48"/>
      <c r="BW875" s="48"/>
      <c r="CA875" s="48"/>
      <c r="CE875" s="48"/>
      <c r="CF875" s="48"/>
      <c r="CG875" s="48"/>
      <c r="CH875" s="48"/>
      <c r="CI875" s="48"/>
      <c r="CJ875" s="48"/>
      <c r="CL875" s="48"/>
      <c r="CM875" s="48"/>
      <c r="CN875" s="48"/>
      <c r="CO875" s="48"/>
      <c r="CP875" s="48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  <c r="DD875" s="48"/>
      <c r="DE875" s="48"/>
      <c r="DF875" s="48"/>
      <c r="DG875" s="48"/>
      <c r="DH875" s="48"/>
      <c r="DI875" s="48"/>
      <c r="DJ875" s="48"/>
      <c r="DK875" s="48"/>
      <c r="DL875" s="48"/>
      <c r="DM875" s="48"/>
      <c r="DN875" s="48"/>
      <c r="DO875" s="48"/>
      <c r="DP875" s="48"/>
      <c r="DQ875" s="48"/>
      <c r="DR875" s="48"/>
      <c r="DS875" s="48"/>
      <c r="DT875" s="48"/>
      <c r="DU875" s="48"/>
      <c r="DV875" s="48"/>
      <c r="DW875" s="48"/>
      <c r="DX875" s="48"/>
      <c r="DY875" s="48"/>
      <c r="DZ875" s="48"/>
      <c r="EA875" s="48"/>
      <c r="EC875" s="48"/>
      <c r="ED875" s="48"/>
      <c r="EE875" s="48"/>
      <c r="EF875" s="48"/>
      <c r="EG875" s="48"/>
      <c r="EI875" s="48"/>
      <c r="EK875" s="48"/>
      <c r="EM875" s="48"/>
      <c r="EO875" s="48"/>
      <c r="EP875" s="48"/>
      <c r="EU875" s="48"/>
      <c r="EV875" s="48"/>
      <c r="EW875" s="48"/>
      <c r="EX875" s="48"/>
      <c r="EY875" s="48"/>
      <c r="EZ875" s="48"/>
      <c r="FA875" s="48"/>
      <c r="FB875" s="48"/>
      <c r="FC875" s="48"/>
      <c r="FD875" s="48"/>
      <c r="FE875" s="48"/>
      <c r="FF875" s="48"/>
      <c r="FG875" s="48"/>
      <c r="FI875" s="48"/>
      <c r="FL875" s="48"/>
      <c r="FM875" s="48"/>
      <c r="FN875" s="48"/>
      <c r="FO875" s="48"/>
      <c r="FP875" s="48"/>
      <c r="FQ875" s="48"/>
      <c r="FR875" s="48"/>
      <c r="FS875" s="48"/>
      <c r="FT875" s="48"/>
      <c r="FU875" s="48"/>
    </row>
    <row r="876" spans="1:177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52"/>
      <c r="BF876" s="48"/>
      <c r="BG876" s="48"/>
      <c r="BI876" s="48"/>
      <c r="BN876" s="48"/>
      <c r="BO876" s="48"/>
      <c r="BR876" s="48"/>
      <c r="BS876" s="48"/>
      <c r="BW876" s="48"/>
      <c r="CA876" s="48"/>
      <c r="CE876" s="48"/>
      <c r="CF876" s="48"/>
      <c r="CG876" s="48"/>
      <c r="CH876" s="48"/>
      <c r="CI876" s="48"/>
      <c r="CJ876" s="48"/>
      <c r="CL876" s="48"/>
      <c r="CM876" s="48"/>
      <c r="CN876" s="48"/>
      <c r="CO876" s="48"/>
      <c r="CP876" s="48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  <c r="DE876" s="48"/>
      <c r="DF876" s="48"/>
      <c r="DG876" s="48"/>
      <c r="DH876" s="48"/>
      <c r="DI876" s="48"/>
      <c r="DJ876" s="48"/>
      <c r="DK876" s="48"/>
      <c r="DL876" s="48"/>
      <c r="DM876" s="48"/>
      <c r="DN876" s="48"/>
      <c r="DO876" s="48"/>
      <c r="DP876" s="48"/>
      <c r="DQ876" s="48"/>
      <c r="DR876" s="48"/>
      <c r="DS876" s="48"/>
      <c r="DT876" s="48"/>
      <c r="DU876" s="48"/>
      <c r="DV876" s="48"/>
      <c r="DW876" s="48"/>
      <c r="DX876" s="48"/>
      <c r="DY876" s="48"/>
      <c r="DZ876" s="48"/>
      <c r="EA876" s="48"/>
      <c r="EC876" s="48"/>
      <c r="ED876" s="48"/>
      <c r="EE876" s="48"/>
      <c r="EF876" s="48"/>
      <c r="EG876" s="48"/>
      <c r="EI876" s="48"/>
      <c r="EK876" s="48"/>
      <c r="EM876" s="48"/>
      <c r="EO876" s="48"/>
      <c r="EP876" s="48"/>
      <c r="EU876" s="48"/>
      <c r="EV876" s="48"/>
      <c r="EW876" s="48"/>
      <c r="EX876" s="48"/>
      <c r="EY876" s="48"/>
      <c r="EZ876" s="48"/>
      <c r="FA876" s="48"/>
      <c r="FB876" s="48"/>
      <c r="FC876" s="48"/>
      <c r="FD876" s="48"/>
      <c r="FE876" s="48"/>
      <c r="FF876" s="48"/>
      <c r="FG876" s="48"/>
      <c r="FI876" s="48"/>
      <c r="FL876" s="48"/>
      <c r="FM876" s="48"/>
      <c r="FN876" s="48"/>
      <c r="FO876" s="48"/>
      <c r="FP876" s="48"/>
      <c r="FQ876" s="48"/>
      <c r="FR876" s="48"/>
      <c r="FS876" s="48"/>
      <c r="FT876" s="48"/>
      <c r="FU876" s="48"/>
    </row>
    <row r="877" spans="1:1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52"/>
      <c r="BF877" s="48"/>
      <c r="BG877" s="48"/>
      <c r="BI877" s="48"/>
      <c r="BN877" s="48"/>
      <c r="BO877" s="48"/>
      <c r="BR877" s="48"/>
      <c r="BS877" s="48"/>
      <c r="BW877" s="48"/>
      <c r="CA877" s="48"/>
      <c r="CE877" s="48"/>
      <c r="CF877" s="48"/>
      <c r="CG877" s="48"/>
      <c r="CH877" s="48"/>
      <c r="CI877" s="48"/>
      <c r="CJ877" s="48"/>
      <c r="CL877" s="48"/>
      <c r="CM877" s="48"/>
      <c r="CN877" s="48"/>
      <c r="CO877" s="48"/>
      <c r="CP877" s="48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8"/>
      <c r="DN877" s="48"/>
      <c r="DO877" s="48"/>
      <c r="DP877" s="48"/>
      <c r="DQ877" s="48"/>
      <c r="DR877" s="48"/>
      <c r="DS877" s="48"/>
      <c r="DT877" s="48"/>
      <c r="DU877" s="48"/>
      <c r="DV877" s="48"/>
      <c r="DW877" s="48"/>
      <c r="DX877" s="48"/>
      <c r="DY877" s="48"/>
      <c r="DZ877" s="48"/>
      <c r="EA877" s="48"/>
      <c r="EC877" s="48"/>
      <c r="ED877" s="48"/>
      <c r="EE877" s="48"/>
      <c r="EF877" s="48"/>
      <c r="EG877" s="48"/>
      <c r="EI877" s="48"/>
      <c r="EK877" s="48"/>
      <c r="EM877" s="48"/>
      <c r="EO877" s="48"/>
      <c r="EP877" s="48"/>
      <c r="EU877" s="48"/>
      <c r="EV877" s="48"/>
      <c r="EW877" s="48"/>
      <c r="EX877" s="48"/>
      <c r="EY877" s="48"/>
      <c r="EZ877" s="48"/>
      <c r="FA877" s="48"/>
      <c r="FB877" s="48"/>
      <c r="FC877" s="48"/>
      <c r="FD877" s="48"/>
      <c r="FE877" s="48"/>
      <c r="FF877" s="48"/>
      <c r="FG877" s="48"/>
      <c r="FI877" s="48"/>
      <c r="FL877" s="48"/>
      <c r="FM877" s="48"/>
      <c r="FN877" s="48"/>
      <c r="FO877" s="48"/>
      <c r="FP877" s="48"/>
      <c r="FQ877" s="48"/>
      <c r="FR877" s="48"/>
      <c r="FS877" s="48"/>
      <c r="FT877" s="48"/>
      <c r="FU877" s="48"/>
    </row>
    <row r="878" spans="1:177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52"/>
      <c r="BF878" s="48"/>
      <c r="BG878" s="48"/>
      <c r="BI878" s="48"/>
      <c r="BN878" s="48"/>
      <c r="BO878" s="48"/>
      <c r="BR878" s="48"/>
      <c r="BS878" s="48"/>
      <c r="BW878" s="48"/>
      <c r="CA878" s="48"/>
      <c r="CE878" s="48"/>
      <c r="CF878" s="48"/>
      <c r="CG878" s="48"/>
      <c r="CH878" s="48"/>
      <c r="CI878" s="48"/>
      <c r="CJ878" s="48"/>
      <c r="CL878" s="48"/>
      <c r="CM878" s="48"/>
      <c r="CN878" s="48"/>
      <c r="CO878" s="48"/>
      <c r="CP878" s="48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  <c r="DD878" s="48"/>
      <c r="DE878" s="48"/>
      <c r="DF878" s="48"/>
      <c r="DG878" s="48"/>
      <c r="DH878" s="48"/>
      <c r="DI878" s="48"/>
      <c r="DJ878" s="48"/>
      <c r="DK878" s="48"/>
      <c r="DL878" s="48"/>
      <c r="DM878" s="48"/>
      <c r="DN878" s="48"/>
      <c r="DO878" s="48"/>
      <c r="DP878" s="48"/>
      <c r="DQ878" s="48"/>
      <c r="DR878" s="48"/>
      <c r="DS878" s="48"/>
      <c r="DT878" s="48"/>
      <c r="DU878" s="48"/>
      <c r="DV878" s="48"/>
      <c r="DW878" s="48"/>
      <c r="DX878" s="48"/>
      <c r="DY878" s="48"/>
      <c r="DZ878" s="48"/>
      <c r="EA878" s="48"/>
      <c r="EC878" s="48"/>
      <c r="ED878" s="48"/>
      <c r="EE878" s="48"/>
      <c r="EF878" s="48"/>
      <c r="EG878" s="48"/>
      <c r="EI878" s="48"/>
      <c r="EK878" s="48"/>
      <c r="EM878" s="48"/>
      <c r="EO878" s="48"/>
      <c r="EP878" s="48"/>
      <c r="EU878" s="48"/>
      <c r="EV878" s="48"/>
      <c r="EW878" s="48"/>
      <c r="EX878" s="48"/>
      <c r="EY878" s="48"/>
      <c r="EZ878" s="48"/>
      <c r="FA878" s="48"/>
      <c r="FB878" s="48"/>
      <c r="FC878" s="48"/>
      <c r="FD878" s="48"/>
      <c r="FE878" s="48"/>
      <c r="FF878" s="48"/>
      <c r="FG878" s="48"/>
      <c r="FI878" s="48"/>
      <c r="FL878" s="48"/>
      <c r="FM878" s="48"/>
      <c r="FN878" s="48"/>
      <c r="FO878" s="48"/>
      <c r="FP878" s="48"/>
      <c r="FQ878" s="48"/>
      <c r="FR878" s="48"/>
      <c r="FS878" s="48"/>
      <c r="FT878" s="48"/>
      <c r="FU878" s="48"/>
    </row>
    <row r="879" spans="1:177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52"/>
      <c r="BF879" s="48"/>
      <c r="BG879" s="48"/>
      <c r="BI879" s="48"/>
      <c r="BN879" s="48"/>
      <c r="BO879" s="48"/>
      <c r="BR879" s="48"/>
      <c r="BS879" s="48"/>
      <c r="BW879" s="48"/>
      <c r="CA879" s="48"/>
      <c r="CE879" s="48"/>
      <c r="CF879" s="48"/>
      <c r="CG879" s="48"/>
      <c r="CH879" s="48"/>
      <c r="CI879" s="48"/>
      <c r="CJ879" s="48"/>
      <c r="CL879" s="48"/>
      <c r="CM879" s="48"/>
      <c r="CN879" s="48"/>
      <c r="CO879" s="48"/>
      <c r="CP879" s="48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  <c r="DD879" s="48"/>
      <c r="DE879" s="48"/>
      <c r="DF879" s="48"/>
      <c r="DG879" s="48"/>
      <c r="DH879" s="48"/>
      <c r="DI879" s="48"/>
      <c r="DJ879" s="48"/>
      <c r="DK879" s="48"/>
      <c r="DL879" s="48"/>
      <c r="DM879" s="48"/>
      <c r="DN879" s="48"/>
      <c r="DO879" s="48"/>
      <c r="DP879" s="48"/>
      <c r="DQ879" s="48"/>
      <c r="DR879" s="48"/>
      <c r="DS879" s="48"/>
      <c r="DT879" s="48"/>
      <c r="DU879" s="48"/>
      <c r="DV879" s="48"/>
      <c r="DW879" s="48"/>
      <c r="DX879" s="48"/>
      <c r="DY879" s="48"/>
      <c r="DZ879" s="48"/>
      <c r="EA879" s="48"/>
      <c r="EC879" s="48"/>
      <c r="ED879" s="48"/>
      <c r="EE879" s="48"/>
      <c r="EF879" s="48"/>
      <c r="EG879" s="48"/>
      <c r="EI879" s="48"/>
      <c r="EK879" s="48"/>
      <c r="EM879" s="48"/>
      <c r="EO879" s="48"/>
      <c r="EP879" s="48"/>
      <c r="EU879" s="48"/>
      <c r="EV879" s="48"/>
      <c r="EW879" s="48"/>
      <c r="EX879" s="48"/>
      <c r="EY879" s="48"/>
      <c r="EZ879" s="48"/>
      <c r="FA879" s="48"/>
      <c r="FB879" s="48"/>
      <c r="FC879" s="48"/>
      <c r="FD879" s="48"/>
      <c r="FE879" s="48"/>
      <c r="FF879" s="48"/>
      <c r="FG879" s="48"/>
      <c r="FI879" s="48"/>
      <c r="FL879" s="48"/>
      <c r="FM879" s="48"/>
      <c r="FN879" s="48"/>
      <c r="FO879" s="48"/>
      <c r="FP879" s="48"/>
      <c r="FQ879" s="48"/>
      <c r="FR879" s="48"/>
      <c r="FS879" s="48"/>
      <c r="FT879" s="48"/>
      <c r="FU879" s="48"/>
    </row>
    <row r="880" spans="1:177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52"/>
      <c r="BF880" s="48"/>
      <c r="BG880" s="48"/>
      <c r="BI880" s="48"/>
      <c r="BN880" s="48"/>
      <c r="BO880" s="48"/>
      <c r="BR880" s="48"/>
      <c r="BS880" s="48"/>
      <c r="BW880" s="48"/>
      <c r="CA880" s="48"/>
      <c r="CE880" s="48"/>
      <c r="CF880" s="48"/>
      <c r="CG880" s="48"/>
      <c r="CH880" s="48"/>
      <c r="CI880" s="48"/>
      <c r="CJ880" s="48"/>
      <c r="CL880" s="48"/>
      <c r="CM880" s="48"/>
      <c r="CN880" s="48"/>
      <c r="CO880" s="48"/>
      <c r="CP880" s="48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8"/>
      <c r="DN880" s="48"/>
      <c r="DO880" s="48"/>
      <c r="DP880" s="48"/>
      <c r="DQ880" s="48"/>
      <c r="DR880" s="48"/>
      <c r="DS880" s="48"/>
      <c r="DT880" s="48"/>
      <c r="DU880" s="48"/>
      <c r="DV880" s="48"/>
      <c r="DW880" s="48"/>
      <c r="DX880" s="48"/>
      <c r="DY880" s="48"/>
      <c r="DZ880" s="48"/>
      <c r="EA880" s="48"/>
      <c r="EC880" s="48"/>
      <c r="ED880" s="48"/>
      <c r="EE880" s="48"/>
      <c r="EF880" s="48"/>
      <c r="EG880" s="48"/>
      <c r="EI880" s="48"/>
      <c r="EK880" s="48"/>
      <c r="EM880" s="48"/>
      <c r="EO880" s="48"/>
      <c r="EP880" s="48"/>
      <c r="EU880" s="48"/>
      <c r="EV880" s="48"/>
      <c r="EW880" s="48"/>
      <c r="EX880" s="48"/>
      <c r="EY880" s="48"/>
      <c r="EZ880" s="48"/>
      <c r="FA880" s="48"/>
      <c r="FB880" s="48"/>
      <c r="FC880" s="48"/>
      <c r="FD880" s="48"/>
      <c r="FE880" s="48"/>
      <c r="FF880" s="48"/>
      <c r="FG880" s="48"/>
      <c r="FI880" s="48"/>
      <c r="FL880" s="48"/>
      <c r="FM880" s="48"/>
      <c r="FN880" s="48"/>
      <c r="FO880" s="48"/>
      <c r="FP880" s="48"/>
      <c r="FQ880" s="48"/>
      <c r="FR880" s="48"/>
      <c r="FS880" s="48"/>
      <c r="FT880" s="48"/>
      <c r="FU880" s="48"/>
    </row>
    <row r="881" spans="1:177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52"/>
      <c r="BF881" s="48"/>
      <c r="BG881" s="48"/>
      <c r="BI881" s="48"/>
      <c r="BN881" s="48"/>
      <c r="BO881" s="48"/>
      <c r="BR881" s="48"/>
      <c r="BS881" s="48"/>
      <c r="BW881" s="48"/>
      <c r="CA881" s="48"/>
      <c r="CE881" s="48"/>
      <c r="CF881" s="48"/>
      <c r="CG881" s="48"/>
      <c r="CH881" s="48"/>
      <c r="CI881" s="48"/>
      <c r="CJ881" s="48"/>
      <c r="CL881" s="48"/>
      <c r="CM881" s="48"/>
      <c r="CN881" s="48"/>
      <c r="CO881" s="48"/>
      <c r="CP881" s="48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  <c r="DE881" s="48"/>
      <c r="DF881" s="48"/>
      <c r="DG881" s="48"/>
      <c r="DH881" s="48"/>
      <c r="DI881" s="48"/>
      <c r="DJ881" s="48"/>
      <c r="DK881" s="48"/>
      <c r="DL881" s="48"/>
      <c r="DM881" s="48"/>
      <c r="DN881" s="48"/>
      <c r="DO881" s="48"/>
      <c r="DP881" s="48"/>
      <c r="DQ881" s="48"/>
      <c r="DR881" s="48"/>
      <c r="DS881" s="48"/>
      <c r="DT881" s="48"/>
      <c r="DU881" s="48"/>
      <c r="DV881" s="48"/>
      <c r="DW881" s="48"/>
      <c r="DX881" s="48"/>
      <c r="DY881" s="48"/>
      <c r="DZ881" s="48"/>
      <c r="EA881" s="48"/>
      <c r="EC881" s="48"/>
      <c r="ED881" s="48"/>
      <c r="EE881" s="48"/>
      <c r="EF881" s="48"/>
      <c r="EG881" s="48"/>
      <c r="EI881" s="48"/>
      <c r="EK881" s="48"/>
      <c r="EM881" s="48"/>
      <c r="EO881" s="48"/>
      <c r="EP881" s="48"/>
      <c r="EU881" s="48"/>
      <c r="EV881" s="48"/>
      <c r="EW881" s="48"/>
      <c r="EX881" s="48"/>
      <c r="EY881" s="48"/>
      <c r="EZ881" s="48"/>
      <c r="FA881" s="48"/>
      <c r="FB881" s="48"/>
      <c r="FC881" s="48"/>
      <c r="FD881" s="48"/>
      <c r="FE881" s="48"/>
      <c r="FF881" s="48"/>
      <c r="FG881" s="48"/>
      <c r="FI881" s="48"/>
      <c r="FL881" s="48"/>
      <c r="FM881" s="48"/>
      <c r="FN881" s="48"/>
      <c r="FO881" s="48"/>
      <c r="FP881" s="48"/>
      <c r="FQ881" s="48"/>
      <c r="FR881" s="48"/>
      <c r="FS881" s="48"/>
      <c r="FT881" s="48"/>
      <c r="FU881" s="48"/>
    </row>
    <row r="882" spans="1:177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52"/>
      <c r="BF882" s="48"/>
      <c r="BG882" s="48"/>
      <c r="BI882" s="48"/>
      <c r="BN882" s="48"/>
      <c r="BO882" s="48"/>
      <c r="BR882" s="48"/>
      <c r="BS882" s="48"/>
      <c r="BW882" s="48"/>
      <c r="CA882" s="48"/>
      <c r="CE882" s="48"/>
      <c r="CF882" s="48"/>
      <c r="CG882" s="48"/>
      <c r="CH882" s="48"/>
      <c r="CI882" s="48"/>
      <c r="CJ882" s="48"/>
      <c r="CL882" s="48"/>
      <c r="CM882" s="48"/>
      <c r="CN882" s="48"/>
      <c r="CO882" s="48"/>
      <c r="CP882" s="48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  <c r="DD882" s="48"/>
      <c r="DE882" s="48"/>
      <c r="DF882" s="48"/>
      <c r="DG882" s="48"/>
      <c r="DH882" s="48"/>
      <c r="DI882" s="48"/>
      <c r="DJ882" s="48"/>
      <c r="DK882" s="48"/>
      <c r="DL882" s="48"/>
      <c r="DM882" s="48"/>
      <c r="DN882" s="48"/>
      <c r="DO882" s="48"/>
      <c r="DP882" s="48"/>
      <c r="DQ882" s="48"/>
      <c r="DR882" s="48"/>
      <c r="DS882" s="48"/>
      <c r="DT882" s="48"/>
      <c r="DU882" s="48"/>
      <c r="DV882" s="48"/>
      <c r="DW882" s="48"/>
      <c r="DX882" s="48"/>
      <c r="DY882" s="48"/>
      <c r="DZ882" s="48"/>
      <c r="EA882" s="48"/>
      <c r="EC882" s="48"/>
      <c r="ED882" s="48"/>
      <c r="EE882" s="48"/>
      <c r="EF882" s="48"/>
      <c r="EG882" s="48"/>
      <c r="EI882" s="48"/>
      <c r="EK882" s="48"/>
      <c r="EM882" s="48"/>
      <c r="EO882" s="48"/>
      <c r="EP882" s="48"/>
      <c r="EU882" s="48"/>
      <c r="EV882" s="48"/>
      <c r="EW882" s="48"/>
      <c r="EX882" s="48"/>
      <c r="EY882" s="48"/>
      <c r="EZ882" s="48"/>
      <c r="FA882" s="48"/>
      <c r="FB882" s="48"/>
      <c r="FC882" s="48"/>
      <c r="FD882" s="48"/>
      <c r="FE882" s="48"/>
      <c r="FF882" s="48"/>
      <c r="FG882" s="48"/>
      <c r="FI882" s="48"/>
      <c r="FL882" s="48"/>
      <c r="FM882" s="48"/>
      <c r="FN882" s="48"/>
      <c r="FO882" s="48"/>
      <c r="FP882" s="48"/>
      <c r="FQ882" s="48"/>
      <c r="FR882" s="48"/>
      <c r="FS882" s="48"/>
      <c r="FT882" s="48"/>
      <c r="FU882" s="48"/>
    </row>
    <row r="883" spans="1:177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52"/>
      <c r="BF883" s="48"/>
      <c r="BG883" s="48"/>
      <c r="BI883" s="48"/>
      <c r="BN883" s="48"/>
      <c r="BO883" s="48"/>
      <c r="BR883" s="48"/>
      <c r="BS883" s="48"/>
      <c r="BW883" s="48"/>
      <c r="CA883" s="48"/>
      <c r="CE883" s="48"/>
      <c r="CF883" s="48"/>
      <c r="CG883" s="48"/>
      <c r="CH883" s="48"/>
      <c r="CI883" s="48"/>
      <c r="CJ883" s="48"/>
      <c r="CL883" s="48"/>
      <c r="CM883" s="48"/>
      <c r="CN883" s="48"/>
      <c r="CO883" s="48"/>
      <c r="CP883" s="48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  <c r="DE883" s="48"/>
      <c r="DF883" s="48"/>
      <c r="DG883" s="48"/>
      <c r="DH883" s="48"/>
      <c r="DI883" s="48"/>
      <c r="DJ883" s="48"/>
      <c r="DK883" s="48"/>
      <c r="DL883" s="48"/>
      <c r="DM883" s="48"/>
      <c r="DN883" s="48"/>
      <c r="DO883" s="48"/>
      <c r="DP883" s="48"/>
      <c r="DQ883" s="48"/>
      <c r="DR883" s="48"/>
      <c r="DS883" s="48"/>
      <c r="DT883" s="48"/>
      <c r="DU883" s="48"/>
      <c r="DV883" s="48"/>
      <c r="DW883" s="48"/>
      <c r="DX883" s="48"/>
      <c r="DY883" s="48"/>
      <c r="DZ883" s="48"/>
      <c r="EA883" s="48"/>
      <c r="EC883" s="48"/>
      <c r="ED883" s="48"/>
      <c r="EE883" s="48"/>
      <c r="EF883" s="48"/>
      <c r="EG883" s="48"/>
      <c r="EI883" s="48"/>
      <c r="EK883" s="48"/>
      <c r="EM883" s="48"/>
      <c r="EO883" s="48"/>
      <c r="EP883" s="48"/>
      <c r="EU883" s="48"/>
      <c r="EV883" s="48"/>
      <c r="EW883" s="48"/>
      <c r="EX883" s="48"/>
      <c r="EY883" s="48"/>
      <c r="EZ883" s="48"/>
      <c r="FA883" s="48"/>
      <c r="FB883" s="48"/>
      <c r="FC883" s="48"/>
      <c r="FD883" s="48"/>
      <c r="FE883" s="48"/>
      <c r="FF883" s="48"/>
      <c r="FG883" s="48"/>
      <c r="FI883" s="48"/>
      <c r="FL883" s="48"/>
      <c r="FM883" s="48"/>
      <c r="FN883" s="48"/>
      <c r="FO883" s="48"/>
      <c r="FP883" s="48"/>
      <c r="FQ883" s="48"/>
      <c r="FR883" s="48"/>
      <c r="FS883" s="48"/>
      <c r="FT883" s="48"/>
      <c r="FU883" s="48"/>
    </row>
    <row r="884" spans="1:177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52"/>
      <c r="BF884" s="48"/>
      <c r="BG884" s="48"/>
      <c r="BI884" s="48"/>
      <c r="BN884" s="48"/>
      <c r="BO884" s="48"/>
      <c r="BR884" s="48"/>
      <c r="BS884" s="48"/>
      <c r="BW884" s="48"/>
      <c r="CA884" s="48"/>
      <c r="CE884" s="48"/>
      <c r="CF884" s="48"/>
      <c r="CG884" s="48"/>
      <c r="CH884" s="48"/>
      <c r="CI884" s="48"/>
      <c r="CJ884" s="48"/>
      <c r="CL884" s="48"/>
      <c r="CM884" s="48"/>
      <c r="CN884" s="48"/>
      <c r="CO884" s="48"/>
      <c r="CP884" s="48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  <c r="DD884" s="48"/>
      <c r="DE884" s="48"/>
      <c r="DF884" s="48"/>
      <c r="DG884" s="48"/>
      <c r="DH884" s="48"/>
      <c r="DI884" s="48"/>
      <c r="DJ884" s="48"/>
      <c r="DK884" s="48"/>
      <c r="DL884" s="48"/>
      <c r="DM884" s="48"/>
      <c r="DN884" s="48"/>
      <c r="DO884" s="48"/>
      <c r="DP884" s="48"/>
      <c r="DQ884" s="48"/>
      <c r="DR884" s="48"/>
      <c r="DS884" s="48"/>
      <c r="DT884" s="48"/>
      <c r="DU884" s="48"/>
      <c r="DV884" s="48"/>
      <c r="DW884" s="48"/>
      <c r="DX884" s="48"/>
      <c r="DY884" s="48"/>
      <c r="DZ884" s="48"/>
      <c r="EA884" s="48"/>
      <c r="EC884" s="48"/>
      <c r="ED884" s="48"/>
      <c r="EE884" s="48"/>
      <c r="EF884" s="48"/>
      <c r="EG884" s="48"/>
      <c r="EI884" s="48"/>
      <c r="EK884" s="48"/>
      <c r="EM884" s="48"/>
      <c r="EO884" s="48"/>
      <c r="EP884" s="48"/>
      <c r="EU884" s="48"/>
      <c r="EV884" s="48"/>
      <c r="EW884" s="48"/>
      <c r="EX884" s="48"/>
      <c r="EY884" s="48"/>
      <c r="EZ884" s="48"/>
      <c r="FA884" s="48"/>
      <c r="FB884" s="48"/>
      <c r="FC884" s="48"/>
      <c r="FD884" s="48"/>
      <c r="FE884" s="48"/>
      <c r="FF884" s="48"/>
      <c r="FG884" s="48"/>
      <c r="FI884" s="48"/>
      <c r="FL884" s="48"/>
      <c r="FM884" s="48"/>
      <c r="FN884" s="48"/>
      <c r="FO884" s="48"/>
      <c r="FP884" s="48"/>
      <c r="FQ884" s="48"/>
      <c r="FR884" s="48"/>
      <c r="FS884" s="48"/>
      <c r="FT884" s="48"/>
      <c r="FU884" s="48"/>
    </row>
    <row r="885" spans="1:177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52"/>
      <c r="BF885" s="48"/>
      <c r="BG885" s="48"/>
      <c r="BI885" s="48"/>
      <c r="BN885" s="48"/>
      <c r="BO885" s="48"/>
      <c r="BR885" s="48"/>
      <c r="BS885" s="48"/>
      <c r="BW885" s="48"/>
      <c r="CA885" s="48"/>
      <c r="CE885" s="48"/>
      <c r="CF885" s="48"/>
      <c r="CG885" s="48"/>
      <c r="CH885" s="48"/>
      <c r="CI885" s="48"/>
      <c r="CJ885" s="48"/>
      <c r="CL885" s="48"/>
      <c r="CM885" s="48"/>
      <c r="CN885" s="48"/>
      <c r="CO885" s="48"/>
      <c r="CP885" s="48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  <c r="DE885" s="48"/>
      <c r="DF885" s="48"/>
      <c r="DG885" s="48"/>
      <c r="DH885" s="48"/>
      <c r="DI885" s="48"/>
      <c r="DJ885" s="48"/>
      <c r="DK885" s="48"/>
      <c r="DL885" s="48"/>
      <c r="DM885" s="48"/>
      <c r="DN885" s="48"/>
      <c r="DO885" s="48"/>
      <c r="DP885" s="48"/>
      <c r="DQ885" s="48"/>
      <c r="DR885" s="48"/>
      <c r="DS885" s="48"/>
      <c r="DT885" s="48"/>
      <c r="DU885" s="48"/>
      <c r="DV885" s="48"/>
      <c r="DW885" s="48"/>
      <c r="DX885" s="48"/>
      <c r="DY885" s="48"/>
      <c r="DZ885" s="48"/>
      <c r="EA885" s="48"/>
      <c r="EC885" s="48"/>
      <c r="ED885" s="48"/>
      <c r="EE885" s="48"/>
      <c r="EF885" s="48"/>
      <c r="EG885" s="48"/>
      <c r="EI885" s="48"/>
      <c r="EK885" s="48"/>
      <c r="EM885" s="48"/>
      <c r="EO885" s="48"/>
      <c r="EP885" s="48"/>
      <c r="EU885" s="48"/>
      <c r="EV885" s="48"/>
      <c r="EW885" s="48"/>
      <c r="EX885" s="48"/>
      <c r="EY885" s="48"/>
      <c r="EZ885" s="48"/>
      <c r="FA885" s="48"/>
      <c r="FB885" s="48"/>
      <c r="FC885" s="48"/>
      <c r="FD885" s="48"/>
      <c r="FE885" s="48"/>
      <c r="FF885" s="48"/>
      <c r="FG885" s="48"/>
      <c r="FI885" s="48"/>
      <c r="FL885" s="48"/>
      <c r="FM885" s="48"/>
      <c r="FN885" s="48"/>
      <c r="FO885" s="48"/>
      <c r="FP885" s="48"/>
      <c r="FQ885" s="48"/>
      <c r="FR885" s="48"/>
      <c r="FS885" s="48"/>
      <c r="FT885" s="48"/>
      <c r="FU885" s="48"/>
    </row>
    <row r="886" spans="1:177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52"/>
      <c r="BF886" s="48"/>
      <c r="BG886" s="48"/>
      <c r="BI886" s="48"/>
      <c r="BN886" s="48"/>
      <c r="BO886" s="48"/>
      <c r="BR886" s="48"/>
      <c r="BS886" s="48"/>
      <c r="BW886" s="48"/>
      <c r="CA886" s="48"/>
      <c r="CE886" s="48"/>
      <c r="CF886" s="48"/>
      <c r="CG886" s="48"/>
      <c r="CH886" s="48"/>
      <c r="CI886" s="48"/>
      <c r="CJ886" s="48"/>
      <c r="CL886" s="48"/>
      <c r="CM886" s="48"/>
      <c r="CN886" s="48"/>
      <c r="CO886" s="48"/>
      <c r="CP886" s="48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8"/>
      <c r="DN886" s="48"/>
      <c r="DO886" s="48"/>
      <c r="DP886" s="48"/>
      <c r="DQ886" s="48"/>
      <c r="DR886" s="48"/>
      <c r="DS886" s="48"/>
      <c r="DT886" s="48"/>
      <c r="DU886" s="48"/>
      <c r="DV886" s="48"/>
      <c r="DW886" s="48"/>
      <c r="DX886" s="48"/>
      <c r="DY886" s="48"/>
      <c r="DZ886" s="48"/>
      <c r="EA886" s="48"/>
      <c r="EC886" s="48"/>
      <c r="ED886" s="48"/>
      <c r="EE886" s="48"/>
      <c r="EF886" s="48"/>
      <c r="EG886" s="48"/>
      <c r="EI886" s="48"/>
      <c r="EK886" s="48"/>
      <c r="EM886" s="48"/>
      <c r="EO886" s="48"/>
      <c r="EP886" s="48"/>
      <c r="EU886" s="48"/>
      <c r="EV886" s="48"/>
      <c r="EW886" s="48"/>
      <c r="EX886" s="48"/>
      <c r="EY886" s="48"/>
      <c r="EZ886" s="48"/>
      <c r="FA886" s="48"/>
      <c r="FB886" s="48"/>
      <c r="FC886" s="48"/>
      <c r="FD886" s="48"/>
      <c r="FE886" s="48"/>
      <c r="FF886" s="48"/>
      <c r="FG886" s="48"/>
      <c r="FI886" s="48"/>
      <c r="FL886" s="48"/>
      <c r="FM886" s="48"/>
      <c r="FN886" s="48"/>
      <c r="FO886" s="48"/>
      <c r="FP886" s="48"/>
      <c r="FQ886" s="48"/>
      <c r="FR886" s="48"/>
      <c r="FS886" s="48"/>
      <c r="FT886" s="48"/>
      <c r="FU886" s="48"/>
    </row>
    <row r="887" spans="1:17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52"/>
      <c r="BF887" s="48"/>
      <c r="BG887" s="48"/>
      <c r="BI887" s="48"/>
      <c r="BN887" s="48"/>
      <c r="BO887" s="48"/>
      <c r="BR887" s="48"/>
      <c r="BS887" s="48"/>
      <c r="BW887" s="48"/>
      <c r="CA887" s="48"/>
      <c r="CE887" s="48"/>
      <c r="CF887" s="48"/>
      <c r="CG887" s="48"/>
      <c r="CH887" s="48"/>
      <c r="CI887" s="48"/>
      <c r="CJ887" s="48"/>
      <c r="CL887" s="48"/>
      <c r="CM887" s="48"/>
      <c r="CN887" s="48"/>
      <c r="CO887" s="48"/>
      <c r="CP887" s="48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  <c r="DD887" s="48"/>
      <c r="DE887" s="48"/>
      <c r="DF887" s="48"/>
      <c r="DG887" s="48"/>
      <c r="DH887" s="48"/>
      <c r="DI887" s="48"/>
      <c r="DJ887" s="48"/>
      <c r="DK887" s="48"/>
      <c r="DL887" s="48"/>
      <c r="DM887" s="48"/>
      <c r="DN887" s="48"/>
      <c r="DO887" s="48"/>
      <c r="DP887" s="48"/>
      <c r="DQ887" s="48"/>
      <c r="DR887" s="48"/>
      <c r="DS887" s="48"/>
      <c r="DT887" s="48"/>
      <c r="DU887" s="48"/>
      <c r="DV887" s="48"/>
      <c r="DW887" s="48"/>
      <c r="DX887" s="48"/>
      <c r="DY887" s="48"/>
      <c r="DZ887" s="48"/>
      <c r="EA887" s="48"/>
      <c r="EC887" s="48"/>
      <c r="ED887" s="48"/>
      <c r="EE887" s="48"/>
      <c r="EF887" s="48"/>
      <c r="EG887" s="48"/>
      <c r="EI887" s="48"/>
      <c r="EK887" s="48"/>
      <c r="EM887" s="48"/>
      <c r="EO887" s="48"/>
      <c r="EP887" s="48"/>
      <c r="EU887" s="48"/>
      <c r="EV887" s="48"/>
      <c r="EW887" s="48"/>
      <c r="EX887" s="48"/>
      <c r="EY887" s="48"/>
      <c r="EZ887" s="48"/>
      <c r="FA887" s="48"/>
      <c r="FB887" s="48"/>
      <c r="FC887" s="48"/>
      <c r="FD887" s="48"/>
      <c r="FE887" s="48"/>
      <c r="FF887" s="48"/>
      <c r="FG887" s="48"/>
      <c r="FI887" s="48"/>
      <c r="FL887" s="48"/>
      <c r="FM887" s="48"/>
      <c r="FN887" s="48"/>
      <c r="FO887" s="48"/>
      <c r="FP887" s="48"/>
      <c r="FQ887" s="48"/>
      <c r="FR887" s="48"/>
      <c r="FS887" s="48"/>
      <c r="FT887" s="48"/>
      <c r="FU887" s="48"/>
    </row>
    <row r="888" spans="1:177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52"/>
      <c r="BF888" s="48"/>
      <c r="BG888" s="48"/>
      <c r="BI888" s="48"/>
      <c r="BN888" s="48"/>
      <c r="BO888" s="48"/>
      <c r="BR888" s="48"/>
      <c r="BS888" s="48"/>
      <c r="BW888" s="48"/>
      <c r="CA888" s="48"/>
      <c r="CE888" s="48"/>
      <c r="CF888" s="48"/>
      <c r="CG888" s="48"/>
      <c r="CH888" s="48"/>
      <c r="CI888" s="48"/>
      <c r="CJ888" s="48"/>
      <c r="CL888" s="48"/>
      <c r="CM888" s="48"/>
      <c r="CN888" s="48"/>
      <c r="CO888" s="48"/>
      <c r="CP888" s="48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  <c r="DD888" s="48"/>
      <c r="DE888" s="48"/>
      <c r="DF888" s="48"/>
      <c r="DG888" s="48"/>
      <c r="DH888" s="48"/>
      <c r="DI888" s="48"/>
      <c r="DJ888" s="48"/>
      <c r="DK888" s="48"/>
      <c r="DL888" s="48"/>
      <c r="DM888" s="48"/>
      <c r="DN888" s="48"/>
      <c r="DO888" s="48"/>
      <c r="DP888" s="48"/>
      <c r="DQ888" s="48"/>
      <c r="DR888" s="48"/>
      <c r="DS888" s="48"/>
      <c r="DT888" s="48"/>
      <c r="DU888" s="48"/>
      <c r="DV888" s="48"/>
      <c r="DW888" s="48"/>
      <c r="DX888" s="48"/>
      <c r="DY888" s="48"/>
      <c r="DZ888" s="48"/>
      <c r="EA888" s="48"/>
      <c r="EC888" s="48"/>
      <c r="ED888" s="48"/>
      <c r="EE888" s="48"/>
      <c r="EF888" s="48"/>
      <c r="EG888" s="48"/>
      <c r="EI888" s="48"/>
      <c r="EK888" s="48"/>
      <c r="EM888" s="48"/>
      <c r="EO888" s="48"/>
      <c r="EP888" s="48"/>
      <c r="EU888" s="48"/>
      <c r="EV888" s="48"/>
      <c r="EW888" s="48"/>
      <c r="EX888" s="48"/>
      <c r="EY888" s="48"/>
      <c r="EZ888" s="48"/>
      <c r="FA888" s="48"/>
      <c r="FB888" s="48"/>
      <c r="FC888" s="48"/>
      <c r="FD888" s="48"/>
      <c r="FE888" s="48"/>
      <c r="FF888" s="48"/>
      <c r="FG888" s="48"/>
      <c r="FI888" s="48"/>
      <c r="FL888" s="48"/>
      <c r="FM888" s="48"/>
      <c r="FN888" s="48"/>
      <c r="FO888" s="48"/>
      <c r="FP888" s="48"/>
      <c r="FQ888" s="48"/>
      <c r="FR888" s="48"/>
      <c r="FS888" s="48"/>
      <c r="FT888" s="48"/>
      <c r="FU888" s="48"/>
    </row>
    <row r="889" spans="1:177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52"/>
      <c r="BF889" s="48"/>
      <c r="BG889" s="48"/>
      <c r="BI889" s="48"/>
      <c r="BN889" s="48"/>
      <c r="BO889" s="48"/>
      <c r="BR889" s="48"/>
      <c r="BS889" s="48"/>
      <c r="BW889" s="48"/>
      <c r="CA889" s="48"/>
      <c r="CE889" s="48"/>
      <c r="CF889" s="48"/>
      <c r="CG889" s="48"/>
      <c r="CH889" s="48"/>
      <c r="CI889" s="48"/>
      <c r="CJ889" s="48"/>
      <c r="CL889" s="48"/>
      <c r="CM889" s="48"/>
      <c r="CN889" s="48"/>
      <c r="CO889" s="48"/>
      <c r="CP889" s="48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  <c r="DE889" s="48"/>
      <c r="DF889" s="48"/>
      <c r="DG889" s="48"/>
      <c r="DH889" s="48"/>
      <c r="DI889" s="48"/>
      <c r="DJ889" s="48"/>
      <c r="DK889" s="48"/>
      <c r="DL889" s="48"/>
      <c r="DM889" s="48"/>
      <c r="DN889" s="48"/>
      <c r="DO889" s="48"/>
      <c r="DP889" s="48"/>
      <c r="DQ889" s="48"/>
      <c r="DR889" s="48"/>
      <c r="DS889" s="48"/>
      <c r="DT889" s="48"/>
      <c r="DU889" s="48"/>
      <c r="DV889" s="48"/>
      <c r="DW889" s="48"/>
      <c r="DX889" s="48"/>
      <c r="DY889" s="48"/>
      <c r="DZ889" s="48"/>
      <c r="EA889" s="48"/>
      <c r="EC889" s="48"/>
      <c r="ED889" s="48"/>
      <c r="EE889" s="48"/>
      <c r="EF889" s="48"/>
      <c r="EG889" s="48"/>
      <c r="EI889" s="48"/>
      <c r="EK889" s="48"/>
      <c r="EM889" s="48"/>
      <c r="EO889" s="48"/>
      <c r="EP889" s="48"/>
      <c r="EU889" s="48"/>
      <c r="EV889" s="48"/>
      <c r="EW889" s="48"/>
      <c r="EX889" s="48"/>
      <c r="EY889" s="48"/>
      <c r="EZ889" s="48"/>
      <c r="FA889" s="48"/>
      <c r="FB889" s="48"/>
      <c r="FC889" s="48"/>
      <c r="FD889" s="48"/>
      <c r="FE889" s="48"/>
      <c r="FF889" s="48"/>
      <c r="FG889" s="48"/>
      <c r="FI889" s="48"/>
      <c r="FL889" s="48"/>
      <c r="FM889" s="48"/>
      <c r="FN889" s="48"/>
      <c r="FO889" s="48"/>
      <c r="FP889" s="48"/>
      <c r="FQ889" s="48"/>
      <c r="FR889" s="48"/>
      <c r="FS889" s="48"/>
      <c r="FT889" s="48"/>
      <c r="FU889" s="48"/>
    </row>
    <row r="890" spans="1:177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52"/>
      <c r="BF890" s="48"/>
      <c r="BG890" s="48"/>
      <c r="BI890" s="48"/>
      <c r="BN890" s="48"/>
      <c r="BO890" s="48"/>
      <c r="BR890" s="48"/>
      <c r="BS890" s="48"/>
      <c r="BW890" s="48"/>
      <c r="CA890" s="48"/>
      <c r="CE890" s="48"/>
      <c r="CF890" s="48"/>
      <c r="CG890" s="48"/>
      <c r="CH890" s="48"/>
      <c r="CI890" s="48"/>
      <c r="CJ890" s="48"/>
      <c r="CL890" s="48"/>
      <c r="CM890" s="48"/>
      <c r="CN890" s="48"/>
      <c r="CO890" s="48"/>
      <c r="CP890" s="48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  <c r="DD890" s="48"/>
      <c r="DE890" s="48"/>
      <c r="DF890" s="48"/>
      <c r="DG890" s="48"/>
      <c r="DH890" s="48"/>
      <c r="DI890" s="48"/>
      <c r="DJ890" s="48"/>
      <c r="DK890" s="48"/>
      <c r="DL890" s="48"/>
      <c r="DM890" s="48"/>
      <c r="DN890" s="48"/>
      <c r="DO890" s="48"/>
      <c r="DP890" s="48"/>
      <c r="DQ890" s="48"/>
      <c r="DR890" s="48"/>
      <c r="DS890" s="48"/>
      <c r="DT890" s="48"/>
      <c r="DU890" s="48"/>
      <c r="DV890" s="48"/>
      <c r="DW890" s="48"/>
      <c r="DX890" s="48"/>
      <c r="DY890" s="48"/>
      <c r="DZ890" s="48"/>
      <c r="EA890" s="48"/>
      <c r="EC890" s="48"/>
      <c r="ED890" s="48"/>
      <c r="EE890" s="48"/>
      <c r="EF890" s="48"/>
      <c r="EG890" s="48"/>
      <c r="EI890" s="48"/>
      <c r="EK890" s="48"/>
      <c r="EM890" s="48"/>
      <c r="EO890" s="48"/>
      <c r="EP890" s="48"/>
      <c r="EU890" s="48"/>
      <c r="EV890" s="48"/>
      <c r="EW890" s="48"/>
      <c r="EX890" s="48"/>
      <c r="EY890" s="48"/>
      <c r="EZ890" s="48"/>
      <c r="FA890" s="48"/>
      <c r="FB890" s="48"/>
      <c r="FC890" s="48"/>
      <c r="FD890" s="48"/>
      <c r="FE890" s="48"/>
      <c r="FF890" s="48"/>
      <c r="FG890" s="48"/>
      <c r="FI890" s="48"/>
      <c r="FL890" s="48"/>
      <c r="FM890" s="48"/>
      <c r="FN890" s="48"/>
      <c r="FO890" s="48"/>
      <c r="FP890" s="48"/>
      <c r="FQ890" s="48"/>
      <c r="FR890" s="48"/>
      <c r="FS890" s="48"/>
      <c r="FT890" s="48"/>
      <c r="FU890" s="48"/>
    </row>
    <row r="891" spans="1:177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52"/>
      <c r="BF891" s="48"/>
      <c r="BG891" s="48"/>
      <c r="BI891" s="48"/>
      <c r="BN891" s="48"/>
      <c r="BO891" s="48"/>
      <c r="BR891" s="48"/>
      <c r="BS891" s="48"/>
      <c r="BW891" s="48"/>
      <c r="CA891" s="48"/>
      <c r="CE891" s="48"/>
      <c r="CF891" s="48"/>
      <c r="CG891" s="48"/>
      <c r="CH891" s="48"/>
      <c r="CI891" s="48"/>
      <c r="CJ891" s="48"/>
      <c r="CL891" s="48"/>
      <c r="CM891" s="48"/>
      <c r="CN891" s="48"/>
      <c r="CO891" s="48"/>
      <c r="CP891" s="48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  <c r="DD891" s="48"/>
      <c r="DE891" s="48"/>
      <c r="DF891" s="48"/>
      <c r="DG891" s="48"/>
      <c r="DH891" s="48"/>
      <c r="DI891" s="48"/>
      <c r="DJ891" s="48"/>
      <c r="DK891" s="48"/>
      <c r="DL891" s="48"/>
      <c r="DM891" s="48"/>
      <c r="DN891" s="48"/>
      <c r="DO891" s="48"/>
      <c r="DP891" s="48"/>
      <c r="DQ891" s="48"/>
      <c r="DR891" s="48"/>
      <c r="DS891" s="48"/>
      <c r="DT891" s="48"/>
      <c r="DU891" s="48"/>
      <c r="DV891" s="48"/>
      <c r="DW891" s="48"/>
      <c r="DX891" s="48"/>
      <c r="DY891" s="48"/>
      <c r="DZ891" s="48"/>
      <c r="EA891" s="48"/>
      <c r="EC891" s="48"/>
      <c r="ED891" s="48"/>
      <c r="EE891" s="48"/>
      <c r="EF891" s="48"/>
      <c r="EG891" s="48"/>
      <c r="EI891" s="48"/>
      <c r="EK891" s="48"/>
      <c r="EM891" s="48"/>
      <c r="EO891" s="48"/>
      <c r="EP891" s="48"/>
      <c r="EU891" s="48"/>
      <c r="EV891" s="48"/>
      <c r="EW891" s="48"/>
      <c r="EX891" s="48"/>
      <c r="EY891" s="48"/>
      <c r="EZ891" s="48"/>
      <c r="FA891" s="48"/>
      <c r="FB891" s="48"/>
      <c r="FC891" s="48"/>
      <c r="FD891" s="48"/>
      <c r="FE891" s="48"/>
      <c r="FF891" s="48"/>
      <c r="FG891" s="48"/>
      <c r="FI891" s="48"/>
      <c r="FL891" s="48"/>
      <c r="FM891" s="48"/>
      <c r="FN891" s="48"/>
      <c r="FO891" s="48"/>
      <c r="FP891" s="48"/>
      <c r="FQ891" s="48"/>
      <c r="FR891" s="48"/>
      <c r="FS891" s="48"/>
      <c r="FT891" s="48"/>
      <c r="FU891" s="48"/>
    </row>
    <row r="892" spans="1:177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52"/>
      <c r="BF892" s="48"/>
      <c r="BG892" s="48"/>
      <c r="BI892" s="48"/>
      <c r="BN892" s="48"/>
      <c r="BO892" s="48"/>
      <c r="BR892" s="48"/>
      <c r="BS892" s="48"/>
      <c r="BW892" s="48"/>
      <c r="CA892" s="48"/>
      <c r="CE892" s="48"/>
      <c r="CF892" s="48"/>
      <c r="CG892" s="48"/>
      <c r="CH892" s="48"/>
      <c r="CI892" s="48"/>
      <c r="CJ892" s="48"/>
      <c r="CL892" s="48"/>
      <c r="CM892" s="48"/>
      <c r="CN892" s="48"/>
      <c r="CO892" s="48"/>
      <c r="CP892" s="48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  <c r="DE892" s="48"/>
      <c r="DF892" s="48"/>
      <c r="DG892" s="48"/>
      <c r="DH892" s="48"/>
      <c r="DI892" s="48"/>
      <c r="DJ892" s="48"/>
      <c r="DK892" s="48"/>
      <c r="DL892" s="48"/>
      <c r="DM892" s="48"/>
      <c r="DN892" s="48"/>
      <c r="DO892" s="48"/>
      <c r="DP892" s="48"/>
      <c r="DQ892" s="48"/>
      <c r="DR892" s="48"/>
      <c r="DS892" s="48"/>
      <c r="DT892" s="48"/>
      <c r="DU892" s="48"/>
      <c r="DV892" s="48"/>
      <c r="DW892" s="48"/>
      <c r="DX892" s="48"/>
      <c r="DY892" s="48"/>
      <c r="DZ892" s="48"/>
      <c r="EA892" s="48"/>
      <c r="EC892" s="48"/>
      <c r="ED892" s="48"/>
      <c r="EE892" s="48"/>
      <c r="EF892" s="48"/>
      <c r="EG892" s="48"/>
      <c r="EI892" s="48"/>
      <c r="EK892" s="48"/>
      <c r="EM892" s="48"/>
      <c r="EO892" s="48"/>
      <c r="EP892" s="48"/>
      <c r="EU892" s="48"/>
      <c r="EV892" s="48"/>
      <c r="EW892" s="48"/>
      <c r="EX892" s="48"/>
      <c r="EY892" s="48"/>
      <c r="EZ892" s="48"/>
      <c r="FA892" s="48"/>
      <c r="FB892" s="48"/>
      <c r="FC892" s="48"/>
      <c r="FD892" s="48"/>
      <c r="FE892" s="48"/>
      <c r="FF892" s="48"/>
      <c r="FG892" s="48"/>
      <c r="FI892" s="48"/>
      <c r="FL892" s="48"/>
      <c r="FM892" s="48"/>
      <c r="FN892" s="48"/>
      <c r="FO892" s="48"/>
      <c r="FP892" s="48"/>
      <c r="FQ892" s="48"/>
      <c r="FR892" s="48"/>
      <c r="FS892" s="48"/>
      <c r="FT892" s="48"/>
      <c r="FU892" s="48"/>
    </row>
    <row r="893" spans="1:177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52"/>
      <c r="BF893" s="48"/>
      <c r="BG893" s="48"/>
      <c r="BI893" s="48"/>
      <c r="BN893" s="48"/>
      <c r="BO893" s="48"/>
      <c r="BR893" s="48"/>
      <c r="BS893" s="48"/>
      <c r="BW893" s="48"/>
      <c r="CA893" s="48"/>
      <c r="CE893" s="48"/>
      <c r="CF893" s="48"/>
      <c r="CG893" s="48"/>
      <c r="CH893" s="48"/>
      <c r="CI893" s="48"/>
      <c r="CJ893" s="48"/>
      <c r="CL893" s="48"/>
      <c r="CM893" s="48"/>
      <c r="CN893" s="48"/>
      <c r="CO893" s="48"/>
      <c r="CP893" s="48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  <c r="DE893" s="48"/>
      <c r="DF893" s="48"/>
      <c r="DG893" s="48"/>
      <c r="DH893" s="48"/>
      <c r="DI893" s="48"/>
      <c r="DJ893" s="48"/>
      <c r="DK893" s="48"/>
      <c r="DL893" s="48"/>
      <c r="DM893" s="48"/>
      <c r="DN893" s="48"/>
      <c r="DO893" s="48"/>
      <c r="DP893" s="48"/>
      <c r="DQ893" s="48"/>
      <c r="DR893" s="48"/>
      <c r="DS893" s="48"/>
      <c r="DT893" s="48"/>
      <c r="DU893" s="48"/>
      <c r="DV893" s="48"/>
      <c r="DW893" s="48"/>
      <c r="DX893" s="48"/>
      <c r="DY893" s="48"/>
      <c r="DZ893" s="48"/>
      <c r="EA893" s="48"/>
      <c r="EC893" s="48"/>
      <c r="ED893" s="48"/>
      <c r="EE893" s="48"/>
      <c r="EF893" s="48"/>
      <c r="EG893" s="48"/>
      <c r="EI893" s="48"/>
      <c r="EK893" s="48"/>
      <c r="EM893" s="48"/>
      <c r="EO893" s="48"/>
      <c r="EP893" s="48"/>
      <c r="EU893" s="48"/>
      <c r="EV893" s="48"/>
      <c r="EW893" s="48"/>
      <c r="EX893" s="48"/>
      <c r="EY893" s="48"/>
      <c r="EZ893" s="48"/>
      <c r="FA893" s="48"/>
      <c r="FB893" s="48"/>
      <c r="FC893" s="48"/>
      <c r="FD893" s="48"/>
      <c r="FE893" s="48"/>
      <c r="FF893" s="48"/>
      <c r="FG893" s="48"/>
      <c r="FI893" s="48"/>
      <c r="FL893" s="48"/>
      <c r="FM893" s="48"/>
      <c r="FN893" s="48"/>
      <c r="FO893" s="48"/>
      <c r="FP893" s="48"/>
      <c r="FQ893" s="48"/>
      <c r="FR893" s="48"/>
      <c r="FS893" s="48"/>
      <c r="FT893" s="48"/>
      <c r="FU893" s="48"/>
    </row>
    <row r="894" spans="1:177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52"/>
      <c r="BF894" s="48"/>
      <c r="BG894" s="48"/>
      <c r="BI894" s="48"/>
      <c r="BN894" s="48"/>
      <c r="BO894" s="48"/>
      <c r="BR894" s="48"/>
      <c r="BS894" s="48"/>
      <c r="BW894" s="48"/>
      <c r="CA894" s="48"/>
      <c r="CE894" s="48"/>
      <c r="CF894" s="48"/>
      <c r="CG894" s="48"/>
      <c r="CH894" s="48"/>
      <c r="CI894" s="48"/>
      <c r="CJ894" s="48"/>
      <c r="CL894" s="48"/>
      <c r="CM894" s="48"/>
      <c r="CN894" s="48"/>
      <c r="CO894" s="48"/>
      <c r="CP894" s="48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  <c r="DE894" s="48"/>
      <c r="DF894" s="48"/>
      <c r="DG894" s="48"/>
      <c r="DH894" s="48"/>
      <c r="DI894" s="48"/>
      <c r="DJ894" s="48"/>
      <c r="DK894" s="48"/>
      <c r="DL894" s="48"/>
      <c r="DM894" s="48"/>
      <c r="DN894" s="48"/>
      <c r="DO894" s="48"/>
      <c r="DP894" s="48"/>
      <c r="DQ894" s="48"/>
      <c r="DR894" s="48"/>
      <c r="DS894" s="48"/>
      <c r="DT894" s="48"/>
      <c r="DU894" s="48"/>
      <c r="DV894" s="48"/>
      <c r="DW894" s="48"/>
      <c r="DX894" s="48"/>
      <c r="DY894" s="48"/>
      <c r="DZ894" s="48"/>
      <c r="EA894" s="48"/>
      <c r="EC894" s="48"/>
      <c r="ED894" s="48"/>
      <c r="EE894" s="48"/>
      <c r="EF894" s="48"/>
      <c r="EG894" s="48"/>
      <c r="EI894" s="48"/>
      <c r="EK894" s="48"/>
      <c r="EM894" s="48"/>
      <c r="EO894" s="48"/>
      <c r="EP894" s="48"/>
      <c r="EU894" s="48"/>
      <c r="EV894" s="48"/>
      <c r="EW894" s="48"/>
      <c r="EX894" s="48"/>
      <c r="EY894" s="48"/>
      <c r="EZ894" s="48"/>
      <c r="FA894" s="48"/>
      <c r="FB894" s="48"/>
      <c r="FC894" s="48"/>
      <c r="FD894" s="48"/>
      <c r="FE894" s="48"/>
      <c r="FF894" s="48"/>
      <c r="FG894" s="48"/>
      <c r="FI894" s="48"/>
      <c r="FL894" s="48"/>
      <c r="FM894" s="48"/>
      <c r="FN894" s="48"/>
      <c r="FO894" s="48"/>
      <c r="FP894" s="48"/>
      <c r="FQ894" s="48"/>
      <c r="FR894" s="48"/>
      <c r="FS894" s="48"/>
      <c r="FT894" s="48"/>
      <c r="FU894" s="48"/>
    </row>
    <row r="895" spans="1:177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52"/>
      <c r="BF895" s="48"/>
      <c r="BG895" s="48"/>
      <c r="BI895" s="48"/>
      <c r="BN895" s="48"/>
      <c r="BO895" s="48"/>
      <c r="BR895" s="48"/>
      <c r="BS895" s="48"/>
      <c r="BW895" s="48"/>
      <c r="CA895" s="48"/>
      <c r="CE895" s="48"/>
      <c r="CF895" s="48"/>
      <c r="CG895" s="48"/>
      <c r="CH895" s="48"/>
      <c r="CI895" s="48"/>
      <c r="CJ895" s="48"/>
      <c r="CL895" s="48"/>
      <c r="CM895" s="48"/>
      <c r="CN895" s="48"/>
      <c r="CO895" s="48"/>
      <c r="CP895" s="48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  <c r="DE895" s="48"/>
      <c r="DF895" s="48"/>
      <c r="DG895" s="48"/>
      <c r="DH895" s="48"/>
      <c r="DI895" s="48"/>
      <c r="DJ895" s="48"/>
      <c r="DK895" s="48"/>
      <c r="DL895" s="48"/>
      <c r="DM895" s="48"/>
      <c r="DN895" s="48"/>
      <c r="DO895" s="48"/>
      <c r="DP895" s="48"/>
      <c r="DQ895" s="48"/>
      <c r="DR895" s="48"/>
      <c r="DS895" s="48"/>
      <c r="DT895" s="48"/>
      <c r="DU895" s="48"/>
      <c r="DV895" s="48"/>
      <c r="DW895" s="48"/>
      <c r="DX895" s="48"/>
      <c r="DY895" s="48"/>
      <c r="DZ895" s="48"/>
      <c r="EA895" s="48"/>
      <c r="EC895" s="48"/>
      <c r="ED895" s="48"/>
      <c r="EE895" s="48"/>
      <c r="EF895" s="48"/>
      <c r="EG895" s="48"/>
      <c r="EI895" s="48"/>
      <c r="EK895" s="48"/>
      <c r="EM895" s="48"/>
      <c r="EO895" s="48"/>
      <c r="EP895" s="48"/>
      <c r="EU895" s="48"/>
      <c r="EV895" s="48"/>
      <c r="EW895" s="48"/>
      <c r="EX895" s="48"/>
      <c r="EY895" s="48"/>
      <c r="EZ895" s="48"/>
      <c r="FA895" s="48"/>
      <c r="FB895" s="48"/>
      <c r="FC895" s="48"/>
      <c r="FD895" s="48"/>
      <c r="FE895" s="48"/>
      <c r="FF895" s="48"/>
      <c r="FG895" s="48"/>
      <c r="FI895" s="48"/>
      <c r="FL895" s="48"/>
      <c r="FM895" s="48"/>
      <c r="FN895" s="48"/>
      <c r="FO895" s="48"/>
      <c r="FP895" s="48"/>
      <c r="FQ895" s="48"/>
      <c r="FR895" s="48"/>
      <c r="FS895" s="48"/>
      <c r="FT895" s="48"/>
      <c r="FU895" s="48"/>
    </row>
    <row r="896" spans="1:177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52"/>
      <c r="BF896" s="48"/>
      <c r="BG896" s="48"/>
      <c r="BI896" s="48"/>
      <c r="BN896" s="48"/>
      <c r="BO896" s="48"/>
      <c r="BR896" s="48"/>
      <c r="BS896" s="48"/>
      <c r="BW896" s="48"/>
      <c r="CA896" s="48"/>
      <c r="CE896" s="48"/>
      <c r="CF896" s="48"/>
      <c r="CG896" s="48"/>
      <c r="CH896" s="48"/>
      <c r="CI896" s="48"/>
      <c r="CJ896" s="48"/>
      <c r="CL896" s="48"/>
      <c r="CM896" s="48"/>
      <c r="CN896" s="48"/>
      <c r="CO896" s="48"/>
      <c r="CP896" s="48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  <c r="DD896" s="48"/>
      <c r="DE896" s="48"/>
      <c r="DF896" s="48"/>
      <c r="DG896" s="48"/>
      <c r="DH896" s="48"/>
      <c r="DI896" s="48"/>
      <c r="DJ896" s="48"/>
      <c r="DK896" s="48"/>
      <c r="DL896" s="48"/>
      <c r="DM896" s="48"/>
      <c r="DN896" s="48"/>
      <c r="DO896" s="48"/>
      <c r="DP896" s="48"/>
      <c r="DQ896" s="48"/>
      <c r="DR896" s="48"/>
      <c r="DS896" s="48"/>
      <c r="DT896" s="48"/>
      <c r="DU896" s="48"/>
      <c r="DV896" s="48"/>
      <c r="DW896" s="48"/>
      <c r="DX896" s="48"/>
      <c r="DY896" s="48"/>
      <c r="DZ896" s="48"/>
      <c r="EA896" s="48"/>
      <c r="EC896" s="48"/>
      <c r="ED896" s="48"/>
      <c r="EE896" s="48"/>
      <c r="EF896" s="48"/>
      <c r="EG896" s="48"/>
      <c r="EI896" s="48"/>
      <c r="EK896" s="48"/>
      <c r="EM896" s="48"/>
      <c r="EO896" s="48"/>
      <c r="EP896" s="48"/>
      <c r="EU896" s="48"/>
      <c r="EV896" s="48"/>
      <c r="EW896" s="48"/>
      <c r="EX896" s="48"/>
      <c r="EY896" s="48"/>
      <c r="EZ896" s="48"/>
      <c r="FA896" s="48"/>
      <c r="FB896" s="48"/>
      <c r="FC896" s="48"/>
      <c r="FD896" s="48"/>
      <c r="FE896" s="48"/>
      <c r="FF896" s="48"/>
      <c r="FG896" s="48"/>
      <c r="FI896" s="48"/>
      <c r="FL896" s="48"/>
      <c r="FM896" s="48"/>
      <c r="FN896" s="48"/>
      <c r="FO896" s="48"/>
      <c r="FP896" s="48"/>
      <c r="FQ896" s="48"/>
      <c r="FR896" s="48"/>
      <c r="FS896" s="48"/>
      <c r="FT896" s="48"/>
      <c r="FU896" s="48"/>
    </row>
    <row r="897" spans="1:17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52"/>
      <c r="BF897" s="48"/>
      <c r="BG897" s="48"/>
      <c r="BI897" s="48"/>
      <c r="BN897" s="48"/>
      <c r="BO897" s="48"/>
      <c r="BR897" s="48"/>
      <c r="BS897" s="48"/>
      <c r="BW897" s="48"/>
      <c r="CA897" s="48"/>
      <c r="CE897" s="48"/>
      <c r="CF897" s="48"/>
      <c r="CG897" s="48"/>
      <c r="CH897" s="48"/>
      <c r="CI897" s="48"/>
      <c r="CJ897" s="48"/>
      <c r="CL897" s="48"/>
      <c r="CM897" s="48"/>
      <c r="CN897" s="48"/>
      <c r="CO897" s="48"/>
      <c r="CP897" s="48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  <c r="DD897" s="48"/>
      <c r="DE897" s="48"/>
      <c r="DF897" s="48"/>
      <c r="DG897" s="48"/>
      <c r="DH897" s="48"/>
      <c r="DI897" s="48"/>
      <c r="DJ897" s="48"/>
      <c r="DK897" s="48"/>
      <c r="DL897" s="48"/>
      <c r="DM897" s="48"/>
      <c r="DN897" s="48"/>
      <c r="DO897" s="48"/>
      <c r="DP897" s="48"/>
      <c r="DQ897" s="48"/>
      <c r="DR897" s="48"/>
      <c r="DS897" s="48"/>
      <c r="DT897" s="48"/>
      <c r="DU897" s="48"/>
      <c r="DV897" s="48"/>
      <c r="DW897" s="48"/>
      <c r="DX897" s="48"/>
      <c r="DY897" s="48"/>
      <c r="DZ897" s="48"/>
      <c r="EA897" s="48"/>
      <c r="EC897" s="48"/>
      <c r="ED897" s="48"/>
      <c r="EE897" s="48"/>
      <c r="EF897" s="48"/>
      <c r="EG897" s="48"/>
      <c r="EI897" s="48"/>
      <c r="EK897" s="48"/>
      <c r="EM897" s="48"/>
      <c r="EO897" s="48"/>
      <c r="EP897" s="48"/>
      <c r="EU897" s="48"/>
      <c r="EV897" s="48"/>
      <c r="EW897" s="48"/>
      <c r="EX897" s="48"/>
      <c r="EY897" s="48"/>
      <c r="EZ897" s="48"/>
      <c r="FA897" s="48"/>
      <c r="FB897" s="48"/>
      <c r="FC897" s="48"/>
      <c r="FD897" s="48"/>
      <c r="FE897" s="48"/>
      <c r="FF897" s="48"/>
      <c r="FG897" s="48"/>
      <c r="FI897" s="48"/>
      <c r="FL897" s="48"/>
      <c r="FM897" s="48"/>
      <c r="FN897" s="48"/>
      <c r="FO897" s="48"/>
      <c r="FP897" s="48"/>
      <c r="FQ897" s="48"/>
      <c r="FR897" s="48"/>
      <c r="FS897" s="48"/>
      <c r="FT897" s="48"/>
      <c r="FU897" s="48"/>
    </row>
    <row r="898" spans="1:177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52"/>
      <c r="BF898" s="48"/>
      <c r="BG898" s="48"/>
      <c r="BI898" s="48"/>
      <c r="BN898" s="48"/>
      <c r="BO898" s="48"/>
      <c r="BR898" s="48"/>
      <c r="BS898" s="48"/>
      <c r="BW898" s="48"/>
      <c r="CA898" s="48"/>
      <c r="CE898" s="48"/>
      <c r="CF898" s="48"/>
      <c r="CG898" s="48"/>
      <c r="CH898" s="48"/>
      <c r="CI898" s="48"/>
      <c r="CJ898" s="48"/>
      <c r="CL898" s="48"/>
      <c r="CM898" s="48"/>
      <c r="CN898" s="48"/>
      <c r="CO898" s="48"/>
      <c r="CP898" s="48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  <c r="DE898" s="48"/>
      <c r="DF898" s="48"/>
      <c r="DG898" s="48"/>
      <c r="DH898" s="48"/>
      <c r="DI898" s="48"/>
      <c r="DJ898" s="48"/>
      <c r="DK898" s="48"/>
      <c r="DL898" s="48"/>
      <c r="DM898" s="48"/>
      <c r="DN898" s="48"/>
      <c r="DO898" s="48"/>
      <c r="DP898" s="48"/>
      <c r="DQ898" s="48"/>
      <c r="DR898" s="48"/>
      <c r="DS898" s="48"/>
      <c r="DT898" s="48"/>
      <c r="DU898" s="48"/>
      <c r="DV898" s="48"/>
      <c r="DW898" s="48"/>
      <c r="DX898" s="48"/>
      <c r="DY898" s="48"/>
      <c r="DZ898" s="48"/>
      <c r="EA898" s="48"/>
      <c r="EC898" s="48"/>
      <c r="ED898" s="48"/>
      <c r="EE898" s="48"/>
      <c r="EF898" s="48"/>
      <c r="EG898" s="48"/>
      <c r="EI898" s="48"/>
      <c r="EK898" s="48"/>
      <c r="EM898" s="48"/>
      <c r="EO898" s="48"/>
      <c r="EP898" s="48"/>
      <c r="EU898" s="48"/>
      <c r="EV898" s="48"/>
      <c r="EW898" s="48"/>
      <c r="EX898" s="48"/>
      <c r="EY898" s="48"/>
      <c r="EZ898" s="48"/>
      <c r="FA898" s="48"/>
      <c r="FB898" s="48"/>
      <c r="FC898" s="48"/>
      <c r="FD898" s="48"/>
      <c r="FE898" s="48"/>
      <c r="FF898" s="48"/>
      <c r="FG898" s="48"/>
      <c r="FI898" s="48"/>
      <c r="FL898" s="48"/>
      <c r="FM898" s="48"/>
      <c r="FN898" s="48"/>
      <c r="FO898" s="48"/>
      <c r="FP898" s="48"/>
      <c r="FQ898" s="48"/>
      <c r="FR898" s="48"/>
      <c r="FS898" s="48"/>
      <c r="FT898" s="48"/>
      <c r="FU898" s="48"/>
    </row>
    <row r="899" spans="1:177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52"/>
      <c r="BF899" s="48"/>
      <c r="BG899" s="48"/>
      <c r="BI899" s="48"/>
      <c r="BN899" s="48"/>
      <c r="BO899" s="48"/>
      <c r="BR899" s="48"/>
      <c r="BS899" s="48"/>
      <c r="BW899" s="48"/>
      <c r="CA899" s="48"/>
      <c r="CE899" s="48"/>
      <c r="CF899" s="48"/>
      <c r="CG899" s="48"/>
      <c r="CH899" s="48"/>
      <c r="CI899" s="48"/>
      <c r="CJ899" s="48"/>
      <c r="CL899" s="48"/>
      <c r="CM899" s="48"/>
      <c r="CN899" s="48"/>
      <c r="CO899" s="48"/>
      <c r="CP899" s="48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  <c r="DD899" s="48"/>
      <c r="DE899" s="48"/>
      <c r="DF899" s="48"/>
      <c r="DG899" s="48"/>
      <c r="DH899" s="48"/>
      <c r="DI899" s="48"/>
      <c r="DJ899" s="48"/>
      <c r="DK899" s="48"/>
      <c r="DL899" s="48"/>
      <c r="DM899" s="48"/>
      <c r="DN899" s="48"/>
      <c r="DO899" s="48"/>
      <c r="DP899" s="48"/>
      <c r="DQ899" s="48"/>
      <c r="DR899" s="48"/>
      <c r="DS899" s="48"/>
      <c r="DT899" s="48"/>
      <c r="DU899" s="48"/>
      <c r="DV899" s="48"/>
      <c r="DW899" s="48"/>
      <c r="DX899" s="48"/>
      <c r="DY899" s="48"/>
      <c r="DZ899" s="48"/>
      <c r="EA899" s="48"/>
      <c r="EC899" s="48"/>
      <c r="ED899" s="48"/>
      <c r="EE899" s="48"/>
      <c r="EF899" s="48"/>
      <c r="EG899" s="48"/>
      <c r="EI899" s="48"/>
      <c r="EK899" s="48"/>
      <c r="EM899" s="48"/>
      <c r="EO899" s="48"/>
      <c r="EP899" s="48"/>
      <c r="EU899" s="48"/>
      <c r="EV899" s="48"/>
      <c r="EW899" s="48"/>
      <c r="EX899" s="48"/>
      <c r="EY899" s="48"/>
      <c r="EZ899" s="48"/>
      <c r="FA899" s="48"/>
      <c r="FB899" s="48"/>
      <c r="FC899" s="48"/>
      <c r="FD899" s="48"/>
      <c r="FE899" s="48"/>
      <c r="FF899" s="48"/>
      <c r="FG899" s="48"/>
      <c r="FI899" s="48"/>
      <c r="FL899" s="48"/>
      <c r="FM899" s="48"/>
      <c r="FN899" s="48"/>
      <c r="FO899" s="48"/>
      <c r="FP899" s="48"/>
      <c r="FQ899" s="48"/>
      <c r="FR899" s="48"/>
      <c r="FS899" s="48"/>
      <c r="FT899" s="48"/>
      <c r="FU899" s="48"/>
    </row>
    <row r="900" spans="1:177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52"/>
      <c r="BF900" s="48"/>
      <c r="BG900" s="48"/>
      <c r="BI900" s="48"/>
      <c r="BN900" s="48"/>
      <c r="BO900" s="48"/>
      <c r="BR900" s="48"/>
      <c r="BS900" s="48"/>
      <c r="BW900" s="48"/>
      <c r="CA900" s="48"/>
      <c r="CE900" s="48"/>
      <c r="CF900" s="48"/>
      <c r="CG900" s="48"/>
      <c r="CH900" s="48"/>
      <c r="CI900" s="48"/>
      <c r="CJ900" s="48"/>
      <c r="CL900" s="48"/>
      <c r="CM900" s="48"/>
      <c r="CN900" s="48"/>
      <c r="CO900" s="48"/>
      <c r="CP900" s="48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  <c r="DD900" s="48"/>
      <c r="DE900" s="48"/>
      <c r="DF900" s="48"/>
      <c r="DG900" s="48"/>
      <c r="DH900" s="48"/>
      <c r="DI900" s="48"/>
      <c r="DJ900" s="48"/>
      <c r="DK900" s="48"/>
      <c r="DL900" s="48"/>
      <c r="DM900" s="48"/>
      <c r="DN900" s="48"/>
      <c r="DO900" s="48"/>
      <c r="DP900" s="48"/>
      <c r="DQ900" s="48"/>
      <c r="DR900" s="48"/>
      <c r="DS900" s="48"/>
      <c r="DT900" s="48"/>
      <c r="DU900" s="48"/>
      <c r="DV900" s="48"/>
      <c r="DW900" s="48"/>
      <c r="DX900" s="48"/>
      <c r="DY900" s="48"/>
      <c r="DZ900" s="48"/>
      <c r="EA900" s="48"/>
      <c r="EC900" s="48"/>
      <c r="ED900" s="48"/>
      <c r="EE900" s="48"/>
      <c r="EF900" s="48"/>
      <c r="EG900" s="48"/>
      <c r="EI900" s="48"/>
      <c r="EK900" s="48"/>
      <c r="EM900" s="48"/>
      <c r="EO900" s="48"/>
      <c r="EP900" s="48"/>
      <c r="EU900" s="48"/>
      <c r="EV900" s="48"/>
      <c r="EW900" s="48"/>
      <c r="EX900" s="48"/>
      <c r="EY900" s="48"/>
      <c r="EZ900" s="48"/>
      <c r="FA900" s="48"/>
      <c r="FB900" s="48"/>
      <c r="FC900" s="48"/>
      <c r="FD900" s="48"/>
      <c r="FE900" s="48"/>
      <c r="FF900" s="48"/>
      <c r="FG900" s="48"/>
      <c r="FI900" s="48"/>
      <c r="FL900" s="48"/>
      <c r="FM900" s="48"/>
      <c r="FN900" s="48"/>
      <c r="FO900" s="48"/>
      <c r="FP900" s="48"/>
      <c r="FQ900" s="48"/>
      <c r="FR900" s="48"/>
      <c r="FS900" s="48"/>
      <c r="FT900" s="48"/>
      <c r="FU900" s="48"/>
    </row>
    <row r="901" spans="1:177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52"/>
      <c r="BF901" s="48"/>
      <c r="BG901" s="48"/>
      <c r="BI901" s="48"/>
      <c r="BN901" s="48"/>
      <c r="BO901" s="48"/>
      <c r="BR901" s="48"/>
      <c r="BS901" s="48"/>
      <c r="BW901" s="48"/>
      <c r="CA901" s="48"/>
      <c r="CE901" s="48"/>
      <c r="CF901" s="48"/>
      <c r="CG901" s="48"/>
      <c r="CH901" s="48"/>
      <c r="CI901" s="48"/>
      <c r="CJ901" s="48"/>
      <c r="CL901" s="48"/>
      <c r="CM901" s="48"/>
      <c r="CN901" s="48"/>
      <c r="CO901" s="48"/>
      <c r="CP901" s="48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  <c r="DE901" s="48"/>
      <c r="DF901" s="48"/>
      <c r="DG901" s="48"/>
      <c r="DH901" s="48"/>
      <c r="DI901" s="48"/>
      <c r="DJ901" s="48"/>
      <c r="DK901" s="48"/>
      <c r="DL901" s="48"/>
      <c r="DM901" s="48"/>
      <c r="DN901" s="48"/>
      <c r="DO901" s="48"/>
      <c r="DP901" s="48"/>
      <c r="DQ901" s="48"/>
      <c r="DR901" s="48"/>
      <c r="DS901" s="48"/>
      <c r="DT901" s="48"/>
      <c r="DU901" s="48"/>
      <c r="DV901" s="48"/>
      <c r="DW901" s="48"/>
      <c r="DX901" s="48"/>
      <c r="DY901" s="48"/>
      <c r="DZ901" s="48"/>
      <c r="EA901" s="48"/>
      <c r="EC901" s="48"/>
      <c r="ED901" s="48"/>
      <c r="EE901" s="48"/>
      <c r="EF901" s="48"/>
      <c r="EG901" s="48"/>
      <c r="EI901" s="48"/>
      <c r="EK901" s="48"/>
      <c r="EM901" s="48"/>
      <c r="EO901" s="48"/>
      <c r="EP901" s="48"/>
      <c r="EU901" s="48"/>
      <c r="EV901" s="48"/>
      <c r="EW901" s="48"/>
      <c r="EX901" s="48"/>
      <c r="EY901" s="48"/>
      <c r="EZ901" s="48"/>
      <c r="FA901" s="48"/>
      <c r="FB901" s="48"/>
      <c r="FC901" s="48"/>
      <c r="FD901" s="48"/>
      <c r="FE901" s="48"/>
      <c r="FF901" s="48"/>
      <c r="FG901" s="48"/>
      <c r="FI901" s="48"/>
      <c r="FL901" s="48"/>
      <c r="FM901" s="48"/>
      <c r="FN901" s="48"/>
      <c r="FO901" s="48"/>
      <c r="FP901" s="48"/>
      <c r="FQ901" s="48"/>
      <c r="FR901" s="48"/>
      <c r="FS901" s="48"/>
      <c r="FT901" s="48"/>
      <c r="FU901" s="48"/>
    </row>
    <row r="902" spans="1:177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52"/>
      <c r="BF902" s="48"/>
      <c r="BG902" s="48"/>
      <c r="BI902" s="48"/>
      <c r="BN902" s="48"/>
      <c r="BO902" s="48"/>
      <c r="BR902" s="48"/>
      <c r="BS902" s="48"/>
      <c r="BW902" s="48"/>
      <c r="CA902" s="48"/>
      <c r="CE902" s="48"/>
      <c r="CF902" s="48"/>
      <c r="CG902" s="48"/>
      <c r="CH902" s="48"/>
      <c r="CI902" s="48"/>
      <c r="CJ902" s="48"/>
      <c r="CL902" s="48"/>
      <c r="CM902" s="48"/>
      <c r="CN902" s="48"/>
      <c r="CO902" s="48"/>
      <c r="CP902" s="48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  <c r="DD902" s="48"/>
      <c r="DE902" s="48"/>
      <c r="DF902" s="48"/>
      <c r="DG902" s="48"/>
      <c r="DH902" s="48"/>
      <c r="DI902" s="48"/>
      <c r="DJ902" s="48"/>
      <c r="DK902" s="48"/>
      <c r="DL902" s="48"/>
      <c r="DM902" s="48"/>
      <c r="DN902" s="48"/>
      <c r="DO902" s="48"/>
      <c r="DP902" s="48"/>
      <c r="DQ902" s="48"/>
      <c r="DR902" s="48"/>
      <c r="DS902" s="48"/>
      <c r="DT902" s="48"/>
      <c r="DU902" s="48"/>
      <c r="DV902" s="48"/>
      <c r="DW902" s="48"/>
      <c r="DX902" s="48"/>
      <c r="DY902" s="48"/>
      <c r="DZ902" s="48"/>
      <c r="EA902" s="48"/>
      <c r="EC902" s="48"/>
      <c r="ED902" s="48"/>
      <c r="EE902" s="48"/>
      <c r="EF902" s="48"/>
      <c r="EG902" s="48"/>
      <c r="EI902" s="48"/>
      <c r="EK902" s="48"/>
      <c r="EM902" s="48"/>
      <c r="EO902" s="48"/>
      <c r="EP902" s="48"/>
      <c r="EU902" s="48"/>
      <c r="EV902" s="48"/>
      <c r="EW902" s="48"/>
      <c r="EX902" s="48"/>
      <c r="EY902" s="48"/>
      <c r="EZ902" s="48"/>
      <c r="FA902" s="48"/>
      <c r="FB902" s="48"/>
      <c r="FC902" s="48"/>
      <c r="FD902" s="48"/>
      <c r="FE902" s="48"/>
      <c r="FF902" s="48"/>
      <c r="FG902" s="48"/>
      <c r="FI902" s="48"/>
      <c r="FL902" s="48"/>
      <c r="FM902" s="48"/>
      <c r="FN902" s="48"/>
      <c r="FO902" s="48"/>
      <c r="FP902" s="48"/>
      <c r="FQ902" s="48"/>
      <c r="FR902" s="48"/>
      <c r="FS902" s="48"/>
      <c r="FT902" s="48"/>
      <c r="FU902" s="48"/>
    </row>
    <row r="903" spans="1:177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52"/>
      <c r="BF903" s="48"/>
      <c r="BG903" s="48"/>
      <c r="BI903" s="48"/>
      <c r="BN903" s="48"/>
      <c r="BO903" s="48"/>
      <c r="BR903" s="48"/>
      <c r="BS903" s="48"/>
      <c r="BW903" s="48"/>
      <c r="CA903" s="48"/>
      <c r="CE903" s="48"/>
      <c r="CF903" s="48"/>
      <c r="CG903" s="48"/>
      <c r="CH903" s="48"/>
      <c r="CI903" s="48"/>
      <c r="CJ903" s="48"/>
      <c r="CL903" s="48"/>
      <c r="CM903" s="48"/>
      <c r="CN903" s="48"/>
      <c r="CO903" s="48"/>
      <c r="CP903" s="48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  <c r="DD903" s="48"/>
      <c r="DE903" s="48"/>
      <c r="DF903" s="48"/>
      <c r="DG903" s="48"/>
      <c r="DH903" s="48"/>
      <c r="DI903" s="48"/>
      <c r="DJ903" s="48"/>
      <c r="DK903" s="48"/>
      <c r="DL903" s="48"/>
      <c r="DM903" s="48"/>
      <c r="DN903" s="48"/>
      <c r="DO903" s="48"/>
      <c r="DP903" s="48"/>
      <c r="DQ903" s="48"/>
      <c r="DR903" s="48"/>
      <c r="DS903" s="48"/>
      <c r="DT903" s="48"/>
      <c r="DU903" s="48"/>
      <c r="DV903" s="48"/>
      <c r="DW903" s="48"/>
      <c r="DX903" s="48"/>
      <c r="DY903" s="48"/>
      <c r="DZ903" s="48"/>
      <c r="EA903" s="48"/>
      <c r="EC903" s="48"/>
      <c r="ED903" s="48"/>
      <c r="EE903" s="48"/>
      <c r="EF903" s="48"/>
      <c r="EG903" s="48"/>
      <c r="EI903" s="48"/>
      <c r="EK903" s="48"/>
      <c r="EM903" s="48"/>
      <c r="EO903" s="48"/>
      <c r="EP903" s="48"/>
      <c r="EU903" s="48"/>
      <c r="EV903" s="48"/>
      <c r="EW903" s="48"/>
      <c r="EX903" s="48"/>
      <c r="EY903" s="48"/>
      <c r="EZ903" s="48"/>
      <c r="FA903" s="48"/>
      <c r="FB903" s="48"/>
      <c r="FC903" s="48"/>
      <c r="FD903" s="48"/>
      <c r="FE903" s="48"/>
      <c r="FF903" s="48"/>
      <c r="FG903" s="48"/>
      <c r="FI903" s="48"/>
      <c r="FL903" s="48"/>
      <c r="FM903" s="48"/>
      <c r="FN903" s="48"/>
      <c r="FO903" s="48"/>
      <c r="FP903" s="48"/>
      <c r="FQ903" s="48"/>
      <c r="FR903" s="48"/>
      <c r="FS903" s="48"/>
      <c r="FT903" s="48"/>
      <c r="FU903" s="48"/>
    </row>
    <row r="904" spans="1:177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52"/>
      <c r="BF904" s="48"/>
      <c r="BG904" s="48"/>
      <c r="BI904" s="48"/>
      <c r="BN904" s="48"/>
      <c r="BO904" s="48"/>
      <c r="BR904" s="48"/>
      <c r="BS904" s="48"/>
      <c r="BW904" s="48"/>
      <c r="CA904" s="48"/>
      <c r="CE904" s="48"/>
      <c r="CF904" s="48"/>
      <c r="CG904" s="48"/>
      <c r="CH904" s="48"/>
      <c r="CI904" s="48"/>
      <c r="CJ904" s="48"/>
      <c r="CL904" s="48"/>
      <c r="CM904" s="48"/>
      <c r="CN904" s="48"/>
      <c r="CO904" s="48"/>
      <c r="CP904" s="48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  <c r="DE904" s="48"/>
      <c r="DF904" s="48"/>
      <c r="DG904" s="48"/>
      <c r="DH904" s="48"/>
      <c r="DI904" s="48"/>
      <c r="DJ904" s="48"/>
      <c r="DK904" s="48"/>
      <c r="DL904" s="48"/>
      <c r="DM904" s="48"/>
      <c r="DN904" s="48"/>
      <c r="DO904" s="48"/>
      <c r="DP904" s="48"/>
      <c r="DQ904" s="48"/>
      <c r="DR904" s="48"/>
      <c r="DS904" s="48"/>
      <c r="DT904" s="48"/>
      <c r="DU904" s="48"/>
      <c r="DV904" s="48"/>
      <c r="DW904" s="48"/>
      <c r="DX904" s="48"/>
      <c r="DY904" s="48"/>
      <c r="DZ904" s="48"/>
      <c r="EA904" s="48"/>
      <c r="EC904" s="48"/>
      <c r="ED904" s="48"/>
      <c r="EE904" s="48"/>
      <c r="EF904" s="48"/>
      <c r="EG904" s="48"/>
      <c r="EI904" s="48"/>
      <c r="EK904" s="48"/>
      <c r="EM904" s="48"/>
      <c r="EO904" s="48"/>
      <c r="EP904" s="48"/>
      <c r="EU904" s="48"/>
      <c r="EV904" s="48"/>
      <c r="EW904" s="48"/>
      <c r="EX904" s="48"/>
      <c r="EY904" s="48"/>
      <c r="EZ904" s="48"/>
      <c r="FA904" s="48"/>
      <c r="FB904" s="48"/>
      <c r="FC904" s="48"/>
      <c r="FD904" s="48"/>
      <c r="FE904" s="48"/>
      <c r="FF904" s="48"/>
      <c r="FG904" s="48"/>
      <c r="FI904" s="48"/>
      <c r="FL904" s="48"/>
      <c r="FM904" s="48"/>
      <c r="FN904" s="48"/>
      <c r="FO904" s="48"/>
      <c r="FP904" s="48"/>
      <c r="FQ904" s="48"/>
      <c r="FR904" s="48"/>
      <c r="FS904" s="48"/>
      <c r="FT904" s="48"/>
      <c r="FU904" s="48"/>
    </row>
    <row r="905" spans="1:177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52"/>
      <c r="BF905" s="48"/>
      <c r="BG905" s="48"/>
      <c r="BI905" s="48"/>
      <c r="BN905" s="48"/>
      <c r="BO905" s="48"/>
      <c r="BR905" s="48"/>
      <c r="BS905" s="48"/>
      <c r="BW905" s="48"/>
      <c r="CA905" s="48"/>
      <c r="CE905" s="48"/>
      <c r="CF905" s="48"/>
      <c r="CG905" s="48"/>
      <c r="CH905" s="48"/>
      <c r="CI905" s="48"/>
      <c r="CJ905" s="48"/>
      <c r="CL905" s="48"/>
      <c r="CM905" s="48"/>
      <c r="CN905" s="48"/>
      <c r="CO905" s="48"/>
      <c r="CP905" s="48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  <c r="DD905" s="48"/>
      <c r="DE905" s="48"/>
      <c r="DF905" s="48"/>
      <c r="DG905" s="48"/>
      <c r="DH905" s="48"/>
      <c r="DI905" s="48"/>
      <c r="DJ905" s="48"/>
      <c r="DK905" s="48"/>
      <c r="DL905" s="48"/>
      <c r="DM905" s="48"/>
      <c r="DN905" s="48"/>
      <c r="DO905" s="48"/>
      <c r="DP905" s="48"/>
      <c r="DQ905" s="48"/>
      <c r="DR905" s="48"/>
      <c r="DS905" s="48"/>
      <c r="DT905" s="48"/>
      <c r="DU905" s="48"/>
      <c r="DV905" s="48"/>
      <c r="DW905" s="48"/>
      <c r="DX905" s="48"/>
      <c r="DY905" s="48"/>
      <c r="DZ905" s="48"/>
      <c r="EA905" s="48"/>
      <c r="EC905" s="48"/>
      <c r="ED905" s="48"/>
      <c r="EE905" s="48"/>
      <c r="EF905" s="48"/>
      <c r="EG905" s="48"/>
      <c r="EI905" s="48"/>
      <c r="EK905" s="48"/>
      <c r="EM905" s="48"/>
      <c r="EO905" s="48"/>
      <c r="EP905" s="48"/>
      <c r="EU905" s="48"/>
      <c r="EV905" s="48"/>
      <c r="EW905" s="48"/>
      <c r="EX905" s="48"/>
      <c r="EY905" s="48"/>
      <c r="EZ905" s="48"/>
      <c r="FA905" s="48"/>
      <c r="FB905" s="48"/>
      <c r="FC905" s="48"/>
      <c r="FD905" s="48"/>
      <c r="FE905" s="48"/>
      <c r="FF905" s="48"/>
      <c r="FG905" s="48"/>
      <c r="FI905" s="48"/>
      <c r="FL905" s="48"/>
      <c r="FM905" s="48"/>
      <c r="FN905" s="48"/>
      <c r="FO905" s="48"/>
      <c r="FP905" s="48"/>
      <c r="FQ905" s="48"/>
      <c r="FR905" s="48"/>
      <c r="FS905" s="48"/>
      <c r="FT905" s="48"/>
      <c r="FU905" s="48"/>
    </row>
    <row r="906" spans="1:177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52"/>
      <c r="BF906" s="48"/>
      <c r="BG906" s="48"/>
      <c r="BI906" s="48"/>
      <c r="BN906" s="48"/>
      <c r="BO906" s="48"/>
      <c r="BR906" s="48"/>
      <c r="BS906" s="48"/>
      <c r="BW906" s="48"/>
      <c r="CA906" s="48"/>
      <c r="CE906" s="48"/>
      <c r="CF906" s="48"/>
      <c r="CG906" s="48"/>
      <c r="CH906" s="48"/>
      <c r="CI906" s="48"/>
      <c r="CJ906" s="48"/>
      <c r="CL906" s="48"/>
      <c r="CM906" s="48"/>
      <c r="CN906" s="48"/>
      <c r="CO906" s="48"/>
      <c r="CP906" s="48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  <c r="DD906" s="48"/>
      <c r="DE906" s="48"/>
      <c r="DF906" s="48"/>
      <c r="DG906" s="48"/>
      <c r="DH906" s="48"/>
      <c r="DI906" s="48"/>
      <c r="DJ906" s="48"/>
      <c r="DK906" s="48"/>
      <c r="DL906" s="48"/>
      <c r="DM906" s="48"/>
      <c r="DN906" s="48"/>
      <c r="DO906" s="48"/>
      <c r="DP906" s="48"/>
      <c r="DQ906" s="48"/>
      <c r="DR906" s="48"/>
      <c r="DS906" s="48"/>
      <c r="DT906" s="48"/>
      <c r="DU906" s="48"/>
      <c r="DV906" s="48"/>
      <c r="DW906" s="48"/>
      <c r="DX906" s="48"/>
      <c r="DY906" s="48"/>
      <c r="DZ906" s="48"/>
      <c r="EA906" s="48"/>
      <c r="EC906" s="48"/>
      <c r="ED906" s="48"/>
      <c r="EE906" s="48"/>
      <c r="EF906" s="48"/>
      <c r="EG906" s="48"/>
      <c r="EI906" s="48"/>
      <c r="EK906" s="48"/>
      <c r="EM906" s="48"/>
      <c r="EO906" s="48"/>
      <c r="EP906" s="48"/>
      <c r="EU906" s="48"/>
      <c r="EV906" s="48"/>
      <c r="EW906" s="48"/>
      <c r="EX906" s="48"/>
      <c r="EY906" s="48"/>
      <c r="EZ906" s="48"/>
      <c r="FA906" s="48"/>
      <c r="FB906" s="48"/>
      <c r="FC906" s="48"/>
      <c r="FD906" s="48"/>
      <c r="FE906" s="48"/>
      <c r="FF906" s="48"/>
      <c r="FG906" s="48"/>
      <c r="FI906" s="48"/>
      <c r="FL906" s="48"/>
      <c r="FM906" s="48"/>
      <c r="FN906" s="48"/>
      <c r="FO906" s="48"/>
      <c r="FP906" s="48"/>
      <c r="FQ906" s="48"/>
      <c r="FR906" s="48"/>
      <c r="FS906" s="48"/>
      <c r="FT906" s="48"/>
      <c r="FU906" s="48"/>
    </row>
    <row r="907" spans="1:17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52"/>
      <c r="BF907" s="48"/>
      <c r="BG907" s="48"/>
      <c r="BI907" s="48"/>
      <c r="BN907" s="48"/>
      <c r="BO907" s="48"/>
      <c r="BR907" s="48"/>
      <c r="BS907" s="48"/>
      <c r="BW907" s="48"/>
      <c r="CA907" s="48"/>
      <c r="CE907" s="48"/>
      <c r="CF907" s="48"/>
      <c r="CG907" s="48"/>
      <c r="CH907" s="48"/>
      <c r="CI907" s="48"/>
      <c r="CJ907" s="48"/>
      <c r="CL907" s="48"/>
      <c r="CM907" s="48"/>
      <c r="CN907" s="48"/>
      <c r="CO907" s="48"/>
      <c r="CP907" s="48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  <c r="DE907" s="48"/>
      <c r="DF907" s="48"/>
      <c r="DG907" s="48"/>
      <c r="DH907" s="48"/>
      <c r="DI907" s="48"/>
      <c r="DJ907" s="48"/>
      <c r="DK907" s="48"/>
      <c r="DL907" s="48"/>
      <c r="DM907" s="48"/>
      <c r="DN907" s="48"/>
      <c r="DO907" s="48"/>
      <c r="DP907" s="48"/>
      <c r="DQ907" s="48"/>
      <c r="DR907" s="48"/>
      <c r="DS907" s="48"/>
      <c r="DT907" s="48"/>
      <c r="DU907" s="48"/>
      <c r="DV907" s="48"/>
      <c r="DW907" s="48"/>
      <c r="DX907" s="48"/>
      <c r="DY907" s="48"/>
      <c r="DZ907" s="48"/>
      <c r="EA907" s="48"/>
      <c r="EC907" s="48"/>
      <c r="ED907" s="48"/>
      <c r="EE907" s="48"/>
      <c r="EF907" s="48"/>
      <c r="EG907" s="48"/>
      <c r="EI907" s="48"/>
      <c r="EK907" s="48"/>
      <c r="EM907" s="48"/>
      <c r="EO907" s="48"/>
      <c r="EP907" s="48"/>
      <c r="EU907" s="48"/>
      <c r="EV907" s="48"/>
      <c r="EW907" s="48"/>
      <c r="EX907" s="48"/>
      <c r="EY907" s="48"/>
      <c r="EZ907" s="48"/>
      <c r="FA907" s="48"/>
      <c r="FB907" s="48"/>
      <c r="FC907" s="48"/>
      <c r="FD907" s="48"/>
      <c r="FE907" s="48"/>
      <c r="FF907" s="48"/>
      <c r="FG907" s="48"/>
      <c r="FI907" s="48"/>
      <c r="FL907" s="48"/>
      <c r="FM907" s="48"/>
      <c r="FN907" s="48"/>
      <c r="FO907" s="48"/>
      <c r="FP907" s="48"/>
      <c r="FQ907" s="48"/>
      <c r="FR907" s="48"/>
      <c r="FS907" s="48"/>
      <c r="FT907" s="48"/>
      <c r="FU907" s="48"/>
    </row>
    <row r="908" spans="1:177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52"/>
      <c r="BF908" s="48"/>
      <c r="BG908" s="48"/>
      <c r="BI908" s="48"/>
      <c r="BN908" s="48"/>
      <c r="BO908" s="48"/>
      <c r="BR908" s="48"/>
      <c r="BS908" s="48"/>
      <c r="BW908" s="48"/>
      <c r="CA908" s="48"/>
      <c r="CE908" s="48"/>
      <c r="CF908" s="48"/>
      <c r="CG908" s="48"/>
      <c r="CH908" s="48"/>
      <c r="CI908" s="48"/>
      <c r="CJ908" s="48"/>
      <c r="CL908" s="48"/>
      <c r="CM908" s="48"/>
      <c r="CN908" s="48"/>
      <c r="CO908" s="48"/>
      <c r="CP908" s="48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  <c r="DD908" s="48"/>
      <c r="DE908" s="48"/>
      <c r="DF908" s="48"/>
      <c r="DG908" s="48"/>
      <c r="DH908" s="48"/>
      <c r="DI908" s="48"/>
      <c r="DJ908" s="48"/>
      <c r="DK908" s="48"/>
      <c r="DL908" s="48"/>
      <c r="DM908" s="48"/>
      <c r="DN908" s="48"/>
      <c r="DO908" s="48"/>
      <c r="DP908" s="48"/>
      <c r="DQ908" s="48"/>
      <c r="DR908" s="48"/>
      <c r="DS908" s="48"/>
      <c r="DT908" s="48"/>
      <c r="DU908" s="48"/>
      <c r="DV908" s="48"/>
      <c r="DW908" s="48"/>
      <c r="DX908" s="48"/>
      <c r="DY908" s="48"/>
      <c r="DZ908" s="48"/>
      <c r="EA908" s="48"/>
      <c r="EC908" s="48"/>
      <c r="ED908" s="48"/>
      <c r="EE908" s="48"/>
      <c r="EF908" s="48"/>
      <c r="EG908" s="48"/>
      <c r="EI908" s="48"/>
      <c r="EK908" s="48"/>
      <c r="EM908" s="48"/>
      <c r="EO908" s="48"/>
      <c r="EP908" s="48"/>
      <c r="EU908" s="48"/>
      <c r="EV908" s="48"/>
      <c r="EW908" s="48"/>
      <c r="EX908" s="48"/>
      <c r="EY908" s="48"/>
      <c r="EZ908" s="48"/>
      <c r="FA908" s="48"/>
      <c r="FB908" s="48"/>
      <c r="FC908" s="48"/>
      <c r="FD908" s="48"/>
      <c r="FE908" s="48"/>
      <c r="FF908" s="48"/>
      <c r="FG908" s="48"/>
      <c r="FI908" s="48"/>
      <c r="FL908" s="48"/>
      <c r="FM908" s="48"/>
      <c r="FN908" s="48"/>
      <c r="FO908" s="48"/>
      <c r="FP908" s="48"/>
      <c r="FQ908" s="48"/>
      <c r="FR908" s="48"/>
      <c r="FS908" s="48"/>
      <c r="FT908" s="48"/>
      <c r="FU908" s="48"/>
    </row>
    <row r="909" spans="1:177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52"/>
      <c r="BF909" s="48"/>
      <c r="BG909" s="48"/>
      <c r="BI909" s="48"/>
      <c r="BN909" s="48"/>
      <c r="BO909" s="48"/>
      <c r="BR909" s="48"/>
      <c r="BS909" s="48"/>
      <c r="BW909" s="48"/>
      <c r="CA909" s="48"/>
      <c r="CE909" s="48"/>
      <c r="CF909" s="48"/>
      <c r="CG909" s="48"/>
      <c r="CH909" s="48"/>
      <c r="CI909" s="48"/>
      <c r="CJ909" s="48"/>
      <c r="CL909" s="48"/>
      <c r="CM909" s="48"/>
      <c r="CN909" s="48"/>
      <c r="CO909" s="48"/>
      <c r="CP909" s="48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  <c r="DD909" s="48"/>
      <c r="DE909" s="48"/>
      <c r="DF909" s="48"/>
      <c r="DG909" s="48"/>
      <c r="DH909" s="48"/>
      <c r="DI909" s="48"/>
      <c r="DJ909" s="48"/>
      <c r="DK909" s="48"/>
      <c r="DL909" s="48"/>
      <c r="DM909" s="48"/>
      <c r="DN909" s="48"/>
      <c r="DO909" s="48"/>
      <c r="DP909" s="48"/>
      <c r="DQ909" s="48"/>
      <c r="DR909" s="48"/>
      <c r="DS909" s="48"/>
      <c r="DT909" s="48"/>
      <c r="DU909" s="48"/>
      <c r="DV909" s="48"/>
      <c r="DW909" s="48"/>
      <c r="DX909" s="48"/>
      <c r="DY909" s="48"/>
      <c r="DZ909" s="48"/>
      <c r="EA909" s="48"/>
      <c r="EC909" s="48"/>
      <c r="ED909" s="48"/>
      <c r="EE909" s="48"/>
      <c r="EF909" s="48"/>
      <c r="EG909" s="48"/>
      <c r="EI909" s="48"/>
      <c r="EK909" s="48"/>
      <c r="EM909" s="48"/>
      <c r="EO909" s="48"/>
      <c r="EP909" s="48"/>
      <c r="EU909" s="48"/>
      <c r="EV909" s="48"/>
      <c r="EW909" s="48"/>
      <c r="EX909" s="48"/>
      <c r="EY909" s="48"/>
      <c r="EZ909" s="48"/>
      <c r="FA909" s="48"/>
      <c r="FB909" s="48"/>
      <c r="FC909" s="48"/>
      <c r="FD909" s="48"/>
      <c r="FE909" s="48"/>
      <c r="FF909" s="48"/>
      <c r="FG909" s="48"/>
      <c r="FI909" s="48"/>
      <c r="FL909" s="48"/>
      <c r="FM909" s="48"/>
      <c r="FN909" s="48"/>
      <c r="FO909" s="48"/>
      <c r="FP909" s="48"/>
      <c r="FQ909" s="48"/>
      <c r="FR909" s="48"/>
      <c r="FS909" s="48"/>
      <c r="FT909" s="48"/>
      <c r="FU909" s="48"/>
    </row>
    <row r="910" spans="1:177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52"/>
      <c r="BF910" s="48"/>
      <c r="BG910" s="48"/>
      <c r="BI910" s="48"/>
      <c r="BN910" s="48"/>
      <c r="BO910" s="48"/>
      <c r="BR910" s="48"/>
      <c r="BS910" s="48"/>
      <c r="BW910" s="48"/>
      <c r="CA910" s="48"/>
      <c r="CE910" s="48"/>
      <c r="CF910" s="48"/>
      <c r="CG910" s="48"/>
      <c r="CH910" s="48"/>
      <c r="CI910" s="48"/>
      <c r="CJ910" s="48"/>
      <c r="CL910" s="48"/>
      <c r="CM910" s="48"/>
      <c r="CN910" s="48"/>
      <c r="CO910" s="48"/>
      <c r="CP910" s="48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  <c r="DE910" s="48"/>
      <c r="DF910" s="48"/>
      <c r="DG910" s="48"/>
      <c r="DH910" s="48"/>
      <c r="DI910" s="48"/>
      <c r="DJ910" s="48"/>
      <c r="DK910" s="48"/>
      <c r="DL910" s="48"/>
      <c r="DM910" s="48"/>
      <c r="DN910" s="48"/>
      <c r="DO910" s="48"/>
      <c r="DP910" s="48"/>
      <c r="DQ910" s="48"/>
      <c r="DR910" s="48"/>
      <c r="DS910" s="48"/>
      <c r="DT910" s="48"/>
      <c r="DU910" s="48"/>
      <c r="DV910" s="48"/>
      <c r="DW910" s="48"/>
      <c r="DX910" s="48"/>
      <c r="DY910" s="48"/>
      <c r="DZ910" s="48"/>
      <c r="EA910" s="48"/>
      <c r="EC910" s="48"/>
      <c r="ED910" s="48"/>
      <c r="EE910" s="48"/>
      <c r="EF910" s="48"/>
      <c r="EG910" s="48"/>
      <c r="EI910" s="48"/>
      <c r="EK910" s="48"/>
      <c r="EM910" s="48"/>
      <c r="EO910" s="48"/>
      <c r="EP910" s="48"/>
      <c r="EU910" s="48"/>
      <c r="EV910" s="48"/>
      <c r="EW910" s="48"/>
      <c r="EX910" s="48"/>
      <c r="EY910" s="48"/>
      <c r="EZ910" s="48"/>
      <c r="FA910" s="48"/>
      <c r="FB910" s="48"/>
      <c r="FC910" s="48"/>
      <c r="FD910" s="48"/>
      <c r="FE910" s="48"/>
      <c r="FF910" s="48"/>
      <c r="FG910" s="48"/>
      <c r="FI910" s="48"/>
      <c r="FL910" s="48"/>
      <c r="FM910" s="48"/>
      <c r="FN910" s="48"/>
      <c r="FO910" s="48"/>
      <c r="FP910" s="48"/>
      <c r="FQ910" s="48"/>
      <c r="FR910" s="48"/>
      <c r="FS910" s="48"/>
      <c r="FT910" s="48"/>
      <c r="FU910" s="48"/>
    </row>
    <row r="911" spans="1:177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52"/>
      <c r="BF911" s="48"/>
      <c r="BG911" s="48"/>
      <c r="BI911" s="48"/>
      <c r="BN911" s="48"/>
      <c r="BO911" s="48"/>
      <c r="BR911" s="48"/>
      <c r="BS911" s="48"/>
      <c r="BW911" s="48"/>
      <c r="CA911" s="48"/>
      <c r="CE911" s="48"/>
      <c r="CF911" s="48"/>
      <c r="CG911" s="48"/>
      <c r="CH911" s="48"/>
      <c r="CI911" s="48"/>
      <c r="CJ911" s="48"/>
      <c r="CL911" s="48"/>
      <c r="CM911" s="48"/>
      <c r="CN911" s="48"/>
      <c r="CO911" s="48"/>
      <c r="CP911" s="48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  <c r="DD911" s="48"/>
      <c r="DE911" s="48"/>
      <c r="DF911" s="48"/>
      <c r="DG911" s="48"/>
      <c r="DH911" s="48"/>
      <c r="DI911" s="48"/>
      <c r="DJ911" s="48"/>
      <c r="DK911" s="48"/>
      <c r="DL911" s="48"/>
      <c r="DM911" s="48"/>
      <c r="DN911" s="48"/>
      <c r="DO911" s="48"/>
      <c r="DP911" s="48"/>
      <c r="DQ911" s="48"/>
      <c r="DR911" s="48"/>
      <c r="DS911" s="48"/>
      <c r="DT911" s="48"/>
      <c r="DU911" s="48"/>
      <c r="DV911" s="48"/>
      <c r="DW911" s="48"/>
      <c r="DX911" s="48"/>
      <c r="DY911" s="48"/>
      <c r="DZ911" s="48"/>
      <c r="EA911" s="48"/>
      <c r="EC911" s="48"/>
      <c r="ED911" s="48"/>
      <c r="EE911" s="48"/>
      <c r="EF911" s="48"/>
      <c r="EG911" s="48"/>
      <c r="EI911" s="48"/>
      <c r="EK911" s="48"/>
      <c r="EM911" s="48"/>
      <c r="EO911" s="48"/>
      <c r="EP911" s="48"/>
      <c r="EU911" s="48"/>
      <c r="EV911" s="48"/>
      <c r="EW911" s="48"/>
      <c r="EX911" s="48"/>
      <c r="EY911" s="48"/>
      <c r="EZ911" s="48"/>
      <c r="FA911" s="48"/>
      <c r="FB911" s="48"/>
      <c r="FC911" s="48"/>
      <c r="FD911" s="48"/>
      <c r="FE911" s="48"/>
      <c r="FF911" s="48"/>
      <c r="FG911" s="48"/>
      <c r="FI911" s="48"/>
      <c r="FL911" s="48"/>
      <c r="FM911" s="48"/>
      <c r="FN911" s="48"/>
      <c r="FO911" s="48"/>
      <c r="FP911" s="48"/>
      <c r="FQ911" s="48"/>
      <c r="FR911" s="48"/>
      <c r="FS911" s="48"/>
      <c r="FT911" s="48"/>
      <c r="FU911" s="48"/>
    </row>
    <row r="912" spans="1:177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52"/>
      <c r="BF912" s="48"/>
      <c r="BG912" s="48"/>
      <c r="BI912" s="48"/>
      <c r="BN912" s="48"/>
      <c r="BO912" s="48"/>
      <c r="BR912" s="48"/>
      <c r="BS912" s="48"/>
      <c r="BW912" s="48"/>
      <c r="CA912" s="48"/>
      <c r="CE912" s="48"/>
      <c r="CF912" s="48"/>
      <c r="CG912" s="48"/>
      <c r="CH912" s="48"/>
      <c r="CI912" s="48"/>
      <c r="CJ912" s="48"/>
      <c r="CL912" s="48"/>
      <c r="CM912" s="48"/>
      <c r="CN912" s="48"/>
      <c r="CO912" s="48"/>
      <c r="CP912" s="48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  <c r="DD912" s="48"/>
      <c r="DE912" s="48"/>
      <c r="DF912" s="48"/>
      <c r="DG912" s="48"/>
      <c r="DH912" s="48"/>
      <c r="DI912" s="48"/>
      <c r="DJ912" s="48"/>
      <c r="DK912" s="48"/>
      <c r="DL912" s="48"/>
      <c r="DM912" s="48"/>
      <c r="DN912" s="48"/>
      <c r="DO912" s="48"/>
      <c r="DP912" s="48"/>
      <c r="DQ912" s="48"/>
      <c r="DR912" s="48"/>
      <c r="DS912" s="48"/>
      <c r="DT912" s="48"/>
      <c r="DU912" s="48"/>
      <c r="DV912" s="48"/>
      <c r="DW912" s="48"/>
      <c r="DX912" s="48"/>
      <c r="DY912" s="48"/>
      <c r="DZ912" s="48"/>
      <c r="EA912" s="48"/>
      <c r="EC912" s="48"/>
      <c r="ED912" s="48"/>
      <c r="EE912" s="48"/>
      <c r="EF912" s="48"/>
      <c r="EG912" s="48"/>
      <c r="EI912" s="48"/>
      <c r="EK912" s="48"/>
      <c r="EM912" s="48"/>
      <c r="EO912" s="48"/>
      <c r="EP912" s="48"/>
      <c r="EU912" s="48"/>
      <c r="EV912" s="48"/>
      <c r="EW912" s="48"/>
      <c r="EX912" s="48"/>
      <c r="EY912" s="48"/>
      <c r="EZ912" s="48"/>
      <c r="FA912" s="48"/>
      <c r="FB912" s="48"/>
      <c r="FC912" s="48"/>
      <c r="FD912" s="48"/>
      <c r="FE912" s="48"/>
      <c r="FF912" s="48"/>
      <c r="FG912" s="48"/>
      <c r="FI912" s="48"/>
      <c r="FL912" s="48"/>
      <c r="FM912" s="48"/>
      <c r="FN912" s="48"/>
      <c r="FO912" s="48"/>
      <c r="FP912" s="48"/>
      <c r="FQ912" s="48"/>
      <c r="FR912" s="48"/>
      <c r="FS912" s="48"/>
      <c r="FT912" s="48"/>
      <c r="FU912" s="48"/>
    </row>
    <row r="913" spans="1:177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52"/>
      <c r="BF913" s="48"/>
      <c r="BG913" s="48"/>
      <c r="BI913" s="48"/>
      <c r="BN913" s="48"/>
      <c r="BO913" s="48"/>
      <c r="BR913" s="48"/>
      <c r="BS913" s="48"/>
      <c r="BW913" s="48"/>
      <c r="CA913" s="48"/>
      <c r="CE913" s="48"/>
      <c r="CF913" s="48"/>
      <c r="CG913" s="48"/>
      <c r="CH913" s="48"/>
      <c r="CI913" s="48"/>
      <c r="CJ913" s="48"/>
      <c r="CL913" s="48"/>
      <c r="CM913" s="48"/>
      <c r="CN913" s="48"/>
      <c r="CO913" s="48"/>
      <c r="CP913" s="48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  <c r="DE913" s="48"/>
      <c r="DF913" s="48"/>
      <c r="DG913" s="48"/>
      <c r="DH913" s="48"/>
      <c r="DI913" s="48"/>
      <c r="DJ913" s="48"/>
      <c r="DK913" s="48"/>
      <c r="DL913" s="48"/>
      <c r="DM913" s="48"/>
      <c r="DN913" s="48"/>
      <c r="DO913" s="48"/>
      <c r="DP913" s="48"/>
      <c r="DQ913" s="48"/>
      <c r="DR913" s="48"/>
      <c r="DS913" s="48"/>
      <c r="DT913" s="48"/>
      <c r="DU913" s="48"/>
      <c r="DV913" s="48"/>
      <c r="DW913" s="48"/>
      <c r="DX913" s="48"/>
      <c r="DY913" s="48"/>
      <c r="DZ913" s="48"/>
      <c r="EA913" s="48"/>
      <c r="EC913" s="48"/>
      <c r="ED913" s="48"/>
      <c r="EE913" s="48"/>
      <c r="EF913" s="48"/>
      <c r="EG913" s="48"/>
      <c r="EI913" s="48"/>
      <c r="EK913" s="48"/>
      <c r="EM913" s="48"/>
      <c r="EO913" s="48"/>
      <c r="EP913" s="48"/>
      <c r="EU913" s="48"/>
      <c r="EV913" s="48"/>
      <c r="EW913" s="48"/>
      <c r="EX913" s="48"/>
      <c r="EY913" s="48"/>
      <c r="EZ913" s="48"/>
      <c r="FA913" s="48"/>
      <c r="FB913" s="48"/>
      <c r="FC913" s="48"/>
      <c r="FD913" s="48"/>
      <c r="FE913" s="48"/>
      <c r="FF913" s="48"/>
      <c r="FG913" s="48"/>
      <c r="FI913" s="48"/>
      <c r="FL913" s="48"/>
      <c r="FM913" s="48"/>
      <c r="FN913" s="48"/>
      <c r="FO913" s="48"/>
      <c r="FP913" s="48"/>
      <c r="FQ913" s="48"/>
      <c r="FR913" s="48"/>
      <c r="FS913" s="48"/>
      <c r="FT913" s="48"/>
      <c r="FU913" s="48"/>
    </row>
    <row r="914" spans="1:177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52"/>
      <c r="BF914" s="48"/>
      <c r="BG914" s="48"/>
      <c r="BI914" s="48"/>
      <c r="BN914" s="48"/>
      <c r="BO914" s="48"/>
      <c r="BR914" s="48"/>
      <c r="BS914" s="48"/>
      <c r="BW914" s="48"/>
      <c r="CA914" s="48"/>
      <c r="CE914" s="48"/>
      <c r="CF914" s="48"/>
      <c r="CG914" s="48"/>
      <c r="CH914" s="48"/>
      <c r="CI914" s="48"/>
      <c r="CJ914" s="48"/>
      <c r="CL914" s="48"/>
      <c r="CM914" s="48"/>
      <c r="CN914" s="48"/>
      <c r="CO914" s="48"/>
      <c r="CP914" s="48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  <c r="DD914" s="48"/>
      <c r="DE914" s="48"/>
      <c r="DF914" s="48"/>
      <c r="DG914" s="48"/>
      <c r="DH914" s="48"/>
      <c r="DI914" s="48"/>
      <c r="DJ914" s="48"/>
      <c r="DK914" s="48"/>
      <c r="DL914" s="48"/>
      <c r="DM914" s="48"/>
      <c r="DN914" s="48"/>
      <c r="DO914" s="48"/>
      <c r="DP914" s="48"/>
      <c r="DQ914" s="48"/>
      <c r="DR914" s="48"/>
      <c r="DS914" s="48"/>
      <c r="DT914" s="48"/>
      <c r="DU914" s="48"/>
      <c r="DV914" s="48"/>
      <c r="DW914" s="48"/>
      <c r="DX914" s="48"/>
      <c r="DY914" s="48"/>
      <c r="DZ914" s="48"/>
      <c r="EA914" s="48"/>
      <c r="EC914" s="48"/>
      <c r="ED914" s="48"/>
      <c r="EE914" s="48"/>
      <c r="EF914" s="48"/>
      <c r="EG914" s="48"/>
      <c r="EI914" s="48"/>
      <c r="EK914" s="48"/>
      <c r="EM914" s="48"/>
      <c r="EO914" s="48"/>
      <c r="EP914" s="48"/>
      <c r="EU914" s="48"/>
      <c r="EV914" s="48"/>
      <c r="EW914" s="48"/>
      <c r="EX914" s="48"/>
      <c r="EY914" s="48"/>
      <c r="EZ914" s="48"/>
      <c r="FA914" s="48"/>
      <c r="FB914" s="48"/>
      <c r="FC914" s="48"/>
      <c r="FD914" s="48"/>
      <c r="FE914" s="48"/>
      <c r="FF914" s="48"/>
      <c r="FG914" s="48"/>
      <c r="FI914" s="48"/>
      <c r="FL914" s="48"/>
      <c r="FM914" s="48"/>
      <c r="FN914" s="48"/>
      <c r="FO914" s="48"/>
      <c r="FP914" s="48"/>
      <c r="FQ914" s="48"/>
      <c r="FR914" s="48"/>
      <c r="FS914" s="48"/>
      <c r="FT914" s="48"/>
      <c r="FU914" s="48"/>
    </row>
    <row r="915" spans="1:177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52"/>
      <c r="BF915" s="48"/>
      <c r="BG915" s="48"/>
      <c r="BI915" s="48"/>
      <c r="BN915" s="48"/>
      <c r="BO915" s="48"/>
      <c r="BR915" s="48"/>
      <c r="BS915" s="48"/>
      <c r="BW915" s="48"/>
      <c r="CA915" s="48"/>
      <c r="CE915" s="48"/>
      <c r="CF915" s="48"/>
      <c r="CG915" s="48"/>
      <c r="CH915" s="48"/>
      <c r="CI915" s="48"/>
      <c r="CJ915" s="48"/>
      <c r="CL915" s="48"/>
      <c r="CM915" s="48"/>
      <c r="CN915" s="48"/>
      <c r="CO915" s="48"/>
      <c r="CP915" s="48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  <c r="DD915" s="48"/>
      <c r="DE915" s="48"/>
      <c r="DF915" s="48"/>
      <c r="DG915" s="48"/>
      <c r="DH915" s="48"/>
      <c r="DI915" s="48"/>
      <c r="DJ915" s="48"/>
      <c r="DK915" s="48"/>
      <c r="DL915" s="48"/>
      <c r="DM915" s="48"/>
      <c r="DN915" s="48"/>
      <c r="DO915" s="48"/>
      <c r="DP915" s="48"/>
      <c r="DQ915" s="48"/>
      <c r="DR915" s="48"/>
      <c r="DS915" s="48"/>
      <c r="DT915" s="48"/>
      <c r="DU915" s="48"/>
      <c r="DV915" s="48"/>
      <c r="DW915" s="48"/>
      <c r="DX915" s="48"/>
      <c r="DY915" s="48"/>
      <c r="DZ915" s="48"/>
      <c r="EA915" s="48"/>
      <c r="EC915" s="48"/>
      <c r="ED915" s="48"/>
      <c r="EE915" s="48"/>
      <c r="EF915" s="48"/>
      <c r="EG915" s="48"/>
      <c r="EI915" s="48"/>
      <c r="EK915" s="48"/>
      <c r="EM915" s="48"/>
      <c r="EO915" s="48"/>
      <c r="EP915" s="48"/>
      <c r="EU915" s="48"/>
      <c r="EV915" s="48"/>
      <c r="EW915" s="48"/>
      <c r="EX915" s="48"/>
      <c r="EY915" s="48"/>
      <c r="EZ915" s="48"/>
      <c r="FA915" s="48"/>
      <c r="FB915" s="48"/>
      <c r="FC915" s="48"/>
      <c r="FD915" s="48"/>
      <c r="FE915" s="48"/>
      <c r="FF915" s="48"/>
      <c r="FG915" s="48"/>
      <c r="FI915" s="48"/>
      <c r="FL915" s="48"/>
      <c r="FM915" s="48"/>
      <c r="FN915" s="48"/>
      <c r="FO915" s="48"/>
      <c r="FP915" s="48"/>
      <c r="FQ915" s="48"/>
      <c r="FR915" s="48"/>
      <c r="FS915" s="48"/>
      <c r="FT915" s="48"/>
      <c r="FU915" s="48"/>
    </row>
    <row r="916" spans="1:177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52"/>
      <c r="BF916" s="48"/>
      <c r="BG916" s="48"/>
      <c r="BI916" s="48"/>
      <c r="BN916" s="48"/>
      <c r="BO916" s="48"/>
      <c r="BR916" s="48"/>
      <c r="BS916" s="48"/>
      <c r="BW916" s="48"/>
      <c r="CA916" s="48"/>
      <c r="CE916" s="48"/>
      <c r="CF916" s="48"/>
      <c r="CG916" s="48"/>
      <c r="CH916" s="48"/>
      <c r="CI916" s="48"/>
      <c r="CJ916" s="48"/>
      <c r="CL916" s="48"/>
      <c r="CM916" s="48"/>
      <c r="CN916" s="48"/>
      <c r="CO916" s="48"/>
      <c r="CP916" s="48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  <c r="DE916" s="48"/>
      <c r="DF916" s="48"/>
      <c r="DG916" s="48"/>
      <c r="DH916" s="48"/>
      <c r="DI916" s="48"/>
      <c r="DJ916" s="48"/>
      <c r="DK916" s="48"/>
      <c r="DL916" s="48"/>
      <c r="DM916" s="48"/>
      <c r="DN916" s="48"/>
      <c r="DO916" s="48"/>
      <c r="DP916" s="48"/>
      <c r="DQ916" s="48"/>
      <c r="DR916" s="48"/>
      <c r="DS916" s="48"/>
      <c r="DT916" s="48"/>
      <c r="DU916" s="48"/>
      <c r="DV916" s="48"/>
      <c r="DW916" s="48"/>
      <c r="DX916" s="48"/>
      <c r="DY916" s="48"/>
      <c r="DZ916" s="48"/>
      <c r="EA916" s="48"/>
      <c r="EC916" s="48"/>
      <c r="ED916" s="48"/>
      <c r="EE916" s="48"/>
      <c r="EF916" s="48"/>
      <c r="EG916" s="48"/>
      <c r="EI916" s="48"/>
      <c r="EK916" s="48"/>
      <c r="EM916" s="48"/>
      <c r="EO916" s="48"/>
      <c r="EP916" s="48"/>
      <c r="EU916" s="48"/>
      <c r="EV916" s="48"/>
      <c r="EW916" s="48"/>
      <c r="EX916" s="48"/>
      <c r="EY916" s="48"/>
      <c r="EZ916" s="48"/>
      <c r="FA916" s="48"/>
      <c r="FB916" s="48"/>
      <c r="FC916" s="48"/>
      <c r="FD916" s="48"/>
      <c r="FE916" s="48"/>
      <c r="FF916" s="48"/>
      <c r="FG916" s="48"/>
      <c r="FI916" s="48"/>
      <c r="FL916" s="48"/>
      <c r="FM916" s="48"/>
      <c r="FN916" s="48"/>
      <c r="FO916" s="48"/>
      <c r="FP916" s="48"/>
      <c r="FQ916" s="48"/>
      <c r="FR916" s="48"/>
      <c r="FS916" s="48"/>
      <c r="FT916" s="48"/>
      <c r="FU916" s="48"/>
    </row>
    <row r="917" spans="1:17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52"/>
      <c r="BF917" s="48"/>
      <c r="BG917" s="48"/>
      <c r="BI917" s="48"/>
      <c r="BN917" s="48"/>
      <c r="BO917" s="48"/>
      <c r="BR917" s="48"/>
      <c r="BS917" s="48"/>
      <c r="BW917" s="48"/>
      <c r="CA917" s="48"/>
      <c r="CE917" s="48"/>
      <c r="CF917" s="48"/>
      <c r="CG917" s="48"/>
      <c r="CH917" s="48"/>
      <c r="CI917" s="48"/>
      <c r="CJ917" s="48"/>
      <c r="CL917" s="48"/>
      <c r="CM917" s="48"/>
      <c r="CN917" s="48"/>
      <c r="CO917" s="48"/>
      <c r="CP917" s="48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  <c r="DD917" s="48"/>
      <c r="DE917" s="48"/>
      <c r="DF917" s="48"/>
      <c r="DG917" s="48"/>
      <c r="DH917" s="48"/>
      <c r="DI917" s="48"/>
      <c r="DJ917" s="48"/>
      <c r="DK917" s="48"/>
      <c r="DL917" s="48"/>
      <c r="DM917" s="48"/>
      <c r="DN917" s="48"/>
      <c r="DO917" s="48"/>
      <c r="DP917" s="48"/>
      <c r="DQ917" s="48"/>
      <c r="DR917" s="48"/>
      <c r="DS917" s="48"/>
      <c r="DT917" s="48"/>
      <c r="DU917" s="48"/>
      <c r="DV917" s="48"/>
      <c r="DW917" s="48"/>
      <c r="DX917" s="48"/>
      <c r="DY917" s="48"/>
      <c r="DZ917" s="48"/>
      <c r="EA917" s="48"/>
      <c r="EC917" s="48"/>
      <c r="ED917" s="48"/>
      <c r="EE917" s="48"/>
      <c r="EF917" s="48"/>
      <c r="EG917" s="48"/>
      <c r="EI917" s="48"/>
      <c r="EK917" s="48"/>
      <c r="EM917" s="48"/>
      <c r="EO917" s="48"/>
      <c r="EP917" s="48"/>
      <c r="EU917" s="48"/>
      <c r="EV917" s="48"/>
      <c r="EW917" s="48"/>
      <c r="EX917" s="48"/>
      <c r="EY917" s="48"/>
      <c r="EZ917" s="48"/>
      <c r="FA917" s="48"/>
      <c r="FB917" s="48"/>
      <c r="FC917" s="48"/>
      <c r="FD917" s="48"/>
      <c r="FE917" s="48"/>
      <c r="FF917" s="48"/>
      <c r="FG917" s="48"/>
      <c r="FI917" s="48"/>
      <c r="FL917" s="48"/>
      <c r="FM917" s="48"/>
      <c r="FN917" s="48"/>
      <c r="FO917" s="48"/>
      <c r="FP917" s="48"/>
      <c r="FQ917" s="48"/>
      <c r="FR917" s="48"/>
      <c r="FS917" s="48"/>
      <c r="FT917" s="48"/>
      <c r="FU917" s="48"/>
    </row>
    <row r="918" spans="1:177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52"/>
      <c r="BF918" s="48"/>
      <c r="BG918" s="48"/>
      <c r="BI918" s="48"/>
      <c r="BN918" s="48"/>
      <c r="BO918" s="48"/>
      <c r="BR918" s="48"/>
      <c r="BS918" s="48"/>
      <c r="BW918" s="48"/>
      <c r="CA918" s="48"/>
      <c r="CE918" s="48"/>
      <c r="CF918" s="48"/>
      <c r="CG918" s="48"/>
      <c r="CH918" s="48"/>
      <c r="CI918" s="48"/>
      <c r="CJ918" s="48"/>
      <c r="CL918" s="48"/>
      <c r="CM918" s="48"/>
      <c r="CN918" s="48"/>
      <c r="CO918" s="48"/>
      <c r="CP918" s="48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  <c r="DD918" s="48"/>
      <c r="DE918" s="48"/>
      <c r="DF918" s="48"/>
      <c r="DG918" s="48"/>
      <c r="DH918" s="48"/>
      <c r="DI918" s="48"/>
      <c r="DJ918" s="48"/>
      <c r="DK918" s="48"/>
      <c r="DL918" s="48"/>
      <c r="DM918" s="48"/>
      <c r="DN918" s="48"/>
      <c r="DO918" s="48"/>
      <c r="DP918" s="48"/>
      <c r="DQ918" s="48"/>
      <c r="DR918" s="48"/>
      <c r="DS918" s="48"/>
      <c r="DT918" s="48"/>
      <c r="DU918" s="48"/>
      <c r="DV918" s="48"/>
      <c r="DW918" s="48"/>
      <c r="DX918" s="48"/>
      <c r="DY918" s="48"/>
      <c r="DZ918" s="48"/>
      <c r="EA918" s="48"/>
      <c r="EC918" s="48"/>
      <c r="ED918" s="48"/>
      <c r="EE918" s="48"/>
      <c r="EF918" s="48"/>
      <c r="EG918" s="48"/>
      <c r="EI918" s="48"/>
      <c r="EK918" s="48"/>
      <c r="EM918" s="48"/>
      <c r="EO918" s="48"/>
      <c r="EP918" s="48"/>
      <c r="EU918" s="48"/>
      <c r="EV918" s="48"/>
      <c r="EW918" s="48"/>
      <c r="EX918" s="48"/>
      <c r="EY918" s="48"/>
      <c r="EZ918" s="48"/>
      <c r="FA918" s="48"/>
      <c r="FB918" s="48"/>
      <c r="FC918" s="48"/>
      <c r="FD918" s="48"/>
      <c r="FE918" s="48"/>
      <c r="FF918" s="48"/>
      <c r="FG918" s="48"/>
      <c r="FI918" s="48"/>
      <c r="FL918" s="48"/>
      <c r="FM918" s="48"/>
      <c r="FN918" s="48"/>
      <c r="FO918" s="48"/>
      <c r="FP918" s="48"/>
      <c r="FQ918" s="48"/>
      <c r="FR918" s="48"/>
      <c r="FS918" s="48"/>
      <c r="FT918" s="48"/>
      <c r="FU918" s="48"/>
    </row>
    <row r="919" spans="1:177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52"/>
      <c r="BF919" s="48"/>
      <c r="BG919" s="48"/>
      <c r="BI919" s="48"/>
      <c r="BN919" s="48"/>
      <c r="BO919" s="48"/>
      <c r="BR919" s="48"/>
      <c r="BS919" s="48"/>
      <c r="BW919" s="48"/>
      <c r="CA919" s="48"/>
      <c r="CE919" s="48"/>
      <c r="CF919" s="48"/>
      <c r="CG919" s="48"/>
      <c r="CH919" s="48"/>
      <c r="CI919" s="48"/>
      <c r="CJ919" s="48"/>
      <c r="CL919" s="48"/>
      <c r="CM919" s="48"/>
      <c r="CN919" s="48"/>
      <c r="CO919" s="48"/>
      <c r="CP919" s="48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  <c r="DE919" s="48"/>
      <c r="DF919" s="48"/>
      <c r="DG919" s="48"/>
      <c r="DH919" s="48"/>
      <c r="DI919" s="48"/>
      <c r="DJ919" s="48"/>
      <c r="DK919" s="48"/>
      <c r="DL919" s="48"/>
      <c r="DM919" s="48"/>
      <c r="DN919" s="48"/>
      <c r="DO919" s="48"/>
      <c r="DP919" s="48"/>
      <c r="DQ919" s="48"/>
      <c r="DR919" s="48"/>
      <c r="DS919" s="48"/>
      <c r="DT919" s="48"/>
      <c r="DU919" s="48"/>
      <c r="DV919" s="48"/>
      <c r="DW919" s="48"/>
      <c r="DX919" s="48"/>
      <c r="DY919" s="48"/>
      <c r="DZ919" s="48"/>
      <c r="EA919" s="48"/>
      <c r="EC919" s="48"/>
      <c r="ED919" s="48"/>
      <c r="EE919" s="48"/>
      <c r="EF919" s="48"/>
      <c r="EG919" s="48"/>
      <c r="EI919" s="48"/>
      <c r="EK919" s="48"/>
      <c r="EM919" s="48"/>
      <c r="EO919" s="48"/>
      <c r="EP919" s="48"/>
      <c r="EU919" s="48"/>
      <c r="EV919" s="48"/>
      <c r="EW919" s="48"/>
      <c r="EX919" s="48"/>
      <c r="EY919" s="48"/>
      <c r="EZ919" s="48"/>
      <c r="FA919" s="48"/>
      <c r="FB919" s="48"/>
      <c r="FC919" s="48"/>
      <c r="FD919" s="48"/>
      <c r="FE919" s="48"/>
      <c r="FF919" s="48"/>
      <c r="FG919" s="48"/>
      <c r="FI919" s="48"/>
      <c r="FL919" s="48"/>
      <c r="FM919" s="48"/>
      <c r="FN919" s="48"/>
      <c r="FO919" s="48"/>
      <c r="FP919" s="48"/>
      <c r="FQ919" s="48"/>
      <c r="FR919" s="48"/>
      <c r="FS919" s="48"/>
      <c r="FT919" s="48"/>
      <c r="FU919" s="48"/>
    </row>
    <row r="920" spans="1:177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52"/>
      <c r="BF920" s="48"/>
      <c r="BG920" s="48"/>
      <c r="BI920" s="48"/>
      <c r="BN920" s="48"/>
      <c r="BO920" s="48"/>
      <c r="BR920" s="48"/>
      <c r="BS920" s="48"/>
      <c r="BW920" s="48"/>
      <c r="CA920" s="48"/>
      <c r="CE920" s="48"/>
      <c r="CF920" s="48"/>
      <c r="CG920" s="48"/>
      <c r="CH920" s="48"/>
      <c r="CI920" s="48"/>
      <c r="CJ920" s="48"/>
      <c r="CL920" s="48"/>
      <c r="CM920" s="48"/>
      <c r="CN920" s="48"/>
      <c r="CO920" s="48"/>
      <c r="CP920" s="48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  <c r="DD920" s="48"/>
      <c r="DE920" s="48"/>
      <c r="DF920" s="48"/>
      <c r="DG920" s="48"/>
      <c r="DH920" s="48"/>
      <c r="DI920" s="48"/>
      <c r="DJ920" s="48"/>
      <c r="DK920" s="48"/>
      <c r="DL920" s="48"/>
      <c r="DM920" s="48"/>
      <c r="DN920" s="48"/>
      <c r="DO920" s="48"/>
      <c r="DP920" s="48"/>
      <c r="DQ920" s="48"/>
      <c r="DR920" s="48"/>
      <c r="DS920" s="48"/>
      <c r="DT920" s="48"/>
      <c r="DU920" s="48"/>
      <c r="DV920" s="48"/>
      <c r="DW920" s="48"/>
      <c r="DX920" s="48"/>
      <c r="DY920" s="48"/>
      <c r="DZ920" s="48"/>
      <c r="EA920" s="48"/>
      <c r="EC920" s="48"/>
      <c r="ED920" s="48"/>
      <c r="EE920" s="48"/>
      <c r="EF920" s="48"/>
      <c r="EG920" s="48"/>
      <c r="EI920" s="48"/>
      <c r="EK920" s="48"/>
      <c r="EM920" s="48"/>
      <c r="EO920" s="48"/>
      <c r="EP920" s="48"/>
      <c r="EU920" s="48"/>
      <c r="EV920" s="48"/>
      <c r="EW920" s="48"/>
      <c r="EX920" s="48"/>
      <c r="EY920" s="48"/>
      <c r="EZ920" s="48"/>
      <c r="FA920" s="48"/>
      <c r="FB920" s="48"/>
      <c r="FC920" s="48"/>
      <c r="FD920" s="48"/>
      <c r="FE920" s="48"/>
      <c r="FF920" s="48"/>
      <c r="FG920" s="48"/>
      <c r="FI920" s="48"/>
      <c r="FL920" s="48"/>
      <c r="FM920" s="48"/>
      <c r="FN920" s="48"/>
      <c r="FO920" s="48"/>
      <c r="FP920" s="48"/>
      <c r="FQ920" s="48"/>
      <c r="FR920" s="48"/>
      <c r="FS920" s="48"/>
      <c r="FT920" s="48"/>
      <c r="FU920" s="48"/>
    </row>
    <row r="921" spans="1:177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52"/>
      <c r="BF921" s="48"/>
      <c r="BG921" s="48"/>
      <c r="BI921" s="48"/>
      <c r="BN921" s="48"/>
      <c r="BO921" s="48"/>
      <c r="BR921" s="48"/>
      <c r="BS921" s="48"/>
      <c r="BW921" s="48"/>
      <c r="CA921" s="48"/>
      <c r="CE921" s="48"/>
      <c r="CF921" s="48"/>
      <c r="CG921" s="48"/>
      <c r="CH921" s="48"/>
      <c r="CI921" s="48"/>
      <c r="CJ921" s="48"/>
      <c r="CL921" s="48"/>
      <c r="CM921" s="48"/>
      <c r="CN921" s="48"/>
      <c r="CO921" s="48"/>
      <c r="CP921" s="48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  <c r="DD921" s="48"/>
      <c r="DE921" s="48"/>
      <c r="DF921" s="48"/>
      <c r="DG921" s="48"/>
      <c r="DH921" s="48"/>
      <c r="DI921" s="48"/>
      <c r="DJ921" s="48"/>
      <c r="DK921" s="48"/>
      <c r="DL921" s="48"/>
      <c r="DM921" s="48"/>
      <c r="DN921" s="48"/>
      <c r="DO921" s="48"/>
      <c r="DP921" s="48"/>
      <c r="DQ921" s="48"/>
      <c r="DR921" s="48"/>
      <c r="DS921" s="48"/>
      <c r="DT921" s="48"/>
      <c r="DU921" s="48"/>
      <c r="DV921" s="48"/>
      <c r="DW921" s="48"/>
      <c r="DX921" s="48"/>
      <c r="DY921" s="48"/>
      <c r="DZ921" s="48"/>
      <c r="EA921" s="48"/>
      <c r="EC921" s="48"/>
      <c r="ED921" s="48"/>
      <c r="EE921" s="48"/>
      <c r="EF921" s="48"/>
      <c r="EG921" s="48"/>
      <c r="EI921" s="48"/>
      <c r="EK921" s="48"/>
      <c r="EM921" s="48"/>
      <c r="EO921" s="48"/>
      <c r="EP921" s="48"/>
      <c r="EU921" s="48"/>
      <c r="EV921" s="48"/>
      <c r="EW921" s="48"/>
      <c r="EX921" s="48"/>
      <c r="EY921" s="48"/>
      <c r="EZ921" s="48"/>
      <c r="FA921" s="48"/>
      <c r="FB921" s="48"/>
      <c r="FC921" s="48"/>
      <c r="FD921" s="48"/>
      <c r="FE921" s="48"/>
      <c r="FF921" s="48"/>
      <c r="FG921" s="48"/>
      <c r="FI921" s="48"/>
      <c r="FL921" s="48"/>
      <c r="FM921" s="48"/>
      <c r="FN921" s="48"/>
      <c r="FO921" s="48"/>
      <c r="FP921" s="48"/>
      <c r="FQ921" s="48"/>
      <c r="FR921" s="48"/>
      <c r="FS921" s="48"/>
      <c r="FT921" s="48"/>
      <c r="FU921" s="48"/>
    </row>
    <row r="922" spans="1:177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52"/>
      <c r="BF922" s="48"/>
      <c r="BG922" s="48"/>
      <c r="BI922" s="48"/>
      <c r="BN922" s="48"/>
      <c r="BO922" s="48"/>
      <c r="BR922" s="48"/>
      <c r="BS922" s="48"/>
      <c r="BW922" s="48"/>
      <c r="CA922" s="48"/>
      <c r="CE922" s="48"/>
      <c r="CF922" s="48"/>
      <c r="CG922" s="48"/>
      <c r="CH922" s="48"/>
      <c r="CI922" s="48"/>
      <c r="CJ922" s="48"/>
      <c r="CL922" s="48"/>
      <c r="CM922" s="48"/>
      <c r="CN922" s="48"/>
      <c r="CO922" s="48"/>
      <c r="CP922" s="48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  <c r="DE922" s="48"/>
      <c r="DF922" s="48"/>
      <c r="DG922" s="48"/>
      <c r="DH922" s="48"/>
      <c r="DI922" s="48"/>
      <c r="DJ922" s="48"/>
      <c r="DK922" s="48"/>
      <c r="DL922" s="48"/>
      <c r="DM922" s="48"/>
      <c r="DN922" s="48"/>
      <c r="DO922" s="48"/>
      <c r="DP922" s="48"/>
      <c r="DQ922" s="48"/>
      <c r="DR922" s="48"/>
      <c r="DS922" s="48"/>
      <c r="DT922" s="48"/>
      <c r="DU922" s="48"/>
      <c r="DV922" s="48"/>
      <c r="DW922" s="48"/>
      <c r="DX922" s="48"/>
      <c r="DY922" s="48"/>
      <c r="DZ922" s="48"/>
      <c r="EA922" s="48"/>
      <c r="EC922" s="48"/>
      <c r="ED922" s="48"/>
      <c r="EE922" s="48"/>
      <c r="EF922" s="48"/>
      <c r="EG922" s="48"/>
      <c r="EI922" s="48"/>
      <c r="EK922" s="48"/>
      <c r="EM922" s="48"/>
      <c r="EO922" s="48"/>
      <c r="EP922" s="48"/>
      <c r="EU922" s="48"/>
      <c r="EV922" s="48"/>
      <c r="EW922" s="48"/>
      <c r="EX922" s="48"/>
      <c r="EY922" s="48"/>
      <c r="EZ922" s="48"/>
      <c r="FA922" s="48"/>
      <c r="FB922" s="48"/>
      <c r="FC922" s="48"/>
      <c r="FD922" s="48"/>
      <c r="FE922" s="48"/>
      <c r="FF922" s="48"/>
      <c r="FG922" s="48"/>
      <c r="FI922" s="48"/>
      <c r="FL922" s="48"/>
      <c r="FM922" s="48"/>
      <c r="FN922" s="48"/>
      <c r="FO922" s="48"/>
      <c r="FP922" s="48"/>
      <c r="FQ922" s="48"/>
      <c r="FR922" s="48"/>
      <c r="FS922" s="48"/>
      <c r="FT922" s="48"/>
      <c r="FU922" s="48"/>
    </row>
    <row r="923" spans="1:177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52"/>
      <c r="BF923" s="48"/>
      <c r="BG923" s="48"/>
      <c r="BI923" s="48"/>
      <c r="BN923" s="48"/>
      <c r="BO923" s="48"/>
      <c r="BR923" s="48"/>
      <c r="BS923" s="48"/>
      <c r="BW923" s="48"/>
      <c r="CA923" s="48"/>
      <c r="CE923" s="48"/>
      <c r="CF923" s="48"/>
      <c r="CG923" s="48"/>
      <c r="CH923" s="48"/>
      <c r="CI923" s="48"/>
      <c r="CJ923" s="48"/>
      <c r="CL923" s="48"/>
      <c r="CM923" s="48"/>
      <c r="CN923" s="48"/>
      <c r="CO923" s="48"/>
      <c r="CP923" s="48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  <c r="DD923" s="48"/>
      <c r="DE923" s="48"/>
      <c r="DF923" s="48"/>
      <c r="DG923" s="48"/>
      <c r="DH923" s="48"/>
      <c r="DI923" s="48"/>
      <c r="DJ923" s="48"/>
      <c r="DK923" s="48"/>
      <c r="DL923" s="48"/>
      <c r="DM923" s="48"/>
      <c r="DN923" s="48"/>
      <c r="DO923" s="48"/>
      <c r="DP923" s="48"/>
      <c r="DQ923" s="48"/>
      <c r="DR923" s="48"/>
      <c r="DS923" s="48"/>
      <c r="DT923" s="48"/>
      <c r="DU923" s="48"/>
      <c r="DV923" s="48"/>
      <c r="DW923" s="48"/>
      <c r="DX923" s="48"/>
      <c r="DY923" s="48"/>
      <c r="DZ923" s="48"/>
      <c r="EA923" s="48"/>
      <c r="EC923" s="48"/>
      <c r="ED923" s="48"/>
      <c r="EE923" s="48"/>
      <c r="EF923" s="48"/>
      <c r="EG923" s="48"/>
      <c r="EI923" s="48"/>
      <c r="EK923" s="48"/>
      <c r="EM923" s="48"/>
      <c r="EO923" s="48"/>
      <c r="EP923" s="48"/>
      <c r="EU923" s="48"/>
      <c r="EV923" s="48"/>
      <c r="EW923" s="48"/>
      <c r="EX923" s="48"/>
      <c r="EY923" s="48"/>
      <c r="EZ923" s="48"/>
      <c r="FA923" s="48"/>
      <c r="FB923" s="48"/>
      <c r="FC923" s="48"/>
      <c r="FD923" s="48"/>
      <c r="FE923" s="48"/>
      <c r="FF923" s="48"/>
      <c r="FG923" s="48"/>
      <c r="FI923" s="48"/>
      <c r="FL923" s="48"/>
      <c r="FM923" s="48"/>
      <c r="FN923" s="48"/>
      <c r="FO923" s="48"/>
      <c r="FP923" s="48"/>
      <c r="FQ923" s="48"/>
      <c r="FR923" s="48"/>
      <c r="FS923" s="48"/>
      <c r="FT923" s="48"/>
      <c r="FU923" s="48"/>
    </row>
    <row r="924" spans="1:177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52"/>
      <c r="BF924" s="48"/>
      <c r="BG924" s="48"/>
      <c r="BI924" s="48"/>
      <c r="BN924" s="48"/>
      <c r="BO924" s="48"/>
      <c r="BR924" s="48"/>
      <c r="BS924" s="48"/>
      <c r="BW924" s="48"/>
      <c r="CA924" s="48"/>
      <c r="CE924" s="48"/>
      <c r="CF924" s="48"/>
      <c r="CG924" s="48"/>
      <c r="CH924" s="48"/>
      <c r="CI924" s="48"/>
      <c r="CJ924" s="48"/>
      <c r="CL924" s="48"/>
      <c r="CM924" s="48"/>
      <c r="CN924" s="48"/>
      <c r="CO924" s="48"/>
      <c r="CP924" s="48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  <c r="DD924" s="48"/>
      <c r="DE924" s="48"/>
      <c r="DF924" s="48"/>
      <c r="DG924" s="48"/>
      <c r="DH924" s="48"/>
      <c r="DI924" s="48"/>
      <c r="DJ924" s="48"/>
      <c r="DK924" s="48"/>
      <c r="DL924" s="48"/>
      <c r="DM924" s="48"/>
      <c r="DN924" s="48"/>
      <c r="DO924" s="48"/>
      <c r="DP924" s="48"/>
      <c r="DQ924" s="48"/>
      <c r="DR924" s="48"/>
      <c r="DS924" s="48"/>
      <c r="DT924" s="48"/>
      <c r="DU924" s="48"/>
      <c r="DV924" s="48"/>
      <c r="DW924" s="48"/>
      <c r="DX924" s="48"/>
      <c r="DY924" s="48"/>
      <c r="DZ924" s="48"/>
      <c r="EA924" s="48"/>
      <c r="EC924" s="48"/>
      <c r="ED924" s="48"/>
      <c r="EE924" s="48"/>
      <c r="EF924" s="48"/>
      <c r="EG924" s="48"/>
      <c r="EI924" s="48"/>
      <c r="EK924" s="48"/>
      <c r="EM924" s="48"/>
      <c r="EO924" s="48"/>
      <c r="EP924" s="48"/>
      <c r="EU924" s="48"/>
      <c r="EV924" s="48"/>
      <c r="EW924" s="48"/>
      <c r="EX924" s="48"/>
      <c r="EY924" s="48"/>
      <c r="EZ924" s="48"/>
      <c r="FA924" s="48"/>
      <c r="FB924" s="48"/>
      <c r="FC924" s="48"/>
      <c r="FD924" s="48"/>
      <c r="FE924" s="48"/>
      <c r="FF924" s="48"/>
      <c r="FG924" s="48"/>
      <c r="FI924" s="48"/>
      <c r="FL924" s="48"/>
      <c r="FM924" s="48"/>
      <c r="FN924" s="48"/>
      <c r="FO924" s="48"/>
      <c r="FP924" s="48"/>
      <c r="FQ924" s="48"/>
      <c r="FR924" s="48"/>
      <c r="FS924" s="48"/>
      <c r="FT924" s="48"/>
      <c r="FU924" s="48"/>
    </row>
    <row r="925" spans="1:177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52"/>
      <c r="BF925" s="48"/>
      <c r="BG925" s="48"/>
      <c r="BI925" s="48"/>
      <c r="BN925" s="48"/>
      <c r="BO925" s="48"/>
      <c r="BR925" s="48"/>
      <c r="BS925" s="48"/>
      <c r="BW925" s="48"/>
      <c r="CA925" s="48"/>
      <c r="CE925" s="48"/>
      <c r="CF925" s="48"/>
      <c r="CG925" s="48"/>
      <c r="CH925" s="48"/>
      <c r="CI925" s="48"/>
      <c r="CJ925" s="48"/>
      <c r="CL925" s="48"/>
      <c r="CM925" s="48"/>
      <c r="CN925" s="48"/>
      <c r="CO925" s="48"/>
      <c r="CP925" s="48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  <c r="DE925" s="48"/>
      <c r="DF925" s="48"/>
      <c r="DG925" s="48"/>
      <c r="DH925" s="48"/>
      <c r="DI925" s="48"/>
      <c r="DJ925" s="48"/>
      <c r="DK925" s="48"/>
      <c r="DL925" s="48"/>
      <c r="DM925" s="48"/>
      <c r="DN925" s="48"/>
      <c r="DO925" s="48"/>
      <c r="DP925" s="48"/>
      <c r="DQ925" s="48"/>
      <c r="DR925" s="48"/>
      <c r="DS925" s="48"/>
      <c r="DT925" s="48"/>
      <c r="DU925" s="48"/>
      <c r="DV925" s="48"/>
      <c r="DW925" s="48"/>
      <c r="DX925" s="48"/>
      <c r="DY925" s="48"/>
      <c r="DZ925" s="48"/>
      <c r="EA925" s="48"/>
      <c r="EC925" s="48"/>
      <c r="ED925" s="48"/>
      <c r="EE925" s="48"/>
      <c r="EF925" s="48"/>
      <c r="EG925" s="48"/>
      <c r="EI925" s="48"/>
      <c r="EK925" s="48"/>
      <c r="EM925" s="48"/>
      <c r="EO925" s="48"/>
      <c r="EP925" s="48"/>
      <c r="EU925" s="48"/>
      <c r="EV925" s="48"/>
      <c r="EW925" s="48"/>
      <c r="EX925" s="48"/>
      <c r="EY925" s="48"/>
      <c r="EZ925" s="48"/>
      <c r="FA925" s="48"/>
      <c r="FB925" s="48"/>
      <c r="FC925" s="48"/>
      <c r="FD925" s="48"/>
      <c r="FE925" s="48"/>
      <c r="FF925" s="48"/>
      <c r="FG925" s="48"/>
      <c r="FI925" s="48"/>
      <c r="FL925" s="48"/>
      <c r="FM925" s="48"/>
      <c r="FN925" s="48"/>
      <c r="FO925" s="48"/>
      <c r="FP925" s="48"/>
      <c r="FQ925" s="48"/>
      <c r="FR925" s="48"/>
      <c r="FS925" s="48"/>
      <c r="FT925" s="48"/>
      <c r="FU925" s="48"/>
    </row>
    <row r="926" spans="1:177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52"/>
      <c r="BF926" s="48"/>
      <c r="BG926" s="48"/>
      <c r="BI926" s="48"/>
      <c r="BN926" s="48"/>
      <c r="BO926" s="48"/>
      <c r="BR926" s="48"/>
      <c r="BS926" s="48"/>
      <c r="BW926" s="48"/>
      <c r="CA926" s="48"/>
      <c r="CE926" s="48"/>
      <c r="CF926" s="48"/>
      <c r="CG926" s="48"/>
      <c r="CH926" s="48"/>
      <c r="CI926" s="48"/>
      <c r="CJ926" s="48"/>
      <c r="CL926" s="48"/>
      <c r="CM926" s="48"/>
      <c r="CN926" s="48"/>
      <c r="CO926" s="48"/>
      <c r="CP926" s="48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  <c r="DD926" s="48"/>
      <c r="DE926" s="48"/>
      <c r="DF926" s="48"/>
      <c r="DG926" s="48"/>
      <c r="DH926" s="48"/>
      <c r="DI926" s="48"/>
      <c r="DJ926" s="48"/>
      <c r="DK926" s="48"/>
      <c r="DL926" s="48"/>
      <c r="DM926" s="48"/>
      <c r="DN926" s="48"/>
      <c r="DO926" s="48"/>
      <c r="DP926" s="48"/>
      <c r="DQ926" s="48"/>
      <c r="DR926" s="48"/>
      <c r="DS926" s="48"/>
      <c r="DT926" s="48"/>
      <c r="DU926" s="48"/>
      <c r="DV926" s="48"/>
      <c r="DW926" s="48"/>
      <c r="DX926" s="48"/>
      <c r="DY926" s="48"/>
      <c r="DZ926" s="48"/>
      <c r="EA926" s="48"/>
      <c r="EC926" s="48"/>
      <c r="ED926" s="48"/>
      <c r="EE926" s="48"/>
      <c r="EF926" s="48"/>
      <c r="EG926" s="48"/>
      <c r="EI926" s="48"/>
      <c r="EK926" s="48"/>
      <c r="EM926" s="48"/>
      <c r="EO926" s="48"/>
      <c r="EP926" s="48"/>
      <c r="EU926" s="48"/>
      <c r="EV926" s="48"/>
      <c r="EW926" s="48"/>
      <c r="EX926" s="48"/>
      <c r="EY926" s="48"/>
      <c r="EZ926" s="48"/>
      <c r="FA926" s="48"/>
      <c r="FB926" s="48"/>
      <c r="FC926" s="48"/>
      <c r="FD926" s="48"/>
      <c r="FE926" s="48"/>
      <c r="FF926" s="48"/>
      <c r="FG926" s="48"/>
      <c r="FI926" s="48"/>
      <c r="FL926" s="48"/>
      <c r="FM926" s="48"/>
      <c r="FN926" s="48"/>
      <c r="FO926" s="48"/>
      <c r="FP926" s="48"/>
      <c r="FQ926" s="48"/>
      <c r="FR926" s="48"/>
      <c r="FS926" s="48"/>
      <c r="FT926" s="48"/>
      <c r="FU926" s="48"/>
    </row>
    <row r="927" spans="1:17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52"/>
      <c r="BF927" s="48"/>
      <c r="BG927" s="48"/>
      <c r="BI927" s="48"/>
      <c r="BN927" s="48"/>
      <c r="BO927" s="48"/>
      <c r="BR927" s="48"/>
      <c r="BS927" s="48"/>
      <c r="BW927" s="48"/>
      <c r="CA927" s="48"/>
      <c r="CE927" s="48"/>
      <c r="CF927" s="48"/>
      <c r="CG927" s="48"/>
      <c r="CH927" s="48"/>
      <c r="CI927" s="48"/>
      <c r="CJ927" s="48"/>
      <c r="CL927" s="48"/>
      <c r="CM927" s="48"/>
      <c r="CN927" s="48"/>
      <c r="CO927" s="48"/>
      <c r="CP927" s="48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  <c r="DD927" s="48"/>
      <c r="DE927" s="48"/>
      <c r="DF927" s="48"/>
      <c r="DG927" s="48"/>
      <c r="DH927" s="48"/>
      <c r="DI927" s="48"/>
      <c r="DJ927" s="48"/>
      <c r="DK927" s="48"/>
      <c r="DL927" s="48"/>
      <c r="DM927" s="48"/>
      <c r="DN927" s="48"/>
      <c r="DO927" s="48"/>
      <c r="DP927" s="48"/>
      <c r="DQ927" s="48"/>
      <c r="DR927" s="48"/>
      <c r="DS927" s="48"/>
      <c r="DT927" s="48"/>
      <c r="DU927" s="48"/>
      <c r="DV927" s="48"/>
      <c r="DW927" s="48"/>
      <c r="DX927" s="48"/>
      <c r="DY927" s="48"/>
      <c r="DZ927" s="48"/>
      <c r="EA927" s="48"/>
      <c r="EC927" s="48"/>
      <c r="ED927" s="48"/>
      <c r="EE927" s="48"/>
      <c r="EF927" s="48"/>
      <c r="EG927" s="48"/>
      <c r="EI927" s="48"/>
      <c r="EK927" s="48"/>
      <c r="EM927" s="48"/>
      <c r="EO927" s="48"/>
      <c r="EP927" s="48"/>
      <c r="EU927" s="48"/>
      <c r="EV927" s="48"/>
      <c r="EW927" s="48"/>
      <c r="EX927" s="48"/>
      <c r="EY927" s="48"/>
      <c r="EZ927" s="48"/>
      <c r="FA927" s="48"/>
      <c r="FB927" s="48"/>
      <c r="FC927" s="48"/>
      <c r="FD927" s="48"/>
      <c r="FE927" s="48"/>
      <c r="FF927" s="48"/>
      <c r="FG927" s="48"/>
      <c r="FI927" s="48"/>
      <c r="FL927" s="48"/>
      <c r="FM927" s="48"/>
      <c r="FN927" s="48"/>
      <c r="FO927" s="48"/>
      <c r="FP927" s="48"/>
      <c r="FQ927" s="48"/>
      <c r="FR927" s="48"/>
      <c r="FS927" s="48"/>
      <c r="FT927" s="48"/>
      <c r="FU927" s="48"/>
    </row>
    <row r="928" spans="1:177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52"/>
      <c r="BF928" s="48"/>
      <c r="BG928" s="48"/>
      <c r="BI928" s="48"/>
      <c r="BN928" s="48"/>
      <c r="BO928" s="48"/>
      <c r="BR928" s="48"/>
      <c r="BS928" s="48"/>
      <c r="BW928" s="48"/>
      <c r="CA928" s="48"/>
      <c r="CE928" s="48"/>
      <c r="CF928" s="48"/>
      <c r="CG928" s="48"/>
      <c r="CH928" s="48"/>
      <c r="CI928" s="48"/>
      <c r="CJ928" s="48"/>
      <c r="CL928" s="48"/>
      <c r="CM928" s="48"/>
      <c r="CN928" s="48"/>
      <c r="CO928" s="48"/>
      <c r="CP928" s="48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  <c r="DE928" s="48"/>
      <c r="DF928" s="48"/>
      <c r="DG928" s="48"/>
      <c r="DH928" s="48"/>
      <c r="DI928" s="48"/>
      <c r="DJ928" s="48"/>
      <c r="DK928" s="48"/>
      <c r="DL928" s="48"/>
      <c r="DM928" s="48"/>
      <c r="DN928" s="48"/>
      <c r="DO928" s="48"/>
      <c r="DP928" s="48"/>
      <c r="DQ928" s="48"/>
      <c r="DR928" s="48"/>
      <c r="DS928" s="48"/>
      <c r="DT928" s="48"/>
      <c r="DU928" s="48"/>
      <c r="DV928" s="48"/>
      <c r="DW928" s="48"/>
      <c r="DX928" s="48"/>
      <c r="DY928" s="48"/>
      <c r="DZ928" s="48"/>
      <c r="EA928" s="48"/>
      <c r="EC928" s="48"/>
      <c r="ED928" s="48"/>
      <c r="EE928" s="48"/>
      <c r="EF928" s="48"/>
      <c r="EG928" s="48"/>
      <c r="EI928" s="48"/>
      <c r="EK928" s="48"/>
      <c r="EM928" s="48"/>
      <c r="EO928" s="48"/>
      <c r="EP928" s="48"/>
      <c r="EU928" s="48"/>
      <c r="EV928" s="48"/>
      <c r="EW928" s="48"/>
      <c r="EX928" s="48"/>
      <c r="EY928" s="48"/>
      <c r="EZ928" s="48"/>
      <c r="FA928" s="48"/>
      <c r="FB928" s="48"/>
      <c r="FC928" s="48"/>
      <c r="FD928" s="48"/>
      <c r="FE928" s="48"/>
      <c r="FF928" s="48"/>
      <c r="FG928" s="48"/>
      <c r="FI928" s="48"/>
      <c r="FL928" s="48"/>
      <c r="FM928" s="48"/>
      <c r="FN928" s="48"/>
      <c r="FO928" s="48"/>
      <c r="FP928" s="48"/>
      <c r="FQ928" s="48"/>
      <c r="FR928" s="48"/>
      <c r="FS928" s="48"/>
      <c r="FT928" s="48"/>
      <c r="FU928" s="48"/>
    </row>
    <row r="929" spans="1:177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52"/>
      <c r="BF929" s="48"/>
      <c r="BG929" s="48"/>
      <c r="BI929" s="48"/>
      <c r="BN929" s="48"/>
      <c r="BO929" s="48"/>
      <c r="BR929" s="48"/>
      <c r="BS929" s="48"/>
      <c r="BW929" s="48"/>
      <c r="CA929" s="48"/>
      <c r="CE929" s="48"/>
      <c r="CF929" s="48"/>
      <c r="CG929" s="48"/>
      <c r="CH929" s="48"/>
      <c r="CI929" s="48"/>
      <c r="CJ929" s="48"/>
      <c r="CL929" s="48"/>
      <c r="CM929" s="48"/>
      <c r="CN929" s="48"/>
      <c r="CO929" s="48"/>
      <c r="CP929" s="48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  <c r="DD929" s="48"/>
      <c r="DE929" s="48"/>
      <c r="DF929" s="48"/>
      <c r="DG929" s="48"/>
      <c r="DH929" s="48"/>
      <c r="DI929" s="48"/>
      <c r="DJ929" s="48"/>
      <c r="DK929" s="48"/>
      <c r="DL929" s="48"/>
      <c r="DM929" s="48"/>
      <c r="DN929" s="48"/>
      <c r="DO929" s="48"/>
      <c r="DP929" s="48"/>
      <c r="DQ929" s="48"/>
      <c r="DR929" s="48"/>
      <c r="DS929" s="48"/>
      <c r="DT929" s="48"/>
      <c r="DU929" s="48"/>
      <c r="DV929" s="48"/>
      <c r="DW929" s="48"/>
      <c r="DX929" s="48"/>
      <c r="DY929" s="48"/>
      <c r="DZ929" s="48"/>
      <c r="EA929" s="48"/>
      <c r="EC929" s="48"/>
      <c r="ED929" s="48"/>
      <c r="EE929" s="48"/>
      <c r="EF929" s="48"/>
      <c r="EG929" s="48"/>
      <c r="EI929" s="48"/>
      <c r="EK929" s="48"/>
      <c r="EM929" s="48"/>
      <c r="EO929" s="48"/>
      <c r="EP929" s="48"/>
      <c r="EU929" s="48"/>
      <c r="EV929" s="48"/>
      <c r="EW929" s="48"/>
      <c r="EX929" s="48"/>
      <c r="EY929" s="48"/>
      <c r="EZ929" s="48"/>
      <c r="FA929" s="48"/>
      <c r="FB929" s="48"/>
      <c r="FC929" s="48"/>
      <c r="FD929" s="48"/>
      <c r="FE929" s="48"/>
      <c r="FF929" s="48"/>
      <c r="FG929" s="48"/>
      <c r="FI929" s="48"/>
      <c r="FL929" s="48"/>
      <c r="FM929" s="48"/>
      <c r="FN929" s="48"/>
      <c r="FO929" s="48"/>
      <c r="FP929" s="48"/>
      <c r="FQ929" s="48"/>
      <c r="FR929" s="48"/>
      <c r="FS929" s="48"/>
      <c r="FT929" s="48"/>
      <c r="FU929" s="48"/>
    </row>
    <row r="930" spans="1:177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52"/>
      <c r="BF930" s="48"/>
      <c r="BG930" s="48"/>
      <c r="BI930" s="48"/>
      <c r="BN930" s="48"/>
      <c r="BO930" s="48"/>
      <c r="BR930" s="48"/>
      <c r="BS930" s="48"/>
      <c r="BW930" s="48"/>
      <c r="CA930" s="48"/>
      <c r="CE930" s="48"/>
      <c r="CF930" s="48"/>
      <c r="CG930" s="48"/>
      <c r="CH930" s="48"/>
      <c r="CI930" s="48"/>
      <c r="CJ930" s="48"/>
      <c r="CL930" s="48"/>
      <c r="CM930" s="48"/>
      <c r="CN930" s="48"/>
      <c r="CO930" s="48"/>
      <c r="CP930" s="48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  <c r="DD930" s="48"/>
      <c r="DE930" s="48"/>
      <c r="DF930" s="48"/>
      <c r="DG930" s="48"/>
      <c r="DH930" s="48"/>
      <c r="DI930" s="48"/>
      <c r="DJ930" s="48"/>
      <c r="DK930" s="48"/>
      <c r="DL930" s="48"/>
      <c r="DM930" s="48"/>
      <c r="DN930" s="48"/>
      <c r="DO930" s="48"/>
      <c r="DP930" s="48"/>
      <c r="DQ930" s="48"/>
      <c r="DR930" s="48"/>
      <c r="DS930" s="48"/>
      <c r="DT930" s="48"/>
      <c r="DU930" s="48"/>
      <c r="DV930" s="48"/>
      <c r="DW930" s="48"/>
      <c r="DX930" s="48"/>
      <c r="DY930" s="48"/>
      <c r="DZ930" s="48"/>
      <c r="EA930" s="48"/>
      <c r="EC930" s="48"/>
      <c r="ED930" s="48"/>
      <c r="EE930" s="48"/>
      <c r="EF930" s="48"/>
      <c r="EG930" s="48"/>
      <c r="EI930" s="48"/>
      <c r="EK930" s="48"/>
      <c r="EM930" s="48"/>
      <c r="EO930" s="48"/>
      <c r="EP930" s="48"/>
      <c r="EU930" s="48"/>
      <c r="EV930" s="48"/>
      <c r="EW930" s="48"/>
      <c r="EX930" s="48"/>
      <c r="EY930" s="48"/>
      <c r="EZ930" s="48"/>
      <c r="FA930" s="48"/>
      <c r="FB930" s="48"/>
      <c r="FC930" s="48"/>
      <c r="FD930" s="48"/>
      <c r="FE930" s="48"/>
      <c r="FF930" s="48"/>
      <c r="FG930" s="48"/>
      <c r="FI930" s="48"/>
      <c r="FL930" s="48"/>
      <c r="FM930" s="48"/>
      <c r="FN930" s="48"/>
      <c r="FO930" s="48"/>
      <c r="FP930" s="48"/>
      <c r="FQ930" s="48"/>
      <c r="FR930" s="48"/>
      <c r="FS930" s="48"/>
      <c r="FT930" s="48"/>
      <c r="FU930" s="48"/>
    </row>
    <row r="931" spans="1:177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52"/>
      <c r="BF931" s="48"/>
      <c r="BG931" s="48"/>
      <c r="BI931" s="48"/>
      <c r="BN931" s="48"/>
      <c r="BO931" s="48"/>
      <c r="BR931" s="48"/>
      <c r="BS931" s="48"/>
      <c r="BW931" s="48"/>
      <c r="CA931" s="48"/>
      <c r="CE931" s="48"/>
      <c r="CF931" s="48"/>
      <c r="CG931" s="48"/>
      <c r="CH931" s="48"/>
      <c r="CI931" s="48"/>
      <c r="CJ931" s="48"/>
      <c r="CL931" s="48"/>
      <c r="CM931" s="48"/>
      <c r="CN931" s="48"/>
      <c r="CO931" s="48"/>
      <c r="CP931" s="48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  <c r="DE931" s="48"/>
      <c r="DF931" s="48"/>
      <c r="DG931" s="48"/>
      <c r="DH931" s="48"/>
      <c r="DI931" s="48"/>
      <c r="DJ931" s="48"/>
      <c r="DK931" s="48"/>
      <c r="DL931" s="48"/>
      <c r="DM931" s="48"/>
      <c r="DN931" s="48"/>
      <c r="DO931" s="48"/>
      <c r="DP931" s="48"/>
      <c r="DQ931" s="48"/>
      <c r="DR931" s="48"/>
      <c r="DS931" s="48"/>
      <c r="DT931" s="48"/>
      <c r="DU931" s="48"/>
      <c r="DV931" s="48"/>
      <c r="DW931" s="48"/>
      <c r="DX931" s="48"/>
      <c r="DY931" s="48"/>
      <c r="DZ931" s="48"/>
      <c r="EA931" s="48"/>
      <c r="EC931" s="48"/>
      <c r="ED931" s="48"/>
      <c r="EE931" s="48"/>
      <c r="EF931" s="48"/>
      <c r="EG931" s="48"/>
      <c r="EI931" s="48"/>
      <c r="EK931" s="48"/>
      <c r="EM931" s="48"/>
      <c r="EO931" s="48"/>
      <c r="EP931" s="48"/>
      <c r="EU931" s="48"/>
      <c r="EV931" s="48"/>
      <c r="EW931" s="48"/>
      <c r="EX931" s="48"/>
      <c r="EY931" s="48"/>
      <c r="EZ931" s="48"/>
      <c r="FA931" s="48"/>
      <c r="FB931" s="48"/>
      <c r="FC931" s="48"/>
      <c r="FD931" s="48"/>
      <c r="FE931" s="48"/>
      <c r="FF931" s="48"/>
      <c r="FG931" s="48"/>
      <c r="FI931" s="48"/>
      <c r="FL931" s="48"/>
      <c r="FM931" s="48"/>
      <c r="FN931" s="48"/>
      <c r="FO931" s="48"/>
      <c r="FP931" s="48"/>
      <c r="FQ931" s="48"/>
      <c r="FR931" s="48"/>
      <c r="FS931" s="48"/>
      <c r="FT931" s="48"/>
      <c r="FU931" s="48"/>
    </row>
    <row r="932" spans="1:177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52"/>
      <c r="BF932" s="48"/>
      <c r="BG932" s="48"/>
      <c r="BI932" s="48"/>
      <c r="BN932" s="48"/>
      <c r="BO932" s="48"/>
      <c r="BR932" s="48"/>
      <c r="BS932" s="48"/>
      <c r="BW932" s="48"/>
      <c r="CA932" s="48"/>
      <c r="CE932" s="48"/>
      <c r="CF932" s="48"/>
      <c r="CG932" s="48"/>
      <c r="CH932" s="48"/>
      <c r="CI932" s="48"/>
      <c r="CJ932" s="48"/>
      <c r="CL932" s="48"/>
      <c r="CM932" s="48"/>
      <c r="CN932" s="48"/>
      <c r="CO932" s="48"/>
      <c r="CP932" s="48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  <c r="DD932" s="48"/>
      <c r="DE932" s="48"/>
      <c r="DF932" s="48"/>
      <c r="DG932" s="48"/>
      <c r="DH932" s="48"/>
      <c r="DI932" s="48"/>
      <c r="DJ932" s="48"/>
      <c r="DK932" s="48"/>
      <c r="DL932" s="48"/>
      <c r="DM932" s="48"/>
      <c r="DN932" s="48"/>
      <c r="DO932" s="48"/>
      <c r="DP932" s="48"/>
      <c r="DQ932" s="48"/>
      <c r="DR932" s="48"/>
      <c r="DS932" s="48"/>
      <c r="DT932" s="48"/>
      <c r="DU932" s="48"/>
      <c r="DV932" s="48"/>
      <c r="DW932" s="48"/>
      <c r="DX932" s="48"/>
      <c r="DY932" s="48"/>
      <c r="DZ932" s="48"/>
      <c r="EA932" s="48"/>
      <c r="EC932" s="48"/>
      <c r="ED932" s="48"/>
      <c r="EE932" s="48"/>
      <c r="EF932" s="48"/>
      <c r="EG932" s="48"/>
      <c r="EI932" s="48"/>
      <c r="EK932" s="48"/>
      <c r="EM932" s="48"/>
      <c r="EO932" s="48"/>
      <c r="EP932" s="48"/>
      <c r="EU932" s="48"/>
      <c r="EV932" s="48"/>
      <c r="EW932" s="48"/>
      <c r="EX932" s="48"/>
      <c r="EY932" s="48"/>
      <c r="EZ932" s="48"/>
      <c r="FA932" s="48"/>
      <c r="FB932" s="48"/>
      <c r="FC932" s="48"/>
      <c r="FD932" s="48"/>
      <c r="FE932" s="48"/>
      <c r="FF932" s="48"/>
      <c r="FG932" s="48"/>
      <c r="FI932" s="48"/>
      <c r="FL932" s="48"/>
      <c r="FM932" s="48"/>
      <c r="FN932" s="48"/>
      <c r="FO932" s="48"/>
      <c r="FP932" s="48"/>
      <c r="FQ932" s="48"/>
      <c r="FR932" s="48"/>
      <c r="FS932" s="48"/>
      <c r="FT932" s="48"/>
      <c r="FU932" s="48"/>
    </row>
    <row r="933" spans="1:177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52"/>
      <c r="BF933" s="48"/>
      <c r="BG933" s="48"/>
      <c r="BI933" s="48"/>
      <c r="BN933" s="48"/>
      <c r="BO933" s="48"/>
      <c r="BR933" s="48"/>
      <c r="BS933" s="48"/>
      <c r="BW933" s="48"/>
      <c r="CA933" s="48"/>
      <c r="CE933" s="48"/>
      <c r="CF933" s="48"/>
      <c r="CG933" s="48"/>
      <c r="CH933" s="48"/>
      <c r="CI933" s="48"/>
      <c r="CJ933" s="48"/>
      <c r="CL933" s="48"/>
      <c r="CM933" s="48"/>
      <c r="CN933" s="48"/>
      <c r="CO933" s="48"/>
      <c r="CP933" s="48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  <c r="DD933" s="48"/>
      <c r="DE933" s="48"/>
      <c r="DF933" s="48"/>
      <c r="DG933" s="48"/>
      <c r="DH933" s="48"/>
      <c r="DI933" s="48"/>
      <c r="DJ933" s="48"/>
      <c r="DK933" s="48"/>
      <c r="DL933" s="48"/>
      <c r="DM933" s="48"/>
      <c r="DN933" s="48"/>
      <c r="DO933" s="48"/>
      <c r="DP933" s="48"/>
      <c r="DQ933" s="48"/>
      <c r="DR933" s="48"/>
      <c r="DS933" s="48"/>
      <c r="DT933" s="48"/>
      <c r="DU933" s="48"/>
      <c r="DV933" s="48"/>
      <c r="DW933" s="48"/>
      <c r="DX933" s="48"/>
      <c r="DY933" s="48"/>
      <c r="DZ933" s="48"/>
      <c r="EA933" s="48"/>
      <c r="EC933" s="48"/>
      <c r="ED933" s="48"/>
      <c r="EE933" s="48"/>
      <c r="EF933" s="48"/>
      <c r="EG933" s="48"/>
      <c r="EI933" s="48"/>
      <c r="EK933" s="48"/>
      <c r="EM933" s="48"/>
      <c r="EO933" s="48"/>
      <c r="EP933" s="48"/>
      <c r="EU933" s="48"/>
      <c r="EV933" s="48"/>
      <c r="EW933" s="48"/>
      <c r="EX933" s="48"/>
      <c r="EY933" s="48"/>
      <c r="EZ933" s="48"/>
      <c r="FA933" s="48"/>
      <c r="FB933" s="48"/>
      <c r="FC933" s="48"/>
      <c r="FD933" s="48"/>
      <c r="FE933" s="48"/>
      <c r="FF933" s="48"/>
      <c r="FG933" s="48"/>
      <c r="FI933" s="48"/>
      <c r="FL933" s="48"/>
      <c r="FM933" s="48"/>
      <c r="FN933" s="48"/>
      <c r="FO933" s="48"/>
      <c r="FP933" s="48"/>
      <c r="FQ933" s="48"/>
      <c r="FR933" s="48"/>
      <c r="FS933" s="48"/>
      <c r="FT933" s="48"/>
      <c r="FU933" s="48"/>
    </row>
    <row r="934" spans="1:177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52"/>
      <c r="BF934" s="48"/>
      <c r="BG934" s="48"/>
      <c r="BI934" s="48"/>
      <c r="BN934" s="48"/>
      <c r="BO934" s="48"/>
      <c r="BR934" s="48"/>
      <c r="BS934" s="48"/>
      <c r="BW934" s="48"/>
      <c r="CA934" s="48"/>
      <c r="CE934" s="48"/>
      <c r="CF934" s="48"/>
      <c r="CG934" s="48"/>
      <c r="CH934" s="48"/>
      <c r="CI934" s="48"/>
      <c r="CJ934" s="48"/>
      <c r="CL934" s="48"/>
      <c r="CM934" s="48"/>
      <c r="CN934" s="48"/>
      <c r="CO934" s="48"/>
      <c r="CP934" s="48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  <c r="DE934" s="48"/>
      <c r="DF934" s="48"/>
      <c r="DG934" s="48"/>
      <c r="DH934" s="48"/>
      <c r="DI934" s="48"/>
      <c r="DJ934" s="48"/>
      <c r="DK934" s="48"/>
      <c r="DL934" s="48"/>
      <c r="DM934" s="48"/>
      <c r="DN934" s="48"/>
      <c r="DO934" s="48"/>
      <c r="DP934" s="48"/>
      <c r="DQ934" s="48"/>
      <c r="DR934" s="48"/>
      <c r="DS934" s="48"/>
      <c r="DT934" s="48"/>
      <c r="DU934" s="48"/>
      <c r="DV934" s="48"/>
      <c r="DW934" s="48"/>
      <c r="DX934" s="48"/>
      <c r="DY934" s="48"/>
      <c r="DZ934" s="48"/>
      <c r="EA934" s="48"/>
      <c r="EC934" s="48"/>
      <c r="ED934" s="48"/>
      <c r="EE934" s="48"/>
      <c r="EF934" s="48"/>
      <c r="EG934" s="48"/>
      <c r="EI934" s="48"/>
      <c r="EK934" s="48"/>
      <c r="EM934" s="48"/>
      <c r="EO934" s="48"/>
      <c r="EP934" s="48"/>
      <c r="EU934" s="48"/>
      <c r="EV934" s="48"/>
      <c r="EW934" s="48"/>
      <c r="EX934" s="48"/>
      <c r="EY934" s="48"/>
      <c r="EZ934" s="48"/>
      <c r="FA934" s="48"/>
      <c r="FB934" s="48"/>
      <c r="FC934" s="48"/>
      <c r="FD934" s="48"/>
      <c r="FE934" s="48"/>
      <c r="FF934" s="48"/>
      <c r="FG934" s="48"/>
      <c r="FI934" s="48"/>
      <c r="FL934" s="48"/>
      <c r="FM934" s="48"/>
      <c r="FN934" s="48"/>
      <c r="FO934" s="48"/>
      <c r="FP934" s="48"/>
      <c r="FQ934" s="48"/>
      <c r="FR934" s="48"/>
      <c r="FS934" s="48"/>
      <c r="FT934" s="48"/>
      <c r="FU934" s="48"/>
    </row>
    <row r="935" spans="1:177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52"/>
      <c r="BF935" s="48"/>
      <c r="BG935" s="48"/>
      <c r="BI935" s="48"/>
      <c r="BN935" s="48"/>
      <c r="BO935" s="48"/>
      <c r="BR935" s="48"/>
      <c r="BS935" s="48"/>
      <c r="BW935" s="48"/>
      <c r="CA935" s="48"/>
      <c r="CE935" s="48"/>
      <c r="CF935" s="48"/>
      <c r="CG935" s="48"/>
      <c r="CH935" s="48"/>
      <c r="CI935" s="48"/>
      <c r="CJ935" s="48"/>
      <c r="CL935" s="48"/>
      <c r="CM935" s="48"/>
      <c r="CN935" s="48"/>
      <c r="CO935" s="48"/>
      <c r="CP935" s="48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  <c r="DD935" s="48"/>
      <c r="DE935" s="48"/>
      <c r="DF935" s="48"/>
      <c r="DG935" s="48"/>
      <c r="DH935" s="48"/>
      <c r="DI935" s="48"/>
      <c r="DJ935" s="48"/>
      <c r="DK935" s="48"/>
      <c r="DL935" s="48"/>
      <c r="DM935" s="48"/>
      <c r="DN935" s="48"/>
      <c r="DO935" s="48"/>
      <c r="DP935" s="48"/>
      <c r="DQ935" s="48"/>
      <c r="DR935" s="48"/>
      <c r="DS935" s="48"/>
      <c r="DT935" s="48"/>
      <c r="DU935" s="48"/>
      <c r="DV935" s="48"/>
      <c r="DW935" s="48"/>
      <c r="DX935" s="48"/>
      <c r="DY935" s="48"/>
      <c r="DZ935" s="48"/>
      <c r="EA935" s="48"/>
      <c r="EC935" s="48"/>
      <c r="ED935" s="48"/>
      <c r="EE935" s="48"/>
      <c r="EF935" s="48"/>
      <c r="EG935" s="48"/>
      <c r="EI935" s="48"/>
      <c r="EK935" s="48"/>
      <c r="EM935" s="48"/>
      <c r="EO935" s="48"/>
      <c r="EP935" s="48"/>
      <c r="EU935" s="48"/>
      <c r="EV935" s="48"/>
      <c r="EW935" s="48"/>
      <c r="EX935" s="48"/>
      <c r="EY935" s="48"/>
      <c r="EZ935" s="48"/>
      <c r="FA935" s="48"/>
      <c r="FB935" s="48"/>
      <c r="FC935" s="48"/>
      <c r="FD935" s="48"/>
      <c r="FE935" s="48"/>
      <c r="FF935" s="48"/>
      <c r="FG935" s="48"/>
      <c r="FI935" s="48"/>
      <c r="FL935" s="48"/>
      <c r="FM935" s="48"/>
      <c r="FN935" s="48"/>
      <c r="FO935" s="48"/>
      <c r="FP935" s="48"/>
      <c r="FQ935" s="48"/>
      <c r="FR935" s="48"/>
      <c r="FS935" s="48"/>
      <c r="FT935" s="48"/>
      <c r="FU935" s="48"/>
    </row>
    <row r="936" spans="1:177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52"/>
      <c r="BF936" s="48"/>
      <c r="BG936" s="48"/>
      <c r="BI936" s="48"/>
      <c r="BN936" s="48"/>
      <c r="BO936" s="48"/>
      <c r="BR936" s="48"/>
      <c r="BS936" s="48"/>
      <c r="BW936" s="48"/>
      <c r="CA936" s="48"/>
      <c r="CE936" s="48"/>
      <c r="CF936" s="48"/>
      <c r="CG936" s="48"/>
      <c r="CH936" s="48"/>
      <c r="CI936" s="48"/>
      <c r="CJ936" s="48"/>
      <c r="CL936" s="48"/>
      <c r="CM936" s="48"/>
      <c r="CN936" s="48"/>
      <c r="CO936" s="48"/>
      <c r="CP936" s="48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  <c r="DD936" s="48"/>
      <c r="DE936" s="48"/>
      <c r="DF936" s="48"/>
      <c r="DG936" s="48"/>
      <c r="DH936" s="48"/>
      <c r="DI936" s="48"/>
      <c r="DJ936" s="48"/>
      <c r="DK936" s="48"/>
      <c r="DL936" s="48"/>
      <c r="DM936" s="48"/>
      <c r="DN936" s="48"/>
      <c r="DO936" s="48"/>
      <c r="DP936" s="48"/>
      <c r="DQ936" s="48"/>
      <c r="DR936" s="48"/>
      <c r="DS936" s="48"/>
      <c r="DT936" s="48"/>
      <c r="DU936" s="48"/>
      <c r="DV936" s="48"/>
      <c r="DW936" s="48"/>
      <c r="DX936" s="48"/>
      <c r="DY936" s="48"/>
      <c r="DZ936" s="48"/>
      <c r="EA936" s="48"/>
      <c r="EC936" s="48"/>
      <c r="ED936" s="48"/>
      <c r="EE936" s="48"/>
      <c r="EF936" s="48"/>
      <c r="EG936" s="48"/>
      <c r="EI936" s="48"/>
      <c r="EK936" s="48"/>
      <c r="EM936" s="48"/>
      <c r="EO936" s="48"/>
      <c r="EP936" s="48"/>
      <c r="EU936" s="48"/>
      <c r="EV936" s="48"/>
      <c r="EW936" s="48"/>
      <c r="EX936" s="48"/>
      <c r="EY936" s="48"/>
      <c r="EZ936" s="48"/>
      <c r="FA936" s="48"/>
      <c r="FB936" s="48"/>
      <c r="FC936" s="48"/>
      <c r="FD936" s="48"/>
      <c r="FE936" s="48"/>
      <c r="FF936" s="48"/>
      <c r="FG936" s="48"/>
      <c r="FI936" s="48"/>
      <c r="FL936" s="48"/>
      <c r="FM936" s="48"/>
      <c r="FN936" s="48"/>
      <c r="FO936" s="48"/>
      <c r="FP936" s="48"/>
      <c r="FQ936" s="48"/>
      <c r="FR936" s="48"/>
      <c r="FS936" s="48"/>
      <c r="FT936" s="48"/>
      <c r="FU936" s="48"/>
    </row>
    <row r="937" spans="1:17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52"/>
      <c r="BF937" s="48"/>
      <c r="BG937" s="48"/>
      <c r="BI937" s="48"/>
      <c r="BN937" s="48"/>
      <c r="BO937" s="48"/>
      <c r="BR937" s="48"/>
      <c r="BS937" s="48"/>
      <c r="BW937" s="48"/>
      <c r="CA937" s="48"/>
      <c r="CE937" s="48"/>
      <c r="CF937" s="48"/>
      <c r="CG937" s="48"/>
      <c r="CH937" s="48"/>
      <c r="CI937" s="48"/>
      <c r="CJ937" s="48"/>
      <c r="CL937" s="48"/>
      <c r="CM937" s="48"/>
      <c r="CN937" s="48"/>
      <c r="CO937" s="48"/>
      <c r="CP937" s="48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  <c r="DE937" s="48"/>
      <c r="DF937" s="48"/>
      <c r="DG937" s="48"/>
      <c r="DH937" s="48"/>
      <c r="DI937" s="48"/>
      <c r="DJ937" s="48"/>
      <c r="DK937" s="48"/>
      <c r="DL937" s="48"/>
      <c r="DM937" s="48"/>
      <c r="DN937" s="48"/>
      <c r="DO937" s="48"/>
      <c r="DP937" s="48"/>
      <c r="DQ937" s="48"/>
      <c r="DR937" s="48"/>
      <c r="DS937" s="48"/>
      <c r="DT937" s="48"/>
      <c r="DU937" s="48"/>
      <c r="DV937" s="48"/>
      <c r="DW937" s="48"/>
      <c r="DX937" s="48"/>
      <c r="DY937" s="48"/>
      <c r="DZ937" s="48"/>
      <c r="EA937" s="48"/>
      <c r="EC937" s="48"/>
      <c r="ED937" s="48"/>
      <c r="EE937" s="48"/>
      <c r="EF937" s="48"/>
      <c r="EG937" s="48"/>
      <c r="EI937" s="48"/>
      <c r="EK937" s="48"/>
      <c r="EM937" s="48"/>
      <c r="EO937" s="48"/>
      <c r="EP937" s="48"/>
      <c r="EU937" s="48"/>
      <c r="EV937" s="48"/>
      <c r="EW937" s="48"/>
      <c r="EX937" s="48"/>
      <c r="EY937" s="48"/>
      <c r="EZ937" s="48"/>
      <c r="FA937" s="48"/>
      <c r="FB937" s="48"/>
      <c r="FC937" s="48"/>
      <c r="FD937" s="48"/>
      <c r="FE937" s="48"/>
      <c r="FF937" s="48"/>
      <c r="FG937" s="48"/>
      <c r="FI937" s="48"/>
      <c r="FL937" s="48"/>
      <c r="FM937" s="48"/>
      <c r="FN937" s="48"/>
      <c r="FO937" s="48"/>
      <c r="FP937" s="48"/>
      <c r="FQ937" s="48"/>
      <c r="FR937" s="48"/>
      <c r="FS937" s="48"/>
      <c r="FT937" s="48"/>
      <c r="FU937" s="48"/>
    </row>
    <row r="938" spans="1:177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52"/>
      <c r="BF938" s="48"/>
      <c r="BG938" s="48"/>
      <c r="BI938" s="48"/>
      <c r="BN938" s="48"/>
      <c r="BO938" s="48"/>
      <c r="BR938" s="48"/>
      <c r="BS938" s="48"/>
      <c r="BW938" s="48"/>
      <c r="CA938" s="48"/>
      <c r="CE938" s="48"/>
      <c r="CF938" s="48"/>
      <c r="CG938" s="48"/>
      <c r="CH938" s="48"/>
      <c r="CI938" s="48"/>
      <c r="CJ938" s="48"/>
      <c r="CL938" s="48"/>
      <c r="CM938" s="48"/>
      <c r="CN938" s="48"/>
      <c r="CO938" s="48"/>
      <c r="CP938" s="48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  <c r="DD938" s="48"/>
      <c r="DE938" s="48"/>
      <c r="DF938" s="48"/>
      <c r="DG938" s="48"/>
      <c r="DH938" s="48"/>
      <c r="DI938" s="48"/>
      <c r="DJ938" s="48"/>
      <c r="DK938" s="48"/>
      <c r="DL938" s="48"/>
      <c r="DM938" s="48"/>
      <c r="DN938" s="48"/>
      <c r="DO938" s="48"/>
      <c r="DP938" s="48"/>
      <c r="DQ938" s="48"/>
      <c r="DR938" s="48"/>
      <c r="DS938" s="48"/>
      <c r="DT938" s="48"/>
      <c r="DU938" s="48"/>
      <c r="DV938" s="48"/>
      <c r="DW938" s="48"/>
      <c r="DX938" s="48"/>
      <c r="DY938" s="48"/>
      <c r="DZ938" s="48"/>
      <c r="EA938" s="48"/>
      <c r="EC938" s="48"/>
      <c r="ED938" s="48"/>
      <c r="EE938" s="48"/>
      <c r="EF938" s="48"/>
      <c r="EG938" s="48"/>
      <c r="EI938" s="48"/>
      <c r="EK938" s="48"/>
      <c r="EM938" s="48"/>
      <c r="EO938" s="48"/>
      <c r="EP938" s="48"/>
      <c r="EU938" s="48"/>
      <c r="EV938" s="48"/>
      <c r="EW938" s="48"/>
      <c r="EX938" s="48"/>
      <c r="EY938" s="48"/>
      <c r="EZ938" s="48"/>
      <c r="FA938" s="48"/>
      <c r="FB938" s="48"/>
      <c r="FC938" s="48"/>
      <c r="FD938" s="48"/>
      <c r="FE938" s="48"/>
      <c r="FF938" s="48"/>
      <c r="FG938" s="48"/>
      <c r="FI938" s="48"/>
      <c r="FL938" s="48"/>
      <c r="FM938" s="48"/>
      <c r="FN938" s="48"/>
      <c r="FO938" s="48"/>
      <c r="FP938" s="48"/>
      <c r="FQ938" s="48"/>
      <c r="FR938" s="48"/>
      <c r="FS938" s="48"/>
      <c r="FT938" s="48"/>
      <c r="FU938" s="48"/>
    </row>
    <row r="939" spans="1:177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52"/>
      <c r="BF939" s="48"/>
      <c r="BG939" s="48"/>
      <c r="BI939" s="48"/>
      <c r="BN939" s="48"/>
      <c r="BO939" s="48"/>
      <c r="BR939" s="48"/>
      <c r="BS939" s="48"/>
      <c r="BW939" s="48"/>
      <c r="CA939" s="48"/>
      <c r="CE939" s="48"/>
      <c r="CF939" s="48"/>
      <c r="CG939" s="48"/>
      <c r="CH939" s="48"/>
      <c r="CI939" s="48"/>
      <c r="CJ939" s="48"/>
      <c r="CL939" s="48"/>
      <c r="CM939" s="48"/>
      <c r="CN939" s="48"/>
      <c r="CO939" s="48"/>
      <c r="CP939" s="48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  <c r="DD939" s="48"/>
      <c r="DE939" s="48"/>
      <c r="DF939" s="48"/>
      <c r="DG939" s="48"/>
      <c r="DH939" s="48"/>
      <c r="DI939" s="48"/>
      <c r="DJ939" s="48"/>
      <c r="DK939" s="48"/>
      <c r="DL939" s="48"/>
      <c r="DM939" s="48"/>
      <c r="DN939" s="48"/>
      <c r="DO939" s="48"/>
      <c r="DP939" s="48"/>
      <c r="DQ939" s="48"/>
      <c r="DR939" s="48"/>
      <c r="DS939" s="48"/>
      <c r="DT939" s="48"/>
      <c r="DU939" s="48"/>
      <c r="DV939" s="48"/>
      <c r="DW939" s="48"/>
      <c r="DX939" s="48"/>
      <c r="DY939" s="48"/>
      <c r="DZ939" s="48"/>
      <c r="EA939" s="48"/>
      <c r="EC939" s="48"/>
      <c r="ED939" s="48"/>
      <c r="EE939" s="48"/>
      <c r="EF939" s="48"/>
      <c r="EG939" s="48"/>
      <c r="EI939" s="48"/>
      <c r="EK939" s="48"/>
      <c r="EM939" s="48"/>
      <c r="EO939" s="48"/>
      <c r="EP939" s="48"/>
      <c r="EU939" s="48"/>
      <c r="EV939" s="48"/>
      <c r="EW939" s="48"/>
      <c r="EX939" s="48"/>
      <c r="EY939" s="48"/>
      <c r="EZ939" s="48"/>
      <c r="FA939" s="48"/>
      <c r="FB939" s="48"/>
      <c r="FC939" s="48"/>
      <c r="FD939" s="48"/>
      <c r="FE939" s="48"/>
      <c r="FF939" s="48"/>
      <c r="FG939" s="48"/>
      <c r="FI939" s="48"/>
      <c r="FL939" s="48"/>
      <c r="FM939" s="48"/>
      <c r="FN939" s="48"/>
      <c r="FO939" s="48"/>
      <c r="FP939" s="48"/>
      <c r="FQ939" s="48"/>
      <c r="FR939" s="48"/>
      <c r="FS939" s="48"/>
      <c r="FT939" s="48"/>
      <c r="FU939" s="48"/>
    </row>
    <row r="940" spans="1:177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52"/>
      <c r="BF940" s="48"/>
      <c r="BG940" s="48"/>
      <c r="BI940" s="48"/>
      <c r="BN940" s="48"/>
      <c r="BO940" s="48"/>
      <c r="BR940" s="48"/>
      <c r="BS940" s="48"/>
      <c r="BW940" s="48"/>
      <c r="CA940" s="48"/>
      <c r="CE940" s="48"/>
      <c r="CF940" s="48"/>
      <c r="CG940" s="48"/>
      <c r="CH940" s="48"/>
      <c r="CI940" s="48"/>
      <c r="CJ940" s="48"/>
      <c r="CL940" s="48"/>
      <c r="CM940" s="48"/>
      <c r="CN940" s="48"/>
      <c r="CO940" s="48"/>
      <c r="CP940" s="48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  <c r="DE940" s="48"/>
      <c r="DF940" s="48"/>
      <c r="DG940" s="48"/>
      <c r="DH940" s="48"/>
      <c r="DI940" s="48"/>
      <c r="DJ940" s="48"/>
      <c r="DK940" s="48"/>
      <c r="DL940" s="48"/>
      <c r="DM940" s="48"/>
      <c r="DN940" s="48"/>
      <c r="DO940" s="48"/>
      <c r="DP940" s="48"/>
      <c r="DQ940" s="48"/>
      <c r="DR940" s="48"/>
      <c r="DS940" s="48"/>
      <c r="DT940" s="48"/>
      <c r="DU940" s="48"/>
      <c r="DV940" s="48"/>
      <c r="DW940" s="48"/>
      <c r="DX940" s="48"/>
      <c r="DY940" s="48"/>
      <c r="DZ940" s="48"/>
      <c r="EA940" s="48"/>
      <c r="EC940" s="48"/>
      <c r="ED940" s="48"/>
      <c r="EE940" s="48"/>
      <c r="EF940" s="48"/>
      <c r="EG940" s="48"/>
      <c r="EI940" s="48"/>
      <c r="EK940" s="48"/>
      <c r="EM940" s="48"/>
      <c r="EO940" s="48"/>
      <c r="EP940" s="48"/>
      <c r="EU940" s="48"/>
      <c r="EV940" s="48"/>
      <c r="EW940" s="48"/>
      <c r="EX940" s="48"/>
      <c r="EY940" s="48"/>
      <c r="EZ940" s="48"/>
      <c r="FA940" s="48"/>
      <c r="FB940" s="48"/>
      <c r="FC940" s="48"/>
      <c r="FD940" s="48"/>
      <c r="FE940" s="48"/>
      <c r="FF940" s="48"/>
      <c r="FG940" s="48"/>
      <c r="FI940" s="48"/>
      <c r="FL940" s="48"/>
      <c r="FM940" s="48"/>
      <c r="FN940" s="48"/>
      <c r="FO940" s="48"/>
      <c r="FP940" s="48"/>
      <c r="FQ940" s="48"/>
      <c r="FR940" s="48"/>
      <c r="FS940" s="48"/>
      <c r="FT940" s="48"/>
      <c r="FU940" s="48"/>
    </row>
    <row r="941" spans="1:177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52"/>
      <c r="BF941" s="48"/>
      <c r="BG941" s="48"/>
      <c r="BI941" s="48"/>
      <c r="BN941" s="48"/>
      <c r="BO941" s="48"/>
      <c r="BR941" s="48"/>
      <c r="BS941" s="48"/>
      <c r="BW941" s="48"/>
      <c r="CA941" s="48"/>
      <c r="CE941" s="48"/>
      <c r="CF941" s="48"/>
      <c r="CG941" s="48"/>
      <c r="CH941" s="48"/>
      <c r="CI941" s="48"/>
      <c r="CJ941" s="48"/>
      <c r="CL941" s="48"/>
      <c r="CM941" s="48"/>
      <c r="CN941" s="48"/>
      <c r="CO941" s="48"/>
      <c r="CP941" s="48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  <c r="DD941" s="48"/>
      <c r="DE941" s="48"/>
      <c r="DF941" s="48"/>
      <c r="DG941" s="48"/>
      <c r="DH941" s="48"/>
      <c r="DI941" s="48"/>
      <c r="DJ941" s="48"/>
      <c r="DK941" s="48"/>
      <c r="DL941" s="48"/>
      <c r="DM941" s="48"/>
      <c r="DN941" s="48"/>
      <c r="DO941" s="48"/>
      <c r="DP941" s="48"/>
      <c r="DQ941" s="48"/>
      <c r="DR941" s="48"/>
      <c r="DS941" s="48"/>
      <c r="DT941" s="48"/>
      <c r="DU941" s="48"/>
      <c r="DV941" s="48"/>
      <c r="DW941" s="48"/>
      <c r="DX941" s="48"/>
      <c r="DY941" s="48"/>
      <c r="DZ941" s="48"/>
      <c r="EA941" s="48"/>
      <c r="EC941" s="48"/>
      <c r="ED941" s="48"/>
      <c r="EE941" s="48"/>
      <c r="EF941" s="48"/>
      <c r="EG941" s="48"/>
      <c r="EI941" s="48"/>
      <c r="EK941" s="48"/>
      <c r="EM941" s="48"/>
      <c r="EO941" s="48"/>
      <c r="EP941" s="48"/>
      <c r="EU941" s="48"/>
      <c r="EV941" s="48"/>
      <c r="EW941" s="48"/>
      <c r="EX941" s="48"/>
      <c r="EY941" s="48"/>
      <c r="EZ941" s="48"/>
      <c r="FA941" s="48"/>
      <c r="FB941" s="48"/>
      <c r="FC941" s="48"/>
      <c r="FD941" s="48"/>
      <c r="FE941" s="48"/>
      <c r="FF941" s="48"/>
      <c r="FG941" s="48"/>
      <c r="FI941" s="48"/>
      <c r="FL941" s="48"/>
      <c r="FM941" s="48"/>
      <c r="FN941" s="48"/>
      <c r="FO941" s="48"/>
      <c r="FP941" s="48"/>
      <c r="FQ941" s="48"/>
      <c r="FR941" s="48"/>
      <c r="FS941" s="48"/>
      <c r="FT941" s="48"/>
      <c r="FU941" s="48"/>
    </row>
    <row r="942" spans="1:177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52"/>
      <c r="BF942" s="48"/>
      <c r="BG942" s="48"/>
      <c r="BI942" s="48"/>
      <c r="BN942" s="48"/>
      <c r="BO942" s="48"/>
      <c r="BR942" s="48"/>
      <c r="BS942" s="48"/>
      <c r="BW942" s="48"/>
      <c r="CA942" s="48"/>
      <c r="CE942" s="48"/>
      <c r="CF942" s="48"/>
      <c r="CG942" s="48"/>
      <c r="CH942" s="48"/>
      <c r="CI942" s="48"/>
      <c r="CJ942" s="48"/>
      <c r="CL942" s="48"/>
      <c r="CM942" s="48"/>
      <c r="CN942" s="48"/>
      <c r="CO942" s="48"/>
      <c r="CP942" s="48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  <c r="DD942" s="48"/>
      <c r="DE942" s="48"/>
      <c r="DF942" s="48"/>
      <c r="DG942" s="48"/>
      <c r="DH942" s="48"/>
      <c r="DI942" s="48"/>
      <c r="DJ942" s="48"/>
      <c r="DK942" s="48"/>
      <c r="DL942" s="48"/>
      <c r="DM942" s="48"/>
      <c r="DN942" s="48"/>
      <c r="DO942" s="48"/>
      <c r="DP942" s="48"/>
      <c r="DQ942" s="48"/>
      <c r="DR942" s="48"/>
      <c r="DS942" s="48"/>
      <c r="DT942" s="48"/>
      <c r="DU942" s="48"/>
      <c r="DV942" s="48"/>
      <c r="DW942" s="48"/>
      <c r="DX942" s="48"/>
      <c r="DY942" s="48"/>
      <c r="DZ942" s="48"/>
      <c r="EA942" s="48"/>
      <c r="EC942" s="48"/>
      <c r="ED942" s="48"/>
      <c r="EE942" s="48"/>
      <c r="EF942" s="48"/>
      <c r="EG942" s="48"/>
      <c r="EI942" s="48"/>
      <c r="EK942" s="48"/>
      <c r="EM942" s="48"/>
      <c r="EO942" s="48"/>
      <c r="EP942" s="48"/>
      <c r="EU942" s="48"/>
      <c r="EV942" s="48"/>
      <c r="EW942" s="48"/>
      <c r="EX942" s="48"/>
      <c r="EY942" s="48"/>
      <c r="EZ942" s="48"/>
      <c r="FA942" s="48"/>
      <c r="FB942" s="48"/>
      <c r="FC942" s="48"/>
      <c r="FD942" s="48"/>
      <c r="FE942" s="48"/>
      <c r="FF942" s="48"/>
      <c r="FG942" s="48"/>
      <c r="FI942" s="48"/>
      <c r="FL942" s="48"/>
      <c r="FM942" s="48"/>
      <c r="FN942" s="48"/>
      <c r="FO942" s="48"/>
      <c r="FP942" s="48"/>
      <c r="FQ942" s="48"/>
      <c r="FR942" s="48"/>
      <c r="FS942" s="48"/>
      <c r="FT942" s="48"/>
      <c r="FU942" s="48"/>
    </row>
    <row r="943" spans="1:177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52"/>
      <c r="BF943" s="48"/>
      <c r="BG943" s="48"/>
      <c r="BI943" s="48"/>
      <c r="BN943" s="48"/>
      <c r="BO943" s="48"/>
      <c r="BR943" s="48"/>
      <c r="BS943" s="48"/>
      <c r="BW943" s="48"/>
      <c r="CA943" s="48"/>
      <c r="CE943" s="48"/>
      <c r="CF943" s="48"/>
      <c r="CG943" s="48"/>
      <c r="CH943" s="48"/>
      <c r="CI943" s="48"/>
      <c r="CJ943" s="48"/>
      <c r="CL943" s="48"/>
      <c r="CM943" s="48"/>
      <c r="CN943" s="48"/>
      <c r="CO943" s="48"/>
      <c r="CP943" s="48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  <c r="DE943" s="48"/>
      <c r="DF943" s="48"/>
      <c r="DG943" s="48"/>
      <c r="DH943" s="48"/>
      <c r="DI943" s="48"/>
      <c r="DJ943" s="48"/>
      <c r="DK943" s="48"/>
      <c r="DL943" s="48"/>
      <c r="DM943" s="48"/>
      <c r="DN943" s="48"/>
      <c r="DO943" s="48"/>
      <c r="DP943" s="48"/>
      <c r="DQ943" s="48"/>
      <c r="DR943" s="48"/>
      <c r="DS943" s="48"/>
      <c r="DT943" s="48"/>
      <c r="DU943" s="48"/>
      <c r="DV943" s="48"/>
      <c r="DW943" s="48"/>
      <c r="DX943" s="48"/>
      <c r="DY943" s="48"/>
      <c r="DZ943" s="48"/>
      <c r="EA943" s="48"/>
      <c r="EC943" s="48"/>
      <c r="ED943" s="48"/>
      <c r="EE943" s="48"/>
      <c r="EF943" s="48"/>
      <c r="EG943" s="48"/>
      <c r="EI943" s="48"/>
      <c r="EK943" s="48"/>
      <c r="EM943" s="48"/>
      <c r="EO943" s="48"/>
      <c r="EP943" s="48"/>
      <c r="EU943" s="48"/>
      <c r="EV943" s="48"/>
      <c r="EW943" s="48"/>
      <c r="EX943" s="48"/>
      <c r="EY943" s="48"/>
      <c r="EZ943" s="48"/>
      <c r="FA943" s="48"/>
      <c r="FB943" s="48"/>
      <c r="FC943" s="48"/>
      <c r="FD943" s="48"/>
      <c r="FE943" s="48"/>
      <c r="FF943" s="48"/>
      <c r="FG943" s="48"/>
      <c r="FI943" s="48"/>
      <c r="FL943" s="48"/>
      <c r="FM943" s="48"/>
      <c r="FN943" s="48"/>
      <c r="FO943" s="48"/>
      <c r="FP943" s="48"/>
      <c r="FQ943" s="48"/>
      <c r="FR943" s="48"/>
      <c r="FS943" s="48"/>
      <c r="FT943" s="48"/>
      <c r="FU943" s="48"/>
    </row>
    <row r="944" spans="1:177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52"/>
      <c r="BF944" s="48"/>
      <c r="BG944" s="48"/>
      <c r="BI944" s="48"/>
      <c r="BN944" s="48"/>
      <c r="BO944" s="48"/>
      <c r="BR944" s="48"/>
      <c r="BS944" s="48"/>
      <c r="BW944" s="48"/>
      <c r="CA944" s="48"/>
      <c r="CE944" s="48"/>
      <c r="CF944" s="48"/>
      <c r="CG944" s="48"/>
      <c r="CH944" s="48"/>
      <c r="CI944" s="48"/>
      <c r="CJ944" s="48"/>
      <c r="CL944" s="48"/>
      <c r="CM944" s="48"/>
      <c r="CN944" s="48"/>
      <c r="CO944" s="48"/>
      <c r="CP944" s="48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  <c r="DD944" s="48"/>
      <c r="DE944" s="48"/>
      <c r="DF944" s="48"/>
      <c r="DG944" s="48"/>
      <c r="DH944" s="48"/>
      <c r="DI944" s="48"/>
      <c r="DJ944" s="48"/>
      <c r="DK944" s="48"/>
      <c r="DL944" s="48"/>
      <c r="DM944" s="48"/>
      <c r="DN944" s="48"/>
      <c r="DO944" s="48"/>
      <c r="DP944" s="48"/>
      <c r="DQ944" s="48"/>
      <c r="DR944" s="48"/>
      <c r="DS944" s="48"/>
      <c r="DT944" s="48"/>
      <c r="DU944" s="48"/>
      <c r="DV944" s="48"/>
      <c r="DW944" s="48"/>
      <c r="DX944" s="48"/>
      <c r="DY944" s="48"/>
      <c r="DZ944" s="48"/>
      <c r="EA944" s="48"/>
      <c r="EC944" s="48"/>
      <c r="ED944" s="48"/>
      <c r="EE944" s="48"/>
      <c r="EF944" s="48"/>
      <c r="EG944" s="48"/>
      <c r="EI944" s="48"/>
      <c r="EK944" s="48"/>
      <c r="EM944" s="48"/>
      <c r="EO944" s="48"/>
      <c r="EP944" s="48"/>
      <c r="EU944" s="48"/>
      <c r="EV944" s="48"/>
      <c r="EW944" s="48"/>
      <c r="EX944" s="48"/>
      <c r="EY944" s="48"/>
      <c r="EZ944" s="48"/>
      <c r="FA944" s="48"/>
      <c r="FB944" s="48"/>
      <c r="FC944" s="48"/>
      <c r="FD944" s="48"/>
      <c r="FE944" s="48"/>
      <c r="FF944" s="48"/>
      <c r="FG944" s="48"/>
      <c r="FI944" s="48"/>
      <c r="FL944" s="48"/>
      <c r="FM944" s="48"/>
      <c r="FN944" s="48"/>
      <c r="FO944" s="48"/>
      <c r="FP944" s="48"/>
      <c r="FQ944" s="48"/>
      <c r="FR944" s="48"/>
      <c r="FS944" s="48"/>
      <c r="FT944" s="48"/>
      <c r="FU944" s="48"/>
    </row>
    <row r="945" spans="1:177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52"/>
      <c r="BF945" s="48"/>
      <c r="BG945" s="48"/>
      <c r="BI945" s="48"/>
      <c r="BN945" s="48"/>
      <c r="BO945" s="48"/>
      <c r="BR945" s="48"/>
      <c r="BS945" s="48"/>
      <c r="BW945" s="48"/>
      <c r="CA945" s="48"/>
      <c r="CE945" s="48"/>
      <c r="CF945" s="48"/>
      <c r="CG945" s="48"/>
      <c r="CH945" s="48"/>
      <c r="CI945" s="48"/>
      <c r="CJ945" s="48"/>
      <c r="CL945" s="48"/>
      <c r="CM945" s="48"/>
      <c r="CN945" s="48"/>
      <c r="CO945" s="48"/>
      <c r="CP945" s="48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  <c r="DD945" s="48"/>
      <c r="DE945" s="48"/>
      <c r="DF945" s="48"/>
      <c r="DG945" s="48"/>
      <c r="DH945" s="48"/>
      <c r="DI945" s="48"/>
      <c r="DJ945" s="48"/>
      <c r="DK945" s="48"/>
      <c r="DL945" s="48"/>
      <c r="DM945" s="48"/>
      <c r="DN945" s="48"/>
      <c r="DO945" s="48"/>
      <c r="DP945" s="48"/>
      <c r="DQ945" s="48"/>
      <c r="DR945" s="48"/>
      <c r="DS945" s="48"/>
      <c r="DT945" s="48"/>
      <c r="DU945" s="48"/>
      <c r="DV945" s="48"/>
      <c r="DW945" s="48"/>
      <c r="DX945" s="48"/>
      <c r="DY945" s="48"/>
      <c r="DZ945" s="48"/>
      <c r="EA945" s="48"/>
      <c r="EC945" s="48"/>
      <c r="ED945" s="48"/>
      <c r="EE945" s="48"/>
      <c r="EF945" s="48"/>
      <c r="EG945" s="48"/>
      <c r="EI945" s="48"/>
      <c r="EK945" s="48"/>
      <c r="EM945" s="48"/>
      <c r="EO945" s="48"/>
      <c r="EP945" s="48"/>
      <c r="EU945" s="48"/>
      <c r="EV945" s="48"/>
      <c r="EW945" s="48"/>
      <c r="EX945" s="48"/>
      <c r="EY945" s="48"/>
      <c r="EZ945" s="48"/>
      <c r="FA945" s="48"/>
      <c r="FB945" s="48"/>
      <c r="FC945" s="48"/>
      <c r="FD945" s="48"/>
      <c r="FE945" s="48"/>
      <c r="FF945" s="48"/>
      <c r="FG945" s="48"/>
      <c r="FI945" s="48"/>
      <c r="FL945" s="48"/>
      <c r="FM945" s="48"/>
      <c r="FN945" s="48"/>
      <c r="FO945" s="48"/>
      <c r="FP945" s="48"/>
      <c r="FQ945" s="48"/>
      <c r="FR945" s="48"/>
      <c r="FS945" s="48"/>
      <c r="FT945" s="48"/>
      <c r="FU945" s="48"/>
    </row>
    <row r="946" spans="1:177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52"/>
      <c r="BF946" s="48"/>
      <c r="BG946" s="48"/>
      <c r="BI946" s="48"/>
      <c r="BN946" s="48"/>
      <c r="BO946" s="48"/>
      <c r="BR946" s="48"/>
      <c r="BS946" s="48"/>
      <c r="BW946" s="48"/>
      <c r="CA946" s="48"/>
      <c r="CE946" s="48"/>
      <c r="CF946" s="48"/>
      <c r="CG946" s="48"/>
      <c r="CH946" s="48"/>
      <c r="CI946" s="48"/>
      <c r="CJ946" s="48"/>
      <c r="CL946" s="48"/>
      <c r="CM946" s="48"/>
      <c r="CN946" s="48"/>
      <c r="CO946" s="48"/>
      <c r="CP946" s="48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  <c r="DE946" s="48"/>
      <c r="DF946" s="48"/>
      <c r="DG946" s="48"/>
      <c r="DH946" s="48"/>
      <c r="DI946" s="48"/>
      <c r="DJ946" s="48"/>
      <c r="DK946" s="48"/>
      <c r="DL946" s="48"/>
      <c r="DM946" s="48"/>
      <c r="DN946" s="48"/>
      <c r="DO946" s="48"/>
      <c r="DP946" s="48"/>
      <c r="DQ946" s="48"/>
      <c r="DR946" s="48"/>
      <c r="DS946" s="48"/>
      <c r="DT946" s="48"/>
      <c r="DU946" s="48"/>
      <c r="DV946" s="48"/>
      <c r="DW946" s="48"/>
      <c r="DX946" s="48"/>
      <c r="DY946" s="48"/>
      <c r="DZ946" s="48"/>
      <c r="EA946" s="48"/>
      <c r="EC946" s="48"/>
      <c r="ED946" s="48"/>
      <c r="EE946" s="48"/>
      <c r="EF946" s="48"/>
      <c r="EG946" s="48"/>
      <c r="EI946" s="48"/>
      <c r="EK946" s="48"/>
      <c r="EM946" s="48"/>
      <c r="EO946" s="48"/>
      <c r="EP946" s="48"/>
      <c r="EU946" s="48"/>
      <c r="EV946" s="48"/>
      <c r="EW946" s="48"/>
      <c r="EX946" s="48"/>
      <c r="EY946" s="48"/>
      <c r="EZ946" s="48"/>
      <c r="FA946" s="48"/>
      <c r="FB946" s="48"/>
      <c r="FC946" s="48"/>
      <c r="FD946" s="48"/>
      <c r="FE946" s="48"/>
      <c r="FF946" s="48"/>
      <c r="FG946" s="48"/>
      <c r="FI946" s="48"/>
      <c r="FL946" s="48"/>
      <c r="FM946" s="48"/>
      <c r="FN946" s="48"/>
      <c r="FO946" s="48"/>
      <c r="FP946" s="48"/>
      <c r="FQ946" s="48"/>
      <c r="FR946" s="48"/>
      <c r="FS946" s="48"/>
      <c r="FT946" s="48"/>
      <c r="FU946" s="48"/>
    </row>
    <row r="947" spans="1:17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52"/>
      <c r="BF947" s="48"/>
      <c r="BG947" s="48"/>
      <c r="BI947" s="48"/>
      <c r="BN947" s="48"/>
      <c r="BO947" s="48"/>
      <c r="BR947" s="48"/>
      <c r="BS947" s="48"/>
      <c r="BW947" s="48"/>
      <c r="CA947" s="48"/>
      <c r="CE947" s="48"/>
      <c r="CF947" s="48"/>
      <c r="CG947" s="48"/>
      <c r="CH947" s="48"/>
      <c r="CI947" s="48"/>
      <c r="CJ947" s="48"/>
      <c r="CL947" s="48"/>
      <c r="CM947" s="48"/>
      <c r="CN947" s="48"/>
      <c r="CO947" s="48"/>
      <c r="CP947" s="48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  <c r="DD947" s="48"/>
      <c r="DE947" s="48"/>
      <c r="DF947" s="48"/>
      <c r="DG947" s="48"/>
      <c r="DH947" s="48"/>
      <c r="DI947" s="48"/>
      <c r="DJ947" s="48"/>
      <c r="DK947" s="48"/>
      <c r="DL947" s="48"/>
      <c r="DM947" s="48"/>
      <c r="DN947" s="48"/>
      <c r="DO947" s="48"/>
      <c r="DP947" s="48"/>
      <c r="DQ947" s="48"/>
      <c r="DR947" s="48"/>
      <c r="DS947" s="48"/>
      <c r="DT947" s="48"/>
      <c r="DU947" s="48"/>
      <c r="DV947" s="48"/>
      <c r="DW947" s="48"/>
      <c r="DX947" s="48"/>
      <c r="DY947" s="48"/>
      <c r="DZ947" s="48"/>
      <c r="EA947" s="48"/>
      <c r="EC947" s="48"/>
      <c r="ED947" s="48"/>
      <c r="EE947" s="48"/>
      <c r="EF947" s="48"/>
      <c r="EG947" s="48"/>
      <c r="EI947" s="48"/>
      <c r="EK947" s="48"/>
      <c r="EM947" s="48"/>
      <c r="EO947" s="48"/>
      <c r="EP947" s="48"/>
      <c r="EU947" s="48"/>
      <c r="EV947" s="48"/>
      <c r="EW947" s="48"/>
      <c r="EX947" s="48"/>
      <c r="EY947" s="48"/>
      <c r="EZ947" s="48"/>
      <c r="FA947" s="48"/>
      <c r="FB947" s="48"/>
      <c r="FC947" s="48"/>
      <c r="FD947" s="48"/>
      <c r="FE947" s="48"/>
      <c r="FF947" s="48"/>
      <c r="FG947" s="48"/>
      <c r="FI947" s="48"/>
      <c r="FL947" s="48"/>
      <c r="FM947" s="48"/>
      <c r="FN947" s="48"/>
      <c r="FO947" s="48"/>
      <c r="FP947" s="48"/>
      <c r="FQ947" s="48"/>
      <c r="FR947" s="48"/>
      <c r="FS947" s="48"/>
      <c r="FT947" s="48"/>
      <c r="FU947" s="48"/>
    </row>
    <row r="948" spans="1:177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52"/>
      <c r="BF948" s="48"/>
      <c r="BG948" s="48"/>
      <c r="BI948" s="48"/>
      <c r="BN948" s="48"/>
      <c r="BO948" s="48"/>
      <c r="BR948" s="48"/>
      <c r="BS948" s="48"/>
      <c r="BW948" s="48"/>
      <c r="CA948" s="48"/>
      <c r="CE948" s="48"/>
      <c r="CF948" s="48"/>
      <c r="CG948" s="48"/>
      <c r="CH948" s="48"/>
      <c r="CI948" s="48"/>
      <c r="CJ948" s="48"/>
      <c r="CL948" s="48"/>
      <c r="CM948" s="48"/>
      <c r="CN948" s="48"/>
      <c r="CO948" s="48"/>
      <c r="CP948" s="48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  <c r="DD948" s="48"/>
      <c r="DE948" s="48"/>
      <c r="DF948" s="48"/>
      <c r="DG948" s="48"/>
      <c r="DH948" s="48"/>
      <c r="DI948" s="48"/>
      <c r="DJ948" s="48"/>
      <c r="DK948" s="48"/>
      <c r="DL948" s="48"/>
      <c r="DM948" s="48"/>
      <c r="DN948" s="48"/>
      <c r="DO948" s="48"/>
      <c r="DP948" s="48"/>
      <c r="DQ948" s="48"/>
      <c r="DR948" s="48"/>
      <c r="DS948" s="48"/>
      <c r="DT948" s="48"/>
      <c r="DU948" s="48"/>
      <c r="DV948" s="48"/>
      <c r="DW948" s="48"/>
      <c r="DX948" s="48"/>
      <c r="DY948" s="48"/>
      <c r="DZ948" s="48"/>
      <c r="EA948" s="48"/>
      <c r="EC948" s="48"/>
      <c r="ED948" s="48"/>
      <c r="EE948" s="48"/>
      <c r="EF948" s="48"/>
      <c r="EG948" s="48"/>
      <c r="EI948" s="48"/>
      <c r="EK948" s="48"/>
      <c r="EM948" s="48"/>
      <c r="EO948" s="48"/>
      <c r="EP948" s="48"/>
      <c r="EU948" s="48"/>
      <c r="EV948" s="48"/>
      <c r="EW948" s="48"/>
      <c r="EX948" s="48"/>
      <c r="EY948" s="48"/>
      <c r="EZ948" s="48"/>
      <c r="FA948" s="48"/>
      <c r="FB948" s="48"/>
      <c r="FC948" s="48"/>
      <c r="FD948" s="48"/>
      <c r="FE948" s="48"/>
      <c r="FF948" s="48"/>
      <c r="FG948" s="48"/>
      <c r="FI948" s="48"/>
      <c r="FL948" s="48"/>
      <c r="FM948" s="48"/>
      <c r="FN948" s="48"/>
      <c r="FO948" s="48"/>
      <c r="FP948" s="48"/>
      <c r="FQ948" s="48"/>
      <c r="FR948" s="48"/>
      <c r="FS948" s="48"/>
      <c r="FT948" s="48"/>
      <c r="FU948" s="48"/>
    </row>
    <row r="949" spans="1:177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52"/>
      <c r="BF949" s="48"/>
      <c r="BG949" s="48"/>
      <c r="BI949" s="48"/>
      <c r="BN949" s="48"/>
      <c r="BO949" s="48"/>
      <c r="BR949" s="48"/>
      <c r="BS949" s="48"/>
      <c r="BW949" s="48"/>
      <c r="CA949" s="48"/>
      <c r="CE949" s="48"/>
      <c r="CF949" s="48"/>
      <c r="CG949" s="48"/>
      <c r="CH949" s="48"/>
      <c r="CI949" s="48"/>
      <c r="CJ949" s="48"/>
      <c r="CL949" s="48"/>
      <c r="CM949" s="48"/>
      <c r="CN949" s="48"/>
      <c r="CO949" s="48"/>
      <c r="CP949" s="48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  <c r="DE949" s="48"/>
      <c r="DF949" s="48"/>
      <c r="DG949" s="48"/>
      <c r="DH949" s="48"/>
      <c r="DI949" s="48"/>
      <c r="DJ949" s="48"/>
      <c r="DK949" s="48"/>
      <c r="DL949" s="48"/>
      <c r="DM949" s="48"/>
      <c r="DN949" s="48"/>
      <c r="DO949" s="48"/>
      <c r="DP949" s="48"/>
      <c r="DQ949" s="48"/>
      <c r="DR949" s="48"/>
      <c r="DS949" s="48"/>
      <c r="DT949" s="48"/>
      <c r="DU949" s="48"/>
      <c r="DV949" s="48"/>
      <c r="DW949" s="48"/>
      <c r="DX949" s="48"/>
      <c r="DY949" s="48"/>
      <c r="DZ949" s="48"/>
      <c r="EA949" s="48"/>
      <c r="EC949" s="48"/>
      <c r="ED949" s="48"/>
      <c r="EE949" s="48"/>
      <c r="EF949" s="48"/>
      <c r="EG949" s="48"/>
      <c r="EI949" s="48"/>
      <c r="EK949" s="48"/>
      <c r="EM949" s="48"/>
      <c r="EO949" s="48"/>
      <c r="EP949" s="48"/>
      <c r="EU949" s="48"/>
      <c r="EV949" s="48"/>
      <c r="EW949" s="48"/>
      <c r="EX949" s="48"/>
      <c r="EY949" s="48"/>
      <c r="EZ949" s="48"/>
      <c r="FA949" s="48"/>
      <c r="FB949" s="48"/>
      <c r="FC949" s="48"/>
      <c r="FD949" s="48"/>
      <c r="FE949" s="48"/>
      <c r="FF949" s="48"/>
      <c r="FG949" s="48"/>
      <c r="FI949" s="48"/>
      <c r="FL949" s="48"/>
      <c r="FM949" s="48"/>
      <c r="FN949" s="48"/>
      <c r="FO949" s="48"/>
      <c r="FP949" s="48"/>
      <c r="FQ949" s="48"/>
      <c r="FR949" s="48"/>
      <c r="FS949" s="48"/>
      <c r="FT949" s="48"/>
      <c r="FU949" s="48"/>
    </row>
    <row r="950" spans="1:177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52"/>
      <c r="BF950" s="48"/>
      <c r="BG950" s="48"/>
      <c r="BI950" s="48"/>
      <c r="BN950" s="48"/>
      <c r="BO950" s="48"/>
      <c r="BR950" s="48"/>
      <c r="BS950" s="48"/>
      <c r="BW950" s="48"/>
      <c r="CA950" s="48"/>
      <c r="CE950" s="48"/>
      <c r="CF950" s="48"/>
      <c r="CG950" s="48"/>
      <c r="CH950" s="48"/>
      <c r="CI950" s="48"/>
      <c r="CJ950" s="48"/>
      <c r="CL950" s="48"/>
      <c r="CM950" s="48"/>
      <c r="CN950" s="48"/>
      <c r="CO950" s="48"/>
      <c r="CP950" s="48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  <c r="DD950" s="48"/>
      <c r="DE950" s="48"/>
      <c r="DF950" s="48"/>
      <c r="DG950" s="48"/>
      <c r="DH950" s="48"/>
      <c r="DI950" s="48"/>
      <c r="DJ950" s="48"/>
      <c r="DK950" s="48"/>
      <c r="DL950" s="48"/>
      <c r="DM950" s="48"/>
      <c r="DN950" s="48"/>
      <c r="DO950" s="48"/>
      <c r="DP950" s="48"/>
      <c r="DQ950" s="48"/>
      <c r="DR950" s="48"/>
      <c r="DS950" s="48"/>
      <c r="DT950" s="48"/>
      <c r="DU950" s="48"/>
      <c r="DV950" s="48"/>
      <c r="DW950" s="48"/>
      <c r="DX950" s="48"/>
      <c r="DY950" s="48"/>
      <c r="DZ950" s="48"/>
      <c r="EA950" s="48"/>
      <c r="EC950" s="48"/>
      <c r="ED950" s="48"/>
      <c r="EE950" s="48"/>
      <c r="EF950" s="48"/>
      <c r="EG950" s="48"/>
      <c r="EI950" s="48"/>
      <c r="EK950" s="48"/>
      <c r="EM950" s="48"/>
      <c r="EO950" s="48"/>
      <c r="EP950" s="48"/>
      <c r="EU950" s="48"/>
      <c r="EV950" s="48"/>
      <c r="EW950" s="48"/>
      <c r="EX950" s="48"/>
      <c r="EY950" s="48"/>
      <c r="EZ950" s="48"/>
      <c r="FA950" s="48"/>
      <c r="FB950" s="48"/>
      <c r="FC950" s="48"/>
      <c r="FD950" s="48"/>
      <c r="FE950" s="48"/>
      <c r="FF950" s="48"/>
      <c r="FG950" s="48"/>
      <c r="FI950" s="48"/>
      <c r="FL950" s="48"/>
      <c r="FM950" s="48"/>
      <c r="FN950" s="48"/>
      <c r="FO950" s="48"/>
      <c r="FP950" s="48"/>
      <c r="FQ950" s="48"/>
      <c r="FR950" s="48"/>
      <c r="FS950" s="48"/>
      <c r="FT950" s="48"/>
      <c r="FU950" s="48"/>
    </row>
    <row r="951" spans="1:177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52"/>
      <c r="BF951" s="48"/>
      <c r="BG951" s="48"/>
      <c r="BI951" s="48"/>
      <c r="BN951" s="48"/>
      <c r="BO951" s="48"/>
      <c r="BR951" s="48"/>
      <c r="BS951" s="48"/>
      <c r="BW951" s="48"/>
      <c r="CA951" s="48"/>
      <c r="CE951" s="48"/>
      <c r="CF951" s="48"/>
      <c r="CG951" s="48"/>
      <c r="CH951" s="48"/>
      <c r="CI951" s="48"/>
      <c r="CJ951" s="48"/>
      <c r="CL951" s="48"/>
      <c r="CM951" s="48"/>
      <c r="CN951" s="48"/>
      <c r="CO951" s="48"/>
      <c r="CP951" s="48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  <c r="DD951" s="48"/>
      <c r="DE951" s="48"/>
      <c r="DF951" s="48"/>
      <c r="DG951" s="48"/>
      <c r="DH951" s="48"/>
      <c r="DI951" s="48"/>
      <c r="DJ951" s="48"/>
      <c r="DK951" s="48"/>
      <c r="DL951" s="48"/>
      <c r="DM951" s="48"/>
      <c r="DN951" s="48"/>
      <c r="DO951" s="48"/>
      <c r="DP951" s="48"/>
      <c r="DQ951" s="48"/>
      <c r="DR951" s="48"/>
      <c r="DS951" s="48"/>
      <c r="DT951" s="48"/>
      <c r="DU951" s="48"/>
      <c r="DV951" s="48"/>
      <c r="DW951" s="48"/>
      <c r="DX951" s="48"/>
      <c r="DY951" s="48"/>
      <c r="DZ951" s="48"/>
      <c r="EA951" s="48"/>
      <c r="EC951" s="48"/>
      <c r="ED951" s="48"/>
      <c r="EE951" s="48"/>
      <c r="EF951" s="48"/>
      <c r="EG951" s="48"/>
      <c r="EI951" s="48"/>
      <c r="EK951" s="48"/>
      <c r="EM951" s="48"/>
      <c r="EO951" s="48"/>
      <c r="EP951" s="48"/>
      <c r="EU951" s="48"/>
      <c r="EV951" s="48"/>
      <c r="EW951" s="48"/>
      <c r="EX951" s="48"/>
      <c r="EY951" s="48"/>
      <c r="EZ951" s="48"/>
      <c r="FA951" s="48"/>
      <c r="FB951" s="48"/>
      <c r="FC951" s="48"/>
      <c r="FD951" s="48"/>
      <c r="FE951" s="48"/>
      <c r="FF951" s="48"/>
      <c r="FG951" s="48"/>
      <c r="FI951" s="48"/>
      <c r="FL951" s="48"/>
      <c r="FM951" s="48"/>
      <c r="FN951" s="48"/>
      <c r="FO951" s="48"/>
      <c r="FP951" s="48"/>
      <c r="FQ951" s="48"/>
      <c r="FR951" s="48"/>
      <c r="FS951" s="48"/>
      <c r="FT951" s="48"/>
      <c r="FU951" s="48"/>
    </row>
    <row r="952" spans="1:177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52"/>
      <c r="BF952" s="48"/>
      <c r="BG952" s="48"/>
      <c r="BI952" s="48"/>
      <c r="BN952" s="48"/>
      <c r="BO952" s="48"/>
      <c r="BR952" s="48"/>
      <c r="BS952" s="48"/>
      <c r="BW952" s="48"/>
      <c r="CA952" s="48"/>
      <c r="CE952" s="48"/>
      <c r="CF952" s="48"/>
      <c r="CG952" s="48"/>
      <c r="CH952" s="48"/>
      <c r="CI952" s="48"/>
      <c r="CJ952" s="48"/>
      <c r="CL952" s="48"/>
      <c r="CM952" s="48"/>
      <c r="CN952" s="48"/>
      <c r="CO952" s="48"/>
      <c r="CP952" s="48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  <c r="DE952" s="48"/>
      <c r="DF952" s="48"/>
      <c r="DG952" s="48"/>
      <c r="DH952" s="48"/>
      <c r="DI952" s="48"/>
      <c r="DJ952" s="48"/>
      <c r="DK952" s="48"/>
      <c r="DL952" s="48"/>
      <c r="DM952" s="48"/>
      <c r="DN952" s="48"/>
      <c r="DO952" s="48"/>
      <c r="DP952" s="48"/>
      <c r="DQ952" s="48"/>
      <c r="DR952" s="48"/>
      <c r="DS952" s="48"/>
      <c r="DT952" s="48"/>
      <c r="DU952" s="48"/>
      <c r="DV952" s="48"/>
      <c r="DW952" s="48"/>
      <c r="DX952" s="48"/>
      <c r="DY952" s="48"/>
      <c r="DZ952" s="48"/>
      <c r="EA952" s="48"/>
      <c r="EC952" s="48"/>
      <c r="ED952" s="48"/>
      <c r="EE952" s="48"/>
      <c r="EF952" s="48"/>
      <c r="EG952" s="48"/>
      <c r="EI952" s="48"/>
      <c r="EK952" s="48"/>
      <c r="EM952" s="48"/>
      <c r="EO952" s="48"/>
      <c r="EP952" s="48"/>
      <c r="EU952" s="48"/>
      <c r="EV952" s="48"/>
      <c r="EW952" s="48"/>
      <c r="EX952" s="48"/>
      <c r="EY952" s="48"/>
      <c r="EZ952" s="48"/>
      <c r="FA952" s="48"/>
      <c r="FB952" s="48"/>
      <c r="FC952" s="48"/>
      <c r="FD952" s="48"/>
      <c r="FE952" s="48"/>
      <c r="FF952" s="48"/>
      <c r="FG952" s="48"/>
      <c r="FI952" s="48"/>
      <c r="FL952" s="48"/>
      <c r="FM952" s="48"/>
      <c r="FN952" s="48"/>
      <c r="FO952" s="48"/>
      <c r="FP952" s="48"/>
      <c r="FQ952" s="48"/>
      <c r="FR952" s="48"/>
      <c r="FS952" s="48"/>
      <c r="FT952" s="48"/>
      <c r="FU952" s="48"/>
    </row>
    <row r="953" spans="1:177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52"/>
      <c r="BF953" s="48"/>
      <c r="BG953" s="48"/>
      <c r="BI953" s="48"/>
      <c r="BN953" s="48"/>
      <c r="BO953" s="48"/>
      <c r="BR953" s="48"/>
      <c r="BS953" s="48"/>
      <c r="BW953" s="48"/>
      <c r="CA953" s="48"/>
      <c r="CE953" s="48"/>
      <c r="CF953" s="48"/>
      <c r="CG953" s="48"/>
      <c r="CH953" s="48"/>
      <c r="CI953" s="48"/>
      <c r="CJ953" s="48"/>
      <c r="CL953" s="48"/>
      <c r="CM953" s="48"/>
      <c r="CN953" s="48"/>
      <c r="CO953" s="48"/>
      <c r="CP953" s="48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  <c r="DD953" s="48"/>
      <c r="DE953" s="48"/>
      <c r="DF953" s="48"/>
      <c r="DG953" s="48"/>
      <c r="DH953" s="48"/>
      <c r="DI953" s="48"/>
      <c r="DJ953" s="48"/>
      <c r="DK953" s="48"/>
      <c r="DL953" s="48"/>
      <c r="DM953" s="48"/>
      <c r="DN953" s="48"/>
      <c r="DO953" s="48"/>
      <c r="DP953" s="48"/>
      <c r="DQ953" s="48"/>
      <c r="DR953" s="48"/>
      <c r="DS953" s="48"/>
      <c r="DT953" s="48"/>
      <c r="DU953" s="48"/>
      <c r="DV953" s="48"/>
      <c r="DW953" s="48"/>
      <c r="DX953" s="48"/>
      <c r="DY953" s="48"/>
      <c r="DZ953" s="48"/>
      <c r="EA953" s="48"/>
      <c r="EC953" s="48"/>
      <c r="ED953" s="48"/>
      <c r="EE953" s="48"/>
      <c r="EF953" s="48"/>
      <c r="EG953" s="48"/>
      <c r="EI953" s="48"/>
      <c r="EK953" s="48"/>
      <c r="EM953" s="48"/>
      <c r="EO953" s="48"/>
      <c r="EP953" s="48"/>
      <c r="EU953" s="48"/>
      <c r="EV953" s="48"/>
      <c r="EW953" s="48"/>
      <c r="EX953" s="48"/>
      <c r="EY953" s="48"/>
      <c r="EZ953" s="48"/>
      <c r="FA953" s="48"/>
      <c r="FB953" s="48"/>
      <c r="FC953" s="48"/>
      <c r="FD953" s="48"/>
      <c r="FE953" s="48"/>
      <c r="FF953" s="48"/>
      <c r="FG953" s="48"/>
      <c r="FI953" s="48"/>
      <c r="FL953" s="48"/>
      <c r="FM953" s="48"/>
      <c r="FN953" s="48"/>
      <c r="FO953" s="48"/>
      <c r="FP953" s="48"/>
      <c r="FQ953" s="48"/>
      <c r="FR953" s="48"/>
      <c r="FS953" s="48"/>
      <c r="FT953" s="48"/>
      <c r="FU953" s="48"/>
    </row>
    <row r="954" spans="1:177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52"/>
      <c r="BF954" s="48"/>
      <c r="BG954" s="48"/>
      <c r="BI954" s="48"/>
      <c r="BN954" s="48"/>
      <c r="BO954" s="48"/>
      <c r="BR954" s="48"/>
      <c r="BS954" s="48"/>
      <c r="BW954" s="48"/>
      <c r="CA954" s="48"/>
      <c r="CE954" s="48"/>
      <c r="CF954" s="48"/>
      <c r="CG954" s="48"/>
      <c r="CH954" s="48"/>
      <c r="CI954" s="48"/>
      <c r="CJ954" s="48"/>
      <c r="CL954" s="48"/>
      <c r="CM954" s="48"/>
      <c r="CN954" s="48"/>
      <c r="CO954" s="48"/>
      <c r="CP954" s="48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  <c r="DD954" s="48"/>
      <c r="DE954" s="48"/>
      <c r="DF954" s="48"/>
      <c r="DG954" s="48"/>
      <c r="DH954" s="48"/>
      <c r="DI954" s="48"/>
      <c r="DJ954" s="48"/>
      <c r="DK954" s="48"/>
      <c r="DL954" s="48"/>
      <c r="DM954" s="48"/>
      <c r="DN954" s="48"/>
      <c r="DO954" s="48"/>
      <c r="DP954" s="48"/>
      <c r="DQ954" s="48"/>
      <c r="DR954" s="48"/>
      <c r="DS954" s="48"/>
      <c r="DT954" s="48"/>
      <c r="DU954" s="48"/>
      <c r="DV954" s="48"/>
      <c r="DW954" s="48"/>
      <c r="DX954" s="48"/>
      <c r="DY954" s="48"/>
      <c r="DZ954" s="48"/>
      <c r="EA954" s="48"/>
      <c r="EC954" s="48"/>
      <c r="ED954" s="48"/>
      <c r="EE954" s="48"/>
      <c r="EF954" s="48"/>
      <c r="EG954" s="48"/>
      <c r="EI954" s="48"/>
      <c r="EK954" s="48"/>
      <c r="EM954" s="48"/>
      <c r="EO954" s="48"/>
      <c r="EP954" s="48"/>
      <c r="EU954" s="48"/>
      <c r="EV954" s="48"/>
      <c r="EW954" s="48"/>
      <c r="EX954" s="48"/>
      <c r="EY954" s="48"/>
      <c r="EZ954" s="48"/>
      <c r="FA954" s="48"/>
      <c r="FB954" s="48"/>
      <c r="FC954" s="48"/>
      <c r="FD954" s="48"/>
      <c r="FE954" s="48"/>
      <c r="FF954" s="48"/>
      <c r="FG954" s="48"/>
      <c r="FI954" s="48"/>
      <c r="FL954" s="48"/>
      <c r="FM954" s="48"/>
      <c r="FN954" s="48"/>
      <c r="FO954" s="48"/>
      <c r="FP954" s="48"/>
      <c r="FQ954" s="48"/>
      <c r="FR954" s="48"/>
      <c r="FS954" s="48"/>
      <c r="FT954" s="48"/>
      <c r="FU954" s="48"/>
    </row>
    <row r="955" spans="1:177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52"/>
      <c r="BF955" s="48"/>
      <c r="BG955" s="48"/>
      <c r="BI955" s="48"/>
      <c r="BN955" s="48"/>
      <c r="BO955" s="48"/>
      <c r="BR955" s="48"/>
      <c r="BS955" s="48"/>
      <c r="BW955" s="48"/>
      <c r="CA955" s="48"/>
      <c r="CE955" s="48"/>
      <c r="CF955" s="48"/>
      <c r="CG955" s="48"/>
      <c r="CH955" s="48"/>
      <c r="CI955" s="48"/>
      <c r="CJ955" s="48"/>
      <c r="CL955" s="48"/>
      <c r="CM955" s="48"/>
      <c r="CN955" s="48"/>
      <c r="CO955" s="48"/>
      <c r="CP955" s="48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  <c r="DE955" s="48"/>
      <c r="DF955" s="48"/>
      <c r="DG955" s="48"/>
      <c r="DH955" s="48"/>
      <c r="DI955" s="48"/>
      <c r="DJ955" s="48"/>
      <c r="DK955" s="48"/>
      <c r="DL955" s="48"/>
      <c r="DM955" s="48"/>
      <c r="DN955" s="48"/>
      <c r="DO955" s="48"/>
      <c r="DP955" s="48"/>
      <c r="DQ955" s="48"/>
      <c r="DR955" s="48"/>
      <c r="DS955" s="48"/>
      <c r="DT955" s="48"/>
      <c r="DU955" s="48"/>
      <c r="DV955" s="48"/>
      <c r="DW955" s="48"/>
      <c r="DX955" s="48"/>
      <c r="DY955" s="48"/>
      <c r="DZ955" s="48"/>
      <c r="EA955" s="48"/>
      <c r="EC955" s="48"/>
      <c r="ED955" s="48"/>
      <c r="EE955" s="48"/>
      <c r="EF955" s="48"/>
      <c r="EG955" s="48"/>
      <c r="EI955" s="48"/>
      <c r="EK955" s="48"/>
      <c r="EM955" s="48"/>
      <c r="EO955" s="48"/>
      <c r="EP955" s="48"/>
      <c r="EU955" s="48"/>
      <c r="EV955" s="48"/>
      <c r="EW955" s="48"/>
      <c r="EX955" s="48"/>
      <c r="EY955" s="48"/>
      <c r="EZ955" s="48"/>
      <c r="FA955" s="48"/>
      <c r="FB955" s="48"/>
      <c r="FC955" s="48"/>
      <c r="FD955" s="48"/>
      <c r="FE955" s="48"/>
      <c r="FF955" s="48"/>
      <c r="FG955" s="48"/>
      <c r="FI955" s="48"/>
      <c r="FL955" s="48"/>
      <c r="FM955" s="48"/>
      <c r="FN955" s="48"/>
      <c r="FO955" s="48"/>
      <c r="FP955" s="48"/>
      <c r="FQ955" s="48"/>
      <c r="FR955" s="48"/>
      <c r="FS955" s="48"/>
      <c r="FT955" s="48"/>
      <c r="FU955" s="48"/>
    </row>
    <row r="956" spans="1:177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52"/>
      <c r="BF956" s="48"/>
      <c r="BG956" s="48"/>
      <c r="BI956" s="48"/>
      <c r="BN956" s="48"/>
      <c r="BO956" s="48"/>
      <c r="BR956" s="48"/>
      <c r="BS956" s="48"/>
      <c r="BW956" s="48"/>
      <c r="CA956" s="48"/>
      <c r="CE956" s="48"/>
      <c r="CF956" s="48"/>
      <c r="CG956" s="48"/>
      <c r="CH956" s="48"/>
      <c r="CI956" s="48"/>
      <c r="CJ956" s="48"/>
      <c r="CL956" s="48"/>
      <c r="CM956" s="48"/>
      <c r="CN956" s="48"/>
      <c r="CO956" s="48"/>
      <c r="CP956" s="48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  <c r="DD956" s="48"/>
      <c r="DE956" s="48"/>
      <c r="DF956" s="48"/>
      <c r="DG956" s="48"/>
      <c r="DH956" s="48"/>
      <c r="DI956" s="48"/>
      <c r="DJ956" s="48"/>
      <c r="DK956" s="48"/>
      <c r="DL956" s="48"/>
      <c r="DM956" s="48"/>
      <c r="DN956" s="48"/>
      <c r="DO956" s="48"/>
      <c r="DP956" s="48"/>
      <c r="DQ956" s="48"/>
      <c r="DR956" s="48"/>
      <c r="DS956" s="48"/>
      <c r="DT956" s="48"/>
      <c r="DU956" s="48"/>
      <c r="DV956" s="48"/>
      <c r="DW956" s="48"/>
      <c r="DX956" s="48"/>
      <c r="DY956" s="48"/>
      <c r="DZ956" s="48"/>
      <c r="EA956" s="48"/>
      <c r="EC956" s="48"/>
      <c r="ED956" s="48"/>
      <c r="EE956" s="48"/>
      <c r="EF956" s="48"/>
      <c r="EG956" s="48"/>
      <c r="EI956" s="48"/>
      <c r="EK956" s="48"/>
      <c r="EM956" s="48"/>
      <c r="EO956" s="48"/>
      <c r="EP956" s="48"/>
      <c r="EU956" s="48"/>
      <c r="EV956" s="48"/>
      <c r="EW956" s="48"/>
      <c r="EX956" s="48"/>
      <c r="EY956" s="48"/>
      <c r="EZ956" s="48"/>
      <c r="FA956" s="48"/>
      <c r="FB956" s="48"/>
      <c r="FC956" s="48"/>
      <c r="FD956" s="48"/>
      <c r="FE956" s="48"/>
      <c r="FF956" s="48"/>
      <c r="FG956" s="48"/>
      <c r="FI956" s="48"/>
      <c r="FL956" s="48"/>
      <c r="FM956" s="48"/>
      <c r="FN956" s="48"/>
      <c r="FO956" s="48"/>
      <c r="FP956" s="48"/>
      <c r="FQ956" s="48"/>
      <c r="FR956" s="48"/>
      <c r="FS956" s="48"/>
      <c r="FT956" s="48"/>
      <c r="FU956" s="48"/>
    </row>
    <row r="957" spans="1:17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52"/>
      <c r="BF957" s="48"/>
      <c r="BG957" s="48"/>
      <c r="BI957" s="48"/>
      <c r="BN957" s="48"/>
      <c r="BO957" s="48"/>
      <c r="BR957" s="48"/>
      <c r="BS957" s="48"/>
      <c r="BW957" s="48"/>
      <c r="CA957" s="48"/>
      <c r="CE957" s="48"/>
      <c r="CF957" s="48"/>
      <c r="CG957" s="48"/>
      <c r="CH957" s="48"/>
      <c r="CI957" s="48"/>
      <c r="CJ957" s="48"/>
      <c r="CL957" s="48"/>
      <c r="CM957" s="48"/>
      <c r="CN957" s="48"/>
      <c r="CO957" s="48"/>
      <c r="CP957" s="48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  <c r="DD957" s="48"/>
      <c r="DE957" s="48"/>
      <c r="DF957" s="48"/>
      <c r="DG957" s="48"/>
      <c r="DH957" s="48"/>
      <c r="DI957" s="48"/>
      <c r="DJ957" s="48"/>
      <c r="DK957" s="48"/>
      <c r="DL957" s="48"/>
      <c r="DM957" s="48"/>
      <c r="DN957" s="48"/>
      <c r="DO957" s="48"/>
      <c r="DP957" s="48"/>
      <c r="DQ957" s="48"/>
      <c r="DR957" s="48"/>
      <c r="DS957" s="48"/>
      <c r="DT957" s="48"/>
      <c r="DU957" s="48"/>
      <c r="DV957" s="48"/>
      <c r="DW957" s="48"/>
      <c r="DX957" s="48"/>
      <c r="DY957" s="48"/>
      <c r="DZ957" s="48"/>
      <c r="EA957" s="48"/>
      <c r="EC957" s="48"/>
      <c r="ED957" s="48"/>
      <c r="EE957" s="48"/>
      <c r="EF957" s="48"/>
      <c r="EG957" s="48"/>
      <c r="EI957" s="48"/>
      <c r="EK957" s="48"/>
      <c r="EM957" s="48"/>
      <c r="EO957" s="48"/>
      <c r="EP957" s="48"/>
      <c r="EU957" s="48"/>
      <c r="EV957" s="48"/>
      <c r="EW957" s="48"/>
      <c r="EX957" s="48"/>
      <c r="EY957" s="48"/>
      <c r="EZ957" s="48"/>
      <c r="FA957" s="48"/>
      <c r="FB957" s="48"/>
      <c r="FC957" s="48"/>
      <c r="FD957" s="48"/>
      <c r="FE957" s="48"/>
      <c r="FF957" s="48"/>
      <c r="FG957" s="48"/>
      <c r="FI957" s="48"/>
      <c r="FL957" s="48"/>
      <c r="FM957" s="48"/>
      <c r="FN957" s="48"/>
      <c r="FO957" s="48"/>
      <c r="FP957" s="48"/>
      <c r="FQ957" s="48"/>
      <c r="FR957" s="48"/>
      <c r="FS957" s="48"/>
      <c r="FT957" s="48"/>
      <c r="FU957" s="48"/>
    </row>
    <row r="958" spans="1:177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52"/>
      <c r="BF958" s="48"/>
      <c r="BG958" s="48"/>
      <c r="BI958" s="48"/>
      <c r="BN958" s="48"/>
      <c r="BO958" s="48"/>
      <c r="BR958" s="48"/>
      <c r="BS958" s="48"/>
      <c r="BW958" s="48"/>
      <c r="CA958" s="48"/>
      <c r="CE958" s="48"/>
      <c r="CF958" s="48"/>
      <c r="CG958" s="48"/>
      <c r="CH958" s="48"/>
      <c r="CI958" s="48"/>
      <c r="CJ958" s="48"/>
      <c r="CL958" s="48"/>
      <c r="CM958" s="48"/>
      <c r="CN958" s="48"/>
      <c r="CO958" s="48"/>
      <c r="CP958" s="48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  <c r="DE958" s="48"/>
      <c r="DF958" s="48"/>
      <c r="DG958" s="48"/>
      <c r="DH958" s="48"/>
      <c r="DI958" s="48"/>
      <c r="DJ958" s="48"/>
      <c r="DK958" s="48"/>
      <c r="DL958" s="48"/>
      <c r="DM958" s="48"/>
      <c r="DN958" s="48"/>
      <c r="DO958" s="48"/>
      <c r="DP958" s="48"/>
      <c r="DQ958" s="48"/>
      <c r="DR958" s="48"/>
      <c r="DS958" s="48"/>
      <c r="DT958" s="48"/>
      <c r="DU958" s="48"/>
      <c r="DV958" s="48"/>
      <c r="DW958" s="48"/>
      <c r="DX958" s="48"/>
      <c r="DY958" s="48"/>
      <c r="DZ958" s="48"/>
      <c r="EA958" s="48"/>
      <c r="EC958" s="48"/>
      <c r="ED958" s="48"/>
      <c r="EE958" s="48"/>
      <c r="EF958" s="48"/>
      <c r="EG958" s="48"/>
      <c r="EI958" s="48"/>
      <c r="EK958" s="48"/>
      <c r="EM958" s="48"/>
      <c r="EO958" s="48"/>
      <c r="EP958" s="48"/>
      <c r="EU958" s="48"/>
      <c r="EV958" s="48"/>
      <c r="EW958" s="48"/>
      <c r="EX958" s="48"/>
      <c r="EY958" s="48"/>
      <c r="EZ958" s="48"/>
      <c r="FA958" s="48"/>
      <c r="FB958" s="48"/>
      <c r="FC958" s="48"/>
      <c r="FD958" s="48"/>
      <c r="FE958" s="48"/>
      <c r="FF958" s="48"/>
      <c r="FG958" s="48"/>
      <c r="FI958" s="48"/>
      <c r="FL958" s="48"/>
      <c r="FM958" s="48"/>
      <c r="FN958" s="48"/>
      <c r="FO958" s="48"/>
      <c r="FP958" s="48"/>
      <c r="FQ958" s="48"/>
      <c r="FR958" s="48"/>
      <c r="FS958" s="48"/>
      <c r="FT958" s="48"/>
      <c r="FU958" s="48"/>
    </row>
    <row r="959" spans="1:177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52"/>
      <c r="BF959" s="48"/>
      <c r="BG959" s="48"/>
      <c r="BI959" s="48"/>
      <c r="BN959" s="48"/>
      <c r="BO959" s="48"/>
      <c r="BR959" s="48"/>
      <c r="BS959" s="48"/>
      <c r="BW959" s="48"/>
      <c r="CA959" s="48"/>
      <c r="CE959" s="48"/>
      <c r="CF959" s="48"/>
      <c r="CG959" s="48"/>
      <c r="CH959" s="48"/>
      <c r="CI959" s="48"/>
      <c r="CJ959" s="48"/>
      <c r="CL959" s="48"/>
      <c r="CM959" s="48"/>
      <c r="CN959" s="48"/>
      <c r="CO959" s="48"/>
      <c r="CP959" s="48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  <c r="DD959" s="48"/>
      <c r="DE959" s="48"/>
      <c r="DF959" s="48"/>
      <c r="DG959" s="48"/>
      <c r="DH959" s="48"/>
      <c r="DI959" s="48"/>
      <c r="DJ959" s="48"/>
      <c r="DK959" s="48"/>
      <c r="DL959" s="48"/>
      <c r="DM959" s="48"/>
      <c r="DN959" s="48"/>
      <c r="DO959" s="48"/>
      <c r="DP959" s="48"/>
      <c r="DQ959" s="48"/>
      <c r="DR959" s="48"/>
      <c r="DS959" s="48"/>
      <c r="DT959" s="48"/>
      <c r="DU959" s="48"/>
      <c r="DV959" s="48"/>
      <c r="DW959" s="48"/>
      <c r="DX959" s="48"/>
      <c r="DY959" s="48"/>
      <c r="DZ959" s="48"/>
      <c r="EA959" s="48"/>
      <c r="EC959" s="48"/>
      <c r="ED959" s="48"/>
      <c r="EE959" s="48"/>
      <c r="EF959" s="48"/>
      <c r="EG959" s="48"/>
      <c r="EI959" s="48"/>
      <c r="EK959" s="48"/>
      <c r="EM959" s="48"/>
      <c r="EO959" s="48"/>
      <c r="EP959" s="48"/>
      <c r="EU959" s="48"/>
      <c r="EV959" s="48"/>
      <c r="EW959" s="48"/>
      <c r="EX959" s="48"/>
      <c r="EY959" s="48"/>
      <c r="EZ959" s="48"/>
      <c r="FA959" s="48"/>
      <c r="FB959" s="48"/>
      <c r="FC959" s="48"/>
      <c r="FD959" s="48"/>
      <c r="FE959" s="48"/>
      <c r="FF959" s="48"/>
      <c r="FG959" s="48"/>
      <c r="FI959" s="48"/>
      <c r="FL959" s="48"/>
      <c r="FM959" s="48"/>
      <c r="FN959" s="48"/>
      <c r="FO959" s="48"/>
      <c r="FP959" s="48"/>
      <c r="FQ959" s="48"/>
      <c r="FR959" s="48"/>
      <c r="FS959" s="48"/>
      <c r="FT959" s="48"/>
      <c r="FU959" s="48"/>
    </row>
    <row r="960" spans="1:177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52"/>
      <c r="BF960" s="48"/>
      <c r="BG960" s="48"/>
      <c r="BI960" s="48"/>
      <c r="BN960" s="48"/>
      <c r="BO960" s="48"/>
      <c r="BR960" s="48"/>
      <c r="BS960" s="48"/>
      <c r="BW960" s="48"/>
      <c r="CA960" s="48"/>
      <c r="CE960" s="48"/>
      <c r="CF960" s="48"/>
      <c r="CG960" s="48"/>
      <c r="CH960" s="48"/>
      <c r="CI960" s="48"/>
      <c r="CJ960" s="48"/>
      <c r="CL960" s="48"/>
      <c r="CM960" s="48"/>
      <c r="CN960" s="48"/>
      <c r="CO960" s="48"/>
      <c r="CP960" s="48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  <c r="DD960" s="48"/>
      <c r="DE960" s="48"/>
      <c r="DF960" s="48"/>
      <c r="DG960" s="48"/>
      <c r="DH960" s="48"/>
      <c r="DI960" s="48"/>
      <c r="DJ960" s="48"/>
      <c r="DK960" s="48"/>
      <c r="DL960" s="48"/>
      <c r="DM960" s="48"/>
      <c r="DN960" s="48"/>
      <c r="DO960" s="48"/>
      <c r="DP960" s="48"/>
      <c r="DQ960" s="48"/>
      <c r="DR960" s="48"/>
      <c r="DS960" s="48"/>
      <c r="DT960" s="48"/>
      <c r="DU960" s="48"/>
      <c r="DV960" s="48"/>
      <c r="DW960" s="48"/>
      <c r="DX960" s="48"/>
      <c r="DY960" s="48"/>
      <c r="DZ960" s="48"/>
      <c r="EA960" s="48"/>
      <c r="EC960" s="48"/>
      <c r="ED960" s="48"/>
      <c r="EE960" s="48"/>
      <c r="EF960" s="48"/>
      <c r="EG960" s="48"/>
      <c r="EI960" s="48"/>
      <c r="EK960" s="48"/>
      <c r="EM960" s="48"/>
      <c r="EO960" s="48"/>
      <c r="EP960" s="48"/>
      <c r="EU960" s="48"/>
      <c r="EV960" s="48"/>
      <c r="EW960" s="48"/>
      <c r="EX960" s="48"/>
      <c r="EY960" s="48"/>
      <c r="EZ960" s="48"/>
      <c r="FA960" s="48"/>
      <c r="FB960" s="48"/>
      <c r="FC960" s="48"/>
      <c r="FD960" s="48"/>
      <c r="FE960" s="48"/>
      <c r="FF960" s="48"/>
      <c r="FG960" s="48"/>
      <c r="FI960" s="48"/>
      <c r="FL960" s="48"/>
      <c r="FM960" s="48"/>
      <c r="FN960" s="48"/>
      <c r="FO960" s="48"/>
      <c r="FP960" s="48"/>
      <c r="FQ960" s="48"/>
      <c r="FR960" s="48"/>
      <c r="FS960" s="48"/>
      <c r="FT960" s="48"/>
      <c r="FU960" s="48"/>
    </row>
    <row r="961" spans="1:177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52"/>
      <c r="BF961" s="48"/>
      <c r="BG961" s="48"/>
      <c r="BI961" s="48"/>
      <c r="BN961" s="48"/>
      <c r="BO961" s="48"/>
      <c r="BR961" s="48"/>
      <c r="BS961" s="48"/>
      <c r="BW961" s="48"/>
      <c r="CA961" s="48"/>
      <c r="CE961" s="48"/>
      <c r="CF961" s="48"/>
      <c r="CG961" s="48"/>
      <c r="CH961" s="48"/>
      <c r="CI961" s="48"/>
      <c r="CJ961" s="48"/>
      <c r="CL961" s="48"/>
      <c r="CM961" s="48"/>
      <c r="CN961" s="48"/>
      <c r="CO961" s="48"/>
      <c r="CP961" s="48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  <c r="DE961" s="48"/>
      <c r="DF961" s="48"/>
      <c r="DG961" s="48"/>
      <c r="DH961" s="48"/>
      <c r="DI961" s="48"/>
      <c r="DJ961" s="48"/>
      <c r="DK961" s="48"/>
      <c r="DL961" s="48"/>
      <c r="DM961" s="48"/>
      <c r="DN961" s="48"/>
      <c r="DO961" s="48"/>
      <c r="DP961" s="48"/>
      <c r="DQ961" s="48"/>
      <c r="DR961" s="48"/>
      <c r="DS961" s="48"/>
      <c r="DT961" s="48"/>
      <c r="DU961" s="48"/>
      <c r="DV961" s="48"/>
      <c r="DW961" s="48"/>
      <c r="DX961" s="48"/>
      <c r="DY961" s="48"/>
      <c r="DZ961" s="48"/>
      <c r="EA961" s="48"/>
      <c r="EC961" s="48"/>
      <c r="ED961" s="48"/>
      <c r="EE961" s="48"/>
      <c r="EF961" s="48"/>
      <c r="EG961" s="48"/>
      <c r="EI961" s="48"/>
      <c r="EK961" s="48"/>
      <c r="EM961" s="48"/>
      <c r="EO961" s="48"/>
      <c r="EP961" s="48"/>
      <c r="EU961" s="48"/>
      <c r="EV961" s="48"/>
      <c r="EW961" s="48"/>
      <c r="EX961" s="48"/>
      <c r="EY961" s="48"/>
      <c r="EZ961" s="48"/>
      <c r="FA961" s="48"/>
      <c r="FB961" s="48"/>
      <c r="FC961" s="48"/>
      <c r="FD961" s="48"/>
      <c r="FE961" s="48"/>
      <c r="FF961" s="48"/>
      <c r="FG961" s="48"/>
      <c r="FI961" s="48"/>
      <c r="FL961" s="48"/>
      <c r="FM961" s="48"/>
      <c r="FN961" s="48"/>
      <c r="FO961" s="48"/>
      <c r="FP961" s="48"/>
      <c r="FQ961" s="48"/>
      <c r="FR961" s="48"/>
      <c r="FS961" s="48"/>
      <c r="FT961" s="48"/>
      <c r="FU961" s="48"/>
    </row>
    <row r="962" spans="1:177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52"/>
      <c r="BF962" s="48"/>
      <c r="BG962" s="48"/>
      <c r="BI962" s="48"/>
      <c r="BN962" s="48"/>
      <c r="BO962" s="48"/>
      <c r="BR962" s="48"/>
      <c r="BS962" s="48"/>
      <c r="BW962" s="48"/>
      <c r="CA962" s="48"/>
      <c r="CE962" s="48"/>
      <c r="CF962" s="48"/>
      <c r="CG962" s="48"/>
      <c r="CH962" s="48"/>
      <c r="CI962" s="48"/>
      <c r="CJ962" s="48"/>
      <c r="CL962" s="48"/>
      <c r="CM962" s="48"/>
      <c r="CN962" s="48"/>
      <c r="CO962" s="48"/>
      <c r="CP962" s="48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  <c r="DD962" s="48"/>
      <c r="DE962" s="48"/>
      <c r="DF962" s="48"/>
      <c r="DG962" s="48"/>
      <c r="DH962" s="48"/>
      <c r="DI962" s="48"/>
      <c r="DJ962" s="48"/>
      <c r="DK962" s="48"/>
      <c r="DL962" s="48"/>
      <c r="DM962" s="48"/>
      <c r="DN962" s="48"/>
      <c r="DO962" s="48"/>
      <c r="DP962" s="48"/>
      <c r="DQ962" s="48"/>
      <c r="DR962" s="48"/>
      <c r="DS962" s="48"/>
      <c r="DT962" s="48"/>
      <c r="DU962" s="48"/>
      <c r="DV962" s="48"/>
      <c r="DW962" s="48"/>
      <c r="DX962" s="48"/>
      <c r="DY962" s="48"/>
      <c r="DZ962" s="48"/>
      <c r="EA962" s="48"/>
      <c r="EC962" s="48"/>
      <c r="ED962" s="48"/>
      <c r="EE962" s="48"/>
      <c r="EF962" s="48"/>
      <c r="EG962" s="48"/>
      <c r="EI962" s="48"/>
      <c r="EK962" s="48"/>
      <c r="EM962" s="48"/>
      <c r="EO962" s="48"/>
      <c r="EP962" s="48"/>
      <c r="EU962" s="48"/>
      <c r="EV962" s="48"/>
      <c r="EW962" s="48"/>
      <c r="EX962" s="48"/>
      <c r="EY962" s="48"/>
      <c r="EZ962" s="48"/>
      <c r="FA962" s="48"/>
      <c r="FB962" s="48"/>
      <c r="FC962" s="48"/>
      <c r="FD962" s="48"/>
      <c r="FE962" s="48"/>
      <c r="FF962" s="48"/>
      <c r="FG962" s="48"/>
      <c r="FI962" s="48"/>
      <c r="FL962" s="48"/>
      <c r="FM962" s="48"/>
      <c r="FN962" s="48"/>
      <c r="FO962" s="48"/>
      <c r="FP962" s="48"/>
      <c r="FQ962" s="48"/>
      <c r="FR962" s="48"/>
      <c r="FS962" s="48"/>
      <c r="FT962" s="48"/>
      <c r="FU962" s="48"/>
    </row>
    <row r="963" spans="1:177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52"/>
      <c r="BF963" s="48"/>
      <c r="BG963" s="48"/>
      <c r="BI963" s="48"/>
      <c r="BN963" s="48"/>
      <c r="BO963" s="48"/>
      <c r="BR963" s="48"/>
      <c r="BS963" s="48"/>
      <c r="BW963" s="48"/>
      <c r="CA963" s="48"/>
      <c r="CE963" s="48"/>
      <c r="CF963" s="48"/>
      <c r="CG963" s="48"/>
      <c r="CH963" s="48"/>
      <c r="CI963" s="48"/>
      <c r="CJ963" s="48"/>
      <c r="CL963" s="48"/>
      <c r="CM963" s="48"/>
      <c r="CN963" s="48"/>
      <c r="CO963" s="48"/>
      <c r="CP963" s="48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  <c r="DD963" s="48"/>
      <c r="DE963" s="48"/>
      <c r="DF963" s="48"/>
      <c r="DG963" s="48"/>
      <c r="DH963" s="48"/>
      <c r="DI963" s="48"/>
      <c r="DJ963" s="48"/>
      <c r="DK963" s="48"/>
      <c r="DL963" s="48"/>
      <c r="DM963" s="48"/>
      <c r="DN963" s="48"/>
      <c r="DO963" s="48"/>
      <c r="DP963" s="48"/>
      <c r="DQ963" s="48"/>
      <c r="DR963" s="48"/>
      <c r="DS963" s="48"/>
      <c r="DT963" s="48"/>
      <c r="DU963" s="48"/>
      <c r="DV963" s="48"/>
      <c r="DW963" s="48"/>
      <c r="DX963" s="48"/>
      <c r="DY963" s="48"/>
      <c r="DZ963" s="48"/>
      <c r="EA963" s="48"/>
      <c r="EC963" s="48"/>
      <c r="ED963" s="48"/>
      <c r="EE963" s="48"/>
      <c r="EF963" s="48"/>
      <c r="EG963" s="48"/>
      <c r="EI963" s="48"/>
      <c r="EK963" s="48"/>
      <c r="EM963" s="48"/>
      <c r="EO963" s="48"/>
      <c r="EP963" s="48"/>
      <c r="EU963" s="48"/>
      <c r="EV963" s="48"/>
      <c r="EW963" s="48"/>
      <c r="EX963" s="48"/>
      <c r="EY963" s="48"/>
      <c r="EZ963" s="48"/>
      <c r="FA963" s="48"/>
      <c r="FB963" s="48"/>
      <c r="FC963" s="48"/>
      <c r="FD963" s="48"/>
      <c r="FE963" s="48"/>
      <c r="FF963" s="48"/>
      <c r="FG963" s="48"/>
      <c r="FI963" s="48"/>
      <c r="FL963" s="48"/>
      <c r="FM963" s="48"/>
      <c r="FN963" s="48"/>
      <c r="FO963" s="48"/>
      <c r="FP963" s="48"/>
      <c r="FQ963" s="48"/>
      <c r="FR963" s="48"/>
      <c r="FS963" s="48"/>
      <c r="FT963" s="48"/>
      <c r="FU963" s="48"/>
    </row>
    <row r="964" spans="1:177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52"/>
      <c r="BF964" s="48"/>
      <c r="BG964" s="48"/>
      <c r="BI964" s="48"/>
      <c r="BN964" s="48"/>
      <c r="BO964" s="48"/>
      <c r="BR964" s="48"/>
      <c r="BS964" s="48"/>
      <c r="BW964" s="48"/>
      <c r="CA964" s="48"/>
      <c r="CE964" s="48"/>
      <c r="CF964" s="48"/>
      <c r="CG964" s="48"/>
      <c r="CH964" s="48"/>
      <c r="CI964" s="48"/>
      <c r="CJ964" s="48"/>
      <c r="CL964" s="48"/>
      <c r="CM964" s="48"/>
      <c r="CN964" s="48"/>
      <c r="CO964" s="48"/>
      <c r="CP964" s="48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  <c r="DE964" s="48"/>
      <c r="DF964" s="48"/>
      <c r="DG964" s="48"/>
      <c r="DH964" s="48"/>
      <c r="DI964" s="48"/>
      <c r="DJ964" s="48"/>
      <c r="DK964" s="48"/>
      <c r="DL964" s="48"/>
      <c r="DM964" s="48"/>
      <c r="DN964" s="48"/>
      <c r="DO964" s="48"/>
      <c r="DP964" s="48"/>
      <c r="DQ964" s="48"/>
      <c r="DR964" s="48"/>
      <c r="DS964" s="48"/>
      <c r="DT964" s="48"/>
      <c r="DU964" s="48"/>
      <c r="DV964" s="48"/>
      <c r="DW964" s="48"/>
      <c r="DX964" s="48"/>
      <c r="DY964" s="48"/>
      <c r="DZ964" s="48"/>
      <c r="EA964" s="48"/>
      <c r="EC964" s="48"/>
      <c r="ED964" s="48"/>
      <c r="EE964" s="48"/>
      <c r="EF964" s="48"/>
      <c r="EG964" s="48"/>
      <c r="EI964" s="48"/>
      <c r="EK964" s="48"/>
      <c r="EM964" s="48"/>
      <c r="EO964" s="48"/>
      <c r="EP964" s="48"/>
      <c r="EU964" s="48"/>
      <c r="EV964" s="48"/>
      <c r="EW964" s="48"/>
      <c r="EX964" s="48"/>
      <c r="EY964" s="48"/>
      <c r="EZ964" s="48"/>
      <c r="FA964" s="48"/>
      <c r="FB964" s="48"/>
      <c r="FC964" s="48"/>
      <c r="FD964" s="48"/>
      <c r="FE964" s="48"/>
      <c r="FF964" s="48"/>
      <c r="FG964" s="48"/>
      <c r="FI964" s="48"/>
      <c r="FL964" s="48"/>
      <c r="FM964" s="48"/>
      <c r="FN964" s="48"/>
      <c r="FO964" s="48"/>
      <c r="FP964" s="48"/>
      <c r="FQ964" s="48"/>
      <c r="FR964" s="48"/>
      <c r="FS964" s="48"/>
      <c r="FT964" s="48"/>
      <c r="FU964" s="48"/>
    </row>
    <row r="965" spans="1:177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52"/>
      <c r="BF965" s="48"/>
      <c r="BG965" s="48"/>
      <c r="BI965" s="48"/>
      <c r="BN965" s="48"/>
      <c r="BO965" s="48"/>
      <c r="BR965" s="48"/>
      <c r="BS965" s="48"/>
      <c r="BW965" s="48"/>
      <c r="CA965" s="48"/>
      <c r="CE965" s="48"/>
      <c r="CF965" s="48"/>
      <c r="CG965" s="48"/>
      <c r="CH965" s="48"/>
      <c r="CI965" s="48"/>
      <c r="CJ965" s="48"/>
      <c r="CL965" s="48"/>
      <c r="CM965" s="48"/>
      <c r="CN965" s="48"/>
      <c r="CO965" s="48"/>
      <c r="CP965" s="48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  <c r="DD965" s="48"/>
      <c r="DE965" s="48"/>
      <c r="DF965" s="48"/>
      <c r="DG965" s="48"/>
      <c r="DH965" s="48"/>
      <c r="DI965" s="48"/>
      <c r="DJ965" s="48"/>
      <c r="DK965" s="48"/>
      <c r="DL965" s="48"/>
      <c r="DM965" s="48"/>
      <c r="DN965" s="48"/>
      <c r="DO965" s="48"/>
      <c r="DP965" s="48"/>
      <c r="DQ965" s="48"/>
      <c r="DR965" s="48"/>
      <c r="DS965" s="48"/>
      <c r="DT965" s="48"/>
      <c r="DU965" s="48"/>
      <c r="DV965" s="48"/>
      <c r="DW965" s="48"/>
      <c r="DX965" s="48"/>
      <c r="DY965" s="48"/>
      <c r="DZ965" s="48"/>
      <c r="EA965" s="48"/>
      <c r="EC965" s="48"/>
      <c r="ED965" s="48"/>
      <c r="EE965" s="48"/>
      <c r="EF965" s="48"/>
      <c r="EG965" s="48"/>
      <c r="EI965" s="48"/>
      <c r="EK965" s="48"/>
      <c r="EM965" s="48"/>
      <c r="EO965" s="48"/>
      <c r="EP965" s="48"/>
      <c r="EU965" s="48"/>
      <c r="EV965" s="48"/>
      <c r="EW965" s="48"/>
      <c r="EX965" s="48"/>
      <c r="EY965" s="48"/>
      <c r="EZ965" s="48"/>
      <c r="FA965" s="48"/>
      <c r="FB965" s="48"/>
      <c r="FC965" s="48"/>
      <c r="FD965" s="48"/>
      <c r="FE965" s="48"/>
      <c r="FF965" s="48"/>
      <c r="FG965" s="48"/>
      <c r="FI965" s="48"/>
      <c r="FL965" s="48"/>
      <c r="FM965" s="48"/>
      <c r="FN965" s="48"/>
      <c r="FO965" s="48"/>
      <c r="FP965" s="48"/>
      <c r="FQ965" s="48"/>
      <c r="FR965" s="48"/>
      <c r="FS965" s="48"/>
      <c r="FT965" s="48"/>
      <c r="FU965" s="48"/>
    </row>
    <row r="966" spans="1:177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52"/>
      <c r="BF966" s="48"/>
      <c r="BG966" s="48"/>
      <c r="BI966" s="48"/>
      <c r="BN966" s="48"/>
      <c r="BO966" s="48"/>
      <c r="BR966" s="48"/>
      <c r="BS966" s="48"/>
      <c r="BW966" s="48"/>
      <c r="CA966" s="48"/>
      <c r="CE966" s="48"/>
      <c r="CF966" s="48"/>
      <c r="CG966" s="48"/>
      <c r="CH966" s="48"/>
      <c r="CI966" s="48"/>
      <c r="CJ966" s="48"/>
      <c r="CL966" s="48"/>
      <c r="CM966" s="48"/>
      <c r="CN966" s="48"/>
      <c r="CO966" s="48"/>
      <c r="CP966" s="48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  <c r="DD966" s="48"/>
      <c r="DE966" s="48"/>
      <c r="DF966" s="48"/>
      <c r="DG966" s="48"/>
      <c r="DH966" s="48"/>
      <c r="DI966" s="48"/>
      <c r="DJ966" s="48"/>
      <c r="DK966" s="48"/>
      <c r="DL966" s="48"/>
      <c r="DM966" s="48"/>
      <c r="DN966" s="48"/>
      <c r="DO966" s="48"/>
      <c r="DP966" s="48"/>
      <c r="DQ966" s="48"/>
      <c r="DR966" s="48"/>
      <c r="DS966" s="48"/>
      <c r="DT966" s="48"/>
      <c r="DU966" s="48"/>
      <c r="DV966" s="48"/>
      <c r="DW966" s="48"/>
      <c r="DX966" s="48"/>
      <c r="DY966" s="48"/>
      <c r="DZ966" s="48"/>
      <c r="EA966" s="48"/>
      <c r="EC966" s="48"/>
      <c r="ED966" s="48"/>
      <c r="EE966" s="48"/>
      <c r="EF966" s="48"/>
      <c r="EG966" s="48"/>
      <c r="EI966" s="48"/>
      <c r="EK966" s="48"/>
      <c r="EM966" s="48"/>
      <c r="EO966" s="48"/>
      <c r="EP966" s="48"/>
      <c r="EU966" s="48"/>
      <c r="EV966" s="48"/>
      <c r="EW966" s="48"/>
      <c r="EX966" s="48"/>
      <c r="EY966" s="48"/>
      <c r="EZ966" s="48"/>
      <c r="FA966" s="48"/>
      <c r="FB966" s="48"/>
      <c r="FC966" s="48"/>
      <c r="FD966" s="48"/>
      <c r="FE966" s="48"/>
      <c r="FF966" s="48"/>
      <c r="FG966" s="48"/>
      <c r="FI966" s="48"/>
      <c r="FL966" s="48"/>
      <c r="FM966" s="48"/>
      <c r="FN966" s="48"/>
      <c r="FO966" s="48"/>
      <c r="FP966" s="48"/>
      <c r="FQ966" s="48"/>
      <c r="FR966" s="48"/>
      <c r="FS966" s="48"/>
      <c r="FT966" s="48"/>
      <c r="FU966" s="48"/>
    </row>
    <row r="967" spans="1:17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52"/>
      <c r="BF967" s="48"/>
      <c r="BG967" s="48"/>
      <c r="BI967" s="48"/>
      <c r="BN967" s="48"/>
      <c r="BO967" s="48"/>
      <c r="BR967" s="48"/>
      <c r="BS967" s="48"/>
      <c r="BW967" s="48"/>
      <c r="CA967" s="48"/>
      <c r="CE967" s="48"/>
      <c r="CF967" s="48"/>
      <c r="CG967" s="48"/>
      <c r="CH967" s="48"/>
      <c r="CI967" s="48"/>
      <c r="CJ967" s="48"/>
      <c r="CL967" s="48"/>
      <c r="CM967" s="48"/>
      <c r="CN967" s="48"/>
      <c r="CO967" s="48"/>
      <c r="CP967" s="48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  <c r="DE967" s="48"/>
      <c r="DF967" s="48"/>
      <c r="DG967" s="48"/>
      <c r="DH967" s="48"/>
      <c r="DI967" s="48"/>
      <c r="DJ967" s="48"/>
      <c r="DK967" s="48"/>
      <c r="DL967" s="48"/>
      <c r="DM967" s="48"/>
      <c r="DN967" s="48"/>
      <c r="DO967" s="48"/>
      <c r="DP967" s="48"/>
      <c r="DQ967" s="48"/>
      <c r="DR967" s="48"/>
      <c r="DS967" s="48"/>
      <c r="DT967" s="48"/>
      <c r="DU967" s="48"/>
      <c r="DV967" s="48"/>
      <c r="DW967" s="48"/>
      <c r="DX967" s="48"/>
      <c r="DY967" s="48"/>
      <c r="DZ967" s="48"/>
      <c r="EA967" s="48"/>
      <c r="EC967" s="48"/>
      <c r="ED967" s="48"/>
      <c r="EE967" s="48"/>
      <c r="EF967" s="48"/>
      <c r="EG967" s="48"/>
      <c r="EI967" s="48"/>
      <c r="EK967" s="48"/>
      <c r="EM967" s="48"/>
      <c r="EO967" s="48"/>
      <c r="EP967" s="48"/>
      <c r="EU967" s="48"/>
      <c r="EV967" s="48"/>
      <c r="EW967" s="48"/>
      <c r="EX967" s="48"/>
      <c r="EY967" s="48"/>
      <c r="EZ967" s="48"/>
      <c r="FA967" s="48"/>
      <c r="FB967" s="48"/>
      <c r="FC967" s="48"/>
      <c r="FD967" s="48"/>
      <c r="FE967" s="48"/>
      <c r="FF967" s="48"/>
      <c r="FG967" s="48"/>
      <c r="FI967" s="48"/>
      <c r="FL967" s="48"/>
      <c r="FM967" s="48"/>
      <c r="FN967" s="48"/>
      <c r="FO967" s="48"/>
      <c r="FP967" s="48"/>
      <c r="FQ967" s="48"/>
      <c r="FR967" s="48"/>
      <c r="FS967" s="48"/>
      <c r="FT967" s="48"/>
      <c r="FU967" s="48"/>
    </row>
    <row r="968" spans="1:177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52"/>
      <c r="BF968" s="48"/>
      <c r="BG968" s="48"/>
      <c r="BI968" s="48"/>
      <c r="BN968" s="48"/>
      <c r="BO968" s="48"/>
      <c r="BR968" s="48"/>
      <c r="BS968" s="48"/>
      <c r="BW968" s="48"/>
      <c r="CA968" s="48"/>
      <c r="CE968" s="48"/>
      <c r="CF968" s="48"/>
      <c r="CG968" s="48"/>
      <c r="CH968" s="48"/>
      <c r="CI968" s="48"/>
      <c r="CJ968" s="48"/>
      <c r="CL968" s="48"/>
      <c r="CM968" s="48"/>
      <c r="CN968" s="48"/>
      <c r="CO968" s="48"/>
      <c r="CP968" s="48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  <c r="DD968" s="48"/>
      <c r="DE968" s="48"/>
      <c r="DF968" s="48"/>
      <c r="DG968" s="48"/>
      <c r="DH968" s="48"/>
      <c r="DI968" s="48"/>
      <c r="DJ968" s="48"/>
      <c r="DK968" s="48"/>
      <c r="DL968" s="48"/>
      <c r="DM968" s="48"/>
      <c r="DN968" s="48"/>
      <c r="DO968" s="48"/>
      <c r="DP968" s="48"/>
      <c r="DQ968" s="48"/>
      <c r="DR968" s="48"/>
      <c r="DS968" s="48"/>
      <c r="DT968" s="48"/>
      <c r="DU968" s="48"/>
      <c r="DV968" s="48"/>
      <c r="DW968" s="48"/>
      <c r="DX968" s="48"/>
      <c r="DY968" s="48"/>
      <c r="DZ968" s="48"/>
      <c r="EA968" s="48"/>
      <c r="EC968" s="48"/>
      <c r="ED968" s="48"/>
      <c r="EE968" s="48"/>
      <c r="EF968" s="48"/>
      <c r="EG968" s="48"/>
      <c r="EI968" s="48"/>
      <c r="EK968" s="48"/>
      <c r="EM968" s="48"/>
      <c r="EO968" s="48"/>
      <c r="EP968" s="48"/>
      <c r="EU968" s="48"/>
      <c r="EV968" s="48"/>
      <c r="EW968" s="48"/>
      <c r="EX968" s="48"/>
      <c r="EY968" s="48"/>
      <c r="EZ968" s="48"/>
      <c r="FA968" s="48"/>
      <c r="FB968" s="48"/>
      <c r="FC968" s="48"/>
      <c r="FD968" s="48"/>
      <c r="FE968" s="48"/>
      <c r="FF968" s="48"/>
      <c r="FG968" s="48"/>
      <c r="FI968" s="48"/>
      <c r="FL968" s="48"/>
      <c r="FM968" s="48"/>
      <c r="FN968" s="48"/>
      <c r="FO968" s="48"/>
      <c r="FP968" s="48"/>
      <c r="FQ968" s="48"/>
      <c r="FR968" s="48"/>
      <c r="FS968" s="48"/>
      <c r="FT968" s="48"/>
      <c r="FU968" s="48"/>
    </row>
    <row r="969" spans="1:177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52"/>
      <c r="BF969" s="48"/>
      <c r="BG969" s="48"/>
      <c r="BI969" s="48"/>
      <c r="BN969" s="48"/>
      <c r="BO969" s="48"/>
      <c r="BR969" s="48"/>
      <c r="BS969" s="48"/>
      <c r="BW969" s="48"/>
      <c r="CA969" s="48"/>
      <c r="CE969" s="48"/>
      <c r="CF969" s="48"/>
      <c r="CG969" s="48"/>
      <c r="CH969" s="48"/>
      <c r="CI969" s="48"/>
      <c r="CJ969" s="48"/>
      <c r="CL969" s="48"/>
      <c r="CM969" s="48"/>
      <c r="CN969" s="48"/>
      <c r="CO969" s="48"/>
      <c r="CP969" s="48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  <c r="DD969" s="48"/>
      <c r="DE969" s="48"/>
      <c r="DF969" s="48"/>
      <c r="DG969" s="48"/>
      <c r="DH969" s="48"/>
      <c r="DI969" s="48"/>
      <c r="DJ969" s="48"/>
      <c r="DK969" s="48"/>
      <c r="DL969" s="48"/>
      <c r="DM969" s="48"/>
      <c r="DN969" s="48"/>
      <c r="DO969" s="48"/>
      <c r="DP969" s="48"/>
      <c r="DQ969" s="48"/>
      <c r="DR969" s="48"/>
      <c r="DS969" s="48"/>
      <c r="DT969" s="48"/>
      <c r="DU969" s="48"/>
      <c r="DV969" s="48"/>
      <c r="DW969" s="48"/>
      <c r="DX969" s="48"/>
      <c r="DY969" s="48"/>
      <c r="DZ969" s="48"/>
      <c r="EA969" s="48"/>
      <c r="EC969" s="48"/>
      <c r="ED969" s="48"/>
      <c r="EE969" s="48"/>
      <c r="EF969" s="48"/>
      <c r="EG969" s="48"/>
      <c r="EI969" s="48"/>
      <c r="EK969" s="48"/>
      <c r="EM969" s="48"/>
      <c r="EO969" s="48"/>
      <c r="EP969" s="48"/>
      <c r="EU969" s="48"/>
      <c r="EV969" s="48"/>
      <c r="EW969" s="48"/>
      <c r="EX969" s="48"/>
      <c r="EY969" s="48"/>
      <c r="EZ969" s="48"/>
      <c r="FA969" s="48"/>
      <c r="FB969" s="48"/>
      <c r="FC969" s="48"/>
      <c r="FD969" s="48"/>
      <c r="FE969" s="48"/>
      <c r="FF969" s="48"/>
      <c r="FG969" s="48"/>
      <c r="FI969" s="48"/>
      <c r="FL969" s="48"/>
      <c r="FM969" s="48"/>
      <c r="FN969" s="48"/>
      <c r="FO969" s="48"/>
      <c r="FP969" s="48"/>
      <c r="FQ969" s="48"/>
      <c r="FR969" s="48"/>
      <c r="FS969" s="48"/>
      <c r="FT969" s="48"/>
      <c r="FU969" s="48"/>
    </row>
    <row r="970" spans="1:177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52"/>
      <c r="BF970" s="48"/>
      <c r="BG970" s="48"/>
      <c r="BI970" s="48"/>
      <c r="BN970" s="48"/>
      <c r="BO970" s="48"/>
      <c r="BR970" s="48"/>
      <c r="BS970" s="48"/>
      <c r="BW970" s="48"/>
      <c r="CA970" s="48"/>
      <c r="CE970" s="48"/>
      <c r="CF970" s="48"/>
      <c r="CG970" s="48"/>
      <c r="CH970" s="48"/>
      <c r="CI970" s="48"/>
      <c r="CJ970" s="48"/>
      <c r="CL970" s="48"/>
      <c r="CM970" s="48"/>
      <c r="CN970" s="48"/>
      <c r="CO970" s="48"/>
      <c r="CP970" s="48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  <c r="DE970" s="48"/>
      <c r="DF970" s="48"/>
      <c r="DG970" s="48"/>
      <c r="DH970" s="48"/>
      <c r="DI970" s="48"/>
      <c r="DJ970" s="48"/>
      <c r="DK970" s="48"/>
      <c r="DL970" s="48"/>
      <c r="DM970" s="48"/>
      <c r="DN970" s="48"/>
      <c r="DO970" s="48"/>
      <c r="DP970" s="48"/>
      <c r="DQ970" s="48"/>
      <c r="DR970" s="48"/>
      <c r="DS970" s="48"/>
      <c r="DT970" s="48"/>
      <c r="DU970" s="48"/>
      <c r="DV970" s="48"/>
      <c r="DW970" s="48"/>
      <c r="DX970" s="48"/>
      <c r="DY970" s="48"/>
      <c r="DZ970" s="48"/>
      <c r="EA970" s="48"/>
      <c r="EC970" s="48"/>
      <c r="ED970" s="48"/>
      <c r="EE970" s="48"/>
      <c r="EF970" s="48"/>
      <c r="EG970" s="48"/>
      <c r="EI970" s="48"/>
      <c r="EK970" s="48"/>
      <c r="EM970" s="48"/>
      <c r="EO970" s="48"/>
      <c r="EP970" s="48"/>
      <c r="EU970" s="48"/>
      <c r="EV970" s="48"/>
      <c r="EW970" s="48"/>
      <c r="EX970" s="48"/>
      <c r="EY970" s="48"/>
      <c r="EZ970" s="48"/>
      <c r="FA970" s="48"/>
      <c r="FB970" s="48"/>
      <c r="FC970" s="48"/>
      <c r="FD970" s="48"/>
      <c r="FE970" s="48"/>
      <c r="FF970" s="48"/>
      <c r="FG970" s="48"/>
      <c r="FI970" s="48"/>
      <c r="FL970" s="48"/>
      <c r="FM970" s="48"/>
      <c r="FN970" s="48"/>
      <c r="FO970" s="48"/>
      <c r="FP970" s="48"/>
      <c r="FQ970" s="48"/>
      <c r="FR970" s="48"/>
      <c r="FS970" s="48"/>
      <c r="FT970" s="48"/>
      <c r="FU970" s="48"/>
    </row>
    <row r="971" spans="1:177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52"/>
      <c r="BF971" s="48"/>
      <c r="BG971" s="48"/>
      <c r="BI971" s="48"/>
      <c r="BN971" s="48"/>
      <c r="BO971" s="48"/>
      <c r="BR971" s="48"/>
      <c r="BS971" s="48"/>
      <c r="BW971" s="48"/>
      <c r="CA971" s="48"/>
      <c r="CE971" s="48"/>
      <c r="CF971" s="48"/>
      <c r="CG971" s="48"/>
      <c r="CH971" s="48"/>
      <c r="CI971" s="48"/>
      <c r="CJ971" s="48"/>
      <c r="CL971" s="48"/>
      <c r="CM971" s="48"/>
      <c r="CN971" s="48"/>
      <c r="CO971" s="48"/>
      <c r="CP971" s="48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  <c r="DD971" s="48"/>
      <c r="DE971" s="48"/>
      <c r="DF971" s="48"/>
      <c r="DG971" s="48"/>
      <c r="DH971" s="48"/>
      <c r="DI971" s="48"/>
      <c r="DJ971" s="48"/>
      <c r="DK971" s="48"/>
      <c r="DL971" s="48"/>
      <c r="DM971" s="48"/>
      <c r="DN971" s="48"/>
      <c r="DO971" s="48"/>
      <c r="DP971" s="48"/>
      <c r="DQ971" s="48"/>
      <c r="DR971" s="48"/>
      <c r="DS971" s="48"/>
      <c r="DT971" s="48"/>
      <c r="DU971" s="48"/>
      <c r="DV971" s="48"/>
      <c r="DW971" s="48"/>
      <c r="DX971" s="48"/>
      <c r="DY971" s="48"/>
      <c r="DZ971" s="48"/>
      <c r="EA971" s="48"/>
      <c r="EC971" s="48"/>
      <c r="ED971" s="48"/>
      <c r="EE971" s="48"/>
      <c r="EF971" s="48"/>
      <c r="EG971" s="48"/>
      <c r="EI971" s="48"/>
      <c r="EK971" s="48"/>
      <c r="EM971" s="48"/>
      <c r="EO971" s="48"/>
      <c r="EP971" s="48"/>
      <c r="EU971" s="48"/>
      <c r="EV971" s="48"/>
      <c r="EW971" s="48"/>
      <c r="EX971" s="48"/>
      <c r="EY971" s="48"/>
      <c r="EZ971" s="48"/>
      <c r="FA971" s="48"/>
      <c r="FB971" s="48"/>
      <c r="FC971" s="48"/>
      <c r="FD971" s="48"/>
      <c r="FE971" s="48"/>
      <c r="FF971" s="48"/>
      <c r="FG971" s="48"/>
      <c r="FI971" s="48"/>
      <c r="FL971" s="48"/>
      <c r="FM971" s="48"/>
      <c r="FN971" s="48"/>
      <c r="FO971" s="48"/>
      <c r="FP971" s="48"/>
      <c r="FQ971" s="48"/>
      <c r="FR971" s="48"/>
      <c r="FS971" s="48"/>
      <c r="FT971" s="48"/>
      <c r="FU971" s="48"/>
    </row>
    <row r="972" spans="1:177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52"/>
      <c r="BF972" s="48"/>
      <c r="BG972" s="48"/>
      <c r="BI972" s="48"/>
      <c r="BN972" s="48"/>
      <c r="BO972" s="48"/>
      <c r="BR972" s="48"/>
      <c r="BS972" s="48"/>
      <c r="BW972" s="48"/>
      <c r="CA972" s="48"/>
      <c r="CE972" s="48"/>
      <c r="CF972" s="48"/>
      <c r="CG972" s="48"/>
      <c r="CH972" s="48"/>
      <c r="CI972" s="48"/>
      <c r="CJ972" s="48"/>
      <c r="CL972" s="48"/>
      <c r="CM972" s="48"/>
      <c r="CN972" s="48"/>
      <c r="CO972" s="48"/>
      <c r="CP972" s="48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  <c r="DD972" s="48"/>
      <c r="DE972" s="48"/>
      <c r="DF972" s="48"/>
      <c r="DG972" s="48"/>
      <c r="DH972" s="48"/>
      <c r="DI972" s="48"/>
      <c r="DJ972" s="48"/>
      <c r="DK972" s="48"/>
      <c r="DL972" s="48"/>
      <c r="DM972" s="48"/>
      <c r="DN972" s="48"/>
      <c r="DO972" s="48"/>
      <c r="DP972" s="48"/>
      <c r="DQ972" s="48"/>
      <c r="DR972" s="48"/>
      <c r="DS972" s="48"/>
      <c r="DT972" s="48"/>
      <c r="DU972" s="48"/>
      <c r="DV972" s="48"/>
      <c r="DW972" s="48"/>
      <c r="DX972" s="48"/>
      <c r="DY972" s="48"/>
      <c r="DZ972" s="48"/>
      <c r="EA972" s="48"/>
      <c r="EC972" s="48"/>
      <c r="ED972" s="48"/>
      <c r="EE972" s="48"/>
      <c r="EF972" s="48"/>
      <c r="EG972" s="48"/>
      <c r="EI972" s="48"/>
      <c r="EK972" s="48"/>
      <c r="EM972" s="48"/>
      <c r="EO972" s="48"/>
      <c r="EP972" s="48"/>
      <c r="EU972" s="48"/>
      <c r="EV972" s="48"/>
      <c r="EW972" s="48"/>
      <c r="EX972" s="48"/>
      <c r="EY972" s="48"/>
      <c r="EZ972" s="48"/>
      <c r="FA972" s="48"/>
      <c r="FB972" s="48"/>
      <c r="FC972" s="48"/>
      <c r="FD972" s="48"/>
      <c r="FE972" s="48"/>
      <c r="FF972" s="48"/>
      <c r="FG972" s="48"/>
      <c r="FI972" s="48"/>
      <c r="FL972" s="48"/>
      <c r="FM972" s="48"/>
      <c r="FN972" s="48"/>
      <c r="FO972" s="48"/>
      <c r="FP972" s="48"/>
      <c r="FQ972" s="48"/>
      <c r="FR972" s="48"/>
      <c r="FS972" s="48"/>
      <c r="FT972" s="48"/>
      <c r="FU972" s="48"/>
    </row>
    <row r="973" spans="1:177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52"/>
      <c r="BF973" s="48"/>
      <c r="BG973" s="48"/>
      <c r="BI973" s="48"/>
      <c r="BN973" s="48"/>
      <c r="BO973" s="48"/>
      <c r="BR973" s="48"/>
      <c r="BS973" s="48"/>
      <c r="BW973" s="48"/>
      <c r="CA973" s="48"/>
      <c r="CE973" s="48"/>
      <c r="CF973" s="48"/>
      <c r="CG973" s="48"/>
      <c r="CH973" s="48"/>
      <c r="CI973" s="48"/>
      <c r="CJ973" s="48"/>
      <c r="CL973" s="48"/>
      <c r="CM973" s="48"/>
      <c r="CN973" s="48"/>
      <c r="CO973" s="48"/>
      <c r="CP973" s="48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  <c r="DE973" s="48"/>
      <c r="DF973" s="48"/>
      <c r="DG973" s="48"/>
      <c r="DH973" s="48"/>
      <c r="DI973" s="48"/>
      <c r="DJ973" s="48"/>
      <c r="DK973" s="48"/>
      <c r="DL973" s="48"/>
      <c r="DM973" s="48"/>
      <c r="DN973" s="48"/>
      <c r="DO973" s="48"/>
      <c r="DP973" s="48"/>
      <c r="DQ973" s="48"/>
      <c r="DR973" s="48"/>
      <c r="DS973" s="48"/>
      <c r="DT973" s="48"/>
      <c r="DU973" s="48"/>
      <c r="DV973" s="48"/>
      <c r="DW973" s="48"/>
      <c r="DX973" s="48"/>
      <c r="DY973" s="48"/>
      <c r="DZ973" s="48"/>
      <c r="EA973" s="48"/>
      <c r="EC973" s="48"/>
      <c r="ED973" s="48"/>
      <c r="EE973" s="48"/>
      <c r="EF973" s="48"/>
      <c r="EG973" s="48"/>
      <c r="EI973" s="48"/>
      <c r="EK973" s="48"/>
      <c r="EM973" s="48"/>
      <c r="EO973" s="48"/>
      <c r="EP973" s="48"/>
      <c r="EU973" s="48"/>
      <c r="EV973" s="48"/>
      <c r="EW973" s="48"/>
      <c r="EX973" s="48"/>
      <c r="EY973" s="48"/>
      <c r="EZ973" s="48"/>
      <c r="FA973" s="48"/>
      <c r="FB973" s="48"/>
      <c r="FC973" s="48"/>
      <c r="FD973" s="48"/>
      <c r="FE973" s="48"/>
      <c r="FF973" s="48"/>
      <c r="FG973" s="48"/>
      <c r="FI973" s="48"/>
      <c r="FL973" s="48"/>
      <c r="FM973" s="48"/>
      <c r="FN973" s="48"/>
      <c r="FO973" s="48"/>
      <c r="FP973" s="48"/>
      <c r="FQ973" s="48"/>
      <c r="FR973" s="48"/>
      <c r="FS973" s="48"/>
      <c r="FT973" s="48"/>
      <c r="FU973" s="48"/>
    </row>
    <row r="974" spans="1:177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52"/>
      <c r="BF974" s="48"/>
      <c r="BG974" s="48"/>
      <c r="BI974" s="48"/>
      <c r="BN974" s="48"/>
      <c r="BO974" s="48"/>
      <c r="BR974" s="48"/>
      <c r="BS974" s="48"/>
      <c r="BW974" s="48"/>
      <c r="CA974" s="48"/>
      <c r="CE974" s="48"/>
      <c r="CF974" s="48"/>
      <c r="CG974" s="48"/>
      <c r="CH974" s="48"/>
      <c r="CI974" s="48"/>
      <c r="CJ974" s="48"/>
      <c r="CL974" s="48"/>
      <c r="CM974" s="48"/>
      <c r="CN974" s="48"/>
      <c r="CO974" s="48"/>
      <c r="CP974" s="48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  <c r="DD974" s="48"/>
      <c r="DE974" s="48"/>
      <c r="DF974" s="48"/>
      <c r="DG974" s="48"/>
      <c r="DH974" s="48"/>
      <c r="DI974" s="48"/>
      <c r="DJ974" s="48"/>
      <c r="DK974" s="48"/>
      <c r="DL974" s="48"/>
      <c r="DM974" s="48"/>
      <c r="DN974" s="48"/>
      <c r="DO974" s="48"/>
      <c r="DP974" s="48"/>
      <c r="DQ974" s="48"/>
      <c r="DR974" s="48"/>
      <c r="DS974" s="48"/>
      <c r="DT974" s="48"/>
      <c r="DU974" s="48"/>
      <c r="DV974" s="48"/>
      <c r="DW974" s="48"/>
      <c r="DX974" s="48"/>
      <c r="DY974" s="48"/>
      <c r="DZ974" s="48"/>
      <c r="EA974" s="48"/>
      <c r="EC974" s="48"/>
      <c r="ED974" s="48"/>
      <c r="EE974" s="48"/>
      <c r="EF974" s="48"/>
      <c r="EG974" s="48"/>
      <c r="EI974" s="48"/>
      <c r="EK974" s="48"/>
      <c r="EM974" s="48"/>
      <c r="EO974" s="48"/>
      <c r="EP974" s="48"/>
      <c r="EU974" s="48"/>
      <c r="EV974" s="48"/>
      <c r="EW974" s="48"/>
      <c r="EX974" s="48"/>
      <c r="EY974" s="48"/>
      <c r="EZ974" s="48"/>
      <c r="FA974" s="48"/>
      <c r="FB974" s="48"/>
      <c r="FC974" s="48"/>
      <c r="FD974" s="48"/>
      <c r="FE974" s="48"/>
      <c r="FF974" s="48"/>
      <c r="FG974" s="48"/>
      <c r="FI974" s="48"/>
      <c r="FL974" s="48"/>
      <c r="FM974" s="48"/>
      <c r="FN974" s="48"/>
      <c r="FO974" s="48"/>
      <c r="FP974" s="48"/>
      <c r="FQ974" s="48"/>
      <c r="FR974" s="48"/>
      <c r="FS974" s="48"/>
      <c r="FT974" s="48"/>
      <c r="FU974" s="48"/>
    </row>
    <row r="975" spans="1:177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52"/>
      <c r="BF975" s="48"/>
      <c r="BG975" s="48"/>
      <c r="BI975" s="48"/>
      <c r="BN975" s="48"/>
      <c r="BO975" s="48"/>
      <c r="BR975" s="48"/>
      <c r="BS975" s="48"/>
      <c r="BW975" s="48"/>
      <c r="CA975" s="48"/>
      <c r="CE975" s="48"/>
      <c r="CF975" s="48"/>
      <c r="CG975" s="48"/>
      <c r="CH975" s="48"/>
      <c r="CI975" s="48"/>
      <c r="CJ975" s="48"/>
      <c r="CL975" s="48"/>
      <c r="CM975" s="48"/>
      <c r="CN975" s="48"/>
      <c r="CO975" s="48"/>
      <c r="CP975" s="48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  <c r="DD975" s="48"/>
      <c r="DE975" s="48"/>
      <c r="DF975" s="48"/>
      <c r="DG975" s="48"/>
      <c r="DH975" s="48"/>
      <c r="DI975" s="48"/>
      <c r="DJ975" s="48"/>
      <c r="DK975" s="48"/>
      <c r="DL975" s="48"/>
      <c r="DM975" s="48"/>
      <c r="DN975" s="48"/>
      <c r="DO975" s="48"/>
      <c r="DP975" s="48"/>
      <c r="DQ975" s="48"/>
      <c r="DR975" s="48"/>
      <c r="DS975" s="48"/>
      <c r="DT975" s="48"/>
      <c r="DU975" s="48"/>
      <c r="DV975" s="48"/>
      <c r="DW975" s="48"/>
      <c r="DX975" s="48"/>
      <c r="DY975" s="48"/>
      <c r="DZ975" s="48"/>
      <c r="EA975" s="48"/>
      <c r="EC975" s="48"/>
      <c r="ED975" s="48"/>
      <c r="EE975" s="48"/>
      <c r="EF975" s="48"/>
      <c r="EG975" s="48"/>
      <c r="EI975" s="48"/>
      <c r="EK975" s="48"/>
      <c r="EM975" s="48"/>
      <c r="EO975" s="48"/>
      <c r="EP975" s="48"/>
      <c r="EU975" s="48"/>
      <c r="EV975" s="48"/>
      <c r="EW975" s="48"/>
      <c r="EX975" s="48"/>
      <c r="EY975" s="48"/>
      <c r="EZ975" s="48"/>
      <c r="FA975" s="48"/>
      <c r="FB975" s="48"/>
      <c r="FC975" s="48"/>
      <c r="FD975" s="48"/>
      <c r="FE975" s="48"/>
      <c r="FF975" s="48"/>
      <c r="FG975" s="48"/>
      <c r="FI975" s="48"/>
      <c r="FL975" s="48"/>
      <c r="FM975" s="48"/>
      <c r="FN975" s="48"/>
      <c r="FO975" s="48"/>
      <c r="FP975" s="48"/>
      <c r="FQ975" s="48"/>
      <c r="FR975" s="48"/>
      <c r="FS975" s="48"/>
      <c r="FT975" s="48"/>
      <c r="FU975" s="48"/>
    </row>
    <row r="976" spans="1:177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52"/>
      <c r="BF976" s="48"/>
      <c r="BG976" s="48"/>
      <c r="BI976" s="48"/>
      <c r="BN976" s="48"/>
      <c r="BO976" s="48"/>
      <c r="BR976" s="48"/>
      <c r="BS976" s="48"/>
      <c r="BW976" s="48"/>
      <c r="CA976" s="48"/>
      <c r="CE976" s="48"/>
      <c r="CF976" s="48"/>
      <c r="CG976" s="48"/>
      <c r="CH976" s="48"/>
      <c r="CI976" s="48"/>
      <c r="CJ976" s="48"/>
      <c r="CL976" s="48"/>
      <c r="CM976" s="48"/>
      <c r="CN976" s="48"/>
      <c r="CO976" s="48"/>
      <c r="CP976" s="48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  <c r="DE976" s="48"/>
      <c r="DF976" s="48"/>
      <c r="DG976" s="48"/>
      <c r="DH976" s="48"/>
      <c r="DI976" s="48"/>
      <c r="DJ976" s="48"/>
      <c r="DK976" s="48"/>
      <c r="DL976" s="48"/>
      <c r="DM976" s="48"/>
      <c r="DN976" s="48"/>
      <c r="DO976" s="48"/>
      <c r="DP976" s="48"/>
      <c r="DQ976" s="48"/>
      <c r="DR976" s="48"/>
      <c r="DS976" s="48"/>
      <c r="DT976" s="48"/>
      <c r="DU976" s="48"/>
      <c r="DV976" s="48"/>
      <c r="DW976" s="48"/>
      <c r="DX976" s="48"/>
      <c r="DY976" s="48"/>
      <c r="DZ976" s="48"/>
      <c r="EA976" s="48"/>
      <c r="EC976" s="48"/>
      <c r="ED976" s="48"/>
      <c r="EE976" s="48"/>
      <c r="EF976" s="48"/>
      <c r="EG976" s="48"/>
      <c r="EI976" s="48"/>
      <c r="EK976" s="48"/>
      <c r="EM976" s="48"/>
      <c r="EO976" s="48"/>
      <c r="EP976" s="48"/>
      <c r="EU976" s="48"/>
      <c r="EV976" s="48"/>
      <c r="EW976" s="48"/>
      <c r="EX976" s="48"/>
      <c r="EY976" s="48"/>
      <c r="EZ976" s="48"/>
      <c r="FA976" s="48"/>
      <c r="FB976" s="48"/>
      <c r="FC976" s="48"/>
      <c r="FD976" s="48"/>
      <c r="FE976" s="48"/>
      <c r="FF976" s="48"/>
      <c r="FG976" s="48"/>
      <c r="FI976" s="48"/>
      <c r="FL976" s="48"/>
      <c r="FM976" s="48"/>
      <c r="FN976" s="48"/>
      <c r="FO976" s="48"/>
      <c r="FP976" s="48"/>
      <c r="FQ976" s="48"/>
      <c r="FR976" s="48"/>
      <c r="FS976" s="48"/>
      <c r="FT976" s="48"/>
      <c r="FU976" s="48"/>
    </row>
    <row r="977" spans="1:1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52"/>
      <c r="BF977" s="48"/>
      <c r="BG977" s="48"/>
      <c r="BI977" s="48"/>
      <c r="BN977" s="48"/>
      <c r="BO977" s="48"/>
      <c r="BR977" s="48"/>
      <c r="BS977" s="48"/>
      <c r="BW977" s="48"/>
      <c r="CA977" s="48"/>
      <c r="CE977" s="48"/>
      <c r="CF977" s="48"/>
      <c r="CG977" s="48"/>
      <c r="CH977" s="48"/>
      <c r="CI977" s="48"/>
      <c r="CJ977" s="48"/>
      <c r="CL977" s="48"/>
      <c r="CM977" s="48"/>
      <c r="CN977" s="48"/>
      <c r="CO977" s="48"/>
      <c r="CP977" s="48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  <c r="DD977" s="48"/>
      <c r="DE977" s="48"/>
      <c r="DF977" s="48"/>
      <c r="DG977" s="48"/>
      <c r="DH977" s="48"/>
      <c r="DI977" s="48"/>
      <c r="DJ977" s="48"/>
      <c r="DK977" s="48"/>
      <c r="DL977" s="48"/>
      <c r="DM977" s="48"/>
      <c r="DN977" s="48"/>
      <c r="DO977" s="48"/>
      <c r="DP977" s="48"/>
      <c r="DQ977" s="48"/>
      <c r="DR977" s="48"/>
      <c r="DS977" s="48"/>
      <c r="DT977" s="48"/>
      <c r="DU977" s="48"/>
      <c r="DV977" s="48"/>
      <c r="DW977" s="48"/>
      <c r="DX977" s="48"/>
      <c r="DY977" s="48"/>
      <c r="DZ977" s="48"/>
      <c r="EA977" s="48"/>
      <c r="EC977" s="48"/>
      <c r="ED977" s="48"/>
      <c r="EE977" s="48"/>
      <c r="EF977" s="48"/>
      <c r="EG977" s="48"/>
      <c r="EI977" s="48"/>
      <c r="EK977" s="48"/>
      <c r="EM977" s="48"/>
      <c r="EO977" s="48"/>
      <c r="EP977" s="48"/>
      <c r="EU977" s="48"/>
      <c r="EV977" s="48"/>
      <c r="EW977" s="48"/>
      <c r="EX977" s="48"/>
      <c r="EY977" s="48"/>
      <c r="EZ977" s="48"/>
      <c r="FA977" s="48"/>
      <c r="FB977" s="48"/>
      <c r="FC977" s="48"/>
      <c r="FD977" s="48"/>
      <c r="FE977" s="48"/>
      <c r="FF977" s="48"/>
      <c r="FG977" s="48"/>
      <c r="FI977" s="48"/>
      <c r="FL977" s="48"/>
      <c r="FM977" s="48"/>
      <c r="FN977" s="48"/>
      <c r="FO977" s="48"/>
      <c r="FP977" s="48"/>
      <c r="FQ977" s="48"/>
      <c r="FR977" s="48"/>
      <c r="FS977" s="48"/>
      <c r="FT977" s="48"/>
      <c r="FU977" s="48"/>
    </row>
    <row r="978" spans="1:177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52"/>
      <c r="BF978" s="48"/>
      <c r="BG978" s="48"/>
      <c r="BI978" s="48"/>
      <c r="BN978" s="48"/>
      <c r="BO978" s="48"/>
      <c r="BR978" s="48"/>
      <c r="BS978" s="48"/>
      <c r="BW978" s="48"/>
      <c r="CA978" s="48"/>
      <c r="CE978" s="48"/>
      <c r="CF978" s="48"/>
      <c r="CG978" s="48"/>
      <c r="CH978" s="48"/>
      <c r="CI978" s="48"/>
      <c r="CJ978" s="48"/>
      <c r="CL978" s="48"/>
      <c r="CM978" s="48"/>
      <c r="CN978" s="48"/>
      <c r="CO978" s="48"/>
      <c r="CP978" s="48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  <c r="DD978" s="48"/>
      <c r="DE978" s="48"/>
      <c r="DF978" s="48"/>
      <c r="DG978" s="48"/>
      <c r="DH978" s="48"/>
      <c r="DI978" s="48"/>
      <c r="DJ978" s="48"/>
      <c r="DK978" s="48"/>
      <c r="DL978" s="48"/>
      <c r="DM978" s="48"/>
      <c r="DN978" s="48"/>
      <c r="DO978" s="48"/>
      <c r="DP978" s="48"/>
      <c r="DQ978" s="48"/>
      <c r="DR978" s="48"/>
      <c r="DS978" s="48"/>
      <c r="DT978" s="48"/>
      <c r="DU978" s="48"/>
      <c r="DV978" s="48"/>
      <c r="DW978" s="48"/>
      <c r="DX978" s="48"/>
      <c r="DY978" s="48"/>
      <c r="DZ978" s="48"/>
      <c r="EA978" s="48"/>
      <c r="EC978" s="48"/>
      <c r="ED978" s="48"/>
      <c r="EE978" s="48"/>
      <c r="EF978" s="48"/>
      <c r="EG978" s="48"/>
      <c r="EI978" s="48"/>
      <c r="EK978" s="48"/>
      <c r="EM978" s="48"/>
      <c r="EO978" s="48"/>
      <c r="EP978" s="48"/>
      <c r="EU978" s="48"/>
      <c r="EV978" s="48"/>
      <c r="EW978" s="48"/>
      <c r="EX978" s="48"/>
      <c r="EY978" s="48"/>
      <c r="EZ978" s="48"/>
      <c r="FA978" s="48"/>
      <c r="FB978" s="48"/>
      <c r="FC978" s="48"/>
      <c r="FD978" s="48"/>
      <c r="FE978" s="48"/>
      <c r="FF978" s="48"/>
      <c r="FG978" s="48"/>
      <c r="FI978" s="48"/>
      <c r="FL978" s="48"/>
      <c r="FM978" s="48"/>
      <c r="FN978" s="48"/>
      <c r="FO978" s="48"/>
      <c r="FP978" s="48"/>
      <c r="FQ978" s="48"/>
      <c r="FR978" s="48"/>
      <c r="FS978" s="48"/>
      <c r="FT978" s="48"/>
      <c r="FU978" s="48"/>
    </row>
    <row r="979" spans="1:177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52"/>
      <c r="BF979" s="48"/>
      <c r="BG979" s="48"/>
      <c r="BI979" s="48"/>
      <c r="BN979" s="48"/>
      <c r="BO979" s="48"/>
      <c r="BR979" s="48"/>
      <c r="BS979" s="48"/>
      <c r="BW979" s="48"/>
      <c r="CA979" s="48"/>
      <c r="CE979" s="48"/>
      <c r="CF979" s="48"/>
      <c r="CG979" s="48"/>
      <c r="CH979" s="48"/>
      <c r="CI979" s="48"/>
      <c r="CJ979" s="48"/>
      <c r="CL979" s="48"/>
      <c r="CM979" s="48"/>
      <c r="CN979" s="48"/>
      <c r="CO979" s="48"/>
      <c r="CP979" s="48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  <c r="DE979" s="48"/>
      <c r="DF979" s="48"/>
      <c r="DG979" s="48"/>
      <c r="DH979" s="48"/>
      <c r="DI979" s="48"/>
      <c r="DJ979" s="48"/>
      <c r="DK979" s="48"/>
      <c r="DL979" s="48"/>
      <c r="DM979" s="48"/>
      <c r="DN979" s="48"/>
      <c r="DO979" s="48"/>
      <c r="DP979" s="48"/>
      <c r="DQ979" s="48"/>
      <c r="DR979" s="48"/>
      <c r="DS979" s="48"/>
      <c r="DT979" s="48"/>
      <c r="DU979" s="48"/>
      <c r="DV979" s="48"/>
      <c r="DW979" s="48"/>
      <c r="DX979" s="48"/>
      <c r="DY979" s="48"/>
      <c r="DZ979" s="48"/>
      <c r="EA979" s="48"/>
      <c r="EC979" s="48"/>
      <c r="ED979" s="48"/>
      <c r="EE979" s="48"/>
      <c r="EF979" s="48"/>
      <c r="EG979" s="48"/>
      <c r="EI979" s="48"/>
      <c r="EK979" s="48"/>
      <c r="EM979" s="48"/>
      <c r="EO979" s="48"/>
      <c r="EP979" s="48"/>
      <c r="EU979" s="48"/>
      <c r="EV979" s="48"/>
      <c r="EW979" s="48"/>
      <c r="EX979" s="48"/>
      <c r="EY979" s="48"/>
      <c r="EZ979" s="48"/>
      <c r="FA979" s="48"/>
      <c r="FB979" s="48"/>
      <c r="FC979" s="48"/>
      <c r="FD979" s="48"/>
      <c r="FE979" s="48"/>
      <c r="FF979" s="48"/>
      <c r="FG979" s="48"/>
      <c r="FI979" s="48"/>
      <c r="FL979" s="48"/>
      <c r="FM979" s="48"/>
      <c r="FN979" s="48"/>
      <c r="FO979" s="48"/>
      <c r="FP979" s="48"/>
      <c r="FQ979" s="48"/>
      <c r="FR979" s="48"/>
      <c r="FS979" s="48"/>
      <c r="FT979" s="48"/>
      <c r="FU979" s="48"/>
    </row>
    <row r="980" spans="1:177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52"/>
      <c r="BF980" s="48"/>
      <c r="BG980" s="48"/>
      <c r="BI980" s="48"/>
      <c r="BN980" s="48"/>
      <c r="BO980" s="48"/>
      <c r="BR980" s="48"/>
      <c r="BS980" s="48"/>
      <c r="BW980" s="48"/>
      <c r="CA980" s="48"/>
      <c r="CE980" s="48"/>
      <c r="CF980" s="48"/>
      <c r="CG980" s="48"/>
      <c r="CH980" s="48"/>
      <c r="CI980" s="48"/>
      <c r="CJ980" s="48"/>
      <c r="CL980" s="48"/>
      <c r="CM980" s="48"/>
      <c r="CN980" s="48"/>
      <c r="CO980" s="48"/>
      <c r="CP980" s="48"/>
      <c r="CQ980" s="48"/>
      <c r="CR980" s="48"/>
      <c r="CS980" s="48"/>
      <c r="CT980" s="48"/>
      <c r="CU980" s="48"/>
      <c r="CV980" s="48"/>
      <c r="CW980" s="48"/>
      <c r="CX980" s="48"/>
      <c r="CY980" s="48"/>
      <c r="CZ980" s="48"/>
      <c r="DA980" s="48"/>
      <c r="DB980" s="48"/>
      <c r="DC980" s="48"/>
      <c r="DD980" s="48"/>
      <c r="DE980" s="48"/>
      <c r="DF980" s="48"/>
      <c r="DG980" s="48"/>
      <c r="DH980" s="48"/>
      <c r="DI980" s="48"/>
      <c r="DJ980" s="48"/>
      <c r="DK980" s="48"/>
      <c r="DL980" s="48"/>
      <c r="DM980" s="48"/>
      <c r="DN980" s="48"/>
      <c r="DO980" s="48"/>
      <c r="DP980" s="48"/>
      <c r="DQ980" s="48"/>
      <c r="DR980" s="48"/>
      <c r="DS980" s="48"/>
      <c r="DT980" s="48"/>
      <c r="DU980" s="48"/>
      <c r="DV980" s="48"/>
      <c r="DW980" s="48"/>
      <c r="DX980" s="48"/>
      <c r="DY980" s="48"/>
      <c r="DZ980" s="48"/>
      <c r="EA980" s="48"/>
      <c r="EC980" s="48"/>
      <c r="ED980" s="48"/>
      <c r="EE980" s="48"/>
      <c r="EF980" s="48"/>
      <c r="EG980" s="48"/>
      <c r="EI980" s="48"/>
      <c r="EK980" s="48"/>
      <c r="EM980" s="48"/>
      <c r="EO980" s="48"/>
      <c r="EP980" s="48"/>
      <c r="EU980" s="48"/>
      <c r="EV980" s="48"/>
      <c r="EW980" s="48"/>
      <c r="EX980" s="48"/>
      <c r="EY980" s="48"/>
      <c r="EZ980" s="48"/>
      <c r="FA980" s="48"/>
      <c r="FB980" s="48"/>
      <c r="FC980" s="48"/>
      <c r="FD980" s="48"/>
      <c r="FE980" s="48"/>
      <c r="FF980" s="48"/>
      <c r="FG980" s="48"/>
      <c r="FI980" s="48"/>
      <c r="FL980" s="48"/>
      <c r="FM980" s="48"/>
      <c r="FN980" s="48"/>
      <c r="FO980" s="48"/>
      <c r="FP980" s="48"/>
      <c r="FQ980" s="48"/>
      <c r="FR980" s="48"/>
      <c r="FS980" s="48"/>
      <c r="FT980" s="48"/>
      <c r="FU980" s="48"/>
    </row>
    <row r="981" spans="1:177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52"/>
      <c r="BF981" s="48"/>
      <c r="BG981" s="48"/>
      <c r="BI981" s="48"/>
      <c r="BN981" s="48"/>
      <c r="BO981" s="48"/>
      <c r="BR981" s="48"/>
      <c r="BS981" s="48"/>
      <c r="BW981" s="48"/>
      <c r="CA981" s="48"/>
      <c r="CE981" s="48"/>
      <c r="CF981" s="48"/>
      <c r="CG981" s="48"/>
      <c r="CH981" s="48"/>
      <c r="CI981" s="48"/>
      <c r="CJ981" s="48"/>
      <c r="CL981" s="48"/>
      <c r="CM981" s="48"/>
      <c r="CN981" s="48"/>
      <c r="CO981" s="48"/>
      <c r="CP981" s="48"/>
      <c r="CQ981" s="48"/>
      <c r="CR981" s="48"/>
      <c r="CS981" s="48"/>
      <c r="CT981" s="48"/>
      <c r="CU981" s="48"/>
      <c r="CV981" s="48"/>
      <c r="CW981" s="48"/>
      <c r="CX981" s="48"/>
      <c r="CY981" s="48"/>
      <c r="CZ981" s="48"/>
      <c r="DA981" s="48"/>
      <c r="DB981" s="48"/>
      <c r="DC981" s="48"/>
      <c r="DD981" s="48"/>
      <c r="DE981" s="48"/>
      <c r="DF981" s="48"/>
      <c r="DG981" s="48"/>
      <c r="DH981" s="48"/>
      <c r="DI981" s="48"/>
      <c r="DJ981" s="48"/>
      <c r="DK981" s="48"/>
      <c r="DL981" s="48"/>
      <c r="DM981" s="48"/>
      <c r="DN981" s="48"/>
      <c r="DO981" s="48"/>
      <c r="DP981" s="48"/>
      <c r="DQ981" s="48"/>
      <c r="DR981" s="48"/>
      <c r="DS981" s="48"/>
      <c r="DT981" s="48"/>
      <c r="DU981" s="48"/>
      <c r="DV981" s="48"/>
      <c r="DW981" s="48"/>
      <c r="DX981" s="48"/>
      <c r="DY981" s="48"/>
      <c r="DZ981" s="48"/>
      <c r="EA981" s="48"/>
      <c r="EC981" s="48"/>
      <c r="ED981" s="48"/>
      <c r="EE981" s="48"/>
      <c r="EF981" s="48"/>
      <c r="EG981" s="48"/>
      <c r="EI981" s="48"/>
      <c r="EK981" s="48"/>
      <c r="EM981" s="48"/>
      <c r="EO981" s="48"/>
      <c r="EP981" s="48"/>
      <c r="EU981" s="48"/>
      <c r="EV981" s="48"/>
      <c r="EW981" s="48"/>
      <c r="EX981" s="48"/>
      <c r="EY981" s="48"/>
      <c r="EZ981" s="48"/>
      <c r="FA981" s="48"/>
      <c r="FB981" s="48"/>
      <c r="FC981" s="48"/>
      <c r="FD981" s="48"/>
      <c r="FE981" s="48"/>
      <c r="FF981" s="48"/>
      <c r="FG981" s="48"/>
      <c r="FI981" s="48"/>
      <c r="FL981" s="48"/>
      <c r="FM981" s="48"/>
      <c r="FN981" s="48"/>
      <c r="FO981" s="48"/>
      <c r="FP981" s="48"/>
      <c r="FQ981" s="48"/>
      <c r="FR981" s="48"/>
      <c r="FS981" s="48"/>
      <c r="FT981" s="48"/>
      <c r="FU981" s="48"/>
    </row>
    <row r="982" spans="1:177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52"/>
      <c r="BF982" s="48"/>
      <c r="BG982" s="48"/>
      <c r="BI982" s="48"/>
      <c r="BN982" s="48"/>
      <c r="BO982" s="48"/>
      <c r="BR982" s="48"/>
      <c r="BS982" s="48"/>
      <c r="BW982" s="48"/>
      <c r="CA982" s="48"/>
      <c r="CE982" s="48"/>
      <c r="CF982" s="48"/>
      <c r="CG982" s="48"/>
      <c r="CH982" s="48"/>
      <c r="CI982" s="48"/>
      <c r="CJ982" s="48"/>
      <c r="CL982" s="48"/>
      <c r="CM982" s="48"/>
      <c r="CN982" s="48"/>
      <c r="CO982" s="48"/>
      <c r="CP982" s="48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  <c r="DD982" s="48"/>
      <c r="DE982" s="48"/>
      <c r="DF982" s="48"/>
      <c r="DG982" s="48"/>
      <c r="DH982" s="48"/>
      <c r="DI982" s="48"/>
      <c r="DJ982" s="48"/>
      <c r="DK982" s="48"/>
      <c r="DL982" s="48"/>
      <c r="DM982" s="48"/>
      <c r="DN982" s="48"/>
      <c r="DO982" s="48"/>
      <c r="DP982" s="48"/>
      <c r="DQ982" s="48"/>
      <c r="DR982" s="48"/>
      <c r="DS982" s="48"/>
      <c r="DT982" s="48"/>
      <c r="DU982" s="48"/>
      <c r="DV982" s="48"/>
      <c r="DW982" s="48"/>
      <c r="DX982" s="48"/>
      <c r="DY982" s="48"/>
      <c r="DZ982" s="48"/>
      <c r="EA982" s="48"/>
      <c r="EC982" s="48"/>
      <c r="ED982" s="48"/>
      <c r="EE982" s="48"/>
      <c r="EF982" s="48"/>
      <c r="EG982" s="48"/>
      <c r="EI982" s="48"/>
      <c r="EK982" s="48"/>
      <c r="EM982" s="48"/>
      <c r="EO982" s="48"/>
      <c r="EP982" s="48"/>
      <c r="EU982" s="48"/>
      <c r="EV982" s="48"/>
      <c r="EW982" s="48"/>
      <c r="EX982" s="48"/>
      <c r="EY982" s="48"/>
      <c r="EZ982" s="48"/>
      <c r="FA982" s="48"/>
      <c r="FB982" s="48"/>
      <c r="FC982" s="48"/>
      <c r="FD982" s="48"/>
      <c r="FE982" s="48"/>
      <c r="FF982" s="48"/>
      <c r="FG982" s="48"/>
      <c r="FI982" s="48"/>
      <c r="FL982" s="48"/>
      <c r="FM982" s="48"/>
      <c r="FN982" s="48"/>
      <c r="FO982" s="48"/>
      <c r="FP982" s="48"/>
      <c r="FQ982" s="48"/>
      <c r="FR982" s="48"/>
      <c r="FS982" s="48"/>
      <c r="FT982" s="48"/>
      <c r="FU982" s="48"/>
    </row>
    <row r="983" spans="1:177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52"/>
      <c r="BF983" s="48"/>
      <c r="BG983" s="48"/>
      <c r="BI983" s="48"/>
      <c r="BN983" s="48"/>
      <c r="BO983" s="48"/>
      <c r="BR983" s="48"/>
      <c r="BS983" s="48"/>
      <c r="BW983" s="48"/>
      <c r="CA983" s="48"/>
      <c r="CE983" s="48"/>
      <c r="CF983" s="48"/>
      <c r="CG983" s="48"/>
      <c r="CH983" s="48"/>
      <c r="CI983" s="48"/>
      <c r="CJ983" s="48"/>
      <c r="CL983" s="48"/>
      <c r="CM983" s="48"/>
      <c r="CN983" s="48"/>
      <c r="CO983" s="48"/>
      <c r="CP983" s="48"/>
      <c r="CQ983" s="48"/>
      <c r="CR983" s="48"/>
      <c r="CS983" s="48"/>
      <c r="CT983" s="48"/>
      <c r="CU983" s="48"/>
      <c r="CV983" s="48"/>
      <c r="CW983" s="48"/>
      <c r="CX983" s="48"/>
      <c r="CY983" s="48"/>
      <c r="CZ983" s="48"/>
      <c r="DA983" s="48"/>
      <c r="DB983" s="48"/>
      <c r="DC983" s="48"/>
      <c r="DD983" s="48"/>
      <c r="DE983" s="48"/>
      <c r="DF983" s="48"/>
      <c r="DG983" s="48"/>
      <c r="DH983" s="48"/>
      <c r="DI983" s="48"/>
      <c r="DJ983" s="48"/>
      <c r="DK983" s="48"/>
      <c r="DL983" s="48"/>
      <c r="DM983" s="48"/>
      <c r="DN983" s="48"/>
      <c r="DO983" s="48"/>
      <c r="DP983" s="48"/>
      <c r="DQ983" s="48"/>
      <c r="DR983" s="48"/>
      <c r="DS983" s="48"/>
      <c r="DT983" s="48"/>
      <c r="DU983" s="48"/>
      <c r="DV983" s="48"/>
      <c r="DW983" s="48"/>
      <c r="DX983" s="48"/>
      <c r="DY983" s="48"/>
      <c r="DZ983" s="48"/>
      <c r="EA983" s="48"/>
      <c r="EC983" s="48"/>
      <c r="ED983" s="48"/>
      <c r="EE983" s="48"/>
      <c r="EF983" s="48"/>
      <c r="EG983" s="48"/>
      <c r="EI983" s="48"/>
      <c r="EK983" s="48"/>
      <c r="EM983" s="48"/>
      <c r="EO983" s="48"/>
      <c r="EP983" s="48"/>
      <c r="EU983" s="48"/>
      <c r="EV983" s="48"/>
      <c r="EW983" s="48"/>
      <c r="EX983" s="48"/>
      <c r="EY983" s="48"/>
      <c r="EZ983" s="48"/>
      <c r="FA983" s="48"/>
      <c r="FB983" s="48"/>
      <c r="FC983" s="48"/>
      <c r="FD983" s="48"/>
      <c r="FE983" s="48"/>
      <c r="FF983" s="48"/>
      <c r="FG983" s="48"/>
      <c r="FI983" s="48"/>
      <c r="FL983" s="48"/>
      <c r="FM983" s="48"/>
      <c r="FN983" s="48"/>
      <c r="FO983" s="48"/>
      <c r="FP983" s="48"/>
      <c r="FQ983" s="48"/>
      <c r="FR983" s="48"/>
      <c r="FS983" s="48"/>
      <c r="FT983" s="48"/>
      <c r="FU983" s="48"/>
    </row>
    <row r="984" spans="1:177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52"/>
      <c r="BF984" s="48"/>
      <c r="BG984" s="48"/>
      <c r="BI984" s="48"/>
      <c r="BN984" s="48"/>
      <c r="BO984" s="48"/>
      <c r="BR984" s="48"/>
      <c r="BS984" s="48"/>
      <c r="BW984" s="48"/>
      <c r="CA984" s="48"/>
      <c r="CE984" s="48"/>
      <c r="CF984" s="48"/>
      <c r="CG984" s="48"/>
      <c r="CH984" s="48"/>
      <c r="CI984" s="48"/>
      <c r="CJ984" s="48"/>
      <c r="CL984" s="48"/>
      <c r="CM984" s="48"/>
      <c r="CN984" s="48"/>
      <c r="CO984" s="48"/>
      <c r="CP984" s="48"/>
      <c r="CQ984" s="48"/>
      <c r="CR984" s="48"/>
      <c r="CS984" s="48"/>
      <c r="CT984" s="48"/>
      <c r="CU984" s="48"/>
      <c r="CV984" s="48"/>
      <c r="CW984" s="48"/>
      <c r="CX984" s="48"/>
      <c r="CY984" s="48"/>
      <c r="CZ984" s="48"/>
      <c r="DA984" s="48"/>
      <c r="DB984" s="48"/>
      <c r="DC984" s="48"/>
      <c r="DD984" s="48"/>
      <c r="DE984" s="48"/>
      <c r="DF984" s="48"/>
      <c r="DG984" s="48"/>
      <c r="DH984" s="48"/>
      <c r="DI984" s="48"/>
      <c r="DJ984" s="48"/>
      <c r="DK984" s="48"/>
      <c r="DL984" s="48"/>
      <c r="DM984" s="48"/>
      <c r="DN984" s="48"/>
      <c r="DO984" s="48"/>
      <c r="DP984" s="48"/>
      <c r="DQ984" s="48"/>
      <c r="DR984" s="48"/>
      <c r="DS984" s="48"/>
      <c r="DT984" s="48"/>
      <c r="DU984" s="48"/>
      <c r="DV984" s="48"/>
      <c r="DW984" s="48"/>
      <c r="DX984" s="48"/>
      <c r="DY984" s="48"/>
      <c r="DZ984" s="48"/>
      <c r="EA984" s="48"/>
      <c r="EC984" s="48"/>
      <c r="ED984" s="48"/>
      <c r="EE984" s="48"/>
      <c r="EF984" s="48"/>
      <c r="EG984" s="48"/>
      <c r="EI984" s="48"/>
      <c r="EK984" s="48"/>
      <c r="EM984" s="48"/>
      <c r="EO984" s="48"/>
      <c r="EP984" s="48"/>
      <c r="EU984" s="48"/>
      <c r="EV984" s="48"/>
      <c r="EW984" s="48"/>
      <c r="EX984" s="48"/>
      <c r="EY984" s="48"/>
      <c r="EZ984" s="48"/>
      <c r="FA984" s="48"/>
      <c r="FB984" s="48"/>
      <c r="FC984" s="48"/>
      <c r="FD984" s="48"/>
      <c r="FE984" s="48"/>
      <c r="FF984" s="48"/>
      <c r="FG984" s="48"/>
      <c r="FI984" s="48"/>
      <c r="FL984" s="48"/>
      <c r="FM984" s="48"/>
      <c r="FN984" s="48"/>
      <c r="FO984" s="48"/>
      <c r="FP984" s="48"/>
      <c r="FQ984" s="48"/>
      <c r="FR984" s="48"/>
      <c r="FS984" s="48"/>
      <c r="FT984" s="48"/>
      <c r="FU984" s="48"/>
    </row>
    <row r="985" spans="1:177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52"/>
      <c r="BF985" s="48"/>
      <c r="BG985" s="48"/>
      <c r="BI985" s="48"/>
      <c r="BN985" s="48"/>
      <c r="BO985" s="48"/>
      <c r="BR985" s="48"/>
      <c r="BS985" s="48"/>
      <c r="BW985" s="48"/>
      <c r="CA985" s="48"/>
      <c r="CE985" s="48"/>
      <c r="CF985" s="48"/>
      <c r="CG985" s="48"/>
      <c r="CH985" s="48"/>
      <c r="CI985" s="48"/>
      <c r="CJ985" s="48"/>
      <c r="CL985" s="48"/>
      <c r="CM985" s="48"/>
      <c r="CN985" s="48"/>
      <c r="CO985" s="48"/>
      <c r="CP985" s="48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  <c r="DD985" s="48"/>
      <c r="DE985" s="48"/>
      <c r="DF985" s="48"/>
      <c r="DG985" s="48"/>
      <c r="DH985" s="48"/>
      <c r="DI985" s="48"/>
      <c r="DJ985" s="48"/>
      <c r="DK985" s="48"/>
      <c r="DL985" s="48"/>
      <c r="DM985" s="48"/>
      <c r="DN985" s="48"/>
      <c r="DO985" s="48"/>
      <c r="DP985" s="48"/>
      <c r="DQ985" s="48"/>
      <c r="DR985" s="48"/>
      <c r="DS985" s="48"/>
      <c r="DT985" s="48"/>
      <c r="DU985" s="48"/>
      <c r="DV985" s="48"/>
      <c r="DW985" s="48"/>
      <c r="DX985" s="48"/>
      <c r="DY985" s="48"/>
      <c r="DZ985" s="48"/>
      <c r="EA985" s="48"/>
      <c r="EC985" s="48"/>
      <c r="ED985" s="48"/>
      <c r="EE985" s="48"/>
      <c r="EF985" s="48"/>
      <c r="EG985" s="48"/>
      <c r="EI985" s="48"/>
      <c r="EK985" s="48"/>
      <c r="EM985" s="48"/>
      <c r="EO985" s="48"/>
      <c r="EP985" s="48"/>
      <c r="EU985" s="48"/>
      <c r="EV985" s="48"/>
      <c r="EW985" s="48"/>
      <c r="EX985" s="48"/>
      <c r="EY985" s="48"/>
      <c r="EZ985" s="48"/>
      <c r="FA985" s="48"/>
      <c r="FB985" s="48"/>
      <c r="FC985" s="48"/>
      <c r="FD985" s="48"/>
      <c r="FE985" s="48"/>
      <c r="FF985" s="48"/>
      <c r="FG985" s="48"/>
      <c r="FI985" s="48"/>
      <c r="FL985" s="48"/>
      <c r="FM985" s="48"/>
      <c r="FN985" s="48"/>
      <c r="FO985" s="48"/>
      <c r="FP985" s="48"/>
      <c r="FQ985" s="48"/>
      <c r="FR985" s="48"/>
      <c r="FS985" s="48"/>
      <c r="FT985" s="48"/>
      <c r="FU985" s="48"/>
    </row>
    <row r="986" spans="1:177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52"/>
      <c r="BF986" s="48"/>
      <c r="BG986" s="48"/>
      <c r="BI986" s="48"/>
      <c r="BN986" s="48"/>
      <c r="BO986" s="48"/>
      <c r="BR986" s="48"/>
      <c r="BS986" s="48"/>
      <c r="BW986" s="48"/>
      <c r="CA986" s="48"/>
      <c r="CE986" s="48"/>
      <c r="CF986" s="48"/>
      <c r="CG986" s="48"/>
      <c r="CH986" s="48"/>
      <c r="CI986" s="48"/>
      <c r="CJ986" s="48"/>
      <c r="CL986" s="48"/>
      <c r="CM986" s="48"/>
      <c r="CN986" s="48"/>
      <c r="CO986" s="48"/>
      <c r="CP986" s="48"/>
      <c r="CQ986" s="48"/>
      <c r="CR986" s="48"/>
      <c r="CS986" s="48"/>
      <c r="CT986" s="48"/>
      <c r="CU986" s="48"/>
      <c r="CV986" s="48"/>
      <c r="CW986" s="48"/>
      <c r="CX986" s="48"/>
      <c r="CY986" s="48"/>
      <c r="CZ986" s="48"/>
      <c r="DA986" s="48"/>
      <c r="DB986" s="48"/>
      <c r="DC986" s="48"/>
      <c r="DD986" s="48"/>
      <c r="DE986" s="48"/>
      <c r="DF986" s="48"/>
      <c r="DG986" s="48"/>
      <c r="DH986" s="48"/>
      <c r="DI986" s="48"/>
      <c r="DJ986" s="48"/>
      <c r="DK986" s="48"/>
      <c r="DL986" s="48"/>
      <c r="DM986" s="48"/>
      <c r="DN986" s="48"/>
      <c r="DO986" s="48"/>
      <c r="DP986" s="48"/>
      <c r="DQ986" s="48"/>
      <c r="DR986" s="48"/>
      <c r="DS986" s="48"/>
      <c r="DT986" s="48"/>
      <c r="DU986" s="48"/>
      <c r="DV986" s="48"/>
      <c r="DW986" s="48"/>
      <c r="DX986" s="48"/>
      <c r="DY986" s="48"/>
      <c r="DZ986" s="48"/>
      <c r="EA986" s="48"/>
      <c r="EC986" s="48"/>
      <c r="ED986" s="48"/>
      <c r="EE986" s="48"/>
      <c r="EF986" s="48"/>
      <c r="EG986" s="48"/>
      <c r="EI986" s="48"/>
      <c r="EK986" s="48"/>
      <c r="EM986" s="48"/>
      <c r="EO986" s="48"/>
      <c r="EP986" s="48"/>
      <c r="EU986" s="48"/>
      <c r="EV986" s="48"/>
      <c r="EW986" s="48"/>
      <c r="EX986" s="48"/>
      <c r="EY986" s="48"/>
      <c r="EZ986" s="48"/>
      <c r="FA986" s="48"/>
      <c r="FB986" s="48"/>
      <c r="FC986" s="48"/>
      <c r="FD986" s="48"/>
      <c r="FE986" s="48"/>
      <c r="FF986" s="48"/>
      <c r="FG986" s="48"/>
      <c r="FI986" s="48"/>
      <c r="FL986" s="48"/>
      <c r="FM986" s="48"/>
      <c r="FN986" s="48"/>
      <c r="FO986" s="48"/>
      <c r="FP986" s="48"/>
      <c r="FQ986" s="48"/>
      <c r="FR986" s="48"/>
      <c r="FS986" s="48"/>
      <c r="FT986" s="48"/>
      <c r="FU986" s="48"/>
    </row>
    <row r="987" spans="1:17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52"/>
      <c r="BF987" s="48"/>
      <c r="BG987" s="48"/>
      <c r="BI987" s="48"/>
      <c r="BN987" s="48"/>
      <c r="BO987" s="48"/>
      <c r="BR987" s="48"/>
      <c r="BS987" s="48"/>
      <c r="BW987" s="48"/>
      <c r="CA987" s="48"/>
      <c r="CE987" s="48"/>
      <c r="CF987" s="48"/>
      <c r="CG987" s="48"/>
      <c r="CH987" s="48"/>
      <c r="CI987" s="48"/>
      <c r="CJ987" s="48"/>
      <c r="CL987" s="48"/>
      <c r="CM987" s="48"/>
      <c r="CN987" s="48"/>
      <c r="CO987" s="48"/>
      <c r="CP987" s="48"/>
      <c r="CQ987" s="48"/>
      <c r="CR987" s="48"/>
      <c r="CS987" s="48"/>
      <c r="CT987" s="48"/>
      <c r="CU987" s="48"/>
      <c r="CV987" s="48"/>
      <c r="CW987" s="48"/>
      <c r="CX987" s="48"/>
      <c r="CY987" s="48"/>
      <c r="CZ987" s="48"/>
      <c r="DA987" s="48"/>
      <c r="DB987" s="48"/>
      <c r="DC987" s="48"/>
      <c r="DD987" s="48"/>
      <c r="DE987" s="48"/>
      <c r="DF987" s="48"/>
      <c r="DG987" s="48"/>
      <c r="DH987" s="48"/>
      <c r="DI987" s="48"/>
      <c r="DJ987" s="48"/>
      <c r="DK987" s="48"/>
      <c r="DL987" s="48"/>
      <c r="DM987" s="48"/>
      <c r="DN987" s="48"/>
      <c r="DO987" s="48"/>
      <c r="DP987" s="48"/>
      <c r="DQ987" s="48"/>
      <c r="DR987" s="48"/>
      <c r="DS987" s="48"/>
      <c r="DT987" s="48"/>
      <c r="DU987" s="48"/>
      <c r="DV987" s="48"/>
      <c r="DW987" s="48"/>
      <c r="DX987" s="48"/>
      <c r="DY987" s="48"/>
      <c r="DZ987" s="48"/>
      <c r="EA987" s="48"/>
      <c r="EC987" s="48"/>
      <c r="ED987" s="48"/>
      <c r="EE987" s="48"/>
      <c r="EF987" s="48"/>
      <c r="EG987" s="48"/>
      <c r="EI987" s="48"/>
      <c r="EK987" s="48"/>
      <c r="EM987" s="48"/>
      <c r="EO987" s="48"/>
      <c r="EP987" s="48"/>
      <c r="EU987" s="48"/>
      <c r="EV987" s="48"/>
      <c r="EW987" s="48"/>
      <c r="EX987" s="48"/>
      <c r="EY987" s="48"/>
      <c r="EZ987" s="48"/>
      <c r="FA987" s="48"/>
      <c r="FB987" s="48"/>
      <c r="FC987" s="48"/>
      <c r="FD987" s="48"/>
      <c r="FE987" s="48"/>
      <c r="FF987" s="48"/>
      <c r="FG987" s="48"/>
      <c r="FI987" s="48"/>
      <c r="FL987" s="48"/>
      <c r="FM987" s="48"/>
      <c r="FN987" s="48"/>
      <c r="FO987" s="48"/>
      <c r="FP987" s="48"/>
      <c r="FQ987" s="48"/>
      <c r="FR987" s="48"/>
      <c r="FS987" s="48"/>
      <c r="FT987" s="48"/>
      <c r="FU987" s="48"/>
    </row>
    <row r="988" spans="1:177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52"/>
      <c r="BF988" s="48"/>
      <c r="BG988" s="48"/>
      <c r="BI988" s="48"/>
      <c r="BN988" s="48"/>
      <c r="BO988" s="48"/>
      <c r="BR988" s="48"/>
      <c r="BS988" s="48"/>
      <c r="BW988" s="48"/>
      <c r="CA988" s="48"/>
      <c r="CE988" s="48"/>
      <c r="CF988" s="48"/>
      <c r="CG988" s="48"/>
      <c r="CH988" s="48"/>
      <c r="CI988" s="48"/>
      <c r="CJ988" s="48"/>
      <c r="CL988" s="48"/>
      <c r="CM988" s="48"/>
      <c r="CN988" s="48"/>
      <c r="CO988" s="48"/>
      <c r="CP988" s="48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  <c r="DD988" s="48"/>
      <c r="DE988" s="48"/>
      <c r="DF988" s="48"/>
      <c r="DG988" s="48"/>
      <c r="DH988" s="48"/>
      <c r="DI988" s="48"/>
      <c r="DJ988" s="48"/>
      <c r="DK988" s="48"/>
      <c r="DL988" s="48"/>
      <c r="DM988" s="48"/>
      <c r="DN988" s="48"/>
      <c r="DO988" s="48"/>
      <c r="DP988" s="48"/>
      <c r="DQ988" s="48"/>
      <c r="DR988" s="48"/>
      <c r="DS988" s="48"/>
      <c r="DT988" s="48"/>
      <c r="DU988" s="48"/>
      <c r="DV988" s="48"/>
      <c r="DW988" s="48"/>
      <c r="DX988" s="48"/>
      <c r="DY988" s="48"/>
      <c r="DZ988" s="48"/>
      <c r="EA988" s="48"/>
      <c r="EC988" s="48"/>
      <c r="ED988" s="48"/>
      <c r="EE988" s="48"/>
      <c r="EF988" s="48"/>
      <c r="EG988" s="48"/>
      <c r="EI988" s="48"/>
      <c r="EK988" s="48"/>
      <c r="EM988" s="48"/>
      <c r="EO988" s="48"/>
      <c r="EP988" s="48"/>
      <c r="EU988" s="48"/>
      <c r="EV988" s="48"/>
      <c r="EW988" s="48"/>
      <c r="EX988" s="48"/>
      <c r="EY988" s="48"/>
      <c r="EZ988" s="48"/>
      <c r="FA988" s="48"/>
      <c r="FB988" s="48"/>
      <c r="FC988" s="48"/>
      <c r="FD988" s="48"/>
      <c r="FE988" s="48"/>
      <c r="FF988" s="48"/>
      <c r="FG988" s="48"/>
      <c r="FI988" s="48"/>
      <c r="FL988" s="48"/>
      <c r="FM988" s="48"/>
      <c r="FN988" s="48"/>
      <c r="FO988" s="48"/>
      <c r="FP988" s="48"/>
      <c r="FQ988" s="48"/>
      <c r="FR988" s="48"/>
      <c r="FS988" s="48"/>
      <c r="FT988" s="48"/>
      <c r="FU988" s="48"/>
    </row>
    <row r="989" spans="1:177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52"/>
      <c r="BF989" s="48"/>
      <c r="BG989" s="48"/>
      <c r="BI989" s="48"/>
      <c r="BN989" s="48"/>
      <c r="BO989" s="48"/>
      <c r="BR989" s="48"/>
      <c r="BS989" s="48"/>
      <c r="BW989" s="48"/>
      <c r="CA989" s="48"/>
      <c r="CE989" s="48"/>
      <c r="CF989" s="48"/>
      <c r="CG989" s="48"/>
      <c r="CH989" s="48"/>
      <c r="CI989" s="48"/>
      <c r="CJ989" s="48"/>
      <c r="CL989" s="48"/>
      <c r="CM989" s="48"/>
      <c r="CN989" s="48"/>
      <c r="CO989" s="48"/>
      <c r="CP989" s="48"/>
      <c r="CQ989" s="48"/>
      <c r="CR989" s="48"/>
      <c r="CS989" s="48"/>
      <c r="CT989" s="48"/>
      <c r="CU989" s="48"/>
      <c r="CV989" s="48"/>
      <c r="CW989" s="48"/>
      <c r="CX989" s="48"/>
      <c r="CY989" s="48"/>
      <c r="CZ989" s="48"/>
      <c r="DA989" s="48"/>
      <c r="DB989" s="48"/>
      <c r="DC989" s="48"/>
      <c r="DD989" s="48"/>
      <c r="DE989" s="48"/>
      <c r="DF989" s="48"/>
      <c r="DG989" s="48"/>
      <c r="DH989" s="48"/>
      <c r="DI989" s="48"/>
      <c r="DJ989" s="48"/>
      <c r="DK989" s="48"/>
      <c r="DL989" s="48"/>
      <c r="DM989" s="48"/>
      <c r="DN989" s="48"/>
      <c r="DO989" s="48"/>
      <c r="DP989" s="48"/>
      <c r="DQ989" s="48"/>
      <c r="DR989" s="48"/>
      <c r="DS989" s="48"/>
      <c r="DT989" s="48"/>
      <c r="DU989" s="48"/>
      <c r="DV989" s="48"/>
      <c r="DW989" s="48"/>
      <c r="DX989" s="48"/>
      <c r="DY989" s="48"/>
      <c r="DZ989" s="48"/>
      <c r="EA989" s="48"/>
      <c r="EC989" s="48"/>
      <c r="ED989" s="48"/>
      <c r="EE989" s="48"/>
      <c r="EF989" s="48"/>
      <c r="EG989" s="48"/>
      <c r="EI989" s="48"/>
      <c r="EK989" s="48"/>
      <c r="EM989" s="48"/>
      <c r="EO989" s="48"/>
      <c r="EP989" s="48"/>
      <c r="EU989" s="48"/>
      <c r="EV989" s="48"/>
      <c r="EW989" s="48"/>
      <c r="EX989" s="48"/>
      <c r="EY989" s="48"/>
      <c r="EZ989" s="48"/>
      <c r="FA989" s="48"/>
      <c r="FB989" s="48"/>
      <c r="FC989" s="48"/>
      <c r="FD989" s="48"/>
      <c r="FE989" s="48"/>
      <c r="FF989" s="48"/>
      <c r="FG989" s="48"/>
      <c r="FI989" s="48"/>
      <c r="FL989" s="48"/>
      <c r="FM989" s="48"/>
      <c r="FN989" s="48"/>
      <c r="FO989" s="48"/>
      <c r="FP989" s="48"/>
      <c r="FQ989" s="48"/>
      <c r="FR989" s="48"/>
      <c r="FS989" s="48"/>
      <c r="FT989" s="48"/>
      <c r="FU989" s="48"/>
    </row>
    <row r="990" spans="1:177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52"/>
      <c r="BF990" s="48"/>
      <c r="BG990" s="48"/>
      <c r="BI990" s="48"/>
      <c r="BN990" s="48"/>
      <c r="BO990" s="48"/>
      <c r="BR990" s="48"/>
      <c r="BS990" s="48"/>
      <c r="BW990" s="48"/>
      <c r="CA990" s="48"/>
      <c r="CE990" s="48"/>
      <c r="CF990" s="48"/>
      <c r="CG990" s="48"/>
      <c r="CH990" s="48"/>
      <c r="CI990" s="48"/>
      <c r="CJ990" s="48"/>
      <c r="CL990" s="48"/>
      <c r="CM990" s="48"/>
      <c r="CN990" s="48"/>
      <c r="CO990" s="48"/>
      <c r="CP990" s="48"/>
      <c r="CQ990" s="48"/>
      <c r="CR990" s="48"/>
      <c r="CS990" s="48"/>
      <c r="CT990" s="48"/>
      <c r="CU990" s="48"/>
      <c r="CV990" s="48"/>
      <c r="CW990" s="48"/>
      <c r="CX990" s="48"/>
      <c r="CY990" s="48"/>
      <c r="CZ990" s="48"/>
      <c r="DA990" s="48"/>
      <c r="DB990" s="48"/>
      <c r="DC990" s="48"/>
      <c r="DD990" s="48"/>
      <c r="DE990" s="48"/>
      <c r="DF990" s="48"/>
      <c r="DG990" s="48"/>
      <c r="DH990" s="48"/>
      <c r="DI990" s="48"/>
      <c r="DJ990" s="48"/>
      <c r="DK990" s="48"/>
      <c r="DL990" s="48"/>
      <c r="DM990" s="48"/>
      <c r="DN990" s="48"/>
      <c r="DO990" s="48"/>
      <c r="DP990" s="48"/>
      <c r="DQ990" s="48"/>
      <c r="DR990" s="48"/>
      <c r="DS990" s="48"/>
      <c r="DT990" s="48"/>
      <c r="DU990" s="48"/>
      <c r="DV990" s="48"/>
      <c r="DW990" s="48"/>
      <c r="DX990" s="48"/>
      <c r="DY990" s="48"/>
      <c r="DZ990" s="48"/>
      <c r="EA990" s="48"/>
      <c r="EC990" s="48"/>
      <c r="ED990" s="48"/>
      <c r="EE990" s="48"/>
      <c r="EF990" s="48"/>
      <c r="EG990" s="48"/>
      <c r="EI990" s="48"/>
      <c r="EK990" s="48"/>
      <c r="EM990" s="48"/>
      <c r="EO990" s="48"/>
      <c r="EP990" s="48"/>
      <c r="EU990" s="48"/>
      <c r="EV990" s="48"/>
      <c r="EW990" s="48"/>
      <c r="EX990" s="48"/>
      <c r="EY990" s="48"/>
      <c r="EZ990" s="48"/>
      <c r="FA990" s="48"/>
      <c r="FB990" s="48"/>
      <c r="FC990" s="48"/>
      <c r="FD990" s="48"/>
      <c r="FE990" s="48"/>
      <c r="FF990" s="48"/>
      <c r="FG990" s="48"/>
      <c r="FI990" s="48"/>
      <c r="FL990" s="48"/>
      <c r="FM990" s="48"/>
      <c r="FN990" s="48"/>
      <c r="FO990" s="48"/>
      <c r="FP990" s="48"/>
      <c r="FQ990" s="48"/>
      <c r="FR990" s="48"/>
      <c r="FS990" s="48"/>
      <c r="FT990" s="48"/>
      <c r="FU990" s="48"/>
    </row>
    <row r="991" spans="1:177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52"/>
      <c r="BF991" s="48"/>
      <c r="BG991" s="48"/>
      <c r="BI991" s="48"/>
      <c r="BN991" s="48"/>
      <c r="BO991" s="48"/>
      <c r="BR991" s="48"/>
      <c r="BS991" s="48"/>
      <c r="BW991" s="48"/>
      <c r="CA991" s="48"/>
      <c r="CE991" s="48"/>
      <c r="CF991" s="48"/>
      <c r="CG991" s="48"/>
      <c r="CH991" s="48"/>
      <c r="CI991" s="48"/>
      <c r="CJ991" s="48"/>
      <c r="CL991" s="48"/>
      <c r="CM991" s="48"/>
      <c r="CN991" s="48"/>
      <c r="CO991" s="48"/>
      <c r="CP991" s="48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/>
      <c r="DM991" s="48"/>
      <c r="DN991" s="48"/>
      <c r="DO991" s="48"/>
      <c r="DP991" s="48"/>
      <c r="DQ991" s="48"/>
      <c r="DR991" s="48"/>
      <c r="DS991" s="48"/>
      <c r="DT991" s="48"/>
      <c r="DU991" s="48"/>
      <c r="DV991" s="48"/>
      <c r="DW991" s="48"/>
      <c r="DX991" s="48"/>
      <c r="DY991" s="48"/>
      <c r="DZ991" s="48"/>
      <c r="EA991" s="48"/>
      <c r="EC991" s="48"/>
      <c r="ED991" s="48"/>
      <c r="EE991" s="48"/>
      <c r="EF991" s="48"/>
      <c r="EG991" s="48"/>
      <c r="EI991" s="48"/>
      <c r="EK991" s="48"/>
      <c r="EM991" s="48"/>
      <c r="EO991" s="48"/>
      <c r="EP991" s="48"/>
      <c r="EU991" s="48"/>
      <c r="EV991" s="48"/>
      <c r="EW991" s="48"/>
      <c r="EX991" s="48"/>
      <c r="EY991" s="48"/>
      <c r="EZ991" s="48"/>
      <c r="FA991" s="48"/>
      <c r="FB991" s="48"/>
      <c r="FC991" s="48"/>
      <c r="FD991" s="48"/>
      <c r="FE991" s="48"/>
      <c r="FF991" s="48"/>
      <c r="FG991" s="48"/>
      <c r="FI991" s="48"/>
      <c r="FL991" s="48"/>
      <c r="FM991" s="48"/>
      <c r="FN991" s="48"/>
      <c r="FO991" s="48"/>
      <c r="FP991" s="48"/>
      <c r="FQ991" s="48"/>
      <c r="FR991" s="48"/>
      <c r="FS991" s="48"/>
      <c r="FT991" s="48"/>
      <c r="FU991" s="48"/>
    </row>
    <row r="992" spans="1:177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52"/>
      <c r="BF992" s="48"/>
      <c r="BG992" s="48"/>
      <c r="BI992" s="48"/>
      <c r="BN992" s="48"/>
      <c r="BO992" s="48"/>
      <c r="BR992" s="48"/>
      <c r="BS992" s="48"/>
      <c r="BW992" s="48"/>
      <c r="CA992" s="48"/>
      <c r="CE992" s="48"/>
      <c r="CF992" s="48"/>
      <c r="CG992" s="48"/>
      <c r="CH992" s="48"/>
      <c r="CI992" s="48"/>
      <c r="CJ992" s="48"/>
      <c r="CL992" s="48"/>
      <c r="CM992" s="48"/>
      <c r="CN992" s="48"/>
      <c r="CO992" s="48"/>
      <c r="CP992" s="48"/>
      <c r="CQ992" s="48"/>
      <c r="CR992" s="48"/>
      <c r="CS992" s="48"/>
      <c r="CT992" s="48"/>
      <c r="CU992" s="48"/>
      <c r="CV992" s="48"/>
      <c r="CW992" s="48"/>
      <c r="CX992" s="48"/>
      <c r="CY992" s="48"/>
      <c r="CZ992" s="48"/>
      <c r="DA992" s="48"/>
      <c r="DB992" s="48"/>
      <c r="DC992" s="48"/>
      <c r="DD992" s="48"/>
      <c r="DE992" s="48"/>
      <c r="DF992" s="48"/>
      <c r="DG992" s="48"/>
      <c r="DH992" s="48"/>
      <c r="DI992" s="48"/>
      <c r="DJ992" s="48"/>
      <c r="DK992" s="48"/>
      <c r="DL992" s="48"/>
      <c r="DM992" s="48"/>
      <c r="DN992" s="48"/>
      <c r="DO992" s="48"/>
      <c r="DP992" s="48"/>
      <c r="DQ992" s="48"/>
      <c r="DR992" s="48"/>
      <c r="DS992" s="48"/>
      <c r="DT992" s="48"/>
      <c r="DU992" s="48"/>
      <c r="DV992" s="48"/>
      <c r="DW992" s="48"/>
      <c r="DX992" s="48"/>
      <c r="DY992" s="48"/>
      <c r="DZ992" s="48"/>
      <c r="EA992" s="48"/>
      <c r="EC992" s="48"/>
      <c r="ED992" s="48"/>
      <c r="EE992" s="48"/>
      <c r="EF992" s="48"/>
      <c r="EG992" s="48"/>
      <c r="EI992" s="48"/>
      <c r="EK992" s="48"/>
      <c r="EM992" s="48"/>
      <c r="EO992" s="48"/>
      <c r="EP992" s="48"/>
      <c r="EU992" s="48"/>
      <c r="EV992" s="48"/>
      <c r="EW992" s="48"/>
      <c r="EX992" s="48"/>
      <c r="EY992" s="48"/>
      <c r="EZ992" s="48"/>
      <c r="FA992" s="48"/>
      <c r="FB992" s="48"/>
      <c r="FC992" s="48"/>
      <c r="FD992" s="48"/>
      <c r="FE992" s="48"/>
      <c r="FF992" s="48"/>
      <c r="FG992" s="48"/>
      <c r="FI992" s="48"/>
      <c r="FL992" s="48"/>
      <c r="FM992" s="48"/>
      <c r="FN992" s="48"/>
      <c r="FO992" s="48"/>
      <c r="FP992" s="48"/>
      <c r="FQ992" s="48"/>
      <c r="FR992" s="48"/>
      <c r="FS992" s="48"/>
      <c r="FT992" s="48"/>
      <c r="FU992" s="48"/>
    </row>
    <row r="993" spans="1:177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52"/>
      <c r="BF993" s="48"/>
      <c r="BG993" s="48"/>
      <c r="BI993" s="48"/>
      <c r="BN993" s="48"/>
      <c r="BO993" s="48"/>
      <c r="BR993" s="48"/>
      <c r="BS993" s="48"/>
      <c r="BW993" s="48"/>
      <c r="CA993" s="48"/>
      <c r="CE993" s="48"/>
      <c r="CF993" s="48"/>
      <c r="CG993" s="48"/>
      <c r="CH993" s="48"/>
      <c r="CI993" s="48"/>
      <c r="CJ993" s="48"/>
      <c r="CL993" s="48"/>
      <c r="CM993" s="48"/>
      <c r="CN993" s="48"/>
      <c r="CO993" s="48"/>
      <c r="CP993" s="48"/>
      <c r="CQ993" s="48"/>
      <c r="CR993" s="48"/>
      <c r="CS993" s="48"/>
      <c r="CT993" s="48"/>
      <c r="CU993" s="48"/>
      <c r="CV993" s="48"/>
      <c r="CW993" s="48"/>
      <c r="CX993" s="48"/>
      <c r="CY993" s="48"/>
      <c r="CZ993" s="48"/>
      <c r="DA993" s="48"/>
      <c r="DB993" s="48"/>
      <c r="DC993" s="48"/>
      <c r="DD993" s="48"/>
      <c r="DE993" s="48"/>
      <c r="DF993" s="48"/>
      <c r="DG993" s="48"/>
      <c r="DH993" s="48"/>
      <c r="DI993" s="48"/>
      <c r="DJ993" s="48"/>
      <c r="DK993" s="48"/>
      <c r="DL993" s="48"/>
      <c r="DM993" s="48"/>
      <c r="DN993" s="48"/>
      <c r="DO993" s="48"/>
      <c r="DP993" s="48"/>
      <c r="DQ993" s="48"/>
      <c r="DR993" s="48"/>
      <c r="DS993" s="48"/>
      <c r="DT993" s="48"/>
      <c r="DU993" s="48"/>
      <c r="DV993" s="48"/>
      <c r="DW993" s="48"/>
      <c r="DX993" s="48"/>
      <c r="DY993" s="48"/>
      <c r="DZ993" s="48"/>
      <c r="EA993" s="48"/>
      <c r="EC993" s="48"/>
      <c r="ED993" s="48"/>
      <c r="EE993" s="48"/>
      <c r="EF993" s="48"/>
      <c r="EG993" s="48"/>
      <c r="EI993" s="48"/>
      <c r="EK993" s="48"/>
      <c r="EM993" s="48"/>
      <c r="EO993" s="48"/>
      <c r="EP993" s="48"/>
      <c r="EU993" s="48"/>
      <c r="EV993" s="48"/>
      <c r="EW993" s="48"/>
      <c r="EX993" s="48"/>
      <c r="EY993" s="48"/>
      <c r="EZ993" s="48"/>
      <c r="FA993" s="48"/>
      <c r="FB993" s="48"/>
      <c r="FC993" s="48"/>
      <c r="FD993" s="48"/>
      <c r="FE993" s="48"/>
      <c r="FF993" s="48"/>
      <c r="FG993" s="48"/>
      <c r="FI993" s="48"/>
      <c r="FL993" s="48"/>
      <c r="FM993" s="48"/>
      <c r="FN993" s="48"/>
      <c r="FO993" s="48"/>
      <c r="FP993" s="48"/>
      <c r="FQ993" s="48"/>
      <c r="FR993" s="48"/>
      <c r="FS993" s="48"/>
      <c r="FT993" s="48"/>
      <c r="FU993" s="48"/>
    </row>
    <row r="994" spans="1:177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52"/>
      <c r="BF994" s="48"/>
      <c r="BG994" s="48"/>
      <c r="BI994" s="48"/>
      <c r="BN994" s="48"/>
      <c r="BO994" s="48"/>
      <c r="BR994" s="48"/>
      <c r="BS994" s="48"/>
      <c r="BW994" s="48"/>
      <c r="CA994" s="48"/>
      <c r="CE994" s="48"/>
      <c r="CF994" s="48"/>
      <c r="CG994" s="48"/>
      <c r="CH994" s="48"/>
      <c r="CI994" s="48"/>
      <c r="CJ994" s="48"/>
      <c r="CL994" s="48"/>
      <c r="CM994" s="48"/>
      <c r="CN994" s="48"/>
      <c r="CO994" s="48"/>
      <c r="CP994" s="48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  <c r="DD994" s="48"/>
      <c r="DE994" s="48"/>
      <c r="DF994" s="48"/>
      <c r="DG994" s="48"/>
      <c r="DH994" s="48"/>
      <c r="DI994" s="48"/>
      <c r="DJ994" s="48"/>
      <c r="DK994" s="48"/>
      <c r="DL994" s="48"/>
      <c r="DM994" s="48"/>
      <c r="DN994" s="48"/>
      <c r="DO994" s="48"/>
      <c r="DP994" s="48"/>
      <c r="DQ994" s="48"/>
      <c r="DR994" s="48"/>
      <c r="DS994" s="48"/>
      <c r="DT994" s="48"/>
      <c r="DU994" s="48"/>
      <c r="DV994" s="48"/>
      <c r="DW994" s="48"/>
      <c r="DX994" s="48"/>
      <c r="DY994" s="48"/>
      <c r="DZ994" s="48"/>
      <c r="EA994" s="48"/>
      <c r="EC994" s="48"/>
      <c r="ED994" s="48"/>
      <c r="EE994" s="48"/>
      <c r="EF994" s="48"/>
      <c r="EG994" s="48"/>
      <c r="EI994" s="48"/>
      <c r="EK994" s="48"/>
      <c r="EM994" s="48"/>
      <c r="EO994" s="48"/>
      <c r="EP994" s="48"/>
      <c r="EU994" s="48"/>
      <c r="EV994" s="48"/>
      <c r="EW994" s="48"/>
      <c r="EX994" s="48"/>
      <c r="EY994" s="48"/>
      <c r="EZ994" s="48"/>
      <c r="FA994" s="48"/>
      <c r="FB994" s="48"/>
      <c r="FC994" s="48"/>
      <c r="FD994" s="48"/>
      <c r="FE994" s="48"/>
      <c r="FF994" s="48"/>
      <c r="FG994" s="48"/>
      <c r="FI994" s="48"/>
      <c r="FL994" s="48"/>
      <c r="FM994" s="48"/>
      <c r="FN994" s="48"/>
      <c r="FO994" s="48"/>
      <c r="FP994" s="48"/>
      <c r="FQ994" s="48"/>
      <c r="FR994" s="48"/>
      <c r="FS994" s="48"/>
      <c r="FT994" s="48"/>
      <c r="FU994" s="48"/>
    </row>
    <row r="995" spans="1:177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52"/>
      <c r="BF995" s="48"/>
      <c r="BG995" s="48"/>
      <c r="BI995" s="48"/>
      <c r="BN995" s="48"/>
      <c r="BO995" s="48"/>
      <c r="BR995" s="48"/>
      <c r="BS995" s="48"/>
      <c r="BW995" s="48"/>
      <c r="CA995" s="48"/>
      <c r="CE995" s="48"/>
      <c r="CF995" s="48"/>
      <c r="CG995" s="48"/>
      <c r="CH995" s="48"/>
      <c r="CI995" s="48"/>
      <c r="CJ995" s="48"/>
      <c r="CL995" s="48"/>
      <c r="CM995" s="48"/>
      <c r="CN995" s="48"/>
      <c r="CO995" s="48"/>
      <c r="CP995" s="48"/>
      <c r="CQ995" s="48"/>
      <c r="CR995" s="48"/>
      <c r="CS995" s="48"/>
      <c r="CT995" s="48"/>
      <c r="CU995" s="48"/>
      <c r="CV995" s="48"/>
      <c r="CW995" s="48"/>
      <c r="CX995" s="48"/>
      <c r="CY995" s="48"/>
      <c r="CZ995" s="48"/>
      <c r="DA995" s="48"/>
      <c r="DB995" s="48"/>
      <c r="DC995" s="48"/>
      <c r="DD995" s="48"/>
      <c r="DE995" s="48"/>
      <c r="DF995" s="48"/>
      <c r="DG995" s="48"/>
      <c r="DH995" s="48"/>
      <c r="DI995" s="48"/>
      <c r="DJ995" s="48"/>
      <c r="DK995" s="48"/>
      <c r="DL995" s="48"/>
      <c r="DM995" s="48"/>
      <c r="DN995" s="48"/>
      <c r="DO995" s="48"/>
      <c r="DP995" s="48"/>
      <c r="DQ995" s="48"/>
      <c r="DR995" s="48"/>
      <c r="DS995" s="48"/>
      <c r="DT995" s="48"/>
      <c r="DU995" s="48"/>
      <c r="DV995" s="48"/>
      <c r="DW995" s="48"/>
      <c r="DX995" s="48"/>
      <c r="DY995" s="48"/>
      <c r="DZ995" s="48"/>
      <c r="EA995" s="48"/>
      <c r="EC995" s="48"/>
      <c r="ED995" s="48"/>
      <c r="EE995" s="48"/>
      <c r="EF995" s="48"/>
      <c r="EG995" s="48"/>
      <c r="EI995" s="48"/>
      <c r="EK995" s="48"/>
      <c r="EM995" s="48"/>
      <c r="EO995" s="48"/>
      <c r="EP995" s="48"/>
      <c r="EU995" s="48"/>
      <c r="EV995" s="48"/>
      <c r="EW995" s="48"/>
      <c r="EX995" s="48"/>
      <c r="EY995" s="48"/>
      <c r="EZ995" s="48"/>
      <c r="FA995" s="48"/>
      <c r="FB995" s="48"/>
      <c r="FC995" s="48"/>
      <c r="FD995" s="48"/>
      <c r="FE995" s="48"/>
      <c r="FF995" s="48"/>
      <c r="FG995" s="48"/>
      <c r="FI995" s="48"/>
      <c r="FL995" s="48"/>
      <c r="FM995" s="48"/>
      <c r="FN995" s="48"/>
      <c r="FO995" s="48"/>
      <c r="FP995" s="48"/>
      <c r="FQ995" s="48"/>
      <c r="FR995" s="48"/>
      <c r="FS995" s="48"/>
      <c r="FT995" s="48"/>
      <c r="FU995" s="48"/>
    </row>
    <row r="996" spans="1:177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52"/>
      <c r="BF996" s="48"/>
      <c r="BG996" s="48"/>
      <c r="BI996" s="48"/>
      <c r="BN996" s="48"/>
      <c r="BO996" s="48"/>
      <c r="BR996" s="48"/>
      <c r="BS996" s="48"/>
      <c r="BW996" s="48"/>
      <c r="CA996" s="48"/>
      <c r="CE996" s="48"/>
      <c r="CF996" s="48"/>
      <c r="CG996" s="48"/>
      <c r="CH996" s="48"/>
      <c r="CI996" s="48"/>
      <c r="CJ996" s="48"/>
      <c r="CL996" s="48"/>
      <c r="CM996" s="48"/>
      <c r="CN996" s="48"/>
      <c r="CO996" s="48"/>
      <c r="CP996" s="48"/>
      <c r="CQ996" s="48"/>
      <c r="CR996" s="48"/>
      <c r="CS996" s="48"/>
      <c r="CT996" s="48"/>
      <c r="CU996" s="48"/>
      <c r="CV996" s="48"/>
      <c r="CW996" s="48"/>
      <c r="CX996" s="48"/>
      <c r="CY996" s="48"/>
      <c r="CZ996" s="48"/>
      <c r="DA996" s="48"/>
      <c r="DB996" s="48"/>
      <c r="DC996" s="48"/>
      <c r="DD996" s="48"/>
      <c r="DE996" s="48"/>
      <c r="DF996" s="48"/>
      <c r="DG996" s="48"/>
      <c r="DH996" s="48"/>
      <c r="DI996" s="48"/>
      <c r="DJ996" s="48"/>
      <c r="DK996" s="48"/>
      <c r="DL996" s="48"/>
      <c r="DM996" s="48"/>
      <c r="DN996" s="48"/>
      <c r="DO996" s="48"/>
      <c r="DP996" s="48"/>
      <c r="DQ996" s="48"/>
      <c r="DR996" s="48"/>
      <c r="DS996" s="48"/>
      <c r="DT996" s="48"/>
      <c r="DU996" s="48"/>
      <c r="DV996" s="48"/>
      <c r="DW996" s="48"/>
      <c r="DX996" s="48"/>
      <c r="DY996" s="48"/>
      <c r="DZ996" s="48"/>
      <c r="EA996" s="48"/>
      <c r="EC996" s="48"/>
      <c r="ED996" s="48"/>
      <c r="EE996" s="48"/>
      <c r="EF996" s="48"/>
      <c r="EG996" s="48"/>
      <c r="EI996" s="48"/>
      <c r="EK996" s="48"/>
      <c r="EM996" s="48"/>
      <c r="EO996" s="48"/>
      <c r="EP996" s="48"/>
      <c r="EU996" s="48"/>
      <c r="EV996" s="48"/>
      <c r="EW996" s="48"/>
      <c r="EX996" s="48"/>
      <c r="EY996" s="48"/>
      <c r="EZ996" s="48"/>
      <c r="FA996" s="48"/>
      <c r="FB996" s="48"/>
      <c r="FC996" s="48"/>
      <c r="FD996" s="48"/>
      <c r="FE996" s="48"/>
      <c r="FF996" s="48"/>
      <c r="FG996" s="48"/>
      <c r="FI996" s="48"/>
      <c r="FL996" s="48"/>
      <c r="FM996" s="48"/>
      <c r="FN996" s="48"/>
      <c r="FO996" s="48"/>
      <c r="FP996" s="48"/>
      <c r="FQ996" s="48"/>
      <c r="FR996" s="48"/>
      <c r="FS996" s="48"/>
      <c r="FT996" s="48"/>
      <c r="FU996" s="48"/>
    </row>
    <row r="997" spans="1:17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52"/>
      <c r="BF997" s="48"/>
      <c r="BG997" s="48"/>
      <c r="BI997" s="48"/>
      <c r="BN997" s="48"/>
      <c r="BO997" s="48"/>
      <c r="BR997" s="48"/>
      <c r="BS997" s="48"/>
      <c r="BW997" s="48"/>
      <c r="CA997" s="48"/>
      <c r="CE997" s="48"/>
      <c r="CF997" s="48"/>
      <c r="CG997" s="48"/>
      <c r="CH997" s="48"/>
      <c r="CI997" s="48"/>
      <c r="CJ997" s="48"/>
      <c r="CL997" s="48"/>
      <c r="CM997" s="48"/>
      <c r="CN997" s="48"/>
      <c r="CO997" s="48"/>
      <c r="CP997" s="48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  <c r="DD997" s="48"/>
      <c r="DE997" s="48"/>
      <c r="DF997" s="48"/>
      <c r="DG997" s="48"/>
      <c r="DH997" s="48"/>
      <c r="DI997" s="48"/>
      <c r="DJ997" s="48"/>
      <c r="DK997" s="48"/>
      <c r="DL997" s="48"/>
      <c r="DM997" s="48"/>
      <c r="DN997" s="48"/>
      <c r="DO997" s="48"/>
      <c r="DP997" s="48"/>
      <c r="DQ997" s="48"/>
      <c r="DR997" s="48"/>
      <c r="DS997" s="48"/>
      <c r="DT997" s="48"/>
      <c r="DU997" s="48"/>
      <c r="DV997" s="48"/>
      <c r="DW997" s="48"/>
      <c r="DX997" s="48"/>
      <c r="DY997" s="48"/>
      <c r="DZ997" s="48"/>
      <c r="EA997" s="48"/>
      <c r="EC997" s="48"/>
      <c r="ED997" s="48"/>
      <c r="EE997" s="48"/>
      <c r="EF997" s="48"/>
      <c r="EG997" s="48"/>
      <c r="EI997" s="48"/>
      <c r="EK997" s="48"/>
      <c r="EM997" s="48"/>
      <c r="EO997" s="48"/>
      <c r="EP997" s="48"/>
      <c r="EU997" s="48"/>
      <c r="EV997" s="48"/>
      <c r="EW997" s="48"/>
      <c r="EX997" s="48"/>
      <c r="EY997" s="48"/>
      <c r="EZ997" s="48"/>
      <c r="FA997" s="48"/>
      <c r="FB997" s="48"/>
      <c r="FC997" s="48"/>
      <c r="FD997" s="48"/>
      <c r="FE997" s="48"/>
      <c r="FF997" s="48"/>
      <c r="FG997" s="48"/>
      <c r="FI997" s="48"/>
      <c r="FL997" s="48"/>
      <c r="FM997" s="48"/>
      <c r="FN997" s="48"/>
      <c r="FO997" s="48"/>
      <c r="FP997" s="48"/>
      <c r="FQ997" s="48"/>
      <c r="FR997" s="48"/>
      <c r="FS997" s="48"/>
      <c r="FT997" s="48"/>
      <c r="FU997" s="48"/>
    </row>
    <row r="998" spans="1:177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52"/>
      <c r="BF998" s="48"/>
      <c r="BG998" s="48"/>
      <c r="BI998" s="48"/>
      <c r="BN998" s="48"/>
      <c r="BO998" s="48"/>
      <c r="BR998" s="48"/>
      <c r="BS998" s="48"/>
      <c r="BW998" s="48"/>
      <c r="CA998" s="48"/>
      <c r="CE998" s="48"/>
      <c r="CF998" s="48"/>
      <c r="CG998" s="48"/>
      <c r="CH998" s="48"/>
      <c r="CI998" s="48"/>
      <c r="CJ998" s="48"/>
      <c r="CL998" s="48"/>
      <c r="CM998" s="48"/>
      <c r="CN998" s="48"/>
      <c r="CO998" s="48"/>
      <c r="CP998" s="48"/>
      <c r="CQ998" s="48"/>
      <c r="CR998" s="48"/>
      <c r="CS998" s="48"/>
      <c r="CT998" s="48"/>
      <c r="CU998" s="48"/>
      <c r="CV998" s="48"/>
      <c r="CW998" s="48"/>
      <c r="CX998" s="48"/>
      <c r="CY998" s="48"/>
      <c r="CZ998" s="48"/>
      <c r="DA998" s="48"/>
      <c r="DB998" s="48"/>
      <c r="DC998" s="48"/>
      <c r="DD998" s="48"/>
      <c r="DE998" s="48"/>
      <c r="DF998" s="48"/>
      <c r="DG998" s="48"/>
      <c r="DH998" s="48"/>
      <c r="DI998" s="48"/>
      <c r="DJ998" s="48"/>
      <c r="DK998" s="48"/>
      <c r="DL998" s="48"/>
      <c r="DM998" s="48"/>
      <c r="DN998" s="48"/>
      <c r="DO998" s="48"/>
      <c r="DP998" s="48"/>
      <c r="DQ998" s="48"/>
      <c r="DR998" s="48"/>
      <c r="DS998" s="48"/>
      <c r="DT998" s="48"/>
      <c r="DU998" s="48"/>
      <c r="DV998" s="48"/>
      <c r="DW998" s="48"/>
      <c r="DX998" s="48"/>
      <c r="DY998" s="48"/>
      <c r="DZ998" s="48"/>
      <c r="EA998" s="48"/>
      <c r="EC998" s="48"/>
      <c r="ED998" s="48"/>
      <c r="EE998" s="48"/>
      <c r="EF998" s="48"/>
      <c r="EG998" s="48"/>
      <c r="EI998" s="48"/>
      <c r="EK998" s="48"/>
      <c r="EM998" s="48"/>
      <c r="EO998" s="48"/>
      <c r="EP998" s="48"/>
      <c r="EU998" s="48"/>
      <c r="EV998" s="48"/>
      <c r="EW998" s="48"/>
      <c r="EX998" s="48"/>
      <c r="EY998" s="48"/>
      <c r="EZ998" s="48"/>
      <c r="FA998" s="48"/>
      <c r="FB998" s="48"/>
      <c r="FC998" s="48"/>
      <c r="FD998" s="48"/>
      <c r="FE998" s="48"/>
      <c r="FF998" s="48"/>
      <c r="FG998" s="48"/>
      <c r="FI998" s="48"/>
      <c r="FL998" s="48"/>
      <c r="FM998" s="48"/>
      <c r="FN998" s="48"/>
      <c r="FO998" s="48"/>
      <c r="FP998" s="48"/>
      <c r="FQ998" s="48"/>
      <c r="FR998" s="48"/>
      <c r="FS998" s="48"/>
      <c r="FT998" s="48"/>
      <c r="FU998" s="48"/>
    </row>
    <row r="999" spans="1:177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52"/>
      <c r="BF999" s="48"/>
      <c r="BG999" s="48"/>
      <c r="BI999" s="48"/>
      <c r="BN999" s="48"/>
      <c r="BO999" s="48"/>
      <c r="BR999" s="48"/>
      <c r="BS999" s="48"/>
      <c r="BW999" s="48"/>
      <c r="CA999" s="48"/>
      <c r="CE999" s="48"/>
      <c r="CF999" s="48"/>
      <c r="CG999" s="48"/>
      <c r="CH999" s="48"/>
      <c r="CI999" s="48"/>
      <c r="CJ999" s="48"/>
      <c r="CL999" s="48"/>
      <c r="CM999" s="48"/>
      <c r="CN999" s="48"/>
      <c r="CO999" s="48"/>
      <c r="CP999" s="48"/>
      <c r="CQ999" s="48"/>
      <c r="CR999" s="48"/>
      <c r="CS999" s="48"/>
      <c r="CT999" s="48"/>
      <c r="CU999" s="48"/>
      <c r="CV999" s="48"/>
      <c r="CW999" s="48"/>
      <c r="CX999" s="48"/>
      <c r="CY999" s="48"/>
      <c r="CZ999" s="48"/>
      <c r="DA999" s="48"/>
      <c r="DB999" s="48"/>
      <c r="DC999" s="48"/>
      <c r="DD999" s="48"/>
      <c r="DE999" s="48"/>
      <c r="DF999" s="48"/>
      <c r="DG999" s="48"/>
      <c r="DH999" s="48"/>
      <c r="DI999" s="48"/>
      <c r="DJ999" s="48"/>
      <c r="DK999" s="48"/>
      <c r="DL999" s="48"/>
      <c r="DM999" s="48"/>
      <c r="DN999" s="48"/>
      <c r="DO999" s="48"/>
      <c r="DP999" s="48"/>
      <c r="DQ999" s="48"/>
      <c r="DR999" s="48"/>
      <c r="DS999" s="48"/>
      <c r="DT999" s="48"/>
      <c r="DU999" s="48"/>
      <c r="DV999" s="48"/>
      <c r="DW999" s="48"/>
      <c r="DX999" s="48"/>
      <c r="DY999" s="48"/>
      <c r="DZ999" s="48"/>
      <c r="EA999" s="48"/>
      <c r="EC999" s="48"/>
      <c r="ED999" s="48"/>
      <c r="EE999" s="48"/>
      <c r="EF999" s="48"/>
      <c r="EG999" s="48"/>
      <c r="EI999" s="48"/>
      <c r="EK999" s="48"/>
      <c r="EM999" s="48"/>
      <c r="EO999" s="48"/>
      <c r="EP999" s="48"/>
      <c r="EU999" s="48"/>
      <c r="EV999" s="48"/>
      <c r="EW999" s="48"/>
      <c r="EX999" s="48"/>
      <c r="EY999" s="48"/>
      <c r="EZ999" s="48"/>
      <c r="FA999" s="48"/>
      <c r="FB999" s="48"/>
      <c r="FC999" s="48"/>
      <c r="FD999" s="48"/>
      <c r="FE999" s="48"/>
      <c r="FF999" s="48"/>
      <c r="FG999" s="48"/>
      <c r="FI999" s="48"/>
      <c r="FL999" s="48"/>
      <c r="FM999" s="48"/>
      <c r="FN999" s="48"/>
      <c r="FO999" s="48"/>
      <c r="FP999" s="48"/>
      <c r="FQ999" s="48"/>
      <c r="FR999" s="48"/>
      <c r="FS999" s="48"/>
      <c r="FT999" s="48"/>
      <c r="FU999" s="48"/>
    </row>
    <row r="1000" spans="1:177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52"/>
      <c r="BF1000" s="48"/>
      <c r="BG1000" s="48"/>
      <c r="BI1000" s="48"/>
      <c r="BN1000" s="48"/>
      <c r="BO1000" s="48"/>
      <c r="BR1000" s="48"/>
      <c r="BS1000" s="48"/>
      <c r="BW1000" s="48"/>
      <c r="CA1000" s="48"/>
      <c r="CE1000" s="48"/>
      <c r="CF1000" s="48"/>
      <c r="CG1000" s="48"/>
      <c r="CH1000" s="48"/>
      <c r="CI1000" s="48"/>
      <c r="CJ1000" s="48"/>
      <c r="CL1000" s="48"/>
      <c r="CM1000" s="48"/>
      <c r="CN1000" s="48"/>
      <c r="CO1000" s="48"/>
      <c r="CP1000" s="48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  <c r="DD1000" s="48"/>
      <c r="DE1000" s="48"/>
      <c r="DF1000" s="48"/>
      <c r="DG1000" s="48"/>
      <c r="DH1000" s="48"/>
      <c r="DI1000" s="48"/>
      <c r="DJ1000" s="48"/>
      <c r="DK1000" s="48"/>
      <c r="DL1000" s="48"/>
      <c r="DM1000" s="48"/>
      <c r="DN1000" s="48"/>
      <c r="DO1000" s="48"/>
      <c r="DP1000" s="48"/>
      <c r="DQ1000" s="48"/>
      <c r="DR1000" s="48"/>
      <c r="DS1000" s="48"/>
      <c r="DT1000" s="48"/>
      <c r="DU1000" s="48"/>
      <c r="DV1000" s="48"/>
      <c r="DW1000" s="48"/>
      <c r="DX1000" s="48"/>
      <c r="DY1000" s="48"/>
      <c r="DZ1000" s="48"/>
      <c r="EA1000" s="48"/>
      <c r="EC1000" s="48"/>
      <c r="ED1000" s="48"/>
      <c r="EE1000" s="48"/>
      <c r="EF1000" s="48"/>
      <c r="EG1000" s="48"/>
      <c r="EI1000" s="48"/>
      <c r="EK1000" s="48"/>
      <c r="EM1000" s="48"/>
      <c r="EO1000" s="48"/>
      <c r="EP1000" s="48"/>
      <c r="EU1000" s="48"/>
      <c r="EV1000" s="48"/>
      <c r="EW1000" s="48"/>
      <c r="EX1000" s="48"/>
      <c r="EY1000" s="48"/>
      <c r="EZ1000" s="48"/>
      <c r="FA1000" s="48"/>
      <c r="FB1000" s="48"/>
      <c r="FC1000" s="48"/>
      <c r="FD1000" s="48"/>
      <c r="FE1000" s="48"/>
      <c r="FF1000" s="48"/>
      <c r="FG1000" s="48"/>
      <c r="FI1000" s="48"/>
      <c r="FL1000" s="48"/>
      <c r="FM1000" s="48"/>
      <c r="FN1000" s="48"/>
      <c r="FO1000" s="48"/>
      <c r="FP1000" s="48"/>
      <c r="FQ1000" s="48"/>
      <c r="FR1000" s="48"/>
      <c r="FS1000" s="48"/>
      <c r="FT1000" s="48"/>
      <c r="FU1000" s="48"/>
    </row>
    <row r="1001" spans="1:177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  <c r="AF1001" s="48"/>
      <c r="AG1001" s="48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52"/>
      <c r="BF1001" s="48"/>
      <c r="BG1001" s="48"/>
      <c r="BI1001" s="48"/>
      <c r="BN1001" s="48"/>
      <c r="BO1001" s="48"/>
      <c r="BR1001" s="48"/>
      <c r="BS1001" s="48"/>
      <c r="BW1001" s="48"/>
      <c r="CA1001" s="48"/>
      <c r="CE1001" s="48"/>
      <c r="CF1001" s="48"/>
      <c r="CG1001" s="48"/>
      <c r="CH1001" s="48"/>
      <c r="CI1001" s="48"/>
      <c r="CJ1001" s="48"/>
      <c r="CL1001" s="48"/>
      <c r="CM1001" s="48"/>
      <c r="CN1001" s="48"/>
      <c r="CO1001" s="48"/>
      <c r="CP1001" s="48"/>
      <c r="CQ1001" s="48"/>
      <c r="CR1001" s="48"/>
      <c r="CS1001" s="48"/>
      <c r="CT1001" s="48"/>
      <c r="CU1001" s="48"/>
      <c r="CV1001" s="48"/>
      <c r="CW1001" s="48"/>
      <c r="CX1001" s="48"/>
      <c r="CY1001" s="48"/>
      <c r="CZ1001" s="48"/>
      <c r="DA1001" s="48"/>
      <c r="DB1001" s="48"/>
      <c r="DC1001" s="48"/>
      <c r="DD1001" s="48"/>
      <c r="DE1001" s="48"/>
      <c r="DF1001" s="48"/>
      <c r="DG1001" s="48"/>
      <c r="DH1001" s="48"/>
      <c r="DI1001" s="48"/>
      <c r="DJ1001" s="48"/>
      <c r="DK1001" s="48"/>
      <c r="DL1001" s="48"/>
      <c r="DM1001" s="48"/>
      <c r="DN1001" s="48"/>
      <c r="DO1001" s="48"/>
      <c r="DP1001" s="48"/>
      <c r="DQ1001" s="48"/>
      <c r="DR1001" s="48"/>
      <c r="DS1001" s="48"/>
      <c r="DT1001" s="48"/>
      <c r="DU1001" s="48"/>
      <c r="DV1001" s="48"/>
      <c r="DW1001" s="48"/>
      <c r="DX1001" s="48"/>
      <c r="DY1001" s="48"/>
      <c r="DZ1001" s="48"/>
      <c r="EA1001" s="48"/>
      <c r="EC1001" s="48"/>
      <c r="ED1001" s="48"/>
      <c r="EE1001" s="48"/>
      <c r="EF1001" s="48"/>
      <c r="EG1001" s="48"/>
      <c r="EI1001" s="48"/>
      <c r="EK1001" s="48"/>
      <c r="EM1001" s="48"/>
      <c r="EO1001" s="48"/>
      <c r="EP1001" s="48"/>
      <c r="EU1001" s="48"/>
      <c r="EV1001" s="48"/>
      <c r="EW1001" s="48"/>
      <c r="EX1001" s="48"/>
      <c r="EY1001" s="48"/>
      <c r="EZ1001" s="48"/>
      <c r="FA1001" s="48"/>
      <c r="FB1001" s="48"/>
      <c r="FC1001" s="48"/>
      <c r="FD1001" s="48"/>
      <c r="FE1001" s="48"/>
      <c r="FF1001" s="48"/>
      <c r="FG1001" s="48"/>
      <c r="FI1001" s="48"/>
      <c r="FL1001" s="48"/>
      <c r="FM1001" s="48"/>
      <c r="FN1001" s="48"/>
      <c r="FO1001" s="48"/>
      <c r="FP1001" s="48"/>
      <c r="FQ1001" s="48"/>
      <c r="FR1001" s="48"/>
      <c r="FS1001" s="48"/>
      <c r="FT1001" s="48"/>
      <c r="FU1001" s="48"/>
    </row>
    <row r="1002" spans="1:177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  <c r="AF1002" s="48"/>
      <c r="AG1002" s="48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52"/>
      <c r="BF1002" s="48"/>
      <c r="BG1002" s="48"/>
      <c r="BI1002" s="48"/>
      <c r="BN1002" s="48"/>
      <c r="BO1002" s="48"/>
      <c r="BR1002" s="48"/>
      <c r="BS1002" s="48"/>
      <c r="BW1002" s="48"/>
      <c r="CA1002" s="48"/>
      <c r="CE1002" s="48"/>
      <c r="CF1002" s="48"/>
      <c r="CG1002" s="48"/>
      <c r="CH1002" s="48"/>
      <c r="CI1002" s="48"/>
      <c r="CJ1002" s="48"/>
      <c r="CL1002" s="48"/>
      <c r="CM1002" s="48"/>
      <c r="CN1002" s="48"/>
      <c r="CO1002" s="48"/>
      <c r="CP1002" s="48"/>
      <c r="CQ1002" s="48"/>
      <c r="CR1002" s="48"/>
      <c r="CS1002" s="48"/>
      <c r="CT1002" s="48"/>
      <c r="CU1002" s="48"/>
      <c r="CV1002" s="48"/>
      <c r="CW1002" s="48"/>
      <c r="CX1002" s="48"/>
      <c r="CY1002" s="48"/>
      <c r="CZ1002" s="48"/>
      <c r="DA1002" s="48"/>
      <c r="DB1002" s="48"/>
      <c r="DC1002" s="48"/>
      <c r="DD1002" s="48"/>
      <c r="DE1002" s="48"/>
      <c r="DF1002" s="48"/>
      <c r="DG1002" s="48"/>
      <c r="DH1002" s="48"/>
      <c r="DI1002" s="48"/>
      <c r="DJ1002" s="48"/>
      <c r="DK1002" s="48"/>
      <c r="DL1002" s="48"/>
      <c r="DM1002" s="48"/>
      <c r="DN1002" s="48"/>
      <c r="DO1002" s="48"/>
      <c r="DP1002" s="48"/>
      <c r="DQ1002" s="48"/>
      <c r="DR1002" s="48"/>
      <c r="DS1002" s="48"/>
      <c r="DT1002" s="48"/>
      <c r="DU1002" s="48"/>
      <c r="DV1002" s="48"/>
      <c r="DW1002" s="48"/>
      <c r="DX1002" s="48"/>
      <c r="DY1002" s="48"/>
      <c r="DZ1002" s="48"/>
      <c r="EA1002" s="48"/>
      <c r="EC1002" s="48"/>
      <c r="ED1002" s="48"/>
      <c r="EE1002" s="48"/>
      <c r="EF1002" s="48"/>
      <c r="EG1002" s="48"/>
      <c r="EI1002" s="48"/>
      <c r="EK1002" s="48"/>
      <c r="EM1002" s="48"/>
      <c r="EO1002" s="48"/>
      <c r="EP1002" s="48"/>
      <c r="EU1002" s="48"/>
      <c r="EV1002" s="48"/>
      <c r="EW1002" s="48"/>
      <c r="EX1002" s="48"/>
      <c r="EY1002" s="48"/>
      <c r="EZ1002" s="48"/>
      <c r="FA1002" s="48"/>
      <c r="FB1002" s="48"/>
      <c r="FC1002" s="48"/>
      <c r="FD1002" s="48"/>
      <c r="FE1002" s="48"/>
      <c r="FF1002" s="48"/>
      <c r="FG1002" s="48"/>
      <c r="FI1002" s="48"/>
      <c r="FL1002" s="48"/>
      <c r="FM1002" s="48"/>
      <c r="FN1002" s="48"/>
      <c r="FO1002" s="48"/>
      <c r="FP1002" s="48"/>
      <c r="FQ1002" s="48"/>
      <c r="FR1002" s="48"/>
      <c r="FS1002" s="48"/>
      <c r="FT1002" s="48"/>
      <c r="FU1002" s="48"/>
    </row>
    <row r="1003" spans="1:177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  <c r="AF1003" s="48"/>
      <c r="AG1003" s="48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52"/>
      <c r="BF1003" s="48"/>
      <c r="BG1003" s="48"/>
      <c r="BI1003" s="48"/>
      <c r="BN1003" s="48"/>
      <c r="BO1003" s="48"/>
      <c r="BR1003" s="48"/>
      <c r="BS1003" s="48"/>
      <c r="BW1003" s="48"/>
      <c r="CA1003" s="48"/>
      <c r="CE1003" s="48"/>
      <c r="CF1003" s="48"/>
      <c r="CG1003" s="48"/>
      <c r="CH1003" s="48"/>
      <c r="CI1003" s="48"/>
      <c r="CJ1003" s="48"/>
      <c r="CL1003" s="48"/>
      <c r="CM1003" s="48"/>
      <c r="CN1003" s="48"/>
      <c r="CO1003" s="48"/>
      <c r="CP1003" s="48"/>
      <c r="CQ1003" s="48"/>
      <c r="CR1003" s="48"/>
      <c r="CS1003" s="48"/>
      <c r="CT1003" s="48"/>
      <c r="CU1003" s="48"/>
      <c r="CV1003" s="48"/>
      <c r="CW1003" s="48"/>
      <c r="CX1003" s="48"/>
      <c r="CY1003" s="48"/>
      <c r="CZ1003" s="48"/>
      <c r="DA1003" s="48"/>
      <c r="DB1003" s="48"/>
      <c r="DC1003" s="48"/>
      <c r="DD1003" s="48"/>
      <c r="DE1003" s="48"/>
      <c r="DF1003" s="48"/>
      <c r="DG1003" s="48"/>
      <c r="DH1003" s="48"/>
      <c r="DI1003" s="48"/>
      <c r="DJ1003" s="48"/>
      <c r="DK1003" s="48"/>
      <c r="DL1003" s="48"/>
      <c r="DM1003" s="48"/>
      <c r="DN1003" s="48"/>
      <c r="DO1003" s="48"/>
      <c r="DP1003" s="48"/>
      <c r="DQ1003" s="48"/>
      <c r="DR1003" s="48"/>
      <c r="DS1003" s="48"/>
      <c r="DT1003" s="48"/>
      <c r="DU1003" s="48"/>
      <c r="DV1003" s="48"/>
      <c r="DW1003" s="48"/>
      <c r="DX1003" s="48"/>
      <c r="DY1003" s="48"/>
      <c r="DZ1003" s="48"/>
      <c r="EA1003" s="48"/>
      <c r="EC1003" s="48"/>
      <c r="ED1003" s="48"/>
      <c r="EE1003" s="48"/>
      <c r="EF1003" s="48"/>
      <c r="EG1003" s="48"/>
      <c r="EI1003" s="48"/>
      <c r="EK1003" s="48"/>
      <c r="EM1003" s="48"/>
      <c r="EO1003" s="48"/>
      <c r="EP1003" s="48"/>
      <c r="EU1003" s="48"/>
      <c r="EV1003" s="48"/>
      <c r="EW1003" s="48"/>
      <c r="EX1003" s="48"/>
      <c r="EY1003" s="48"/>
      <c r="EZ1003" s="48"/>
      <c r="FA1003" s="48"/>
      <c r="FB1003" s="48"/>
      <c r="FC1003" s="48"/>
      <c r="FD1003" s="48"/>
      <c r="FE1003" s="48"/>
      <c r="FF1003" s="48"/>
      <c r="FG1003" s="48"/>
      <c r="FI1003" s="48"/>
      <c r="FL1003" s="48"/>
      <c r="FM1003" s="48"/>
      <c r="FN1003" s="48"/>
      <c r="FO1003" s="48"/>
      <c r="FP1003" s="48"/>
      <c r="FQ1003" s="48"/>
      <c r="FR1003" s="48"/>
      <c r="FS1003" s="48"/>
      <c r="FT1003" s="48"/>
      <c r="FU1003" s="48"/>
    </row>
    <row r="1004" spans="1:177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  <c r="AF1004" s="48"/>
      <c r="AG1004" s="48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52"/>
      <c r="BF1004" s="48"/>
      <c r="BG1004" s="48"/>
      <c r="BI1004" s="48"/>
      <c r="BN1004" s="48"/>
      <c r="BO1004" s="48"/>
      <c r="BR1004" s="48"/>
      <c r="BS1004" s="48"/>
      <c r="BW1004" s="48"/>
      <c r="CA1004" s="48"/>
      <c r="CE1004" s="48"/>
      <c r="CF1004" s="48"/>
      <c r="CG1004" s="48"/>
      <c r="CH1004" s="48"/>
      <c r="CI1004" s="48"/>
      <c r="CJ1004" s="48"/>
      <c r="CL1004" s="48"/>
      <c r="CM1004" s="48"/>
      <c r="CN1004" s="48"/>
      <c r="CO1004" s="48"/>
      <c r="CP1004" s="48"/>
      <c r="CQ1004" s="48"/>
      <c r="CR1004" s="48"/>
      <c r="CS1004" s="48"/>
      <c r="CT1004" s="48"/>
      <c r="CU1004" s="48"/>
      <c r="CV1004" s="48"/>
      <c r="CW1004" s="48"/>
      <c r="CX1004" s="48"/>
      <c r="CY1004" s="48"/>
      <c r="CZ1004" s="48"/>
      <c r="DA1004" s="48"/>
      <c r="DB1004" s="48"/>
      <c r="DC1004" s="48"/>
      <c r="DD1004" s="48"/>
      <c r="DE1004" s="48"/>
      <c r="DF1004" s="48"/>
      <c r="DG1004" s="48"/>
      <c r="DH1004" s="48"/>
      <c r="DI1004" s="48"/>
      <c r="DJ1004" s="48"/>
      <c r="DK1004" s="48"/>
      <c r="DL1004" s="48"/>
      <c r="DM1004" s="48"/>
      <c r="DN1004" s="48"/>
      <c r="DO1004" s="48"/>
      <c r="DP1004" s="48"/>
      <c r="DQ1004" s="48"/>
      <c r="DR1004" s="48"/>
      <c r="DS1004" s="48"/>
      <c r="DT1004" s="48"/>
      <c r="DU1004" s="48"/>
      <c r="DV1004" s="48"/>
      <c r="DW1004" s="48"/>
      <c r="DX1004" s="48"/>
      <c r="DY1004" s="48"/>
      <c r="DZ1004" s="48"/>
      <c r="EA1004" s="48"/>
      <c r="EC1004" s="48"/>
      <c r="ED1004" s="48"/>
      <c r="EE1004" s="48"/>
      <c r="EF1004" s="48"/>
      <c r="EG1004" s="48"/>
      <c r="EI1004" s="48"/>
      <c r="EK1004" s="48"/>
      <c r="EM1004" s="48"/>
      <c r="EO1004" s="48"/>
      <c r="EP1004" s="48"/>
      <c r="EU1004" s="48"/>
      <c r="EV1004" s="48"/>
      <c r="EW1004" s="48"/>
      <c r="EX1004" s="48"/>
      <c r="EY1004" s="48"/>
      <c r="EZ1004" s="48"/>
      <c r="FA1004" s="48"/>
      <c r="FB1004" s="48"/>
      <c r="FC1004" s="48"/>
      <c r="FD1004" s="48"/>
      <c r="FE1004" s="48"/>
      <c r="FF1004" s="48"/>
      <c r="FG1004" s="48"/>
      <c r="FI1004" s="48"/>
      <c r="FL1004" s="48"/>
      <c r="FM1004" s="48"/>
      <c r="FN1004" s="48"/>
      <c r="FO1004" s="48"/>
      <c r="FP1004" s="48"/>
      <c r="FQ1004" s="48"/>
      <c r="FR1004" s="48"/>
      <c r="FS1004" s="48"/>
      <c r="FT1004" s="48"/>
      <c r="FU1004" s="48"/>
    </row>
    <row r="1005" spans="1:177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  <c r="AD1005" s="48"/>
      <c r="AE1005" s="48"/>
      <c r="AF1005" s="48"/>
      <c r="AG1005" s="48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52"/>
      <c r="BF1005" s="48"/>
      <c r="BG1005" s="48"/>
      <c r="BI1005" s="48"/>
      <c r="BN1005" s="48"/>
      <c r="BO1005" s="48"/>
      <c r="BR1005" s="48"/>
      <c r="BS1005" s="48"/>
      <c r="BW1005" s="48"/>
      <c r="CA1005" s="48"/>
      <c r="CE1005" s="48"/>
      <c r="CF1005" s="48"/>
      <c r="CG1005" s="48"/>
      <c r="CH1005" s="48"/>
      <c r="CI1005" s="48"/>
      <c r="CJ1005" s="48"/>
      <c r="CL1005" s="48"/>
      <c r="CM1005" s="48"/>
      <c r="CN1005" s="48"/>
      <c r="CO1005" s="48"/>
      <c r="CP1005" s="48"/>
      <c r="CQ1005" s="48"/>
      <c r="CR1005" s="48"/>
      <c r="CS1005" s="48"/>
      <c r="CT1005" s="48"/>
      <c r="CU1005" s="48"/>
      <c r="CV1005" s="48"/>
      <c r="CW1005" s="48"/>
      <c r="CX1005" s="48"/>
      <c r="CY1005" s="48"/>
      <c r="CZ1005" s="48"/>
      <c r="DA1005" s="48"/>
      <c r="DB1005" s="48"/>
      <c r="DC1005" s="48"/>
      <c r="DD1005" s="48"/>
      <c r="DE1005" s="48"/>
      <c r="DF1005" s="48"/>
      <c r="DG1005" s="48"/>
      <c r="DH1005" s="48"/>
      <c r="DI1005" s="48"/>
      <c r="DJ1005" s="48"/>
      <c r="DK1005" s="48"/>
      <c r="DL1005" s="48"/>
      <c r="DM1005" s="48"/>
      <c r="DN1005" s="48"/>
      <c r="DO1005" s="48"/>
      <c r="DP1005" s="48"/>
      <c r="DQ1005" s="48"/>
      <c r="DR1005" s="48"/>
      <c r="DS1005" s="48"/>
      <c r="DT1005" s="48"/>
      <c r="DU1005" s="48"/>
      <c r="DV1005" s="48"/>
      <c r="DW1005" s="48"/>
      <c r="DX1005" s="48"/>
      <c r="DY1005" s="48"/>
      <c r="DZ1005" s="48"/>
      <c r="EA1005" s="48"/>
      <c r="EC1005" s="48"/>
      <c r="ED1005" s="48"/>
      <c r="EE1005" s="48"/>
      <c r="EF1005" s="48"/>
      <c r="EG1005" s="48"/>
      <c r="EI1005" s="48"/>
      <c r="EK1005" s="48"/>
      <c r="EM1005" s="48"/>
      <c r="EO1005" s="48"/>
      <c r="EP1005" s="48"/>
      <c r="EU1005" s="48"/>
      <c r="EV1005" s="48"/>
      <c r="EW1005" s="48"/>
      <c r="EX1005" s="48"/>
      <c r="EY1005" s="48"/>
      <c r="EZ1005" s="48"/>
      <c r="FA1005" s="48"/>
      <c r="FB1005" s="48"/>
      <c r="FC1005" s="48"/>
      <c r="FD1005" s="48"/>
      <c r="FE1005" s="48"/>
      <c r="FF1005" s="48"/>
      <c r="FG1005" s="48"/>
      <c r="FI1005" s="48"/>
      <c r="FL1005" s="48"/>
      <c r="FM1005" s="48"/>
      <c r="FN1005" s="48"/>
      <c r="FO1005" s="48"/>
      <c r="FP1005" s="48"/>
      <c r="FQ1005" s="48"/>
      <c r="FR1005" s="48"/>
      <c r="FS1005" s="48"/>
      <c r="FT1005" s="48"/>
      <c r="FU1005" s="48"/>
    </row>
    <row r="1006" spans="1:177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  <c r="AD1006" s="48"/>
      <c r="AE1006" s="48"/>
      <c r="AF1006" s="48"/>
      <c r="AG1006" s="48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52"/>
      <c r="BF1006" s="48"/>
      <c r="BG1006" s="48"/>
      <c r="BI1006" s="48"/>
      <c r="BN1006" s="48"/>
      <c r="BO1006" s="48"/>
      <c r="BR1006" s="48"/>
      <c r="BS1006" s="48"/>
      <c r="BW1006" s="48"/>
      <c r="CA1006" s="48"/>
      <c r="CE1006" s="48"/>
      <c r="CF1006" s="48"/>
      <c r="CG1006" s="48"/>
      <c r="CH1006" s="48"/>
      <c r="CI1006" s="48"/>
      <c r="CJ1006" s="48"/>
      <c r="CL1006" s="48"/>
      <c r="CM1006" s="48"/>
      <c r="CN1006" s="48"/>
      <c r="CO1006" s="48"/>
      <c r="CP1006" s="48"/>
      <c r="CQ1006" s="48"/>
      <c r="CR1006" s="48"/>
      <c r="CS1006" s="48"/>
      <c r="CT1006" s="48"/>
      <c r="CU1006" s="48"/>
      <c r="CV1006" s="48"/>
      <c r="CW1006" s="48"/>
      <c r="CX1006" s="48"/>
      <c r="CY1006" s="48"/>
      <c r="CZ1006" s="48"/>
      <c r="DA1006" s="48"/>
      <c r="DB1006" s="48"/>
      <c r="DC1006" s="48"/>
      <c r="DD1006" s="48"/>
      <c r="DE1006" s="48"/>
      <c r="DF1006" s="48"/>
      <c r="DG1006" s="48"/>
      <c r="DH1006" s="48"/>
      <c r="DI1006" s="48"/>
      <c r="DJ1006" s="48"/>
      <c r="DK1006" s="48"/>
      <c r="DL1006" s="48"/>
      <c r="DM1006" s="48"/>
      <c r="DN1006" s="48"/>
      <c r="DO1006" s="48"/>
      <c r="DP1006" s="48"/>
      <c r="DQ1006" s="48"/>
      <c r="DR1006" s="48"/>
      <c r="DS1006" s="48"/>
      <c r="DT1006" s="48"/>
      <c r="DU1006" s="48"/>
      <c r="DV1006" s="48"/>
      <c r="DW1006" s="48"/>
      <c r="DX1006" s="48"/>
      <c r="DY1006" s="48"/>
      <c r="DZ1006" s="48"/>
      <c r="EA1006" s="48"/>
      <c r="EC1006" s="48"/>
      <c r="ED1006" s="48"/>
      <c r="EE1006" s="48"/>
      <c r="EF1006" s="48"/>
      <c r="EG1006" s="48"/>
      <c r="EI1006" s="48"/>
      <c r="EK1006" s="48"/>
      <c r="EM1006" s="48"/>
      <c r="EO1006" s="48"/>
      <c r="EP1006" s="48"/>
      <c r="EU1006" s="48"/>
      <c r="EV1006" s="48"/>
      <c r="EW1006" s="48"/>
      <c r="EX1006" s="48"/>
      <c r="EY1006" s="48"/>
      <c r="EZ1006" s="48"/>
      <c r="FA1006" s="48"/>
      <c r="FB1006" s="48"/>
      <c r="FC1006" s="48"/>
      <c r="FD1006" s="48"/>
      <c r="FE1006" s="48"/>
      <c r="FF1006" s="48"/>
      <c r="FG1006" s="48"/>
      <c r="FI1006" s="48"/>
      <c r="FL1006" s="48"/>
      <c r="FM1006" s="48"/>
      <c r="FN1006" s="48"/>
      <c r="FO1006" s="48"/>
      <c r="FP1006" s="48"/>
      <c r="FQ1006" s="48"/>
      <c r="FR1006" s="48"/>
      <c r="FS1006" s="48"/>
      <c r="FT1006" s="48"/>
      <c r="FU1006" s="48"/>
    </row>
    <row r="1007" spans="1:177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  <c r="AD1007" s="48"/>
      <c r="AE1007" s="48"/>
      <c r="AF1007" s="48"/>
      <c r="AG1007" s="48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52"/>
      <c r="BF1007" s="48"/>
      <c r="BG1007" s="48"/>
      <c r="BI1007" s="48"/>
      <c r="BN1007" s="48"/>
      <c r="BO1007" s="48"/>
      <c r="BR1007" s="48"/>
      <c r="BS1007" s="48"/>
      <c r="BW1007" s="48"/>
      <c r="CA1007" s="48"/>
      <c r="CE1007" s="48"/>
      <c r="CF1007" s="48"/>
      <c r="CG1007" s="48"/>
      <c r="CH1007" s="48"/>
      <c r="CI1007" s="48"/>
      <c r="CJ1007" s="48"/>
      <c r="CL1007" s="48"/>
      <c r="CM1007" s="48"/>
      <c r="CN1007" s="48"/>
      <c r="CO1007" s="48"/>
      <c r="CP1007" s="48"/>
      <c r="CQ1007" s="48"/>
      <c r="CR1007" s="48"/>
      <c r="CS1007" s="48"/>
      <c r="CT1007" s="48"/>
      <c r="CU1007" s="48"/>
      <c r="CV1007" s="48"/>
      <c r="CW1007" s="48"/>
      <c r="CX1007" s="48"/>
      <c r="CY1007" s="48"/>
      <c r="CZ1007" s="48"/>
      <c r="DA1007" s="48"/>
      <c r="DB1007" s="48"/>
      <c r="DC1007" s="48"/>
      <c r="DD1007" s="48"/>
      <c r="DE1007" s="48"/>
      <c r="DF1007" s="48"/>
      <c r="DG1007" s="48"/>
      <c r="DH1007" s="48"/>
      <c r="DI1007" s="48"/>
      <c r="DJ1007" s="48"/>
      <c r="DK1007" s="48"/>
      <c r="DL1007" s="48"/>
      <c r="DM1007" s="48"/>
      <c r="DN1007" s="48"/>
      <c r="DO1007" s="48"/>
      <c r="DP1007" s="48"/>
      <c r="DQ1007" s="48"/>
      <c r="DR1007" s="48"/>
      <c r="DS1007" s="48"/>
      <c r="DT1007" s="48"/>
      <c r="DU1007" s="48"/>
      <c r="DV1007" s="48"/>
      <c r="DW1007" s="48"/>
      <c r="DX1007" s="48"/>
      <c r="DY1007" s="48"/>
      <c r="DZ1007" s="48"/>
      <c r="EA1007" s="48"/>
      <c r="EC1007" s="48"/>
      <c r="ED1007" s="48"/>
      <c r="EE1007" s="48"/>
      <c r="EF1007" s="48"/>
      <c r="EG1007" s="48"/>
      <c r="EI1007" s="48"/>
      <c r="EK1007" s="48"/>
      <c r="EM1007" s="48"/>
      <c r="EO1007" s="48"/>
      <c r="EP1007" s="48"/>
      <c r="EU1007" s="48"/>
      <c r="EV1007" s="48"/>
      <c r="EW1007" s="48"/>
      <c r="EX1007" s="48"/>
      <c r="EY1007" s="48"/>
      <c r="EZ1007" s="48"/>
      <c r="FA1007" s="48"/>
      <c r="FB1007" s="48"/>
      <c r="FC1007" s="48"/>
      <c r="FD1007" s="48"/>
      <c r="FE1007" s="48"/>
      <c r="FF1007" s="48"/>
      <c r="FG1007" s="48"/>
      <c r="FI1007" s="48"/>
      <c r="FL1007" s="48"/>
      <c r="FM1007" s="48"/>
      <c r="FN1007" s="48"/>
      <c r="FO1007" s="48"/>
      <c r="FP1007" s="48"/>
      <c r="FQ1007" s="48"/>
      <c r="FR1007" s="48"/>
      <c r="FS1007" s="48"/>
      <c r="FT1007" s="48"/>
      <c r="FU1007" s="48"/>
    </row>
    <row r="1008" spans="1:177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  <c r="AB1008" s="48"/>
      <c r="AC1008" s="48"/>
      <c r="AD1008" s="48"/>
      <c r="AE1008" s="48"/>
      <c r="AF1008" s="48"/>
      <c r="AG1008" s="48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52"/>
      <c r="BF1008" s="48"/>
      <c r="BG1008" s="48"/>
      <c r="BI1008" s="48"/>
      <c r="BN1008" s="48"/>
      <c r="BO1008" s="48"/>
      <c r="BR1008" s="48"/>
      <c r="BS1008" s="48"/>
      <c r="BW1008" s="48"/>
      <c r="CA1008" s="48"/>
      <c r="CE1008" s="48"/>
      <c r="CF1008" s="48"/>
      <c r="CG1008" s="48"/>
      <c r="CH1008" s="48"/>
      <c r="CI1008" s="48"/>
      <c r="CJ1008" s="48"/>
      <c r="CL1008" s="48"/>
      <c r="CM1008" s="48"/>
      <c r="CN1008" s="48"/>
      <c r="CO1008" s="48"/>
      <c r="CP1008" s="48"/>
      <c r="CQ1008" s="48"/>
      <c r="CR1008" s="48"/>
      <c r="CS1008" s="48"/>
      <c r="CT1008" s="48"/>
      <c r="CU1008" s="48"/>
      <c r="CV1008" s="48"/>
      <c r="CW1008" s="48"/>
      <c r="CX1008" s="48"/>
      <c r="CY1008" s="48"/>
      <c r="CZ1008" s="48"/>
      <c r="DA1008" s="48"/>
      <c r="DB1008" s="48"/>
      <c r="DC1008" s="48"/>
      <c r="DD1008" s="48"/>
      <c r="DE1008" s="48"/>
      <c r="DF1008" s="48"/>
      <c r="DG1008" s="48"/>
      <c r="DH1008" s="48"/>
      <c r="DI1008" s="48"/>
      <c r="DJ1008" s="48"/>
      <c r="DK1008" s="48"/>
      <c r="DL1008" s="48"/>
      <c r="DM1008" s="48"/>
      <c r="DN1008" s="48"/>
      <c r="DO1008" s="48"/>
      <c r="DP1008" s="48"/>
      <c r="DQ1008" s="48"/>
      <c r="DR1008" s="48"/>
      <c r="DS1008" s="48"/>
      <c r="DT1008" s="48"/>
      <c r="DU1008" s="48"/>
      <c r="DV1008" s="48"/>
      <c r="DW1008" s="48"/>
      <c r="DX1008" s="48"/>
      <c r="DY1008" s="48"/>
      <c r="DZ1008" s="48"/>
      <c r="EA1008" s="48"/>
      <c r="EC1008" s="48"/>
      <c r="ED1008" s="48"/>
      <c r="EE1008" s="48"/>
      <c r="EF1008" s="48"/>
      <c r="EG1008" s="48"/>
      <c r="EI1008" s="48"/>
      <c r="EK1008" s="48"/>
      <c r="EM1008" s="48"/>
      <c r="EO1008" s="48"/>
      <c r="EP1008" s="48"/>
      <c r="EU1008" s="48"/>
      <c r="EV1008" s="48"/>
      <c r="EW1008" s="48"/>
      <c r="EX1008" s="48"/>
      <c r="EY1008" s="48"/>
      <c r="EZ1008" s="48"/>
      <c r="FA1008" s="48"/>
      <c r="FB1008" s="48"/>
      <c r="FC1008" s="48"/>
      <c r="FD1008" s="48"/>
      <c r="FE1008" s="48"/>
      <c r="FF1008" s="48"/>
      <c r="FG1008" s="48"/>
      <c r="FI1008" s="48"/>
      <c r="FL1008" s="48"/>
      <c r="FM1008" s="48"/>
      <c r="FN1008" s="48"/>
      <c r="FO1008" s="48"/>
      <c r="FP1008" s="48"/>
      <c r="FQ1008" s="48"/>
      <c r="FR1008" s="48"/>
      <c r="FS1008" s="48"/>
      <c r="FT1008" s="48"/>
      <c r="FU1008" s="48"/>
    </row>
    <row r="1009" spans="1:177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  <c r="AD1009" s="48"/>
      <c r="AE1009" s="48"/>
      <c r="AF1009" s="48"/>
      <c r="AG1009" s="48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52"/>
      <c r="BF1009" s="48"/>
      <c r="BG1009" s="48"/>
      <c r="BI1009" s="48"/>
      <c r="BN1009" s="48"/>
      <c r="BO1009" s="48"/>
      <c r="BR1009" s="48"/>
      <c r="BS1009" s="48"/>
      <c r="BW1009" s="48"/>
      <c r="CA1009" s="48"/>
      <c r="CE1009" s="48"/>
      <c r="CF1009" s="48"/>
      <c r="CG1009" s="48"/>
      <c r="CH1009" s="48"/>
      <c r="CI1009" s="48"/>
      <c r="CJ1009" s="48"/>
      <c r="CL1009" s="48"/>
      <c r="CM1009" s="48"/>
      <c r="CN1009" s="48"/>
      <c r="CO1009" s="48"/>
      <c r="CP1009" s="48"/>
      <c r="CQ1009" s="48"/>
      <c r="CR1009" s="48"/>
      <c r="CS1009" s="48"/>
      <c r="CT1009" s="48"/>
      <c r="CU1009" s="48"/>
      <c r="CV1009" s="48"/>
      <c r="CW1009" s="48"/>
      <c r="CX1009" s="48"/>
      <c r="CY1009" s="48"/>
      <c r="CZ1009" s="48"/>
      <c r="DA1009" s="48"/>
      <c r="DB1009" s="48"/>
      <c r="DC1009" s="48"/>
      <c r="DD1009" s="48"/>
      <c r="DE1009" s="48"/>
      <c r="DF1009" s="48"/>
      <c r="DG1009" s="48"/>
      <c r="DH1009" s="48"/>
      <c r="DI1009" s="48"/>
      <c r="DJ1009" s="48"/>
      <c r="DK1009" s="48"/>
      <c r="DL1009" s="48"/>
      <c r="DM1009" s="48"/>
      <c r="DN1009" s="48"/>
      <c r="DO1009" s="48"/>
      <c r="DP1009" s="48"/>
      <c r="DQ1009" s="48"/>
      <c r="DR1009" s="48"/>
      <c r="DS1009" s="48"/>
      <c r="DT1009" s="48"/>
      <c r="DU1009" s="48"/>
      <c r="DV1009" s="48"/>
      <c r="DW1009" s="48"/>
      <c r="DX1009" s="48"/>
      <c r="DY1009" s="48"/>
      <c r="DZ1009" s="48"/>
      <c r="EA1009" s="48"/>
      <c r="EC1009" s="48"/>
      <c r="ED1009" s="48"/>
      <c r="EE1009" s="48"/>
      <c r="EF1009" s="48"/>
      <c r="EG1009" s="48"/>
      <c r="EI1009" s="48"/>
      <c r="EK1009" s="48"/>
      <c r="EM1009" s="48"/>
      <c r="EO1009" s="48"/>
      <c r="EP1009" s="48"/>
      <c r="EU1009" s="48"/>
      <c r="EV1009" s="48"/>
      <c r="EW1009" s="48"/>
      <c r="EX1009" s="48"/>
      <c r="EY1009" s="48"/>
      <c r="EZ1009" s="48"/>
      <c r="FA1009" s="48"/>
      <c r="FB1009" s="48"/>
      <c r="FC1009" s="48"/>
      <c r="FD1009" s="48"/>
      <c r="FE1009" s="48"/>
      <c r="FF1009" s="48"/>
      <c r="FG1009" s="48"/>
      <c r="FI1009" s="48"/>
      <c r="FL1009" s="48"/>
      <c r="FM1009" s="48"/>
      <c r="FN1009" s="48"/>
      <c r="FO1009" s="48"/>
      <c r="FP1009" s="48"/>
      <c r="FQ1009" s="48"/>
      <c r="FR1009" s="48"/>
      <c r="FS1009" s="48"/>
      <c r="FT1009" s="48"/>
      <c r="FU1009" s="48"/>
    </row>
    <row r="1010" spans="1:177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52"/>
      <c r="BF1010" s="48"/>
      <c r="BG1010" s="48"/>
      <c r="BI1010" s="48"/>
      <c r="BN1010" s="48"/>
      <c r="BO1010" s="48"/>
      <c r="BR1010" s="48"/>
      <c r="BS1010" s="48"/>
      <c r="BW1010" s="48"/>
      <c r="CA1010" s="48"/>
      <c r="CE1010" s="48"/>
      <c r="CF1010" s="48"/>
      <c r="CG1010" s="48"/>
      <c r="CH1010" s="48"/>
      <c r="CI1010" s="48"/>
      <c r="CJ1010" s="48"/>
      <c r="CL1010" s="48"/>
      <c r="CM1010" s="48"/>
      <c r="CN1010" s="48"/>
      <c r="CO1010" s="48"/>
      <c r="CP1010" s="48"/>
      <c r="CQ1010" s="48"/>
      <c r="CR1010" s="48"/>
      <c r="CS1010" s="48"/>
      <c r="CT1010" s="48"/>
      <c r="CU1010" s="48"/>
      <c r="CV1010" s="48"/>
      <c r="CW1010" s="48"/>
      <c r="CX1010" s="48"/>
      <c r="CY1010" s="48"/>
      <c r="CZ1010" s="48"/>
      <c r="DA1010" s="48"/>
      <c r="DB1010" s="48"/>
      <c r="DC1010" s="48"/>
      <c r="DD1010" s="48"/>
      <c r="DE1010" s="48"/>
      <c r="DF1010" s="48"/>
      <c r="DG1010" s="48"/>
      <c r="DH1010" s="48"/>
      <c r="DI1010" s="48"/>
      <c r="DJ1010" s="48"/>
      <c r="DK1010" s="48"/>
      <c r="DL1010" s="48"/>
      <c r="DM1010" s="48"/>
      <c r="DN1010" s="48"/>
      <c r="DO1010" s="48"/>
      <c r="DP1010" s="48"/>
      <c r="DQ1010" s="48"/>
      <c r="DR1010" s="48"/>
      <c r="DS1010" s="48"/>
      <c r="DT1010" s="48"/>
      <c r="DU1010" s="48"/>
      <c r="DV1010" s="48"/>
      <c r="DW1010" s="48"/>
      <c r="DX1010" s="48"/>
      <c r="DY1010" s="48"/>
      <c r="DZ1010" s="48"/>
      <c r="EA1010" s="48"/>
      <c r="EC1010" s="48"/>
      <c r="ED1010" s="48"/>
      <c r="EE1010" s="48"/>
      <c r="EF1010" s="48"/>
      <c r="EG1010" s="48"/>
      <c r="EI1010" s="48"/>
      <c r="EK1010" s="48"/>
      <c r="EM1010" s="48"/>
      <c r="EO1010" s="48"/>
      <c r="EP1010" s="48"/>
      <c r="EU1010" s="48"/>
      <c r="EV1010" s="48"/>
      <c r="EW1010" s="48"/>
      <c r="EX1010" s="48"/>
      <c r="EY1010" s="48"/>
      <c r="EZ1010" s="48"/>
      <c r="FA1010" s="48"/>
      <c r="FB1010" s="48"/>
      <c r="FC1010" s="48"/>
      <c r="FD1010" s="48"/>
      <c r="FE1010" s="48"/>
      <c r="FF1010" s="48"/>
      <c r="FG1010" s="48"/>
      <c r="FI1010" s="48"/>
      <c r="FL1010" s="48"/>
      <c r="FM1010" s="48"/>
      <c r="FN1010" s="48"/>
      <c r="FO1010" s="48"/>
      <c r="FP1010" s="48"/>
      <c r="FQ1010" s="48"/>
      <c r="FR1010" s="48"/>
      <c r="FS1010" s="48"/>
      <c r="FT1010" s="48"/>
      <c r="FU1010" s="48"/>
    </row>
    <row r="1011" spans="1:177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  <c r="AB1011" s="48"/>
      <c r="AC1011" s="48"/>
      <c r="AD1011" s="48"/>
      <c r="AE1011" s="48"/>
      <c r="AF1011" s="48"/>
      <c r="AG1011" s="48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52"/>
      <c r="BF1011" s="48"/>
      <c r="BG1011" s="48"/>
      <c r="BI1011" s="48"/>
      <c r="BN1011" s="48"/>
      <c r="BO1011" s="48"/>
      <c r="BR1011" s="48"/>
      <c r="BS1011" s="48"/>
      <c r="BW1011" s="48"/>
      <c r="CA1011" s="48"/>
      <c r="CE1011" s="48"/>
      <c r="CF1011" s="48"/>
      <c r="CG1011" s="48"/>
      <c r="CH1011" s="48"/>
      <c r="CI1011" s="48"/>
      <c r="CJ1011" s="48"/>
      <c r="CL1011" s="48"/>
      <c r="CM1011" s="48"/>
      <c r="CN1011" s="48"/>
      <c r="CO1011" s="48"/>
      <c r="CP1011" s="48"/>
      <c r="CQ1011" s="48"/>
      <c r="CR1011" s="48"/>
      <c r="CS1011" s="48"/>
      <c r="CT1011" s="48"/>
      <c r="CU1011" s="48"/>
      <c r="CV1011" s="48"/>
      <c r="CW1011" s="48"/>
      <c r="CX1011" s="48"/>
      <c r="CY1011" s="48"/>
      <c r="CZ1011" s="48"/>
      <c r="DA1011" s="48"/>
      <c r="DB1011" s="48"/>
      <c r="DC1011" s="48"/>
      <c r="DD1011" s="48"/>
      <c r="DE1011" s="48"/>
      <c r="DF1011" s="48"/>
      <c r="DG1011" s="48"/>
      <c r="DH1011" s="48"/>
      <c r="DI1011" s="48"/>
      <c r="DJ1011" s="48"/>
      <c r="DK1011" s="48"/>
      <c r="DL1011" s="48"/>
      <c r="DM1011" s="48"/>
      <c r="DN1011" s="48"/>
      <c r="DO1011" s="48"/>
      <c r="DP1011" s="48"/>
      <c r="DQ1011" s="48"/>
      <c r="DR1011" s="48"/>
      <c r="DS1011" s="48"/>
      <c r="DT1011" s="48"/>
      <c r="DU1011" s="48"/>
      <c r="DV1011" s="48"/>
      <c r="DW1011" s="48"/>
      <c r="DX1011" s="48"/>
      <c r="DY1011" s="48"/>
      <c r="DZ1011" s="48"/>
      <c r="EA1011" s="48"/>
      <c r="EC1011" s="48"/>
      <c r="ED1011" s="48"/>
      <c r="EE1011" s="48"/>
      <c r="EF1011" s="48"/>
      <c r="EG1011" s="48"/>
      <c r="EI1011" s="48"/>
      <c r="EK1011" s="48"/>
      <c r="EM1011" s="48"/>
      <c r="EO1011" s="48"/>
      <c r="EP1011" s="48"/>
      <c r="EU1011" s="48"/>
      <c r="EV1011" s="48"/>
      <c r="EW1011" s="48"/>
      <c r="EX1011" s="48"/>
      <c r="EY1011" s="48"/>
      <c r="EZ1011" s="48"/>
      <c r="FA1011" s="48"/>
      <c r="FB1011" s="48"/>
      <c r="FC1011" s="48"/>
      <c r="FD1011" s="48"/>
      <c r="FE1011" s="48"/>
      <c r="FF1011" s="48"/>
      <c r="FG1011" s="48"/>
      <c r="FI1011" s="48"/>
      <c r="FL1011" s="48"/>
      <c r="FM1011" s="48"/>
      <c r="FN1011" s="48"/>
      <c r="FO1011" s="48"/>
      <c r="FP1011" s="48"/>
      <c r="FQ1011" s="48"/>
      <c r="FR1011" s="48"/>
      <c r="FS1011" s="48"/>
      <c r="FT1011" s="48"/>
      <c r="FU1011" s="48"/>
    </row>
    <row r="1012" spans="1:177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  <c r="AD1012" s="48"/>
      <c r="AE1012" s="48"/>
      <c r="AF1012" s="48"/>
      <c r="AG1012" s="48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52"/>
      <c r="BF1012" s="48"/>
      <c r="BG1012" s="48"/>
      <c r="BI1012" s="48"/>
      <c r="BN1012" s="48"/>
      <c r="BO1012" s="48"/>
      <c r="BR1012" s="48"/>
      <c r="BS1012" s="48"/>
      <c r="BW1012" s="48"/>
      <c r="CA1012" s="48"/>
      <c r="CE1012" s="48"/>
      <c r="CF1012" s="48"/>
      <c r="CG1012" s="48"/>
      <c r="CH1012" s="48"/>
      <c r="CI1012" s="48"/>
      <c r="CJ1012" s="48"/>
      <c r="CL1012" s="48"/>
      <c r="CM1012" s="48"/>
      <c r="CN1012" s="48"/>
      <c r="CO1012" s="48"/>
      <c r="CP1012" s="48"/>
      <c r="CQ1012" s="48"/>
      <c r="CR1012" s="48"/>
      <c r="CS1012" s="48"/>
      <c r="CT1012" s="48"/>
      <c r="CU1012" s="48"/>
      <c r="CV1012" s="48"/>
      <c r="CW1012" s="48"/>
      <c r="CX1012" s="48"/>
      <c r="CY1012" s="48"/>
      <c r="CZ1012" s="48"/>
      <c r="DA1012" s="48"/>
      <c r="DB1012" s="48"/>
      <c r="DC1012" s="48"/>
      <c r="DD1012" s="48"/>
      <c r="DE1012" s="48"/>
      <c r="DF1012" s="48"/>
      <c r="DG1012" s="48"/>
      <c r="DH1012" s="48"/>
      <c r="DI1012" s="48"/>
      <c r="DJ1012" s="48"/>
      <c r="DK1012" s="48"/>
      <c r="DL1012" s="48"/>
      <c r="DM1012" s="48"/>
      <c r="DN1012" s="48"/>
      <c r="DO1012" s="48"/>
      <c r="DP1012" s="48"/>
      <c r="DQ1012" s="48"/>
      <c r="DR1012" s="48"/>
      <c r="DS1012" s="48"/>
      <c r="DT1012" s="48"/>
      <c r="DU1012" s="48"/>
      <c r="DV1012" s="48"/>
      <c r="DW1012" s="48"/>
      <c r="DX1012" s="48"/>
      <c r="DY1012" s="48"/>
      <c r="DZ1012" s="48"/>
      <c r="EA1012" s="48"/>
      <c r="EC1012" s="48"/>
      <c r="ED1012" s="48"/>
      <c r="EE1012" s="48"/>
      <c r="EF1012" s="48"/>
      <c r="EG1012" s="48"/>
      <c r="EI1012" s="48"/>
      <c r="EK1012" s="48"/>
      <c r="EM1012" s="48"/>
      <c r="EO1012" s="48"/>
      <c r="EP1012" s="48"/>
      <c r="EU1012" s="48"/>
      <c r="EV1012" s="48"/>
      <c r="EW1012" s="48"/>
      <c r="EX1012" s="48"/>
      <c r="EY1012" s="48"/>
      <c r="EZ1012" s="48"/>
      <c r="FA1012" s="48"/>
      <c r="FB1012" s="48"/>
      <c r="FC1012" s="48"/>
      <c r="FD1012" s="48"/>
      <c r="FE1012" s="48"/>
      <c r="FF1012" s="48"/>
      <c r="FG1012" s="48"/>
      <c r="FI1012" s="48"/>
      <c r="FL1012" s="48"/>
      <c r="FM1012" s="48"/>
      <c r="FN1012" s="48"/>
      <c r="FO1012" s="48"/>
      <c r="FP1012" s="48"/>
      <c r="FQ1012" s="48"/>
      <c r="FR1012" s="48"/>
      <c r="FS1012" s="48"/>
      <c r="FT1012" s="48"/>
      <c r="FU1012" s="48"/>
    </row>
    <row r="1013" spans="1:177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  <c r="AB1013" s="48"/>
      <c r="AC1013" s="48"/>
      <c r="AD1013" s="48"/>
      <c r="AE1013" s="48"/>
      <c r="AF1013" s="48"/>
      <c r="AG1013" s="48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52"/>
      <c r="BF1013" s="48"/>
      <c r="BG1013" s="48"/>
      <c r="BI1013" s="48"/>
      <c r="BN1013" s="48"/>
      <c r="BO1013" s="48"/>
      <c r="BR1013" s="48"/>
      <c r="BS1013" s="48"/>
      <c r="BW1013" s="48"/>
      <c r="CA1013" s="48"/>
      <c r="CE1013" s="48"/>
      <c r="CF1013" s="48"/>
      <c r="CG1013" s="48"/>
      <c r="CH1013" s="48"/>
      <c r="CI1013" s="48"/>
      <c r="CJ1013" s="48"/>
      <c r="CL1013" s="48"/>
      <c r="CM1013" s="48"/>
      <c r="CN1013" s="48"/>
      <c r="CO1013" s="48"/>
      <c r="CP1013" s="48"/>
      <c r="CQ1013" s="48"/>
      <c r="CR1013" s="48"/>
      <c r="CS1013" s="48"/>
      <c r="CT1013" s="48"/>
      <c r="CU1013" s="48"/>
      <c r="CV1013" s="48"/>
      <c r="CW1013" s="48"/>
      <c r="CX1013" s="48"/>
      <c r="CY1013" s="48"/>
      <c r="CZ1013" s="48"/>
      <c r="DA1013" s="48"/>
      <c r="DB1013" s="48"/>
      <c r="DC1013" s="48"/>
      <c r="DD1013" s="48"/>
      <c r="DE1013" s="48"/>
      <c r="DF1013" s="48"/>
      <c r="DG1013" s="48"/>
      <c r="DH1013" s="48"/>
      <c r="DI1013" s="48"/>
      <c r="DJ1013" s="48"/>
      <c r="DK1013" s="48"/>
      <c r="DL1013" s="48"/>
      <c r="DM1013" s="48"/>
      <c r="DN1013" s="48"/>
      <c r="DO1013" s="48"/>
      <c r="DP1013" s="48"/>
      <c r="DQ1013" s="48"/>
      <c r="DR1013" s="48"/>
      <c r="DS1013" s="48"/>
      <c r="DT1013" s="48"/>
      <c r="DU1013" s="48"/>
      <c r="DV1013" s="48"/>
      <c r="DW1013" s="48"/>
      <c r="DX1013" s="48"/>
      <c r="DY1013" s="48"/>
      <c r="DZ1013" s="48"/>
      <c r="EA1013" s="48"/>
      <c r="EC1013" s="48"/>
      <c r="ED1013" s="48"/>
      <c r="EE1013" s="48"/>
      <c r="EF1013" s="48"/>
      <c r="EG1013" s="48"/>
      <c r="EI1013" s="48"/>
      <c r="EK1013" s="48"/>
      <c r="EM1013" s="48"/>
      <c r="EO1013" s="48"/>
      <c r="EP1013" s="48"/>
      <c r="EU1013" s="48"/>
      <c r="EV1013" s="48"/>
      <c r="EW1013" s="48"/>
      <c r="EX1013" s="48"/>
      <c r="EY1013" s="48"/>
      <c r="EZ1013" s="48"/>
      <c r="FA1013" s="48"/>
      <c r="FB1013" s="48"/>
      <c r="FC1013" s="48"/>
      <c r="FD1013" s="48"/>
      <c r="FE1013" s="48"/>
      <c r="FF1013" s="48"/>
      <c r="FG1013" s="48"/>
      <c r="FI1013" s="48"/>
      <c r="FL1013" s="48"/>
      <c r="FM1013" s="48"/>
      <c r="FN1013" s="48"/>
      <c r="FO1013" s="48"/>
      <c r="FP1013" s="48"/>
      <c r="FQ1013" s="48"/>
      <c r="FR1013" s="48"/>
      <c r="FS1013" s="48"/>
      <c r="FT1013" s="48"/>
      <c r="FU1013" s="48"/>
    </row>
    <row r="1014" spans="1:177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  <c r="AD1014" s="48"/>
      <c r="AE1014" s="48"/>
      <c r="AF1014" s="48"/>
      <c r="AG1014" s="48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52"/>
      <c r="BF1014" s="48"/>
      <c r="BG1014" s="48"/>
      <c r="BI1014" s="48"/>
      <c r="BN1014" s="48"/>
      <c r="BO1014" s="48"/>
      <c r="BR1014" s="48"/>
      <c r="BS1014" s="48"/>
      <c r="BW1014" s="48"/>
      <c r="CA1014" s="48"/>
      <c r="CE1014" s="48"/>
      <c r="CF1014" s="48"/>
      <c r="CG1014" s="48"/>
      <c r="CH1014" s="48"/>
      <c r="CI1014" s="48"/>
      <c r="CJ1014" s="48"/>
      <c r="CL1014" s="48"/>
      <c r="CM1014" s="48"/>
      <c r="CN1014" s="48"/>
      <c r="CO1014" s="48"/>
      <c r="CP1014" s="48"/>
      <c r="CQ1014" s="48"/>
      <c r="CR1014" s="48"/>
      <c r="CS1014" s="48"/>
      <c r="CT1014" s="48"/>
      <c r="CU1014" s="48"/>
      <c r="CV1014" s="48"/>
      <c r="CW1014" s="48"/>
      <c r="CX1014" s="48"/>
      <c r="CY1014" s="48"/>
      <c r="CZ1014" s="48"/>
      <c r="DA1014" s="48"/>
      <c r="DB1014" s="48"/>
      <c r="DC1014" s="48"/>
      <c r="DD1014" s="48"/>
      <c r="DE1014" s="48"/>
      <c r="DF1014" s="48"/>
      <c r="DG1014" s="48"/>
      <c r="DH1014" s="48"/>
      <c r="DI1014" s="48"/>
      <c r="DJ1014" s="48"/>
      <c r="DK1014" s="48"/>
      <c r="DL1014" s="48"/>
      <c r="DM1014" s="48"/>
      <c r="DN1014" s="48"/>
      <c r="DO1014" s="48"/>
      <c r="DP1014" s="48"/>
      <c r="DQ1014" s="48"/>
      <c r="DR1014" s="48"/>
      <c r="DS1014" s="48"/>
      <c r="DT1014" s="48"/>
      <c r="DU1014" s="48"/>
      <c r="DV1014" s="48"/>
      <c r="DW1014" s="48"/>
      <c r="DX1014" s="48"/>
      <c r="DY1014" s="48"/>
      <c r="DZ1014" s="48"/>
      <c r="EA1014" s="48"/>
      <c r="EC1014" s="48"/>
      <c r="ED1014" s="48"/>
      <c r="EE1014" s="48"/>
      <c r="EF1014" s="48"/>
      <c r="EG1014" s="48"/>
      <c r="EI1014" s="48"/>
      <c r="EK1014" s="48"/>
      <c r="EM1014" s="48"/>
      <c r="EO1014" s="48"/>
      <c r="EP1014" s="48"/>
      <c r="EU1014" s="48"/>
      <c r="EV1014" s="48"/>
      <c r="EW1014" s="48"/>
      <c r="EX1014" s="48"/>
      <c r="EY1014" s="48"/>
      <c r="EZ1014" s="48"/>
      <c r="FA1014" s="48"/>
      <c r="FB1014" s="48"/>
      <c r="FC1014" s="48"/>
      <c r="FD1014" s="48"/>
      <c r="FE1014" s="48"/>
      <c r="FF1014" s="48"/>
      <c r="FG1014" s="48"/>
      <c r="FI1014" s="48"/>
      <c r="FL1014" s="48"/>
      <c r="FM1014" s="48"/>
      <c r="FN1014" s="48"/>
      <c r="FO1014" s="48"/>
      <c r="FP1014" s="48"/>
      <c r="FQ1014" s="48"/>
      <c r="FR1014" s="48"/>
      <c r="FS1014" s="48"/>
      <c r="FT1014" s="48"/>
      <c r="FU1014" s="48"/>
    </row>
    <row r="1015" spans="1:177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  <c r="AD1015" s="48"/>
      <c r="AE1015" s="48"/>
      <c r="AF1015" s="48"/>
      <c r="AG1015" s="48"/>
      <c r="AH1015" s="48"/>
      <c r="AI1015" s="48"/>
      <c r="AJ1015" s="48"/>
      <c r="AK1015" s="48"/>
      <c r="AL1015" s="48"/>
      <c r="AM1015" s="48"/>
      <c r="AN1015" s="48"/>
      <c r="AO1015" s="48"/>
      <c r="AP1015" s="48"/>
      <c r="AQ1015" s="48"/>
      <c r="AR1015" s="48"/>
      <c r="AS1015" s="48"/>
      <c r="AT1015" s="48"/>
      <c r="AU1015" s="48"/>
      <c r="AV1015" s="48"/>
      <c r="AW1015" s="48"/>
      <c r="AX1015" s="48"/>
      <c r="AY1015" s="48"/>
      <c r="AZ1015" s="48"/>
      <c r="BA1015" s="48"/>
      <c r="BB1015" s="48"/>
      <c r="BC1015" s="48"/>
      <c r="BD1015" s="48"/>
      <c r="BE1015" s="52"/>
      <c r="BF1015" s="48"/>
      <c r="BG1015" s="48"/>
      <c r="BI1015" s="48"/>
      <c r="BN1015" s="48"/>
      <c r="BO1015" s="48"/>
      <c r="BR1015" s="48"/>
      <c r="BS1015" s="48"/>
      <c r="BW1015" s="48"/>
      <c r="CA1015" s="48"/>
      <c r="CE1015" s="48"/>
      <c r="CF1015" s="48"/>
      <c r="CG1015" s="48"/>
      <c r="CH1015" s="48"/>
      <c r="CI1015" s="48"/>
      <c r="CJ1015" s="48"/>
      <c r="CL1015" s="48"/>
      <c r="CM1015" s="48"/>
      <c r="CN1015" s="48"/>
      <c r="CO1015" s="48"/>
      <c r="CP1015" s="48"/>
      <c r="CQ1015" s="48"/>
      <c r="CR1015" s="48"/>
      <c r="CS1015" s="48"/>
      <c r="CT1015" s="48"/>
      <c r="CU1015" s="48"/>
      <c r="CV1015" s="48"/>
      <c r="CW1015" s="48"/>
      <c r="CX1015" s="48"/>
      <c r="CY1015" s="48"/>
      <c r="CZ1015" s="48"/>
      <c r="DA1015" s="48"/>
      <c r="DB1015" s="48"/>
      <c r="DC1015" s="48"/>
      <c r="DD1015" s="48"/>
      <c r="DE1015" s="48"/>
      <c r="DF1015" s="48"/>
      <c r="DG1015" s="48"/>
      <c r="DH1015" s="48"/>
      <c r="DI1015" s="48"/>
      <c r="DJ1015" s="48"/>
      <c r="DK1015" s="48"/>
      <c r="DL1015" s="48"/>
      <c r="DM1015" s="48"/>
      <c r="DN1015" s="48"/>
      <c r="DO1015" s="48"/>
      <c r="DP1015" s="48"/>
      <c r="DQ1015" s="48"/>
      <c r="DR1015" s="48"/>
      <c r="DS1015" s="48"/>
      <c r="DT1015" s="48"/>
      <c r="DU1015" s="48"/>
      <c r="DV1015" s="48"/>
      <c r="DW1015" s="48"/>
      <c r="DX1015" s="48"/>
      <c r="DY1015" s="48"/>
      <c r="DZ1015" s="48"/>
      <c r="EA1015" s="48"/>
      <c r="EC1015" s="48"/>
      <c r="ED1015" s="48"/>
      <c r="EE1015" s="48"/>
      <c r="EF1015" s="48"/>
      <c r="EG1015" s="48"/>
      <c r="EI1015" s="48"/>
      <c r="EK1015" s="48"/>
      <c r="EM1015" s="48"/>
      <c r="EO1015" s="48"/>
      <c r="EP1015" s="48"/>
      <c r="EU1015" s="48"/>
      <c r="EV1015" s="48"/>
      <c r="EW1015" s="48"/>
      <c r="EX1015" s="48"/>
      <c r="EY1015" s="48"/>
      <c r="EZ1015" s="48"/>
      <c r="FA1015" s="48"/>
      <c r="FB1015" s="48"/>
      <c r="FC1015" s="48"/>
      <c r="FD1015" s="48"/>
      <c r="FE1015" s="48"/>
      <c r="FF1015" s="48"/>
      <c r="FG1015" s="48"/>
      <c r="FI1015" s="48"/>
      <c r="FL1015" s="48"/>
      <c r="FM1015" s="48"/>
      <c r="FN1015" s="48"/>
      <c r="FO1015" s="48"/>
      <c r="FP1015" s="48"/>
      <c r="FQ1015" s="48"/>
      <c r="FR1015" s="48"/>
      <c r="FS1015" s="48"/>
      <c r="FT1015" s="48"/>
      <c r="FU1015" s="48"/>
    </row>
    <row r="1016" spans="1:177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  <c r="AB1016" s="48"/>
      <c r="AC1016" s="48"/>
      <c r="AD1016" s="48"/>
      <c r="AE1016" s="48"/>
      <c r="AF1016" s="48"/>
      <c r="AG1016" s="48"/>
      <c r="AH1016" s="48"/>
      <c r="AI1016" s="48"/>
      <c r="AJ1016" s="48"/>
      <c r="AK1016" s="48"/>
      <c r="AL1016" s="48"/>
      <c r="AM1016" s="48"/>
      <c r="AN1016" s="48"/>
      <c r="AO1016" s="48"/>
      <c r="AP1016" s="48"/>
      <c r="AQ1016" s="48"/>
      <c r="AR1016" s="48"/>
      <c r="AS1016" s="48"/>
      <c r="AT1016" s="48"/>
      <c r="AU1016" s="48"/>
      <c r="AV1016" s="48"/>
      <c r="AW1016" s="48"/>
      <c r="AX1016" s="48"/>
      <c r="AY1016" s="48"/>
      <c r="AZ1016" s="48"/>
      <c r="BA1016" s="48"/>
      <c r="BB1016" s="48"/>
      <c r="BC1016" s="48"/>
      <c r="BD1016" s="48"/>
      <c r="BE1016" s="52"/>
      <c r="BF1016" s="48"/>
      <c r="BG1016" s="48"/>
      <c r="BI1016" s="48"/>
      <c r="BN1016" s="48"/>
      <c r="BO1016" s="48"/>
      <c r="BR1016" s="48"/>
      <c r="BS1016" s="48"/>
      <c r="BW1016" s="48"/>
      <c r="CA1016" s="48"/>
      <c r="CE1016" s="48"/>
      <c r="CF1016" s="48"/>
      <c r="CG1016" s="48"/>
      <c r="CH1016" s="48"/>
      <c r="CI1016" s="48"/>
      <c r="CJ1016" s="48"/>
      <c r="CL1016" s="48"/>
      <c r="CM1016" s="48"/>
      <c r="CN1016" s="48"/>
      <c r="CO1016" s="48"/>
      <c r="CP1016" s="48"/>
      <c r="CQ1016" s="48"/>
      <c r="CR1016" s="48"/>
      <c r="CS1016" s="48"/>
      <c r="CT1016" s="48"/>
      <c r="CU1016" s="48"/>
      <c r="CV1016" s="48"/>
      <c r="CW1016" s="48"/>
      <c r="CX1016" s="48"/>
      <c r="CY1016" s="48"/>
      <c r="CZ1016" s="48"/>
      <c r="DA1016" s="48"/>
      <c r="DB1016" s="48"/>
      <c r="DC1016" s="48"/>
      <c r="DD1016" s="48"/>
      <c r="DE1016" s="48"/>
      <c r="DF1016" s="48"/>
      <c r="DG1016" s="48"/>
      <c r="DH1016" s="48"/>
      <c r="DI1016" s="48"/>
      <c r="DJ1016" s="48"/>
      <c r="DK1016" s="48"/>
      <c r="DL1016" s="48"/>
      <c r="DM1016" s="48"/>
      <c r="DN1016" s="48"/>
      <c r="DO1016" s="48"/>
      <c r="DP1016" s="48"/>
      <c r="DQ1016" s="48"/>
      <c r="DR1016" s="48"/>
      <c r="DS1016" s="48"/>
      <c r="DT1016" s="48"/>
      <c r="DU1016" s="48"/>
      <c r="DV1016" s="48"/>
      <c r="DW1016" s="48"/>
      <c r="DX1016" s="48"/>
      <c r="DY1016" s="48"/>
      <c r="DZ1016" s="48"/>
      <c r="EA1016" s="48"/>
      <c r="EC1016" s="48"/>
      <c r="ED1016" s="48"/>
      <c r="EE1016" s="48"/>
      <c r="EF1016" s="48"/>
      <c r="EG1016" s="48"/>
      <c r="EI1016" s="48"/>
      <c r="EK1016" s="48"/>
      <c r="EM1016" s="48"/>
      <c r="EO1016" s="48"/>
      <c r="EP1016" s="48"/>
      <c r="EU1016" s="48"/>
      <c r="EV1016" s="48"/>
      <c r="EW1016" s="48"/>
      <c r="EX1016" s="48"/>
      <c r="EY1016" s="48"/>
      <c r="EZ1016" s="48"/>
      <c r="FA1016" s="48"/>
      <c r="FB1016" s="48"/>
      <c r="FC1016" s="48"/>
      <c r="FD1016" s="48"/>
      <c r="FE1016" s="48"/>
      <c r="FF1016" s="48"/>
      <c r="FG1016" s="48"/>
      <c r="FI1016" s="48"/>
      <c r="FL1016" s="48"/>
      <c r="FM1016" s="48"/>
      <c r="FN1016" s="48"/>
      <c r="FO1016" s="48"/>
      <c r="FP1016" s="48"/>
      <c r="FQ1016" s="48"/>
      <c r="FR1016" s="48"/>
      <c r="FS1016" s="48"/>
      <c r="FT1016" s="48"/>
      <c r="FU1016" s="48"/>
    </row>
    <row r="1017" spans="1:177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  <c r="AB1017" s="48"/>
      <c r="AC1017" s="48"/>
      <c r="AD1017" s="48"/>
      <c r="AE1017" s="48"/>
      <c r="AF1017" s="48"/>
      <c r="AG1017" s="48"/>
      <c r="AH1017" s="48"/>
      <c r="AI1017" s="48"/>
      <c r="AJ1017" s="48"/>
      <c r="AK1017" s="48"/>
      <c r="AL1017" s="48"/>
      <c r="AM1017" s="48"/>
      <c r="AN1017" s="48"/>
      <c r="AO1017" s="48"/>
      <c r="AP1017" s="48"/>
      <c r="AQ1017" s="48"/>
      <c r="AR1017" s="48"/>
      <c r="AS1017" s="48"/>
      <c r="AT1017" s="48"/>
      <c r="AU1017" s="48"/>
      <c r="AV1017" s="48"/>
      <c r="AW1017" s="48"/>
      <c r="AX1017" s="48"/>
      <c r="AY1017" s="48"/>
      <c r="AZ1017" s="48"/>
      <c r="BA1017" s="48"/>
      <c r="BB1017" s="48"/>
      <c r="BC1017" s="48"/>
      <c r="BD1017" s="48"/>
      <c r="BE1017" s="52"/>
      <c r="BF1017" s="48"/>
      <c r="BG1017" s="48"/>
      <c r="BI1017" s="48"/>
      <c r="BN1017" s="48"/>
      <c r="BO1017" s="48"/>
      <c r="BR1017" s="48"/>
      <c r="BS1017" s="48"/>
      <c r="BW1017" s="48"/>
      <c r="CA1017" s="48"/>
      <c r="CE1017" s="48"/>
      <c r="CF1017" s="48"/>
      <c r="CG1017" s="48"/>
      <c r="CH1017" s="48"/>
      <c r="CI1017" s="48"/>
      <c r="CJ1017" s="48"/>
      <c r="CL1017" s="48"/>
      <c r="CM1017" s="48"/>
      <c r="CN1017" s="48"/>
      <c r="CO1017" s="48"/>
      <c r="CP1017" s="48"/>
      <c r="CQ1017" s="48"/>
      <c r="CR1017" s="48"/>
      <c r="CS1017" s="48"/>
      <c r="CT1017" s="48"/>
      <c r="CU1017" s="48"/>
      <c r="CV1017" s="48"/>
      <c r="CW1017" s="48"/>
      <c r="CX1017" s="48"/>
      <c r="CY1017" s="48"/>
      <c r="CZ1017" s="48"/>
      <c r="DA1017" s="48"/>
      <c r="DB1017" s="48"/>
      <c r="DC1017" s="48"/>
      <c r="DD1017" s="48"/>
      <c r="DE1017" s="48"/>
      <c r="DF1017" s="48"/>
      <c r="DG1017" s="48"/>
      <c r="DH1017" s="48"/>
      <c r="DI1017" s="48"/>
      <c r="DJ1017" s="48"/>
      <c r="DK1017" s="48"/>
      <c r="DL1017" s="48"/>
      <c r="DM1017" s="48"/>
      <c r="DN1017" s="48"/>
      <c r="DO1017" s="48"/>
      <c r="DP1017" s="48"/>
      <c r="DQ1017" s="48"/>
      <c r="DR1017" s="48"/>
      <c r="DS1017" s="48"/>
      <c r="DT1017" s="48"/>
      <c r="DU1017" s="48"/>
      <c r="DV1017" s="48"/>
      <c r="DW1017" s="48"/>
      <c r="DX1017" s="48"/>
      <c r="DY1017" s="48"/>
      <c r="DZ1017" s="48"/>
      <c r="EA1017" s="48"/>
      <c r="EC1017" s="48"/>
      <c r="ED1017" s="48"/>
      <c r="EE1017" s="48"/>
      <c r="EF1017" s="48"/>
      <c r="EG1017" s="48"/>
      <c r="EI1017" s="48"/>
      <c r="EK1017" s="48"/>
      <c r="EM1017" s="48"/>
      <c r="EO1017" s="48"/>
      <c r="EP1017" s="48"/>
      <c r="EU1017" s="48"/>
      <c r="EV1017" s="48"/>
      <c r="EW1017" s="48"/>
      <c r="EX1017" s="48"/>
      <c r="EY1017" s="48"/>
      <c r="EZ1017" s="48"/>
      <c r="FA1017" s="48"/>
      <c r="FB1017" s="48"/>
      <c r="FC1017" s="48"/>
      <c r="FD1017" s="48"/>
      <c r="FE1017" s="48"/>
      <c r="FF1017" s="48"/>
      <c r="FG1017" s="48"/>
      <c r="FI1017" s="48"/>
      <c r="FL1017" s="48"/>
      <c r="FM1017" s="48"/>
      <c r="FN1017" s="48"/>
      <c r="FO1017" s="48"/>
      <c r="FP1017" s="48"/>
      <c r="FQ1017" s="48"/>
      <c r="FR1017" s="48"/>
      <c r="FS1017" s="48"/>
      <c r="FT1017" s="48"/>
      <c r="FU1017" s="48"/>
    </row>
    <row r="1018" spans="1:177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  <c r="AD1018" s="48"/>
      <c r="AE1018" s="48"/>
      <c r="AF1018" s="48"/>
      <c r="AG1018" s="48"/>
      <c r="AH1018" s="48"/>
      <c r="AI1018" s="48"/>
      <c r="AJ1018" s="48"/>
      <c r="AK1018" s="48"/>
      <c r="AL1018" s="48"/>
      <c r="AM1018" s="48"/>
      <c r="AN1018" s="48"/>
      <c r="AO1018" s="48"/>
      <c r="AP1018" s="48"/>
      <c r="AQ1018" s="48"/>
      <c r="AR1018" s="48"/>
      <c r="AS1018" s="48"/>
      <c r="AT1018" s="48"/>
      <c r="AU1018" s="48"/>
      <c r="AV1018" s="48"/>
      <c r="AW1018" s="48"/>
      <c r="AX1018" s="48"/>
      <c r="AY1018" s="48"/>
      <c r="AZ1018" s="48"/>
      <c r="BA1018" s="48"/>
      <c r="BB1018" s="48"/>
      <c r="BC1018" s="48"/>
      <c r="BD1018" s="48"/>
      <c r="BE1018" s="52"/>
      <c r="BF1018" s="48"/>
      <c r="BG1018" s="48"/>
      <c r="BI1018" s="48"/>
      <c r="BN1018" s="48"/>
      <c r="BO1018" s="48"/>
      <c r="BR1018" s="48"/>
      <c r="BS1018" s="48"/>
      <c r="BW1018" s="48"/>
      <c r="CA1018" s="48"/>
      <c r="CE1018" s="48"/>
      <c r="CF1018" s="48"/>
      <c r="CG1018" s="48"/>
      <c r="CH1018" s="48"/>
      <c r="CI1018" s="48"/>
      <c r="CJ1018" s="48"/>
      <c r="CL1018" s="48"/>
      <c r="CM1018" s="48"/>
      <c r="CN1018" s="48"/>
      <c r="CO1018" s="48"/>
      <c r="CP1018" s="48"/>
      <c r="CQ1018" s="48"/>
      <c r="CR1018" s="48"/>
      <c r="CS1018" s="48"/>
      <c r="CT1018" s="48"/>
      <c r="CU1018" s="48"/>
      <c r="CV1018" s="48"/>
      <c r="CW1018" s="48"/>
      <c r="CX1018" s="48"/>
      <c r="CY1018" s="48"/>
      <c r="CZ1018" s="48"/>
      <c r="DA1018" s="48"/>
      <c r="DB1018" s="48"/>
      <c r="DC1018" s="48"/>
      <c r="DD1018" s="48"/>
      <c r="DE1018" s="48"/>
      <c r="DF1018" s="48"/>
      <c r="DG1018" s="48"/>
      <c r="DH1018" s="48"/>
      <c r="DI1018" s="48"/>
      <c r="DJ1018" s="48"/>
      <c r="DK1018" s="48"/>
      <c r="DL1018" s="48"/>
      <c r="DM1018" s="48"/>
      <c r="DN1018" s="48"/>
      <c r="DO1018" s="48"/>
      <c r="DP1018" s="48"/>
      <c r="DQ1018" s="48"/>
      <c r="DR1018" s="48"/>
      <c r="DS1018" s="48"/>
      <c r="DT1018" s="48"/>
      <c r="DU1018" s="48"/>
      <c r="DV1018" s="48"/>
      <c r="DW1018" s="48"/>
      <c r="DX1018" s="48"/>
      <c r="DY1018" s="48"/>
      <c r="DZ1018" s="48"/>
      <c r="EA1018" s="48"/>
      <c r="EC1018" s="48"/>
      <c r="ED1018" s="48"/>
      <c r="EE1018" s="48"/>
      <c r="EF1018" s="48"/>
      <c r="EG1018" s="48"/>
      <c r="EI1018" s="48"/>
      <c r="EK1018" s="48"/>
      <c r="EM1018" s="48"/>
      <c r="EO1018" s="48"/>
      <c r="EP1018" s="48"/>
      <c r="EU1018" s="48"/>
      <c r="EV1018" s="48"/>
      <c r="EW1018" s="48"/>
      <c r="EX1018" s="48"/>
      <c r="EY1018" s="48"/>
      <c r="EZ1018" s="48"/>
      <c r="FA1018" s="48"/>
      <c r="FB1018" s="48"/>
      <c r="FC1018" s="48"/>
      <c r="FD1018" s="48"/>
      <c r="FE1018" s="48"/>
      <c r="FF1018" s="48"/>
      <c r="FG1018" s="48"/>
      <c r="FI1018" s="48"/>
      <c r="FL1018" s="48"/>
      <c r="FM1018" s="48"/>
      <c r="FN1018" s="48"/>
      <c r="FO1018" s="48"/>
      <c r="FP1018" s="48"/>
      <c r="FQ1018" s="48"/>
      <c r="FR1018" s="48"/>
      <c r="FS1018" s="48"/>
      <c r="FT1018" s="48"/>
      <c r="FU1018" s="48"/>
    </row>
    <row r="1019" spans="1:177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  <c r="AB1019" s="48"/>
      <c r="AC1019" s="48"/>
      <c r="AD1019" s="48"/>
      <c r="AE1019" s="48"/>
      <c r="AF1019" s="48"/>
      <c r="AG1019" s="48"/>
      <c r="AH1019" s="48"/>
      <c r="AI1019" s="48"/>
      <c r="AJ1019" s="48"/>
      <c r="AK1019" s="48"/>
      <c r="AL1019" s="48"/>
      <c r="AM1019" s="48"/>
      <c r="AN1019" s="48"/>
      <c r="AO1019" s="48"/>
      <c r="AP1019" s="48"/>
      <c r="AQ1019" s="48"/>
      <c r="AR1019" s="48"/>
      <c r="AS1019" s="48"/>
      <c r="AT1019" s="48"/>
      <c r="AU1019" s="48"/>
      <c r="AV1019" s="48"/>
      <c r="AW1019" s="48"/>
      <c r="AX1019" s="48"/>
      <c r="AY1019" s="48"/>
      <c r="AZ1019" s="48"/>
      <c r="BA1019" s="48"/>
      <c r="BB1019" s="48"/>
      <c r="BC1019" s="48"/>
      <c r="BD1019" s="48"/>
      <c r="BE1019" s="52"/>
      <c r="BF1019" s="48"/>
      <c r="BG1019" s="48"/>
      <c r="BI1019" s="48"/>
      <c r="BN1019" s="48"/>
      <c r="BO1019" s="48"/>
      <c r="BR1019" s="48"/>
      <c r="BS1019" s="48"/>
      <c r="BW1019" s="48"/>
      <c r="CA1019" s="48"/>
      <c r="CE1019" s="48"/>
      <c r="CF1019" s="48"/>
      <c r="CG1019" s="48"/>
      <c r="CH1019" s="48"/>
      <c r="CI1019" s="48"/>
      <c r="CJ1019" s="48"/>
      <c r="CL1019" s="48"/>
      <c r="CM1019" s="48"/>
      <c r="CN1019" s="48"/>
      <c r="CO1019" s="48"/>
      <c r="CP1019" s="48"/>
      <c r="CQ1019" s="48"/>
      <c r="CR1019" s="48"/>
      <c r="CS1019" s="48"/>
      <c r="CT1019" s="48"/>
      <c r="CU1019" s="48"/>
      <c r="CV1019" s="48"/>
      <c r="CW1019" s="48"/>
      <c r="CX1019" s="48"/>
      <c r="CY1019" s="48"/>
      <c r="CZ1019" s="48"/>
      <c r="DA1019" s="48"/>
      <c r="DB1019" s="48"/>
      <c r="DC1019" s="48"/>
      <c r="DD1019" s="48"/>
      <c r="DE1019" s="48"/>
      <c r="DF1019" s="48"/>
      <c r="DG1019" s="48"/>
      <c r="DH1019" s="48"/>
      <c r="DI1019" s="48"/>
      <c r="DJ1019" s="48"/>
      <c r="DK1019" s="48"/>
      <c r="DL1019" s="48"/>
      <c r="DM1019" s="48"/>
      <c r="DN1019" s="48"/>
      <c r="DO1019" s="48"/>
      <c r="DP1019" s="48"/>
      <c r="DQ1019" s="48"/>
      <c r="DR1019" s="48"/>
      <c r="DS1019" s="48"/>
      <c r="DT1019" s="48"/>
      <c r="DU1019" s="48"/>
      <c r="DV1019" s="48"/>
      <c r="DW1019" s="48"/>
      <c r="DX1019" s="48"/>
      <c r="DY1019" s="48"/>
      <c r="DZ1019" s="48"/>
      <c r="EA1019" s="48"/>
      <c r="EC1019" s="48"/>
      <c r="ED1019" s="48"/>
      <c r="EE1019" s="48"/>
      <c r="EF1019" s="48"/>
      <c r="EG1019" s="48"/>
      <c r="EI1019" s="48"/>
      <c r="EK1019" s="48"/>
      <c r="EM1019" s="48"/>
      <c r="EO1019" s="48"/>
      <c r="EP1019" s="48"/>
      <c r="EU1019" s="48"/>
      <c r="EV1019" s="48"/>
      <c r="EW1019" s="48"/>
      <c r="EX1019" s="48"/>
      <c r="EY1019" s="48"/>
      <c r="EZ1019" s="48"/>
      <c r="FA1019" s="48"/>
      <c r="FB1019" s="48"/>
      <c r="FC1019" s="48"/>
      <c r="FD1019" s="48"/>
      <c r="FE1019" s="48"/>
      <c r="FF1019" s="48"/>
      <c r="FG1019" s="48"/>
      <c r="FI1019" s="48"/>
      <c r="FL1019" s="48"/>
      <c r="FM1019" s="48"/>
      <c r="FN1019" s="48"/>
      <c r="FO1019" s="48"/>
      <c r="FP1019" s="48"/>
      <c r="FQ1019" s="48"/>
      <c r="FR1019" s="48"/>
      <c r="FS1019" s="48"/>
      <c r="FT1019" s="48"/>
      <c r="FU1019" s="48"/>
    </row>
  </sheetData>
  <autoFilter ref="A2:GF286" xr:uid="{6DDBC1EC-7C5F-4FF7-9925-4EA63DF2C6BE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EA97-50AC-4850-9A13-577BBAE0B786}">
  <dimension ref="A1:F6"/>
  <sheetViews>
    <sheetView workbookViewId="0">
      <selection activeCell="F5" sqref="F5"/>
    </sheetView>
  </sheetViews>
  <sheetFormatPr defaultRowHeight="13.5"/>
  <cols>
    <col min="1" max="1" width="9.140625" customWidth="1"/>
    <col min="2" max="2" width="16" customWidth="1"/>
  </cols>
  <sheetData>
    <row r="1" spans="1:6" ht="81" customHeight="1">
      <c r="A1" s="65" t="s">
        <v>2110</v>
      </c>
      <c r="B1" s="65"/>
    </row>
    <row r="2" spans="1:6">
      <c r="A2" t="s">
        <v>2103</v>
      </c>
      <c r="B2" t="str">
        <f>""</f>
        <v/>
      </c>
      <c r="C2" s="48" t="s">
        <v>2176</v>
      </c>
      <c r="D2" t="s">
        <v>2183</v>
      </c>
      <c r="E2" s="49" t="s">
        <v>1810</v>
      </c>
      <c r="F2" t="s">
        <v>2531</v>
      </c>
    </row>
    <row r="3" spans="1:6">
      <c r="A3" t="s">
        <v>2104</v>
      </c>
      <c r="B3" t="s">
        <v>2108</v>
      </c>
      <c r="C3" s="48" t="s">
        <v>2175</v>
      </c>
      <c r="D3" t="s">
        <v>2184</v>
      </c>
      <c r="E3" s="49" t="s">
        <v>2085</v>
      </c>
      <c r="F3" t="s">
        <v>1804</v>
      </c>
    </row>
    <row r="4" spans="1:6">
      <c r="A4" t="s">
        <v>2105</v>
      </c>
      <c r="B4" t="s">
        <v>2109</v>
      </c>
      <c r="C4" s="48" t="s">
        <v>2542</v>
      </c>
      <c r="D4" t="s">
        <v>2532</v>
      </c>
      <c r="E4" s="49" t="s">
        <v>1822</v>
      </c>
      <c r="F4" t="s">
        <v>2185</v>
      </c>
    </row>
    <row r="5" spans="1:6">
      <c r="A5" t="s">
        <v>2106</v>
      </c>
      <c r="B5" t="s">
        <v>2108</v>
      </c>
      <c r="E5" s="49" t="s">
        <v>1824</v>
      </c>
      <c r="F5" t="s">
        <v>2111</v>
      </c>
    </row>
    <row r="6" spans="1:6">
      <c r="A6" t="s">
        <v>2107</v>
      </c>
      <c r="B6" t="s">
        <v>1803</v>
      </c>
      <c r="E6" s="48" t="s">
        <v>2538</v>
      </c>
      <c r="F6" t="s">
        <v>2537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1FAA-F151-406D-A772-C5A1C905CC32}">
  <sheetPr>
    <tabColor rgb="FF002060"/>
  </sheetPr>
  <dimension ref="A1:D24"/>
  <sheetViews>
    <sheetView showGridLines="0" zoomScale="115" zoomScaleNormal="115" workbookViewId="0">
      <pane ySplit="1" topLeftCell="A2" activePane="bottomLeft" state="frozen"/>
      <selection activeCell="D32" sqref="D32:E32"/>
      <selection pane="bottomLeft" activeCell="A21" sqref="A21"/>
    </sheetView>
  </sheetViews>
  <sheetFormatPr defaultColWidth="41.5703125" defaultRowHeight="12.75"/>
  <cols>
    <col min="1" max="1" width="76" style="30" customWidth="1"/>
    <col min="2" max="2" width="92.42578125" style="31" customWidth="1"/>
    <col min="3" max="3" width="13.42578125" style="32" bestFit="1" customWidth="1"/>
    <col min="4" max="4" width="23.85546875" style="32" customWidth="1"/>
    <col min="5" max="16384" width="41.5703125" style="29"/>
  </cols>
  <sheetData>
    <row r="1" spans="1:4">
      <c r="A1" s="28" t="s">
        <v>1750</v>
      </c>
      <c r="B1" s="28" t="s">
        <v>1751</v>
      </c>
      <c r="C1" s="28" t="s">
        <v>1747</v>
      </c>
      <c r="D1" s="28" t="s">
        <v>1752</v>
      </c>
    </row>
    <row r="2" spans="1:4" s="34" customFormat="1" ht="13.5">
      <c r="A2" s="33" t="s">
        <v>1753</v>
      </c>
      <c r="B2" s="33" t="s">
        <v>1754</v>
      </c>
      <c r="C2" s="19" t="s">
        <v>1756</v>
      </c>
      <c r="D2" s="19" t="s">
        <v>1755</v>
      </c>
    </row>
    <row r="3" spans="1:4" s="34" customFormat="1">
      <c r="A3" s="33" t="s">
        <v>1757</v>
      </c>
      <c r="B3" s="33" t="s">
        <v>1758</v>
      </c>
      <c r="C3" s="19" t="s">
        <v>1756</v>
      </c>
      <c r="D3" s="19" t="s">
        <v>1755</v>
      </c>
    </row>
    <row r="4" spans="1:4" s="34" customFormat="1">
      <c r="A4" s="33" t="s">
        <v>1759</v>
      </c>
      <c r="B4" s="33" t="s">
        <v>1760</v>
      </c>
      <c r="C4" s="19" t="s">
        <v>1756</v>
      </c>
      <c r="D4" s="19" t="s">
        <v>1761</v>
      </c>
    </row>
    <row r="5" spans="1:4" s="34" customFormat="1">
      <c r="A5" s="33" t="s">
        <v>1762</v>
      </c>
      <c r="B5" s="33" t="s">
        <v>1763</v>
      </c>
      <c r="C5" s="19" t="s">
        <v>1756</v>
      </c>
      <c r="D5" s="19" t="s">
        <v>1755</v>
      </c>
    </row>
    <row r="6" spans="1:4" s="34" customFormat="1">
      <c r="A6" s="33" t="s">
        <v>1764</v>
      </c>
      <c r="B6" s="33" t="s">
        <v>1765</v>
      </c>
      <c r="C6" s="19" t="s">
        <v>1756</v>
      </c>
      <c r="D6" s="19" t="s">
        <v>1755</v>
      </c>
    </row>
    <row r="7" spans="1:4" s="34" customFormat="1" ht="13.5">
      <c r="A7" s="33" t="s">
        <v>1766</v>
      </c>
      <c r="B7" s="33" t="s">
        <v>1767</v>
      </c>
      <c r="C7" s="19" t="s">
        <v>1756</v>
      </c>
      <c r="D7" s="19" t="s">
        <v>1755</v>
      </c>
    </row>
    <row r="8" spans="1:4" s="34" customFormat="1" ht="13.5">
      <c r="A8" s="33" t="s">
        <v>1768</v>
      </c>
      <c r="B8" s="33" t="s">
        <v>1769</v>
      </c>
      <c r="C8" s="19" t="s">
        <v>1756</v>
      </c>
      <c r="D8" s="19" t="s">
        <v>1761</v>
      </c>
    </row>
    <row r="9" spans="1:4" s="34" customFormat="1">
      <c r="A9" s="33" t="s">
        <v>1770</v>
      </c>
      <c r="B9" s="33" t="s">
        <v>1771</v>
      </c>
      <c r="C9" s="19" t="s">
        <v>1756</v>
      </c>
      <c r="D9" s="19" t="s">
        <v>1761</v>
      </c>
    </row>
    <row r="10" spans="1:4" s="34" customFormat="1">
      <c r="A10" s="33" t="s">
        <v>1746</v>
      </c>
      <c r="B10" s="33" t="s">
        <v>1772</v>
      </c>
      <c r="C10" s="19" t="s">
        <v>1756</v>
      </c>
      <c r="D10" s="19" t="s">
        <v>1761</v>
      </c>
    </row>
    <row r="11" spans="1:4" s="34" customFormat="1" ht="13.5">
      <c r="A11" s="33" t="s">
        <v>1773</v>
      </c>
      <c r="B11" s="33" t="s">
        <v>1774</v>
      </c>
      <c r="C11" s="19" t="s">
        <v>1756</v>
      </c>
      <c r="D11" s="19" t="s">
        <v>1761</v>
      </c>
    </row>
    <row r="12" spans="1:4" s="34" customFormat="1" ht="13.5">
      <c r="A12" s="33" t="s">
        <v>1775</v>
      </c>
      <c r="B12" s="33" t="s">
        <v>1776</v>
      </c>
      <c r="C12" s="19" t="s">
        <v>1756</v>
      </c>
      <c r="D12" s="19" t="s">
        <v>1755</v>
      </c>
    </row>
    <row r="13" spans="1:4" s="34" customFormat="1">
      <c r="A13" s="33" t="s">
        <v>1777</v>
      </c>
      <c r="B13" s="33" t="s">
        <v>1778</v>
      </c>
      <c r="C13" s="19" t="s">
        <v>1756</v>
      </c>
      <c r="D13" s="19" t="s">
        <v>1755</v>
      </c>
    </row>
    <row r="14" spans="1:4" s="34" customFormat="1">
      <c r="A14" s="33" t="s">
        <v>1779</v>
      </c>
      <c r="B14" s="33" t="s">
        <v>1780</v>
      </c>
      <c r="C14" s="19" t="s">
        <v>1756</v>
      </c>
      <c r="D14" s="19" t="s">
        <v>1761</v>
      </c>
    </row>
    <row r="15" spans="1:4" s="34" customFormat="1">
      <c r="A15" s="33" t="s">
        <v>1781</v>
      </c>
      <c r="B15" s="33" t="s">
        <v>1782</v>
      </c>
      <c r="C15" s="19" t="s">
        <v>1756</v>
      </c>
      <c r="D15" s="19" t="s">
        <v>1783</v>
      </c>
    </row>
    <row r="16" spans="1:4" s="34" customFormat="1" ht="13.5">
      <c r="A16" s="33" t="s">
        <v>1784</v>
      </c>
      <c r="B16" s="33" t="s">
        <v>1785</v>
      </c>
      <c r="C16" s="19" t="s">
        <v>1756</v>
      </c>
      <c r="D16" s="19" t="s">
        <v>1755</v>
      </c>
    </row>
    <row r="17" spans="1:4" s="34" customFormat="1" ht="13.5">
      <c r="A17" s="33" t="s">
        <v>1786</v>
      </c>
      <c r="B17" s="33" t="s">
        <v>1787</v>
      </c>
      <c r="C17" s="19" t="s">
        <v>1756</v>
      </c>
      <c r="D17" s="19" t="s">
        <v>1755</v>
      </c>
    </row>
    <row r="18" spans="1:4" s="34" customFormat="1">
      <c r="A18" s="33" t="s">
        <v>1788</v>
      </c>
      <c r="B18" s="33" t="s">
        <v>1789</v>
      </c>
      <c r="C18" s="19" t="s">
        <v>1790</v>
      </c>
      <c r="D18" s="19" t="s">
        <v>1761</v>
      </c>
    </row>
    <row r="19" spans="1:4" s="34" customFormat="1">
      <c r="A19" s="33" t="s">
        <v>1791</v>
      </c>
      <c r="B19" s="33" t="s">
        <v>1792</v>
      </c>
      <c r="C19" s="19" t="s">
        <v>1790</v>
      </c>
      <c r="D19" s="19" t="s">
        <v>1783</v>
      </c>
    </row>
    <row r="20" spans="1:4" s="34" customFormat="1">
      <c r="A20" s="33" t="s">
        <v>1793</v>
      </c>
      <c r="B20" s="33" t="s">
        <v>1794</v>
      </c>
      <c r="C20" s="19" t="s">
        <v>1790</v>
      </c>
      <c r="D20" s="19" t="s">
        <v>1755</v>
      </c>
    </row>
    <row r="21" spans="1:4" s="34" customFormat="1">
      <c r="A21" s="33" t="s">
        <v>1795</v>
      </c>
      <c r="B21" s="33" t="s">
        <v>1796</v>
      </c>
      <c r="C21" s="19" t="s">
        <v>1756</v>
      </c>
      <c r="D21" s="19" t="s">
        <v>1783</v>
      </c>
    </row>
    <row r="22" spans="1:4" s="34" customFormat="1">
      <c r="A22" s="33" t="s">
        <v>1797</v>
      </c>
      <c r="B22" s="33" t="s">
        <v>1798</v>
      </c>
      <c r="C22" s="19" t="s">
        <v>1756</v>
      </c>
      <c r="D22" s="19" t="s">
        <v>1761</v>
      </c>
    </row>
    <row r="23" spans="1:4" s="34" customFormat="1">
      <c r="A23" s="33" t="s">
        <v>1799</v>
      </c>
      <c r="B23" s="33" t="s">
        <v>1800</v>
      </c>
      <c r="C23" s="19" t="s">
        <v>1756</v>
      </c>
      <c r="D23" s="19" t="s">
        <v>1755</v>
      </c>
    </row>
    <row r="24" spans="1:4" s="34" customFormat="1" ht="15">
      <c r="A24" s="33" t="s">
        <v>1801</v>
      </c>
      <c r="B24" s="33" t="s">
        <v>1802</v>
      </c>
      <c r="C24" s="19" t="s">
        <v>1756</v>
      </c>
      <c r="D24" s="19" t="s">
        <v>1761</v>
      </c>
    </row>
  </sheetData>
  <phoneticPr fontId="1" type="noConversion"/>
  <pageMargins left="0.7" right="0.7" top="0.75" bottom="0.75" header="0.3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3F56-5A71-47B1-A050-9D18419B9E06}">
  <dimension ref="A1:B559"/>
  <sheetViews>
    <sheetView workbookViewId="0">
      <selection activeCell="E16" sqref="E16"/>
    </sheetView>
  </sheetViews>
  <sheetFormatPr defaultRowHeight="13.5"/>
  <cols>
    <col min="1" max="1" width="27.85546875" customWidth="1"/>
    <col min="2" max="2" width="15.42578125" style="50" bestFit="1" customWidth="1"/>
    <col min="4" max="4" width="9.140625" customWidth="1"/>
  </cols>
  <sheetData>
    <row r="1" spans="1:2">
      <c r="A1">
        <v>134</v>
      </c>
    </row>
    <row r="2" spans="1:2">
      <c r="A2" t="s">
        <v>2018</v>
      </c>
    </row>
    <row r="3" spans="1:2">
      <c r="A3" s="52" t="s">
        <v>2112</v>
      </c>
      <c r="B3" s="50">
        <f>DATE(LEFT(A3,4),MID(A3,5,2),MID(A3,7,2))+TIME(MID(A3,9,2),MID(A3,11,2),"00")</f>
        <v>45453.49722222222</v>
      </c>
    </row>
    <row r="4" spans="1:2">
      <c r="A4" s="48" t="s">
        <v>2113</v>
      </c>
      <c r="B4" s="50">
        <f t="shared" ref="B4:B67" si="0">DATE(LEFT(A4,4),MID(A4,5,2),MID(A4,7,2))+TIME(MID(A4,9,2),MID(A4,11,2),"00")</f>
        <v>45454.48541666667</v>
      </c>
    </row>
    <row r="5" spans="1:2">
      <c r="A5" s="48" t="s">
        <v>2114</v>
      </c>
      <c r="B5" s="50">
        <f t="shared" si="0"/>
        <v>45453.309027777781</v>
      </c>
    </row>
    <row r="6" spans="1:2">
      <c r="A6" s="48" t="s">
        <v>2114</v>
      </c>
      <c r="B6" s="50">
        <f t="shared" si="0"/>
        <v>45453.309027777781</v>
      </c>
    </row>
    <row r="7" spans="1:2">
      <c r="A7" s="48" t="s">
        <v>2114</v>
      </c>
      <c r="B7" s="50">
        <f t="shared" si="0"/>
        <v>45453.309027777781</v>
      </c>
    </row>
    <row r="8" spans="1:2">
      <c r="A8" s="48" t="s">
        <v>2115</v>
      </c>
      <c r="B8" s="50">
        <f t="shared" si="0"/>
        <v>45453.413888888892</v>
      </c>
    </row>
    <row r="9" spans="1:2">
      <c r="A9" s="48" t="s">
        <v>2116</v>
      </c>
      <c r="B9" s="50">
        <f t="shared" si="0"/>
        <v>45453.318055555559</v>
      </c>
    </row>
    <row r="10" spans="1:2">
      <c r="A10" s="48" t="s">
        <v>2117</v>
      </c>
      <c r="B10" s="50">
        <f t="shared" si="0"/>
        <v>45453.381944444445</v>
      </c>
    </row>
    <row r="11" spans="1:2">
      <c r="A11" s="48" t="s">
        <v>2118</v>
      </c>
      <c r="B11" s="50">
        <f t="shared" si="0"/>
        <v>45453.334027777775</v>
      </c>
    </row>
    <row r="12" spans="1:2">
      <c r="A12" s="48" t="s">
        <v>2118</v>
      </c>
      <c r="B12" s="50">
        <f t="shared" si="0"/>
        <v>45453.334027777775</v>
      </c>
    </row>
    <row r="13" spans="1:2">
      <c r="A13" s="48" t="s">
        <v>2118</v>
      </c>
      <c r="B13" s="50">
        <f t="shared" si="0"/>
        <v>45453.334027777775</v>
      </c>
    </row>
    <row r="14" spans="1:2">
      <c r="A14" s="48" t="s">
        <v>2118</v>
      </c>
      <c r="B14" s="50">
        <f t="shared" si="0"/>
        <v>45453.334027777775</v>
      </c>
    </row>
    <row r="15" spans="1:2">
      <c r="A15" s="48" t="s">
        <v>2118</v>
      </c>
      <c r="B15" s="50">
        <f t="shared" si="0"/>
        <v>45453.334027777775</v>
      </c>
    </row>
    <row r="16" spans="1:2">
      <c r="A16" s="48" t="s">
        <v>2119</v>
      </c>
      <c r="B16" s="50">
        <f t="shared" si="0"/>
        <v>45453.401388888888</v>
      </c>
    </row>
    <row r="17" spans="1:2">
      <c r="A17" s="48" t="s">
        <v>2118</v>
      </c>
      <c r="B17" s="50">
        <f t="shared" si="0"/>
        <v>45453.334027777775</v>
      </c>
    </row>
    <row r="18" spans="1:2">
      <c r="A18" s="48" t="s">
        <v>2118</v>
      </c>
      <c r="B18" s="50">
        <f t="shared" si="0"/>
        <v>45453.334027777775</v>
      </c>
    </row>
    <row r="19" spans="1:2">
      <c r="A19" s="48" t="s">
        <v>2118</v>
      </c>
      <c r="B19" s="50">
        <f t="shared" si="0"/>
        <v>45453.334027777775</v>
      </c>
    </row>
    <row r="20" spans="1:2">
      <c r="A20" s="48" t="s">
        <v>2118</v>
      </c>
      <c r="B20" s="50">
        <f t="shared" si="0"/>
        <v>45453.334027777775</v>
      </c>
    </row>
    <row r="21" spans="1:2">
      <c r="A21" s="48" t="s">
        <v>2120</v>
      </c>
      <c r="B21" s="50">
        <f t="shared" si="0"/>
        <v>45453.34375</v>
      </c>
    </row>
    <row r="22" spans="1:2">
      <c r="A22" s="48" t="s">
        <v>2121</v>
      </c>
      <c r="B22" s="50">
        <f t="shared" si="0"/>
        <v>45453.353472222225</v>
      </c>
    </row>
    <row r="23" spans="1:2">
      <c r="A23" s="48" t="s">
        <v>2122</v>
      </c>
      <c r="B23" s="50">
        <f t="shared" si="0"/>
        <v>45453.356249999997</v>
      </c>
    </row>
    <row r="24" spans="1:2">
      <c r="A24" s="48" t="s">
        <v>2122</v>
      </c>
      <c r="B24" s="50">
        <f t="shared" si="0"/>
        <v>45453.356249999997</v>
      </c>
    </row>
    <row r="25" spans="1:2">
      <c r="A25" s="48" t="s">
        <v>2123</v>
      </c>
      <c r="B25" s="50">
        <f t="shared" si="0"/>
        <v>45453.357638888891</v>
      </c>
    </row>
    <row r="26" spans="1:2">
      <c r="A26" s="48" t="s">
        <v>2124</v>
      </c>
      <c r="B26" s="50">
        <f t="shared" si="0"/>
        <v>45453.37222222222</v>
      </c>
    </row>
    <row r="27" spans="1:2">
      <c r="A27" s="48" t="s">
        <v>2124</v>
      </c>
      <c r="B27" s="50">
        <f t="shared" si="0"/>
        <v>45453.37222222222</v>
      </c>
    </row>
    <row r="28" spans="1:2">
      <c r="A28" s="48" t="s">
        <v>2125</v>
      </c>
      <c r="B28" s="50">
        <f t="shared" si="0"/>
        <v>45454.397222222222</v>
      </c>
    </row>
    <row r="29" spans="1:2">
      <c r="A29" s="48" t="s">
        <v>2126</v>
      </c>
      <c r="B29" s="50">
        <f t="shared" si="0"/>
        <v>45454.409722222219</v>
      </c>
    </row>
    <row r="30" spans="1:2">
      <c r="A30" s="48" t="s">
        <v>2126</v>
      </c>
      <c r="B30" s="50">
        <f t="shared" si="0"/>
        <v>45454.409722222219</v>
      </c>
    </row>
    <row r="31" spans="1:2">
      <c r="A31" s="48" t="s">
        <v>2126</v>
      </c>
      <c r="B31" s="50">
        <f t="shared" si="0"/>
        <v>45454.409722222219</v>
      </c>
    </row>
    <row r="32" spans="1:2">
      <c r="A32" s="48" t="s">
        <v>2126</v>
      </c>
      <c r="B32" s="50">
        <f t="shared" si="0"/>
        <v>45454.409722222219</v>
      </c>
    </row>
    <row r="33" spans="1:2">
      <c r="A33" s="48" t="s">
        <v>2126</v>
      </c>
      <c r="B33" s="50">
        <f t="shared" si="0"/>
        <v>45454.409722222219</v>
      </c>
    </row>
    <row r="34" spans="1:2">
      <c r="A34" s="48" t="s">
        <v>2127</v>
      </c>
      <c r="B34" s="50">
        <f t="shared" si="0"/>
        <v>45454.419444444444</v>
      </c>
    </row>
    <row r="35" spans="1:2">
      <c r="A35" s="48" t="s">
        <v>2128</v>
      </c>
      <c r="B35" s="50">
        <f t="shared" si="0"/>
        <v>45454.574305555558</v>
      </c>
    </row>
    <row r="36" spans="1:2">
      <c r="A36" s="48" t="s">
        <v>2129</v>
      </c>
      <c r="B36" s="50">
        <f t="shared" si="0"/>
        <v>45453.362500000003</v>
      </c>
    </row>
    <row r="37" spans="1:2">
      <c r="A37" s="48" t="s">
        <v>2130</v>
      </c>
      <c r="B37" s="50">
        <f t="shared" si="0"/>
        <v>45453.373611111114</v>
      </c>
    </row>
    <row r="38" spans="1:2">
      <c r="A38" s="48" t="s">
        <v>2115</v>
      </c>
      <c r="B38" s="50">
        <f t="shared" si="0"/>
        <v>45453.413888888892</v>
      </c>
    </row>
    <row r="39" spans="1:2">
      <c r="A39" s="48" t="s">
        <v>2131</v>
      </c>
      <c r="B39" s="50">
        <f t="shared" si="0"/>
        <v>45453.376388888886</v>
      </c>
    </row>
    <row r="40" spans="1:2">
      <c r="A40" s="48" t="s">
        <v>2132</v>
      </c>
      <c r="B40" s="50">
        <f t="shared" si="0"/>
        <v>45453.386805555558</v>
      </c>
    </row>
    <row r="41" spans="1:2">
      <c r="A41" s="48" t="s">
        <v>2133</v>
      </c>
      <c r="B41" s="50">
        <f t="shared" si="0"/>
        <v>45453.394444444442</v>
      </c>
    </row>
    <row r="42" spans="1:2">
      <c r="A42" s="48" t="s">
        <v>2134</v>
      </c>
      <c r="B42" s="50">
        <f t="shared" si="0"/>
        <v>45453.395833333336</v>
      </c>
    </row>
    <row r="43" spans="1:2">
      <c r="A43" s="48" t="s">
        <v>2135</v>
      </c>
      <c r="B43" s="50">
        <f t="shared" si="0"/>
        <v>45453.396527777775</v>
      </c>
    </row>
    <row r="44" spans="1:2">
      <c r="A44" s="48" t="s">
        <v>2136</v>
      </c>
      <c r="B44" s="50">
        <f t="shared" si="0"/>
        <v>45453.397916666669</v>
      </c>
    </row>
    <row r="45" spans="1:2">
      <c r="A45" s="48" t="s">
        <v>2137</v>
      </c>
      <c r="B45" s="50">
        <f t="shared" si="0"/>
        <v>45453.412499999999</v>
      </c>
    </row>
    <row r="46" spans="1:2">
      <c r="A46" s="48" t="s">
        <v>2138</v>
      </c>
      <c r="B46" s="50">
        <f t="shared" si="0"/>
        <v>45453.404861111114</v>
      </c>
    </row>
    <row r="47" spans="1:2">
      <c r="A47" s="48" t="s">
        <v>2139</v>
      </c>
      <c r="B47" s="50">
        <f t="shared" si="0"/>
        <v>45453.409722222219</v>
      </c>
    </row>
    <row r="48" spans="1:2">
      <c r="A48" s="48" t="s">
        <v>2140</v>
      </c>
      <c r="B48" s="50">
        <f t="shared" si="0"/>
        <v>45453.418749999997</v>
      </c>
    </row>
    <row r="49" spans="1:2">
      <c r="A49" s="48" t="s">
        <v>2141</v>
      </c>
      <c r="B49" s="50">
        <f t="shared" si="0"/>
        <v>45453.477777777778</v>
      </c>
    </row>
    <row r="50" spans="1:2">
      <c r="A50" s="48" t="s">
        <v>2141</v>
      </c>
      <c r="B50" s="50">
        <f t="shared" si="0"/>
        <v>45453.477777777778</v>
      </c>
    </row>
    <row r="51" spans="1:2">
      <c r="A51" s="48" t="s">
        <v>2141</v>
      </c>
      <c r="B51" s="50">
        <f t="shared" si="0"/>
        <v>45453.477777777778</v>
      </c>
    </row>
    <row r="52" spans="1:2">
      <c r="A52" s="48" t="s">
        <v>2142</v>
      </c>
      <c r="B52" s="50">
        <f t="shared" si="0"/>
        <v>45453.493750000001</v>
      </c>
    </row>
    <row r="53" spans="1:2">
      <c r="A53" s="48" t="s">
        <v>2112</v>
      </c>
      <c r="B53" s="50">
        <f t="shared" si="0"/>
        <v>45453.49722222222</v>
      </c>
    </row>
    <row r="54" spans="1:2">
      <c r="A54" s="48" t="s">
        <v>2143</v>
      </c>
      <c r="B54" s="50">
        <f t="shared" si="0"/>
        <v>45453.588194444441</v>
      </c>
    </row>
    <row r="55" spans="1:2">
      <c r="A55" s="48" t="s">
        <v>2144</v>
      </c>
      <c r="B55" s="50">
        <f t="shared" si="0"/>
        <v>45453.643750000003</v>
      </c>
    </row>
    <row r="56" spans="1:2">
      <c r="A56" s="48" t="s">
        <v>2145</v>
      </c>
      <c r="B56" s="50">
        <f t="shared" si="0"/>
        <v>45454.414583333331</v>
      </c>
    </row>
    <row r="57" spans="1:2">
      <c r="A57" s="48" t="s">
        <v>2146</v>
      </c>
      <c r="B57" s="50">
        <f t="shared" si="0"/>
        <v>45454.459722222222</v>
      </c>
    </row>
    <row r="58" spans="1:2">
      <c r="A58" s="48" t="s">
        <v>2147</v>
      </c>
      <c r="B58" s="50">
        <f t="shared" si="0"/>
        <v>45454.645138888889</v>
      </c>
    </row>
    <row r="59" spans="1:2">
      <c r="A59" s="48" t="s">
        <v>2148</v>
      </c>
      <c r="B59" s="50">
        <f t="shared" si="0"/>
        <v>45454.429166666669</v>
      </c>
    </row>
    <row r="60" spans="1:2">
      <c r="A60" s="48" t="s">
        <v>2149</v>
      </c>
      <c r="B60" s="50">
        <f t="shared" si="0"/>
        <v>45454.454861111109</v>
      </c>
    </row>
    <row r="61" spans="1:2">
      <c r="A61" s="48" t="s">
        <v>2146</v>
      </c>
      <c r="B61" s="50">
        <f t="shared" si="0"/>
        <v>45454.459722222222</v>
      </c>
    </row>
    <row r="62" spans="1:2">
      <c r="A62" s="48" t="s">
        <v>2150</v>
      </c>
      <c r="B62" s="50">
        <f t="shared" si="0"/>
        <v>45454.472916666666</v>
      </c>
    </row>
    <row r="63" spans="1:2">
      <c r="A63" s="48" t="s">
        <v>2151</v>
      </c>
      <c r="B63" s="50">
        <f t="shared" si="0"/>
        <v>45454.484722222223</v>
      </c>
    </row>
    <row r="64" spans="1:2">
      <c r="A64" s="48" t="s">
        <v>2113</v>
      </c>
      <c r="B64" s="50">
        <f t="shared" si="0"/>
        <v>45454.48541666667</v>
      </c>
    </row>
    <row r="65" spans="1:2">
      <c r="A65" s="48" t="s">
        <v>2152</v>
      </c>
      <c r="B65" s="50">
        <f t="shared" si="0"/>
        <v>45454.486111111109</v>
      </c>
    </row>
    <row r="66" spans="1:2">
      <c r="A66" s="48" t="s">
        <v>2153</v>
      </c>
      <c r="B66" s="50">
        <f t="shared" si="0"/>
        <v>45454.486805555556</v>
      </c>
    </row>
    <row r="67" spans="1:2">
      <c r="A67" s="48" t="s">
        <v>2154</v>
      </c>
      <c r="B67" s="50">
        <f t="shared" si="0"/>
        <v>45454.487500000003</v>
      </c>
    </row>
    <row r="68" spans="1:2">
      <c r="A68" s="48" t="s">
        <v>2155</v>
      </c>
      <c r="B68" s="50">
        <f t="shared" ref="B68:B131" si="1">DATE(LEFT(A68,4),MID(A68,5,2),MID(A68,7,2))+TIME(MID(A68,9,2),MID(A68,11,2),"00")</f>
        <v>45454.488194444442</v>
      </c>
    </row>
    <row r="69" spans="1:2">
      <c r="A69" s="48" t="s">
        <v>2156</v>
      </c>
      <c r="B69" s="50">
        <f t="shared" si="1"/>
        <v>45454.488888888889</v>
      </c>
    </row>
    <row r="70" spans="1:2">
      <c r="A70" s="48" t="s">
        <v>2157</v>
      </c>
      <c r="B70" s="50">
        <f t="shared" si="1"/>
        <v>45454.54583333333</v>
      </c>
    </row>
    <row r="71" spans="1:2">
      <c r="A71" s="48" t="s">
        <v>2158</v>
      </c>
      <c r="B71" s="50">
        <f t="shared" si="1"/>
        <v>45454.493055555555</v>
      </c>
    </row>
    <row r="72" spans="1:2">
      <c r="A72" s="48" t="s">
        <v>2159</v>
      </c>
      <c r="B72" s="50">
        <f t="shared" si="1"/>
        <v>45454.57708333333</v>
      </c>
    </row>
    <row r="73" spans="1:2">
      <c r="A73" s="48" t="s">
        <v>2160</v>
      </c>
      <c r="B73" s="50">
        <f t="shared" si="1"/>
        <v>45454.498611111114</v>
      </c>
    </row>
    <row r="74" spans="1:2">
      <c r="A74" s="48" t="s">
        <v>2161</v>
      </c>
      <c r="B74" s="50">
        <f t="shared" si="1"/>
        <v>45454.593055555553</v>
      </c>
    </row>
    <row r="75" spans="1:2">
      <c r="A75" s="48" t="s">
        <v>2162</v>
      </c>
      <c r="B75" s="50">
        <f t="shared" si="1"/>
        <v>45454.594444444447</v>
      </c>
    </row>
    <row r="76" spans="1:2">
      <c r="A76" s="48" t="s">
        <v>2163</v>
      </c>
      <c r="B76" s="50">
        <f t="shared" si="1"/>
        <v>45454.597222222219</v>
      </c>
    </row>
    <row r="77" spans="1:2">
      <c r="A77" s="48" t="s">
        <v>2164</v>
      </c>
      <c r="B77" s="50">
        <f t="shared" si="1"/>
        <v>45454.598611111112</v>
      </c>
    </row>
    <row r="78" spans="1:2">
      <c r="A78" s="48" t="s">
        <v>2165</v>
      </c>
      <c r="B78" s="50">
        <f t="shared" si="1"/>
        <v>45454.636805555558</v>
      </c>
    </row>
    <row r="79" spans="1:2">
      <c r="A79" s="48" t="s">
        <v>2166</v>
      </c>
      <c r="B79" s="50">
        <f t="shared" si="1"/>
        <v>45454.602777777778</v>
      </c>
    </row>
    <row r="80" spans="1:2">
      <c r="A80" s="48" t="s">
        <v>2167</v>
      </c>
      <c r="B80" s="50">
        <f t="shared" si="1"/>
        <v>45454.604861111111</v>
      </c>
    </row>
    <row r="81" spans="1:2">
      <c r="A81" s="48" t="s">
        <v>2168</v>
      </c>
      <c r="B81" s="50">
        <f t="shared" si="1"/>
        <v>45454.605555555558</v>
      </c>
    </row>
    <row r="82" spans="1:2">
      <c r="A82" s="48" t="s">
        <v>2169</v>
      </c>
      <c r="B82" s="50">
        <f t="shared" si="1"/>
        <v>45454.634027777778</v>
      </c>
    </row>
    <row r="83" spans="1:2">
      <c r="A83" s="48" t="s">
        <v>2170</v>
      </c>
      <c r="B83" s="50">
        <f t="shared" si="1"/>
        <v>45451.402083333334</v>
      </c>
    </row>
    <row r="84" spans="1:2">
      <c r="A84" s="48" t="s">
        <v>2171</v>
      </c>
      <c r="B84" s="50">
        <f t="shared" si="1"/>
        <v>45451.518750000003</v>
      </c>
    </row>
    <row r="85" spans="1:2">
      <c r="A85" s="48" t="s">
        <v>2171</v>
      </c>
      <c r="B85" s="50">
        <f t="shared" si="1"/>
        <v>45451.518750000003</v>
      </c>
    </row>
    <row r="86" spans="1:2">
      <c r="A86" s="48" t="s">
        <v>2171</v>
      </c>
      <c r="B86" s="50">
        <f t="shared" si="1"/>
        <v>45451.518750000003</v>
      </c>
    </row>
    <row r="87" spans="1:2">
      <c r="A87" s="48" t="s">
        <v>2171</v>
      </c>
      <c r="B87" s="50">
        <f t="shared" si="1"/>
        <v>45451.518750000003</v>
      </c>
    </row>
    <row r="88" spans="1:2">
      <c r="A88" s="48" t="s">
        <v>2171</v>
      </c>
      <c r="B88" s="50">
        <f t="shared" si="1"/>
        <v>45451.518750000003</v>
      </c>
    </row>
    <row r="89" spans="1:2">
      <c r="A89" s="48" t="s">
        <v>2171</v>
      </c>
      <c r="B89" s="50">
        <f t="shared" si="1"/>
        <v>45451.518750000003</v>
      </c>
    </row>
    <row r="90" spans="1:2">
      <c r="A90" s="48" t="s">
        <v>2171</v>
      </c>
      <c r="B90" s="50">
        <f t="shared" si="1"/>
        <v>45451.518750000003</v>
      </c>
    </row>
    <row r="91" spans="1:2">
      <c r="A91" s="48" t="s">
        <v>2171</v>
      </c>
      <c r="B91" s="50">
        <f t="shared" si="1"/>
        <v>45451.518750000003</v>
      </c>
    </row>
    <row r="92" spans="1:2">
      <c r="A92" s="48" t="s">
        <v>2171</v>
      </c>
      <c r="B92" s="50">
        <f t="shared" si="1"/>
        <v>45451.518750000003</v>
      </c>
    </row>
    <row r="93" spans="1:2">
      <c r="A93" s="48"/>
      <c r="B93" s="50" t="e">
        <f t="shared" si="1"/>
        <v>#VALUE!</v>
      </c>
    </row>
    <row r="94" spans="1:2">
      <c r="A94" s="48"/>
      <c r="B94" s="50" t="e">
        <f t="shared" si="1"/>
        <v>#VALUE!</v>
      </c>
    </row>
    <row r="95" spans="1:2">
      <c r="A95" s="48"/>
      <c r="B95" s="50" t="e">
        <f t="shared" si="1"/>
        <v>#VALUE!</v>
      </c>
    </row>
    <row r="96" spans="1:2">
      <c r="A96" s="48"/>
      <c r="B96" s="50" t="e">
        <f t="shared" si="1"/>
        <v>#VALUE!</v>
      </c>
    </row>
    <row r="97" spans="1:2">
      <c r="A97" s="48"/>
      <c r="B97" s="50" t="e">
        <f t="shared" si="1"/>
        <v>#VALUE!</v>
      </c>
    </row>
    <row r="98" spans="1:2">
      <c r="A98" s="48"/>
      <c r="B98" s="50" t="e">
        <f t="shared" si="1"/>
        <v>#VALUE!</v>
      </c>
    </row>
    <row r="99" spans="1:2">
      <c r="A99" s="48"/>
      <c r="B99" s="50" t="e">
        <f t="shared" si="1"/>
        <v>#VALUE!</v>
      </c>
    </row>
    <row r="100" spans="1:2">
      <c r="A100" s="48"/>
      <c r="B100" s="50" t="e">
        <f t="shared" si="1"/>
        <v>#VALUE!</v>
      </c>
    </row>
    <row r="101" spans="1:2">
      <c r="A101" s="48"/>
      <c r="B101" s="50" t="e">
        <f t="shared" si="1"/>
        <v>#VALUE!</v>
      </c>
    </row>
    <row r="102" spans="1:2">
      <c r="A102" s="48"/>
      <c r="B102" s="50" t="e">
        <f t="shared" si="1"/>
        <v>#VALUE!</v>
      </c>
    </row>
    <row r="103" spans="1:2">
      <c r="A103" s="48"/>
      <c r="B103" s="50" t="e">
        <f t="shared" si="1"/>
        <v>#VALUE!</v>
      </c>
    </row>
    <row r="104" spans="1:2">
      <c r="A104" s="48"/>
      <c r="B104" s="50" t="e">
        <f t="shared" si="1"/>
        <v>#VALUE!</v>
      </c>
    </row>
    <row r="105" spans="1:2">
      <c r="A105" s="48"/>
      <c r="B105" s="50" t="e">
        <f t="shared" si="1"/>
        <v>#VALUE!</v>
      </c>
    </row>
    <row r="106" spans="1:2">
      <c r="A106" s="48"/>
      <c r="B106" s="50" t="e">
        <f t="shared" si="1"/>
        <v>#VALUE!</v>
      </c>
    </row>
    <row r="107" spans="1:2">
      <c r="A107" s="48"/>
      <c r="B107" s="50" t="e">
        <f t="shared" si="1"/>
        <v>#VALUE!</v>
      </c>
    </row>
    <row r="108" spans="1:2">
      <c r="A108" s="48"/>
      <c r="B108" s="50" t="e">
        <f t="shared" si="1"/>
        <v>#VALUE!</v>
      </c>
    </row>
    <row r="109" spans="1:2">
      <c r="A109" s="48"/>
      <c r="B109" s="50" t="e">
        <f t="shared" si="1"/>
        <v>#VALUE!</v>
      </c>
    </row>
    <row r="110" spans="1:2">
      <c r="A110" s="48"/>
      <c r="B110" s="50" t="e">
        <f t="shared" si="1"/>
        <v>#VALUE!</v>
      </c>
    </row>
    <row r="111" spans="1:2">
      <c r="A111" s="48"/>
      <c r="B111" s="50" t="e">
        <f t="shared" si="1"/>
        <v>#VALUE!</v>
      </c>
    </row>
    <row r="112" spans="1:2">
      <c r="A112" s="48"/>
      <c r="B112" s="50" t="e">
        <f t="shared" si="1"/>
        <v>#VALUE!</v>
      </c>
    </row>
    <row r="113" spans="1:2">
      <c r="A113" s="48"/>
      <c r="B113" s="50" t="e">
        <f t="shared" si="1"/>
        <v>#VALUE!</v>
      </c>
    </row>
    <row r="114" spans="1:2">
      <c r="A114" s="48"/>
      <c r="B114" s="50" t="e">
        <f t="shared" si="1"/>
        <v>#VALUE!</v>
      </c>
    </row>
    <row r="115" spans="1:2">
      <c r="A115" s="48"/>
      <c r="B115" s="50" t="e">
        <f t="shared" si="1"/>
        <v>#VALUE!</v>
      </c>
    </row>
    <row r="116" spans="1:2">
      <c r="A116" s="48"/>
      <c r="B116" s="50" t="e">
        <f t="shared" si="1"/>
        <v>#VALUE!</v>
      </c>
    </row>
    <row r="117" spans="1:2">
      <c r="A117" s="48"/>
      <c r="B117" s="50" t="e">
        <f t="shared" si="1"/>
        <v>#VALUE!</v>
      </c>
    </row>
    <row r="118" spans="1:2">
      <c r="A118" s="48"/>
      <c r="B118" s="50" t="e">
        <f t="shared" si="1"/>
        <v>#VALUE!</v>
      </c>
    </row>
    <row r="119" spans="1:2">
      <c r="A119" s="48"/>
      <c r="B119" s="50" t="e">
        <f t="shared" si="1"/>
        <v>#VALUE!</v>
      </c>
    </row>
    <row r="120" spans="1:2">
      <c r="A120" s="48"/>
      <c r="B120" s="50" t="e">
        <f t="shared" si="1"/>
        <v>#VALUE!</v>
      </c>
    </row>
    <row r="121" spans="1:2">
      <c r="A121" s="48"/>
      <c r="B121" s="50" t="e">
        <f t="shared" si="1"/>
        <v>#VALUE!</v>
      </c>
    </row>
    <row r="122" spans="1:2">
      <c r="A122" s="48"/>
      <c r="B122" s="50" t="e">
        <f t="shared" si="1"/>
        <v>#VALUE!</v>
      </c>
    </row>
    <row r="123" spans="1:2">
      <c r="A123" s="48"/>
      <c r="B123" s="50" t="e">
        <f t="shared" si="1"/>
        <v>#VALUE!</v>
      </c>
    </row>
    <row r="124" spans="1:2">
      <c r="A124" s="48"/>
      <c r="B124" s="50" t="e">
        <f t="shared" si="1"/>
        <v>#VALUE!</v>
      </c>
    </row>
    <row r="125" spans="1:2">
      <c r="A125" s="48"/>
      <c r="B125" s="50" t="e">
        <f t="shared" si="1"/>
        <v>#VALUE!</v>
      </c>
    </row>
    <row r="126" spans="1:2">
      <c r="A126" s="48"/>
      <c r="B126" s="50" t="e">
        <f t="shared" si="1"/>
        <v>#VALUE!</v>
      </c>
    </row>
    <row r="127" spans="1:2">
      <c r="A127" s="48"/>
      <c r="B127" s="50" t="e">
        <f t="shared" si="1"/>
        <v>#VALUE!</v>
      </c>
    </row>
    <row r="128" spans="1:2">
      <c r="A128" s="48"/>
      <c r="B128" s="50" t="e">
        <f t="shared" si="1"/>
        <v>#VALUE!</v>
      </c>
    </row>
    <row r="129" spans="1:2">
      <c r="A129" s="48"/>
      <c r="B129" s="50" t="e">
        <f t="shared" si="1"/>
        <v>#VALUE!</v>
      </c>
    </row>
    <row r="130" spans="1:2">
      <c r="A130" s="48"/>
      <c r="B130" s="50" t="e">
        <f t="shared" si="1"/>
        <v>#VALUE!</v>
      </c>
    </row>
    <row r="131" spans="1:2">
      <c r="A131" s="48"/>
      <c r="B131" s="50" t="e">
        <f t="shared" si="1"/>
        <v>#VALUE!</v>
      </c>
    </row>
    <row r="132" spans="1:2">
      <c r="A132" s="48"/>
      <c r="B132" s="50" t="e">
        <f t="shared" ref="B132:B195" si="2">DATE(LEFT(A132,4),MID(A132,5,2),MID(A132,7,2))+TIME(MID(A132,9,2),MID(A132,11,2),"00")</f>
        <v>#VALUE!</v>
      </c>
    </row>
    <row r="133" spans="1:2">
      <c r="A133" s="48"/>
      <c r="B133" s="50" t="e">
        <f t="shared" si="2"/>
        <v>#VALUE!</v>
      </c>
    </row>
    <row r="134" spans="1:2">
      <c r="A134" s="48"/>
      <c r="B134" s="50" t="e">
        <f t="shared" si="2"/>
        <v>#VALUE!</v>
      </c>
    </row>
    <row r="135" spans="1:2">
      <c r="A135" s="48"/>
      <c r="B135" s="50" t="e">
        <f t="shared" si="2"/>
        <v>#VALUE!</v>
      </c>
    </row>
    <row r="136" spans="1:2">
      <c r="A136" s="48"/>
      <c r="B136" s="50" t="e">
        <f t="shared" si="2"/>
        <v>#VALUE!</v>
      </c>
    </row>
    <row r="137" spans="1:2">
      <c r="A137" s="48"/>
      <c r="B137" s="50" t="e">
        <f t="shared" si="2"/>
        <v>#VALUE!</v>
      </c>
    </row>
    <row r="138" spans="1:2">
      <c r="A138" s="48"/>
      <c r="B138" s="50" t="e">
        <f t="shared" si="2"/>
        <v>#VALUE!</v>
      </c>
    </row>
    <row r="139" spans="1:2">
      <c r="A139" s="48"/>
      <c r="B139" s="50" t="e">
        <f t="shared" si="2"/>
        <v>#VALUE!</v>
      </c>
    </row>
    <row r="140" spans="1:2">
      <c r="A140" s="48"/>
      <c r="B140" s="50" t="e">
        <f t="shared" si="2"/>
        <v>#VALUE!</v>
      </c>
    </row>
    <row r="141" spans="1:2">
      <c r="A141" s="48"/>
      <c r="B141" s="50" t="e">
        <f t="shared" si="2"/>
        <v>#VALUE!</v>
      </c>
    </row>
    <row r="142" spans="1:2">
      <c r="A142" s="48"/>
      <c r="B142" s="50" t="e">
        <f t="shared" si="2"/>
        <v>#VALUE!</v>
      </c>
    </row>
    <row r="143" spans="1:2">
      <c r="A143" s="48"/>
      <c r="B143" s="50" t="e">
        <f t="shared" si="2"/>
        <v>#VALUE!</v>
      </c>
    </row>
    <row r="144" spans="1:2">
      <c r="A144" s="48"/>
      <c r="B144" s="50" t="e">
        <f t="shared" si="2"/>
        <v>#VALUE!</v>
      </c>
    </row>
    <row r="145" spans="1:2">
      <c r="A145" s="48"/>
      <c r="B145" s="50" t="e">
        <f t="shared" si="2"/>
        <v>#VALUE!</v>
      </c>
    </row>
    <row r="146" spans="1:2">
      <c r="A146" s="48"/>
      <c r="B146" s="50" t="e">
        <f t="shared" si="2"/>
        <v>#VALUE!</v>
      </c>
    </row>
    <row r="147" spans="1:2">
      <c r="A147" s="48"/>
      <c r="B147" s="50" t="e">
        <f t="shared" si="2"/>
        <v>#VALUE!</v>
      </c>
    </row>
    <row r="148" spans="1:2">
      <c r="A148" s="48"/>
      <c r="B148" s="50" t="e">
        <f t="shared" si="2"/>
        <v>#VALUE!</v>
      </c>
    </row>
    <row r="149" spans="1:2">
      <c r="A149" s="48"/>
      <c r="B149" s="50" t="e">
        <f t="shared" si="2"/>
        <v>#VALUE!</v>
      </c>
    </row>
    <row r="150" spans="1:2">
      <c r="A150" s="48"/>
      <c r="B150" s="50" t="e">
        <f t="shared" si="2"/>
        <v>#VALUE!</v>
      </c>
    </row>
    <row r="151" spans="1:2">
      <c r="A151" s="48"/>
      <c r="B151" s="50" t="e">
        <f t="shared" si="2"/>
        <v>#VALUE!</v>
      </c>
    </row>
    <row r="152" spans="1:2">
      <c r="A152" s="48"/>
      <c r="B152" s="50" t="e">
        <f t="shared" si="2"/>
        <v>#VALUE!</v>
      </c>
    </row>
    <row r="153" spans="1:2">
      <c r="A153" s="48"/>
      <c r="B153" s="50" t="e">
        <f t="shared" si="2"/>
        <v>#VALUE!</v>
      </c>
    </row>
    <row r="154" spans="1:2">
      <c r="A154" s="48"/>
      <c r="B154" s="50" t="e">
        <f t="shared" si="2"/>
        <v>#VALUE!</v>
      </c>
    </row>
    <row r="155" spans="1:2">
      <c r="A155" s="48"/>
      <c r="B155" s="50" t="e">
        <f t="shared" si="2"/>
        <v>#VALUE!</v>
      </c>
    </row>
    <row r="156" spans="1:2">
      <c r="A156" s="48"/>
      <c r="B156" s="50" t="e">
        <f t="shared" si="2"/>
        <v>#VALUE!</v>
      </c>
    </row>
    <row r="157" spans="1:2">
      <c r="A157" s="48"/>
      <c r="B157" s="50" t="e">
        <f t="shared" si="2"/>
        <v>#VALUE!</v>
      </c>
    </row>
    <row r="158" spans="1:2">
      <c r="A158" s="48"/>
      <c r="B158" s="50" t="e">
        <f t="shared" si="2"/>
        <v>#VALUE!</v>
      </c>
    </row>
    <row r="159" spans="1:2">
      <c r="A159" s="48"/>
      <c r="B159" s="50" t="e">
        <f t="shared" si="2"/>
        <v>#VALUE!</v>
      </c>
    </row>
    <row r="160" spans="1:2">
      <c r="A160" s="48"/>
      <c r="B160" s="50" t="e">
        <f t="shared" si="2"/>
        <v>#VALUE!</v>
      </c>
    </row>
    <row r="161" spans="1:2">
      <c r="A161" s="48"/>
      <c r="B161" s="50" t="e">
        <f t="shared" si="2"/>
        <v>#VALUE!</v>
      </c>
    </row>
    <row r="162" spans="1:2">
      <c r="A162" s="48"/>
      <c r="B162" s="50" t="e">
        <f t="shared" si="2"/>
        <v>#VALUE!</v>
      </c>
    </row>
    <row r="163" spans="1:2">
      <c r="A163" s="48"/>
      <c r="B163" s="50" t="e">
        <f t="shared" si="2"/>
        <v>#VALUE!</v>
      </c>
    </row>
    <row r="164" spans="1:2">
      <c r="A164" s="48"/>
      <c r="B164" s="50" t="e">
        <f t="shared" si="2"/>
        <v>#VALUE!</v>
      </c>
    </row>
    <row r="165" spans="1:2">
      <c r="A165" s="48"/>
      <c r="B165" s="50" t="e">
        <f t="shared" si="2"/>
        <v>#VALUE!</v>
      </c>
    </row>
    <row r="166" spans="1:2">
      <c r="A166" s="48"/>
      <c r="B166" s="50" t="e">
        <f t="shared" si="2"/>
        <v>#VALUE!</v>
      </c>
    </row>
    <row r="167" spans="1:2">
      <c r="A167" s="48"/>
      <c r="B167" s="50" t="e">
        <f t="shared" si="2"/>
        <v>#VALUE!</v>
      </c>
    </row>
    <row r="168" spans="1:2">
      <c r="A168" s="48"/>
      <c r="B168" s="50" t="e">
        <f t="shared" si="2"/>
        <v>#VALUE!</v>
      </c>
    </row>
    <row r="169" spans="1:2">
      <c r="A169" s="48"/>
      <c r="B169" s="50" t="e">
        <f t="shared" si="2"/>
        <v>#VALUE!</v>
      </c>
    </row>
    <row r="170" spans="1:2">
      <c r="A170" s="48"/>
      <c r="B170" s="50" t="e">
        <f t="shared" si="2"/>
        <v>#VALUE!</v>
      </c>
    </row>
    <row r="171" spans="1:2">
      <c r="A171" s="48"/>
      <c r="B171" s="50" t="e">
        <f t="shared" si="2"/>
        <v>#VALUE!</v>
      </c>
    </row>
    <row r="172" spans="1:2">
      <c r="A172" s="48"/>
      <c r="B172" s="50" t="e">
        <f t="shared" si="2"/>
        <v>#VALUE!</v>
      </c>
    </row>
    <row r="173" spans="1:2">
      <c r="A173" s="48"/>
      <c r="B173" s="50" t="e">
        <f t="shared" si="2"/>
        <v>#VALUE!</v>
      </c>
    </row>
    <row r="174" spans="1:2">
      <c r="A174" s="48"/>
      <c r="B174" s="50" t="e">
        <f t="shared" si="2"/>
        <v>#VALUE!</v>
      </c>
    </row>
    <row r="175" spans="1:2">
      <c r="A175" s="48"/>
      <c r="B175" s="50" t="e">
        <f t="shared" si="2"/>
        <v>#VALUE!</v>
      </c>
    </row>
    <row r="176" spans="1:2">
      <c r="A176" s="48"/>
      <c r="B176" s="50" t="e">
        <f t="shared" si="2"/>
        <v>#VALUE!</v>
      </c>
    </row>
    <row r="177" spans="1:2">
      <c r="A177" s="48"/>
      <c r="B177" s="50" t="e">
        <f t="shared" si="2"/>
        <v>#VALUE!</v>
      </c>
    </row>
    <row r="178" spans="1:2">
      <c r="A178" s="48"/>
      <c r="B178" s="50" t="e">
        <f t="shared" si="2"/>
        <v>#VALUE!</v>
      </c>
    </row>
    <row r="179" spans="1:2">
      <c r="A179" s="48"/>
      <c r="B179" s="50" t="e">
        <f t="shared" si="2"/>
        <v>#VALUE!</v>
      </c>
    </row>
    <row r="180" spans="1:2">
      <c r="A180" s="48"/>
      <c r="B180" s="50" t="e">
        <f t="shared" si="2"/>
        <v>#VALUE!</v>
      </c>
    </row>
    <row r="181" spans="1:2">
      <c r="A181" s="48"/>
      <c r="B181" s="50" t="e">
        <f t="shared" si="2"/>
        <v>#VALUE!</v>
      </c>
    </row>
    <row r="182" spans="1:2">
      <c r="A182" s="48"/>
      <c r="B182" s="50" t="e">
        <f t="shared" si="2"/>
        <v>#VALUE!</v>
      </c>
    </row>
    <row r="183" spans="1:2">
      <c r="A183" s="48"/>
      <c r="B183" s="50" t="e">
        <f t="shared" si="2"/>
        <v>#VALUE!</v>
      </c>
    </row>
    <row r="184" spans="1:2">
      <c r="A184" s="48"/>
      <c r="B184" s="50" t="e">
        <f t="shared" si="2"/>
        <v>#VALUE!</v>
      </c>
    </row>
    <row r="185" spans="1:2">
      <c r="A185" s="48"/>
      <c r="B185" s="50" t="e">
        <f t="shared" si="2"/>
        <v>#VALUE!</v>
      </c>
    </row>
    <row r="186" spans="1:2">
      <c r="A186" s="48"/>
      <c r="B186" s="50" t="e">
        <f t="shared" si="2"/>
        <v>#VALUE!</v>
      </c>
    </row>
    <row r="187" spans="1:2">
      <c r="A187" s="48"/>
      <c r="B187" s="50" t="e">
        <f t="shared" si="2"/>
        <v>#VALUE!</v>
      </c>
    </row>
    <row r="188" spans="1:2">
      <c r="A188" s="48"/>
      <c r="B188" s="50" t="e">
        <f t="shared" si="2"/>
        <v>#VALUE!</v>
      </c>
    </row>
    <row r="189" spans="1:2">
      <c r="A189" s="48"/>
      <c r="B189" s="50" t="e">
        <f t="shared" si="2"/>
        <v>#VALUE!</v>
      </c>
    </row>
    <row r="190" spans="1:2">
      <c r="A190" s="48"/>
      <c r="B190" s="50" t="e">
        <f t="shared" si="2"/>
        <v>#VALUE!</v>
      </c>
    </row>
    <row r="191" spans="1:2">
      <c r="A191" s="48"/>
      <c r="B191" s="50" t="e">
        <f t="shared" si="2"/>
        <v>#VALUE!</v>
      </c>
    </row>
    <row r="192" spans="1:2">
      <c r="A192" s="48"/>
      <c r="B192" s="50" t="e">
        <f t="shared" si="2"/>
        <v>#VALUE!</v>
      </c>
    </row>
    <row r="193" spans="1:2">
      <c r="A193" s="48"/>
      <c r="B193" s="50" t="e">
        <f t="shared" si="2"/>
        <v>#VALUE!</v>
      </c>
    </row>
    <row r="194" spans="1:2">
      <c r="A194" s="48"/>
      <c r="B194" s="50" t="e">
        <f t="shared" si="2"/>
        <v>#VALUE!</v>
      </c>
    </row>
    <row r="195" spans="1:2">
      <c r="A195" s="48"/>
      <c r="B195" s="50" t="e">
        <f t="shared" si="2"/>
        <v>#VALUE!</v>
      </c>
    </row>
    <row r="196" spans="1:2">
      <c r="A196" s="48"/>
      <c r="B196" s="50" t="e">
        <f t="shared" ref="B196:B259" si="3">DATE(LEFT(A196,4),MID(A196,5,2),MID(A196,7,2))+TIME(MID(A196,9,2),MID(A196,11,2),"00")</f>
        <v>#VALUE!</v>
      </c>
    </row>
    <row r="197" spans="1:2">
      <c r="A197" s="48"/>
      <c r="B197" s="50" t="e">
        <f t="shared" si="3"/>
        <v>#VALUE!</v>
      </c>
    </row>
    <row r="198" spans="1:2">
      <c r="A198" s="48"/>
      <c r="B198" s="50" t="e">
        <f t="shared" si="3"/>
        <v>#VALUE!</v>
      </c>
    </row>
    <row r="199" spans="1:2">
      <c r="A199" s="48"/>
      <c r="B199" s="50" t="e">
        <f t="shared" si="3"/>
        <v>#VALUE!</v>
      </c>
    </row>
    <row r="200" spans="1:2">
      <c r="A200" s="48"/>
      <c r="B200" s="50" t="e">
        <f t="shared" si="3"/>
        <v>#VALUE!</v>
      </c>
    </row>
    <row r="201" spans="1:2">
      <c r="A201" s="48"/>
      <c r="B201" s="50" t="e">
        <f t="shared" si="3"/>
        <v>#VALUE!</v>
      </c>
    </row>
    <row r="202" spans="1:2">
      <c r="A202" s="48"/>
      <c r="B202" s="50" t="e">
        <f t="shared" si="3"/>
        <v>#VALUE!</v>
      </c>
    </row>
    <row r="203" spans="1:2">
      <c r="A203" s="48"/>
      <c r="B203" s="50" t="e">
        <f t="shared" si="3"/>
        <v>#VALUE!</v>
      </c>
    </row>
    <row r="204" spans="1:2">
      <c r="A204" s="48"/>
      <c r="B204" s="50" t="e">
        <f t="shared" si="3"/>
        <v>#VALUE!</v>
      </c>
    </row>
    <row r="205" spans="1:2">
      <c r="A205" s="48"/>
      <c r="B205" s="50" t="e">
        <f t="shared" si="3"/>
        <v>#VALUE!</v>
      </c>
    </row>
    <row r="206" spans="1:2">
      <c r="A206" s="48"/>
      <c r="B206" s="50" t="e">
        <f t="shared" si="3"/>
        <v>#VALUE!</v>
      </c>
    </row>
    <row r="207" spans="1:2">
      <c r="A207" s="48"/>
      <c r="B207" s="50" t="e">
        <f t="shared" si="3"/>
        <v>#VALUE!</v>
      </c>
    </row>
    <row r="208" spans="1:2">
      <c r="A208" s="48"/>
      <c r="B208" s="50" t="e">
        <f t="shared" si="3"/>
        <v>#VALUE!</v>
      </c>
    </row>
    <row r="209" spans="1:2">
      <c r="A209" s="48"/>
      <c r="B209" s="50" t="e">
        <f t="shared" si="3"/>
        <v>#VALUE!</v>
      </c>
    </row>
    <row r="210" spans="1:2">
      <c r="A210" s="48"/>
      <c r="B210" s="50" t="e">
        <f t="shared" si="3"/>
        <v>#VALUE!</v>
      </c>
    </row>
    <row r="211" spans="1:2">
      <c r="A211" s="48"/>
      <c r="B211" s="50" t="e">
        <f t="shared" si="3"/>
        <v>#VALUE!</v>
      </c>
    </row>
    <row r="212" spans="1:2">
      <c r="A212" s="48"/>
      <c r="B212" s="50" t="e">
        <f t="shared" si="3"/>
        <v>#VALUE!</v>
      </c>
    </row>
    <row r="213" spans="1:2">
      <c r="A213" s="48"/>
      <c r="B213" s="50" t="e">
        <f t="shared" si="3"/>
        <v>#VALUE!</v>
      </c>
    </row>
    <row r="214" spans="1:2">
      <c r="A214" s="48"/>
      <c r="B214" s="50" t="e">
        <f t="shared" si="3"/>
        <v>#VALUE!</v>
      </c>
    </row>
    <row r="215" spans="1:2">
      <c r="A215" s="48"/>
      <c r="B215" s="50" t="e">
        <f t="shared" si="3"/>
        <v>#VALUE!</v>
      </c>
    </row>
    <row r="216" spans="1:2">
      <c r="A216" s="48"/>
      <c r="B216" s="50" t="e">
        <f t="shared" si="3"/>
        <v>#VALUE!</v>
      </c>
    </row>
    <row r="217" spans="1:2">
      <c r="A217" s="48"/>
      <c r="B217" s="50" t="e">
        <f t="shared" si="3"/>
        <v>#VALUE!</v>
      </c>
    </row>
    <row r="218" spans="1:2">
      <c r="A218" s="48"/>
      <c r="B218" s="50" t="e">
        <f t="shared" si="3"/>
        <v>#VALUE!</v>
      </c>
    </row>
    <row r="219" spans="1:2">
      <c r="A219" s="48"/>
      <c r="B219" s="50" t="e">
        <f t="shared" si="3"/>
        <v>#VALUE!</v>
      </c>
    </row>
    <row r="220" spans="1:2">
      <c r="A220" s="48"/>
      <c r="B220" s="50" t="e">
        <f t="shared" si="3"/>
        <v>#VALUE!</v>
      </c>
    </row>
    <row r="221" spans="1:2">
      <c r="A221" s="48"/>
      <c r="B221" s="50" t="e">
        <f t="shared" si="3"/>
        <v>#VALUE!</v>
      </c>
    </row>
    <row r="222" spans="1:2">
      <c r="A222" s="48"/>
      <c r="B222" s="50" t="e">
        <f t="shared" si="3"/>
        <v>#VALUE!</v>
      </c>
    </row>
    <row r="223" spans="1:2">
      <c r="A223" s="48"/>
      <c r="B223" s="50" t="e">
        <f t="shared" si="3"/>
        <v>#VALUE!</v>
      </c>
    </row>
    <row r="224" spans="1:2">
      <c r="A224" s="48"/>
      <c r="B224" s="50" t="e">
        <f t="shared" si="3"/>
        <v>#VALUE!</v>
      </c>
    </row>
    <row r="225" spans="1:2">
      <c r="A225" s="48"/>
      <c r="B225" s="50" t="e">
        <f t="shared" si="3"/>
        <v>#VALUE!</v>
      </c>
    </row>
    <row r="226" spans="1:2">
      <c r="A226" s="48"/>
      <c r="B226" s="50" t="e">
        <f t="shared" si="3"/>
        <v>#VALUE!</v>
      </c>
    </row>
    <row r="227" spans="1:2">
      <c r="A227" s="48"/>
      <c r="B227" s="50" t="e">
        <f t="shared" si="3"/>
        <v>#VALUE!</v>
      </c>
    </row>
    <row r="228" spans="1:2">
      <c r="A228" s="48"/>
      <c r="B228" s="50" t="e">
        <f t="shared" si="3"/>
        <v>#VALUE!</v>
      </c>
    </row>
    <row r="229" spans="1:2">
      <c r="A229" s="48"/>
      <c r="B229" s="50" t="e">
        <f t="shared" si="3"/>
        <v>#VALUE!</v>
      </c>
    </row>
    <row r="230" spans="1:2">
      <c r="A230" s="48"/>
      <c r="B230" s="50" t="e">
        <f t="shared" si="3"/>
        <v>#VALUE!</v>
      </c>
    </row>
    <row r="231" spans="1:2">
      <c r="A231" s="48"/>
      <c r="B231" s="50" t="e">
        <f t="shared" si="3"/>
        <v>#VALUE!</v>
      </c>
    </row>
    <row r="232" spans="1:2">
      <c r="A232" s="48"/>
      <c r="B232" s="50" t="e">
        <f t="shared" si="3"/>
        <v>#VALUE!</v>
      </c>
    </row>
    <row r="233" spans="1:2">
      <c r="A233" s="48"/>
      <c r="B233" s="50" t="e">
        <f t="shared" si="3"/>
        <v>#VALUE!</v>
      </c>
    </row>
    <row r="234" spans="1:2">
      <c r="A234" s="48"/>
      <c r="B234" s="50" t="e">
        <f t="shared" si="3"/>
        <v>#VALUE!</v>
      </c>
    </row>
    <row r="235" spans="1:2">
      <c r="A235" s="48"/>
      <c r="B235" s="50" t="e">
        <f t="shared" si="3"/>
        <v>#VALUE!</v>
      </c>
    </row>
    <row r="236" spans="1:2">
      <c r="A236" s="48"/>
      <c r="B236" s="50" t="e">
        <f t="shared" si="3"/>
        <v>#VALUE!</v>
      </c>
    </row>
    <row r="237" spans="1:2">
      <c r="A237" s="48"/>
      <c r="B237" s="50" t="e">
        <f t="shared" si="3"/>
        <v>#VALUE!</v>
      </c>
    </row>
    <row r="238" spans="1:2">
      <c r="A238" s="48"/>
      <c r="B238" s="50" t="e">
        <f t="shared" si="3"/>
        <v>#VALUE!</v>
      </c>
    </row>
    <row r="239" spans="1:2">
      <c r="A239" s="48"/>
      <c r="B239" s="50" t="e">
        <f t="shared" si="3"/>
        <v>#VALUE!</v>
      </c>
    </row>
    <row r="240" spans="1:2">
      <c r="A240" s="48"/>
      <c r="B240" s="50" t="e">
        <f t="shared" si="3"/>
        <v>#VALUE!</v>
      </c>
    </row>
    <row r="241" spans="1:2">
      <c r="A241" s="48"/>
      <c r="B241" s="50" t="e">
        <f t="shared" si="3"/>
        <v>#VALUE!</v>
      </c>
    </row>
    <row r="242" spans="1:2">
      <c r="A242" s="48"/>
      <c r="B242" s="50" t="e">
        <f t="shared" si="3"/>
        <v>#VALUE!</v>
      </c>
    </row>
    <row r="243" spans="1:2">
      <c r="A243" s="48"/>
      <c r="B243" s="50" t="e">
        <f t="shared" si="3"/>
        <v>#VALUE!</v>
      </c>
    </row>
    <row r="244" spans="1:2">
      <c r="A244" s="48"/>
      <c r="B244" s="50" t="e">
        <f t="shared" si="3"/>
        <v>#VALUE!</v>
      </c>
    </row>
    <row r="245" spans="1:2">
      <c r="A245" s="48"/>
      <c r="B245" s="50" t="e">
        <f t="shared" si="3"/>
        <v>#VALUE!</v>
      </c>
    </row>
    <row r="246" spans="1:2">
      <c r="A246" s="48"/>
      <c r="B246" s="50" t="e">
        <f t="shared" si="3"/>
        <v>#VALUE!</v>
      </c>
    </row>
    <row r="247" spans="1:2">
      <c r="A247" s="48"/>
      <c r="B247" s="50" t="e">
        <f t="shared" si="3"/>
        <v>#VALUE!</v>
      </c>
    </row>
    <row r="248" spans="1:2">
      <c r="A248" s="48"/>
      <c r="B248" s="50" t="e">
        <f t="shared" si="3"/>
        <v>#VALUE!</v>
      </c>
    </row>
    <row r="249" spans="1:2">
      <c r="A249" s="48"/>
      <c r="B249" s="50" t="e">
        <f t="shared" si="3"/>
        <v>#VALUE!</v>
      </c>
    </row>
    <row r="250" spans="1:2">
      <c r="A250" s="48"/>
      <c r="B250" s="50" t="e">
        <f t="shared" si="3"/>
        <v>#VALUE!</v>
      </c>
    </row>
    <row r="251" spans="1:2">
      <c r="A251" s="48"/>
      <c r="B251" s="50" t="e">
        <f t="shared" si="3"/>
        <v>#VALUE!</v>
      </c>
    </row>
    <row r="252" spans="1:2">
      <c r="A252" s="48"/>
      <c r="B252" s="50" t="e">
        <f t="shared" si="3"/>
        <v>#VALUE!</v>
      </c>
    </row>
    <row r="253" spans="1:2">
      <c r="A253" s="48"/>
      <c r="B253" s="50" t="e">
        <f t="shared" si="3"/>
        <v>#VALUE!</v>
      </c>
    </row>
    <row r="254" spans="1:2">
      <c r="A254" s="48"/>
      <c r="B254" s="50" t="e">
        <f t="shared" si="3"/>
        <v>#VALUE!</v>
      </c>
    </row>
    <row r="255" spans="1:2">
      <c r="A255" s="48"/>
      <c r="B255" s="50" t="e">
        <f t="shared" si="3"/>
        <v>#VALUE!</v>
      </c>
    </row>
    <row r="256" spans="1:2">
      <c r="A256" s="48"/>
      <c r="B256" s="50" t="e">
        <f t="shared" si="3"/>
        <v>#VALUE!</v>
      </c>
    </row>
    <row r="257" spans="1:2">
      <c r="A257" s="48"/>
      <c r="B257" s="50" t="e">
        <f t="shared" si="3"/>
        <v>#VALUE!</v>
      </c>
    </row>
    <row r="258" spans="1:2">
      <c r="A258" s="48"/>
      <c r="B258" s="50" t="e">
        <f t="shared" si="3"/>
        <v>#VALUE!</v>
      </c>
    </row>
    <row r="259" spans="1:2">
      <c r="A259" s="48"/>
      <c r="B259" s="50" t="e">
        <f t="shared" si="3"/>
        <v>#VALUE!</v>
      </c>
    </row>
    <row r="260" spans="1:2">
      <c r="A260" s="48"/>
      <c r="B260" s="50" t="e">
        <f t="shared" ref="B260:B323" si="4">DATE(LEFT(A260,4),MID(A260,5,2),MID(A260,7,2))+TIME(MID(A260,9,2),MID(A260,11,2),"00")</f>
        <v>#VALUE!</v>
      </c>
    </row>
    <row r="261" spans="1:2">
      <c r="A261" s="48"/>
      <c r="B261" s="50" t="e">
        <f t="shared" si="4"/>
        <v>#VALUE!</v>
      </c>
    </row>
    <row r="262" spans="1:2">
      <c r="A262" s="48"/>
      <c r="B262" s="50" t="e">
        <f t="shared" si="4"/>
        <v>#VALUE!</v>
      </c>
    </row>
    <row r="263" spans="1:2">
      <c r="A263" s="48"/>
      <c r="B263" s="50" t="e">
        <f t="shared" si="4"/>
        <v>#VALUE!</v>
      </c>
    </row>
    <row r="264" spans="1:2">
      <c r="A264" s="48"/>
      <c r="B264" s="50" t="e">
        <f t="shared" si="4"/>
        <v>#VALUE!</v>
      </c>
    </row>
    <row r="265" spans="1:2">
      <c r="A265" s="48"/>
      <c r="B265" s="50" t="e">
        <f t="shared" si="4"/>
        <v>#VALUE!</v>
      </c>
    </row>
    <row r="266" spans="1:2">
      <c r="A266" s="48"/>
      <c r="B266" s="50" t="e">
        <f t="shared" si="4"/>
        <v>#VALUE!</v>
      </c>
    </row>
    <row r="267" spans="1:2">
      <c r="A267" s="48"/>
      <c r="B267" s="50" t="e">
        <f t="shared" si="4"/>
        <v>#VALUE!</v>
      </c>
    </row>
    <row r="268" spans="1:2">
      <c r="A268" s="48"/>
      <c r="B268" s="50" t="e">
        <f t="shared" si="4"/>
        <v>#VALUE!</v>
      </c>
    </row>
    <row r="269" spans="1:2">
      <c r="A269" s="48"/>
      <c r="B269" s="50" t="e">
        <f t="shared" si="4"/>
        <v>#VALUE!</v>
      </c>
    </row>
    <row r="270" spans="1:2">
      <c r="A270" s="48"/>
      <c r="B270" s="50" t="e">
        <f t="shared" si="4"/>
        <v>#VALUE!</v>
      </c>
    </row>
    <row r="271" spans="1:2">
      <c r="A271" s="48"/>
      <c r="B271" s="50" t="e">
        <f t="shared" si="4"/>
        <v>#VALUE!</v>
      </c>
    </row>
    <row r="272" spans="1:2">
      <c r="A272" s="48"/>
      <c r="B272" s="50" t="e">
        <f t="shared" si="4"/>
        <v>#VALUE!</v>
      </c>
    </row>
    <row r="273" spans="1:2">
      <c r="A273" s="48"/>
      <c r="B273" s="50" t="e">
        <f t="shared" si="4"/>
        <v>#VALUE!</v>
      </c>
    </row>
    <row r="274" spans="1:2">
      <c r="A274" s="48"/>
      <c r="B274" s="50" t="e">
        <f t="shared" si="4"/>
        <v>#VALUE!</v>
      </c>
    </row>
    <row r="275" spans="1:2">
      <c r="A275" s="48"/>
      <c r="B275" s="50" t="e">
        <f t="shared" si="4"/>
        <v>#VALUE!</v>
      </c>
    </row>
    <row r="276" spans="1:2">
      <c r="A276" s="48"/>
      <c r="B276" s="50" t="e">
        <f t="shared" si="4"/>
        <v>#VALUE!</v>
      </c>
    </row>
    <row r="277" spans="1:2">
      <c r="A277" s="48"/>
      <c r="B277" s="50" t="e">
        <f t="shared" si="4"/>
        <v>#VALUE!</v>
      </c>
    </row>
    <row r="278" spans="1:2">
      <c r="A278" s="48"/>
      <c r="B278" s="50" t="e">
        <f t="shared" si="4"/>
        <v>#VALUE!</v>
      </c>
    </row>
    <row r="279" spans="1:2">
      <c r="A279" s="48"/>
      <c r="B279" s="50" t="e">
        <f t="shared" si="4"/>
        <v>#VALUE!</v>
      </c>
    </row>
    <row r="280" spans="1:2">
      <c r="A280" s="48"/>
      <c r="B280" s="50" t="e">
        <f t="shared" si="4"/>
        <v>#VALUE!</v>
      </c>
    </row>
    <row r="281" spans="1:2">
      <c r="A281" s="48"/>
      <c r="B281" s="50" t="e">
        <f t="shared" si="4"/>
        <v>#VALUE!</v>
      </c>
    </row>
    <row r="282" spans="1:2">
      <c r="A282" s="48"/>
      <c r="B282" s="50" t="e">
        <f t="shared" si="4"/>
        <v>#VALUE!</v>
      </c>
    </row>
    <row r="283" spans="1:2">
      <c r="A283" s="48"/>
      <c r="B283" s="50" t="e">
        <f t="shared" si="4"/>
        <v>#VALUE!</v>
      </c>
    </row>
    <row r="284" spans="1:2">
      <c r="A284" s="48"/>
      <c r="B284" s="50" t="e">
        <f t="shared" si="4"/>
        <v>#VALUE!</v>
      </c>
    </row>
    <row r="285" spans="1:2">
      <c r="A285" s="48"/>
      <c r="B285" s="50" t="e">
        <f t="shared" si="4"/>
        <v>#VALUE!</v>
      </c>
    </row>
    <row r="286" spans="1:2">
      <c r="A286" s="48"/>
      <c r="B286" s="50" t="e">
        <f t="shared" si="4"/>
        <v>#VALUE!</v>
      </c>
    </row>
    <row r="287" spans="1:2">
      <c r="A287" s="48"/>
      <c r="B287" s="50" t="e">
        <f t="shared" si="4"/>
        <v>#VALUE!</v>
      </c>
    </row>
    <row r="288" spans="1:2">
      <c r="A288" s="48"/>
      <c r="B288" s="50" t="e">
        <f t="shared" si="4"/>
        <v>#VALUE!</v>
      </c>
    </row>
    <row r="289" spans="1:2">
      <c r="A289" s="48"/>
      <c r="B289" s="50" t="e">
        <f t="shared" si="4"/>
        <v>#VALUE!</v>
      </c>
    </row>
    <row r="290" spans="1:2">
      <c r="A290" s="48"/>
      <c r="B290" s="50" t="e">
        <f t="shared" si="4"/>
        <v>#VALUE!</v>
      </c>
    </row>
    <row r="291" spans="1:2">
      <c r="A291" s="48"/>
      <c r="B291" s="50" t="e">
        <f t="shared" si="4"/>
        <v>#VALUE!</v>
      </c>
    </row>
    <row r="292" spans="1:2">
      <c r="A292" s="48"/>
      <c r="B292" s="50" t="e">
        <f t="shared" si="4"/>
        <v>#VALUE!</v>
      </c>
    </row>
    <row r="293" spans="1:2">
      <c r="A293" s="48"/>
      <c r="B293" s="50" t="e">
        <f t="shared" si="4"/>
        <v>#VALUE!</v>
      </c>
    </row>
    <row r="294" spans="1:2">
      <c r="A294" s="48"/>
      <c r="B294" s="50" t="e">
        <f t="shared" si="4"/>
        <v>#VALUE!</v>
      </c>
    </row>
    <row r="295" spans="1:2">
      <c r="A295" s="48"/>
      <c r="B295" s="50" t="e">
        <f t="shared" si="4"/>
        <v>#VALUE!</v>
      </c>
    </row>
    <row r="296" spans="1:2">
      <c r="A296" s="48"/>
      <c r="B296" s="50" t="e">
        <f t="shared" si="4"/>
        <v>#VALUE!</v>
      </c>
    </row>
    <row r="297" spans="1:2">
      <c r="A297" s="48"/>
      <c r="B297" s="50" t="e">
        <f t="shared" si="4"/>
        <v>#VALUE!</v>
      </c>
    </row>
    <row r="298" spans="1:2">
      <c r="A298" s="48"/>
      <c r="B298" s="50" t="e">
        <f t="shared" si="4"/>
        <v>#VALUE!</v>
      </c>
    </row>
    <row r="299" spans="1:2">
      <c r="A299" s="48"/>
      <c r="B299" s="50" t="e">
        <f t="shared" si="4"/>
        <v>#VALUE!</v>
      </c>
    </row>
    <row r="300" spans="1:2">
      <c r="A300" s="48"/>
      <c r="B300" s="50" t="e">
        <f t="shared" si="4"/>
        <v>#VALUE!</v>
      </c>
    </row>
    <row r="301" spans="1:2">
      <c r="A301" s="48"/>
      <c r="B301" s="50" t="e">
        <f t="shared" si="4"/>
        <v>#VALUE!</v>
      </c>
    </row>
    <row r="302" spans="1:2">
      <c r="A302" s="48"/>
      <c r="B302" s="50" t="e">
        <f t="shared" si="4"/>
        <v>#VALUE!</v>
      </c>
    </row>
    <row r="303" spans="1:2">
      <c r="A303" s="48"/>
      <c r="B303" s="50" t="e">
        <f t="shared" si="4"/>
        <v>#VALUE!</v>
      </c>
    </row>
    <row r="304" spans="1:2">
      <c r="A304" s="48"/>
      <c r="B304" s="50" t="e">
        <f t="shared" si="4"/>
        <v>#VALUE!</v>
      </c>
    </row>
    <row r="305" spans="1:2">
      <c r="A305" s="48"/>
      <c r="B305" s="50" t="e">
        <f t="shared" si="4"/>
        <v>#VALUE!</v>
      </c>
    </row>
    <row r="306" spans="1:2">
      <c r="A306" s="48"/>
      <c r="B306" s="50" t="e">
        <f t="shared" si="4"/>
        <v>#VALUE!</v>
      </c>
    </row>
    <row r="307" spans="1:2">
      <c r="A307" s="48"/>
      <c r="B307" s="50" t="e">
        <f t="shared" si="4"/>
        <v>#VALUE!</v>
      </c>
    </row>
    <row r="308" spans="1:2">
      <c r="A308" s="48"/>
      <c r="B308" s="50" t="e">
        <f t="shared" si="4"/>
        <v>#VALUE!</v>
      </c>
    </row>
    <row r="309" spans="1:2">
      <c r="A309" s="48"/>
      <c r="B309" s="50" t="e">
        <f t="shared" si="4"/>
        <v>#VALUE!</v>
      </c>
    </row>
    <row r="310" spans="1:2">
      <c r="A310" s="48"/>
      <c r="B310" s="50" t="e">
        <f t="shared" si="4"/>
        <v>#VALUE!</v>
      </c>
    </row>
    <row r="311" spans="1:2">
      <c r="A311" s="48"/>
      <c r="B311" s="50" t="e">
        <f t="shared" si="4"/>
        <v>#VALUE!</v>
      </c>
    </row>
    <row r="312" spans="1:2">
      <c r="A312" s="48"/>
      <c r="B312" s="50" t="e">
        <f t="shared" si="4"/>
        <v>#VALUE!</v>
      </c>
    </row>
    <row r="313" spans="1:2">
      <c r="A313" s="48"/>
      <c r="B313" s="50" t="e">
        <f t="shared" si="4"/>
        <v>#VALUE!</v>
      </c>
    </row>
    <row r="314" spans="1:2">
      <c r="A314" s="48"/>
      <c r="B314" s="50" t="e">
        <f t="shared" si="4"/>
        <v>#VALUE!</v>
      </c>
    </row>
    <row r="315" spans="1:2">
      <c r="A315" s="48"/>
      <c r="B315" s="50" t="e">
        <f t="shared" si="4"/>
        <v>#VALUE!</v>
      </c>
    </row>
    <row r="316" spans="1:2">
      <c r="A316" s="48"/>
      <c r="B316" s="50" t="e">
        <f t="shared" si="4"/>
        <v>#VALUE!</v>
      </c>
    </row>
    <row r="317" spans="1:2">
      <c r="A317" s="48"/>
      <c r="B317" s="50" t="e">
        <f t="shared" si="4"/>
        <v>#VALUE!</v>
      </c>
    </row>
    <row r="318" spans="1:2">
      <c r="A318" s="48"/>
      <c r="B318" s="50" t="e">
        <f t="shared" si="4"/>
        <v>#VALUE!</v>
      </c>
    </row>
    <row r="319" spans="1:2">
      <c r="A319" s="48"/>
      <c r="B319" s="50" t="e">
        <f t="shared" si="4"/>
        <v>#VALUE!</v>
      </c>
    </row>
    <row r="320" spans="1:2">
      <c r="A320" s="48"/>
      <c r="B320" s="50" t="e">
        <f t="shared" si="4"/>
        <v>#VALUE!</v>
      </c>
    </row>
    <row r="321" spans="1:2">
      <c r="A321" s="48"/>
      <c r="B321" s="50" t="e">
        <f t="shared" si="4"/>
        <v>#VALUE!</v>
      </c>
    </row>
    <row r="322" spans="1:2">
      <c r="A322" s="48"/>
      <c r="B322" s="50" t="e">
        <f t="shared" si="4"/>
        <v>#VALUE!</v>
      </c>
    </row>
    <row r="323" spans="1:2">
      <c r="A323" s="48"/>
      <c r="B323" s="50" t="e">
        <f t="shared" si="4"/>
        <v>#VALUE!</v>
      </c>
    </row>
    <row r="324" spans="1:2">
      <c r="A324" s="48"/>
      <c r="B324" s="50" t="e">
        <f t="shared" ref="B324:B387" si="5">DATE(LEFT(A324,4),MID(A324,5,2),MID(A324,7,2))+TIME(MID(A324,9,2),MID(A324,11,2),"00")</f>
        <v>#VALUE!</v>
      </c>
    </row>
    <row r="325" spans="1:2">
      <c r="A325" s="48"/>
      <c r="B325" s="50" t="e">
        <f t="shared" si="5"/>
        <v>#VALUE!</v>
      </c>
    </row>
    <row r="326" spans="1:2">
      <c r="A326" s="48"/>
      <c r="B326" s="50" t="e">
        <f t="shared" si="5"/>
        <v>#VALUE!</v>
      </c>
    </row>
    <row r="327" spans="1:2">
      <c r="A327" s="48"/>
      <c r="B327" s="50" t="e">
        <f t="shared" si="5"/>
        <v>#VALUE!</v>
      </c>
    </row>
    <row r="328" spans="1:2">
      <c r="A328" s="48"/>
      <c r="B328" s="50" t="e">
        <f t="shared" si="5"/>
        <v>#VALUE!</v>
      </c>
    </row>
    <row r="329" spans="1:2">
      <c r="A329" s="48"/>
      <c r="B329" s="50" t="e">
        <f t="shared" si="5"/>
        <v>#VALUE!</v>
      </c>
    </row>
    <row r="330" spans="1:2">
      <c r="A330" s="48"/>
      <c r="B330" s="50" t="e">
        <f t="shared" si="5"/>
        <v>#VALUE!</v>
      </c>
    </row>
    <row r="331" spans="1:2">
      <c r="A331" s="48"/>
      <c r="B331" s="50" t="e">
        <f t="shared" si="5"/>
        <v>#VALUE!</v>
      </c>
    </row>
    <row r="332" spans="1:2">
      <c r="A332" s="48"/>
      <c r="B332" s="50" t="e">
        <f t="shared" si="5"/>
        <v>#VALUE!</v>
      </c>
    </row>
    <row r="333" spans="1:2">
      <c r="A333" s="48"/>
      <c r="B333" s="50" t="e">
        <f t="shared" si="5"/>
        <v>#VALUE!</v>
      </c>
    </row>
    <row r="334" spans="1:2">
      <c r="A334" s="48"/>
      <c r="B334" s="50" t="e">
        <f t="shared" si="5"/>
        <v>#VALUE!</v>
      </c>
    </row>
    <row r="335" spans="1:2">
      <c r="A335" s="48"/>
      <c r="B335" s="50" t="e">
        <f t="shared" si="5"/>
        <v>#VALUE!</v>
      </c>
    </row>
    <row r="336" spans="1:2">
      <c r="A336" s="48"/>
      <c r="B336" s="50" t="e">
        <f t="shared" si="5"/>
        <v>#VALUE!</v>
      </c>
    </row>
    <row r="337" spans="1:2">
      <c r="A337" s="48"/>
      <c r="B337" s="50" t="e">
        <f t="shared" si="5"/>
        <v>#VALUE!</v>
      </c>
    </row>
    <row r="338" spans="1:2">
      <c r="A338" s="48"/>
      <c r="B338" s="50" t="e">
        <f t="shared" si="5"/>
        <v>#VALUE!</v>
      </c>
    </row>
    <row r="339" spans="1:2">
      <c r="A339" s="48"/>
      <c r="B339" s="50" t="e">
        <f t="shared" si="5"/>
        <v>#VALUE!</v>
      </c>
    </row>
    <row r="340" spans="1:2">
      <c r="A340" s="48"/>
      <c r="B340" s="50" t="e">
        <f t="shared" si="5"/>
        <v>#VALUE!</v>
      </c>
    </row>
    <row r="341" spans="1:2">
      <c r="A341" s="48"/>
      <c r="B341" s="50" t="e">
        <f t="shared" si="5"/>
        <v>#VALUE!</v>
      </c>
    </row>
    <row r="342" spans="1:2">
      <c r="A342" s="48"/>
      <c r="B342" s="50" t="e">
        <f t="shared" si="5"/>
        <v>#VALUE!</v>
      </c>
    </row>
    <row r="343" spans="1:2">
      <c r="A343" s="48"/>
      <c r="B343" s="50" t="e">
        <f t="shared" si="5"/>
        <v>#VALUE!</v>
      </c>
    </row>
    <row r="344" spans="1:2">
      <c r="A344" s="48"/>
      <c r="B344" s="50" t="e">
        <f t="shared" si="5"/>
        <v>#VALUE!</v>
      </c>
    </row>
    <row r="345" spans="1:2">
      <c r="A345" s="48"/>
      <c r="B345" s="50" t="e">
        <f t="shared" si="5"/>
        <v>#VALUE!</v>
      </c>
    </row>
    <row r="346" spans="1:2">
      <c r="A346" s="48"/>
      <c r="B346" s="50" t="e">
        <f t="shared" si="5"/>
        <v>#VALUE!</v>
      </c>
    </row>
    <row r="347" spans="1:2">
      <c r="A347" s="48"/>
      <c r="B347" s="50" t="e">
        <f t="shared" si="5"/>
        <v>#VALUE!</v>
      </c>
    </row>
    <row r="348" spans="1:2">
      <c r="A348" s="48"/>
      <c r="B348" s="50" t="e">
        <f t="shared" si="5"/>
        <v>#VALUE!</v>
      </c>
    </row>
    <row r="349" spans="1:2">
      <c r="A349" s="48"/>
      <c r="B349" s="50" t="e">
        <f t="shared" si="5"/>
        <v>#VALUE!</v>
      </c>
    </row>
    <row r="350" spans="1:2">
      <c r="A350" s="48"/>
      <c r="B350" s="50" t="e">
        <f t="shared" si="5"/>
        <v>#VALUE!</v>
      </c>
    </row>
    <row r="351" spans="1:2">
      <c r="A351" s="48"/>
      <c r="B351" s="50" t="e">
        <f t="shared" si="5"/>
        <v>#VALUE!</v>
      </c>
    </row>
    <row r="352" spans="1:2">
      <c r="A352" s="48"/>
      <c r="B352" s="50" t="e">
        <f t="shared" si="5"/>
        <v>#VALUE!</v>
      </c>
    </row>
    <row r="353" spans="1:2">
      <c r="A353" s="48"/>
      <c r="B353" s="50" t="e">
        <f t="shared" si="5"/>
        <v>#VALUE!</v>
      </c>
    </row>
    <row r="354" spans="1:2">
      <c r="A354" s="48"/>
      <c r="B354" s="50" t="e">
        <f t="shared" si="5"/>
        <v>#VALUE!</v>
      </c>
    </row>
    <row r="355" spans="1:2">
      <c r="A355" s="48"/>
      <c r="B355" s="50" t="e">
        <f t="shared" si="5"/>
        <v>#VALUE!</v>
      </c>
    </row>
    <row r="356" spans="1:2">
      <c r="A356" s="48"/>
      <c r="B356" s="50" t="e">
        <f t="shared" si="5"/>
        <v>#VALUE!</v>
      </c>
    </row>
    <row r="357" spans="1:2">
      <c r="A357" s="48"/>
      <c r="B357" s="50" t="e">
        <f t="shared" si="5"/>
        <v>#VALUE!</v>
      </c>
    </row>
    <row r="358" spans="1:2">
      <c r="A358" s="48"/>
      <c r="B358" s="50" t="e">
        <f t="shared" si="5"/>
        <v>#VALUE!</v>
      </c>
    </row>
    <row r="359" spans="1:2">
      <c r="A359" s="48"/>
      <c r="B359" s="50" t="e">
        <f t="shared" si="5"/>
        <v>#VALUE!</v>
      </c>
    </row>
    <row r="360" spans="1:2">
      <c r="A360" s="48"/>
      <c r="B360" s="50" t="e">
        <f t="shared" si="5"/>
        <v>#VALUE!</v>
      </c>
    </row>
    <row r="361" spans="1:2">
      <c r="A361" s="48"/>
      <c r="B361" s="50" t="e">
        <f t="shared" si="5"/>
        <v>#VALUE!</v>
      </c>
    </row>
    <row r="362" spans="1:2">
      <c r="A362" s="48"/>
      <c r="B362" s="50" t="e">
        <f t="shared" si="5"/>
        <v>#VALUE!</v>
      </c>
    </row>
    <row r="363" spans="1:2">
      <c r="A363" s="48"/>
      <c r="B363" s="50" t="e">
        <f t="shared" si="5"/>
        <v>#VALUE!</v>
      </c>
    </row>
    <row r="364" spans="1:2">
      <c r="A364" s="48"/>
      <c r="B364" s="50" t="e">
        <f t="shared" si="5"/>
        <v>#VALUE!</v>
      </c>
    </row>
    <row r="365" spans="1:2">
      <c r="A365" s="48"/>
      <c r="B365" s="50" t="e">
        <f t="shared" si="5"/>
        <v>#VALUE!</v>
      </c>
    </row>
    <row r="366" spans="1:2">
      <c r="A366" s="48"/>
      <c r="B366" s="50" t="e">
        <f t="shared" si="5"/>
        <v>#VALUE!</v>
      </c>
    </row>
    <row r="367" spans="1:2">
      <c r="A367" s="48"/>
      <c r="B367" s="50" t="e">
        <f t="shared" si="5"/>
        <v>#VALUE!</v>
      </c>
    </row>
    <row r="368" spans="1:2">
      <c r="A368" s="48"/>
      <c r="B368" s="50" t="e">
        <f t="shared" si="5"/>
        <v>#VALUE!</v>
      </c>
    </row>
    <row r="369" spans="1:2">
      <c r="A369" s="48"/>
      <c r="B369" s="50" t="e">
        <f t="shared" si="5"/>
        <v>#VALUE!</v>
      </c>
    </row>
    <row r="370" spans="1:2">
      <c r="A370" s="48"/>
      <c r="B370" s="50" t="e">
        <f t="shared" si="5"/>
        <v>#VALUE!</v>
      </c>
    </row>
    <row r="371" spans="1:2">
      <c r="A371" s="48"/>
      <c r="B371" s="50" t="e">
        <f t="shared" si="5"/>
        <v>#VALUE!</v>
      </c>
    </row>
    <row r="372" spans="1:2">
      <c r="A372" s="48"/>
      <c r="B372" s="50" t="e">
        <f t="shared" si="5"/>
        <v>#VALUE!</v>
      </c>
    </row>
    <row r="373" spans="1:2">
      <c r="A373" s="48"/>
      <c r="B373" s="50" t="e">
        <f t="shared" si="5"/>
        <v>#VALUE!</v>
      </c>
    </row>
    <row r="374" spans="1:2">
      <c r="A374" s="48"/>
      <c r="B374" s="50" t="e">
        <f t="shared" si="5"/>
        <v>#VALUE!</v>
      </c>
    </row>
    <row r="375" spans="1:2">
      <c r="A375" s="48"/>
      <c r="B375" s="50" t="e">
        <f t="shared" si="5"/>
        <v>#VALUE!</v>
      </c>
    </row>
    <row r="376" spans="1:2">
      <c r="A376" s="48"/>
      <c r="B376" s="50" t="e">
        <f t="shared" si="5"/>
        <v>#VALUE!</v>
      </c>
    </row>
    <row r="377" spans="1:2">
      <c r="A377" s="48"/>
      <c r="B377" s="50" t="e">
        <f t="shared" si="5"/>
        <v>#VALUE!</v>
      </c>
    </row>
    <row r="378" spans="1:2">
      <c r="A378" s="48"/>
      <c r="B378" s="50" t="e">
        <f t="shared" si="5"/>
        <v>#VALUE!</v>
      </c>
    </row>
    <row r="379" spans="1:2">
      <c r="A379" s="48"/>
      <c r="B379" s="50" t="e">
        <f t="shared" si="5"/>
        <v>#VALUE!</v>
      </c>
    </row>
    <row r="380" spans="1:2">
      <c r="A380" s="48"/>
      <c r="B380" s="50" t="e">
        <f t="shared" si="5"/>
        <v>#VALUE!</v>
      </c>
    </row>
    <row r="381" spans="1:2">
      <c r="A381" s="48"/>
      <c r="B381" s="50" t="e">
        <f t="shared" si="5"/>
        <v>#VALUE!</v>
      </c>
    </row>
    <row r="382" spans="1:2">
      <c r="A382" s="48"/>
      <c r="B382" s="50" t="e">
        <f t="shared" si="5"/>
        <v>#VALUE!</v>
      </c>
    </row>
    <row r="383" spans="1:2">
      <c r="A383" s="48"/>
      <c r="B383" s="50" t="e">
        <f t="shared" si="5"/>
        <v>#VALUE!</v>
      </c>
    </row>
    <row r="384" spans="1:2">
      <c r="A384" s="48"/>
      <c r="B384" s="50" t="e">
        <f t="shared" si="5"/>
        <v>#VALUE!</v>
      </c>
    </row>
    <row r="385" spans="1:2">
      <c r="A385" s="48"/>
      <c r="B385" s="50" t="e">
        <f t="shared" si="5"/>
        <v>#VALUE!</v>
      </c>
    </row>
    <row r="386" spans="1:2">
      <c r="A386" s="48"/>
      <c r="B386" s="50" t="e">
        <f t="shared" si="5"/>
        <v>#VALUE!</v>
      </c>
    </row>
    <row r="387" spans="1:2">
      <c r="A387" s="48"/>
      <c r="B387" s="50" t="e">
        <f t="shared" si="5"/>
        <v>#VALUE!</v>
      </c>
    </row>
    <row r="388" spans="1:2">
      <c r="A388" s="48"/>
      <c r="B388" s="50" t="e">
        <f t="shared" ref="B388:B451" si="6">DATE(LEFT(A388,4),MID(A388,5,2),MID(A388,7,2))+TIME(MID(A388,9,2),MID(A388,11,2),"00")</f>
        <v>#VALUE!</v>
      </c>
    </row>
    <row r="389" spans="1:2">
      <c r="A389" s="48"/>
      <c r="B389" s="50" t="e">
        <f t="shared" si="6"/>
        <v>#VALUE!</v>
      </c>
    </row>
    <row r="390" spans="1:2">
      <c r="A390" s="48"/>
      <c r="B390" s="50" t="e">
        <f t="shared" si="6"/>
        <v>#VALUE!</v>
      </c>
    </row>
    <row r="391" spans="1:2">
      <c r="A391" s="48"/>
      <c r="B391" s="50" t="e">
        <f t="shared" si="6"/>
        <v>#VALUE!</v>
      </c>
    </row>
    <row r="392" spans="1:2">
      <c r="A392" s="48"/>
      <c r="B392" s="50" t="e">
        <f t="shared" si="6"/>
        <v>#VALUE!</v>
      </c>
    </row>
    <row r="393" spans="1:2">
      <c r="A393" s="48"/>
      <c r="B393" s="50" t="e">
        <f t="shared" si="6"/>
        <v>#VALUE!</v>
      </c>
    </row>
    <row r="394" spans="1:2">
      <c r="A394" s="48"/>
      <c r="B394" s="50" t="e">
        <f t="shared" si="6"/>
        <v>#VALUE!</v>
      </c>
    </row>
    <row r="395" spans="1:2">
      <c r="A395" s="48"/>
      <c r="B395" s="50" t="e">
        <f t="shared" si="6"/>
        <v>#VALUE!</v>
      </c>
    </row>
    <row r="396" spans="1:2">
      <c r="A396" s="48"/>
      <c r="B396" s="50" t="e">
        <f t="shared" si="6"/>
        <v>#VALUE!</v>
      </c>
    </row>
    <row r="397" spans="1:2">
      <c r="A397" s="48"/>
      <c r="B397" s="50" t="e">
        <f t="shared" si="6"/>
        <v>#VALUE!</v>
      </c>
    </row>
    <row r="398" spans="1:2">
      <c r="A398" s="48"/>
      <c r="B398" s="50" t="e">
        <f t="shared" si="6"/>
        <v>#VALUE!</v>
      </c>
    </row>
    <row r="399" spans="1:2">
      <c r="A399" s="48"/>
      <c r="B399" s="50" t="e">
        <f t="shared" si="6"/>
        <v>#VALUE!</v>
      </c>
    </row>
    <row r="400" spans="1:2">
      <c r="A400" s="48"/>
      <c r="B400" s="50" t="e">
        <f t="shared" si="6"/>
        <v>#VALUE!</v>
      </c>
    </row>
    <row r="401" spans="1:2">
      <c r="A401" s="48"/>
      <c r="B401" s="50" t="e">
        <f t="shared" si="6"/>
        <v>#VALUE!</v>
      </c>
    </row>
    <row r="402" spans="1:2">
      <c r="A402" s="48"/>
      <c r="B402" s="50" t="e">
        <f t="shared" si="6"/>
        <v>#VALUE!</v>
      </c>
    </row>
    <row r="403" spans="1:2">
      <c r="A403" s="48"/>
      <c r="B403" s="50" t="e">
        <f t="shared" si="6"/>
        <v>#VALUE!</v>
      </c>
    </row>
    <row r="404" spans="1:2">
      <c r="A404" s="48"/>
      <c r="B404" s="50" t="e">
        <f t="shared" si="6"/>
        <v>#VALUE!</v>
      </c>
    </row>
    <row r="405" spans="1:2">
      <c r="A405" s="48"/>
      <c r="B405" s="50" t="e">
        <f t="shared" si="6"/>
        <v>#VALUE!</v>
      </c>
    </row>
    <row r="406" spans="1:2">
      <c r="A406" s="48"/>
      <c r="B406" s="50" t="e">
        <f t="shared" si="6"/>
        <v>#VALUE!</v>
      </c>
    </row>
    <row r="407" spans="1:2">
      <c r="A407" s="48"/>
      <c r="B407" s="50" t="e">
        <f t="shared" si="6"/>
        <v>#VALUE!</v>
      </c>
    </row>
    <row r="408" spans="1:2">
      <c r="A408" s="48"/>
      <c r="B408" s="50" t="e">
        <f t="shared" si="6"/>
        <v>#VALUE!</v>
      </c>
    </row>
    <row r="409" spans="1:2">
      <c r="A409" s="48"/>
      <c r="B409" s="50" t="e">
        <f t="shared" si="6"/>
        <v>#VALUE!</v>
      </c>
    </row>
    <row r="410" spans="1:2">
      <c r="A410" s="48"/>
      <c r="B410" s="50" t="e">
        <f t="shared" si="6"/>
        <v>#VALUE!</v>
      </c>
    </row>
    <row r="411" spans="1:2">
      <c r="A411" s="48"/>
      <c r="B411" s="50" t="e">
        <f t="shared" si="6"/>
        <v>#VALUE!</v>
      </c>
    </row>
    <row r="412" spans="1:2">
      <c r="A412" s="48"/>
      <c r="B412" s="50" t="e">
        <f t="shared" si="6"/>
        <v>#VALUE!</v>
      </c>
    </row>
    <row r="413" spans="1:2">
      <c r="A413" s="48"/>
      <c r="B413" s="50" t="e">
        <f t="shared" si="6"/>
        <v>#VALUE!</v>
      </c>
    </row>
    <row r="414" spans="1:2">
      <c r="A414" s="48"/>
      <c r="B414" s="50" t="e">
        <f t="shared" si="6"/>
        <v>#VALUE!</v>
      </c>
    </row>
    <row r="415" spans="1:2">
      <c r="A415" s="48"/>
      <c r="B415" s="50" t="e">
        <f t="shared" si="6"/>
        <v>#VALUE!</v>
      </c>
    </row>
    <row r="416" spans="1:2">
      <c r="A416" s="48"/>
      <c r="B416" s="50" t="e">
        <f t="shared" si="6"/>
        <v>#VALUE!</v>
      </c>
    </row>
    <row r="417" spans="1:2">
      <c r="A417" s="48"/>
      <c r="B417" s="50" t="e">
        <f t="shared" si="6"/>
        <v>#VALUE!</v>
      </c>
    </row>
    <row r="418" spans="1:2">
      <c r="A418" s="48"/>
      <c r="B418" s="50" t="e">
        <f t="shared" si="6"/>
        <v>#VALUE!</v>
      </c>
    </row>
    <row r="419" spans="1:2">
      <c r="A419" s="48"/>
      <c r="B419" s="50" t="e">
        <f t="shared" si="6"/>
        <v>#VALUE!</v>
      </c>
    </row>
    <row r="420" spans="1:2">
      <c r="A420" s="48"/>
      <c r="B420" s="50" t="e">
        <f t="shared" si="6"/>
        <v>#VALUE!</v>
      </c>
    </row>
    <row r="421" spans="1:2">
      <c r="A421" s="48"/>
      <c r="B421" s="50" t="e">
        <f t="shared" si="6"/>
        <v>#VALUE!</v>
      </c>
    </row>
    <row r="422" spans="1:2">
      <c r="A422" s="48"/>
      <c r="B422" s="50" t="e">
        <f t="shared" si="6"/>
        <v>#VALUE!</v>
      </c>
    </row>
    <row r="423" spans="1:2">
      <c r="A423" s="48"/>
      <c r="B423" s="50" t="e">
        <f t="shared" si="6"/>
        <v>#VALUE!</v>
      </c>
    </row>
    <row r="424" spans="1:2">
      <c r="A424" s="48"/>
      <c r="B424" s="50" t="e">
        <f t="shared" si="6"/>
        <v>#VALUE!</v>
      </c>
    </row>
    <row r="425" spans="1:2">
      <c r="A425" s="48"/>
      <c r="B425" s="50" t="e">
        <f t="shared" si="6"/>
        <v>#VALUE!</v>
      </c>
    </row>
    <row r="426" spans="1:2">
      <c r="A426" s="48"/>
      <c r="B426" s="50" t="e">
        <f t="shared" si="6"/>
        <v>#VALUE!</v>
      </c>
    </row>
    <row r="427" spans="1:2">
      <c r="A427" s="48"/>
      <c r="B427" s="50" t="e">
        <f t="shared" si="6"/>
        <v>#VALUE!</v>
      </c>
    </row>
    <row r="428" spans="1:2">
      <c r="A428" s="48"/>
      <c r="B428" s="50" t="e">
        <f t="shared" si="6"/>
        <v>#VALUE!</v>
      </c>
    </row>
    <row r="429" spans="1:2">
      <c r="A429" s="48"/>
      <c r="B429" s="50" t="e">
        <f t="shared" si="6"/>
        <v>#VALUE!</v>
      </c>
    </row>
    <row r="430" spans="1:2">
      <c r="A430" s="48"/>
      <c r="B430" s="50" t="e">
        <f t="shared" si="6"/>
        <v>#VALUE!</v>
      </c>
    </row>
    <row r="431" spans="1:2">
      <c r="A431" s="48"/>
      <c r="B431" s="50" t="e">
        <f t="shared" si="6"/>
        <v>#VALUE!</v>
      </c>
    </row>
    <row r="432" spans="1:2">
      <c r="A432" s="48"/>
      <c r="B432" s="50" t="e">
        <f t="shared" si="6"/>
        <v>#VALUE!</v>
      </c>
    </row>
    <row r="433" spans="1:2">
      <c r="A433" s="48"/>
      <c r="B433" s="50" t="e">
        <f t="shared" si="6"/>
        <v>#VALUE!</v>
      </c>
    </row>
    <row r="434" spans="1:2">
      <c r="A434" s="48"/>
      <c r="B434" s="50" t="e">
        <f t="shared" si="6"/>
        <v>#VALUE!</v>
      </c>
    </row>
    <row r="435" spans="1:2">
      <c r="A435" s="48"/>
      <c r="B435" s="50" t="e">
        <f t="shared" si="6"/>
        <v>#VALUE!</v>
      </c>
    </row>
    <row r="436" spans="1:2">
      <c r="A436" s="48"/>
      <c r="B436" s="50" t="e">
        <f t="shared" si="6"/>
        <v>#VALUE!</v>
      </c>
    </row>
    <row r="437" spans="1:2">
      <c r="A437" s="48"/>
      <c r="B437" s="50" t="e">
        <f t="shared" si="6"/>
        <v>#VALUE!</v>
      </c>
    </row>
    <row r="438" spans="1:2">
      <c r="A438" s="48"/>
      <c r="B438" s="50" t="e">
        <f t="shared" si="6"/>
        <v>#VALUE!</v>
      </c>
    </row>
    <row r="439" spans="1:2">
      <c r="A439" s="48"/>
      <c r="B439" s="50" t="e">
        <f t="shared" si="6"/>
        <v>#VALUE!</v>
      </c>
    </row>
    <row r="440" spans="1:2">
      <c r="A440" s="48"/>
      <c r="B440" s="50" t="e">
        <f t="shared" si="6"/>
        <v>#VALUE!</v>
      </c>
    </row>
    <row r="441" spans="1:2">
      <c r="A441" s="48"/>
      <c r="B441" s="50" t="e">
        <f t="shared" si="6"/>
        <v>#VALUE!</v>
      </c>
    </row>
    <row r="442" spans="1:2">
      <c r="A442" s="48"/>
      <c r="B442" s="50" t="e">
        <f t="shared" si="6"/>
        <v>#VALUE!</v>
      </c>
    </row>
    <row r="443" spans="1:2">
      <c r="A443" s="48"/>
      <c r="B443" s="50" t="e">
        <f t="shared" si="6"/>
        <v>#VALUE!</v>
      </c>
    </row>
    <row r="444" spans="1:2">
      <c r="A444" s="48"/>
      <c r="B444" s="50" t="e">
        <f t="shared" si="6"/>
        <v>#VALUE!</v>
      </c>
    </row>
    <row r="445" spans="1:2">
      <c r="A445" s="48"/>
      <c r="B445" s="50" t="e">
        <f t="shared" si="6"/>
        <v>#VALUE!</v>
      </c>
    </row>
    <row r="446" spans="1:2">
      <c r="A446" s="48"/>
      <c r="B446" s="50" t="e">
        <f t="shared" si="6"/>
        <v>#VALUE!</v>
      </c>
    </row>
    <row r="447" spans="1:2">
      <c r="A447" s="48"/>
      <c r="B447" s="50" t="e">
        <f t="shared" si="6"/>
        <v>#VALUE!</v>
      </c>
    </row>
    <row r="448" spans="1:2">
      <c r="A448" s="48"/>
      <c r="B448" s="50" t="e">
        <f t="shared" si="6"/>
        <v>#VALUE!</v>
      </c>
    </row>
    <row r="449" spans="1:2">
      <c r="A449" s="48"/>
      <c r="B449" s="50" t="e">
        <f t="shared" si="6"/>
        <v>#VALUE!</v>
      </c>
    </row>
    <row r="450" spans="1:2">
      <c r="A450" s="48"/>
      <c r="B450" s="50" t="e">
        <f t="shared" si="6"/>
        <v>#VALUE!</v>
      </c>
    </row>
    <row r="451" spans="1:2">
      <c r="A451" s="48"/>
      <c r="B451" s="50" t="e">
        <f t="shared" si="6"/>
        <v>#VALUE!</v>
      </c>
    </row>
    <row r="452" spans="1:2">
      <c r="A452" s="48"/>
      <c r="B452" s="50" t="e">
        <f t="shared" ref="B452:B515" si="7">DATE(LEFT(A452,4),MID(A452,5,2),MID(A452,7,2))+TIME(MID(A452,9,2),MID(A452,11,2),"00")</f>
        <v>#VALUE!</v>
      </c>
    </row>
    <row r="453" spans="1:2">
      <c r="A453" s="48"/>
      <c r="B453" s="50" t="e">
        <f t="shared" si="7"/>
        <v>#VALUE!</v>
      </c>
    </row>
    <row r="454" spans="1:2">
      <c r="A454" s="48"/>
      <c r="B454" s="50" t="e">
        <f t="shared" si="7"/>
        <v>#VALUE!</v>
      </c>
    </row>
    <row r="455" spans="1:2">
      <c r="A455" s="48"/>
      <c r="B455" s="50" t="e">
        <f t="shared" si="7"/>
        <v>#VALUE!</v>
      </c>
    </row>
    <row r="456" spans="1:2">
      <c r="A456" s="48"/>
      <c r="B456" s="50" t="e">
        <f t="shared" si="7"/>
        <v>#VALUE!</v>
      </c>
    </row>
    <row r="457" spans="1:2">
      <c r="A457" s="48"/>
      <c r="B457" s="50" t="e">
        <f t="shared" si="7"/>
        <v>#VALUE!</v>
      </c>
    </row>
    <row r="458" spans="1:2">
      <c r="A458" s="48"/>
      <c r="B458" s="50" t="e">
        <f t="shared" si="7"/>
        <v>#VALUE!</v>
      </c>
    </row>
    <row r="459" spans="1:2">
      <c r="A459" s="48"/>
      <c r="B459" s="50" t="e">
        <f t="shared" si="7"/>
        <v>#VALUE!</v>
      </c>
    </row>
    <row r="460" spans="1:2">
      <c r="A460" s="48"/>
      <c r="B460" s="50" t="e">
        <f t="shared" si="7"/>
        <v>#VALUE!</v>
      </c>
    </row>
    <row r="461" spans="1:2">
      <c r="A461" s="48"/>
      <c r="B461" s="50" t="e">
        <f t="shared" si="7"/>
        <v>#VALUE!</v>
      </c>
    </row>
    <row r="462" spans="1:2">
      <c r="A462" s="48"/>
      <c r="B462" s="50" t="e">
        <f t="shared" si="7"/>
        <v>#VALUE!</v>
      </c>
    </row>
    <row r="463" spans="1:2">
      <c r="A463" s="48"/>
      <c r="B463" s="50" t="e">
        <f t="shared" si="7"/>
        <v>#VALUE!</v>
      </c>
    </row>
    <row r="464" spans="1:2">
      <c r="A464" s="48"/>
      <c r="B464" s="50" t="e">
        <f t="shared" si="7"/>
        <v>#VALUE!</v>
      </c>
    </row>
    <row r="465" spans="1:2">
      <c r="A465" s="48"/>
      <c r="B465" s="50" t="e">
        <f t="shared" si="7"/>
        <v>#VALUE!</v>
      </c>
    </row>
    <row r="466" spans="1:2">
      <c r="A466" s="48"/>
      <c r="B466" s="50" t="e">
        <f t="shared" si="7"/>
        <v>#VALUE!</v>
      </c>
    </row>
    <row r="467" spans="1:2">
      <c r="A467" s="48"/>
      <c r="B467" s="50" t="e">
        <f t="shared" si="7"/>
        <v>#VALUE!</v>
      </c>
    </row>
    <row r="468" spans="1:2">
      <c r="A468" s="48"/>
      <c r="B468" s="50" t="e">
        <f t="shared" si="7"/>
        <v>#VALUE!</v>
      </c>
    </row>
    <row r="469" spans="1:2">
      <c r="A469" s="48"/>
      <c r="B469" s="50" t="e">
        <f t="shared" si="7"/>
        <v>#VALUE!</v>
      </c>
    </row>
    <row r="470" spans="1:2">
      <c r="A470" s="48"/>
      <c r="B470" s="50" t="e">
        <f t="shared" si="7"/>
        <v>#VALUE!</v>
      </c>
    </row>
    <row r="471" spans="1:2">
      <c r="A471" s="48"/>
      <c r="B471" s="50" t="e">
        <f t="shared" si="7"/>
        <v>#VALUE!</v>
      </c>
    </row>
    <row r="472" spans="1:2">
      <c r="A472" s="48"/>
      <c r="B472" s="50" t="e">
        <f t="shared" si="7"/>
        <v>#VALUE!</v>
      </c>
    </row>
    <row r="473" spans="1:2">
      <c r="A473" s="48"/>
      <c r="B473" s="50" t="e">
        <f t="shared" si="7"/>
        <v>#VALUE!</v>
      </c>
    </row>
    <row r="474" spans="1:2">
      <c r="A474" s="48"/>
      <c r="B474" s="50" t="e">
        <f t="shared" si="7"/>
        <v>#VALUE!</v>
      </c>
    </row>
    <row r="475" spans="1:2">
      <c r="A475" s="48"/>
      <c r="B475" s="50" t="e">
        <f t="shared" si="7"/>
        <v>#VALUE!</v>
      </c>
    </row>
    <row r="476" spans="1:2">
      <c r="A476" s="48"/>
      <c r="B476" s="50" t="e">
        <f t="shared" si="7"/>
        <v>#VALUE!</v>
      </c>
    </row>
    <row r="477" spans="1:2">
      <c r="A477" s="48"/>
      <c r="B477" s="50" t="e">
        <f t="shared" si="7"/>
        <v>#VALUE!</v>
      </c>
    </row>
    <row r="478" spans="1:2">
      <c r="A478" s="48"/>
      <c r="B478" s="50" t="e">
        <f t="shared" si="7"/>
        <v>#VALUE!</v>
      </c>
    </row>
    <row r="479" spans="1:2">
      <c r="A479" s="48"/>
      <c r="B479" s="50" t="e">
        <f t="shared" si="7"/>
        <v>#VALUE!</v>
      </c>
    </row>
    <row r="480" spans="1:2">
      <c r="A480" s="48"/>
      <c r="B480" s="50" t="e">
        <f t="shared" si="7"/>
        <v>#VALUE!</v>
      </c>
    </row>
    <row r="481" spans="1:2">
      <c r="A481" s="48"/>
      <c r="B481" s="50" t="e">
        <f t="shared" si="7"/>
        <v>#VALUE!</v>
      </c>
    </row>
    <row r="482" spans="1:2">
      <c r="A482" s="48"/>
      <c r="B482" s="50" t="e">
        <f t="shared" si="7"/>
        <v>#VALUE!</v>
      </c>
    </row>
    <row r="483" spans="1:2">
      <c r="A483" s="48"/>
      <c r="B483" s="50" t="e">
        <f t="shared" si="7"/>
        <v>#VALUE!</v>
      </c>
    </row>
    <row r="484" spans="1:2">
      <c r="A484" s="48"/>
      <c r="B484" s="50" t="e">
        <f t="shared" si="7"/>
        <v>#VALUE!</v>
      </c>
    </row>
    <row r="485" spans="1:2">
      <c r="A485" s="48"/>
      <c r="B485" s="50" t="e">
        <f t="shared" si="7"/>
        <v>#VALUE!</v>
      </c>
    </row>
    <row r="486" spans="1:2">
      <c r="A486" s="48"/>
      <c r="B486" s="50" t="e">
        <f t="shared" si="7"/>
        <v>#VALUE!</v>
      </c>
    </row>
    <row r="487" spans="1:2">
      <c r="A487" s="48"/>
      <c r="B487" s="50" t="e">
        <f t="shared" si="7"/>
        <v>#VALUE!</v>
      </c>
    </row>
    <row r="488" spans="1:2">
      <c r="A488" s="48"/>
      <c r="B488" s="50" t="e">
        <f t="shared" si="7"/>
        <v>#VALUE!</v>
      </c>
    </row>
    <row r="489" spans="1:2">
      <c r="A489" s="48"/>
      <c r="B489" s="50" t="e">
        <f t="shared" si="7"/>
        <v>#VALUE!</v>
      </c>
    </row>
    <row r="490" spans="1:2">
      <c r="A490" s="48"/>
      <c r="B490" s="50" t="e">
        <f t="shared" si="7"/>
        <v>#VALUE!</v>
      </c>
    </row>
    <row r="491" spans="1:2">
      <c r="A491" s="48"/>
      <c r="B491" s="50" t="e">
        <f t="shared" si="7"/>
        <v>#VALUE!</v>
      </c>
    </row>
    <row r="492" spans="1:2">
      <c r="A492" s="48"/>
      <c r="B492" s="50" t="e">
        <f t="shared" si="7"/>
        <v>#VALUE!</v>
      </c>
    </row>
    <row r="493" spans="1:2">
      <c r="A493" s="48"/>
      <c r="B493" s="50" t="e">
        <f t="shared" si="7"/>
        <v>#VALUE!</v>
      </c>
    </row>
    <row r="494" spans="1:2">
      <c r="A494" s="48"/>
      <c r="B494" s="50" t="e">
        <f t="shared" si="7"/>
        <v>#VALUE!</v>
      </c>
    </row>
    <row r="495" spans="1:2">
      <c r="A495" s="48"/>
      <c r="B495" s="50" t="e">
        <f t="shared" si="7"/>
        <v>#VALUE!</v>
      </c>
    </row>
    <row r="496" spans="1:2">
      <c r="A496" s="48"/>
      <c r="B496" s="50" t="e">
        <f t="shared" si="7"/>
        <v>#VALUE!</v>
      </c>
    </row>
    <row r="497" spans="1:2">
      <c r="A497" s="48"/>
      <c r="B497" s="50" t="e">
        <f t="shared" si="7"/>
        <v>#VALUE!</v>
      </c>
    </row>
    <row r="498" spans="1:2">
      <c r="A498" s="48"/>
      <c r="B498" s="50" t="e">
        <f t="shared" si="7"/>
        <v>#VALUE!</v>
      </c>
    </row>
    <row r="499" spans="1:2">
      <c r="A499" s="48"/>
      <c r="B499" s="50" t="e">
        <f t="shared" si="7"/>
        <v>#VALUE!</v>
      </c>
    </row>
    <row r="500" spans="1:2">
      <c r="A500" s="48"/>
      <c r="B500" s="50" t="e">
        <f t="shared" si="7"/>
        <v>#VALUE!</v>
      </c>
    </row>
    <row r="501" spans="1:2">
      <c r="A501" s="48"/>
      <c r="B501" s="50" t="e">
        <f t="shared" si="7"/>
        <v>#VALUE!</v>
      </c>
    </row>
    <row r="502" spans="1:2">
      <c r="A502" s="48"/>
      <c r="B502" s="50" t="e">
        <f t="shared" si="7"/>
        <v>#VALUE!</v>
      </c>
    </row>
    <row r="503" spans="1:2">
      <c r="A503" s="48"/>
      <c r="B503" s="50" t="e">
        <f t="shared" si="7"/>
        <v>#VALUE!</v>
      </c>
    </row>
    <row r="504" spans="1:2">
      <c r="A504" s="48"/>
      <c r="B504" s="50" t="e">
        <f t="shared" si="7"/>
        <v>#VALUE!</v>
      </c>
    </row>
    <row r="505" spans="1:2">
      <c r="A505" s="48"/>
      <c r="B505" s="50" t="e">
        <f t="shared" si="7"/>
        <v>#VALUE!</v>
      </c>
    </row>
    <row r="506" spans="1:2">
      <c r="A506" s="48"/>
      <c r="B506" s="50" t="e">
        <f t="shared" si="7"/>
        <v>#VALUE!</v>
      </c>
    </row>
    <row r="507" spans="1:2">
      <c r="A507" s="48"/>
      <c r="B507" s="50" t="e">
        <f t="shared" si="7"/>
        <v>#VALUE!</v>
      </c>
    </row>
    <row r="508" spans="1:2">
      <c r="A508" s="48"/>
      <c r="B508" s="50" t="e">
        <f t="shared" si="7"/>
        <v>#VALUE!</v>
      </c>
    </row>
    <row r="509" spans="1:2">
      <c r="A509" s="48"/>
      <c r="B509" s="50" t="e">
        <f t="shared" si="7"/>
        <v>#VALUE!</v>
      </c>
    </row>
    <row r="510" spans="1:2">
      <c r="A510" s="48"/>
      <c r="B510" s="50" t="e">
        <f t="shared" si="7"/>
        <v>#VALUE!</v>
      </c>
    </row>
    <row r="511" spans="1:2">
      <c r="A511" s="48"/>
      <c r="B511" s="50" t="e">
        <f t="shared" si="7"/>
        <v>#VALUE!</v>
      </c>
    </row>
    <row r="512" spans="1:2">
      <c r="A512" s="48"/>
      <c r="B512" s="50" t="e">
        <f t="shared" si="7"/>
        <v>#VALUE!</v>
      </c>
    </row>
    <row r="513" spans="1:2">
      <c r="A513" s="48"/>
      <c r="B513" s="50" t="e">
        <f t="shared" si="7"/>
        <v>#VALUE!</v>
      </c>
    </row>
    <row r="514" spans="1:2">
      <c r="A514" s="48"/>
      <c r="B514" s="50" t="e">
        <f t="shared" si="7"/>
        <v>#VALUE!</v>
      </c>
    </row>
    <row r="515" spans="1:2">
      <c r="A515" s="48"/>
      <c r="B515" s="50" t="e">
        <f t="shared" si="7"/>
        <v>#VALUE!</v>
      </c>
    </row>
    <row r="516" spans="1:2">
      <c r="A516" s="48"/>
      <c r="B516" s="50" t="e">
        <f t="shared" ref="B516:B559" si="8">DATE(LEFT(A516,4),MID(A516,5,2),MID(A516,7,2))+TIME(MID(A516,9,2),MID(A516,11,2),"00")</f>
        <v>#VALUE!</v>
      </c>
    </row>
    <row r="517" spans="1:2">
      <c r="A517" s="48"/>
      <c r="B517" s="50" t="e">
        <f t="shared" si="8"/>
        <v>#VALUE!</v>
      </c>
    </row>
    <row r="518" spans="1:2">
      <c r="A518" s="48"/>
      <c r="B518" s="50" t="e">
        <f t="shared" si="8"/>
        <v>#VALUE!</v>
      </c>
    </row>
    <row r="519" spans="1:2">
      <c r="A519" s="48"/>
      <c r="B519" s="50" t="e">
        <f t="shared" si="8"/>
        <v>#VALUE!</v>
      </c>
    </row>
    <row r="520" spans="1:2">
      <c r="A520" s="48"/>
      <c r="B520" s="50" t="e">
        <f t="shared" si="8"/>
        <v>#VALUE!</v>
      </c>
    </row>
    <row r="521" spans="1:2">
      <c r="A521" s="48"/>
      <c r="B521" s="50" t="e">
        <f t="shared" si="8"/>
        <v>#VALUE!</v>
      </c>
    </row>
    <row r="522" spans="1:2">
      <c r="A522" s="48"/>
      <c r="B522" s="50" t="e">
        <f t="shared" si="8"/>
        <v>#VALUE!</v>
      </c>
    </row>
    <row r="523" spans="1:2">
      <c r="A523" s="48"/>
      <c r="B523" s="50" t="e">
        <f t="shared" si="8"/>
        <v>#VALUE!</v>
      </c>
    </row>
    <row r="524" spans="1:2">
      <c r="A524" s="48"/>
      <c r="B524" s="50" t="e">
        <f t="shared" si="8"/>
        <v>#VALUE!</v>
      </c>
    </row>
    <row r="525" spans="1:2">
      <c r="A525" s="48"/>
      <c r="B525" s="50" t="e">
        <f t="shared" si="8"/>
        <v>#VALUE!</v>
      </c>
    </row>
    <row r="526" spans="1:2">
      <c r="A526" s="48"/>
      <c r="B526" s="50" t="e">
        <f t="shared" si="8"/>
        <v>#VALUE!</v>
      </c>
    </row>
    <row r="527" spans="1:2">
      <c r="A527" s="48"/>
      <c r="B527" s="50" t="e">
        <f t="shared" si="8"/>
        <v>#VALUE!</v>
      </c>
    </row>
    <row r="528" spans="1:2">
      <c r="A528" s="48"/>
      <c r="B528" s="50" t="e">
        <f t="shared" si="8"/>
        <v>#VALUE!</v>
      </c>
    </row>
    <row r="529" spans="1:2">
      <c r="A529" s="48"/>
      <c r="B529" s="50" t="e">
        <f t="shared" si="8"/>
        <v>#VALUE!</v>
      </c>
    </row>
    <row r="530" spans="1:2">
      <c r="A530" s="48"/>
      <c r="B530" s="50" t="e">
        <f t="shared" si="8"/>
        <v>#VALUE!</v>
      </c>
    </row>
    <row r="531" spans="1:2">
      <c r="A531" s="48"/>
      <c r="B531" s="50" t="e">
        <f t="shared" si="8"/>
        <v>#VALUE!</v>
      </c>
    </row>
    <row r="532" spans="1:2">
      <c r="A532" s="48"/>
      <c r="B532" s="50" t="e">
        <f t="shared" si="8"/>
        <v>#VALUE!</v>
      </c>
    </row>
    <row r="533" spans="1:2">
      <c r="A533" s="48"/>
      <c r="B533" s="50" t="e">
        <f t="shared" si="8"/>
        <v>#VALUE!</v>
      </c>
    </row>
    <row r="534" spans="1:2">
      <c r="A534" s="48"/>
      <c r="B534" s="50" t="e">
        <f t="shared" si="8"/>
        <v>#VALUE!</v>
      </c>
    </row>
    <row r="535" spans="1:2">
      <c r="A535" s="48"/>
      <c r="B535" s="50" t="e">
        <f t="shared" si="8"/>
        <v>#VALUE!</v>
      </c>
    </row>
    <row r="536" spans="1:2">
      <c r="A536" s="48"/>
      <c r="B536" s="50" t="e">
        <f t="shared" si="8"/>
        <v>#VALUE!</v>
      </c>
    </row>
    <row r="537" spans="1:2">
      <c r="A537" s="48"/>
      <c r="B537" s="50" t="e">
        <f t="shared" si="8"/>
        <v>#VALUE!</v>
      </c>
    </row>
    <row r="538" spans="1:2">
      <c r="A538" s="48"/>
      <c r="B538" s="50" t="e">
        <f t="shared" si="8"/>
        <v>#VALUE!</v>
      </c>
    </row>
    <row r="539" spans="1:2">
      <c r="A539" s="48"/>
      <c r="B539" s="50" t="e">
        <f t="shared" si="8"/>
        <v>#VALUE!</v>
      </c>
    </row>
    <row r="540" spans="1:2">
      <c r="A540" s="48"/>
      <c r="B540" s="50" t="e">
        <f t="shared" si="8"/>
        <v>#VALUE!</v>
      </c>
    </row>
    <row r="541" spans="1:2">
      <c r="A541" s="48"/>
      <c r="B541" s="50" t="e">
        <f t="shared" si="8"/>
        <v>#VALUE!</v>
      </c>
    </row>
    <row r="542" spans="1:2">
      <c r="A542" s="48"/>
      <c r="B542" s="50" t="e">
        <f t="shared" si="8"/>
        <v>#VALUE!</v>
      </c>
    </row>
    <row r="543" spans="1:2">
      <c r="A543" s="48"/>
      <c r="B543" s="50" t="e">
        <f t="shared" si="8"/>
        <v>#VALUE!</v>
      </c>
    </row>
    <row r="544" spans="1:2">
      <c r="A544" s="48"/>
      <c r="B544" s="50" t="e">
        <f t="shared" si="8"/>
        <v>#VALUE!</v>
      </c>
    </row>
    <row r="545" spans="1:2">
      <c r="A545" s="48"/>
      <c r="B545" s="50" t="e">
        <f t="shared" si="8"/>
        <v>#VALUE!</v>
      </c>
    </row>
    <row r="546" spans="1:2">
      <c r="A546" s="48"/>
      <c r="B546" s="50" t="e">
        <f t="shared" si="8"/>
        <v>#VALUE!</v>
      </c>
    </row>
    <row r="547" spans="1:2">
      <c r="A547" s="48"/>
      <c r="B547" s="50" t="e">
        <f t="shared" si="8"/>
        <v>#VALUE!</v>
      </c>
    </row>
    <row r="548" spans="1:2">
      <c r="A548" s="48"/>
      <c r="B548" s="50" t="e">
        <f t="shared" si="8"/>
        <v>#VALUE!</v>
      </c>
    </row>
    <row r="549" spans="1:2">
      <c r="A549" s="48"/>
      <c r="B549" s="50" t="e">
        <f t="shared" si="8"/>
        <v>#VALUE!</v>
      </c>
    </row>
    <row r="550" spans="1:2">
      <c r="A550" s="48"/>
      <c r="B550" s="50" t="e">
        <f t="shared" si="8"/>
        <v>#VALUE!</v>
      </c>
    </row>
    <row r="551" spans="1:2">
      <c r="A551" s="48"/>
      <c r="B551" s="50" t="e">
        <f t="shared" si="8"/>
        <v>#VALUE!</v>
      </c>
    </row>
    <row r="552" spans="1:2">
      <c r="A552" s="48"/>
      <c r="B552" s="50" t="e">
        <f t="shared" si="8"/>
        <v>#VALUE!</v>
      </c>
    </row>
    <row r="553" spans="1:2">
      <c r="A553" s="48"/>
      <c r="B553" s="50" t="e">
        <f t="shared" si="8"/>
        <v>#VALUE!</v>
      </c>
    </row>
    <row r="554" spans="1:2">
      <c r="A554" s="48"/>
      <c r="B554" s="50" t="e">
        <f t="shared" si="8"/>
        <v>#VALUE!</v>
      </c>
    </row>
    <row r="555" spans="1:2">
      <c r="A555" s="48"/>
      <c r="B555" s="50" t="e">
        <f t="shared" si="8"/>
        <v>#VALUE!</v>
      </c>
    </row>
    <row r="556" spans="1:2">
      <c r="A556" s="48"/>
      <c r="B556" s="50" t="e">
        <f t="shared" si="8"/>
        <v>#VALUE!</v>
      </c>
    </row>
    <row r="557" spans="1:2">
      <c r="A557" s="48"/>
      <c r="B557" s="50" t="e">
        <f t="shared" si="8"/>
        <v>#VALUE!</v>
      </c>
    </row>
    <row r="558" spans="1:2">
      <c r="A558" s="48"/>
      <c r="B558" s="50" t="e">
        <f t="shared" si="8"/>
        <v>#VALUE!</v>
      </c>
    </row>
    <row r="559" spans="1:2">
      <c r="A559" s="48"/>
      <c r="B559" s="50" t="e">
        <f t="shared" si="8"/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Sheet1</vt:lpstr>
      <vt:lpstr>Import KPI raw data</vt:lpstr>
      <vt:lpstr>Export KPI (0527-0607)</vt:lpstr>
      <vt:lpstr>수출데이터</vt:lpstr>
      <vt:lpstr>수출코드</vt:lpstr>
      <vt:lpstr>Cycle time-Exception Code</vt:lpstr>
      <vt:lpstr>수리일시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SEONGJONG LEE</dc:creator>
  <cp:lastModifiedBy>seongjong lee</cp:lastModifiedBy>
  <dcterms:created xsi:type="dcterms:W3CDTF">2024-05-13T16:23:31Z</dcterms:created>
  <dcterms:modified xsi:type="dcterms:W3CDTF">2026-02-15T07:29:18Z</dcterms:modified>
</cp:coreProperties>
</file>